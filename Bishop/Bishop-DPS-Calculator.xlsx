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Bishop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Blood of the Divine's HP-scaling Crit Damage bonus is assumed active at 100% HP (the best case), since HP fluctuation isn't otherwise modeled.</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Heal, Bless, Holy Magic Shell, Advanced Blessing, Infinity) are modeled at steady-state duty-cycle average uptime, not as an exact moment-to-moment state machine. Heal's own self-Attack% component is assumed active whenever target HP &gt;= 70%.</t>
        </is>
      </c>
    </row>
    <row r="13">
      <c r="A13" s="2" t="inlineStr">
        <is>
          <t>Triumph Feather's two-stage proc and Angel Ray's boss-only proc are modeled as steady-state average multipliers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Invincible (+10% of your total Defense as INT, once Lv.35 unlocks) IS modeled live — Defense (flat) and Defense % are their own tracked Inputs, feeding STAT_DAMAGE directly, with their own Sensitivity marginal-value rows and PotentialCubes Defense % support.</t>
        </is>
      </c>
    </row>
    <row r="16">
      <c r="A16" s="2" t="inlineStr">
        <is>
          <t>Not modeled (out of scope): crowd control, Accuracy/Evasion/Defense reduction, movement speed,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46" customWidth="1" min="1" max="1"/>
    <col width="16" customWidth="1" min="2" max="2"/>
  </cols>
  <sheetData>
    <row r="1">
      <c r="A1" s="4" t="inlineStr">
        <is>
          <t>Bishop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(flat) — your own DEF stat; Invincible converts a level-scaling % (10% at Lv.1, growing with level) of it into INT, and PvP assumes the opponent has the same total Defense as you</t>
        </is>
      </c>
      <c r="B8" s="6" t="n">
        <v>0</v>
      </c>
    </row>
    <row r="9">
      <c r="A9" s="5" t="inlineStr">
        <is>
          <t>Defense % (Invincible converts total Defense, incl. this %, into INT, at a level-scaling rate)</t>
        </is>
      </c>
      <c r="B9" s="6" t="n">
        <v>0</v>
      </c>
    </row>
    <row r="10">
      <c r="A10" s="5" t="inlineStr">
        <is>
          <t>CRIT_RATE %</t>
        </is>
      </c>
      <c r="B10" s="6" t="n">
        <v>0</v>
      </c>
    </row>
    <row r="11">
      <c r="A11" s="5" t="inlineStr">
        <is>
          <t>CRIT_DAMAGE %</t>
        </is>
      </c>
      <c r="B11" s="6" t="n">
        <v>0</v>
      </c>
    </row>
    <row r="12">
      <c r="A12" s="5" t="inlineStr">
        <is>
          <t>ATTACK_SPEED % (base, excludes Nimble Feet/MP Eater/Blood of the Divine)</t>
        </is>
      </c>
      <c r="B12" s="6" t="n">
        <v>0</v>
      </c>
    </row>
    <row r="13">
      <c r="A13" s="5" t="inlineStr">
        <is>
          <t>Flat INT</t>
        </is>
      </c>
      <c r="B13" s="6" t="n">
        <v>0</v>
      </c>
    </row>
    <row r="14">
      <c r="A14" s="5" t="inlineStr">
        <is>
          <t>INT %</t>
        </is>
      </c>
      <c r="B14" s="6" t="n">
        <v>0</v>
      </c>
    </row>
    <row r="15">
      <c r="A15" s="5" t="inlineStr">
        <is>
          <t>LUK</t>
        </is>
      </c>
      <c r="B15" s="6" t="n">
        <v>0</v>
      </c>
    </row>
    <row r="16">
      <c r="A16" s="5" t="inlineStr">
        <is>
          <t>DAMAGE %</t>
        </is>
      </c>
      <c r="B16" s="6" t="n">
        <v>0</v>
      </c>
    </row>
    <row r="17">
      <c r="A17" s="5" t="inlineStr">
        <is>
          <t>DAMAGE_AMP %</t>
        </is>
      </c>
      <c r="B17" s="6" t="n">
        <v>0</v>
      </c>
    </row>
    <row r="18">
      <c r="A18" s="5" t="inlineStr">
        <is>
          <t>BASIC_ATTACK_DAMAGE %</t>
        </is>
      </c>
      <c r="B18" s="6" t="n">
        <v>0</v>
      </c>
    </row>
    <row r="19">
      <c r="A19" s="5" t="inlineStr">
        <is>
          <t>SKILL_DAMAGE %</t>
        </is>
      </c>
      <c r="B19" s="6" t="n">
        <v>0</v>
      </c>
    </row>
    <row r="20">
      <c r="A20" s="5" t="inlineStr">
        <is>
          <t>DEF_PEN %</t>
        </is>
      </c>
      <c r="B20" s="6" t="n">
        <v>0</v>
      </c>
    </row>
    <row r="21">
      <c r="A21" s="5" t="inlineStr">
        <is>
          <t>BOSS_DAMAGE %</t>
        </is>
      </c>
      <c r="B21" s="6" t="n">
        <v>0</v>
      </c>
    </row>
    <row r="22">
      <c r="A22" s="5" t="inlineStr">
        <is>
          <t>NORMAL_DAMAGE %</t>
        </is>
      </c>
      <c r="B22" s="6" t="n">
        <v>0</v>
      </c>
    </row>
    <row r="23">
      <c r="A23" s="5" t="inlineStr">
        <is>
          <t>MIN_DAMAGE %</t>
        </is>
      </c>
      <c r="B23" s="6" t="n">
        <v>100</v>
      </c>
    </row>
    <row r="24">
      <c r="A24" s="5" t="inlineStr">
        <is>
          <t>MAX_DAMAGE %</t>
        </is>
      </c>
      <c r="B24" s="6" t="n">
        <v>100</v>
      </c>
    </row>
    <row r="25">
      <c r="A25" s="5" t="inlineStr">
        <is>
          <t>FINAL_DAMAGE % (base, excludes Infinity/Blood of the Divine)</t>
        </is>
      </c>
      <c r="B25" s="6" t="n">
        <v>0</v>
      </c>
    </row>
    <row r="26">
      <c r="A26" s="5" t="inlineStr">
        <is>
          <t>Skill Level Bonus — 1st Job</t>
        </is>
      </c>
      <c r="B26" s="6" t="n">
        <v>0</v>
      </c>
    </row>
    <row r="27">
      <c r="A27" s="5" t="inlineStr">
        <is>
          <t>Skill Level Bonus — 2nd Job</t>
        </is>
      </c>
      <c r="B27" s="6" t="n">
        <v>0</v>
      </c>
    </row>
    <row r="28">
      <c r="A28" s="5" t="inlineStr">
        <is>
          <t>Skill Level Bonus — 3rd Job</t>
        </is>
      </c>
      <c r="B28" s="6" t="n">
        <v>0</v>
      </c>
    </row>
    <row r="29">
      <c r="A29" s="5" t="inlineStr">
        <is>
          <t>Skill Level Bonus — 4th Job</t>
        </is>
      </c>
      <c r="B29" s="6" t="n">
        <v>0</v>
      </c>
    </row>
    <row r="30">
      <c r="A30" s="5" t="inlineStr">
        <is>
          <t>Skill Level Bonus — All Skills</t>
        </is>
      </c>
      <c r="B30" s="6" t="n">
        <v>0</v>
      </c>
    </row>
    <row r="32">
      <c r="A32" s="7" t="inlineStr">
        <is>
          <t>Additional Bonuses</t>
        </is>
      </c>
    </row>
    <row r="33">
      <c r="A33" s="5" t="inlineStr">
        <is>
          <t>Skill Cooldown Decrease (seconds, only skills/buffs the character actively casts)</t>
        </is>
      </c>
      <c r="B33" s="6" t="n">
        <v>0</v>
      </c>
    </row>
    <row r="34">
      <c r="A34" s="5" t="inlineStr">
        <is>
          <t>Basic Attack Target Increase (flat, adds to the 6-target normal-monster base)</t>
        </is>
      </c>
      <c r="B34" s="6" t="n">
        <v>1</v>
      </c>
    </row>
    <row r="35">
      <c r="A35" s="5" t="inlineStr">
        <is>
          <t>Buff Duration Increase %</t>
        </is>
      </c>
      <c r="B35" s="6" t="n">
        <v>0</v>
      </c>
    </row>
    <row r="36">
      <c r="A36" s="5" t="inlineStr">
        <is>
          <t>Companion Summoning Time Increase % (companions not modeled — always 0 DPS impact)</t>
        </is>
      </c>
      <c r="B36" s="6" t="n">
        <v>0</v>
      </c>
    </row>
    <row r="37">
      <c r="A37" s="5" t="inlineStr">
        <is>
          <t>Boss/Normal Emphasis (used when Content Type is Breakthrough or Hero Dungeon)</t>
        </is>
      </c>
      <c r="B37" s="6" t="inlineStr">
        <is>
          <t>A Little More Normal</t>
        </is>
      </c>
    </row>
    <row r="38">
      <c r="A38" s="5" t="inlineStr">
        <is>
          <t>Max Enemies Actually In Range (normal monsters only; default 999 = uncapped)</t>
        </is>
      </c>
      <c r="B38" s="6" t="n">
        <v>999</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Chapter (parsed from Chapter-Stage) — computed, do not edit</t>
        </is>
      </c>
      <c r="B40" s="8">
        <f>IFERROR(IF(ISNUMBER(FIND("-",Inputs!$B$5)),VALUE(LEFT(Inputs!$B$5,FIND("-",Inputs!$B$5)-1)),VALUE(Inputs!$B$5)),28)</f>
        <v/>
      </c>
    </row>
    <row r="41" hidden="1">
      <c r="A41" s="5" t="inlineStr">
        <is>
          <t>Stage (parsed from Chapter-Stage) — computed, do not edit</t>
        </is>
      </c>
      <c r="B41" s="8">
        <f>IFERROR(IF(ISNUMBER(FIND("-",Inputs!$B$5)),VALUE(MID(Inputs!$B$5,FIND("-",Inputs!$B$5)+1,50)),VALUE(Inputs!$B$5)),9)</f>
        <v/>
      </c>
    </row>
    <row r="42" hidden="1">
      <c r="A42" s="5" t="inlineStr">
        <is>
          <t>Breakthrough Global Stage Index (helper) — computed, do not edit</t>
        </is>
      </c>
      <c r="B42" s="8">
        <f>IF(Inputs!$B$40=28,Inputs!$B$41-9,Inputs!$B$41+14*MAX(0,MIN(Inputs!$B$40-1,38)-28)+19*MAX(0,Inputs!$B$40-39))</f>
        <v/>
      </c>
    </row>
    <row r="43" hidden="1">
      <c r="A43" s="5"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Hunt"),4860+20*Inputs!$B$42,(Inputs!$B$8*(1+(Inputs!$B$9+Summary!$B$60)/100)))))))))</f>
        <v/>
      </c>
    </row>
    <row r="44" hidden="1">
      <c r="A44" s="5"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5" t="inlineStr">
        <is>
          <t>Boss/Normal Weight % (parsed from Boss/Normal Emphasis) — computed, do not edit</t>
        </is>
      </c>
      <c r="B45" s="8">
        <f>IF(Inputs!$B$37="More Normal",70,IF(Inputs!$B$37="A Little More Normal",60,IF(Inputs!$B$37="Equal",50,IF(Inputs!$B$37="A Little More Boss",40,IF(Inputs!$B$37="More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7"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7"/>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HitsPerCast</t>
        </is>
      </c>
      <c r="G1" s="9" t="inlineStr">
        <is>
          <t>ICD(s)</t>
        </is>
      </c>
      <c r="H1" s="9" t="inlineStr">
        <is>
          <t>ActiveWindow(s)</t>
        </is>
      </c>
      <c r="I1" s="9" t="inlineStr">
        <is>
          <t>ProcChance%</t>
        </is>
      </c>
      <c r="J1" s="9" t="inlineStr">
        <is>
          <t>RollsPerCast</t>
        </is>
      </c>
      <c r="K1" s="9" t="inlineStr">
        <is>
          <t>BaseDamage(tenths%)</t>
        </is>
      </c>
      <c r="L1" s="9" t="inlineStr">
        <is>
          <t>FactorIndex</t>
        </is>
      </c>
      <c r="M1" s="9" t="inlineStr">
        <is>
          <t>ScalesWithLevel</t>
        </is>
      </c>
      <c r="N1" s="9" t="inlineStr">
        <is>
          <t>SkillMasteryBonus%</t>
        </is>
      </c>
      <c r="O1" s="9" t="inlineStr">
        <is>
          <t>MasteryBossDamage%</t>
        </is>
      </c>
      <c r="P1" s="9" t="inlineStr">
        <is>
          <t>MasteryNormalDamage%</t>
        </is>
      </c>
      <c r="Q1" s="9" t="inlineStr">
        <is>
          <t>NormalMonsterTargets</t>
        </is>
      </c>
      <c r="R1" s="9" t="inlineStr">
        <is>
          <t>BuffTargetStat</t>
        </is>
      </c>
      <c r="S1" s="9" t="inlineStr">
        <is>
          <t>BuffDuration(s)</t>
        </is>
      </c>
      <c r="T1" s="9" t="inlineStr">
        <is>
          <t>MapleHeroBase(tenths%)</t>
        </is>
      </c>
      <c r="U1" s="9" t="inlineStr">
        <is>
          <t>MapleHeroFactorIndex</t>
        </is>
      </c>
      <c r="V1" s="9" t="inlineStr">
        <is>
          <t>Stacks</t>
        </is>
      </c>
      <c r="W1" s="9" t="inlineStr">
        <is>
          <t>Note</t>
        </is>
      </c>
    </row>
    <row r="2">
      <c r="A2" t="inlineStr">
        <is>
          <t>BIG_BANG</t>
        </is>
      </c>
      <c r="B2" t="inlineStr">
        <is>
          <t>Big Bang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6+Inputs!$B$34</f>
        <v/>
      </c>
      <c r="R2" t="inlineStr"/>
      <c r="S2" t="n">
        <v>0</v>
      </c>
      <c r="T2" t="inlineStr"/>
      <c r="U2" t="inlineStr"/>
      <c r="V2" t="inlineStr"/>
      <c r="W2" t="inlineStr">
        <is>
          <t>4th-job basic-attack effect (supersedes Energy Bolt/Holy Arrow/Shining Ray). HIGH-CONFIDENCE REUSE (not independently reverse-engineered — Bishop has no individual skill wiki pages at all): level-1 text ('290% damage to 6 target(s) 5 time(s)') is word-for-word identical to Ice-Lightning-Mage's own Chain Lightning, so this reuses that exact factorIndex 21/baseDamage 2900 tenths% pair, matching Inputs!skill_coefficient (=290*basic_factor/1000) exactly, same mechanism as every sibling class's own basic-attack row. SkillMasteryBonus% is the 6-tier 'Big Bang - Damage' mastery chain (102/106/116/120/128/132, cumulative totals 10%-&gt;15%, DELTA increments 10 then +1 five times). MasteryBossDamage% is the 2-tier 'Big Bang - Boss Monster Damage' chain (111/124, +10% each, +20% total).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15s duration/30s cooldown (Mastery Lv.21 -30% cooldown -&gt; 21s). factorIndex 21, baseDamage 120 tenths%. Shared verbatim w/ FP-Mage/Ice-Lightning-Mage (identical wiki wording and numbers).</t>
        </is>
      </c>
    </row>
    <row r="4">
      <c r="A4" t="inlineStr">
        <is>
          <t>HEAL</t>
        </is>
      </c>
      <c r="B4" t="inlineStr">
        <is>
          <t>Heal (self Attack%)</t>
        </is>
      </c>
      <c r="C4" t="n">
        <v>2</v>
      </c>
      <c r="D4" t="n">
        <v>18</v>
      </c>
      <c r="E4" t="b">
        <v>1</v>
      </c>
      <c r="F4" t="n">
        <v>1</v>
      </c>
      <c r="G4" t="n">
        <v>0</v>
      </c>
      <c r="H4" t="n">
        <v>0</v>
      </c>
      <c r="I4" t="n">
        <v>100</v>
      </c>
      <c r="J4" t="n">
        <v>1</v>
      </c>
      <c r="K4" t="n">
        <v>100</v>
      </c>
      <c r="L4" t="n">
        <v>21</v>
      </c>
      <c r="M4" t="b">
        <v>1</v>
      </c>
      <c r="N4">
        <f>SUMPRODUCT((Inputs!$B$3&gt;={54})*{8})</f>
        <v/>
      </c>
      <c r="O4" t="n">
        <v>0</v>
      </c>
      <c r="P4" t="n">
        <v>0</v>
      </c>
      <c r="Q4" t="n">
        <v>1</v>
      </c>
      <c r="R4" t="inlineStr">
        <is>
          <t>ATTACK</t>
        </is>
      </c>
      <c r="S4">
        <f>IF(Inputs!$B$3&gt;=39,10*1.5,10)</f>
        <v/>
      </c>
      <c r="T4" t="inlineStr"/>
      <c r="U4" t="inlineStr"/>
      <c r="V4" t="inlineStr"/>
      <c r="W4" t="inlineStr">
        <is>
          <t>CONFIRMED (2-point curve match, ~0% residual): factorIndex 21, baseDamage 100 tenths% (10% level-1, 14.4% at level 111 per real in-game data). Heal's own HP-recovery component is entirely out of scope (no HP tracking anywhere in this calculator). The conditional '+10% Attack while target HP&gt;=70%' component is modeled always-on (steady-state 'healthy' assumption, same tier as Ice-Lightning-Mage's always-5-Frost-stacks convention). Self-inclusive ('allied players' — matches Meditation's own established self-inclusive precedent in FP-Mage/Ice-Lightning-Mage). Duration 10s (Mastery Lv.39 'Heal - Persistence' +50% -&gt; 15s), cooldown 18s. SkillMasteryBonus% is the SEPARATE, sourced Mastery Lv.54 'Heal - Attack' (+8% Attack when the caster's OWN HP&gt;=50%) — a distinct mastery from the base skill's own conditional effect, also modeled always-on under the same 100%-HP assumption.</t>
        </is>
      </c>
    </row>
    <row r="5">
      <c r="A5" t="inlineStr">
        <is>
          <t>BLESS</t>
        </is>
      </c>
      <c r="B5" t="inlineStr">
        <is>
          <t>Bless</t>
        </is>
      </c>
      <c r="C5" t="n">
        <v>2</v>
      </c>
      <c r="D5" t="n">
        <v>24</v>
      </c>
      <c r="E5" t="b">
        <v>1</v>
      </c>
      <c r="F5" t="n">
        <v>1</v>
      </c>
      <c r="G5" t="n">
        <v>0</v>
      </c>
      <c r="H5" t="n">
        <v>0</v>
      </c>
      <c r="I5" t="n">
        <v>100</v>
      </c>
      <c r="J5" t="n">
        <v>1</v>
      </c>
      <c r="K5" t="n">
        <v>160</v>
      </c>
      <c r="L5" t="n">
        <v>21</v>
      </c>
      <c r="M5" t="b">
        <v>1</v>
      </c>
      <c r="N5" t="n">
        <v>0</v>
      </c>
      <c r="O5" t="n">
        <v>0</v>
      </c>
      <c r="P5" t="n">
        <v>0</v>
      </c>
      <c r="Q5" t="n">
        <v>1</v>
      </c>
      <c r="R5" t="inlineStr">
        <is>
          <t>ATTACK</t>
        </is>
      </c>
      <c r="S5">
        <f>IF(Inputs!$B$3&gt;=44,15*1.3,15)</f>
        <v/>
      </c>
      <c r="T5" t="inlineStr"/>
      <c r="U5" t="inlineStr"/>
      <c r="V5" t="inlineStr"/>
      <c r="W5" t="inlineStr">
        <is>
          <t>CONFIRMED (2-point curve match, ~0% residual): factorIndex 21, baseDamage 160 tenths% (16% level-1, 23.1% at level 111 per real in-game data). Bishop's own Meditation-equivalent (near-identical wording: 'Increases the Attack of allied players by 16% for 15 sec'), self-inclusive. Duration 15s (Mastery Lv.44 'Bless - Persistence' +30% -&gt; 19.5s), cooldown 24s.</t>
        </is>
      </c>
    </row>
    <row r="6">
      <c r="A6" t="inlineStr">
        <is>
          <t>ANGEL_RAY</t>
        </is>
      </c>
      <c r="B6" t="inlineStr">
        <is>
          <t>Angel Ray</t>
        </is>
      </c>
      <c r="C6" t="n">
        <v>4</v>
      </c>
      <c r="D6" t="n">
        <v>17</v>
      </c>
      <c r="E6" t="b">
        <v>1</v>
      </c>
      <c r="F6" t="n">
        <v>6</v>
      </c>
      <c r="G6" t="n">
        <v>0</v>
      </c>
      <c r="H6" t="n">
        <v>0</v>
      </c>
      <c r="I6" t="n">
        <v>100</v>
      </c>
      <c r="J6" t="n">
        <v>1</v>
      </c>
      <c r="K6" t="n">
        <v>6800</v>
      </c>
      <c r="L6" t="n">
        <v>12</v>
      </c>
      <c r="M6" t="b">
        <v>1</v>
      </c>
      <c r="N6">
        <f>SUMPRODUCT((Inputs!$B$3&gt;={108})*{50})</f>
        <v/>
      </c>
      <c r="O6" t="n">
        <v>0</v>
      </c>
      <c r="P6" t="n">
        <v>0</v>
      </c>
      <c r="Q6" t="n">
        <v>1</v>
      </c>
      <c r="R6" t="inlineStr"/>
      <c r="S6" t="n">
        <v>0</v>
      </c>
      <c r="T6" t="inlineStr"/>
      <c r="U6" t="inlineStr"/>
      <c r="V6" t="inlineStr"/>
      <c r="W6" t="inlineStr">
        <is>
          <t>CONFIRMED (2-point curve match, ~0% residual): factorIndex 12, baseDamage 6800 tenths% (680% level-1, 1298.8% at level 182 per real in-game data). Wiki: 'Attacks the target with a holy sword 3 times to deal 680% damage 2 time(s) each' — read as 6 total hits (3 strikes x 2), single-target (no target count given, stun not modeled). Cooldown 17s. Mastery Lv.108 'Angel Ray - Damage' +50% (real SkillMasteryBonus%, separate from the Lv.122 Boss Monster Damage proc mastery).</t>
        </is>
      </c>
    </row>
    <row r="7">
      <c r="A7" t="inlineStr">
        <is>
          <t>ANGEL_RAY_BOSS_PROC</t>
        </is>
      </c>
      <c r="B7" t="inlineStr">
        <is>
          <t>Angel Ray - Boss Monster Damage (Mastery Lv.122)</t>
        </is>
      </c>
      <c r="C7" t="n">
        <v>4</v>
      </c>
      <c r="D7">
        <f>Skills!D6</f>
        <v/>
      </c>
      <c r="E7" t="b">
        <v>0</v>
      </c>
      <c r="F7" t="n">
        <v>1</v>
      </c>
      <c r="G7" t="n">
        <v>0</v>
      </c>
      <c r="H7" t="n">
        <v>0</v>
      </c>
      <c r="I7" t="n">
        <v>100</v>
      </c>
      <c r="J7" t="n">
        <v>1</v>
      </c>
      <c r="K7" t="n">
        <v>6800</v>
      </c>
      <c r="L7" t="n">
        <v>12</v>
      </c>
      <c r="M7" t="b">
        <v>1</v>
      </c>
      <c r="N7" t="n">
        <v>0</v>
      </c>
      <c r="O7" t="n">
        <v>0</v>
      </c>
      <c r="P7" t="n">
        <v>0</v>
      </c>
      <c r="Q7" t="n">
        <v>1</v>
      </c>
      <c r="R7" t="inlineStr"/>
      <c r="S7" t="n">
        <v>0</v>
      </c>
      <c r="T7" t="inlineStr"/>
      <c r="U7" t="inlineStr"/>
      <c r="V7" t="inlineStr"/>
      <c r="W7" t="inlineStr">
        <is>
          <t>FLAGGED ASSUMPTION: factorIndex 12 (same as its parent), baseDamage 6800 tenths% (matches the mastery's own stated 680%, which the wiki confirms 'increases with Angel Ray skill level' — i.e. it scales, not a flat bonus). Standalone proc row mirroring Ice-Lightning-Mage's Blizzard - Final Attack precedent: shares Angel Ray's own live Cooldown(s) cell. Unconditional on a boss hit (not a percentage roll — the wiki's own wording is 'when hitting a boss monster', no chance given), so ProcChance%=100 here is a placeholder; the boss-only condition is applied directly in this row's own bespoke Calc!O formula via (1-Inputs!normal_weight_frac) instead of the generic target-multiplier, since it must be 1 for boss AND pvp (both single-target) but 0 for pure normal-monster fights.</t>
        </is>
      </c>
    </row>
    <row r="8">
      <c r="A8" t="inlineStr">
        <is>
          <t>GENESIS</t>
        </is>
      </c>
      <c r="B8" t="inlineStr">
        <is>
          <t>Genesis</t>
        </is>
      </c>
      <c r="C8" t="n">
        <v>4</v>
      </c>
      <c r="D8">
        <f>IF(Inputs!$B$3&gt;=126,23*0.7,23)</f>
        <v/>
      </c>
      <c r="E8" t="b">
        <v>1</v>
      </c>
      <c r="F8" t="n">
        <v>6</v>
      </c>
      <c r="G8" t="n">
        <v>0</v>
      </c>
      <c r="H8" t="n">
        <v>0</v>
      </c>
      <c r="I8" t="n">
        <v>100</v>
      </c>
      <c r="J8" t="n">
        <v>1</v>
      </c>
      <c r="K8" t="n">
        <v>7000</v>
      </c>
      <c r="L8" t="n">
        <v>12</v>
      </c>
      <c r="M8" t="b">
        <v>1</v>
      </c>
      <c r="N8">
        <f>SUMPRODUCT((Inputs!$B$3&gt;={118})*{50})</f>
        <v/>
      </c>
      <c r="O8" t="n">
        <v>0</v>
      </c>
      <c r="P8" t="n">
        <v>0</v>
      </c>
      <c r="Q8" t="n">
        <v>10</v>
      </c>
      <c r="R8" t="inlineStr"/>
      <c r="S8" t="n">
        <v>0</v>
      </c>
      <c r="T8" t="inlineStr"/>
      <c r="U8" t="inlineStr"/>
      <c r="V8" t="inlineStr"/>
      <c r="W8" t="inlineStr">
        <is>
          <t>CONFIRMED (2-point curve match, ~0% residual): factorIndex 12, baseDamage 7000 tenths% (700% level-1, 1337% at level 182 per real in-game data). Wiki: 'Drops a pillar of holy light on 10 nearby target(s) to deal 700% damage 6 time(s)' — burst, not a DoT (no duration/tick-interval given). Cooldown 23s. Mastery Lv.118 'Genesis - Damage' +50% (real SkillMasteryBonus%), Lv.126 'Genesis - Reuse' -30% cooldown (baked into the Cooldown(s) formula).</t>
        </is>
      </c>
    </row>
    <row r="9">
      <c r="A9" t="inlineStr">
        <is>
          <t>BAHAMUT</t>
        </is>
      </c>
      <c r="B9" t="inlineStr">
        <is>
          <t>Bahamut</t>
        </is>
      </c>
      <c r="C9" t="n">
        <v>4</v>
      </c>
      <c r="D9">
        <f>IF(Inputs!$B$3&gt;=138,80*0.7,80)</f>
        <v/>
      </c>
      <c r="E9" t="b">
        <v>1</v>
      </c>
      <c r="F9" t="n">
        <v>1</v>
      </c>
      <c r="G9" t="n">
        <v>4</v>
      </c>
      <c r="H9" t="n">
        <v>30</v>
      </c>
      <c r="I9" t="n">
        <v>100</v>
      </c>
      <c r="J9" t="n">
        <v>1</v>
      </c>
      <c r="K9" t="n">
        <v>35000</v>
      </c>
      <c r="L9" t="n">
        <v>12</v>
      </c>
      <c r="M9" t="b">
        <v>1</v>
      </c>
      <c r="N9">
        <f>SUMPRODUCT((Inputs!$B$3&gt;={130})*{50})</f>
        <v/>
      </c>
      <c r="O9" t="n">
        <v>0</v>
      </c>
      <c r="P9" t="n">
        <v>0</v>
      </c>
      <c r="Q9">
        <f>IF(Inputs!$B$3&gt;=130,6,3)</f>
        <v/>
      </c>
      <c r="R9" t="inlineStr"/>
      <c r="S9" t="n">
        <v>0</v>
      </c>
      <c r="T9" t="inlineStr"/>
      <c r="U9" t="inlineStr"/>
      <c r="V9" t="inlineStr"/>
      <c r="W9" t="inlineStr">
        <is>
          <t>HIGH-CONFIDENCE REUSE (see BIG_BANG's own note on the data-gap situation): level-1 text ('3500% damage every 4 sec to 3 target(s)... 30 sec... 80 sec cooldown') is word-for-word identical to Ice-Lightning-Mage's own Elquines, so this reuses that exact factorIndex 12/baseDamage 35000 tenths% pair. Mastery Lv.130 'Bahamut - Damage &amp; Target' +50% dmg AND +3 max targets (3-&gt;6, baked into the NormalMonsterTargets formula), Lv.138 'Bahamut - Reuse' -30% cooldown.</t>
        </is>
      </c>
    </row>
    <row r="10">
      <c r="A10" t="inlineStr">
        <is>
          <t>HOLY_FOUNTAIN</t>
        </is>
      </c>
      <c r="B10" t="inlineStr">
        <is>
          <t>Holy Fountain (Boss Dmg mastery only)</t>
        </is>
      </c>
      <c r="C10" t="n">
        <v>3</v>
      </c>
      <c r="D10" t="n">
        <v>30</v>
      </c>
      <c r="E10" t="b">
        <v>1</v>
      </c>
      <c r="F10" t="n">
        <v>1</v>
      </c>
      <c r="G10" t="n">
        <v>0</v>
      </c>
      <c r="H10" t="n">
        <v>0</v>
      </c>
      <c r="I10" t="n">
        <v>100</v>
      </c>
      <c r="J10" t="n">
        <v>1</v>
      </c>
      <c r="K10" t="inlineStr"/>
      <c r="L10" t="inlineStr"/>
      <c r="M10" t="b">
        <v>0</v>
      </c>
      <c r="N10" t="n">
        <v>0</v>
      </c>
      <c r="O10" t="n">
        <v>0</v>
      </c>
      <c r="P10" t="n">
        <v>0</v>
      </c>
      <c r="Q10" t="n">
        <v>1</v>
      </c>
      <c r="R10" t="inlineStr"/>
      <c r="S10" t="n">
        <v>0</v>
      </c>
      <c r="T10" t="inlineStr"/>
      <c r="U10" t="inlineStr"/>
      <c r="V10" t="inlineStr"/>
      <c r="W10" t="inlineStr">
        <is>
          <t>Holy Fountain's own base skill is pure HP recovery — entirely out of scope (no HP tracking anywhere in this calculator), so this row carries no BaseDamage/FactorIndex of its own; it exists only to hold a live Cooldown(s) cell (patched 40s-&gt;30s per the Aug 13 2026 patch note — the wiki page itself is stale) for Mastery Lv.68's own duty-cycle uptime reference (see build_summary_sheet) and to participate correctly in the cast-rate action-economy sum (CostsActionSlot=True). Mastery Lv.68 'Holy Fountain - Boss Monster Damage' (patched 10%-&gt;20%, confirmed in the Aug 13 2026 patch PDF) is a flat, non-scaling bonus (matches every other '-Boss Monster Damage' mastery elsewhere in this project, which are all flat level_gated_sum values, not factor-curve-scaled) — modeled as a duty-cycle-averaged self Boss Monster Damage buff tied to this row's own cooldown, mirroring Ice-Lightning-Mage's Freezing Breath - Weaken treatment exactly.</t>
        </is>
      </c>
    </row>
    <row r="11">
      <c r="A11" t="inlineStr">
        <is>
          <t>HOLY_MAGIC_SHELL</t>
        </is>
      </c>
      <c r="B11" t="inlineStr">
        <is>
          <t>Holy Magic Shell (self Attack%)</t>
        </is>
      </c>
      <c r="C11" t="n">
        <v>3</v>
      </c>
      <c r="D11" t="n">
        <v>27</v>
      </c>
      <c r="E11" t="b">
        <v>1</v>
      </c>
      <c r="F11" t="n">
        <v>1</v>
      </c>
      <c r="G11" t="n">
        <v>0</v>
      </c>
      <c r="H11" t="n">
        <v>0</v>
      </c>
      <c r="I11" t="n">
        <v>100</v>
      </c>
      <c r="J11" t="n">
        <v>1</v>
      </c>
      <c r="K11" t="n">
        <v>150</v>
      </c>
      <c r="L11" t="n">
        <v>21</v>
      </c>
      <c r="M11" t="b">
        <v>1</v>
      </c>
      <c r="N11" t="n">
        <v>0</v>
      </c>
      <c r="O11" t="n">
        <v>0</v>
      </c>
      <c r="P11" t="n">
        <v>0</v>
      </c>
      <c r="Q11" t="n">
        <v>1</v>
      </c>
      <c r="R11" t="inlineStr">
        <is>
          <t>ATTACK</t>
        </is>
      </c>
      <c r="S11" t="n">
        <v>22</v>
      </c>
      <c r="T11" t="inlineStr"/>
      <c r="U11" t="inlineStr"/>
      <c r="V11" t="inlineStr"/>
      <c r="W11" t="inlineStr">
        <is>
          <t>CONFIRMED (2-point curve match, ~0% residual): factorIndex 21, baseDamage 150 tenths% (15% level-1, 26.5% at level 192 per real in-game data). Wiki: 'Increases Attack by 15%... decreases damage taken by allied players by 5%' — the damage-taken reduction is defensive, out of scope (same exclusion precedent as Ice-Lightning-Mage's Frozen Break -5%-damage-taken note). Attack component modeled like Magic Guard, self-inclusive. Duration 22s, cooldown 27s. Mastery Lv.82 'Purification' (removes 1 debuff) not modeled — no debuff mechanic exists anywhere in this calculator.</t>
        </is>
      </c>
    </row>
    <row r="12">
      <c r="A12" t="inlineStr">
        <is>
          <t>HOLY_SYMBOL</t>
        </is>
      </c>
      <c r="B12" t="inlineStr">
        <is>
          <t>Holy Symbol</t>
        </is>
      </c>
      <c r="C12" t="n">
        <v>3</v>
      </c>
      <c r="D12" t="n">
        <v>28</v>
      </c>
      <c r="E12" t="b">
        <v>0</v>
      </c>
      <c r="F12" t="n">
        <v>1</v>
      </c>
      <c r="G12" t="n">
        <v>0</v>
      </c>
      <c r="H12" t="n">
        <v>0</v>
      </c>
      <c r="I12" t="n">
        <v>100</v>
      </c>
      <c r="J12" t="n">
        <v>1</v>
      </c>
      <c r="K12" t="n">
        <v>150</v>
      </c>
      <c r="L12" t="n">
        <v>22</v>
      </c>
      <c r="M12" t="b">
        <v>1</v>
      </c>
      <c r="N12" t="n">
        <v>0</v>
      </c>
      <c r="O12">
        <f>SUMPRODUCT((Inputs!$B$3&gt;={90})*{25})</f>
        <v/>
      </c>
      <c r="P12" t="n">
        <v>0</v>
      </c>
      <c r="Q12" t="n">
        <v>1</v>
      </c>
      <c r="R12" t="inlineStr"/>
      <c r="S12">
        <f>IF(Inputs!$B$3&gt;=98,14*1.5,14)</f>
        <v/>
      </c>
      <c r="T12" t="inlineStr"/>
      <c r="U12" t="inlineStr"/>
      <c r="V12" t="inlineStr"/>
      <c r="W12" t="inlineStr">
        <is>
          <t>CONFIRMED (2-point curve match, ~0% residual): factorIndex 22, baseDamage 150 tenths% (15% level-1, 23.6% at level 192 per real in-game data). Wiki: 'Increases allied players' Normal Monster Damage by 15%... every 28 sec' — auto-triggering passive, not player-cast (CostsActionSlot=False). Duration 14s (Mastery Lv.98 'Holy Symbol - Persistence' +50% -&gt; 21s). This row's own F-value feeds a duty-cycle-averaged bespoke Normal-Monster-only global bonus in build_summary_sheet (a new R_NORMAL_DMG_BONUS slot, structurally the normal-monster-only mirror of R_MONSTER_DMG_BONUS/Freezing Breath - Weaken), NOT the generic BuffTargetStat mechanism (left blank here since NM-only doesn't map onto any existing generic target). Debuff Tolerance component not modeled (no debuff mechanic exists). MasteryBossDamage% here holds Mastery Lv.90 'Holy Symbol - Damage Boost' (+25% flat Damage% if allied players excluding self &lt;=2) — ALWAYS TRUE for a solo player, so this becomes an unconditional flat Damage% bonus once unlocked, folded into the same Summary R_DAMAGE_BONUS-style slot Ice-Lightning-Mage's Frozen Break/Frost Clutch use (NOT consumed as MasteryBossDamage% normally would be — this row isn't a DAMAGE_ROW_KEYS row at all, so that field is otherwise unused here, safe to reuse purely as storage. Deliberately NOT stored in SkillMasteryBonus% — that field IS consumed unconditionally by the generic F-column formula for every row, which would have silently contaminated this row's own F-value (also legitimately used above for the Normal Monster Damage bonus calculation) — caught via the categorical monster_type sweep, not by the default-boss verification alone.</t>
        </is>
      </c>
    </row>
    <row r="13">
      <c r="A13" t="inlineStr">
        <is>
          <t>DIVINE_PROTECTION</t>
        </is>
      </c>
      <c r="B13" t="inlineStr">
        <is>
          <t>Divine Protection (self Defense%)</t>
        </is>
      </c>
      <c r="C13" t="n">
        <v>3</v>
      </c>
      <c r="D13" t="n">
        <v>20</v>
      </c>
      <c r="E13" t="b">
        <v>0</v>
      </c>
      <c r="F13" t="n">
        <v>1</v>
      </c>
      <c r="G13" t="n">
        <v>0</v>
      </c>
      <c r="H13" t="n">
        <v>0</v>
      </c>
      <c r="I13" t="n">
        <v>100</v>
      </c>
      <c r="J13" t="n">
        <v>1</v>
      </c>
      <c r="K13" t="n">
        <v>250</v>
      </c>
      <c r="L13" t="n">
        <v>22</v>
      </c>
      <c r="M13" t="b">
        <v>1</v>
      </c>
      <c r="N13" t="n">
        <v>0</v>
      </c>
      <c r="O13" t="n">
        <v>0</v>
      </c>
      <c r="P13" t="n">
        <v>0</v>
      </c>
      <c r="Q13" t="n">
        <v>1</v>
      </c>
      <c r="R13" t="inlineStr"/>
      <c r="S13" t="n">
        <v>15</v>
      </c>
      <c r="T13" t="inlineStr"/>
      <c r="U13" t="inlineStr"/>
      <c r="V13" t="inlineStr"/>
      <c r="W13" t="inlineStr">
        <is>
          <t>FLAGGED ASSUMPTION (only the level-1 value is confirmed so far — no second data point yet for this specific skill): factorIndex 22 (buff/passive convention), baseDamage 250 tenths% (25% level-1). Confirmed real via the wiki (this skill and its own page didn't exist the first time this class was reverse-engineered): 'At the start of the battle activates a holy barrier to increase Defense by 25% for 15 sec and become immune to debuffs for 2 sec. Activates every 20 sec thereafter.' Auto-triggering, not player-cast (CostsActionSlot=False); Cooldown(s)=20 here holds the trigger interval. Debuff immunity is out of scope (no debuff mechanic exists). Duty-cycle-averaged (like Holy Symbol) into a bespoke Defense%-bonus bucket (Summary!DIVINE_PROTECTION_BONUS) that's added directly to Inputs!defense_pct wherever total Defense is computed (see effective_defense_pct_expr) — feeds both Invincible's own Defense-&gt;INT conversion and the PvP opponent-Defense estimate. BuffTargetStat left blank since 'Defense %' isn't one of the existing generic BuffTargetStat options.</t>
        </is>
      </c>
    </row>
    <row r="14">
      <c r="A14" t="inlineStr">
        <is>
          <t>ADVANCED_BLESSING</t>
        </is>
      </c>
      <c r="B14" t="inlineStr">
        <is>
          <t>Advanced Blessing</t>
        </is>
      </c>
      <c r="C14" t="n">
        <v>4</v>
      </c>
      <c r="D14" t="n">
        <v>26</v>
      </c>
      <c r="E14" t="b">
        <v>1</v>
      </c>
      <c r="F14" t="n">
        <v>1</v>
      </c>
      <c r="G14" t="n">
        <v>0</v>
      </c>
      <c r="H14" t="n">
        <v>0</v>
      </c>
      <c r="I14" t="n">
        <v>100</v>
      </c>
      <c r="J14" t="n">
        <v>1</v>
      </c>
      <c r="K14" t="n">
        <v>70</v>
      </c>
      <c r="L14" t="n">
        <v>21</v>
      </c>
      <c r="M14" t="b">
        <v>1</v>
      </c>
      <c r="N14">
        <f>SUMPRODUCT((Inputs!$B$3&gt;={113})*{4})</f>
        <v/>
      </c>
      <c r="O14" t="n">
        <v>0</v>
      </c>
      <c r="P14" t="n">
        <v>0</v>
      </c>
      <c r="Q14" t="n">
        <v>1</v>
      </c>
      <c r="R14" t="inlineStr">
        <is>
          <t>FINAL_DAMAGE</t>
        </is>
      </c>
      <c r="S14" t="n">
        <v>20</v>
      </c>
      <c r="T14" t="inlineStr"/>
      <c r="U14" t="inlineStr"/>
      <c r="V14" t="inlineStr"/>
      <c r="W14" t="inlineStr">
        <is>
          <t>CONFIRMED (2-point curve match, ~0.8% residual): factorIndex 21, baseDamage 70 tenths% (7% level-1, 12% at level 182 per real in-game data). Wiki: 'Increases Final Damage of allied players by 7%... decreases their MP Cost by 7%' — MP-cost reduction out of scope (MP not tracked). Self-inclusive, FINAL_DAMAGE target (joins the Average Buff Multiplier chain in Summary alongside Magic Guard/Heal/Bless/Holy Magic Shell/Infinity). Duration 20s, cooldown 26s. Mastery Lv.113 '+4% Final Damage while MP&gt;=50%' modeled always-on (MP-condition-ignored, same decision as MP Eater/Element Amplification) — folded additively into this row's own SkillMasteryBonus%.</t>
        </is>
      </c>
    </row>
    <row r="15">
      <c r="A15" t="inlineStr">
        <is>
          <t>TRIUMPH_FEATHER</t>
        </is>
      </c>
      <c r="B15" t="inlineStr">
        <is>
          <t>Triumph Feather</t>
        </is>
      </c>
      <c r="C15" t="n">
        <v>3</v>
      </c>
      <c r="D15" t="inlineStr"/>
      <c r="E15" t="b">
        <v>0</v>
      </c>
      <c r="F15">
        <f>IF(Inputs!$B$3&gt;=104,3,2)</f>
        <v/>
      </c>
      <c r="G15" t="n">
        <v>1</v>
      </c>
      <c r="H15" t="n">
        <v>0</v>
      </c>
      <c r="I15" t="n">
        <v>35</v>
      </c>
      <c r="J15" t="n">
        <v>1</v>
      </c>
      <c r="K15" t="n">
        <v>1500</v>
      </c>
      <c r="L15" t="n">
        <v>21</v>
      </c>
      <c r="M15" t="b">
        <v>1</v>
      </c>
      <c r="N15">
        <f>SUMPRODUCT((Inputs!$B$3&gt;={73})*{50})</f>
        <v/>
      </c>
      <c r="O15" t="n">
        <v>0</v>
      </c>
      <c r="P15" t="n">
        <v>0</v>
      </c>
      <c r="Q15">
        <f>IF(Inputs!$B$3&gt;=94,7,1)</f>
        <v/>
      </c>
      <c r="R15" t="inlineStr"/>
      <c r="S15" t="n">
        <v>0</v>
      </c>
      <c r="T15" t="inlineStr"/>
      <c r="U15" t="inlineStr"/>
      <c r="V15" t="inlineStr"/>
      <c r="W15" t="inlineStr">
        <is>
          <t>CONFIRMED (2-point curve match, ~0% residual): factorIndex 21, baseDamage 1500 tenths% (150% level-1, 265.2% at level 192 per real in-game data). Genuinely new 2-stage-proc mechanic: wiki says 'When attacking, harnesses the power of the angel for 10 sec with a 15% chance [Mastery Lv.78 +10%p -&gt; 25%]. While harnessing, 35% chance/attack to create angel feathers dealing 150% additional damage 2 time(s), 1s ICD per target (treated as a single global ICD in this per-second-DPS model, not per-target).' Modeled as: this row's own ProcChance%=35 is stage 2's chance; stage 1's own steady-state busy-fraction (chance 15%/25%, duration 10s, driven by the character's own attack rate) is computed in build_calc_sheet as a bespoke multiplier on this row's own Calc!O formula, mirroring the queueing-rate approximation FP-Mage's own Meteor Proc uses — NOT the generic H-column ProcProbability-only pattern every other row uses, since this needs BOTH stages combined. Mastery Lv.73 +50% dmg (real SkillMasteryBonus%), Lv.94 'Harnessing' removes the 1s-per-target activation limit and spreads to 7 random targets (modeled here purely as the already-uncapped ICD assumption plus NormalMonsterTargets 1-&gt;7 — the ICD-removal itself is a known simplification, effectively a no-op under the already-global-ICD treatment, flagged as a known simplification), Lv.104 'Triumph Feather - Strike' +1 hit count (2-&gt;3, baked into the HitsPerCast formula — same convention as every other Strike+1 mastery elsewhere in this project). Maple Hero (Bishop's own, different mechanic shape — see MAPLE_HERO_BISHOP row) feeds this row's own Final Damage chain directly, not the generic MapleHeroMultiplier (I) column.</t>
        </is>
      </c>
    </row>
    <row r="16">
      <c r="A16" t="inlineStr">
        <is>
          <t>MAPLE_HERO_BISHOP</t>
        </is>
      </c>
      <c r="B16" t="inlineStr">
        <is>
          <t>Maple Hero</t>
        </is>
      </c>
      <c r="C16" t="n">
        <v>4</v>
      </c>
      <c r="D16" t="inlineStr"/>
      <c r="E16" t="b">
        <v>0</v>
      </c>
      <c r="F16" t="n">
        <v>1</v>
      </c>
      <c r="G16" t="n">
        <v>0</v>
      </c>
      <c r="H16" t="n">
        <v>0</v>
      </c>
      <c r="I16" t="n">
        <v>100</v>
      </c>
      <c r="J16" t="n">
        <v>1</v>
      </c>
      <c r="K16" t="n">
        <v>500</v>
      </c>
      <c r="L16" t="n">
        <v>23</v>
      </c>
      <c r="M16" t="b">
        <v>1</v>
      </c>
      <c r="N16" t="n">
        <v>0</v>
      </c>
      <c r="O16" t="n">
        <v>0</v>
      </c>
      <c r="P16" t="n">
        <v>0</v>
      </c>
      <c r="Q16" t="n">
        <v>1</v>
      </c>
      <c r="R16" t="inlineStr"/>
      <c r="S16" t="n">
        <v>0</v>
      </c>
      <c r="T16" t="inlineStr"/>
      <c r="U16" t="inlineStr"/>
      <c r="V16" t="inlineStr"/>
      <c r="W16" t="inlineStr">
        <is>
          <t>CONFIRMED (2-point curve match, ~0% residual): factorIndex 23 (matches every other class's own Maple Hero factorIndex — now independently verified for Bishop too, not just assumed by convention), baseDamage 500 tenths% (50% level-1, 381% at level 182 per real in-game data). Bishop's own Maple Hero targets Triumph Feather with a DIFFERENT mechanic shape than every other class's Maple Hero: 'Increases Final Damage of [Triumph Feather] by 50%' — a genuine Final-Damage-chain additive term (like Element Amplification), NOT a MapleHeroBase-scaled 'additional damage%' multiplier. No independent DPS row of its own (Calc columns J-N stay blank/0, same 'no independent row' pattern as Night Lord's own Night Lord's Mark) — only D/E/F (its own scaling coefficient) are computed, read directly by Triumph Feather's own Calc!K formula. Also increases HP Recovery of Heal/Holy Fountain (out of scope, no HP tracking).</t>
        </is>
      </c>
    </row>
    <row r="17">
      <c r="A17" t="inlineStr">
        <is>
          <t>MP_EATER_MP_BOOST</t>
        </is>
      </c>
      <c r="B17" t="inlineStr">
        <is>
          <t>MP Eater - MP Boost (Mastery Lv.49)</t>
        </is>
      </c>
      <c r="C17" t="n">
        <v>2</v>
      </c>
      <c r="D17" t="inlineStr"/>
      <c r="E17" t="b">
        <v>0</v>
      </c>
      <c r="F17" t="n">
        <v>1</v>
      </c>
      <c r="G17" t="n">
        <v>0</v>
      </c>
      <c r="H17" t="n">
        <v>0</v>
      </c>
      <c r="I17" t="n">
        <v>100</v>
      </c>
      <c r="J17" t="n">
        <v>1</v>
      </c>
      <c r="K17" t="n">
        <v>70</v>
      </c>
      <c r="L17" t="n">
        <v>0</v>
      </c>
      <c r="M17" t="b">
        <v>0</v>
      </c>
      <c r="N17" t="n">
        <v>0</v>
      </c>
      <c r="O17" t="n">
        <v>0</v>
      </c>
      <c r="P17" t="n">
        <v>0</v>
      </c>
      <c r="Q17" t="n">
        <v>1</v>
      </c>
      <c r="R17" t="inlineStr"/>
      <c r="S17" t="n">
        <v>0</v>
      </c>
      <c r="T17" t="inlineStr"/>
      <c r="U17" t="inlineStr"/>
      <c r="V17" t="inlineStr"/>
      <c r="W17" t="inlineStr">
        <is>
          <t>Shared verbatim w/ FP-Mage/Ice-Lightning-Mage: flat always-on +7% Attack Speed once unlocked (MP&gt;=50%(patched 35%) condition ignored per the always-on decision). Real, always-on contributor (NOT baked into Inputs) — folds into the Attack Speed diminishing-returns stack in Summary once unlocked, no uptime averaging (not a timed buff). FactorIndex is an unused placeholder (ScalesWithLevel=False).</t>
        </is>
      </c>
    </row>
    <row r="18">
      <c r="A18" t="inlineStr">
        <is>
          <t>ELEMENT_AMPLIFICATION</t>
        </is>
      </c>
      <c r="B18" t="inlineStr">
        <is>
          <t>Element Amplification</t>
        </is>
      </c>
      <c r="C18" t="n">
        <v>3</v>
      </c>
      <c r="D18" t="inlineStr"/>
      <c r="E18" t="b">
        <v>0</v>
      </c>
      <c r="F18" t="n">
        <v>1</v>
      </c>
      <c r="G18" t="n">
        <v>0</v>
      </c>
      <c r="H18" t="n">
        <v>0</v>
      </c>
      <c r="I18" t="n">
        <v>100</v>
      </c>
      <c r="J18" t="n">
        <v>1</v>
      </c>
      <c r="K18" t="n">
        <v>150</v>
      </c>
      <c r="L18" t="n">
        <v>22</v>
      </c>
      <c r="M18" t="b">
        <v>1</v>
      </c>
      <c r="N18" t="n">
        <v>0</v>
      </c>
      <c r="O18" t="n">
        <v>0</v>
      </c>
      <c r="P18" t="n">
        <v>0</v>
      </c>
      <c r="Q18" t="n">
        <v>1</v>
      </c>
      <c r="R18" t="inlineStr">
        <is>
          <t>FINAL_DAMAGE</t>
        </is>
      </c>
      <c r="S18" t="n">
        <v>0</v>
      </c>
      <c r="T18" t="inlineStr"/>
      <c r="U18" t="inlineStr"/>
      <c r="V18" t="inlineStr"/>
      <c r="W18" t="inlineStr">
        <is>
          <t>Shared verbatim w/ FP-Mage/Ice-Lightning-Mage: +15%-&gt;24% Final Damage, unconditional (ignore the MP&gt;=50%(patched 35%) condition per the same always-on decision applied everywhere else). Not reflected in Inputs — added directly into the Final Damage chain.</t>
        </is>
      </c>
    </row>
    <row r="19">
      <c r="A19" t="inlineStr">
        <is>
          <t>INFINITY</t>
        </is>
      </c>
      <c r="B19" t="inlineStr">
        <is>
          <t>Infinity</t>
        </is>
      </c>
      <c r="C19" t="n">
        <v>4</v>
      </c>
      <c r="D19" t="n">
        <v>30</v>
      </c>
      <c r="E19" t="b">
        <v>1</v>
      </c>
      <c r="F19" t="n">
        <v>1</v>
      </c>
      <c r="G19" t="n">
        <v>0</v>
      </c>
      <c r="H19" t="n">
        <v>0</v>
      </c>
      <c r="I19" t="n">
        <v>100</v>
      </c>
      <c r="J19" t="n">
        <v>1</v>
      </c>
      <c r="K19" t="n">
        <v>150</v>
      </c>
      <c r="L19" t="n">
        <v>21</v>
      </c>
      <c r="M19" t="b">
        <v>1</v>
      </c>
      <c r="N19" t="n">
        <v>0</v>
      </c>
      <c r="O19" t="n">
        <v>0</v>
      </c>
      <c r="P19" t="n">
        <v>0</v>
      </c>
      <c r="Q19" t="n">
        <v>1</v>
      </c>
      <c r="R19" t="inlineStr">
        <is>
          <t>FINAL_DAMAGE</t>
        </is>
      </c>
      <c r="S19" t="n">
        <v>15</v>
      </c>
      <c r="T19" t="inlineStr"/>
      <c r="U19" t="inlineStr"/>
      <c r="V19" t="inlineStr"/>
      <c r="W19" t="inlineStr">
        <is>
          <t>Shared verbatim w/ Ice-Lightning-Mage: base +15%-&gt;27% Final Damage for 15s, additionally +1%-&gt;1.8%/sec stacking up to 10 times — time-averaged total collapses to base*64/45 exactly (reverse-engineered for Ice-Lightning-Mage, identical wiki wording here). This row's own Calc!F needs the same bespoke base*64/45 formula in build_calc_sheet as every other class's Infinity, not the generic F-column formula.</t>
        </is>
      </c>
    </row>
    <row r="20">
      <c r="A20" t="inlineStr">
        <is>
          <t>BLOOD_OF_THE_DIVINE</t>
        </is>
      </c>
      <c r="B20" t="inlineStr">
        <is>
          <t>Blood of the Divine</t>
        </is>
      </c>
      <c r="C20" t="n">
        <v>4</v>
      </c>
      <c r="D20" t="inlineStr"/>
      <c r="E20" t="b">
        <v>0</v>
      </c>
      <c r="F20" t="n">
        <v>1</v>
      </c>
      <c r="G20" t="n">
        <v>0</v>
      </c>
      <c r="H20" t="n">
        <v>0</v>
      </c>
      <c r="I20" t="n">
        <v>100</v>
      </c>
      <c r="J20" t="n">
        <v>1</v>
      </c>
      <c r="K20" t="n">
        <v>50</v>
      </c>
      <c r="L20" t="n">
        <v>22</v>
      </c>
      <c r="M20" t="b">
        <v>1</v>
      </c>
      <c r="N20" t="n">
        <v>0</v>
      </c>
      <c r="O20" t="n">
        <v>0</v>
      </c>
      <c r="P20" t="n">
        <v>0</v>
      </c>
      <c r="Q20" t="n">
        <v>1</v>
      </c>
      <c r="R20" t="inlineStr"/>
      <c r="S20" t="n">
        <v>0</v>
      </c>
      <c r="T20" t="inlineStr"/>
      <c r="U20" t="inlineStr"/>
      <c r="V20" t="inlineStr"/>
      <c r="W20" t="inlineStr">
        <is>
          <t>CONFIRMED for the Final Damage component (2-point curve match, ~0.4% residual): factorIndex 22, baseDamage 50 tenths% (5% level-1, 7.7% at level 182 per real in-game data — the Final Damage component). HP-scaling passive — HP isn't tracked anywhere in this calculator, so modeled assuming permanently 100% HP (steady-state favorable assumption, same tier as Ice-Lightning-Mage's always-5-Frost-stacks convention). Wiki: 'Increases Final Damage by 5%. For every 10% of current HP increases Critical Damage by 2%' -&gt; at 100% HP, +20% Crit Damage, modeled as 4x this row's own F-value (preserving the level-1 5%FD:20%CD ratio across the same factor curve, a further simplification since no separate curve data exists for the Crit Damage component) — feeds a new Summary R_CRIT_DAMAGE_BONUS slot (mirrors Night Lord's own R_CRIT_DAMAGE_BONUS for Frailty Curse). Final Damage component feeds the Final Damage chain directly (like Element Amplification). Mastery Lv.134 '+1.5% Attack Speed per 10% HP' -&gt; flat +15% Attack Speed at 100% HP, modeled as a FLAT non-scaling addition (matches how masteries are typically flat elsewhere in this project, independent of this row's own F-value) once level&gt;=134, folded into the same always-on AS_BONUS slot MP_EATER_MP_BOOST feeds.</t>
        </is>
      </c>
    </row>
    <row r="21">
      <c r="A21" t="inlineStr">
        <is>
          <t>MAGIC_ACCELERATION</t>
        </is>
      </c>
      <c r="B21" t="inlineStr">
        <is>
          <t>Magic Acceleration</t>
        </is>
      </c>
      <c r="C21" t="n">
        <v>2</v>
      </c>
      <c r="D21" t="inlineStr"/>
      <c r="E21" t="b">
        <v>0</v>
      </c>
      <c r="F21" t="n">
        <v>1</v>
      </c>
      <c r="G21" t="n">
        <v>0</v>
      </c>
      <c r="H21" t="n">
        <v>0</v>
      </c>
      <c r="I21" t="n">
        <v>100</v>
      </c>
      <c r="J21" t="n">
        <v>1</v>
      </c>
      <c r="K21" t="n">
        <v>50</v>
      </c>
      <c r="L21" t="n">
        <v>22</v>
      </c>
      <c r="M21" t="b">
        <v>1</v>
      </c>
      <c r="N21" t="n">
        <v>0</v>
      </c>
      <c r="O21" t="n">
        <v>0</v>
      </c>
      <c r="P21" t="n">
        <v>0</v>
      </c>
      <c r="Q21" t="n">
        <v>1</v>
      </c>
      <c r="R21" t="inlineStr">
        <is>
          <t>ATTACK_SPEED</t>
        </is>
      </c>
      <c r="S21" t="n">
        <v>0</v>
      </c>
      <c r="T21" t="inlineStr"/>
      <c r="U21" t="inlineStr"/>
      <c r="V21" t="inlineStr"/>
      <c r="W21" t="inlineStr">
        <is>
          <t>Shared verbatim w/ FP-Mage/Ice-Lightning-Mage: Magic Critical pattern, already baked into Inputs!ATTACK_SPEED%; feeds the 2nd-Job Skill Level Bonus Sensitivity delta only.</t>
        </is>
      </c>
    </row>
    <row r="22">
      <c r="A22" t="inlineStr">
        <is>
          <t>SPELL_MASTERY</t>
        </is>
      </c>
      <c r="B22" t="inlineStr">
        <is>
          <t>Spell Mastery</t>
        </is>
      </c>
      <c r="C22" t="n">
        <v>2</v>
      </c>
      <c r="D22" t="inlineStr"/>
      <c r="E22" t="b">
        <v>0</v>
      </c>
      <c r="F22" t="n">
        <v>1</v>
      </c>
      <c r="G22" t="n">
        <v>0</v>
      </c>
      <c r="H22" t="n">
        <v>0</v>
      </c>
      <c r="I22" t="n">
        <v>100</v>
      </c>
      <c r="J22" t="n">
        <v>1</v>
      </c>
      <c r="K22" t="n">
        <v>150</v>
      </c>
      <c r="L22" t="n">
        <v>22</v>
      </c>
      <c r="M22" t="b">
        <v>1</v>
      </c>
      <c r="N22" t="n">
        <v>0</v>
      </c>
      <c r="O22" t="n">
        <v>0</v>
      </c>
      <c r="P22" t="n">
        <v>0</v>
      </c>
      <c r="Q22" t="n">
        <v>1</v>
      </c>
      <c r="R22" t="inlineStr">
        <is>
          <t>MIN_DAMAGE</t>
        </is>
      </c>
      <c r="S22" t="n">
        <v>0</v>
      </c>
      <c r="T22" t="inlineStr"/>
      <c r="U22" t="inlineStr"/>
      <c r="V22" t="inlineStr"/>
      <c r="W22" t="inlineStr">
        <is>
          <t>Shared verbatim w/ FP-Mage/Ice-Lightning-Mage: Magic Critical pattern, already baked into Inputs!MIN_DAMAGE%; feeds the 2nd-Job Skill Level Bonus delta.</t>
        </is>
      </c>
    </row>
    <row r="23">
      <c r="A23" t="inlineStr">
        <is>
          <t>HIGH_WISDOM</t>
        </is>
      </c>
      <c r="B23" t="inlineStr">
        <is>
          <t>High Wisdom</t>
        </is>
      </c>
      <c r="C23" t="n">
        <v>2</v>
      </c>
      <c r="D23" t="inlineStr"/>
      <c r="E23" t="b">
        <v>0</v>
      </c>
      <c r="F23" t="n">
        <v>1</v>
      </c>
      <c r="G23" t="n">
        <v>0</v>
      </c>
      <c r="H23" t="n">
        <v>0</v>
      </c>
      <c r="I23" t="n">
        <v>100</v>
      </c>
      <c r="J23" t="n">
        <v>1</v>
      </c>
      <c r="K23" t="n">
        <v>80</v>
      </c>
      <c r="L23" t="n">
        <v>22</v>
      </c>
      <c r="M23" t="b">
        <v>1</v>
      </c>
      <c r="N23" t="n">
        <v>0</v>
      </c>
      <c r="O23" t="n">
        <v>0</v>
      </c>
      <c r="P23" t="n">
        <v>0</v>
      </c>
      <c r="Q23" t="n">
        <v>1</v>
      </c>
      <c r="R23" t="inlineStr">
        <is>
          <t>CRIT_RATE</t>
        </is>
      </c>
      <c r="S23" t="n">
        <v>0</v>
      </c>
      <c r="T23" t="inlineStr"/>
      <c r="U23" t="inlineStr"/>
      <c r="V23" t="inlineStr"/>
      <c r="W23" t="inlineStr">
        <is>
          <t>Shared verbatim w/ Ice-Lightning-Mage: Magic Critical pattern, already baked into Inputs!CRIT_RATE% (jointly with Magic Critical (Crit Rate) below); feeds the 2nd-Job Skill Level Bonus delta.</t>
        </is>
      </c>
    </row>
    <row r="24">
      <c r="A24" t="inlineStr">
        <is>
          <t>MAGIC_CRITICAL_RATE</t>
        </is>
      </c>
      <c r="B24" t="inlineStr">
        <is>
          <t>Magic Critical (Crit Rate)</t>
        </is>
      </c>
      <c r="C24" t="n">
        <v>3</v>
      </c>
      <c r="D24" t="inlineStr"/>
      <c r="E24" t="b">
        <v>0</v>
      </c>
      <c r="F24" t="n">
        <v>1</v>
      </c>
      <c r="G24" t="n">
        <v>0</v>
      </c>
      <c r="H24" t="n">
        <v>0</v>
      </c>
      <c r="I24" t="n">
        <v>100</v>
      </c>
      <c r="J24" t="n">
        <v>1</v>
      </c>
      <c r="K24" t="n">
        <v>80</v>
      </c>
      <c r="L24" t="n">
        <v>22</v>
      </c>
      <c r="M24" t="b">
        <v>1</v>
      </c>
      <c r="N24" t="n">
        <v>0</v>
      </c>
      <c r="O24" t="n">
        <v>0</v>
      </c>
      <c r="P24" t="n">
        <v>0</v>
      </c>
      <c r="Q24" t="n">
        <v>1</v>
      </c>
      <c r="R24" t="inlineStr">
        <is>
          <t>CRIT_RATE</t>
        </is>
      </c>
      <c r="S24" t="n">
        <v>0</v>
      </c>
      <c r="T24" t="inlineStr"/>
      <c r="U24" t="inlineStr"/>
      <c r="V24" t="inlineStr"/>
      <c r="W24" t="inlineStr">
        <is>
          <t>Shared verbatim w/ FP-Mage/Ice-Lightning-Mage: Magic Critical pattern, already baked into Inputs!CRIT_RATE%; feeds the 3rd-Job Skill Level Bonus delta.</t>
        </is>
      </c>
    </row>
    <row r="25">
      <c r="A25" t="inlineStr">
        <is>
          <t>MAGIC_CRITICAL_DAMAGE</t>
        </is>
      </c>
      <c r="B25" t="inlineStr">
        <is>
          <t>Magic Critical (Crit Damage)</t>
        </is>
      </c>
      <c r="C25" t="n">
        <v>3</v>
      </c>
      <c r="D25" t="inlineStr"/>
      <c r="E25" t="b">
        <v>0</v>
      </c>
      <c r="F25" t="n">
        <v>1</v>
      </c>
      <c r="G25" t="n">
        <v>0</v>
      </c>
      <c r="H25" t="n">
        <v>0</v>
      </c>
      <c r="I25" t="n">
        <v>100</v>
      </c>
      <c r="J25" t="n">
        <v>1</v>
      </c>
      <c r="K25" t="n">
        <v>120</v>
      </c>
      <c r="L25" t="n">
        <v>22</v>
      </c>
      <c r="M25" t="b">
        <v>1</v>
      </c>
      <c r="N25" t="n">
        <v>0</v>
      </c>
      <c r="O25" t="n">
        <v>0</v>
      </c>
      <c r="P25" t="n">
        <v>0</v>
      </c>
      <c r="Q25" t="n">
        <v>1</v>
      </c>
      <c r="R25" t="inlineStr">
        <is>
          <t>CRIT_DAMAGE</t>
        </is>
      </c>
      <c r="S25" t="n">
        <v>0</v>
      </c>
      <c r="T25" t="inlineStr"/>
      <c r="U25" t="inlineStr"/>
      <c r="V25" t="inlineStr"/>
      <c r="W25" t="inlineStr">
        <is>
          <t>Shared verbatim w/ FP-Mage/Ice-Lightning-Mage: Magic Critical pattern, already baked into Inputs!CRIT_DAMAGE%; feeds the 3rd-Job Skill Level Bonus delta.</t>
        </is>
      </c>
    </row>
    <row r="26">
      <c r="A26" t="inlineStr">
        <is>
          <t>BUFF_MASTERY</t>
        </is>
      </c>
      <c r="B26" t="inlineStr">
        <is>
          <t>Buff Mastery</t>
        </is>
      </c>
      <c r="C26" t="n">
        <v>4</v>
      </c>
      <c r="D26" t="inlineStr"/>
      <c r="E26" t="b">
        <v>0</v>
      </c>
      <c r="F26" t="n">
        <v>1</v>
      </c>
      <c r="G26" t="n">
        <v>0</v>
      </c>
      <c r="H26" t="n">
        <v>0</v>
      </c>
      <c r="I26" t="n">
        <v>100</v>
      </c>
      <c r="J26" t="n">
        <v>1</v>
      </c>
      <c r="K26" t="n">
        <v>100</v>
      </c>
      <c r="L26" t="n">
        <v>22</v>
      </c>
      <c r="M26" t="b">
        <v>1</v>
      </c>
      <c r="N26" t="n">
        <v>0</v>
      </c>
      <c r="O26" t="n">
        <v>0</v>
      </c>
      <c r="P26" t="n">
        <v>0</v>
      </c>
      <c r="Q26" t="n">
        <v>1</v>
      </c>
      <c r="R26" t="inlineStr"/>
      <c r="S26" t="n">
        <v>0</v>
      </c>
      <c r="T26" t="inlineStr"/>
      <c r="U26" t="inlineStr"/>
      <c r="V26" t="inlineStr"/>
      <c r="W26" t="inlineStr">
        <is>
          <t>Shared verbatim w/ FP-Mage/Ice-Lightning-Mage: feeds bdi_with_buff_mastery_expr (Buff Duration Increase %) at unlock level 117 — not reflected in Inputs.</t>
        </is>
      </c>
    </row>
    <row r="27">
      <c r="A27" t="inlineStr">
        <is>
          <t>ARCANE_AIM</t>
        </is>
      </c>
      <c r="B27" t="inlineStr">
        <is>
          <t>Arcane Aim</t>
        </is>
      </c>
      <c r="C27" t="n">
        <v>4</v>
      </c>
      <c r="D27" t="inlineStr"/>
      <c r="E27" t="b">
        <v>0</v>
      </c>
      <c r="F27" t="n">
        <v>1</v>
      </c>
      <c r="G27" t="n">
        <v>0</v>
      </c>
      <c r="H27" t="n">
        <v>0</v>
      </c>
      <c r="I27" t="n">
        <v>100</v>
      </c>
      <c r="J27" t="n">
        <v>1</v>
      </c>
      <c r="K27" t="n">
        <v>30</v>
      </c>
      <c r="L27" t="n">
        <v>22</v>
      </c>
      <c r="M27" t="b">
        <v>1</v>
      </c>
      <c r="N27" t="n">
        <v>0</v>
      </c>
      <c r="O27" t="n">
        <v>0</v>
      </c>
      <c r="P27" t="n">
        <v>0</v>
      </c>
      <c r="Q27" t="n">
        <v>1</v>
      </c>
      <c r="R27" t="inlineStr"/>
      <c r="S27" t="n">
        <v>0</v>
      </c>
      <c r="T27" t="inlineStr"/>
      <c r="U27" t="inlineStr"/>
      <c r="V27" t="inlineStr"/>
      <c r="W27" t="inlineStr">
        <is>
          <t>Shared verbatim w/ FP-Mage/Ice-Lightning-Mage: 25% chance, +Final Damage% for 10s, stacks x5 — modeled always at max 5 stacks, combined multiplicatively as (1+Calc!F/100)^5.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t="inlineStr">
        <is>
          <t>InvCooldown</t>
        </is>
      </c>
      <c r="R1" t="inlineStr">
        <is>
          <t>CastsInFight</t>
        </is>
      </c>
      <c r="S1" t="inlineStr">
        <is>
          <t>BossOnlyDPS</t>
        </is>
      </c>
      <c r="U1" t="inlineStr">
        <is>
          <t>NormalOnlyDPS</t>
        </is>
      </c>
      <c r="Z1" s="5" t="inlineStr">
        <is>
          <t>Maple Hero helper (unused — see Note on MAPLE_HERO_BISHOP row)</t>
        </is>
      </c>
    </row>
    <row r="2">
      <c r="A2">
        <f>Skills!A2</f>
        <v/>
      </c>
      <c r="B2">
        <f>Skills!B2</f>
        <v/>
      </c>
      <c r="C2">
        <f>Inputs!$B$3&gt;=100</f>
        <v/>
      </c>
      <c r="D2" t="inlineStr"/>
      <c r="E2" t="inlineStr"/>
      <c r="F2">
        <f>Summary!$B$47+Skills!N2</f>
        <v/>
      </c>
      <c r="G2">
        <f>Skills!F2*IF(Skills!G2&gt;0,Skills!H2/Skills!G2,1)</f>
        <v/>
      </c>
      <c r="H2">
        <f>1-(1-Skills!I2/100)^Skills!J2</f>
        <v/>
      </c>
      <c r="I2">
        <f>IF(Skills!T2&lt;&gt;"",1+(Skills!T2/10)*($Z$3/1000)/100,1)</f>
        <v/>
      </c>
      <c r="J2">
        <f>Summary!$B$43*(F2/100)</f>
        <v/>
      </c>
      <c r="K2">
        <f>J2*(1+Summary!$B$44/100)*(1+(Inputs!$B$16+Summary!$B$53)/100)*(1+Inputs!$B$17/100)*(5000/(6000+Inputs!$B$43*(1-Inputs!$B$20/100)))*(1+Inputs!$B$25/100)*(1+IF(C18=TRUE,F18,0)/100)*(1+IF(C20=TRUE,F20,0)/100)*(1+IF(Skills!A2="TRIUMPH_FEATHER",IF(C16=TRUE,F16,0),0)/100)*(1+IF(C27=TRUE,F27,0)/100)^5*(1+(IF(Skills!A2="BIG_BANG",Inputs!$B$18,Inputs!$B$19))/100)*(Summary!$B$50*I2)</f>
        <v/>
      </c>
      <c r="L2">
        <f>K2*(MIN(Inputs!$B$23,Inputs!$B$24)/100+Inputs!$B$24/100)/2</f>
        <v/>
      </c>
      <c r="M2">
        <f>L2*(1+(Inputs!$B$11+Summary!$B$54)/100)</f>
        <v/>
      </c>
      <c r="N2">
        <f>L2*(1-MIN(Inputs!$B$10,100)/100)+M2*(MIN(Inputs!$B$10,100)/100)</f>
        <v/>
      </c>
      <c r="O2">
        <f>(1-Summary!$B$48)*S2+Summary!$B$48*U2</f>
        <v/>
      </c>
      <c r="P2">
        <f>IF(Summary!$B$3=0,0,O2/Summary!$B$3)</f>
        <v/>
      </c>
      <c r="Q2">
        <f>IFERROR(1/IF(Inputs!$B$39="pvp",15,MAX(0.1,Skills!D2-IF(Skills!E2=TRUE,Inputs!$B$33,0))),0)</f>
        <v/>
      </c>
      <c r="R2" t="n">
        <v>0</v>
      </c>
      <c r="S2">
        <f>IF(C2,(Skills!F2*N2*Summary!$B$58)*IF(Inputs!$B$39="pvp",1,1+(Inputs!$B$21+Skills!O2+Summary!$B$51)/100),0)</f>
        <v/>
      </c>
      <c r="U2">
        <f>IF(C2,(Skills!F2*N2*Summary!$B$58)*IF(Inputs!$B$39="pvp",1,(1+(Inputs!$B$22+Skills!P2+Summary!$B$52)/100)*(MIN(Skills!Q2,Inputs!$B$38))),0)</f>
        <v/>
      </c>
      <c r="Z2">
        <f>MAX(0,(Inputs!$B$3-100)*3)+Inputs!$B$29+Inputs!$B$30</f>
        <v/>
      </c>
    </row>
    <row r="3">
      <c r="A3">
        <f>Skills!A3</f>
        <v/>
      </c>
      <c r="B3">
        <f>Skills!B3</f>
        <v/>
      </c>
      <c r="C3">
        <f>Inputs!$B$3&gt;=15</f>
        <v/>
      </c>
      <c r="D3">
        <f>IF(Skills!C3=1,60+Inputs!$B$26+Inputs!$B$30,IF(Skills!C3=2,90+Inputs!$B$27+Inputs!$B$30,IF(Skills!C3=3,120+Inputs!$B$28+Inputs!$B$30,MAX(0,(Inputs!$B$3-100)*3)+Inputs!$B$29+Inputs!$B$30)))</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f>(1-Summary!$B$48)*S3+Summary!$B$48*U3</f>
        <v/>
      </c>
      <c r="P3">
        <f>IF(Summary!$B$3=0,0,O3/Summary!$B$3)</f>
        <v/>
      </c>
      <c r="Q3">
        <f>IFERROR(1/IF(Inputs!$B$39="pvp",15,MAX(0.1,Skills!D3-IF(Skills!E3=TRUE,Inputs!$B$33,0))),0)</f>
        <v/>
      </c>
      <c r="R3">
        <f>IF(AND(Inputs!$B$39&lt;&gt;"pvp",Inputs!$B$44&gt;0),IF(Inputs!$B$44&lt;=0,0,(INT(Inputs!$B$44/IF(Inputs!$B$39="pvp",15,MAX(0.1,Skills!D3-IF(Skills!E3=TRUE,Inputs!$B$33,0))))+1)),0)</f>
        <v/>
      </c>
      <c r="S3" t="n">
        <v>0</v>
      </c>
      <c r="U3" t="n">
        <v>0</v>
      </c>
      <c r="Z3">
        <f>INDEX(FactorTable!$B$2:$Y$301, MATCH(ROUND(MIN(300,MAX(1,Z2)),0), FactorTable!$A$2:$A$301,0), 24)</f>
        <v/>
      </c>
    </row>
    <row r="4">
      <c r="A4">
        <f>Skills!A4</f>
        <v/>
      </c>
      <c r="B4">
        <f>Skills!B4</f>
        <v/>
      </c>
      <c r="C4">
        <f>Inputs!$B$3&gt;=38</f>
        <v/>
      </c>
      <c r="D4">
        <f>IF(Skills!C4=1,60+Inputs!$B$26+Inputs!$B$30,IF(Skills!C4=2,90+Inputs!$B$27+Inputs!$B$30,IF(Skills!C4=3,120+Inputs!$B$28+Inputs!$B$30,MAX(0,(Inputs!$B$3-100)*3)+Inputs!$B$29+Inputs!$B$30)))</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f>(1-Summary!$B$48)*S4+Summary!$B$48*U4</f>
        <v/>
      </c>
      <c r="P4">
        <f>IF(Summary!$B$3=0,0,O4/Summary!$B$3)</f>
        <v/>
      </c>
      <c r="Q4">
        <f>IFERROR(1/IF(Inputs!$B$39="pvp",15,MAX(0.1,Skills!D4-IF(Skills!E4=TRUE,Inputs!$B$33,0))),0)</f>
        <v/>
      </c>
      <c r="R4">
        <f>IF(AND(Inputs!$B$39&lt;&gt;"pvp",Inputs!$B$44&gt;0),IF(Inputs!$B$44&lt;=0,0,(INT(Inputs!$B$44/IF(Inputs!$B$39="pvp",15,MAX(0.1,Skills!D4-IF(Skills!E4=TRUE,Inputs!$B$33,0))))+1)),0)</f>
        <v/>
      </c>
      <c r="S4" t="n">
        <v>0</v>
      </c>
      <c r="U4" t="n">
        <v>0</v>
      </c>
    </row>
    <row r="5">
      <c r="A5">
        <f>Skills!A5</f>
        <v/>
      </c>
      <c r="B5">
        <f>Skills!B5</f>
        <v/>
      </c>
      <c r="C5">
        <f>Inputs!$B$3&gt;=40</f>
        <v/>
      </c>
      <c r="D5">
        <f>IF(Skills!C5=1,60+Inputs!$B$26+Inputs!$B$30,IF(Skills!C5=2,90+Inputs!$B$27+Inputs!$B$30,IF(Skills!C5=3,120+Inputs!$B$28+Inputs!$B$30,MAX(0,(Inputs!$B$3-100)*3)+Inputs!$B$29+Inputs!$B$30)))</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t="inlineStr"/>
      <c r="K5" t="inlineStr"/>
      <c r="L5" t="inlineStr"/>
      <c r="M5" t="inlineStr"/>
      <c r="N5" t="inlineStr"/>
      <c r="O5">
        <f>(1-Summary!$B$48)*S5+Summary!$B$48*U5</f>
        <v/>
      </c>
      <c r="P5">
        <f>IF(Summary!$B$3=0,0,O5/Summary!$B$3)</f>
        <v/>
      </c>
      <c r="Q5">
        <f>IFERROR(1/IF(Inputs!$B$39="pvp",15,MAX(0.1,Skills!D5-IF(Skills!E5=TRUE,Inputs!$B$33,0))),0)</f>
        <v/>
      </c>
      <c r="R5">
        <f>IF(AND(Inputs!$B$39&lt;&gt;"pvp",Inputs!$B$44&gt;0),IF(Inputs!$B$44&lt;=0,0,(INT(Inputs!$B$44/IF(Inputs!$B$39="pvp",15,MAX(0.1,Skills!D5-IF(Skills!E5=TRUE,Inputs!$B$33,0))))+1)),0)</f>
        <v/>
      </c>
      <c r="S5" t="n">
        <v>0</v>
      </c>
      <c r="U5" t="n">
        <v>0</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Summary!$B$43*(F6/100)</f>
        <v/>
      </c>
      <c r="K6">
        <f>J6*(1+Summary!$B$44/100)*(1+(Inputs!$B$16+Summary!$B$53)/100)*(1+Inputs!$B$17/100)*(5000/(6000+Inputs!$B$43*(1-Inputs!$B$20/100)))*(1+Inputs!$B$25/100)*(1+IF(C18=TRUE,F18,0)/100)*(1+IF(C20=TRUE,F20,0)/100)*(1+IF(Skills!A6="TRIUMPH_FEATHER",IF(C16=TRUE,F16,0),0)/100)*(1+IF(C27=TRUE,F27,0)/100)^5*(1+(IF(Skills!A6="BIG_BANG",Inputs!$B$18,Inputs!$B$19))/100)*(Summary!$B$50*I6)</f>
        <v/>
      </c>
      <c r="L6">
        <f>K6*(MIN(Inputs!$B$23,Inputs!$B$24)/100+Inputs!$B$24/100)/2</f>
        <v/>
      </c>
      <c r="M6">
        <f>L6*(1+(Inputs!$B$11+Summary!$B$54)/100)</f>
        <v/>
      </c>
      <c r="N6">
        <f>L6*(1-MIN(Inputs!$B$10,100)/100)+M6*(MIN(Inputs!$B$10,100)/100)</f>
        <v/>
      </c>
      <c r="O6">
        <f>(1-Summary!$B$48)*S6+Summary!$B$48*U6</f>
        <v/>
      </c>
      <c r="P6">
        <f>IF(Summary!$B$3=0,0,O6/Summary!$B$3)</f>
        <v/>
      </c>
      <c r="Q6">
        <f>IFERROR(1/IF(Inputs!$B$39="pvp",15,MAX(0.1,Skills!D6-IF(Skills!E6=TRUE,Inputs!$B$33,0))),0)</f>
        <v/>
      </c>
      <c r="R6">
        <f>IF(AND(Inputs!$B$39&lt;&gt;"pvp",Inputs!$B$44&gt;0),IF(MAX(0,Inputs!$B$44-Summary!$B$61)&lt;=0,0,(INT(MAX(0,Inputs!$B$44-Summary!$B$61)/IF(Inputs!$B$39="pvp",15,MAX(0.1,Skills!D6-IF(Skills!E6=TRUE,Inputs!$B$33,0))))+1)),0)</f>
        <v/>
      </c>
      <c r="S6">
        <f>IF(C6,(H6*N6*IF(AND(Inputs!$B$39&lt;&gt;"pvp",Inputs!$B$44&gt;0),((Skills!F6*((R6-1)*IF(Skills!G6&gt;0,Skills!H6/Skills!G6,1)+IF(Skills!G6&gt;0,MIN(Skills!H6,MAX(0,MAX(0,Inputs!$B$44-Summary!$B$61)-((R6-1)*IF(Inputs!$B$39="pvp",15,MAX(0.1,Skills!D6-IF(Skills!E6=TRUE,Inputs!$B$33,0))))))/Skills!G6,1)))/Inputs!$B$44),G6*Q6))*IF(Inputs!$B$39="pvp",1,1+(Inputs!$B$21+Skills!O6+Summary!$B$51)/100),0)</f>
        <v/>
      </c>
      <c r="U6">
        <f>IF(C6,(H6*N6*IF(AND(Inputs!$B$39&lt;&gt;"pvp",Inputs!$B$44&gt;0),((Skills!F6*((R6-1)*IF(Skills!G6&gt;0,Skills!H6/Skills!G6,1)+IF(Skills!G6&gt;0,MIN(Skills!H6,MAX(0,MAX(0,Inputs!$B$44-Summary!$B$61)-((R6-1)*IF(Inputs!$B$39="pvp",15,MAX(0.1,Skills!D6-IF(Skills!E6=TRUE,Inputs!$B$33,0))))))/Skills!G6,1)))/Inputs!$B$44),G6*Q6))*IF(Inputs!$B$39="pvp",1,(1+(Inputs!$B$22+Skills!P6+Summary!$B$52)/100)*(MIN(Skills!Q6,Inputs!$B$38))),0)</f>
        <v/>
      </c>
    </row>
    <row r="7">
      <c r="A7">
        <f>Skills!A7</f>
        <v/>
      </c>
      <c r="B7">
        <f>Skills!B7</f>
        <v/>
      </c>
      <c r="C7">
        <f>Inputs!$B$3&gt;=122</f>
        <v/>
      </c>
      <c r="D7">
        <f>IF(Skills!C7=1,60+Inputs!$B$26+Inputs!$B$30,IF(Skills!C7=2,90+Inputs!$B$27+Inputs!$B$30,IF(Skills!C7=3,120+Inputs!$B$28+Inputs!$B$30,MAX(0,(Inputs!$B$3-100)*3)+Inputs!$B$29+Inputs!$B$30)))</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Summary!$B$43*(F7/100)</f>
        <v/>
      </c>
      <c r="K7">
        <f>J7*(1+Summary!$B$44/100)*(1+(Inputs!$B$16+Summary!$B$53)/100)*(1+Inputs!$B$17/100)*(5000/(6000+Inputs!$B$43*(1-Inputs!$B$20/100)))*(1+Inputs!$B$25/100)*(1+IF(C18=TRUE,F18,0)/100)*(1+IF(C20=TRUE,F20,0)/100)*(1+IF(Skills!A7="TRIUMPH_FEATHER",IF(C16=TRUE,F16,0),0)/100)*(1+IF(C27=TRUE,F27,0)/100)^5*(1+(IF(Skills!A7="BIG_BANG",Inputs!$B$18,Inputs!$B$19))/100)*(Summary!$B$50*I7)</f>
        <v/>
      </c>
      <c r="L7">
        <f>K7*(MIN(Inputs!$B$23,Inputs!$B$24)/100+Inputs!$B$24/100)/2</f>
        <v/>
      </c>
      <c r="M7">
        <f>L7*(1+(Inputs!$B$11+Summary!$B$54)/100)</f>
        <v/>
      </c>
      <c r="N7">
        <f>L7*(1-MIN(Inputs!$B$10,100)/100)+M7*(MIN(Inputs!$B$10,100)/100)</f>
        <v/>
      </c>
      <c r="O7">
        <f>(1-Summary!$B$48)*S7+Summary!$B$48*U7</f>
        <v/>
      </c>
      <c r="P7">
        <f>IF(Summary!$B$3=0,0,O7/Summary!$B$3)</f>
        <v/>
      </c>
      <c r="Q7">
        <f>IFERROR(1/IF(Inputs!$B$39="pvp",15,MAX(0.1,Skills!D7-IF(Skills!E6=TRUE,Inputs!$B$33,0))),0)</f>
        <v/>
      </c>
      <c r="R7">
        <f>IF(AND(Inputs!$B$39&lt;&gt;"pvp",Inputs!$B$44&gt;0),IF(MAX(0,Inputs!$B$44-Summary!$B$61)&lt;=0,0,(INT(MAX(0,Inputs!$B$44-Summary!$B$61)/IF(Inputs!$B$39="pvp",15,MAX(0.1,Skills!D7-IF(Skills!E6=TRUE,Inputs!$B$33,0))))+1)),0)</f>
        <v/>
      </c>
      <c r="S7">
        <f>IF(C7,H7*N7*IF(AND(Inputs!$B$39&lt;&gt;"pvp",Inputs!$B$44&gt;0),((Skills!F7*((R7-1)*IF(Skills!G7&gt;0,Skills!H7/Skills!G7,1)+IF(Skills!G7&gt;0,MIN(Skills!H7,MAX(0,MAX(0,Inputs!$B$44-Summary!$B$61)-((R7-1)*IF(Inputs!$B$39="pvp",15,MAX(0.1,Skills!D7-IF(Skills!E6=TRUE,Inputs!$B$33,0))))))/Skills!G7,1)))/Inputs!$B$44),G7*Q7)*IF(Inputs!$B$39="pvp",1,1+(Inputs!$B$21+Skills!O7+Summary!$B$51)/100),0)</f>
        <v/>
      </c>
      <c r="U7" t="n">
        <v>0</v>
      </c>
    </row>
    <row r="8">
      <c r="A8">
        <f>Skills!A8</f>
        <v/>
      </c>
      <c r="B8">
        <f>Skills!B8</f>
        <v/>
      </c>
      <c r="C8">
        <f>Inputs!$B$3&gt;=105</f>
        <v/>
      </c>
      <c r="D8">
        <f>IF(Skills!C8=1,60+Inputs!$B$26+Inputs!$B$30,IF(Skills!C8=2,90+Inputs!$B$27+Inputs!$B$30,IF(Skills!C8=3,120+Inputs!$B$28+Inputs!$B$30,MAX(0,(Inputs!$B$3-100)*3)+Inputs!$B$29+Inputs!$B$30)))</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Summary!$B$43*(F8/100)</f>
        <v/>
      </c>
      <c r="K8">
        <f>J8*(1+Summary!$B$44/100)*(1+(Inputs!$B$16+Summary!$B$53)/100)*(1+Inputs!$B$17/100)*(5000/(6000+Inputs!$B$43*(1-Inputs!$B$20/100)))*(1+Inputs!$B$25/100)*(1+IF(C18=TRUE,F18,0)/100)*(1+IF(C20=TRUE,F20,0)/100)*(1+IF(Skills!A8="TRIUMPH_FEATHER",IF(C16=TRUE,F16,0),0)/100)*(1+IF(C27=TRUE,F27,0)/100)^5*(1+(IF(Skills!A8="BIG_BANG",Inputs!$B$18,Inputs!$B$19))/100)*(Summary!$B$50*I8)</f>
        <v/>
      </c>
      <c r="L8">
        <f>K8*(MIN(Inputs!$B$23,Inputs!$B$24)/100+Inputs!$B$24/100)/2</f>
        <v/>
      </c>
      <c r="M8">
        <f>L8*(1+(Inputs!$B$11+Summary!$B$54)/100)</f>
        <v/>
      </c>
      <c r="N8">
        <f>L8*(1-MIN(Inputs!$B$10,100)/100)+M8*(MIN(Inputs!$B$10,100)/100)</f>
        <v/>
      </c>
      <c r="O8">
        <f>(1-Summary!$B$48)*S8+Summary!$B$48*U8</f>
        <v/>
      </c>
      <c r="P8">
        <f>IF(Summary!$B$3=0,0,O8/Summary!$B$3)</f>
        <v/>
      </c>
      <c r="Q8">
        <f>IFERROR(1/IF(Inputs!$B$39="pvp",15,MAX(0.1,Skills!D8-IF(Skills!E8=TRUE,Inputs!$B$33,0))),0)</f>
        <v/>
      </c>
      <c r="R8">
        <f>IF(AND(Inputs!$B$39&lt;&gt;"pvp",Inputs!$B$44&gt;0),IF(MAX(0,Inputs!$B$44-Summary!$B$61)&lt;=0,0,(INT(MAX(0,Inputs!$B$44-Summary!$B$61)/IF(Inputs!$B$39="pvp",15,MAX(0.1,Skills!D8-IF(Skills!E8=TRUE,Inputs!$B$33,0))))+1)),0)</f>
        <v/>
      </c>
      <c r="S8">
        <f>IF(C8,(H8*N8*IF(AND(Inputs!$B$39&lt;&gt;"pvp",Inputs!$B$44&gt;0),((Skills!F8*((R8-1)*IF(Skills!G8&gt;0,Skills!H8/Skills!G8,1)+IF(Skills!G8&gt;0,MIN(Skills!H8,MAX(0,MAX(0,Inputs!$B$44-Summary!$B$61)-((R8-1)*IF(Inputs!$B$39="pvp",15,MAX(0.1,Skills!D8-IF(Skills!E8=TRUE,Inputs!$B$33,0))))))/Skills!G8,1)))/Inputs!$B$44),G8*Q8))*IF(Inputs!$B$39="pvp",1,1+(Inputs!$B$21+Skills!O8+Summary!$B$51)/100),0)</f>
        <v/>
      </c>
      <c r="U8">
        <f>IF(C8,(H8*N8*IF(AND(Inputs!$B$39&lt;&gt;"pvp",Inputs!$B$44&gt;0),((Skills!F8*((R8-1)*IF(Skills!G8&gt;0,Skills!H8/Skills!G8,1)+IF(Skills!G8&gt;0,MIN(Skills!H8,MAX(0,MAX(0,Inputs!$B$44-Summary!$B$61)-((R8-1)*IF(Inputs!$B$39="pvp",15,MAX(0.1,Skills!D8-IF(Skills!E8=TRUE,Inputs!$B$33,0))))))/Skills!G8,1)))/Inputs!$B$44),G8*Q8))*IF(Inputs!$B$39="pvp",1,(1+(Inputs!$B$22+Skills!P8+Summary!$B$52)/100)*(MIN(Skills!Q8,Inputs!$B$38))),0)</f>
        <v/>
      </c>
    </row>
    <row r="9">
      <c r="A9">
        <f>Skills!A9</f>
        <v/>
      </c>
      <c r="B9">
        <f>Skills!B9</f>
        <v/>
      </c>
      <c r="C9">
        <f>Inputs!$B$3&gt;=115</f>
        <v/>
      </c>
      <c r="D9">
        <f>IF(Skills!C9=1,60+Inputs!$B$26+Inputs!$B$30,IF(Skills!C9=2,90+Inputs!$B$27+Inputs!$B$30,IF(Skills!C9=3,120+Inputs!$B$28+Inputs!$B$30,MAX(0,(Inputs!$B$3-100)*3)+Inputs!$B$29+Inputs!$B$30)))</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Summary!$B$43*(F9/100)</f>
        <v/>
      </c>
      <c r="K9">
        <f>J9*(1+Summary!$B$44/100)*(1+(Inputs!$B$16+Summary!$B$53)/100)*(1+Inputs!$B$17/100)*(5000/(6000+Inputs!$B$43*(1-Inputs!$B$20/100)))*(1+Inputs!$B$25/100)*(1+IF(C18=TRUE,F18,0)/100)*(1+IF(C20=TRUE,F20,0)/100)*(1+IF(Skills!A9="TRIUMPH_FEATHER",IF(C16=TRUE,F16,0),0)/100)*(1+IF(C27=TRUE,F27,0)/100)^5*(1+(IF(Skills!A9="BIG_BANG",Inputs!$B$18,Inputs!$B$19))/100)*(Summary!$B$50*I9)</f>
        <v/>
      </c>
      <c r="L9">
        <f>K9*(MIN(Inputs!$B$23,Inputs!$B$24)/100+Inputs!$B$24/100)/2</f>
        <v/>
      </c>
      <c r="M9">
        <f>L9*(1+(Inputs!$B$11+Summary!$B$54)/100)</f>
        <v/>
      </c>
      <c r="N9">
        <f>L9*(1-MIN(Inputs!$B$10,100)/100)+M9*(MIN(Inputs!$B$10,100)/100)</f>
        <v/>
      </c>
      <c r="O9">
        <f>(1-Summary!$B$48)*S9+Summary!$B$48*U9</f>
        <v/>
      </c>
      <c r="P9">
        <f>IF(Summary!$B$3=0,0,O9/Summary!$B$3)</f>
        <v/>
      </c>
      <c r="Q9">
        <f>IFERROR(1/IF(Inputs!$B$39="pvp",15,MAX(0.1,Skills!D9-IF(Skills!E9=TRUE,Inputs!$B$33,0))),0)</f>
        <v/>
      </c>
      <c r="R9">
        <f>IF(AND(Inputs!$B$39&lt;&gt;"pvp",Inputs!$B$44&gt;0),IF(MAX(0,Inputs!$B$44-Summary!$B$61)&lt;=0,0,(INT(MAX(0,Inputs!$B$44-Summary!$B$61)/IF(Inputs!$B$39="pvp",15,MAX(0.1,Skills!D9-IF(Skills!E9=TRUE,Inputs!$B$33,0))))+1)),0)</f>
        <v/>
      </c>
      <c r="S9">
        <f>IF(C9,(H9*N9*IF(AND(Inputs!$B$39&lt;&gt;"pvp",Inputs!$B$44&gt;0),((Skills!F9*((R9-1)*IF(Skills!G9&gt;0,Skills!H9/Skills!G9,1)+IF(Skills!G9&gt;0,MIN(Skills!H9,MAX(0,MAX(0,Inputs!$B$44-Summary!$B$61)-((R9-1)*IF(Inputs!$B$39="pvp",15,MAX(0.1,Skills!D9-IF(Skills!E9=TRUE,Inputs!$B$33,0))))))/Skills!G9,1)))/Inputs!$B$44),G9*Q9))*IF(Inputs!$B$39="pvp",1,1+(Inputs!$B$21+Skills!O9+Summary!$B$51)/100),0)</f>
        <v/>
      </c>
      <c r="U9">
        <f>IF(C9,(H9*N9*IF(AND(Inputs!$B$39&lt;&gt;"pvp",Inputs!$B$44&gt;0),((Skills!F9*((R9-1)*IF(Skills!G9&gt;0,Skills!H9/Skills!G9,1)+IF(Skills!G9&gt;0,MIN(Skills!H9,MAX(0,MAX(0,Inputs!$B$44-Summary!$B$61)-((R9-1)*IF(Inputs!$B$39="pvp",15,MAX(0.1,Skills!D9-IF(Skills!E9=TRUE,Inputs!$B$33,0))))))/Skills!G9,1)))/Inputs!$B$44),G9*Q9))*IF(Inputs!$B$39="pvp",1,(1+(Inputs!$B$22+Skills!P9+Summary!$B$52)/100)*(MIN(Skills!Q9,Inputs!$B$38))),0)</f>
        <v/>
      </c>
    </row>
    <row r="10">
      <c r="A10">
        <f>Skills!A10</f>
        <v/>
      </c>
      <c r="B10">
        <f>Skills!B10</f>
        <v/>
      </c>
      <c r="C10">
        <f>Inputs!$B$3&gt;=66</f>
        <v/>
      </c>
      <c r="D10">
        <f>IF(Skills!C10=1,60+Inputs!$B$26+Inputs!$B$30,IF(Skills!C10=2,90+Inputs!$B$27+Inputs!$B$30,IF(Skills!C10=3,120+Inputs!$B$28+Inputs!$B$30,MAX(0,(Inputs!$B$3-100)*3)+Inputs!$B$29+Inputs!$B$30)))</f>
        <v/>
      </c>
      <c r="E10">
        <f>INDEX(FactorTable!$B$2:$Y$301, MATCH(ROUND(MIN(300,MAX(1,D10)),0), FactorTable!$A$2:$A$301,0), Skills!L10+1)</f>
        <v/>
      </c>
      <c r="F10" t="n">
        <v>0</v>
      </c>
      <c r="G10">
        <f>Skills!F10*IF(Skills!G10&gt;0,Skills!H10/Skills!G10,1)</f>
        <v/>
      </c>
      <c r="H10">
        <f>1-(1-Skills!I10/100)^Skills!J10</f>
        <v/>
      </c>
      <c r="I10">
        <f>IF(Skills!T10&lt;&gt;"",1+(Skills!T10/10)*($Z$3/1000)/100,1)</f>
        <v/>
      </c>
      <c r="J10" t="inlineStr"/>
      <c r="K10" t="inlineStr"/>
      <c r="L10" t="inlineStr"/>
      <c r="M10" t="inlineStr"/>
      <c r="N10" t="inlineStr"/>
      <c r="O10">
        <f>(1-Summary!$B$48)*S10+Summary!$B$48*U10</f>
        <v/>
      </c>
      <c r="P10">
        <f>IF(Summary!$B$3=0,0,O10/Summary!$B$3)</f>
        <v/>
      </c>
      <c r="Q10">
        <f>IFERROR(1/IF(Inputs!$B$39="pvp",15,MAX(0.1,Skills!D10-IF(Skills!E10=TRUE,Inputs!$B$33,0))),0)</f>
        <v/>
      </c>
      <c r="R10">
        <f>IF(AND(Inputs!$B$39&lt;&gt;"pvp",Inputs!$B$44&gt;0),IF(MAX(0,Inputs!$B$44-Summary!$B$61)&lt;=0,0,(INT(MAX(0,Inputs!$B$44-Summary!$B$61)/IF(Inputs!$B$39="pvp",15,MAX(0.1,Skills!D10-IF(Skills!E10=TRUE,Inputs!$B$33,0))))+1)),0)</f>
        <v/>
      </c>
      <c r="S10" t="n">
        <v>0</v>
      </c>
      <c r="U10" t="n">
        <v>0</v>
      </c>
    </row>
    <row r="11">
      <c r="A11">
        <f>Skills!A11</f>
        <v/>
      </c>
      <c r="B11">
        <f>Skills!B11</f>
        <v/>
      </c>
      <c r="C11">
        <f>Inputs!$B$3&gt;=69</f>
        <v/>
      </c>
      <c r="D11">
        <f>IF(Skills!C11=1,60+Inputs!$B$26+Inputs!$B$30,IF(Skills!C11=2,90+Inputs!$B$27+Inputs!$B$30,IF(Skills!C11=3,120+Inputs!$B$28+Inputs!$B$30,MAX(0,(Inputs!$B$3-100)*3)+Inputs!$B$29+Inputs!$B$30)))</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t="inlineStr"/>
      <c r="K11" t="inlineStr"/>
      <c r="L11" t="inlineStr"/>
      <c r="M11" t="inlineStr"/>
      <c r="N11" t="inlineStr"/>
      <c r="O11">
        <f>(1-Summary!$B$48)*S11+Summary!$B$48*U11</f>
        <v/>
      </c>
      <c r="P11">
        <f>IF(Summary!$B$3=0,0,O11/Summary!$B$3)</f>
        <v/>
      </c>
      <c r="Q11">
        <f>IFERROR(1/IF(Inputs!$B$39="pvp",15,MAX(0.1,Skills!D11-IF(Skills!E11=TRUE,Inputs!$B$33,0))),0)</f>
        <v/>
      </c>
      <c r="R11">
        <f>IF(AND(Inputs!$B$39&lt;&gt;"pvp",Inputs!$B$44&gt;0),IF(Inputs!$B$44&lt;=0,0,(INT(Inputs!$B$44/IF(Inputs!$B$39="pvp",15,MAX(0.1,Skills!D11-IF(Skills!E11=TRUE,Inputs!$B$33,0))))+1)),0)</f>
        <v/>
      </c>
      <c r="S11" t="n">
        <v>0</v>
      </c>
      <c r="U11" t="n">
        <v>0</v>
      </c>
    </row>
    <row r="12">
      <c r="A12">
        <f>Skills!A12</f>
        <v/>
      </c>
      <c r="B12">
        <f>Skills!B12</f>
        <v/>
      </c>
      <c r="C12">
        <f>Inputs!$B$3&gt;=72</f>
        <v/>
      </c>
      <c r="D12">
        <f>IF(Skills!C12=1,60+Inputs!$B$26+Inputs!$B$30,IF(Skills!C12=2,90+Inputs!$B$27+Inputs!$B$30,IF(Skills!C12=3,120+Inputs!$B$28+Inputs!$B$30,MAX(0,(Inputs!$B$3-100)*3)+Inputs!$B$29+Inputs!$B$30)))</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t="inlineStr"/>
      <c r="K12" t="inlineStr"/>
      <c r="L12" t="inlineStr"/>
      <c r="M12" t="inlineStr"/>
      <c r="N12" t="inlineStr"/>
      <c r="O12">
        <f>(1-Summary!$B$48)*S12+Summary!$B$48*U12</f>
        <v/>
      </c>
      <c r="P12">
        <f>IF(Summary!$B$3=0,0,O12/Summary!$B$3)</f>
        <v/>
      </c>
      <c r="Q12">
        <f>IFERROR(1/IF(Inputs!$B$39="pvp",15,MAX(0.1,Skills!D12-IF(Skills!E12=TRUE,Inputs!$B$33,0))),0)</f>
        <v/>
      </c>
      <c r="R12">
        <f>IF(AND(Inputs!$B$39&lt;&gt;"pvp",Inputs!$B$44&gt;0),IF(MAX(0,Inputs!$B$44-Summary!$B$61)&lt;=0,0,(INT(MAX(0,Inputs!$B$44-Summary!$B$61)/IF(Inputs!$B$39="pvp",15,MAX(0.1,Skills!D12-IF(Skills!E12=TRUE,Inputs!$B$33,0))))+1)),0)</f>
        <v/>
      </c>
      <c r="S12" t="n">
        <v>0</v>
      </c>
      <c r="U12" t="n">
        <v>0</v>
      </c>
    </row>
    <row r="13">
      <c r="A13">
        <f>Skills!A13</f>
        <v/>
      </c>
      <c r="B13">
        <f>Skills!B13</f>
        <v/>
      </c>
      <c r="C13">
        <f>Inputs!$B$3&gt;=60</f>
        <v/>
      </c>
      <c r="D13">
        <f>IF(Skills!C13=1,60+Inputs!$B$26+Inputs!$B$30,IF(Skills!C13=2,90+Inputs!$B$27+Inputs!$B$30,IF(Skills!C13=3,120+Inputs!$B$28+Inputs!$B$30,MAX(0,(Inputs!$B$3-100)*3)+Inputs!$B$29+Inputs!$B$30)))</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f>(1-Summary!$B$48)*S13+Summary!$B$48*U13</f>
        <v/>
      </c>
      <c r="P13">
        <f>IF(Summary!$B$3=0,0,O13/Summary!$B$3)</f>
        <v/>
      </c>
      <c r="Q13">
        <f>IFERROR(1/IF(Inputs!$B$39="pvp",15,MAX(0.1,Skills!D13-IF(Skills!E13=TRUE,Inputs!$B$33,0))),0)</f>
        <v/>
      </c>
      <c r="R13">
        <f>IF(AND(Inputs!$B$39&lt;&gt;"pvp",Inputs!$B$44&gt;0),IF(MAX(0,Inputs!$B$44-Summary!$B$61)&lt;=0,0,(INT(MAX(0,Inputs!$B$44-Summary!$B$61)/IF(Inputs!$B$39="pvp",15,MAX(0.1,Skills!D13-IF(Skills!E13=TRUE,Inputs!$B$33,0))))+1)),0)</f>
        <v/>
      </c>
      <c r="S13" t="n">
        <v>0</v>
      </c>
      <c r="U13" t="n">
        <v>0</v>
      </c>
    </row>
    <row r="14">
      <c r="A14">
        <f>Skills!A14</f>
        <v/>
      </c>
      <c r="B14">
        <f>Skills!B14</f>
        <v/>
      </c>
      <c r="C14">
        <f>Inputs!$B$3&gt;=107</f>
        <v/>
      </c>
      <c r="D14">
        <f>IF(Skills!C14=1,60+Inputs!$B$26+Inputs!$B$30,IF(Skills!C14=2,90+Inputs!$B$27+Inputs!$B$30,IF(Skills!C14=3,120+Inputs!$B$28+Inputs!$B$30,MAX(0,(Inputs!$B$3-100)*3)+Inputs!$B$29+Inputs!$B$30)))</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f>(1-Summary!$B$48)*S14+Summary!$B$48*U14</f>
        <v/>
      </c>
      <c r="P14">
        <f>IF(Summary!$B$3=0,0,O14/Summary!$B$3)</f>
        <v/>
      </c>
      <c r="Q14">
        <f>IFERROR(1/IF(Inputs!$B$39="pvp",15,MAX(0.1,Skills!D14-IF(Skills!E14=TRUE,Inputs!$B$33,0))),0)</f>
        <v/>
      </c>
      <c r="R14">
        <f>IF(AND(Inputs!$B$39&lt;&gt;"pvp",Inputs!$B$44&gt;0),IF(Inputs!$B$44&lt;=0,0,(INT(Inputs!$B$44/IF(Inputs!$B$39="pvp",15,MAX(0.1,Skills!D14-IF(Skills!E14=TRUE,Inputs!$B$33,0))))+1)),0)</f>
        <v/>
      </c>
      <c r="S14" t="n">
        <v>0</v>
      </c>
      <c r="U14" t="n">
        <v>0</v>
      </c>
    </row>
    <row r="15">
      <c r="A15">
        <f>Skills!A15</f>
        <v/>
      </c>
      <c r="B15">
        <f>Skills!B15</f>
        <v/>
      </c>
      <c r="C15">
        <f>Inputs!$B$3&gt;=63</f>
        <v/>
      </c>
      <c r="D15">
        <f>IF(Skills!C15=1,60+Inputs!$B$26+Inputs!$B$30,IF(Skills!C15=2,90+Inputs!$B$27+Inputs!$B$30,IF(Skills!C15=3,120+Inputs!$B$28+Inputs!$B$30,MAX(0,(Inputs!$B$3-100)*3)+Inputs!$B$29+Inputs!$B$30)))</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f>Summary!$B$43*(F15/100)</f>
        <v/>
      </c>
      <c r="K15">
        <f>J15*(1+Summary!$B$44/100)*(1+(Inputs!$B$16+Summary!$B$53)/100)*(1+Inputs!$B$17/100)*(5000/(6000+Inputs!$B$43*(1-Inputs!$B$20/100)))*(1+Inputs!$B$25/100)*(1+IF(C18=TRUE,F18,0)/100)*(1+IF(C20=TRUE,F20,0)/100)*(1+IF(Skills!A15="TRIUMPH_FEATHER",IF(C16=TRUE,F16,0),0)/100)*(1+IF(C27=TRUE,F27,0)/100)^5*(1+(IF(Skills!A15="BIG_BANG",Inputs!$B$18,Inputs!$B$19))/100)*(Summary!$B$50*I15)</f>
        <v/>
      </c>
      <c r="L15">
        <f>K15*(MIN(Inputs!$B$23,Inputs!$B$24)/100+Inputs!$B$24/100)/2</f>
        <v/>
      </c>
      <c r="M15">
        <f>L15*(1+(Inputs!$B$11+Summary!$B$54)/100)</f>
        <v/>
      </c>
      <c r="N15">
        <f>L15*(1-MIN(Inputs!$B$10,100)/100)+M15*(MIN(Inputs!$B$10,100)/100)</f>
        <v/>
      </c>
      <c r="O15">
        <f>(1-Summary!$B$48)*S15+Summary!$B$48*U15</f>
        <v/>
      </c>
      <c r="P15">
        <f>IF(Summary!$B$3=0,0,O15/Summary!$B$3)</f>
        <v/>
      </c>
      <c r="Q15">
        <f>IFERROR(1/IF(Inputs!$B$39="pvp",15,MAX(0.1,Skills!D15-IF(Skills!E15=TRUE,Inputs!$B$33,0))),0)</f>
        <v/>
      </c>
      <c r="R15" t="n">
        <v>0</v>
      </c>
      <c r="S15">
        <f>IF(C15,(Skills!F15*N15*((IF(Inputs!$B$3&gt;=78,25,15)/100*Summary!$B$56*10)/(1+IF(Inputs!$B$3&gt;=78,25,15)/100*Summary!$B$56*10))*(Skills!I15/100*Summary!$B$56)/(1+Skills!G15*Skills!I15/100*Summary!$B$56))*IF(Inputs!$B$39="pvp",1,1+(Inputs!$B$21+Skills!O15+Summary!$B$51)/100),0)</f>
        <v/>
      </c>
      <c r="U15">
        <f>IF(C15,(Skills!F15*N15*((IF(Inputs!$B$3&gt;=78,25,15)/100*Summary!$B$56*10)/(1+IF(Inputs!$B$3&gt;=78,25,15)/100*Summary!$B$56*10))*(Skills!I15/100*Summary!$B$56)/(1+Skills!G15*Skills!I15/100*Summary!$B$56))*IF(Inputs!$B$39="pvp",1,(1+(Inputs!$B$22+Skills!P15+Summary!$B$52)/100)*(MIN(Skills!Q15,Inputs!$B$38))),0)</f>
        <v/>
      </c>
    </row>
    <row r="16">
      <c r="A16">
        <f>Skills!A16</f>
        <v/>
      </c>
      <c r="B16">
        <f>Skills!B16</f>
        <v/>
      </c>
      <c r="C16">
        <f>Inputs!$B$3&gt;=100</f>
        <v/>
      </c>
      <c r="D16">
        <f>IF(Skills!C16=1,60+Inputs!$B$26+Inputs!$B$30,IF(Skills!C16=2,90+Inputs!$B$27+Inputs!$B$30,IF(Skills!C16=3,120+Inputs!$B$28+Inputs!$B$30,MAX(0,(Inputs!$B$3-100)*3)+Inputs!$B$29+Inputs!$B$30)))</f>
        <v/>
      </c>
      <c r="E16">
        <f>INDEX(FactorTable!$B$2:$Y$301, MATCH(ROUND(MIN(300,MAX(1,D16)),0), FactorTable!$A$2:$A$301,0), Skills!L16+1)</f>
        <v/>
      </c>
      <c r="F16">
        <f>IF(Skills!M16=TRUE,(Skills!K16/10)*(E16/1000),Skills!K16/10)+Skills!N16</f>
        <v/>
      </c>
      <c r="G16">
        <f>Skills!F16*IF(Skills!G16&gt;0,Skills!H16/Skills!G16,1)</f>
        <v/>
      </c>
      <c r="H16">
        <f>1-(1-Skills!I16/100)^Skills!J16</f>
        <v/>
      </c>
      <c r="I16">
        <f>IF(Skills!T16&lt;&gt;"",1+(Skills!T16/10)*($Z$3/1000)/100,1)</f>
        <v/>
      </c>
      <c r="J16" t="inlineStr"/>
      <c r="K16" t="inlineStr"/>
      <c r="L16" t="inlineStr"/>
      <c r="M16" t="inlineStr"/>
      <c r="N16" t="inlineStr"/>
      <c r="O16">
        <f>(1-Summary!$B$48)*S16+Summary!$B$48*U16</f>
        <v/>
      </c>
      <c r="P16">
        <f>IF(Summary!$B$3=0,0,O16/Summary!$B$3)</f>
        <v/>
      </c>
      <c r="Q16">
        <f>IFERROR(1/IF(Inputs!$B$39="pvp",15,MAX(0.1,Skills!D16-IF(Skills!E16=TRUE,Inputs!$B$33,0))),0)</f>
        <v/>
      </c>
      <c r="R16" t="n">
        <v>0</v>
      </c>
      <c r="S16" t="n">
        <v>0</v>
      </c>
      <c r="U16" t="n">
        <v>0</v>
      </c>
    </row>
    <row r="17">
      <c r="A17">
        <f>Skills!A17</f>
        <v/>
      </c>
      <c r="B17">
        <f>Skills!B17</f>
        <v/>
      </c>
      <c r="C17">
        <f>Inputs!$B$3&gt;=49</f>
        <v/>
      </c>
      <c r="D17">
        <f>IF(Skills!C17=1,60+Inputs!$B$26+Inputs!$B$30,IF(Skills!C17=2,90+Inputs!$B$27+Inputs!$B$30,IF(Skills!C17=3,120+Inputs!$B$28+Inputs!$B$30,MAX(0,(Inputs!$B$3-100)*3)+Inputs!$B$29+Inputs!$B$30)))</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f>(1-Summary!$B$48)*S17+Summary!$B$48*U17</f>
        <v/>
      </c>
      <c r="P17">
        <f>IF(Summary!$B$3=0,0,O17/Summary!$B$3)</f>
        <v/>
      </c>
      <c r="Q17">
        <f>IFERROR(1/IF(Inputs!$B$39="pvp",15,MAX(0.1,Skills!D17-IF(Skills!E17=TRUE,Inputs!$B$33,0))),0)</f>
        <v/>
      </c>
      <c r="R17" t="n">
        <v>0</v>
      </c>
      <c r="S17" t="n">
        <v>0</v>
      </c>
      <c r="U17" t="n">
        <v>0</v>
      </c>
    </row>
    <row r="18">
      <c r="A18">
        <f>Skills!A18</f>
        <v/>
      </c>
      <c r="B18">
        <f>Skills!B18</f>
        <v/>
      </c>
      <c r="C18">
        <f>Inputs!$B$3&gt;=75</f>
        <v/>
      </c>
      <c r="D18">
        <f>IF(Skills!C18=1,60+Inputs!$B$26+Inputs!$B$30,IF(Skills!C18=2,90+Inputs!$B$27+Inputs!$B$30,IF(Skills!C18=3,120+Inputs!$B$28+Inputs!$B$30,MAX(0,(Inputs!$B$3-100)*3)+Inputs!$B$29+Inputs!$B$30)))</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f>(1-Summary!$B$48)*S18+Summary!$B$48*U18</f>
        <v/>
      </c>
      <c r="P18">
        <f>IF(Summary!$B$3=0,0,O18/Summary!$B$3)</f>
        <v/>
      </c>
      <c r="Q18">
        <f>IFERROR(1/IF(Inputs!$B$39="pvp",15,MAX(0.1,Skills!D18-IF(Skills!E18=TRUE,Inputs!$B$33,0))),0)</f>
        <v/>
      </c>
      <c r="R18" t="n">
        <v>0</v>
      </c>
      <c r="S18" t="n">
        <v>0</v>
      </c>
      <c r="U18" t="n">
        <v>0</v>
      </c>
    </row>
    <row r="19">
      <c r="A19">
        <f>Skills!A19</f>
        <v/>
      </c>
      <c r="B19">
        <f>Skills!B19</f>
        <v/>
      </c>
      <c r="C19">
        <f>Inputs!$B$3&gt;=110</f>
        <v/>
      </c>
      <c r="D19">
        <f>IF(Skills!C19=1,60+Inputs!$B$26+Inputs!$B$30,IF(Skills!C19=2,90+Inputs!$B$27+Inputs!$B$30,IF(Skills!C19=3,120+Inputs!$B$28+Inputs!$B$30,MAX(0,(Inputs!$B$3-100)*3)+Inputs!$B$29+Inputs!$B$30)))</f>
        <v/>
      </c>
      <c r="E19">
        <f>INDEX(FactorTable!$B$2:$Y$301, MATCH(ROUND(MIN(300,MAX(1,D19)),0), FactorTable!$A$2:$A$301,0), Skills!L19+1)</f>
        <v/>
      </c>
      <c r="F19">
        <f>(Skills!K19/10)*(E19/1000)*64/45+Skills!N19</f>
        <v/>
      </c>
      <c r="G19">
        <f>Skills!F19*IF(Skills!G19&gt;0,Skills!H19/Skills!G19,1)</f>
        <v/>
      </c>
      <c r="H19">
        <f>1-(1-Skills!I19/100)^Skills!J19</f>
        <v/>
      </c>
      <c r="I19">
        <f>IF(Skills!T19&lt;&gt;"",1+(Skills!T19/10)*($Z$3/1000)/100,1)</f>
        <v/>
      </c>
      <c r="J19" t="inlineStr"/>
      <c r="K19" t="inlineStr"/>
      <c r="L19" t="inlineStr"/>
      <c r="M19" t="inlineStr"/>
      <c r="N19" t="inlineStr"/>
      <c r="O19">
        <f>(1-Summary!$B$48)*S19+Summary!$B$48*U19</f>
        <v/>
      </c>
      <c r="P19">
        <f>IF(Summary!$B$3=0,0,O19/Summary!$B$3)</f>
        <v/>
      </c>
      <c r="Q19">
        <f>IFERROR(1/IF(Inputs!$B$39="pvp",15,MAX(0.1,Skills!D19-IF(Skills!E19=TRUE,Inputs!$B$33,0))),0)</f>
        <v/>
      </c>
      <c r="R19">
        <f>IF(AND(Inputs!$B$39&lt;&gt;"pvp",Inputs!$B$44&gt;0),IF(Inputs!$B$44&lt;=0,0,(INT(Inputs!$B$44/IF(Inputs!$B$39="pvp",15,MAX(0.1,Skills!D19-IF(Skills!E19=TRUE,Inputs!$B$33,0))))+1)),0)</f>
        <v/>
      </c>
      <c r="S19" t="n">
        <v>0</v>
      </c>
      <c r="U19" t="n">
        <v>0</v>
      </c>
    </row>
    <row r="20">
      <c r="A20">
        <f>Skills!A20</f>
        <v/>
      </c>
      <c r="B20">
        <f>Skills!B20</f>
        <v/>
      </c>
      <c r="C20">
        <f>Inputs!$B$3&gt;=125</f>
        <v/>
      </c>
      <c r="D20">
        <f>IF(Skills!C20=1,60+Inputs!$B$26+Inputs!$B$30,IF(Skills!C20=2,90+Inputs!$B$27+Inputs!$B$30,IF(Skills!C20=3,120+Inputs!$B$28+Inputs!$B$30,MAX(0,(Inputs!$B$3-100)*3)+Inputs!$B$29+Inputs!$B$30)))</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f>(1-Summary!$B$48)*S20+Summary!$B$48*U20</f>
        <v/>
      </c>
      <c r="P20">
        <f>IF(Summary!$B$3=0,0,O20/Summary!$B$3)</f>
        <v/>
      </c>
      <c r="Q20">
        <f>IFERROR(1/IF(Inputs!$B$39="pvp",15,MAX(0.1,Skills!D20-IF(Skills!E20=TRUE,Inputs!$B$33,0))),0)</f>
        <v/>
      </c>
      <c r="R20" t="n">
        <v>0</v>
      </c>
      <c r="S20" t="n">
        <v>0</v>
      </c>
      <c r="U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f>(1-Summary!$B$48)*S21+Summary!$B$48*U21</f>
        <v/>
      </c>
      <c r="P21">
        <f>IF(Summary!$B$3=0,0,O21/Summary!$B$3)</f>
        <v/>
      </c>
      <c r="Q21">
        <f>IFERROR(1/IF(Inputs!$B$39="pvp",15,MAX(0.1,Skills!D21-IF(Skills!E21=TRUE,Inputs!$B$33,0))),0)</f>
        <v/>
      </c>
      <c r="R21" t="n">
        <v>0</v>
      </c>
      <c r="S21" t="n">
        <v>0</v>
      </c>
      <c r="U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f>(1-Summary!$B$48)*S22+Summary!$B$48*U22</f>
        <v/>
      </c>
      <c r="P22">
        <f>IF(Summary!$B$3=0,0,O22/Summary!$B$3)</f>
        <v/>
      </c>
      <c r="Q22">
        <f>IFERROR(1/IF(Inputs!$B$39="pvp",15,MAX(0.1,Skills!D22-IF(Skills!E22=TRUE,Inputs!$B$33,0))),0)</f>
        <v/>
      </c>
      <c r="R22" t="n">
        <v>0</v>
      </c>
      <c r="S22" t="n">
        <v>0</v>
      </c>
      <c r="U22" t="n">
        <v>0</v>
      </c>
    </row>
    <row r="23">
      <c r="A23">
        <f>Skills!A23</f>
        <v/>
      </c>
      <c r="B23">
        <f>Skills!B23</f>
        <v/>
      </c>
      <c r="C23">
        <f>Inputs!$B$3&gt;=50</f>
        <v/>
      </c>
      <c r="D23">
        <f>IF(Skills!C23=1,60+Inputs!$B$26+Inputs!$B$30,IF(Skills!C23=2,90+Inputs!$B$27+Inputs!$B$30,IF(Skills!C23=3,120+Inputs!$B$28+Inputs!$B$30,MAX(0,(Inputs!$B$3-100)*3)+Inputs!$B$29+Inputs!$B$30)))</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f>(1-Summary!$B$48)*S23+Summary!$B$48*U23</f>
        <v/>
      </c>
      <c r="P23">
        <f>IF(Summary!$B$3=0,0,O23/Summary!$B$3)</f>
        <v/>
      </c>
      <c r="Q23">
        <f>IFERROR(1/IF(Inputs!$B$39="pvp",15,MAX(0.1,Skills!D23-IF(Skills!E23=TRUE,Inputs!$B$33,0))),0)</f>
        <v/>
      </c>
      <c r="R23" t="n">
        <v>0</v>
      </c>
      <c r="S23" t="n">
        <v>0</v>
      </c>
      <c r="U23" t="n">
        <v>0</v>
      </c>
    </row>
    <row r="24">
      <c r="A24">
        <f>Skills!A24</f>
        <v/>
      </c>
      <c r="B24">
        <f>Skills!B24</f>
        <v/>
      </c>
      <c r="C24">
        <f>Inputs!$B$3&gt;=74</f>
        <v/>
      </c>
      <c r="D24">
        <f>IF(Skills!C24=1,60+Inputs!$B$26+Inputs!$B$30,IF(Skills!C24=2,90+Inputs!$B$27+Inputs!$B$30,IF(Skills!C24=3,120+Inputs!$B$28+Inputs!$B$30,MAX(0,(Inputs!$B$3-100)*3)+Inputs!$B$29+Inputs!$B$30)))</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f>(1-Summary!$B$48)*S24+Summary!$B$48*U24</f>
        <v/>
      </c>
      <c r="P24">
        <f>IF(Summary!$B$3=0,0,O24/Summary!$B$3)</f>
        <v/>
      </c>
      <c r="Q24">
        <f>IFERROR(1/IF(Inputs!$B$39="pvp",15,MAX(0.1,Skills!D24-IF(Skills!E24=TRUE,Inputs!$B$33,0))),0)</f>
        <v/>
      </c>
      <c r="R24" t="n">
        <v>0</v>
      </c>
      <c r="S24" t="n">
        <v>0</v>
      </c>
      <c r="U24" t="n">
        <v>0</v>
      </c>
    </row>
    <row r="25">
      <c r="A25">
        <f>Skills!A25</f>
        <v/>
      </c>
      <c r="B25">
        <f>Skills!B25</f>
        <v/>
      </c>
      <c r="C25">
        <f>Inputs!$B$3&gt;=74</f>
        <v/>
      </c>
      <c r="D25">
        <f>IF(Skills!C25=1,60+Inputs!$B$26+Inputs!$B$30,IF(Skills!C25=2,90+Inputs!$B$27+Inputs!$B$30,IF(Skills!C25=3,120+Inputs!$B$28+Inputs!$B$30,MAX(0,(Inputs!$B$3-100)*3)+Inputs!$B$29+Inputs!$B$30)))</f>
        <v/>
      </c>
      <c r="E25">
        <f>INDEX(FactorTable!$B$2:$Y$301, MATCH(ROUND(MIN(300,MAX(1,D25)),0), FactorTable!$A$2:$A$301,0), Skills!L25+1)</f>
        <v/>
      </c>
      <c r="F25">
        <f>IF(Skills!M25=TRUE,(Skills!K25/10)*(E25/1000),Skills!K25/10)+Skills!N25</f>
        <v/>
      </c>
      <c r="G25">
        <f>Skills!F25*IF(Skills!G25&gt;0,Skills!H25/Skills!G25,1)</f>
        <v/>
      </c>
      <c r="H25">
        <f>1-(1-Skills!I25/100)^Skills!J25</f>
        <v/>
      </c>
      <c r="I25">
        <f>IF(Skills!T25&lt;&gt;"",1+(Skills!T25/10)*($Z$3/1000)/100,1)</f>
        <v/>
      </c>
      <c r="J25" t="inlineStr"/>
      <c r="K25" t="inlineStr"/>
      <c r="L25" t="inlineStr"/>
      <c r="M25" t="inlineStr"/>
      <c r="N25" t="inlineStr"/>
      <c r="O25">
        <f>(1-Summary!$B$48)*S25+Summary!$B$48*U25</f>
        <v/>
      </c>
      <c r="P25">
        <f>IF(Summary!$B$3=0,0,O25/Summary!$B$3)</f>
        <v/>
      </c>
      <c r="Q25">
        <f>IFERROR(1/IF(Inputs!$B$39="pvp",15,MAX(0.1,Skills!D25-IF(Skills!E25=TRUE,Inputs!$B$33,0))),0)</f>
        <v/>
      </c>
      <c r="R25" t="n">
        <v>0</v>
      </c>
      <c r="S25" t="n">
        <v>0</v>
      </c>
      <c r="U25" t="n">
        <v>0</v>
      </c>
    </row>
    <row r="26">
      <c r="A26">
        <f>Skills!A26</f>
        <v/>
      </c>
      <c r="B26">
        <f>Skills!B26</f>
        <v/>
      </c>
      <c r="C26">
        <f>Inputs!$B$3&gt;=117</f>
        <v/>
      </c>
      <c r="D26">
        <f>IF(Skills!C26=1,60+Inputs!$B$26+Inputs!$B$30,IF(Skills!C26=2,90+Inputs!$B$27+Inputs!$B$30,IF(Skills!C26=3,120+Inputs!$B$28+Inputs!$B$30,MAX(0,(Inputs!$B$3-100)*3)+Inputs!$B$29+Inputs!$B$30)))</f>
        <v/>
      </c>
      <c r="E26">
        <f>INDEX(FactorTable!$B$2:$Y$301, MATCH(ROUND(MIN(300,MAX(1,D26)),0), FactorTable!$A$2:$A$301,0), Skills!L26+1)</f>
        <v/>
      </c>
      <c r="F26">
        <f>IF(Skills!M26=TRUE,(Skills!K26/10)*(E26/1000),Skills!K26/10)+Skills!N26</f>
        <v/>
      </c>
      <c r="G26">
        <f>Skills!F26*IF(Skills!G26&gt;0,Skills!H26/Skills!G26,1)</f>
        <v/>
      </c>
      <c r="H26">
        <f>1-(1-Skills!I26/100)^Skills!J26</f>
        <v/>
      </c>
      <c r="I26">
        <f>IF(Skills!T26&lt;&gt;"",1+(Skills!T26/10)*($Z$3/1000)/100,1)</f>
        <v/>
      </c>
      <c r="J26" t="inlineStr"/>
      <c r="K26" t="inlineStr"/>
      <c r="L26" t="inlineStr"/>
      <c r="M26" t="inlineStr"/>
      <c r="N26" t="inlineStr"/>
      <c r="O26">
        <f>(1-Summary!$B$48)*S26+Summary!$B$48*U26</f>
        <v/>
      </c>
      <c r="P26">
        <f>IF(Summary!$B$3=0,0,O26/Summary!$B$3)</f>
        <v/>
      </c>
      <c r="Q26">
        <f>IFERROR(1/IF(Inputs!$B$39="pvp",15,MAX(0.1,Skills!D26-IF(Skills!E26=TRUE,Inputs!$B$33,0))),0)</f>
        <v/>
      </c>
      <c r="R26" t="n">
        <v>0</v>
      </c>
      <c r="S26" t="n">
        <v>0</v>
      </c>
      <c r="U26" t="n">
        <v>0</v>
      </c>
    </row>
    <row r="27">
      <c r="A27">
        <f>Skills!A27</f>
        <v/>
      </c>
      <c r="B27">
        <f>Skills!B27</f>
        <v/>
      </c>
      <c r="C27">
        <f>Inputs!$B$3&gt;=120</f>
        <v/>
      </c>
      <c r="D27">
        <f>IF(Skills!C27=1,60+Inputs!$B$26+Inputs!$B$30,IF(Skills!C27=2,90+Inputs!$B$27+Inputs!$B$30,IF(Skills!C27=3,120+Inputs!$B$28+Inputs!$B$30,MAX(0,(Inputs!$B$3-100)*3)+Inputs!$B$29+Inputs!$B$30)))</f>
        <v/>
      </c>
      <c r="E27">
        <f>INDEX(FactorTable!$B$2:$Y$301, MATCH(ROUND(MIN(300,MAX(1,D27)),0), FactorTable!$A$2:$A$301,0), Skills!L27+1)</f>
        <v/>
      </c>
      <c r="F27">
        <f>IF(Skills!M27=TRUE,(Skills!K27/10)*(E27/1000),Skills!K27/10)+Skills!N27</f>
        <v/>
      </c>
      <c r="G27">
        <f>Skills!F27*IF(Skills!G27&gt;0,Skills!H27/Skills!G27,1)</f>
        <v/>
      </c>
      <c r="H27">
        <f>1-(1-Skills!I27/100)^Skills!J27</f>
        <v/>
      </c>
      <c r="I27">
        <f>IF(Skills!T27&lt;&gt;"",1+(Skills!T27/10)*($Z$3/1000)/100,1)</f>
        <v/>
      </c>
      <c r="J27" t="inlineStr"/>
      <c r="K27" t="inlineStr"/>
      <c r="L27" t="inlineStr"/>
      <c r="M27" t="inlineStr"/>
      <c r="N27" t="inlineStr"/>
      <c r="O27">
        <f>(1-Summary!$B$48)*S27+Summary!$B$48*U27</f>
        <v/>
      </c>
      <c r="P27">
        <f>IF(Summary!$B$3=0,0,O27/Summary!$B$3)</f>
        <v/>
      </c>
      <c r="Q27">
        <f>IFERROR(1/IF(Inputs!$B$39="pvp",15,MAX(0.1,Skills!D27-IF(Skills!E27=TRUE,Inputs!$B$33,0))),0)</f>
        <v/>
      </c>
      <c r="R27" t="n">
        <v>0</v>
      </c>
      <c r="S27" t="n">
        <v>0</v>
      </c>
      <c r="U27"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Bishop — DPS Summary</t>
        </is>
      </c>
    </row>
    <row r="3">
      <c r="A3" s="10" t="inlineStr">
        <is>
          <t>TOTAL DPS</t>
        </is>
      </c>
      <c r="B3" s="10">
        <f>SUM(Calc!O2:O27)</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Calc!B6</f>
        <v/>
      </c>
      <c r="B8">
        <f>Calc!O6</f>
        <v/>
      </c>
      <c r="C8">
        <f>Calc!P6*100</f>
        <v/>
      </c>
    </row>
    <row r="9">
      <c r="A9">
        <f>Calc!B7</f>
        <v/>
      </c>
      <c r="B9">
        <f>Calc!O7</f>
        <v/>
      </c>
      <c r="C9">
        <f>Calc!P7*100</f>
        <v/>
      </c>
    </row>
    <row r="10">
      <c r="A10">
        <f>Calc!B8</f>
        <v/>
      </c>
      <c r="B10">
        <f>Calc!O8</f>
        <v/>
      </c>
      <c r="C10">
        <f>Calc!P8*100</f>
        <v/>
      </c>
    </row>
    <row r="11">
      <c r="A11">
        <f>Calc!B9</f>
        <v/>
      </c>
      <c r="B11">
        <f>Calc!O9</f>
        <v/>
      </c>
      <c r="C11">
        <f>Calc!P9*100</f>
        <v/>
      </c>
    </row>
    <row r="12">
      <c r="A12">
        <f>Calc!B15</f>
        <v/>
      </c>
      <c r="B12">
        <f>Calc!O15</f>
        <v/>
      </c>
      <c r="C12">
        <f>Calc!P15*100</f>
        <v/>
      </c>
    </row>
    <row r="13">
      <c r="A13" s="7" t="inlineStr">
        <is>
          <t>Marginal DPS &amp; Stat Value (see Sensitivity for full detail)</t>
        </is>
      </c>
    </row>
    <row r="15">
      <c r="A15" s="9" t="inlineStr">
        <is>
          <t>Stat</t>
        </is>
      </c>
      <c r="B15" s="9" t="inlineStr">
        <is>
          <t>DPS per +1</t>
        </is>
      </c>
      <c r="C15" s="9" t="inlineStr">
        <is>
          <t>Units per +1% DPS</t>
        </is>
      </c>
    </row>
    <row r="16">
      <c r="A16">
        <f>Sensitivity!A5</f>
        <v/>
      </c>
      <c r="B16">
        <f>Sensitivity!H5</f>
        <v/>
      </c>
      <c r="C16">
        <f>Sensitivity!B5</f>
        <v/>
      </c>
    </row>
    <row r="17">
      <c r="A17">
        <f>Sensitivity!A6</f>
        <v/>
      </c>
      <c r="B17">
        <f>Sensitivity!H6</f>
        <v/>
      </c>
      <c r="C17">
        <f>Sensitivity!B6</f>
        <v/>
      </c>
    </row>
    <row r="18">
      <c r="A18">
        <f>Sensitivity!A7</f>
        <v/>
      </c>
      <c r="B18">
        <f>Sensitivity!H7</f>
        <v/>
      </c>
      <c r="C18">
        <f>Sensitivity!B7</f>
        <v/>
      </c>
    </row>
    <row r="19">
      <c r="A19">
        <f>Sensitivity!A8</f>
        <v/>
      </c>
      <c r="B19">
        <f>Sensitivity!H8</f>
        <v/>
      </c>
      <c r="C19">
        <f>Sensitivity!B8</f>
        <v/>
      </c>
    </row>
    <row r="20">
      <c r="A20">
        <f>Sensitivity!A9</f>
        <v/>
      </c>
      <c r="B20">
        <f>Sensitivity!H9</f>
        <v/>
      </c>
      <c r="C20">
        <f>Sensitivity!B9</f>
        <v/>
      </c>
    </row>
    <row r="21">
      <c r="A21">
        <f>Sensitivity!A10</f>
        <v/>
      </c>
      <c r="B21">
        <f>Sensitivity!H10</f>
        <v/>
      </c>
      <c r="C21">
        <f>Sensitivity!B10</f>
        <v/>
      </c>
    </row>
    <row r="22">
      <c r="A22">
        <f>Sensitivity!A11</f>
        <v/>
      </c>
      <c r="B22">
        <f>Sensitivity!H11</f>
        <v/>
      </c>
      <c r="C22">
        <f>Sensitivity!B11</f>
        <v/>
      </c>
    </row>
    <row r="23">
      <c r="A23">
        <f>Sensitivity!A12</f>
        <v/>
      </c>
      <c r="B23">
        <f>Sensitivity!H12</f>
        <v/>
      </c>
      <c r="C23">
        <f>Sensitivity!B12</f>
        <v/>
      </c>
    </row>
    <row r="24">
      <c r="A24">
        <f>Sensitivity!A13</f>
        <v/>
      </c>
      <c r="B24">
        <f>Sensitivity!H13</f>
        <v/>
      </c>
      <c r="C24">
        <f>Sensitivity!B13</f>
        <v/>
      </c>
    </row>
    <row r="25">
      <c r="A25">
        <f>Sensitivity!A14</f>
        <v/>
      </c>
      <c r="B25">
        <f>Sensitivity!H14</f>
        <v/>
      </c>
      <c r="C25">
        <f>Sensitivity!B14</f>
        <v/>
      </c>
    </row>
    <row r="26">
      <c r="A26">
        <f>Sensitivity!A15</f>
        <v/>
      </c>
      <c r="B26">
        <f>Sensitivity!H15</f>
        <v/>
      </c>
      <c r="C26">
        <f>Sensitivity!B15</f>
        <v/>
      </c>
    </row>
    <row r="27">
      <c r="A27">
        <f>Sensitivity!A16</f>
        <v/>
      </c>
      <c r="B27">
        <f>Sensitivity!H16</f>
        <v/>
      </c>
      <c r="C27">
        <f>Sensitivity!B16</f>
        <v/>
      </c>
    </row>
    <row r="28">
      <c r="A28">
        <f>Sensitivity!A17</f>
        <v/>
      </c>
      <c r="B28">
        <f>Sensitivity!H17</f>
        <v/>
      </c>
      <c r="C28">
        <f>Sensitivity!B17</f>
        <v/>
      </c>
    </row>
    <row r="29">
      <c r="A29">
        <f>Sensitivity!A18</f>
        <v/>
      </c>
      <c r="B29">
        <f>Sensitivity!H18</f>
        <v/>
      </c>
      <c r="C29">
        <f>Sensitivity!B18</f>
        <v/>
      </c>
    </row>
    <row r="30">
      <c r="A30">
        <f>Sensitivity!A19</f>
        <v/>
      </c>
      <c r="B30">
        <f>Sensitivity!H19</f>
        <v/>
      </c>
      <c r="C30">
        <f>Sensitivity!B19</f>
        <v/>
      </c>
    </row>
    <row r="31">
      <c r="A31">
        <f>Sensitivity!A20</f>
        <v/>
      </c>
      <c r="B31">
        <f>Sensitivity!H20</f>
        <v/>
      </c>
      <c r="C31">
        <f>Sensitivity!B20</f>
        <v/>
      </c>
    </row>
    <row r="32">
      <c r="A32">
        <f>Sensitivity!A21</f>
        <v/>
      </c>
      <c r="B32">
        <f>Sensitivity!H21</f>
        <v/>
      </c>
      <c r="C32">
        <f>Sensitivity!B21</f>
        <v/>
      </c>
    </row>
    <row r="33">
      <c r="A33">
        <f>Sensitivity!A22</f>
        <v/>
      </c>
      <c r="B33">
        <f>Sensitivity!H22</f>
        <v/>
      </c>
      <c r="C33">
        <f>Sensitivity!B22</f>
        <v/>
      </c>
    </row>
    <row r="34">
      <c r="A34">
        <f>Sensitivity!A23</f>
        <v/>
      </c>
      <c r="B34">
        <f>Sensitivity!H23</f>
        <v/>
      </c>
      <c r="C34">
        <f>Sensitivity!B23</f>
        <v/>
      </c>
    </row>
    <row r="35">
      <c r="A35">
        <f>Sensitivity!A24</f>
        <v/>
      </c>
      <c r="B35">
        <f>Sensitivity!H24</f>
        <v/>
      </c>
      <c r="C35">
        <f>Sensitivity!B24</f>
        <v/>
      </c>
    </row>
    <row r="36">
      <c r="A36">
        <f>Sensitivity!A25</f>
        <v/>
      </c>
      <c r="B36">
        <f>Sensitivity!H25</f>
        <v/>
      </c>
      <c r="C36">
        <f>Sensitivity!B25</f>
        <v/>
      </c>
    </row>
    <row r="37">
      <c r="A37">
        <f>Sensitivity!A26</f>
        <v/>
      </c>
      <c r="B37">
        <f>Sensitivity!H26</f>
        <v/>
      </c>
      <c r="C37">
        <f>Sensitivity!B26</f>
        <v/>
      </c>
    </row>
    <row r="38">
      <c r="A38">
        <f>Sensitivity!A27</f>
        <v/>
      </c>
      <c r="B38">
        <f>Sensitivity!H27</f>
        <v/>
      </c>
      <c r="C38">
        <f>Sensitivity!B27</f>
        <v/>
      </c>
    </row>
    <row r="39">
      <c r="A39">
        <f>Sensitivity!A28</f>
        <v/>
      </c>
      <c r="B39">
        <f>Sensitivity!H28</f>
        <v/>
      </c>
      <c r="C39">
        <f>Sensitivity!B28</f>
        <v/>
      </c>
    </row>
    <row r="40">
      <c r="A40">
        <f>Sensitivity!A29</f>
        <v/>
      </c>
      <c r="B40">
        <f>Sensitivity!H29</f>
        <v/>
      </c>
      <c r="C40">
        <f>Sensitivity!B29</f>
        <v/>
      </c>
    </row>
    <row r="41">
      <c r="A41">
        <f>Sensitivity!A30</f>
        <v/>
      </c>
      <c r="B41">
        <f>Sensitivity!H30</f>
        <v/>
      </c>
      <c r="C41">
        <f>Sensitivity!B30</f>
        <v/>
      </c>
    </row>
    <row r="42">
      <c r="A42" s="7">
        <f>Sensitivity!A31</f>
        <v/>
      </c>
      <c r="B42">
        <f>Sensitivity!H31</f>
        <v/>
      </c>
      <c r="C42">
        <f>Sensitivity!B31</f>
        <v/>
      </c>
    </row>
    <row r="43">
      <c r="A43" t="inlineStr">
        <is>
          <t>ATTACK (= Flat ATTACK x (1+ATTACK%/100))</t>
        </is>
      </c>
      <c r="B43">
        <f>Inputs!$B$6*(1+Inputs!$B$7/100)</f>
        <v/>
      </c>
    </row>
    <row r="44">
      <c r="A44" t="inlineStr">
        <is>
          <t>STAT_DAMAGE % (= 1% of total INT [incl. Invincible's Defense-&gt; INT] + 0.25% of LUK)</t>
        </is>
      </c>
      <c r="B44">
        <f>((Inputs!$B$13+IF(Inputs!$B$3&gt;=35,(10*INDEX(FactorTable!$B$2:$Y$301, MATCH(ROUND(MIN(300,MAX(1,Inputs!$B$3)),0), FactorTable!$A$2:$A$301,0), 23)/1000)/100*(Inputs!$B$8*(1+(Inputs!$B$9+Summary!$B$60)/100)),0))*(1+Inputs!$B$14/100))*0.01+Inputs!$B$15*0.0025</f>
        <v/>
      </c>
    </row>
    <row r="45">
      <c r="A45" t="inlineStr">
        <is>
          <t>Basic Attack (Big Bang) Input Level (4th job formula)</t>
        </is>
      </c>
      <c r="B45">
        <f>MAX(0,(Inputs!$B$3-100)*3)+Inputs!$B$29+Inputs!$B$30</f>
        <v/>
      </c>
    </row>
    <row r="46">
      <c r="A46" t="inlineStr">
        <is>
          <t>Basic Attack Factor (factorIndex 21, from Big Bang == Chain Lightning reuse)</t>
        </is>
      </c>
      <c r="B46">
        <f>INDEX(FactorTable!$B$2:$Y$301, MATCH(ROUND(MIN(300,MAX(1,Summary!$B$45)),0), FactorTable!$A$2:$A$301,0), 22)</f>
        <v/>
      </c>
    </row>
    <row r="47">
      <c r="A47" t="inlineStr">
        <is>
          <t>SKILL_COEFFICIENT — Big Bang base coefficient % (before Skill Mastery)</t>
        </is>
      </c>
      <c r="B47">
        <f>290*Summary!$B$46/1000</f>
        <v/>
      </c>
    </row>
    <row r="48">
      <c r="A48" t="inlineStr">
        <is>
          <t>Normal-Monster Weight (= 0 for boss, 1 for normal, Breakthrough Normal Weight % for breakthrough, 0 for pvp)</t>
        </is>
      </c>
      <c r="B48">
        <f>IF(Inputs!$B$39="normal",1,IF(Inputs!$B$39="breakthrough",Inputs!$B$45/100,0))</f>
        <v/>
      </c>
    </row>
    <row r="50">
      <c r="A50" t="inlineStr">
        <is>
          <t>Average Buff Multiplier (Magic Guard + Heal + Bless + Holy Magic Shell, summed; then Advanced Blessing, Infinity)</t>
        </is>
      </c>
      <c r="B50">
        <f>(1+(IF(Calc!C3=TRUE,Calc!F3*IF(AND(Inputs!$B$39&lt;&gt;"pvp",Inputs!$B$44&gt;0),(((Calc!R3-1)*(Skills!S3*(1+(Inputs!$B$35+IF(Inputs!$B$3&gt;=117,Calc!F26,0))/100))+MIN((Skills!S3*(1+(Inputs!$B$35+IF(Inputs!$B$3&gt;=117,Calc!F26,0))/100)),MAX(0,Inputs!$B$44-((Calc!R3-1)*Skills!D3))))/Inputs!$B$44),IF(Inputs!$B$39="pvp",MIN((Skills!S3*(1+(Inputs!$B$35+IF(Inputs!$B$3&gt;=117,Calc!F26,0))/100)),15)/15,(Skills!S3*(1+(Inputs!$B$35+IF(Inputs!$B$3&gt;=117,Calc!F26,0))/100))/Skills!D3)),0)+IF(Calc!C4=TRUE,Calc!F4*IF(AND(Inputs!$B$39&lt;&gt;"pvp",Inputs!$B$44&gt;0),(((Calc!R4-1)*(Skills!S4*(1+(Inputs!$B$35+IF(Inputs!$B$3&gt;=117,Calc!F26,0))/100))+MIN((Skills!S4*(1+(Inputs!$B$35+IF(Inputs!$B$3&gt;=117,Calc!F26,0))/100)),MAX(0,Inputs!$B$44-((Calc!R4-1)*Skills!D4))))/Inputs!$B$44),IF(Inputs!$B$39="pvp",MIN((Skills!S4*(1+(Inputs!$B$35+IF(Inputs!$B$3&gt;=117,Calc!F26,0))/100)),15)/15,(Skills!S4*(1+(Inputs!$B$35+IF(Inputs!$B$3&gt;=117,Calc!F26,0))/100))/Skills!D4)),0)+IF(Calc!C5=TRUE,Calc!F5*IF(AND(Inputs!$B$39&lt;&gt;"pvp",Inputs!$B$44&gt;0),(((Calc!R5-1)*(Skills!S5*(1+(Inputs!$B$35+IF(Inputs!$B$3&gt;=117,Calc!F26,0))/100))+MIN((Skills!S5*(1+(Inputs!$B$35+IF(Inputs!$B$3&gt;=117,Calc!F26,0))/100)),MAX(0,Inputs!$B$44-((Calc!R5-1)*Skills!D5))))/Inputs!$B$44),IF(Inputs!$B$39="pvp",MIN((Skills!S5*(1+(Inputs!$B$35+IF(Inputs!$B$3&gt;=117,Calc!F26,0))/100)),15)/15,(Skills!S5*(1+(Inputs!$B$35+IF(Inputs!$B$3&gt;=117,Calc!F26,0))/100))/Skills!D5)),0)+IF(Calc!C11=TRUE,Calc!F11*IF(AND(Inputs!$B$39&lt;&gt;"pvp",Inputs!$B$44&gt;0),(((Calc!R11-1)*(Skills!S11*(1+(Inputs!$B$35+IF(Inputs!$B$3&gt;=117,Calc!F26,0))/100))+MIN((Skills!S11*(1+(Inputs!$B$35+IF(Inputs!$B$3&gt;=117,Calc!F26,0))/100)),MAX(0,Inputs!$B$44-((Calc!R11-1)*Skills!D11))))/Inputs!$B$44),IF(Inputs!$B$39="pvp",MIN((Skills!S11*(1+(Inputs!$B$35+IF(Inputs!$B$3&gt;=117,Calc!F26,0))/100)),15)/15,(Skills!S11*(1+(Inputs!$B$35+IF(Inputs!$B$3&gt;=117,Calc!F26,0))/100))/Skills!D11)),0))/100)*IF(Calc!C14=TRUE,(1+Calc!F14*IF(AND(Inputs!$B$39&lt;&gt;"pvp",Inputs!$B$44&gt;0),(((Calc!R14-1)*(Skills!S14*(1+(Inputs!$B$35+IF(Inputs!$B$3&gt;=117,Calc!F26,0))/100))+MIN((Skills!S14*(1+(Inputs!$B$35+IF(Inputs!$B$3&gt;=117,Calc!F26,0))/100)),MAX(0,Inputs!$B$44-((Calc!R14-1)*Skills!D14))))/Inputs!$B$44),IF(Inputs!$B$39="pvp",MIN((Skills!S14*(1+(Inputs!$B$35+IF(Inputs!$B$3&gt;=117,Calc!F26,0))/100)),15)/15,(Skills!S14*(1+(Inputs!$B$35+IF(Inputs!$B$3&gt;=117,Calc!F26,0))/100))/Skills!D14))/100),1)*IF(Calc!C19=TRUE,(1+Calc!F19*IF(AND(Inputs!$B$39&lt;&gt;"pvp",Inputs!$B$44&gt;0),(((Calc!R19-1)*(Skills!S19*(1+(Inputs!$B$35+IF(Inputs!$B$3&gt;=117,Calc!F26,0))/100))+MIN((Skills!S19*(1+(Inputs!$B$35+IF(Inputs!$B$3&gt;=117,Calc!F26,0))/100)),MAX(0,Inputs!$B$44-((Calc!R19-1)*Skills!D19))))/Inputs!$B$44),IF(Inputs!$B$39="pvp",MIN((Skills!S19*(1+(Inputs!$B$35+IF(Inputs!$B$3&gt;=117,Calc!F26,0))/100)),15)/15,(Skills!S19*(1+(Inputs!$B$35+IF(Inputs!$B$3&gt;=117,Calc!F26,0))/100))/Skills!D19))/100),1)</f>
        <v/>
      </c>
    </row>
    <row r="51">
      <c r="A51" t="inlineStr">
        <is>
          <t>Monster Damage Taken Bonus % (Holy Fountain - Boss Monster Damage, averaged)</t>
        </is>
      </c>
      <c r="B51">
        <f>IF(Inputs!$B$3&gt;=68,20*IF(Inputs!$B$39="pvp",MIN((15*(1+(Inputs!$B$35+IF(Inputs!$B$3&gt;=117,Calc!F26,0))/100)),15)/15,(15*(1+(Inputs!$B$35+IF(Inputs!$B$3&gt;=117,Calc!F26,0))/100))/Skills!D10),0)</f>
        <v/>
      </c>
    </row>
    <row r="52">
      <c r="A52" t="inlineStr">
        <is>
          <t>Normal Monster Damage Bonus % (Holy Symbol, averaged)</t>
        </is>
      </c>
      <c r="B52">
        <f>IF(Calc!C12=TRUE,Calc!F12*IF(AND(Inputs!$B$39&lt;&gt;"pvp",Inputs!$B$44&gt;0),(((Calc!R12-1)*(Skills!S12*(1+(Inputs!$B$35+IF(Inputs!$B$3&gt;=117,Calc!F26,0))/100))+MIN((Skills!S12*(1+(Inputs!$B$35+IF(Inputs!$B$3&gt;=117,Calc!F26,0))/100)),MAX(0,Inputs!$B$44-((Calc!R12-1)*Skills!D12))))/Inputs!$B$44),IF(Inputs!$B$39="pvp",MIN((Skills!S12*(1+(Inputs!$B$35+IF(Inputs!$B$3&gt;=117,Calc!F26,0))/100)),15)/15,(Skills!S12*(1+(Inputs!$B$35+IF(Inputs!$B$3&gt;=117,Calc!F26,0))/100))/Skills!D12)),0)</f>
        <v/>
      </c>
    </row>
    <row r="53">
      <c r="A53" t="inlineStr">
        <is>
          <t>Damage % Bonus (Holy Symbol - Damage Boost, solo-always-true)</t>
        </is>
      </c>
      <c r="B53">
        <f>Skills!O12</f>
        <v/>
      </c>
    </row>
    <row r="54">
      <c r="A54" t="inlineStr">
        <is>
          <t>Crit Damage % Bonus (Blood of the Divine, assumed 100% HP)</t>
        </is>
      </c>
      <c r="B54">
        <f>4*IF(Calc!C20=TRUE,Calc!F20,0)</f>
        <v/>
      </c>
    </row>
    <row r="55">
      <c r="A55" t="inlineStr">
        <is>
          <t>Attack Speed Bonus % (MP Eater - MP Boost + Blood of the Divine - Attack Speed, always-on)</t>
        </is>
      </c>
      <c r="B55">
        <f>IF(Calc!C17=TRUE,Calc!F17,0)+IF(Inputs!$B$3&gt;=134,15,0)</f>
        <v/>
      </c>
    </row>
    <row r="56">
      <c r="A56" t="inlineStr">
        <is>
          <t>Actions Per Second (Attack Speed combined via diminishing-returns stack, factor 150, then capped)</t>
        </is>
      </c>
      <c r="B56">
        <f>1+MIN(150,150*(1-(1-Inputs!$B$12/150)*(1-B55/150)))/100</f>
        <v/>
      </c>
    </row>
    <row r="57">
      <c r="A57" t="inlineStr">
        <is>
          <t>Skill + Buff Cast Rate (subtracted from Big Bang, 1/s)</t>
        </is>
      </c>
      <c r="B57">
        <f>IF(AND(Inputs!$B$39&lt;&gt;"pvp",Inputs!$B$44&gt;0),SUMPRODUCT((Skills!E2:E27=TRUE)*(Calc!C2:C27=TRUE)*Calc!R2:R27)/Inputs!$B$44,SUMPRODUCT((Skills!E2:E27=TRUE)*(Calc!C2:C27=TRUE)*Calc!Q2:Q27))</f>
        <v/>
      </c>
    </row>
    <row r="58">
      <c r="A58" t="inlineStr">
        <is>
          <t>Big Bang Casts Per Second (basic-attack rate)</t>
        </is>
      </c>
      <c r="B58">
        <f>MAX(0,B56-B57)</f>
        <v/>
      </c>
    </row>
    <row r="59">
      <c r="A59" t="inlineStr">
        <is>
          <t>Big Bang DPS</t>
        </is>
      </c>
      <c r="B59">
        <f>Calc!O2</f>
        <v/>
      </c>
    </row>
    <row r="60">
      <c r="A60" t="inlineStr">
        <is>
          <t>Defense % Bonus (Divine Protection, averaged)</t>
        </is>
      </c>
      <c r="B60">
        <f>IF(Calc!C13=TRUE,Calc!F13*IF(AND(Inputs!$B$39&lt;&gt;"pvp",Inputs!$B$44&gt;0),(((Calc!R13-1)*(Skills!S13*(1+(Inputs!$B$35+IF(Inputs!$B$3&gt;=117,Calc!F26,0))/100))+MIN((Skills!S13*(1+(Inputs!$B$35+IF(Inputs!$B$3&gt;=117,Calc!F26,0))/100)),MAX(0,Inputs!$B$44-((Calc!R13-1)*Skills!D13))))/Inputs!$B$44),IF(Inputs!$B$39="pvp",MIN((Skills!S13*(1+(Inputs!$B$35+IF(Inputs!$B$3&gt;=117,Calc!F26,0))/100)),15)/15,(Skills!S13*(1+(Inputs!$B$35+IF(Inputs!$B$3&gt;=117,Calc!F26,0))/100))/Skills!D13)),0)</f>
        <v/>
      </c>
    </row>
    <row r="61">
      <c r="A61" t="inlineStr">
        <is>
          <t>Buff-Casting Startup Delay (s, before first damage-skill cast; fixed-duration only)</t>
        </is>
      </c>
      <c r="B61">
        <f>IF(AND(Inputs!$B$39&lt;&gt;"pvp",Inputs!$B$44&gt;0),SUMPRODUCT((Skills!S2:S27&gt;0)*(Skills!E2:E27=TRUE)*(Calc!C2:C27=TRUE))/B56,0)</f>
        <v/>
      </c>
    </row>
    <row r="62">
      <c r="A62" t="inlineStr">
        <is>
          <t>Boss-Only Total DPS (Sensitivity baseline)</t>
        </is>
      </c>
      <c r="B62">
        <f>SUM(Calc!S2:S27)</f>
        <v/>
      </c>
    </row>
    <row r="63">
      <c r="A63" t="inlineStr">
        <is>
          <t>Normal-Only Total DPS (Sensitivity baseline)</t>
        </is>
      </c>
      <c r="B63">
        <f>SUM(Calc!U2:U27)</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67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INT</t>
        </is>
      </c>
      <c r="B5">
        <f>IFERROR(1/(I5-100),"n/a")</f>
        <v/>
      </c>
      <c r="C5" t="inlineStr">
        <is>
          <t>flat</t>
        </is>
      </c>
      <c r="D5">
        <f>Inputs!$B$13</f>
        <v/>
      </c>
      <c r="E5">
        <f>(Inputs!$B$13+1)</f>
        <v/>
      </c>
      <c r="F5">
        <f>Summary!$B$3</f>
        <v/>
      </c>
      <c r="G5">
        <f>B76</f>
        <v/>
      </c>
      <c r="H5">
        <f>Summary!$B$3*(((1-Summary!$B$48)*IFERROR(B74/Summary!$B$62,1)+Summary!$B$48*IFERROR(B75/Summary!$B$63,1))-1)</f>
        <v/>
      </c>
      <c r="I5">
        <f>((1-Summary!$B$48)*IFERROR(B74/Summary!$B$62,1)+Summary!$B$48*IFERROR(B75/Summary!$B$63,1))*100</f>
        <v/>
      </c>
    </row>
    <row r="6">
      <c r="A6" t="inlineStr">
        <is>
          <t>INT %</t>
        </is>
      </c>
      <c r="B6">
        <f>IFERROR(1/(I6-100),"n/a")</f>
        <v/>
      </c>
      <c r="C6" t="inlineStr">
        <is>
          <t>pct</t>
        </is>
      </c>
      <c r="D6">
        <f>Inputs!$B$14</f>
        <v/>
      </c>
      <c r="E6">
        <f>(Inputs!$B$14+1)</f>
        <v/>
      </c>
      <c r="F6">
        <f>Summary!$B$3</f>
        <v/>
      </c>
      <c r="G6">
        <f>B120</f>
        <v/>
      </c>
      <c r="H6">
        <f>Summary!$B$3*(((1-Summary!$B$48)*IFERROR(B118/Summary!$B$62,1)+Summary!$B$48*IFERROR(B119/Summary!$B$63,1))-1)</f>
        <v/>
      </c>
      <c r="I6">
        <f>((1-Summary!$B$48)*IFERROR(B118/Summary!$B$62,1)+Summary!$B$48*IFERROR(B119/Summary!$B$63,1))*100</f>
        <v/>
      </c>
    </row>
    <row r="7">
      <c r="A7" t="inlineStr">
        <is>
          <t>Defense (flat) — Invincible converts a level-scaling % (10%+) into INT</t>
        </is>
      </c>
      <c r="B7">
        <f>IFERROR(1/(I7-100),"n/a")</f>
        <v/>
      </c>
      <c r="C7" t="inlineStr">
        <is>
          <t>flat</t>
        </is>
      </c>
      <c r="D7">
        <f>Inputs!$B$8</f>
        <v/>
      </c>
      <c r="E7">
        <f>(Inputs!$B$8+1)</f>
        <v/>
      </c>
      <c r="F7">
        <f>Summary!$B$3</f>
        <v/>
      </c>
      <c r="G7">
        <f>B164</f>
        <v/>
      </c>
      <c r="H7">
        <f>Summary!$B$3*(((1-Summary!$B$48)*IFERROR(B162/Summary!$B$62,1)+Summary!$B$48*IFERROR(B163/Summary!$B$63,1))-1)</f>
        <v/>
      </c>
      <c r="I7">
        <f>((1-Summary!$B$48)*IFERROR(B162/Summary!$B$62,1)+Summary!$B$48*IFERROR(B163/Summary!$B$63,1))*100</f>
        <v/>
      </c>
    </row>
    <row r="8">
      <c r="A8" t="inlineStr">
        <is>
          <t>Defense %</t>
        </is>
      </c>
      <c r="B8">
        <f>IFERROR(1/(I8-100),"n/a")</f>
        <v/>
      </c>
      <c r="C8" t="inlineStr">
        <is>
          <t>pct</t>
        </is>
      </c>
      <c r="D8">
        <f>Inputs!$B$9</f>
        <v/>
      </c>
      <c r="E8">
        <f>(Inputs!$B$9+1)</f>
        <v/>
      </c>
      <c r="F8">
        <f>Summary!$B$3</f>
        <v/>
      </c>
      <c r="G8">
        <f>B208</f>
        <v/>
      </c>
      <c r="H8">
        <f>Summary!$B$3*(((1-Summary!$B$48)*IFERROR(B206/Summary!$B$62,1)+Summary!$B$48*IFERROR(B207/Summary!$B$63,1))-1)</f>
        <v/>
      </c>
      <c r="I8">
        <f>((1-Summary!$B$48)*IFERROR(B206/Summary!$B$62,1)+Summary!$B$48*IFERROR(B207/Summary!$B$63,1))*100</f>
        <v/>
      </c>
    </row>
    <row r="9">
      <c r="A9" t="inlineStr">
        <is>
          <t>DAMAGE %</t>
        </is>
      </c>
      <c r="B9">
        <f>IFERROR(1/(I9-100),"n/a")</f>
        <v/>
      </c>
      <c r="C9" t="inlineStr">
        <is>
          <t>pct</t>
        </is>
      </c>
      <c r="D9">
        <f>Inputs!$B$16</f>
        <v/>
      </c>
      <c r="E9">
        <f>(Inputs!$B$16+1)</f>
        <v/>
      </c>
      <c r="F9">
        <f>Summary!$B$3</f>
        <v/>
      </c>
      <c r="G9">
        <f>B252</f>
        <v/>
      </c>
      <c r="H9">
        <f>Summary!$B$3*(((1-Summary!$B$48)*IFERROR(B250/Summary!$B$62,1)+Summary!$B$48*IFERROR(B251/Summary!$B$63,1))-1)</f>
        <v/>
      </c>
      <c r="I9">
        <f>((1-Summary!$B$48)*IFERROR(B250/Summary!$B$62,1)+Summary!$B$48*IFERROR(B251/Summary!$B$63,1))*100</f>
        <v/>
      </c>
    </row>
    <row r="10">
      <c r="A10" t="inlineStr">
        <is>
          <t>DAMAGE_AMP %</t>
        </is>
      </c>
      <c r="B10">
        <f>IFERROR(1/(I10-100),"n/a")</f>
        <v/>
      </c>
      <c r="C10" t="inlineStr">
        <is>
          <t>pct</t>
        </is>
      </c>
      <c r="D10">
        <f>Inputs!$B$17</f>
        <v/>
      </c>
      <c r="E10">
        <f>(Inputs!$B$17+1)</f>
        <v/>
      </c>
      <c r="F10">
        <f>Summary!$B$3</f>
        <v/>
      </c>
      <c r="G10">
        <f>B296</f>
        <v/>
      </c>
      <c r="H10">
        <f>Summary!$B$3*(((1-Summary!$B$48)*IFERROR(B294/Summary!$B$62,1)+Summary!$B$48*IFERROR(B295/Summary!$B$63,1))-1)</f>
        <v/>
      </c>
      <c r="I10">
        <f>((1-Summary!$B$48)*IFERROR(B294/Summary!$B$62,1)+Summary!$B$48*IFERROR(B295/Summary!$B$63,1))*100</f>
        <v/>
      </c>
    </row>
    <row r="11">
      <c r="A11" t="inlineStr">
        <is>
          <t>BOSS_DAMAGE %</t>
        </is>
      </c>
      <c r="B11">
        <f>IFERROR(1/(I11-100),"n/a")</f>
        <v/>
      </c>
      <c r="C11" t="inlineStr">
        <is>
          <t>pct</t>
        </is>
      </c>
      <c r="D11">
        <f>Inputs!$B$21</f>
        <v/>
      </c>
      <c r="E11">
        <f>(Inputs!$B$21+1)</f>
        <v/>
      </c>
      <c r="F11">
        <f>Summary!$B$3</f>
        <v/>
      </c>
      <c r="G11">
        <f>B340</f>
        <v/>
      </c>
      <c r="H11">
        <f>Summary!$B$3*(((1-Summary!$B$48)*IFERROR(B338/Summary!$B$62,1)+Summary!$B$48*IFERROR(B339/Summary!$B$63,1))-1)</f>
        <v/>
      </c>
      <c r="I11">
        <f>((1-Summary!$B$48)*IFERROR(B338/Summary!$B$62,1)+Summary!$B$48*IFERROR(B339/Summary!$B$63,1))*100</f>
        <v/>
      </c>
    </row>
    <row r="12">
      <c r="A12" t="inlineStr">
        <is>
          <t>NORMAL_DAMAGE %</t>
        </is>
      </c>
      <c r="B12">
        <f>IFERROR(1/(I12-100),"n/a")</f>
        <v/>
      </c>
      <c r="C12" t="inlineStr">
        <is>
          <t>pct</t>
        </is>
      </c>
      <c r="D12">
        <f>Inputs!$B$22</f>
        <v/>
      </c>
      <c r="E12">
        <f>(Inputs!$B$22+1)</f>
        <v/>
      </c>
      <c r="F12">
        <f>Summary!$B$3</f>
        <v/>
      </c>
      <c r="G12">
        <f>B384</f>
        <v/>
      </c>
      <c r="H12">
        <f>Summary!$B$3*(((1-Summary!$B$48)*IFERROR(B382/Summary!$B$62,1)+Summary!$B$48*IFERROR(B383/Summary!$B$63,1))-1)</f>
        <v/>
      </c>
      <c r="I12">
        <f>((1-Summary!$B$48)*IFERROR(B382/Summary!$B$62,1)+Summary!$B$48*IFERROR(B383/Summary!$B$63,1))*100</f>
        <v/>
      </c>
    </row>
    <row r="13">
      <c r="A13" t="inlineStr">
        <is>
          <t>FINAL_DAMAGE % (multiplicative source)</t>
        </is>
      </c>
      <c r="B13">
        <f>IFERROR(1/(I13-100),"n/a")</f>
        <v/>
      </c>
      <c r="C13" t="inlineStr">
        <is>
          <t>mult</t>
        </is>
      </c>
      <c r="D13">
        <f>Inputs!$B$25</f>
        <v/>
      </c>
      <c r="E13">
        <f>((((1+Inputs!$B$25/100)*(1.01))-1)*100)</f>
        <v/>
      </c>
      <c r="F13">
        <f>Summary!$B$3</f>
        <v/>
      </c>
      <c r="G13">
        <f>B428</f>
        <v/>
      </c>
      <c r="H13">
        <f>Summary!$B$3*(((1-Summary!$B$48)*IFERROR(B426/Summary!$B$62,1)+Summary!$B$48*IFERROR(B427/Summary!$B$63,1))-1)</f>
        <v/>
      </c>
      <c r="I13">
        <f>((1-Summary!$B$48)*IFERROR(B426/Summary!$B$62,1)+Summary!$B$48*IFERROR(B427/Summary!$B$63,1))*100</f>
        <v/>
      </c>
    </row>
    <row r="14">
      <c r="A14" t="inlineStr">
        <is>
          <t>MIN_DAMAGE %</t>
        </is>
      </c>
      <c r="B14">
        <f>IFERROR(1/(I14-100),"n/a")</f>
        <v/>
      </c>
      <c r="C14" t="inlineStr">
        <is>
          <t>pct</t>
        </is>
      </c>
      <c r="D14">
        <f>Inputs!$B$23</f>
        <v/>
      </c>
      <c r="E14">
        <f>(Inputs!$B$23+1)</f>
        <v/>
      </c>
      <c r="F14">
        <f>Summary!$B$3</f>
        <v/>
      </c>
      <c r="G14">
        <f>B472</f>
        <v/>
      </c>
      <c r="H14">
        <f>Summary!$B$3*(((1-Summary!$B$48)*IFERROR(B470/Summary!$B$62,1)+Summary!$B$48*IFERROR(B471/Summary!$B$63,1))-1)</f>
        <v/>
      </c>
      <c r="I14">
        <f>((1-Summary!$B$48)*IFERROR(B470/Summary!$B$62,1)+Summary!$B$48*IFERROR(B471/Summary!$B$63,1))*100</f>
        <v/>
      </c>
    </row>
    <row r="15">
      <c r="A15" t="inlineStr">
        <is>
          <t>MAX_DAMAGE %</t>
        </is>
      </c>
      <c r="B15">
        <f>IFERROR(1/(I15-100),"n/a")</f>
        <v/>
      </c>
      <c r="C15" t="inlineStr">
        <is>
          <t>pct</t>
        </is>
      </c>
      <c r="D15">
        <f>Inputs!$B$24</f>
        <v/>
      </c>
      <c r="E15">
        <f>(Inputs!$B$24+1)</f>
        <v/>
      </c>
      <c r="F15">
        <f>Summary!$B$3</f>
        <v/>
      </c>
      <c r="G15">
        <f>B516</f>
        <v/>
      </c>
      <c r="H15">
        <f>Summary!$B$3*(((1-Summary!$B$48)*IFERROR(B514/Summary!$B$62,1)+Summary!$B$48*IFERROR(B515/Summary!$B$63,1))-1)</f>
        <v/>
      </c>
      <c r="I15">
        <f>((1-Summary!$B$48)*IFERROR(B514/Summary!$B$62,1)+Summary!$B$48*IFERROR(B515/Summary!$B$63,1))*100</f>
        <v/>
      </c>
    </row>
    <row r="16">
      <c r="A16" t="inlineStr">
        <is>
          <t>CRIT_RATE %</t>
        </is>
      </c>
      <c r="B16">
        <f>IFERROR(1/(I16-100),"n/a")</f>
        <v/>
      </c>
      <c r="C16" t="inlineStr">
        <is>
          <t>pct</t>
        </is>
      </c>
      <c r="D16">
        <f>Inputs!$B$10</f>
        <v/>
      </c>
      <c r="E16">
        <f>(Inputs!$B$10+1)</f>
        <v/>
      </c>
      <c r="F16">
        <f>Summary!$B$3</f>
        <v/>
      </c>
      <c r="G16">
        <f>B560</f>
        <v/>
      </c>
      <c r="H16">
        <f>Summary!$B$3*(((1-Summary!$B$48)*IFERROR(B558/Summary!$B$62,1)+Summary!$B$48*IFERROR(B559/Summary!$B$63,1))-1)</f>
        <v/>
      </c>
      <c r="I16">
        <f>((1-Summary!$B$48)*IFERROR(B558/Summary!$B$62,1)+Summary!$B$48*IFERROR(B559/Summary!$B$63,1))*100</f>
        <v/>
      </c>
    </row>
    <row r="17">
      <c r="A17" t="inlineStr">
        <is>
          <t>CRIT_DAMAGE %</t>
        </is>
      </c>
      <c r="B17">
        <f>IFERROR(1/(I17-100),"n/a")</f>
        <v/>
      </c>
      <c r="C17" t="inlineStr">
        <is>
          <t>pct</t>
        </is>
      </c>
      <c r="D17">
        <f>Inputs!$B$11</f>
        <v/>
      </c>
      <c r="E17">
        <f>(Inputs!$B$11+1)</f>
        <v/>
      </c>
      <c r="F17">
        <f>Summary!$B$3</f>
        <v/>
      </c>
      <c r="G17">
        <f>B604</f>
        <v/>
      </c>
      <c r="H17">
        <f>Summary!$B$3*(((1-Summary!$B$48)*IFERROR(B602/Summary!$B$62,1)+Summary!$B$48*IFERROR(B603/Summary!$B$63,1))-1)</f>
        <v/>
      </c>
      <c r="I17">
        <f>((1-Summary!$B$48)*IFERROR(B602/Summary!$B$62,1)+Summary!$B$48*IFERROR(B603/Summary!$B$63,1))*100</f>
        <v/>
      </c>
    </row>
    <row r="18">
      <c r="A18" t="inlineStr">
        <is>
          <t>ATTACK_SPEED % (diminishing returns, factor 150)</t>
        </is>
      </c>
      <c r="B18">
        <f>IFERROR(1/(I18-100),"n/a")</f>
        <v/>
      </c>
      <c r="C18" t="inlineStr">
        <is>
          <t>dr150</t>
        </is>
      </c>
      <c r="D18">
        <f>Inputs!$B$12</f>
        <v/>
      </c>
      <c r="E18">
        <f>((1-(1-Inputs!$B$12/150)*(1-1/150))*150)</f>
        <v/>
      </c>
      <c r="F18">
        <f>Summary!$B$3</f>
        <v/>
      </c>
      <c r="G18">
        <f>B648</f>
        <v/>
      </c>
      <c r="H18">
        <f>Summary!$B$3*(((1-Summary!$B$48)*IFERROR(B646/Summary!$B$62,1)+Summary!$B$48*IFERROR(B647/Summary!$B$63,1))-1)</f>
        <v/>
      </c>
      <c r="I18">
        <f>((1-Summary!$B$48)*IFERROR(B646/Summary!$B$62,1)+Summary!$B$48*IFERROR(B647/Summary!$B$63,1))*100</f>
        <v/>
      </c>
    </row>
    <row r="19">
      <c r="A19" t="inlineStr">
        <is>
          <t>DEF_PEN % (diminishing returns, factor 100)</t>
        </is>
      </c>
      <c r="B19">
        <f>IFERROR(1/(I19-100),"n/a")</f>
        <v/>
      </c>
      <c r="C19" t="inlineStr">
        <is>
          <t>dr100</t>
        </is>
      </c>
      <c r="D19">
        <f>Inputs!$B$20</f>
        <v/>
      </c>
      <c r="E19">
        <f>((1-(1-Inputs!$B$20/100)*(1-1/100))*100)</f>
        <v/>
      </c>
      <c r="F19">
        <f>Summary!$B$3</f>
        <v/>
      </c>
      <c r="G19">
        <f>B692</f>
        <v/>
      </c>
      <c r="H19">
        <f>Summary!$B$3*(((1-Summary!$B$48)*IFERROR(B690/Summary!$B$62,1)+Summary!$B$48*IFERROR(B691/Summary!$B$63,1))-1)</f>
        <v/>
      </c>
      <c r="I19">
        <f>((1-Summary!$B$48)*IFERROR(B690/Summary!$B$62,1)+Summary!$B$48*IFERROR(B691/Summary!$B$63,1))*100</f>
        <v/>
      </c>
    </row>
    <row r="20">
      <c r="A20" t="inlineStr">
        <is>
          <t>BASIC_ATTACK_DAMAGE %</t>
        </is>
      </c>
      <c r="B20">
        <f>IFERROR(1/(I20-100),"n/a")</f>
        <v/>
      </c>
      <c r="C20" t="inlineStr">
        <is>
          <t>pct</t>
        </is>
      </c>
      <c r="D20">
        <f>Inputs!$B$18</f>
        <v/>
      </c>
      <c r="E20">
        <f>(Inputs!$B$18+1)</f>
        <v/>
      </c>
      <c r="F20">
        <f>Summary!$B$3</f>
        <v/>
      </c>
      <c r="G20">
        <f>B736</f>
        <v/>
      </c>
      <c r="H20">
        <f>Summary!$B$3*(((1-Summary!$B$48)*IFERROR(B734/Summary!$B$62,1)+Summary!$B$48*IFERROR(B735/Summary!$B$63,1))-1)</f>
        <v/>
      </c>
      <c r="I20">
        <f>((1-Summary!$B$48)*IFERROR(B734/Summary!$B$62,1)+Summary!$B$48*IFERROR(B735/Summary!$B$63,1))*100</f>
        <v/>
      </c>
    </row>
    <row r="21">
      <c r="A21" t="inlineStr">
        <is>
          <t>SKILL_DAMAGE %</t>
        </is>
      </c>
      <c r="B21">
        <f>IFERROR(1/(I21-100),"n/a")</f>
        <v/>
      </c>
      <c r="C21" t="inlineStr">
        <is>
          <t>pct</t>
        </is>
      </c>
      <c r="D21">
        <f>Inputs!$B$19</f>
        <v/>
      </c>
      <c r="E21">
        <f>(Inputs!$B$19+1)</f>
        <v/>
      </c>
      <c r="F21">
        <f>Summary!$B$3</f>
        <v/>
      </c>
      <c r="G21">
        <f>B780</f>
        <v/>
      </c>
      <c r="H21">
        <f>Summary!$B$3*(((1-Summary!$B$48)*IFERROR(B778/Summary!$B$62,1)+Summary!$B$48*IFERROR(B779/Summary!$B$63,1))-1)</f>
        <v/>
      </c>
      <c r="I21">
        <f>((1-Summary!$B$48)*IFERROR(B778/Summary!$B$62,1)+Summary!$B$48*IFERROR(B779/Summary!$B$63,1))*100</f>
        <v/>
      </c>
    </row>
    <row r="22">
      <c r="A22" t="inlineStr">
        <is>
          <t>Skill Level Bonus — 1st Job</t>
        </is>
      </c>
      <c r="B22">
        <f>IFERROR(1/(I22-100),"n/a")</f>
        <v/>
      </c>
      <c r="C22" t="inlineStr">
        <is>
          <t>level</t>
        </is>
      </c>
      <c r="D22">
        <f>Inputs!$B$26</f>
        <v/>
      </c>
      <c r="E22">
        <f>(Inputs!$B$26+1)</f>
        <v/>
      </c>
      <c r="F22">
        <f>Summary!$B$3</f>
        <v/>
      </c>
      <c r="G22">
        <f>B824</f>
        <v/>
      </c>
      <c r="H22">
        <f>Summary!$B$3*(((1-Summary!$B$48)*IFERROR(B822/Summary!$B$62,1)+Summary!$B$48*IFERROR(B823/Summary!$B$63,1))-1)</f>
        <v/>
      </c>
      <c r="I22">
        <f>((1-Summary!$B$48)*IFERROR(B822/Summary!$B$62,1)+Summary!$B$48*IFERROR(B823/Summary!$B$63,1))*100</f>
        <v/>
      </c>
    </row>
    <row r="23">
      <c r="A23" t="inlineStr">
        <is>
          <t>Skill Level Bonus — 2nd Job</t>
        </is>
      </c>
      <c r="B23">
        <f>IFERROR(1/(I23-100),"n/a")</f>
        <v/>
      </c>
      <c r="C23" t="inlineStr">
        <is>
          <t>level</t>
        </is>
      </c>
      <c r="D23">
        <f>Inputs!$B$27</f>
        <v/>
      </c>
      <c r="E23">
        <f>(Inputs!$B$27+1)</f>
        <v/>
      </c>
      <c r="F23">
        <f>Summary!$B$3</f>
        <v/>
      </c>
      <c r="G23">
        <f>B868</f>
        <v/>
      </c>
      <c r="H23">
        <f>Summary!$B$3*(((1-Summary!$B$48)*IFERROR(B866/Summary!$B$62,1)+Summary!$B$48*IFERROR(B867/Summary!$B$63,1))-1)</f>
        <v/>
      </c>
      <c r="I23">
        <f>((1-Summary!$B$48)*IFERROR(B866/Summary!$B$62,1)+Summary!$B$48*IFERROR(B867/Summary!$B$63,1))*100</f>
        <v/>
      </c>
    </row>
    <row r="24">
      <c r="A24" t="inlineStr">
        <is>
          <t>Skill Level Bonus — 3rd Job</t>
        </is>
      </c>
      <c r="B24">
        <f>IFERROR(1/(I24-100),"n/a")</f>
        <v/>
      </c>
      <c r="C24" t="inlineStr">
        <is>
          <t>level</t>
        </is>
      </c>
      <c r="D24">
        <f>Inputs!$B$28</f>
        <v/>
      </c>
      <c r="E24">
        <f>(Inputs!$B$28+1)</f>
        <v/>
      </c>
      <c r="F24">
        <f>Summary!$B$3</f>
        <v/>
      </c>
      <c r="G24">
        <f>B912</f>
        <v/>
      </c>
      <c r="H24">
        <f>Summary!$B$3*(((1-Summary!$B$48)*IFERROR(B910/Summary!$B$62,1)+Summary!$B$48*IFERROR(B911/Summary!$B$63,1))-1)</f>
        <v/>
      </c>
      <c r="I24">
        <f>((1-Summary!$B$48)*IFERROR(B910/Summary!$B$62,1)+Summary!$B$48*IFERROR(B911/Summary!$B$63,1))*100</f>
        <v/>
      </c>
    </row>
    <row r="25">
      <c r="A25" t="inlineStr">
        <is>
          <t>Skill Level Bonus — 4th Job</t>
        </is>
      </c>
      <c r="B25">
        <f>IFERROR(1/(I25-100),"n/a")</f>
        <v/>
      </c>
      <c r="C25" t="inlineStr">
        <is>
          <t>level</t>
        </is>
      </c>
      <c r="D25">
        <f>Inputs!$B$29</f>
        <v/>
      </c>
      <c r="E25">
        <f>(Inputs!$B$29+1)</f>
        <v/>
      </c>
      <c r="F25">
        <f>Summary!$B$3</f>
        <v/>
      </c>
      <c r="G25">
        <f>B956</f>
        <v/>
      </c>
      <c r="H25">
        <f>Summary!$B$3*(((1-Summary!$B$48)*IFERROR(B954/Summary!$B$62,1)+Summary!$B$48*IFERROR(B955/Summary!$B$63,1))-1)</f>
        <v/>
      </c>
      <c r="I25">
        <f>((1-Summary!$B$48)*IFERROR(B954/Summary!$B$62,1)+Summary!$B$48*IFERROR(B955/Summary!$B$63,1))*100</f>
        <v/>
      </c>
    </row>
    <row r="26">
      <c r="A26" t="inlineStr">
        <is>
          <t>Skill Level Bonus — All Skills</t>
        </is>
      </c>
      <c r="B26">
        <f>IFERROR(1/(I26-100),"n/a")</f>
        <v/>
      </c>
      <c r="C26" t="inlineStr">
        <is>
          <t>level</t>
        </is>
      </c>
      <c r="D26">
        <f>Inputs!$B$30</f>
        <v/>
      </c>
      <c r="E26">
        <f>(Inputs!$B$30+1)</f>
        <v/>
      </c>
      <c r="F26">
        <f>Summary!$B$3</f>
        <v/>
      </c>
      <c r="G26">
        <f>B1000</f>
        <v/>
      </c>
      <c r="H26">
        <f>Summary!$B$3*(((1-Summary!$B$48)*IFERROR(B998/Summary!$B$62,1)+Summary!$B$48*IFERROR(B999/Summary!$B$63,1))-1)</f>
        <v/>
      </c>
      <c r="I26">
        <f>((1-Summary!$B$48)*IFERROR(B998/Summary!$B$62,1)+Summary!$B$48*IFERROR(B999/Summary!$B$63,1))*100</f>
        <v/>
      </c>
    </row>
    <row r="27">
      <c r="A27" t="inlineStr">
        <is>
          <t>Flat ATTACK</t>
        </is>
      </c>
      <c r="B27">
        <f>IFERROR(1/(I27-100),"n/a")</f>
        <v/>
      </c>
      <c r="C27" t="inlineStr">
        <is>
          <t>flat</t>
        </is>
      </c>
      <c r="D27">
        <f>Inputs!$B$6</f>
        <v/>
      </c>
      <c r="E27">
        <f>(Inputs!$B$6+1)</f>
        <v/>
      </c>
      <c r="F27">
        <f>Summary!$B$3</f>
        <v/>
      </c>
      <c r="G27">
        <f>B1044</f>
        <v/>
      </c>
      <c r="H27">
        <f>Summary!$B$3*(((1-Summary!$B$48)*IFERROR(B1042/Summary!$B$62,1)+Summary!$B$48*IFERROR(B1043/Summary!$B$63,1))-1)</f>
        <v/>
      </c>
      <c r="I27">
        <f>((1-Summary!$B$48)*IFERROR(B1042/Summary!$B$62,1)+Summary!$B$48*IFERROR(B1043/Summary!$B$63,1))*100</f>
        <v/>
      </c>
    </row>
    <row r="28">
      <c r="A28" t="inlineStr">
        <is>
          <t>ATTACK %</t>
        </is>
      </c>
      <c r="B28">
        <f>IFERROR(1/(I28-100),"n/a")</f>
        <v/>
      </c>
      <c r="C28" t="inlineStr">
        <is>
          <t>pct</t>
        </is>
      </c>
      <c r="D28">
        <f>Inputs!$B$7</f>
        <v/>
      </c>
      <c r="E28">
        <f>(Inputs!$B$7+1)</f>
        <v/>
      </c>
      <c r="F28">
        <f>Summary!$B$3</f>
        <v/>
      </c>
      <c r="G28">
        <f>B1088</f>
        <v/>
      </c>
      <c r="H28">
        <f>Summary!$B$3*(((1-Summary!$B$48)*IFERROR(B1086/Summary!$B$62,1)+Summary!$B$48*IFERROR(B1087/Summary!$B$63,1))-1)</f>
        <v/>
      </c>
      <c r="I28">
        <f>((1-Summary!$B$48)*IFERROR(B1086/Summary!$B$62,1)+Summary!$B$48*IFERROR(B1087/Summary!$B$63,1))*100</f>
        <v/>
      </c>
    </row>
    <row r="29">
      <c r="A29" t="inlineStr">
        <is>
          <t>Skill Cooldown Decrease (seconds)</t>
        </is>
      </c>
      <c r="B29">
        <f>IFERROR(1/(I29-100),"n/a")</f>
        <v/>
      </c>
      <c r="C29" t="inlineStr">
        <is>
          <t>flat</t>
        </is>
      </c>
      <c r="D29">
        <f>Inputs!$B$33</f>
        <v/>
      </c>
      <c r="E29">
        <f>(Inputs!$B$33+1)</f>
        <v/>
      </c>
      <c r="F29">
        <f>Summary!$B$3</f>
        <v/>
      </c>
      <c r="G29">
        <f>B1132</f>
        <v/>
      </c>
      <c r="H29">
        <f>Summary!$B$3*(((1-Summary!$B$48)*IFERROR(B1130/Summary!$B$62,1)+Summary!$B$48*IFERROR(B1131/Summary!$B$63,1))-1)</f>
        <v/>
      </c>
      <c r="I29">
        <f>((1-Summary!$B$48)*IFERROR(B1130/Summary!$B$62,1)+Summary!$B$48*IFERROR(B1131/Summary!$B$63,1))*100</f>
        <v/>
      </c>
    </row>
    <row r="30">
      <c r="A30" t="inlineStr">
        <is>
          <t>Basic Attack Target Increase (flat)</t>
        </is>
      </c>
      <c r="B30">
        <f>IFERROR(1/(I30-100),"n/a")</f>
        <v/>
      </c>
      <c r="C30" t="inlineStr">
        <is>
          <t>flat</t>
        </is>
      </c>
      <c r="D30">
        <f>Inputs!$B$34</f>
        <v/>
      </c>
      <c r="E30">
        <f>(Inputs!$B$34+1)</f>
        <v/>
      </c>
      <c r="F30">
        <f>Summary!$B$3</f>
        <v/>
      </c>
      <c r="G30">
        <f>B1176</f>
        <v/>
      </c>
      <c r="H30">
        <f>Summary!$B$3*(((1-Summary!$B$48)*IFERROR(B1174/Summary!$B$62,1)+Summary!$B$48*IFERROR(B1175/Summary!$B$63,1))-1)</f>
        <v/>
      </c>
      <c r="I30">
        <f>((1-Summary!$B$48)*IFERROR(B1174/Summary!$B$62,1)+Summary!$B$48*IFERROR(B1175/Summary!$B$63,1))*100</f>
        <v/>
      </c>
    </row>
    <row r="31">
      <c r="A31" t="inlineStr">
        <is>
          <t>Buff Duration Increase %</t>
        </is>
      </c>
      <c r="B31">
        <f>IFERROR(1/(I31-100),"n/a")</f>
        <v/>
      </c>
      <c r="C31" t="inlineStr">
        <is>
          <t>pct</t>
        </is>
      </c>
      <c r="D31">
        <f>Inputs!$B$35</f>
        <v/>
      </c>
      <c r="E31">
        <f>(Inputs!$B$35+1)</f>
        <v/>
      </c>
      <c r="F31">
        <f>Summary!$B$3</f>
        <v/>
      </c>
      <c r="G31">
        <f>B1220</f>
        <v/>
      </c>
      <c r="H31">
        <f>Summary!$B$3*(((1-Summary!$B$48)*IFERROR(B1218/Summary!$B$62,1)+Summary!$B$48*IFERROR(B1219/Summary!$B$63,1))-1)</f>
        <v/>
      </c>
      <c r="I31">
        <f>((1-Summary!$B$48)*IFERROR(B1218/Summary!$B$62,1)+Summary!$B$48*IFERROR(B1219/Summary!$B$63,1))*100</f>
        <v/>
      </c>
    </row>
    <row r="34">
      <c r="A34" s="5" t="inlineStr">
        <is>
          <t>Stat: Flat INT</t>
        </is>
      </c>
    </row>
    <row r="35">
      <c r="A35" s="9" t="inlineStr">
        <is>
          <t>Key</t>
        </is>
      </c>
      <c r="B35" s="9" t="inlineStr">
        <is>
          <t>Name</t>
        </is>
      </c>
      <c r="C35" s="9" t="inlineStr">
        <is>
          <t>Unlocked</t>
        </is>
      </c>
      <c r="D35" s="9" t="inlineStr">
        <is>
          <t>InputLevel</t>
        </is>
      </c>
      <c r="E35" s="9" t="inlineStr">
        <is>
          <t>Factor</t>
        </is>
      </c>
      <c r="F35" s="9" t="inlineStr">
        <is>
          <t>CoefficientPercent</t>
        </is>
      </c>
      <c r="G35" s="9" t="inlineStr">
        <is>
          <t>EffectiveHits</t>
        </is>
      </c>
      <c r="H35" s="9" t="inlineStr">
        <is>
          <t>ProcProbability</t>
        </is>
      </c>
      <c r="I35" s="9" t="inlineStr">
        <is>
          <t>MapleHeroMultiplier</t>
        </is>
      </c>
      <c r="J35" s="9" t="inlineStr">
        <is>
          <t>BaseDamage</t>
        </is>
      </c>
      <c r="K35" s="9" t="inlineStr">
        <is>
          <t>BaseHitDamage</t>
        </is>
      </c>
      <c r="L35" s="9" t="inlineStr">
        <is>
          <t>NonCritAvg</t>
        </is>
      </c>
      <c r="M35" s="9" t="inlineStr">
        <is>
          <t>CritAvg</t>
        </is>
      </c>
      <c r="N35" s="9" t="inlineStr">
        <is>
          <t>ExpectedDamage(perHit)</t>
        </is>
      </c>
      <c r="O35" s="9" t="inlineStr">
        <is>
          <t>DPS</t>
        </is>
      </c>
      <c r="P35" s="9" t="inlineStr">
        <is>
          <t>% of Total</t>
        </is>
      </c>
      <c r="R35" t="inlineStr">
        <is>
          <t>helpers</t>
        </is>
      </c>
    </row>
    <row r="36">
      <c r="A36">
        <f>Skills!A2</f>
        <v/>
      </c>
      <c r="B36">
        <f>Skills!B2</f>
        <v/>
      </c>
      <c r="C36">
        <f>Inputs!$B$3&gt;=100</f>
        <v/>
      </c>
      <c r="D36" t="inlineStr"/>
      <c r="E36" t="inlineStr"/>
      <c r="F36">
        <f>T38+Skills!N2</f>
        <v/>
      </c>
      <c r="G36">
        <f>Calc!G2</f>
        <v/>
      </c>
      <c r="H36">
        <f>Calc!H2</f>
        <v/>
      </c>
      <c r="I36">
        <f>IF(Skills!T2&lt;&gt;"",1+(Skills!T2/10)*($Z$3/1000)/100,1)</f>
        <v/>
      </c>
      <c r="J36">
        <f>((Inputs!$B$6*(1+Inputs!$B$7/100))+((((Inputs!$B$13+1)*(1+Inputs!$B$14/100))-(Inputs!$B$13*(1+Inputs!$B$14/100)))+0.25*(Inputs!$B$15-Inputs!$B$15))*(1+Inputs!$B$7/100))*(F36/100)</f>
        <v/>
      </c>
      <c r="K36">
        <f>J36*(1+((((Inputs!$B$13+1)+IF(Inputs!$B$3&gt;=35,(10*INDEX(FactorTable!$B$2:$Y$301, MATCH(ROUND(MIN(300,MAX(1,Inputs!$B$3)),0), FactorTable!$A$2:$A$301,0), 23)/1000)/100*(Inputs!$B$8*(1+(Inputs!$B$9+B72)/100)),0))*(1+Inputs!$B$14/100))*0.01+Inputs!$B$15*0.0025)/100)*(1+(Inputs!$B$16+B66)/100)*(1+Inputs!$B$17/100)*(5000/(6000+Inputs!$B$43*(1-Inputs!$B$20/100)))*(1+Inputs!$B$25/100)*(1+IF(C52=TRUE,F52,0)/100)*(1+IF(C54=TRUE,F54,0)/100)*(1+IF(Skills!A2="TRIUMPH_FEATHER",IF(C50=TRUE,F50,0),0)/100)*(1+IF(C61=TRUE,F61,0)/100)^5*(1+(IF(Skills!A2="BIG_BANG",Inputs!$B$18,Inputs!$B$19))/100)*(B63*I36)</f>
        <v/>
      </c>
      <c r="L36">
        <f>K36*(MIN(Inputs!$B$23+(F56-Calc!F22),Inputs!$B$24)/100+Inputs!$B$24/100)/2</f>
        <v/>
      </c>
      <c r="M36">
        <f>L36*(1+(Inputs!$B$11+B67+(F59-Calc!F25))/100)</f>
        <v/>
      </c>
      <c r="N36">
        <f>L36*(1-MIN(Inputs!$B$10+((F58-Calc!F24)+(F57-Calc!F23)),100)/100)+M36*(MIN(Inputs!$B$10+((F58-Calc!F24)+(F57-Calc!F23)),100)/100)</f>
        <v/>
      </c>
      <c r="O36">
        <f>(1-Summary!$B$48)*S36+Summary!$B$48*U36</f>
        <v/>
      </c>
      <c r="P36">
        <f>IF(B76=0,0,O36/B76)</f>
        <v/>
      </c>
      <c r="Q36">
        <f>IFERROR(1/IF(Inputs!$B$39="pvp",15,MAX(0.1,Skills!D2-IF(Skills!E2=TRUE,Inputs!$B$33,0))),0)</f>
        <v/>
      </c>
      <c r="R36" t="n">
        <v>0</v>
      </c>
      <c r="S36">
        <f>IF(C36,(Skills!F2*N36*B71)*IF(Inputs!$B$39="pvp",1,1+(Inputs!$B$21+Skills!O2+B64)/100),0)</f>
        <v/>
      </c>
      <c r="T36">
        <f>MAX(0,(Inputs!$B$3-100)*3)+Inputs!$B$29+Inputs!$B$30</f>
        <v/>
      </c>
      <c r="U36">
        <f>IF(C36,(Skills!F2*N36*B71)*IF(Inputs!$B$39="pvp",1,(1+(Inputs!$B$22+Skills!P2+B65)/100)*(MIN((6+Inputs!$B$34),Inputs!$B$38))),0)</f>
        <v/>
      </c>
    </row>
    <row r="37">
      <c r="A37">
        <f>Skills!A3</f>
        <v/>
      </c>
      <c r="B37">
        <f>Skills!B3</f>
        <v/>
      </c>
      <c r="C37">
        <f>Inputs!$B$3&gt;=15</f>
        <v/>
      </c>
      <c r="D37">
        <f>IF(Skills!C3=1,60+Inputs!$B$26+Inputs!$B$30,IF(Skills!C3=2,90+Inputs!$B$27+Inputs!$B$30,IF(Skills!C3=3,120+Inputs!$B$28+Inputs!$B$30,MAX(0,(Inputs!$B$3-100)*3)+Inputs!$B$29+Inputs!$B$30)))</f>
        <v/>
      </c>
      <c r="E37">
        <f>INDEX(FactorTable!$B$2:$Y$301, MATCH(ROUND(MIN(300,MAX(1,D37)),0), FactorTable!$A$2:$A$301,0), Skills!L3+1)</f>
        <v/>
      </c>
      <c r="F37">
        <f>IF(Skills!M3=TRUE,(Skills!K3/10)*(E37/1000),Skills!K3/10)+Skills!N3</f>
        <v/>
      </c>
      <c r="G37">
        <f>Calc!G3</f>
        <v/>
      </c>
      <c r="H37">
        <f>Calc!H3</f>
        <v/>
      </c>
      <c r="I37">
        <f>IF(Skills!T3&lt;&gt;"",1+(Skills!T3/10)*($Z$3/1000)/100,1)</f>
        <v/>
      </c>
      <c r="J37" t="inlineStr"/>
      <c r="K37" t="inlineStr"/>
      <c r="L37" t="inlineStr"/>
      <c r="M37" t="inlineStr"/>
      <c r="N37" t="inlineStr"/>
      <c r="O37">
        <f>(1-Summary!$B$48)*S37+Summary!$B$48*U37</f>
        <v/>
      </c>
      <c r="P37">
        <f>IF(B76=0,0,O37/B76)</f>
        <v/>
      </c>
      <c r="Q37">
        <f>IFERROR(1/IF(Inputs!$B$39="pvp",15,MAX(0.1,Skills!D3-IF(Skills!E3=TRUE,Inputs!$B$33,0))),0)</f>
        <v/>
      </c>
      <c r="R37">
        <f>IF(AND(Inputs!$B$39&lt;&gt;"pvp",Inputs!$B$44&gt;0),IF(Inputs!$B$44&lt;=0,0,(INT(Inputs!$B$44/IF(Inputs!$B$39="pvp",15,MAX(0.1,Skills!D3-IF(Skills!E3=TRUE,Inputs!$B$33,0))))+1)),0)</f>
        <v/>
      </c>
      <c r="S37" t="n">
        <v>0</v>
      </c>
      <c r="T37">
        <f>INDEX(FactorTable!$B$2:$Y$301, MATCH(ROUND(MIN(300,MAX(1,T36)),0), FactorTable!$A$2:$A$301,0), 22)</f>
        <v/>
      </c>
      <c r="U37" t="n">
        <v>0</v>
      </c>
    </row>
    <row r="38">
      <c r="A38">
        <f>Skills!A4</f>
        <v/>
      </c>
      <c r="B38">
        <f>Skills!B4</f>
        <v/>
      </c>
      <c r="C38">
        <f>Inputs!$B$3&gt;=38</f>
        <v/>
      </c>
      <c r="D38">
        <f>IF(Skills!C4=1,60+Inputs!$B$26+Inputs!$B$30,IF(Skills!C4=2,90+Inputs!$B$27+Inputs!$B$30,IF(Skills!C4=3,120+Inputs!$B$28+Inputs!$B$30,MAX(0,(Inputs!$B$3-100)*3)+Inputs!$B$29+Inputs!$B$30)))</f>
        <v/>
      </c>
      <c r="E38">
        <f>INDEX(FactorTable!$B$2:$Y$301, MATCH(ROUND(MIN(300,MAX(1,D38)),0), FactorTable!$A$2:$A$301,0), Skills!L4+1)</f>
        <v/>
      </c>
      <c r="F38">
        <f>IF(Skills!M4=TRUE,(Skills!K4/10)*(E38/1000),Skills!K4/10)+Skills!N4</f>
        <v/>
      </c>
      <c r="G38">
        <f>Calc!G4</f>
        <v/>
      </c>
      <c r="H38">
        <f>Calc!H4</f>
        <v/>
      </c>
      <c r="I38">
        <f>IF(Skills!T4&lt;&gt;"",1+(Skills!T4/10)*($Z$3/1000)/100,1)</f>
        <v/>
      </c>
      <c r="J38" t="inlineStr"/>
      <c r="K38" t="inlineStr"/>
      <c r="L38" t="inlineStr"/>
      <c r="M38" t="inlineStr"/>
      <c r="N38" t="inlineStr"/>
      <c r="O38">
        <f>(1-Summary!$B$48)*S38+Summary!$B$48*U38</f>
        <v/>
      </c>
      <c r="P38">
        <f>IF(B76=0,0,O38/B76)</f>
        <v/>
      </c>
      <c r="Q38">
        <f>IFERROR(1/IF(Inputs!$B$39="pvp",15,MAX(0.1,Skills!D4-IF(Skills!E4=TRUE,Inputs!$B$33,0))),0)</f>
        <v/>
      </c>
      <c r="R38">
        <f>IF(AND(Inputs!$B$39&lt;&gt;"pvp",Inputs!$B$44&gt;0),IF(Inputs!$B$44&lt;=0,0,(INT(Inputs!$B$44/IF(Inputs!$B$39="pvp",15,MAX(0.1,Skills!D4-IF(Skills!E4=TRUE,Inputs!$B$33,0))))+1)),0)</f>
        <v/>
      </c>
      <c r="S38" t="n">
        <v>0</v>
      </c>
      <c r="T38">
        <f>290*T37/1000</f>
        <v/>
      </c>
      <c r="U38" t="n">
        <v>0</v>
      </c>
    </row>
    <row r="39">
      <c r="A39">
        <f>Skills!A5</f>
        <v/>
      </c>
      <c r="B39">
        <f>Skills!B5</f>
        <v/>
      </c>
      <c r="C39">
        <f>Inputs!$B$3&gt;=40</f>
        <v/>
      </c>
      <c r="D39">
        <f>IF(Skills!C5=1,60+Inputs!$B$26+Inputs!$B$30,IF(Skills!C5=2,90+Inputs!$B$27+Inputs!$B$30,IF(Skills!C5=3,120+Inputs!$B$28+Inputs!$B$30,MAX(0,(Inputs!$B$3-100)*3)+Inputs!$B$29+Inputs!$B$30)))</f>
        <v/>
      </c>
      <c r="E39">
        <f>INDEX(FactorTable!$B$2:$Y$301, MATCH(ROUND(MIN(300,MAX(1,D39)),0), FactorTable!$A$2:$A$301,0), Skills!L5+1)</f>
        <v/>
      </c>
      <c r="F39">
        <f>IF(Skills!M5=TRUE,(Skills!K5/10)*(E39/1000),Skills!K5/10)+Skills!N5</f>
        <v/>
      </c>
      <c r="G39">
        <f>Calc!G5</f>
        <v/>
      </c>
      <c r="H39">
        <f>Calc!H5</f>
        <v/>
      </c>
      <c r="I39">
        <f>IF(Skills!T5&lt;&gt;"",1+(Skills!T5/10)*($Z$3/1000)/100,1)</f>
        <v/>
      </c>
      <c r="J39" t="inlineStr"/>
      <c r="K39" t="inlineStr"/>
      <c r="L39" t="inlineStr"/>
      <c r="M39" t="inlineStr"/>
      <c r="N39" t="inlineStr"/>
      <c r="O39">
        <f>(1-Summary!$B$48)*S39+Summary!$B$48*U39</f>
        <v/>
      </c>
      <c r="P39">
        <f>IF(B76=0,0,O39/B76)</f>
        <v/>
      </c>
      <c r="Q39">
        <f>IFERROR(1/IF(Inputs!$B$39="pvp",15,MAX(0.1,Skills!D5-IF(Skills!E5=TRUE,Inputs!$B$33,0))),0)</f>
        <v/>
      </c>
      <c r="R39">
        <f>IF(AND(Inputs!$B$39&lt;&gt;"pvp",Inputs!$B$44&gt;0),IF(Inputs!$B$44&lt;=0,0,(INT(Inputs!$B$44/IF(Inputs!$B$39="pvp",15,MAX(0.1,Skills!D5-IF(Skills!E5=TRUE,Inputs!$B$33,0))))+1)),0)</f>
        <v/>
      </c>
      <c r="S39" t="n">
        <v>0</v>
      </c>
      <c r="U39" t="n">
        <v>0</v>
      </c>
    </row>
    <row r="40">
      <c r="A40">
        <f>Skills!A6</f>
        <v/>
      </c>
      <c r="B40">
        <f>Skills!B6</f>
        <v/>
      </c>
      <c r="C40">
        <f>Inputs!$B$3&gt;=103</f>
        <v/>
      </c>
      <c r="D40">
        <f>IF(Skills!C6=1,60+Inputs!$B$26+Inputs!$B$30,IF(Skills!C6=2,90+Inputs!$B$27+Inputs!$B$30,IF(Skills!C6=3,120+Inputs!$B$28+Inputs!$B$30,MAX(0,(Inputs!$B$3-100)*3)+Inputs!$B$29+Inputs!$B$30)))</f>
        <v/>
      </c>
      <c r="E40">
        <f>INDEX(FactorTable!$B$2:$Y$301, MATCH(ROUND(MIN(300,MAX(1,D40)),0), FactorTable!$A$2:$A$301,0), Skills!L6+1)</f>
        <v/>
      </c>
      <c r="F40">
        <f>IF(Skills!M6=TRUE,(Skills!K6/10)*(E40/1000),Skills!K6/10)+Skills!N6</f>
        <v/>
      </c>
      <c r="G40">
        <f>Calc!G6</f>
        <v/>
      </c>
      <c r="H40">
        <f>Calc!H6</f>
        <v/>
      </c>
      <c r="I40">
        <f>IF(Skills!T6&lt;&gt;"",1+(Skills!T6/10)*($Z$3/1000)/100,1)</f>
        <v/>
      </c>
      <c r="J40">
        <f>((Inputs!$B$6*(1+Inputs!$B$7/100))+((((Inputs!$B$13+1)*(1+Inputs!$B$14/100))-(Inputs!$B$13*(1+Inputs!$B$14/100)))+0.25*(Inputs!$B$15-Inputs!$B$15))*(1+Inputs!$B$7/100))*(F40/100)</f>
        <v/>
      </c>
      <c r="K40">
        <f>J40*(1+((((Inputs!$B$13+1)+IF(Inputs!$B$3&gt;=35,(10*INDEX(FactorTable!$B$2:$Y$301, MATCH(ROUND(MIN(300,MAX(1,Inputs!$B$3)),0), FactorTable!$A$2:$A$301,0), 23)/1000)/100*(Inputs!$B$8*(1+(Inputs!$B$9+B72)/100)),0))*(1+Inputs!$B$14/100))*0.01+Inputs!$B$15*0.0025)/100)*(1+(Inputs!$B$16+B66)/100)*(1+Inputs!$B$17/100)*(5000/(6000+Inputs!$B$43*(1-Inputs!$B$20/100)))*(1+Inputs!$B$25/100)*(1+IF(C52=TRUE,F52,0)/100)*(1+IF(C54=TRUE,F54,0)/100)*(1+IF(Skills!A6="TRIUMPH_FEATHER",IF(C50=TRUE,F50,0),0)/100)*(1+IF(C61=TRUE,F61,0)/100)^5*(1+(IF(Skills!A6="BIG_BANG",Inputs!$B$18,Inputs!$B$19))/100)*(B63*I40)</f>
        <v/>
      </c>
      <c r="L40">
        <f>K40*(MIN(Inputs!$B$23+(F56-Calc!F22),Inputs!$B$24)/100+Inputs!$B$24/100)/2</f>
        <v/>
      </c>
      <c r="M40">
        <f>L40*(1+(Inputs!$B$11+B67+(F59-Calc!F25))/100)</f>
        <v/>
      </c>
      <c r="N40">
        <f>L40*(1-MIN(Inputs!$B$10+((F58-Calc!F24)+(F57-Calc!F23)),100)/100)+M40*(MIN(Inputs!$B$10+((F58-Calc!F24)+(F57-Calc!F23)),100)/100)</f>
        <v/>
      </c>
      <c r="O40">
        <f>(1-Summary!$B$48)*S40+Summary!$B$48*U40</f>
        <v/>
      </c>
      <c r="P40">
        <f>IF(B76=0,0,O40/B76)</f>
        <v/>
      </c>
      <c r="Q40">
        <f>IFERROR(1/IF(Inputs!$B$39="pvp",15,MAX(0.1,Skills!D6-IF(Skills!E6=TRUE,Inputs!$B$33,0))),0)</f>
        <v/>
      </c>
      <c r="R40">
        <f>IF(AND(Inputs!$B$39&lt;&gt;"pvp",Inputs!$B$44&gt;0),IF(MAX(0,Inputs!$B$44-B73)&lt;=0,0,(INT(MAX(0,Inputs!$B$44-B73)/IF(Inputs!$B$39="pvp",15,MAX(0.1,Skills!D6-IF(Skills!E6=TRUE,Inputs!$B$33,0))))+1)),0)</f>
        <v/>
      </c>
      <c r="S40">
        <f>IF(C40,(H40*N40*IF(AND(Inputs!$B$39&lt;&gt;"pvp",Inputs!$B$44&gt;0),((Skills!F6*((R40-1)*IF(Skills!G6&gt;0,Skills!H6/Skills!G6,1)+IF(Skills!G6&gt;0,MIN(Skills!H6,MAX(0,MAX(0,Inputs!$B$44-B73)-((R40-1)*IF(Inputs!$B$39="pvp",15,MAX(0.1,Skills!D6-IF(Skills!E6=TRUE,Inputs!$B$33,0))))))/Skills!G6,1)))/Inputs!$B$44),G40*Q40))*IF(Inputs!$B$39="pvp",1,1+(Inputs!$B$21+Skills!O6+B64)/100),0)</f>
        <v/>
      </c>
      <c r="U40">
        <f>IF(C40,(H40*N40*IF(AND(Inputs!$B$39&lt;&gt;"pvp",Inputs!$B$44&gt;0),((Skills!F6*((R40-1)*IF(Skills!G6&gt;0,Skills!H6/Skills!G6,1)+IF(Skills!G6&gt;0,MIN(Skills!H6,MAX(0,MAX(0,Inputs!$B$44-B73)-((R40-1)*IF(Inputs!$B$39="pvp",15,MAX(0.1,Skills!D6-IF(Skills!E6=TRUE,Inputs!$B$33,0))))))/Skills!G6,1)))/Inputs!$B$44),G40*Q40))*IF(Inputs!$B$39="pvp",1,(1+(Inputs!$B$22+Skills!P6+B65)/100)*(MIN(Skills!Q6,Inputs!$B$38))),0)</f>
        <v/>
      </c>
    </row>
    <row r="41">
      <c r="A41">
        <f>Skills!A7</f>
        <v/>
      </c>
      <c r="B41">
        <f>Skills!B7</f>
        <v/>
      </c>
      <c r="C41">
        <f>Inputs!$B$3&gt;=122</f>
        <v/>
      </c>
      <c r="D41">
        <f>IF(Skills!C7=1,60+Inputs!$B$26+Inputs!$B$30,IF(Skills!C7=2,90+Inputs!$B$27+Inputs!$B$30,IF(Skills!C7=3,120+Inputs!$B$28+Inputs!$B$30,MAX(0,(Inputs!$B$3-100)*3)+Inputs!$B$29+Inputs!$B$30)))</f>
        <v/>
      </c>
      <c r="E41">
        <f>INDEX(FactorTable!$B$2:$Y$301, MATCH(ROUND(MIN(300,MAX(1,D41)),0), FactorTable!$A$2:$A$301,0), Skills!L7+1)</f>
        <v/>
      </c>
      <c r="F41">
        <f>IF(Skills!M7=TRUE,(Skills!K7/10)*(E41/1000),Skills!K7/10)+Skills!N7</f>
        <v/>
      </c>
      <c r="G41">
        <f>Calc!G7</f>
        <v/>
      </c>
      <c r="H41">
        <f>Calc!H7</f>
        <v/>
      </c>
      <c r="I41">
        <f>IF(Skills!T7&lt;&gt;"",1+(Skills!T7/10)*($Z$3/1000)/100,1)</f>
        <v/>
      </c>
      <c r="J41">
        <f>((Inputs!$B$6*(1+Inputs!$B$7/100))+((((Inputs!$B$13+1)*(1+Inputs!$B$14/100))-(Inputs!$B$13*(1+Inputs!$B$14/100)))+0.25*(Inputs!$B$15-Inputs!$B$15))*(1+Inputs!$B$7/100))*(F41/100)</f>
        <v/>
      </c>
      <c r="K41">
        <f>J41*(1+((((Inputs!$B$13+1)+IF(Inputs!$B$3&gt;=35,(10*INDEX(FactorTable!$B$2:$Y$301, MATCH(ROUND(MIN(300,MAX(1,Inputs!$B$3)),0), FactorTable!$A$2:$A$301,0), 23)/1000)/100*(Inputs!$B$8*(1+(Inputs!$B$9+B72)/100)),0))*(1+Inputs!$B$14/100))*0.01+Inputs!$B$15*0.0025)/100)*(1+(Inputs!$B$16+B66)/100)*(1+Inputs!$B$17/100)*(5000/(6000+Inputs!$B$43*(1-Inputs!$B$20/100)))*(1+Inputs!$B$25/100)*(1+IF(C52=TRUE,F52,0)/100)*(1+IF(C54=TRUE,F54,0)/100)*(1+IF(Skills!A7="TRIUMPH_FEATHER",IF(C50=TRUE,F50,0),0)/100)*(1+IF(C61=TRUE,F61,0)/100)^5*(1+(IF(Skills!A7="BIG_BANG",Inputs!$B$18,Inputs!$B$19))/100)*(B63*I41)</f>
        <v/>
      </c>
      <c r="L41">
        <f>K41*(MIN(Inputs!$B$23+(F56-Calc!F22),Inputs!$B$24)/100+Inputs!$B$24/100)/2</f>
        <v/>
      </c>
      <c r="M41">
        <f>L41*(1+(Inputs!$B$11+B67+(F59-Calc!F25))/100)</f>
        <v/>
      </c>
      <c r="N41">
        <f>L41*(1-MIN(Inputs!$B$10+((F58-Calc!F24)+(F57-Calc!F23)),100)/100)+M41*(MIN(Inputs!$B$10+((F58-Calc!F24)+(F57-Calc!F23)),100)/100)</f>
        <v/>
      </c>
      <c r="O41">
        <f>(1-Summary!$B$48)*S41+Summary!$B$48*U41</f>
        <v/>
      </c>
      <c r="P41">
        <f>IF(B76=0,0,O41/B76)</f>
        <v/>
      </c>
      <c r="Q41">
        <f>IFERROR(1/IF(Inputs!$B$39="pvp",15,MAX(0.1,Skills!D7-IF(Skills!E6=TRUE,Inputs!$B$33,0))),0)</f>
        <v/>
      </c>
      <c r="R41">
        <f>IF(AND(Inputs!$B$39&lt;&gt;"pvp",Inputs!$B$44&gt;0),IF(MAX(0,Inputs!$B$44-B73)&lt;=0,0,(INT(MAX(0,Inputs!$B$44-B73)/IF(Inputs!$B$39="pvp",15,MAX(0.1,Skills!D7-IF(Skills!E6=TRUE,Inputs!$B$33,0))))+1)),0)</f>
        <v/>
      </c>
      <c r="S41">
        <f>IF(C41,H41*N41*IF(AND(Inputs!$B$39&lt;&gt;"pvp",Inputs!$B$44&gt;0),((Skills!F7*((R41-1)*IF(Skills!G7&gt;0,Skills!H7/Skills!G7,1)+IF(Skills!G7&gt;0,MIN(Skills!H7,MAX(0,MAX(0,Inputs!$B$44-B73)-((R41-1)*IF(Inputs!$B$39="pvp",15,MAX(0.1,Skills!D7-IF(Skills!E6=TRUE,Inputs!$B$33,0))))))/Skills!G7,1)))/Inputs!$B$44),G41*Q41)*IF(Inputs!$B$39="pvp",1,1+(Inputs!$B$21+Skills!O7+B64)/100),0)</f>
        <v/>
      </c>
      <c r="U41" t="n">
        <v>0</v>
      </c>
    </row>
    <row r="42">
      <c r="A42">
        <f>Skills!A8</f>
        <v/>
      </c>
      <c r="B42">
        <f>Skills!B8</f>
        <v/>
      </c>
      <c r="C42">
        <f>Inputs!$B$3&gt;=105</f>
        <v/>
      </c>
      <c r="D42">
        <f>IF(Skills!C8=1,60+Inputs!$B$26+Inputs!$B$30,IF(Skills!C8=2,90+Inputs!$B$27+Inputs!$B$30,IF(Skills!C8=3,120+Inputs!$B$28+Inputs!$B$30,MAX(0,(Inputs!$B$3-100)*3)+Inputs!$B$29+Inputs!$B$30)))</f>
        <v/>
      </c>
      <c r="E42">
        <f>INDEX(FactorTable!$B$2:$Y$301, MATCH(ROUND(MIN(300,MAX(1,D42)),0), FactorTable!$A$2:$A$301,0), Skills!L8+1)</f>
        <v/>
      </c>
      <c r="F42">
        <f>IF(Skills!M8=TRUE,(Skills!K8/10)*(E42/1000),Skills!K8/10)+Skills!N8</f>
        <v/>
      </c>
      <c r="G42">
        <f>Calc!G8</f>
        <v/>
      </c>
      <c r="H42">
        <f>Calc!H8</f>
        <v/>
      </c>
      <c r="I42">
        <f>IF(Skills!T8&lt;&gt;"",1+(Skills!T8/10)*($Z$3/1000)/100,1)</f>
        <v/>
      </c>
      <c r="J42">
        <f>((Inputs!$B$6*(1+Inputs!$B$7/100))+((((Inputs!$B$13+1)*(1+Inputs!$B$14/100))-(Inputs!$B$13*(1+Inputs!$B$14/100)))+0.25*(Inputs!$B$15-Inputs!$B$15))*(1+Inputs!$B$7/100))*(F42/100)</f>
        <v/>
      </c>
      <c r="K42">
        <f>J42*(1+((((Inputs!$B$13+1)+IF(Inputs!$B$3&gt;=35,(10*INDEX(FactorTable!$B$2:$Y$301, MATCH(ROUND(MIN(300,MAX(1,Inputs!$B$3)),0), FactorTable!$A$2:$A$301,0), 23)/1000)/100*(Inputs!$B$8*(1+(Inputs!$B$9+B72)/100)),0))*(1+Inputs!$B$14/100))*0.01+Inputs!$B$15*0.0025)/100)*(1+(Inputs!$B$16+B66)/100)*(1+Inputs!$B$17/100)*(5000/(6000+Inputs!$B$43*(1-Inputs!$B$20/100)))*(1+Inputs!$B$25/100)*(1+IF(C52=TRUE,F52,0)/100)*(1+IF(C54=TRUE,F54,0)/100)*(1+IF(Skills!A8="TRIUMPH_FEATHER",IF(C50=TRUE,F50,0),0)/100)*(1+IF(C61=TRUE,F61,0)/100)^5*(1+(IF(Skills!A8="BIG_BANG",Inputs!$B$18,Inputs!$B$19))/100)*(B63*I42)</f>
        <v/>
      </c>
      <c r="L42">
        <f>K42*(MIN(Inputs!$B$23+(F56-Calc!F22),Inputs!$B$24)/100+Inputs!$B$24/100)/2</f>
        <v/>
      </c>
      <c r="M42">
        <f>L42*(1+(Inputs!$B$11+B67+(F59-Calc!F25))/100)</f>
        <v/>
      </c>
      <c r="N42">
        <f>L42*(1-MIN(Inputs!$B$10+((F58-Calc!F24)+(F57-Calc!F23)),100)/100)+M42*(MIN(Inputs!$B$10+((F58-Calc!F24)+(F57-Calc!F23)),100)/100)</f>
        <v/>
      </c>
      <c r="O42">
        <f>(1-Summary!$B$48)*S42+Summary!$B$48*U42</f>
        <v/>
      </c>
      <c r="P42">
        <f>IF(B76=0,0,O42/B76)</f>
        <v/>
      </c>
      <c r="Q42">
        <f>IFERROR(1/IF(Inputs!$B$39="pvp",15,MAX(0.1,Skills!D8-IF(Skills!E8=TRUE,Inputs!$B$33,0))),0)</f>
        <v/>
      </c>
      <c r="R42">
        <f>IF(AND(Inputs!$B$39&lt;&gt;"pvp",Inputs!$B$44&gt;0),IF(MAX(0,Inputs!$B$44-B73)&lt;=0,0,(INT(MAX(0,Inputs!$B$44-B73)/IF(Inputs!$B$39="pvp",15,MAX(0.1,Skills!D8-IF(Skills!E8=TRUE,Inputs!$B$33,0))))+1)),0)</f>
        <v/>
      </c>
      <c r="S42">
        <f>IF(C42,(H42*N42*IF(AND(Inputs!$B$39&lt;&gt;"pvp",Inputs!$B$44&gt;0),((Skills!F8*((R42-1)*IF(Skills!G8&gt;0,Skills!H8/Skills!G8,1)+IF(Skills!G8&gt;0,MIN(Skills!H8,MAX(0,MAX(0,Inputs!$B$44-B73)-((R42-1)*IF(Inputs!$B$39="pvp",15,MAX(0.1,Skills!D8-IF(Skills!E8=TRUE,Inputs!$B$33,0))))))/Skills!G8,1)))/Inputs!$B$44),G42*Q42))*IF(Inputs!$B$39="pvp",1,1+(Inputs!$B$21+Skills!O8+B64)/100),0)</f>
        <v/>
      </c>
      <c r="U42">
        <f>IF(C42,(H42*N42*IF(AND(Inputs!$B$39&lt;&gt;"pvp",Inputs!$B$44&gt;0),((Skills!F8*((R42-1)*IF(Skills!G8&gt;0,Skills!H8/Skills!G8,1)+IF(Skills!G8&gt;0,MIN(Skills!H8,MAX(0,MAX(0,Inputs!$B$44-B73)-((R42-1)*IF(Inputs!$B$39="pvp",15,MAX(0.1,Skills!D8-IF(Skills!E8=TRUE,Inputs!$B$33,0))))))/Skills!G8,1)))/Inputs!$B$44),G42*Q42))*IF(Inputs!$B$39="pvp",1,(1+(Inputs!$B$22+Skills!P8+B65)/100)*(MIN(Skills!Q8,Inputs!$B$38))),0)</f>
        <v/>
      </c>
    </row>
    <row r="43">
      <c r="A43">
        <f>Skills!A9</f>
        <v/>
      </c>
      <c r="B43">
        <f>Skills!B9</f>
        <v/>
      </c>
      <c r="C43">
        <f>Inputs!$B$3&gt;=115</f>
        <v/>
      </c>
      <c r="D43">
        <f>IF(Skills!C9=1,60+Inputs!$B$26+Inputs!$B$30,IF(Skills!C9=2,90+Inputs!$B$27+Inputs!$B$30,IF(Skills!C9=3,120+Inputs!$B$28+Inputs!$B$30,MAX(0,(Inputs!$B$3-100)*3)+Inputs!$B$29+Inputs!$B$30)))</f>
        <v/>
      </c>
      <c r="E43">
        <f>INDEX(FactorTable!$B$2:$Y$301, MATCH(ROUND(MIN(300,MAX(1,D43)),0), FactorTable!$A$2:$A$301,0), Skills!L9+1)</f>
        <v/>
      </c>
      <c r="F43">
        <f>IF(Skills!M9=TRUE,(Skills!K9/10)*(E43/1000),Skills!K9/10)+Skills!N9</f>
        <v/>
      </c>
      <c r="G43">
        <f>Calc!G9</f>
        <v/>
      </c>
      <c r="H43">
        <f>Calc!H9</f>
        <v/>
      </c>
      <c r="I43">
        <f>IF(Skills!T9&lt;&gt;"",1+(Skills!T9/10)*($Z$3/1000)/100,1)</f>
        <v/>
      </c>
      <c r="J43">
        <f>((Inputs!$B$6*(1+Inputs!$B$7/100))+((((Inputs!$B$13+1)*(1+Inputs!$B$14/100))-(Inputs!$B$13*(1+Inputs!$B$14/100)))+0.25*(Inputs!$B$15-Inputs!$B$15))*(1+Inputs!$B$7/100))*(F43/100)</f>
        <v/>
      </c>
      <c r="K43">
        <f>J43*(1+((((Inputs!$B$13+1)+IF(Inputs!$B$3&gt;=35,(10*INDEX(FactorTable!$B$2:$Y$301, MATCH(ROUND(MIN(300,MAX(1,Inputs!$B$3)),0), FactorTable!$A$2:$A$301,0), 23)/1000)/100*(Inputs!$B$8*(1+(Inputs!$B$9+B72)/100)),0))*(1+Inputs!$B$14/100))*0.01+Inputs!$B$15*0.0025)/100)*(1+(Inputs!$B$16+B66)/100)*(1+Inputs!$B$17/100)*(5000/(6000+Inputs!$B$43*(1-Inputs!$B$20/100)))*(1+Inputs!$B$25/100)*(1+IF(C52=TRUE,F52,0)/100)*(1+IF(C54=TRUE,F54,0)/100)*(1+IF(Skills!A9="TRIUMPH_FEATHER",IF(C50=TRUE,F50,0),0)/100)*(1+IF(C61=TRUE,F61,0)/100)^5*(1+(IF(Skills!A9="BIG_BANG",Inputs!$B$18,Inputs!$B$19))/100)*(B63*I43)</f>
        <v/>
      </c>
      <c r="L43">
        <f>K43*(MIN(Inputs!$B$23+(F56-Calc!F22),Inputs!$B$24)/100+Inputs!$B$24/100)/2</f>
        <v/>
      </c>
      <c r="M43">
        <f>L43*(1+(Inputs!$B$11+B67+(F59-Calc!F25))/100)</f>
        <v/>
      </c>
      <c r="N43">
        <f>L43*(1-MIN(Inputs!$B$10+((F58-Calc!F24)+(F57-Calc!F23)),100)/100)+M43*(MIN(Inputs!$B$10+((F58-Calc!F24)+(F57-Calc!F23)),100)/100)</f>
        <v/>
      </c>
      <c r="O43">
        <f>(1-Summary!$B$48)*S43+Summary!$B$48*U43</f>
        <v/>
      </c>
      <c r="P43">
        <f>IF(B76=0,0,O43/B76)</f>
        <v/>
      </c>
      <c r="Q43">
        <f>IFERROR(1/IF(Inputs!$B$39="pvp",15,MAX(0.1,Skills!D9-IF(Skills!E9=TRUE,Inputs!$B$33,0))),0)</f>
        <v/>
      </c>
      <c r="R43">
        <f>IF(AND(Inputs!$B$39&lt;&gt;"pvp",Inputs!$B$44&gt;0),IF(MAX(0,Inputs!$B$44-B73)&lt;=0,0,(INT(MAX(0,Inputs!$B$44-B73)/IF(Inputs!$B$39="pvp",15,MAX(0.1,Skills!D9-IF(Skills!E9=TRUE,Inputs!$B$33,0))))+1)),0)</f>
        <v/>
      </c>
      <c r="S43">
        <f>IF(C43,(H43*N43*IF(AND(Inputs!$B$39&lt;&gt;"pvp",Inputs!$B$44&gt;0),((Skills!F9*((R43-1)*IF(Skills!G9&gt;0,Skills!H9/Skills!G9,1)+IF(Skills!G9&gt;0,MIN(Skills!H9,MAX(0,MAX(0,Inputs!$B$44-B73)-((R43-1)*IF(Inputs!$B$39="pvp",15,MAX(0.1,Skills!D9-IF(Skills!E9=TRUE,Inputs!$B$33,0))))))/Skills!G9,1)))/Inputs!$B$44),G43*Q43))*IF(Inputs!$B$39="pvp",1,1+(Inputs!$B$21+Skills!O9+B64)/100),0)</f>
        <v/>
      </c>
      <c r="U43">
        <f>IF(C43,(H43*N43*IF(AND(Inputs!$B$39&lt;&gt;"pvp",Inputs!$B$44&gt;0),((Skills!F9*((R43-1)*IF(Skills!G9&gt;0,Skills!H9/Skills!G9,1)+IF(Skills!G9&gt;0,MIN(Skills!H9,MAX(0,MAX(0,Inputs!$B$44-B73)-((R43-1)*IF(Inputs!$B$39="pvp",15,MAX(0.1,Skills!D9-IF(Skills!E9=TRUE,Inputs!$B$33,0))))))/Skills!G9,1)))/Inputs!$B$44),G43*Q43))*IF(Inputs!$B$39="pvp",1,(1+(Inputs!$B$22+Skills!P9+B65)/100)*(MIN(Skills!Q9,Inputs!$B$38))),0)</f>
        <v/>
      </c>
    </row>
    <row r="44">
      <c r="A44">
        <f>Skills!A10</f>
        <v/>
      </c>
      <c r="B44">
        <f>Skills!B10</f>
        <v/>
      </c>
      <c r="C44">
        <f>Inputs!$B$3&gt;=66</f>
        <v/>
      </c>
      <c r="D44">
        <f>IF(Skills!C10=1,60+Inputs!$B$26+Inputs!$B$30,IF(Skills!C10=2,90+Inputs!$B$27+Inputs!$B$30,IF(Skills!C10=3,120+Inputs!$B$28+Inputs!$B$30,MAX(0,(Inputs!$B$3-100)*3)+Inputs!$B$29+Inputs!$B$30)))</f>
        <v/>
      </c>
      <c r="E44">
        <f>INDEX(FactorTable!$B$2:$Y$301, MATCH(ROUND(MIN(300,MAX(1,D44)),0), FactorTable!$A$2:$A$301,0), Skills!L10+1)</f>
        <v/>
      </c>
      <c r="F44" t="n">
        <v>0</v>
      </c>
      <c r="G44">
        <f>Calc!G10</f>
        <v/>
      </c>
      <c r="H44">
        <f>Calc!H10</f>
        <v/>
      </c>
      <c r="I44">
        <f>IF(Skills!T10&lt;&gt;"",1+(Skills!T10/10)*($Z$3/1000)/100,1)</f>
        <v/>
      </c>
      <c r="J44" t="inlineStr"/>
      <c r="K44" t="inlineStr"/>
      <c r="L44" t="inlineStr"/>
      <c r="M44" t="inlineStr"/>
      <c r="N44" t="inlineStr"/>
      <c r="O44">
        <f>(1-Summary!$B$48)*S44+Summary!$B$48*U44</f>
        <v/>
      </c>
      <c r="P44">
        <f>IF(B76=0,0,O44/B76)</f>
        <v/>
      </c>
      <c r="Q44">
        <f>IFERROR(1/IF(Inputs!$B$39="pvp",15,MAX(0.1,Skills!D10-IF(Skills!E10=TRUE,Inputs!$B$33,0))),0)</f>
        <v/>
      </c>
      <c r="R44">
        <f>IF(AND(Inputs!$B$39&lt;&gt;"pvp",Inputs!$B$44&gt;0),IF(MAX(0,Inputs!$B$44-B73)&lt;=0,0,(INT(MAX(0,Inputs!$B$44-B73)/IF(Inputs!$B$39="pvp",15,MAX(0.1,Skills!D10-IF(Skills!E10=TRUE,Inputs!$B$33,0))))+1)),0)</f>
        <v/>
      </c>
      <c r="S44" t="n">
        <v>0</v>
      </c>
      <c r="U44" t="n">
        <v>0</v>
      </c>
    </row>
    <row r="45">
      <c r="A45">
        <f>Skills!A11</f>
        <v/>
      </c>
      <c r="B45">
        <f>Skills!B11</f>
        <v/>
      </c>
      <c r="C45">
        <f>Inputs!$B$3&gt;=69</f>
        <v/>
      </c>
      <c r="D45">
        <f>IF(Skills!C11=1,60+Inputs!$B$26+Inputs!$B$30,IF(Skills!C11=2,90+Inputs!$B$27+Inputs!$B$30,IF(Skills!C11=3,120+Inputs!$B$28+Inputs!$B$30,MAX(0,(Inputs!$B$3-100)*3)+Inputs!$B$29+Inputs!$B$30)))</f>
        <v/>
      </c>
      <c r="E45">
        <f>INDEX(FactorTable!$B$2:$Y$301, MATCH(ROUND(MIN(300,MAX(1,D45)),0), FactorTable!$A$2:$A$301,0), Skills!L11+1)</f>
        <v/>
      </c>
      <c r="F45">
        <f>IF(Skills!M11=TRUE,(Skills!K11/10)*(E45/1000),Skills!K11/10)+Skills!N11</f>
        <v/>
      </c>
      <c r="G45">
        <f>Calc!G11</f>
        <v/>
      </c>
      <c r="H45">
        <f>Calc!H11</f>
        <v/>
      </c>
      <c r="I45">
        <f>IF(Skills!T11&lt;&gt;"",1+(Skills!T11/10)*($Z$3/1000)/100,1)</f>
        <v/>
      </c>
      <c r="J45" t="inlineStr"/>
      <c r="K45" t="inlineStr"/>
      <c r="L45" t="inlineStr"/>
      <c r="M45" t="inlineStr"/>
      <c r="N45" t="inlineStr"/>
      <c r="O45">
        <f>(1-Summary!$B$48)*S45+Summary!$B$48*U45</f>
        <v/>
      </c>
      <c r="P45">
        <f>IF(B76=0,0,O45/B76)</f>
        <v/>
      </c>
      <c r="Q45">
        <f>IFERROR(1/IF(Inputs!$B$39="pvp",15,MAX(0.1,Skills!D11-IF(Skills!E11=TRUE,Inputs!$B$33,0))),0)</f>
        <v/>
      </c>
      <c r="R45">
        <f>IF(AND(Inputs!$B$39&lt;&gt;"pvp",Inputs!$B$44&gt;0),IF(Inputs!$B$44&lt;=0,0,(INT(Inputs!$B$44/IF(Inputs!$B$39="pvp",15,MAX(0.1,Skills!D11-IF(Skills!E11=TRUE,Inputs!$B$33,0))))+1)),0)</f>
        <v/>
      </c>
      <c r="S45" t="n">
        <v>0</v>
      </c>
      <c r="U45" t="n">
        <v>0</v>
      </c>
    </row>
    <row r="46">
      <c r="A46">
        <f>Skills!A12</f>
        <v/>
      </c>
      <c r="B46">
        <f>Skills!B12</f>
        <v/>
      </c>
      <c r="C46">
        <f>Inputs!$B$3&gt;=72</f>
        <v/>
      </c>
      <c r="D46">
        <f>IF(Skills!C12=1,60+Inputs!$B$26+Inputs!$B$30,IF(Skills!C12=2,90+Inputs!$B$27+Inputs!$B$30,IF(Skills!C12=3,120+Inputs!$B$28+Inputs!$B$30,MAX(0,(Inputs!$B$3-100)*3)+Inputs!$B$29+Inputs!$B$30)))</f>
        <v/>
      </c>
      <c r="E46">
        <f>INDEX(FactorTable!$B$2:$Y$301, MATCH(ROUND(MIN(300,MAX(1,D46)),0), FactorTable!$A$2:$A$301,0), Skills!L12+1)</f>
        <v/>
      </c>
      <c r="F46">
        <f>IF(Skills!M12=TRUE,(Skills!K12/10)*(E46/1000),Skills!K12/10)+Skills!N12</f>
        <v/>
      </c>
      <c r="G46">
        <f>Calc!G12</f>
        <v/>
      </c>
      <c r="H46">
        <f>Calc!H12</f>
        <v/>
      </c>
      <c r="I46">
        <f>IF(Skills!T12&lt;&gt;"",1+(Skills!T12/10)*($Z$3/1000)/100,1)</f>
        <v/>
      </c>
      <c r="J46" t="inlineStr"/>
      <c r="K46" t="inlineStr"/>
      <c r="L46" t="inlineStr"/>
      <c r="M46" t="inlineStr"/>
      <c r="N46" t="inlineStr"/>
      <c r="O46">
        <f>(1-Summary!$B$48)*S46+Summary!$B$48*U46</f>
        <v/>
      </c>
      <c r="P46">
        <f>IF(B76=0,0,O46/B76)</f>
        <v/>
      </c>
      <c r="Q46">
        <f>IFERROR(1/IF(Inputs!$B$39="pvp",15,MAX(0.1,Skills!D12-IF(Skills!E12=TRUE,Inputs!$B$33,0))),0)</f>
        <v/>
      </c>
      <c r="R46">
        <f>IF(AND(Inputs!$B$39&lt;&gt;"pvp",Inputs!$B$44&gt;0),IF(MAX(0,Inputs!$B$44-B73)&lt;=0,0,(INT(MAX(0,Inputs!$B$44-B73)/IF(Inputs!$B$39="pvp",15,MAX(0.1,Skills!D12-IF(Skills!E12=TRUE,Inputs!$B$33,0))))+1)),0)</f>
        <v/>
      </c>
      <c r="S46" t="n">
        <v>0</v>
      </c>
      <c r="U46" t="n">
        <v>0</v>
      </c>
    </row>
    <row r="47">
      <c r="A47">
        <f>Skills!A13</f>
        <v/>
      </c>
      <c r="B47">
        <f>Skills!B13</f>
        <v/>
      </c>
      <c r="C47">
        <f>Inputs!$B$3&gt;=60</f>
        <v/>
      </c>
      <c r="D47">
        <f>IF(Skills!C13=1,60+Inputs!$B$26+Inputs!$B$30,IF(Skills!C13=2,90+Inputs!$B$27+Inputs!$B$30,IF(Skills!C13=3,120+Inputs!$B$28+Inputs!$B$30,MAX(0,(Inputs!$B$3-100)*3)+Inputs!$B$29+Inputs!$B$30)))</f>
        <v/>
      </c>
      <c r="E47">
        <f>INDEX(FactorTable!$B$2:$Y$301, MATCH(ROUND(MIN(300,MAX(1,D47)),0), FactorTable!$A$2:$A$301,0), Skills!L13+1)</f>
        <v/>
      </c>
      <c r="F47">
        <f>IF(Skills!M13=TRUE,(Skills!K13/10)*(E47/1000),Skills!K13/10)+Skills!N13</f>
        <v/>
      </c>
      <c r="G47">
        <f>Calc!G13</f>
        <v/>
      </c>
      <c r="H47">
        <f>Calc!H13</f>
        <v/>
      </c>
      <c r="I47">
        <f>IF(Skills!T13&lt;&gt;"",1+(Skills!T13/10)*($Z$3/1000)/100,1)</f>
        <v/>
      </c>
      <c r="J47" t="inlineStr"/>
      <c r="K47" t="inlineStr"/>
      <c r="L47" t="inlineStr"/>
      <c r="M47" t="inlineStr"/>
      <c r="N47" t="inlineStr"/>
      <c r="O47">
        <f>(1-Summary!$B$48)*S47+Summary!$B$48*U47</f>
        <v/>
      </c>
      <c r="P47">
        <f>IF(B76=0,0,O47/B76)</f>
        <v/>
      </c>
      <c r="Q47">
        <f>IFERROR(1/IF(Inputs!$B$39="pvp",15,MAX(0.1,Skills!D13-IF(Skills!E13=TRUE,Inputs!$B$33,0))),0)</f>
        <v/>
      </c>
      <c r="R47">
        <f>IF(AND(Inputs!$B$39&lt;&gt;"pvp",Inputs!$B$44&gt;0),IF(MAX(0,Inputs!$B$44-B73)&lt;=0,0,(INT(MAX(0,Inputs!$B$44-B73)/IF(Inputs!$B$39="pvp",15,MAX(0.1,Skills!D13-IF(Skills!E13=TRUE,Inputs!$B$33,0))))+1)),0)</f>
        <v/>
      </c>
      <c r="S47" t="n">
        <v>0</v>
      </c>
      <c r="U47" t="n">
        <v>0</v>
      </c>
    </row>
    <row r="48">
      <c r="A48">
        <f>Skills!A14</f>
        <v/>
      </c>
      <c r="B48">
        <f>Skills!B14</f>
        <v/>
      </c>
      <c r="C48">
        <f>Inputs!$B$3&gt;=107</f>
        <v/>
      </c>
      <c r="D48">
        <f>IF(Skills!C14=1,60+Inputs!$B$26+Inputs!$B$30,IF(Skills!C14=2,90+Inputs!$B$27+Inputs!$B$30,IF(Skills!C14=3,120+Inputs!$B$28+Inputs!$B$30,MAX(0,(Inputs!$B$3-100)*3)+Inputs!$B$29+Inputs!$B$30)))</f>
        <v/>
      </c>
      <c r="E48">
        <f>INDEX(FactorTable!$B$2:$Y$301, MATCH(ROUND(MIN(300,MAX(1,D48)),0), FactorTable!$A$2:$A$301,0), Skills!L14+1)</f>
        <v/>
      </c>
      <c r="F48">
        <f>IF(Skills!M14=TRUE,(Skills!K14/10)*(E48/1000),Skills!K14/10)+Skills!N14</f>
        <v/>
      </c>
      <c r="G48">
        <f>Calc!G14</f>
        <v/>
      </c>
      <c r="H48">
        <f>Calc!H14</f>
        <v/>
      </c>
      <c r="I48">
        <f>IF(Skills!T14&lt;&gt;"",1+(Skills!T14/10)*($Z$3/1000)/100,1)</f>
        <v/>
      </c>
      <c r="J48" t="inlineStr"/>
      <c r="K48" t="inlineStr"/>
      <c r="L48" t="inlineStr"/>
      <c r="M48" t="inlineStr"/>
      <c r="N48" t="inlineStr"/>
      <c r="O48">
        <f>(1-Summary!$B$48)*S48+Summary!$B$48*U48</f>
        <v/>
      </c>
      <c r="P48">
        <f>IF(B76=0,0,O48/B76)</f>
        <v/>
      </c>
      <c r="Q48">
        <f>IFERROR(1/IF(Inputs!$B$39="pvp",15,MAX(0.1,Skills!D14-IF(Skills!E14=TRUE,Inputs!$B$33,0))),0)</f>
        <v/>
      </c>
      <c r="R48">
        <f>IF(AND(Inputs!$B$39&lt;&gt;"pvp",Inputs!$B$44&gt;0),IF(Inputs!$B$44&lt;=0,0,(INT(Inputs!$B$44/IF(Inputs!$B$39="pvp",15,MAX(0.1,Skills!D14-IF(Skills!E14=TRUE,Inputs!$B$33,0))))+1)),0)</f>
        <v/>
      </c>
      <c r="S48" t="n">
        <v>0</v>
      </c>
      <c r="U48" t="n">
        <v>0</v>
      </c>
    </row>
    <row r="49">
      <c r="A49">
        <f>Skills!A15</f>
        <v/>
      </c>
      <c r="B49">
        <f>Skills!B15</f>
        <v/>
      </c>
      <c r="C49">
        <f>Inputs!$B$3&gt;=63</f>
        <v/>
      </c>
      <c r="D49">
        <f>IF(Skills!C15=1,60+Inputs!$B$26+Inputs!$B$30,IF(Skills!C15=2,90+Inputs!$B$27+Inputs!$B$30,IF(Skills!C15=3,120+Inputs!$B$28+Inputs!$B$30,MAX(0,(Inputs!$B$3-100)*3)+Inputs!$B$29+Inputs!$B$30)))</f>
        <v/>
      </c>
      <c r="E49">
        <f>INDEX(FactorTable!$B$2:$Y$301, MATCH(ROUND(MIN(300,MAX(1,D49)),0), FactorTable!$A$2:$A$301,0), Skills!L15+1)</f>
        <v/>
      </c>
      <c r="F49">
        <f>IF(Skills!M15=TRUE,(Skills!K15/10)*(E49/1000),Skills!K15/10)+Skills!N15</f>
        <v/>
      </c>
      <c r="G49">
        <f>Calc!G15</f>
        <v/>
      </c>
      <c r="H49">
        <f>Calc!H15</f>
        <v/>
      </c>
      <c r="I49">
        <f>IF(Skills!T15&lt;&gt;"",1+(Skills!T15/10)*($Z$3/1000)/100,1)</f>
        <v/>
      </c>
      <c r="J49">
        <f>((Inputs!$B$6*(1+Inputs!$B$7/100))+((((Inputs!$B$13+1)*(1+Inputs!$B$14/100))-(Inputs!$B$13*(1+Inputs!$B$14/100)))+0.25*(Inputs!$B$15-Inputs!$B$15))*(1+Inputs!$B$7/100))*(F49/100)</f>
        <v/>
      </c>
      <c r="K49">
        <f>J49*(1+((((Inputs!$B$13+1)+IF(Inputs!$B$3&gt;=35,(10*INDEX(FactorTable!$B$2:$Y$301, MATCH(ROUND(MIN(300,MAX(1,Inputs!$B$3)),0), FactorTable!$A$2:$A$301,0), 23)/1000)/100*(Inputs!$B$8*(1+(Inputs!$B$9+B72)/100)),0))*(1+Inputs!$B$14/100))*0.01+Inputs!$B$15*0.0025)/100)*(1+(Inputs!$B$16+B66)/100)*(1+Inputs!$B$17/100)*(5000/(6000+Inputs!$B$43*(1-Inputs!$B$20/100)))*(1+Inputs!$B$25/100)*(1+IF(C52=TRUE,F52,0)/100)*(1+IF(C54=TRUE,F54,0)/100)*(1+IF(Skills!A15="TRIUMPH_FEATHER",IF(C50=TRUE,F50,0),0)/100)*(1+IF(C61=TRUE,F61,0)/100)^5*(1+(IF(Skills!A15="BIG_BANG",Inputs!$B$18,Inputs!$B$19))/100)*(B63*I49)</f>
        <v/>
      </c>
      <c r="L49">
        <f>K49*(MIN(Inputs!$B$23+(F56-Calc!F22),Inputs!$B$24)/100+Inputs!$B$24/100)/2</f>
        <v/>
      </c>
      <c r="M49">
        <f>L49*(1+(Inputs!$B$11+B67+(F59-Calc!F25))/100)</f>
        <v/>
      </c>
      <c r="N49">
        <f>L49*(1-MIN(Inputs!$B$10+((F58-Calc!F24)+(F57-Calc!F23)),100)/100)+M49*(MIN(Inputs!$B$10+((F58-Calc!F24)+(F57-Calc!F23)),100)/100)</f>
        <v/>
      </c>
      <c r="O49">
        <f>(1-Summary!$B$48)*S49+Summary!$B$48*U49</f>
        <v/>
      </c>
      <c r="P49">
        <f>IF(B76=0,0,O49/B76)</f>
        <v/>
      </c>
      <c r="Q49">
        <f>IFERROR(1/IF(Inputs!$B$39="pvp",15,MAX(0.1,Skills!D15-IF(Skills!E15=TRUE,Inputs!$B$33,0))),0)</f>
        <v/>
      </c>
      <c r="R49" t="n">
        <v>0</v>
      </c>
      <c r="S49">
        <f>IF(C49,(Skills!F15*N49*((IF(Inputs!$B$3&gt;=78,25,15)/100*B69*10)/(1+IF(Inputs!$B$3&gt;=78,25,15)/100*B69*10))*(Skills!I15/100*B69)/(1+Skills!G15*Skills!I15/100*B69))*IF(Inputs!$B$39="pvp",1,1+(Inputs!$B$21+Skills!O15+B64)/100),0)</f>
        <v/>
      </c>
      <c r="U49">
        <f>IF(C49,(Skills!F15*N49*((IF(Inputs!$B$3&gt;=78,25,15)/100*B69*10)/(1+IF(Inputs!$B$3&gt;=78,25,15)/100*B69*10))*(Skills!I15/100*B69)/(1+Skills!G15*Skills!I15/100*B69))*IF(Inputs!$B$39="pvp",1,(1+(Inputs!$B$22+Skills!P15+B65)/100)*(MIN(Skills!Q15,Inputs!$B$38))),0)</f>
        <v/>
      </c>
    </row>
    <row r="50">
      <c r="A50">
        <f>Skills!A16</f>
        <v/>
      </c>
      <c r="B50">
        <f>Skills!B16</f>
        <v/>
      </c>
      <c r="C50">
        <f>Inputs!$B$3&gt;=100</f>
        <v/>
      </c>
      <c r="D50">
        <f>IF(Skills!C16=1,60+Inputs!$B$26+Inputs!$B$30,IF(Skills!C16=2,90+Inputs!$B$27+Inputs!$B$30,IF(Skills!C16=3,120+Inputs!$B$28+Inputs!$B$30,MAX(0,(Inputs!$B$3-100)*3)+Inputs!$B$29+Inputs!$B$30)))</f>
        <v/>
      </c>
      <c r="E50">
        <f>INDEX(FactorTable!$B$2:$Y$301, MATCH(ROUND(MIN(300,MAX(1,D50)),0), FactorTable!$A$2:$A$301,0), Skills!L16+1)</f>
        <v/>
      </c>
      <c r="F50">
        <f>IF(Skills!M16=TRUE,(Skills!K16/10)*(E50/1000),Skills!K16/10)+Skills!N16</f>
        <v/>
      </c>
      <c r="G50">
        <f>Calc!G16</f>
        <v/>
      </c>
      <c r="H50">
        <f>Calc!H16</f>
        <v/>
      </c>
      <c r="I50">
        <f>IF(Skills!T16&lt;&gt;"",1+(Skills!T16/10)*($Z$3/1000)/100,1)</f>
        <v/>
      </c>
      <c r="J50" t="inlineStr"/>
      <c r="K50" t="inlineStr"/>
      <c r="L50" t="inlineStr"/>
      <c r="M50" t="inlineStr"/>
      <c r="N50" t="inlineStr"/>
      <c r="O50">
        <f>(1-Summary!$B$48)*S50+Summary!$B$48*U50</f>
        <v/>
      </c>
      <c r="P50">
        <f>IF(B76=0,0,O50/B76)</f>
        <v/>
      </c>
      <c r="Q50">
        <f>IFERROR(1/IF(Inputs!$B$39="pvp",15,MAX(0.1,Skills!D16-IF(Skills!E16=TRUE,Inputs!$B$33,0))),0)</f>
        <v/>
      </c>
      <c r="R50" t="n">
        <v>0</v>
      </c>
      <c r="S50" t="n">
        <v>0</v>
      </c>
      <c r="U50" t="n">
        <v>0</v>
      </c>
    </row>
    <row r="51">
      <c r="A51">
        <f>Skills!A17</f>
        <v/>
      </c>
      <c r="B51">
        <f>Skills!B17</f>
        <v/>
      </c>
      <c r="C51">
        <f>Inputs!$B$3&gt;=49</f>
        <v/>
      </c>
      <c r="D51">
        <f>IF(Skills!C17=1,60+Inputs!$B$26+Inputs!$B$30,IF(Skills!C17=2,90+Inputs!$B$27+Inputs!$B$30,IF(Skills!C17=3,120+Inputs!$B$28+Inputs!$B$30,MAX(0,(Inputs!$B$3-100)*3)+Inputs!$B$29+Inputs!$B$30)))</f>
        <v/>
      </c>
      <c r="E51">
        <f>INDEX(FactorTable!$B$2:$Y$301, MATCH(ROUND(MIN(300,MAX(1,D51)),0), FactorTable!$A$2:$A$301,0), Skills!L17+1)</f>
        <v/>
      </c>
      <c r="F51">
        <f>IF(Skills!M17=TRUE,(Skills!K17/10)*(E51/1000),Skills!K17/10)+Skills!N17</f>
        <v/>
      </c>
      <c r="G51">
        <f>Calc!G17</f>
        <v/>
      </c>
      <c r="H51">
        <f>Calc!H17</f>
        <v/>
      </c>
      <c r="I51">
        <f>IF(Skills!T17&lt;&gt;"",1+(Skills!T17/10)*($Z$3/1000)/100,1)</f>
        <v/>
      </c>
      <c r="J51" t="inlineStr"/>
      <c r="K51" t="inlineStr"/>
      <c r="L51" t="inlineStr"/>
      <c r="M51" t="inlineStr"/>
      <c r="N51" t="inlineStr"/>
      <c r="O51">
        <f>(1-Summary!$B$48)*S51+Summary!$B$48*U51</f>
        <v/>
      </c>
      <c r="P51">
        <f>IF(B76=0,0,O51/B76)</f>
        <v/>
      </c>
      <c r="Q51">
        <f>IFERROR(1/IF(Inputs!$B$39="pvp",15,MAX(0.1,Skills!D17-IF(Skills!E17=TRUE,Inputs!$B$33,0))),0)</f>
        <v/>
      </c>
      <c r="R51" t="n">
        <v>0</v>
      </c>
      <c r="S51" t="n">
        <v>0</v>
      </c>
      <c r="U51" t="n">
        <v>0</v>
      </c>
    </row>
    <row r="52">
      <c r="A52">
        <f>Skills!A18</f>
        <v/>
      </c>
      <c r="B52">
        <f>Skills!B18</f>
        <v/>
      </c>
      <c r="C52">
        <f>Inputs!$B$3&gt;=75</f>
        <v/>
      </c>
      <c r="D52">
        <f>IF(Skills!C18=1,60+Inputs!$B$26+Inputs!$B$30,IF(Skills!C18=2,90+Inputs!$B$27+Inputs!$B$30,IF(Skills!C18=3,120+Inputs!$B$28+Inputs!$B$30,MAX(0,(Inputs!$B$3-100)*3)+Inputs!$B$29+Inputs!$B$30)))</f>
        <v/>
      </c>
      <c r="E52">
        <f>INDEX(FactorTable!$B$2:$Y$301, MATCH(ROUND(MIN(300,MAX(1,D52)),0), FactorTable!$A$2:$A$301,0), Skills!L18+1)</f>
        <v/>
      </c>
      <c r="F52">
        <f>IF(Skills!M18=TRUE,(Skills!K18/10)*(E52/1000),Skills!K18/10)+Skills!N18</f>
        <v/>
      </c>
      <c r="G52">
        <f>Calc!G18</f>
        <v/>
      </c>
      <c r="H52">
        <f>Calc!H18</f>
        <v/>
      </c>
      <c r="I52">
        <f>IF(Skills!T18&lt;&gt;"",1+(Skills!T18/10)*($Z$3/1000)/100,1)</f>
        <v/>
      </c>
      <c r="J52" t="inlineStr"/>
      <c r="K52" t="inlineStr"/>
      <c r="L52" t="inlineStr"/>
      <c r="M52" t="inlineStr"/>
      <c r="N52" t="inlineStr"/>
      <c r="O52">
        <f>(1-Summary!$B$48)*S52+Summary!$B$48*U52</f>
        <v/>
      </c>
      <c r="P52">
        <f>IF(B76=0,0,O52/B76)</f>
        <v/>
      </c>
      <c r="Q52">
        <f>IFERROR(1/IF(Inputs!$B$39="pvp",15,MAX(0.1,Skills!D18-IF(Skills!E18=TRUE,Inputs!$B$33,0))),0)</f>
        <v/>
      </c>
      <c r="R52" t="n">
        <v>0</v>
      </c>
      <c r="S52" t="n">
        <v>0</v>
      </c>
      <c r="U52" t="n">
        <v>0</v>
      </c>
    </row>
    <row r="53">
      <c r="A53">
        <f>Skills!A19</f>
        <v/>
      </c>
      <c r="B53">
        <f>Skills!B19</f>
        <v/>
      </c>
      <c r="C53">
        <f>Inputs!$B$3&gt;=110</f>
        <v/>
      </c>
      <c r="D53">
        <f>IF(Skills!C19=1,60+Inputs!$B$26+Inputs!$B$30,IF(Skills!C19=2,90+Inputs!$B$27+Inputs!$B$30,IF(Skills!C19=3,120+Inputs!$B$28+Inputs!$B$30,MAX(0,(Inputs!$B$3-100)*3)+Inputs!$B$29+Inputs!$B$30)))</f>
        <v/>
      </c>
      <c r="E53">
        <f>INDEX(FactorTable!$B$2:$Y$301, MATCH(ROUND(MIN(300,MAX(1,D53)),0), FactorTable!$A$2:$A$301,0), Skills!L19+1)</f>
        <v/>
      </c>
      <c r="F53">
        <f>(Skills!K19/10)*(E53/1000)*64/45+Skills!N19</f>
        <v/>
      </c>
      <c r="G53">
        <f>Calc!G19</f>
        <v/>
      </c>
      <c r="H53">
        <f>Calc!H19</f>
        <v/>
      </c>
      <c r="I53">
        <f>IF(Skills!T19&lt;&gt;"",1+(Skills!T19/10)*($Z$3/1000)/100,1)</f>
        <v/>
      </c>
      <c r="J53" t="inlineStr"/>
      <c r="K53" t="inlineStr"/>
      <c r="L53" t="inlineStr"/>
      <c r="M53" t="inlineStr"/>
      <c r="N53" t="inlineStr"/>
      <c r="O53">
        <f>(1-Summary!$B$48)*S53+Summary!$B$48*U53</f>
        <v/>
      </c>
      <c r="P53">
        <f>IF(B76=0,0,O53/B76)</f>
        <v/>
      </c>
      <c r="Q53">
        <f>IFERROR(1/IF(Inputs!$B$39="pvp",15,MAX(0.1,Skills!D19-IF(Skills!E19=TRUE,Inputs!$B$33,0))),0)</f>
        <v/>
      </c>
      <c r="R53">
        <f>IF(AND(Inputs!$B$39&lt;&gt;"pvp",Inputs!$B$44&gt;0),IF(Inputs!$B$44&lt;=0,0,(INT(Inputs!$B$44/IF(Inputs!$B$39="pvp",15,MAX(0.1,Skills!D19-IF(Skills!E19=TRUE,Inputs!$B$33,0))))+1)),0)</f>
        <v/>
      </c>
      <c r="S53" t="n">
        <v>0</v>
      </c>
      <c r="U53" t="n">
        <v>0</v>
      </c>
    </row>
    <row r="54">
      <c r="A54">
        <f>Skills!A20</f>
        <v/>
      </c>
      <c r="B54">
        <f>Skills!B20</f>
        <v/>
      </c>
      <c r="C54">
        <f>Inputs!$B$3&gt;=125</f>
        <v/>
      </c>
      <c r="D54">
        <f>IF(Skills!C20=1,60+Inputs!$B$26+Inputs!$B$30,IF(Skills!C20=2,90+Inputs!$B$27+Inputs!$B$30,IF(Skills!C20=3,120+Inputs!$B$28+Inputs!$B$30,MAX(0,(Inputs!$B$3-100)*3)+Inputs!$B$29+Inputs!$B$30)))</f>
        <v/>
      </c>
      <c r="E54">
        <f>INDEX(FactorTable!$B$2:$Y$301, MATCH(ROUND(MIN(300,MAX(1,D54)),0), FactorTable!$A$2:$A$301,0), Skills!L20+1)</f>
        <v/>
      </c>
      <c r="F54">
        <f>IF(Skills!M20=TRUE,(Skills!K20/10)*(E54/1000),Skills!K20/10)+Skills!N20</f>
        <v/>
      </c>
      <c r="G54">
        <f>Calc!G20</f>
        <v/>
      </c>
      <c r="H54">
        <f>Calc!H20</f>
        <v/>
      </c>
      <c r="I54">
        <f>IF(Skills!T20&lt;&gt;"",1+(Skills!T20/10)*($Z$3/1000)/100,1)</f>
        <v/>
      </c>
      <c r="J54" t="inlineStr"/>
      <c r="K54" t="inlineStr"/>
      <c r="L54" t="inlineStr"/>
      <c r="M54" t="inlineStr"/>
      <c r="N54" t="inlineStr"/>
      <c r="O54">
        <f>(1-Summary!$B$48)*S54+Summary!$B$48*U54</f>
        <v/>
      </c>
      <c r="P54">
        <f>IF(B76=0,0,O54/B76)</f>
        <v/>
      </c>
      <c r="Q54">
        <f>IFERROR(1/IF(Inputs!$B$39="pvp",15,MAX(0.1,Skills!D20-IF(Skills!E20=TRUE,Inputs!$B$33,0))),0)</f>
        <v/>
      </c>
      <c r="R54" t="n">
        <v>0</v>
      </c>
      <c r="S54" t="n">
        <v>0</v>
      </c>
      <c r="U54" t="n">
        <v>0</v>
      </c>
    </row>
    <row r="55">
      <c r="A55">
        <f>Skills!A21</f>
        <v/>
      </c>
      <c r="B55">
        <f>Skills!B21</f>
        <v/>
      </c>
      <c r="C55">
        <f>Inputs!$B$3&gt;=33</f>
        <v/>
      </c>
      <c r="D55">
        <f>IF(Skills!C21=1,60+Inputs!$B$26+Inputs!$B$30,IF(Skills!C21=2,90+Inputs!$B$27+Inputs!$B$30,IF(Skills!C21=3,120+Inputs!$B$28+Inputs!$B$30,MAX(0,(Inputs!$B$3-100)*3)+Inputs!$B$29+Inputs!$B$30)))</f>
        <v/>
      </c>
      <c r="E55">
        <f>INDEX(FactorTable!$B$2:$Y$301, MATCH(ROUND(MIN(300,MAX(1,D55)),0), FactorTable!$A$2:$A$301,0), Skills!L21+1)</f>
        <v/>
      </c>
      <c r="F55">
        <f>IF(Skills!M21=TRUE,(Skills!K21/10)*(E55/1000),Skills!K21/10)+Skills!N21</f>
        <v/>
      </c>
      <c r="G55">
        <f>Calc!G21</f>
        <v/>
      </c>
      <c r="H55">
        <f>Calc!H21</f>
        <v/>
      </c>
      <c r="I55">
        <f>IF(Skills!T21&lt;&gt;"",1+(Skills!T21/10)*($Z$3/1000)/100,1)</f>
        <v/>
      </c>
      <c r="J55" t="inlineStr"/>
      <c r="K55" t="inlineStr"/>
      <c r="L55" t="inlineStr"/>
      <c r="M55" t="inlineStr"/>
      <c r="N55" t="inlineStr"/>
      <c r="O55">
        <f>(1-Summary!$B$48)*S55+Summary!$B$48*U55</f>
        <v/>
      </c>
      <c r="P55">
        <f>IF(B76=0,0,O55/B76)</f>
        <v/>
      </c>
      <c r="Q55">
        <f>IFERROR(1/IF(Inputs!$B$39="pvp",15,MAX(0.1,Skills!D21-IF(Skills!E21=TRUE,Inputs!$B$33,0))),0)</f>
        <v/>
      </c>
      <c r="R55" t="n">
        <v>0</v>
      </c>
      <c r="S55" t="n">
        <v>0</v>
      </c>
      <c r="U55" t="n">
        <v>0</v>
      </c>
    </row>
    <row r="56">
      <c r="A56">
        <f>Skills!A22</f>
        <v/>
      </c>
      <c r="B56">
        <f>Skills!B22</f>
        <v/>
      </c>
      <c r="C56">
        <f>Inputs!$B$3&gt;=43</f>
        <v/>
      </c>
      <c r="D56">
        <f>IF(Skills!C22=1,60+Inputs!$B$26+Inputs!$B$30,IF(Skills!C22=2,90+Inputs!$B$27+Inputs!$B$30,IF(Skills!C22=3,120+Inputs!$B$28+Inputs!$B$30,MAX(0,(Inputs!$B$3-100)*3)+Inputs!$B$29+Inputs!$B$30)))</f>
        <v/>
      </c>
      <c r="E56">
        <f>INDEX(FactorTable!$B$2:$Y$301, MATCH(ROUND(MIN(300,MAX(1,D56)),0), FactorTable!$A$2:$A$301,0), Skills!L22+1)</f>
        <v/>
      </c>
      <c r="F56">
        <f>IF(Skills!M22=TRUE,(Skills!K22/10)*(E56/1000),Skills!K22/10)+Skills!N22</f>
        <v/>
      </c>
      <c r="G56">
        <f>Calc!G22</f>
        <v/>
      </c>
      <c r="H56">
        <f>Calc!H22</f>
        <v/>
      </c>
      <c r="I56">
        <f>IF(Skills!T22&lt;&gt;"",1+(Skills!T22/10)*($Z$3/1000)/100,1)</f>
        <v/>
      </c>
      <c r="J56" t="inlineStr"/>
      <c r="K56" t="inlineStr"/>
      <c r="L56" t="inlineStr"/>
      <c r="M56" t="inlineStr"/>
      <c r="N56" t="inlineStr"/>
      <c r="O56">
        <f>(1-Summary!$B$48)*S56+Summary!$B$48*U56</f>
        <v/>
      </c>
      <c r="P56">
        <f>IF(B76=0,0,O56/B76)</f>
        <v/>
      </c>
      <c r="Q56">
        <f>IFERROR(1/IF(Inputs!$B$39="pvp",15,MAX(0.1,Skills!D22-IF(Skills!E22=TRUE,Inputs!$B$33,0))),0)</f>
        <v/>
      </c>
      <c r="R56" t="n">
        <v>0</v>
      </c>
      <c r="S56" t="n">
        <v>0</v>
      </c>
      <c r="U56" t="n">
        <v>0</v>
      </c>
    </row>
    <row r="57">
      <c r="A57">
        <f>Skills!A23</f>
        <v/>
      </c>
      <c r="B57">
        <f>Skills!B23</f>
        <v/>
      </c>
      <c r="C57">
        <f>Inputs!$B$3&gt;=50</f>
        <v/>
      </c>
      <c r="D57">
        <f>IF(Skills!C23=1,60+Inputs!$B$26+Inputs!$B$30,IF(Skills!C23=2,90+Inputs!$B$27+Inputs!$B$30,IF(Skills!C23=3,120+Inputs!$B$28+Inputs!$B$30,MAX(0,(Inputs!$B$3-100)*3)+Inputs!$B$29+Inputs!$B$30)))</f>
        <v/>
      </c>
      <c r="E57">
        <f>INDEX(FactorTable!$B$2:$Y$301, MATCH(ROUND(MIN(300,MAX(1,D57)),0), FactorTable!$A$2:$A$301,0), Skills!L23+1)</f>
        <v/>
      </c>
      <c r="F57">
        <f>IF(Skills!M23=TRUE,(Skills!K23/10)*(E57/1000),Skills!K23/10)+Skills!N23</f>
        <v/>
      </c>
      <c r="G57">
        <f>Calc!G23</f>
        <v/>
      </c>
      <c r="H57">
        <f>Calc!H23</f>
        <v/>
      </c>
      <c r="I57">
        <f>IF(Skills!T23&lt;&gt;"",1+(Skills!T23/10)*($Z$3/1000)/100,1)</f>
        <v/>
      </c>
      <c r="J57" t="inlineStr"/>
      <c r="K57" t="inlineStr"/>
      <c r="L57" t="inlineStr"/>
      <c r="M57" t="inlineStr"/>
      <c r="N57" t="inlineStr"/>
      <c r="O57">
        <f>(1-Summary!$B$48)*S57+Summary!$B$48*U57</f>
        <v/>
      </c>
      <c r="P57">
        <f>IF(B76=0,0,O57/B76)</f>
        <v/>
      </c>
      <c r="Q57">
        <f>IFERROR(1/IF(Inputs!$B$39="pvp",15,MAX(0.1,Skills!D23-IF(Skills!E23=TRUE,Inputs!$B$33,0))),0)</f>
        <v/>
      </c>
      <c r="R57" t="n">
        <v>0</v>
      </c>
      <c r="S57" t="n">
        <v>0</v>
      </c>
      <c r="U57" t="n">
        <v>0</v>
      </c>
    </row>
    <row r="58">
      <c r="A58">
        <f>Skills!A24</f>
        <v/>
      </c>
      <c r="B58">
        <f>Skills!B24</f>
        <v/>
      </c>
      <c r="C58">
        <f>Inputs!$B$3&gt;=74</f>
        <v/>
      </c>
      <c r="D58">
        <f>IF(Skills!C24=1,60+Inputs!$B$26+Inputs!$B$30,IF(Skills!C24=2,90+Inputs!$B$27+Inputs!$B$30,IF(Skills!C24=3,120+Inputs!$B$28+Inputs!$B$30,MAX(0,(Inputs!$B$3-100)*3)+Inputs!$B$29+Inputs!$B$30)))</f>
        <v/>
      </c>
      <c r="E58">
        <f>INDEX(FactorTable!$B$2:$Y$301, MATCH(ROUND(MIN(300,MAX(1,D58)),0), FactorTable!$A$2:$A$301,0), Skills!L24+1)</f>
        <v/>
      </c>
      <c r="F58">
        <f>IF(Skills!M24=TRUE,(Skills!K24/10)*(E58/1000),Skills!K24/10)+Skills!N24</f>
        <v/>
      </c>
      <c r="G58">
        <f>Calc!G24</f>
        <v/>
      </c>
      <c r="H58">
        <f>Calc!H24</f>
        <v/>
      </c>
      <c r="I58">
        <f>IF(Skills!T24&lt;&gt;"",1+(Skills!T24/10)*($Z$3/1000)/100,1)</f>
        <v/>
      </c>
      <c r="J58" t="inlineStr"/>
      <c r="K58" t="inlineStr"/>
      <c r="L58" t="inlineStr"/>
      <c r="M58" t="inlineStr"/>
      <c r="N58" t="inlineStr"/>
      <c r="O58">
        <f>(1-Summary!$B$48)*S58+Summary!$B$48*U58</f>
        <v/>
      </c>
      <c r="P58">
        <f>IF(B76=0,0,O58/B76)</f>
        <v/>
      </c>
      <c r="Q58">
        <f>IFERROR(1/IF(Inputs!$B$39="pvp",15,MAX(0.1,Skills!D24-IF(Skills!E24=TRUE,Inputs!$B$33,0))),0)</f>
        <v/>
      </c>
      <c r="R58" t="n">
        <v>0</v>
      </c>
      <c r="S58" t="n">
        <v>0</v>
      </c>
      <c r="U58" t="n">
        <v>0</v>
      </c>
    </row>
    <row r="59">
      <c r="A59">
        <f>Skills!A25</f>
        <v/>
      </c>
      <c r="B59">
        <f>Skills!B25</f>
        <v/>
      </c>
      <c r="C59">
        <f>Inputs!$B$3&gt;=74</f>
        <v/>
      </c>
      <c r="D59">
        <f>IF(Skills!C25=1,60+Inputs!$B$26+Inputs!$B$30,IF(Skills!C25=2,90+Inputs!$B$27+Inputs!$B$30,IF(Skills!C25=3,120+Inputs!$B$28+Inputs!$B$30,MAX(0,(Inputs!$B$3-100)*3)+Inputs!$B$29+Inputs!$B$30)))</f>
        <v/>
      </c>
      <c r="E59">
        <f>INDEX(FactorTable!$B$2:$Y$301, MATCH(ROUND(MIN(300,MAX(1,D59)),0), FactorTable!$A$2:$A$301,0), Skills!L25+1)</f>
        <v/>
      </c>
      <c r="F59">
        <f>IF(Skills!M25=TRUE,(Skills!K25/10)*(E59/1000),Skills!K25/10)+Skills!N25</f>
        <v/>
      </c>
      <c r="G59">
        <f>Calc!G25</f>
        <v/>
      </c>
      <c r="H59">
        <f>Calc!H25</f>
        <v/>
      </c>
      <c r="I59">
        <f>IF(Skills!T25&lt;&gt;"",1+(Skills!T25/10)*($Z$3/1000)/100,1)</f>
        <v/>
      </c>
      <c r="J59" t="inlineStr"/>
      <c r="K59" t="inlineStr"/>
      <c r="L59" t="inlineStr"/>
      <c r="M59" t="inlineStr"/>
      <c r="N59" t="inlineStr"/>
      <c r="O59">
        <f>(1-Summary!$B$48)*S59+Summary!$B$48*U59</f>
        <v/>
      </c>
      <c r="P59">
        <f>IF(B76=0,0,O59/B76)</f>
        <v/>
      </c>
      <c r="Q59">
        <f>IFERROR(1/IF(Inputs!$B$39="pvp",15,MAX(0.1,Skills!D25-IF(Skills!E25=TRUE,Inputs!$B$33,0))),0)</f>
        <v/>
      </c>
      <c r="R59" t="n">
        <v>0</v>
      </c>
      <c r="S59" t="n">
        <v>0</v>
      </c>
      <c r="U59" t="n">
        <v>0</v>
      </c>
    </row>
    <row r="60">
      <c r="A60">
        <f>Skills!A26</f>
        <v/>
      </c>
      <c r="B60">
        <f>Skills!B26</f>
        <v/>
      </c>
      <c r="C60">
        <f>Inputs!$B$3&gt;=117</f>
        <v/>
      </c>
      <c r="D60">
        <f>IF(Skills!C26=1,60+Inputs!$B$26+Inputs!$B$30,IF(Skills!C26=2,90+Inputs!$B$27+Inputs!$B$30,IF(Skills!C26=3,120+Inputs!$B$28+Inputs!$B$30,MAX(0,(Inputs!$B$3-100)*3)+Inputs!$B$29+Inputs!$B$30)))</f>
        <v/>
      </c>
      <c r="E60">
        <f>INDEX(FactorTable!$B$2:$Y$301, MATCH(ROUND(MIN(300,MAX(1,D60)),0), FactorTable!$A$2:$A$301,0), Skills!L26+1)</f>
        <v/>
      </c>
      <c r="F60">
        <f>IF(Skills!M26=TRUE,(Skills!K26/10)*(E60/1000),Skills!K26/10)+Skills!N26</f>
        <v/>
      </c>
      <c r="G60">
        <f>Calc!G26</f>
        <v/>
      </c>
      <c r="H60">
        <f>Calc!H26</f>
        <v/>
      </c>
      <c r="I60">
        <f>IF(Skills!T26&lt;&gt;"",1+(Skills!T26/10)*($Z$3/1000)/100,1)</f>
        <v/>
      </c>
      <c r="J60" t="inlineStr"/>
      <c r="K60" t="inlineStr"/>
      <c r="L60" t="inlineStr"/>
      <c r="M60" t="inlineStr"/>
      <c r="N60" t="inlineStr"/>
      <c r="O60">
        <f>(1-Summary!$B$48)*S60+Summary!$B$48*U60</f>
        <v/>
      </c>
      <c r="P60">
        <f>IF(B76=0,0,O60/B76)</f>
        <v/>
      </c>
      <c r="Q60">
        <f>IFERROR(1/IF(Inputs!$B$39="pvp",15,MAX(0.1,Skills!D26-IF(Skills!E26=TRUE,Inputs!$B$33,0))),0)</f>
        <v/>
      </c>
      <c r="R60" t="n">
        <v>0</v>
      </c>
      <c r="S60" t="n">
        <v>0</v>
      </c>
      <c r="U60" t="n">
        <v>0</v>
      </c>
    </row>
    <row r="61">
      <c r="A61">
        <f>Skills!A27</f>
        <v/>
      </c>
      <c r="B61">
        <f>Skills!B27</f>
        <v/>
      </c>
      <c r="C61">
        <f>Inputs!$B$3&gt;=120</f>
        <v/>
      </c>
      <c r="D61">
        <f>IF(Skills!C27=1,60+Inputs!$B$26+Inputs!$B$30,IF(Skills!C27=2,90+Inputs!$B$27+Inputs!$B$30,IF(Skills!C27=3,120+Inputs!$B$28+Inputs!$B$30,MAX(0,(Inputs!$B$3-100)*3)+Inputs!$B$29+Inputs!$B$30)))</f>
        <v/>
      </c>
      <c r="E61">
        <f>INDEX(FactorTable!$B$2:$Y$301, MATCH(ROUND(MIN(300,MAX(1,D61)),0), FactorTable!$A$2:$A$301,0), Skills!L27+1)</f>
        <v/>
      </c>
      <c r="F61">
        <f>IF(Skills!M27=TRUE,(Skills!K27/10)*(E61/1000),Skills!K27/10)+Skills!N27</f>
        <v/>
      </c>
      <c r="G61">
        <f>Calc!G27</f>
        <v/>
      </c>
      <c r="H61">
        <f>Calc!H27</f>
        <v/>
      </c>
      <c r="I61">
        <f>IF(Skills!T27&lt;&gt;"",1+(Skills!T27/10)*($Z$3/1000)/100,1)</f>
        <v/>
      </c>
      <c r="J61" t="inlineStr"/>
      <c r="K61" t="inlineStr"/>
      <c r="L61" t="inlineStr"/>
      <c r="M61" t="inlineStr"/>
      <c r="N61" t="inlineStr"/>
      <c r="O61">
        <f>(1-Summary!$B$48)*S61+Summary!$B$48*U61</f>
        <v/>
      </c>
      <c r="P61">
        <f>IF(B76=0,0,O61/B76)</f>
        <v/>
      </c>
      <c r="Q61">
        <f>IFERROR(1/IF(Inputs!$B$39="pvp",15,MAX(0.1,Skills!D27-IF(Skills!E27=TRUE,Inputs!$B$33,0))),0)</f>
        <v/>
      </c>
      <c r="R61" t="n">
        <v>0</v>
      </c>
      <c r="S61" t="n">
        <v>0</v>
      </c>
      <c r="U61" t="n">
        <v>0</v>
      </c>
    </row>
    <row r="63">
      <c r="A63" t="inlineStr">
        <is>
          <t>Average Buff Multiplier</t>
        </is>
      </c>
      <c r="B63">
        <f>(1+(IF(C37=TRUE,F37*IF(AND(Inputs!$B$39&lt;&gt;"pvp",Inputs!$B$44&gt;0),(((R37-1)*(Skills!S3*(1+(Inputs!$B$35+IF(Inputs!$B$3&gt;=117,F60,0))/100))+MIN((Skills!S3*(1+(Inputs!$B$35+IF(Inputs!$B$3&gt;=117,F60,0))/100)),MAX(0,Inputs!$B$44-((R37-1)*Skills!D3))))/Inputs!$B$44),IF(Inputs!$B$39="pvp",MIN((Skills!S3*(1+(Inputs!$B$35+IF(Inputs!$B$3&gt;=117,F60,0))/100)),15)/15,(Skills!S3*(1+(Inputs!$B$35+IF(Inputs!$B$3&gt;=117,F60,0))/100))/Skills!D3)),0)+IF(C38=TRUE,F38*IF(AND(Inputs!$B$39&lt;&gt;"pvp",Inputs!$B$44&gt;0),(((R38-1)*(Skills!S4*(1+(Inputs!$B$35+IF(Inputs!$B$3&gt;=117,F60,0))/100))+MIN((Skills!S4*(1+(Inputs!$B$35+IF(Inputs!$B$3&gt;=117,F60,0))/100)),MAX(0,Inputs!$B$44-((R38-1)*Skills!D4))))/Inputs!$B$44),IF(Inputs!$B$39="pvp",MIN((Skills!S4*(1+(Inputs!$B$35+IF(Inputs!$B$3&gt;=117,F60,0))/100)),15)/15,(Skills!S4*(1+(Inputs!$B$35+IF(Inputs!$B$3&gt;=117,F60,0))/100))/Skills!D4)),0)+IF(C39=TRUE,F39*IF(AND(Inputs!$B$39&lt;&gt;"pvp",Inputs!$B$44&gt;0),(((R39-1)*(Skills!S5*(1+(Inputs!$B$35+IF(Inputs!$B$3&gt;=117,F60,0))/100))+MIN((Skills!S5*(1+(Inputs!$B$35+IF(Inputs!$B$3&gt;=117,F60,0))/100)),MAX(0,Inputs!$B$44-((R39-1)*Skills!D5))))/Inputs!$B$44),IF(Inputs!$B$39="pvp",MIN((Skills!S5*(1+(Inputs!$B$35+IF(Inputs!$B$3&gt;=117,F60,0))/100)),15)/15,(Skills!S5*(1+(Inputs!$B$35+IF(Inputs!$B$3&gt;=117,F60,0))/100))/Skills!D5)),0)+IF(C45=TRUE,F45*IF(AND(Inputs!$B$39&lt;&gt;"pvp",Inputs!$B$44&gt;0),(((R45-1)*(Skills!S11*(1+(Inputs!$B$35+IF(Inputs!$B$3&gt;=117,F60,0))/100))+MIN((Skills!S11*(1+(Inputs!$B$35+IF(Inputs!$B$3&gt;=117,F60,0))/100)),MAX(0,Inputs!$B$44-((R45-1)*Skills!D11))))/Inputs!$B$44),IF(Inputs!$B$39="pvp",MIN((Skills!S11*(1+(Inputs!$B$35+IF(Inputs!$B$3&gt;=117,F60,0))/100)),15)/15,(Skills!S11*(1+(Inputs!$B$35+IF(Inputs!$B$3&gt;=117,F60,0))/100))/Skills!D11)),0))/100)*IF(C48=TRUE,(1+F48*IF(AND(Inputs!$B$39&lt;&gt;"pvp",Inputs!$B$44&gt;0),(((R48-1)*(Skills!S14*(1+(Inputs!$B$35+IF(Inputs!$B$3&gt;=117,F60,0))/100))+MIN((Skills!S14*(1+(Inputs!$B$35+IF(Inputs!$B$3&gt;=117,F60,0))/100)),MAX(0,Inputs!$B$44-((R48-1)*Skills!D14))))/Inputs!$B$44),IF(Inputs!$B$39="pvp",MIN((Skills!S14*(1+(Inputs!$B$35+IF(Inputs!$B$3&gt;=117,F60,0))/100)),15)/15,(Skills!S14*(1+(Inputs!$B$35+IF(Inputs!$B$3&gt;=117,F60,0))/100))/Skills!D14))/100),1)*IF(C53=TRUE,(1+F53*IF(AND(Inputs!$B$39&lt;&gt;"pvp",Inputs!$B$44&gt;0),(((R53-1)*(Skills!S19*(1+(Inputs!$B$35+IF(Inputs!$B$3&gt;=117,F60,0))/100))+MIN((Skills!S19*(1+(Inputs!$B$35+IF(Inputs!$B$3&gt;=117,F60,0))/100)),MAX(0,Inputs!$B$44-((R53-1)*Skills!D19))))/Inputs!$B$44),IF(Inputs!$B$39="pvp",MIN((Skills!S19*(1+(Inputs!$B$35+IF(Inputs!$B$3&gt;=117,F60,0))/100)),15)/15,(Skills!S19*(1+(Inputs!$B$35+IF(Inputs!$B$3&gt;=117,F60,0))/100))/Skills!D19))/100),1)</f>
        <v/>
      </c>
    </row>
    <row r="64">
      <c r="A64" t="inlineStr">
        <is>
          <t>Monster Damage Taken Bonus % (Holy Fountain)</t>
        </is>
      </c>
      <c r="B64">
        <f>IF(Inputs!$B$3&gt;=68,20*IF(Inputs!$B$39="pvp",MIN((15*(1+(Inputs!$B$35+IF(Inputs!$B$3&gt;=117,F60,0))/100)),15)/15,(15*(1+(Inputs!$B$35+IF(Inputs!$B$3&gt;=117,F60,0))/100))/Skills!D10),0)</f>
        <v/>
      </c>
    </row>
    <row r="65">
      <c r="A65" t="inlineStr">
        <is>
          <t>Normal Monster Damage Bonus % (Holy Symbol)</t>
        </is>
      </c>
      <c r="B65">
        <f>IF(C46=TRUE,F46*IF(AND(Inputs!$B$39&lt;&gt;"pvp",Inputs!$B$44&gt;0),(((R46-1)*(Skills!S12*(1+(Inputs!$B$35+IF(Inputs!$B$3&gt;=117,F60,0))/100))+MIN((Skills!S12*(1+(Inputs!$B$35+IF(Inputs!$B$3&gt;=117,F60,0))/100)),MAX(0,Inputs!$B$44-((R46-1)*Skills!D12))))/Inputs!$B$44),IF(Inputs!$B$39="pvp",MIN((Skills!S12*(1+(Inputs!$B$35+IF(Inputs!$B$3&gt;=117,F60,0))/100)),15)/15,(Skills!S12*(1+(Inputs!$B$35+IF(Inputs!$B$3&gt;=117,F60,0))/100))/Skills!D12)),0)</f>
        <v/>
      </c>
    </row>
    <row r="66">
      <c r="A66" t="inlineStr">
        <is>
          <t>Damage % Bonus (Holy Symbol - Damage Boost)</t>
        </is>
      </c>
      <c r="B66">
        <f>Skills!O12</f>
        <v/>
      </c>
    </row>
    <row r="67">
      <c r="A67" t="inlineStr">
        <is>
          <t>Crit Damage % Bonus (Blood of the Divine)</t>
        </is>
      </c>
      <c r="B67">
        <f>4*IF(C54=TRUE,F54,0)</f>
        <v/>
      </c>
    </row>
    <row r="68">
      <c r="A68" t="inlineStr">
        <is>
          <t>Attack Speed Bonus %</t>
        </is>
      </c>
      <c r="B68">
        <f>IF(C51=TRUE,F51+(F55-Calc!F21),0)+IF(Inputs!$B$3&gt;=134,15,0)</f>
        <v/>
      </c>
    </row>
    <row r="69">
      <c r="A69" t="inlineStr">
        <is>
          <t>Actions Per Second</t>
        </is>
      </c>
      <c r="B69">
        <f>1+MIN(150,150*(1-(1-Inputs!$B$12/150)*(1-B68/150)))/100</f>
        <v/>
      </c>
    </row>
    <row r="70">
      <c r="A70" t="inlineStr">
        <is>
          <t>Skill + Buff Cast Rate</t>
        </is>
      </c>
      <c r="B70">
        <f>IF(AND(Inputs!$B$39&lt;&gt;"pvp",Inputs!$B$44&gt;0),SUMPRODUCT((Skills!E2:E27=TRUE)*(C36:C61=TRUE)*R36:R61)/Inputs!$B$44,SUMPRODUCT((Skills!E2:E27=TRUE)*(C36:C61=TRUE)*Q36:Q61))</f>
        <v/>
      </c>
    </row>
    <row r="71">
      <c r="A71" t="inlineStr">
        <is>
          <t>Big Bang Casts Per Second</t>
        </is>
      </c>
      <c r="B71">
        <f>MAX(0,B69-B70)</f>
        <v/>
      </c>
    </row>
    <row r="72">
      <c r="A72" t="inlineStr">
        <is>
          <t>Defense % Bonus (Divine Protection)</t>
        </is>
      </c>
      <c r="B72">
        <f>IF(C47=TRUE,F47*IF(AND(Inputs!$B$39&lt;&gt;"pvp",Inputs!$B$44&gt;0),(((R47-1)*(Skills!S13*(1+(Inputs!$B$35+IF(Inputs!$B$3&gt;=117,F60,0))/100))+MIN((Skills!S13*(1+(Inputs!$B$35+IF(Inputs!$B$3&gt;=117,F60,0))/100)),MAX(0,Inputs!$B$44-((R47-1)*Skills!D13))))/Inputs!$B$44),IF(Inputs!$B$39="pvp",MIN((Skills!S13*(1+(Inputs!$B$35+IF(Inputs!$B$3&gt;=117,F60,0))/100)),15)/15,(Skills!S13*(1+(Inputs!$B$35+IF(Inputs!$B$3&gt;=117,F60,0))/100))/Skills!D13)),0)</f>
        <v/>
      </c>
    </row>
    <row r="73">
      <c r="A73" t="inlineStr">
        <is>
          <t>Buff-Casting Startup Delay (s, fixed-duration only)</t>
        </is>
      </c>
      <c r="B73">
        <f>IF(AND(Inputs!$B$39&lt;&gt;"pvp",Inputs!$B$44&gt;0),SUMPRODUCT((Skills!S2:S27&gt;0)*(Skills!E2:E27=TRUE)*(C36:C61=TRUE))/B69,0)</f>
        <v/>
      </c>
    </row>
    <row r="74">
      <c r="A74" t="inlineStr">
        <is>
          <t>Boss-Only Total DPS (this block's swept value)</t>
        </is>
      </c>
      <c r="B74">
        <f>SUM(S36:S61)</f>
        <v/>
      </c>
    </row>
    <row r="75">
      <c r="A75" t="inlineStr">
        <is>
          <t>Normal-Only Total DPS (this block's swept value)</t>
        </is>
      </c>
      <c r="B75">
        <f>SUM(U36:U61)</f>
        <v/>
      </c>
    </row>
    <row r="76">
      <c r="A76" s="5" t="inlineStr">
        <is>
          <t>TOTAL DPS</t>
        </is>
      </c>
      <c r="B76" s="5">
        <f>SUM(O36:O61)</f>
        <v/>
      </c>
    </row>
    <row r="78">
      <c r="A78" s="5" t="inlineStr">
        <is>
          <t>Stat: INT %</t>
        </is>
      </c>
    </row>
    <row r="79">
      <c r="A79" s="9" t="inlineStr">
        <is>
          <t>Key</t>
        </is>
      </c>
      <c r="B79" s="9" t="inlineStr">
        <is>
          <t>Name</t>
        </is>
      </c>
      <c r="C79" s="9" t="inlineStr">
        <is>
          <t>Unlocked</t>
        </is>
      </c>
      <c r="D79" s="9" t="inlineStr">
        <is>
          <t>InputLevel</t>
        </is>
      </c>
      <c r="E79" s="9" t="inlineStr">
        <is>
          <t>Factor</t>
        </is>
      </c>
      <c r="F79" s="9" t="inlineStr">
        <is>
          <t>CoefficientPercent</t>
        </is>
      </c>
      <c r="G79" s="9" t="inlineStr">
        <is>
          <t>EffectiveHits</t>
        </is>
      </c>
      <c r="H79" s="9" t="inlineStr">
        <is>
          <t>ProcProbability</t>
        </is>
      </c>
      <c r="I79" s="9" t="inlineStr">
        <is>
          <t>MapleHeroMultiplier</t>
        </is>
      </c>
      <c r="J79" s="9" t="inlineStr">
        <is>
          <t>BaseDamage</t>
        </is>
      </c>
      <c r="K79" s="9" t="inlineStr">
        <is>
          <t>BaseHitDamage</t>
        </is>
      </c>
      <c r="L79" s="9" t="inlineStr">
        <is>
          <t>NonCritAvg</t>
        </is>
      </c>
      <c r="M79" s="9" t="inlineStr">
        <is>
          <t>CritAvg</t>
        </is>
      </c>
      <c r="N79" s="9" t="inlineStr">
        <is>
          <t>ExpectedDamage(perHit)</t>
        </is>
      </c>
      <c r="O79" s="9" t="inlineStr">
        <is>
          <t>DPS</t>
        </is>
      </c>
      <c r="P79" s="9" t="inlineStr">
        <is>
          <t>% of Total</t>
        </is>
      </c>
      <c r="R79" t="inlineStr">
        <is>
          <t>helpers</t>
        </is>
      </c>
    </row>
    <row r="80">
      <c r="A80">
        <f>Skills!A2</f>
        <v/>
      </c>
      <c r="B80">
        <f>Skills!B2</f>
        <v/>
      </c>
      <c r="C80">
        <f>Inputs!$B$3&gt;=100</f>
        <v/>
      </c>
      <c r="D80" t="inlineStr"/>
      <c r="E80" t="inlineStr"/>
      <c r="F80">
        <f>T82+Skills!N2</f>
        <v/>
      </c>
      <c r="G80">
        <f>Calc!G2</f>
        <v/>
      </c>
      <c r="H80">
        <f>Calc!H2</f>
        <v/>
      </c>
      <c r="I80">
        <f>IF(Skills!T2&lt;&gt;"",1+(Skills!T2/10)*($Z$3/1000)/100,1)</f>
        <v/>
      </c>
      <c r="J80">
        <f>((Inputs!$B$6*(1+Inputs!$B$7/100))+(((Inputs!$B$13*(1+(Inputs!$B$14+1)/100))-(Inputs!$B$13*(1+Inputs!$B$14/100)))+0.25*(Inputs!$B$15-Inputs!$B$15))*(1+Inputs!$B$7/100))*(F80/100)</f>
        <v/>
      </c>
      <c r="K80">
        <f>J80*(1+(((Inputs!$B$13+IF(Inputs!$B$3&gt;=35,(10*INDEX(FactorTable!$B$2:$Y$301, MATCH(ROUND(MIN(300,MAX(1,Inputs!$B$3)),0), FactorTable!$A$2:$A$301,0), 23)/1000)/100*(Inputs!$B$8*(1+(Inputs!$B$9+B116)/100)),0))*(1+(Inputs!$B$14+1)/100))*0.01+Inputs!$B$15*0.0025)/100)*(1+(Inputs!$B$16+B110)/100)*(1+Inputs!$B$17/100)*(5000/(6000+Inputs!$B$43*(1-Inputs!$B$20/100)))*(1+Inputs!$B$25/100)*(1+IF(C96=TRUE,F96,0)/100)*(1+IF(C98=TRUE,F98,0)/100)*(1+IF(Skills!A2="TRIUMPH_FEATHER",IF(C94=TRUE,F94,0),0)/100)*(1+IF(C105=TRUE,F105,0)/100)^5*(1+(IF(Skills!A2="BIG_BANG",Inputs!$B$18,Inputs!$B$19))/100)*(B107*I80)</f>
        <v/>
      </c>
      <c r="L80">
        <f>K80*(MIN(Inputs!$B$23+(F100-Calc!F22),Inputs!$B$24)/100+Inputs!$B$24/100)/2</f>
        <v/>
      </c>
      <c r="M80">
        <f>L80*(1+(Inputs!$B$11+B111+(F103-Calc!F25))/100)</f>
        <v/>
      </c>
      <c r="N80">
        <f>L80*(1-MIN(Inputs!$B$10+((F102-Calc!F24)+(F101-Calc!F23)),100)/100)+M80*(MIN(Inputs!$B$10+((F102-Calc!F24)+(F101-Calc!F23)),100)/100)</f>
        <v/>
      </c>
      <c r="O80">
        <f>(1-Summary!$B$48)*S80+Summary!$B$48*U80</f>
        <v/>
      </c>
      <c r="P80">
        <f>IF(B120=0,0,O80/B120)</f>
        <v/>
      </c>
      <c r="Q80">
        <f>IFERROR(1/IF(Inputs!$B$39="pvp",15,MAX(0.1,Skills!D2-IF(Skills!E2=TRUE,Inputs!$B$33,0))),0)</f>
        <v/>
      </c>
      <c r="R80" t="n">
        <v>0</v>
      </c>
      <c r="S80">
        <f>IF(C80,(Skills!F2*N80*B115)*IF(Inputs!$B$39="pvp",1,1+(Inputs!$B$21+Skills!O2+B108)/100),0)</f>
        <v/>
      </c>
      <c r="T80">
        <f>MAX(0,(Inputs!$B$3-100)*3)+Inputs!$B$29+Inputs!$B$30</f>
        <v/>
      </c>
      <c r="U80">
        <f>IF(C80,(Skills!F2*N80*B115)*IF(Inputs!$B$39="pvp",1,(1+(Inputs!$B$22+Skills!P2+B109)/100)*(MIN((6+Inputs!$B$34),Inputs!$B$38))),0)</f>
        <v/>
      </c>
    </row>
    <row r="81">
      <c r="A81">
        <f>Skills!A3</f>
        <v/>
      </c>
      <c r="B81">
        <f>Skills!B3</f>
        <v/>
      </c>
      <c r="C81">
        <f>Inputs!$B$3&gt;=15</f>
        <v/>
      </c>
      <c r="D81">
        <f>IF(Skills!C3=1,60+Inputs!$B$26+Inputs!$B$30,IF(Skills!C3=2,90+Inputs!$B$27+Inputs!$B$30,IF(Skills!C3=3,120+Inputs!$B$28+Inputs!$B$30,MAX(0,(Inputs!$B$3-100)*3)+Inputs!$B$29+Inputs!$B$30)))</f>
        <v/>
      </c>
      <c r="E81">
        <f>INDEX(FactorTable!$B$2:$Y$301, MATCH(ROUND(MIN(300,MAX(1,D81)),0), FactorTable!$A$2:$A$301,0), Skills!L3+1)</f>
        <v/>
      </c>
      <c r="F81">
        <f>IF(Skills!M3=TRUE,(Skills!K3/10)*(E81/1000),Skills!K3/10)+Skills!N3</f>
        <v/>
      </c>
      <c r="G81">
        <f>Calc!G3</f>
        <v/>
      </c>
      <c r="H81">
        <f>Calc!H3</f>
        <v/>
      </c>
      <c r="I81">
        <f>IF(Skills!T3&lt;&gt;"",1+(Skills!T3/10)*($Z$3/1000)/100,1)</f>
        <v/>
      </c>
      <c r="J81" t="inlineStr"/>
      <c r="K81" t="inlineStr"/>
      <c r="L81" t="inlineStr"/>
      <c r="M81" t="inlineStr"/>
      <c r="N81" t="inlineStr"/>
      <c r="O81">
        <f>(1-Summary!$B$48)*S81+Summary!$B$48*U81</f>
        <v/>
      </c>
      <c r="P81">
        <f>IF(B120=0,0,O81/B120)</f>
        <v/>
      </c>
      <c r="Q81">
        <f>IFERROR(1/IF(Inputs!$B$39="pvp",15,MAX(0.1,Skills!D3-IF(Skills!E3=TRUE,Inputs!$B$33,0))),0)</f>
        <v/>
      </c>
      <c r="R81">
        <f>IF(AND(Inputs!$B$39&lt;&gt;"pvp",Inputs!$B$44&gt;0),IF(Inputs!$B$44&lt;=0,0,(INT(Inputs!$B$44/IF(Inputs!$B$39="pvp",15,MAX(0.1,Skills!D3-IF(Skills!E3=TRUE,Inputs!$B$33,0))))+1)),0)</f>
        <v/>
      </c>
      <c r="S81" t="n">
        <v>0</v>
      </c>
      <c r="T81">
        <f>INDEX(FactorTable!$B$2:$Y$301, MATCH(ROUND(MIN(300,MAX(1,T80)),0), FactorTable!$A$2:$A$301,0), 22)</f>
        <v/>
      </c>
      <c r="U81" t="n">
        <v>0</v>
      </c>
    </row>
    <row r="82">
      <c r="A82">
        <f>Skills!A4</f>
        <v/>
      </c>
      <c r="B82">
        <f>Skills!B4</f>
        <v/>
      </c>
      <c r="C82">
        <f>Inputs!$B$3&gt;=38</f>
        <v/>
      </c>
      <c r="D82">
        <f>IF(Skills!C4=1,60+Inputs!$B$26+Inputs!$B$30,IF(Skills!C4=2,90+Inputs!$B$27+Inputs!$B$30,IF(Skills!C4=3,120+Inputs!$B$28+Inputs!$B$30,MAX(0,(Inputs!$B$3-100)*3)+Inputs!$B$29+Inputs!$B$30)))</f>
        <v/>
      </c>
      <c r="E82">
        <f>INDEX(FactorTable!$B$2:$Y$301, MATCH(ROUND(MIN(300,MAX(1,D82)),0), FactorTable!$A$2:$A$301,0), Skills!L4+1)</f>
        <v/>
      </c>
      <c r="F82">
        <f>IF(Skills!M4=TRUE,(Skills!K4/10)*(E82/1000),Skills!K4/10)+Skills!N4</f>
        <v/>
      </c>
      <c r="G82">
        <f>Calc!G4</f>
        <v/>
      </c>
      <c r="H82">
        <f>Calc!H4</f>
        <v/>
      </c>
      <c r="I82">
        <f>IF(Skills!T4&lt;&gt;"",1+(Skills!T4/10)*($Z$3/1000)/100,1)</f>
        <v/>
      </c>
      <c r="J82" t="inlineStr"/>
      <c r="K82" t="inlineStr"/>
      <c r="L82" t="inlineStr"/>
      <c r="M82" t="inlineStr"/>
      <c r="N82" t="inlineStr"/>
      <c r="O82">
        <f>(1-Summary!$B$48)*S82+Summary!$B$48*U82</f>
        <v/>
      </c>
      <c r="P82">
        <f>IF(B120=0,0,O82/B120)</f>
        <v/>
      </c>
      <c r="Q82">
        <f>IFERROR(1/IF(Inputs!$B$39="pvp",15,MAX(0.1,Skills!D4-IF(Skills!E4=TRUE,Inputs!$B$33,0))),0)</f>
        <v/>
      </c>
      <c r="R82">
        <f>IF(AND(Inputs!$B$39&lt;&gt;"pvp",Inputs!$B$44&gt;0),IF(Inputs!$B$44&lt;=0,0,(INT(Inputs!$B$44/IF(Inputs!$B$39="pvp",15,MAX(0.1,Skills!D4-IF(Skills!E4=TRUE,Inputs!$B$33,0))))+1)),0)</f>
        <v/>
      </c>
      <c r="S82" t="n">
        <v>0</v>
      </c>
      <c r="T82">
        <f>290*T81/1000</f>
        <v/>
      </c>
      <c r="U82" t="n">
        <v>0</v>
      </c>
    </row>
    <row r="83">
      <c r="A83">
        <f>Skills!A5</f>
        <v/>
      </c>
      <c r="B83">
        <f>Skills!B5</f>
        <v/>
      </c>
      <c r="C83">
        <f>Inputs!$B$3&gt;=40</f>
        <v/>
      </c>
      <c r="D83">
        <f>IF(Skills!C5=1,60+Inputs!$B$26+Inputs!$B$30,IF(Skills!C5=2,90+Inputs!$B$27+Inputs!$B$30,IF(Skills!C5=3,120+Inputs!$B$28+Inputs!$B$30,MAX(0,(Inputs!$B$3-100)*3)+Inputs!$B$29+Inputs!$B$30)))</f>
        <v/>
      </c>
      <c r="E83">
        <f>INDEX(FactorTable!$B$2:$Y$301, MATCH(ROUND(MIN(300,MAX(1,D83)),0), FactorTable!$A$2:$A$301,0), Skills!L5+1)</f>
        <v/>
      </c>
      <c r="F83">
        <f>IF(Skills!M5=TRUE,(Skills!K5/10)*(E83/1000),Skills!K5/10)+Skills!N5</f>
        <v/>
      </c>
      <c r="G83">
        <f>Calc!G5</f>
        <v/>
      </c>
      <c r="H83">
        <f>Calc!H5</f>
        <v/>
      </c>
      <c r="I83">
        <f>IF(Skills!T5&lt;&gt;"",1+(Skills!T5/10)*($Z$3/1000)/100,1)</f>
        <v/>
      </c>
      <c r="J83" t="inlineStr"/>
      <c r="K83" t="inlineStr"/>
      <c r="L83" t="inlineStr"/>
      <c r="M83" t="inlineStr"/>
      <c r="N83" t="inlineStr"/>
      <c r="O83">
        <f>(1-Summary!$B$48)*S83+Summary!$B$48*U83</f>
        <v/>
      </c>
      <c r="P83">
        <f>IF(B120=0,0,O83/B120)</f>
        <v/>
      </c>
      <c r="Q83">
        <f>IFERROR(1/IF(Inputs!$B$39="pvp",15,MAX(0.1,Skills!D5-IF(Skills!E5=TRUE,Inputs!$B$33,0))),0)</f>
        <v/>
      </c>
      <c r="R83">
        <f>IF(AND(Inputs!$B$39&lt;&gt;"pvp",Inputs!$B$44&gt;0),IF(Inputs!$B$44&lt;=0,0,(INT(Inputs!$B$44/IF(Inputs!$B$39="pvp",15,MAX(0.1,Skills!D5-IF(Skills!E5=TRUE,Inputs!$B$33,0))))+1)),0)</f>
        <v/>
      </c>
      <c r="S83" t="n">
        <v>0</v>
      </c>
      <c r="U83" t="n">
        <v>0</v>
      </c>
    </row>
    <row r="84">
      <c r="A84">
        <f>Skills!A6</f>
        <v/>
      </c>
      <c r="B84">
        <f>Skills!B6</f>
        <v/>
      </c>
      <c r="C84">
        <f>Inputs!$B$3&gt;=103</f>
        <v/>
      </c>
      <c r="D84">
        <f>IF(Skills!C6=1,60+Inputs!$B$26+Inputs!$B$30,IF(Skills!C6=2,90+Inputs!$B$27+Inputs!$B$30,IF(Skills!C6=3,120+Inputs!$B$28+Inputs!$B$30,MAX(0,(Inputs!$B$3-100)*3)+Inputs!$B$29+Inputs!$B$30)))</f>
        <v/>
      </c>
      <c r="E84">
        <f>INDEX(FactorTable!$B$2:$Y$301, MATCH(ROUND(MIN(300,MAX(1,D84)),0), FactorTable!$A$2:$A$301,0), Skills!L6+1)</f>
        <v/>
      </c>
      <c r="F84">
        <f>IF(Skills!M6=TRUE,(Skills!K6/10)*(E84/1000),Skills!K6/10)+Skills!N6</f>
        <v/>
      </c>
      <c r="G84">
        <f>Calc!G6</f>
        <v/>
      </c>
      <c r="H84">
        <f>Calc!H6</f>
        <v/>
      </c>
      <c r="I84">
        <f>IF(Skills!T6&lt;&gt;"",1+(Skills!T6/10)*($Z$3/1000)/100,1)</f>
        <v/>
      </c>
      <c r="J84">
        <f>((Inputs!$B$6*(1+Inputs!$B$7/100))+(((Inputs!$B$13*(1+(Inputs!$B$14+1)/100))-(Inputs!$B$13*(1+Inputs!$B$14/100)))+0.25*(Inputs!$B$15-Inputs!$B$15))*(1+Inputs!$B$7/100))*(F84/100)</f>
        <v/>
      </c>
      <c r="K84">
        <f>J84*(1+(((Inputs!$B$13+IF(Inputs!$B$3&gt;=35,(10*INDEX(FactorTable!$B$2:$Y$301, MATCH(ROUND(MIN(300,MAX(1,Inputs!$B$3)),0), FactorTable!$A$2:$A$301,0), 23)/1000)/100*(Inputs!$B$8*(1+(Inputs!$B$9+B116)/100)),0))*(1+(Inputs!$B$14+1)/100))*0.01+Inputs!$B$15*0.0025)/100)*(1+(Inputs!$B$16+B110)/100)*(1+Inputs!$B$17/100)*(5000/(6000+Inputs!$B$43*(1-Inputs!$B$20/100)))*(1+Inputs!$B$25/100)*(1+IF(C96=TRUE,F96,0)/100)*(1+IF(C98=TRUE,F98,0)/100)*(1+IF(Skills!A6="TRIUMPH_FEATHER",IF(C94=TRUE,F94,0),0)/100)*(1+IF(C105=TRUE,F105,0)/100)^5*(1+(IF(Skills!A6="BIG_BANG",Inputs!$B$18,Inputs!$B$19))/100)*(B107*I84)</f>
        <v/>
      </c>
      <c r="L84">
        <f>K84*(MIN(Inputs!$B$23+(F100-Calc!F22),Inputs!$B$24)/100+Inputs!$B$24/100)/2</f>
        <v/>
      </c>
      <c r="M84">
        <f>L84*(1+(Inputs!$B$11+B111+(F103-Calc!F25))/100)</f>
        <v/>
      </c>
      <c r="N84">
        <f>L84*(1-MIN(Inputs!$B$10+((F102-Calc!F24)+(F101-Calc!F23)),100)/100)+M84*(MIN(Inputs!$B$10+((F102-Calc!F24)+(F101-Calc!F23)),100)/100)</f>
        <v/>
      </c>
      <c r="O84">
        <f>(1-Summary!$B$48)*S84+Summary!$B$48*U84</f>
        <v/>
      </c>
      <c r="P84">
        <f>IF(B120=0,0,O84/B120)</f>
        <v/>
      </c>
      <c r="Q84">
        <f>IFERROR(1/IF(Inputs!$B$39="pvp",15,MAX(0.1,Skills!D6-IF(Skills!E6=TRUE,Inputs!$B$33,0))),0)</f>
        <v/>
      </c>
      <c r="R84">
        <f>IF(AND(Inputs!$B$39&lt;&gt;"pvp",Inputs!$B$44&gt;0),IF(MAX(0,Inputs!$B$44-B117)&lt;=0,0,(INT(MAX(0,Inputs!$B$44-B117)/IF(Inputs!$B$39="pvp",15,MAX(0.1,Skills!D6-IF(Skills!E6=TRUE,Inputs!$B$33,0))))+1)),0)</f>
        <v/>
      </c>
      <c r="S84">
        <f>IF(C84,(H84*N84*IF(AND(Inputs!$B$39&lt;&gt;"pvp",Inputs!$B$44&gt;0),((Skills!F6*((R84-1)*IF(Skills!G6&gt;0,Skills!H6/Skills!G6,1)+IF(Skills!G6&gt;0,MIN(Skills!H6,MAX(0,MAX(0,Inputs!$B$44-B117)-((R84-1)*IF(Inputs!$B$39="pvp",15,MAX(0.1,Skills!D6-IF(Skills!E6=TRUE,Inputs!$B$33,0))))))/Skills!G6,1)))/Inputs!$B$44),G84*Q84))*IF(Inputs!$B$39="pvp",1,1+(Inputs!$B$21+Skills!O6+B108)/100),0)</f>
        <v/>
      </c>
      <c r="U84">
        <f>IF(C84,(H84*N84*IF(AND(Inputs!$B$39&lt;&gt;"pvp",Inputs!$B$44&gt;0),((Skills!F6*((R84-1)*IF(Skills!G6&gt;0,Skills!H6/Skills!G6,1)+IF(Skills!G6&gt;0,MIN(Skills!H6,MAX(0,MAX(0,Inputs!$B$44-B117)-((R84-1)*IF(Inputs!$B$39="pvp",15,MAX(0.1,Skills!D6-IF(Skills!E6=TRUE,Inputs!$B$33,0))))))/Skills!G6,1)))/Inputs!$B$44),G84*Q84))*IF(Inputs!$B$39="pvp",1,(1+(Inputs!$B$22+Skills!P6+B109)/100)*(MIN(Skills!Q6,Inputs!$B$38))),0)</f>
        <v/>
      </c>
    </row>
    <row r="85">
      <c r="A85">
        <f>Skills!A7</f>
        <v/>
      </c>
      <c r="B85">
        <f>Skills!B7</f>
        <v/>
      </c>
      <c r="C85">
        <f>Inputs!$B$3&gt;=122</f>
        <v/>
      </c>
      <c r="D85">
        <f>IF(Skills!C7=1,60+Inputs!$B$26+Inputs!$B$30,IF(Skills!C7=2,90+Inputs!$B$27+Inputs!$B$30,IF(Skills!C7=3,120+Inputs!$B$28+Inputs!$B$30,MAX(0,(Inputs!$B$3-100)*3)+Inputs!$B$29+Inputs!$B$30)))</f>
        <v/>
      </c>
      <c r="E85">
        <f>INDEX(FactorTable!$B$2:$Y$301, MATCH(ROUND(MIN(300,MAX(1,D85)),0), FactorTable!$A$2:$A$301,0), Skills!L7+1)</f>
        <v/>
      </c>
      <c r="F85">
        <f>IF(Skills!M7=TRUE,(Skills!K7/10)*(E85/1000),Skills!K7/10)+Skills!N7</f>
        <v/>
      </c>
      <c r="G85">
        <f>Calc!G7</f>
        <v/>
      </c>
      <c r="H85">
        <f>Calc!H7</f>
        <v/>
      </c>
      <c r="I85">
        <f>IF(Skills!T7&lt;&gt;"",1+(Skills!T7/10)*($Z$3/1000)/100,1)</f>
        <v/>
      </c>
      <c r="J85">
        <f>((Inputs!$B$6*(1+Inputs!$B$7/100))+(((Inputs!$B$13*(1+(Inputs!$B$14+1)/100))-(Inputs!$B$13*(1+Inputs!$B$14/100)))+0.25*(Inputs!$B$15-Inputs!$B$15))*(1+Inputs!$B$7/100))*(F85/100)</f>
        <v/>
      </c>
      <c r="K85">
        <f>J85*(1+(((Inputs!$B$13+IF(Inputs!$B$3&gt;=35,(10*INDEX(FactorTable!$B$2:$Y$301, MATCH(ROUND(MIN(300,MAX(1,Inputs!$B$3)),0), FactorTable!$A$2:$A$301,0), 23)/1000)/100*(Inputs!$B$8*(1+(Inputs!$B$9+B116)/100)),0))*(1+(Inputs!$B$14+1)/100))*0.01+Inputs!$B$15*0.0025)/100)*(1+(Inputs!$B$16+B110)/100)*(1+Inputs!$B$17/100)*(5000/(6000+Inputs!$B$43*(1-Inputs!$B$20/100)))*(1+Inputs!$B$25/100)*(1+IF(C96=TRUE,F96,0)/100)*(1+IF(C98=TRUE,F98,0)/100)*(1+IF(Skills!A7="TRIUMPH_FEATHER",IF(C94=TRUE,F94,0),0)/100)*(1+IF(C105=TRUE,F105,0)/100)^5*(1+(IF(Skills!A7="BIG_BANG",Inputs!$B$18,Inputs!$B$19))/100)*(B107*I85)</f>
        <v/>
      </c>
      <c r="L85">
        <f>K85*(MIN(Inputs!$B$23+(F100-Calc!F22),Inputs!$B$24)/100+Inputs!$B$24/100)/2</f>
        <v/>
      </c>
      <c r="M85">
        <f>L85*(1+(Inputs!$B$11+B111+(F103-Calc!F25))/100)</f>
        <v/>
      </c>
      <c r="N85">
        <f>L85*(1-MIN(Inputs!$B$10+((F102-Calc!F24)+(F101-Calc!F23)),100)/100)+M85*(MIN(Inputs!$B$10+((F102-Calc!F24)+(F101-Calc!F23)),100)/100)</f>
        <v/>
      </c>
      <c r="O85">
        <f>(1-Summary!$B$48)*S85+Summary!$B$48*U85</f>
        <v/>
      </c>
      <c r="P85">
        <f>IF(B120=0,0,O85/B120)</f>
        <v/>
      </c>
      <c r="Q85">
        <f>IFERROR(1/IF(Inputs!$B$39="pvp",15,MAX(0.1,Skills!D7-IF(Skills!E6=TRUE,Inputs!$B$33,0))),0)</f>
        <v/>
      </c>
      <c r="R85">
        <f>IF(AND(Inputs!$B$39&lt;&gt;"pvp",Inputs!$B$44&gt;0),IF(MAX(0,Inputs!$B$44-B117)&lt;=0,0,(INT(MAX(0,Inputs!$B$44-B117)/IF(Inputs!$B$39="pvp",15,MAX(0.1,Skills!D7-IF(Skills!E6=TRUE,Inputs!$B$33,0))))+1)),0)</f>
        <v/>
      </c>
      <c r="S85">
        <f>IF(C85,H85*N85*IF(AND(Inputs!$B$39&lt;&gt;"pvp",Inputs!$B$44&gt;0),((Skills!F7*((R85-1)*IF(Skills!G7&gt;0,Skills!H7/Skills!G7,1)+IF(Skills!G7&gt;0,MIN(Skills!H7,MAX(0,MAX(0,Inputs!$B$44-B117)-((R85-1)*IF(Inputs!$B$39="pvp",15,MAX(0.1,Skills!D7-IF(Skills!E6=TRUE,Inputs!$B$33,0))))))/Skills!G7,1)))/Inputs!$B$44),G85*Q85)*IF(Inputs!$B$39="pvp",1,1+(Inputs!$B$21+Skills!O7+B108)/100),0)</f>
        <v/>
      </c>
      <c r="U85" t="n">
        <v>0</v>
      </c>
    </row>
    <row r="86">
      <c r="A86">
        <f>Skills!A8</f>
        <v/>
      </c>
      <c r="B86">
        <f>Skills!B8</f>
        <v/>
      </c>
      <c r="C86">
        <f>Inputs!$B$3&gt;=105</f>
        <v/>
      </c>
      <c r="D86">
        <f>IF(Skills!C8=1,60+Inputs!$B$26+Inputs!$B$30,IF(Skills!C8=2,90+Inputs!$B$27+Inputs!$B$30,IF(Skills!C8=3,120+Inputs!$B$28+Inputs!$B$30,MAX(0,(Inputs!$B$3-100)*3)+Inputs!$B$29+Inputs!$B$30)))</f>
        <v/>
      </c>
      <c r="E86">
        <f>INDEX(FactorTable!$B$2:$Y$301, MATCH(ROUND(MIN(300,MAX(1,D86)),0), FactorTable!$A$2:$A$301,0), Skills!L8+1)</f>
        <v/>
      </c>
      <c r="F86">
        <f>IF(Skills!M8=TRUE,(Skills!K8/10)*(E86/1000),Skills!K8/10)+Skills!N8</f>
        <v/>
      </c>
      <c r="G86">
        <f>Calc!G8</f>
        <v/>
      </c>
      <c r="H86">
        <f>Calc!H8</f>
        <v/>
      </c>
      <c r="I86">
        <f>IF(Skills!T8&lt;&gt;"",1+(Skills!T8/10)*($Z$3/1000)/100,1)</f>
        <v/>
      </c>
      <c r="J86">
        <f>((Inputs!$B$6*(1+Inputs!$B$7/100))+(((Inputs!$B$13*(1+(Inputs!$B$14+1)/100))-(Inputs!$B$13*(1+Inputs!$B$14/100)))+0.25*(Inputs!$B$15-Inputs!$B$15))*(1+Inputs!$B$7/100))*(F86/100)</f>
        <v/>
      </c>
      <c r="K86">
        <f>J86*(1+(((Inputs!$B$13+IF(Inputs!$B$3&gt;=35,(10*INDEX(FactorTable!$B$2:$Y$301, MATCH(ROUND(MIN(300,MAX(1,Inputs!$B$3)),0), FactorTable!$A$2:$A$301,0), 23)/1000)/100*(Inputs!$B$8*(1+(Inputs!$B$9+B116)/100)),0))*(1+(Inputs!$B$14+1)/100))*0.01+Inputs!$B$15*0.0025)/100)*(1+(Inputs!$B$16+B110)/100)*(1+Inputs!$B$17/100)*(5000/(6000+Inputs!$B$43*(1-Inputs!$B$20/100)))*(1+Inputs!$B$25/100)*(1+IF(C96=TRUE,F96,0)/100)*(1+IF(C98=TRUE,F98,0)/100)*(1+IF(Skills!A8="TRIUMPH_FEATHER",IF(C94=TRUE,F94,0),0)/100)*(1+IF(C105=TRUE,F105,0)/100)^5*(1+(IF(Skills!A8="BIG_BANG",Inputs!$B$18,Inputs!$B$19))/100)*(B107*I86)</f>
        <v/>
      </c>
      <c r="L86">
        <f>K86*(MIN(Inputs!$B$23+(F100-Calc!F22),Inputs!$B$24)/100+Inputs!$B$24/100)/2</f>
        <v/>
      </c>
      <c r="M86">
        <f>L86*(1+(Inputs!$B$11+B111+(F103-Calc!F25))/100)</f>
        <v/>
      </c>
      <c r="N86">
        <f>L86*(1-MIN(Inputs!$B$10+((F102-Calc!F24)+(F101-Calc!F23)),100)/100)+M86*(MIN(Inputs!$B$10+((F102-Calc!F24)+(F101-Calc!F23)),100)/100)</f>
        <v/>
      </c>
      <c r="O86">
        <f>(1-Summary!$B$48)*S86+Summary!$B$48*U86</f>
        <v/>
      </c>
      <c r="P86">
        <f>IF(B120=0,0,O86/B120)</f>
        <v/>
      </c>
      <c r="Q86">
        <f>IFERROR(1/IF(Inputs!$B$39="pvp",15,MAX(0.1,Skills!D8-IF(Skills!E8=TRUE,Inputs!$B$33,0))),0)</f>
        <v/>
      </c>
      <c r="R86">
        <f>IF(AND(Inputs!$B$39&lt;&gt;"pvp",Inputs!$B$44&gt;0),IF(MAX(0,Inputs!$B$44-B117)&lt;=0,0,(INT(MAX(0,Inputs!$B$44-B117)/IF(Inputs!$B$39="pvp",15,MAX(0.1,Skills!D8-IF(Skills!E8=TRUE,Inputs!$B$33,0))))+1)),0)</f>
        <v/>
      </c>
      <c r="S86">
        <f>IF(C86,(H86*N86*IF(AND(Inputs!$B$39&lt;&gt;"pvp",Inputs!$B$44&gt;0),((Skills!F8*((R86-1)*IF(Skills!G8&gt;0,Skills!H8/Skills!G8,1)+IF(Skills!G8&gt;0,MIN(Skills!H8,MAX(0,MAX(0,Inputs!$B$44-B117)-((R86-1)*IF(Inputs!$B$39="pvp",15,MAX(0.1,Skills!D8-IF(Skills!E8=TRUE,Inputs!$B$33,0))))))/Skills!G8,1)))/Inputs!$B$44),G86*Q86))*IF(Inputs!$B$39="pvp",1,1+(Inputs!$B$21+Skills!O8+B108)/100),0)</f>
        <v/>
      </c>
      <c r="U86">
        <f>IF(C86,(H86*N86*IF(AND(Inputs!$B$39&lt;&gt;"pvp",Inputs!$B$44&gt;0),((Skills!F8*((R86-1)*IF(Skills!G8&gt;0,Skills!H8/Skills!G8,1)+IF(Skills!G8&gt;0,MIN(Skills!H8,MAX(0,MAX(0,Inputs!$B$44-B117)-((R86-1)*IF(Inputs!$B$39="pvp",15,MAX(0.1,Skills!D8-IF(Skills!E8=TRUE,Inputs!$B$33,0))))))/Skills!G8,1)))/Inputs!$B$44),G86*Q86))*IF(Inputs!$B$39="pvp",1,(1+(Inputs!$B$22+Skills!P8+B109)/100)*(MIN(Skills!Q8,Inputs!$B$38))),0)</f>
        <v/>
      </c>
    </row>
    <row r="87">
      <c r="A87">
        <f>Skills!A9</f>
        <v/>
      </c>
      <c r="B87">
        <f>Skills!B9</f>
        <v/>
      </c>
      <c r="C87">
        <f>Inputs!$B$3&gt;=115</f>
        <v/>
      </c>
      <c r="D87">
        <f>IF(Skills!C9=1,60+Inputs!$B$26+Inputs!$B$30,IF(Skills!C9=2,90+Inputs!$B$27+Inputs!$B$30,IF(Skills!C9=3,120+Inputs!$B$28+Inputs!$B$30,MAX(0,(Inputs!$B$3-100)*3)+Inputs!$B$29+Inputs!$B$30)))</f>
        <v/>
      </c>
      <c r="E87">
        <f>INDEX(FactorTable!$B$2:$Y$301, MATCH(ROUND(MIN(300,MAX(1,D87)),0), FactorTable!$A$2:$A$301,0), Skills!L9+1)</f>
        <v/>
      </c>
      <c r="F87">
        <f>IF(Skills!M9=TRUE,(Skills!K9/10)*(E87/1000),Skills!K9/10)+Skills!N9</f>
        <v/>
      </c>
      <c r="G87">
        <f>Calc!G9</f>
        <v/>
      </c>
      <c r="H87">
        <f>Calc!H9</f>
        <v/>
      </c>
      <c r="I87">
        <f>IF(Skills!T9&lt;&gt;"",1+(Skills!T9/10)*($Z$3/1000)/100,1)</f>
        <v/>
      </c>
      <c r="J87">
        <f>((Inputs!$B$6*(1+Inputs!$B$7/100))+(((Inputs!$B$13*(1+(Inputs!$B$14+1)/100))-(Inputs!$B$13*(1+Inputs!$B$14/100)))+0.25*(Inputs!$B$15-Inputs!$B$15))*(1+Inputs!$B$7/100))*(F87/100)</f>
        <v/>
      </c>
      <c r="K87">
        <f>J87*(1+(((Inputs!$B$13+IF(Inputs!$B$3&gt;=35,(10*INDEX(FactorTable!$B$2:$Y$301, MATCH(ROUND(MIN(300,MAX(1,Inputs!$B$3)),0), FactorTable!$A$2:$A$301,0), 23)/1000)/100*(Inputs!$B$8*(1+(Inputs!$B$9+B116)/100)),0))*(1+(Inputs!$B$14+1)/100))*0.01+Inputs!$B$15*0.0025)/100)*(1+(Inputs!$B$16+B110)/100)*(1+Inputs!$B$17/100)*(5000/(6000+Inputs!$B$43*(1-Inputs!$B$20/100)))*(1+Inputs!$B$25/100)*(1+IF(C96=TRUE,F96,0)/100)*(1+IF(C98=TRUE,F98,0)/100)*(1+IF(Skills!A9="TRIUMPH_FEATHER",IF(C94=TRUE,F94,0),0)/100)*(1+IF(C105=TRUE,F105,0)/100)^5*(1+(IF(Skills!A9="BIG_BANG",Inputs!$B$18,Inputs!$B$19))/100)*(B107*I87)</f>
        <v/>
      </c>
      <c r="L87">
        <f>K87*(MIN(Inputs!$B$23+(F100-Calc!F22),Inputs!$B$24)/100+Inputs!$B$24/100)/2</f>
        <v/>
      </c>
      <c r="M87">
        <f>L87*(1+(Inputs!$B$11+B111+(F103-Calc!F25))/100)</f>
        <v/>
      </c>
      <c r="N87">
        <f>L87*(1-MIN(Inputs!$B$10+((F102-Calc!F24)+(F101-Calc!F23)),100)/100)+M87*(MIN(Inputs!$B$10+((F102-Calc!F24)+(F101-Calc!F23)),100)/100)</f>
        <v/>
      </c>
      <c r="O87">
        <f>(1-Summary!$B$48)*S87+Summary!$B$48*U87</f>
        <v/>
      </c>
      <c r="P87">
        <f>IF(B120=0,0,O87/B120)</f>
        <v/>
      </c>
      <c r="Q87">
        <f>IFERROR(1/IF(Inputs!$B$39="pvp",15,MAX(0.1,Skills!D9-IF(Skills!E9=TRUE,Inputs!$B$33,0))),0)</f>
        <v/>
      </c>
      <c r="R87">
        <f>IF(AND(Inputs!$B$39&lt;&gt;"pvp",Inputs!$B$44&gt;0),IF(MAX(0,Inputs!$B$44-B117)&lt;=0,0,(INT(MAX(0,Inputs!$B$44-B117)/IF(Inputs!$B$39="pvp",15,MAX(0.1,Skills!D9-IF(Skills!E9=TRUE,Inputs!$B$33,0))))+1)),0)</f>
        <v/>
      </c>
      <c r="S87">
        <f>IF(C87,(H87*N87*IF(AND(Inputs!$B$39&lt;&gt;"pvp",Inputs!$B$44&gt;0),((Skills!F9*((R87-1)*IF(Skills!G9&gt;0,Skills!H9/Skills!G9,1)+IF(Skills!G9&gt;0,MIN(Skills!H9,MAX(0,MAX(0,Inputs!$B$44-B117)-((R87-1)*IF(Inputs!$B$39="pvp",15,MAX(0.1,Skills!D9-IF(Skills!E9=TRUE,Inputs!$B$33,0))))))/Skills!G9,1)))/Inputs!$B$44),G87*Q87))*IF(Inputs!$B$39="pvp",1,1+(Inputs!$B$21+Skills!O9+B108)/100),0)</f>
        <v/>
      </c>
      <c r="U87">
        <f>IF(C87,(H87*N87*IF(AND(Inputs!$B$39&lt;&gt;"pvp",Inputs!$B$44&gt;0),((Skills!F9*((R87-1)*IF(Skills!G9&gt;0,Skills!H9/Skills!G9,1)+IF(Skills!G9&gt;0,MIN(Skills!H9,MAX(0,MAX(0,Inputs!$B$44-B117)-((R87-1)*IF(Inputs!$B$39="pvp",15,MAX(0.1,Skills!D9-IF(Skills!E9=TRUE,Inputs!$B$33,0))))))/Skills!G9,1)))/Inputs!$B$44),G87*Q87))*IF(Inputs!$B$39="pvp",1,(1+(Inputs!$B$22+Skills!P9+B109)/100)*(MIN(Skills!Q9,Inputs!$B$38))),0)</f>
        <v/>
      </c>
    </row>
    <row r="88">
      <c r="A88">
        <f>Skills!A10</f>
        <v/>
      </c>
      <c r="B88">
        <f>Skills!B10</f>
        <v/>
      </c>
      <c r="C88">
        <f>Inputs!$B$3&gt;=66</f>
        <v/>
      </c>
      <c r="D88">
        <f>IF(Skills!C10=1,60+Inputs!$B$26+Inputs!$B$30,IF(Skills!C10=2,90+Inputs!$B$27+Inputs!$B$30,IF(Skills!C10=3,120+Inputs!$B$28+Inputs!$B$30,MAX(0,(Inputs!$B$3-100)*3)+Inputs!$B$29+Inputs!$B$30)))</f>
        <v/>
      </c>
      <c r="E88">
        <f>INDEX(FactorTable!$B$2:$Y$301, MATCH(ROUND(MIN(300,MAX(1,D88)),0), FactorTable!$A$2:$A$301,0), Skills!L10+1)</f>
        <v/>
      </c>
      <c r="F88" t="n">
        <v>0</v>
      </c>
      <c r="G88">
        <f>Calc!G10</f>
        <v/>
      </c>
      <c r="H88">
        <f>Calc!H10</f>
        <v/>
      </c>
      <c r="I88">
        <f>IF(Skills!T10&lt;&gt;"",1+(Skills!T10/10)*($Z$3/1000)/100,1)</f>
        <v/>
      </c>
      <c r="J88" t="inlineStr"/>
      <c r="K88" t="inlineStr"/>
      <c r="L88" t="inlineStr"/>
      <c r="M88" t="inlineStr"/>
      <c r="N88" t="inlineStr"/>
      <c r="O88">
        <f>(1-Summary!$B$48)*S88+Summary!$B$48*U88</f>
        <v/>
      </c>
      <c r="P88">
        <f>IF(B120=0,0,O88/B120)</f>
        <v/>
      </c>
      <c r="Q88">
        <f>IFERROR(1/IF(Inputs!$B$39="pvp",15,MAX(0.1,Skills!D10-IF(Skills!E10=TRUE,Inputs!$B$33,0))),0)</f>
        <v/>
      </c>
      <c r="R88">
        <f>IF(AND(Inputs!$B$39&lt;&gt;"pvp",Inputs!$B$44&gt;0),IF(MAX(0,Inputs!$B$44-B117)&lt;=0,0,(INT(MAX(0,Inputs!$B$44-B117)/IF(Inputs!$B$39="pvp",15,MAX(0.1,Skills!D10-IF(Skills!E10=TRUE,Inputs!$B$33,0))))+1)),0)</f>
        <v/>
      </c>
      <c r="S88" t="n">
        <v>0</v>
      </c>
      <c r="U88" t="n">
        <v>0</v>
      </c>
    </row>
    <row r="89">
      <c r="A89">
        <f>Skills!A11</f>
        <v/>
      </c>
      <c r="B89">
        <f>Skills!B11</f>
        <v/>
      </c>
      <c r="C89">
        <f>Inputs!$B$3&gt;=69</f>
        <v/>
      </c>
      <c r="D89">
        <f>IF(Skills!C11=1,60+Inputs!$B$26+Inputs!$B$30,IF(Skills!C11=2,90+Inputs!$B$27+Inputs!$B$30,IF(Skills!C11=3,120+Inputs!$B$28+Inputs!$B$30,MAX(0,(Inputs!$B$3-100)*3)+Inputs!$B$29+Inputs!$B$30)))</f>
        <v/>
      </c>
      <c r="E89">
        <f>INDEX(FactorTable!$B$2:$Y$301, MATCH(ROUND(MIN(300,MAX(1,D89)),0), FactorTable!$A$2:$A$301,0), Skills!L11+1)</f>
        <v/>
      </c>
      <c r="F89">
        <f>IF(Skills!M11=TRUE,(Skills!K11/10)*(E89/1000),Skills!K11/10)+Skills!N11</f>
        <v/>
      </c>
      <c r="G89">
        <f>Calc!G11</f>
        <v/>
      </c>
      <c r="H89">
        <f>Calc!H11</f>
        <v/>
      </c>
      <c r="I89">
        <f>IF(Skills!T11&lt;&gt;"",1+(Skills!T11/10)*($Z$3/1000)/100,1)</f>
        <v/>
      </c>
      <c r="J89" t="inlineStr"/>
      <c r="K89" t="inlineStr"/>
      <c r="L89" t="inlineStr"/>
      <c r="M89" t="inlineStr"/>
      <c r="N89" t="inlineStr"/>
      <c r="O89">
        <f>(1-Summary!$B$48)*S89+Summary!$B$48*U89</f>
        <v/>
      </c>
      <c r="P89">
        <f>IF(B120=0,0,O89/B120)</f>
        <v/>
      </c>
      <c r="Q89">
        <f>IFERROR(1/IF(Inputs!$B$39="pvp",15,MAX(0.1,Skills!D11-IF(Skills!E11=TRUE,Inputs!$B$33,0))),0)</f>
        <v/>
      </c>
      <c r="R89">
        <f>IF(AND(Inputs!$B$39&lt;&gt;"pvp",Inputs!$B$44&gt;0),IF(Inputs!$B$44&lt;=0,0,(INT(Inputs!$B$44/IF(Inputs!$B$39="pvp",15,MAX(0.1,Skills!D11-IF(Skills!E11=TRUE,Inputs!$B$33,0))))+1)),0)</f>
        <v/>
      </c>
      <c r="S89" t="n">
        <v>0</v>
      </c>
      <c r="U89" t="n">
        <v>0</v>
      </c>
    </row>
    <row r="90">
      <c r="A90">
        <f>Skills!A12</f>
        <v/>
      </c>
      <c r="B90">
        <f>Skills!B12</f>
        <v/>
      </c>
      <c r="C90">
        <f>Inputs!$B$3&gt;=72</f>
        <v/>
      </c>
      <c r="D90">
        <f>IF(Skills!C12=1,60+Inputs!$B$26+Inputs!$B$30,IF(Skills!C12=2,90+Inputs!$B$27+Inputs!$B$30,IF(Skills!C12=3,120+Inputs!$B$28+Inputs!$B$30,MAX(0,(Inputs!$B$3-100)*3)+Inputs!$B$29+Inputs!$B$30)))</f>
        <v/>
      </c>
      <c r="E90">
        <f>INDEX(FactorTable!$B$2:$Y$301, MATCH(ROUND(MIN(300,MAX(1,D90)),0), FactorTable!$A$2:$A$301,0), Skills!L12+1)</f>
        <v/>
      </c>
      <c r="F90">
        <f>IF(Skills!M12=TRUE,(Skills!K12/10)*(E90/1000),Skills!K12/10)+Skills!N12</f>
        <v/>
      </c>
      <c r="G90">
        <f>Calc!G12</f>
        <v/>
      </c>
      <c r="H90">
        <f>Calc!H12</f>
        <v/>
      </c>
      <c r="I90">
        <f>IF(Skills!T12&lt;&gt;"",1+(Skills!T12/10)*($Z$3/1000)/100,1)</f>
        <v/>
      </c>
      <c r="J90" t="inlineStr"/>
      <c r="K90" t="inlineStr"/>
      <c r="L90" t="inlineStr"/>
      <c r="M90" t="inlineStr"/>
      <c r="N90" t="inlineStr"/>
      <c r="O90">
        <f>(1-Summary!$B$48)*S90+Summary!$B$48*U90</f>
        <v/>
      </c>
      <c r="P90">
        <f>IF(B120=0,0,O90/B120)</f>
        <v/>
      </c>
      <c r="Q90">
        <f>IFERROR(1/IF(Inputs!$B$39="pvp",15,MAX(0.1,Skills!D12-IF(Skills!E12=TRUE,Inputs!$B$33,0))),0)</f>
        <v/>
      </c>
      <c r="R90">
        <f>IF(AND(Inputs!$B$39&lt;&gt;"pvp",Inputs!$B$44&gt;0),IF(MAX(0,Inputs!$B$44-B117)&lt;=0,0,(INT(MAX(0,Inputs!$B$44-B117)/IF(Inputs!$B$39="pvp",15,MAX(0.1,Skills!D12-IF(Skills!E12=TRUE,Inputs!$B$33,0))))+1)),0)</f>
        <v/>
      </c>
      <c r="S90" t="n">
        <v>0</v>
      </c>
      <c r="U90" t="n">
        <v>0</v>
      </c>
    </row>
    <row r="91">
      <c r="A91">
        <f>Skills!A13</f>
        <v/>
      </c>
      <c r="B91">
        <f>Skills!B13</f>
        <v/>
      </c>
      <c r="C91">
        <f>Inputs!$B$3&gt;=60</f>
        <v/>
      </c>
      <c r="D91">
        <f>IF(Skills!C13=1,60+Inputs!$B$26+Inputs!$B$30,IF(Skills!C13=2,90+Inputs!$B$27+Inputs!$B$30,IF(Skills!C13=3,120+Inputs!$B$28+Inputs!$B$30,MAX(0,(Inputs!$B$3-100)*3)+Inputs!$B$29+Inputs!$B$30)))</f>
        <v/>
      </c>
      <c r="E91">
        <f>INDEX(FactorTable!$B$2:$Y$301, MATCH(ROUND(MIN(300,MAX(1,D91)),0), FactorTable!$A$2:$A$301,0), Skills!L13+1)</f>
        <v/>
      </c>
      <c r="F91">
        <f>IF(Skills!M13=TRUE,(Skills!K13/10)*(E91/1000),Skills!K13/10)+Skills!N13</f>
        <v/>
      </c>
      <c r="G91">
        <f>Calc!G13</f>
        <v/>
      </c>
      <c r="H91">
        <f>Calc!H13</f>
        <v/>
      </c>
      <c r="I91">
        <f>IF(Skills!T13&lt;&gt;"",1+(Skills!T13/10)*($Z$3/1000)/100,1)</f>
        <v/>
      </c>
      <c r="J91" t="inlineStr"/>
      <c r="K91" t="inlineStr"/>
      <c r="L91" t="inlineStr"/>
      <c r="M91" t="inlineStr"/>
      <c r="N91" t="inlineStr"/>
      <c r="O91">
        <f>(1-Summary!$B$48)*S91+Summary!$B$48*U91</f>
        <v/>
      </c>
      <c r="P91">
        <f>IF(B120=0,0,O91/B120)</f>
        <v/>
      </c>
      <c r="Q91">
        <f>IFERROR(1/IF(Inputs!$B$39="pvp",15,MAX(0.1,Skills!D13-IF(Skills!E13=TRUE,Inputs!$B$33,0))),0)</f>
        <v/>
      </c>
      <c r="R91">
        <f>IF(AND(Inputs!$B$39&lt;&gt;"pvp",Inputs!$B$44&gt;0),IF(MAX(0,Inputs!$B$44-B117)&lt;=0,0,(INT(MAX(0,Inputs!$B$44-B117)/IF(Inputs!$B$39="pvp",15,MAX(0.1,Skills!D13-IF(Skills!E13=TRUE,Inputs!$B$33,0))))+1)),0)</f>
        <v/>
      </c>
      <c r="S91" t="n">
        <v>0</v>
      </c>
      <c r="U91" t="n">
        <v>0</v>
      </c>
    </row>
    <row r="92">
      <c r="A92">
        <f>Skills!A14</f>
        <v/>
      </c>
      <c r="B92">
        <f>Skills!B14</f>
        <v/>
      </c>
      <c r="C92">
        <f>Inputs!$B$3&gt;=107</f>
        <v/>
      </c>
      <c r="D92">
        <f>IF(Skills!C14=1,60+Inputs!$B$26+Inputs!$B$30,IF(Skills!C14=2,90+Inputs!$B$27+Inputs!$B$30,IF(Skills!C14=3,120+Inputs!$B$28+Inputs!$B$30,MAX(0,(Inputs!$B$3-100)*3)+Inputs!$B$29+Inputs!$B$30)))</f>
        <v/>
      </c>
      <c r="E92">
        <f>INDEX(FactorTable!$B$2:$Y$301, MATCH(ROUND(MIN(300,MAX(1,D92)),0), FactorTable!$A$2:$A$301,0), Skills!L14+1)</f>
        <v/>
      </c>
      <c r="F92">
        <f>IF(Skills!M14=TRUE,(Skills!K14/10)*(E92/1000),Skills!K14/10)+Skills!N14</f>
        <v/>
      </c>
      <c r="G92">
        <f>Calc!G14</f>
        <v/>
      </c>
      <c r="H92">
        <f>Calc!H14</f>
        <v/>
      </c>
      <c r="I92">
        <f>IF(Skills!T14&lt;&gt;"",1+(Skills!T14/10)*($Z$3/1000)/100,1)</f>
        <v/>
      </c>
      <c r="J92" t="inlineStr"/>
      <c r="K92" t="inlineStr"/>
      <c r="L92" t="inlineStr"/>
      <c r="M92" t="inlineStr"/>
      <c r="N92" t="inlineStr"/>
      <c r="O92">
        <f>(1-Summary!$B$48)*S92+Summary!$B$48*U92</f>
        <v/>
      </c>
      <c r="P92">
        <f>IF(B120=0,0,O92/B120)</f>
        <v/>
      </c>
      <c r="Q92">
        <f>IFERROR(1/IF(Inputs!$B$39="pvp",15,MAX(0.1,Skills!D14-IF(Skills!E14=TRUE,Inputs!$B$33,0))),0)</f>
        <v/>
      </c>
      <c r="R92">
        <f>IF(AND(Inputs!$B$39&lt;&gt;"pvp",Inputs!$B$44&gt;0),IF(Inputs!$B$44&lt;=0,0,(INT(Inputs!$B$44/IF(Inputs!$B$39="pvp",15,MAX(0.1,Skills!D14-IF(Skills!E14=TRUE,Inputs!$B$33,0))))+1)),0)</f>
        <v/>
      </c>
      <c r="S92" t="n">
        <v>0</v>
      </c>
      <c r="U92" t="n">
        <v>0</v>
      </c>
    </row>
    <row r="93">
      <c r="A93">
        <f>Skills!A15</f>
        <v/>
      </c>
      <c r="B93">
        <f>Skills!B15</f>
        <v/>
      </c>
      <c r="C93">
        <f>Inputs!$B$3&gt;=63</f>
        <v/>
      </c>
      <c r="D93">
        <f>IF(Skills!C15=1,60+Inputs!$B$26+Inputs!$B$30,IF(Skills!C15=2,90+Inputs!$B$27+Inputs!$B$30,IF(Skills!C15=3,120+Inputs!$B$28+Inputs!$B$30,MAX(0,(Inputs!$B$3-100)*3)+Inputs!$B$29+Inputs!$B$30)))</f>
        <v/>
      </c>
      <c r="E93">
        <f>INDEX(FactorTable!$B$2:$Y$301, MATCH(ROUND(MIN(300,MAX(1,D93)),0), FactorTable!$A$2:$A$301,0), Skills!L15+1)</f>
        <v/>
      </c>
      <c r="F93">
        <f>IF(Skills!M15=TRUE,(Skills!K15/10)*(E93/1000),Skills!K15/10)+Skills!N15</f>
        <v/>
      </c>
      <c r="G93">
        <f>Calc!G15</f>
        <v/>
      </c>
      <c r="H93">
        <f>Calc!H15</f>
        <v/>
      </c>
      <c r="I93">
        <f>IF(Skills!T15&lt;&gt;"",1+(Skills!T15/10)*($Z$3/1000)/100,1)</f>
        <v/>
      </c>
      <c r="J93">
        <f>((Inputs!$B$6*(1+Inputs!$B$7/100))+(((Inputs!$B$13*(1+(Inputs!$B$14+1)/100))-(Inputs!$B$13*(1+Inputs!$B$14/100)))+0.25*(Inputs!$B$15-Inputs!$B$15))*(1+Inputs!$B$7/100))*(F93/100)</f>
        <v/>
      </c>
      <c r="K93">
        <f>J93*(1+(((Inputs!$B$13+IF(Inputs!$B$3&gt;=35,(10*INDEX(FactorTable!$B$2:$Y$301, MATCH(ROUND(MIN(300,MAX(1,Inputs!$B$3)),0), FactorTable!$A$2:$A$301,0), 23)/1000)/100*(Inputs!$B$8*(1+(Inputs!$B$9+B116)/100)),0))*(1+(Inputs!$B$14+1)/100))*0.01+Inputs!$B$15*0.0025)/100)*(1+(Inputs!$B$16+B110)/100)*(1+Inputs!$B$17/100)*(5000/(6000+Inputs!$B$43*(1-Inputs!$B$20/100)))*(1+Inputs!$B$25/100)*(1+IF(C96=TRUE,F96,0)/100)*(1+IF(C98=TRUE,F98,0)/100)*(1+IF(Skills!A15="TRIUMPH_FEATHER",IF(C94=TRUE,F94,0),0)/100)*(1+IF(C105=TRUE,F105,0)/100)^5*(1+(IF(Skills!A15="BIG_BANG",Inputs!$B$18,Inputs!$B$19))/100)*(B107*I93)</f>
        <v/>
      </c>
      <c r="L93">
        <f>K93*(MIN(Inputs!$B$23+(F100-Calc!F22),Inputs!$B$24)/100+Inputs!$B$24/100)/2</f>
        <v/>
      </c>
      <c r="M93">
        <f>L93*(1+(Inputs!$B$11+B111+(F103-Calc!F25))/100)</f>
        <v/>
      </c>
      <c r="N93">
        <f>L93*(1-MIN(Inputs!$B$10+((F102-Calc!F24)+(F101-Calc!F23)),100)/100)+M93*(MIN(Inputs!$B$10+((F102-Calc!F24)+(F101-Calc!F23)),100)/100)</f>
        <v/>
      </c>
      <c r="O93">
        <f>(1-Summary!$B$48)*S93+Summary!$B$48*U93</f>
        <v/>
      </c>
      <c r="P93">
        <f>IF(B120=0,0,O93/B120)</f>
        <v/>
      </c>
      <c r="Q93">
        <f>IFERROR(1/IF(Inputs!$B$39="pvp",15,MAX(0.1,Skills!D15-IF(Skills!E15=TRUE,Inputs!$B$33,0))),0)</f>
        <v/>
      </c>
      <c r="R93" t="n">
        <v>0</v>
      </c>
      <c r="S93">
        <f>IF(C93,(Skills!F15*N93*((IF(Inputs!$B$3&gt;=78,25,15)/100*B113*10)/(1+IF(Inputs!$B$3&gt;=78,25,15)/100*B113*10))*(Skills!I15/100*B113)/(1+Skills!G15*Skills!I15/100*B113))*IF(Inputs!$B$39="pvp",1,1+(Inputs!$B$21+Skills!O15+B108)/100),0)</f>
        <v/>
      </c>
      <c r="U93">
        <f>IF(C93,(Skills!F15*N93*((IF(Inputs!$B$3&gt;=78,25,15)/100*B113*10)/(1+IF(Inputs!$B$3&gt;=78,25,15)/100*B113*10))*(Skills!I15/100*B113)/(1+Skills!G15*Skills!I15/100*B113))*IF(Inputs!$B$39="pvp",1,(1+(Inputs!$B$22+Skills!P15+B109)/100)*(MIN(Skills!Q15,Inputs!$B$38))),0)</f>
        <v/>
      </c>
    </row>
    <row r="94">
      <c r="A94">
        <f>Skills!A16</f>
        <v/>
      </c>
      <c r="B94">
        <f>Skills!B16</f>
        <v/>
      </c>
      <c r="C94">
        <f>Inputs!$B$3&gt;=100</f>
        <v/>
      </c>
      <c r="D94">
        <f>IF(Skills!C16=1,60+Inputs!$B$26+Inputs!$B$30,IF(Skills!C16=2,90+Inputs!$B$27+Inputs!$B$30,IF(Skills!C16=3,120+Inputs!$B$28+Inputs!$B$30,MAX(0,(Inputs!$B$3-100)*3)+Inputs!$B$29+Inputs!$B$30)))</f>
        <v/>
      </c>
      <c r="E94">
        <f>INDEX(FactorTable!$B$2:$Y$301, MATCH(ROUND(MIN(300,MAX(1,D94)),0), FactorTable!$A$2:$A$301,0), Skills!L16+1)</f>
        <v/>
      </c>
      <c r="F94">
        <f>IF(Skills!M16=TRUE,(Skills!K16/10)*(E94/1000),Skills!K16/10)+Skills!N16</f>
        <v/>
      </c>
      <c r="G94">
        <f>Calc!G16</f>
        <v/>
      </c>
      <c r="H94">
        <f>Calc!H16</f>
        <v/>
      </c>
      <c r="I94">
        <f>IF(Skills!T16&lt;&gt;"",1+(Skills!T16/10)*($Z$3/1000)/100,1)</f>
        <v/>
      </c>
      <c r="J94" t="inlineStr"/>
      <c r="K94" t="inlineStr"/>
      <c r="L94" t="inlineStr"/>
      <c r="M94" t="inlineStr"/>
      <c r="N94" t="inlineStr"/>
      <c r="O94">
        <f>(1-Summary!$B$48)*S94+Summary!$B$48*U94</f>
        <v/>
      </c>
      <c r="P94">
        <f>IF(B120=0,0,O94/B120)</f>
        <v/>
      </c>
      <c r="Q94">
        <f>IFERROR(1/IF(Inputs!$B$39="pvp",15,MAX(0.1,Skills!D16-IF(Skills!E16=TRUE,Inputs!$B$33,0))),0)</f>
        <v/>
      </c>
      <c r="R94" t="n">
        <v>0</v>
      </c>
      <c r="S94" t="n">
        <v>0</v>
      </c>
      <c r="U94" t="n">
        <v>0</v>
      </c>
    </row>
    <row r="95">
      <c r="A95">
        <f>Skills!A17</f>
        <v/>
      </c>
      <c r="B95">
        <f>Skills!B17</f>
        <v/>
      </c>
      <c r="C95">
        <f>Inputs!$B$3&gt;=49</f>
        <v/>
      </c>
      <c r="D95">
        <f>IF(Skills!C17=1,60+Inputs!$B$26+Inputs!$B$30,IF(Skills!C17=2,90+Inputs!$B$27+Inputs!$B$30,IF(Skills!C17=3,120+Inputs!$B$28+Inputs!$B$30,MAX(0,(Inputs!$B$3-100)*3)+Inputs!$B$29+Inputs!$B$30)))</f>
        <v/>
      </c>
      <c r="E95">
        <f>INDEX(FactorTable!$B$2:$Y$301, MATCH(ROUND(MIN(300,MAX(1,D95)),0), FactorTable!$A$2:$A$301,0), Skills!L17+1)</f>
        <v/>
      </c>
      <c r="F95">
        <f>IF(Skills!M17=TRUE,(Skills!K17/10)*(E95/1000),Skills!K17/10)+Skills!N17</f>
        <v/>
      </c>
      <c r="G95">
        <f>Calc!G17</f>
        <v/>
      </c>
      <c r="H95">
        <f>Calc!H17</f>
        <v/>
      </c>
      <c r="I95">
        <f>IF(Skills!T17&lt;&gt;"",1+(Skills!T17/10)*($Z$3/1000)/100,1)</f>
        <v/>
      </c>
      <c r="J95" t="inlineStr"/>
      <c r="K95" t="inlineStr"/>
      <c r="L95" t="inlineStr"/>
      <c r="M95" t="inlineStr"/>
      <c r="N95" t="inlineStr"/>
      <c r="O95">
        <f>(1-Summary!$B$48)*S95+Summary!$B$48*U95</f>
        <v/>
      </c>
      <c r="P95">
        <f>IF(B120=0,0,O95/B120)</f>
        <v/>
      </c>
      <c r="Q95">
        <f>IFERROR(1/IF(Inputs!$B$39="pvp",15,MAX(0.1,Skills!D17-IF(Skills!E17=TRUE,Inputs!$B$33,0))),0)</f>
        <v/>
      </c>
      <c r="R95" t="n">
        <v>0</v>
      </c>
      <c r="S95" t="n">
        <v>0</v>
      </c>
      <c r="U95" t="n">
        <v>0</v>
      </c>
    </row>
    <row r="96">
      <c r="A96">
        <f>Skills!A18</f>
        <v/>
      </c>
      <c r="B96">
        <f>Skills!B18</f>
        <v/>
      </c>
      <c r="C96">
        <f>Inputs!$B$3&gt;=75</f>
        <v/>
      </c>
      <c r="D96">
        <f>IF(Skills!C18=1,60+Inputs!$B$26+Inputs!$B$30,IF(Skills!C18=2,90+Inputs!$B$27+Inputs!$B$30,IF(Skills!C18=3,120+Inputs!$B$28+Inputs!$B$30,MAX(0,(Inputs!$B$3-100)*3)+Inputs!$B$29+Inputs!$B$30)))</f>
        <v/>
      </c>
      <c r="E96">
        <f>INDEX(FactorTable!$B$2:$Y$301, MATCH(ROUND(MIN(300,MAX(1,D96)),0), FactorTable!$A$2:$A$301,0), Skills!L18+1)</f>
        <v/>
      </c>
      <c r="F96">
        <f>IF(Skills!M18=TRUE,(Skills!K18/10)*(E96/1000),Skills!K18/10)+Skills!N18</f>
        <v/>
      </c>
      <c r="G96">
        <f>Calc!G18</f>
        <v/>
      </c>
      <c r="H96">
        <f>Calc!H18</f>
        <v/>
      </c>
      <c r="I96">
        <f>IF(Skills!T18&lt;&gt;"",1+(Skills!T18/10)*($Z$3/1000)/100,1)</f>
        <v/>
      </c>
      <c r="J96" t="inlineStr"/>
      <c r="K96" t="inlineStr"/>
      <c r="L96" t="inlineStr"/>
      <c r="M96" t="inlineStr"/>
      <c r="N96" t="inlineStr"/>
      <c r="O96">
        <f>(1-Summary!$B$48)*S96+Summary!$B$48*U96</f>
        <v/>
      </c>
      <c r="P96">
        <f>IF(B120=0,0,O96/B120)</f>
        <v/>
      </c>
      <c r="Q96">
        <f>IFERROR(1/IF(Inputs!$B$39="pvp",15,MAX(0.1,Skills!D18-IF(Skills!E18=TRUE,Inputs!$B$33,0))),0)</f>
        <v/>
      </c>
      <c r="R96" t="n">
        <v>0</v>
      </c>
      <c r="S96" t="n">
        <v>0</v>
      </c>
      <c r="U96" t="n">
        <v>0</v>
      </c>
    </row>
    <row r="97">
      <c r="A97">
        <f>Skills!A19</f>
        <v/>
      </c>
      <c r="B97">
        <f>Skills!B19</f>
        <v/>
      </c>
      <c r="C97">
        <f>Inputs!$B$3&gt;=110</f>
        <v/>
      </c>
      <c r="D97">
        <f>IF(Skills!C19=1,60+Inputs!$B$26+Inputs!$B$30,IF(Skills!C19=2,90+Inputs!$B$27+Inputs!$B$30,IF(Skills!C19=3,120+Inputs!$B$28+Inputs!$B$30,MAX(0,(Inputs!$B$3-100)*3)+Inputs!$B$29+Inputs!$B$30)))</f>
        <v/>
      </c>
      <c r="E97">
        <f>INDEX(FactorTable!$B$2:$Y$301, MATCH(ROUND(MIN(300,MAX(1,D97)),0), FactorTable!$A$2:$A$301,0), Skills!L19+1)</f>
        <v/>
      </c>
      <c r="F97">
        <f>(Skills!K19/10)*(E97/1000)*64/45+Skills!N19</f>
        <v/>
      </c>
      <c r="G97">
        <f>Calc!G19</f>
        <v/>
      </c>
      <c r="H97">
        <f>Calc!H19</f>
        <v/>
      </c>
      <c r="I97">
        <f>IF(Skills!T19&lt;&gt;"",1+(Skills!T19/10)*($Z$3/1000)/100,1)</f>
        <v/>
      </c>
      <c r="J97" t="inlineStr"/>
      <c r="K97" t="inlineStr"/>
      <c r="L97" t="inlineStr"/>
      <c r="M97" t="inlineStr"/>
      <c r="N97" t="inlineStr"/>
      <c r="O97">
        <f>(1-Summary!$B$48)*S97+Summary!$B$48*U97</f>
        <v/>
      </c>
      <c r="P97">
        <f>IF(B120=0,0,O97/B120)</f>
        <v/>
      </c>
      <c r="Q97">
        <f>IFERROR(1/IF(Inputs!$B$39="pvp",15,MAX(0.1,Skills!D19-IF(Skills!E19=TRUE,Inputs!$B$33,0))),0)</f>
        <v/>
      </c>
      <c r="R97">
        <f>IF(AND(Inputs!$B$39&lt;&gt;"pvp",Inputs!$B$44&gt;0),IF(Inputs!$B$44&lt;=0,0,(INT(Inputs!$B$44/IF(Inputs!$B$39="pvp",15,MAX(0.1,Skills!D19-IF(Skills!E19=TRUE,Inputs!$B$33,0))))+1)),0)</f>
        <v/>
      </c>
      <c r="S97" t="n">
        <v>0</v>
      </c>
      <c r="U97" t="n">
        <v>0</v>
      </c>
    </row>
    <row r="98">
      <c r="A98">
        <f>Skills!A20</f>
        <v/>
      </c>
      <c r="B98">
        <f>Skills!B20</f>
        <v/>
      </c>
      <c r="C98">
        <f>Inputs!$B$3&gt;=125</f>
        <v/>
      </c>
      <c r="D98">
        <f>IF(Skills!C20=1,60+Inputs!$B$26+Inputs!$B$30,IF(Skills!C20=2,90+Inputs!$B$27+Inputs!$B$30,IF(Skills!C20=3,120+Inputs!$B$28+Inputs!$B$30,MAX(0,(Inputs!$B$3-100)*3)+Inputs!$B$29+Inputs!$B$30)))</f>
        <v/>
      </c>
      <c r="E98">
        <f>INDEX(FactorTable!$B$2:$Y$301, MATCH(ROUND(MIN(300,MAX(1,D98)),0), FactorTable!$A$2:$A$301,0), Skills!L20+1)</f>
        <v/>
      </c>
      <c r="F98">
        <f>IF(Skills!M20=TRUE,(Skills!K20/10)*(E98/1000),Skills!K20/10)+Skills!N20</f>
        <v/>
      </c>
      <c r="G98">
        <f>Calc!G20</f>
        <v/>
      </c>
      <c r="H98">
        <f>Calc!H20</f>
        <v/>
      </c>
      <c r="I98">
        <f>IF(Skills!T20&lt;&gt;"",1+(Skills!T20/10)*($Z$3/1000)/100,1)</f>
        <v/>
      </c>
      <c r="J98" t="inlineStr"/>
      <c r="K98" t="inlineStr"/>
      <c r="L98" t="inlineStr"/>
      <c r="M98" t="inlineStr"/>
      <c r="N98" t="inlineStr"/>
      <c r="O98">
        <f>(1-Summary!$B$48)*S98+Summary!$B$48*U98</f>
        <v/>
      </c>
      <c r="P98">
        <f>IF(B120=0,0,O98/B120)</f>
        <v/>
      </c>
      <c r="Q98">
        <f>IFERROR(1/IF(Inputs!$B$39="pvp",15,MAX(0.1,Skills!D20-IF(Skills!E20=TRUE,Inputs!$B$33,0))),0)</f>
        <v/>
      </c>
      <c r="R98" t="n">
        <v>0</v>
      </c>
      <c r="S98" t="n">
        <v>0</v>
      </c>
      <c r="U98" t="n">
        <v>0</v>
      </c>
    </row>
    <row r="99">
      <c r="A99">
        <f>Skills!A21</f>
        <v/>
      </c>
      <c r="B99">
        <f>Skills!B21</f>
        <v/>
      </c>
      <c r="C99">
        <f>Inputs!$B$3&gt;=33</f>
        <v/>
      </c>
      <c r="D99">
        <f>IF(Skills!C21=1,60+Inputs!$B$26+Inputs!$B$30,IF(Skills!C21=2,90+Inputs!$B$27+Inputs!$B$30,IF(Skills!C21=3,120+Inputs!$B$28+Inputs!$B$30,MAX(0,(Inputs!$B$3-100)*3)+Inputs!$B$29+Inputs!$B$30)))</f>
        <v/>
      </c>
      <c r="E99">
        <f>INDEX(FactorTable!$B$2:$Y$301, MATCH(ROUND(MIN(300,MAX(1,D99)),0), FactorTable!$A$2:$A$301,0), Skills!L21+1)</f>
        <v/>
      </c>
      <c r="F99">
        <f>IF(Skills!M21=TRUE,(Skills!K21/10)*(E99/1000),Skills!K21/10)+Skills!N21</f>
        <v/>
      </c>
      <c r="G99">
        <f>Calc!G21</f>
        <v/>
      </c>
      <c r="H99">
        <f>Calc!H21</f>
        <v/>
      </c>
      <c r="I99">
        <f>IF(Skills!T21&lt;&gt;"",1+(Skills!T21/10)*($Z$3/1000)/100,1)</f>
        <v/>
      </c>
      <c r="J99" t="inlineStr"/>
      <c r="K99" t="inlineStr"/>
      <c r="L99" t="inlineStr"/>
      <c r="M99" t="inlineStr"/>
      <c r="N99" t="inlineStr"/>
      <c r="O99">
        <f>(1-Summary!$B$48)*S99+Summary!$B$48*U99</f>
        <v/>
      </c>
      <c r="P99">
        <f>IF(B120=0,0,O99/B120)</f>
        <v/>
      </c>
      <c r="Q99">
        <f>IFERROR(1/IF(Inputs!$B$39="pvp",15,MAX(0.1,Skills!D21-IF(Skills!E21=TRUE,Inputs!$B$33,0))),0)</f>
        <v/>
      </c>
      <c r="R99" t="n">
        <v>0</v>
      </c>
      <c r="S99" t="n">
        <v>0</v>
      </c>
      <c r="U99" t="n">
        <v>0</v>
      </c>
    </row>
    <row r="100">
      <c r="A100">
        <f>Skills!A22</f>
        <v/>
      </c>
      <c r="B100">
        <f>Skills!B22</f>
        <v/>
      </c>
      <c r="C100">
        <f>Inputs!$B$3&gt;=43</f>
        <v/>
      </c>
      <c r="D100">
        <f>IF(Skills!C22=1,60+Inputs!$B$26+Inputs!$B$30,IF(Skills!C22=2,90+Inputs!$B$27+Inputs!$B$30,IF(Skills!C22=3,120+Inputs!$B$28+Inputs!$B$30,MAX(0,(Inputs!$B$3-100)*3)+Inputs!$B$29+Inputs!$B$30)))</f>
        <v/>
      </c>
      <c r="E100">
        <f>INDEX(FactorTable!$B$2:$Y$301, MATCH(ROUND(MIN(300,MAX(1,D100)),0), FactorTable!$A$2:$A$301,0), Skills!L22+1)</f>
        <v/>
      </c>
      <c r="F100">
        <f>IF(Skills!M22=TRUE,(Skills!K22/10)*(E100/1000),Skills!K22/10)+Skills!N22</f>
        <v/>
      </c>
      <c r="G100">
        <f>Calc!G22</f>
        <v/>
      </c>
      <c r="H100">
        <f>Calc!H22</f>
        <v/>
      </c>
      <c r="I100">
        <f>IF(Skills!T22&lt;&gt;"",1+(Skills!T22/10)*($Z$3/1000)/100,1)</f>
        <v/>
      </c>
      <c r="J100" t="inlineStr"/>
      <c r="K100" t="inlineStr"/>
      <c r="L100" t="inlineStr"/>
      <c r="M100" t="inlineStr"/>
      <c r="N100" t="inlineStr"/>
      <c r="O100">
        <f>(1-Summary!$B$48)*S100+Summary!$B$48*U100</f>
        <v/>
      </c>
      <c r="P100">
        <f>IF(B120=0,0,O100/B120)</f>
        <v/>
      </c>
      <c r="Q100">
        <f>IFERROR(1/IF(Inputs!$B$39="pvp",15,MAX(0.1,Skills!D22-IF(Skills!E22=TRUE,Inputs!$B$33,0))),0)</f>
        <v/>
      </c>
      <c r="R100" t="n">
        <v>0</v>
      </c>
      <c r="S100" t="n">
        <v>0</v>
      </c>
      <c r="U100" t="n">
        <v>0</v>
      </c>
    </row>
    <row r="101">
      <c r="A101">
        <f>Skills!A23</f>
        <v/>
      </c>
      <c r="B101">
        <f>Skills!B23</f>
        <v/>
      </c>
      <c r="C101">
        <f>Inputs!$B$3&gt;=50</f>
        <v/>
      </c>
      <c r="D101">
        <f>IF(Skills!C23=1,60+Inputs!$B$26+Inputs!$B$30,IF(Skills!C23=2,90+Inputs!$B$27+Inputs!$B$30,IF(Skills!C23=3,120+Inputs!$B$28+Inputs!$B$30,MAX(0,(Inputs!$B$3-100)*3)+Inputs!$B$29+Inputs!$B$30)))</f>
        <v/>
      </c>
      <c r="E101">
        <f>INDEX(FactorTable!$B$2:$Y$301, MATCH(ROUND(MIN(300,MAX(1,D101)),0), FactorTable!$A$2:$A$301,0), Skills!L23+1)</f>
        <v/>
      </c>
      <c r="F101">
        <f>IF(Skills!M23=TRUE,(Skills!K23/10)*(E101/1000),Skills!K23/10)+Skills!N23</f>
        <v/>
      </c>
      <c r="G101">
        <f>Calc!G23</f>
        <v/>
      </c>
      <c r="H101">
        <f>Calc!H23</f>
        <v/>
      </c>
      <c r="I101">
        <f>IF(Skills!T23&lt;&gt;"",1+(Skills!T23/10)*($Z$3/1000)/100,1)</f>
        <v/>
      </c>
      <c r="J101" t="inlineStr"/>
      <c r="K101" t="inlineStr"/>
      <c r="L101" t="inlineStr"/>
      <c r="M101" t="inlineStr"/>
      <c r="N101" t="inlineStr"/>
      <c r="O101">
        <f>(1-Summary!$B$48)*S101+Summary!$B$48*U101</f>
        <v/>
      </c>
      <c r="P101">
        <f>IF(B120=0,0,O101/B120)</f>
        <v/>
      </c>
      <c r="Q101">
        <f>IFERROR(1/IF(Inputs!$B$39="pvp",15,MAX(0.1,Skills!D23-IF(Skills!E23=TRUE,Inputs!$B$33,0))),0)</f>
        <v/>
      </c>
      <c r="R101" t="n">
        <v>0</v>
      </c>
      <c r="S101" t="n">
        <v>0</v>
      </c>
      <c r="U101" t="n">
        <v>0</v>
      </c>
    </row>
    <row r="102">
      <c r="A102">
        <f>Skills!A24</f>
        <v/>
      </c>
      <c r="B102">
        <f>Skills!B24</f>
        <v/>
      </c>
      <c r="C102">
        <f>Inputs!$B$3&gt;=74</f>
        <v/>
      </c>
      <c r="D102">
        <f>IF(Skills!C24=1,60+Inputs!$B$26+Inputs!$B$30,IF(Skills!C24=2,90+Inputs!$B$27+Inputs!$B$30,IF(Skills!C24=3,120+Inputs!$B$28+Inputs!$B$30,MAX(0,(Inputs!$B$3-100)*3)+Inputs!$B$29+Inputs!$B$30)))</f>
        <v/>
      </c>
      <c r="E102">
        <f>INDEX(FactorTable!$B$2:$Y$301, MATCH(ROUND(MIN(300,MAX(1,D102)),0), FactorTable!$A$2:$A$301,0), Skills!L24+1)</f>
        <v/>
      </c>
      <c r="F102">
        <f>IF(Skills!M24=TRUE,(Skills!K24/10)*(E102/1000),Skills!K24/10)+Skills!N24</f>
        <v/>
      </c>
      <c r="G102">
        <f>Calc!G24</f>
        <v/>
      </c>
      <c r="H102">
        <f>Calc!H24</f>
        <v/>
      </c>
      <c r="I102">
        <f>IF(Skills!T24&lt;&gt;"",1+(Skills!T24/10)*($Z$3/1000)/100,1)</f>
        <v/>
      </c>
      <c r="J102" t="inlineStr"/>
      <c r="K102" t="inlineStr"/>
      <c r="L102" t="inlineStr"/>
      <c r="M102" t="inlineStr"/>
      <c r="N102" t="inlineStr"/>
      <c r="O102">
        <f>(1-Summary!$B$48)*S102+Summary!$B$48*U102</f>
        <v/>
      </c>
      <c r="P102">
        <f>IF(B120=0,0,O102/B120)</f>
        <v/>
      </c>
      <c r="Q102">
        <f>IFERROR(1/IF(Inputs!$B$39="pvp",15,MAX(0.1,Skills!D24-IF(Skills!E24=TRUE,Inputs!$B$33,0))),0)</f>
        <v/>
      </c>
      <c r="R102" t="n">
        <v>0</v>
      </c>
      <c r="S102" t="n">
        <v>0</v>
      </c>
      <c r="U102" t="n">
        <v>0</v>
      </c>
    </row>
    <row r="103">
      <c r="A103">
        <f>Skills!A25</f>
        <v/>
      </c>
      <c r="B103">
        <f>Skills!B25</f>
        <v/>
      </c>
      <c r="C103">
        <f>Inputs!$B$3&gt;=74</f>
        <v/>
      </c>
      <c r="D103">
        <f>IF(Skills!C25=1,60+Inputs!$B$26+Inputs!$B$30,IF(Skills!C25=2,90+Inputs!$B$27+Inputs!$B$30,IF(Skills!C25=3,120+Inputs!$B$28+Inputs!$B$30,MAX(0,(Inputs!$B$3-100)*3)+Inputs!$B$29+Inputs!$B$30)))</f>
        <v/>
      </c>
      <c r="E103">
        <f>INDEX(FactorTable!$B$2:$Y$301, MATCH(ROUND(MIN(300,MAX(1,D103)),0), FactorTable!$A$2:$A$301,0), Skills!L25+1)</f>
        <v/>
      </c>
      <c r="F103">
        <f>IF(Skills!M25=TRUE,(Skills!K25/10)*(E103/1000),Skills!K25/10)+Skills!N25</f>
        <v/>
      </c>
      <c r="G103">
        <f>Calc!G25</f>
        <v/>
      </c>
      <c r="H103">
        <f>Calc!H25</f>
        <v/>
      </c>
      <c r="I103">
        <f>IF(Skills!T25&lt;&gt;"",1+(Skills!T25/10)*($Z$3/1000)/100,1)</f>
        <v/>
      </c>
      <c r="J103" t="inlineStr"/>
      <c r="K103" t="inlineStr"/>
      <c r="L103" t="inlineStr"/>
      <c r="M103" t="inlineStr"/>
      <c r="N103" t="inlineStr"/>
      <c r="O103">
        <f>(1-Summary!$B$48)*S103+Summary!$B$48*U103</f>
        <v/>
      </c>
      <c r="P103">
        <f>IF(B120=0,0,O103/B120)</f>
        <v/>
      </c>
      <c r="Q103">
        <f>IFERROR(1/IF(Inputs!$B$39="pvp",15,MAX(0.1,Skills!D25-IF(Skills!E25=TRUE,Inputs!$B$33,0))),0)</f>
        <v/>
      </c>
      <c r="R103" t="n">
        <v>0</v>
      </c>
      <c r="S103" t="n">
        <v>0</v>
      </c>
      <c r="U103" t="n">
        <v>0</v>
      </c>
    </row>
    <row r="104">
      <c r="A104">
        <f>Skills!A26</f>
        <v/>
      </c>
      <c r="B104">
        <f>Skills!B26</f>
        <v/>
      </c>
      <c r="C104">
        <f>Inputs!$B$3&gt;=117</f>
        <v/>
      </c>
      <c r="D104">
        <f>IF(Skills!C26=1,60+Inputs!$B$26+Inputs!$B$30,IF(Skills!C26=2,90+Inputs!$B$27+Inputs!$B$30,IF(Skills!C26=3,120+Inputs!$B$28+Inputs!$B$30,MAX(0,(Inputs!$B$3-100)*3)+Inputs!$B$29+Inputs!$B$30)))</f>
        <v/>
      </c>
      <c r="E104">
        <f>INDEX(FactorTable!$B$2:$Y$301, MATCH(ROUND(MIN(300,MAX(1,D104)),0), FactorTable!$A$2:$A$301,0), Skills!L26+1)</f>
        <v/>
      </c>
      <c r="F104">
        <f>IF(Skills!M26=TRUE,(Skills!K26/10)*(E104/1000),Skills!K26/10)+Skills!N26</f>
        <v/>
      </c>
      <c r="G104">
        <f>Calc!G26</f>
        <v/>
      </c>
      <c r="H104">
        <f>Calc!H26</f>
        <v/>
      </c>
      <c r="I104">
        <f>IF(Skills!T26&lt;&gt;"",1+(Skills!T26/10)*($Z$3/1000)/100,1)</f>
        <v/>
      </c>
      <c r="J104" t="inlineStr"/>
      <c r="K104" t="inlineStr"/>
      <c r="L104" t="inlineStr"/>
      <c r="M104" t="inlineStr"/>
      <c r="N104" t="inlineStr"/>
      <c r="O104">
        <f>(1-Summary!$B$48)*S104+Summary!$B$48*U104</f>
        <v/>
      </c>
      <c r="P104">
        <f>IF(B120=0,0,O104/B120)</f>
        <v/>
      </c>
      <c r="Q104">
        <f>IFERROR(1/IF(Inputs!$B$39="pvp",15,MAX(0.1,Skills!D26-IF(Skills!E26=TRUE,Inputs!$B$33,0))),0)</f>
        <v/>
      </c>
      <c r="R104" t="n">
        <v>0</v>
      </c>
      <c r="S104" t="n">
        <v>0</v>
      </c>
      <c r="U104" t="n">
        <v>0</v>
      </c>
    </row>
    <row r="105">
      <c r="A105">
        <f>Skills!A27</f>
        <v/>
      </c>
      <c r="B105">
        <f>Skills!B27</f>
        <v/>
      </c>
      <c r="C105">
        <f>Inputs!$B$3&gt;=120</f>
        <v/>
      </c>
      <c r="D105">
        <f>IF(Skills!C27=1,60+Inputs!$B$26+Inputs!$B$30,IF(Skills!C27=2,90+Inputs!$B$27+Inputs!$B$30,IF(Skills!C27=3,120+Inputs!$B$28+Inputs!$B$30,MAX(0,(Inputs!$B$3-100)*3)+Inputs!$B$29+Inputs!$B$30)))</f>
        <v/>
      </c>
      <c r="E105">
        <f>INDEX(FactorTable!$B$2:$Y$301, MATCH(ROUND(MIN(300,MAX(1,D105)),0), FactorTable!$A$2:$A$301,0), Skills!L27+1)</f>
        <v/>
      </c>
      <c r="F105">
        <f>IF(Skills!M27=TRUE,(Skills!K27/10)*(E105/1000),Skills!K27/10)+Skills!N27</f>
        <v/>
      </c>
      <c r="G105">
        <f>Calc!G27</f>
        <v/>
      </c>
      <c r="H105">
        <f>Calc!H27</f>
        <v/>
      </c>
      <c r="I105">
        <f>IF(Skills!T27&lt;&gt;"",1+(Skills!T27/10)*($Z$3/1000)/100,1)</f>
        <v/>
      </c>
      <c r="J105" t="inlineStr"/>
      <c r="K105" t="inlineStr"/>
      <c r="L105" t="inlineStr"/>
      <c r="M105" t="inlineStr"/>
      <c r="N105" t="inlineStr"/>
      <c r="O105">
        <f>(1-Summary!$B$48)*S105+Summary!$B$48*U105</f>
        <v/>
      </c>
      <c r="P105">
        <f>IF(B120=0,0,O105/B120)</f>
        <v/>
      </c>
      <c r="Q105">
        <f>IFERROR(1/IF(Inputs!$B$39="pvp",15,MAX(0.1,Skills!D27-IF(Skills!E27=TRUE,Inputs!$B$33,0))),0)</f>
        <v/>
      </c>
      <c r="R105" t="n">
        <v>0</v>
      </c>
      <c r="S105" t="n">
        <v>0</v>
      </c>
      <c r="U105" t="n">
        <v>0</v>
      </c>
    </row>
    <row r="107">
      <c r="A107" t="inlineStr">
        <is>
          <t>Average Buff Multiplier</t>
        </is>
      </c>
      <c r="B107">
        <f>(1+(IF(C81=TRUE,F81*IF(AND(Inputs!$B$39&lt;&gt;"pvp",Inputs!$B$44&gt;0),(((R81-1)*(Skills!S3*(1+(Inputs!$B$35+IF(Inputs!$B$3&gt;=117,F104,0))/100))+MIN((Skills!S3*(1+(Inputs!$B$35+IF(Inputs!$B$3&gt;=117,F104,0))/100)),MAX(0,Inputs!$B$44-((R81-1)*Skills!D3))))/Inputs!$B$44),IF(Inputs!$B$39="pvp",MIN((Skills!S3*(1+(Inputs!$B$35+IF(Inputs!$B$3&gt;=117,F104,0))/100)),15)/15,(Skills!S3*(1+(Inputs!$B$35+IF(Inputs!$B$3&gt;=117,F104,0))/100))/Skills!D3)),0)+IF(C82=TRUE,F82*IF(AND(Inputs!$B$39&lt;&gt;"pvp",Inputs!$B$44&gt;0),(((R82-1)*(Skills!S4*(1+(Inputs!$B$35+IF(Inputs!$B$3&gt;=117,F104,0))/100))+MIN((Skills!S4*(1+(Inputs!$B$35+IF(Inputs!$B$3&gt;=117,F104,0))/100)),MAX(0,Inputs!$B$44-((R82-1)*Skills!D4))))/Inputs!$B$44),IF(Inputs!$B$39="pvp",MIN((Skills!S4*(1+(Inputs!$B$35+IF(Inputs!$B$3&gt;=117,F104,0))/100)),15)/15,(Skills!S4*(1+(Inputs!$B$35+IF(Inputs!$B$3&gt;=117,F104,0))/100))/Skills!D4)),0)+IF(C83=TRUE,F83*IF(AND(Inputs!$B$39&lt;&gt;"pvp",Inputs!$B$44&gt;0),(((R83-1)*(Skills!S5*(1+(Inputs!$B$35+IF(Inputs!$B$3&gt;=117,F104,0))/100))+MIN((Skills!S5*(1+(Inputs!$B$35+IF(Inputs!$B$3&gt;=117,F104,0))/100)),MAX(0,Inputs!$B$44-((R83-1)*Skills!D5))))/Inputs!$B$44),IF(Inputs!$B$39="pvp",MIN((Skills!S5*(1+(Inputs!$B$35+IF(Inputs!$B$3&gt;=117,F104,0))/100)),15)/15,(Skills!S5*(1+(Inputs!$B$35+IF(Inputs!$B$3&gt;=117,F104,0))/100))/Skills!D5)),0)+IF(C89=TRUE,F89*IF(AND(Inputs!$B$39&lt;&gt;"pvp",Inputs!$B$44&gt;0),(((R89-1)*(Skills!S11*(1+(Inputs!$B$35+IF(Inputs!$B$3&gt;=117,F104,0))/100))+MIN((Skills!S11*(1+(Inputs!$B$35+IF(Inputs!$B$3&gt;=117,F104,0))/100)),MAX(0,Inputs!$B$44-((R89-1)*Skills!D11))))/Inputs!$B$44),IF(Inputs!$B$39="pvp",MIN((Skills!S11*(1+(Inputs!$B$35+IF(Inputs!$B$3&gt;=117,F104,0))/100)),15)/15,(Skills!S11*(1+(Inputs!$B$35+IF(Inputs!$B$3&gt;=117,F104,0))/100))/Skills!D11)),0))/100)*IF(C92=TRUE,(1+F92*IF(AND(Inputs!$B$39&lt;&gt;"pvp",Inputs!$B$44&gt;0),(((R92-1)*(Skills!S14*(1+(Inputs!$B$35+IF(Inputs!$B$3&gt;=117,F104,0))/100))+MIN((Skills!S14*(1+(Inputs!$B$35+IF(Inputs!$B$3&gt;=117,F104,0))/100)),MAX(0,Inputs!$B$44-((R92-1)*Skills!D14))))/Inputs!$B$44),IF(Inputs!$B$39="pvp",MIN((Skills!S14*(1+(Inputs!$B$35+IF(Inputs!$B$3&gt;=117,F104,0))/100)),15)/15,(Skills!S14*(1+(Inputs!$B$35+IF(Inputs!$B$3&gt;=117,F104,0))/100))/Skills!D14))/100),1)*IF(C97=TRUE,(1+F97*IF(AND(Inputs!$B$39&lt;&gt;"pvp",Inputs!$B$44&gt;0),(((R97-1)*(Skills!S19*(1+(Inputs!$B$35+IF(Inputs!$B$3&gt;=117,F104,0))/100))+MIN((Skills!S19*(1+(Inputs!$B$35+IF(Inputs!$B$3&gt;=117,F104,0))/100)),MAX(0,Inputs!$B$44-((R97-1)*Skills!D19))))/Inputs!$B$44),IF(Inputs!$B$39="pvp",MIN((Skills!S19*(1+(Inputs!$B$35+IF(Inputs!$B$3&gt;=117,F104,0))/100)),15)/15,(Skills!S19*(1+(Inputs!$B$35+IF(Inputs!$B$3&gt;=117,F104,0))/100))/Skills!D19))/100),1)</f>
        <v/>
      </c>
    </row>
    <row r="108">
      <c r="A108" t="inlineStr">
        <is>
          <t>Monster Damage Taken Bonus % (Holy Fountain)</t>
        </is>
      </c>
      <c r="B108">
        <f>IF(Inputs!$B$3&gt;=68,20*IF(Inputs!$B$39="pvp",MIN((15*(1+(Inputs!$B$35+IF(Inputs!$B$3&gt;=117,F104,0))/100)),15)/15,(15*(1+(Inputs!$B$35+IF(Inputs!$B$3&gt;=117,F104,0))/100))/Skills!D10),0)</f>
        <v/>
      </c>
    </row>
    <row r="109">
      <c r="A109" t="inlineStr">
        <is>
          <t>Normal Monster Damage Bonus % (Holy Symbol)</t>
        </is>
      </c>
      <c r="B109">
        <f>IF(C90=TRUE,F90*IF(AND(Inputs!$B$39&lt;&gt;"pvp",Inputs!$B$44&gt;0),(((R90-1)*(Skills!S12*(1+(Inputs!$B$35+IF(Inputs!$B$3&gt;=117,F104,0))/100))+MIN((Skills!S12*(1+(Inputs!$B$35+IF(Inputs!$B$3&gt;=117,F104,0))/100)),MAX(0,Inputs!$B$44-((R90-1)*Skills!D12))))/Inputs!$B$44),IF(Inputs!$B$39="pvp",MIN((Skills!S12*(1+(Inputs!$B$35+IF(Inputs!$B$3&gt;=117,F104,0))/100)),15)/15,(Skills!S12*(1+(Inputs!$B$35+IF(Inputs!$B$3&gt;=117,F104,0))/100))/Skills!D12)),0)</f>
        <v/>
      </c>
    </row>
    <row r="110">
      <c r="A110" t="inlineStr">
        <is>
          <t>Damage % Bonus (Holy Symbol - Damage Boost)</t>
        </is>
      </c>
      <c r="B110">
        <f>Skills!O12</f>
        <v/>
      </c>
    </row>
    <row r="111">
      <c r="A111" t="inlineStr">
        <is>
          <t>Crit Damage % Bonus (Blood of the Divine)</t>
        </is>
      </c>
      <c r="B111">
        <f>4*IF(C98=TRUE,F98,0)</f>
        <v/>
      </c>
    </row>
    <row r="112">
      <c r="A112" t="inlineStr">
        <is>
          <t>Attack Speed Bonus %</t>
        </is>
      </c>
      <c r="B112">
        <f>IF(C95=TRUE,F95+(F99-Calc!F21),0)+IF(Inputs!$B$3&gt;=134,15,0)</f>
        <v/>
      </c>
    </row>
    <row r="113">
      <c r="A113" t="inlineStr">
        <is>
          <t>Actions Per Second</t>
        </is>
      </c>
      <c r="B113">
        <f>1+MIN(150,150*(1-(1-Inputs!$B$12/150)*(1-B112/150)))/100</f>
        <v/>
      </c>
    </row>
    <row r="114">
      <c r="A114" t="inlineStr">
        <is>
          <t>Skill + Buff Cast Rate</t>
        </is>
      </c>
      <c r="B114">
        <f>IF(AND(Inputs!$B$39&lt;&gt;"pvp",Inputs!$B$44&gt;0),SUMPRODUCT((Skills!E2:E27=TRUE)*(C80:C105=TRUE)*R80:R105)/Inputs!$B$44,SUMPRODUCT((Skills!E2:E27=TRUE)*(C80:C105=TRUE)*Q80:Q105))</f>
        <v/>
      </c>
    </row>
    <row r="115">
      <c r="A115" t="inlineStr">
        <is>
          <t>Big Bang Casts Per Second</t>
        </is>
      </c>
      <c r="B115">
        <f>MAX(0,B113-B114)</f>
        <v/>
      </c>
    </row>
    <row r="116">
      <c r="A116" t="inlineStr">
        <is>
          <t>Defense % Bonus (Divine Protection)</t>
        </is>
      </c>
      <c r="B116">
        <f>IF(C91=TRUE,F91*IF(AND(Inputs!$B$39&lt;&gt;"pvp",Inputs!$B$44&gt;0),(((R91-1)*(Skills!S13*(1+(Inputs!$B$35+IF(Inputs!$B$3&gt;=117,F104,0))/100))+MIN((Skills!S13*(1+(Inputs!$B$35+IF(Inputs!$B$3&gt;=117,F104,0))/100)),MAX(0,Inputs!$B$44-((R91-1)*Skills!D13))))/Inputs!$B$44),IF(Inputs!$B$39="pvp",MIN((Skills!S13*(1+(Inputs!$B$35+IF(Inputs!$B$3&gt;=117,F104,0))/100)),15)/15,(Skills!S13*(1+(Inputs!$B$35+IF(Inputs!$B$3&gt;=117,F104,0))/100))/Skills!D13)),0)</f>
        <v/>
      </c>
    </row>
    <row r="117">
      <c r="A117" t="inlineStr">
        <is>
          <t>Buff-Casting Startup Delay (s, fixed-duration only)</t>
        </is>
      </c>
      <c r="B117">
        <f>IF(AND(Inputs!$B$39&lt;&gt;"pvp",Inputs!$B$44&gt;0),SUMPRODUCT((Skills!S2:S27&gt;0)*(Skills!E2:E27=TRUE)*(C80:C105=TRUE))/B113,0)</f>
        <v/>
      </c>
    </row>
    <row r="118">
      <c r="A118" t="inlineStr">
        <is>
          <t>Boss-Only Total DPS (this block's swept value)</t>
        </is>
      </c>
      <c r="B118">
        <f>SUM(S80:S105)</f>
        <v/>
      </c>
    </row>
    <row r="119">
      <c r="A119" t="inlineStr">
        <is>
          <t>Normal-Only Total DPS (this block's swept value)</t>
        </is>
      </c>
      <c r="B119">
        <f>SUM(U80:U105)</f>
        <v/>
      </c>
    </row>
    <row r="120">
      <c r="A120" s="5" t="inlineStr">
        <is>
          <t>TOTAL DPS</t>
        </is>
      </c>
      <c r="B120" s="5">
        <f>SUM(O80:O105)</f>
        <v/>
      </c>
    </row>
    <row r="122">
      <c r="A122" s="5" t="inlineStr">
        <is>
          <t>Stat: Defense (flat) — Invincible converts a level-scaling % (10%+) into INT</t>
        </is>
      </c>
    </row>
    <row r="123">
      <c r="A123" s="9" t="inlineStr">
        <is>
          <t>Key</t>
        </is>
      </c>
      <c r="B123" s="9" t="inlineStr">
        <is>
          <t>Name</t>
        </is>
      </c>
      <c r="C123" s="9" t="inlineStr">
        <is>
          <t>Unlocked</t>
        </is>
      </c>
      <c r="D123" s="9" t="inlineStr">
        <is>
          <t>InputLevel</t>
        </is>
      </c>
      <c r="E123" s="9" t="inlineStr">
        <is>
          <t>Factor</t>
        </is>
      </c>
      <c r="F123" s="9" t="inlineStr">
        <is>
          <t>CoefficientPercent</t>
        </is>
      </c>
      <c r="G123" s="9" t="inlineStr">
        <is>
          <t>EffectiveHits</t>
        </is>
      </c>
      <c r="H123" s="9" t="inlineStr">
        <is>
          <t>ProcProbability</t>
        </is>
      </c>
      <c r="I123" s="9" t="inlineStr">
        <is>
          <t>MapleHeroMultiplier</t>
        </is>
      </c>
      <c r="J123" s="9" t="inlineStr">
        <is>
          <t>BaseDamage</t>
        </is>
      </c>
      <c r="K123" s="9" t="inlineStr">
        <is>
          <t>BaseHitDamage</t>
        </is>
      </c>
      <c r="L123" s="9" t="inlineStr">
        <is>
          <t>NonCritAvg</t>
        </is>
      </c>
      <c r="M123" s="9" t="inlineStr">
        <is>
          <t>CritAvg</t>
        </is>
      </c>
      <c r="N123" s="9" t="inlineStr">
        <is>
          <t>ExpectedDamage(perHit)</t>
        </is>
      </c>
      <c r="O123" s="9" t="inlineStr">
        <is>
          <t>DPS</t>
        </is>
      </c>
      <c r="P123" s="9" t="inlineStr">
        <is>
          <t>% of Total</t>
        </is>
      </c>
      <c r="R123" t="inlineStr">
        <is>
          <t>helpers</t>
        </is>
      </c>
    </row>
    <row r="124">
      <c r="A124">
        <f>Skills!A2</f>
        <v/>
      </c>
      <c r="B124">
        <f>Skills!B2</f>
        <v/>
      </c>
      <c r="C124">
        <f>Inputs!$B$3&gt;=100</f>
        <v/>
      </c>
      <c r="D124" t="inlineStr"/>
      <c r="E124" t="inlineStr"/>
      <c r="F124">
        <f>T126+Skills!N2</f>
        <v/>
      </c>
      <c r="G124">
        <f>Calc!G2</f>
        <v/>
      </c>
      <c r="H124">
        <f>Calc!H2</f>
        <v/>
      </c>
      <c r="I124">
        <f>IF(Skills!T2&lt;&gt;"",1+(Skills!T2/10)*($Z$3/1000)/100,1)</f>
        <v/>
      </c>
      <c r="J124">
        <f>((Inputs!$B$6*(1+Inputs!$B$7/100))+(((Inputs!$B$13*(1+Inputs!$B$14/100))-(Inputs!$B$13*(1+Inputs!$B$14/100)))+0.25*(Inputs!$B$15-Inputs!$B$15))*(1+Inputs!$B$7/100))*(F124/100)</f>
        <v/>
      </c>
      <c r="K124">
        <f>J124*(1+(((Inputs!$B$13+IF(Inputs!$B$3&gt;=35,(10*INDEX(FactorTable!$B$2:$Y$301, MATCH(ROUND(MIN(300,MAX(1,Inputs!$B$3)),0), FactorTable!$A$2:$A$301,0), 23)/1000)/100*((Inputs!$B$8+1)*(1+(Inputs!$B$9+B160)/100)),0))*(1+Inputs!$B$14/100))*0.01+Inputs!$B$15*0.0025)/100)*(1+(Inputs!$B$16+B154)/100)*(1+Inputs!$B$17/100)*(5000/(6000+Inputs!$B$43*(1-Inputs!$B$20/100)))*(1+Inputs!$B$25/100)*(1+IF(C140=TRUE,F140,0)/100)*(1+IF(C142=TRUE,F142,0)/100)*(1+IF(Skills!A2="TRIUMPH_FEATHER",IF(C138=TRUE,F138,0),0)/100)*(1+IF(C149=TRUE,F149,0)/100)^5*(1+(IF(Skills!A2="BIG_BANG",Inputs!$B$18,Inputs!$B$19))/100)*(B151*I124)</f>
        <v/>
      </c>
      <c r="L124">
        <f>K124*(MIN(Inputs!$B$23+(F144-Calc!F22),Inputs!$B$24)/100+Inputs!$B$24/100)/2</f>
        <v/>
      </c>
      <c r="M124">
        <f>L124*(1+(Inputs!$B$11+B155+(F147-Calc!F25))/100)</f>
        <v/>
      </c>
      <c r="N124">
        <f>L124*(1-MIN(Inputs!$B$10+((F146-Calc!F24)+(F145-Calc!F23)),100)/100)+M124*(MIN(Inputs!$B$10+((F146-Calc!F24)+(F145-Calc!F23)),100)/100)</f>
        <v/>
      </c>
      <c r="O124">
        <f>(1-Summary!$B$48)*S124+Summary!$B$48*U124</f>
        <v/>
      </c>
      <c r="P124">
        <f>IF(B164=0,0,O124/B164)</f>
        <v/>
      </c>
      <c r="Q124">
        <f>IFERROR(1/IF(Inputs!$B$39="pvp",15,MAX(0.1,Skills!D2-IF(Skills!E2=TRUE,Inputs!$B$33,0))),0)</f>
        <v/>
      </c>
      <c r="R124" t="n">
        <v>0</v>
      </c>
      <c r="S124">
        <f>IF(C124,(Skills!F2*N124*B159)*IF(Inputs!$B$39="pvp",1,1+(Inputs!$B$21+Skills!O2+B152)/100),0)</f>
        <v/>
      </c>
      <c r="T124">
        <f>MAX(0,(Inputs!$B$3-100)*3)+Inputs!$B$29+Inputs!$B$30</f>
        <v/>
      </c>
      <c r="U124">
        <f>IF(C124,(Skills!F2*N124*B159)*IF(Inputs!$B$39="pvp",1,(1+(Inputs!$B$22+Skills!P2+B153)/100)*(MIN((6+Inputs!$B$34),Inputs!$B$38))),0)</f>
        <v/>
      </c>
    </row>
    <row r="125">
      <c r="A125">
        <f>Skills!A3</f>
        <v/>
      </c>
      <c r="B125">
        <f>Skills!B3</f>
        <v/>
      </c>
      <c r="C125">
        <f>Inputs!$B$3&gt;=15</f>
        <v/>
      </c>
      <c r="D125">
        <f>IF(Skills!C3=1,60+Inputs!$B$26+Inputs!$B$30,IF(Skills!C3=2,90+Inputs!$B$27+Inputs!$B$30,IF(Skills!C3=3,120+Inputs!$B$28+Inputs!$B$30,MAX(0,(Inputs!$B$3-100)*3)+Inputs!$B$29+Inputs!$B$30)))</f>
        <v/>
      </c>
      <c r="E125">
        <f>INDEX(FactorTable!$B$2:$Y$301, MATCH(ROUND(MIN(300,MAX(1,D125)),0), FactorTable!$A$2:$A$301,0), Skills!L3+1)</f>
        <v/>
      </c>
      <c r="F125">
        <f>IF(Skills!M3=TRUE,(Skills!K3/10)*(E125/1000),Skills!K3/10)+Skills!N3</f>
        <v/>
      </c>
      <c r="G125">
        <f>Calc!G3</f>
        <v/>
      </c>
      <c r="H125">
        <f>Calc!H3</f>
        <v/>
      </c>
      <c r="I125">
        <f>IF(Skills!T3&lt;&gt;"",1+(Skills!T3/10)*($Z$3/1000)/100,1)</f>
        <v/>
      </c>
      <c r="J125" t="inlineStr"/>
      <c r="K125" t="inlineStr"/>
      <c r="L125" t="inlineStr"/>
      <c r="M125" t="inlineStr"/>
      <c r="N125" t="inlineStr"/>
      <c r="O125">
        <f>(1-Summary!$B$48)*S125+Summary!$B$48*U125</f>
        <v/>
      </c>
      <c r="P125">
        <f>IF(B164=0,0,O125/B164)</f>
        <v/>
      </c>
      <c r="Q125">
        <f>IFERROR(1/IF(Inputs!$B$39="pvp",15,MAX(0.1,Skills!D3-IF(Skills!E3=TRUE,Inputs!$B$33,0))),0)</f>
        <v/>
      </c>
      <c r="R125">
        <f>IF(AND(Inputs!$B$39&lt;&gt;"pvp",Inputs!$B$44&gt;0),IF(Inputs!$B$44&lt;=0,0,(INT(Inputs!$B$44/IF(Inputs!$B$39="pvp",15,MAX(0.1,Skills!D3-IF(Skills!E3=TRUE,Inputs!$B$33,0))))+1)),0)</f>
        <v/>
      </c>
      <c r="S125" t="n">
        <v>0</v>
      </c>
      <c r="T125">
        <f>INDEX(FactorTable!$B$2:$Y$301, MATCH(ROUND(MIN(300,MAX(1,T124)),0), FactorTable!$A$2:$A$301,0), 22)</f>
        <v/>
      </c>
      <c r="U125" t="n">
        <v>0</v>
      </c>
    </row>
    <row r="126">
      <c r="A126">
        <f>Skills!A4</f>
        <v/>
      </c>
      <c r="B126">
        <f>Skills!B4</f>
        <v/>
      </c>
      <c r="C126">
        <f>Inputs!$B$3&gt;=38</f>
        <v/>
      </c>
      <c r="D126">
        <f>IF(Skills!C4=1,60+Inputs!$B$26+Inputs!$B$30,IF(Skills!C4=2,90+Inputs!$B$27+Inputs!$B$30,IF(Skills!C4=3,120+Inputs!$B$28+Inputs!$B$30,MAX(0,(Inputs!$B$3-100)*3)+Inputs!$B$29+Inputs!$B$30)))</f>
        <v/>
      </c>
      <c r="E126">
        <f>INDEX(FactorTable!$B$2:$Y$301, MATCH(ROUND(MIN(300,MAX(1,D126)),0), FactorTable!$A$2:$A$301,0), Skills!L4+1)</f>
        <v/>
      </c>
      <c r="F126">
        <f>IF(Skills!M4=TRUE,(Skills!K4/10)*(E126/1000),Skills!K4/10)+Skills!N4</f>
        <v/>
      </c>
      <c r="G126">
        <f>Calc!G4</f>
        <v/>
      </c>
      <c r="H126">
        <f>Calc!H4</f>
        <v/>
      </c>
      <c r="I126">
        <f>IF(Skills!T4&lt;&gt;"",1+(Skills!T4/10)*($Z$3/1000)/100,1)</f>
        <v/>
      </c>
      <c r="J126" t="inlineStr"/>
      <c r="K126" t="inlineStr"/>
      <c r="L126" t="inlineStr"/>
      <c r="M126" t="inlineStr"/>
      <c r="N126" t="inlineStr"/>
      <c r="O126">
        <f>(1-Summary!$B$48)*S126+Summary!$B$48*U126</f>
        <v/>
      </c>
      <c r="P126">
        <f>IF(B164=0,0,O126/B164)</f>
        <v/>
      </c>
      <c r="Q126">
        <f>IFERROR(1/IF(Inputs!$B$39="pvp",15,MAX(0.1,Skills!D4-IF(Skills!E4=TRUE,Inputs!$B$33,0))),0)</f>
        <v/>
      </c>
      <c r="R126">
        <f>IF(AND(Inputs!$B$39&lt;&gt;"pvp",Inputs!$B$44&gt;0),IF(Inputs!$B$44&lt;=0,0,(INT(Inputs!$B$44/IF(Inputs!$B$39="pvp",15,MAX(0.1,Skills!D4-IF(Skills!E4=TRUE,Inputs!$B$33,0))))+1)),0)</f>
        <v/>
      </c>
      <c r="S126" t="n">
        <v>0</v>
      </c>
      <c r="T126">
        <f>290*T125/1000</f>
        <v/>
      </c>
      <c r="U126" t="n">
        <v>0</v>
      </c>
    </row>
    <row r="127">
      <c r="A127">
        <f>Skills!A5</f>
        <v/>
      </c>
      <c r="B127">
        <f>Skills!B5</f>
        <v/>
      </c>
      <c r="C127">
        <f>Inputs!$B$3&gt;=40</f>
        <v/>
      </c>
      <c r="D127">
        <f>IF(Skills!C5=1,60+Inputs!$B$26+Inputs!$B$30,IF(Skills!C5=2,90+Inputs!$B$27+Inputs!$B$30,IF(Skills!C5=3,120+Inputs!$B$28+Inputs!$B$30,MAX(0,(Inputs!$B$3-100)*3)+Inputs!$B$29+Inputs!$B$30)))</f>
        <v/>
      </c>
      <c r="E127">
        <f>INDEX(FactorTable!$B$2:$Y$301, MATCH(ROUND(MIN(300,MAX(1,D127)),0), FactorTable!$A$2:$A$301,0), Skills!L5+1)</f>
        <v/>
      </c>
      <c r="F127">
        <f>IF(Skills!M5=TRUE,(Skills!K5/10)*(E127/1000),Skills!K5/10)+Skills!N5</f>
        <v/>
      </c>
      <c r="G127">
        <f>Calc!G5</f>
        <v/>
      </c>
      <c r="H127">
        <f>Calc!H5</f>
        <v/>
      </c>
      <c r="I127">
        <f>IF(Skills!T5&lt;&gt;"",1+(Skills!T5/10)*($Z$3/1000)/100,1)</f>
        <v/>
      </c>
      <c r="J127" t="inlineStr"/>
      <c r="K127" t="inlineStr"/>
      <c r="L127" t="inlineStr"/>
      <c r="M127" t="inlineStr"/>
      <c r="N127" t="inlineStr"/>
      <c r="O127">
        <f>(1-Summary!$B$48)*S127+Summary!$B$48*U127</f>
        <v/>
      </c>
      <c r="P127">
        <f>IF(B164=0,0,O127/B164)</f>
        <v/>
      </c>
      <c r="Q127">
        <f>IFERROR(1/IF(Inputs!$B$39="pvp",15,MAX(0.1,Skills!D5-IF(Skills!E5=TRUE,Inputs!$B$33,0))),0)</f>
        <v/>
      </c>
      <c r="R127">
        <f>IF(AND(Inputs!$B$39&lt;&gt;"pvp",Inputs!$B$44&gt;0),IF(Inputs!$B$44&lt;=0,0,(INT(Inputs!$B$44/IF(Inputs!$B$39="pvp",15,MAX(0.1,Skills!D5-IF(Skills!E5=TRUE,Inputs!$B$33,0))))+1)),0)</f>
        <v/>
      </c>
      <c r="S127" t="n">
        <v>0</v>
      </c>
      <c r="U127" t="n">
        <v>0</v>
      </c>
    </row>
    <row r="128">
      <c r="A128">
        <f>Skills!A6</f>
        <v/>
      </c>
      <c r="B128">
        <f>Skills!B6</f>
        <v/>
      </c>
      <c r="C128">
        <f>Inputs!$B$3&gt;=103</f>
        <v/>
      </c>
      <c r="D128">
        <f>IF(Skills!C6=1,60+Inputs!$B$26+Inputs!$B$30,IF(Skills!C6=2,90+Inputs!$B$27+Inputs!$B$30,IF(Skills!C6=3,120+Inputs!$B$28+Inputs!$B$30,MAX(0,(Inputs!$B$3-100)*3)+Inputs!$B$29+Inputs!$B$30)))</f>
        <v/>
      </c>
      <c r="E128">
        <f>INDEX(FactorTable!$B$2:$Y$301, MATCH(ROUND(MIN(300,MAX(1,D128)),0), FactorTable!$A$2:$A$301,0), Skills!L6+1)</f>
        <v/>
      </c>
      <c r="F128">
        <f>IF(Skills!M6=TRUE,(Skills!K6/10)*(E128/1000),Skills!K6/10)+Skills!N6</f>
        <v/>
      </c>
      <c r="G128">
        <f>Calc!G6</f>
        <v/>
      </c>
      <c r="H128">
        <f>Calc!H6</f>
        <v/>
      </c>
      <c r="I128">
        <f>IF(Skills!T6&lt;&gt;"",1+(Skills!T6/10)*($Z$3/1000)/100,1)</f>
        <v/>
      </c>
      <c r="J128">
        <f>((Inputs!$B$6*(1+Inputs!$B$7/100))+(((Inputs!$B$13*(1+Inputs!$B$14/100))-(Inputs!$B$13*(1+Inputs!$B$14/100)))+0.25*(Inputs!$B$15-Inputs!$B$15))*(1+Inputs!$B$7/100))*(F128/100)</f>
        <v/>
      </c>
      <c r="K128">
        <f>J128*(1+(((Inputs!$B$13+IF(Inputs!$B$3&gt;=35,(10*INDEX(FactorTable!$B$2:$Y$301, MATCH(ROUND(MIN(300,MAX(1,Inputs!$B$3)),0), FactorTable!$A$2:$A$301,0), 23)/1000)/100*((Inputs!$B$8+1)*(1+(Inputs!$B$9+B160)/100)),0))*(1+Inputs!$B$14/100))*0.01+Inputs!$B$15*0.0025)/100)*(1+(Inputs!$B$16+B154)/100)*(1+Inputs!$B$17/100)*(5000/(6000+Inputs!$B$43*(1-Inputs!$B$20/100)))*(1+Inputs!$B$25/100)*(1+IF(C140=TRUE,F140,0)/100)*(1+IF(C142=TRUE,F142,0)/100)*(1+IF(Skills!A6="TRIUMPH_FEATHER",IF(C138=TRUE,F138,0),0)/100)*(1+IF(C149=TRUE,F149,0)/100)^5*(1+(IF(Skills!A6="BIG_BANG",Inputs!$B$18,Inputs!$B$19))/100)*(B151*I128)</f>
        <v/>
      </c>
      <c r="L128">
        <f>K128*(MIN(Inputs!$B$23+(F144-Calc!F22),Inputs!$B$24)/100+Inputs!$B$24/100)/2</f>
        <v/>
      </c>
      <c r="M128">
        <f>L128*(1+(Inputs!$B$11+B155+(F147-Calc!F25))/100)</f>
        <v/>
      </c>
      <c r="N128">
        <f>L128*(1-MIN(Inputs!$B$10+((F146-Calc!F24)+(F145-Calc!F23)),100)/100)+M128*(MIN(Inputs!$B$10+((F146-Calc!F24)+(F145-Calc!F23)),100)/100)</f>
        <v/>
      </c>
      <c r="O128">
        <f>(1-Summary!$B$48)*S128+Summary!$B$48*U128</f>
        <v/>
      </c>
      <c r="P128">
        <f>IF(B164=0,0,O128/B164)</f>
        <v/>
      </c>
      <c r="Q128">
        <f>IFERROR(1/IF(Inputs!$B$39="pvp",15,MAX(0.1,Skills!D6-IF(Skills!E6=TRUE,Inputs!$B$33,0))),0)</f>
        <v/>
      </c>
      <c r="R128">
        <f>IF(AND(Inputs!$B$39&lt;&gt;"pvp",Inputs!$B$44&gt;0),IF(MAX(0,Inputs!$B$44-B161)&lt;=0,0,(INT(MAX(0,Inputs!$B$44-B161)/IF(Inputs!$B$39="pvp",15,MAX(0.1,Skills!D6-IF(Skills!E6=TRUE,Inputs!$B$33,0))))+1)),0)</f>
        <v/>
      </c>
      <c r="S128">
        <f>IF(C128,(H128*N128*IF(AND(Inputs!$B$39&lt;&gt;"pvp",Inputs!$B$44&gt;0),((Skills!F6*((R128-1)*IF(Skills!G6&gt;0,Skills!H6/Skills!G6,1)+IF(Skills!G6&gt;0,MIN(Skills!H6,MAX(0,MAX(0,Inputs!$B$44-B161)-((R128-1)*IF(Inputs!$B$39="pvp",15,MAX(0.1,Skills!D6-IF(Skills!E6=TRUE,Inputs!$B$33,0))))))/Skills!G6,1)))/Inputs!$B$44),G128*Q128))*IF(Inputs!$B$39="pvp",1,1+(Inputs!$B$21+Skills!O6+B152)/100),0)</f>
        <v/>
      </c>
      <c r="U128">
        <f>IF(C128,(H128*N128*IF(AND(Inputs!$B$39&lt;&gt;"pvp",Inputs!$B$44&gt;0),((Skills!F6*((R128-1)*IF(Skills!G6&gt;0,Skills!H6/Skills!G6,1)+IF(Skills!G6&gt;0,MIN(Skills!H6,MAX(0,MAX(0,Inputs!$B$44-B161)-((R128-1)*IF(Inputs!$B$39="pvp",15,MAX(0.1,Skills!D6-IF(Skills!E6=TRUE,Inputs!$B$33,0))))))/Skills!G6,1)))/Inputs!$B$44),G128*Q128))*IF(Inputs!$B$39="pvp",1,(1+(Inputs!$B$22+Skills!P6+B153)/100)*(MIN(Skills!Q6,Inputs!$B$38))),0)</f>
        <v/>
      </c>
    </row>
    <row r="129">
      <c r="A129">
        <f>Skills!A7</f>
        <v/>
      </c>
      <c r="B129">
        <f>Skills!B7</f>
        <v/>
      </c>
      <c r="C129">
        <f>Inputs!$B$3&gt;=122</f>
        <v/>
      </c>
      <c r="D129">
        <f>IF(Skills!C7=1,60+Inputs!$B$26+Inputs!$B$30,IF(Skills!C7=2,90+Inputs!$B$27+Inputs!$B$30,IF(Skills!C7=3,120+Inputs!$B$28+Inputs!$B$30,MAX(0,(Inputs!$B$3-100)*3)+Inputs!$B$29+Inputs!$B$30)))</f>
        <v/>
      </c>
      <c r="E129">
        <f>INDEX(FactorTable!$B$2:$Y$301, MATCH(ROUND(MIN(300,MAX(1,D129)),0), FactorTable!$A$2:$A$301,0), Skills!L7+1)</f>
        <v/>
      </c>
      <c r="F129">
        <f>IF(Skills!M7=TRUE,(Skills!K7/10)*(E129/1000),Skills!K7/10)+Skills!N7</f>
        <v/>
      </c>
      <c r="G129">
        <f>Calc!G7</f>
        <v/>
      </c>
      <c r="H129">
        <f>Calc!H7</f>
        <v/>
      </c>
      <c r="I129">
        <f>IF(Skills!T7&lt;&gt;"",1+(Skills!T7/10)*($Z$3/1000)/100,1)</f>
        <v/>
      </c>
      <c r="J129">
        <f>((Inputs!$B$6*(1+Inputs!$B$7/100))+(((Inputs!$B$13*(1+Inputs!$B$14/100))-(Inputs!$B$13*(1+Inputs!$B$14/100)))+0.25*(Inputs!$B$15-Inputs!$B$15))*(1+Inputs!$B$7/100))*(F129/100)</f>
        <v/>
      </c>
      <c r="K129">
        <f>J129*(1+(((Inputs!$B$13+IF(Inputs!$B$3&gt;=35,(10*INDEX(FactorTable!$B$2:$Y$301, MATCH(ROUND(MIN(300,MAX(1,Inputs!$B$3)),0), FactorTable!$A$2:$A$301,0), 23)/1000)/100*((Inputs!$B$8+1)*(1+(Inputs!$B$9+B160)/100)),0))*(1+Inputs!$B$14/100))*0.01+Inputs!$B$15*0.0025)/100)*(1+(Inputs!$B$16+B154)/100)*(1+Inputs!$B$17/100)*(5000/(6000+Inputs!$B$43*(1-Inputs!$B$20/100)))*(1+Inputs!$B$25/100)*(1+IF(C140=TRUE,F140,0)/100)*(1+IF(C142=TRUE,F142,0)/100)*(1+IF(Skills!A7="TRIUMPH_FEATHER",IF(C138=TRUE,F138,0),0)/100)*(1+IF(C149=TRUE,F149,0)/100)^5*(1+(IF(Skills!A7="BIG_BANG",Inputs!$B$18,Inputs!$B$19))/100)*(B151*I129)</f>
        <v/>
      </c>
      <c r="L129">
        <f>K129*(MIN(Inputs!$B$23+(F144-Calc!F22),Inputs!$B$24)/100+Inputs!$B$24/100)/2</f>
        <v/>
      </c>
      <c r="M129">
        <f>L129*(1+(Inputs!$B$11+B155+(F147-Calc!F25))/100)</f>
        <v/>
      </c>
      <c r="N129">
        <f>L129*(1-MIN(Inputs!$B$10+((F146-Calc!F24)+(F145-Calc!F23)),100)/100)+M129*(MIN(Inputs!$B$10+((F146-Calc!F24)+(F145-Calc!F23)),100)/100)</f>
        <v/>
      </c>
      <c r="O129">
        <f>(1-Summary!$B$48)*S129+Summary!$B$48*U129</f>
        <v/>
      </c>
      <c r="P129">
        <f>IF(B164=0,0,O129/B164)</f>
        <v/>
      </c>
      <c r="Q129">
        <f>IFERROR(1/IF(Inputs!$B$39="pvp",15,MAX(0.1,Skills!D7-IF(Skills!E6=TRUE,Inputs!$B$33,0))),0)</f>
        <v/>
      </c>
      <c r="R129">
        <f>IF(AND(Inputs!$B$39&lt;&gt;"pvp",Inputs!$B$44&gt;0),IF(MAX(0,Inputs!$B$44-B161)&lt;=0,0,(INT(MAX(0,Inputs!$B$44-B161)/IF(Inputs!$B$39="pvp",15,MAX(0.1,Skills!D7-IF(Skills!E6=TRUE,Inputs!$B$33,0))))+1)),0)</f>
        <v/>
      </c>
      <c r="S129">
        <f>IF(C129,H129*N129*IF(AND(Inputs!$B$39&lt;&gt;"pvp",Inputs!$B$44&gt;0),((Skills!F7*((R129-1)*IF(Skills!G7&gt;0,Skills!H7/Skills!G7,1)+IF(Skills!G7&gt;0,MIN(Skills!H7,MAX(0,MAX(0,Inputs!$B$44-B161)-((R129-1)*IF(Inputs!$B$39="pvp",15,MAX(0.1,Skills!D7-IF(Skills!E6=TRUE,Inputs!$B$33,0))))))/Skills!G7,1)))/Inputs!$B$44),G129*Q129)*IF(Inputs!$B$39="pvp",1,1+(Inputs!$B$21+Skills!O7+B152)/100),0)</f>
        <v/>
      </c>
      <c r="U129" t="n">
        <v>0</v>
      </c>
    </row>
    <row r="130">
      <c r="A130">
        <f>Skills!A8</f>
        <v/>
      </c>
      <c r="B130">
        <f>Skills!B8</f>
        <v/>
      </c>
      <c r="C130">
        <f>Inputs!$B$3&gt;=105</f>
        <v/>
      </c>
      <c r="D130">
        <f>IF(Skills!C8=1,60+Inputs!$B$26+Inputs!$B$30,IF(Skills!C8=2,90+Inputs!$B$27+Inputs!$B$30,IF(Skills!C8=3,120+Inputs!$B$28+Inputs!$B$30,MAX(0,(Inputs!$B$3-100)*3)+Inputs!$B$29+Inputs!$B$30)))</f>
        <v/>
      </c>
      <c r="E130">
        <f>INDEX(FactorTable!$B$2:$Y$301, MATCH(ROUND(MIN(300,MAX(1,D130)),0), FactorTable!$A$2:$A$301,0), Skills!L8+1)</f>
        <v/>
      </c>
      <c r="F130">
        <f>IF(Skills!M8=TRUE,(Skills!K8/10)*(E130/1000),Skills!K8/10)+Skills!N8</f>
        <v/>
      </c>
      <c r="G130">
        <f>Calc!G8</f>
        <v/>
      </c>
      <c r="H130">
        <f>Calc!H8</f>
        <v/>
      </c>
      <c r="I130">
        <f>IF(Skills!T8&lt;&gt;"",1+(Skills!T8/10)*($Z$3/1000)/100,1)</f>
        <v/>
      </c>
      <c r="J130">
        <f>((Inputs!$B$6*(1+Inputs!$B$7/100))+(((Inputs!$B$13*(1+Inputs!$B$14/100))-(Inputs!$B$13*(1+Inputs!$B$14/100)))+0.25*(Inputs!$B$15-Inputs!$B$15))*(1+Inputs!$B$7/100))*(F130/100)</f>
        <v/>
      </c>
      <c r="K130">
        <f>J130*(1+(((Inputs!$B$13+IF(Inputs!$B$3&gt;=35,(10*INDEX(FactorTable!$B$2:$Y$301, MATCH(ROUND(MIN(300,MAX(1,Inputs!$B$3)),0), FactorTable!$A$2:$A$301,0), 23)/1000)/100*((Inputs!$B$8+1)*(1+(Inputs!$B$9+B160)/100)),0))*(1+Inputs!$B$14/100))*0.01+Inputs!$B$15*0.0025)/100)*(1+(Inputs!$B$16+B154)/100)*(1+Inputs!$B$17/100)*(5000/(6000+Inputs!$B$43*(1-Inputs!$B$20/100)))*(1+Inputs!$B$25/100)*(1+IF(C140=TRUE,F140,0)/100)*(1+IF(C142=TRUE,F142,0)/100)*(1+IF(Skills!A8="TRIUMPH_FEATHER",IF(C138=TRUE,F138,0),0)/100)*(1+IF(C149=TRUE,F149,0)/100)^5*(1+(IF(Skills!A8="BIG_BANG",Inputs!$B$18,Inputs!$B$19))/100)*(B151*I130)</f>
        <v/>
      </c>
      <c r="L130">
        <f>K130*(MIN(Inputs!$B$23+(F144-Calc!F22),Inputs!$B$24)/100+Inputs!$B$24/100)/2</f>
        <v/>
      </c>
      <c r="M130">
        <f>L130*(1+(Inputs!$B$11+B155+(F147-Calc!F25))/100)</f>
        <v/>
      </c>
      <c r="N130">
        <f>L130*(1-MIN(Inputs!$B$10+((F146-Calc!F24)+(F145-Calc!F23)),100)/100)+M130*(MIN(Inputs!$B$10+((F146-Calc!F24)+(F145-Calc!F23)),100)/100)</f>
        <v/>
      </c>
      <c r="O130">
        <f>(1-Summary!$B$48)*S130+Summary!$B$48*U130</f>
        <v/>
      </c>
      <c r="P130">
        <f>IF(B164=0,0,O130/B164)</f>
        <v/>
      </c>
      <c r="Q130">
        <f>IFERROR(1/IF(Inputs!$B$39="pvp",15,MAX(0.1,Skills!D8-IF(Skills!E8=TRUE,Inputs!$B$33,0))),0)</f>
        <v/>
      </c>
      <c r="R130">
        <f>IF(AND(Inputs!$B$39&lt;&gt;"pvp",Inputs!$B$44&gt;0),IF(MAX(0,Inputs!$B$44-B161)&lt;=0,0,(INT(MAX(0,Inputs!$B$44-B161)/IF(Inputs!$B$39="pvp",15,MAX(0.1,Skills!D8-IF(Skills!E8=TRUE,Inputs!$B$33,0))))+1)),0)</f>
        <v/>
      </c>
      <c r="S130">
        <f>IF(C130,(H130*N130*IF(AND(Inputs!$B$39&lt;&gt;"pvp",Inputs!$B$44&gt;0),((Skills!F8*((R130-1)*IF(Skills!G8&gt;0,Skills!H8/Skills!G8,1)+IF(Skills!G8&gt;0,MIN(Skills!H8,MAX(0,MAX(0,Inputs!$B$44-B161)-((R130-1)*IF(Inputs!$B$39="pvp",15,MAX(0.1,Skills!D8-IF(Skills!E8=TRUE,Inputs!$B$33,0))))))/Skills!G8,1)))/Inputs!$B$44),G130*Q130))*IF(Inputs!$B$39="pvp",1,1+(Inputs!$B$21+Skills!O8+B152)/100),0)</f>
        <v/>
      </c>
      <c r="U130">
        <f>IF(C130,(H130*N130*IF(AND(Inputs!$B$39&lt;&gt;"pvp",Inputs!$B$44&gt;0),((Skills!F8*((R130-1)*IF(Skills!G8&gt;0,Skills!H8/Skills!G8,1)+IF(Skills!G8&gt;0,MIN(Skills!H8,MAX(0,MAX(0,Inputs!$B$44-B161)-((R130-1)*IF(Inputs!$B$39="pvp",15,MAX(0.1,Skills!D8-IF(Skills!E8=TRUE,Inputs!$B$33,0))))))/Skills!G8,1)))/Inputs!$B$44),G130*Q130))*IF(Inputs!$B$39="pvp",1,(1+(Inputs!$B$22+Skills!P8+B153)/100)*(MIN(Skills!Q8,Inputs!$B$38))),0)</f>
        <v/>
      </c>
    </row>
    <row r="131">
      <c r="A131">
        <f>Skills!A9</f>
        <v/>
      </c>
      <c r="B131">
        <f>Skills!B9</f>
        <v/>
      </c>
      <c r="C131">
        <f>Inputs!$B$3&gt;=115</f>
        <v/>
      </c>
      <c r="D131">
        <f>IF(Skills!C9=1,60+Inputs!$B$26+Inputs!$B$30,IF(Skills!C9=2,90+Inputs!$B$27+Inputs!$B$30,IF(Skills!C9=3,120+Inputs!$B$28+Inputs!$B$30,MAX(0,(Inputs!$B$3-100)*3)+Inputs!$B$29+Inputs!$B$30)))</f>
        <v/>
      </c>
      <c r="E131">
        <f>INDEX(FactorTable!$B$2:$Y$301, MATCH(ROUND(MIN(300,MAX(1,D131)),0), FactorTable!$A$2:$A$301,0), Skills!L9+1)</f>
        <v/>
      </c>
      <c r="F131">
        <f>IF(Skills!M9=TRUE,(Skills!K9/10)*(E131/1000),Skills!K9/10)+Skills!N9</f>
        <v/>
      </c>
      <c r="G131">
        <f>Calc!G9</f>
        <v/>
      </c>
      <c r="H131">
        <f>Calc!H9</f>
        <v/>
      </c>
      <c r="I131">
        <f>IF(Skills!T9&lt;&gt;"",1+(Skills!T9/10)*($Z$3/1000)/100,1)</f>
        <v/>
      </c>
      <c r="J131">
        <f>((Inputs!$B$6*(1+Inputs!$B$7/100))+(((Inputs!$B$13*(1+Inputs!$B$14/100))-(Inputs!$B$13*(1+Inputs!$B$14/100)))+0.25*(Inputs!$B$15-Inputs!$B$15))*(1+Inputs!$B$7/100))*(F131/100)</f>
        <v/>
      </c>
      <c r="K131">
        <f>J131*(1+(((Inputs!$B$13+IF(Inputs!$B$3&gt;=35,(10*INDEX(FactorTable!$B$2:$Y$301, MATCH(ROUND(MIN(300,MAX(1,Inputs!$B$3)),0), FactorTable!$A$2:$A$301,0), 23)/1000)/100*((Inputs!$B$8+1)*(1+(Inputs!$B$9+B160)/100)),0))*(1+Inputs!$B$14/100))*0.01+Inputs!$B$15*0.0025)/100)*(1+(Inputs!$B$16+B154)/100)*(1+Inputs!$B$17/100)*(5000/(6000+Inputs!$B$43*(1-Inputs!$B$20/100)))*(1+Inputs!$B$25/100)*(1+IF(C140=TRUE,F140,0)/100)*(1+IF(C142=TRUE,F142,0)/100)*(1+IF(Skills!A9="TRIUMPH_FEATHER",IF(C138=TRUE,F138,0),0)/100)*(1+IF(C149=TRUE,F149,0)/100)^5*(1+(IF(Skills!A9="BIG_BANG",Inputs!$B$18,Inputs!$B$19))/100)*(B151*I131)</f>
        <v/>
      </c>
      <c r="L131">
        <f>K131*(MIN(Inputs!$B$23+(F144-Calc!F22),Inputs!$B$24)/100+Inputs!$B$24/100)/2</f>
        <v/>
      </c>
      <c r="M131">
        <f>L131*(1+(Inputs!$B$11+B155+(F147-Calc!F25))/100)</f>
        <v/>
      </c>
      <c r="N131">
        <f>L131*(1-MIN(Inputs!$B$10+((F146-Calc!F24)+(F145-Calc!F23)),100)/100)+M131*(MIN(Inputs!$B$10+((F146-Calc!F24)+(F145-Calc!F23)),100)/100)</f>
        <v/>
      </c>
      <c r="O131">
        <f>(1-Summary!$B$48)*S131+Summary!$B$48*U131</f>
        <v/>
      </c>
      <c r="P131">
        <f>IF(B164=0,0,O131/B164)</f>
        <v/>
      </c>
      <c r="Q131">
        <f>IFERROR(1/IF(Inputs!$B$39="pvp",15,MAX(0.1,Skills!D9-IF(Skills!E9=TRUE,Inputs!$B$33,0))),0)</f>
        <v/>
      </c>
      <c r="R131">
        <f>IF(AND(Inputs!$B$39&lt;&gt;"pvp",Inputs!$B$44&gt;0),IF(MAX(0,Inputs!$B$44-B161)&lt;=0,0,(INT(MAX(0,Inputs!$B$44-B161)/IF(Inputs!$B$39="pvp",15,MAX(0.1,Skills!D9-IF(Skills!E9=TRUE,Inputs!$B$33,0))))+1)),0)</f>
        <v/>
      </c>
      <c r="S131">
        <f>IF(C131,(H131*N131*IF(AND(Inputs!$B$39&lt;&gt;"pvp",Inputs!$B$44&gt;0),((Skills!F9*((R131-1)*IF(Skills!G9&gt;0,Skills!H9/Skills!G9,1)+IF(Skills!G9&gt;0,MIN(Skills!H9,MAX(0,MAX(0,Inputs!$B$44-B161)-((R131-1)*IF(Inputs!$B$39="pvp",15,MAX(0.1,Skills!D9-IF(Skills!E9=TRUE,Inputs!$B$33,0))))))/Skills!G9,1)))/Inputs!$B$44),G131*Q131))*IF(Inputs!$B$39="pvp",1,1+(Inputs!$B$21+Skills!O9+B152)/100),0)</f>
        <v/>
      </c>
      <c r="U131">
        <f>IF(C131,(H131*N131*IF(AND(Inputs!$B$39&lt;&gt;"pvp",Inputs!$B$44&gt;0),((Skills!F9*((R131-1)*IF(Skills!G9&gt;0,Skills!H9/Skills!G9,1)+IF(Skills!G9&gt;0,MIN(Skills!H9,MAX(0,MAX(0,Inputs!$B$44-B161)-((R131-1)*IF(Inputs!$B$39="pvp",15,MAX(0.1,Skills!D9-IF(Skills!E9=TRUE,Inputs!$B$33,0))))))/Skills!G9,1)))/Inputs!$B$44),G131*Q131))*IF(Inputs!$B$39="pvp",1,(1+(Inputs!$B$22+Skills!P9+B153)/100)*(MIN(Skills!Q9,Inputs!$B$38))),0)</f>
        <v/>
      </c>
    </row>
    <row r="132">
      <c r="A132">
        <f>Skills!A10</f>
        <v/>
      </c>
      <c r="B132">
        <f>Skills!B10</f>
        <v/>
      </c>
      <c r="C132">
        <f>Inputs!$B$3&gt;=66</f>
        <v/>
      </c>
      <c r="D132">
        <f>IF(Skills!C10=1,60+Inputs!$B$26+Inputs!$B$30,IF(Skills!C10=2,90+Inputs!$B$27+Inputs!$B$30,IF(Skills!C10=3,120+Inputs!$B$28+Inputs!$B$30,MAX(0,(Inputs!$B$3-100)*3)+Inputs!$B$29+Inputs!$B$30)))</f>
        <v/>
      </c>
      <c r="E132">
        <f>INDEX(FactorTable!$B$2:$Y$301, MATCH(ROUND(MIN(300,MAX(1,D132)),0), FactorTable!$A$2:$A$301,0), Skills!L10+1)</f>
        <v/>
      </c>
      <c r="F132" t="n">
        <v>0</v>
      </c>
      <c r="G132">
        <f>Calc!G10</f>
        <v/>
      </c>
      <c r="H132">
        <f>Calc!H10</f>
        <v/>
      </c>
      <c r="I132">
        <f>IF(Skills!T10&lt;&gt;"",1+(Skills!T10/10)*($Z$3/1000)/100,1)</f>
        <v/>
      </c>
      <c r="J132" t="inlineStr"/>
      <c r="K132" t="inlineStr"/>
      <c r="L132" t="inlineStr"/>
      <c r="M132" t="inlineStr"/>
      <c r="N132" t="inlineStr"/>
      <c r="O132">
        <f>(1-Summary!$B$48)*S132+Summary!$B$48*U132</f>
        <v/>
      </c>
      <c r="P132">
        <f>IF(B164=0,0,O132/B164)</f>
        <v/>
      </c>
      <c r="Q132">
        <f>IFERROR(1/IF(Inputs!$B$39="pvp",15,MAX(0.1,Skills!D10-IF(Skills!E10=TRUE,Inputs!$B$33,0))),0)</f>
        <v/>
      </c>
      <c r="R132">
        <f>IF(AND(Inputs!$B$39&lt;&gt;"pvp",Inputs!$B$44&gt;0),IF(MAX(0,Inputs!$B$44-B161)&lt;=0,0,(INT(MAX(0,Inputs!$B$44-B161)/IF(Inputs!$B$39="pvp",15,MAX(0.1,Skills!D10-IF(Skills!E10=TRUE,Inputs!$B$33,0))))+1)),0)</f>
        <v/>
      </c>
      <c r="S132" t="n">
        <v>0</v>
      </c>
      <c r="U132" t="n">
        <v>0</v>
      </c>
    </row>
    <row r="133">
      <c r="A133">
        <f>Skills!A11</f>
        <v/>
      </c>
      <c r="B133">
        <f>Skills!B11</f>
        <v/>
      </c>
      <c r="C133">
        <f>Inputs!$B$3&gt;=69</f>
        <v/>
      </c>
      <c r="D133">
        <f>IF(Skills!C11=1,60+Inputs!$B$26+Inputs!$B$30,IF(Skills!C11=2,90+Inputs!$B$27+Inputs!$B$30,IF(Skills!C11=3,120+Inputs!$B$28+Inputs!$B$30,MAX(0,(Inputs!$B$3-100)*3)+Inputs!$B$29+Inputs!$B$30)))</f>
        <v/>
      </c>
      <c r="E133">
        <f>INDEX(FactorTable!$B$2:$Y$301, MATCH(ROUND(MIN(300,MAX(1,D133)),0), FactorTable!$A$2:$A$301,0), Skills!L11+1)</f>
        <v/>
      </c>
      <c r="F133">
        <f>IF(Skills!M11=TRUE,(Skills!K11/10)*(E133/1000),Skills!K11/10)+Skills!N11</f>
        <v/>
      </c>
      <c r="G133">
        <f>Calc!G11</f>
        <v/>
      </c>
      <c r="H133">
        <f>Calc!H11</f>
        <v/>
      </c>
      <c r="I133">
        <f>IF(Skills!T11&lt;&gt;"",1+(Skills!T11/10)*($Z$3/1000)/100,1)</f>
        <v/>
      </c>
      <c r="J133" t="inlineStr"/>
      <c r="K133" t="inlineStr"/>
      <c r="L133" t="inlineStr"/>
      <c r="M133" t="inlineStr"/>
      <c r="N133" t="inlineStr"/>
      <c r="O133">
        <f>(1-Summary!$B$48)*S133+Summary!$B$48*U133</f>
        <v/>
      </c>
      <c r="P133">
        <f>IF(B164=0,0,O133/B164)</f>
        <v/>
      </c>
      <c r="Q133">
        <f>IFERROR(1/IF(Inputs!$B$39="pvp",15,MAX(0.1,Skills!D11-IF(Skills!E11=TRUE,Inputs!$B$33,0))),0)</f>
        <v/>
      </c>
      <c r="R133">
        <f>IF(AND(Inputs!$B$39&lt;&gt;"pvp",Inputs!$B$44&gt;0),IF(Inputs!$B$44&lt;=0,0,(INT(Inputs!$B$44/IF(Inputs!$B$39="pvp",15,MAX(0.1,Skills!D11-IF(Skills!E11=TRUE,Inputs!$B$33,0))))+1)),0)</f>
        <v/>
      </c>
      <c r="S133" t="n">
        <v>0</v>
      </c>
      <c r="U133" t="n">
        <v>0</v>
      </c>
    </row>
    <row r="134">
      <c r="A134">
        <f>Skills!A12</f>
        <v/>
      </c>
      <c r="B134">
        <f>Skills!B12</f>
        <v/>
      </c>
      <c r="C134">
        <f>Inputs!$B$3&gt;=72</f>
        <v/>
      </c>
      <c r="D134">
        <f>IF(Skills!C12=1,60+Inputs!$B$26+Inputs!$B$30,IF(Skills!C12=2,90+Inputs!$B$27+Inputs!$B$30,IF(Skills!C12=3,120+Inputs!$B$28+Inputs!$B$30,MAX(0,(Inputs!$B$3-100)*3)+Inputs!$B$29+Inputs!$B$30)))</f>
        <v/>
      </c>
      <c r="E134">
        <f>INDEX(FactorTable!$B$2:$Y$301, MATCH(ROUND(MIN(300,MAX(1,D134)),0), FactorTable!$A$2:$A$301,0), Skills!L12+1)</f>
        <v/>
      </c>
      <c r="F134">
        <f>IF(Skills!M12=TRUE,(Skills!K12/10)*(E134/1000),Skills!K12/10)+Skills!N12</f>
        <v/>
      </c>
      <c r="G134">
        <f>Calc!G12</f>
        <v/>
      </c>
      <c r="H134">
        <f>Calc!H12</f>
        <v/>
      </c>
      <c r="I134">
        <f>IF(Skills!T12&lt;&gt;"",1+(Skills!T12/10)*($Z$3/1000)/100,1)</f>
        <v/>
      </c>
      <c r="J134" t="inlineStr"/>
      <c r="K134" t="inlineStr"/>
      <c r="L134" t="inlineStr"/>
      <c r="M134" t="inlineStr"/>
      <c r="N134" t="inlineStr"/>
      <c r="O134">
        <f>(1-Summary!$B$48)*S134+Summary!$B$48*U134</f>
        <v/>
      </c>
      <c r="P134">
        <f>IF(B164=0,0,O134/B164)</f>
        <v/>
      </c>
      <c r="Q134">
        <f>IFERROR(1/IF(Inputs!$B$39="pvp",15,MAX(0.1,Skills!D12-IF(Skills!E12=TRUE,Inputs!$B$33,0))),0)</f>
        <v/>
      </c>
      <c r="R134">
        <f>IF(AND(Inputs!$B$39&lt;&gt;"pvp",Inputs!$B$44&gt;0),IF(MAX(0,Inputs!$B$44-B161)&lt;=0,0,(INT(MAX(0,Inputs!$B$44-B161)/IF(Inputs!$B$39="pvp",15,MAX(0.1,Skills!D12-IF(Skills!E12=TRUE,Inputs!$B$33,0))))+1)),0)</f>
        <v/>
      </c>
      <c r="S134" t="n">
        <v>0</v>
      </c>
      <c r="U134" t="n">
        <v>0</v>
      </c>
    </row>
    <row r="135">
      <c r="A135">
        <f>Skills!A13</f>
        <v/>
      </c>
      <c r="B135">
        <f>Skills!B13</f>
        <v/>
      </c>
      <c r="C135">
        <f>Inputs!$B$3&gt;=60</f>
        <v/>
      </c>
      <c r="D135">
        <f>IF(Skills!C13=1,60+Inputs!$B$26+Inputs!$B$30,IF(Skills!C13=2,90+Inputs!$B$27+Inputs!$B$30,IF(Skills!C13=3,120+Inputs!$B$28+Inputs!$B$30,MAX(0,(Inputs!$B$3-100)*3)+Inputs!$B$29+Inputs!$B$30)))</f>
        <v/>
      </c>
      <c r="E135">
        <f>INDEX(FactorTable!$B$2:$Y$301, MATCH(ROUND(MIN(300,MAX(1,D135)),0), FactorTable!$A$2:$A$301,0), Skills!L13+1)</f>
        <v/>
      </c>
      <c r="F135">
        <f>IF(Skills!M13=TRUE,(Skills!K13/10)*(E135/1000),Skills!K13/10)+Skills!N13</f>
        <v/>
      </c>
      <c r="G135">
        <f>Calc!G13</f>
        <v/>
      </c>
      <c r="H135">
        <f>Calc!H13</f>
        <v/>
      </c>
      <c r="I135">
        <f>IF(Skills!T13&lt;&gt;"",1+(Skills!T13/10)*($Z$3/1000)/100,1)</f>
        <v/>
      </c>
      <c r="J135" t="inlineStr"/>
      <c r="K135" t="inlineStr"/>
      <c r="L135" t="inlineStr"/>
      <c r="M135" t="inlineStr"/>
      <c r="N135" t="inlineStr"/>
      <c r="O135">
        <f>(1-Summary!$B$48)*S135+Summary!$B$48*U135</f>
        <v/>
      </c>
      <c r="P135">
        <f>IF(B164=0,0,O135/B164)</f>
        <v/>
      </c>
      <c r="Q135">
        <f>IFERROR(1/IF(Inputs!$B$39="pvp",15,MAX(0.1,Skills!D13-IF(Skills!E13=TRUE,Inputs!$B$33,0))),0)</f>
        <v/>
      </c>
      <c r="R135">
        <f>IF(AND(Inputs!$B$39&lt;&gt;"pvp",Inputs!$B$44&gt;0),IF(MAX(0,Inputs!$B$44-B161)&lt;=0,0,(INT(MAX(0,Inputs!$B$44-B161)/IF(Inputs!$B$39="pvp",15,MAX(0.1,Skills!D13-IF(Skills!E13=TRUE,Inputs!$B$33,0))))+1)),0)</f>
        <v/>
      </c>
      <c r="S135" t="n">
        <v>0</v>
      </c>
      <c r="U135" t="n">
        <v>0</v>
      </c>
    </row>
    <row r="136">
      <c r="A136">
        <f>Skills!A14</f>
        <v/>
      </c>
      <c r="B136">
        <f>Skills!B14</f>
        <v/>
      </c>
      <c r="C136">
        <f>Inputs!$B$3&gt;=107</f>
        <v/>
      </c>
      <c r="D136">
        <f>IF(Skills!C14=1,60+Inputs!$B$26+Inputs!$B$30,IF(Skills!C14=2,90+Inputs!$B$27+Inputs!$B$30,IF(Skills!C14=3,120+Inputs!$B$28+Inputs!$B$30,MAX(0,(Inputs!$B$3-100)*3)+Inputs!$B$29+Inputs!$B$30)))</f>
        <v/>
      </c>
      <c r="E136">
        <f>INDEX(FactorTable!$B$2:$Y$301, MATCH(ROUND(MIN(300,MAX(1,D136)),0), FactorTable!$A$2:$A$301,0), Skills!L14+1)</f>
        <v/>
      </c>
      <c r="F136">
        <f>IF(Skills!M14=TRUE,(Skills!K14/10)*(E136/1000),Skills!K14/10)+Skills!N14</f>
        <v/>
      </c>
      <c r="G136">
        <f>Calc!G14</f>
        <v/>
      </c>
      <c r="H136">
        <f>Calc!H14</f>
        <v/>
      </c>
      <c r="I136">
        <f>IF(Skills!T14&lt;&gt;"",1+(Skills!T14/10)*($Z$3/1000)/100,1)</f>
        <v/>
      </c>
      <c r="J136" t="inlineStr"/>
      <c r="K136" t="inlineStr"/>
      <c r="L136" t="inlineStr"/>
      <c r="M136" t="inlineStr"/>
      <c r="N136" t="inlineStr"/>
      <c r="O136">
        <f>(1-Summary!$B$48)*S136+Summary!$B$48*U136</f>
        <v/>
      </c>
      <c r="P136">
        <f>IF(B164=0,0,O136/B164)</f>
        <v/>
      </c>
      <c r="Q136">
        <f>IFERROR(1/IF(Inputs!$B$39="pvp",15,MAX(0.1,Skills!D14-IF(Skills!E14=TRUE,Inputs!$B$33,0))),0)</f>
        <v/>
      </c>
      <c r="R136">
        <f>IF(AND(Inputs!$B$39&lt;&gt;"pvp",Inputs!$B$44&gt;0),IF(Inputs!$B$44&lt;=0,0,(INT(Inputs!$B$44/IF(Inputs!$B$39="pvp",15,MAX(0.1,Skills!D14-IF(Skills!E14=TRUE,Inputs!$B$33,0))))+1)),0)</f>
        <v/>
      </c>
      <c r="S136" t="n">
        <v>0</v>
      </c>
      <c r="U136" t="n">
        <v>0</v>
      </c>
    </row>
    <row r="137">
      <c r="A137">
        <f>Skills!A15</f>
        <v/>
      </c>
      <c r="B137">
        <f>Skills!B15</f>
        <v/>
      </c>
      <c r="C137">
        <f>Inputs!$B$3&gt;=63</f>
        <v/>
      </c>
      <c r="D137">
        <f>IF(Skills!C15=1,60+Inputs!$B$26+Inputs!$B$30,IF(Skills!C15=2,90+Inputs!$B$27+Inputs!$B$30,IF(Skills!C15=3,120+Inputs!$B$28+Inputs!$B$30,MAX(0,(Inputs!$B$3-100)*3)+Inputs!$B$29+Inputs!$B$30)))</f>
        <v/>
      </c>
      <c r="E137">
        <f>INDEX(FactorTable!$B$2:$Y$301, MATCH(ROUND(MIN(300,MAX(1,D137)),0), FactorTable!$A$2:$A$301,0), Skills!L15+1)</f>
        <v/>
      </c>
      <c r="F137">
        <f>IF(Skills!M15=TRUE,(Skills!K15/10)*(E137/1000),Skills!K15/10)+Skills!N15</f>
        <v/>
      </c>
      <c r="G137">
        <f>Calc!G15</f>
        <v/>
      </c>
      <c r="H137">
        <f>Calc!H15</f>
        <v/>
      </c>
      <c r="I137">
        <f>IF(Skills!T15&lt;&gt;"",1+(Skills!T15/10)*($Z$3/1000)/100,1)</f>
        <v/>
      </c>
      <c r="J137">
        <f>((Inputs!$B$6*(1+Inputs!$B$7/100))+(((Inputs!$B$13*(1+Inputs!$B$14/100))-(Inputs!$B$13*(1+Inputs!$B$14/100)))+0.25*(Inputs!$B$15-Inputs!$B$15))*(1+Inputs!$B$7/100))*(F137/100)</f>
        <v/>
      </c>
      <c r="K137">
        <f>J137*(1+(((Inputs!$B$13+IF(Inputs!$B$3&gt;=35,(10*INDEX(FactorTable!$B$2:$Y$301, MATCH(ROUND(MIN(300,MAX(1,Inputs!$B$3)),0), FactorTable!$A$2:$A$301,0), 23)/1000)/100*((Inputs!$B$8+1)*(1+(Inputs!$B$9+B160)/100)),0))*(1+Inputs!$B$14/100))*0.01+Inputs!$B$15*0.0025)/100)*(1+(Inputs!$B$16+B154)/100)*(1+Inputs!$B$17/100)*(5000/(6000+Inputs!$B$43*(1-Inputs!$B$20/100)))*(1+Inputs!$B$25/100)*(1+IF(C140=TRUE,F140,0)/100)*(1+IF(C142=TRUE,F142,0)/100)*(1+IF(Skills!A15="TRIUMPH_FEATHER",IF(C138=TRUE,F138,0),0)/100)*(1+IF(C149=TRUE,F149,0)/100)^5*(1+(IF(Skills!A15="BIG_BANG",Inputs!$B$18,Inputs!$B$19))/100)*(B151*I137)</f>
        <v/>
      </c>
      <c r="L137">
        <f>K137*(MIN(Inputs!$B$23+(F144-Calc!F22),Inputs!$B$24)/100+Inputs!$B$24/100)/2</f>
        <v/>
      </c>
      <c r="M137">
        <f>L137*(1+(Inputs!$B$11+B155+(F147-Calc!F25))/100)</f>
        <v/>
      </c>
      <c r="N137">
        <f>L137*(1-MIN(Inputs!$B$10+((F146-Calc!F24)+(F145-Calc!F23)),100)/100)+M137*(MIN(Inputs!$B$10+((F146-Calc!F24)+(F145-Calc!F23)),100)/100)</f>
        <v/>
      </c>
      <c r="O137">
        <f>(1-Summary!$B$48)*S137+Summary!$B$48*U137</f>
        <v/>
      </c>
      <c r="P137">
        <f>IF(B164=0,0,O137/B164)</f>
        <v/>
      </c>
      <c r="Q137">
        <f>IFERROR(1/IF(Inputs!$B$39="pvp",15,MAX(0.1,Skills!D15-IF(Skills!E15=TRUE,Inputs!$B$33,0))),0)</f>
        <v/>
      </c>
      <c r="R137" t="n">
        <v>0</v>
      </c>
      <c r="S137">
        <f>IF(C137,(Skills!F15*N137*((IF(Inputs!$B$3&gt;=78,25,15)/100*B157*10)/(1+IF(Inputs!$B$3&gt;=78,25,15)/100*B157*10))*(Skills!I15/100*B157)/(1+Skills!G15*Skills!I15/100*B157))*IF(Inputs!$B$39="pvp",1,1+(Inputs!$B$21+Skills!O15+B152)/100),0)</f>
        <v/>
      </c>
      <c r="U137">
        <f>IF(C137,(Skills!F15*N137*((IF(Inputs!$B$3&gt;=78,25,15)/100*B157*10)/(1+IF(Inputs!$B$3&gt;=78,25,15)/100*B157*10))*(Skills!I15/100*B157)/(1+Skills!G15*Skills!I15/100*B157))*IF(Inputs!$B$39="pvp",1,(1+(Inputs!$B$22+Skills!P15+B153)/100)*(MIN(Skills!Q15,Inputs!$B$38))),0)</f>
        <v/>
      </c>
    </row>
    <row r="138">
      <c r="A138">
        <f>Skills!A16</f>
        <v/>
      </c>
      <c r="B138">
        <f>Skills!B16</f>
        <v/>
      </c>
      <c r="C138">
        <f>Inputs!$B$3&gt;=100</f>
        <v/>
      </c>
      <c r="D138">
        <f>IF(Skills!C16=1,60+Inputs!$B$26+Inputs!$B$30,IF(Skills!C16=2,90+Inputs!$B$27+Inputs!$B$30,IF(Skills!C16=3,120+Inputs!$B$28+Inputs!$B$30,MAX(0,(Inputs!$B$3-100)*3)+Inputs!$B$29+Inputs!$B$30)))</f>
        <v/>
      </c>
      <c r="E138">
        <f>INDEX(FactorTable!$B$2:$Y$301, MATCH(ROUND(MIN(300,MAX(1,D138)),0), FactorTable!$A$2:$A$301,0), Skills!L16+1)</f>
        <v/>
      </c>
      <c r="F138">
        <f>IF(Skills!M16=TRUE,(Skills!K16/10)*(E138/1000),Skills!K16/10)+Skills!N16</f>
        <v/>
      </c>
      <c r="G138">
        <f>Calc!G16</f>
        <v/>
      </c>
      <c r="H138">
        <f>Calc!H16</f>
        <v/>
      </c>
      <c r="I138">
        <f>IF(Skills!T16&lt;&gt;"",1+(Skills!T16/10)*($Z$3/1000)/100,1)</f>
        <v/>
      </c>
      <c r="J138" t="inlineStr"/>
      <c r="K138" t="inlineStr"/>
      <c r="L138" t="inlineStr"/>
      <c r="M138" t="inlineStr"/>
      <c r="N138" t="inlineStr"/>
      <c r="O138">
        <f>(1-Summary!$B$48)*S138+Summary!$B$48*U138</f>
        <v/>
      </c>
      <c r="P138">
        <f>IF(B164=0,0,O138/B164)</f>
        <v/>
      </c>
      <c r="Q138">
        <f>IFERROR(1/IF(Inputs!$B$39="pvp",15,MAX(0.1,Skills!D16-IF(Skills!E16=TRUE,Inputs!$B$33,0))),0)</f>
        <v/>
      </c>
      <c r="R138" t="n">
        <v>0</v>
      </c>
      <c r="S138" t="n">
        <v>0</v>
      </c>
      <c r="U138" t="n">
        <v>0</v>
      </c>
    </row>
    <row r="139">
      <c r="A139">
        <f>Skills!A17</f>
        <v/>
      </c>
      <c r="B139">
        <f>Skills!B17</f>
        <v/>
      </c>
      <c r="C139">
        <f>Inputs!$B$3&gt;=49</f>
        <v/>
      </c>
      <c r="D139">
        <f>IF(Skills!C17=1,60+Inputs!$B$26+Inputs!$B$30,IF(Skills!C17=2,90+Inputs!$B$27+Inputs!$B$30,IF(Skills!C17=3,120+Inputs!$B$28+Inputs!$B$30,MAX(0,(Inputs!$B$3-100)*3)+Inputs!$B$29+Inputs!$B$30)))</f>
        <v/>
      </c>
      <c r="E139">
        <f>INDEX(FactorTable!$B$2:$Y$301, MATCH(ROUND(MIN(300,MAX(1,D139)),0), FactorTable!$A$2:$A$301,0), Skills!L17+1)</f>
        <v/>
      </c>
      <c r="F139">
        <f>IF(Skills!M17=TRUE,(Skills!K17/10)*(E139/1000),Skills!K17/10)+Skills!N17</f>
        <v/>
      </c>
      <c r="G139">
        <f>Calc!G17</f>
        <v/>
      </c>
      <c r="H139">
        <f>Calc!H17</f>
        <v/>
      </c>
      <c r="I139">
        <f>IF(Skills!T17&lt;&gt;"",1+(Skills!T17/10)*($Z$3/1000)/100,1)</f>
        <v/>
      </c>
      <c r="J139" t="inlineStr"/>
      <c r="K139" t="inlineStr"/>
      <c r="L139" t="inlineStr"/>
      <c r="M139" t="inlineStr"/>
      <c r="N139" t="inlineStr"/>
      <c r="O139">
        <f>(1-Summary!$B$48)*S139+Summary!$B$48*U139</f>
        <v/>
      </c>
      <c r="P139">
        <f>IF(B164=0,0,O139/B164)</f>
        <v/>
      </c>
      <c r="Q139">
        <f>IFERROR(1/IF(Inputs!$B$39="pvp",15,MAX(0.1,Skills!D17-IF(Skills!E17=TRUE,Inputs!$B$33,0))),0)</f>
        <v/>
      </c>
      <c r="R139" t="n">
        <v>0</v>
      </c>
      <c r="S139" t="n">
        <v>0</v>
      </c>
      <c r="U139" t="n">
        <v>0</v>
      </c>
    </row>
    <row r="140">
      <c r="A140">
        <f>Skills!A18</f>
        <v/>
      </c>
      <c r="B140">
        <f>Skills!B18</f>
        <v/>
      </c>
      <c r="C140">
        <f>Inputs!$B$3&gt;=75</f>
        <v/>
      </c>
      <c r="D140">
        <f>IF(Skills!C18=1,60+Inputs!$B$26+Inputs!$B$30,IF(Skills!C18=2,90+Inputs!$B$27+Inputs!$B$30,IF(Skills!C18=3,120+Inputs!$B$28+Inputs!$B$30,MAX(0,(Inputs!$B$3-100)*3)+Inputs!$B$29+Inputs!$B$30)))</f>
        <v/>
      </c>
      <c r="E140">
        <f>INDEX(FactorTable!$B$2:$Y$301, MATCH(ROUND(MIN(300,MAX(1,D140)),0), FactorTable!$A$2:$A$301,0), Skills!L18+1)</f>
        <v/>
      </c>
      <c r="F140">
        <f>IF(Skills!M18=TRUE,(Skills!K18/10)*(E140/1000),Skills!K18/10)+Skills!N18</f>
        <v/>
      </c>
      <c r="G140">
        <f>Calc!G18</f>
        <v/>
      </c>
      <c r="H140">
        <f>Calc!H18</f>
        <v/>
      </c>
      <c r="I140">
        <f>IF(Skills!T18&lt;&gt;"",1+(Skills!T18/10)*($Z$3/1000)/100,1)</f>
        <v/>
      </c>
      <c r="J140" t="inlineStr"/>
      <c r="K140" t="inlineStr"/>
      <c r="L140" t="inlineStr"/>
      <c r="M140" t="inlineStr"/>
      <c r="N140" t="inlineStr"/>
      <c r="O140">
        <f>(1-Summary!$B$48)*S140+Summary!$B$48*U140</f>
        <v/>
      </c>
      <c r="P140">
        <f>IF(B164=0,0,O140/B164)</f>
        <v/>
      </c>
      <c r="Q140">
        <f>IFERROR(1/IF(Inputs!$B$39="pvp",15,MAX(0.1,Skills!D18-IF(Skills!E18=TRUE,Inputs!$B$33,0))),0)</f>
        <v/>
      </c>
      <c r="R140" t="n">
        <v>0</v>
      </c>
      <c r="S140" t="n">
        <v>0</v>
      </c>
      <c r="U140" t="n">
        <v>0</v>
      </c>
    </row>
    <row r="141">
      <c r="A141">
        <f>Skills!A19</f>
        <v/>
      </c>
      <c r="B141">
        <f>Skills!B19</f>
        <v/>
      </c>
      <c r="C141">
        <f>Inputs!$B$3&gt;=110</f>
        <v/>
      </c>
      <c r="D141">
        <f>IF(Skills!C19=1,60+Inputs!$B$26+Inputs!$B$30,IF(Skills!C19=2,90+Inputs!$B$27+Inputs!$B$30,IF(Skills!C19=3,120+Inputs!$B$28+Inputs!$B$30,MAX(0,(Inputs!$B$3-100)*3)+Inputs!$B$29+Inputs!$B$30)))</f>
        <v/>
      </c>
      <c r="E141">
        <f>INDEX(FactorTable!$B$2:$Y$301, MATCH(ROUND(MIN(300,MAX(1,D141)),0), FactorTable!$A$2:$A$301,0), Skills!L19+1)</f>
        <v/>
      </c>
      <c r="F141">
        <f>(Skills!K19/10)*(E141/1000)*64/45+Skills!N19</f>
        <v/>
      </c>
      <c r="G141">
        <f>Calc!G19</f>
        <v/>
      </c>
      <c r="H141">
        <f>Calc!H19</f>
        <v/>
      </c>
      <c r="I141">
        <f>IF(Skills!T19&lt;&gt;"",1+(Skills!T19/10)*($Z$3/1000)/100,1)</f>
        <v/>
      </c>
      <c r="J141" t="inlineStr"/>
      <c r="K141" t="inlineStr"/>
      <c r="L141" t="inlineStr"/>
      <c r="M141" t="inlineStr"/>
      <c r="N141" t="inlineStr"/>
      <c r="O141">
        <f>(1-Summary!$B$48)*S141+Summary!$B$48*U141</f>
        <v/>
      </c>
      <c r="P141">
        <f>IF(B164=0,0,O141/B164)</f>
        <v/>
      </c>
      <c r="Q141">
        <f>IFERROR(1/IF(Inputs!$B$39="pvp",15,MAX(0.1,Skills!D19-IF(Skills!E19=TRUE,Inputs!$B$33,0))),0)</f>
        <v/>
      </c>
      <c r="R141">
        <f>IF(AND(Inputs!$B$39&lt;&gt;"pvp",Inputs!$B$44&gt;0),IF(Inputs!$B$44&lt;=0,0,(INT(Inputs!$B$44/IF(Inputs!$B$39="pvp",15,MAX(0.1,Skills!D19-IF(Skills!E19=TRUE,Inputs!$B$33,0))))+1)),0)</f>
        <v/>
      </c>
      <c r="S141" t="n">
        <v>0</v>
      </c>
      <c r="U141" t="n">
        <v>0</v>
      </c>
    </row>
    <row r="142">
      <c r="A142">
        <f>Skills!A20</f>
        <v/>
      </c>
      <c r="B142">
        <f>Skills!B20</f>
        <v/>
      </c>
      <c r="C142">
        <f>Inputs!$B$3&gt;=125</f>
        <v/>
      </c>
      <c r="D142">
        <f>IF(Skills!C20=1,60+Inputs!$B$26+Inputs!$B$30,IF(Skills!C20=2,90+Inputs!$B$27+Inputs!$B$30,IF(Skills!C20=3,120+Inputs!$B$28+Inputs!$B$30,MAX(0,(Inputs!$B$3-100)*3)+Inputs!$B$29+Inputs!$B$30)))</f>
        <v/>
      </c>
      <c r="E142">
        <f>INDEX(FactorTable!$B$2:$Y$301, MATCH(ROUND(MIN(300,MAX(1,D142)),0), FactorTable!$A$2:$A$301,0), Skills!L20+1)</f>
        <v/>
      </c>
      <c r="F142">
        <f>IF(Skills!M20=TRUE,(Skills!K20/10)*(E142/1000),Skills!K20/10)+Skills!N20</f>
        <v/>
      </c>
      <c r="G142">
        <f>Calc!G20</f>
        <v/>
      </c>
      <c r="H142">
        <f>Calc!H20</f>
        <v/>
      </c>
      <c r="I142">
        <f>IF(Skills!T20&lt;&gt;"",1+(Skills!T20/10)*($Z$3/1000)/100,1)</f>
        <v/>
      </c>
      <c r="J142" t="inlineStr"/>
      <c r="K142" t="inlineStr"/>
      <c r="L142" t="inlineStr"/>
      <c r="M142" t="inlineStr"/>
      <c r="N142" t="inlineStr"/>
      <c r="O142">
        <f>(1-Summary!$B$48)*S142+Summary!$B$48*U142</f>
        <v/>
      </c>
      <c r="P142">
        <f>IF(B164=0,0,O142/B164)</f>
        <v/>
      </c>
      <c r="Q142">
        <f>IFERROR(1/IF(Inputs!$B$39="pvp",15,MAX(0.1,Skills!D20-IF(Skills!E20=TRUE,Inputs!$B$33,0))),0)</f>
        <v/>
      </c>
      <c r="R142" t="n">
        <v>0</v>
      </c>
      <c r="S142" t="n">
        <v>0</v>
      </c>
      <c r="U142" t="n">
        <v>0</v>
      </c>
    </row>
    <row r="143">
      <c r="A143">
        <f>Skills!A21</f>
        <v/>
      </c>
      <c r="B143">
        <f>Skills!B21</f>
        <v/>
      </c>
      <c r="C143">
        <f>Inputs!$B$3&gt;=33</f>
        <v/>
      </c>
      <c r="D143">
        <f>IF(Skills!C21=1,60+Inputs!$B$26+Inputs!$B$30,IF(Skills!C21=2,90+Inputs!$B$27+Inputs!$B$30,IF(Skills!C21=3,120+Inputs!$B$28+Inputs!$B$30,MAX(0,(Inputs!$B$3-100)*3)+Inputs!$B$29+Inputs!$B$30)))</f>
        <v/>
      </c>
      <c r="E143">
        <f>INDEX(FactorTable!$B$2:$Y$301, MATCH(ROUND(MIN(300,MAX(1,D143)),0), FactorTable!$A$2:$A$301,0), Skills!L21+1)</f>
        <v/>
      </c>
      <c r="F143">
        <f>IF(Skills!M21=TRUE,(Skills!K21/10)*(E143/1000),Skills!K21/10)+Skills!N21</f>
        <v/>
      </c>
      <c r="G143">
        <f>Calc!G21</f>
        <v/>
      </c>
      <c r="H143">
        <f>Calc!H21</f>
        <v/>
      </c>
      <c r="I143">
        <f>IF(Skills!T21&lt;&gt;"",1+(Skills!T21/10)*($Z$3/1000)/100,1)</f>
        <v/>
      </c>
      <c r="J143" t="inlineStr"/>
      <c r="K143" t="inlineStr"/>
      <c r="L143" t="inlineStr"/>
      <c r="M143" t="inlineStr"/>
      <c r="N143" t="inlineStr"/>
      <c r="O143">
        <f>(1-Summary!$B$48)*S143+Summary!$B$48*U143</f>
        <v/>
      </c>
      <c r="P143">
        <f>IF(B164=0,0,O143/B164)</f>
        <v/>
      </c>
      <c r="Q143">
        <f>IFERROR(1/IF(Inputs!$B$39="pvp",15,MAX(0.1,Skills!D21-IF(Skills!E21=TRUE,Inputs!$B$33,0))),0)</f>
        <v/>
      </c>
      <c r="R143" t="n">
        <v>0</v>
      </c>
      <c r="S143" t="n">
        <v>0</v>
      </c>
      <c r="U143" t="n">
        <v>0</v>
      </c>
    </row>
    <row r="144">
      <c r="A144">
        <f>Skills!A22</f>
        <v/>
      </c>
      <c r="B144">
        <f>Skills!B22</f>
        <v/>
      </c>
      <c r="C144">
        <f>Inputs!$B$3&gt;=43</f>
        <v/>
      </c>
      <c r="D144">
        <f>IF(Skills!C22=1,60+Inputs!$B$26+Inputs!$B$30,IF(Skills!C22=2,90+Inputs!$B$27+Inputs!$B$30,IF(Skills!C22=3,120+Inputs!$B$28+Inputs!$B$30,MAX(0,(Inputs!$B$3-100)*3)+Inputs!$B$29+Inputs!$B$30)))</f>
        <v/>
      </c>
      <c r="E144">
        <f>INDEX(FactorTable!$B$2:$Y$301, MATCH(ROUND(MIN(300,MAX(1,D144)),0), FactorTable!$A$2:$A$301,0), Skills!L22+1)</f>
        <v/>
      </c>
      <c r="F144">
        <f>IF(Skills!M22=TRUE,(Skills!K22/10)*(E144/1000),Skills!K22/10)+Skills!N22</f>
        <v/>
      </c>
      <c r="G144">
        <f>Calc!G22</f>
        <v/>
      </c>
      <c r="H144">
        <f>Calc!H22</f>
        <v/>
      </c>
      <c r="I144">
        <f>IF(Skills!T22&lt;&gt;"",1+(Skills!T22/10)*($Z$3/1000)/100,1)</f>
        <v/>
      </c>
      <c r="J144" t="inlineStr"/>
      <c r="K144" t="inlineStr"/>
      <c r="L144" t="inlineStr"/>
      <c r="M144" t="inlineStr"/>
      <c r="N144" t="inlineStr"/>
      <c r="O144">
        <f>(1-Summary!$B$48)*S144+Summary!$B$48*U144</f>
        <v/>
      </c>
      <c r="P144">
        <f>IF(B164=0,0,O144/B164)</f>
        <v/>
      </c>
      <c r="Q144">
        <f>IFERROR(1/IF(Inputs!$B$39="pvp",15,MAX(0.1,Skills!D22-IF(Skills!E22=TRUE,Inputs!$B$33,0))),0)</f>
        <v/>
      </c>
      <c r="R144" t="n">
        <v>0</v>
      </c>
      <c r="S144" t="n">
        <v>0</v>
      </c>
      <c r="U144" t="n">
        <v>0</v>
      </c>
    </row>
    <row r="145">
      <c r="A145">
        <f>Skills!A23</f>
        <v/>
      </c>
      <c r="B145">
        <f>Skills!B23</f>
        <v/>
      </c>
      <c r="C145">
        <f>Inputs!$B$3&gt;=50</f>
        <v/>
      </c>
      <c r="D145">
        <f>IF(Skills!C23=1,60+Inputs!$B$26+Inputs!$B$30,IF(Skills!C23=2,90+Inputs!$B$27+Inputs!$B$30,IF(Skills!C23=3,120+Inputs!$B$28+Inputs!$B$30,MAX(0,(Inputs!$B$3-100)*3)+Inputs!$B$29+Inputs!$B$30)))</f>
        <v/>
      </c>
      <c r="E145">
        <f>INDEX(FactorTable!$B$2:$Y$301, MATCH(ROUND(MIN(300,MAX(1,D145)),0), FactorTable!$A$2:$A$301,0), Skills!L23+1)</f>
        <v/>
      </c>
      <c r="F145">
        <f>IF(Skills!M23=TRUE,(Skills!K23/10)*(E145/1000),Skills!K23/10)+Skills!N23</f>
        <v/>
      </c>
      <c r="G145">
        <f>Calc!G23</f>
        <v/>
      </c>
      <c r="H145">
        <f>Calc!H23</f>
        <v/>
      </c>
      <c r="I145">
        <f>IF(Skills!T23&lt;&gt;"",1+(Skills!T23/10)*($Z$3/1000)/100,1)</f>
        <v/>
      </c>
      <c r="J145" t="inlineStr"/>
      <c r="K145" t="inlineStr"/>
      <c r="L145" t="inlineStr"/>
      <c r="M145" t="inlineStr"/>
      <c r="N145" t="inlineStr"/>
      <c r="O145">
        <f>(1-Summary!$B$48)*S145+Summary!$B$48*U145</f>
        <v/>
      </c>
      <c r="P145">
        <f>IF(B164=0,0,O145/B164)</f>
        <v/>
      </c>
      <c r="Q145">
        <f>IFERROR(1/IF(Inputs!$B$39="pvp",15,MAX(0.1,Skills!D23-IF(Skills!E23=TRUE,Inputs!$B$33,0))),0)</f>
        <v/>
      </c>
      <c r="R145" t="n">
        <v>0</v>
      </c>
      <c r="S145" t="n">
        <v>0</v>
      </c>
      <c r="U145" t="n">
        <v>0</v>
      </c>
    </row>
    <row r="146">
      <c r="A146">
        <f>Skills!A24</f>
        <v/>
      </c>
      <c r="B146">
        <f>Skills!B24</f>
        <v/>
      </c>
      <c r="C146">
        <f>Inputs!$B$3&gt;=74</f>
        <v/>
      </c>
      <c r="D146">
        <f>IF(Skills!C24=1,60+Inputs!$B$26+Inputs!$B$30,IF(Skills!C24=2,90+Inputs!$B$27+Inputs!$B$30,IF(Skills!C24=3,120+Inputs!$B$28+Inputs!$B$30,MAX(0,(Inputs!$B$3-100)*3)+Inputs!$B$29+Inputs!$B$30)))</f>
        <v/>
      </c>
      <c r="E146">
        <f>INDEX(FactorTable!$B$2:$Y$301, MATCH(ROUND(MIN(300,MAX(1,D146)),0), FactorTable!$A$2:$A$301,0), Skills!L24+1)</f>
        <v/>
      </c>
      <c r="F146">
        <f>IF(Skills!M24=TRUE,(Skills!K24/10)*(E146/1000),Skills!K24/10)+Skills!N24</f>
        <v/>
      </c>
      <c r="G146">
        <f>Calc!G24</f>
        <v/>
      </c>
      <c r="H146">
        <f>Calc!H24</f>
        <v/>
      </c>
      <c r="I146">
        <f>IF(Skills!T24&lt;&gt;"",1+(Skills!T24/10)*($Z$3/1000)/100,1)</f>
        <v/>
      </c>
      <c r="J146" t="inlineStr"/>
      <c r="K146" t="inlineStr"/>
      <c r="L146" t="inlineStr"/>
      <c r="M146" t="inlineStr"/>
      <c r="N146" t="inlineStr"/>
      <c r="O146">
        <f>(1-Summary!$B$48)*S146+Summary!$B$48*U146</f>
        <v/>
      </c>
      <c r="P146">
        <f>IF(B164=0,0,O146/B164)</f>
        <v/>
      </c>
      <c r="Q146">
        <f>IFERROR(1/IF(Inputs!$B$39="pvp",15,MAX(0.1,Skills!D24-IF(Skills!E24=TRUE,Inputs!$B$33,0))),0)</f>
        <v/>
      </c>
      <c r="R146" t="n">
        <v>0</v>
      </c>
      <c r="S146" t="n">
        <v>0</v>
      </c>
      <c r="U146" t="n">
        <v>0</v>
      </c>
    </row>
    <row r="147">
      <c r="A147">
        <f>Skills!A25</f>
        <v/>
      </c>
      <c r="B147">
        <f>Skills!B25</f>
        <v/>
      </c>
      <c r="C147">
        <f>Inputs!$B$3&gt;=74</f>
        <v/>
      </c>
      <c r="D147">
        <f>IF(Skills!C25=1,60+Inputs!$B$26+Inputs!$B$30,IF(Skills!C25=2,90+Inputs!$B$27+Inputs!$B$30,IF(Skills!C25=3,120+Inputs!$B$28+Inputs!$B$30,MAX(0,(Inputs!$B$3-100)*3)+Inputs!$B$29+Inputs!$B$30)))</f>
        <v/>
      </c>
      <c r="E147">
        <f>INDEX(FactorTable!$B$2:$Y$301, MATCH(ROUND(MIN(300,MAX(1,D147)),0), FactorTable!$A$2:$A$301,0), Skills!L25+1)</f>
        <v/>
      </c>
      <c r="F147">
        <f>IF(Skills!M25=TRUE,(Skills!K25/10)*(E147/1000),Skills!K25/10)+Skills!N25</f>
        <v/>
      </c>
      <c r="G147">
        <f>Calc!G25</f>
        <v/>
      </c>
      <c r="H147">
        <f>Calc!H25</f>
        <v/>
      </c>
      <c r="I147">
        <f>IF(Skills!T25&lt;&gt;"",1+(Skills!T25/10)*($Z$3/1000)/100,1)</f>
        <v/>
      </c>
      <c r="J147" t="inlineStr"/>
      <c r="K147" t="inlineStr"/>
      <c r="L147" t="inlineStr"/>
      <c r="M147" t="inlineStr"/>
      <c r="N147" t="inlineStr"/>
      <c r="O147">
        <f>(1-Summary!$B$48)*S147+Summary!$B$48*U147</f>
        <v/>
      </c>
      <c r="P147">
        <f>IF(B164=0,0,O147/B164)</f>
        <v/>
      </c>
      <c r="Q147">
        <f>IFERROR(1/IF(Inputs!$B$39="pvp",15,MAX(0.1,Skills!D25-IF(Skills!E25=TRUE,Inputs!$B$33,0))),0)</f>
        <v/>
      </c>
      <c r="R147" t="n">
        <v>0</v>
      </c>
      <c r="S147" t="n">
        <v>0</v>
      </c>
      <c r="U147" t="n">
        <v>0</v>
      </c>
    </row>
    <row r="148">
      <c r="A148">
        <f>Skills!A26</f>
        <v/>
      </c>
      <c r="B148">
        <f>Skills!B26</f>
        <v/>
      </c>
      <c r="C148">
        <f>Inputs!$B$3&gt;=117</f>
        <v/>
      </c>
      <c r="D148">
        <f>IF(Skills!C26=1,60+Inputs!$B$26+Inputs!$B$30,IF(Skills!C26=2,90+Inputs!$B$27+Inputs!$B$30,IF(Skills!C26=3,120+Inputs!$B$28+Inputs!$B$30,MAX(0,(Inputs!$B$3-100)*3)+Inputs!$B$29+Inputs!$B$30)))</f>
        <v/>
      </c>
      <c r="E148">
        <f>INDEX(FactorTable!$B$2:$Y$301, MATCH(ROUND(MIN(300,MAX(1,D148)),0), FactorTable!$A$2:$A$301,0), Skills!L26+1)</f>
        <v/>
      </c>
      <c r="F148">
        <f>IF(Skills!M26=TRUE,(Skills!K26/10)*(E148/1000),Skills!K26/10)+Skills!N26</f>
        <v/>
      </c>
      <c r="G148">
        <f>Calc!G26</f>
        <v/>
      </c>
      <c r="H148">
        <f>Calc!H26</f>
        <v/>
      </c>
      <c r="I148">
        <f>IF(Skills!T26&lt;&gt;"",1+(Skills!T26/10)*($Z$3/1000)/100,1)</f>
        <v/>
      </c>
      <c r="J148" t="inlineStr"/>
      <c r="K148" t="inlineStr"/>
      <c r="L148" t="inlineStr"/>
      <c r="M148" t="inlineStr"/>
      <c r="N148" t="inlineStr"/>
      <c r="O148">
        <f>(1-Summary!$B$48)*S148+Summary!$B$48*U148</f>
        <v/>
      </c>
      <c r="P148">
        <f>IF(B164=0,0,O148/B164)</f>
        <v/>
      </c>
      <c r="Q148">
        <f>IFERROR(1/IF(Inputs!$B$39="pvp",15,MAX(0.1,Skills!D26-IF(Skills!E26=TRUE,Inputs!$B$33,0))),0)</f>
        <v/>
      </c>
      <c r="R148" t="n">
        <v>0</v>
      </c>
      <c r="S148" t="n">
        <v>0</v>
      </c>
      <c r="U148" t="n">
        <v>0</v>
      </c>
    </row>
    <row r="149">
      <c r="A149">
        <f>Skills!A27</f>
        <v/>
      </c>
      <c r="B149">
        <f>Skills!B27</f>
        <v/>
      </c>
      <c r="C149">
        <f>Inputs!$B$3&gt;=120</f>
        <v/>
      </c>
      <c r="D149">
        <f>IF(Skills!C27=1,60+Inputs!$B$26+Inputs!$B$30,IF(Skills!C27=2,90+Inputs!$B$27+Inputs!$B$30,IF(Skills!C27=3,120+Inputs!$B$28+Inputs!$B$30,MAX(0,(Inputs!$B$3-100)*3)+Inputs!$B$29+Inputs!$B$30)))</f>
        <v/>
      </c>
      <c r="E149">
        <f>INDEX(FactorTable!$B$2:$Y$301, MATCH(ROUND(MIN(300,MAX(1,D149)),0), FactorTable!$A$2:$A$301,0), Skills!L27+1)</f>
        <v/>
      </c>
      <c r="F149">
        <f>IF(Skills!M27=TRUE,(Skills!K27/10)*(E149/1000),Skills!K27/10)+Skills!N27</f>
        <v/>
      </c>
      <c r="G149">
        <f>Calc!G27</f>
        <v/>
      </c>
      <c r="H149">
        <f>Calc!H27</f>
        <v/>
      </c>
      <c r="I149">
        <f>IF(Skills!T27&lt;&gt;"",1+(Skills!T27/10)*($Z$3/1000)/100,1)</f>
        <v/>
      </c>
      <c r="J149" t="inlineStr"/>
      <c r="K149" t="inlineStr"/>
      <c r="L149" t="inlineStr"/>
      <c r="M149" t="inlineStr"/>
      <c r="N149" t="inlineStr"/>
      <c r="O149">
        <f>(1-Summary!$B$48)*S149+Summary!$B$48*U149</f>
        <v/>
      </c>
      <c r="P149">
        <f>IF(B164=0,0,O149/B164)</f>
        <v/>
      </c>
      <c r="Q149">
        <f>IFERROR(1/IF(Inputs!$B$39="pvp",15,MAX(0.1,Skills!D27-IF(Skills!E27=TRUE,Inputs!$B$33,0))),0)</f>
        <v/>
      </c>
      <c r="R149" t="n">
        <v>0</v>
      </c>
      <c r="S149" t="n">
        <v>0</v>
      </c>
      <c r="U149" t="n">
        <v>0</v>
      </c>
    </row>
    <row r="151">
      <c r="A151" t="inlineStr">
        <is>
          <t>Average Buff Multiplier</t>
        </is>
      </c>
      <c r="B151">
        <f>(1+(IF(C125=TRUE,F125*IF(AND(Inputs!$B$39&lt;&gt;"pvp",Inputs!$B$44&gt;0),(((R125-1)*(Skills!S3*(1+(Inputs!$B$35+IF(Inputs!$B$3&gt;=117,F148,0))/100))+MIN((Skills!S3*(1+(Inputs!$B$35+IF(Inputs!$B$3&gt;=117,F148,0))/100)),MAX(0,Inputs!$B$44-((R125-1)*Skills!D3))))/Inputs!$B$44),IF(Inputs!$B$39="pvp",MIN((Skills!S3*(1+(Inputs!$B$35+IF(Inputs!$B$3&gt;=117,F148,0))/100)),15)/15,(Skills!S3*(1+(Inputs!$B$35+IF(Inputs!$B$3&gt;=117,F148,0))/100))/Skills!D3)),0)+IF(C126=TRUE,F126*IF(AND(Inputs!$B$39&lt;&gt;"pvp",Inputs!$B$44&gt;0),(((R126-1)*(Skills!S4*(1+(Inputs!$B$35+IF(Inputs!$B$3&gt;=117,F148,0))/100))+MIN((Skills!S4*(1+(Inputs!$B$35+IF(Inputs!$B$3&gt;=117,F148,0))/100)),MAX(0,Inputs!$B$44-((R126-1)*Skills!D4))))/Inputs!$B$44),IF(Inputs!$B$39="pvp",MIN((Skills!S4*(1+(Inputs!$B$35+IF(Inputs!$B$3&gt;=117,F148,0))/100)),15)/15,(Skills!S4*(1+(Inputs!$B$35+IF(Inputs!$B$3&gt;=117,F148,0))/100))/Skills!D4)),0)+IF(C127=TRUE,F127*IF(AND(Inputs!$B$39&lt;&gt;"pvp",Inputs!$B$44&gt;0),(((R127-1)*(Skills!S5*(1+(Inputs!$B$35+IF(Inputs!$B$3&gt;=117,F148,0))/100))+MIN((Skills!S5*(1+(Inputs!$B$35+IF(Inputs!$B$3&gt;=117,F148,0))/100)),MAX(0,Inputs!$B$44-((R127-1)*Skills!D5))))/Inputs!$B$44),IF(Inputs!$B$39="pvp",MIN((Skills!S5*(1+(Inputs!$B$35+IF(Inputs!$B$3&gt;=117,F148,0))/100)),15)/15,(Skills!S5*(1+(Inputs!$B$35+IF(Inputs!$B$3&gt;=117,F148,0))/100))/Skills!D5)),0)+IF(C133=TRUE,F133*IF(AND(Inputs!$B$39&lt;&gt;"pvp",Inputs!$B$44&gt;0),(((R133-1)*(Skills!S11*(1+(Inputs!$B$35+IF(Inputs!$B$3&gt;=117,F148,0))/100))+MIN((Skills!S11*(1+(Inputs!$B$35+IF(Inputs!$B$3&gt;=117,F148,0))/100)),MAX(0,Inputs!$B$44-((R133-1)*Skills!D11))))/Inputs!$B$44),IF(Inputs!$B$39="pvp",MIN((Skills!S11*(1+(Inputs!$B$35+IF(Inputs!$B$3&gt;=117,F148,0))/100)),15)/15,(Skills!S11*(1+(Inputs!$B$35+IF(Inputs!$B$3&gt;=117,F148,0))/100))/Skills!D11)),0))/100)*IF(C136=TRUE,(1+F136*IF(AND(Inputs!$B$39&lt;&gt;"pvp",Inputs!$B$44&gt;0),(((R136-1)*(Skills!S14*(1+(Inputs!$B$35+IF(Inputs!$B$3&gt;=117,F148,0))/100))+MIN((Skills!S14*(1+(Inputs!$B$35+IF(Inputs!$B$3&gt;=117,F148,0))/100)),MAX(0,Inputs!$B$44-((R136-1)*Skills!D14))))/Inputs!$B$44),IF(Inputs!$B$39="pvp",MIN((Skills!S14*(1+(Inputs!$B$35+IF(Inputs!$B$3&gt;=117,F148,0))/100)),15)/15,(Skills!S14*(1+(Inputs!$B$35+IF(Inputs!$B$3&gt;=117,F148,0))/100))/Skills!D14))/100),1)*IF(C141=TRUE,(1+F141*IF(AND(Inputs!$B$39&lt;&gt;"pvp",Inputs!$B$44&gt;0),(((R141-1)*(Skills!S19*(1+(Inputs!$B$35+IF(Inputs!$B$3&gt;=117,F148,0))/100))+MIN((Skills!S19*(1+(Inputs!$B$35+IF(Inputs!$B$3&gt;=117,F148,0))/100)),MAX(0,Inputs!$B$44-((R141-1)*Skills!D19))))/Inputs!$B$44),IF(Inputs!$B$39="pvp",MIN((Skills!S19*(1+(Inputs!$B$35+IF(Inputs!$B$3&gt;=117,F148,0))/100)),15)/15,(Skills!S19*(1+(Inputs!$B$35+IF(Inputs!$B$3&gt;=117,F148,0))/100))/Skills!D19))/100),1)</f>
        <v/>
      </c>
    </row>
    <row r="152">
      <c r="A152" t="inlineStr">
        <is>
          <t>Monster Damage Taken Bonus % (Holy Fountain)</t>
        </is>
      </c>
      <c r="B152">
        <f>IF(Inputs!$B$3&gt;=68,20*IF(Inputs!$B$39="pvp",MIN((15*(1+(Inputs!$B$35+IF(Inputs!$B$3&gt;=117,F148,0))/100)),15)/15,(15*(1+(Inputs!$B$35+IF(Inputs!$B$3&gt;=117,F148,0))/100))/Skills!D10),0)</f>
        <v/>
      </c>
    </row>
    <row r="153">
      <c r="A153" t="inlineStr">
        <is>
          <t>Normal Monster Damage Bonus % (Holy Symbol)</t>
        </is>
      </c>
      <c r="B153">
        <f>IF(C134=TRUE,F134*IF(AND(Inputs!$B$39&lt;&gt;"pvp",Inputs!$B$44&gt;0),(((R134-1)*(Skills!S12*(1+(Inputs!$B$35+IF(Inputs!$B$3&gt;=117,F148,0))/100))+MIN((Skills!S12*(1+(Inputs!$B$35+IF(Inputs!$B$3&gt;=117,F148,0))/100)),MAX(0,Inputs!$B$44-((R134-1)*Skills!D12))))/Inputs!$B$44),IF(Inputs!$B$39="pvp",MIN((Skills!S12*(1+(Inputs!$B$35+IF(Inputs!$B$3&gt;=117,F148,0))/100)),15)/15,(Skills!S12*(1+(Inputs!$B$35+IF(Inputs!$B$3&gt;=117,F148,0))/100))/Skills!D12)),0)</f>
        <v/>
      </c>
    </row>
    <row r="154">
      <c r="A154" t="inlineStr">
        <is>
          <t>Damage % Bonus (Holy Symbol - Damage Boost)</t>
        </is>
      </c>
      <c r="B154">
        <f>Skills!O12</f>
        <v/>
      </c>
    </row>
    <row r="155">
      <c r="A155" t="inlineStr">
        <is>
          <t>Crit Damage % Bonus (Blood of the Divine)</t>
        </is>
      </c>
      <c r="B155">
        <f>4*IF(C142=TRUE,F142,0)</f>
        <v/>
      </c>
    </row>
    <row r="156">
      <c r="A156" t="inlineStr">
        <is>
          <t>Attack Speed Bonus %</t>
        </is>
      </c>
      <c r="B156">
        <f>IF(C139=TRUE,F139+(F143-Calc!F21),0)+IF(Inputs!$B$3&gt;=134,15,0)</f>
        <v/>
      </c>
    </row>
    <row r="157">
      <c r="A157" t="inlineStr">
        <is>
          <t>Actions Per Second</t>
        </is>
      </c>
      <c r="B157">
        <f>1+MIN(150,150*(1-(1-Inputs!$B$12/150)*(1-B156/150)))/100</f>
        <v/>
      </c>
    </row>
    <row r="158">
      <c r="A158" t="inlineStr">
        <is>
          <t>Skill + Buff Cast Rate</t>
        </is>
      </c>
      <c r="B158">
        <f>IF(AND(Inputs!$B$39&lt;&gt;"pvp",Inputs!$B$44&gt;0),SUMPRODUCT((Skills!E2:E27=TRUE)*(C124:C149=TRUE)*R124:R149)/Inputs!$B$44,SUMPRODUCT((Skills!E2:E27=TRUE)*(C124:C149=TRUE)*Q124:Q149))</f>
        <v/>
      </c>
    </row>
    <row r="159">
      <c r="A159" t="inlineStr">
        <is>
          <t>Big Bang Casts Per Second</t>
        </is>
      </c>
      <c r="B159">
        <f>MAX(0,B157-B158)</f>
        <v/>
      </c>
    </row>
    <row r="160">
      <c r="A160" t="inlineStr">
        <is>
          <t>Defense % Bonus (Divine Protection)</t>
        </is>
      </c>
      <c r="B160">
        <f>IF(C135=TRUE,F135*IF(AND(Inputs!$B$39&lt;&gt;"pvp",Inputs!$B$44&gt;0),(((R135-1)*(Skills!S13*(1+(Inputs!$B$35+IF(Inputs!$B$3&gt;=117,F148,0))/100))+MIN((Skills!S13*(1+(Inputs!$B$35+IF(Inputs!$B$3&gt;=117,F148,0))/100)),MAX(0,Inputs!$B$44-((R135-1)*Skills!D13))))/Inputs!$B$44),IF(Inputs!$B$39="pvp",MIN((Skills!S13*(1+(Inputs!$B$35+IF(Inputs!$B$3&gt;=117,F148,0))/100)),15)/15,(Skills!S13*(1+(Inputs!$B$35+IF(Inputs!$B$3&gt;=117,F148,0))/100))/Skills!D13)),0)</f>
        <v/>
      </c>
    </row>
    <row r="161">
      <c r="A161" t="inlineStr">
        <is>
          <t>Buff-Casting Startup Delay (s, fixed-duration only)</t>
        </is>
      </c>
      <c r="B161">
        <f>IF(AND(Inputs!$B$39&lt;&gt;"pvp",Inputs!$B$44&gt;0),SUMPRODUCT((Skills!S2:S27&gt;0)*(Skills!E2:E27=TRUE)*(C124:C149=TRUE))/B157,0)</f>
        <v/>
      </c>
    </row>
    <row r="162">
      <c r="A162" t="inlineStr">
        <is>
          <t>Boss-Only Total DPS (this block's swept value)</t>
        </is>
      </c>
      <c r="B162">
        <f>SUM(S124:S149)</f>
        <v/>
      </c>
    </row>
    <row r="163">
      <c r="A163" t="inlineStr">
        <is>
          <t>Normal-Only Total DPS (this block's swept value)</t>
        </is>
      </c>
      <c r="B163">
        <f>SUM(U124:U149)</f>
        <v/>
      </c>
    </row>
    <row r="164">
      <c r="A164" s="5" t="inlineStr">
        <is>
          <t>TOTAL DPS</t>
        </is>
      </c>
      <c r="B164" s="5">
        <f>SUM(O124:O149)</f>
        <v/>
      </c>
    </row>
    <row r="166">
      <c r="A166" s="5" t="inlineStr">
        <is>
          <t>Stat: Defense %</t>
        </is>
      </c>
    </row>
    <row r="167">
      <c r="A167" s="9" t="inlineStr">
        <is>
          <t>Key</t>
        </is>
      </c>
      <c r="B167" s="9" t="inlineStr">
        <is>
          <t>Name</t>
        </is>
      </c>
      <c r="C167" s="9" t="inlineStr">
        <is>
          <t>Unlocked</t>
        </is>
      </c>
      <c r="D167" s="9" t="inlineStr">
        <is>
          <t>InputLevel</t>
        </is>
      </c>
      <c r="E167" s="9" t="inlineStr">
        <is>
          <t>Factor</t>
        </is>
      </c>
      <c r="F167" s="9" t="inlineStr">
        <is>
          <t>CoefficientPercent</t>
        </is>
      </c>
      <c r="G167" s="9" t="inlineStr">
        <is>
          <t>EffectiveHits</t>
        </is>
      </c>
      <c r="H167" s="9" t="inlineStr">
        <is>
          <t>ProcProbability</t>
        </is>
      </c>
      <c r="I167" s="9" t="inlineStr">
        <is>
          <t>MapleHeroMultiplier</t>
        </is>
      </c>
      <c r="J167" s="9" t="inlineStr">
        <is>
          <t>BaseDamage</t>
        </is>
      </c>
      <c r="K167" s="9" t="inlineStr">
        <is>
          <t>BaseHitDamage</t>
        </is>
      </c>
      <c r="L167" s="9" t="inlineStr">
        <is>
          <t>NonCritAvg</t>
        </is>
      </c>
      <c r="M167" s="9" t="inlineStr">
        <is>
          <t>CritAvg</t>
        </is>
      </c>
      <c r="N167" s="9" t="inlineStr">
        <is>
          <t>ExpectedDamage(perHit)</t>
        </is>
      </c>
      <c r="O167" s="9" t="inlineStr">
        <is>
          <t>DPS</t>
        </is>
      </c>
      <c r="P167" s="9" t="inlineStr">
        <is>
          <t>% of Total</t>
        </is>
      </c>
      <c r="R167" t="inlineStr">
        <is>
          <t>helpers</t>
        </is>
      </c>
    </row>
    <row r="168">
      <c r="A168">
        <f>Skills!A2</f>
        <v/>
      </c>
      <c r="B168">
        <f>Skills!B2</f>
        <v/>
      </c>
      <c r="C168">
        <f>Inputs!$B$3&gt;=100</f>
        <v/>
      </c>
      <c r="D168" t="inlineStr"/>
      <c r="E168" t="inlineStr"/>
      <c r="F168">
        <f>T170+Skills!N2</f>
        <v/>
      </c>
      <c r="G168">
        <f>Calc!G2</f>
        <v/>
      </c>
      <c r="H168">
        <f>Calc!H2</f>
        <v/>
      </c>
      <c r="I168">
        <f>IF(Skills!T2&lt;&gt;"",1+(Skills!T2/10)*($Z$3/1000)/100,1)</f>
        <v/>
      </c>
      <c r="J168">
        <f>((Inputs!$B$6*(1+Inputs!$B$7/100))+(((Inputs!$B$13*(1+Inputs!$B$14/100))-(Inputs!$B$13*(1+Inputs!$B$14/100)))+0.25*(Inputs!$B$15-Inputs!$B$15))*(1+Inputs!$B$7/100))*(F168/100)</f>
        <v/>
      </c>
      <c r="K168">
        <f>J168*(1+(((Inputs!$B$13+IF(Inputs!$B$3&gt;=35,(10*INDEX(FactorTable!$B$2:$Y$301, MATCH(ROUND(MIN(300,MAX(1,Inputs!$B$3)),0), FactorTable!$A$2:$A$301,0), 23)/1000)/100*(Inputs!$B$8*(1+((Inputs!$B$9+1)+B204)/100)),0))*(1+Inputs!$B$14/100))*0.01+Inputs!$B$15*0.0025)/100)*(1+(Inputs!$B$16+B198)/100)*(1+Inputs!$B$17/100)*(5000/(6000+Inputs!$B$43*(1-Inputs!$B$20/100)))*(1+Inputs!$B$25/100)*(1+IF(C184=TRUE,F184,0)/100)*(1+IF(C186=TRUE,F186,0)/100)*(1+IF(Skills!A2="TRIUMPH_FEATHER",IF(C182=TRUE,F182,0),0)/100)*(1+IF(C193=TRUE,F193,0)/100)^5*(1+(IF(Skills!A2="BIG_BANG",Inputs!$B$18,Inputs!$B$19))/100)*(B195*I168)</f>
        <v/>
      </c>
      <c r="L168">
        <f>K168*(MIN(Inputs!$B$23+(F188-Calc!F22),Inputs!$B$24)/100+Inputs!$B$24/100)/2</f>
        <v/>
      </c>
      <c r="M168">
        <f>L168*(1+(Inputs!$B$11+B199+(F191-Calc!F25))/100)</f>
        <v/>
      </c>
      <c r="N168">
        <f>L168*(1-MIN(Inputs!$B$10+((F190-Calc!F24)+(F189-Calc!F23)),100)/100)+M168*(MIN(Inputs!$B$10+((F190-Calc!F24)+(F189-Calc!F23)),100)/100)</f>
        <v/>
      </c>
      <c r="O168">
        <f>(1-Summary!$B$48)*S168+Summary!$B$48*U168</f>
        <v/>
      </c>
      <c r="P168">
        <f>IF(B208=0,0,O168/B208)</f>
        <v/>
      </c>
      <c r="Q168">
        <f>IFERROR(1/IF(Inputs!$B$39="pvp",15,MAX(0.1,Skills!D2-IF(Skills!E2=TRUE,Inputs!$B$33,0))),0)</f>
        <v/>
      </c>
      <c r="R168" t="n">
        <v>0</v>
      </c>
      <c r="S168">
        <f>IF(C168,(Skills!F2*N168*B203)*IF(Inputs!$B$39="pvp",1,1+(Inputs!$B$21+Skills!O2+B196)/100),0)</f>
        <v/>
      </c>
      <c r="T168">
        <f>MAX(0,(Inputs!$B$3-100)*3)+Inputs!$B$29+Inputs!$B$30</f>
        <v/>
      </c>
      <c r="U168">
        <f>IF(C168,(Skills!F2*N168*B203)*IF(Inputs!$B$39="pvp",1,(1+(Inputs!$B$22+Skills!P2+B197)/100)*(MIN((6+Inputs!$B$34),Inputs!$B$38))),0)</f>
        <v/>
      </c>
    </row>
    <row r="169">
      <c r="A169">
        <f>Skills!A3</f>
        <v/>
      </c>
      <c r="B169">
        <f>Skills!B3</f>
        <v/>
      </c>
      <c r="C169">
        <f>Inputs!$B$3&gt;=15</f>
        <v/>
      </c>
      <c r="D169">
        <f>IF(Skills!C3=1,60+Inputs!$B$26+Inputs!$B$30,IF(Skills!C3=2,90+Inputs!$B$27+Inputs!$B$30,IF(Skills!C3=3,120+Inputs!$B$28+Inputs!$B$30,MAX(0,(Inputs!$B$3-100)*3)+Inputs!$B$29+Inputs!$B$30)))</f>
        <v/>
      </c>
      <c r="E169">
        <f>INDEX(FactorTable!$B$2:$Y$301, MATCH(ROUND(MIN(300,MAX(1,D169)),0), FactorTable!$A$2:$A$301,0), Skills!L3+1)</f>
        <v/>
      </c>
      <c r="F169">
        <f>IF(Skills!M3=TRUE,(Skills!K3/10)*(E169/1000),Skills!K3/10)+Skills!N3</f>
        <v/>
      </c>
      <c r="G169">
        <f>Calc!G3</f>
        <v/>
      </c>
      <c r="H169">
        <f>Calc!H3</f>
        <v/>
      </c>
      <c r="I169">
        <f>IF(Skills!T3&lt;&gt;"",1+(Skills!T3/10)*($Z$3/1000)/100,1)</f>
        <v/>
      </c>
      <c r="J169" t="inlineStr"/>
      <c r="K169" t="inlineStr"/>
      <c r="L169" t="inlineStr"/>
      <c r="M169" t="inlineStr"/>
      <c r="N169" t="inlineStr"/>
      <c r="O169">
        <f>(1-Summary!$B$48)*S169+Summary!$B$48*U169</f>
        <v/>
      </c>
      <c r="P169">
        <f>IF(B208=0,0,O169/B208)</f>
        <v/>
      </c>
      <c r="Q169">
        <f>IFERROR(1/IF(Inputs!$B$39="pvp",15,MAX(0.1,Skills!D3-IF(Skills!E3=TRUE,Inputs!$B$33,0))),0)</f>
        <v/>
      </c>
      <c r="R169">
        <f>IF(AND(Inputs!$B$39&lt;&gt;"pvp",Inputs!$B$44&gt;0),IF(Inputs!$B$44&lt;=0,0,(INT(Inputs!$B$44/IF(Inputs!$B$39="pvp",15,MAX(0.1,Skills!D3-IF(Skills!E3=TRUE,Inputs!$B$33,0))))+1)),0)</f>
        <v/>
      </c>
      <c r="S169" t="n">
        <v>0</v>
      </c>
      <c r="T169">
        <f>INDEX(FactorTable!$B$2:$Y$301, MATCH(ROUND(MIN(300,MAX(1,T168)),0), FactorTable!$A$2:$A$301,0), 22)</f>
        <v/>
      </c>
      <c r="U169" t="n">
        <v>0</v>
      </c>
    </row>
    <row r="170">
      <c r="A170">
        <f>Skills!A4</f>
        <v/>
      </c>
      <c r="B170">
        <f>Skills!B4</f>
        <v/>
      </c>
      <c r="C170">
        <f>Inputs!$B$3&gt;=38</f>
        <v/>
      </c>
      <c r="D170">
        <f>IF(Skills!C4=1,60+Inputs!$B$26+Inputs!$B$30,IF(Skills!C4=2,90+Inputs!$B$27+Inputs!$B$30,IF(Skills!C4=3,120+Inputs!$B$28+Inputs!$B$30,MAX(0,(Inputs!$B$3-100)*3)+Inputs!$B$29+Inputs!$B$30)))</f>
        <v/>
      </c>
      <c r="E170">
        <f>INDEX(FactorTable!$B$2:$Y$301, MATCH(ROUND(MIN(300,MAX(1,D170)),0), FactorTable!$A$2:$A$301,0), Skills!L4+1)</f>
        <v/>
      </c>
      <c r="F170">
        <f>IF(Skills!M4=TRUE,(Skills!K4/10)*(E170/1000),Skills!K4/10)+Skills!N4</f>
        <v/>
      </c>
      <c r="G170">
        <f>Calc!G4</f>
        <v/>
      </c>
      <c r="H170">
        <f>Calc!H4</f>
        <v/>
      </c>
      <c r="I170">
        <f>IF(Skills!T4&lt;&gt;"",1+(Skills!T4/10)*($Z$3/1000)/100,1)</f>
        <v/>
      </c>
      <c r="J170" t="inlineStr"/>
      <c r="K170" t="inlineStr"/>
      <c r="L170" t="inlineStr"/>
      <c r="M170" t="inlineStr"/>
      <c r="N170" t="inlineStr"/>
      <c r="O170">
        <f>(1-Summary!$B$48)*S170+Summary!$B$48*U170</f>
        <v/>
      </c>
      <c r="P170">
        <f>IF(B208=0,0,O170/B208)</f>
        <v/>
      </c>
      <c r="Q170">
        <f>IFERROR(1/IF(Inputs!$B$39="pvp",15,MAX(0.1,Skills!D4-IF(Skills!E4=TRUE,Inputs!$B$33,0))),0)</f>
        <v/>
      </c>
      <c r="R170">
        <f>IF(AND(Inputs!$B$39&lt;&gt;"pvp",Inputs!$B$44&gt;0),IF(Inputs!$B$44&lt;=0,0,(INT(Inputs!$B$44/IF(Inputs!$B$39="pvp",15,MAX(0.1,Skills!D4-IF(Skills!E4=TRUE,Inputs!$B$33,0))))+1)),0)</f>
        <v/>
      </c>
      <c r="S170" t="n">
        <v>0</v>
      </c>
      <c r="T170">
        <f>290*T169/1000</f>
        <v/>
      </c>
      <c r="U170" t="n">
        <v>0</v>
      </c>
    </row>
    <row r="171">
      <c r="A171">
        <f>Skills!A5</f>
        <v/>
      </c>
      <c r="B171">
        <f>Skills!B5</f>
        <v/>
      </c>
      <c r="C171">
        <f>Inputs!$B$3&gt;=40</f>
        <v/>
      </c>
      <c r="D171">
        <f>IF(Skills!C5=1,60+Inputs!$B$26+Inputs!$B$30,IF(Skills!C5=2,90+Inputs!$B$27+Inputs!$B$30,IF(Skills!C5=3,120+Inputs!$B$28+Inputs!$B$30,MAX(0,(Inputs!$B$3-100)*3)+Inputs!$B$29+Inputs!$B$30)))</f>
        <v/>
      </c>
      <c r="E171">
        <f>INDEX(FactorTable!$B$2:$Y$301, MATCH(ROUND(MIN(300,MAX(1,D171)),0), FactorTable!$A$2:$A$301,0), Skills!L5+1)</f>
        <v/>
      </c>
      <c r="F171">
        <f>IF(Skills!M5=TRUE,(Skills!K5/10)*(E171/1000),Skills!K5/10)+Skills!N5</f>
        <v/>
      </c>
      <c r="G171">
        <f>Calc!G5</f>
        <v/>
      </c>
      <c r="H171">
        <f>Calc!H5</f>
        <v/>
      </c>
      <c r="I171">
        <f>IF(Skills!T5&lt;&gt;"",1+(Skills!T5/10)*($Z$3/1000)/100,1)</f>
        <v/>
      </c>
      <c r="J171" t="inlineStr"/>
      <c r="K171" t="inlineStr"/>
      <c r="L171" t="inlineStr"/>
      <c r="M171" t="inlineStr"/>
      <c r="N171" t="inlineStr"/>
      <c r="O171">
        <f>(1-Summary!$B$48)*S171+Summary!$B$48*U171</f>
        <v/>
      </c>
      <c r="P171">
        <f>IF(B208=0,0,O171/B208)</f>
        <v/>
      </c>
      <c r="Q171">
        <f>IFERROR(1/IF(Inputs!$B$39="pvp",15,MAX(0.1,Skills!D5-IF(Skills!E5=TRUE,Inputs!$B$33,0))),0)</f>
        <v/>
      </c>
      <c r="R171">
        <f>IF(AND(Inputs!$B$39&lt;&gt;"pvp",Inputs!$B$44&gt;0),IF(Inputs!$B$44&lt;=0,0,(INT(Inputs!$B$44/IF(Inputs!$B$39="pvp",15,MAX(0.1,Skills!D5-IF(Skills!E5=TRUE,Inputs!$B$33,0))))+1)),0)</f>
        <v/>
      </c>
      <c r="S171" t="n">
        <v>0</v>
      </c>
      <c r="U171" t="n">
        <v>0</v>
      </c>
    </row>
    <row r="172">
      <c r="A172">
        <f>Skills!A6</f>
        <v/>
      </c>
      <c r="B172">
        <f>Skills!B6</f>
        <v/>
      </c>
      <c r="C172">
        <f>Inputs!$B$3&gt;=103</f>
        <v/>
      </c>
      <c r="D172">
        <f>IF(Skills!C6=1,60+Inputs!$B$26+Inputs!$B$30,IF(Skills!C6=2,90+Inputs!$B$27+Inputs!$B$30,IF(Skills!C6=3,120+Inputs!$B$28+Inputs!$B$30,MAX(0,(Inputs!$B$3-100)*3)+Inputs!$B$29+Inputs!$B$30)))</f>
        <v/>
      </c>
      <c r="E172">
        <f>INDEX(FactorTable!$B$2:$Y$301, MATCH(ROUND(MIN(300,MAX(1,D172)),0), FactorTable!$A$2:$A$301,0), Skills!L6+1)</f>
        <v/>
      </c>
      <c r="F172">
        <f>IF(Skills!M6=TRUE,(Skills!K6/10)*(E172/1000),Skills!K6/10)+Skills!N6</f>
        <v/>
      </c>
      <c r="G172">
        <f>Calc!G6</f>
        <v/>
      </c>
      <c r="H172">
        <f>Calc!H6</f>
        <v/>
      </c>
      <c r="I172">
        <f>IF(Skills!T6&lt;&gt;"",1+(Skills!T6/10)*($Z$3/1000)/100,1)</f>
        <v/>
      </c>
      <c r="J172">
        <f>((Inputs!$B$6*(1+Inputs!$B$7/100))+(((Inputs!$B$13*(1+Inputs!$B$14/100))-(Inputs!$B$13*(1+Inputs!$B$14/100)))+0.25*(Inputs!$B$15-Inputs!$B$15))*(1+Inputs!$B$7/100))*(F172/100)</f>
        <v/>
      </c>
      <c r="K172">
        <f>J172*(1+(((Inputs!$B$13+IF(Inputs!$B$3&gt;=35,(10*INDEX(FactorTable!$B$2:$Y$301, MATCH(ROUND(MIN(300,MAX(1,Inputs!$B$3)),0), FactorTable!$A$2:$A$301,0), 23)/1000)/100*(Inputs!$B$8*(1+((Inputs!$B$9+1)+B204)/100)),0))*(1+Inputs!$B$14/100))*0.01+Inputs!$B$15*0.0025)/100)*(1+(Inputs!$B$16+B198)/100)*(1+Inputs!$B$17/100)*(5000/(6000+Inputs!$B$43*(1-Inputs!$B$20/100)))*(1+Inputs!$B$25/100)*(1+IF(C184=TRUE,F184,0)/100)*(1+IF(C186=TRUE,F186,0)/100)*(1+IF(Skills!A6="TRIUMPH_FEATHER",IF(C182=TRUE,F182,0),0)/100)*(1+IF(C193=TRUE,F193,0)/100)^5*(1+(IF(Skills!A6="BIG_BANG",Inputs!$B$18,Inputs!$B$19))/100)*(B195*I172)</f>
        <v/>
      </c>
      <c r="L172">
        <f>K172*(MIN(Inputs!$B$23+(F188-Calc!F22),Inputs!$B$24)/100+Inputs!$B$24/100)/2</f>
        <v/>
      </c>
      <c r="M172">
        <f>L172*(1+(Inputs!$B$11+B199+(F191-Calc!F25))/100)</f>
        <v/>
      </c>
      <c r="N172">
        <f>L172*(1-MIN(Inputs!$B$10+((F190-Calc!F24)+(F189-Calc!F23)),100)/100)+M172*(MIN(Inputs!$B$10+((F190-Calc!F24)+(F189-Calc!F23)),100)/100)</f>
        <v/>
      </c>
      <c r="O172">
        <f>(1-Summary!$B$48)*S172+Summary!$B$48*U172</f>
        <v/>
      </c>
      <c r="P172">
        <f>IF(B208=0,0,O172/B208)</f>
        <v/>
      </c>
      <c r="Q172">
        <f>IFERROR(1/IF(Inputs!$B$39="pvp",15,MAX(0.1,Skills!D6-IF(Skills!E6=TRUE,Inputs!$B$33,0))),0)</f>
        <v/>
      </c>
      <c r="R172">
        <f>IF(AND(Inputs!$B$39&lt;&gt;"pvp",Inputs!$B$44&gt;0),IF(MAX(0,Inputs!$B$44-B205)&lt;=0,0,(INT(MAX(0,Inputs!$B$44-B205)/IF(Inputs!$B$39="pvp",15,MAX(0.1,Skills!D6-IF(Skills!E6=TRUE,Inputs!$B$33,0))))+1)),0)</f>
        <v/>
      </c>
      <c r="S172">
        <f>IF(C172,(H172*N172*IF(AND(Inputs!$B$39&lt;&gt;"pvp",Inputs!$B$44&gt;0),((Skills!F6*((R172-1)*IF(Skills!G6&gt;0,Skills!H6/Skills!G6,1)+IF(Skills!G6&gt;0,MIN(Skills!H6,MAX(0,MAX(0,Inputs!$B$44-B205)-((R172-1)*IF(Inputs!$B$39="pvp",15,MAX(0.1,Skills!D6-IF(Skills!E6=TRUE,Inputs!$B$33,0))))))/Skills!G6,1)))/Inputs!$B$44),G172*Q172))*IF(Inputs!$B$39="pvp",1,1+(Inputs!$B$21+Skills!O6+B196)/100),0)</f>
        <v/>
      </c>
      <c r="U172">
        <f>IF(C172,(H172*N172*IF(AND(Inputs!$B$39&lt;&gt;"pvp",Inputs!$B$44&gt;0),((Skills!F6*((R172-1)*IF(Skills!G6&gt;0,Skills!H6/Skills!G6,1)+IF(Skills!G6&gt;0,MIN(Skills!H6,MAX(0,MAX(0,Inputs!$B$44-B205)-((R172-1)*IF(Inputs!$B$39="pvp",15,MAX(0.1,Skills!D6-IF(Skills!E6=TRUE,Inputs!$B$33,0))))))/Skills!G6,1)))/Inputs!$B$44),G172*Q172))*IF(Inputs!$B$39="pvp",1,(1+(Inputs!$B$22+Skills!P6+B197)/100)*(MIN(Skills!Q6,Inputs!$B$38))),0)</f>
        <v/>
      </c>
    </row>
    <row r="173">
      <c r="A173">
        <f>Skills!A7</f>
        <v/>
      </c>
      <c r="B173">
        <f>Skills!B7</f>
        <v/>
      </c>
      <c r="C173">
        <f>Inputs!$B$3&gt;=122</f>
        <v/>
      </c>
      <c r="D173">
        <f>IF(Skills!C7=1,60+Inputs!$B$26+Inputs!$B$30,IF(Skills!C7=2,90+Inputs!$B$27+Inputs!$B$30,IF(Skills!C7=3,120+Inputs!$B$28+Inputs!$B$30,MAX(0,(Inputs!$B$3-100)*3)+Inputs!$B$29+Inputs!$B$30)))</f>
        <v/>
      </c>
      <c r="E173">
        <f>INDEX(FactorTable!$B$2:$Y$301, MATCH(ROUND(MIN(300,MAX(1,D173)),0), FactorTable!$A$2:$A$301,0), Skills!L7+1)</f>
        <v/>
      </c>
      <c r="F173">
        <f>IF(Skills!M7=TRUE,(Skills!K7/10)*(E173/1000),Skills!K7/10)+Skills!N7</f>
        <v/>
      </c>
      <c r="G173">
        <f>Calc!G7</f>
        <v/>
      </c>
      <c r="H173">
        <f>Calc!H7</f>
        <v/>
      </c>
      <c r="I173">
        <f>IF(Skills!T7&lt;&gt;"",1+(Skills!T7/10)*($Z$3/1000)/100,1)</f>
        <v/>
      </c>
      <c r="J173">
        <f>((Inputs!$B$6*(1+Inputs!$B$7/100))+(((Inputs!$B$13*(1+Inputs!$B$14/100))-(Inputs!$B$13*(1+Inputs!$B$14/100)))+0.25*(Inputs!$B$15-Inputs!$B$15))*(1+Inputs!$B$7/100))*(F173/100)</f>
        <v/>
      </c>
      <c r="K173">
        <f>J173*(1+(((Inputs!$B$13+IF(Inputs!$B$3&gt;=35,(10*INDEX(FactorTable!$B$2:$Y$301, MATCH(ROUND(MIN(300,MAX(1,Inputs!$B$3)),0), FactorTable!$A$2:$A$301,0), 23)/1000)/100*(Inputs!$B$8*(1+((Inputs!$B$9+1)+B204)/100)),0))*(1+Inputs!$B$14/100))*0.01+Inputs!$B$15*0.0025)/100)*(1+(Inputs!$B$16+B198)/100)*(1+Inputs!$B$17/100)*(5000/(6000+Inputs!$B$43*(1-Inputs!$B$20/100)))*(1+Inputs!$B$25/100)*(1+IF(C184=TRUE,F184,0)/100)*(1+IF(C186=TRUE,F186,0)/100)*(1+IF(Skills!A7="TRIUMPH_FEATHER",IF(C182=TRUE,F182,0),0)/100)*(1+IF(C193=TRUE,F193,0)/100)^5*(1+(IF(Skills!A7="BIG_BANG",Inputs!$B$18,Inputs!$B$19))/100)*(B195*I173)</f>
        <v/>
      </c>
      <c r="L173">
        <f>K173*(MIN(Inputs!$B$23+(F188-Calc!F22),Inputs!$B$24)/100+Inputs!$B$24/100)/2</f>
        <v/>
      </c>
      <c r="M173">
        <f>L173*(1+(Inputs!$B$11+B199+(F191-Calc!F25))/100)</f>
        <v/>
      </c>
      <c r="N173">
        <f>L173*(1-MIN(Inputs!$B$10+((F190-Calc!F24)+(F189-Calc!F23)),100)/100)+M173*(MIN(Inputs!$B$10+((F190-Calc!F24)+(F189-Calc!F23)),100)/100)</f>
        <v/>
      </c>
      <c r="O173">
        <f>(1-Summary!$B$48)*S173+Summary!$B$48*U173</f>
        <v/>
      </c>
      <c r="P173">
        <f>IF(B208=0,0,O173/B208)</f>
        <v/>
      </c>
      <c r="Q173">
        <f>IFERROR(1/IF(Inputs!$B$39="pvp",15,MAX(0.1,Skills!D7-IF(Skills!E6=TRUE,Inputs!$B$33,0))),0)</f>
        <v/>
      </c>
      <c r="R173">
        <f>IF(AND(Inputs!$B$39&lt;&gt;"pvp",Inputs!$B$44&gt;0),IF(MAX(0,Inputs!$B$44-B205)&lt;=0,0,(INT(MAX(0,Inputs!$B$44-B205)/IF(Inputs!$B$39="pvp",15,MAX(0.1,Skills!D7-IF(Skills!E6=TRUE,Inputs!$B$33,0))))+1)),0)</f>
        <v/>
      </c>
      <c r="S173">
        <f>IF(C173,H173*N173*IF(AND(Inputs!$B$39&lt;&gt;"pvp",Inputs!$B$44&gt;0),((Skills!F7*((R173-1)*IF(Skills!G7&gt;0,Skills!H7/Skills!G7,1)+IF(Skills!G7&gt;0,MIN(Skills!H7,MAX(0,MAX(0,Inputs!$B$44-B205)-((R173-1)*IF(Inputs!$B$39="pvp",15,MAX(0.1,Skills!D7-IF(Skills!E6=TRUE,Inputs!$B$33,0))))))/Skills!G7,1)))/Inputs!$B$44),G173*Q173)*IF(Inputs!$B$39="pvp",1,1+(Inputs!$B$21+Skills!O7+B196)/100),0)</f>
        <v/>
      </c>
      <c r="U173" t="n">
        <v>0</v>
      </c>
    </row>
    <row r="174">
      <c r="A174">
        <f>Skills!A8</f>
        <v/>
      </c>
      <c r="B174">
        <f>Skills!B8</f>
        <v/>
      </c>
      <c r="C174">
        <f>Inputs!$B$3&gt;=105</f>
        <v/>
      </c>
      <c r="D174">
        <f>IF(Skills!C8=1,60+Inputs!$B$26+Inputs!$B$30,IF(Skills!C8=2,90+Inputs!$B$27+Inputs!$B$30,IF(Skills!C8=3,120+Inputs!$B$28+Inputs!$B$30,MAX(0,(Inputs!$B$3-100)*3)+Inputs!$B$29+Inputs!$B$30)))</f>
        <v/>
      </c>
      <c r="E174">
        <f>INDEX(FactorTable!$B$2:$Y$301, MATCH(ROUND(MIN(300,MAX(1,D174)),0), FactorTable!$A$2:$A$301,0), Skills!L8+1)</f>
        <v/>
      </c>
      <c r="F174">
        <f>IF(Skills!M8=TRUE,(Skills!K8/10)*(E174/1000),Skills!K8/10)+Skills!N8</f>
        <v/>
      </c>
      <c r="G174">
        <f>Calc!G8</f>
        <v/>
      </c>
      <c r="H174">
        <f>Calc!H8</f>
        <v/>
      </c>
      <c r="I174">
        <f>IF(Skills!T8&lt;&gt;"",1+(Skills!T8/10)*($Z$3/1000)/100,1)</f>
        <v/>
      </c>
      <c r="J174">
        <f>((Inputs!$B$6*(1+Inputs!$B$7/100))+(((Inputs!$B$13*(1+Inputs!$B$14/100))-(Inputs!$B$13*(1+Inputs!$B$14/100)))+0.25*(Inputs!$B$15-Inputs!$B$15))*(1+Inputs!$B$7/100))*(F174/100)</f>
        <v/>
      </c>
      <c r="K174">
        <f>J174*(1+(((Inputs!$B$13+IF(Inputs!$B$3&gt;=35,(10*INDEX(FactorTable!$B$2:$Y$301, MATCH(ROUND(MIN(300,MAX(1,Inputs!$B$3)),0), FactorTable!$A$2:$A$301,0), 23)/1000)/100*(Inputs!$B$8*(1+((Inputs!$B$9+1)+B204)/100)),0))*(1+Inputs!$B$14/100))*0.01+Inputs!$B$15*0.0025)/100)*(1+(Inputs!$B$16+B198)/100)*(1+Inputs!$B$17/100)*(5000/(6000+Inputs!$B$43*(1-Inputs!$B$20/100)))*(1+Inputs!$B$25/100)*(1+IF(C184=TRUE,F184,0)/100)*(1+IF(C186=TRUE,F186,0)/100)*(1+IF(Skills!A8="TRIUMPH_FEATHER",IF(C182=TRUE,F182,0),0)/100)*(1+IF(C193=TRUE,F193,0)/100)^5*(1+(IF(Skills!A8="BIG_BANG",Inputs!$B$18,Inputs!$B$19))/100)*(B195*I174)</f>
        <v/>
      </c>
      <c r="L174">
        <f>K174*(MIN(Inputs!$B$23+(F188-Calc!F22),Inputs!$B$24)/100+Inputs!$B$24/100)/2</f>
        <v/>
      </c>
      <c r="M174">
        <f>L174*(1+(Inputs!$B$11+B199+(F191-Calc!F25))/100)</f>
        <v/>
      </c>
      <c r="N174">
        <f>L174*(1-MIN(Inputs!$B$10+((F190-Calc!F24)+(F189-Calc!F23)),100)/100)+M174*(MIN(Inputs!$B$10+((F190-Calc!F24)+(F189-Calc!F23)),100)/100)</f>
        <v/>
      </c>
      <c r="O174">
        <f>(1-Summary!$B$48)*S174+Summary!$B$48*U174</f>
        <v/>
      </c>
      <c r="P174">
        <f>IF(B208=0,0,O174/B208)</f>
        <v/>
      </c>
      <c r="Q174">
        <f>IFERROR(1/IF(Inputs!$B$39="pvp",15,MAX(0.1,Skills!D8-IF(Skills!E8=TRUE,Inputs!$B$33,0))),0)</f>
        <v/>
      </c>
      <c r="R174">
        <f>IF(AND(Inputs!$B$39&lt;&gt;"pvp",Inputs!$B$44&gt;0),IF(MAX(0,Inputs!$B$44-B205)&lt;=0,0,(INT(MAX(0,Inputs!$B$44-B205)/IF(Inputs!$B$39="pvp",15,MAX(0.1,Skills!D8-IF(Skills!E8=TRUE,Inputs!$B$33,0))))+1)),0)</f>
        <v/>
      </c>
      <c r="S174">
        <f>IF(C174,(H174*N174*IF(AND(Inputs!$B$39&lt;&gt;"pvp",Inputs!$B$44&gt;0),((Skills!F8*((R174-1)*IF(Skills!G8&gt;0,Skills!H8/Skills!G8,1)+IF(Skills!G8&gt;0,MIN(Skills!H8,MAX(0,MAX(0,Inputs!$B$44-B205)-((R174-1)*IF(Inputs!$B$39="pvp",15,MAX(0.1,Skills!D8-IF(Skills!E8=TRUE,Inputs!$B$33,0))))))/Skills!G8,1)))/Inputs!$B$44),G174*Q174))*IF(Inputs!$B$39="pvp",1,1+(Inputs!$B$21+Skills!O8+B196)/100),0)</f>
        <v/>
      </c>
      <c r="U174">
        <f>IF(C174,(H174*N174*IF(AND(Inputs!$B$39&lt;&gt;"pvp",Inputs!$B$44&gt;0),((Skills!F8*((R174-1)*IF(Skills!G8&gt;0,Skills!H8/Skills!G8,1)+IF(Skills!G8&gt;0,MIN(Skills!H8,MAX(0,MAX(0,Inputs!$B$44-B205)-((R174-1)*IF(Inputs!$B$39="pvp",15,MAX(0.1,Skills!D8-IF(Skills!E8=TRUE,Inputs!$B$33,0))))))/Skills!G8,1)))/Inputs!$B$44),G174*Q174))*IF(Inputs!$B$39="pvp",1,(1+(Inputs!$B$22+Skills!P8+B197)/100)*(MIN(Skills!Q8,Inputs!$B$38))),0)</f>
        <v/>
      </c>
    </row>
    <row r="175">
      <c r="A175">
        <f>Skills!A9</f>
        <v/>
      </c>
      <c r="B175">
        <f>Skills!B9</f>
        <v/>
      </c>
      <c r="C175">
        <f>Inputs!$B$3&gt;=115</f>
        <v/>
      </c>
      <c r="D175">
        <f>IF(Skills!C9=1,60+Inputs!$B$26+Inputs!$B$30,IF(Skills!C9=2,90+Inputs!$B$27+Inputs!$B$30,IF(Skills!C9=3,120+Inputs!$B$28+Inputs!$B$30,MAX(0,(Inputs!$B$3-100)*3)+Inputs!$B$29+Inputs!$B$30)))</f>
        <v/>
      </c>
      <c r="E175">
        <f>INDEX(FactorTable!$B$2:$Y$301, MATCH(ROUND(MIN(300,MAX(1,D175)),0), FactorTable!$A$2:$A$301,0), Skills!L9+1)</f>
        <v/>
      </c>
      <c r="F175">
        <f>IF(Skills!M9=TRUE,(Skills!K9/10)*(E175/1000),Skills!K9/10)+Skills!N9</f>
        <v/>
      </c>
      <c r="G175">
        <f>Calc!G9</f>
        <v/>
      </c>
      <c r="H175">
        <f>Calc!H9</f>
        <v/>
      </c>
      <c r="I175">
        <f>IF(Skills!T9&lt;&gt;"",1+(Skills!T9/10)*($Z$3/1000)/100,1)</f>
        <v/>
      </c>
      <c r="J175">
        <f>((Inputs!$B$6*(1+Inputs!$B$7/100))+(((Inputs!$B$13*(1+Inputs!$B$14/100))-(Inputs!$B$13*(1+Inputs!$B$14/100)))+0.25*(Inputs!$B$15-Inputs!$B$15))*(1+Inputs!$B$7/100))*(F175/100)</f>
        <v/>
      </c>
      <c r="K175">
        <f>J175*(1+(((Inputs!$B$13+IF(Inputs!$B$3&gt;=35,(10*INDEX(FactorTable!$B$2:$Y$301, MATCH(ROUND(MIN(300,MAX(1,Inputs!$B$3)),0), FactorTable!$A$2:$A$301,0), 23)/1000)/100*(Inputs!$B$8*(1+((Inputs!$B$9+1)+B204)/100)),0))*(1+Inputs!$B$14/100))*0.01+Inputs!$B$15*0.0025)/100)*(1+(Inputs!$B$16+B198)/100)*(1+Inputs!$B$17/100)*(5000/(6000+Inputs!$B$43*(1-Inputs!$B$20/100)))*(1+Inputs!$B$25/100)*(1+IF(C184=TRUE,F184,0)/100)*(1+IF(C186=TRUE,F186,0)/100)*(1+IF(Skills!A9="TRIUMPH_FEATHER",IF(C182=TRUE,F182,0),0)/100)*(1+IF(C193=TRUE,F193,0)/100)^5*(1+(IF(Skills!A9="BIG_BANG",Inputs!$B$18,Inputs!$B$19))/100)*(B195*I175)</f>
        <v/>
      </c>
      <c r="L175">
        <f>K175*(MIN(Inputs!$B$23+(F188-Calc!F22),Inputs!$B$24)/100+Inputs!$B$24/100)/2</f>
        <v/>
      </c>
      <c r="M175">
        <f>L175*(1+(Inputs!$B$11+B199+(F191-Calc!F25))/100)</f>
        <v/>
      </c>
      <c r="N175">
        <f>L175*(1-MIN(Inputs!$B$10+((F190-Calc!F24)+(F189-Calc!F23)),100)/100)+M175*(MIN(Inputs!$B$10+((F190-Calc!F24)+(F189-Calc!F23)),100)/100)</f>
        <v/>
      </c>
      <c r="O175">
        <f>(1-Summary!$B$48)*S175+Summary!$B$48*U175</f>
        <v/>
      </c>
      <c r="P175">
        <f>IF(B208=0,0,O175/B208)</f>
        <v/>
      </c>
      <c r="Q175">
        <f>IFERROR(1/IF(Inputs!$B$39="pvp",15,MAX(0.1,Skills!D9-IF(Skills!E9=TRUE,Inputs!$B$33,0))),0)</f>
        <v/>
      </c>
      <c r="R175">
        <f>IF(AND(Inputs!$B$39&lt;&gt;"pvp",Inputs!$B$44&gt;0),IF(MAX(0,Inputs!$B$44-B205)&lt;=0,0,(INT(MAX(0,Inputs!$B$44-B205)/IF(Inputs!$B$39="pvp",15,MAX(0.1,Skills!D9-IF(Skills!E9=TRUE,Inputs!$B$33,0))))+1)),0)</f>
        <v/>
      </c>
      <c r="S175">
        <f>IF(C175,(H175*N175*IF(AND(Inputs!$B$39&lt;&gt;"pvp",Inputs!$B$44&gt;0),((Skills!F9*((R175-1)*IF(Skills!G9&gt;0,Skills!H9/Skills!G9,1)+IF(Skills!G9&gt;0,MIN(Skills!H9,MAX(0,MAX(0,Inputs!$B$44-B205)-((R175-1)*IF(Inputs!$B$39="pvp",15,MAX(0.1,Skills!D9-IF(Skills!E9=TRUE,Inputs!$B$33,0))))))/Skills!G9,1)))/Inputs!$B$44),G175*Q175))*IF(Inputs!$B$39="pvp",1,1+(Inputs!$B$21+Skills!O9+B196)/100),0)</f>
        <v/>
      </c>
      <c r="U175">
        <f>IF(C175,(H175*N175*IF(AND(Inputs!$B$39&lt;&gt;"pvp",Inputs!$B$44&gt;0),((Skills!F9*((R175-1)*IF(Skills!G9&gt;0,Skills!H9/Skills!G9,1)+IF(Skills!G9&gt;0,MIN(Skills!H9,MAX(0,MAX(0,Inputs!$B$44-B205)-((R175-1)*IF(Inputs!$B$39="pvp",15,MAX(0.1,Skills!D9-IF(Skills!E9=TRUE,Inputs!$B$33,0))))))/Skills!G9,1)))/Inputs!$B$44),G175*Q175))*IF(Inputs!$B$39="pvp",1,(1+(Inputs!$B$22+Skills!P9+B197)/100)*(MIN(Skills!Q9,Inputs!$B$38))),0)</f>
        <v/>
      </c>
    </row>
    <row r="176">
      <c r="A176">
        <f>Skills!A10</f>
        <v/>
      </c>
      <c r="B176">
        <f>Skills!B10</f>
        <v/>
      </c>
      <c r="C176">
        <f>Inputs!$B$3&gt;=66</f>
        <v/>
      </c>
      <c r="D176">
        <f>IF(Skills!C10=1,60+Inputs!$B$26+Inputs!$B$30,IF(Skills!C10=2,90+Inputs!$B$27+Inputs!$B$30,IF(Skills!C10=3,120+Inputs!$B$28+Inputs!$B$30,MAX(0,(Inputs!$B$3-100)*3)+Inputs!$B$29+Inputs!$B$30)))</f>
        <v/>
      </c>
      <c r="E176">
        <f>INDEX(FactorTable!$B$2:$Y$301, MATCH(ROUND(MIN(300,MAX(1,D176)),0), FactorTable!$A$2:$A$301,0), Skills!L10+1)</f>
        <v/>
      </c>
      <c r="F176" t="n">
        <v>0</v>
      </c>
      <c r="G176">
        <f>Calc!G10</f>
        <v/>
      </c>
      <c r="H176">
        <f>Calc!H10</f>
        <v/>
      </c>
      <c r="I176">
        <f>IF(Skills!T10&lt;&gt;"",1+(Skills!T10/10)*($Z$3/1000)/100,1)</f>
        <v/>
      </c>
      <c r="J176" t="inlineStr"/>
      <c r="K176" t="inlineStr"/>
      <c r="L176" t="inlineStr"/>
      <c r="M176" t="inlineStr"/>
      <c r="N176" t="inlineStr"/>
      <c r="O176">
        <f>(1-Summary!$B$48)*S176+Summary!$B$48*U176</f>
        <v/>
      </c>
      <c r="P176">
        <f>IF(B208=0,0,O176/B208)</f>
        <v/>
      </c>
      <c r="Q176">
        <f>IFERROR(1/IF(Inputs!$B$39="pvp",15,MAX(0.1,Skills!D10-IF(Skills!E10=TRUE,Inputs!$B$33,0))),0)</f>
        <v/>
      </c>
      <c r="R176">
        <f>IF(AND(Inputs!$B$39&lt;&gt;"pvp",Inputs!$B$44&gt;0),IF(MAX(0,Inputs!$B$44-B205)&lt;=0,0,(INT(MAX(0,Inputs!$B$44-B205)/IF(Inputs!$B$39="pvp",15,MAX(0.1,Skills!D10-IF(Skills!E10=TRUE,Inputs!$B$33,0))))+1)),0)</f>
        <v/>
      </c>
      <c r="S176" t="n">
        <v>0</v>
      </c>
      <c r="U176" t="n">
        <v>0</v>
      </c>
    </row>
    <row r="177">
      <c r="A177">
        <f>Skills!A11</f>
        <v/>
      </c>
      <c r="B177">
        <f>Skills!B11</f>
        <v/>
      </c>
      <c r="C177">
        <f>Inputs!$B$3&gt;=69</f>
        <v/>
      </c>
      <c r="D177">
        <f>IF(Skills!C11=1,60+Inputs!$B$26+Inputs!$B$30,IF(Skills!C11=2,90+Inputs!$B$27+Inputs!$B$30,IF(Skills!C11=3,120+Inputs!$B$28+Inputs!$B$30,MAX(0,(Inputs!$B$3-100)*3)+Inputs!$B$29+Inputs!$B$30)))</f>
        <v/>
      </c>
      <c r="E177">
        <f>INDEX(FactorTable!$B$2:$Y$301, MATCH(ROUND(MIN(300,MAX(1,D177)),0), FactorTable!$A$2:$A$301,0), Skills!L11+1)</f>
        <v/>
      </c>
      <c r="F177">
        <f>IF(Skills!M11=TRUE,(Skills!K11/10)*(E177/1000),Skills!K11/10)+Skills!N11</f>
        <v/>
      </c>
      <c r="G177">
        <f>Calc!G11</f>
        <v/>
      </c>
      <c r="H177">
        <f>Calc!H11</f>
        <v/>
      </c>
      <c r="I177">
        <f>IF(Skills!T11&lt;&gt;"",1+(Skills!T11/10)*($Z$3/1000)/100,1)</f>
        <v/>
      </c>
      <c r="J177" t="inlineStr"/>
      <c r="K177" t="inlineStr"/>
      <c r="L177" t="inlineStr"/>
      <c r="M177" t="inlineStr"/>
      <c r="N177" t="inlineStr"/>
      <c r="O177">
        <f>(1-Summary!$B$48)*S177+Summary!$B$48*U177</f>
        <v/>
      </c>
      <c r="P177">
        <f>IF(B208=0,0,O177/B208)</f>
        <v/>
      </c>
      <c r="Q177">
        <f>IFERROR(1/IF(Inputs!$B$39="pvp",15,MAX(0.1,Skills!D11-IF(Skills!E11=TRUE,Inputs!$B$33,0))),0)</f>
        <v/>
      </c>
      <c r="R177">
        <f>IF(AND(Inputs!$B$39&lt;&gt;"pvp",Inputs!$B$44&gt;0),IF(Inputs!$B$44&lt;=0,0,(INT(Inputs!$B$44/IF(Inputs!$B$39="pvp",15,MAX(0.1,Skills!D11-IF(Skills!E11=TRUE,Inputs!$B$33,0))))+1)),0)</f>
        <v/>
      </c>
      <c r="S177" t="n">
        <v>0</v>
      </c>
      <c r="U177" t="n">
        <v>0</v>
      </c>
    </row>
    <row r="178">
      <c r="A178">
        <f>Skills!A12</f>
        <v/>
      </c>
      <c r="B178">
        <f>Skills!B12</f>
        <v/>
      </c>
      <c r="C178">
        <f>Inputs!$B$3&gt;=72</f>
        <v/>
      </c>
      <c r="D178">
        <f>IF(Skills!C12=1,60+Inputs!$B$26+Inputs!$B$30,IF(Skills!C12=2,90+Inputs!$B$27+Inputs!$B$30,IF(Skills!C12=3,120+Inputs!$B$28+Inputs!$B$30,MAX(0,(Inputs!$B$3-100)*3)+Inputs!$B$29+Inputs!$B$30)))</f>
        <v/>
      </c>
      <c r="E178">
        <f>INDEX(FactorTable!$B$2:$Y$301, MATCH(ROUND(MIN(300,MAX(1,D178)),0), FactorTable!$A$2:$A$301,0), Skills!L12+1)</f>
        <v/>
      </c>
      <c r="F178">
        <f>IF(Skills!M12=TRUE,(Skills!K12/10)*(E178/1000),Skills!K12/10)+Skills!N12</f>
        <v/>
      </c>
      <c r="G178">
        <f>Calc!G12</f>
        <v/>
      </c>
      <c r="H178">
        <f>Calc!H12</f>
        <v/>
      </c>
      <c r="I178">
        <f>IF(Skills!T12&lt;&gt;"",1+(Skills!T12/10)*($Z$3/1000)/100,1)</f>
        <v/>
      </c>
      <c r="J178" t="inlineStr"/>
      <c r="K178" t="inlineStr"/>
      <c r="L178" t="inlineStr"/>
      <c r="M178" t="inlineStr"/>
      <c r="N178" t="inlineStr"/>
      <c r="O178">
        <f>(1-Summary!$B$48)*S178+Summary!$B$48*U178</f>
        <v/>
      </c>
      <c r="P178">
        <f>IF(B208=0,0,O178/B208)</f>
        <v/>
      </c>
      <c r="Q178">
        <f>IFERROR(1/IF(Inputs!$B$39="pvp",15,MAX(0.1,Skills!D12-IF(Skills!E12=TRUE,Inputs!$B$33,0))),0)</f>
        <v/>
      </c>
      <c r="R178">
        <f>IF(AND(Inputs!$B$39&lt;&gt;"pvp",Inputs!$B$44&gt;0),IF(MAX(0,Inputs!$B$44-B205)&lt;=0,0,(INT(MAX(0,Inputs!$B$44-B205)/IF(Inputs!$B$39="pvp",15,MAX(0.1,Skills!D12-IF(Skills!E12=TRUE,Inputs!$B$33,0))))+1)),0)</f>
        <v/>
      </c>
      <c r="S178" t="n">
        <v>0</v>
      </c>
      <c r="U178" t="n">
        <v>0</v>
      </c>
    </row>
    <row r="179">
      <c r="A179">
        <f>Skills!A13</f>
        <v/>
      </c>
      <c r="B179">
        <f>Skills!B13</f>
        <v/>
      </c>
      <c r="C179">
        <f>Inputs!$B$3&gt;=60</f>
        <v/>
      </c>
      <c r="D179">
        <f>IF(Skills!C13=1,60+Inputs!$B$26+Inputs!$B$30,IF(Skills!C13=2,90+Inputs!$B$27+Inputs!$B$30,IF(Skills!C13=3,120+Inputs!$B$28+Inputs!$B$30,MAX(0,(Inputs!$B$3-100)*3)+Inputs!$B$29+Inputs!$B$30)))</f>
        <v/>
      </c>
      <c r="E179">
        <f>INDEX(FactorTable!$B$2:$Y$301, MATCH(ROUND(MIN(300,MAX(1,D179)),0), FactorTable!$A$2:$A$301,0), Skills!L13+1)</f>
        <v/>
      </c>
      <c r="F179">
        <f>IF(Skills!M13=TRUE,(Skills!K13/10)*(E179/1000),Skills!K13/10)+Skills!N13</f>
        <v/>
      </c>
      <c r="G179">
        <f>Calc!G13</f>
        <v/>
      </c>
      <c r="H179">
        <f>Calc!H13</f>
        <v/>
      </c>
      <c r="I179">
        <f>IF(Skills!T13&lt;&gt;"",1+(Skills!T13/10)*($Z$3/1000)/100,1)</f>
        <v/>
      </c>
      <c r="J179" t="inlineStr"/>
      <c r="K179" t="inlineStr"/>
      <c r="L179" t="inlineStr"/>
      <c r="M179" t="inlineStr"/>
      <c r="N179" t="inlineStr"/>
      <c r="O179">
        <f>(1-Summary!$B$48)*S179+Summary!$B$48*U179</f>
        <v/>
      </c>
      <c r="P179">
        <f>IF(B208=0,0,O179/B208)</f>
        <v/>
      </c>
      <c r="Q179">
        <f>IFERROR(1/IF(Inputs!$B$39="pvp",15,MAX(0.1,Skills!D13-IF(Skills!E13=TRUE,Inputs!$B$33,0))),0)</f>
        <v/>
      </c>
      <c r="R179">
        <f>IF(AND(Inputs!$B$39&lt;&gt;"pvp",Inputs!$B$44&gt;0),IF(MAX(0,Inputs!$B$44-B205)&lt;=0,0,(INT(MAX(0,Inputs!$B$44-B205)/IF(Inputs!$B$39="pvp",15,MAX(0.1,Skills!D13-IF(Skills!E13=TRUE,Inputs!$B$33,0))))+1)),0)</f>
        <v/>
      </c>
      <c r="S179" t="n">
        <v>0</v>
      </c>
      <c r="U179" t="n">
        <v>0</v>
      </c>
    </row>
    <row r="180">
      <c r="A180">
        <f>Skills!A14</f>
        <v/>
      </c>
      <c r="B180">
        <f>Skills!B14</f>
        <v/>
      </c>
      <c r="C180">
        <f>Inputs!$B$3&gt;=107</f>
        <v/>
      </c>
      <c r="D180">
        <f>IF(Skills!C14=1,60+Inputs!$B$26+Inputs!$B$30,IF(Skills!C14=2,90+Inputs!$B$27+Inputs!$B$30,IF(Skills!C14=3,120+Inputs!$B$28+Inputs!$B$30,MAX(0,(Inputs!$B$3-100)*3)+Inputs!$B$29+Inputs!$B$30)))</f>
        <v/>
      </c>
      <c r="E180">
        <f>INDEX(FactorTable!$B$2:$Y$301, MATCH(ROUND(MIN(300,MAX(1,D180)),0), FactorTable!$A$2:$A$301,0), Skills!L14+1)</f>
        <v/>
      </c>
      <c r="F180">
        <f>IF(Skills!M14=TRUE,(Skills!K14/10)*(E180/1000),Skills!K14/10)+Skills!N14</f>
        <v/>
      </c>
      <c r="G180">
        <f>Calc!G14</f>
        <v/>
      </c>
      <c r="H180">
        <f>Calc!H14</f>
        <v/>
      </c>
      <c r="I180">
        <f>IF(Skills!T14&lt;&gt;"",1+(Skills!T14/10)*($Z$3/1000)/100,1)</f>
        <v/>
      </c>
      <c r="J180" t="inlineStr"/>
      <c r="K180" t="inlineStr"/>
      <c r="L180" t="inlineStr"/>
      <c r="M180" t="inlineStr"/>
      <c r="N180" t="inlineStr"/>
      <c r="O180">
        <f>(1-Summary!$B$48)*S180+Summary!$B$48*U180</f>
        <v/>
      </c>
      <c r="P180">
        <f>IF(B208=0,0,O180/B208)</f>
        <v/>
      </c>
      <c r="Q180">
        <f>IFERROR(1/IF(Inputs!$B$39="pvp",15,MAX(0.1,Skills!D14-IF(Skills!E14=TRUE,Inputs!$B$33,0))),0)</f>
        <v/>
      </c>
      <c r="R180">
        <f>IF(AND(Inputs!$B$39&lt;&gt;"pvp",Inputs!$B$44&gt;0),IF(Inputs!$B$44&lt;=0,0,(INT(Inputs!$B$44/IF(Inputs!$B$39="pvp",15,MAX(0.1,Skills!D14-IF(Skills!E14=TRUE,Inputs!$B$33,0))))+1)),0)</f>
        <v/>
      </c>
      <c r="S180" t="n">
        <v>0</v>
      </c>
      <c r="U180" t="n">
        <v>0</v>
      </c>
    </row>
    <row r="181">
      <c r="A181">
        <f>Skills!A15</f>
        <v/>
      </c>
      <c r="B181">
        <f>Skills!B15</f>
        <v/>
      </c>
      <c r="C181">
        <f>Inputs!$B$3&gt;=63</f>
        <v/>
      </c>
      <c r="D181">
        <f>IF(Skills!C15=1,60+Inputs!$B$26+Inputs!$B$30,IF(Skills!C15=2,90+Inputs!$B$27+Inputs!$B$30,IF(Skills!C15=3,120+Inputs!$B$28+Inputs!$B$30,MAX(0,(Inputs!$B$3-100)*3)+Inputs!$B$29+Inputs!$B$30)))</f>
        <v/>
      </c>
      <c r="E181">
        <f>INDEX(FactorTable!$B$2:$Y$301, MATCH(ROUND(MIN(300,MAX(1,D181)),0), FactorTable!$A$2:$A$301,0), Skills!L15+1)</f>
        <v/>
      </c>
      <c r="F181">
        <f>IF(Skills!M15=TRUE,(Skills!K15/10)*(E181/1000),Skills!K15/10)+Skills!N15</f>
        <v/>
      </c>
      <c r="G181">
        <f>Calc!G15</f>
        <v/>
      </c>
      <c r="H181">
        <f>Calc!H15</f>
        <v/>
      </c>
      <c r="I181">
        <f>IF(Skills!T15&lt;&gt;"",1+(Skills!T15/10)*($Z$3/1000)/100,1)</f>
        <v/>
      </c>
      <c r="J181">
        <f>((Inputs!$B$6*(1+Inputs!$B$7/100))+(((Inputs!$B$13*(1+Inputs!$B$14/100))-(Inputs!$B$13*(1+Inputs!$B$14/100)))+0.25*(Inputs!$B$15-Inputs!$B$15))*(1+Inputs!$B$7/100))*(F181/100)</f>
        <v/>
      </c>
      <c r="K181">
        <f>J181*(1+(((Inputs!$B$13+IF(Inputs!$B$3&gt;=35,(10*INDEX(FactorTable!$B$2:$Y$301, MATCH(ROUND(MIN(300,MAX(1,Inputs!$B$3)),0), FactorTable!$A$2:$A$301,0), 23)/1000)/100*(Inputs!$B$8*(1+((Inputs!$B$9+1)+B204)/100)),0))*(1+Inputs!$B$14/100))*0.01+Inputs!$B$15*0.0025)/100)*(1+(Inputs!$B$16+B198)/100)*(1+Inputs!$B$17/100)*(5000/(6000+Inputs!$B$43*(1-Inputs!$B$20/100)))*(1+Inputs!$B$25/100)*(1+IF(C184=TRUE,F184,0)/100)*(1+IF(C186=TRUE,F186,0)/100)*(1+IF(Skills!A15="TRIUMPH_FEATHER",IF(C182=TRUE,F182,0),0)/100)*(1+IF(C193=TRUE,F193,0)/100)^5*(1+(IF(Skills!A15="BIG_BANG",Inputs!$B$18,Inputs!$B$19))/100)*(B195*I181)</f>
        <v/>
      </c>
      <c r="L181">
        <f>K181*(MIN(Inputs!$B$23+(F188-Calc!F22),Inputs!$B$24)/100+Inputs!$B$24/100)/2</f>
        <v/>
      </c>
      <c r="M181">
        <f>L181*(1+(Inputs!$B$11+B199+(F191-Calc!F25))/100)</f>
        <v/>
      </c>
      <c r="N181">
        <f>L181*(1-MIN(Inputs!$B$10+((F190-Calc!F24)+(F189-Calc!F23)),100)/100)+M181*(MIN(Inputs!$B$10+((F190-Calc!F24)+(F189-Calc!F23)),100)/100)</f>
        <v/>
      </c>
      <c r="O181">
        <f>(1-Summary!$B$48)*S181+Summary!$B$48*U181</f>
        <v/>
      </c>
      <c r="P181">
        <f>IF(B208=0,0,O181/B208)</f>
        <v/>
      </c>
      <c r="Q181">
        <f>IFERROR(1/IF(Inputs!$B$39="pvp",15,MAX(0.1,Skills!D15-IF(Skills!E15=TRUE,Inputs!$B$33,0))),0)</f>
        <v/>
      </c>
      <c r="R181" t="n">
        <v>0</v>
      </c>
      <c r="S181">
        <f>IF(C181,(Skills!F15*N181*((IF(Inputs!$B$3&gt;=78,25,15)/100*B201*10)/(1+IF(Inputs!$B$3&gt;=78,25,15)/100*B201*10))*(Skills!I15/100*B201)/(1+Skills!G15*Skills!I15/100*B201))*IF(Inputs!$B$39="pvp",1,1+(Inputs!$B$21+Skills!O15+B196)/100),0)</f>
        <v/>
      </c>
      <c r="U181">
        <f>IF(C181,(Skills!F15*N181*((IF(Inputs!$B$3&gt;=78,25,15)/100*B201*10)/(1+IF(Inputs!$B$3&gt;=78,25,15)/100*B201*10))*(Skills!I15/100*B201)/(1+Skills!G15*Skills!I15/100*B201))*IF(Inputs!$B$39="pvp",1,(1+(Inputs!$B$22+Skills!P15+B197)/100)*(MIN(Skills!Q15,Inputs!$B$38))),0)</f>
        <v/>
      </c>
    </row>
    <row r="182">
      <c r="A182">
        <f>Skills!A16</f>
        <v/>
      </c>
      <c r="B182">
        <f>Skills!B16</f>
        <v/>
      </c>
      <c r="C182">
        <f>Inputs!$B$3&gt;=100</f>
        <v/>
      </c>
      <c r="D182">
        <f>IF(Skills!C16=1,60+Inputs!$B$26+Inputs!$B$30,IF(Skills!C16=2,90+Inputs!$B$27+Inputs!$B$30,IF(Skills!C16=3,120+Inputs!$B$28+Inputs!$B$30,MAX(0,(Inputs!$B$3-100)*3)+Inputs!$B$29+Inputs!$B$30)))</f>
        <v/>
      </c>
      <c r="E182">
        <f>INDEX(FactorTable!$B$2:$Y$301, MATCH(ROUND(MIN(300,MAX(1,D182)),0), FactorTable!$A$2:$A$301,0), Skills!L16+1)</f>
        <v/>
      </c>
      <c r="F182">
        <f>IF(Skills!M16=TRUE,(Skills!K16/10)*(E182/1000),Skills!K16/10)+Skills!N16</f>
        <v/>
      </c>
      <c r="G182">
        <f>Calc!G16</f>
        <v/>
      </c>
      <c r="H182">
        <f>Calc!H16</f>
        <v/>
      </c>
      <c r="I182">
        <f>IF(Skills!T16&lt;&gt;"",1+(Skills!T16/10)*($Z$3/1000)/100,1)</f>
        <v/>
      </c>
      <c r="J182" t="inlineStr"/>
      <c r="K182" t="inlineStr"/>
      <c r="L182" t="inlineStr"/>
      <c r="M182" t="inlineStr"/>
      <c r="N182" t="inlineStr"/>
      <c r="O182">
        <f>(1-Summary!$B$48)*S182+Summary!$B$48*U182</f>
        <v/>
      </c>
      <c r="P182">
        <f>IF(B208=0,0,O182/B208)</f>
        <v/>
      </c>
      <c r="Q182">
        <f>IFERROR(1/IF(Inputs!$B$39="pvp",15,MAX(0.1,Skills!D16-IF(Skills!E16=TRUE,Inputs!$B$33,0))),0)</f>
        <v/>
      </c>
      <c r="R182" t="n">
        <v>0</v>
      </c>
      <c r="S182" t="n">
        <v>0</v>
      </c>
      <c r="U182" t="n">
        <v>0</v>
      </c>
    </row>
    <row r="183">
      <c r="A183">
        <f>Skills!A17</f>
        <v/>
      </c>
      <c r="B183">
        <f>Skills!B17</f>
        <v/>
      </c>
      <c r="C183">
        <f>Inputs!$B$3&gt;=49</f>
        <v/>
      </c>
      <c r="D183">
        <f>IF(Skills!C17=1,60+Inputs!$B$26+Inputs!$B$30,IF(Skills!C17=2,90+Inputs!$B$27+Inputs!$B$30,IF(Skills!C17=3,120+Inputs!$B$28+Inputs!$B$30,MAX(0,(Inputs!$B$3-100)*3)+Inputs!$B$29+Inputs!$B$30)))</f>
        <v/>
      </c>
      <c r="E183">
        <f>INDEX(FactorTable!$B$2:$Y$301, MATCH(ROUND(MIN(300,MAX(1,D183)),0), FactorTable!$A$2:$A$301,0), Skills!L17+1)</f>
        <v/>
      </c>
      <c r="F183">
        <f>IF(Skills!M17=TRUE,(Skills!K17/10)*(E183/1000),Skills!K17/10)+Skills!N17</f>
        <v/>
      </c>
      <c r="G183">
        <f>Calc!G17</f>
        <v/>
      </c>
      <c r="H183">
        <f>Calc!H17</f>
        <v/>
      </c>
      <c r="I183">
        <f>IF(Skills!T17&lt;&gt;"",1+(Skills!T17/10)*($Z$3/1000)/100,1)</f>
        <v/>
      </c>
      <c r="J183" t="inlineStr"/>
      <c r="K183" t="inlineStr"/>
      <c r="L183" t="inlineStr"/>
      <c r="M183" t="inlineStr"/>
      <c r="N183" t="inlineStr"/>
      <c r="O183">
        <f>(1-Summary!$B$48)*S183+Summary!$B$48*U183</f>
        <v/>
      </c>
      <c r="P183">
        <f>IF(B208=0,0,O183/B208)</f>
        <v/>
      </c>
      <c r="Q183">
        <f>IFERROR(1/IF(Inputs!$B$39="pvp",15,MAX(0.1,Skills!D17-IF(Skills!E17=TRUE,Inputs!$B$33,0))),0)</f>
        <v/>
      </c>
      <c r="R183" t="n">
        <v>0</v>
      </c>
      <c r="S183" t="n">
        <v>0</v>
      </c>
      <c r="U183" t="n">
        <v>0</v>
      </c>
    </row>
    <row r="184">
      <c r="A184">
        <f>Skills!A18</f>
        <v/>
      </c>
      <c r="B184">
        <f>Skills!B18</f>
        <v/>
      </c>
      <c r="C184">
        <f>Inputs!$B$3&gt;=75</f>
        <v/>
      </c>
      <c r="D184">
        <f>IF(Skills!C18=1,60+Inputs!$B$26+Inputs!$B$30,IF(Skills!C18=2,90+Inputs!$B$27+Inputs!$B$30,IF(Skills!C18=3,120+Inputs!$B$28+Inputs!$B$30,MAX(0,(Inputs!$B$3-100)*3)+Inputs!$B$29+Inputs!$B$30)))</f>
        <v/>
      </c>
      <c r="E184">
        <f>INDEX(FactorTable!$B$2:$Y$301, MATCH(ROUND(MIN(300,MAX(1,D184)),0), FactorTable!$A$2:$A$301,0), Skills!L18+1)</f>
        <v/>
      </c>
      <c r="F184">
        <f>IF(Skills!M18=TRUE,(Skills!K18/10)*(E184/1000),Skills!K18/10)+Skills!N18</f>
        <v/>
      </c>
      <c r="G184">
        <f>Calc!G18</f>
        <v/>
      </c>
      <c r="H184">
        <f>Calc!H18</f>
        <v/>
      </c>
      <c r="I184">
        <f>IF(Skills!T18&lt;&gt;"",1+(Skills!T18/10)*($Z$3/1000)/100,1)</f>
        <v/>
      </c>
      <c r="J184" t="inlineStr"/>
      <c r="K184" t="inlineStr"/>
      <c r="L184" t="inlineStr"/>
      <c r="M184" t="inlineStr"/>
      <c r="N184" t="inlineStr"/>
      <c r="O184">
        <f>(1-Summary!$B$48)*S184+Summary!$B$48*U184</f>
        <v/>
      </c>
      <c r="P184">
        <f>IF(B208=0,0,O184/B208)</f>
        <v/>
      </c>
      <c r="Q184">
        <f>IFERROR(1/IF(Inputs!$B$39="pvp",15,MAX(0.1,Skills!D18-IF(Skills!E18=TRUE,Inputs!$B$33,0))),0)</f>
        <v/>
      </c>
      <c r="R184" t="n">
        <v>0</v>
      </c>
      <c r="S184" t="n">
        <v>0</v>
      </c>
      <c r="U184" t="n">
        <v>0</v>
      </c>
    </row>
    <row r="185">
      <c r="A185">
        <f>Skills!A19</f>
        <v/>
      </c>
      <c r="B185">
        <f>Skills!B19</f>
        <v/>
      </c>
      <c r="C185">
        <f>Inputs!$B$3&gt;=110</f>
        <v/>
      </c>
      <c r="D185">
        <f>IF(Skills!C19=1,60+Inputs!$B$26+Inputs!$B$30,IF(Skills!C19=2,90+Inputs!$B$27+Inputs!$B$30,IF(Skills!C19=3,120+Inputs!$B$28+Inputs!$B$30,MAX(0,(Inputs!$B$3-100)*3)+Inputs!$B$29+Inputs!$B$30)))</f>
        <v/>
      </c>
      <c r="E185">
        <f>INDEX(FactorTable!$B$2:$Y$301, MATCH(ROUND(MIN(300,MAX(1,D185)),0), FactorTable!$A$2:$A$301,0), Skills!L19+1)</f>
        <v/>
      </c>
      <c r="F185">
        <f>(Skills!K19/10)*(E185/1000)*64/45+Skills!N19</f>
        <v/>
      </c>
      <c r="G185">
        <f>Calc!G19</f>
        <v/>
      </c>
      <c r="H185">
        <f>Calc!H19</f>
        <v/>
      </c>
      <c r="I185">
        <f>IF(Skills!T19&lt;&gt;"",1+(Skills!T19/10)*($Z$3/1000)/100,1)</f>
        <v/>
      </c>
      <c r="J185" t="inlineStr"/>
      <c r="K185" t="inlineStr"/>
      <c r="L185" t="inlineStr"/>
      <c r="M185" t="inlineStr"/>
      <c r="N185" t="inlineStr"/>
      <c r="O185">
        <f>(1-Summary!$B$48)*S185+Summary!$B$48*U185</f>
        <v/>
      </c>
      <c r="P185">
        <f>IF(B208=0,0,O185/B208)</f>
        <v/>
      </c>
      <c r="Q185">
        <f>IFERROR(1/IF(Inputs!$B$39="pvp",15,MAX(0.1,Skills!D19-IF(Skills!E19=TRUE,Inputs!$B$33,0))),0)</f>
        <v/>
      </c>
      <c r="R185">
        <f>IF(AND(Inputs!$B$39&lt;&gt;"pvp",Inputs!$B$44&gt;0),IF(Inputs!$B$44&lt;=0,0,(INT(Inputs!$B$44/IF(Inputs!$B$39="pvp",15,MAX(0.1,Skills!D19-IF(Skills!E19=TRUE,Inputs!$B$33,0))))+1)),0)</f>
        <v/>
      </c>
      <c r="S185" t="n">
        <v>0</v>
      </c>
      <c r="U185" t="n">
        <v>0</v>
      </c>
    </row>
    <row r="186">
      <c r="A186">
        <f>Skills!A20</f>
        <v/>
      </c>
      <c r="B186">
        <f>Skills!B20</f>
        <v/>
      </c>
      <c r="C186">
        <f>Inputs!$B$3&gt;=125</f>
        <v/>
      </c>
      <c r="D186">
        <f>IF(Skills!C20=1,60+Inputs!$B$26+Inputs!$B$30,IF(Skills!C20=2,90+Inputs!$B$27+Inputs!$B$30,IF(Skills!C20=3,120+Inputs!$B$28+Inputs!$B$30,MAX(0,(Inputs!$B$3-100)*3)+Inputs!$B$29+Inputs!$B$30)))</f>
        <v/>
      </c>
      <c r="E186">
        <f>INDEX(FactorTable!$B$2:$Y$301, MATCH(ROUND(MIN(300,MAX(1,D186)),0), FactorTable!$A$2:$A$301,0), Skills!L20+1)</f>
        <v/>
      </c>
      <c r="F186">
        <f>IF(Skills!M20=TRUE,(Skills!K20/10)*(E186/1000),Skills!K20/10)+Skills!N20</f>
        <v/>
      </c>
      <c r="G186">
        <f>Calc!G20</f>
        <v/>
      </c>
      <c r="H186">
        <f>Calc!H20</f>
        <v/>
      </c>
      <c r="I186">
        <f>IF(Skills!T20&lt;&gt;"",1+(Skills!T20/10)*($Z$3/1000)/100,1)</f>
        <v/>
      </c>
      <c r="J186" t="inlineStr"/>
      <c r="K186" t="inlineStr"/>
      <c r="L186" t="inlineStr"/>
      <c r="M186" t="inlineStr"/>
      <c r="N186" t="inlineStr"/>
      <c r="O186">
        <f>(1-Summary!$B$48)*S186+Summary!$B$48*U186</f>
        <v/>
      </c>
      <c r="P186">
        <f>IF(B208=0,0,O186/B208)</f>
        <v/>
      </c>
      <c r="Q186">
        <f>IFERROR(1/IF(Inputs!$B$39="pvp",15,MAX(0.1,Skills!D20-IF(Skills!E20=TRUE,Inputs!$B$33,0))),0)</f>
        <v/>
      </c>
      <c r="R186" t="n">
        <v>0</v>
      </c>
      <c r="S186" t="n">
        <v>0</v>
      </c>
      <c r="U186" t="n">
        <v>0</v>
      </c>
    </row>
    <row r="187">
      <c r="A187">
        <f>Skills!A21</f>
        <v/>
      </c>
      <c r="B187">
        <f>Skills!B21</f>
        <v/>
      </c>
      <c r="C187">
        <f>Inputs!$B$3&gt;=33</f>
        <v/>
      </c>
      <c r="D187">
        <f>IF(Skills!C21=1,60+Inputs!$B$26+Inputs!$B$30,IF(Skills!C21=2,90+Inputs!$B$27+Inputs!$B$30,IF(Skills!C21=3,120+Inputs!$B$28+Inputs!$B$30,MAX(0,(Inputs!$B$3-100)*3)+Inputs!$B$29+Inputs!$B$30)))</f>
        <v/>
      </c>
      <c r="E187">
        <f>INDEX(FactorTable!$B$2:$Y$301, MATCH(ROUND(MIN(300,MAX(1,D187)),0), FactorTable!$A$2:$A$301,0), Skills!L21+1)</f>
        <v/>
      </c>
      <c r="F187">
        <f>IF(Skills!M21=TRUE,(Skills!K21/10)*(E187/1000),Skills!K21/10)+Skills!N21</f>
        <v/>
      </c>
      <c r="G187">
        <f>Calc!G21</f>
        <v/>
      </c>
      <c r="H187">
        <f>Calc!H21</f>
        <v/>
      </c>
      <c r="I187">
        <f>IF(Skills!T21&lt;&gt;"",1+(Skills!T21/10)*($Z$3/1000)/100,1)</f>
        <v/>
      </c>
      <c r="J187" t="inlineStr"/>
      <c r="K187" t="inlineStr"/>
      <c r="L187" t="inlineStr"/>
      <c r="M187" t="inlineStr"/>
      <c r="N187" t="inlineStr"/>
      <c r="O187">
        <f>(1-Summary!$B$48)*S187+Summary!$B$48*U187</f>
        <v/>
      </c>
      <c r="P187">
        <f>IF(B208=0,0,O187/B208)</f>
        <v/>
      </c>
      <c r="Q187">
        <f>IFERROR(1/IF(Inputs!$B$39="pvp",15,MAX(0.1,Skills!D21-IF(Skills!E21=TRUE,Inputs!$B$33,0))),0)</f>
        <v/>
      </c>
      <c r="R187" t="n">
        <v>0</v>
      </c>
      <c r="S187" t="n">
        <v>0</v>
      </c>
      <c r="U187" t="n">
        <v>0</v>
      </c>
    </row>
    <row r="188">
      <c r="A188">
        <f>Skills!A22</f>
        <v/>
      </c>
      <c r="B188">
        <f>Skills!B22</f>
        <v/>
      </c>
      <c r="C188">
        <f>Inputs!$B$3&gt;=43</f>
        <v/>
      </c>
      <c r="D188">
        <f>IF(Skills!C22=1,60+Inputs!$B$26+Inputs!$B$30,IF(Skills!C22=2,90+Inputs!$B$27+Inputs!$B$30,IF(Skills!C22=3,120+Inputs!$B$28+Inputs!$B$30,MAX(0,(Inputs!$B$3-100)*3)+Inputs!$B$29+Inputs!$B$30)))</f>
        <v/>
      </c>
      <c r="E188">
        <f>INDEX(FactorTable!$B$2:$Y$301, MATCH(ROUND(MIN(300,MAX(1,D188)),0), FactorTable!$A$2:$A$301,0), Skills!L22+1)</f>
        <v/>
      </c>
      <c r="F188">
        <f>IF(Skills!M22=TRUE,(Skills!K22/10)*(E188/1000),Skills!K22/10)+Skills!N22</f>
        <v/>
      </c>
      <c r="G188">
        <f>Calc!G22</f>
        <v/>
      </c>
      <c r="H188">
        <f>Calc!H22</f>
        <v/>
      </c>
      <c r="I188">
        <f>IF(Skills!T22&lt;&gt;"",1+(Skills!T22/10)*($Z$3/1000)/100,1)</f>
        <v/>
      </c>
      <c r="J188" t="inlineStr"/>
      <c r="K188" t="inlineStr"/>
      <c r="L188" t="inlineStr"/>
      <c r="M188" t="inlineStr"/>
      <c r="N188" t="inlineStr"/>
      <c r="O188">
        <f>(1-Summary!$B$48)*S188+Summary!$B$48*U188</f>
        <v/>
      </c>
      <c r="P188">
        <f>IF(B208=0,0,O188/B208)</f>
        <v/>
      </c>
      <c r="Q188">
        <f>IFERROR(1/IF(Inputs!$B$39="pvp",15,MAX(0.1,Skills!D22-IF(Skills!E22=TRUE,Inputs!$B$33,0))),0)</f>
        <v/>
      </c>
      <c r="R188" t="n">
        <v>0</v>
      </c>
      <c r="S188" t="n">
        <v>0</v>
      </c>
      <c r="U188" t="n">
        <v>0</v>
      </c>
    </row>
    <row r="189">
      <c r="A189">
        <f>Skills!A23</f>
        <v/>
      </c>
      <c r="B189">
        <f>Skills!B23</f>
        <v/>
      </c>
      <c r="C189">
        <f>Inputs!$B$3&gt;=50</f>
        <v/>
      </c>
      <c r="D189">
        <f>IF(Skills!C23=1,60+Inputs!$B$26+Inputs!$B$30,IF(Skills!C23=2,90+Inputs!$B$27+Inputs!$B$30,IF(Skills!C23=3,120+Inputs!$B$28+Inputs!$B$30,MAX(0,(Inputs!$B$3-100)*3)+Inputs!$B$29+Inputs!$B$30)))</f>
        <v/>
      </c>
      <c r="E189">
        <f>INDEX(FactorTable!$B$2:$Y$301, MATCH(ROUND(MIN(300,MAX(1,D189)),0), FactorTable!$A$2:$A$301,0), Skills!L23+1)</f>
        <v/>
      </c>
      <c r="F189">
        <f>IF(Skills!M23=TRUE,(Skills!K23/10)*(E189/1000),Skills!K23/10)+Skills!N23</f>
        <v/>
      </c>
      <c r="G189">
        <f>Calc!G23</f>
        <v/>
      </c>
      <c r="H189">
        <f>Calc!H23</f>
        <v/>
      </c>
      <c r="I189">
        <f>IF(Skills!T23&lt;&gt;"",1+(Skills!T23/10)*($Z$3/1000)/100,1)</f>
        <v/>
      </c>
      <c r="J189" t="inlineStr"/>
      <c r="K189" t="inlineStr"/>
      <c r="L189" t="inlineStr"/>
      <c r="M189" t="inlineStr"/>
      <c r="N189" t="inlineStr"/>
      <c r="O189">
        <f>(1-Summary!$B$48)*S189+Summary!$B$48*U189</f>
        <v/>
      </c>
      <c r="P189">
        <f>IF(B208=0,0,O189/B208)</f>
        <v/>
      </c>
      <c r="Q189">
        <f>IFERROR(1/IF(Inputs!$B$39="pvp",15,MAX(0.1,Skills!D23-IF(Skills!E23=TRUE,Inputs!$B$33,0))),0)</f>
        <v/>
      </c>
      <c r="R189" t="n">
        <v>0</v>
      </c>
      <c r="S189" t="n">
        <v>0</v>
      </c>
      <c r="U189" t="n">
        <v>0</v>
      </c>
    </row>
    <row r="190">
      <c r="A190">
        <f>Skills!A24</f>
        <v/>
      </c>
      <c r="B190">
        <f>Skills!B24</f>
        <v/>
      </c>
      <c r="C190">
        <f>Inputs!$B$3&gt;=74</f>
        <v/>
      </c>
      <c r="D190">
        <f>IF(Skills!C24=1,60+Inputs!$B$26+Inputs!$B$30,IF(Skills!C24=2,90+Inputs!$B$27+Inputs!$B$30,IF(Skills!C24=3,120+Inputs!$B$28+Inputs!$B$30,MAX(0,(Inputs!$B$3-100)*3)+Inputs!$B$29+Inputs!$B$30)))</f>
        <v/>
      </c>
      <c r="E190">
        <f>INDEX(FactorTable!$B$2:$Y$301, MATCH(ROUND(MIN(300,MAX(1,D190)),0), FactorTable!$A$2:$A$301,0), Skills!L24+1)</f>
        <v/>
      </c>
      <c r="F190">
        <f>IF(Skills!M24=TRUE,(Skills!K24/10)*(E190/1000),Skills!K24/10)+Skills!N24</f>
        <v/>
      </c>
      <c r="G190">
        <f>Calc!G24</f>
        <v/>
      </c>
      <c r="H190">
        <f>Calc!H24</f>
        <v/>
      </c>
      <c r="I190">
        <f>IF(Skills!T24&lt;&gt;"",1+(Skills!T24/10)*($Z$3/1000)/100,1)</f>
        <v/>
      </c>
      <c r="J190" t="inlineStr"/>
      <c r="K190" t="inlineStr"/>
      <c r="L190" t="inlineStr"/>
      <c r="M190" t="inlineStr"/>
      <c r="N190" t="inlineStr"/>
      <c r="O190">
        <f>(1-Summary!$B$48)*S190+Summary!$B$48*U190</f>
        <v/>
      </c>
      <c r="P190">
        <f>IF(B208=0,0,O190/B208)</f>
        <v/>
      </c>
      <c r="Q190">
        <f>IFERROR(1/IF(Inputs!$B$39="pvp",15,MAX(0.1,Skills!D24-IF(Skills!E24=TRUE,Inputs!$B$33,0))),0)</f>
        <v/>
      </c>
      <c r="R190" t="n">
        <v>0</v>
      </c>
      <c r="S190" t="n">
        <v>0</v>
      </c>
      <c r="U190" t="n">
        <v>0</v>
      </c>
    </row>
    <row r="191">
      <c r="A191">
        <f>Skills!A25</f>
        <v/>
      </c>
      <c r="B191">
        <f>Skills!B25</f>
        <v/>
      </c>
      <c r="C191">
        <f>Inputs!$B$3&gt;=74</f>
        <v/>
      </c>
      <c r="D191">
        <f>IF(Skills!C25=1,60+Inputs!$B$26+Inputs!$B$30,IF(Skills!C25=2,90+Inputs!$B$27+Inputs!$B$30,IF(Skills!C25=3,120+Inputs!$B$28+Inputs!$B$30,MAX(0,(Inputs!$B$3-100)*3)+Inputs!$B$29+Inputs!$B$30)))</f>
        <v/>
      </c>
      <c r="E191">
        <f>INDEX(FactorTable!$B$2:$Y$301, MATCH(ROUND(MIN(300,MAX(1,D191)),0), FactorTable!$A$2:$A$301,0), Skills!L25+1)</f>
        <v/>
      </c>
      <c r="F191">
        <f>IF(Skills!M25=TRUE,(Skills!K25/10)*(E191/1000),Skills!K25/10)+Skills!N25</f>
        <v/>
      </c>
      <c r="G191">
        <f>Calc!G25</f>
        <v/>
      </c>
      <c r="H191">
        <f>Calc!H25</f>
        <v/>
      </c>
      <c r="I191">
        <f>IF(Skills!T25&lt;&gt;"",1+(Skills!T25/10)*($Z$3/1000)/100,1)</f>
        <v/>
      </c>
      <c r="J191" t="inlineStr"/>
      <c r="K191" t="inlineStr"/>
      <c r="L191" t="inlineStr"/>
      <c r="M191" t="inlineStr"/>
      <c r="N191" t="inlineStr"/>
      <c r="O191">
        <f>(1-Summary!$B$48)*S191+Summary!$B$48*U191</f>
        <v/>
      </c>
      <c r="P191">
        <f>IF(B208=0,0,O191/B208)</f>
        <v/>
      </c>
      <c r="Q191">
        <f>IFERROR(1/IF(Inputs!$B$39="pvp",15,MAX(0.1,Skills!D25-IF(Skills!E25=TRUE,Inputs!$B$33,0))),0)</f>
        <v/>
      </c>
      <c r="R191" t="n">
        <v>0</v>
      </c>
      <c r="S191" t="n">
        <v>0</v>
      </c>
      <c r="U191" t="n">
        <v>0</v>
      </c>
    </row>
    <row r="192">
      <c r="A192">
        <f>Skills!A26</f>
        <v/>
      </c>
      <c r="B192">
        <f>Skills!B26</f>
        <v/>
      </c>
      <c r="C192">
        <f>Inputs!$B$3&gt;=117</f>
        <v/>
      </c>
      <c r="D192">
        <f>IF(Skills!C26=1,60+Inputs!$B$26+Inputs!$B$30,IF(Skills!C26=2,90+Inputs!$B$27+Inputs!$B$30,IF(Skills!C26=3,120+Inputs!$B$28+Inputs!$B$30,MAX(0,(Inputs!$B$3-100)*3)+Inputs!$B$29+Inputs!$B$30)))</f>
        <v/>
      </c>
      <c r="E192">
        <f>INDEX(FactorTable!$B$2:$Y$301, MATCH(ROUND(MIN(300,MAX(1,D192)),0), FactorTable!$A$2:$A$301,0), Skills!L26+1)</f>
        <v/>
      </c>
      <c r="F192">
        <f>IF(Skills!M26=TRUE,(Skills!K26/10)*(E192/1000),Skills!K26/10)+Skills!N26</f>
        <v/>
      </c>
      <c r="G192">
        <f>Calc!G26</f>
        <v/>
      </c>
      <c r="H192">
        <f>Calc!H26</f>
        <v/>
      </c>
      <c r="I192">
        <f>IF(Skills!T26&lt;&gt;"",1+(Skills!T26/10)*($Z$3/1000)/100,1)</f>
        <v/>
      </c>
      <c r="J192" t="inlineStr"/>
      <c r="K192" t="inlineStr"/>
      <c r="L192" t="inlineStr"/>
      <c r="M192" t="inlineStr"/>
      <c r="N192" t="inlineStr"/>
      <c r="O192">
        <f>(1-Summary!$B$48)*S192+Summary!$B$48*U192</f>
        <v/>
      </c>
      <c r="P192">
        <f>IF(B208=0,0,O192/B208)</f>
        <v/>
      </c>
      <c r="Q192">
        <f>IFERROR(1/IF(Inputs!$B$39="pvp",15,MAX(0.1,Skills!D26-IF(Skills!E26=TRUE,Inputs!$B$33,0))),0)</f>
        <v/>
      </c>
      <c r="R192" t="n">
        <v>0</v>
      </c>
      <c r="S192" t="n">
        <v>0</v>
      </c>
      <c r="U192" t="n">
        <v>0</v>
      </c>
    </row>
    <row r="193">
      <c r="A193">
        <f>Skills!A27</f>
        <v/>
      </c>
      <c r="B193">
        <f>Skills!B27</f>
        <v/>
      </c>
      <c r="C193">
        <f>Inputs!$B$3&gt;=120</f>
        <v/>
      </c>
      <c r="D193">
        <f>IF(Skills!C27=1,60+Inputs!$B$26+Inputs!$B$30,IF(Skills!C27=2,90+Inputs!$B$27+Inputs!$B$30,IF(Skills!C27=3,120+Inputs!$B$28+Inputs!$B$30,MAX(0,(Inputs!$B$3-100)*3)+Inputs!$B$29+Inputs!$B$30)))</f>
        <v/>
      </c>
      <c r="E193">
        <f>INDEX(FactorTable!$B$2:$Y$301, MATCH(ROUND(MIN(300,MAX(1,D193)),0), FactorTable!$A$2:$A$301,0), Skills!L27+1)</f>
        <v/>
      </c>
      <c r="F193">
        <f>IF(Skills!M27=TRUE,(Skills!K27/10)*(E193/1000),Skills!K27/10)+Skills!N27</f>
        <v/>
      </c>
      <c r="G193">
        <f>Calc!G27</f>
        <v/>
      </c>
      <c r="H193">
        <f>Calc!H27</f>
        <v/>
      </c>
      <c r="I193">
        <f>IF(Skills!T27&lt;&gt;"",1+(Skills!T27/10)*($Z$3/1000)/100,1)</f>
        <v/>
      </c>
      <c r="J193" t="inlineStr"/>
      <c r="K193" t="inlineStr"/>
      <c r="L193" t="inlineStr"/>
      <c r="M193" t="inlineStr"/>
      <c r="N193" t="inlineStr"/>
      <c r="O193">
        <f>(1-Summary!$B$48)*S193+Summary!$B$48*U193</f>
        <v/>
      </c>
      <c r="P193">
        <f>IF(B208=0,0,O193/B208)</f>
        <v/>
      </c>
      <c r="Q193">
        <f>IFERROR(1/IF(Inputs!$B$39="pvp",15,MAX(0.1,Skills!D27-IF(Skills!E27=TRUE,Inputs!$B$33,0))),0)</f>
        <v/>
      </c>
      <c r="R193" t="n">
        <v>0</v>
      </c>
      <c r="S193" t="n">
        <v>0</v>
      </c>
      <c r="U193" t="n">
        <v>0</v>
      </c>
    </row>
    <row r="195">
      <c r="A195" t="inlineStr">
        <is>
          <t>Average Buff Multiplier</t>
        </is>
      </c>
      <c r="B195">
        <f>(1+(IF(C169=TRUE,F169*IF(AND(Inputs!$B$39&lt;&gt;"pvp",Inputs!$B$44&gt;0),(((R169-1)*(Skills!S3*(1+(Inputs!$B$35+IF(Inputs!$B$3&gt;=117,F192,0))/100))+MIN((Skills!S3*(1+(Inputs!$B$35+IF(Inputs!$B$3&gt;=117,F192,0))/100)),MAX(0,Inputs!$B$44-((R169-1)*Skills!D3))))/Inputs!$B$44),IF(Inputs!$B$39="pvp",MIN((Skills!S3*(1+(Inputs!$B$35+IF(Inputs!$B$3&gt;=117,F192,0))/100)),15)/15,(Skills!S3*(1+(Inputs!$B$35+IF(Inputs!$B$3&gt;=117,F192,0))/100))/Skills!D3)),0)+IF(C170=TRUE,F170*IF(AND(Inputs!$B$39&lt;&gt;"pvp",Inputs!$B$44&gt;0),(((R170-1)*(Skills!S4*(1+(Inputs!$B$35+IF(Inputs!$B$3&gt;=117,F192,0))/100))+MIN((Skills!S4*(1+(Inputs!$B$35+IF(Inputs!$B$3&gt;=117,F192,0))/100)),MAX(0,Inputs!$B$44-((R170-1)*Skills!D4))))/Inputs!$B$44),IF(Inputs!$B$39="pvp",MIN((Skills!S4*(1+(Inputs!$B$35+IF(Inputs!$B$3&gt;=117,F192,0))/100)),15)/15,(Skills!S4*(1+(Inputs!$B$35+IF(Inputs!$B$3&gt;=117,F192,0))/100))/Skills!D4)),0)+IF(C171=TRUE,F171*IF(AND(Inputs!$B$39&lt;&gt;"pvp",Inputs!$B$44&gt;0),(((R171-1)*(Skills!S5*(1+(Inputs!$B$35+IF(Inputs!$B$3&gt;=117,F192,0))/100))+MIN((Skills!S5*(1+(Inputs!$B$35+IF(Inputs!$B$3&gt;=117,F192,0))/100)),MAX(0,Inputs!$B$44-((R171-1)*Skills!D5))))/Inputs!$B$44),IF(Inputs!$B$39="pvp",MIN((Skills!S5*(1+(Inputs!$B$35+IF(Inputs!$B$3&gt;=117,F192,0))/100)),15)/15,(Skills!S5*(1+(Inputs!$B$35+IF(Inputs!$B$3&gt;=117,F192,0))/100))/Skills!D5)),0)+IF(C177=TRUE,F177*IF(AND(Inputs!$B$39&lt;&gt;"pvp",Inputs!$B$44&gt;0),(((R177-1)*(Skills!S11*(1+(Inputs!$B$35+IF(Inputs!$B$3&gt;=117,F192,0))/100))+MIN((Skills!S11*(1+(Inputs!$B$35+IF(Inputs!$B$3&gt;=117,F192,0))/100)),MAX(0,Inputs!$B$44-((R177-1)*Skills!D11))))/Inputs!$B$44),IF(Inputs!$B$39="pvp",MIN((Skills!S11*(1+(Inputs!$B$35+IF(Inputs!$B$3&gt;=117,F192,0))/100)),15)/15,(Skills!S11*(1+(Inputs!$B$35+IF(Inputs!$B$3&gt;=117,F192,0))/100))/Skills!D11)),0))/100)*IF(C180=TRUE,(1+F180*IF(AND(Inputs!$B$39&lt;&gt;"pvp",Inputs!$B$44&gt;0),(((R180-1)*(Skills!S14*(1+(Inputs!$B$35+IF(Inputs!$B$3&gt;=117,F192,0))/100))+MIN((Skills!S14*(1+(Inputs!$B$35+IF(Inputs!$B$3&gt;=117,F192,0))/100)),MAX(0,Inputs!$B$44-((R180-1)*Skills!D14))))/Inputs!$B$44),IF(Inputs!$B$39="pvp",MIN((Skills!S14*(1+(Inputs!$B$35+IF(Inputs!$B$3&gt;=117,F192,0))/100)),15)/15,(Skills!S14*(1+(Inputs!$B$35+IF(Inputs!$B$3&gt;=117,F192,0))/100))/Skills!D14))/100),1)*IF(C185=TRUE,(1+F185*IF(AND(Inputs!$B$39&lt;&gt;"pvp",Inputs!$B$44&gt;0),(((R185-1)*(Skills!S19*(1+(Inputs!$B$35+IF(Inputs!$B$3&gt;=117,F192,0))/100))+MIN((Skills!S19*(1+(Inputs!$B$35+IF(Inputs!$B$3&gt;=117,F192,0))/100)),MAX(0,Inputs!$B$44-((R185-1)*Skills!D19))))/Inputs!$B$44),IF(Inputs!$B$39="pvp",MIN((Skills!S19*(1+(Inputs!$B$35+IF(Inputs!$B$3&gt;=117,F192,0))/100)),15)/15,(Skills!S19*(1+(Inputs!$B$35+IF(Inputs!$B$3&gt;=117,F192,0))/100))/Skills!D19))/100),1)</f>
        <v/>
      </c>
    </row>
    <row r="196">
      <c r="A196" t="inlineStr">
        <is>
          <t>Monster Damage Taken Bonus % (Holy Fountain)</t>
        </is>
      </c>
      <c r="B196">
        <f>IF(Inputs!$B$3&gt;=68,20*IF(Inputs!$B$39="pvp",MIN((15*(1+(Inputs!$B$35+IF(Inputs!$B$3&gt;=117,F192,0))/100)),15)/15,(15*(1+(Inputs!$B$35+IF(Inputs!$B$3&gt;=117,F192,0))/100))/Skills!D10),0)</f>
        <v/>
      </c>
    </row>
    <row r="197">
      <c r="A197" t="inlineStr">
        <is>
          <t>Normal Monster Damage Bonus % (Holy Symbol)</t>
        </is>
      </c>
      <c r="B197">
        <f>IF(C178=TRUE,F178*IF(AND(Inputs!$B$39&lt;&gt;"pvp",Inputs!$B$44&gt;0),(((R178-1)*(Skills!S12*(1+(Inputs!$B$35+IF(Inputs!$B$3&gt;=117,F192,0))/100))+MIN((Skills!S12*(1+(Inputs!$B$35+IF(Inputs!$B$3&gt;=117,F192,0))/100)),MAX(0,Inputs!$B$44-((R178-1)*Skills!D12))))/Inputs!$B$44),IF(Inputs!$B$39="pvp",MIN((Skills!S12*(1+(Inputs!$B$35+IF(Inputs!$B$3&gt;=117,F192,0))/100)),15)/15,(Skills!S12*(1+(Inputs!$B$35+IF(Inputs!$B$3&gt;=117,F192,0))/100))/Skills!D12)),0)</f>
        <v/>
      </c>
    </row>
    <row r="198">
      <c r="A198" t="inlineStr">
        <is>
          <t>Damage % Bonus (Holy Symbol - Damage Boost)</t>
        </is>
      </c>
      <c r="B198">
        <f>Skills!O12</f>
        <v/>
      </c>
    </row>
    <row r="199">
      <c r="A199" t="inlineStr">
        <is>
          <t>Crit Damage % Bonus (Blood of the Divine)</t>
        </is>
      </c>
      <c r="B199">
        <f>4*IF(C186=TRUE,F186,0)</f>
        <v/>
      </c>
    </row>
    <row r="200">
      <c r="A200" t="inlineStr">
        <is>
          <t>Attack Speed Bonus %</t>
        </is>
      </c>
      <c r="B200">
        <f>IF(C183=TRUE,F183+(F187-Calc!F21),0)+IF(Inputs!$B$3&gt;=134,15,0)</f>
        <v/>
      </c>
    </row>
    <row r="201">
      <c r="A201" t="inlineStr">
        <is>
          <t>Actions Per Second</t>
        </is>
      </c>
      <c r="B201">
        <f>1+MIN(150,150*(1-(1-Inputs!$B$12/150)*(1-B200/150)))/100</f>
        <v/>
      </c>
    </row>
    <row r="202">
      <c r="A202" t="inlineStr">
        <is>
          <t>Skill + Buff Cast Rate</t>
        </is>
      </c>
      <c r="B202">
        <f>IF(AND(Inputs!$B$39&lt;&gt;"pvp",Inputs!$B$44&gt;0),SUMPRODUCT((Skills!E2:E27=TRUE)*(C168:C193=TRUE)*R168:R193)/Inputs!$B$44,SUMPRODUCT((Skills!E2:E27=TRUE)*(C168:C193=TRUE)*Q168:Q193))</f>
        <v/>
      </c>
    </row>
    <row r="203">
      <c r="A203" t="inlineStr">
        <is>
          <t>Big Bang Casts Per Second</t>
        </is>
      </c>
      <c r="B203">
        <f>MAX(0,B201-B202)</f>
        <v/>
      </c>
    </row>
    <row r="204">
      <c r="A204" t="inlineStr">
        <is>
          <t>Defense % Bonus (Divine Protection)</t>
        </is>
      </c>
      <c r="B204">
        <f>IF(C179=TRUE,F179*IF(AND(Inputs!$B$39&lt;&gt;"pvp",Inputs!$B$44&gt;0),(((R179-1)*(Skills!S13*(1+(Inputs!$B$35+IF(Inputs!$B$3&gt;=117,F192,0))/100))+MIN((Skills!S13*(1+(Inputs!$B$35+IF(Inputs!$B$3&gt;=117,F192,0))/100)),MAX(0,Inputs!$B$44-((R179-1)*Skills!D13))))/Inputs!$B$44),IF(Inputs!$B$39="pvp",MIN((Skills!S13*(1+(Inputs!$B$35+IF(Inputs!$B$3&gt;=117,F192,0))/100)),15)/15,(Skills!S13*(1+(Inputs!$B$35+IF(Inputs!$B$3&gt;=117,F192,0))/100))/Skills!D13)),0)</f>
        <v/>
      </c>
    </row>
    <row r="205">
      <c r="A205" t="inlineStr">
        <is>
          <t>Buff-Casting Startup Delay (s, fixed-duration only)</t>
        </is>
      </c>
      <c r="B205">
        <f>IF(AND(Inputs!$B$39&lt;&gt;"pvp",Inputs!$B$44&gt;0),SUMPRODUCT((Skills!S2:S27&gt;0)*(Skills!E2:E27=TRUE)*(C168:C193=TRUE))/B201,0)</f>
        <v/>
      </c>
    </row>
    <row r="206">
      <c r="A206" t="inlineStr">
        <is>
          <t>Boss-Only Total DPS (this block's swept value)</t>
        </is>
      </c>
      <c r="B206">
        <f>SUM(S168:S193)</f>
        <v/>
      </c>
    </row>
    <row r="207">
      <c r="A207" t="inlineStr">
        <is>
          <t>Normal-Only Total DPS (this block's swept value)</t>
        </is>
      </c>
      <c r="B207">
        <f>SUM(U168:U193)</f>
        <v/>
      </c>
    </row>
    <row r="208">
      <c r="A208" s="5" t="inlineStr">
        <is>
          <t>TOTAL DPS</t>
        </is>
      </c>
      <c r="B208" s="5">
        <f>SUM(O168:O193)</f>
        <v/>
      </c>
    </row>
    <row r="210">
      <c r="A210" s="5" t="inlineStr">
        <is>
          <t>Stat: DAMAGE %</t>
        </is>
      </c>
    </row>
    <row r="211">
      <c r="A211" s="9" t="inlineStr">
        <is>
          <t>Key</t>
        </is>
      </c>
      <c r="B211" s="9" t="inlineStr">
        <is>
          <t>Name</t>
        </is>
      </c>
      <c r="C211" s="9" t="inlineStr">
        <is>
          <t>Unlocked</t>
        </is>
      </c>
      <c r="D211" s="9" t="inlineStr">
        <is>
          <t>InputLevel</t>
        </is>
      </c>
      <c r="E211" s="9" t="inlineStr">
        <is>
          <t>Factor</t>
        </is>
      </c>
      <c r="F211" s="9" t="inlineStr">
        <is>
          <t>CoefficientPercent</t>
        </is>
      </c>
      <c r="G211" s="9" t="inlineStr">
        <is>
          <t>EffectiveHits</t>
        </is>
      </c>
      <c r="H211" s="9" t="inlineStr">
        <is>
          <t>ProcProbability</t>
        </is>
      </c>
      <c r="I211" s="9" t="inlineStr">
        <is>
          <t>MapleHeroMultiplier</t>
        </is>
      </c>
      <c r="J211" s="9" t="inlineStr">
        <is>
          <t>BaseDamage</t>
        </is>
      </c>
      <c r="K211" s="9" t="inlineStr">
        <is>
          <t>BaseHitDamage</t>
        </is>
      </c>
      <c r="L211" s="9" t="inlineStr">
        <is>
          <t>NonCritAvg</t>
        </is>
      </c>
      <c r="M211" s="9" t="inlineStr">
        <is>
          <t>CritAvg</t>
        </is>
      </c>
      <c r="N211" s="9" t="inlineStr">
        <is>
          <t>ExpectedDamage(perHit)</t>
        </is>
      </c>
      <c r="O211" s="9" t="inlineStr">
        <is>
          <t>DPS</t>
        </is>
      </c>
      <c r="P211" s="9" t="inlineStr">
        <is>
          <t>% of Total</t>
        </is>
      </c>
      <c r="R211" t="inlineStr">
        <is>
          <t>helpers</t>
        </is>
      </c>
    </row>
    <row r="212">
      <c r="A212">
        <f>Skills!A2</f>
        <v/>
      </c>
      <c r="B212">
        <f>Skills!B2</f>
        <v/>
      </c>
      <c r="C212">
        <f>Inputs!$B$3&gt;=100</f>
        <v/>
      </c>
      <c r="D212" t="inlineStr"/>
      <c r="E212" t="inlineStr"/>
      <c r="F212">
        <f>T214+Skills!N2</f>
        <v/>
      </c>
      <c r="G212">
        <f>Calc!G2</f>
        <v/>
      </c>
      <c r="H212">
        <f>Calc!H2</f>
        <v/>
      </c>
      <c r="I212">
        <f>IF(Skills!T2&lt;&gt;"",1+(Skills!T2/10)*($Z$3/1000)/100,1)</f>
        <v/>
      </c>
      <c r="J212">
        <f>((Inputs!$B$6*(1+Inputs!$B$7/100))+(((Inputs!$B$13*(1+Inputs!$B$14/100))-(Inputs!$B$13*(1+Inputs!$B$14/100)))+0.25*(Inputs!$B$15-Inputs!$B$15))*(1+Inputs!$B$7/100))*(F212/100)</f>
        <v/>
      </c>
      <c r="K212">
        <f>J212*(1+(((Inputs!$B$13+IF(Inputs!$B$3&gt;=35,(10*INDEX(FactorTable!$B$2:$Y$301, MATCH(ROUND(MIN(300,MAX(1,Inputs!$B$3)),0), FactorTable!$A$2:$A$301,0), 23)/1000)/100*(Inputs!$B$8*(1+(Inputs!$B$9+B248)/100)),0))*(1+Inputs!$B$14/100))*0.01+Inputs!$B$15*0.0025)/100)*(1+((Inputs!$B$16+1)+B242)/100)*(1+Inputs!$B$17/100)*(5000/(6000+Inputs!$B$43*(1-Inputs!$B$20/100)))*(1+Inputs!$B$25/100)*(1+IF(C228=TRUE,F228,0)/100)*(1+IF(C230=TRUE,F230,0)/100)*(1+IF(Skills!A2="TRIUMPH_FEATHER",IF(C226=TRUE,F226,0),0)/100)*(1+IF(C237=TRUE,F237,0)/100)^5*(1+(IF(Skills!A2="BIG_BANG",Inputs!$B$18,Inputs!$B$19))/100)*(B239*I212)</f>
        <v/>
      </c>
      <c r="L212">
        <f>K212*(MIN(Inputs!$B$23+(F232-Calc!F22),Inputs!$B$24)/100+Inputs!$B$24/100)/2</f>
        <v/>
      </c>
      <c r="M212">
        <f>L212*(1+(Inputs!$B$11+B243+(F235-Calc!F25))/100)</f>
        <v/>
      </c>
      <c r="N212">
        <f>L212*(1-MIN(Inputs!$B$10+((F234-Calc!F24)+(F233-Calc!F23)),100)/100)+M212*(MIN(Inputs!$B$10+((F234-Calc!F24)+(F233-Calc!F23)),100)/100)</f>
        <v/>
      </c>
      <c r="O212">
        <f>(1-Summary!$B$48)*S212+Summary!$B$48*U212</f>
        <v/>
      </c>
      <c r="P212">
        <f>IF(B252=0,0,O212/B252)</f>
        <v/>
      </c>
      <c r="Q212">
        <f>IFERROR(1/IF(Inputs!$B$39="pvp",15,MAX(0.1,Skills!D2-IF(Skills!E2=TRUE,Inputs!$B$33,0))),0)</f>
        <v/>
      </c>
      <c r="R212" t="n">
        <v>0</v>
      </c>
      <c r="S212">
        <f>IF(C212,(Skills!F2*N212*B247)*IF(Inputs!$B$39="pvp",1,1+(Inputs!$B$21+Skills!O2+B240)/100),0)</f>
        <v/>
      </c>
      <c r="T212">
        <f>MAX(0,(Inputs!$B$3-100)*3)+Inputs!$B$29+Inputs!$B$30</f>
        <v/>
      </c>
      <c r="U212">
        <f>IF(C212,(Skills!F2*N212*B247)*IF(Inputs!$B$39="pvp",1,(1+(Inputs!$B$22+Skills!P2+B241)/100)*(MIN((6+Inputs!$B$34),Inputs!$B$38))),0)</f>
        <v/>
      </c>
    </row>
    <row r="213">
      <c r="A213">
        <f>Skills!A3</f>
        <v/>
      </c>
      <c r="B213">
        <f>Skills!B3</f>
        <v/>
      </c>
      <c r="C213">
        <f>Inputs!$B$3&gt;=15</f>
        <v/>
      </c>
      <c r="D213">
        <f>IF(Skills!C3=1,60+Inputs!$B$26+Inputs!$B$30,IF(Skills!C3=2,90+Inputs!$B$27+Inputs!$B$30,IF(Skills!C3=3,120+Inputs!$B$28+Inputs!$B$30,MAX(0,(Inputs!$B$3-100)*3)+Inputs!$B$29+Inputs!$B$30)))</f>
        <v/>
      </c>
      <c r="E213">
        <f>INDEX(FactorTable!$B$2:$Y$301, MATCH(ROUND(MIN(300,MAX(1,D213)),0), FactorTable!$A$2:$A$301,0), Skills!L3+1)</f>
        <v/>
      </c>
      <c r="F213">
        <f>IF(Skills!M3=TRUE,(Skills!K3/10)*(E213/1000),Skills!K3/10)+Skills!N3</f>
        <v/>
      </c>
      <c r="G213">
        <f>Calc!G3</f>
        <v/>
      </c>
      <c r="H213">
        <f>Calc!H3</f>
        <v/>
      </c>
      <c r="I213">
        <f>IF(Skills!T3&lt;&gt;"",1+(Skills!T3/10)*($Z$3/1000)/100,1)</f>
        <v/>
      </c>
      <c r="J213" t="inlineStr"/>
      <c r="K213" t="inlineStr"/>
      <c r="L213" t="inlineStr"/>
      <c r="M213" t="inlineStr"/>
      <c r="N213" t="inlineStr"/>
      <c r="O213">
        <f>(1-Summary!$B$48)*S213+Summary!$B$48*U213</f>
        <v/>
      </c>
      <c r="P213">
        <f>IF(B252=0,0,O213/B252)</f>
        <v/>
      </c>
      <c r="Q213">
        <f>IFERROR(1/IF(Inputs!$B$39="pvp",15,MAX(0.1,Skills!D3-IF(Skills!E3=TRUE,Inputs!$B$33,0))),0)</f>
        <v/>
      </c>
      <c r="R213">
        <f>IF(AND(Inputs!$B$39&lt;&gt;"pvp",Inputs!$B$44&gt;0),IF(Inputs!$B$44&lt;=0,0,(INT(Inputs!$B$44/IF(Inputs!$B$39="pvp",15,MAX(0.1,Skills!D3-IF(Skills!E3=TRUE,Inputs!$B$33,0))))+1)),0)</f>
        <v/>
      </c>
      <c r="S213" t="n">
        <v>0</v>
      </c>
      <c r="T213">
        <f>INDEX(FactorTable!$B$2:$Y$301, MATCH(ROUND(MIN(300,MAX(1,T212)),0), FactorTable!$A$2:$A$301,0), 22)</f>
        <v/>
      </c>
      <c r="U213" t="n">
        <v>0</v>
      </c>
    </row>
    <row r="214">
      <c r="A214">
        <f>Skills!A4</f>
        <v/>
      </c>
      <c r="B214">
        <f>Skills!B4</f>
        <v/>
      </c>
      <c r="C214">
        <f>Inputs!$B$3&gt;=38</f>
        <v/>
      </c>
      <c r="D214">
        <f>IF(Skills!C4=1,60+Inputs!$B$26+Inputs!$B$30,IF(Skills!C4=2,90+Inputs!$B$27+Inputs!$B$30,IF(Skills!C4=3,120+Inputs!$B$28+Inputs!$B$30,MAX(0,(Inputs!$B$3-100)*3)+Inputs!$B$29+Inputs!$B$30)))</f>
        <v/>
      </c>
      <c r="E214">
        <f>INDEX(FactorTable!$B$2:$Y$301, MATCH(ROUND(MIN(300,MAX(1,D214)),0), FactorTable!$A$2:$A$301,0), Skills!L4+1)</f>
        <v/>
      </c>
      <c r="F214">
        <f>IF(Skills!M4=TRUE,(Skills!K4/10)*(E214/1000),Skills!K4/10)+Skills!N4</f>
        <v/>
      </c>
      <c r="G214">
        <f>Calc!G4</f>
        <v/>
      </c>
      <c r="H214">
        <f>Calc!H4</f>
        <v/>
      </c>
      <c r="I214">
        <f>IF(Skills!T4&lt;&gt;"",1+(Skills!T4/10)*($Z$3/1000)/100,1)</f>
        <v/>
      </c>
      <c r="J214" t="inlineStr"/>
      <c r="K214" t="inlineStr"/>
      <c r="L214" t="inlineStr"/>
      <c r="M214" t="inlineStr"/>
      <c r="N214" t="inlineStr"/>
      <c r="O214">
        <f>(1-Summary!$B$48)*S214+Summary!$B$48*U214</f>
        <v/>
      </c>
      <c r="P214">
        <f>IF(B252=0,0,O214/B252)</f>
        <v/>
      </c>
      <c r="Q214">
        <f>IFERROR(1/IF(Inputs!$B$39="pvp",15,MAX(0.1,Skills!D4-IF(Skills!E4=TRUE,Inputs!$B$33,0))),0)</f>
        <v/>
      </c>
      <c r="R214">
        <f>IF(AND(Inputs!$B$39&lt;&gt;"pvp",Inputs!$B$44&gt;0),IF(Inputs!$B$44&lt;=0,0,(INT(Inputs!$B$44/IF(Inputs!$B$39="pvp",15,MAX(0.1,Skills!D4-IF(Skills!E4=TRUE,Inputs!$B$33,0))))+1)),0)</f>
        <v/>
      </c>
      <c r="S214" t="n">
        <v>0</v>
      </c>
      <c r="T214">
        <f>290*T213/1000</f>
        <v/>
      </c>
      <c r="U214" t="n">
        <v>0</v>
      </c>
    </row>
    <row r="215">
      <c r="A215">
        <f>Skills!A5</f>
        <v/>
      </c>
      <c r="B215">
        <f>Skills!B5</f>
        <v/>
      </c>
      <c r="C215">
        <f>Inputs!$B$3&gt;=40</f>
        <v/>
      </c>
      <c r="D215">
        <f>IF(Skills!C5=1,60+Inputs!$B$26+Inputs!$B$30,IF(Skills!C5=2,90+Inputs!$B$27+Inputs!$B$30,IF(Skills!C5=3,120+Inputs!$B$28+Inputs!$B$30,MAX(0,(Inputs!$B$3-100)*3)+Inputs!$B$29+Inputs!$B$30)))</f>
        <v/>
      </c>
      <c r="E215">
        <f>INDEX(FactorTable!$B$2:$Y$301, MATCH(ROUND(MIN(300,MAX(1,D215)),0), FactorTable!$A$2:$A$301,0), Skills!L5+1)</f>
        <v/>
      </c>
      <c r="F215">
        <f>IF(Skills!M5=TRUE,(Skills!K5/10)*(E215/1000),Skills!K5/10)+Skills!N5</f>
        <v/>
      </c>
      <c r="G215">
        <f>Calc!G5</f>
        <v/>
      </c>
      <c r="H215">
        <f>Calc!H5</f>
        <v/>
      </c>
      <c r="I215">
        <f>IF(Skills!T5&lt;&gt;"",1+(Skills!T5/10)*($Z$3/1000)/100,1)</f>
        <v/>
      </c>
      <c r="J215" t="inlineStr"/>
      <c r="K215" t="inlineStr"/>
      <c r="L215" t="inlineStr"/>
      <c r="M215" t="inlineStr"/>
      <c r="N215" t="inlineStr"/>
      <c r="O215">
        <f>(1-Summary!$B$48)*S215+Summary!$B$48*U215</f>
        <v/>
      </c>
      <c r="P215">
        <f>IF(B252=0,0,O215/B252)</f>
        <v/>
      </c>
      <c r="Q215">
        <f>IFERROR(1/IF(Inputs!$B$39="pvp",15,MAX(0.1,Skills!D5-IF(Skills!E5=TRUE,Inputs!$B$33,0))),0)</f>
        <v/>
      </c>
      <c r="R215">
        <f>IF(AND(Inputs!$B$39&lt;&gt;"pvp",Inputs!$B$44&gt;0),IF(Inputs!$B$44&lt;=0,0,(INT(Inputs!$B$44/IF(Inputs!$B$39="pvp",15,MAX(0.1,Skills!D5-IF(Skills!E5=TRUE,Inputs!$B$33,0))))+1)),0)</f>
        <v/>
      </c>
      <c r="S215" t="n">
        <v>0</v>
      </c>
      <c r="U215" t="n">
        <v>0</v>
      </c>
    </row>
    <row r="216">
      <c r="A216">
        <f>Skills!A6</f>
        <v/>
      </c>
      <c r="B216">
        <f>Skills!B6</f>
        <v/>
      </c>
      <c r="C216">
        <f>Inputs!$B$3&gt;=103</f>
        <v/>
      </c>
      <c r="D216">
        <f>IF(Skills!C6=1,60+Inputs!$B$26+Inputs!$B$30,IF(Skills!C6=2,90+Inputs!$B$27+Inputs!$B$30,IF(Skills!C6=3,120+Inputs!$B$28+Inputs!$B$30,MAX(0,(Inputs!$B$3-100)*3)+Inputs!$B$29+Inputs!$B$30)))</f>
        <v/>
      </c>
      <c r="E216">
        <f>INDEX(FactorTable!$B$2:$Y$301, MATCH(ROUND(MIN(300,MAX(1,D216)),0), FactorTable!$A$2:$A$301,0), Skills!L6+1)</f>
        <v/>
      </c>
      <c r="F216">
        <f>IF(Skills!M6=TRUE,(Skills!K6/10)*(E216/1000),Skills!K6/10)+Skills!N6</f>
        <v/>
      </c>
      <c r="G216">
        <f>Calc!G6</f>
        <v/>
      </c>
      <c r="H216">
        <f>Calc!H6</f>
        <v/>
      </c>
      <c r="I216">
        <f>IF(Skills!T6&lt;&gt;"",1+(Skills!T6/10)*($Z$3/1000)/100,1)</f>
        <v/>
      </c>
      <c r="J216">
        <f>((Inputs!$B$6*(1+Inputs!$B$7/100))+(((Inputs!$B$13*(1+Inputs!$B$14/100))-(Inputs!$B$13*(1+Inputs!$B$14/100)))+0.25*(Inputs!$B$15-Inputs!$B$15))*(1+Inputs!$B$7/100))*(F216/100)</f>
        <v/>
      </c>
      <c r="K216">
        <f>J216*(1+(((Inputs!$B$13+IF(Inputs!$B$3&gt;=35,(10*INDEX(FactorTable!$B$2:$Y$301, MATCH(ROUND(MIN(300,MAX(1,Inputs!$B$3)),0), FactorTable!$A$2:$A$301,0), 23)/1000)/100*(Inputs!$B$8*(1+(Inputs!$B$9+B248)/100)),0))*(1+Inputs!$B$14/100))*0.01+Inputs!$B$15*0.0025)/100)*(1+((Inputs!$B$16+1)+B242)/100)*(1+Inputs!$B$17/100)*(5000/(6000+Inputs!$B$43*(1-Inputs!$B$20/100)))*(1+Inputs!$B$25/100)*(1+IF(C228=TRUE,F228,0)/100)*(1+IF(C230=TRUE,F230,0)/100)*(1+IF(Skills!A6="TRIUMPH_FEATHER",IF(C226=TRUE,F226,0),0)/100)*(1+IF(C237=TRUE,F237,0)/100)^5*(1+(IF(Skills!A6="BIG_BANG",Inputs!$B$18,Inputs!$B$19))/100)*(B239*I216)</f>
        <v/>
      </c>
      <c r="L216">
        <f>K216*(MIN(Inputs!$B$23+(F232-Calc!F22),Inputs!$B$24)/100+Inputs!$B$24/100)/2</f>
        <v/>
      </c>
      <c r="M216">
        <f>L216*(1+(Inputs!$B$11+B243+(F235-Calc!F25))/100)</f>
        <v/>
      </c>
      <c r="N216">
        <f>L216*(1-MIN(Inputs!$B$10+((F234-Calc!F24)+(F233-Calc!F23)),100)/100)+M216*(MIN(Inputs!$B$10+((F234-Calc!F24)+(F233-Calc!F23)),100)/100)</f>
        <v/>
      </c>
      <c r="O216">
        <f>(1-Summary!$B$48)*S216+Summary!$B$48*U216</f>
        <v/>
      </c>
      <c r="P216">
        <f>IF(B252=0,0,O216/B252)</f>
        <v/>
      </c>
      <c r="Q216">
        <f>IFERROR(1/IF(Inputs!$B$39="pvp",15,MAX(0.1,Skills!D6-IF(Skills!E6=TRUE,Inputs!$B$33,0))),0)</f>
        <v/>
      </c>
      <c r="R216">
        <f>IF(AND(Inputs!$B$39&lt;&gt;"pvp",Inputs!$B$44&gt;0),IF(MAX(0,Inputs!$B$44-B249)&lt;=0,0,(INT(MAX(0,Inputs!$B$44-B249)/IF(Inputs!$B$39="pvp",15,MAX(0.1,Skills!D6-IF(Skills!E6=TRUE,Inputs!$B$33,0))))+1)),0)</f>
        <v/>
      </c>
      <c r="S216">
        <f>IF(C216,(H216*N216*IF(AND(Inputs!$B$39&lt;&gt;"pvp",Inputs!$B$44&gt;0),((Skills!F6*((R216-1)*IF(Skills!G6&gt;0,Skills!H6/Skills!G6,1)+IF(Skills!G6&gt;0,MIN(Skills!H6,MAX(0,MAX(0,Inputs!$B$44-B249)-((R216-1)*IF(Inputs!$B$39="pvp",15,MAX(0.1,Skills!D6-IF(Skills!E6=TRUE,Inputs!$B$33,0))))))/Skills!G6,1)))/Inputs!$B$44),G216*Q216))*IF(Inputs!$B$39="pvp",1,1+(Inputs!$B$21+Skills!O6+B240)/100),0)</f>
        <v/>
      </c>
      <c r="U216">
        <f>IF(C216,(H216*N216*IF(AND(Inputs!$B$39&lt;&gt;"pvp",Inputs!$B$44&gt;0),((Skills!F6*((R216-1)*IF(Skills!G6&gt;0,Skills!H6/Skills!G6,1)+IF(Skills!G6&gt;0,MIN(Skills!H6,MAX(0,MAX(0,Inputs!$B$44-B249)-((R216-1)*IF(Inputs!$B$39="pvp",15,MAX(0.1,Skills!D6-IF(Skills!E6=TRUE,Inputs!$B$33,0))))))/Skills!G6,1)))/Inputs!$B$44),G216*Q216))*IF(Inputs!$B$39="pvp",1,(1+(Inputs!$B$22+Skills!P6+B241)/100)*(MIN(Skills!Q6,Inputs!$B$38))),0)</f>
        <v/>
      </c>
    </row>
    <row r="217">
      <c r="A217">
        <f>Skills!A7</f>
        <v/>
      </c>
      <c r="B217">
        <f>Skills!B7</f>
        <v/>
      </c>
      <c r="C217">
        <f>Inputs!$B$3&gt;=122</f>
        <v/>
      </c>
      <c r="D217">
        <f>IF(Skills!C7=1,60+Inputs!$B$26+Inputs!$B$30,IF(Skills!C7=2,90+Inputs!$B$27+Inputs!$B$30,IF(Skills!C7=3,120+Inputs!$B$28+Inputs!$B$30,MAX(0,(Inputs!$B$3-100)*3)+Inputs!$B$29+Inputs!$B$30)))</f>
        <v/>
      </c>
      <c r="E217">
        <f>INDEX(FactorTable!$B$2:$Y$301, MATCH(ROUND(MIN(300,MAX(1,D217)),0), FactorTable!$A$2:$A$301,0), Skills!L7+1)</f>
        <v/>
      </c>
      <c r="F217">
        <f>IF(Skills!M7=TRUE,(Skills!K7/10)*(E217/1000),Skills!K7/10)+Skills!N7</f>
        <v/>
      </c>
      <c r="G217">
        <f>Calc!G7</f>
        <v/>
      </c>
      <c r="H217">
        <f>Calc!H7</f>
        <v/>
      </c>
      <c r="I217">
        <f>IF(Skills!T7&lt;&gt;"",1+(Skills!T7/10)*($Z$3/1000)/100,1)</f>
        <v/>
      </c>
      <c r="J217">
        <f>((Inputs!$B$6*(1+Inputs!$B$7/100))+(((Inputs!$B$13*(1+Inputs!$B$14/100))-(Inputs!$B$13*(1+Inputs!$B$14/100)))+0.25*(Inputs!$B$15-Inputs!$B$15))*(1+Inputs!$B$7/100))*(F217/100)</f>
        <v/>
      </c>
      <c r="K217">
        <f>J217*(1+(((Inputs!$B$13+IF(Inputs!$B$3&gt;=35,(10*INDEX(FactorTable!$B$2:$Y$301, MATCH(ROUND(MIN(300,MAX(1,Inputs!$B$3)),0), FactorTable!$A$2:$A$301,0), 23)/1000)/100*(Inputs!$B$8*(1+(Inputs!$B$9+B248)/100)),0))*(1+Inputs!$B$14/100))*0.01+Inputs!$B$15*0.0025)/100)*(1+((Inputs!$B$16+1)+B242)/100)*(1+Inputs!$B$17/100)*(5000/(6000+Inputs!$B$43*(1-Inputs!$B$20/100)))*(1+Inputs!$B$25/100)*(1+IF(C228=TRUE,F228,0)/100)*(1+IF(C230=TRUE,F230,0)/100)*(1+IF(Skills!A7="TRIUMPH_FEATHER",IF(C226=TRUE,F226,0),0)/100)*(1+IF(C237=TRUE,F237,0)/100)^5*(1+(IF(Skills!A7="BIG_BANG",Inputs!$B$18,Inputs!$B$19))/100)*(B239*I217)</f>
        <v/>
      </c>
      <c r="L217">
        <f>K217*(MIN(Inputs!$B$23+(F232-Calc!F22),Inputs!$B$24)/100+Inputs!$B$24/100)/2</f>
        <v/>
      </c>
      <c r="M217">
        <f>L217*(1+(Inputs!$B$11+B243+(F235-Calc!F25))/100)</f>
        <v/>
      </c>
      <c r="N217">
        <f>L217*(1-MIN(Inputs!$B$10+((F234-Calc!F24)+(F233-Calc!F23)),100)/100)+M217*(MIN(Inputs!$B$10+((F234-Calc!F24)+(F233-Calc!F23)),100)/100)</f>
        <v/>
      </c>
      <c r="O217">
        <f>(1-Summary!$B$48)*S217+Summary!$B$48*U217</f>
        <v/>
      </c>
      <c r="P217">
        <f>IF(B252=0,0,O217/B252)</f>
        <v/>
      </c>
      <c r="Q217">
        <f>IFERROR(1/IF(Inputs!$B$39="pvp",15,MAX(0.1,Skills!D7-IF(Skills!E6=TRUE,Inputs!$B$33,0))),0)</f>
        <v/>
      </c>
      <c r="R217">
        <f>IF(AND(Inputs!$B$39&lt;&gt;"pvp",Inputs!$B$44&gt;0),IF(MAX(0,Inputs!$B$44-B249)&lt;=0,0,(INT(MAX(0,Inputs!$B$44-B249)/IF(Inputs!$B$39="pvp",15,MAX(0.1,Skills!D7-IF(Skills!E6=TRUE,Inputs!$B$33,0))))+1)),0)</f>
        <v/>
      </c>
      <c r="S217">
        <f>IF(C217,H217*N217*IF(AND(Inputs!$B$39&lt;&gt;"pvp",Inputs!$B$44&gt;0),((Skills!F7*((R217-1)*IF(Skills!G7&gt;0,Skills!H7/Skills!G7,1)+IF(Skills!G7&gt;0,MIN(Skills!H7,MAX(0,MAX(0,Inputs!$B$44-B249)-((R217-1)*IF(Inputs!$B$39="pvp",15,MAX(0.1,Skills!D7-IF(Skills!E6=TRUE,Inputs!$B$33,0))))))/Skills!G7,1)))/Inputs!$B$44),G217*Q217)*IF(Inputs!$B$39="pvp",1,1+(Inputs!$B$21+Skills!O7+B240)/100),0)</f>
        <v/>
      </c>
      <c r="U217" t="n">
        <v>0</v>
      </c>
    </row>
    <row r="218">
      <c r="A218">
        <f>Skills!A8</f>
        <v/>
      </c>
      <c r="B218">
        <f>Skills!B8</f>
        <v/>
      </c>
      <c r="C218">
        <f>Inputs!$B$3&gt;=105</f>
        <v/>
      </c>
      <c r="D218">
        <f>IF(Skills!C8=1,60+Inputs!$B$26+Inputs!$B$30,IF(Skills!C8=2,90+Inputs!$B$27+Inputs!$B$30,IF(Skills!C8=3,120+Inputs!$B$28+Inputs!$B$30,MAX(0,(Inputs!$B$3-100)*3)+Inputs!$B$29+Inputs!$B$30)))</f>
        <v/>
      </c>
      <c r="E218">
        <f>INDEX(FactorTable!$B$2:$Y$301, MATCH(ROUND(MIN(300,MAX(1,D218)),0), FactorTable!$A$2:$A$301,0), Skills!L8+1)</f>
        <v/>
      </c>
      <c r="F218">
        <f>IF(Skills!M8=TRUE,(Skills!K8/10)*(E218/1000),Skills!K8/10)+Skills!N8</f>
        <v/>
      </c>
      <c r="G218">
        <f>Calc!G8</f>
        <v/>
      </c>
      <c r="H218">
        <f>Calc!H8</f>
        <v/>
      </c>
      <c r="I218">
        <f>IF(Skills!T8&lt;&gt;"",1+(Skills!T8/10)*($Z$3/1000)/100,1)</f>
        <v/>
      </c>
      <c r="J218">
        <f>((Inputs!$B$6*(1+Inputs!$B$7/100))+(((Inputs!$B$13*(1+Inputs!$B$14/100))-(Inputs!$B$13*(1+Inputs!$B$14/100)))+0.25*(Inputs!$B$15-Inputs!$B$15))*(1+Inputs!$B$7/100))*(F218/100)</f>
        <v/>
      </c>
      <c r="K218">
        <f>J218*(1+(((Inputs!$B$13+IF(Inputs!$B$3&gt;=35,(10*INDEX(FactorTable!$B$2:$Y$301, MATCH(ROUND(MIN(300,MAX(1,Inputs!$B$3)),0), FactorTable!$A$2:$A$301,0), 23)/1000)/100*(Inputs!$B$8*(1+(Inputs!$B$9+B248)/100)),0))*(1+Inputs!$B$14/100))*0.01+Inputs!$B$15*0.0025)/100)*(1+((Inputs!$B$16+1)+B242)/100)*(1+Inputs!$B$17/100)*(5000/(6000+Inputs!$B$43*(1-Inputs!$B$20/100)))*(1+Inputs!$B$25/100)*(1+IF(C228=TRUE,F228,0)/100)*(1+IF(C230=TRUE,F230,0)/100)*(1+IF(Skills!A8="TRIUMPH_FEATHER",IF(C226=TRUE,F226,0),0)/100)*(1+IF(C237=TRUE,F237,0)/100)^5*(1+(IF(Skills!A8="BIG_BANG",Inputs!$B$18,Inputs!$B$19))/100)*(B239*I218)</f>
        <v/>
      </c>
      <c r="L218">
        <f>K218*(MIN(Inputs!$B$23+(F232-Calc!F22),Inputs!$B$24)/100+Inputs!$B$24/100)/2</f>
        <v/>
      </c>
      <c r="M218">
        <f>L218*(1+(Inputs!$B$11+B243+(F235-Calc!F25))/100)</f>
        <v/>
      </c>
      <c r="N218">
        <f>L218*(1-MIN(Inputs!$B$10+((F234-Calc!F24)+(F233-Calc!F23)),100)/100)+M218*(MIN(Inputs!$B$10+((F234-Calc!F24)+(F233-Calc!F23)),100)/100)</f>
        <v/>
      </c>
      <c r="O218">
        <f>(1-Summary!$B$48)*S218+Summary!$B$48*U218</f>
        <v/>
      </c>
      <c r="P218">
        <f>IF(B252=0,0,O218/B252)</f>
        <v/>
      </c>
      <c r="Q218">
        <f>IFERROR(1/IF(Inputs!$B$39="pvp",15,MAX(0.1,Skills!D8-IF(Skills!E8=TRUE,Inputs!$B$33,0))),0)</f>
        <v/>
      </c>
      <c r="R218">
        <f>IF(AND(Inputs!$B$39&lt;&gt;"pvp",Inputs!$B$44&gt;0),IF(MAX(0,Inputs!$B$44-B249)&lt;=0,0,(INT(MAX(0,Inputs!$B$44-B249)/IF(Inputs!$B$39="pvp",15,MAX(0.1,Skills!D8-IF(Skills!E8=TRUE,Inputs!$B$33,0))))+1)),0)</f>
        <v/>
      </c>
      <c r="S218">
        <f>IF(C218,(H218*N218*IF(AND(Inputs!$B$39&lt;&gt;"pvp",Inputs!$B$44&gt;0),((Skills!F8*((R218-1)*IF(Skills!G8&gt;0,Skills!H8/Skills!G8,1)+IF(Skills!G8&gt;0,MIN(Skills!H8,MAX(0,MAX(0,Inputs!$B$44-B249)-((R218-1)*IF(Inputs!$B$39="pvp",15,MAX(0.1,Skills!D8-IF(Skills!E8=TRUE,Inputs!$B$33,0))))))/Skills!G8,1)))/Inputs!$B$44),G218*Q218))*IF(Inputs!$B$39="pvp",1,1+(Inputs!$B$21+Skills!O8+B240)/100),0)</f>
        <v/>
      </c>
      <c r="U218">
        <f>IF(C218,(H218*N218*IF(AND(Inputs!$B$39&lt;&gt;"pvp",Inputs!$B$44&gt;0),((Skills!F8*((R218-1)*IF(Skills!G8&gt;0,Skills!H8/Skills!G8,1)+IF(Skills!G8&gt;0,MIN(Skills!H8,MAX(0,MAX(0,Inputs!$B$44-B249)-((R218-1)*IF(Inputs!$B$39="pvp",15,MAX(0.1,Skills!D8-IF(Skills!E8=TRUE,Inputs!$B$33,0))))))/Skills!G8,1)))/Inputs!$B$44),G218*Q218))*IF(Inputs!$B$39="pvp",1,(1+(Inputs!$B$22+Skills!P8+B241)/100)*(MIN(Skills!Q8,Inputs!$B$38))),0)</f>
        <v/>
      </c>
    </row>
    <row r="219">
      <c r="A219">
        <f>Skills!A9</f>
        <v/>
      </c>
      <c r="B219">
        <f>Skills!B9</f>
        <v/>
      </c>
      <c r="C219">
        <f>Inputs!$B$3&gt;=115</f>
        <v/>
      </c>
      <c r="D219">
        <f>IF(Skills!C9=1,60+Inputs!$B$26+Inputs!$B$30,IF(Skills!C9=2,90+Inputs!$B$27+Inputs!$B$30,IF(Skills!C9=3,120+Inputs!$B$28+Inputs!$B$30,MAX(0,(Inputs!$B$3-100)*3)+Inputs!$B$29+Inputs!$B$30)))</f>
        <v/>
      </c>
      <c r="E219">
        <f>INDEX(FactorTable!$B$2:$Y$301, MATCH(ROUND(MIN(300,MAX(1,D219)),0), FactorTable!$A$2:$A$301,0), Skills!L9+1)</f>
        <v/>
      </c>
      <c r="F219">
        <f>IF(Skills!M9=TRUE,(Skills!K9/10)*(E219/1000),Skills!K9/10)+Skills!N9</f>
        <v/>
      </c>
      <c r="G219">
        <f>Calc!G9</f>
        <v/>
      </c>
      <c r="H219">
        <f>Calc!H9</f>
        <v/>
      </c>
      <c r="I219">
        <f>IF(Skills!T9&lt;&gt;"",1+(Skills!T9/10)*($Z$3/1000)/100,1)</f>
        <v/>
      </c>
      <c r="J219">
        <f>((Inputs!$B$6*(1+Inputs!$B$7/100))+(((Inputs!$B$13*(1+Inputs!$B$14/100))-(Inputs!$B$13*(1+Inputs!$B$14/100)))+0.25*(Inputs!$B$15-Inputs!$B$15))*(1+Inputs!$B$7/100))*(F219/100)</f>
        <v/>
      </c>
      <c r="K219">
        <f>J219*(1+(((Inputs!$B$13+IF(Inputs!$B$3&gt;=35,(10*INDEX(FactorTable!$B$2:$Y$301, MATCH(ROUND(MIN(300,MAX(1,Inputs!$B$3)),0), FactorTable!$A$2:$A$301,0), 23)/1000)/100*(Inputs!$B$8*(1+(Inputs!$B$9+B248)/100)),0))*(1+Inputs!$B$14/100))*0.01+Inputs!$B$15*0.0025)/100)*(1+((Inputs!$B$16+1)+B242)/100)*(1+Inputs!$B$17/100)*(5000/(6000+Inputs!$B$43*(1-Inputs!$B$20/100)))*(1+Inputs!$B$25/100)*(1+IF(C228=TRUE,F228,0)/100)*(1+IF(C230=TRUE,F230,0)/100)*(1+IF(Skills!A9="TRIUMPH_FEATHER",IF(C226=TRUE,F226,0),0)/100)*(1+IF(C237=TRUE,F237,0)/100)^5*(1+(IF(Skills!A9="BIG_BANG",Inputs!$B$18,Inputs!$B$19))/100)*(B239*I219)</f>
        <v/>
      </c>
      <c r="L219">
        <f>K219*(MIN(Inputs!$B$23+(F232-Calc!F22),Inputs!$B$24)/100+Inputs!$B$24/100)/2</f>
        <v/>
      </c>
      <c r="M219">
        <f>L219*(1+(Inputs!$B$11+B243+(F235-Calc!F25))/100)</f>
        <v/>
      </c>
      <c r="N219">
        <f>L219*(1-MIN(Inputs!$B$10+((F234-Calc!F24)+(F233-Calc!F23)),100)/100)+M219*(MIN(Inputs!$B$10+((F234-Calc!F24)+(F233-Calc!F23)),100)/100)</f>
        <v/>
      </c>
      <c r="O219">
        <f>(1-Summary!$B$48)*S219+Summary!$B$48*U219</f>
        <v/>
      </c>
      <c r="P219">
        <f>IF(B252=0,0,O219/B252)</f>
        <v/>
      </c>
      <c r="Q219">
        <f>IFERROR(1/IF(Inputs!$B$39="pvp",15,MAX(0.1,Skills!D9-IF(Skills!E9=TRUE,Inputs!$B$33,0))),0)</f>
        <v/>
      </c>
      <c r="R219">
        <f>IF(AND(Inputs!$B$39&lt;&gt;"pvp",Inputs!$B$44&gt;0),IF(MAX(0,Inputs!$B$44-B249)&lt;=0,0,(INT(MAX(0,Inputs!$B$44-B249)/IF(Inputs!$B$39="pvp",15,MAX(0.1,Skills!D9-IF(Skills!E9=TRUE,Inputs!$B$33,0))))+1)),0)</f>
        <v/>
      </c>
      <c r="S219">
        <f>IF(C219,(H219*N219*IF(AND(Inputs!$B$39&lt;&gt;"pvp",Inputs!$B$44&gt;0),((Skills!F9*((R219-1)*IF(Skills!G9&gt;0,Skills!H9/Skills!G9,1)+IF(Skills!G9&gt;0,MIN(Skills!H9,MAX(0,MAX(0,Inputs!$B$44-B249)-((R219-1)*IF(Inputs!$B$39="pvp",15,MAX(0.1,Skills!D9-IF(Skills!E9=TRUE,Inputs!$B$33,0))))))/Skills!G9,1)))/Inputs!$B$44),G219*Q219))*IF(Inputs!$B$39="pvp",1,1+(Inputs!$B$21+Skills!O9+B240)/100),0)</f>
        <v/>
      </c>
      <c r="U219">
        <f>IF(C219,(H219*N219*IF(AND(Inputs!$B$39&lt;&gt;"pvp",Inputs!$B$44&gt;0),((Skills!F9*((R219-1)*IF(Skills!G9&gt;0,Skills!H9/Skills!G9,1)+IF(Skills!G9&gt;0,MIN(Skills!H9,MAX(0,MAX(0,Inputs!$B$44-B249)-((R219-1)*IF(Inputs!$B$39="pvp",15,MAX(0.1,Skills!D9-IF(Skills!E9=TRUE,Inputs!$B$33,0))))))/Skills!G9,1)))/Inputs!$B$44),G219*Q219))*IF(Inputs!$B$39="pvp",1,(1+(Inputs!$B$22+Skills!P9+B241)/100)*(MIN(Skills!Q9,Inputs!$B$38))),0)</f>
        <v/>
      </c>
    </row>
    <row r="220">
      <c r="A220">
        <f>Skills!A10</f>
        <v/>
      </c>
      <c r="B220">
        <f>Skills!B10</f>
        <v/>
      </c>
      <c r="C220">
        <f>Inputs!$B$3&gt;=66</f>
        <v/>
      </c>
      <c r="D220">
        <f>IF(Skills!C10=1,60+Inputs!$B$26+Inputs!$B$30,IF(Skills!C10=2,90+Inputs!$B$27+Inputs!$B$30,IF(Skills!C10=3,120+Inputs!$B$28+Inputs!$B$30,MAX(0,(Inputs!$B$3-100)*3)+Inputs!$B$29+Inputs!$B$30)))</f>
        <v/>
      </c>
      <c r="E220">
        <f>INDEX(FactorTable!$B$2:$Y$301, MATCH(ROUND(MIN(300,MAX(1,D220)),0), FactorTable!$A$2:$A$301,0), Skills!L10+1)</f>
        <v/>
      </c>
      <c r="F220" t="n">
        <v>0</v>
      </c>
      <c r="G220">
        <f>Calc!G10</f>
        <v/>
      </c>
      <c r="H220">
        <f>Calc!H10</f>
        <v/>
      </c>
      <c r="I220">
        <f>IF(Skills!T10&lt;&gt;"",1+(Skills!T10/10)*($Z$3/1000)/100,1)</f>
        <v/>
      </c>
      <c r="J220" t="inlineStr"/>
      <c r="K220" t="inlineStr"/>
      <c r="L220" t="inlineStr"/>
      <c r="M220" t="inlineStr"/>
      <c r="N220" t="inlineStr"/>
      <c r="O220">
        <f>(1-Summary!$B$48)*S220+Summary!$B$48*U220</f>
        <v/>
      </c>
      <c r="P220">
        <f>IF(B252=0,0,O220/B252)</f>
        <v/>
      </c>
      <c r="Q220">
        <f>IFERROR(1/IF(Inputs!$B$39="pvp",15,MAX(0.1,Skills!D10-IF(Skills!E10=TRUE,Inputs!$B$33,0))),0)</f>
        <v/>
      </c>
      <c r="R220">
        <f>IF(AND(Inputs!$B$39&lt;&gt;"pvp",Inputs!$B$44&gt;0),IF(MAX(0,Inputs!$B$44-B249)&lt;=0,0,(INT(MAX(0,Inputs!$B$44-B249)/IF(Inputs!$B$39="pvp",15,MAX(0.1,Skills!D10-IF(Skills!E10=TRUE,Inputs!$B$33,0))))+1)),0)</f>
        <v/>
      </c>
      <c r="S220" t="n">
        <v>0</v>
      </c>
      <c r="U220" t="n">
        <v>0</v>
      </c>
    </row>
    <row r="221">
      <c r="A221">
        <f>Skills!A11</f>
        <v/>
      </c>
      <c r="B221">
        <f>Skills!B11</f>
        <v/>
      </c>
      <c r="C221">
        <f>Inputs!$B$3&gt;=69</f>
        <v/>
      </c>
      <c r="D221">
        <f>IF(Skills!C11=1,60+Inputs!$B$26+Inputs!$B$30,IF(Skills!C11=2,90+Inputs!$B$27+Inputs!$B$30,IF(Skills!C11=3,120+Inputs!$B$28+Inputs!$B$30,MAX(0,(Inputs!$B$3-100)*3)+Inputs!$B$29+Inputs!$B$30)))</f>
        <v/>
      </c>
      <c r="E221">
        <f>INDEX(FactorTable!$B$2:$Y$301, MATCH(ROUND(MIN(300,MAX(1,D221)),0), FactorTable!$A$2:$A$301,0), Skills!L11+1)</f>
        <v/>
      </c>
      <c r="F221">
        <f>IF(Skills!M11=TRUE,(Skills!K11/10)*(E221/1000),Skills!K11/10)+Skills!N11</f>
        <v/>
      </c>
      <c r="G221">
        <f>Calc!G11</f>
        <v/>
      </c>
      <c r="H221">
        <f>Calc!H11</f>
        <v/>
      </c>
      <c r="I221">
        <f>IF(Skills!T11&lt;&gt;"",1+(Skills!T11/10)*($Z$3/1000)/100,1)</f>
        <v/>
      </c>
      <c r="J221" t="inlineStr"/>
      <c r="K221" t="inlineStr"/>
      <c r="L221" t="inlineStr"/>
      <c r="M221" t="inlineStr"/>
      <c r="N221" t="inlineStr"/>
      <c r="O221">
        <f>(1-Summary!$B$48)*S221+Summary!$B$48*U221</f>
        <v/>
      </c>
      <c r="P221">
        <f>IF(B252=0,0,O221/B252)</f>
        <v/>
      </c>
      <c r="Q221">
        <f>IFERROR(1/IF(Inputs!$B$39="pvp",15,MAX(0.1,Skills!D11-IF(Skills!E11=TRUE,Inputs!$B$33,0))),0)</f>
        <v/>
      </c>
      <c r="R221">
        <f>IF(AND(Inputs!$B$39&lt;&gt;"pvp",Inputs!$B$44&gt;0),IF(Inputs!$B$44&lt;=0,0,(INT(Inputs!$B$44/IF(Inputs!$B$39="pvp",15,MAX(0.1,Skills!D11-IF(Skills!E11=TRUE,Inputs!$B$33,0))))+1)),0)</f>
        <v/>
      </c>
      <c r="S221" t="n">
        <v>0</v>
      </c>
      <c r="U221" t="n">
        <v>0</v>
      </c>
    </row>
    <row r="222">
      <c r="A222">
        <f>Skills!A12</f>
        <v/>
      </c>
      <c r="B222">
        <f>Skills!B12</f>
        <v/>
      </c>
      <c r="C222">
        <f>Inputs!$B$3&gt;=72</f>
        <v/>
      </c>
      <c r="D222">
        <f>IF(Skills!C12=1,60+Inputs!$B$26+Inputs!$B$30,IF(Skills!C12=2,90+Inputs!$B$27+Inputs!$B$30,IF(Skills!C12=3,120+Inputs!$B$28+Inputs!$B$30,MAX(0,(Inputs!$B$3-100)*3)+Inputs!$B$29+Inputs!$B$30)))</f>
        <v/>
      </c>
      <c r="E222">
        <f>INDEX(FactorTable!$B$2:$Y$301, MATCH(ROUND(MIN(300,MAX(1,D222)),0), FactorTable!$A$2:$A$301,0), Skills!L12+1)</f>
        <v/>
      </c>
      <c r="F222">
        <f>IF(Skills!M12=TRUE,(Skills!K12/10)*(E222/1000),Skills!K12/10)+Skills!N12</f>
        <v/>
      </c>
      <c r="G222">
        <f>Calc!G12</f>
        <v/>
      </c>
      <c r="H222">
        <f>Calc!H12</f>
        <v/>
      </c>
      <c r="I222">
        <f>IF(Skills!T12&lt;&gt;"",1+(Skills!T12/10)*($Z$3/1000)/100,1)</f>
        <v/>
      </c>
      <c r="J222" t="inlineStr"/>
      <c r="K222" t="inlineStr"/>
      <c r="L222" t="inlineStr"/>
      <c r="M222" t="inlineStr"/>
      <c r="N222" t="inlineStr"/>
      <c r="O222">
        <f>(1-Summary!$B$48)*S222+Summary!$B$48*U222</f>
        <v/>
      </c>
      <c r="P222">
        <f>IF(B252=0,0,O222/B252)</f>
        <v/>
      </c>
      <c r="Q222">
        <f>IFERROR(1/IF(Inputs!$B$39="pvp",15,MAX(0.1,Skills!D12-IF(Skills!E12=TRUE,Inputs!$B$33,0))),0)</f>
        <v/>
      </c>
      <c r="R222">
        <f>IF(AND(Inputs!$B$39&lt;&gt;"pvp",Inputs!$B$44&gt;0),IF(MAX(0,Inputs!$B$44-B249)&lt;=0,0,(INT(MAX(0,Inputs!$B$44-B249)/IF(Inputs!$B$39="pvp",15,MAX(0.1,Skills!D12-IF(Skills!E12=TRUE,Inputs!$B$33,0))))+1)),0)</f>
        <v/>
      </c>
      <c r="S222" t="n">
        <v>0</v>
      </c>
      <c r="U222" t="n">
        <v>0</v>
      </c>
    </row>
    <row r="223">
      <c r="A223">
        <f>Skills!A13</f>
        <v/>
      </c>
      <c r="B223">
        <f>Skills!B13</f>
        <v/>
      </c>
      <c r="C223">
        <f>Inputs!$B$3&gt;=60</f>
        <v/>
      </c>
      <c r="D223">
        <f>IF(Skills!C13=1,60+Inputs!$B$26+Inputs!$B$30,IF(Skills!C13=2,90+Inputs!$B$27+Inputs!$B$30,IF(Skills!C13=3,120+Inputs!$B$28+Inputs!$B$30,MAX(0,(Inputs!$B$3-100)*3)+Inputs!$B$29+Inputs!$B$30)))</f>
        <v/>
      </c>
      <c r="E223">
        <f>INDEX(FactorTable!$B$2:$Y$301, MATCH(ROUND(MIN(300,MAX(1,D223)),0), FactorTable!$A$2:$A$301,0), Skills!L13+1)</f>
        <v/>
      </c>
      <c r="F223">
        <f>IF(Skills!M13=TRUE,(Skills!K13/10)*(E223/1000),Skills!K13/10)+Skills!N13</f>
        <v/>
      </c>
      <c r="G223">
        <f>Calc!G13</f>
        <v/>
      </c>
      <c r="H223">
        <f>Calc!H13</f>
        <v/>
      </c>
      <c r="I223">
        <f>IF(Skills!T13&lt;&gt;"",1+(Skills!T13/10)*($Z$3/1000)/100,1)</f>
        <v/>
      </c>
      <c r="J223" t="inlineStr"/>
      <c r="K223" t="inlineStr"/>
      <c r="L223" t="inlineStr"/>
      <c r="M223" t="inlineStr"/>
      <c r="N223" t="inlineStr"/>
      <c r="O223">
        <f>(1-Summary!$B$48)*S223+Summary!$B$48*U223</f>
        <v/>
      </c>
      <c r="P223">
        <f>IF(B252=0,0,O223/B252)</f>
        <v/>
      </c>
      <c r="Q223">
        <f>IFERROR(1/IF(Inputs!$B$39="pvp",15,MAX(0.1,Skills!D13-IF(Skills!E13=TRUE,Inputs!$B$33,0))),0)</f>
        <v/>
      </c>
      <c r="R223">
        <f>IF(AND(Inputs!$B$39&lt;&gt;"pvp",Inputs!$B$44&gt;0),IF(MAX(0,Inputs!$B$44-B249)&lt;=0,0,(INT(MAX(0,Inputs!$B$44-B249)/IF(Inputs!$B$39="pvp",15,MAX(0.1,Skills!D13-IF(Skills!E13=TRUE,Inputs!$B$33,0))))+1)),0)</f>
        <v/>
      </c>
      <c r="S223" t="n">
        <v>0</v>
      </c>
      <c r="U223" t="n">
        <v>0</v>
      </c>
    </row>
    <row r="224">
      <c r="A224">
        <f>Skills!A14</f>
        <v/>
      </c>
      <c r="B224">
        <f>Skills!B14</f>
        <v/>
      </c>
      <c r="C224">
        <f>Inputs!$B$3&gt;=107</f>
        <v/>
      </c>
      <c r="D224">
        <f>IF(Skills!C14=1,60+Inputs!$B$26+Inputs!$B$30,IF(Skills!C14=2,90+Inputs!$B$27+Inputs!$B$30,IF(Skills!C14=3,120+Inputs!$B$28+Inputs!$B$30,MAX(0,(Inputs!$B$3-100)*3)+Inputs!$B$29+Inputs!$B$30)))</f>
        <v/>
      </c>
      <c r="E224">
        <f>INDEX(FactorTable!$B$2:$Y$301, MATCH(ROUND(MIN(300,MAX(1,D224)),0), FactorTable!$A$2:$A$301,0), Skills!L14+1)</f>
        <v/>
      </c>
      <c r="F224">
        <f>IF(Skills!M14=TRUE,(Skills!K14/10)*(E224/1000),Skills!K14/10)+Skills!N14</f>
        <v/>
      </c>
      <c r="G224">
        <f>Calc!G14</f>
        <v/>
      </c>
      <c r="H224">
        <f>Calc!H14</f>
        <v/>
      </c>
      <c r="I224">
        <f>IF(Skills!T14&lt;&gt;"",1+(Skills!T14/10)*($Z$3/1000)/100,1)</f>
        <v/>
      </c>
      <c r="J224" t="inlineStr"/>
      <c r="K224" t="inlineStr"/>
      <c r="L224" t="inlineStr"/>
      <c r="M224" t="inlineStr"/>
      <c r="N224" t="inlineStr"/>
      <c r="O224">
        <f>(1-Summary!$B$48)*S224+Summary!$B$48*U224</f>
        <v/>
      </c>
      <c r="P224">
        <f>IF(B252=0,0,O224/B252)</f>
        <v/>
      </c>
      <c r="Q224">
        <f>IFERROR(1/IF(Inputs!$B$39="pvp",15,MAX(0.1,Skills!D14-IF(Skills!E14=TRUE,Inputs!$B$33,0))),0)</f>
        <v/>
      </c>
      <c r="R224">
        <f>IF(AND(Inputs!$B$39&lt;&gt;"pvp",Inputs!$B$44&gt;0),IF(Inputs!$B$44&lt;=0,0,(INT(Inputs!$B$44/IF(Inputs!$B$39="pvp",15,MAX(0.1,Skills!D14-IF(Skills!E14=TRUE,Inputs!$B$33,0))))+1)),0)</f>
        <v/>
      </c>
      <c r="S224" t="n">
        <v>0</v>
      </c>
      <c r="U224" t="n">
        <v>0</v>
      </c>
    </row>
    <row r="225">
      <c r="A225">
        <f>Skills!A15</f>
        <v/>
      </c>
      <c r="B225">
        <f>Skills!B15</f>
        <v/>
      </c>
      <c r="C225">
        <f>Inputs!$B$3&gt;=63</f>
        <v/>
      </c>
      <c r="D225">
        <f>IF(Skills!C15=1,60+Inputs!$B$26+Inputs!$B$30,IF(Skills!C15=2,90+Inputs!$B$27+Inputs!$B$30,IF(Skills!C15=3,120+Inputs!$B$28+Inputs!$B$30,MAX(0,(Inputs!$B$3-100)*3)+Inputs!$B$29+Inputs!$B$30)))</f>
        <v/>
      </c>
      <c r="E225">
        <f>INDEX(FactorTable!$B$2:$Y$301, MATCH(ROUND(MIN(300,MAX(1,D225)),0), FactorTable!$A$2:$A$301,0), Skills!L15+1)</f>
        <v/>
      </c>
      <c r="F225">
        <f>IF(Skills!M15=TRUE,(Skills!K15/10)*(E225/1000),Skills!K15/10)+Skills!N15</f>
        <v/>
      </c>
      <c r="G225">
        <f>Calc!G15</f>
        <v/>
      </c>
      <c r="H225">
        <f>Calc!H15</f>
        <v/>
      </c>
      <c r="I225">
        <f>IF(Skills!T15&lt;&gt;"",1+(Skills!T15/10)*($Z$3/1000)/100,1)</f>
        <v/>
      </c>
      <c r="J225">
        <f>((Inputs!$B$6*(1+Inputs!$B$7/100))+(((Inputs!$B$13*(1+Inputs!$B$14/100))-(Inputs!$B$13*(1+Inputs!$B$14/100)))+0.25*(Inputs!$B$15-Inputs!$B$15))*(1+Inputs!$B$7/100))*(F225/100)</f>
        <v/>
      </c>
      <c r="K225">
        <f>J225*(1+(((Inputs!$B$13+IF(Inputs!$B$3&gt;=35,(10*INDEX(FactorTable!$B$2:$Y$301, MATCH(ROUND(MIN(300,MAX(1,Inputs!$B$3)),0), FactorTable!$A$2:$A$301,0), 23)/1000)/100*(Inputs!$B$8*(1+(Inputs!$B$9+B248)/100)),0))*(1+Inputs!$B$14/100))*0.01+Inputs!$B$15*0.0025)/100)*(1+((Inputs!$B$16+1)+B242)/100)*(1+Inputs!$B$17/100)*(5000/(6000+Inputs!$B$43*(1-Inputs!$B$20/100)))*(1+Inputs!$B$25/100)*(1+IF(C228=TRUE,F228,0)/100)*(1+IF(C230=TRUE,F230,0)/100)*(1+IF(Skills!A15="TRIUMPH_FEATHER",IF(C226=TRUE,F226,0),0)/100)*(1+IF(C237=TRUE,F237,0)/100)^5*(1+(IF(Skills!A15="BIG_BANG",Inputs!$B$18,Inputs!$B$19))/100)*(B239*I225)</f>
        <v/>
      </c>
      <c r="L225">
        <f>K225*(MIN(Inputs!$B$23+(F232-Calc!F22),Inputs!$B$24)/100+Inputs!$B$24/100)/2</f>
        <v/>
      </c>
      <c r="M225">
        <f>L225*(1+(Inputs!$B$11+B243+(F235-Calc!F25))/100)</f>
        <v/>
      </c>
      <c r="N225">
        <f>L225*(1-MIN(Inputs!$B$10+((F234-Calc!F24)+(F233-Calc!F23)),100)/100)+M225*(MIN(Inputs!$B$10+((F234-Calc!F24)+(F233-Calc!F23)),100)/100)</f>
        <v/>
      </c>
      <c r="O225">
        <f>(1-Summary!$B$48)*S225+Summary!$B$48*U225</f>
        <v/>
      </c>
      <c r="P225">
        <f>IF(B252=0,0,O225/B252)</f>
        <v/>
      </c>
      <c r="Q225">
        <f>IFERROR(1/IF(Inputs!$B$39="pvp",15,MAX(0.1,Skills!D15-IF(Skills!E15=TRUE,Inputs!$B$33,0))),0)</f>
        <v/>
      </c>
      <c r="R225" t="n">
        <v>0</v>
      </c>
      <c r="S225">
        <f>IF(C225,(Skills!F15*N225*((IF(Inputs!$B$3&gt;=78,25,15)/100*B245*10)/(1+IF(Inputs!$B$3&gt;=78,25,15)/100*B245*10))*(Skills!I15/100*B245)/(1+Skills!G15*Skills!I15/100*B245))*IF(Inputs!$B$39="pvp",1,1+(Inputs!$B$21+Skills!O15+B240)/100),0)</f>
        <v/>
      </c>
      <c r="U225">
        <f>IF(C225,(Skills!F15*N225*((IF(Inputs!$B$3&gt;=78,25,15)/100*B245*10)/(1+IF(Inputs!$B$3&gt;=78,25,15)/100*B245*10))*(Skills!I15/100*B245)/(1+Skills!G15*Skills!I15/100*B245))*IF(Inputs!$B$39="pvp",1,(1+(Inputs!$B$22+Skills!P15+B241)/100)*(MIN(Skills!Q15,Inputs!$B$38))),0)</f>
        <v/>
      </c>
    </row>
    <row r="226">
      <c r="A226">
        <f>Skills!A16</f>
        <v/>
      </c>
      <c r="B226">
        <f>Skills!B16</f>
        <v/>
      </c>
      <c r="C226">
        <f>Inputs!$B$3&gt;=100</f>
        <v/>
      </c>
      <c r="D226">
        <f>IF(Skills!C16=1,60+Inputs!$B$26+Inputs!$B$30,IF(Skills!C16=2,90+Inputs!$B$27+Inputs!$B$30,IF(Skills!C16=3,120+Inputs!$B$28+Inputs!$B$30,MAX(0,(Inputs!$B$3-100)*3)+Inputs!$B$29+Inputs!$B$30)))</f>
        <v/>
      </c>
      <c r="E226">
        <f>INDEX(FactorTable!$B$2:$Y$301, MATCH(ROUND(MIN(300,MAX(1,D226)),0), FactorTable!$A$2:$A$301,0), Skills!L16+1)</f>
        <v/>
      </c>
      <c r="F226">
        <f>IF(Skills!M16=TRUE,(Skills!K16/10)*(E226/1000),Skills!K16/10)+Skills!N16</f>
        <v/>
      </c>
      <c r="G226">
        <f>Calc!G16</f>
        <v/>
      </c>
      <c r="H226">
        <f>Calc!H16</f>
        <v/>
      </c>
      <c r="I226">
        <f>IF(Skills!T16&lt;&gt;"",1+(Skills!T16/10)*($Z$3/1000)/100,1)</f>
        <v/>
      </c>
      <c r="J226" t="inlineStr"/>
      <c r="K226" t="inlineStr"/>
      <c r="L226" t="inlineStr"/>
      <c r="M226" t="inlineStr"/>
      <c r="N226" t="inlineStr"/>
      <c r="O226">
        <f>(1-Summary!$B$48)*S226+Summary!$B$48*U226</f>
        <v/>
      </c>
      <c r="P226">
        <f>IF(B252=0,0,O226/B252)</f>
        <v/>
      </c>
      <c r="Q226">
        <f>IFERROR(1/IF(Inputs!$B$39="pvp",15,MAX(0.1,Skills!D16-IF(Skills!E16=TRUE,Inputs!$B$33,0))),0)</f>
        <v/>
      </c>
      <c r="R226" t="n">
        <v>0</v>
      </c>
      <c r="S226" t="n">
        <v>0</v>
      </c>
      <c r="U226" t="n">
        <v>0</v>
      </c>
    </row>
    <row r="227">
      <c r="A227">
        <f>Skills!A17</f>
        <v/>
      </c>
      <c r="B227">
        <f>Skills!B17</f>
        <v/>
      </c>
      <c r="C227">
        <f>Inputs!$B$3&gt;=49</f>
        <v/>
      </c>
      <c r="D227">
        <f>IF(Skills!C17=1,60+Inputs!$B$26+Inputs!$B$30,IF(Skills!C17=2,90+Inputs!$B$27+Inputs!$B$30,IF(Skills!C17=3,120+Inputs!$B$28+Inputs!$B$30,MAX(0,(Inputs!$B$3-100)*3)+Inputs!$B$29+Inputs!$B$30)))</f>
        <v/>
      </c>
      <c r="E227">
        <f>INDEX(FactorTable!$B$2:$Y$301, MATCH(ROUND(MIN(300,MAX(1,D227)),0), FactorTable!$A$2:$A$301,0), Skills!L17+1)</f>
        <v/>
      </c>
      <c r="F227">
        <f>IF(Skills!M17=TRUE,(Skills!K17/10)*(E227/1000),Skills!K17/10)+Skills!N17</f>
        <v/>
      </c>
      <c r="G227">
        <f>Calc!G17</f>
        <v/>
      </c>
      <c r="H227">
        <f>Calc!H17</f>
        <v/>
      </c>
      <c r="I227">
        <f>IF(Skills!T17&lt;&gt;"",1+(Skills!T17/10)*($Z$3/1000)/100,1)</f>
        <v/>
      </c>
      <c r="J227" t="inlineStr"/>
      <c r="K227" t="inlineStr"/>
      <c r="L227" t="inlineStr"/>
      <c r="M227" t="inlineStr"/>
      <c r="N227" t="inlineStr"/>
      <c r="O227">
        <f>(1-Summary!$B$48)*S227+Summary!$B$48*U227</f>
        <v/>
      </c>
      <c r="P227">
        <f>IF(B252=0,0,O227/B252)</f>
        <v/>
      </c>
      <c r="Q227">
        <f>IFERROR(1/IF(Inputs!$B$39="pvp",15,MAX(0.1,Skills!D17-IF(Skills!E17=TRUE,Inputs!$B$33,0))),0)</f>
        <v/>
      </c>
      <c r="R227" t="n">
        <v>0</v>
      </c>
      <c r="S227" t="n">
        <v>0</v>
      </c>
      <c r="U227" t="n">
        <v>0</v>
      </c>
    </row>
    <row r="228">
      <c r="A228">
        <f>Skills!A18</f>
        <v/>
      </c>
      <c r="B228">
        <f>Skills!B18</f>
        <v/>
      </c>
      <c r="C228">
        <f>Inputs!$B$3&gt;=75</f>
        <v/>
      </c>
      <c r="D228">
        <f>IF(Skills!C18=1,60+Inputs!$B$26+Inputs!$B$30,IF(Skills!C18=2,90+Inputs!$B$27+Inputs!$B$30,IF(Skills!C18=3,120+Inputs!$B$28+Inputs!$B$30,MAX(0,(Inputs!$B$3-100)*3)+Inputs!$B$29+Inputs!$B$30)))</f>
        <v/>
      </c>
      <c r="E228">
        <f>INDEX(FactorTable!$B$2:$Y$301, MATCH(ROUND(MIN(300,MAX(1,D228)),0), FactorTable!$A$2:$A$301,0), Skills!L18+1)</f>
        <v/>
      </c>
      <c r="F228">
        <f>IF(Skills!M18=TRUE,(Skills!K18/10)*(E228/1000),Skills!K18/10)+Skills!N18</f>
        <v/>
      </c>
      <c r="G228">
        <f>Calc!G18</f>
        <v/>
      </c>
      <c r="H228">
        <f>Calc!H18</f>
        <v/>
      </c>
      <c r="I228">
        <f>IF(Skills!T18&lt;&gt;"",1+(Skills!T18/10)*($Z$3/1000)/100,1)</f>
        <v/>
      </c>
      <c r="J228" t="inlineStr"/>
      <c r="K228" t="inlineStr"/>
      <c r="L228" t="inlineStr"/>
      <c r="M228" t="inlineStr"/>
      <c r="N228" t="inlineStr"/>
      <c r="O228">
        <f>(1-Summary!$B$48)*S228+Summary!$B$48*U228</f>
        <v/>
      </c>
      <c r="P228">
        <f>IF(B252=0,0,O228/B252)</f>
        <v/>
      </c>
      <c r="Q228">
        <f>IFERROR(1/IF(Inputs!$B$39="pvp",15,MAX(0.1,Skills!D18-IF(Skills!E18=TRUE,Inputs!$B$33,0))),0)</f>
        <v/>
      </c>
      <c r="R228" t="n">
        <v>0</v>
      </c>
      <c r="S228" t="n">
        <v>0</v>
      </c>
      <c r="U228" t="n">
        <v>0</v>
      </c>
    </row>
    <row r="229">
      <c r="A229">
        <f>Skills!A19</f>
        <v/>
      </c>
      <c r="B229">
        <f>Skills!B19</f>
        <v/>
      </c>
      <c r="C229">
        <f>Inputs!$B$3&gt;=110</f>
        <v/>
      </c>
      <c r="D229">
        <f>IF(Skills!C19=1,60+Inputs!$B$26+Inputs!$B$30,IF(Skills!C19=2,90+Inputs!$B$27+Inputs!$B$30,IF(Skills!C19=3,120+Inputs!$B$28+Inputs!$B$30,MAX(0,(Inputs!$B$3-100)*3)+Inputs!$B$29+Inputs!$B$30)))</f>
        <v/>
      </c>
      <c r="E229">
        <f>INDEX(FactorTable!$B$2:$Y$301, MATCH(ROUND(MIN(300,MAX(1,D229)),0), FactorTable!$A$2:$A$301,0), Skills!L19+1)</f>
        <v/>
      </c>
      <c r="F229">
        <f>(Skills!K19/10)*(E229/1000)*64/45+Skills!N19</f>
        <v/>
      </c>
      <c r="G229">
        <f>Calc!G19</f>
        <v/>
      </c>
      <c r="H229">
        <f>Calc!H19</f>
        <v/>
      </c>
      <c r="I229">
        <f>IF(Skills!T19&lt;&gt;"",1+(Skills!T19/10)*($Z$3/1000)/100,1)</f>
        <v/>
      </c>
      <c r="J229" t="inlineStr"/>
      <c r="K229" t="inlineStr"/>
      <c r="L229" t="inlineStr"/>
      <c r="M229" t="inlineStr"/>
      <c r="N229" t="inlineStr"/>
      <c r="O229">
        <f>(1-Summary!$B$48)*S229+Summary!$B$48*U229</f>
        <v/>
      </c>
      <c r="P229">
        <f>IF(B252=0,0,O229/B252)</f>
        <v/>
      </c>
      <c r="Q229">
        <f>IFERROR(1/IF(Inputs!$B$39="pvp",15,MAX(0.1,Skills!D19-IF(Skills!E19=TRUE,Inputs!$B$33,0))),0)</f>
        <v/>
      </c>
      <c r="R229">
        <f>IF(AND(Inputs!$B$39&lt;&gt;"pvp",Inputs!$B$44&gt;0),IF(Inputs!$B$44&lt;=0,0,(INT(Inputs!$B$44/IF(Inputs!$B$39="pvp",15,MAX(0.1,Skills!D19-IF(Skills!E19=TRUE,Inputs!$B$33,0))))+1)),0)</f>
        <v/>
      </c>
      <c r="S229" t="n">
        <v>0</v>
      </c>
      <c r="U229" t="n">
        <v>0</v>
      </c>
    </row>
    <row r="230">
      <c r="A230">
        <f>Skills!A20</f>
        <v/>
      </c>
      <c r="B230">
        <f>Skills!B20</f>
        <v/>
      </c>
      <c r="C230">
        <f>Inputs!$B$3&gt;=125</f>
        <v/>
      </c>
      <c r="D230">
        <f>IF(Skills!C20=1,60+Inputs!$B$26+Inputs!$B$30,IF(Skills!C20=2,90+Inputs!$B$27+Inputs!$B$30,IF(Skills!C20=3,120+Inputs!$B$28+Inputs!$B$30,MAX(0,(Inputs!$B$3-100)*3)+Inputs!$B$29+Inputs!$B$30)))</f>
        <v/>
      </c>
      <c r="E230">
        <f>INDEX(FactorTable!$B$2:$Y$301, MATCH(ROUND(MIN(300,MAX(1,D230)),0), FactorTable!$A$2:$A$301,0), Skills!L20+1)</f>
        <v/>
      </c>
      <c r="F230">
        <f>IF(Skills!M20=TRUE,(Skills!K20/10)*(E230/1000),Skills!K20/10)+Skills!N20</f>
        <v/>
      </c>
      <c r="G230">
        <f>Calc!G20</f>
        <v/>
      </c>
      <c r="H230">
        <f>Calc!H20</f>
        <v/>
      </c>
      <c r="I230">
        <f>IF(Skills!T20&lt;&gt;"",1+(Skills!T20/10)*($Z$3/1000)/100,1)</f>
        <v/>
      </c>
      <c r="J230" t="inlineStr"/>
      <c r="K230" t="inlineStr"/>
      <c r="L230" t="inlineStr"/>
      <c r="M230" t="inlineStr"/>
      <c r="N230" t="inlineStr"/>
      <c r="O230">
        <f>(1-Summary!$B$48)*S230+Summary!$B$48*U230</f>
        <v/>
      </c>
      <c r="P230">
        <f>IF(B252=0,0,O230/B252)</f>
        <v/>
      </c>
      <c r="Q230">
        <f>IFERROR(1/IF(Inputs!$B$39="pvp",15,MAX(0.1,Skills!D20-IF(Skills!E20=TRUE,Inputs!$B$33,0))),0)</f>
        <v/>
      </c>
      <c r="R230" t="n">
        <v>0</v>
      </c>
      <c r="S230" t="n">
        <v>0</v>
      </c>
      <c r="U230" t="n">
        <v>0</v>
      </c>
    </row>
    <row r="231">
      <c r="A231">
        <f>Skills!A21</f>
        <v/>
      </c>
      <c r="B231">
        <f>Skills!B21</f>
        <v/>
      </c>
      <c r="C231">
        <f>Inputs!$B$3&gt;=33</f>
        <v/>
      </c>
      <c r="D231">
        <f>IF(Skills!C21=1,60+Inputs!$B$26+Inputs!$B$30,IF(Skills!C21=2,90+Inputs!$B$27+Inputs!$B$30,IF(Skills!C21=3,120+Inputs!$B$28+Inputs!$B$30,MAX(0,(Inputs!$B$3-100)*3)+Inputs!$B$29+Inputs!$B$30)))</f>
        <v/>
      </c>
      <c r="E231">
        <f>INDEX(FactorTable!$B$2:$Y$301, MATCH(ROUND(MIN(300,MAX(1,D231)),0), FactorTable!$A$2:$A$301,0), Skills!L21+1)</f>
        <v/>
      </c>
      <c r="F231">
        <f>IF(Skills!M21=TRUE,(Skills!K21/10)*(E231/1000),Skills!K21/10)+Skills!N21</f>
        <v/>
      </c>
      <c r="G231">
        <f>Calc!G21</f>
        <v/>
      </c>
      <c r="H231">
        <f>Calc!H21</f>
        <v/>
      </c>
      <c r="I231">
        <f>IF(Skills!T21&lt;&gt;"",1+(Skills!T21/10)*($Z$3/1000)/100,1)</f>
        <v/>
      </c>
      <c r="J231" t="inlineStr"/>
      <c r="K231" t="inlineStr"/>
      <c r="L231" t="inlineStr"/>
      <c r="M231" t="inlineStr"/>
      <c r="N231" t="inlineStr"/>
      <c r="O231">
        <f>(1-Summary!$B$48)*S231+Summary!$B$48*U231</f>
        <v/>
      </c>
      <c r="P231">
        <f>IF(B252=0,0,O231/B252)</f>
        <v/>
      </c>
      <c r="Q231">
        <f>IFERROR(1/IF(Inputs!$B$39="pvp",15,MAX(0.1,Skills!D21-IF(Skills!E21=TRUE,Inputs!$B$33,0))),0)</f>
        <v/>
      </c>
      <c r="R231" t="n">
        <v>0</v>
      </c>
      <c r="S231" t="n">
        <v>0</v>
      </c>
      <c r="U231" t="n">
        <v>0</v>
      </c>
    </row>
    <row r="232">
      <c r="A232">
        <f>Skills!A22</f>
        <v/>
      </c>
      <c r="B232">
        <f>Skills!B22</f>
        <v/>
      </c>
      <c r="C232">
        <f>Inputs!$B$3&gt;=43</f>
        <v/>
      </c>
      <c r="D232">
        <f>IF(Skills!C22=1,60+Inputs!$B$26+Inputs!$B$30,IF(Skills!C22=2,90+Inputs!$B$27+Inputs!$B$30,IF(Skills!C22=3,120+Inputs!$B$28+Inputs!$B$30,MAX(0,(Inputs!$B$3-100)*3)+Inputs!$B$29+Inputs!$B$30)))</f>
        <v/>
      </c>
      <c r="E232">
        <f>INDEX(FactorTable!$B$2:$Y$301, MATCH(ROUND(MIN(300,MAX(1,D232)),0), FactorTable!$A$2:$A$301,0), Skills!L22+1)</f>
        <v/>
      </c>
      <c r="F232">
        <f>IF(Skills!M22=TRUE,(Skills!K22/10)*(E232/1000),Skills!K22/10)+Skills!N22</f>
        <v/>
      </c>
      <c r="G232">
        <f>Calc!G22</f>
        <v/>
      </c>
      <c r="H232">
        <f>Calc!H22</f>
        <v/>
      </c>
      <c r="I232">
        <f>IF(Skills!T22&lt;&gt;"",1+(Skills!T22/10)*($Z$3/1000)/100,1)</f>
        <v/>
      </c>
      <c r="J232" t="inlineStr"/>
      <c r="K232" t="inlineStr"/>
      <c r="L232" t="inlineStr"/>
      <c r="M232" t="inlineStr"/>
      <c r="N232" t="inlineStr"/>
      <c r="O232">
        <f>(1-Summary!$B$48)*S232+Summary!$B$48*U232</f>
        <v/>
      </c>
      <c r="P232">
        <f>IF(B252=0,0,O232/B252)</f>
        <v/>
      </c>
      <c r="Q232">
        <f>IFERROR(1/IF(Inputs!$B$39="pvp",15,MAX(0.1,Skills!D22-IF(Skills!E22=TRUE,Inputs!$B$33,0))),0)</f>
        <v/>
      </c>
      <c r="R232" t="n">
        <v>0</v>
      </c>
      <c r="S232" t="n">
        <v>0</v>
      </c>
      <c r="U232" t="n">
        <v>0</v>
      </c>
    </row>
    <row r="233">
      <c r="A233">
        <f>Skills!A23</f>
        <v/>
      </c>
      <c r="B233">
        <f>Skills!B23</f>
        <v/>
      </c>
      <c r="C233">
        <f>Inputs!$B$3&gt;=50</f>
        <v/>
      </c>
      <c r="D233">
        <f>IF(Skills!C23=1,60+Inputs!$B$26+Inputs!$B$30,IF(Skills!C23=2,90+Inputs!$B$27+Inputs!$B$30,IF(Skills!C23=3,120+Inputs!$B$28+Inputs!$B$30,MAX(0,(Inputs!$B$3-100)*3)+Inputs!$B$29+Inputs!$B$30)))</f>
        <v/>
      </c>
      <c r="E233">
        <f>INDEX(FactorTable!$B$2:$Y$301, MATCH(ROUND(MIN(300,MAX(1,D233)),0), FactorTable!$A$2:$A$301,0), Skills!L23+1)</f>
        <v/>
      </c>
      <c r="F233">
        <f>IF(Skills!M23=TRUE,(Skills!K23/10)*(E233/1000),Skills!K23/10)+Skills!N23</f>
        <v/>
      </c>
      <c r="G233">
        <f>Calc!G23</f>
        <v/>
      </c>
      <c r="H233">
        <f>Calc!H23</f>
        <v/>
      </c>
      <c r="I233">
        <f>IF(Skills!T23&lt;&gt;"",1+(Skills!T23/10)*($Z$3/1000)/100,1)</f>
        <v/>
      </c>
      <c r="J233" t="inlineStr"/>
      <c r="K233" t="inlineStr"/>
      <c r="L233" t="inlineStr"/>
      <c r="M233" t="inlineStr"/>
      <c r="N233" t="inlineStr"/>
      <c r="O233">
        <f>(1-Summary!$B$48)*S233+Summary!$B$48*U233</f>
        <v/>
      </c>
      <c r="P233">
        <f>IF(B252=0,0,O233/B252)</f>
        <v/>
      </c>
      <c r="Q233">
        <f>IFERROR(1/IF(Inputs!$B$39="pvp",15,MAX(0.1,Skills!D23-IF(Skills!E23=TRUE,Inputs!$B$33,0))),0)</f>
        <v/>
      </c>
      <c r="R233" t="n">
        <v>0</v>
      </c>
      <c r="S233" t="n">
        <v>0</v>
      </c>
      <c r="U233" t="n">
        <v>0</v>
      </c>
    </row>
    <row r="234">
      <c r="A234">
        <f>Skills!A24</f>
        <v/>
      </c>
      <c r="B234">
        <f>Skills!B24</f>
        <v/>
      </c>
      <c r="C234">
        <f>Inputs!$B$3&gt;=74</f>
        <v/>
      </c>
      <c r="D234">
        <f>IF(Skills!C24=1,60+Inputs!$B$26+Inputs!$B$30,IF(Skills!C24=2,90+Inputs!$B$27+Inputs!$B$30,IF(Skills!C24=3,120+Inputs!$B$28+Inputs!$B$30,MAX(0,(Inputs!$B$3-100)*3)+Inputs!$B$29+Inputs!$B$30)))</f>
        <v/>
      </c>
      <c r="E234">
        <f>INDEX(FactorTable!$B$2:$Y$301, MATCH(ROUND(MIN(300,MAX(1,D234)),0), FactorTable!$A$2:$A$301,0), Skills!L24+1)</f>
        <v/>
      </c>
      <c r="F234">
        <f>IF(Skills!M24=TRUE,(Skills!K24/10)*(E234/1000),Skills!K24/10)+Skills!N24</f>
        <v/>
      </c>
      <c r="G234">
        <f>Calc!G24</f>
        <v/>
      </c>
      <c r="H234">
        <f>Calc!H24</f>
        <v/>
      </c>
      <c r="I234">
        <f>IF(Skills!T24&lt;&gt;"",1+(Skills!T24/10)*($Z$3/1000)/100,1)</f>
        <v/>
      </c>
      <c r="J234" t="inlineStr"/>
      <c r="K234" t="inlineStr"/>
      <c r="L234" t="inlineStr"/>
      <c r="M234" t="inlineStr"/>
      <c r="N234" t="inlineStr"/>
      <c r="O234">
        <f>(1-Summary!$B$48)*S234+Summary!$B$48*U234</f>
        <v/>
      </c>
      <c r="P234">
        <f>IF(B252=0,0,O234/B252)</f>
        <v/>
      </c>
      <c r="Q234">
        <f>IFERROR(1/IF(Inputs!$B$39="pvp",15,MAX(0.1,Skills!D24-IF(Skills!E24=TRUE,Inputs!$B$33,0))),0)</f>
        <v/>
      </c>
      <c r="R234" t="n">
        <v>0</v>
      </c>
      <c r="S234" t="n">
        <v>0</v>
      </c>
      <c r="U234" t="n">
        <v>0</v>
      </c>
    </row>
    <row r="235">
      <c r="A235">
        <f>Skills!A25</f>
        <v/>
      </c>
      <c r="B235">
        <f>Skills!B25</f>
        <v/>
      </c>
      <c r="C235">
        <f>Inputs!$B$3&gt;=74</f>
        <v/>
      </c>
      <c r="D235">
        <f>IF(Skills!C25=1,60+Inputs!$B$26+Inputs!$B$30,IF(Skills!C25=2,90+Inputs!$B$27+Inputs!$B$30,IF(Skills!C25=3,120+Inputs!$B$28+Inputs!$B$30,MAX(0,(Inputs!$B$3-100)*3)+Inputs!$B$29+Inputs!$B$30)))</f>
        <v/>
      </c>
      <c r="E235">
        <f>INDEX(FactorTable!$B$2:$Y$301, MATCH(ROUND(MIN(300,MAX(1,D235)),0), FactorTable!$A$2:$A$301,0), Skills!L25+1)</f>
        <v/>
      </c>
      <c r="F235">
        <f>IF(Skills!M25=TRUE,(Skills!K25/10)*(E235/1000),Skills!K25/10)+Skills!N25</f>
        <v/>
      </c>
      <c r="G235">
        <f>Calc!G25</f>
        <v/>
      </c>
      <c r="H235">
        <f>Calc!H25</f>
        <v/>
      </c>
      <c r="I235">
        <f>IF(Skills!T25&lt;&gt;"",1+(Skills!T25/10)*($Z$3/1000)/100,1)</f>
        <v/>
      </c>
      <c r="J235" t="inlineStr"/>
      <c r="K235" t="inlineStr"/>
      <c r="L235" t="inlineStr"/>
      <c r="M235" t="inlineStr"/>
      <c r="N235" t="inlineStr"/>
      <c r="O235">
        <f>(1-Summary!$B$48)*S235+Summary!$B$48*U235</f>
        <v/>
      </c>
      <c r="P235">
        <f>IF(B252=0,0,O235/B252)</f>
        <v/>
      </c>
      <c r="Q235">
        <f>IFERROR(1/IF(Inputs!$B$39="pvp",15,MAX(0.1,Skills!D25-IF(Skills!E25=TRUE,Inputs!$B$33,0))),0)</f>
        <v/>
      </c>
      <c r="R235" t="n">
        <v>0</v>
      </c>
      <c r="S235" t="n">
        <v>0</v>
      </c>
      <c r="U235" t="n">
        <v>0</v>
      </c>
    </row>
    <row r="236">
      <c r="A236">
        <f>Skills!A26</f>
        <v/>
      </c>
      <c r="B236">
        <f>Skills!B26</f>
        <v/>
      </c>
      <c r="C236">
        <f>Inputs!$B$3&gt;=117</f>
        <v/>
      </c>
      <c r="D236">
        <f>IF(Skills!C26=1,60+Inputs!$B$26+Inputs!$B$30,IF(Skills!C26=2,90+Inputs!$B$27+Inputs!$B$30,IF(Skills!C26=3,120+Inputs!$B$28+Inputs!$B$30,MAX(0,(Inputs!$B$3-100)*3)+Inputs!$B$29+Inputs!$B$30)))</f>
        <v/>
      </c>
      <c r="E236">
        <f>INDEX(FactorTable!$B$2:$Y$301, MATCH(ROUND(MIN(300,MAX(1,D236)),0), FactorTable!$A$2:$A$301,0), Skills!L26+1)</f>
        <v/>
      </c>
      <c r="F236">
        <f>IF(Skills!M26=TRUE,(Skills!K26/10)*(E236/1000),Skills!K26/10)+Skills!N26</f>
        <v/>
      </c>
      <c r="G236">
        <f>Calc!G26</f>
        <v/>
      </c>
      <c r="H236">
        <f>Calc!H26</f>
        <v/>
      </c>
      <c r="I236">
        <f>IF(Skills!T26&lt;&gt;"",1+(Skills!T26/10)*($Z$3/1000)/100,1)</f>
        <v/>
      </c>
      <c r="J236" t="inlineStr"/>
      <c r="K236" t="inlineStr"/>
      <c r="L236" t="inlineStr"/>
      <c r="M236" t="inlineStr"/>
      <c r="N236" t="inlineStr"/>
      <c r="O236">
        <f>(1-Summary!$B$48)*S236+Summary!$B$48*U236</f>
        <v/>
      </c>
      <c r="P236">
        <f>IF(B252=0,0,O236/B252)</f>
        <v/>
      </c>
      <c r="Q236">
        <f>IFERROR(1/IF(Inputs!$B$39="pvp",15,MAX(0.1,Skills!D26-IF(Skills!E26=TRUE,Inputs!$B$33,0))),0)</f>
        <v/>
      </c>
      <c r="R236" t="n">
        <v>0</v>
      </c>
      <c r="S236" t="n">
        <v>0</v>
      </c>
      <c r="U236" t="n">
        <v>0</v>
      </c>
    </row>
    <row r="237">
      <c r="A237">
        <f>Skills!A27</f>
        <v/>
      </c>
      <c r="B237">
        <f>Skills!B27</f>
        <v/>
      </c>
      <c r="C237">
        <f>Inputs!$B$3&gt;=120</f>
        <v/>
      </c>
      <c r="D237">
        <f>IF(Skills!C27=1,60+Inputs!$B$26+Inputs!$B$30,IF(Skills!C27=2,90+Inputs!$B$27+Inputs!$B$30,IF(Skills!C27=3,120+Inputs!$B$28+Inputs!$B$30,MAX(0,(Inputs!$B$3-100)*3)+Inputs!$B$29+Inputs!$B$30)))</f>
        <v/>
      </c>
      <c r="E237">
        <f>INDEX(FactorTable!$B$2:$Y$301, MATCH(ROUND(MIN(300,MAX(1,D237)),0), FactorTable!$A$2:$A$301,0), Skills!L27+1)</f>
        <v/>
      </c>
      <c r="F237">
        <f>IF(Skills!M27=TRUE,(Skills!K27/10)*(E237/1000),Skills!K27/10)+Skills!N27</f>
        <v/>
      </c>
      <c r="G237">
        <f>Calc!G27</f>
        <v/>
      </c>
      <c r="H237">
        <f>Calc!H27</f>
        <v/>
      </c>
      <c r="I237">
        <f>IF(Skills!T27&lt;&gt;"",1+(Skills!T27/10)*($Z$3/1000)/100,1)</f>
        <v/>
      </c>
      <c r="J237" t="inlineStr"/>
      <c r="K237" t="inlineStr"/>
      <c r="L237" t="inlineStr"/>
      <c r="M237" t="inlineStr"/>
      <c r="N237" t="inlineStr"/>
      <c r="O237">
        <f>(1-Summary!$B$48)*S237+Summary!$B$48*U237</f>
        <v/>
      </c>
      <c r="P237">
        <f>IF(B252=0,0,O237/B252)</f>
        <v/>
      </c>
      <c r="Q237">
        <f>IFERROR(1/IF(Inputs!$B$39="pvp",15,MAX(0.1,Skills!D27-IF(Skills!E27=TRUE,Inputs!$B$33,0))),0)</f>
        <v/>
      </c>
      <c r="R237" t="n">
        <v>0</v>
      </c>
      <c r="S237" t="n">
        <v>0</v>
      </c>
      <c r="U237" t="n">
        <v>0</v>
      </c>
    </row>
    <row r="239">
      <c r="A239" t="inlineStr">
        <is>
          <t>Average Buff Multiplier</t>
        </is>
      </c>
      <c r="B239">
        <f>(1+(IF(C213=TRUE,F213*IF(AND(Inputs!$B$39&lt;&gt;"pvp",Inputs!$B$44&gt;0),(((R213-1)*(Skills!S3*(1+(Inputs!$B$35+IF(Inputs!$B$3&gt;=117,F236,0))/100))+MIN((Skills!S3*(1+(Inputs!$B$35+IF(Inputs!$B$3&gt;=117,F236,0))/100)),MAX(0,Inputs!$B$44-((R213-1)*Skills!D3))))/Inputs!$B$44),IF(Inputs!$B$39="pvp",MIN((Skills!S3*(1+(Inputs!$B$35+IF(Inputs!$B$3&gt;=117,F236,0))/100)),15)/15,(Skills!S3*(1+(Inputs!$B$35+IF(Inputs!$B$3&gt;=117,F236,0))/100))/Skills!D3)),0)+IF(C214=TRUE,F214*IF(AND(Inputs!$B$39&lt;&gt;"pvp",Inputs!$B$44&gt;0),(((R214-1)*(Skills!S4*(1+(Inputs!$B$35+IF(Inputs!$B$3&gt;=117,F236,0))/100))+MIN((Skills!S4*(1+(Inputs!$B$35+IF(Inputs!$B$3&gt;=117,F236,0))/100)),MAX(0,Inputs!$B$44-((R214-1)*Skills!D4))))/Inputs!$B$44),IF(Inputs!$B$39="pvp",MIN((Skills!S4*(1+(Inputs!$B$35+IF(Inputs!$B$3&gt;=117,F236,0))/100)),15)/15,(Skills!S4*(1+(Inputs!$B$35+IF(Inputs!$B$3&gt;=117,F236,0))/100))/Skills!D4)),0)+IF(C215=TRUE,F215*IF(AND(Inputs!$B$39&lt;&gt;"pvp",Inputs!$B$44&gt;0),(((R215-1)*(Skills!S5*(1+(Inputs!$B$35+IF(Inputs!$B$3&gt;=117,F236,0))/100))+MIN((Skills!S5*(1+(Inputs!$B$35+IF(Inputs!$B$3&gt;=117,F236,0))/100)),MAX(0,Inputs!$B$44-((R215-1)*Skills!D5))))/Inputs!$B$44),IF(Inputs!$B$39="pvp",MIN((Skills!S5*(1+(Inputs!$B$35+IF(Inputs!$B$3&gt;=117,F236,0))/100)),15)/15,(Skills!S5*(1+(Inputs!$B$35+IF(Inputs!$B$3&gt;=117,F236,0))/100))/Skills!D5)),0)+IF(C221=TRUE,F221*IF(AND(Inputs!$B$39&lt;&gt;"pvp",Inputs!$B$44&gt;0),(((R221-1)*(Skills!S11*(1+(Inputs!$B$35+IF(Inputs!$B$3&gt;=117,F236,0))/100))+MIN((Skills!S11*(1+(Inputs!$B$35+IF(Inputs!$B$3&gt;=117,F236,0))/100)),MAX(0,Inputs!$B$44-((R221-1)*Skills!D11))))/Inputs!$B$44),IF(Inputs!$B$39="pvp",MIN((Skills!S11*(1+(Inputs!$B$35+IF(Inputs!$B$3&gt;=117,F236,0))/100)),15)/15,(Skills!S11*(1+(Inputs!$B$35+IF(Inputs!$B$3&gt;=117,F236,0))/100))/Skills!D11)),0))/100)*IF(C224=TRUE,(1+F224*IF(AND(Inputs!$B$39&lt;&gt;"pvp",Inputs!$B$44&gt;0),(((R224-1)*(Skills!S14*(1+(Inputs!$B$35+IF(Inputs!$B$3&gt;=117,F236,0))/100))+MIN((Skills!S14*(1+(Inputs!$B$35+IF(Inputs!$B$3&gt;=117,F236,0))/100)),MAX(0,Inputs!$B$44-((R224-1)*Skills!D14))))/Inputs!$B$44),IF(Inputs!$B$39="pvp",MIN((Skills!S14*(1+(Inputs!$B$35+IF(Inputs!$B$3&gt;=117,F236,0))/100)),15)/15,(Skills!S14*(1+(Inputs!$B$35+IF(Inputs!$B$3&gt;=117,F236,0))/100))/Skills!D14))/100),1)*IF(C229=TRUE,(1+F229*IF(AND(Inputs!$B$39&lt;&gt;"pvp",Inputs!$B$44&gt;0),(((R229-1)*(Skills!S19*(1+(Inputs!$B$35+IF(Inputs!$B$3&gt;=117,F236,0))/100))+MIN((Skills!S19*(1+(Inputs!$B$35+IF(Inputs!$B$3&gt;=117,F236,0))/100)),MAX(0,Inputs!$B$44-((R229-1)*Skills!D19))))/Inputs!$B$44),IF(Inputs!$B$39="pvp",MIN((Skills!S19*(1+(Inputs!$B$35+IF(Inputs!$B$3&gt;=117,F236,0))/100)),15)/15,(Skills!S19*(1+(Inputs!$B$35+IF(Inputs!$B$3&gt;=117,F236,0))/100))/Skills!D19))/100),1)</f>
        <v/>
      </c>
    </row>
    <row r="240">
      <c r="A240" t="inlineStr">
        <is>
          <t>Monster Damage Taken Bonus % (Holy Fountain)</t>
        </is>
      </c>
      <c r="B240">
        <f>IF(Inputs!$B$3&gt;=68,20*IF(Inputs!$B$39="pvp",MIN((15*(1+(Inputs!$B$35+IF(Inputs!$B$3&gt;=117,F236,0))/100)),15)/15,(15*(1+(Inputs!$B$35+IF(Inputs!$B$3&gt;=117,F236,0))/100))/Skills!D10),0)</f>
        <v/>
      </c>
    </row>
    <row r="241">
      <c r="A241" t="inlineStr">
        <is>
          <t>Normal Monster Damage Bonus % (Holy Symbol)</t>
        </is>
      </c>
      <c r="B241">
        <f>IF(C222=TRUE,F222*IF(AND(Inputs!$B$39&lt;&gt;"pvp",Inputs!$B$44&gt;0),(((R222-1)*(Skills!S12*(1+(Inputs!$B$35+IF(Inputs!$B$3&gt;=117,F236,0))/100))+MIN((Skills!S12*(1+(Inputs!$B$35+IF(Inputs!$B$3&gt;=117,F236,0))/100)),MAX(0,Inputs!$B$44-((R222-1)*Skills!D12))))/Inputs!$B$44),IF(Inputs!$B$39="pvp",MIN((Skills!S12*(1+(Inputs!$B$35+IF(Inputs!$B$3&gt;=117,F236,0))/100)),15)/15,(Skills!S12*(1+(Inputs!$B$35+IF(Inputs!$B$3&gt;=117,F236,0))/100))/Skills!D12)),0)</f>
        <v/>
      </c>
    </row>
    <row r="242">
      <c r="A242" t="inlineStr">
        <is>
          <t>Damage % Bonus (Holy Symbol - Damage Boost)</t>
        </is>
      </c>
      <c r="B242">
        <f>Skills!O12</f>
        <v/>
      </c>
    </row>
    <row r="243">
      <c r="A243" t="inlineStr">
        <is>
          <t>Crit Damage % Bonus (Blood of the Divine)</t>
        </is>
      </c>
      <c r="B243">
        <f>4*IF(C230=TRUE,F230,0)</f>
        <v/>
      </c>
    </row>
    <row r="244">
      <c r="A244" t="inlineStr">
        <is>
          <t>Attack Speed Bonus %</t>
        </is>
      </c>
      <c r="B244">
        <f>IF(C227=TRUE,F227+(F231-Calc!F21),0)+IF(Inputs!$B$3&gt;=134,15,0)</f>
        <v/>
      </c>
    </row>
    <row r="245">
      <c r="A245" t="inlineStr">
        <is>
          <t>Actions Per Second</t>
        </is>
      </c>
      <c r="B245">
        <f>1+MIN(150,150*(1-(1-Inputs!$B$12/150)*(1-B244/150)))/100</f>
        <v/>
      </c>
    </row>
    <row r="246">
      <c r="A246" t="inlineStr">
        <is>
          <t>Skill + Buff Cast Rate</t>
        </is>
      </c>
      <c r="B246">
        <f>IF(AND(Inputs!$B$39&lt;&gt;"pvp",Inputs!$B$44&gt;0),SUMPRODUCT((Skills!E2:E27=TRUE)*(C212:C237=TRUE)*R212:R237)/Inputs!$B$44,SUMPRODUCT((Skills!E2:E27=TRUE)*(C212:C237=TRUE)*Q212:Q237))</f>
        <v/>
      </c>
    </row>
    <row r="247">
      <c r="A247" t="inlineStr">
        <is>
          <t>Big Bang Casts Per Second</t>
        </is>
      </c>
      <c r="B247">
        <f>MAX(0,B245-B246)</f>
        <v/>
      </c>
    </row>
    <row r="248">
      <c r="A248" t="inlineStr">
        <is>
          <t>Defense % Bonus (Divine Protection)</t>
        </is>
      </c>
      <c r="B248">
        <f>IF(C223=TRUE,F223*IF(AND(Inputs!$B$39&lt;&gt;"pvp",Inputs!$B$44&gt;0),(((R223-1)*(Skills!S13*(1+(Inputs!$B$35+IF(Inputs!$B$3&gt;=117,F236,0))/100))+MIN((Skills!S13*(1+(Inputs!$B$35+IF(Inputs!$B$3&gt;=117,F236,0))/100)),MAX(0,Inputs!$B$44-((R223-1)*Skills!D13))))/Inputs!$B$44),IF(Inputs!$B$39="pvp",MIN((Skills!S13*(1+(Inputs!$B$35+IF(Inputs!$B$3&gt;=117,F236,0))/100)),15)/15,(Skills!S13*(1+(Inputs!$B$35+IF(Inputs!$B$3&gt;=117,F236,0))/100))/Skills!D13)),0)</f>
        <v/>
      </c>
    </row>
    <row r="249">
      <c r="A249" t="inlineStr">
        <is>
          <t>Buff-Casting Startup Delay (s, fixed-duration only)</t>
        </is>
      </c>
      <c r="B249">
        <f>IF(AND(Inputs!$B$39&lt;&gt;"pvp",Inputs!$B$44&gt;0),SUMPRODUCT((Skills!S2:S27&gt;0)*(Skills!E2:E27=TRUE)*(C212:C237=TRUE))/B245,0)</f>
        <v/>
      </c>
    </row>
    <row r="250">
      <c r="A250" t="inlineStr">
        <is>
          <t>Boss-Only Total DPS (this block's swept value)</t>
        </is>
      </c>
      <c r="B250">
        <f>SUM(S212:S237)</f>
        <v/>
      </c>
    </row>
    <row r="251">
      <c r="A251" t="inlineStr">
        <is>
          <t>Normal-Only Total DPS (this block's swept value)</t>
        </is>
      </c>
      <c r="B251">
        <f>SUM(U212:U237)</f>
        <v/>
      </c>
    </row>
    <row r="252">
      <c r="A252" s="5" t="inlineStr">
        <is>
          <t>TOTAL DPS</t>
        </is>
      </c>
      <c r="B252" s="5">
        <f>SUM(O212:O237)</f>
        <v/>
      </c>
    </row>
    <row r="254">
      <c r="A254" s="5" t="inlineStr">
        <is>
          <t>Stat: DAMAGE_AMP %</t>
        </is>
      </c>
    </row>
    <row r="255">
      <c r="A255" s="9" t="inlineStr">
        <is>
          <t>Key</t>
        </is>
      </c>
      <c r="B255" s="9" t="inlineStr">
        <is>
          <t>Name</t>
        </is>
      </c>
      <c r="C255" s="9" t="inlineStr">
        <is>
          <t>Unlocked</t>
        </is>
      </c>
      <c r="D255" s="9" t="inlineStr">
        <is>
          <t>InputLevel</t>
        </is>
      </c>
      <c r="E255" s="9" t="inlineStr">
        <is>
          <t>Factor</t>
        </is>
      </c>
      <c r="F255" s="9" t="inlineStr">
        <is>
          <t>CoefficientPercent</t>
        </is>
      </c>
      <c r="G255" s="9" t="inlineStr">
        <is>
          <t>EffectiveHits</t>
        </is>
      </c>
      <c r="H255" s="9" t="inlineStr">
        <is>
          <t>ProcProbability</t>
        </is>
      </c>
      <c r="I255" s="9" t="inlineStr">
        <is>
          <t>MapleHeroMultiplier</t>
        </is>
      </c>
      <c r="J255" s="9" t="inlineStr">
        <is>
          <t>BaseDamage</t>
        </is>
      </c>
      <c r="K255" s="9" t="inlineStr">
        <is>
          <t>BaseHitDamage</t>
        </is>
      </c>
      <c r="L255" s="9" t="inlineStr">
        <is>
          <t>NonCritAvg</t>
        </is>
      </c>
      <c r="M255" s="9" t="inlineStr">
        <is>
          <t>CritAvg</t>
        </is>
      </c>
      <c r="N255" s="9" t="inlineStr">
        <is>
          <t>ExpectedDamage(perHit)</t>
        </is>
      </c>
      <c r="O255" s="9" t="inlineStr">
        <is>
          <t>DPS</t>
        </is>
      </c>
      <c r="P255" s="9" t="inlineStr">
        <is>
          <t>% of Total</t>
        </is>
      </c>
      <c r="R255" t="inlineStr">
        <is>
          <t>helpers</t>
        </is>
      </c>
    </row>
    <row r="256">
      <c r="A256">
        <f>Skills!A2</f>
        <v/>
      </c>
      <c r="B256">
        <f>Skills!B2</f>
        <v/>
      </c>
      <c r="C256">
        <f>Inputs!$B$3&gt;=100</f>
        <v/>
      </c>
      <c r="D256" t="inlineStr"/>
      <c r="E256" t="inlineStr"/>
      <c r="F256">
        <f>T258+Skills!N2</f>
        <v/>
      </c>
      <c r="G256">
        <f>Calc!G2</f>
        <v/>
      </c>
      <c r="H256">
        <f>Calc!H2</f>
        <v/>
      </c>
      <c r="I256">
        <f>IF(Skills!T2&lt;&gt;"",1+(Skills!T2/10)*($Z$3/1000)/100,1)</f>
        <v/>
      </c>
      <c r="J256">
        <f>((Inputs!$B$6*(1+Inputs!$B$7/100))+(((Inputs!$B$13*(1+Inputs!$B$14/100))-(Inputs!$B$13*(1+Inputs!$B$14/100)))+0.25*(Inputs!$B$15-Inputs!$B$15))*(1+Inputs!$B$7/100))*(F256/100)</f>
        <v/>
      </c>
      <c r="K256">
        <f>J256*(1+(((Inputs!$B$13+IF(Inputs!$B$3&gt;=35,(10*INDEX(FactorTable!$B$2:$Y$301, MATCH(ROUND(MIN(300,MAX(1,Inputs!$B$3)),0), FactorTable!$A$2:$A$301,0), 23)/1000)/100*(Inputs!$B$8*(1+(Inputs!$B$9+B292)/100)),0))*(1+Inputs!$B$14/100))*0.01+Inputs!$B$15*0.0025)/100)*(1+(Inputs!$B$16+B286)/100)*(1+(Inputs!$B$17+1)/100)*(5000/(6000+Inputs!$B$43*(1-Inputs!$B$20/100)))*(1+Inputs!$B$25/100)*(1+IF(C272=TRUE,F272,0)/100)*(1+IF(C274=TRUE,F274,0)/100)*(1+IF(Skills!A2="TRIUMPH_FEATHER",IF(C270=TRUE,F270,0),0)/100)*(1+IF(C281=TRUE,F281,0)/100)^5*(1+(IF(Skills!A2="BIG_BANG",Inputs!$B$18,Inputs!$B$19))/100)*(B283*I256)</f>
        <v/>
      </c>
      <c r="L256">
        <f>K256*(MIN(Inputs!$B$23+(F276-Calc!F22),Inputs!$B$24)/100+Inputs!$B$24/100)/2</f>
        <v/>
      </c>
      <c r="M256">
        <f>L256*(1+(Inputs!$B$11+B287+(F279-Calc!F25))/100)</f>
        <v/>
      </c>
      <c r="N256">
        <f>L256*(1-MIN(Inputs!$B$10+((F278-Calc!F24)+(F277-Calc!F23)),100)/100)+M256*(MIN(Inputs!$B$10+((F278-Calc!F24)+(F277-Calc!F23)),100)/100)</f>
        <v/>
      </c>
      <c r="O256">
        <f>(1-Summary!$B$48)*S256+Summary!$B$48*U256</f>
        <v/>
      </c>
      <c r="P256">
        <f>IF(B296=0,0,O256/B296)</f>
        <v/>
      </c>
      <c r="Q256">
        <f>IFERROR(1/IF(Inputs!$B$39="pvp",15,MAX(0.1,Skills!D2-IF(Skills!E2=TRUE,Inputs!$B$33,0))),0)</f>
        <v/>
      </c>
      <c r="R256" t="n">
        <v>0</v>
      </c>
      <c r="S256">
        <f>IF(C256,(Skills!F2*N256*B291)*IF(Inputs!$B$39="pvp",1,1+(Inputs!$B$21+Skills!O2+B284)/100),0)</f>
        <v/>
      </c>
      <c r="T256">
        <f>MAX(0,(Inputs!$B$3-100)*3)+Inputs!$B$29+Inputs!$B$30</f>
        <v/>
      </c>
      <c r="U256">
        <f>IF(C256,(Skills!F2*N256*B291)*IF(Inputs!$B$39="pvp",1,(1+(Inputs!$B$22+Skills!P2+B285)/100)*(MIN((6+Inputs!$B$34),Inputs!$B$38))),0)</f>
        <v/>
      </c>
    </row>
    <row r="257">
      <c r="A257">
        <f>Skills!A3</f>
        <v/>
      </c>
      <c r="B257">
        <f>Skills!B3</f>
        <v/>
      </c>
      <c r="C257">
        <f>Inputs!$B$3&gt;=15</f>
        <v/>
      </c>
      <c r="D257">
        <f>IF(Skills!C3=1,60+Inputs!$B$26+Inputs!$B$30,IF(Skills!C3=2,90+Inputs!$B$27+Inputs!$B$30,IF(Skills!C3=3,120+Inputs!$B$28+Inputs!$B$30,MAX(0,(Inputs!$B$3-100)*3)+Inputs!$B$29+Inputs!$B$30)))</f>
        <v/>
      </c>
      <c r="E257">
        <f>INDEX(FactorTable!$B$2:$Y$301, MATCH(ROUND(MIN(300,MAX(1,D257)),0), FactorTable!$A$2:$A$301,0), Skills!L3+1)</f>
        <v/>
      </c>
      <c r="F257">
        <f>IF(Skills!M3=TRUE,(Skills!K3/10)*(E257/1000),Skills!K3/10)+Skills!N3</f>
        <v/>
      </c>
      <c r="G257">
        <f>Calc!G3</f>
        <v/>
      </c>
      <c r="H257">
        <f>Calc!H3</f>
        <v/>
      </c>
      <c r="I257">
        <f>IF(Skills!T3&lt;&gt;"",1+(Skills!T3/10)*($Z$3/1000)/100,1)</f>
        <v/>
      </c>
      <c r="J257" t="inlineStr"/>
      <c r="K257" t="inlineStr"/>
      <c r="L257" t="inlineStr"/>
      <c r="M257" t="inlineStr"/>
      <c r="N257" t="inlineStr"/>
      <c r="O257">
        <f>(1-Summary!$B$48)*S257+Summary!$B$48*U257</f>
        <v/>
      </c>
      <c r="P257">
        <f>IF(B296=0,0,O257/B296)</f>
        <v/>
      </c>
      <c r="Q257">
        <f>IFERROR(1/IF(Inputs!$B$39="pvp",15,MAX(0.1,Skills!D3-IF(Skills!E3=TRUE,Inputs!$B$33,0))),0)</f>
        <v/>
      </c>
      <c r="R257">
        <f>IF(AND(Inputs!$B$39&lt;&gt;"pvp",Inputs!$B$44&gt;0),IF(Inputs!$B$44&lt;=0,0,(INT(Inputs!$B$44/IF(Inputs!$B$39="pvp",15,MAX(0.1,Skills!D3-IF(Skills!E3=TRUE,Inputs!$B$33,0))))+1)),0)</f>
        <v/>
      </c>
      <c r="S257" t="n">
        <v>0</v>
      </c>
      <c r="T257">
        <f>INDEX(FactorTable!$B$2:$Y$301, MATCH(ROUND(MIN(300,MAX(1,T256)),0), FactorTable!$A$2:$A$301,0), 22)</f>
        <v/>
      </c>
      <c r="U257" t="n">
        <v>0</v>
      </c>
    </row>
    <row r="258">
      <c r="A258">
        <f>Skills!A4</f>
        <v/>
      </c>
      <c r="B258">
        <f>Skills!B4</f>
        <v/>
      </c>
      <c r="C258">
        <f>Inputs!$B$3&gt;=38</f>
        <v/>
      </c>
      <c r="D258">
        <f>IF(Skills!C4=1,60+Inputs!$B$26+Inputs!$B$30,IF(Skills!C4=2,90+Inputs!$B$27+Inputs!$B$30,IF(Skills!C4=3,120+Inputs!$B$28+Inputs!$B$30,MAX(0,(Inputs!$B$3-100)*3)+Inputs!$B$29+Inputs!$B$30)))</f>
        <v/>
      </c>
      <c r="E258">
        <f>INDEX(FactorTable!$B$2:$Y$301, MATCH(ROUND(MIN(300,MAX(1,D258)),0), FactorTable!$A$2:$A$301,0), Skills!L4+1)</f>
        <v/>
      </c>
      <c r="F258">
        <f>IF(Skills!M4=TRUE,(Skills!K4/10)*(E258/1000),Skills!K4/10)+Skills!N4</f>
        <v/>
      </c>
      <c r="G258">
        <f>Calc!G4</f>
        <v/>
      </c>
      <c r="H258">
        <f>Calc!H4</f>
        <v/>
      </c>
      <c r="I258">
        <f>IF(Skills!T4&lt;&gt;"",1+(Skills!T4/10)*($Z$3/1000)/100,1)</f>
        <v/>
      </c>
      <c r="J258" t="inlineStr"/>
      <c r="K258" t="inlineStr"/>
      <c r="L258" t="inlineStr"/>
      <c r="M258" t="inlineStr"/>
      <c r="N258" t="inlineStr"/>
      <c r="O258">
        <f>(1-Summary!$B$48)*S258+Summary!$B$48*U258</f>
        <v/>
      </c>
      <c r="P258">
        <f>IF(B296=0,0,O258/B296)</f>
        <v/>
      </c>
      <c r="Q258">
        <f>IFERROR(1/IF(Inputs!$B$39="pvp",15,MAX(0.1,Skills!D4-IF(Skills!E4=TRUE,Inputs!$B$33,0))),0)</f>
        <v/>
      </c>
      <c r="R258">
        <f>IF(AND(Inputs!$B$39&lt;&gt;"pvp",Inputs!$B$44&gt;0),IF(Inputs!$B$44&lt;=0,0,(INT(Inputs!$B$44/IF(Inputs!$B$39="pvp",15,MAX(0.1,Skills!D4-IF(Skills!E4=TRUE,Inputs!$B$33,0))))+1)),0)</f>
        <v/>
      </c>
      <c r="S258" t="n">
        <v>0</v>
      </c>
      <c r="T258">
        <f>290*T257/1000</f>
        <v/>
      </c>
      <c r="U258" t="n">
        <v>0</v>
      </c>
    </row>
    <row r="259">
      <c r="A259">
        <f>Skills!A5</f>
        <v/>
      </c>
      <c r="B259">
        <f>Skills!B5</f>
        <v/>
      </c>
      <c r="C259">
        <f>Inputs!$B$3&gt;=40</f>
        <v/>
      </c>
      <c r="D259">
        <f>IF(Skills!C5=1,60+Inputs!$B$26+Inputs!$B$30,IF(Skills!C5=2,90+Inputs!$B$27+Inputs!$B$30,IF(Skills!C5=3,120+Inputs!$B$28+Inputs!$B$30,MAX(0,(Inputs!$B$3-100)*3)+Inputs!$B$29+Inputs!$B$30)))</f>
        <v/>
      </c>
      <c r="E259">
        <f>INDEX(FactorTable!$B$2:$Y$301, MATCH(ROUND(MIN(300,MAX(1,D259)),0), FactorTable!$A$2:$A$301,0), Skills!L5+1)</f>
        <v/>
      </c>
      <c r="F259">
        <f>IF(Skills!M5=TRUE,(Skills!K5/10)*(E259/1000),Skills!K5/10)+Skills!N5</f>
        <v/>
      </c>
      <c r="G259">
        <f>Calc!G5</f>
        <v/>
      </c>
      <c r="H259">
        <f>Calc!H5</f>
        <v/>
      </c>
      <c r="I259">
        <f>IF(Skills!T5&lt;&gt;"",1+(Skills!T5/10)*($Z$3/1000)/100,1)</f>
        <v/>
      </c>
      <c r="J259" t="inlineStr"/>
      <c r="K259" t="inlineStr"/>
      <c r="L259" t="inlineStr"/>
      <c r="M259" t="inlineStr"/>
      <c r="N259" t="inlineStr"/>
      <c r="O259">
        <f>(1-Summary!$B$48)*S259+Summary!$B$48*U259</f>
        <v/>
      </c>
      <c r="P259">
        <f>IF(B296=0,0,O259/B296)</f>
        <v/>
      </c>
      <c r="Q259">
        <f>IFERROR(1/IF(Inputs!$B$39="pvp",15,MAX(0.1,Skills!D5-IF(Skills!E5=TRUE,Inputs!$B$33,0))),0)</f>
        <v/>
      </c>
      <c r="R259">
        <f>IF(AND(Inputs!$B$39&lt;&gt;"pvp",Inputs!$B$44&gt;0),IF(Inputs!$B$44&lt;=0,0,(INT(Inputs!$B$44/IF(Inputs!$B$39="pvp",15,MAX(0.1,Skills!D5-IF(Skills!E5=TRUE,Inputs!$B$33,0))))+1)),0)</f>
        <v/>
      </c>
      <c r="S259" t="n">
        <v>0</v>
      </c>
      <c r="U259" t="n">
        <v>0</v>
      </c>
    </row>
    <row r="260">
      <c r="A260">
        <f>Skills!A6</f>
        <v/>
      </c>
      <c r="B260">
        <f>Skills!B6</f>
        <v/>
      </c>
      <c r="C260">
        <f>Inputs!$B$3&gt;=103</f>
        <v/>
      </c>
      <c r="D260">
        <f>IF(Skills!C6=1,60+Inputs!$B$26+Inputs!$B$30,IF(Skills!C6=2,90+Inputs!$B$27+Inputs!$B$30,IF(Skills!C6=3,120+Inputs!$B$28+Inputs!$B$30,MAX(0,(Inputs!$B$3-100)*3)+Inputs!$B$29+Inputs!$B$30)))</f>
        <v/>
      </c>
      <c r="E260">
        <f>INDEX(FactorTable!$B$2:$Y$301, MATCH(ROUND(MIN(300,MAX(1,D260)),0), FactorTable!$A$2:$A$301,0), Skills!L6+1)</f>
        <v/>
      </c>
      <c r="F260">
        <f>IF(Skills!M6=TRUE,(Skills!K6/10)*(E260/1000),Skills!K6/10)+Skills!N6</f>
        <v/>
      </c>
      <c r="G260">
        <f>Calc!G6</f>
        <v/>
      </c>
      <c r="H260">
        <f>Calc!H6</f>
        <v/>
      </c>
      <c r="I260">
        <f>IF(Skills!T6&lt;&gt;"",1+(Skills!T6/10)*($Z$3/1000)/100,1)</f>
        <v/>
      </c>
      <c r="J260">
        <f>((Inputs!$B$6*(1+Inputs!$B$7/100))+(((Inputs!$B$13*(1+Inputs!$B$14/100))-(Inputs!$B$13*(1+Inputs!$B$14/100)))+0.25*(Inputs!$B$15-Inputs!$B$15))*(1+Inputs!$B$7/100))*(F260/100)</f>
        <v/>
      </c>
      <c r="K260">
        <f>J260*(1+(((Inputs!$B$13+IF(Inputs!$B$3&gt;=35,(10*INDEX(FactorTable!$B$2:$Y$301, MATCH(ROUND(MIN(300,MAX(1,Inputs!$B$3)),0), FactorTable!$A$2:$A$301,0), 23)/1000)/100*(Inputs!$B$8*(1+(Inputs!$B$9+B292)/100)),0))*(1+Inputs!$B$14/100))*0.01+Inputs!$B$15*0.0025)/100)*(1+(Inputs!$B$16+B286)/100)*(1+(Inputs!$B$17+1)/100)*(5000/(6000+Inputs!$B$43*(1-Inputs!$B$20/100)))*(1+Inputs!$B$25/100)*(1+IF(C272=TRUE,F272,0)/100)*(1+IF(C274=TRUE,F274,0)/100)*(1+IF(Skills!A6="TRIUMPH_FEATHER",IF(C270=TRUE,F270,0),0)/100)*(1+IF(C281=TRUE,F281,0)/100)^5*(1+(IF(Skills!A6="BIG_BANG",Inputs!$B$18,Inputs!$B$19))/100)*(B283*I260)</f>
        <v/>
      </c>
      <c r="L260">
        <f>K260*(MIN(Inputs!$B$23+(F276-Calc!F22),Inputs!$B$24)/100+Inputs!$B$24/100)/2</f>
        <v/>
      </c>
      <c r="M260">
        <f>L260*(1+(Inputs!$B$11+B287+(F279-Calc!F25))/100)</f>
        <v/>
      </c>
      <c r="N260">
        <f>L260*(1-MIN(Inputs!$B$10+((F278-Calc!F24)+(F277-Calc!F23)),100)/100)+M260*(MIN(Inputs!$B$10+((F278-Calc!F24)+(F277-Calc!F23)),100)/100)</f>
        <v/>
      </c>
      <c r="O260">
        <f>(1-Summary!$B$48)*S260+Summary!$B$48*U260</f>
        <v/>
      </c>
      <c r="P260">
        <f>IF(B296=0,0,O260/B296)</f>
        <v/>
      </c>
      <c r="Q260">
        <f>IFERROR(1/IF(Inputs!$B$39="pvp",15,MAX(0.1,Skills!D6-IF(Skills!E6=TRUE,Inputs!$B$33,0))),0)</f>
        <v/>
      </c>
      <c r="R260">
        <f>IF(AND(Inputs!$B$39&lt;&gt;"pvp",Inputs!$B$44&gt;0),IF(MAX(0,Inputs!$B$44-B293)&lt;=0,0,(INT(MAX(0,Inputs!$B$44-B293)/IF(Inputs!$B$39="pvp",15,MAX(0.1,Skills!D6-IF(Skills!E6=TRUE,Inputs!$B$33,0))))+1)),0)</f>
        <v/>
      </c>
      <c r="S260">
        <f>IF(C260,(H260*N260*IF(AND(Inputs!$B$39&lt;&gt;"pvp",Inputs!$B$44&gt;0),((Skills!F6*((R260-1)*IF(Skills!G6&gt;0,Skills!H6/Skills!G6,1)+IF(Skills!G6&gt;0,MIN(Skills!H6,MAX(0,MAX(0,Inputs!$B$44-B293)-((R260-1)*IF(Inputs!$B$39="pvp",15,MAX(0.1,Skills!D6-IF(Skills!E6=TRUE,Inputs!$B$33,0))))))/Skills!G6,1)))/Inputs!$B$44),G260*Q260))*IF(Inputs!$B$39="pvp",1,1+(Inputs!$B$21+Skills!O6+B284)/100),0)</f>
        <v/>
      </c>
      <c r="U260">
        <f>IF(C260,(H260*N260*IF(AND(Inputs!$B$39&lt;&gt;"pvp",Inputs!$B$44&gt;0),((Skills!F6*((R260-1)*IF(Skills!G6&gt;0,Skills!H6/Skills!G6,1)+IF(Skills!G6&gt;0,MIN(Skills!H6,MAX(0,MAX(0,Inputs!$B$44-B293)-((R260-1)*IF(Inputs!$B$39="pvp",15,MAX(0.1,Skills!D6-IF(Skills!E6=TRUE,Inputs!$B$33,0))))))/Skills!G6,1)))/Inputs!$B$44),G260*Q260))*IF(Inputs!$B$39="pvp",1,(1+(Inputs!$B$22+Skills!P6+B285)/100)*(MIN(Skills!Q6,Inputs!$B$38))),0)</f>
        <v/>
      </c>
    </row>
    <row r="261">
      <c r="A261">
        <f>Skills!A7</f>
        <v/>
      </c>
      <c r="B261">
        <f>Skills!B7</f>
        <v/>
      </c>
      <c r="C261">
        <f>Inputs!$B$3&gt;=122</f>
        <v/>
      </c>
      <c r="D261">
        <f>IF(Skills!C7=1,60+Inputs!$B$26+Inputs!$B$30,IF(Skills!C7=2,90+Inputs!$B$27+Inputs!$B$30,IF(Skills!C7=3,120+Inputs!$B$28+Inputs!$B$30,MAX(0,(Inputs!$B$3-100)*3)+Inputs!$B$29+Inputs!$B$30)))</f>
        <v/>
      </c>
      <c r="E261">
        <f>INDEX(FactorTable!$B$2:$Y$301, MATCH(ROUND(MIN(300,MAX(1,D261)),0), FactorTable!$A$2:$A$301,0), Skills!L7+1)</f>
        <v/>
      </c>
      <c r="F261">
        <f>IF(Skills!M7=TRUE,(Skills!K7/10)*(E261/1000),Skills!K7/10)+Skills!N7</f>
        <v/>
      </c>
      <c r="G261">
        <f>Calc!G7</f>
        <v/>
      </c>
      <c r="H261">
        <f>Calc!H7</f>
        <v/>
      </c>
      <c r="I261">
        <f>IF(Skills!T7&lt;&gt;"",1+(Skills!T7/10)*($Z$3/1000)/100,1)</f>
        <v/>
      </c>
      <c r="J261">
        <f>((Inputs!$B$6*(1+Inputs!$B$7/100))+(((Inputs!$B$13*(1+Inputs!$B$14/100))-(Inputs!$B$13*(1+Inputs!$B$14/100)))+0.25*(Inputs!$B$15-Inputs!$B$15))*(1+Inputs!$B$7/100))*(F261/100)</f>
        <v/>
      </c>
      <c r="K261">
        <f>J261*(1+(((Inputs!$B$13+IF(Inputs!$B$3&gt;=35,(10*INDEX(FactorTable!$B$2:$Y$301, MATCH(ROUND(MIN(300,MAX(1,Inputs!$B$3)),0), FactorTable!$A$2:$A$301,0), 23)/1000)/100*(Inputs!$B$8*(1+(Inputs!$B$9+B292)/100)),0))*(1+Inputs!$B$14/100))*0.01+Inputs!$B$15*0.0025)/100)*(1+(Inputs!$B$16+B286)/100)*(1+(Inputs!$B$17+1)/100)*(5000/(6000+Inputs!$B$43*(1-Inputs!$B$20/100)))*(1+Inputs!$B$25/100)*(1+IF(C272=TRUE,F272,0)/100)*(1+IF(C274=TRUE,F274,0)/100)*(1+IF(Skills!A7="TRIUMPH_FEATHER",IF(C270=TRUE,F270,0),0)/100)*(1+IF(C281=TRUE,F281,0)/100)^5*(1+(IF(Skills!A7="BIG_BANG",Inputs!$B$18,Inputs!$B$19))/100)*(B283*I261)</f>
        <v/>
      </c>
      <c r="L261">
        <f>K261*(MIN(Inputs!$B$23+(F276-Calc!F22),Inputs!$B$24)/100+Inputs!$B$24/100)/2</f>
        <v/>
      </c>
      <c r="M261">
        <f>L261*(1+(Inputs!$B$11+B287+(F279-Calc!F25))/100)</f>
        <v/>
      </c>
      <c r="N261">
        <f>L261*(1-MIN(Inputs!$B$10+((F278-Calc!F24)+(F277-Calc!F23)),100)/100)+M261*(MIN(Inputs!$B$10+((F278-Calc!F24)+(F277-Calc!F23)),100)/100)</f>
        <v/>
      </c>
      <c r="O261">
        <f>(1-Summary!$B$48)*S261+Summary!$B$48*U261</f>
        <v/>
      </c>
      <c r="P261">
        <f>IF(B296=0,0,O261/B296)</f>
        <v/>
      </c>
      <c r="Q261">
        <f>IFERROR(1/IF(Inputs!$B$39="pvp",15,MAX(0.1,Skills!D7-IF(Skills!E6=TRUE,Inputs!$B$33,0))),0)</f>
        <v/>
      </c>
      <c r="R261">
        <f>IF(AND(Inputs!$B$39&lt;&gt;"pvp",Inputs!$B$44&gt;0),IF(MAX(0,Inputs!$B$44-B293)&lt;=0,0,(INT(MAX(0,Inputs!$B$44-B293)/IF(Inputs!$B$39="pvp",15,MAX(0.1,Skills!D7-IF(Skills!E6=TRUE,Inputs!$B$33,0))))+1)),0)</f>
        <v/>
      </c>
      <c r="S261">
        <f>IF(C261,H261*N261*IF(AND(Inputs!$B$39&lt;&gt;"pvp",Inputs!$B$44&gt;0),((Skills!F7*((R261-1)*IF(Skills!G7&gt;0,Skills!H7/Skills!G7,1)+IF(Skills!G7&gt;0,MIN(Skills!H7,MAX(0,MAX(0,Inputs!$B$44-B293)-((R261-1)*IF(Inputs!$B$39="pvp",15,MAX(0.1,Skills!D7-IF(Skills!E6=TRUE,Inputs!$B$33,0))))))/Skills!G7,1)))/Inputs!$B$44),G261*Q261)*IF(Inputs!$B$39="pvp",1,1+(Inputs!$B$21+Skills!O7+B284)/100),0)</f>
        <v/>
      </c>
      <c r="U261" t="n">
        <v>0</v>
      </c>
    </row>
    <row r="262">
      <c r="A262">
        <f>Skills!A8</f>
        <v/>
      </c>
      <c r="B262">
        <f>Skills!B8</f>
        <v/>
      </c>
      <c r="C262">
        <f>Inputs!$B$3&gt;=105</f>
        <v/>
      </c>
      <c r="D262">
        <f>IF(Skills!C8=1,60+Inputs!$B$26+Inputs!$B$30,IF(Skills!C8=2,90+Inputs!$B$27+Inputs!$B$30,IF(Skills!C8=3,120+Inputs!$B$28+Inputs!$B$30,MAX(0,(Inputs!$B$3-100)*3)+Inputs!$B$29+Inputs!$B$30)))</f>
        <v/>
      </c>
      <c r="E262">
        <f>INDEX(FactorTable!$B$2:$Y$301, MATCH(ROUND(MIN(300,MAX(1,D262)),0), FactorTable!$A$2:$A$301,0), Skills!L8+1)</f>
        <v/>
      </c>
      <c r="F262">
        <f>IF(Skills!M8=TRUE,(Skills!K8/10)*(E262/1000),Skills!K8/10)+Skills!N8</f>
        <v/>
      </c>
      <c r="G262">
        <f>Calc!G8</f>
        <v/>
      </c>
      <c r="H262">
        <f>Calc!H8</f>
        <v/>
      </c>
      <c r="I262">
        <f>IF(Skills!T8&lt;&gt;"",1+(Skills!T8/10)*($Z$3/1000)/100,1)</f>
        <v/>
      </c>
      <c r="J262">
        <f>((Inputs!$B$6*(1+Inputs!$B$7/100))+(((Inputs!$B$13*(1+Inputs!$B$14/100))-(Inputs!$B$13*(1+Inputs!$B$14/100)))+0.25*(Inputs!$B$15-Inputs!$B$15))*(1+Inputs!$B$7/100))*(F262/100)</f>
        <v/>
      </c>
      <c r="K262">
        <f>J262*(1+(((Inputs!$B$13+IF(Inputs!$B$3&gt;=35,(10*INDEX(FactorTable!$B$2:$Y$301, MATCH(ROUND(MIN(300,MAX(1,Inputs!$B$3)),0), FactorTable!$A$2:$A$301,0), 23)/1000)/100*(Inputs!$B$8*(1+(Inputs!$B$9+B292)/100)),0))*(1+Inputs!$B$14/100))*0.01+Inputs!$B$15*0.0025)/100)*(1+(Inputs!$B$16+B286)/100)*(1+(Inputs!$B$17+1)/100)*(5000/(6000+Inputs!$B$43*(1-Inputs!$B$20/100)))*(1+Inputs!$B$25/100)*(1+IF(C272=TRUE,F272,0)/100)*(1+IF(C274=TRUE,F274,0)/100)*(1+IF(Skills!A8="TRIUMPH_FEATHER",IF(C270=TRUE,F270,0),0)/100)*(1+IF(C281=TRUE,F281,0)/100)^5*(1+(IF(Skills!A8="BIG_BANG",Inputs!$B$18,Inputs!$B$19))/100)*(B283*I262)</f>
        <v/>
      </c>
      <c r="L262">
        <f>K262*(MIN(Inputs!$B$23+(F276-Calc!F22),Inputs!$B$24)/100+Inputs!$B$24/100)/2</f>
        <v/>
      </c>
      <c r="M262">
        <f>L262*(1+(Inputs!$B$11+B287+(F279-Calc!F25))/100)</f>
        <v/>
      </c>
      <c r="N262">
        <f>L262*(1-MIN(Inputs!$B$10+((F278-Calc!F24)+(F277-Calc!F23)),100)/100)+M262*(MIN(Inputs!$B$10+((F278-Calc!F24)+(F277-Calc!F23)),100)/100)</f>
        <v/>
      </c>
      <c r="O262">
        <f>(1-Summary!$B$48)*S262+Summary!$B$48*U262</f>
        <v/>
      </c>
      <c r="P262">
        <f>IF(B296=0,0,O262/B296)</f>
        <v/>
      </c>
      <c r="Q262">
        <f>IFERROR(1/IF(Inputs!$B$39="pvp",15,MAX(0.1,Skills!D8-IF(Skills!E8=TRUE,Inputs!$B$33,0))),0)</f>
        <v/>
      </c>
      <c r="R262">
        <f>IF(AND(Inputs!$B$39&lt;&gt;"pvp",Inputs!$B$44&gt;0),IF(MAX(0,Inputs!$B$44-B293)&lt;=0,0,(INT(MAX(0,Inputs!$B$44-B293)/IF(Inputs!$B$39="pvp",15,MAX(0.1,Skills!D8-IF(Skills!E8=TRUE,Inputs!$B$33,0))))+1)),0)</f>
        <v/>
      </c>
      <c r="S262">
        <f>IF(C262,(H262*N262*IF(AND(Inputs!$B$39&lt;&gt;"pvp",Inputs!$B$44&gt;0),((Skills!F8*((R262-1)*IF(Skills!G8&gt;0,Skills!H8/Skills!G8,1)+IF(Skills!G8&gt;0,MIN(Skills!H8,MAX(0,MAX(0,Inputs!$B$44-B293)-((R262-1)*IF(Inputs!$B$39="pvp",15,MAX(0.1,Skills!D8-IF(Skills!E8=TRUE,Inputs!$B$33,0))))))/Skills!G8,1)))/Inputs!$B$44),G262*Q262))*IF(Inputs!$B$39="pvp",1,1+(Inputs!$B$21+Skills!O8+B284)/100),0)</f>
        <v/>
      </c>
      <c r="U262">
        <f>IF(C262,(H262*N262*IF(AND(Inputs!$B$39&lt;&gt;"pvp",Inputs!$B$44&gt;0),((Skills!F8*((R262-1)*IF(Skills!G8&gt;0,Skills!H8/Skills!G8,1)+IF(Skills!G8&gt;0,MIN(Skills!H8,MAX(0,MAX(0,Inputs!$B$44-B293)-((R262-1)*IF(Inputs!$B$39="pvp",15,MAX(0.1,Skills!D8-IF(Skills!E8=TRUE,Inputs!$B$33,0))))))/Skills!G8,1)))/Inputs!$B$44),G262*Q262))*IF(Inputs!$B$39="pvp",1,(1+(Inputs!$B$22+Skills!P8+B285)/100)*(MIN(Skills!Q8,Inputs!$B$38))),0)</f>
        <v/>
      </c>
    </row>
    <row r="263">
      <c r="A263">
        <f>Skills!A9</f>
        <v/>
      </c>
      <c r="B263">
        <f>Skills!B9</f>
        <v/>
      </c>
      <c r="C263">
        <f>Inputs!$B$3&gt;=115</f>
        <v/>
      </c>
      <c r="D263">
        <f>IF(Skills!C9=1,60+Inputs!$B$26+Inputs!$B$30,IF(Skills!C9=2,90+Inputs!$B$27+Inputs!$B$30,IF(Skills!C9=3,120+Inputs!$B$28+Inputs!$B$30,MAX(0,(Inputs!$B$3-100)*3)+Inputs!$B$29+Inputs!$B$30)))</f>
        <v/>
      </c>
      <c r="E263">
        <f>INDEX(FactorTable!$B$2:$Y$301, MATCH(ROUND(MIN(300,MAX(1,D263)),0), FactorTable!$A$2:$A$301,0), Skills!L9+1)</f>
        <v/>
      </c>
      <c r="F263">
        <f>IF(Skills!M9=TRUE,(Skills!K9/10)*(E263/1000),Skills!K9/10)+Skills!N9</f>
        <v/>
      </c>
      <c r="G263">
        <f>Calc!G9</f>
        <v/>
      </c>
      <c r="H263">
        <f>Calc!H9</f>
        <v/>
      </c>
      <c r="I263">
        <f>IF(Skills!T9&lt;&gt;"",1+(Skills!T9/10)*($Z$3/1000)/100,1)</f>
        <v/>
      </c>
      <c r="J263">
        <f>((Inputs!$B$6*(1+Inputs!$B$7/100))+(((Inputs!$B$13*(1+Inputs!$B$14/100))-(Inputs!$B$13*(1+Inputs!$B$14/100)))+0.25*(Inputs!$B$15-Inputs!$B$15))*(1+Inputs!$B$7/100))*(F263/100)</f>
        <v/>
      </c>
      <c r="K263">
        <f>J263*(1+(((Inputs!$B$13+IF(Inputs!$B$3&gt;=35,(10*INDEX(FactorTable!$B$2:$Y$301, MATCH(ROUND(MIN(300,MAX(1,Inputs!$B$3)),0), FactorTable!$A$2:$A$301,0), 23)/1000)/100*(Inputs!$B$8*(1+(Inputs!$B$9+B292)/100)),0))*(1+Inputs!$B$14/100))*0.01+Inputs!$B$15*0.0025)/100)*(1+(Inputs!$B$16+B286)/100)*(1+(Inputs!$B$17+1)/100)*(5000/(6000+Inputs!$B$43*(1-Inputs!$B$20/100)))*(1+Inputs!$B$25/100)*(1+IF(C272=TRUE,F272,0)/100)*(1+IF(C274=TRUE,F274,0)/100)*(1+IF(Skills!A9="TRIUMPH_FEATHER",IF(C270=TRUE,F270,0),0)/100)*(1+IF(C281=TRUE,F281,0)/100)^5*(1+(IF(Skills!A9="BIG_BANG",Inputs!$B$18,Inputs!$B$19))/100)*(B283*I263)</f>
        <v/>
      </c>
      <c r="L263">
        <f>K263*(MIN(Inputs!$B$23+(F276-Calc!F22),Inputs!$B$24)/100+Inputs!$B$24/100)/2</f>
        <v/>
      </c>
      <c r="M263">
        <f>L263*(1+(Inputs!$B$11+B287+(F279-Calc!F25))/100)</f>
        <v/>
      </c>
      <c r="N263">
        <f>L263*(1-MIN(Inputs!$B$10+((F278-Calc!F24)+(F277-Calc!F23)),100)/100)+M263*(MIN(Inputs!$B$10+((F278-Calc!F24)+(F277-Calc!F23)),100)/100)</f>
        <v/>
      </c>
      <c r="O263">
        <f>(1-Summary!$B$48)*S263+Summary!$B$48*U263</f>
        <v/>
      </c>
      <c r="P263">
        <f>IF(B296=0,0,O263/B296)</f>
        <v/>
      </c>
      <c r="Q263">
        <f>IFERROR(1/IF(Inputs!$B$39="pvp",15,MAX(0.1,Skills!D9-IF(Skills!E9=TRUE,Inputs!$B$33,0))),0)</f>
        <v/>
      </c>
      <c r="R263">
        <f>IF(AND(Inputs!$B$39&lt;&gt;"pvp",Inputs!$B$44&gt;0),IF(MAX(0,Inputs!$B$44-B293)&lt;=0,0,(INT(MAX(0,Inputs!$B$44-B293)/IF(Inputs!$B$39="pvp",15,MAX(0.1,Skills!D9-IF(Skills!E9=TRUE,Inputs!$B$33,0))))+1)),0)</f>
        <v/>
      </c>
      <c r="S263">
        <f>IF(C263,(H263*N263*IF(AND(Inputs!$B$39&lt;&gt;"pvp",Inputs!$B$44&gt;0),((Skills!F9*((R263-1)*IF(Skills!G9&gt;0,Skills!H9/Skills!G9,1)+IF(Skills!G9&gt;0,MIN(Skills!H9,MAX(0,MAX(0,Inputs!$B$44-B293)-((R263-1)*IF(Inputs!$B$39="pvp",15,MAX(0.1,Skills!D9-IF(Skills!E9=TRUE,Inputs!$B$33,0))))))/Skills!G9,1)))/Inputs!$B$44),G263*Q263))*IF(Inputs!$B$39="pvp",1,1+(Inputs!$B$21+Skills!O9+B284)/100),0)</f>
        <v/>
      </c>
      <c r="U263">
        <f>IF(C263,(H263*N263*IF(AND(Inputs!$B$39&lt;&gt;"pvp",Inputs!$B$44&gt;0),((Skills!F9*((R263-1)*IF(Skills!G9&gt;0,Skills!H9/Skills!G9,1)+IF(Skills!G9&gt;0,MIN(Skills!H9,MAX(0,MAX(0,Inputs!$B$44-B293)-((R263-1)*IF(Inputs!$B$39="pvp",15,MAX(0.1,Skills!D9-IF(Skills!E9=TRUE,Inputs!$B$33,0))))))/Skills!G9,1)))/Inputs!$B$44),G263*Q263))*IF(Inputs!$B$39="pvp",1,(1+(Inputs!$B$22+Skills!P9+B285)/100)*(MIN(Skills!Q9,Inputs!$B$38))),0)</f>
        <v/>
      </c>
    </row>
    <row r="264">
      <c r="A264">
        <f>Skills!A10</f>
        <v/>
      </c>
      <c r="B264">
        <f>Skills!B10</f>
        <v/>
      </c>
      <c r="C264">
        <f>Inputs!$B$3&gt;=66</f>
        <v/>
      </c>
      <c r="D264">
        <f>IF(Skills!C10=1,60+Inputs!$B$26+Inputs!$B$30,IF(Skills!C10=2,90+Inputs!$B$27+Inputs!$B$30,IF(Skills!C10=3,120+Inputs!$B$28+Inputs!$B$30,MAX(0,(Inputs!$B$3-100)*3)+Inputs!$B$29+Inputs!$B$30)))</f>
        <v/>
      </c>
      <c r="E264">
        <f>INDEX(FactorTable!$B$2:$Y$301, MATCH(ROUND(MIN(300,MAX(1,D264)),0), FactorTable!$A$2:$A$301,0), Skills!L10+1)</f>
        <v/>
      </c>
      <c r="F264" t="n">
        <v>0</v>
      </c>
      <c r="G264">
        <f>Calc!G10</f>
        <v/>
      </c>
      <c r="H264">
        <f>Calc!H10</f>
        <v/>
      </c>
      <c r="I264">
        <f>IF(Skills!T10&lt;&gt;"",1+(Skills!T10/10)*($Z$3/1000)/100,1)</f>
        <v/>
      </c>
      <c r="J264" t="inlineStr"/>
      <c r="K264" t="inlineStr"/>
      <c r="L264" t="inlineStr"/>
      <c r="M264" t="inlineStr"/>
      <c r="N264" t="inlineStr"/>
      <c r="O264">
        <f>(1-Summary!$B$48)*S264+Summary!$B$48*U264</f>
        <v/>
      </c>
      <c r="P264">
        <f>IF(B296=0,0,O264/B296)</f>
        <v/>
      </c>
      <c r="Q264">
        <f>IFERROR(1/IF(Inputs!$B$39="pvp",15,MAX(0.1,Skills!D10-IF(Skills!E10=TRUE,Inputs!$B$33,0))),0)</f>
        <v/>
      </c>
      <c r="R264">
        <f>IF(AND(Inputs!$B$39&lt;&gt;"pvp",Inputs!$B$44&gt;0),IF(MAX(0,Inputs!$B$44-B293)&lt;=0,0,(INT(MAX(0,Inputs!$B$44-B293)/IF(Inputs!$B$39="pvp",15,MAX(0.1,Skills!D10-IF(Skills!E10=TRUE,Inputs!$B$33,0))))+1)),0)</f>
        <v/>
      </c>
      <c r="S264" t="n">
        <v>0</v>
      </c>
      <c r="U264" t="n">
        <v>0</v>
      </c>
    </row>
    <row r="265">
      <c r="A265">
        <f>Skills!A11</f>
        <v/>
      </c>
      <c r="B265">
        <f>Skills!B11</f>
        <v/>
      </c>
      <c r="C265">
        <f>Inputs!$B$3&gt;=69</f>
        <v/>
      </c>
      <c r="D265">
        <f>IF(Skills!C11=1,60+Inputs!$B$26+Inputs!$B$30,IF(Skills!C11=2,90+Inputs!$B$27+Inputs!$B$30,IF(Skills!C11=3,120+Inputs!$B$28+Inputs!$B$30,MAX(0,(Inputs!$B$3-100)*3)+Inputs!$B$29+Inputs!$B$30)))</f>
        <v/>
      </c>
      <c r="E265">
        <f>INDEX(FactorTable!$B$2:$Y$301, MATCH(ROUND(MIN(300,MAX(1,D265)),0), FactorTable!$A$2:$A$301,0), Skills!L11+1)</f>
        <v/>
      </c>
      <c r="F265">
        <f>IF(Skills!M11=TRUE,(Skills!K11/10)*(E265/1000),Skills!K11/10)+Skills!N11</f>
        <v/>
      </c>
      <c r="G265">
        <f>Calc!G11</f>
        <v/>
      </c>
      <c r="H265">
        <f>Calc!H11</f>
        <v/>
      </c>
      <c r="I265">
        <f>IF(Skills!T11&lt;&gt;"",1+(Skills!T11/10)*($Z$3/1000)/100,1)</f>
        <v/>
      </c>
      <c r="J265" t="inlineStr"/>
      <c r="K265" t="inlineStr"/>
      <c r="L265" t="inlineStr"/>
      <c r="M265" t="inlineStr"/>
      <c r="N265" t="inlineStr"/>
      <c r="O265">
        <f>(1-Summary!$B$48)*S265+Summary!$B$48*U265</f>
        <v/>
      </c>
      <c r="P265">
        <f>IF(B296=0,0,O265/B296)</f>
        <v/>
      </c>
      <c r="Q265">
        <f>IFERROR(1/IF(Inputs!$B$39="pvp",15,MAX(0.1,Skills!D11-IF(Skills!E11=TRUE,Inputs!$B$33,0))),0)</f>
        <v/>
      </c>
      <c r="R265">
        <f>IF(AND(Inputs!$B$39&lt;&gt;"pvp",Inputs!$B$44&gt;0),IF(Inputs!$B$44&lt;=0,0,(INT(Inputs!$B$44/IF(Inputs!$B$39="pvp",15,MAX(0.1,Skills!D11-IF(Skills!E11=TRUE,Inputs!$B$33,0))))+1)),0)</f>
        <v/>
      </c>
      <c r="S265" t="n">
        <v>0</v>
      </c>
      <c r="U265" t="n">
        <v>0</v>
      </c>
    </row>
    <row r="266">
      <c r="A266">
        <f>Skills!A12</f>
        <v/>
      </c>
      <c r="B266">
        <f>Skills!B12</f>
        <v/>
      </c>
      <c r="C266">
        <f>Inputs!$B$3&gt;=72</f>
        <v/>
      </c>
      <c r="D266">
        <f>IF(Skills!C12=1,60+Inputs!$B$26+Inputs!$B$30,IF(Skills!C12=2,90+Inputs!$B$27+Inputs!$B$30,IF(Skills!C12=3,120+Inputs!$B$28+Inputs!$B$30,MAX(0,(Inputs!$B$3-100)*3)+Inputs!$B$29+Inputs!$B$30)))</f>
        <v/>
      </c>
      <c r="E266">
        <f>INDEX(FactorTable!$B$2:$Y$301, MATCH(ROUND(MIN(300,MAX(1,D266)),0), FactorTable!$A$2:$A$301,0), Skills!L12+1)</f>
        <v/>
      </c>
      <c r="F266">
        <f>IF(Skills!M12=TRUE,(Skills!K12/10)*(E266/1000),Skills!K12/10)+Skills!N12</f>
        <v/>
      </c>
      <c r="G266">
        <f>Calc!G12</f>
        <v/>
      </c>
      <c r="H266">
        <f>Calc!H12</f>
        <v/>
      </c>
      <c r="I266">
        <f>IF(Skills!T12&lt;&gt;"",1+(Skills!T12/10)*($Z$3/1000)/100,1)</f>
        <v/>
      </c>
      <c r="J266" t="inlineStr"/>
      <c r="K266" t="inlineStr"/>
      <c r="L266" t="inlineStr"/>
      <c r="M266" t="inlineStr"/>
      <c r="N266" t="inlineStr"/>
      <c r="O266">
        <f>(1-Summary!$B$48)*S266+Summary!$B$48*U266</f>
        <v/>
      </c>
      <c r="P266">
        <f>IF(B296=0,0,O266/B296)</f>
        <v/>
      </c>
      <c r="Q266">
        <f>IFERROR(1/IF(Inputs!$B$39="pvp",15,MAX(0.1,Skills!D12-IF(Skills!E12=TRUE,Inputs!$B$33,0))),0)</f>
        <v/>
      </c>
      <c r="R266">
        <f>IF(AND(Inputs!$B$39&lt;&gt;"pvp",Inputs!$B$44&gt;0),IF(MAX(0,Inputs!$B$44-B293)&lt;=0,0,(INT(MAX(0,Inputs!$B$44-B293)/IF(Inputs!$B$39="pvp",15,MAX(0.1,Skills!D12-IF(Skills!E12=TRUE,Inputs!$B$33,0))))+1)),0)</f>
        <v/>
      </c>
      <c r="S266" t="n">
        <v>0</v>
      </c>
      <c r="U266" t="n">
        <v>0</v>
      </c>
    </row>
    <row r="267">
      <c r="A267">
        <f>Skills!A13</f>
        <v/>
      </c>
      <c r="B267">
        <f>Skills!B13</f>
        <v/>
      </c>
      <c r="C267">
        <f>Inputs!$B$3&gt;=60</f>
        <v/>
      </c>
      <c r="D267">
        <f>IF(Skills!C13=1,60+Inputs!$B$26+Inputs!$B$30,IF(Skills!C13=2,90+Inputs!$B$27+Inputs!$B$30,IF(Skills!C13=3,120+Inputs!$B$28+Inputs!$B$30,MAX(0,(Inputs!$B$3-100)*3)+Inputs!$B$29+Inputs!$B$30)))</f>
        <v/>
      </c>
      <c r="E267">
        <f>INDEX(FactorTable!$B$2:$Y$301, MATCH(ROUND(MIN(300,MAX(1,D267)),0), FactorTable!$A$2:$A$301,0), Skills!L13+1)</f>
        <v/>
      </c>
      <c r="F267">
        <f>IF(Skills!M13=TRUE,(Skills!K13/10)*(E267/1000),Skills!K13/10)+Skills!N13</f>
        <v/>
      </c>
      <c r="G267">
        <f>Calc!G13</f>
        <v/>
      </c>
      <c r="H267">
        <f>Calc!H13</f>
        <v/>
      </c>
      <c r="I267">
        <f>IF(Skills!T13&lt;&gt;"",1+(Skills!T13/10)*($Z$3/1000)/100,1)</f>
        <v/>
      </c>
      <c r="J267" t="inlineStr"/>
      <c r="K267" t="inlineStr"/>
      <c r="L267" t="inlineStr"/>
      <c r="M267" t="inlineStr"/>
      <c r="N267" t="inlineStr"/>
      <c r="O267">
        <f>(1-Summary!$B$48)*S267+Summary!$B$48*U267</f>
        <v/>
      </c>
      <c r="P267">
        <f>IF(B296=0,0,O267/B296)</f>
        <v/>
      </c>
      <c r="Q267">
        <f>IFERROR(1/IF(Inputs!$B$39="pvp",15,MAX(0.1,Skills!D13-IF(Skills!E13=TRUE,Inputs!$B$33,0))),0)</f>
        <v/>
      </c>
      <c r="R267">
        <f>IF(AND(Inputs!$B$39&lt;&gt;"pvp",Inputs!$B$44&gt;0),IF(MAX(0,Inputs!$B$44-B293)&lt;=0,0,(INT(MAX(0,Inputs!$B$44-B293)/IF(Inputs!$B$39="pvp",15,MAX(0.1,Skills!D13-IF(Skills!E13=TRUE,Inputs!$B$33,0))))+1)),0)</f>
        <v/>
      </c>
      <c r="S267" t="n">
        <v>0</v>
      </c>
      <c r="U267" t="n">
        <v>0</v>
      </c>
    </row>
    <row r="268">
      <c r="A268">
        <f>Skills!A14</f>
        <v/>
      </c>
      <c r="B268">
        <f>Skills!B14</f>
        <v/>
      </c>
      <c r="C268">
        <f>Inputs!$B$3&gt;=107</f>
        <v/>
      </c>
      <c r="D268">
        <f>IF(Skills!C14=1,60+Inputs!$B$26+Inputs!$B$30,IF(Skills!C14=2,90+Inputs!$B$27+Inputs!$B$30,IF(Skills!C14=3,120+Inputs!$B$28+Inputs!$B$30,MAX(0,(Inputs!$B$3-100)*3)+Inputs!$B$29+Inputs!$B$30)))</f>
        <v/>
      </c>
      <c r="E268">
        <f>INDEX(FactorTable!$B$2:$Y$301, MATCH(ROUND(MIN(300,MAX(1,D268)),0), FactorTable!$A$2:$A$301,0), Skills!L14+1)</f>
        <v/>
      </c>
      <c r="F268">
        <f>IF(Skills!M14=TRUE,(Skills!K14/10)*(E268/1000),Skills!K14/10)+Skills!N14</f>
        <v/>
      </c>
      <c r="G268">
        <f>Calc!G14</f>
        <v/>
      </c>
      <c r="H268">
        <f>Calc!H14</f>
        <v/>
      </c>
      <c r="I268">
        <f>IF(Skills!T14&lt;&gt;"",1+(Skills!T14/10)*($Z$3/1000)/100,1)</f>
        <v/>
      </c>
      <c r="J268" t="inlineStr"/>
      <c r="K268" t="inlineStr"/>
      <c r="L268" t="inlineStr"/>
      <c r="M268" t="inlineStr"/>
      <c r="N268" t="inlineStr"/>
      <c r="O268">
        <f>(1-Summary!$B$48)*S268+Summary!$B$48*U268</f>
        <v/>
      </c>
      <c r="P268">
        <f>IF(B296=0,0,O268/B296)</f>
        <v/>
      </c>
      <c r="Q268">
        <f>IFERROR(1/IF(Inputs!$B$39="pvp",15,MAX(0.1,Skills!D14-IF(Skills!E14=TRUE,Inputs!$B$33,0))),0)</f>
        <v/>
      </c>
      <c r="R268">
        <f>IF(AND(Inputs!$B$39&lt;&gt;"pvp",Inputs!$B$44&gt;0),IF(Inputs!$B$44&lt;=0,0,(INT(Inputs!$B$44/IF(Inputs!$B$39="pvp",15,MAX(0.1,Skills!D14-IF(Skills!E14=TRUE,Inputs!$B$33,0))))+1)),0)</f>
        <v/>
      </c>
      <c r="S268" t="n">
        <v>0</v>
      </c>
      <c r="U268" t="n">
        <v>0</v>
      </c>
    </row>
    <row r="269">
      <c r="A269">
        <f>Skills!A15</f>
        <v/>
      </c>
      <c r="B269">
        <f>Skills!B15</f>
        <v/>
      </c>
      <c r="C269">
        <f>Inputs!$B$3&gt;=63</f>
        <v/>
      </c>
      <c r="D269">
        <f>IF(Skills!C15=1,60+Inputs!$B$26+Inputs!$B$30,IF(Skills!C15=2,90+Inputs!$B$27+Inputs!$B$30,IF(Skills!C15=3,120+Inputs!$B$28+Inputs!$B$30,MAX(0,(Inputs!$B$3-100)*3)+Inputs!$B$29+Inputs!$B$30)))</f>
        <v/>
      </c>
      <c r="E269">
        <f>INDEX(FactorTable!$B$2:$Y$301, MATCH(ROUND(MIN(300,MAX(1,D269)),0), FactorTable!$A$2:$A$301,0), Skills!L15+1)</f>
        <v/>
      </c>
      <c r="F269">
        <f>IF(Skills!M15=TRUE,(Skills!K15/10)*(E269/1000),Skills!K15/10)+Skills!N15</f>
        <v/>
      </c>
      <c r="G269">
        <f>Calc!G15</f>
        <v/>
      </c>
      <c r="H269">
        <f>Calc!H15</f>
        <v/>
      </c>
      <c r="I269">
        <f>IF(Skills!T15&lt;&gt;"",1+(Skills!T15/10)*($Z$3/1000)/100,1)</f>
        <v/>
      </c>
      <c r="J269">
        <f>((Inputs!$B$6*(1+Inputs!$B$7/100))+(((Inputs!$B$13*(1+Inputs!$B$14/100))-(Inputs!$B$13*(1+Inputs!$B$14/100)))+0.25*(Inputs!$B$15-Inputs!$B$15))*(1+Inputs!$B$7/100))*(F269/100)</f>
        <v/>
      </c>
      <c r="K269">
        <f>J269*(1+(((Inputs!$B$13+IF(Inputs!$B$3&gt;=35,(10*INDEX(FactorTable!$B$2:$Y$301, MATCH(ROUND(MIN(300,MAX(1,Inputs!$B$3)),0), FactorTable!$A$2:$A$301,0), 23)/1000)/100*(Inputs!$B$8*(1+(Inputs!$B$9+B292)/100)),0))*(1+Inputs!$B$14/100))*0.01+Inputs!$B$15*0.0025)/100)*(1+(Inputs!$B$16+B286)/100)*(1+(Inputs!$B$17+1)/100)*(5000/(6000+Inputs!$B$43*(1-Inputs!$B$20/100)))*(1+Inputs!$B$25/100)*(1+IF(C272=TRUE,F272,0)/100)*(1+IF(C274=TRUE,F274,0)/100)*(1+IF(Skills!A15="TRIUMPH_FEATHER",IF(C270=TRUE,F270,0),0)/100)*(1+IF(C281=TRUE,F281,0)/100)^5*(1+(IF(Skills!A15="BIG_BANG",Inputs!$B$18,Inputs!$B$19))/100)*(B283*I269)</f>
        <v/>
      </c>
      <c r="L269">
        <f>K269*(MIN(Inputs!$B$23+(F276-Calc!F22),Inputs!$B$24)/100+Inputs!$B$24/100)/2</f>
        <v/>
      </c>
      <c r="M269">
        <f>L269*(1+(Inputs!$B$11+B287+(F279-Calc!F25))/100)</f>
        <v/>
      </c>
      <c r="N269">
        <f>L269*(1-MIN(Inputs!$B$10+((F278-Calc!F24)+(F277-Calc!F23)),100)/100)+M269*(MIN(Inputs!$B$10+((F278-Calc!F24)+(F277-Calc!F23)),100)/100)</f>
        <v/>
      </c>
      <c r="O269">
        <f>(1-Summary!$B$48)*S269+Summary!$B$48*U269</f>
        <v/>
      </c>
      <c r="P269">
        <f>IF(B296=0,0,O269/B296)</f>
        <v/>
      </c>
      <c r="Q269">
        <f>IFERROR(1/IF(Inputs!$B$39="pvp",15,MAX(0.1,Skills!D15-IF(Skills!E15=TRUE,Inputs!$B$33,0))),0)</f>
        <v/>
      </c>
      <c r="R269" t="n">
        <v>0</v>
      </c>
      <c r="S269">
        <f>IF(C269,(Skills!F15*N269*((IF(Inputs!$B$3&gt;=78,25,15)/100*B289*10)/(1+IF(Inputs!$B$3&gt;=78,25,15)/100*B289*10))*(Skills!I15/100*B289)/(1+Skills!G15*Skills!I15/100*B289))*IF(Inputs!$B$39="pvp",1,1+(Inputs!$B$21+Skills!O15+B284)/100),0)</f>
        <v/>
      </c>
      <c r="U269">
        <f>IF(C269,(Skills!F15*N269*((IF(Inputs!$B$3&gt;=78,25,15)/100*B289*10)/(1+IF(Inputs!$B$3&gt;=78,25,15)/100*B289*10))*(Skills!I15/100*B289)/(1+Skills!G15*Skills!I15/100*B289))*IF(Inputs!$B$39="pvp",1,(1+(Inputs!$B$22+Skills!P15+B285)/100)*(MIN(Skills!Q15,Inputs!$B$38))),0)</f>
        <v/>
      </c>
    </row>
    <row r="270">
      <c r="A270">
        <f>Skills!A16</f>
        <v/>
      </c>
      <c r="B270">
        <f>Skills!B16</f>
        <v/>
      </c>
      <c r="C270">
        <f>Inputs!$B$3&gt;=100</f>
        <v/>
      </c>
      <c r="D270">
        <f>IF(Skills!C16=1,60+Inputs!$B$26+Inputs!$B$30,IF(Skills!C16=2,90+Inputs!$B$27+Inputs!$B$30,IF(Skills!C16=3,120+Inputs!$B$28+Inputs!$B$30,MAX(0,(Inputs!$B$3-100)*3)+Inputs!$B$29+Inputs!$B$30)))</f>
        <v/>
      </c>
      <c r="E270">
        <f>INDEX(FactorTable!$B$2:$Y$301, MATCH(ROUND(MIN(300,MAX(1,D270)),0), FactorTable!$A$2:$A$301,0), Skills!L16+1)</f>
        <v/>
      </c>
      <c r="F270">
        <f>IF(Skills!M16=TRUE,(Skills!K16/10)*(E270/1000),Skills!K16/10)+Skills!N16</f>
        <v/>
      </c>
      <c r="G270">
        <f>Calc!G16</f>
        <v/>
      </c>
      <c r="H270">
        <f>Calc!H16</f>
        <v/>
      </c>
      <c r="I270">
        <f>IF(Skills!T16&lt;&gt;"",1+(Skills!T16/10)*($Z$3/1000)/100,1)</f>
        <v/>
      </c>
      <c r="J270" t="inlineStr"/>
      <c r="K270" t="inlineStr"/>
      <c r="L270" t="inlineStr"/>
      <c r="M270" t="inlineStr"/>
      <c r="N270" t="inlineStr"/>
      <c r="O270">
        <f>(1-Summary!$B$48)*S270+Summary!$B$48*U270</f>
        <v/>
      </c>
      <c r="P270">
        <f>IF(B296=0,0,O270/B296)</f>
        <v/>
      </c>
      <c r="Q270">
        <f>IFERROR(1/IF(Inputs!$B$39="pvp",15,MAX(0.1,Skills!D16-IF(Skills!E16=TRUE,Inputs!$B$33,0))),0)</f>
        <v/>
      </c>
      <c r="R270" t="n">
        <v>0</v>
      </c>
      <c r="S270" t="n">
        <v>0</v>
      </c>
      <c r="U270" t="n">
        <v>0</v>
      </c>
    </row>
    <row r="271">
      <c r="A271">
        <f>Skills!A17</f>
        <v/>
      </c>
      <c r="B271">
        <f>Skills!B17</f>
        <v/>
      </c>
      <c r="C271">
        <f>Inputs!$B$3&gt;=49</f>
        <v/>
      </c>
      <c r="D271">
        <f>IF(Skills!C17=1,60+Inputs!$B$26+Inputs!$B$30,IF(Skills!C17=2,90+Inputs!$B$27+Inputs!$B$30,IF(Skills!C17=3,120+Inputs!$B$28+Inputs!$B$30,MAX(0,(Inputs!$B$3-100)*3)+Inputs!$B$29+Inputs!$B$30)))</f>
        <v/>
      </c>
      <c r="E271">
        <f>INDEX(FactorTable!$B$2:$Y$301, MATCH(ROUND(MIN(300,MAX(1,D271)),0), FactorTable!$A$2:$A$301,0), Skills!L17+1)</f>
        <v/>
      </c>
      <c r="F271">
        <f>IF(Skills!M17=TRUE,(Skills!K17/10)*(E271/1000),Skills!K17/10)+Skills!N17</f>
        <v/>
      </c>
      <c r="G271">
        <f>Calc!G17</f>
        <v/>
      </c>
      <c r="H271">
        <f>Calc!H17</f>
        <v/>
      </c>
      <c r="I271">
        <f>IF(Skills!T17&lt;&gt;"",1+(Skills!T17/10)*($Z$3/1000)/100,1)</f>
        <v/>
      </c>
      <c r="J271" t="inlineStr"/>
      <c r="K271" t="inlineStr"/>
      <c r="L271" t="inlineStr"/>
      <c r="M271" t="inlineStr"/>
      <c r="N271" t="inlineStr"/>
      <c r="O271">
        <f>(1-Summary!$B$48)*S271+Summary!$B$48*U271</f>
        <v/>
      </c>
      <c r="P271">
        <f>IF(B296=0,0,O271/B296)</f>
        <v/>
      </c>
      <c r="Q271">
        <f>IFERROR(1/IF(Inputs!$B$39="pvp",15,MAX(0.1,Skills!D17-IF(Skills!E17=TRUE,Inputs!$B$33,0))),0)</f>
        <v/>
      </c>
      <c r="R271" t="n">
        <v>0</v>
      </c>
      <c r="S271" t="n">
        <v>0</v>
      </c>
      <c r="U271" t="n">
        <v>0</v>
      </c>
    </row>
    <row r="272">
      <c r="A272">
        <f>Skills!A18</f>
        <v/>
      </c>
      <c r="B272">
        <f>Skills!B18</f>
        <v/>
      </c>
      <c r="C272">
        <f>Inputs!$B$3&gt;=75</f>
        <v/>
      </c>
      <c r="D272">
        <f>IF(Skills!C18=1,60+Inputs!$B$26+Inputs!$B$30,IF(Skills!C18=2,90+Inputs!$B$27+Inputs!$B$30,IF(Skills!C18=3,120+Inputs!$B$28+Inputs!$B$30,MAX(0,(Inputs!$B$3-100)*3)+Inputs!$B$29+Inputs!$B$30)))</f>
        <v/>
      </c>
      <c r="E272">
        <f>INDEX(FactorTable!$B$2:$Y$301, MATCH(ROUND(MIN(300,MAX(1,D272)),0), FactorTable!$A$2:$A$301,0), Skills!L18+1)</f>
        <v/>
      </c>
      <c r="F272">
        <f>IF(Skills!M18=TRUE,(Skills!K18/10)*(E272/1000),Skills!K18/10)+Skills!N18</f>
        <v/>
      </c>
      <c r="G272">
        <f>Calc!G18</f>
        <v/>
      </c>
      <c r="H272">
        <f>Calc!H18</f>
        <v/>
      </c>
      <c r="I272">
        <f>IF(Skills!T18&lt;&gt;"",1+(Skills!T18/10)*($Z$3/1000)/100,1)</f>
        <v/>
      </c>
      <c r="J272" t="inlineStr"/>
      <c r="K272" t="inlineStr"/>
      <c r="L272" t="inlineStr"/>
      <c r="M272" t="inlineStr"/>
      <c r="N272" t="inlineStr"/>
      <c r="O272">
        <f>(1-Summary!$B$48)*S272+Summary!$B$48*U272</f>
        <v/>
      </c>
      <c r="P272">
        <f>IF(B296=0,0,O272/B296)</f>
        <v/>
      </c>
      <c r="Q272">
        <f>IFERROR(1/IF(Inputs!$B$39="pvp",15,MAX(0.1,Skills!D18-IF(Skills!E18=TRUE,Inputs!$B$33,0))),0)</f>
        <v/>
      </c>
      <c r="R272" t="n">
        <v>0</v>
      </c>
      <c r="S272" t="n">
        <v>0</v>
      </c>
      <c r="U272" t="n">
        <v>0</v>
      </c>
    </row>
    <row r="273">
      <c r="A273">
        <f>Skills!A19</f>
        <v/>
      </c>
      <c r="B273">
        <f>Skills!B19</f>
        <v/>
      </c>
      <c r="C273">
        <f>Inputs!$B$3&gt;=110</f>
        <v/>
      </c>
      <c r="D273">
        <f>IF(Skills!C19=1,60+Inputs!$B$26+Inputs!$B$30,IF(Skills!C19=2,90+Inputs!$B$27+Inputs!$B$30,IF(Skills!C19=3,120+Inputs!$B$28+Inputs!$B$30,MAX(0,(Inputs!$B$3-100)*3)+Inputs!$B$29+Inputs!$B$30)))</f>
        <v/>
      </c>
      <c r="E273">
        <f>INDEX(FactorTable!$B$2:$Y$301, MATCH(ROUND(MIN(300,MAX(1,D273)),0), FactorTable!$A$2:$A$301,0), Skills!L19+1)</f>
        <v/>
      </c>
      <c r="F273">
        <f>(Skills!K19/10)*(E273/1000)*64/45+Skills!N19</f>
        <v/>
      </c>
      <c r="G273">
        <f>Calc!G19</f>
        <v/>
      </c>
      <c r="H273">
        <f>Calc!H19</f>
        <v/>
      </c>
      <c r="I273">
        <f>IF(Skills!T19&lt;&gt;"",1+(Skills!T19/10)*($Z$3/1000)/100,1)</f>
        <v/>
      </c>
      <c r="J273" t="inlineStr"/>
      <c r="K273" t="inlineStr"/>
      <c r="L273" t="inlineStr"/>
      <c r="M273" t="inlineStr"/>
      <c r="N273" t="inlineStr"/>
      <c r="O273">
        <f>(1-Summary!$B$48)*S273+Summary!$B$48*U273</f>
        <v/>
      </c>
      <c r="P273">
        <f>IF(B296=0,0,O273/B296)</f>
        <v/>
      </c>
      <c r="Q273">
        <f>IFERROR(1/IF(Inputs!$B$39="pvp",15,MAX(0.1,Skills!D19-IF(Skills!E19=TRUE,Inputs!$B$33,0))),0)</f>
        <v/>
      </c>
      <c r="R273">
        <f>IF(AND(Inputs!$B$39&lt;&gt;"pvp",Inputs!$B$44&gt;0),IF(Inputs!$B$44&lt;=0,0,(INT(Inputs!$B$44/IF(Inputs!$B$39="pvp",15,MAX(0.1,Skills!D19-IF(Skills!E19=TRUE,Inputs!$B$33,0))))+1)),0)</f>
        <v/>
      </c>
      <c r="S273" t="n">
        <v>0</v>
      </c>
      <c r="U273" t="n">
        <v>0</v>
      </c>
    </row>
    <row r="274">
      <c r="A274">
        <f>Skills!A20</f>
        <v/>
      </c>
      <c r="B274">
        <f>Skills!B20</f>
        <v/>
      </c>
      <c r="C274">
        <f>Inputs!$B$3&gt;=125</f>
        <v/>
      </c>
      <c r="D274">
        <f>IF(Skills!C20=1,60+Inputs!$B$26+Inputs!$B$30,IF(Skills!C20=2,90+Inputs!$B$27+Inputs!$B$30,IF(Skills!C20=3,120+Inputs!$B$28+Inputs!$B$30,MAX(0,(Inputs!$B$3-100)*3)+Inputs!$B$29+Inputs!$B$30)))</f>
        <v/>
      </c>
      <c r="E274">
        <f>INDEX(FactorTable!$B$2:$Y$301, MATCH(ROUND(MIN(300,MAX(1,D274)),0), FactorTable!$A$2:$A$301,0), Skills!L20+1)</f>
        <v/>
      </c>
      <c r="F274">
        <f>IF(Skills!M20=TRUE,(Skills!K20/10)*(E274/1000),Skills!K20/10)+Skills!N20</f>
        <v/>
      </c>
      <c r="G274">
        <f>Calc!G20</f>
        <v/>
      </c>
      <c r="H274">
        <f>Calc!H20</f>
        <v/>
      </c>
      <c r="I274">
        <f>IF(Skills!T20&lt;&gt;"",1+(Skills!T20/10)*($Z$3/1000)/100,1)</f>
        <v/>
      </c>
      <c r="J274" t="inlineStr"/>
      <c r="K274" t="inlineStr"/>
      <c r="L274" t="inlineStr"/>
      <c r="M274" t="inlineStr"/>
      <c r="N274" t="inlineStr"/>
      <c r="O274">
        <f>(1-Summary!$B$48)*S274+Summary!$B$48*U274</f>
        <v/>
      </c>
      <c r="P274">
        <f>IF(B296=0,0,O274/B296)</f>
        <v/>
      </c>
      <c r="Q274">
        <f>IFERROR(1/IF(Inputs!$B$39="pvp",15,MAX(0.1,Skills!D20-IF(Skills!E20=TRUE,Inputs!$B$33,0))),0)</f>
        <v/>
      </c>
      <c r="R274" t="n">
        <v>0</v>
      </c>
      <c r="S274" t="n">
        <v>0</v>
      </c>
      <c r="U274" t="n">
        <v>0</v>
      </c>
    </row>
    <row r="275">
      <c r="A275">
        <f>Skills!A21</f>
        <v/>
      </c>
      <c r="B275">
        <f>Skills!B21</f>
        <v/>
      </c>
      <c r="C275">
        <f>Inputs!$B$3&gt;=33</f>
        <v/>
      </c>
      <c r="D275">
        <f>IF(Skills!C21=1,60+Inputs!$B$26+Inputs!$B$30,IF(Skills!C21=2,90+Inputs!$B$27+Inputs!$B$30,IF(Skills!C21=3,120+Inputs!$B$28+Inputs!$B$30,MAX(0,(Inputs!$B$3-100)*3)+Inputs!$B$29+Inputs!$B$30)))</f>
        <v/>
      </c>
      <c r="E275">
        <f>INDEX(FactorTable!$B$2:$Y$301, MATCH(ROUND(MIN(300,MAX(1,D275)),0), FactorTable!$A$2:$A$301,0), Skills!L21+1)</f>
        <v/>
      </c>
      <c r="F275">
        <f>IF(Skills!M21=TRUE,(Skills!K21/10)*(E275/1000),Skills!K21/10)+Skills!N21</f>
        <v/>
      </c>
      <c r="G275">
        <f>Calc!G21</f>
        <v/>
      </c>
      <c r="H275">
        <f>Calc!H21</f>
        <v/>
      </c>
      <c r="I275">
        <f>IF(Skills!T21&lt;&gt;"",1+(Skills!T21/10)*($Z$3/1000)/100,1)</f>
        <v/>
      </c>
      <c r="J275" t="inlineStr"/>
      <c r="K275" t="inlineStr"/>
      <c r="L275" t="inlineStr"/>
      <c r="M275" t="inlineStr"/>
      <c r="N275" t="inlineStr"/>
      <c r="O275">
        <f>(1-Summary!$B$48)*S275+Summary!$B$48*U275</f>
        <v/>
      </c>
      <c r="P275">
        <f>IF(B296=0,0,O275/B296)</f>
        <v/>
      </c>
      <c r="Q275">
        <f>IFERROR(1/IF(Inputs!$B$39="pvp",15,MAX(0.1,Skills!D21-IF(Skills!E21=TRUE,Inputs!$B$33,0))),0)</f>
        <v/>
      </c>
      <c r="R275" t="n">
        <v>0</v>
      </c>
      <c r="S275" t="n">
        <v>0</v>
      </c>
      <c r="U275" t="n">
        <v>0</v>
      </c>
    </row>
    <row r="276">
      <c r="A276">
        <f>Skills!A22</f>
        <v/>
      </c>
      <c r="B276">
        <f>Skills!B22</f>
        <v/>
      </c>
      <c r="C276">
        <f>Inputs!$B$3&gt;=43</f>
        <v/>
      </c>
      <c r="D276">
        <f>IF(Skills!C22=1,60+Inputs!$B$26+Inputs!$B$30,IF(Skills!C22=2,90+Inputs!$B$27+Inputs!$B$30,IF(Skills!C22=3,120+Inputs!$B$28+Inputs!$B$30,MAX(0,(Inputs!$B$3-100)*3)+Inputs!$B$29+Inputs!$B$30)))</f>
        <v/>
      </c>
      <c r="E276">
        <f>INDEX(FactorTable!$B$2:$Y$301, MATCH(ROUND(MIN(300,MAX(1,D276)),0), FactorTable!$A$2:$A$301,0), Skills!L22+1)</f>
        <v/>
      </c>
      <c r="F276">
        <f>IF(Skills!M22=TRUE,(Skills!K22/10)*(E276/1000),Skills!K22/10)+Skills!N22</f>
        <v/>
      </c>
      <c r="G276">
        <f>Calc!G22</f>
        <v/>
      </c>
      <c r="H276">
        <f>Calc!H22</f>
        <v/>
      </c>
      <c r="I276">
        <f>IF(Skills!T22&lt;&gt;"",1+(Skills!T22/10)*($Z$3/1000)/100,1)</f>
        <v/>
      </c>
      <c r="J276" t="inlineStr"/>
      <c r="K276" t="inlineStr"/>
      <c r="L276" t="inlineStr"/>
      <c r="M276" t="inlineStr"/>
      <c r="N276" t="inlineStr"/>
      <c r="O276">
        <f>(1-Summary!$B$48)*S276+Summary!$B$48*U276</f>
        <v/>
      </c>
      <c r="P276">
        <f>IF(B296=0,0,O276/B296)</f>
        <v/>
      </c>
      <c r="Q276">
        <f>IFERROR(1/IF(Inputs!$B$39="pvp",15,MAX(0.1,Skills!D22-IF(Skills!E22=TRUE,Inputs!$B$33,0))),0)</f>
        <v/>
      </c>
      <c r="R276" t="n">
        <v>0</v>
      </c>
      <c r="S276" t="n">
        <v>0</v>
      </c>
      <c r="U276" t="n">
        <v>0</v>
      </c>
    </row>
    <row r="277">
      <c r="A277">
        <f>Skills!A23</f>
        <v/>
      </c>
      <c r="B277">
        <f>Skills!B23</f>
        <v/>
      </c>
      <c r="C277">
        <f>Inputs!$B$3&gt;=50</f>
        <v/>
      </c>
      <c r="D277">
        <f>IF(Skills!C23=1,60+Inputs!$B$26+Inputs!$B$30,IF(Skills!C23=2,90+Inputs!$B$27+Inputs!$B$30,IF(Skills!C23=3,120+Inputs!$B$28+Inputs!$B$30,MAX(0,(Inputs!$B$3-100)*3)+Inputs!$B$29+Inputs!$B$30)))</f>
        <v/>
      </c>
      <c r="E277">
        <f>INDEX(FactorTable!$B$2:$Y$301, MATCH(ROUND(MIN(300,MAX(1,D277)),0), FactorTable!$A$2:$A$301,0), Skills!L23+1)</f>
        <v/>
      </c>
      <c r="F277">
        <f>IF(Skills!M23=TRUE,(Skills!K23/10)*(E277/1000),Skills!K23/10)+Skills!N23</f>
        <v/>
      </c>
      <c r="G277">
        <f>Calc!G23</f>
        <v/>
      </c>
      <c r="H277">
        <f>Calc!H23</f>
        <v/>
      </c>
      <c r="I277">
        <f>IF(Skills!T23&lt;&gt;"",1+(Skills!T23/10)*($Z$3/1000)/100,1)</f>
        <v/>
      </c>
      <c r="J277" t="inlineStr"/>
      <c r="K277" t="inlineStr"/>
      <c r="L277" t="inlineStr"/>
      <c r="M277" t="inlineStr"/>
      <c r="N277" t="inlineStr"/>
      <c r="O277">
        <f>(1-Summary!$B$48)*S277+Summary!$B$48*U277</f>
        <v/>
      </c>
      <c r="P277">
        <f>IF(B296=0,0,O277/B296)</f>
        <v/>
      </c>
      <c r="Q277">
        <f>IFERROR(1/IF(Inputs!$B$39="pvp",15,MAX(0.1,Skills!D23-IF(Skills!E23=TRUE,Inputs!$B$33,0))),0)</f>
        <v/>
      </c>
      <c r="R277" t="n">
        <v>0</v>
      </c>
      <c r="S277" t="n">
        <v>0</v>
      </c>
      <c r="U277" t="n">
        <v>0</v>
      </c>
    </row>
    <row r="278">
      <c r="A278">
        <f>Skills!A24</f>
        <v/>
      </c>
      <c r="B278">
        <f>Skills!B24</f>
        <v/>
      </c>
      <c r="C278">
        <f>Inputs!$B$3&gt;=74</f>
        <v/>
      </c>
      <c r="D278">
        <f>IF(Skills!C24=1,60+Inputs!$B$26+Inputs!$B$30,IF(Skills!C24=2,90+Inputs!$B$27+Inputs!$B$30,IF(Skills!C24=3,120+Inputs!$B$28+Inputs!$B$30,MAX(0,(Inputs!$B$3-100)*3)+Inputs!$B$29+Inputs!$B$30)))</f>
        <v/>
      </c>
      <c r="E278">
        <f>INDEX(FactorTable!$B$2:$Y$301, MATCH(ROUND(MIN(300,MAX(1,D278)),0), FactorTable!$A$2:$A$301,0), Skills!L24+1)</f>
        <v/>
      </c>
      <c r="F278">
        <f>IF(Skills!M24=TRUE,(Skills!K24/10)*(E278/1000),Skills!K24/10)+Skills!N24</f>
        <v/>
      </c>
      <c r="G278">
        <f>Calc!G24</f>
        <v/>
      </c>
      <c r="H278">
        <f>Calc!H24</f>
        <v/>
      </c>
      <c r="I278">
        <f>IF(Skills!T24&lt;&gt;"",1+(Skills!T24/10)*($Z$3/1000)/100,1)</f>
        <v/>
      </c>
      <c r="J278" t="inlineStr"/>
      <c r="K278" t="inlineStr"/>
      <c r="L278" t="inlineStr"/>
      <c r="M278" t="inlineStr"/>
      <c r="N278" t="inlineStr"/>
      <c r="O278">
        <f>(1-Summary!$B$48)*S278+Summary!$B$48*U278</f>
        <v/>
      </c>
      <c r="P278">
        <f>IF(B296=0,0,O278/B296)</f>
        <v/>
      </c>
      <c r="Q278">
        <f>IFERROR(1/IF(Inputs!$B$39="pvp",15,MAX(0.1,Skills!D24-IF(Skills!E24=TRUE,Inputs!$B$33,0))),0)</f>
        <v/>
      </c>
      <c r="R278" t="n">
        <v>0</v>
      </c>
      <c r="S278" t="n">
        <v>0</v>
      </c>
      <c r="U278" t="n">
        <v>0</v>
      </c>
    </row>
    <row r="279">
      <c r="A279">
        <f>Skills!A25</f>
        <v/>
      </c>
      <c r="B279">
        <f>Skills!B25</f>
        <v/>
      </c>
      <c r="C279">
        <f>Inputs!$B$3&gt;=74</f>
        <v/>
      </c>
      <c r="D279">
        <f>IF(Skills!C25=1,60+Inputs!$B$26+Inputs!$B$30,IF(Skills!C25=2,90+Inputs!$B$27+Inputs!$B$30,IF(Skills!C25=3,120+Inputs!$B$28+Inputs!$B$30,MAX(0,(Inputs!$B$3-100)*3)+Inputs!$B$29+Inputs!$B$30)))</f>
        <v/>
      </c>
      <c r="E279">
        <f>INDEX(FactorTable!$B$2:$Y$301, MATCH(ROUND(MIN(300,MAX(1,D279)),0), FactorTable!$A$2:$A$301,0), Skills!L25+1)</f>
        <v/>
      </c>
      <c r="F279">
        <f>IF(Skills!M25=TRUE,(Skills!K25/10)*(E279/1000),Skills!K25/10)+Skills!N25</f>
        <v/>
      </c>
      <c r="G279">
        <f>Calc!G25</f>
        <v/>
      </c>
      <c r="H279">
        <f>Calc!H25</f>
        <v/>
      </c>
      <c r="I279">
        <f>IF(Skills!T25&lt;&gt;"",1+(Skills!T25/10)*($Z$3/1000)/100,1)</f>
        <v/>
      </c>
      <c r="J279" t="inlineStr"/>
      <c r="K279" t="inlineStr"/>
      <c r="L279" t="inlineStr"/>
      <c r="M279" t="inlineStr"/>
      <c r="N279" t="inlineStr"/>
      <c r="O279">
        <f>(1-Summary!$B$48)*S279+Summary!$B$48*U279</f>
        <v/>
      </c>
      <c r="P279">
        <f>IF(B296=0,0,O279/B296)</f>
        <v/>
      </c>
      <c r="Q279">
        <f>IFERROR(1/IF(Inputs!$B$39="pvp",15,MAX(0.1,Skills!D25-IF(Skills!E25=TRUE,Inputs!$B$33,0))),0)</f>
        <v/>
      </c>
      <c r="R279" t="n">
        <v>0</v>
      </c>
      <c r="S279" t="n">
        <v>0</v>
      </c>
      <c r="U279" t="n">
        <v>0</v>
      </c>
    </row>
    <row r="280">
      <c r="A280">
        <f>Skills!A26</f>
        <v/>
      </c>
      <c r="B280">
        <f>Skills!B26</f>
        <v/>
      </c>
      <c r="C280">
        <f>Inputs!$B$3&gt;=117</f>
        <v/>
      </c>
      <c r="D280">
        <f>IF(Skills!C26=1,60+Inputs!$B$26+Inputs!$B$30,IF(Skills!C26=2,90+Inputs!$B$27+Inputs!$B$30,IF(Skills!C26=3,120+Inputs!$B$28+Inputs!$B$30,MAX(0,(Inputs!$B$3-100)*3)+Inputs!$B$29+Inputs!$B$30)))</f>
        <v/>
      </c>
      <c r="E280">
        <f>INDEX(FactorTable!$B$2:$Y$301, MATCH(ROUND(MIN(300,MAX(1,D280)),0), FactorTable!$A$2:$A$301,0), Skills!L26+1)</f>
        <v/>
      </c>
      <c r="F280">
        <f>IF(Skills!M26=TRUE,(Skills!K26/10)*(E280/1000),Skills!K26/10)+Skills!N26</f>
        <v/>
      </c>
      <c r="G280">
        <f>Calc!G26</f>
        <v/>
      </c>
      <c r="H280">
        <f>Calc!H26</f>
        <v/>
      </c>
      <c r="I280">
        <f>IF(Skills!T26&lt;&gt;"",1+(Skills!T26/10)*($Z$3/1000)/100,1)</f>
        <v/>
      </c>
      <c r="J280" t="inlineStr"/>
      <c r="K280" t="inlineStr"/>
      <c r="L280" t="inlineStr"/>
      <c r="M280" t="inlineStr"/>
      <c r="N280" t="inlineStr"/>
      <c r="O280">
        <f>(1-Summary!$B$48)*S280+Summary!$B$48*U280</f>
        <v/>
      </c>
      <c r="P280">
        <f>IF(B296=0,0,O280/B296)</f>
        <v/>
      </c>
      <c r="Q280">
        <f>IFERROR(1/IF(Inputs!$B$39="pvp",15,MAX(0.1,Skills!D26-IF(Skills!E26=TRUE,Inputs!$B$33,0))),0)</f>
        <v/>
      </c>
      <c r="R280" t="n">
        <v>0</v>
      </c>
      <c r="S280" t="n">
        <v>0</v>
      </c>
      <c r="U280" t="n">
        <v>0</v>
      </c>
    </row>
    <row r="281">
      <c r="A281">
        <f>Skills!A27</f>
        <v/>
      </c>
      <c r="B281">
        <f>Skills!B27</f>
        <v/>
      </c>
      <c r="C281">
        <f>Inputs!$B$3&gt;=120</f>
        <v/>
      </c>
      <c r="D281">
        <f>IF(Skills!C27=1,60+Inputs!$B$26+Inputs!$B$30,IF(Skills!C27=2,90+Inputs!$B$27+Inputs!$B$30,IF(Skills!C27=3,120+Inputs!$B$28+Inputs!$B$30,MAX(0,(Inputs!$B$3-100)*3)+Inputs!$B$29+Inputs!$B$30)))</f>
        <v/>
      </c>
      <c r="E281">
        <f>INDEX(FactorTable!$B$2:$Y$301, MATCH(ROUND(MIN(300,MAX(1,D281)),0), FactorTable!$A$2:$A$301,0), Skills!L27+1)</f>
        <v/>
      </c>
      <c r="F281">
        <f>IF(Skills!M27=TRUE,(Skills!K27/10)*(E281/1000),Skills!K27/10)+Skills!N27</f>
        <v/>
      </c>
      <c r="G281">
        <f>Calc!G27</f>
        <v/>
      </c>
      <c r="H281">
        <f>Calc!H27</f>
        <v/>
      </c>
      <c r="I281">
        <f>IF(Skills!T27&lt;&gt;"",1+(Skills!T27/10)*($Z$3/1000)/100,1)</f>
        <v/>
      </c>
      <c r="J281" t="inlineStr"/>
      <c r="K281" t="inlineStr"/>
      <c r="L281" t="inlineStr"/>
      <c r="M281" t="inlineStr"/>
      <c r="N281" t="inlineStr"/>
      <c r="O281">
        <f>(1-Summary!$B$48)*S281+Summary!$B$48*U281</f>
        <v/>
      </c>
      <c r="P281">
        <f>IF(B296=0,0,O281/B296)</f>
        <v/>
      </c>
      <c r="Q281">
        <f>IFERROR(1/IF(Inputs!$B$39="pvp",15,MAX(0.1,Skills!D27-IF(Skills!E27=TRUE,Inputs!$B$33,0))),0)</f>
        <v/>
      </c>
      <c r="R281" t="n">
        <v>0</v>
      </c>
      <c r="S281" t="n">
        <v>0</v>
      </c>
      <c r="U281" t="n">
        <v>0</v>
      </c>
    </row>
    <row r="283">
      <c r="A283" t="inlineStr">
        <is>
          <t>Average Buff Multiplier</t>
        </is>
      </c>
      <c r="B283">
        <f>(1+(IF(C257=TRUE,F257*IF(AND(Inputs!$B$39&lt;&gt;"pvp",Inputs!$B$44&gt;0),(((R257-1)*(Skills!S3*(1+(Inputs!$B$35+IF(Inputs!$B$3&gt;=117,F280,0))/100))+MIN((Skills!S3*(1+(Inputs!$B$35+IF(Inputs!$B$3&gt;=117,F280,0))/100)),MAX(0,Inputs!$B$44-((R257-1)*Skills!D3))))/Inputs!$B$44),IF(Inputs!$B$39="pvp",MIN((Skills!S3*(1+(Inputs!$B$35+IF(Inputs!$B$3&gt;=117,F280,0))/100)),15)/15,(Skills!S3*(1+(Inputs!$B$35+IF(Inputs!$B$3&gt;=117,F280,0))/100))/Skills!D3)),0)+IF(C258=TRUE,F258*IF(AND(Inputs!$B$39&lt;&gt;"pvp",Inputs!$B$44&gt;0),(((R258-1)*(Skills!S4*(1+(Inputs!$B$35+IF(Inputs!$B$3&gt;=117,F280,0))/100))+MIN((Skills!S4*(1+(Inputs!$B$35+IF(Inputs!$B$3&gt;=117,F280,0))/100)),MAX(0,Inputs!$B$44-((R258-1)*Skills!D4))))/Inputs!$B$44),IF(Inputs!$B$39="pvp",MIN((Skills!S4*(1+(Inputs!$B$35+IF(Inputs!$B$3&gt;=117,F280,0))/100)),15)/15,(Skills!S4*(1+(Inputs!$B$35+IF(Inputs!$B$3&gt;=117,F280,0))/100))/Skills!D4)),0)+IF(C259=TRUE,F259*IF(AND(Inputs!$B$39&lt;&gt;"pvp",Inputs!$B$44&gt;0),(((R259-1)*(Skills!S5*(1+(Inputs!$B$35+IF(Inputs!$B$3&gt;=117,F280,0))/100))+MIN((Skills!S5*(1+(Inputs!$B$35+IF(Inputs!$B$3&gt;=117,F280,0))/100)),MAX(0,Inputs!$B$44-((R259-1)*Skills!D5))))/Inputs!$B$44),IF(Inputs!$B$39="pvp",MIN((Skills!S5*(1+(Inputs!$B$35+IF(Inputs!$B$3&gt;=117,F280,0))/100)),15)/15,(Skills!S5*(1+(Inputs!$B$35+IF(Inputs!$B$3&gt;=117,F280,0))/100))/Skills!D5)),0)+IF(C265=TRUE,F265*IF(AND(Inputs!$B$39&lt;&gt;"pvp",Inputs!$B$44&gt;0),(((R265-1)*(Skills!S11*(1+(Inputs!$B$35+IF(Inputs!$B$3&gt;=117,F280,0))/100))+MIN((Skills!S11*(1+(Inputs!$B$35+IF(Inputs!$B$3&gt;=117,F280,0))/100)),MAX(0,Inputs!$B$44-((R265-1)*Skills!D11))))/Inputs!$B$44),IF(Inputs!$B$39="pvp",MIN((Skills!S11*(1+(Inputs!$B$35+IF(Inputs!$B$3&gt;=117,F280,0))/100)),15)/15,(Skills!S11*(1+(Inputs!$B$35+IF(Inputs!$B$3&gt;=117,F280,0))/100))/Skills!D11)),0))/100)*IF(C268=TRUE,(1+F268*IF(AND(Inputs!$B$39&lt;&gt;"pvp",Inputs!$B$44&gt;0),(((R268-1)*(Skills!S14*(1+(Inputs!$B$35+IF(Inputs!$B$3&gt;=117,F280,0))/100))+MIN((Skills!S14*(1+(Inputs!$B$35+IF(Inputs!$B$3&gt;=117,F280,0))/100)),MAX(0,Inputs!$B$44-((R268-1)*Skills!D14))))/Inputs!$B$44),IF(Inputs!$B$39="pvp",MIN((Skills!S14*(1+(Inputs!$B$35+IF(Inputs!$B$3&gt;=117,F280,0))/100)),15)/15,(Skills!S14*(1+(Inputs!$B$35+IF(Inputs!$B$3&gt;=117,F280,0))/100))/Skills!D14))/100),1)*IF(C273=TRUE,(1+F273*IF(AND(Inputs!$B$39&lt;&gt;"pvp",Inputs!$B$44&gt;0),(((R273-1)*(Skills!S19*(1+(Inputs!$B$35+IF(Inputs!$B$3&gt;=117,F280,0))/100))+MIN((Skills!S19*(1+(Inputs!$B$35+IF(Inputs!$B$3&gt;=117,F280,0))/100)),MAX(0,Inputs!$B$44-((R273-1)*Skills!D19))))/Inputs!$B$44),IF(Inputs!$B$39="pvp",MIN((Skills!S19*(1+(Inputs!$B$35+IF(Inputs!$B$3&gt;=117,F280,0))/100)),15)/15,(Skills!S19*(1+(Inputs!$B$35+IF(Inputs!$B$3&gt;=117,F280,0))/100))/Skills!D19))/100),1)</f>
        <v/>
      </c>
    </row>
    <row r="284">
      <c r="A284" t="inlineStr">
        <is>
          <t>Monster Damage Taken Bonus % (Holy Fountain)</t>
        </is>
      </c>
      <c r="B284">
        <f>IF(Inputs!$B$3&gt;=68,20*IF(Inputs!$B$39="pvp",MIN((15*(1+(Inputs!$B$35+IF(Inputs!$B$3&gt;=117,F280,0))/100)),15)/15,(15*(1+(Inputs!$B$35+IF(Inputs!$B$3&gt;=117,F280,0))/100))/Skills!D10),0)</f>
        <v/>
      </c>
    </row>
    <row r="285">
      <c r="A285" t="inlineStr">
        <is>
          <t>Normal Monster Damage Bonus % (Holy Symbol)</t>
        </is>
      </c>
      <c r="B285">
        <f>IF(C266=TRUE,F266*IF(AND(Inputs!$B$39&lt;&gt;"pvp",Inputs!$B$44&gt;0),(((R266-1)*(Skills!S12*(1+(Inputs!$B$35+IF(Inputs!$B$3&gt;=117,F280,0))/100))+MIN((Skills!S12*(1+(Inputs!$B$35+IF(Inputs!$B$3&gt;=117,F280,0))/100)),MAX(0,Inputs!$B$44-((R266-1)*Skills!D12))))/Inputs!$B$44),IF(Inputs!$B$39="pvp",MIN((Skills!S12*(1+(Inputs!$B$35+IF(Inputs!$B$3&gt;=117,F280,0))/100)),15)/15,(Skills!S12*(1+(Inputs!$B$35+IF(Inputs!$B$3&gt;=117,F280,0))/100))/Skills!D12)),0)</f>
        <v/>
      </c>
    </row>
    <row r="286">
      <c r="A286" t="inlineStr">
        <is>
          <t>Damage % Bonus (Holy Symbol - Damage Boost)</t>
        </is>
      </c>
      <c r="B286">
        <f>Skills!O12</f>
        <v/>
      </c>
    </row>
    <row r="287">
      <c r="A287" t="inlineStr">
        <is>
          <t>Crit Damage % Bonus (Blood of the Divine)</t>
        </is>
      </c>
      <c r="B287">
        <f>4*IF(C274=TRUE,F274,0)</f>
        <v/>
      </c>
    </row>
    <row r="288">
      <c r="A288" t="inlineStr">
        <is>
          <t>Attack Speed Bonus %</t>
        </is>
      </c>
      <c r="B288">
        <f>IF(C271=TRUE,F271+(F275-Calc!F21),0)+IF(Inputs!$B$3&gt;=134,15,0)</f>
        <v/>
      </c>
    </row>
    <row r="289">
      <c r="A289" t="inlineStr">
        <is>
          <t>Actions Per Second</t>
        </is>
      </c>
      <c r="B289">
        <f>1+MIN(150,150*(1-(1-Inputs!$B$12/150)*(1-B288/150)))/100</f>
        <v/>
      </c>
    </row>
    <row r="290">
      <c r="A290" t="inlineStr">
        <is>
          <t>Skill + Buff Cast Rate</t>
        </is>
      </c>
      <c r="B290">
        <f>IF(AND(Inputs!$B$39&lt;&gt;"pvp",Inputs!$B$44&gt;0),SUMPRODUCT((Skills!E2:E27=TRUE)*(C256:C281=TRUE)*R256:R281)/Inputs!$B$44,SUMPRODUCT((Skills!E2:E27=TRUE)*(C256:C281=TRUE)*Q256:Q281))</f>
        <v/>
      </c>
    </row>
    <row r="291">
      <c r="A291" t="inlineStr">
        <is>
          <t>Big Bang Casts Per Second</t>
        </is>
      </c>
      <c r="B291">
        <f>MAX(0,B289-B290)</f>
        <v/>
      </c>
    </row>
    <row r="292">
      <c r="A292" t="inlineStr">
        <is>
          <t>Defense % Bonus (Divine Protection)</t>
        </is>
      </c>
      <c r="B292">
        <f>IF(C267=TRUE,F267*IF(AND(Inputs!$B$39&lt;&gt;"pvp",Inputs!$B$44&gt;0),(((R267-1)*(Skills!S13*(1+(Inputs!$B$35+IF(Inputs!$B$3&gt;=117,F280,0))/100))+MIN((Skills!S13*(1+(Inputs!$B$35+IF(Inputs!$B$3&gt;=117,F280,0))/100)),MAX(0,Inputs!$B$44-((R267-1)*Skills!D13))))/Inputs!$B$44),IF(Inputs!$B$39="pvp",MIN((Skills!S13*(1+(Inputs!$B$35+IF(Inputs!$B$3&gt;=117,F280,0))/100)),15)/15,(Skills!S13*(1+(Inputs!$B$35+IF(Inputs!$B$3&gt;=117,F280,0))/100))/Skills!D13)),0)</f>
        <v/>
      </c>
    </row>
    <row r="293">
      <c r="A293" t="inlineStr">
        <is>
          <t>Buff-Casting Startup Delay (s, fixed-duration only)</t>
        </is>
      </c>
      <c r="B293">
        <f>IF(AND(Inputs!$B$39&lt;&gt;"pvp",Inputs!$B$44&gt;0),SUMPRODUCT((Skills!S2:S27&gt;0)*(Skills!E2:E27=TRUE)*(C256:C281=TRUE))/B289,0)</f>
        <v/>
      </c>
    </row>
    <row r="294">
      <c r="A294" t="inlineStr">
        <is>
          <t>Boss-Only Total DPS (this block's swept value)</t>
        </is>
      </c>
      <c r="B294">
        <f>SUM(S256:S281)</f>
        <v/>
      </c>
    </row>
    <row r="295">
      <c r="A295" t="inlineStr">
        <is>
          <t>Normal-Only Total DPS (this block's swept value)</t>
        </is>
      </c>
      <c r="B295">
        <f>SUM(U256:U281)</f>
        <v/>
      </c>
    </row>
    <row r="296">
      <c r="A296" s="5" t="inlineStr">
        <is>
          <t>TOTAL DPS</t>
        </is>
      </c>
      <c r="B296" s="5">
        <f>SUM(O256:O281)</f>
        <v/>
      </c>
    </row>
    <row r="298">
      <c r="A298" s="5" t="inlineStr">
        <is>
          <t>Stat: BOSS_DAMAGE %</t>
        </is>
      </c>
    </row>
    <row r="299">
      <c r="A299" s="9" t="inlineStr">
        <is>
          <t>Key</t>
        </is>
      </c>
      <c r="B299" s="9" t="inlineStr">
        <is>
          <t>Name</t>
        </is>
      </c>
      <c r="C299" s="9" t="inlineStr">
        <is>
          <t>Unlocked</t>
        </is>
      </c>
      <c r="D299" s="9" t="inlineStr">
        <is>
          <t>InputLevel</t>
        </is>
      </c>
      <c r="E299" s="9" t="inlineStr">
        <is>
          <t>Factor</t>
        </is>
      </c>
      <c r="F299" s="9" t="inlineStr">
        <is>
          <t>CoefficientPercent</t>
        </is>
      </c>
      <c r="G299" s="9" t="inlineStr">
        <is>
          <t>EffectiveHits</t>
        </is>
      </c>
      <c r="H299" s="9" t="inlineStr">
        <is>
          <t>ProcProbability</t>
        </is>
      </c>
      <c r="I299" s="9" t="inlineStr">
        <is>
          <t>MapleHeroMultiplier</t>
        </is>
      </c>
      <c r="J299" s="9" t="inlineStr">
        <is>
          <t>BaseDamage</t>
        </is>
      </c>
      <c r="K299" s="9" t="inlineStr">
        <is>
          <t>BaseHitDamage</t>
        </is>
      </c>
      <c r="L299" s="9" t="inlineStr">
        <is>
          <t>NonCritAvg</t>
        </is>
      </c>
      <c r="M299" s="9" t="inlineStr">
        <is>
          <t>CritAvg</t>
        </is>
      </c>
      <c r="N299" s="9" t="inlineStr">
        <is>
          <t>ExpectedDamage(perHit)</t>
        </is>
      </c>
      <c r="O299" s="9" t="inlineStr">
        <is>
          <t>DPS</t>
        </is>
      </c>
      <c r="P299" s="9" t="inlineStr">
        <is>
          <t>% of Total</t>
        </is>
      </c>
      <c r="R299" t="inlineStr">
        <is>
          <t>helpers</t>
        </is>
      </c>
    </row>
    <row r="300">
      <c r="A300">
        <f>Skills!A2</f>
        <v/>
      </c>
      <c r="B300">
        <f>Skills!B2</f>
        <v/>
      </c>
      <c r="C300">
        <f>Inputs!$B$3&gt;=100</f>
        <v/>
      </c>
      <c r="D300" t="inlineStr"/>
      <c r="E300" t="inlineStr"/>
      <c r="F300">
        <f>T302+Skills!N2</f>
        <v/>
      </c>
      <c r="G300">
        <f>Calc!G2</f>
        <v/>
      </c>
      <c r="H300">
        <f>Calc!H2</f>
        <v/>
      </c>
      <c r="I300">
        <f>IF(Skills!T2&lt;&gt;"",1+(Skills!T2/10)*($Z$3/1000)/100,1)</f>
        <v/>
      </c>
      <c r="J300">
        <f>((Inputs!$B$6*(1+Inputs!$B$7/100))+(((Inputs!$B$13*(1+Inputs!$B$14/100))-(Inputs!$B$13*(1+Inputs!$B$14/100)))+0.25*(Inputs!$B$15-Inputs!$B$15))*(1+Inputs!$B$7/100))*(F300/100)</f>
        <v/>
      </c>
      <c r="K300">
        <f>J300*(1+(((Inputs!$B$13+IF(Inputs!$B$3&gt;=35,(10*INDEX(FactorTable!$B$2:$Y$301, MATCH(ROUND(MIN(300,MAX(1,Inputs!$B$3)),0), FactorTable!$A$2:$A$301,0), 23)/1000)/100*(Inputs!$B$8*(1+(Inputs!$B$9+B336)/100)),0))*(1+Inputs!$B$14/100))*0.01+Inputs!$B$15*0.0025)/100)*(1+(Inputs!$B$16+B330)/100)*(1+Inputs!$B$17/100)*(5000/(6000+Inputs!$B$43*(1-Inputs!$B$20/100)))*(1+Inputs!$B$25/100)*(1+IF(C316=TRUE,F316,0)/100)*(1+IF(C318=TRUE,F318,0)/100)*(1+IF(Skills!A2="TRIUMPH_FEATHER",IF(C314=TRUE,F314,0),0)/100)*(1+IF(C325=TRUE,F325,0)/100)^5*(1+(IF(Skills!A2="BIG_BANG",Inputs!$B$18,Inputs!$B$19))/100)*(B327*I300)</f>
        <v/>
      </c>
      <c r="L300">
        <f>K300*(MIN(Inputs!$B$23+(F320-Calc!F22),Inputs!$B$24)/100+Inputs!$B$24/100)/2</f>
        <v/>
      </c>
      <c r="M300">
        <f>L300*(1+(Inputs!$B$11+B331+(F323-Calc!F25))/100)</f>
        <v/>
      </c>
      <c r="N300">
        <f>L300*(1-MIN(Inputs!$B$10+((F322-Calc!F24)+(F321-Calc!F23)),100)/100)+M300*(MIN(Inputs!$B$10+((F322-Calc!F24)+(F321-Calc!F23)),100)/100)</f>
        <v/>
      </c>
      <c r="O300">
        <f>(1-Summary!$B$48)*S300+Summary!$B$48*U300</f>
        <v/>
      </c>
      <c r="P300">
        <f>IF(B340=0,0,O300/B340)</f>
        <v/>
      </c>
      <c r="Q300">
        <f>IFERROR(1/IF(Inputs!$B$39="pvp",15,MAX(0.1,Skills!D2-IF(Skills!E2=TRUE,Inputs!$B$33,0))),0)</f>
        <v/>
      </c>
      <c r="R300" t="n">
        <v>0</v>
      </c>
      <c r="S300">
        <f>IF(C300,(Skills!F2*N300*B335)*IF(Inputs!$B$39="pvp",1,1+((Inputs!$B$21+1)+Skills!O2+B328)/100),0)</f>
        <v/>
      </c>
      <c r="T300">
        <f>MAX(0,(Inputs!$B$3-100)*3)+Inputs!$B$29+Inputs!$B$30</f>
        <v/>
      </c>
      <c r="U300">
        <f>IF(C300,(Skills!F2*N300*B335)*IF(Inputs!$B$39="pvp",1,(1+(Inputs!$B$22+Skills!P2+B329)/100)*(MIN((6+Inputs!$B$34),Inputs!$B$38))),0)</f>
        <v/>
      </c>
    </row>
    <row r="301">
      <c r="A301">
        <f>Skills!A3</f>
        <v/>
      </c>
      <c r="B301">
        <f>Skills!B3</f>
        <v/>
      </c>
      <c r="C301">
        <f>Inputs!$B$3&gt;=15</f>
        <v/>
      </c>
      <c r="D301">
        <f>IF(Skills!C3=1,60+Inputs!$B$26+Inputs!$B$30,IF(Skills!C3=2,90+Inputs!$B$27+Inputs!$B$30,IF(Skills!C3=3,120+Inputs!$B$28+Inputs!$B$30,MAX(0,(Inputs!$B$3-100)*3)+Inputs!$B$29+Inputs!$B$30)))</f>
        <v/>
      </c>
      <c r="E301">
        <f>INDEX(FactorTable!$B$2:$Y$301, MATCH(ROUND(MIN(300,MAX(1,D301)),0), FactorTable!$A$2:$A$301,0), Skills!L3+1)</f>
        <v/>
      </c>
      <c r="F301">
        <f>IF(Skills!M3=TRUE,(Skills!K3/10)*(E301/1000),Skills!K3/10)+Skills!N3</f>
        <v/>
      </c>
      <c r="G301">
        <f>Calc!G3</f>
        <v/>
      </c>
      <c r="H301">
        <f>Calc!H3</f>
        <v/>
      </c>
      <c r="I301">
        <f>IF(Skills!T3&lt;&gt;"",1+(Skills!T3/10)*($Z$3/1000)/100,1)</f>
        <v/>
      </c>
      <c r="J301" t="inlineStr"/>
      <c r="K301" t="inlineStr"/>
      <c r="L301" t="inlineStr"/>
      <c r="M301" t="inlineStr"/>
      <c r="N301" t="inlineStr"/>
      <c r="O301">
        <f>(1-Summary!$B$48)*S301+Summary!$B$48*U301</f>
        <v/>
      </c>
      <c r="P301">
        <f>IF(B340=0,0,O301/B340)</f>
        <v/>
      </c>
      <c r="Q301">
        <f>IFERROR(1/IF(Inputs!$B$39="pvp",15,MAX(0.1,Skills!D3-IF(Skills!E3=TRUE,Inputs!$B$33,0))),0)</f>
        <v/>
      </c>
      <c r="R301">
        <f>IF(AND(Inputs!$B$39&lt;&gt;"pvp",Inputs!$B$44&gt;0),IF(Inputs!$B$44&lt;=0,0,(INT(Inputs!$B$44/IF(Inputs!$B$39="pvp",15,MAX(0.1,Skills!D3-IF(Skills!E3=TRUE,Inputs!$B$33,0))))+1)),0)</f>
        <v/>
      </c>
      <c r="S301" t="n">
        <v>0</v>
      </c>
      <c r="T301">
        <f>INDEX(FactorTable!$B$2:$Y$301, MATCH(ROUND(MIN(300,MAX(1,T300)),0), FactorTable!$A$2:$A$301,0), 22)</f>
        <v/>
      </c>
      <c r="U301" t="n">
        <v>0</v>
      </c>
    </row>
    <row r="302">
      <c r="A302">
        <f>Skills!A4</f>
        <v/>
      </c>
      <c r="B302">
        <f>Skills!B4</f>
        <v/>
      </c>
      <c r="C302">
        <f>Inputs!$B$3&gt;=38</f>
        <v/>
      </c>
      <c r="D302">
        <f>IF(Skills!C4=1,60+Inputs!$B$26+Inputs!$B$30,IF(Skills!C4=2,90+Inputs!$B$27+Inputs!$B$30,IF(Skills!C4=3,120+Inputs!$B$28+Inputs!$B$30,MAX(0,(Inputs!$B$3-100)*3)+Inputs!$B$29+Inputs!$B$30)))</f>
        <v/>
      </c>
      <c r="E302">
        <f>INDEX(FactorTable!$B$2:$Y$301, MATCH(ROUND(MIN(300,MAX(1,D302)),0), FactorTable!$A$2:$A$301,0), Skills!L4+1)</f>
        <v/>
      </c>
      <c r="F302">
        <f>IF(Skills!M4=TRUE,(Skills!K4/10)*(E302/1000),Skills!K4/10)+Skills!N4</f>
        <v/>
      </c>
      <c r="G302">
        <f>Calc!G4</f>
        <v/>
      </c>
      <c r="H302">
        <f>Calc!H4</f>
        <v/>
      </c>
      <c r="I302">
        <f>IF(Skills!T4&lt;&gt;"",1+(Skills!T4/10)*($Z$3/1000)/100,1)</f>
        <v/>
      </c>
      <c r="J302" t="inlineStr"/>
      <c r="K302" t="inlineStr"/>
      <c r="L302" t="inlineStr"/>
      <c r="M302" t="inlineStr"/>
      <c r="N302" t="inlineStr"/>
      <c r="O302">
        <f>(1-Summary!$B$48)*S302+Summary!$B$48*U302</f>
        <v/>
      </c>
      <c r="P302">
        <f>IF(B340=0,0,O302/B340)</f>
        <v/>
      </c>
      <c r="Q302">
        <f>IFERROR(1/IF(Inputs!$B$39="pvp",15,MAX(0.1,Skills!D4-IF(Skills!E4=TRUE,Inputs!$B$33,0))),0)</f>
        <v/>
      </c>
      <c r="R302">
        <f>IF(AND(Inputs!$B$39&lt;&gt;"pvp",Inputs!$B$44&gt;0),IF(Inputs!$B$44&lt;=0,0,(INT(Inputs!$B$44/IF(Inputs!$B$39="pvp",15,MAX(0.1,Skills!D4-IF(Skills!E4=TRUE,Inputs!$B$33,0))))+1)),0)</f>
        <v/>
      </c>
      <c r="S302" t="n">
        <v>0</v>
      </c>
      <c r="T302">
        <f>290*T301/1000</f>
        <v/>
      </c>
      <c r="U302" t="n">
        <v>0</v>
      </c>
    </row>
    <row r="303">
      <c r="A303">
        <f>Skills!A5</f>
        <v/>
      </c>
      <c r="B303">
        <f>Skills!B5</f>
        <v/>
      </c>
      <c r="C303">
        <f>Inputs!$B$3&gt;=40</f>
        <v/>
      </c>
      <c r="D303">
        <f>IF(Skills!C5=1,60+Inputs!$B$26+Inputs!$B$30,IF(Skills!C5=2,90+Inputs!$B$27+Inputs!$B$30,IF(Skills!C5=3,120+Inputs!$B$28+Inputs!$B$30,MAX(0,(Inputs!$B$3-100)*3)+Inputs!$B$29+Inputs!$B$30)))</f>
        <v/>
      </c>
      <c r="E303">
        <f>INDEX(FactorTable!$B$2:$Y$301, MATCH(ROUND(MIN(300,MAX(1,D303)),0), FactorTable!$A$2:$A$301,0), Skills!L5+1)</f>
        <v/>
      </c>
      <c r="F303">
        <f>IF(Skills!M5=TRUE,(Skills!K5/10)*(E303/1000),Skills!K5/10)+Skills!N5</f>
        <v/>
      </c>
      <c r="G303">
        <f>Calc!G5</f>
        <v/>
      </c>
      <c r="H303">
        <f>Calc!H5</f>
        <v/>
      </c>
      <c r="I303">
        <f>IF(Skills!T5&lt;&gt;"",1+(Skills!T5/10)*($Z$3/1000)/100,1)</f>
        <v/>
      </c>
      <c r="J303" t="inlineStr"/>
      <c r="K303" t="inlineStr"/>
      <c r="L303" t="inlineStr"/>
      <c r="M303" t="inlineStr"/>
      <c r="N303" t="inlineStr"/>
      <c r="O303">
        <f>(1-Summary!$B$48)*S303+Summary!$B$48*U303</f>
        <v/>
      </c>
      <c r="P303">
        <f>IF(B340=0,0,O303/B340)</f>
        <v/>
      </c>
      <c r="Q303">
        <f>IFERROR(1/IF(Inputs!$B$39="pvp",15,MAX(0.1,Skills!D5-IF(Skills!E5=TRUE,Inputs!$B$33,0))),0)</f>
        <v/>
      </c>
      <c r="R303">
        <f>IF(AND(Inputs!$B$39&lt;&gt;"pvp",Inputs!$B$44&gt;0),IF(Inputs!$B$44&lt;=0,0,(INT(Inputs!$B$44/IF(Inputs!$B$39="pvp",15,MAX(0.1,Skills!D5-IF(Skills!E5=TRUE,Inputs!$B$33,0))))+1)),0)</f>
        <v/>
      </c>
      <c r="S303" t="n">
        <v>0</v>
      </c>
      <c r="U303" t="n">
        <v>0</v>
      </c>
    </row>
    <row r="304">
      <c r="A304">
        <f>Skills!A6</f>
        <v/>
      </c>
      <c r="B304">
        <f>Skills!B6</f>
        <v/>
      </c>
      <c r="C304">
        <f>Inputs!$B$3&gt;=103</f>
        <v/>
      </c>
      <c r="D304">
        <f>IF(Skills!C6=1,60+Inputs!$B$26+Inputs!$B$30,IF(Skills!C6=2,90+Inputs!$B$27+Inputs!$B$30,IF(Skills!C6=3,120+Inputs!$B$28+Inputs!$B$30,MAX(0,(Inputs!$B$3-100)*3)+Inputs!$B$29+Inputs!$B$30)))</f>
        <v/>
      </c>
      <c r="E304">
        <f>INDEX(FactorTable!$B$2:$Y$301, MATCH(ROUND(MIN(300,MAX(1,D304)),0), FactorTable!$A$2:$A$301,0), Skills!L6+1)</f>
        <v/>
      </c>
      <c r="F304">
        <f>IF(Skills!M6=TRUE,(Skills!K6/10)*(E304/1000),Skills!K6/10)+Skills!N6</f>
        <v/>
      </c>
      <c r="G304">
        <f>Calc!G6</f>
        <v/>
      </c>
      <c r="H304">
        <f>Calc!H6</f>
        <v/>
      </c>
      <c r="I304">
        <f>IF(Skills!T6&lt;&gt;"",1+(Skills!T6/10)*($Z$3/1000)/100,1)</f>
        <v/>
      </c>
      <c r="J304">
        <f>((Inputs!$B$6*(1+Inputs!$B$7/100))+(((Inputs!$B$13*(1+Inputs!$B$14/100))-(Inputs!$B$13*(1+Inputs!$B$14/100)))+0.25*(Inputs!$B$15-Inputs!$B$15))*(1+Inputs!$B$7/100))*(F304/100)</f>
        <v/>
      </c>
      <c r="K304">
        <f>J304*(1+(((Inputs!$B$13+IF(Inputs!$B$3&gt;=35,(10*INDEX(FactorTable!$B$2:$Y$301, MATCH(ROUND(MIN(300,MAX(1,Inputs!$B$3)),0), FactorTable!$A$2:$A$301,0), 23)/1000)/100*(Inputs!$B$8*(1+(Inputs!$B$9+B336)/100)),0))*(1+Inputs!$B$14/100))*0.01+Inputs!$B$15*0.0025)/100)*(1+(Inputs!$B$16+B330)/100)*(1+Inputs!$B$17/100)*(5000/(6000+Inputs!$B$43*(1-Inputs!$B$20/100)))*(1+Inputs!$B$25/100)*(1+IF(C316=TRUE,F316,0)/100)*(1+IF(C318=TRUE,F318,0)/100)*(1+IF(Skills!A6="TRIUMPH_FEATHER",IF(C314=TRUE,F314,0),0)/100)*(1+IF(C325=TRUE,F325,0)/100)^5*(1+(IF(Skills!A6="BIG_BANG",Inputs!$B$18,Inputs!$B$19))/100)*(B327*I304)</f>
        <v/>
      </c>
      <c r="L304">
        <f>K304*(MIN(Inputs!$B$23+(F320-Calc!F22),Inputs!$B$24)/100+Inputs!$B$24/100)/2</f>
        <v/>
      </c>
      <c r="M304">
        <f>L304*(1+(Inputs!$B$11+B331+(F323-Calc!F25))/100)</f>
        <v/>
      </c>
      <c r="N304">
        <f>L304*(1-MIN(Inputs!$B$10+((F322-Calc!F24)+(F321-Calc!F23)),100)/100)+M304*(MIN(Inputs!$B$10+((F322-Calc!F24)+(F321-Calc!F23)),100)/100)</f>
        <v/>
      </c>
      <c r="O304">
        <f>(1-Summary!$B$48)*S304+Summary!$B$48*U304</f>
        <v/>
      </c>
      <c r="P304">
        <f>IF(B340=0,0,O304/B340)</f>
        <v/>
      </c>
      <c r="Q304">
        <f>IFERROR(1/IF(Inputs!$B$39="pvp",15,MAX(0.1,Skills!D6-IF(Skills!E6=TRUE,Inputs!$B$33,0))),0)</f>
        <v/>
      </c>
      <c r="R304">
        <f>IF(AND(Inputs!$B$39&lt;&gt;"pvp",Inputs!$B$44&gt;0),IF(MAX(0,Inputs!$B$44-B337)&lt;=0,0,(INT(MAX(0,Inputs!$B$44-B337)/IF(Inputs!$B$39="pvp",15,MAX(0.1,Skills!D6-IF(Skills!E6=TRUE,Inputs!$B$33,0))))+1)),0)</f>
        <v/>
      </c>
      <c r="S304">
        <f>IF(C304,(H304*N304*IF(AND(Inputs!$B$39&lt;&gt;"pvp",Inputs!$B$44&gt;0),((Skills!F6*((R304-1)*IF(Skills!G6&gt;0,Skills!H6/Skills!G6,1)+IF(Skills!G6&gt;0,MIN(Skills!H6,MAX(0,MAX(0,Inputs!$B$44-B337)-((R304-1)*IF(Inputs!$B$39="pvp",15,MAX(0.1,Skills!D6-IF(Skills!E6=TRUE,Inputs!$B$33,0))))))/Skills!G6,1)))/Inputs!$B$44),G304*Q304))*IF(Inputs!$B$39="pvp",1,1+((Inputs!$B$21+1)+Skills!O6+B328)/100),0)</f>
        <v/>
      </c>
      <c r="U304">
        <f>IF(C304,(H304*N304*IF(AND(Inputs!$B$39&lt;&gt;"pvp",Inputs!$B$44&gt;0),((Skills!F6*((R304-1)*IF(Skills!G6&gt;0,Skills!H6/Skills!G6,1)+IF(Skills!G6&gt;0,MIN(Skills!H6,MAX(0,MAX(0,Inputs!$B$44-B337)-((R304-1)*IF(Inputs!$B$39="pvp",15,MAX(0.1,Skills!D6-IF(Skills!E6=TRUE,Inputs!$B$33,0))))))/Skills!G6,1)))/Inputs!$B$44),G304*Q304))*IF(Inputs!$B$39="pvp",1,(1+(Inputs!$B$22+Skills!P6+B329)/100)*(MIN(Skills!Q6,Inputs!$B$38))),0)</f>
        <v/>
      </c>
    </row>
    <row r="305">
      <c r="A305">
        <f>Skills!A7</f>
        <v/>
      </c>
      <c r="B305">
        <f>Skills!B7</f>
        <v/>
      </c>
      <c r="C305">
        <f>Inputs!$B$3&gt;=122</f>
        <v/>
      </c>
      <c r="D305">
        <f>IF(Skills!C7=1,60+Inputs!$B$26+Inputs!$B$30,IF(Skills!C7=2,90+Inputs!$B$27+Inputs!$B$30,IF(Skills!C7=3,120+Inputs!$B$28+Inputs!$B$30,MAX(0,(Inputs!$B$3-100)*3)+Inputs!$B$29+Inputs!$B$30)))</f>
        <v/>
      </c>
      <c r="E305">
        <f>INDEX(FactorTable!$B$2:$Y$301, MATCH(ROUND(MIN(300,MAX(1,D305)),0), FactorTable!$A$2:$A$301,0), Skills!L7+1)</f>
        <v/>
      </c>
      <c r="F305">
        <f>IF(Skills!M7=TRUE,(Skills!K7/10)*(E305/1000),Skills!K7/10)+Skills!N7</f>
        <v/>
      </c>
      <c r="G305">
        <f>Calc!G7</f>
        <v/>
      </c>
      <c r="H305">
        <f>Calc!H7</f>
        <v/>
      </c>
      <c r="I305">
        <f>IF(Skills!T7&lt;&gt;"",1+(Skills!T7/10)*($Z$3/1000)/100,1)</f>
        <v/>
      </c>
      <c r="J305">
        <f>((Inputs!$B$6*(1+Inputs!$B$7/100))+(((Inputs!$B$13*(1+Inputs!$B$14/100))-(Inputs!$B$13*(1+Inputs!$B$14/100)))+0.25*(Inputs!$B$15-Inputs!$B$15))*(1+Inputs!$B$7/100))*(F305/100)</f>
        <v/>
      </c>
      <c r="K305">
        <f>J305*(1+(((Inputs!$B$13+IF(Inputs!$B$3&gt;=35,(10*INDEX(FactorTable!$B$2:$Y$301, MATCH(ROUND(MIN(300,MAX(1,Inputs!$B$3)),0), FactorTable!$A$2:$A$301,0), 23)/1000)/100*(Inputs!$B$8*(1+(Inputs!$B$9+B336)/100)),0))*(1+Inputs!$B$14/100))*0.01+Inputs!$B$15*0.0025)/100)*(1+(Inputs!$B$16+B330)/100)*(1+Inputs!$B$17/100)*(5000/(6000+Inputs!$B$43*(1-Inputs!$B$20/100)))*(1+Inputs!$B$25/100)*(1+IF(C316=TRUE,F316,0)/100)*(1+IF(C318=TRUE,F318,0)/100)*(1+IF(Skills!A7="TRIUMPH_FEATHER",IF(C314=TRUE,F314,0),0)/100)*(1+IF(C325=TRUE,F325,0)/100)^5*(1+(IF(Skills!A7="BIG_BANG",Inputs!$B$18,Inputs!$B$19))/100)*(B327*I305)</f>
        <v/>
      </c>
      <c r="L305">
        <f>K305*(MIN(Inputs!$B$23+(F320-Calc!F22),Inputs!$B$24)/100+Inputs!$B$24/100)/2</f>
        <v/>
      </c>
      <c r="M305">
        <f>L305*(1+(Inputs!$B$11+B331+(F323-Calc!F25))/100)</f>
        <v/>
      </c>
      <c r="N305">
        <f>L305*(1-MIN(Inputs!$B$10+((F322-Calc!F24)+(F321-Calc!F23)),100)/100)+M305*(MIN(Inputs!$B$10+((F322-Calc!F24)+(F321-Calc!F23)),100)/100)</f>
        <v/>
      </c>
      <c r="O305">
        <f>(1-Summary!$B$48)*S305+Summary!$B$48*U305</f>
        <v/>
      </c>
      <c r="P305">
        <f>IF(B340=0,0,O305/B340)</f>
        <v/>
      </c>
      <c r="Q305">
        <f>IFERROR(1/IF(Inputs!$B$39="pvp",15,MAX(0.1,Skills!D7-IF(Skills!E6=TRUE,Inputs!$B$33,0))),0)</f>
        <v/>
      </c>
      <c r="R305">
        <f>IF(AND(Inputs!$B$39&lt;&gt;"pvp",Inputs!$B$44&gt;0),IF(MAX(0,Inputs!$B$44-B337)&lt;=0,0,(INT(MAX(0,Inputs!$B$44-B337)/IF(Inputs!$B$39="pvp",15,MAX(0.1,Skills!D7-IF(Skills!E6=TRUE,Inputs!$B$33,0))))+1)),0)</f>
        <v/>
      </c>
      <c r="S305">
        <f>IF(C305,H305*N305*IF(AND(Inputs!$B$39&lt;&gt;"pvp",Inputs!$B$44&gt;0),((Skills!F7*((R305-1)*IF(Skills!G7&gt;0,Skills!H7/Skills!G7,1)+IF(Skills!G7&gt;0,MIN(Skills!H7,MAX(0,MAX(0,Inputs!$B$44-B337)-((R305-1)*IF(Inputs!$B$39="pvp",15,MAX(0.1,Skills!D7-IF(Skills!E6=TRUE,Inputs!$B$33,0))))))/Skills!G7,1)))/Inputs!$B$44),G305*Q305)*IF(Inputs!$B$39="pvp",1,1+((Inputs!$B$21+1)+Skills!O7+B328)/100),0)</f>
        <v/>
      </c>
      <c r="U305" t="n">
        <v>0</v>
      </c>
    </row>
    <row r="306">
      <c r="A306">
        <f>Skills!A8</f>
        <v/>
      </c>
      <c r="B306">
        <f>Skills!B8</f>
        <v/>
      </c>
      <c r="C306">
        <f>Inputs!$B$3&gt;=105</f>
        <v/>
      </c>
      <c r="D306">
        <f>IF(Skills!C8=1,60+Inputs!$B$26+Inputs!$B$30,IF(Skills!C8=2,90+Inputs!$B$27+Inputs!$B$30,IF(Skills!C8=3,120+Inputs!$B$28+Inputs!$B$30,MAX(0,(Inputs!$B$3-100)*3)+Inputs!$B$29+Inputs!$B$30)))</f>
        <v/>
      </c>
      <c r="E306">
        <f>INDEX(FactorTable!$B$2:$Y$301, MATCH(ROUND(MIN(300,MAX(1,D306)),0), FactorTable!$A$2:$A$301,0), Skills!L8+1)</f>
        <v/>
      </c>
      <c r="F306">
        <f>IF(Skills!M8=TRUE,(Skills!K8/10)*(E306/1000),Skills!K8/10)+Skills!N8</f>
        <v/>
      </c>
      <c r="G306">
        <f>Calc!G8</f>
        <v/>
      </c>
      <c r="H306">
        <f>Calc!H8</f>
        <v/>
      </c>
      <c r="I306">
        <f>IF(Skills!T8&lt;&gt;"",1+(Skills!T8/10)*($Z$3/1000)/100,1)</f>
        <v/>
      </c>
      <c r="J306">
        <f>((Inputs!$B$6*(1+Inputs!$B$7/100))+(((Inputs!$B$13*(1+Inputs!$B$14/100))-(Inputs!$B$13*(1+Inputs!$B$14/100)))+0.25*(Inputs!$B$15-Inputs!$B$15))*(1+Inputs!$B$7/100))*(F306/100)</f>
        <v/>
      </c>
      <c r="K306">
        <f>J306*(1+(((Inputs!$B$13+IF(Inputs!$B$3&gt;=35,(10*INDEX(FactorTable!$B$2:$Y$301, MATCH(ROUND(MIN(300,MAX(1,Inputs!$B$3)),0), FactorTable!$A$2:$A$301,0), 23)/1000)/100*(Inputs!$B$8*(1+(Inputs!$B$9+B336)/100)),0))*(1+Inputs!$B$14/100))*0.01+Inputs!$B$15*0.0025)/100)*(1+(Inputs!$B$16+B330)/100)*(1+Inputs!$B$17/100)*(5000/(6000+Inputs!$B$43*(1-Inputs!$B$20/100)))*(1+Inputs!$B$25/100)*(1+IF(C316=TRUE,F316,0)/100)*(1+IF(C318=TRUE,F318,0)/100)*(1+IF(Skills!A8="TRIUMPH_FEATHER",IF(C314=TRUE,F314,0),0)/100)*(1+IF(C325=TRUE,F325,0)/100)^5*(1+(IF(Skills!A8="BIG_BANG",Inputs!$B$18,Inputs!$B$19))/100)*(B327*I306)</f>
        <v/>
      </c>
      <c r="L306">
        <f>K306*(MIN(Inputs!$B$23+(F320-Calc!F22),Inputs!$B$24)/100+Inputs!$B$24/100)/2</f>
        <v/>
      </c>
      <c r="M306">
        <f>L306*(1+(Inputs!$B$11+B331+(F323-Calc!F25))/100)</f>
        <v/>
      </c>
      <c r="N306">
        <f>L306*(1-MIN(Inputs!$B$10+((F322-Calc!F24)+(F321-Calc!F23)),100)/100)+M306*(MIN(Inputs!$B$10+((F322-Calc!F24)+(F321-Calc!F23)),100)/100)</f>
        <v/>
      </c>
      <c r="O306">
        <f>(1-Summary!$B$48)*S306+Summary!$B$48*U306</f>
        <v/>
      </c>
      <c r="P306">
        <f>IF(B340=0,0,O306/B340)</f>
        <v/>
      </c>
      <c r="Q306">
        <f>IFERROR(1/IF(Inputs!$B$39="pvp",15,MAX(0.1,Skills!D8-IF(Skills!E8=TRUE,Inputs!$B$33,0))),0)</f>
        <v/>
      </c>
      <c r="R306">
        <f>IF(AND(Inputs!$B$39&lt;&gt;"pvp",Inputs!$B$44&gt;0),IF(MAX(0,Inputs!$B$44-B337)&lt;=0,0,(INT(MAX(0,Inputs!$B$44-B337)/IF(Inputs!$B$39="pvp",15,MAX(0.1,Skills!D8-IF(Skills!E8=TRUE,Inputs!$B$33,0))))+1)),0)</f>
        <v/>
      </c>
      <c r="S306">
        <f>IF(C306,(H306*N306*IF(AND(Inputs!$B$39&lt;&gt;"pvp",Inputs!$B$44&gt;0),((Skills!F8*((R306-1)*IF(Skills!G8&gt;0,Skills!H8/Skills!G8,1)+IF(Skills!G8&gt;0,MIN(Skills!H8,MAX(0,MAX(0,Inputs!$B$44-B337)-((R306-1)*IF(Inputs!$B$39="pvp",15,MAX(0.1,Skills!D8-IF(Skills!E8=TRUE,Inputs!$B$33,0))))))/Skills!G8,1)))/Inputs!$B$44),G306*Q306))*IF(Inputs!$B$39="pvp",1,1+((Inputs!$B$21+1)+Skills!O8+B328)/100),0)</f>
        <v/>
      </c>
      <c r="U306">
        <f>IF(C306,(H306*N306*IF(AND(Inputs!$B$39&lt;&gt;"pvp",Inputs!$B$44&gt;0),((Skills!F8*((R306-1)*IF(Skills!G8&gt;0,Skills!H8/Skills!G8,1)+IF(Skills!G8&gt;0,MIN(Skills!H8,MAX(0,MAX(0,Inputs!$B$44-B337)-((R306-1)*IF(Inputs!$B$39="pvp",15,MAX(0.1,Skills!D8-IF(Skills!E8=TRUE,Inputs!$B$33,0))))))/Skills!G8,1)))/Inputs!$B$44),G306*Q306))*IF(Inputs!$B$39="pvp",1,(1+(Inputs!$B$22+Skills!P8+B329)/100)*(MIN(Skills!Q8,Inputs!$B$38))),0)</f>
        <v/>
      </c>
    </row>
    <row r="307">
      <c r="A307">
        <f>Skills!A9</f>
        <v/>
      </c>
      <c r="B307">
        <f>Skills!B9</f>
        <v/>
      </c>
      <c r="C307">
        <f>Inputs!$B$3&gt;=115</f>
        <v/>
      </c>
      <c r="D307">
        <f>IF(Skills!C9=1,60+Inputs!$B$26+Inputs!$B$30,IF(Skills!C9=2,90+Inputs!$B$27+Inputs!$B$30,IF(Skills!C9=3,120+Inputs!$B$28+Inputs!$B$30,MAX(0,(Inputs!$B$3-100)*3)+Inputs!$B$29+Inputs!$B$30)))</f>
        <v/>
      </c>
      <c r="E307">
        <f>INDEX(FactorTable!$B$2:$Y$301, MATCH(ROUND(MIN(300,MAX(1,D307)),0), FactorTable!$A$2:$A$301,0), Skills!L9+1)</f>
        <v/>
      </c>
      <c r="F307">
        <f>IF(Skills!M9=TRUE,(Skills!K9/10)*(E307/1000),Skills!K9/10)+Skills!N9</f>
        <v/>
      </c>
      <c r="G307">
        <f>Calc!G9</f>
        <v/>
      </c>
      <c r="H307">
        <f>Calc!H9</f>
        <v/>
      </c>
      <c r="I307">
        <f>IF(Skills!T9&lt;&gt;"",1+(Skills!T9/10)*($Z$3/1000)/100,1)</f>
        <v/>
      </c>
      <c r="J307">
        <f>((Inputs!$B$6*(1+Inputs!$B$7/100))+(((Inputs!$B$13*(1+Inputs!$B$14/100))-(Inputs!$B$13*(1+Inputs!$B$14/100)))+0.25*(Inputs!$B$15-Inputs!$B$15))*(1+Inputs!$B$7/100))*(F307/100)</f>
        <v/>
      </c>
      <c r="K307">
        <f>J307*(1+(((Inputs!$B$13+IF(Inputs!$B$3&gt;=35,(10*INDEX(FactorTable!$B$2:$Y$301, MATCH(ROUND(MIN(300,MAX(1,Inputs!$B$3)),0), FactorTable!$A$2:$A$301,0), 23)/1000)/100*(Inputs!$B$8*(1+(Inputs!$B$9+B336)/100)),0))*(1+Inputs!$B$14/100))*0.01+Inputs!$B$15*0.0025)/100)*(1+(Inputs!$B$16+B330)/100)*(1+Inputs!$B$17/100)*(5000/(6000+Inputs!$B$43*(1-Inputs!$B$20/100)))*(1+Inputs!$B$25/100)*(1+IF(C316=TRUE,F316,0)/100)*(1+IF(C318=TRUE,F318,0)/100)*(1+IF(Skills!A9="TRIUMPH_FEATHER",IF(C314=TRUE,F314,0),0)/100)*(1+IF(C325=TRUE,F325,0)/100)^5*(1+(IF(Skills!A9="BIG_BANG",Inputs!$B$18,Inputs!$B$19))/100)*(B327*I307)</f>
        <v/>
      </c>
      <c r="L307">
        <f>K307*(MIN(Inputs!$B$23+(F320-Calc!F22),Inputs!$B$24)/100+Inputs!$B$24/100)/2</f>
        <v/>
      </c>
      <c r="M307">
        <f>L307*(1+(Inputs!$B$11+B331+(F323-Calc!F25))/100)</f>
        <v/>
      </c>
      <c r="N307">
        <f>L307*(1-MIN(Inputs!$B$10+((F322-Calc!F24)+(F321-Calc!F23)),100)/100)+M307*(MIN(Inputs!$B$10+((F322-Calc!F24)+(F321-Calc!F23)),100)/100)</f>
        <v/>
      </c>
      <c r="O307">
        <f>(1-Summary!$B$48)*S307+Summary!$B$48*U307</f>
        <v/>
      </c>
      <c r="P307">
        <f>IF(B340=0,0,O307/B340)</f>
        <v/>
      </c>
      <c r="Q307">
        <f>IFERROR(1/IF(Inputs!$B$39="pvp",15,MAX(0.1,Skills!D9-IF(Skills!E9=TRUE,Inputs!$B$33,0))),0)</f>
        <v/>
      </c>
      <c r="R307">
        <f>IF(AND(Inputs!$B$39&lt;&gt;"pvp",Inputs!$B$44&gt;0),IF(MAX(0,Inputs!$B$44-B337)&lt;=0,0,(INT(MAX(0,Inputs!$B$44-B337)/IF(Inputs!$B$39="pvp",15,MAX(0.1,Skills!D9-IF(Skills!E9=TRUE,Inputs!$B$33,0))))+1)),0)</f>
        <v/>
      </c>
      <c r="S307">
        <f>IF(C307,(H307*N307*IF(AND(Inputs!$B$39&lt;&gt;"pvp",Inputs!$B$44&gt;0),((Skills!F9*((R307-1)*IF(Skills!G9&gt;0,Skills!H9/Skills!G9,1)+IF(Skills!G9&gt;0,MIN(Skills!H9,MAX(0,MAX(0,Inputs!$B$44-B337)-((R307-1)*IF(Inputs!$B$39="pvp",15,MAX(0.1,Skills!D9-IF(Skills!E9=TRUE,Inputs!$B$33,0))))))/Skills!G9,1)))/Inputs!$B$44),G307*Q307))*IF(Inputs!$B$39="pvp",1,1+((Inputs!$B$21+1)+Skills!O9+B328)/100),0)</f>
        <v/>
      </c>
      <c r="U307">
        <f>IF(C307,(H307*N307*IF(AND(Inputs!$B$39&lt;&gt;"pvp",Inputs!$B$44&gt;0),((Skills!F9*((R307-1)*IF(Skills!G9&gt;0,Skills!H9/Skills!G9,1)+IF(Skills!G9&gt;0,MIN(Skills!H9,MAX(0,MAX(0,Inputs!$B$44-B337)-((R307-1)*IF(Inputs!$B$39="pvp",15,MAX(0.1,Skills!D9-IF(Skills!E9=TRUE,Inputs!$B$33,0))))))/Skills!G9,1)))/Inputs!$B$44),G307*Q307))*IF(Inputs!$B$39="pvp",1,(1+(Inputs!$B$22+Skills!P9+B329)/100)*(MIN(Skills!Q9,Inputs!$B$38))),0)</f>
        <v/>
      </c>
    </row>
    <row r="308">
      <c r="A308">
        <f>Skills!A10</f>
        <v/>
      </c>
      <c r="B308">
        <f>Skills!B10</f>
        <v/>
      </c>
      <c r="C308">
        <f>Inputs!$B$3&gt;=66</f>
        <v/>
      </c>
      <c r="D308">
        <f>IF(Skills!C10=1,60+Inputs!$B$26+Inputs!$B$30,IF(Skills!C10=2,90+Inputs!$B$27+Inputs!$B$30,IF(Skills!C10=3,120+Inputs!$B$28+Inputs!$B$30,MAX(0,(Inputs!$B$3-100)*3)+Inputs!$B$29+Inputs!$B$30)))</f>
        <v/>
      </c>
      <c r="E308">
        <f>INDEX(FactorTable!$B$2:$Y$301, MATCH(ROUND(MIN(300,MAX(1,D308)),0), FactorTable!$A$2:$A$301,0), Skills!L10+1)</f>
        <v/>
      </c>
      <c r="F308" t="n">
        <v>0</v>
      </c>
      <c r="G308">
        <f>Calc!G10</f>
        <v/>
      </c>
      <c r="H308">
        <f>Calc!H10</f>
        <v/>
      </c>
      <c r="I308">
        <f>IF(Skills!T10&lt;&gt;"",1+(Skills!T10/10)*($Z$3/1000)/100,1)</f>
        <v/>
      </c>
      <c r="J308" t="inlineStr"/>
      <c r="K308" t="inlineStr"/>
      <c r="L308" t="inlineStr"/>
      <c r="M308" t="inlineStr"/>
      <c r="N308" t="inlineStr"/>
      <c r="O308">
        <f>(1-Summary!$B$48)*S308+Summary!$B$48*U308</f>
        <v/>
      </c>
      <c r="P308">
        <f>IF(B340=0,0,O308/B340)</f>
        <v/>
      </c>
      <c r="Q308">
        <f>IFERROR(1/IF(Inputs!$B$39="pvp",15,MAX(0.1,Skills!D10-IF(Skills!E10=TRUE,Inputs!$B$33,0))),0)</f>
        <v/>
      </c>
      <c r="R308">
        <f>IF(AND(Inputs!$B$39&lt;&gt;"pvp",Inputs!$B$44&gt;0),IF(MAX(0,Inputs!$B$44-B337)&lt;=0,0,(INT(MAX(0,Inputs!$B$44-B337)/IF(Inputs!$B$39="pvp",15,MAX(0.1,Skills!D10-IF(Skills!E10=TRUE,Inputs!$B$33,0))))+1)),0)</f>
        <v/>
      </c>
      <c r="S308" t="n">
        <v>0</v>
      </c>
      <c r="U308" t="n">
        <v>0</v>
      </c>
    </row>
    <row r="309">
      <c r="A309">
        <f>Skills!A11</f>
        <v/>
      </c>
      <c r="B309">
        <f>Skills!B11</f>
        <v/>
      </c>
      <c r="C309">
        <f>Inputs!$B$3&gt;=69</f>
        <v/>
      </c>
      <c r="D309">
        <f>IF(Skills!C11=1,60+Inputs!$B$26+Inputs!$B$30,IF(Skills!C11=2,90+Inputs!$B$27+Inputs!$B$30,IF(Skills!C11=3,120+Inputs!$B$28+Inputs!$B$30,MAX(0,(Inputs!$B$3-100)*3)+Inputs!$B$29+Inputs!$B$30)))</f>
        <v/>
      </c>
      <c r="E309">
        <f>INDEX(FactorTable!$B$2:$Y$301, MATCH(ROUND(MIN(300,MAX(1,D309)),0), FactorTable!$A$2:$A$301,0), Skills!L11+1)</f>
        <v/>
      </c>
      <c r="F309">
        <f>IF(Skills!M11=TRUE,(Skills!K11/10)*(E309/1000),Skills!K11/10)+Skills!N11</f>
        <v/>
      </c>
      <c r="G309">
        <f>Calc!G11</f>
        <v/>
      </c>
      <c r="H309">
        <f>Calc!H11</f>
        <v/>
      </c>
      <c r="I309">
        <f>IF(Skills!T11&lt;&gt;"",1+(Skills!T11/10)*($Z$3/1000)/100,1)</f>
        <v/>
      </c>
      <c r="J309" t="inlineStr"/>
      <c r="K309" t="inlineStr"/>
      <c r="L309" t="inlineStr"/>
      <c r="M309" t="inlineStr"/>
      <c r="N309" t="inlineStr"/>
      <c r="O309">
        <f>(1-Summary!$B$48)*S309+Summary!$B$48*U309</f>
        <v/>
      </c>
      <c r="P309">
        <f>IF(B340=0,0,O309/B340)</f>
        <v/>
      </c>
      <c r="Q309">
        <f>IFERROR(1/IF(Inputs!$B$39="pvp",15,MAX(0.1,Skills!D11-IF(Skills!E11=TRUE,Inputs!$B$33,0))),0)</f>
        <v/>
      </c>
      <c r="R309">
        <f>IF(AND(Inputs!$B$39&lt;&gt;"pvp",Inputs!$B$44&gt;0),IF(Inputs!$B$44&lt;=0,0,(INT(Inputs!$B$44/IF(Inputs!$B$39="pvp",15,MAX(0.1,Skills!D11-IF(Skills!E11=TRUE,Inputs!$B$33,0))))+1)),0)</f>
        <v/>
      </c>
      <c r="S309" t="n">
        <v>0</v>
      </c>
      <c r="U309" t="n">
        <v>0</v>
      </c>
    </row>
    <row r="310">
      <c r="A310">
        <f>Skills!A12</f>
        <v/>
      </c>
      <c r="B310">
        <f>Skills!B12</f>
        <v/>
      </c>
      <c r="C310">
        <f>Inputs!$B$3&gt;=72</f>
        <v/>
      </c>
      <c r="D310">
        <f>IF(Skills!C12=1,60+Inputs!$B$26+Inputs!$B$30,IF(Skills!C12=2,90+Inputs!$B$27+Inputs!$B$30,IF(Skills!C12=3,120+Inputs!$B$28+Inputs!$B$30,MAX(0,(Inputs!$B$3-100)*3)+Inputs!$B$29+Inputs!$B$30)))</f>
        <v/>
      </c>
      <c r="E310">
        <f>INDEX(FactorTable!$B$2:$Y$301, MATCH(ROUND(MIN(300,MAX(1,D310)),0), FactorTable!$A$2:$A$301,0), Skills!L12+1)</f>
        <v/>
      </c>
      <c r="F310">
        <f>IF(Skills!M12=TRUE,(Skills!K12/10)*(E310/1000),Skills!K12/10)+Skills!N12</f>
        <v/>
      </c>
      <c r="G310">
        <f>Calc!G12</f>
        <v/>
      </c>
      <c r="H310">
        <f>Calc!H12</f>
        <v/>
      </c>
      <c r="I310">
        <f>IF(Skills!T12&lt;&gt;"",1+(Skills!T12/10)*($Z$3/1000)/100,1)</f>
        <v/>
      </c>
      <c r="J310" t="inlineStr"/>
      <c r="K310" t="inlineStr"/>
      <c r="L310" t="inlineStr"/>
      <c r="M310" t="inlineStr"/>
      <c r="N310" t="inlineStr"/>
      <c r="O310">
        <f>(1-Summary!$B$48)*S310+Summary!$B$48*U310</f>
        <v/>
      </c>
      <c r="P310">
        <f>IF(B340=0,0,O310/B340)</f>
        <v/>
      </c>
      <c r="Q310">
        <f>IFERROR(1/IF(Inputs!$B$39="pvp",15,MAX(0.1,Skills!D12-IF(Skills!E12=TRUE,Inputs!$B$33,0))),0)</f>
        <v/>
      </c>
      <c r="R310">
        <f>IF(AND(Inputs!$B$39&lt;&gt;"pvp",Inputs!$B$44&gt;0),IF(MAX(0,Inputs!$B$44-B337)&lt;=0,0,(INT(MAX(0,Inputs!$B$44-B337)/IF(Inputs!$B$39="pvp",15,MAX(0.1,Skills!D12-IF(Skills!E12=TRUE,Inputs!$B$33,0))))+1)),0)</f>
        <v/>
      </c>
      <c r="S310" t="n">
        <v>0</v>
      </c>
      <c r="U310" t="n">
        <v>0</v>
      </c>
    </row>
    <row r="311">
      <c r="A311">
        <f>Skills!A13</f>
        <v/>
      </c>
      <c r="B311">
        <f>Skills!B13</f>
        <v/>
      </c>
      <c r="C311">
        <f>Inputs!$B$3&gt;=60</f>
        <v/>
      </c>
      <c r="D311">
        <f>IF(Skills!C13=1,60+Inputs!$B$26+Inputs!$B$30,IF(Skills!C13=2,90+Inputs!$B$27+Inputs!$B$30,IF(Skills!C13=3,120+Inputs!$B$28+Inputs!$B$30,MAX(0,(Inputs!$B$3-100)*3)+Inputs!$B$29+Inputs!$B$30)))</f>
        <v/>
      </c>
      <c r="E311">
        <f>INDEX(FactorTable!$B$2:$Y$301, MATCH(ROUND(MIN(300,MAX(1,D311)),0), FactorTable!$A$2:$A$301,0), Skills!L13+1)</f>
        <v/>
      </c>
      <c r="F311">
        <f>IF(Skills!M13=TRUE,(Skills!K13/10)*(E311/1000),Skills!K13/10)+Skills!N13</f>
        <v/>
      </c>
      <c r="G311">
        <f>Calc!G13</f>
        <v/>
      </c>
      <c r="H311">
        <f>Calc!H13</f>
        <v/>
      </c>
      <c r="I311">
        <f>IF(Skills!T13&lt;&gt;"",1+(Skills!T13/10)*($Z$3/1000)/100,1)</f>
        <v/>
      </c>
      <c r="J311" t="inlineStr"/>
      <c r="K311" t="inlineStr"/>
      <c r="L311" t="inlineStr"/>
      <c r="M311" t="inlineStr"/>
      <c r="N311" t="inlineStr"/>
      <c r="O311">
        <f>(1-Summary!$B$48)*S311+Summary!$B$48*U311</f>
        <v/>
      </c>
      <c r="P311">
        <f>IF(B340=0,0,O311/B340)</f>
        <v/>
      </c>
      <c r="Q311">
        <f>IFERROR(1/IF(Inputs!$B$39="pvp",15,MAX(0.1,Skills!D13-IF(Skills!E13=TRUE,Inputs!$B$33,0))),0)</f>
        <v/>
      </c>
      <c r="R311">
        <f>IF(AND(Inputs!$B$39&lt;&gt;"pvp",Inputs!$B$44&gt;0),IF(MAX(0,Inputs!$B$44-B337)&lt;=0,0,(INT(MAX(0,Inputs!$B$44-B337)/IF(Inputs!$B$39="pvp",15,MAX(0.1,Skills!D13-IF(Skills!E13=TRUE,Inputs!$B$33,0))))+1)),0)</f>
        <v/>
      </c>
      <c r="S311" t="n">
        <v>0</v>
      </c>
      <c r="U311" t="n">
        <v>0</v>
      </c>
    </row>
    <row r="312">
      <c r="A312">
        <f>Skills!A14</f>
        <v/>
      </c>
      <c r="B312">
        <f>Skills!B14</f>
        <v/>
      </c>
      <c r="C312">
        <f>Inputs!$B$3&gt;=107</f>
        <v/>
      </c>
      <c r="D312">
        <f>IF(Skills!C14=1,60+Inputs!$B$26+Inputs!$B$30,IF(Skills!C14=2,90+Inputs!$B$27+Inputs!$B$30,IF(Skills!C14=3,120+Inputs!$B$28+Inputs!$B$30,MAX(0,(Inputs!$B$3-100)*3)+Inputs!$B$29+Inputs!$B$30)))</f>
        <v/>
      </c>
      <c r="E312">
        <f>INDEX(FactorTable!$B$2:$Y$301, MATCH(ROUND(MIN(300,MAX(1,D312)),0), FactorTable!$A$2:$A$301,0), Skills!L14+1)</f>
        <v/>
      </c>
      <c r="F312">
        <f>IF(Skills!M14=TRUE,(Skills!K14/10)*(E312/1000),Skills!K14/10)+Skills!N14</f>
        <v/>
      </c>
      <c r="G312">
        <f>Calc!G14</f>
        <v/>
      </c>
      <c r="H312">
        <f>Calc!H14</f>
        <v/>
      </c>
      <c r="I312">
        <f>IF(Skills!T14&lt;&gt;"",1+(Skills!T14/10)*($Z$3/1000)/100,1)</f>
        <v/>
      </c>
      <c r="J312" t="inlineStr"/>
      <c r="K312" t="inlineStr"/>
      <c r="L312" t="inlineStr"/>
      <c r="M312" t="inlineStr"/>
      <c r="N312" t="inlineStr"/>
      <c r="O312">
        <f>(1-Summary!$B$48)*S312+Summary!$B$48*U312</f>
        <v/>
      </c>
      <c r="P312">
        <f>IF(B340=0,0,O312/B340)</f>
        <v/>
      </c>
      <c r="Q312">
        <f>IFERROR(1/IF(Inputs!$B$39="pvp",15,MAX(0.1,Skills!D14-IF(Skills!E14=TRUE,Inputs!$B$33,0))),0)</f>
        <v/>
      </c>
      <c r="R312">
        <f>IF(AND(Inputs!$B$39&lt;&gt;"pvp",Inputs!$B$44&gt;0),IF(Inputs!$B$44&lt;=0,0,(INT(Inputs!$B$44/IF(Inputs!$B$39="pvp",15,MAX(0.1,Skills!D14-IF(Skills!E14=TRUE,Inputs!$B$33,0))))+1)),0)</f>
        <v/>
      </c>
      <c r="S312" t="n">
        <v>0</v>
      </c>
      <c r="U312" t="n">
        <v>0</v>
      </c>
    </row>
    <row r="313">
      <c r="A313">
        <f>Skills!A15</f>
        <v/>
      </c>
      <c r="B313">
        <f>Skills!B15</f>
        <v/>
      </c>
      <c r="C313">
        <f>Inputs!$B$3&gt;=63</f>
        <v/>
      </c>
      <c r="D313">
        <f>IF(Skills!C15=1,60+Inputs!$B$26+Inputs!$B$30,IF(Skills!C15=2,90+Inputs!$B$27+Inputs!$B$30,IF(Skills!C15=3,120+Inputs!$B$28+Inputs!$B$30,MAX(0,(Inputs!$B$3-100)*3)+Inputs!$B$29+Inputs!$B$30)))</f>
        <v/>
      </c>
      <c r="E313">
        <f>INDEX(FactorTable!$B$2:$Y$301, MATCH(ROUND(MIN(300,MAX(1,D313)),0), FactorTable!$A$2:$A$301,0), Skills!L15+1)</f>
        <v/>
      </c>
      <c r="F313">
        <f>IF(Skills!M15=TRUE,(Skills!K15/10)*(E313/1000),Skills!K15/10)+Skills!N15</f>
        <v/>
      </c>
      <c r="G313">
        <f>Calc!G15</f>
        <v/>
      </c>
      <c r="H313">
        <f>Calc!H15</f>
        <v/>
      </c>
      <c r="I313">
        <f>IF(Skills!T15&lt;&gt;"",1+(Skills!T15/10)*($Z$3/1000)/100,1)</f>
        <v/>
      </c>
      <c r="J313">
        <f>((Inputs!$B$6*(1+Inputs!$B$7/100))+(((Inputs!$B$13*(1+Inputs!$B$14/100))-(Inputs!$B$13*(1+Inputs!$B$14/100)))+0.25*(Inputs!$B$15-Inputs!$B$15))*(1+Inputs!$B$7/100))*(F313/100)</f>
        <v/>
      </c>
      <c r="K313">
        <f>J313*(1+(((Inputs!$B$13+IF(Inputs!$B$3&gt;=35,(10*INDEX(FactorTable!$B$2:$Y$301, MATCH(ROUND(MIN(300,MAX(1,Inputs!$B$3)),0), FactorTable!$A$2:$A$301,0), 23)/1000)/100*(Inputs!$B$8*(1+(Inputs!$B$9+B336)/100)),0))*(1+Inputs!$B$14/100))*0.01+Inputs!$B$15*0.0025)/100)*(1+(Inputs!$B$16+B330)/100)*(1+Inputs!$B$17/100)*(5000/(6000+Inputs!$B$43*(1-Inputs!$B$20/100)))*(1+Inputs!$B$25/100)*(1+IF(C316=TRUE,F316,0)/100)*(1+IF(C318=TRUE,F318,0)/100)*(1+IF(Skills!A15="TRIUMPH_FEATHER",IF(C314=TRUE,F314,0),0)/100)*(1+IF(C325=TRUE,F325,0)/100)^5*(1+(IF(Skills!A15="BIG_BANG",Inputs!$B$18,Inputs!$B$19))/100)*(B327*I313)</f>
        <v/>
      </c>
      <c r="L313">
        <f>K313*(MIN(Inputs!$B$23+(F320-Calc!F22),Inputs!$B$24)/100+Inputs!$B$24/100)/2</f>
        <v/>
      </c>
      <c r="M313">
        <f>L313*(1+(Inputs!$B$11+B331+(F323-Calc!F25))/100)</f>
        <v/>
      </c>
      <c r="N313">
        <f>L313*(1-MIN(Inputs!$B$10+((F322-Calc!F24)+(F321-Calc!F23)),100)/100)+M313*(MIN(Inputs!$B$10+((F322-Calc!F24)+(F321-Calc!F23)),100)/100)</f>
        <v/>
      </c>
      <c r="O313">
        <f>(1-Summary!$B$48)*S313+Summary!$B$48*U313</f>
        <v/>
      </c>
      <c r="P313">
        <f>IF(B340=0,0,O313/B340)</f>
        <v/>
      </c>
      <c r="Q313">
        <f>IFERROR(1/IF(Inputs!$B$39="pvp",15,MAX(0.1,Skills!D15-IF(Skills!E15=TRUE,Inputs!$B$33,0))),0)</f>
        <v/>
      </c>
      <c r="R313" t="n">
        <v>0</v>
      </c>
      <c r="S313">
        <f>IF(C313,(Skills!F15*N313*((IF(Inputs!$B$3&gt;=78,25,15)/100*B333*10)/(1+IF(Inputs!$B$3&gt;=78,25,15)/100*B333*10))*(Skills!I15/100*B333)/(1+Skills!G15*Skills!I15/100*B333))*IF(Inputs!$B$39="pvp",1,1+((Inputs!$B$21+1)+Skills!O15+B328)/100),0)</f>
        <v/>
      </c>
      <c r="U313">
        <f>IF(C313,(Skills!F15*N313*((IF(Inputs!$B$3&gt;=78,25,15)/100*B333*10)/(1+IF(Inputs!$B$3&gt;=78,25,15)/100*B333*10))*(Skills!I15/100*B333)/(1+Skills!G15*Skills!I15/100*B333))*IF(Inputs!$B$39="pvp",1,(1+(Inputs!$B$22+Skills!P15+B329)/100)*(MIN(Skills!Q15,Inputs!$B$38))),0)</f>
        <v/>
      </c>
    </row>
    <row r="314">
      <c r="A314">
        <f>Skills!A16</f>
        <v/>
      </c>
      <c r="B314">
        <f>Skills!B16</f>
        <v/>
      </c>
      <c r="C314">
        <f>Inputs!$B$3&gt;=100</f>
        <v/>
      </c>
      <c r="D314">
        <f>IF(Skills!C16=1,60+Inputs!$B$26+Inputs!$B$30,IF(Skills!C16=2,90+Inputs!$B$27+Inputs!$B$30,IF(Skills!C16=3,120+Inputs!$B$28+Inputs!$B$30,MAX(0,(Inputs!$B$3-100)*3)+Inputs!$B$29+Inputs!$B$30)))</f>
        <v/>
      </c>
      <c r="E314">
        <f>INDEX(FactorTable!$B$2:$Y$301, MATCH(ROUND(MIN(300,MAX(1,D314)),0), FactorTable!$A$2:$A$301,0), Skills!L16+1)</f>
        <v/>
      </c>
      <c r="F314">
        <f>IF(Skills!M16=TRUE,(Skills!K16/10)*(E314/1000),Skills!K16/10)+Skills!N16</f>
        <v/>
      </c>
      <c r="G314">
        <f>Calc!G16</f>
        <v/>
      </c>
      <c r="H314">
        <f>Calc!H16</f>
        <v/>
      </c>
      <c r="I314">
        <f>IF(Skills!T16&lt;&gt;"",1+(Skills!T16/10)*($Z$3/1000)/100,1)</f>
        <v/>
      </c>
      <c r="J314" t="inlineStr"/>
      <c r="K314" t="inlineStr"/>
      <c r="L314" t="inlineStr"/>
      <c r="M314" t="inlineStr"/>
      <c r="N314" t="inlineStr"/>
      <c r="O314">
        <f>(1-Summary!$B$48)*S314+Summary!$B$48*U314</f>
        <v/>
      </c>
      <c r="P314">
        <f>IF(B340=0,0,O314/B340)</f>
        <v/>
      </c>
      <c r="Q314">
        <f>IFERROR(1/IF(Inputs!$B$39="pvp",15,MAX(0.1,Skills!D16-IF(Skills!E16=TRUE,Inputs!$B$33,0))),0)</f>
        <v/>
      </c>
      <c r="R314" t="n">
        <v>0</v>
      </c>
      <c r="S314" t="n">
        <v>0</v>
      </c>
      <c r="U314" t="n">
        <v>0</v>
      </c>
    </row>
    <row r="315">
      <c r="A315">
        <f>Skills!A17</f>
        <v/>
      </c>
      <c r="B315">
        <f>Skills!B17</f>
        <v/>
      </c>
      <c r="C315">
        <f>Inputs!$B$3&gt;=49</f>
        <v/>
      </c>
      <c r="D315">
        <f>IF(Skills!C17=1,60+Inputs!$B$26+Inputs!$B$30,IF(Skills!C17=2,90+Inputs!$B$27+Inputs!$B$30,IF(Skills!C17=3,120+Inputs!$B$28+Inputs!$B$30,MAX(0,(Inputs!$B$3-100)*3)+Inputs!$B$29+Inputs!$B$30)))</f>
        <v/>
      </c>
      <c r="E315">
        <f>INDEX(FactorTable!$B$2:$Y$301, MATCH(ROUND(MIN(300,MAX(1,D315)),0), FactorTable!$A$2:$A$301,0), Skills!L17+1)</f>
        <v/>
      </c>
      <c r="F315">
        <f>IF(Skills!M17=TRUE,(Skills!K17/10)*(E315/1000),Skills!K17/10)+Skills!N17</f>
        <v/>
      </c>
      <c r="G315">
        <f>Calc!G17</f>
        <v/>
      </c>
      <c r="H315">
        <f>Calc!H17</f>
        <v/>
      </c>
      <c r="I315">
        <f>IF(Skills!T17&lt;&gt;"",1+(Skills!T17/10)*($Z$3/1000)/100,1)</f>
        <v/>
      </c>
      <c r="J315" t="inlineStr"/>
      <c r="K315" t="inlineStr"/>
      <c r="L315" t="inlineStr"/>
      <c r="M315" t="inlineStr"/>
      <c r="N315" t="inlineStr"/>
      <c r="O315">
        <f>(1-Summary!$B$48)*S315+Summary!$B$48*U315</f>
        <v/>
      </c>
      <c r="P315">
        <f>IF(B340=0,0,O315/B340)</f>
        <v/>
      </c>
      <c r="Q315">
        <f>IFERROR(1/IF(Inputs!$B$39="pvp",15,MAX(0.1,Skills!D17-IF(Skills!E17=TRUE,Inputs!$B$33,0))),0)</f>
        <v/>
      </c>
      <c r="R315" t="n">
        <v>0</v>
      </c>
      <c r="S315" t="n">
        <v>0</v>
      </c>
      <c r="U315" t="n">
        <v>0</v>
      </c>
    </row>
    <row r="316">
      <c r="A316">
        <f>Skills!A18</f>
        <v/>
      </c>
      <c r="B316">
        <f>Skills!B18</f>
        <v/>
      </c>
      <c r="C316">
        <f>Inputs!$B$3&gt;=75</f>
        <v/>
      </c>
      <c r="D316">
        <f>IF(Skills!C18=1,60+Inputs!$B$26+Inputs!$B$30,IF(Skills!C18=2,90+Inputs!$B$27+Inputs!$B$30,IF(Skills!C18=3,120+Inputs!$B$28+Inputs!$B$30,MAX(0,(Inputs!$B$3-100)*3)+Inputs!$B$29+Inputs!$B$30)))</f>
        <v/>
      </c>
      <c r="E316">
        <f>INDEX(FactorTable!$B$2:$Y$301, MATCH(ROUND(MIN(300,MAX(1,D316)),0), FactorTable!$A$2:$A$301,0), Skills!L18+1)</f>
        <v/>
      </c>
      <c r="F316">
        <f>IF(Skills!M18=TRUE,(Skills!K18/10)*(E316/1000),Skills!K18/10)+Skills!N18</f>
        <v/>
      </c>
      <c r="G316">
        <f>Calc!G18</f>
        <v/>
      </c>
      <c r="H316">
        <f>Calc!H18</f>
        <v/>
      </c>
      <c r="I316">
        <f>IF(Skills!T18&lt;&gt;"",1+(Skills!T18/10)*($Z$3/1000)/100,1)</f>
        <v/>
      </c>
      <c r="J316" t="inlineStr"/>
      <c r="K316" t="inlineStr"/>
      <c r="L316" t="inlineStr"/>
      <c r="M316" t="inlineStr"/>
      <c r="N316" t="inlineStr"/>
      <c r="O316">
        <f>(1-Summary!$B$48)*S316+Summary!$B$48*U316</f>
        <v/>
      </c>
      <c r="P316">
        <f>IF(B340=0,0,O316/B340)</f>
        <v/>
      </c>
      <c r="Q316">
        <f>IFERROR(1/IF(Inputs!$B$39="pvp",15,MAX(0.1,Skills!D18-IF(Skills!E18=TRUE,Inputs!$B$33,0))),0)</f>
        <v/>
      </c>
      <c r="R316" t="n">
        <v>0</v>
      </c>
      <c r="S316" t="n">
        <v>0</v>
      </c>
      <c r="U316" t="n">
        <v>0</v>
      </c>
    </row>
    <row r="317">
      <c r="A317">
        <f>Skills!A19</f>
        <v/>
      </c>
      <c r="B317">
        <f>Skills!B19</f>
        <v/>
      </c>
      <c r="C317">
        <f>Inputs!$B$3&gt;=110</f>
        <v/>
      </c>
      <c r="D317">
        <f>IF(Skills!C19=1,60+Inputs!$B$26+Inputs!$B$30,IF(Skills!C19=2,90+Inputs!$B$27+Inputs!$B$30,IF(Skills!C19=3,120+Inputs!$B$28+Inputs!$B$30,MAX(0,(Inputs!$B$3-100)*3)+Inputs!$B$29+Inputs!$B$30)))</f>
        <v/>
      </c>
      <c r="E317">
        <f>INDEX(FactorTable!$B$2:$Y$301, MATCH(ROUND(MIN(300,MAX(1,D317)),0), FactorTable!$A$2:$A$301,0), Skills!L19+1)</f>
        <v/>
      </c>
      <c r="F317">
        <f>(Skills!K19/10)*(E317/1000)*64/45+Skills!N19</f>
        <v/>
      </c>
      <c r="G317">
        <f>Calc!G19</f>
        <v/>
      </c>
      <c r="H317">
        <f>Calc!H19</f>
        <v/>
      </c>
      <c r="I317">
        <f>IF(Skills!T19&lt;&gt;"",1+(Skills!T19/10)*($Z$3/1000)/100,1)</f>
        <v/>
      </c>
      <c r="J317" t="inlineStr"/>
      <c r="K317" t="inlineStr"/>
      <c r="L317" t="inlineStr"/>
      <c r="M317" t="inlineStr"/>
      <c r="N317" t="inlineStr"/>
      <c r="O317">
        <f>(1-Summary!$B$48)*S317+Summary!$B$48*U317</f>
        <v/>
      </c>
      <c r="P317">
        <f>IF(B340=0,0,O317/B340)</f>
        <v/>
      </c>
      <c r="Q317">
        <f>IFERROR(1/IF(Inputs!$B$39="pvp",15,MAX(0.1,Skills!D19-IF(Skills!E19=TRUE,Inputs!$B$33,0))),0)</f>
        <v/>
      </c>
      <c r="R317">
        <f>IF(AND(Inputs!$B$39&lt;&gt;"pvp",Inputs!$B$44&gt;0),IF(Inputs!$B$44&lt;=0,0,(INT(Inputs!$B$44/IF(Inputs!$B$39="pvp",15,MAX(0.1,Skills!D19-IF(Skills!E19=TRUE,Inputs!$B$33,0))))+1)),0)</f>
        <v/>
      </c>
      <c r="S317" t="n">
        <v>0</v>
      </c>
      <c r="U317" t="n">
        <v>0</v>
      </c>
    </row>
    <row r="318">
      <c r="A318">
        <f>Skills!A20</f>
        <v/>
      </c>
      <c r="B318">
        <f>Skills!B20</f>
        <v/>
      </c>
      <c r="C318">
        <f>Inputs!$B$3&gt;=125</f>
        <v/>
      </c>
      <c r="D318">
        <f>IF(Skills!C20=1,60+Inputs!$B$26+Inputs!$B$30,IF(Skills!C20=2,90+Inputs!$B$27+Inputs!$B$30,IF(Skills!C20=3,120+Inputs!$B$28+Inputs!$B$30,MAX(0,(Inputs!$B$3-100)*3)+Inputs!$B$29+Inputs!$B$30)))</f>
        <v/>
      </c>
      <c r="E318">
        <f>INDEX(FactorTable!$B$2:$Y$301, MATCH(ROUND(MIN(300,MAX(1,D318)),0), FactorTable!$A$2:$A$301,0), Skills!L20+1)</f>
        <v/>
      </c>
      <c r="F318">
        <f>IF(Skills!M20=TRUE,(Skills!K20/10)*(E318/1000),Skills!K20/10)+Skills!N20</f>
        <v/>
      </c>
      <c r="G318">
        <f>Calc!G20</f>
        <v/>
      </c>
      <c r="H318">
        <f>Calc!H20</f>
        <v/>
      </c>
      <c r="I318">
        <f>IF(Skills!T20&lt;&gt;"",1+(Skills!T20/10)*($Z$3/1000)/100,1)</f>
        <v/>
      </c>
      <c r="J318" t="inlineStr"/>
      <c r="K318" t="inlineStr"/>
      <c r="L318" t="inlineStr"/>
      <c r="M318" t="inlineStr"/>
      <c r="N318" t="inlineStr"/>
      <c r="O318">
        <f>(1-Summary!$B$48)*S318+Summary!$B$48*U318</f>
        <v/>
      </c>
      <c r="P318">
        <f>IF(B340=0,0,O318/B340)</f>
        <v/>
      </c>
      <c r="Q318">
        <f>IFERROR(1/IF(Inputs!$B$39="pvp",15,MAX(0.1,Skills!D20-IF(Skills!E20=TRUE,Inputs!$B$33,0))),0)</f>
        <v/>
      </c>
      <c r="R318" t="n">
        <v>0</v>
      </c>
      <c r="S318" t="n">
        <v>0</v>
      </c>
      <c r="U318" t="n">
        <v>0</v>
      </c>
    </row>
    <row r="319">
      <c r="A319">
        <f>Skills!A21</f>
        <v/>
      </c>
      <c r="B319">
        <f>Skills!B21</f>
        <v/>
      </c>
      <c r="C319">
        <f>Inputs!$B$3&gt;=33</f>
        <v/>
      </c>
      <c r="D319">
        <f>IF(Skills!C21=1,60+Inputs!$B$26+Inputs!$B$30,IF(Skills!C21=2,90+Inputs!$B$27+Inputs!$B$30,IF(Skills!C21=3,120+Inputs!$B$28+Inputs!$B$30,MAX(0,(Inputs!$B$3-100)*3)+Inputs!$B$29+Inputs!$B$30)))</f>
        <v/>
      </c>
      <c r="E319">
        <f>INDEX(FactorTable!$B$2:$Y$301, MATCH(ROUND(MIN(300,MAX(1,D319)),0), FactorTable!$A$2:$A$301,0), Skills!L21+1)</f>
        <v/>
      </c>
      <c r="F319">
        <f>IF(Skills!M21=TRUE,(Skills!K21/10)*(E319/1000),Skills!K21/10)+Skills!N21</f>
        <v/>
      </c>
      <c r="G319">
        <f>Calc!G21</f>
        <v/>
      </c>
      <c r="H319">
        <f>Calc!H21</f>
        <v/>
      </c>
      <c r="I319">
        <f>IF(Skills!T21&lt;&gt;"",1+(Skills!T21/10)*($Z$3/1000)/100,1)</f>
        <v/>
      </c>
      <c r="J319" t="inlineStr"/>
      <c r="K319" t="inlineStr"/>
      <c r="L319" t="inlineStr"/>
      <c r="M319" t="inlineStr"/>
      <c r="N319" t="inlineStr"/>
      <c r="O319">
        <f>(1-Summary!$B$48)*S319+Summary!$B$48*U319</f>
        <v/>
      </c>
      <c r="P319">
        <f>IF(B340=0,0,O319/B340)</f>
        <v/>
      </c>
      <c r="Q319">
        <f>IFERROR(1/IF(Inputs!$B$39="pvp",15,MAX(0.1,Skills!D21-IF(Skills!E21=TRUE,Inputs!$B$33,0))),0)</f>
        <v/>
      </c>
      <c r="R319" t="n">
        <v>0</v>
      </c>
      <c r="S319" t="n">
        <v>0</v>
      </c>
      <c r="U319" t="n">
        <v>0</v>
      </c>
    </row>
    <row r="320">
      <c r="A320">
        <f>Skills!A22</f>
        <v/>
      </c>
      <c r="B320">
        <f>Skills!B22</f>
        <v/>
      </c>
      <c r="C320">
        <f>Inputs!$B$3&gt;=43</f>
        <v/>
      </c>
      <c r="D320">
        <f>IF(Skills!C22=1,60+Inputs!$B$26+Inputs!$B$30,IF(Skills!C22=2,90+Inputs!$B$27+Inputs!$B$30,IF(Skills!C22=3,120+Inputs!$B$28+Inputs!$B$30,MAX(0,(Inputs!$B$3-100)*3)+Inputs!$B$29+Inputs!$B$30)))</f>
        <v/>
      </c>
      <c r="E320">
        <f>INDEX(FactorTable!$B$2:$Y$301, MATCH(ROUND(MIN(300,MAX(1,D320)),0), FactorTable!$A$2:$A$301,0), Skills!L22+1)</f>
        <v/>
      </c>
      <c r="F320">
        <f>IF(Skills!M22=TRUE,(Skills!K22/10)*(E320/1000),Skills!K22/10)+Skills!N22</f>
        <v/>
      </c>
      <c r="G320">
        <f>Calc!G22</f>
        <v/>
      </c>
      <c r="H320">
        <f>Calc!H22</f>
        <v/>
      </c>
      <c r="I320">
        <f>IF(Skills!T22&lt;&gt;"",1+(Skills!T22/10)*($Z$3/1000)/100,1)</f>
        <v/>
      </c>
      <c r="J320" t="inlineStr"/>
      <c r="K320" t="inlineStr"/>
      <c r="L320" t="inlineStr"/>
      <c r="M320" t="inlineStr"/>
      <c r="N320" t="inlineStr"/>
      <c r="O320">
        <f>(1-Summary!$B$48)*S320+Summary!$B$48*U320</f>
        <v/>
      </c>
      <c r="P320">
        <f>IF(B340=0,0,O320/B340)</f>
        <v/>
      </c>
      <c r="Q320">
        <f>IFERROR(1/IF(Inputs!$B$39="pvp",15,MAX(0.1,Skills!D22-IF(Skills!E22=TRUE,Inputs!$B$33,0))),0)</f>
        <v/>
      </c>
      <c r="R320" t="n">
        <v>0</v>
      </c>
      <c r="S320" t="n">
        <v>0</v>
      </c>
      <c r="U320" t="n">
        <v>0</v>
      </c>
    </row>
    <row r="321">
      <c r="A321">
        <f>Skills!A23</f>
        <v/>
      </c>
      <c r="B321">
        <f>Skills!B23</f>
        <v/>
      </c>
      <c r="C321">
        <f>Inputs!$B$3&gt;=50</f>
        <v/>
      </c>
      <c r="D321">
        <f>IF(Skills!C23=1,60+Inputs!$B$26+Inputs!$B$30,IF(Skills!C23=2,90+Inputs!$B$27+Inputs!$B$30,IF(Skills!C23=3,120+Inputs!$B$28+Inputs!$B$30,MAX(0,(Inputs!$B$3-100)*3)+Inputs!$B$29+Inputs!$B$30)))</f>
        <v/>
      </c>
      <c r="E321">
        <f>INDEX(FactorTable!$B$2:$Y$301, MATCH(ROUND(MIN(300,MAX(1,D321)),0), FactorTable!$A$2:$A$301,0), Skills!L23+1)</f>
        <v/>
      </c>
      <c r="F321">
        <f>IF(Skills!M23=TRUE,(Skills!K23/10)*(E321/1000),Skills!K23/10)+Skills!N23</f>
        <v/>
      </c>
      <c r="G321">
        <f>Calc!G23</f>
        <v/>
      </c>
      <c r="H321">
        <f>Calc!H23</f>
        <v/>
      </c>
      <c r="I321">
        <f>IF(Skills!T23&lt;&gt;"",1+(Skills!T23/10)*($Z$3/1000)/100,1)</f>
        <v/>
      </c>
      <c r="J321" t="inlineStr"/>
      <c r="K321" t="inlineStr"/>
      <c r="L321" t="inlineStr"/>
      <c r="M321" t="inlineStr"/>
      <c r="N321" t="inlineStr"/>
      <c r="O321">
        <f>(1-Summary!$B$48)*S321+Summary!$B$48*U321</f>
        <v/>
      </c>
      <c r="P321">
        <f>IF(B340=0,0,O321/B340)</f>
        <v/>
      </c>
      <c r="Q321">
        <f>IFERROR(1/IF(Inputs!$B$39="pvp",15,MAX(0.1,Skills!D23-IF(Skills!E23=TRUE,Inputs!$B$33,0))),0)</f>
        <v/>
      </c>
      <c r="R321" t="n">
        <v>0</v>
      </c>
      <c r="S321" t="n">
        <v>0</v>
      </c>
      <c r="U321" t="n">
        <v>0</v>
      </c>
    </row>
    <row r="322">
      <c r="A322">
        <f>Skills!A24</f>
        <v/>
      </c>
      <c r="B322">
        <f>Skills!B24</f>
        <v/>
      </c>
      <c r="C322">
        <f>Inputs!$B$3&gt;=74</f>
        <v/>
      </c>
      <c r="D322">
        <f>IF(Skills!C24=1,60+Inputs!$B$26+Inputs!$B$30,IF(Skills!C24=2,90+Inputs!$B$27+Inputs!$B$30,IF(Skills!C24=3,120+Inputs!$B$28+Inputs!$B$30,MAX(0,(Inputs!$B$3-100)*3)+Inputs!$B$29+Inputs!$B$30)))</f>
        <v/>
      </c>
      <c r="E322">
        <f>INDEX(FactorTable!$B$2:$Y$301, MATCH(ROUND(MIN(300,MAX(1,D322)),0), FactorTable!$A$2:$A$301,0), Skills!L24+1)</f>
        <v/>
      </c>
      <c r="F322">
        <f>IF(Skills!M24=TRUE,(Skills!K24/10)*(E322/1000),Skills!K24/10)+Skills!N24</f>
        <v/>
      </c>
      <c r="G322">
        <f>Calc!G24</f>
        <v/>
      </c>
      <c r="H322">
        <f>Calc!H24</f>
        <v/>
      </c>
      <c r="I322">
        <f>IF(Skills!T24&lt;&gt;"",1+(Skills!T24/10)*($Z$3/1000)/100,1)</f>
        <v/>
      </c>
      <c r="J322" t="inlineStr"/>
      <c r="K322" t="inlineStr"/>
      <c r="L322" t="inlineStr"/>
      <c r="M322" t="inlineStr"/>
      <c r="N322" t="inlineStr"/>
      <c r="O322">
        <f>(1-Summary!$B$48)*S322+Summary!$B$48*U322</f>
        <v/>
      </c>
      <c r="P322">
        <f>IF(B340=0,0,O322/B340)</f>
        <v/>
      </c>
      <c r="Q322">
        <f>IFERROR(1/IF(Inputs!$B$39="pvp",15,MAX(0.1,Skills!D24-IF(Skills!E24=TRUE,Inputs!$B$33,0))),0)</f>
        <v/>
      </c>
      <c r="R322" t="n">
        <v>0</v>
      </c>
      <c r="S322" t="n">
        <v>0</v>
      </c>
      <c r="U322" t="n">
        <v>0</v>
      </c>
    </row>
    <row r="323">
      <c r="A323">
        <f>Skills!A25</f>
        <v/>
      </c>
      <c r="B323">
        <f>Skills!B25</f>
        <v/>
      </c>
      <c r="C323">
        <f>Inputs!$B$3&gt;=74</f>
        <v/>
      </c>
      <c r="D323">
        <f>IF(Skills!C25=1,60+Inputs!$B$26+Inputs!$B$30,IF(Skills!C25=2,90+Inputs!$B$27+Inputs!$B$30,IF(Skills!C25=3,120+Inputs!$B$28+Inputs!$B$30,MAX(0,(Inputs!$B$3-100)*3)+Inputs!$B$29+Inputs!$B$30)))</f>
        <v/>
      </c>
      <c r="E323">
        <f>INDEX(FactorTable!$B$2:$Y$301, MATCH(ROUND(MIN(300,MAX(1,D323)),0), FactorTable!$A$2:$A$301,0), Skills!L25+1)</f>
        <v/>
      </c>
      <c r="F323">
        <f>IF(Skills!M25=TRUE,(Skills!K25/10)*(E323/1000),Skills!K25/10)+Skills!N25</f>
        <v/>
      </c>
      <c r="G323">
        <f>Calc!G25</f>
        <v/>
      </c>
      <c r="H323">
        <f>Calc!H25</f>
        <v/>
      </c>
      <c r="I323">
        <f>IF(Skills!T25&lt;&gt;"",1+(Skills!T25/10)*($Z$3/1000)/100,1)</f>
        <v/>
      </c>
      <c r="J323" t="inlineStr"/>
      <c r="K323" t="inlineStr"/>
      <c r="L323" t="inlineStr"/>
      <c r="M323" t="inlineStr"/>
      <c r="N323" t="inlineStr"/>
      <c r="O323">
        <f>(1-Summary!$B$48)*S323+Summary!$B$48*U323</f>
        <v/>
      </c>
      <c r="P323">
        <f>IF(B340=0,0,O323/B340)</f>
        <v/>
      </c>
      <c r="Q323">
        <f>IFERROR(1/IF(Inputs!$B$39="pvp",15,MAX(0.1,Skills!D25-IF(Skills!E25=TRUE,Inputs!$B$33,0))),0)</f>
        <v/>
      </c>
      <c r="R323" t="n">
        <v>0</v>
      </c>
      <c r="S323" t="n">
        <v>0</v>
      </c>
      <c r="U323" t="n">
        <v>0</v>
      </c>
    </row>
    <row r="324">
      <c r="A324">
        <f>Skills!A26</f>
        <v/>
      </c>
      <c r="B324">
        <f>Skills!B26</f>
        <v/>
      </c>
      <c r="C324">
        <f>Inputs!$B$3&gt;=117</f>
        <v/>
      </c>
      <c r="D324">
        <f>IF(Skills!C26=1,60+Inputs!$B$26+Inputs!$B$30,IF(Skills!C26=2,90+Inputs!$B$27+Inputs!$B$30,IF(Skills!C26=3,120+Inputs!$B$28+Inputs!$B$30,MAX(0,(Inputs!$B$3-100)*3)+Inputs!$B$29+Inputs!$B$30)))</f>
        <v/>
      </c>
      <c r="E324">
        <f>INDEX(FactorTable!$B$2:$Y$301, MATCH(ROUND(MIN(300,MAX(1,D324)),0), FactorTable!$A$2:$A$301,0), Skills!L26+1)</f>
        <v/>
      </c>
      <c r="F324">
        <f>IF(Skills!M26=TRUE,(Skills!K26/10)*(E324/1000),Skills!K26/10)+Skills!N26</f>
        <v/>
      </c>
      <c r="G324">
        <f>Calc!G26</f>
        <v/>
      </c>
      <c r="H324">
        <f>Calc!H26</f>
        <v/>
      </c>
      <c r="I324">
        <f>IF(Skills!T26&lt;&gt;"",1+(Skills!T26/10)*($Z$3/1000)/100,1)</f>
        <v/>
      </c>
      <c r="J324" t="inlineStr"/>
      <c r="K324" t="inlineStr"/>
      <c r="L324" t="inlineStr"/>
      <c r="M324" t="inlineStr"/>
      <c r="N324" t="inlineStr"/>
      <c r="O324">
        <f>(1-Summary!$B$48)*S324+Summary!$B$48*U324</f>
        <v/>
      </c>
      <c r="P324">
        <f>IF(B340=0,0,O324/B340)</f>
        <v/>
      </c>
      <c r="Q324">
        <f>IFERROR(1/IF(Inputs!$B$39="pvp",15,MAX(0.1,Skills!D26-IF(Skills!E26=TRUE,Inputs!$B$33,0))),0)</f>
        <v/>
      </c>
      <c r="R324" t="n">
        <v>0</v>
      </c>
      <c r="S324" t="n">
        <v>0</v>
      </c>
      <c r="U324" t="n">
        <v>0</v>
      </c>
    </row>
    <row r="325">
      <c r="A325">
        <f>Skills!A27</f>
        <v/>
      </c>
      <c r="B325">
        <f>Skills!B27</f>
        <v/>
      </c>
      <c r="C325">
        <f>Inputs!$B$3&gt;=120</f>
        <v/>
      </c>
      <c r="D325">
        <f>IF(Skills!C27=1,60+Inputs!$B$26+Inputs!$B$30,IF(Skills!C27=2,90+Inputs!$B$27+Inputs!$B$30,IF(Skills!C27=3,120+Inputs!$B$28+Inputs!$B$30,MAX(0,(Inputs!$B$3-100)*3)+Inputs!$B$29+Inputs!$B$30)))</f>
        <v/>
      </c>
      <c r="E325">
        <f>INDEX(FactorTable!$B$2:$Y$301, MATCH(ROUND(MIN(300,MAX(1,D325)),0), FactorTable!$A$2:$A$301,0), Skills!L27+1)</f>
        <v/>
      </c>
      <c r="F325">
        <f>IF(Skills!M27=TRUE,(Skills!K27/10)*(E325/1000),Skills!K27/10)+Skills!N27</f>
        <v/>
      </c>
      <c r="G325">
        <f>Calc!G27</f>
        <v/>
      </c>
      <c r="H325">
        <f>Calc!H27</f>
        <v/>
      </c>
      <c r="I325">
        <f>IF(Skills!T27&lt;&gt;"",1+(Skills!T27/10)*($Z$3/1000)/100,1)</f>
        <v/>
      </c>
      <c r="J325" t="inlineStr"/>
      <c r="K325" t="inlineStr"/>
      <c r="L325" t="inlineStr"/>
      <c r="M325" t="inlineStr"/>
      <c r="N325" t="inlineStr"/>
      <c r="O325">
        <f>(1-Summary!$B$48)*S325+Summary!$B$48*U325</f>
        <v/>
      </c>
      <c r="P325">
        <f>IF(B340=0,0,O325/B340)</f>
        <v/>
      </c>
      <c r="Q325">
        <f>IFERROR(1/IF(Inputs!$B$39="pvp",15,MAX(0.1,Skills!D27-IF(Skills!E27=TRUE,Inputs!$B$33,0))),0)</f>
        <v/>
      </c>
      <c r="R325" t="n">
        <v>0</v>
      </c>
      <c r="S325" t="n">
        <v>0</v>
      </c>
      <c r="U325" t="n">
        <v>0</v>
      </c>
    </row>
    <row r="327">
      <c r="A327" t="inlineStr">
        <is>
          <t>Average Buff Multiplier</t>
        </is>
      </c>
      <c r="B327">
        <f>(1+(IF(C301=TRUE,F301*IF(AND(Inputs!$B$39&lt;&gt;"pvp",Inputs!$B$44&gt;0),(((R301-1)*(Skills!S3*(1+(Inputs!$B$35+IF(Inputs!$B$3&gt;=117,F324,0))/100))+MIN((Skills!S3*(1+(Inputs!$B$35+IF(Inputs!$B$3&gt;=117,F324,0))/100)),MAX(0,Inputs!$B$44-((R301-1)*Skills!D3))))/Inputs!$B$44),IF(Inputs!$B$39="pvp",MIN((Skills!S3*(1+(Inputs!$B$35+IF(Inputs!$B$3&gt;=117,F324,0))/100)),15)/15,(Skills!S3*(1+(Inputs!$B$35+IF(Inputs!$B$3&gt;=117,F324,0))/100))/Skills!D3)),0)+IF(C302=TRUE,F302*IF(AND(Inputs!$B$39&lt;&gt;"pvp",Inputs!$B$44&gt;0),(((R302-1)*(Skills!S4*(1+(Inputs!$B$35+IF(Inputs!$B$3&gt;=117,F324,0))/100))+MIN((Skills!S4*(1+(Inputs!$B$35+IF(Inputs!$B$3&gt;=117,F324,0))/100)),MAX(0,Inputs!$B$44-((R302-1)*Skills!D4))))/Inputs!$B$44),IF(Inputs!$B$39="pvp",MIN((Skills!S4*(1+(Inputs!$B$35+IF(Inputs!$B$3&gt;=117,F324,0))/100)),15)/15,(Skills!S4*(1+(Inputs!$B$35+IF(Inputs!$B$3&gt;=117,F324,0))/100))/Skills!D4)),0)+IF(C303=TRUE,F303*IF(AND(Inputs!$B$39&lt;&gt;"pvp",Inputs!$B$44&gt;0),(((R303-1)*(Skills!S5*(1+(Inputs!$B$35+IF(Inputs!$B$3&gt;=117,F324,0))/100))+MIN((Skills!S5*(1+(Inputs!$B$35+IF(Inputs!$B$3&gt;=117,F324,0))/100)),MAX(0,Inputs!$B$44-((R303-1)*Skills!D5))))/Inputs!$B$44),IF(Inputs!$B$39="pvp",MIN((Skills!S5*(1+(Inputs!$B$35+IF(Inputs!$B$3&gt;=117,F324,0))/100)),15)/15,(Skills!S5*(1+(Inputs!$B$35+IF(Inputs!$B$3&gt;=117,F324,0))/100))/Skills!D5)),0)+IF(C309=TRUE,F309*IF(AND(Inputs!$B$39&lt;&gt;"pvp",Inputs!$B$44&gt;0),(((R309-1)*(Skills!S11*(1+(Inputs!$B$35+IF(Inputs!$B$3&gt;=117,F324,0))/100))+MIN((Skills!S11*(1+(Inputs!$B$35+IF(Inputs!$B$3&gt;=117,F324,0))/100)),MAX(0,Inputs!$B$44-((R309-1)*Skills!D11))))/Inputs!$B$44),IF(Inputs!$B$39="pvp",MIN((Skills!S11*(1+(Inputs!$B$35+IF(Inputs!$B$3&gt;=117,F324,0))/100)),15)/15,(Skills!S11*(1+(Inputs!$B$35+IF(Inputs!$B$3&gt;=117,F324,0))/100))/Skills!D11)),0))/100)*IF(C312=TRUE,(1+F312*IF(AND(Inputs!$B$39&lt;&gt;"pvp",Inputs!$B$44&gt;0),(((R312-1)*(Skills!S14*(1+(Inputs!$B$35+IF(Inputs!$B$3&gt;=117,F324,0))/100))+MIN((Skills!S14*(1+(Inputs!$B$35+IF(Inputs!$B$3&gt;=117,F324,0))/100)),MAX(0,Inputs!$B$44-((R312-1)*Skills!D14))))/Inputs!$B$44),IF(Inputs!$B$39="pvp",MIN((Skills!S14*(1+(Inputs!$B$35+IF(Inputs!$B$3&gt;=117,F324,0))/100)),15)/15,(Skills!S14*(1+(Inputs!$B$35+IF(Inputs!$B$3&gt;=117,F324,0))/100))/Skills!D14))/100),1)*IF(C317=TRUE,(1+F317*IF(AND(Inputs!$B$39&lt;&gt;"pvp",Inputs!$B$44&gt;0),(((R317-1)*(Skills!S19*(1+(Inputs!$B$35+IF(Inputs!$B$3&gt;=117,F324,0))/100))+MIN((Skills!S19*(1+(Inputs!$B$35+IF(Inputs!$B$3&gt;=117,F324,0))/100)),MAX(0,Inputs!$B$44-((R317-1)*Skills!D19))))/Inputs!$B$44),IF(Inputs!$B$39="pvp",MIN((Skills!S19*(1+(Inputs!$B$35+IF(Inputs!$B$3&gt;=117,F324,0))/100)),15)/15,(Skills!S19*(1+(Inputs!$B$35+IF(Inputs!$B$3&gt;=117,F324,0))/100))/Skills!D19))/100),1)</f>
        <v/>
      </c>
    </row>
    <row r="328">
      <c r="A328" t="inlineStr">
        <is>
          <t>Monster Damage Taken Bonus % (Holy Fountain)</t>
        </is>
      </c>
      <c r="B328">
        <f>IF(Inputs!$B$3&gt;=68,20*IF(Inputs!$B$39="pvp",MIN((15*(1+(Inputs!$B$35+IF(Inputs!$B$3&gt;=117,F324,0))/100)),15)/15,(15*(1+(Inputs!$B$35+IF(Inputs!$B$3&gt;=117,F324,0))/100))/Skills!D10),0)</f>
        <v/>
      </c>
    </row>
    <row r="329">
      <c r="A329" t="inlineStr">
        <is>
          <t>Normal Monster Damage Bonus % (Holy Symbol)</t>
        </is>
      </c>
      <c r="B329">
        <f>IF(C310=TRUE,F310*IF(AND(Inputs!$B$39&lt;&gt;"pvp",Inputs!$B$44&gt;0),(((R310-1)*(Skills!S12*(1+(Inputs!$B$35+IF(Inputs!$B$3&gt;=117,F324,0))/100))+MIN((Skills!S12*(1+(Inputs!$B$35+IF(Inputs!$B$3&gt;=117,F324,0))/100)),MAX(0,Inputs!$B$44-((R310-1)*Skills!D12))))/Inputs!$B$44),IF(Inputs!$B$39="pvp",MIN((Skills!S12*(1+(Inputs!$B$35+IF(Inputs!$B$3&gt;=117,F324,0))/100)),15)/15,(Skills!S12*(1+(Inputs!$B$35+IF(Inputs!$B$3&gt;=117,F324,0))/100))/Skills!D12)),0)</f>
        <v/>
      </c>
    </row>
    <row r="330">
      <c r="A330" t="inlineStr">
        <is>
          <t>Damage % Bonus (Holy Symbol - Damage Boost)</t>
        </is>
      </c>
      <c r="B330">
        <f>Skills!O12</f>
        <v/>
      </c>
    </row>
    <row r="331">
      <c r="A331" t="inlineStr">
        <is>
          <t>Crit Damage % Bonus (Blood of the Divine)</t>
        </is>
      </c>
      <c r="B331">
        <f>4*IF(C318=TRUE,F318,0)</f>
        <v/>
      </c>
    </row>
    <row r="332">
      <c r="A332" t="inlineStr">
        <is>
          <t>Attack Speed Bonus %</t>
        </is>
      </c>
      <c r="B332">
        <f>IF(C315=TRUE,F315+(F319-Calc!F21),0)+IF(Inputs!$B$3&gt;=134,15,0)</f>
        <v/>
      </c>
    </row>
    <row r="333">
      <c r="A333" t="inlineStr">
        <is>
          <t>Actions Per Second</t>
        </is>
      </c>
      <c r="B333">
        <f>1+MIN(150,150*(1-(1-Inputs!$B$12/150)*(1-B332/150)))/100</f>
        <v/>
      </c>
    </row>
    <row r="334">
      <c r="A334" t="inlineStr">
        <is>
          <t>Skill + Buff Cast Rate</t>
        </is>
      </c>
      <c r="B334">
        <f>IF(AND(Inputs!$B$39&lt;&gt;"pvp",Inputs!$B$44&gt;0),SUMPRODUCT((Skills!E2:E27=TRUE)*(C300:C325=TRUE)*R300:R325)/Inputs!$B$44,SUMPRODUCT((Skills!E2:E27=TRUE)*(C300:C325=TRUE)*Q300:Q325))</f>
        <v/>
      </c>
    </row>
    <row r="335">
      <c r="A335" t="inlineStr">
        <is>
          <t>Big Bang Casts Per Second</t>
        </is>
      </c>
      <c r="B335">
        <f>MAX(0,B333-B334)</f>
        <v/>
      </c>
    </row>
    <row r="336">
      <c r="A336" t="inlineStr">
        <is>
          <t>Defense % Bonus (Divine Protection)</t>
        </is>
      </c>
      <c r="B336">
        <f>IF(C311=TRUE,F311*IF(AND(Inputs!$B$39&lt;&gt;"pvp",Inputs!$B$44&gt;0),(((R311-1)*(Skills!S13*(1+(Inputs!$B$35+IF(Inputs!$B$3&gt;=117,F324,0))/100))+MIN((Skills!S13*(1+(Inputs!$B$35+IF(Inputs!$B$3&gt;=117,F324,0))/100)),MAX(0,Inputs!$B$44-((R311-1)*Skills!D13))))/Inputs!$B$44),IF(Inputs!$B$39="pvp",MIN((Skills!S13*(1+(Inputs!$B$35+IF(Inputs!$B$3&gt;=117,F324,0))/100)),15)/15,(Skills!S13*(1+(Inputs!$B$35+IF(Inputs!$B$3&gt;=117,F324,0))/100))/Skills!D13)),0)</f>
        <v/>
      </c>
    </row>
    <row r="337">
      <c r="A337" t="inlineStr">
        <is>
          <t>Buff-Casting Startup Delay (s, fixed-duration only)</t>
        </is>
      </c>
      <c r="B337">
        <f>IF(AND(Inputs!$B$39&lt;&gt;"pvp",Inputs!$B$44&gt;0),SUMPRODUCT((Skills!S2:S27&gt;0)*(Skills!E2:E27=TRUE)*(C300:C325=TRUE))/B333,0)</f>
        <v/>
      </c>
    </row>
    <row r="338">
      <c r="A338" t="inlineStr">
        <is>
          <t>Boss-Only Total DPS (this block's swept value)</t>
        </is>
      </c>
      <c r="B338">
        <f>SUM(S300:S325)</f>
        <v/>
      </c>
    </row>
    <row r="339">
      <c r="A339" t="inlineStr">
        <is>
          <t>Normal-Only Total DPS (this block's swept value)</t>
        </is>
      </c>
      <c r="B339">
        <f>SUM(U300:U325)</f>
        <v/>
      </c>
    </row>
    <row r="340">
      <c r="A340" s="5" t="inlineStr">
        <is>
          <t>TOTAL DPS</t>
        </is>
      </c>
      <c r="B340" s="5">
        <f>SUM(O300:O325)</f>
        <v/>
      </c>
    </row>
    <row r="342">
      <c r="A342" s="5" t="inlineStr">
        <is>
          <t>Stat: NORMAL_DAMAGE %</t>
        </is>
      </c>
    </row>
    <row r="343">
      <c r="A343" s="9" t="inlineStr">
        <is>
          <t>Key</t>
        </is>
      </c>
      <c r="B343" s="9" t="inlineStr">
        <is>
          <t>Name</t>
        </is>
      </c>
      <c r="C343" s="9" t="inlineStr">
        <is>
          <t>Unlocked</t>
        </is>
      </c>
      <c r="D343" s="9" t="inlineStr">
        <is>
          <t>InputLevel</t>
        </is>
      </c>
      <c r="E343" s="9" t="inlineStr">
        <is>
          <t>Factor</t>
        </is>
      </c>
      <c r="F343" s="9" t="inlineStr">
        <is>
          <t>CoefficientPercent</t>
        </is>
      </c>
      <c r="G343" s="9" t="inlineStr">
        <is>
          <t>EffectiveHits</t>
        </is>
      </c>
      <c r="H343" s="9" t="inlineStr">
        <is>
          <t>ProcProbability</t>
        </is>
      </c>
      <c r="I343" s="9" t="inlineStr">
        <is>
          <t>MapleHeroMultiplier</t>
        </is>
      </c>
      <c r="J343" s="9" t="inlineStr">
        <is>
          <t>BaseDamage</t>
        </is>
      </c>
      <c r="K343" s="9" t="inlineStr">
        <is>
          <t>BaseHitDamage</t>
        </is>
      </c>
      <c r="L343" s="9" t="inlineStr">
        <is>
          <t>NonCritAvg</t>
        </is>
      </c>
      <c r="M343" s="9" t="inlineStr">
        <is>
          <t>CritAvg</t>
        </is>
      </c>
      <c r="N343" s="9" t="inlineStr">
        <is>
          <t>ExpectedDamage(perHit)</t>
        </is>
      </c>
      <c r="O343" s="9" t="inlineStr">
        <is>
          <t>DPS</t>
        </is>
      </c>
      <c r="P343" s="9" t="inlineStr">
        <is>
          <t>% of Total</t>
        </is>
      </c>
      <c r="R343" t="inlineStr">
        <is>
          <t>helpers</t>
        </is>
      </c>
    </row>
    <row r="344">
      <c r="A344">
        <f>Skills!A2</f>
        <v/>
      </c>
      <c r="B344">
        <f>Skills!B2</f>
        <v/>
      </c>
      <c r="C344">
        <f>Inputs!$B$3&gt;=100</f>
        <v/>
      </c>
      <c r="D344" t="inlineStr"/>
      <c r="E344" t="inlineStr"/>
      <c r="F344">
        <f>T346+Skills!N2</f>
        <v/>
      </c>
      <c r="G344">
        <f>Calc!G2</f>
        <v/>
      </c>
      <c r="H344">
        <f>Calc!H2</f>
        <v/>
      </c>
      <c r="I344">
        <f>IF(Skills!T2&lt;&gt;"",1+(Skills!T2/10)*($Z$3/1000)/100,1)</f>
        <v/>
      </c>
      <c r="J344">
        <f>((Inputs!$B$6*(1+Inputs!$B$7/100))+(((Inputs!$B$13*(1+Inputs!$B$14/100))-(Inputs!$B$13*(1+Inputs!$B$14/100)))+0.25*(Inputs!$B$15-Inputs!$B$15))*(1+Inputs!$B$7/100))*(F344/100)</f>
        <v/>
      </c>
      <c r="K344">
        <f>J344*(1+(((Inputs!$B$13+IF(Inputs!$B$3&gt;=35,(10*INDEX(FactorTable!$B$2:$Y$301, MATCH(ROUND(MIN(300,MAX(1,Inputs!$B$3)),0), FactorTable!$A$2:$A$301,0), 23)/1000)/100*(Inputs!$B$8*(1+(Inputs!$B$9+B380)/100)),0))*(1+Inputs!$B$14/100))*0.01+Inputs!$B$15*0.0025)/100)*(1+(Inputs!$B$16+B374)/100)*(1+Inputs!$B$17/100)*(5000/(6000+Inputs!$B$43*(1-Inputs!$B$20/100)))*(1+Inputs!$B$25/100)*(1+IF(C360=TRUE,F360,0)/100)*(1+IF(C362=TRUE,F362,0)/100)*(1+IF(Skills!A2="TRIUMPH_FEATHER",IF(C358=TRUE,F358,0),0)/100)*(1+IF(C369=TRUE,F369,0)/100)^5*(1+(IF(Skills!A2="BIG_BANG",Inputs!$B$18,Inputs!$B$19))/100)*(B371*I344)</f>
        <v/>
      </c>
      <c r="L344">
        <f>K344*(MIN(Inputs!$B$23+(F364-Calc!F22),Inputs!$B$24)/100+Inputs!$B$24/100)/2</f>
        <v/>
      </c>
      <c r="M344">
        <f>L344*(1+(Inputs!$B$11+B375+(F367-Calc!F25))/100)</f>
        <v/>
      </c>
      <c r="N344">
        <f>L344*(1-MIN(Inputs!$B$10+((F366-Calc!F24)+(F365-Calc!F23)),100)/100)+M344*(MIN(Inputs!$B$10+((F366-Calc!F24)+(F365-Calc!F23)),100)/100)</f>
        <v/>
      </c>
      <c r="O344">
        <f>(1-Summary!$B$48)*S344+Summary!$B$48*U344</f>
        <v/>
      </c>
      <c r="P344">
        <f>IF(B384=0,0,O344/B384)</f>
        <v/>
      </c>
      <c r="Q344">
        <f>IFERROR(1/IF(Inputs!$B$39="pvp",15,MAX(0.1,Skills!D2-IF(Skills!E2=TRUE,Inputs!$B$33,0))),0)</f>
        <v/>
      </c>
      <c r="R344" t="n">
        <v>0</v>
      </c>
      <c r="S344">
        <f>IF(C344,(Skills!F2*N344*B379)*IF(Inputs!$B$39="pvp",1,1+(Inputs!$B$21+Skills!O2+B372)/100),0)</f>
        <v/>
      </c>
      <c r="T344">
        <f>MAX(0,(Inputs!$B$3-100)*3)+Inputs!$B$29+Inputs!$B$30</f>
        <v/>
      </c>
      <c r="U344">
        <f>IF(C344,(Skills!F2*N344*B379)*IF(Inputs!$B$39="pvp",1,(1+((Inputs!$B$22+1)+Skills!P2+B373)/100)*(MIN((6+Inputs!$B$34),Inputs!$B$38))),0)</f>
        <v/>
      </c>
    </row>
    <row r="345">
      <c r="A345">
        <f>Skills!A3</f>
        <v/>
      </c>
      <c r="B345">
        <f>Skills!B3</f>
        <v/>
      </c>
      <c r="C345">
        <f>Inputs!$B$3&gt;=15</f>
        <v/>
      </c>
      <c r="D345">
        <f>IF(Skills!C3=1,60+Inputs!$B$26+Inputs!$B$30,IF(Skills!C3=2,90+Inputs!$B$27+Inputs!$B$30,IF(Skills!C3=3,120+Inputs!$B$28+Inputs!$B$30,MAX(0,(Inputs!$B$3-100)*3)+Inputs!$B$29+Inputs!$B$30)))</f>
        <v/>
      </c>
      <c r="E345">
        <f>INDEX(FactorTable!$B$2:$Y$301, MATCH(ROUND(MIN(300,MAX(1,D345)),0), FactorTable!$A$2:$A$301,0), Skills!L3+1)</f>
        <v/>
      </c>
      <c r="F345">
        <f>IF(Skills!M3=TRUE,(Skills!K3/10)*(E345/1000),Skills!K3/10)+Skills!N3</f>
        <v/>
      </c>
      <c r="G345">
        <f>Calc!G3</f>
        <v/>
      </c>
      <c r="H345">
        <f>Calc!H3</f>
        <v/>
      </c>
      <c r="I345">
        <f>IF(Skills!T3&lt;&gt;"",1+(Skills!T3/10)*($Z$3/1000)/100,1)</f>
        <v/>
      </c>
      <c r="J345" t="inlineStr"/>
      <c r="K345" t="inlineStr"/>
      <c r="L345" t="inlineStr"/>
      <c r="M345" t="inlineStr"/>
      <c r="N345" t="inlineStr"/>
      <c r="O345">
        <f>(1-Summary!$B$48)*S345+Summary!$B$48*U345</f>
        <v/>
      </c>
      <c r="P345">
        <f>IF(B384=0,0,O345/B384)</f>
        <v/>
      </c>
      <c r="Q345">
        <f>IFERROR(1/IF(Inputs!$B$39="pvp",15,MAX(0.1,Skills!D3-IF(Skills!E3=TRUE,Inputs!$B$33,0))),0)</f>
        <v/>
      </c>
      <c r="R345">
        <f>IF(AND(Inputs!$B$39&lt;&gt;"pvp",Inputs!$B$44&gt;0),IF(Inputs!$B$44&lt;=0,0,(INT(Inputs!$B$44/IF(Inputs!$B$39="pvp",15,MAX(0.1,Skills!D3-IF(Skills!E3=TRUE,Inputs!$B$33,0))))+1)),0)</f>
        <v/>
      </c>
      <c r="S345" t="n">
        <v>0</v>
      </c>
      <c r="T345">
        <f>INDEX(FactorTable!$B$2:$Y$301, MATCH(ROUND(MIN(300,MAX(1,T344)),0), FactorTable!$A$2:$A$301,0), 22)</f>
        <v/>
      </c>
      <c r="U345" t="n">
        <v>0</v>
      </c>
    </row>
    <row r="346">
      <c r="A346">
        <f>Skills!A4</f>
        <v/>
      </c>
      <c r="B346">
        <f>Skills!B4</f>
        <v/>
      </c>
      <c r="C346">
        <f>Inputs!$B$3&gt;=38</f>
        <v/>
      </c>
      <c r="D346">
        <f>IF(Skills!C4=1,60+Inputs!$B$26+Inputs!$B$30,IF(Skills!C4=2,90+Inputs!$B$27+Inputs!$B$30,IF(Skills!C4=3,120+Inputs!$B$28+Inputs!$B$30,MAX(0,(Inputs!$B$3-100)*3)+Inputs!$B$29+Inputs!$B$30)))</f>
        <v/>
      </c>
      <c r="E346">
        <f>INDEX(FactorTable!$B$2:$Y$301, MATCH(ROUND(MIN(300,MAX(1,D346)),0), FactorTable!$A$2:$A$301,0), Skills!L4+1)</f>
        <v/>
      </c>
      <c r="F346">
        <f>IF(Skills!M4=TRUE,(Skills!K4/10)*(E346/1000),Skills!K4/10)+Skills!N4</f>
        <v/>
      </c>
      <c r="G346">
        <f>Calc!G4</f>
        <v/>
      </c>
      <c r="H346">
        <f>Calc!H4</f>
        <v/>
      </c>
      <c r="I346">
        <f>IF(Skills!T4&lt;&gt;"",1+(Skills!T4/10)*($Z$3/1000)/100,1)</f>
        <v/>
      </c>
      <c r="J346" t="inlineStr"/>
      <c r="K346" t="inlineStr"/>
      <c r="L346" t="inlineStr"/>
      <c r="M346" t="inlineStr"/>
      <c r="N346" t="inlineStr"/>
      <c r="O346">
        <f>(1-Summary!$B$48)*S346+Summary!$B$48*U346</f>
        <v/>
      </c>
      <c r="P346">
        <f>IF(B384=0,0,O346/B384)</f>
        <v/>
      </c>
      <c r="Q346">
        <f>IFERROR(1/IF(Inputs!$B$39="pvp",15,MAX(0.1,Skills!D4-IF(Skills!E4=TRUE,Inputs!$B$33,0))),0)</f>
        <v/>
      </c>
      <c r="R346">
        <f>IF(AND(Inputs!$B$39&lt;&gt;"pvp",Inputs!$B$44&gt;0),IF(Inputs!$B$44&lt;=0,0,(INT(Inputs!$B$44/IF(Inputs!$B$39="pvp",15,MAX(0.1,Skills!D4-IF(Skills!E4=TRUE,Inputs!$B$33,0))))+1)),0)</f>
        <v/>
      </c>
      <c r="S346" t="n">
        <v>0</v>
      </c>
      <c r="T346">
        <f>290*T345/1000</f>
        <v/>
      </c>
      <c r="U346" t="n">
        <v>0</v>
      </c>
    </row>
    <row r="347">
      <c r="A347">
        <f>Skills!A5</f>
        <v/>
      </c>
      <c r="B347">
        <f>Skills!B5</f>
        <v/>
      </c>
      <c r="C347">
        <f>Inputs!$B$3&gt;=40</f>
        <v/>
      </c>
      <c r="D347">
        <f>IF(Skills!C5=1,60+Inputs!$B$26+Inputs!$B$30,IF(Skills!C5=2,90+Inputs!$B$27+Inputs!$B$30,IF(Skills!C5=3,120+Inputs!$B$28+Inputs!$B$30,MAX(0,(Inputs!$B$3-100)*3)+Inputs!$B$29+Inputs!$B$30)))</f>
        <v/>
      </c>
      <c r="E347">
        <f>INDEX(FactorTable!$B$2:$Y$301, MATCH(ROUND(MIN(300,MAX(1,D347)),0), FactorTable!$A$2:$A$301,0), Skills!L5+1)</f>
        <v/>
      </c>
      <c r="F347">
        <f>IF(Skills!M5=TRUE,(Skills!K5/10)*(E347/1000),Skills!K5/10)+Skills!N5</f>
        <v/>
      </c>
      <c r="G347">
        <f>Calc!G5</f>
        <v/>
      </c>
      <c r="H347">
        <f>Calc!H5</f>
        <v/>
      </c>
      <c r="I347">
        <f>IF(Skills!T5&lt;&gt;"",1+(Skills!T5/10)*($Z$3/1000)/100,1)</f>
        <v/>
      </c>
      <c r="J347" t="inlineStr"/>
      <c r="K347" t="inlineStr"/>
      <c r="L347" t="inlineStr"/>
      <c r="M347" t="inlineStr"/>
      <c r="N347" t="inlineStr"/>
      <c r="O347">
        <f>(1-Summary!$B$48)*S347+Summary!$B$48*U347</f>
        <v/>
      </c>
      <c r="P347">
        <f>IF(B384=0,0,O347/B384)</f>
        <v/>
      </c>
      <c r="Q347">
        <f>IFERROR(1/IF(Inputs!$B$39="pvp",15,MAX(0.1,Skills!D5-IF(Skills!E5=TRUE,Inputs!$B$33,0))),0)</f>
        <v/>
      </c>
      <c r="R347">
        <f>IF(AND(Inputs!$B$39&lt;&gt;"pvp",Inputs!$B$44&gt;0),IF(Inputs!$B$44&lt;=0,0,(INT(Inputs!$B$44/IF(Inputs!$B$39="pvp",15,MAX(0.1,Skills!D5-IF(Skills!E5=TRUE,Inputs!$B$33,0))))+1)),0)</f>
        <v/>
      </c>
      <c r="S347" t="n">
        <v>0</v>
      </c>
      <c r="U347" t="n">
        <v>0</v>
      </c>
    </row>
    <row r="348">
      <c r="A348">
        <f>Skills!A6</f>
        <v/>
      </c>
      <c r="B348">
        <f>Skills!B6</f>
        <v/>
      </c>
      <c r="C348">
        <f>Inputs!$B$3&gt;=103</f>
        <v/>
      </c>
      <c r="D348">
        <f>IF(Skills!C6=1,60+Inputs!$B$26+Inputs!$B$30,IF(Skills!C6=2,90+Inputs!$B$27+Inputs!$B$30,IF(Skills!C6=3,120+Inputs!$B$28+Inputs!$B$30,MAX(0,(Inputs!$B$3-100)*3)+Inputs!$B$29+Inputs!$B$30)))</f>
        <v/>
      </c>
      <c r="E348">
        <f>INDEX(FactorTable!$B$2:$Y$301, MATCH(ROUND(MIN(300,MAX(1,D348)),0), FactorTable!$A$2:$A$301,0), Skills!L6+1)</f>
        <v/>
      </c>
      <c r="F348">
        <f>IF(Skills!M6=TRUE,(Skills!K6/10)*(E348/1000),Skills!K6/10)+Skills!N6</f>
        <v/>
      </c>
      <c r="G348">
        <f>Calc!G6</f>
        <v/>
      </c>
      <c r="H348">
        <f>Calc!H6</f>
        <v/>
      </c>
      <c r="I348">
        <f>IF(Skills!T6&lt;&gt;"",1+(Skills!T6/10)*($Z$3/1000)/100,1)</f>
        <v/>
      </c>
      <c r="J348">
        <f>((Inputs!$B$6*(1+Inputs!$B$7/100))+(((Inputs!$B$13*(1+Inputs!$B$14/100))-(Inputs!$B$13*(1+Inputs!$B$14/100)))+0.25*(Inputs!$B$15-Inputs!$B$15))*(1+Inputs!$B$7/100))*(F348/100)</f>
        <v/>
      </c>
      <c r="K348">
        <f>J348*(1+(((Inputs!$B$13+IF(Inputs!$B$3&gt;=35,(10*INDEX(FactorTable!$B$2:$Y$301, MATCH(ROUND(MIN(300,MAX(1,Inputs!$B$3)),0), FactorTable!$A$2:$A$301,0), 23)/1000)/100*(Inputs!$B$8*(1+(Inputs!$B$9+B380)/100)),0))*(1+Inputs!$B$14/100))*0.01+Inputs!$B$15*0.0025)/100)*(1+(Inputs!$B$16+B374)/100)*(1+Inputs!$B$17/100)*(5000/(6000+Inputs!$B$43*(1-Inputs!$B$20/100)))*(1+Inputs!$B$25/100)*(1+IF(C360=TRUE,F360,0)/100)*(1+IF(C362=TRUE,F362,0)/100)*(1+IF(Skills!A6="TRIUMPH_FEATHER",IF(C358=TRUE,F358,0),0)/100)*(1+IF(C369=TRUE,F369,0)/100)^5*(1+(IF(Skills!A6="BIG_BANG",Inputs!$B$18,Inputs!$B$19))/100)*(B371*I348)</f>
        <v/>
      </c>
      <c r="L348">
        <f>K348*(MIN(Inputs!$B$23+(F364-Calc!F22),Inputs!$B$24)/100+Inputs!$B$24/100)/2</f>
        <v/>
      </c>
      <c r="M348">
        <f>L348*(1+(Inputs!$B$11+B375+(F367-Calc!F25))/100)</f>
        <v/>
      </c>
      <c r="N348">
        <f>L348*(1-MIN(Inputs!$B$10+((F366-Calc!F24)+(F365-Calc!F23)),100)/100)+M348*(MIN(Inputs!$B$10+((F366-Calc!F24)+(F365-Calc!F23)),100)/100)</f>
        <v/>
      </c>
      <c r="O348">
        <f>(1-Summary!$B$48)*S348+Summary!$B$48*U348</f>
        <v/>
      </c>
      <c r="P348">
        <f>IF(B384=0,0,O348/B384)</f>
        <v/>
      </c>
      <c r="Q348">
        <f>IFERROR(1/IF(Inputs!$B$39="pvp",15,MAX(0.1,Skills!D6-IF(Skills!E6=TRUE,Inputs!$B$33,0))),0)</f>
        <v/>
      </c>
      <c r="R348">
        <f>IF(AND(Inputs!$B$39&lt;&gt;"pvp",Inputs!$B$44&gt;0),IF(MAX(0,Inputs!$B$44-B381)&lt;=0,0,(INT(MAX(0,Inputs!$B$44-B381)/IF(Inputs!$B$39="pvp",15,MAX(0.1,Skills!D6-IF(Skills!E6=TRUE,Inputs!$B$33,0))))+1)),0)</f>
        <v/>
      </c>
      <c r="S348">
        <f>IF(C348,(H348*N348*IF(AND(Inputs!$B$39&lt;&gt;"pvp",Inputs!$B$44&gt;0),((Skills!F6*((R348-1)*IF(Skills!G6&gt;0,Skills!H6/Skills!G6,1)+IF(Skills!G6&gt;0,MIN(Skills!H6,MAX(0,MAX(0,Inputs!$B$44-B381)-((R348-1)*IF(Inputs!$B$39="pvp",15,MAX(0.1,Skills!D6-IF(Skills!E6=TRUE,Inputs!$B$33,0))))))/Skills!G6,1)))/Inputs!$B$44),G348*Q348))*IF(Inputs!$B$39="pvp",1,1+(Inputs!$B$21+Skills!O6+B372)/100),0)</f>
        <v/>
      </c>
      <c r="U348">
        <f>IF(C348,(H348*N348*IF(AND(Inputs!$B$39&lt;&gt;"pvp",Inputs!$B$44&gt;0),((Skills!F6*((R348-1)*IF(Skills!G6&gt;0,Skills!H6/Skills!G6,1)+IF(Skills!G6&gt;0,MIN(Skills!H6,MAX(0,MAX(0,Inputs!$B$44-B381)-((R348-1)*IF(Inputs!$B$39="pvp",15,MAX(0.1,Skills!D6-IF(Skills!E6=TRUE,Inputs!$B$33,0))))))/Skills!G6,1)))/Inputs!$B$44),G348*Q348))*IF(Inputs!$B$39="pvp",1,(1+((Inputs!$B$22+1)+Skills!P6+B373)/100)*(MIN(Skills!Q6,Inputs!$B$38))),0)</f>
        <v/>
      </c>
    </row>
    <row r="349">
      <c r="A349">
        <f>Skills!A7</f>
        <v/>
      </c>
      <c r="B349">
        <f>Skills!B7</f>
        <v/>
      </c>
      <c r="C349">
        <f>Inputs!$B$3&gt;=122</f>
        <v/>
      </c>
      <c r="D349">
        <f>IF(Skills!C7=1,60+Inputs!$B$26+Inputs!$B$30,IF(Skills!C7=2,90+Inputs!$B$27+Inputs!$B$30,IF(Skills!C7=3,120+Inputs!$B$28+Inputs!$B$30,MAX(0,(Inputs!$B$3-100)*3)+Inputs!$B$29+Inputs!$B$30)))</f>
        <v/>
      </c>
      <c r="E349">
        <f>INDEX(FactorTable!$B$2:$Y$301, MATCH(ROUND(MIN(300,MAX(1,D349)),0), FactorTable!$A$2:$A$301,0), Skills!L7+1)</f>
        <v/>
      </c>
      <c r="F349">
        <f>IF(Skills!M7=TRUE,(Skills!K7/10)*(E349/1000),Skills!K7/10)+Skills!N7</f>
        <v/>
      </c>
      <c r="G349">
        <f>Calc!G7</f>
        <v/>
      </c>
      <c r="H349">
        <f>Calc!H7</f>
        <v/>
      </c>
      <c r="I349">
        <f>IF(Skills!T7&lt;&gt;"",1+(Skills!T7/10)*($Z$3/1000)/100,1)</f>
        <v/>
      </c>
      <c r="J349">
        <f>((Inputs!$B$6*(1+Inputs!$B$7/100))+(((Inputs!$B$13*(1+Inputs!$B$14/100))-(Inputs!$B$13*(1+Inputs!$B$14/100)))+0.25*(Inputs!$B$15-Inputs!$B$15))*(1+Inputs!$B$7/100))*(F349/100)</f>
        <v/>
      </c>
      <c r="K349">
        <f>J349*(1+(((Inputs!$B$13+IF(Inputs!$B$3&gt;=35,(10*INDEX(FactorTable!$B$2:$Y$301, MATCH(ROUND(MIN(300,MAX(1,Inputs!$B$3)),0), FactorTable!$A$2:$A$301,0), 23)/1000)/100*(Inputs!$B$8*(1+(Inputs!$B$9+B380)/100)),0))*(1+Inputs!$B$14/100))*0.01+Inputs!$B$15*0.0025)/100)*(1+(Inputs!$B$16+B374)/100)*(1+Inputs!$B$17/100)*(5000/(6000+Inputs!$B$43*(1-Inputs!$B$20/100)))*(1+Inputs!$B$25/100)*(1+IF(C360=TRUE,F360,0)/100)*(1+IF(C362=TRUE,F362,0)/100)*(1+IF(Skills!A7="TRIUMPH_FEATHER",IF(C358=TRUE,F358,0),0)/100)*(1+IF(C369=TRUE,F369,0)/100)^5*(1+(IF(Skills!A7="BIG_BANG",Inputs!$B$18,Inputs!$B$19))/100)*(B371*I349)</f>
        <v/>
      </c>
      <c r="L349">
        <f>K349*(MIN(Inputs!$B$23+(F364-Calc!F22),Inputs!$B$24)/100+Inputs!$B$24/100)/2</f>
        <v/>
      </c>
      <c r="M349">
        <f>L349*(1+(Inputs!$B$11+B375+(F367-Calc!F25))/100)</f>
        <v/>
      </c>
      <c r="N349">
        <f>L349*(1-MIN(Inputs!$B$10+((F366-Calc!F24)+(F365-Calc!F23)),100)/100)+M349*(MIN(Inputs!$B$10+((F366-Calc!F24)+(F365-Calc!F23)),100)/100)</f>
        <v/>
      </c>
      <c r="O349">
        <f>(1-Summary!$B$48)*S349+Summary!$B$48*U349</f>
        <v/>
      </c>
      <c r="P349">
        <f>IF(B384=0,0,O349/B384)</f>
        <v/>
      </c>
      <c r="Q349">
        <f>IFERROR(1/IF(Inputs!$B$39="pvp",15,MAX(0.1,Skills!D7-IF(Skills!E6=TRUE,Inputs!$B$33,0))),0)</f>
        <v/>
      </c>
      <c r="R349">
        <f>IF(AND(Inputs!$B$39&lt;&gt;"pvp",Inputs!$B$44&gt;0),IF(MAX(0,Inputs!$B$44-B381)&lt;=0,0,(INT(MAX(0,Inputs!$B$44-B381)/IF(Inputs!$B$39="pvp",15,MAX(0.1,Skills!D7-IF(Skills!E6=TRUE,Inputs!$B$33,0))))+1)),0)</f>
        <v/>
      </c>
      <c r="S349">
        <f>IF(C349,H349*N349*IF(AND(Inputs!$B$39&lt;&gt;"pvp",Inputs!$B$44&gt;0),((Skills!F7*((R349-1)*IF(Skills!G7&gt;0,Skills!H7/Skills!G7,1)+IF(Skills!G7&gt;0,MIN(Skills!H7,MAX(0,MAX(0,Inputs!$B$44-B381)-((R349-1)*IF(Inputs!$B$39="pvp",15,MAX(0.1,Skills!D7-IF(Skills!E6=TRUE,Inputs!$B$33,0))))))/Skills!G7,1)))/Inputs!$B$44),G349*Q349)*IF(Inputs!$B$39="pvp",1,1+(Inputs!$B$21+Skills!O7+B372)/100),0)</f>
        <v/>
      </c>
      <c r="U349" t="n">
        <v>0</v>
      </c>
    </row>
    <row r="350">
      <c r="A350">
        <f>Skills!A8</f>
        <v/>
      </c>
      <c r="B350">
        <f>Skills!B8</f>
        <v/>
      </c>
      <c r="C350">
        <f>Inputs!$B$3&gt;=105</f>
        <v/>
      </c>
      <c r="D350">
        <f>IF(Skills!C8=1,60+Inputs!$B$26+Inputs!$B$30,IF(Skills!C8=2,90+Inputs!$B$27+Inputs!$B$30,IF(Skills!C8=3,120+Inputs!$B$28+Inputs!$B$30,MAX(0,(Inputs!$B$3-100)*3)+Inputs!$B$29+Inputs!$B$30)))</f>
        <v/>
      </c>
      <c r="E350">
        <f>INDEX(FactorTable!$B$2:$Y$301, MATCH(ROUND(MIN(300,MAX(1,D350)),0), FactorTable!$A$2:$A$301,0), Skills!L8+1)</f>
        <v/>
      </c>
      <c r="F350">
        <f>IF(Skills!M8=TRUE,(Skills!K8/10)*(E350/1000),Skills!K8/10)+Skills!N8</f>
        <v/>
      </c>
      <c r="G350">
        <f>Calc!G8</f>
        <v/>
      </c>
      <c r="H350">
        <f>Calc!H8</f>
        <v/>
      </c>
      <c r="I350">
        <f>IF(Skills!T8&lt;&gt;"",1+(Skills!T8/10)*($Z$3/1000)/100,1)</f>
        <v/>
      </c>
      <c r="J350">
        <f>((Inputs!$B$6*(1+Inputs!$B$7/100))+(((Inputs!$B$13*(1+Inputs!$B$14/100))-(Inputs!$B$13*(1+Inputs!$B$14/100)))+0.25*(Inputs!$B$15-Inputs!$B$15))*(1+Inputs!$B$7/100))*(F350/100)</f>
        <v/>
      </c>
      <c r="K350">
        <f>J350*(1+(((Inputs!$B$13+IF(Inputs!$B$3&gt;=35,(10*INDEX(FactorTable!$B$2:$Y$301, MATCH(ROUND(MIN(300,MAX(1,Inputs!$B$3)),0), FactorTable!$A$2:$A$301,0), 23)/1000)/100*(Inputs!$B$8*(1+(Inputs!$B$9+B380)/100)),0))*(1+Inputs!$B$14/100))*0.01+Inputs!$B$15*0.0025)/100)*(1+(Inputs!$B$16+B374)/100)*(1+Inputs!$B$17/100)*(5000/(6000+Inputs!$B$43*(1-Inputs!$B$20/100)))*(1+Inputs!$B$25/100)*(1+IF(C360=TRUE,F360,0)/100)*(1+IF(C362=TRUE,F362,0)/100)*(1+IF(Skills!A8="TRIUMPH_FEATHER",IF(C358=TRUE,F358,0),0)/100)*(1+IF(C369=TRUE,F369,0)/100)^5*(1+(IF(Skills!A8="BIG_BANG",Inputs!$B$18,Inputs!$B$19))/100)*(B371*I350)</f>
        <v/>
      </c>
      <c r="L350">
        <f>K350*(MIN(Inputs!$B$23+(F364-Calc!F22),Inputs!$B$24)/100+Inputs!$B$24/100)/2</f>
        <v/>
      </c>
      <c r="M350">
        <f>L350*(1+(Inputs!$B$11+B375+(F367-Calc!F25))/100)</f>
        <v/>
      </c>
      <c r="N350">
        <f>L350*(1-MIN(Inputs!$B$10+((F366-Calc!F24)+(F365-Calc!F23)),100)/100)+M350*(MIN(Inputs!$B$10+((F366-Calc!F24)+(F365-Calc!F23)),100)/100)</f>
        <v/>
      </c>
      <c r="O350">
        <f>(1-Summary!$B$48)*S350+Summary!$B$48*U350</f>
        <v/>
      </c>
      <c r="P350">
        <f>IF(B384=0,0,O350/B384)</f>
        <v/>
      </c>
      <c r="Q350">
        <f>IFERROR(1/IF(Inputs!$B$39="pvp",15,MAX(0.1,Skills!D8-IF(Skills!E8=TRUE,Inputs!$B$33,0))),0)</f>
        <v/>
      </c>
      <c r="R350">
        <f>IF(AND(Inputs!$B$39&lt;&gt;"pvp",Inputs!$B$44&gt;0),IF(MAX(0,Inputs!$B$44-B381)&lt;=0,0,(INT(MAX(0,Inputs!$B$44-B381)/IF(Inputs!$B$39="pvp",15,MAX(0.1,Skills!D8-IF(Skills!E8=TRUE,Inputs!$B$33,0))))+1)),0)</f>
        <v/>
      </c>
      <c r="S350">
        <f>IF(C350,(H350*N350*IF(AND(Inputs!$B$39&lt;&gt;"pvp",Inputs!$B$44&gt;0),((Skills!F8*((R350-1)*IF(Skills!G8&gt;0,Skills!H8/Skills!G8,1)+IF(Skills!G8&gt;0,MIN(Skills!H8,MAX(0,MAX(0,Inputs!$B$44-B381)-((R350-1)*IF(Inputs!$B$39="pvp",15,MAX(0.1,Skills!D8-IF(Skills!E8=TRUE,Inputs!$B$33,0))))))/Skills!G8,1)))/Inputs!$B$44),G350*Q350))*IF(Inputs!$B$39="pvp",1,1+(Inputs!$B$21+Skills!O8+B372)/100),0)</f>
        <v/>
      </c>
      <c r="U350">
        <f>IF(C350,(H350*N350*IF(AND(Inputs!$B$39&lt;&gt;"pvp",Inputs!$B$44&gt;0),((Skills!F8*((R350-1)*IF(Skills!G8&gt;0,Skills!H8/Skills!G8,1)+IF(Skills!G8&gt;0,MIN(Skills!H8,MAX(0,MAX(0,Inputs!$B$44-B381)-((R350-1)*IF(Inputs!$B$39="pvp",15,MAX(0.1,Skills!D8-IF(Skills!E8=TRUE,Inputs!$B$33,0))))))/Skills!G8,1)))/Inputs!$B$44),G350*Q350))*IF(Inputs!$B$39="pvp",1,(1+((Inputs!$B$22+1)+Skills!P8+B373)/100)*(MIN(Skills!Q8,Inputs!$B$38))),0)</f>
        <v/>
      </c>
    </row>
    <row r="351">
      <c r="A351">
        <f>Skills!A9</f>
        <v/>
      </c>
      <c r="B351">
        <f>Skills!B9</f>
        <v/>
      </c>
      <c r="C351">
        <f>Inputs!$B$3&gt;=115</f>
        <v/>
      </c>
      <c r="D351">
        <f>IF(Skills!C9=1,60+Inputs!$B$26+Inputs!$B$30,IF(Skills!C9=2,90+Inputs!$B$27+Inputs!$B$30,IF(Skills!C9=3,120+Inputs!$B$28+Inputs!$B$30,MAX(0,(Inputs!$B$3-100)*3)+Inputs!$B$29+Inputs!$B$30)))</f>
        <v/>
      </c>
      <c r="E351">
        <f>INDEX(FactorTable!$B$2:$Y$301, MATCH(ROUND(MIN(300,MAX(1,D351)),0), FactorTable!$A$2:$A$301,0), Skills!L9+1)</f>
        <v/>
      </c>
      <c r="F351">
        <f>IF(Skills!M9=TRUE,(Skills!K9/10)*(E351/1000),Skills!K9/10)+Skills!N9</f>
        <v/>
      </c>
      <c r="G351">
        <f>Calc!G9</f>
        <v/>
      </c>
      <c r="H351">
        <f>Calc!H9</f>
        <v/>
      </c>
      <c r="I351">
        <f>IF(Skills!T9&lt;&gt;"",1+(Skills!T9/10)*($Z$3/1000)/100,1)</f>
        <v/>
      </c>
      <c r="J351">
        <f>((Inputs!$B$6*(1+Inputs!$B$7/100))+(((Inputs!$B$13*(1+Inputs!$B$14/100))-(Inputs!$B$13*(1+Inputs!$B$14/100)))+0.25*(Inputs!$B$15-Inputs!$B$15))*(1+Inputs!$B$7/100))*(F351/100)</f>
        <v/>
      </c>
      <c r="K351">
        <f>J351*(1+(((Inputs!$B$13+IF(Inputs!$B$3&gt;=35,(10*INDEX(FactorTable!$B$2:$Y$301, MATCH(ROUND(MIN(300,MAX(1,Inputs!$B$3)),0), FactorTable!$A$2:$A$301,0), 23)/1000)/100*(Inputs!$B$8*(1+(Inputs!$B$9+B380)/100)),0))*(1+Inputs!$B$14/100))*0.01+Inputs!$B$15*0.0025)/100)*(1+(Inputs!$B$16+B374)/100)*(1+Inputs!$B$17/100)*(5000/(6000+Inputs!$B$43*(1-Inputs!$B$20/100)))*(1+Inputs!$B$25/100)*(1+IF(C360=TRUE,F360,0)/100)*(1+IF(C362=TRUE,F362,0)/100)*(1+IF(Skills!A9="TRIUMPH_FEATHER",IF(C358=TRUE,F358,0),0)/100)*(1+IF(C369=TRUE,F369,0)/100)^5*(1+(IF(Skills!A9="BIG_BANG",Inputs!$B$18,Inputs!$B$19))/100)*(B371*I351)</f>
        <v/>
      </c>
      <c r="L351">
        <f>K351*(MIN(Inputs!$B$23+(F364-Calc!F22),Inputs!$B$24)/100+Inputs!$B$24/100)/2</f>
        <v/>
      </c>
      <c r="M351">
        <f>L351*(1+(Inputs!$B$11+B375+(F367-Calc!F25))/100)</f>
        <v/>
      </c>
      <c r="N351">
        <f>L351*(1-MIN(Inputs!$B$10+((F366-Calc!F24)+(F365-Calc!F23)),100)/100)+M351*(MIN(Inputs!$B$10+((F366-Calc!F24)+(F365-Calc!F23)),100)/100)</f>
        <v/>
      </c>
      <c r="O351">
        <f>(1-Summary!$B$48)*S351+Summary!$B$48*U351</f>
        <v/>
      </c>
      <c r="P351">
        <f>IF(B384=0,0,O351/B384)</f>
        <v/>
      </c>
      <c r="Q351">
        <f>IFERROR(1/IF(Inputs!$B$39="pvp",15,MAX(0.1,Skills!D9-IF(Skills!E9=TRUE,Inputs!$B$33,0))),0)</f>
        <v/>
      </c>
      <c r="R351">
        <f>IF(AND(Inputs!$B$39&lt;&gt;"pvp",Inputs!$B$44&gt;0),IF(MAX(0,Inputs!$B$44-B381)&lt;=0,0,(INT(MAX(0,Inputs!$B$44-B381)/IF(Inputs!$B$39="pvp",15,MAX(0.1,Skills!D9-IF(Skills!E9=TRUE,Inputs!$B$33,0))))+1)),0)</f>
        <v/>
      </c>
      <c r="S351">
        <f>IF(C351,(H351*N351*IF(AND(Inputs!$B$39&lt;&gt;"pvp",Inputs!$B$44&gt;0),((Skills!F9*((R351-1)*IF(Skills!G9&gt;0,Skills!H9/Skills!G9,1)+IF(Skills!G9&gt;0,MIN(Skills!H9,MAX(0,MAX(0,Inputs!$B$44-B381)-((R351-1)*IF(Inputs!$B$39="pvp",15,MAX(0.1,Skills!D9-IF(Skills!E9=TRUE,Inputs!$B$33,0))))))/Skills!G9,1)))/Inputs!$B$44),G351*Q351))*IF(Inputs!$B$39="pvp",1,1+(Inputs!$B$21+Skills!O9+B372)/100),0)</f>
        <v/>
      </c>
      <c r="U351">
        <f>IF(C351,(H351*N351*IF(AND(Inputs!$B$39&lt;&gt;"pvp",Inputs!$B$44&gt;0),((Skills!F9*((R351-1)*IF(Skills!G9&gt;0,Skills!H9/Skills!G9,1)+IF(Skills!G9&gt;0,MIN(Skills!H9,MAX(0,MAX(0,Inputs!$B$44-B381)-((R351-1)*IF(Inputs!$B$39="pvp",15,MAX(0.1,Skills!D9-IF(Skills!E9=TRUE,Inputs!$B$33,0))))))/Skills!G9,1)))/Inputs!$B$44),G351*Q351))*IF(Inputs!$B$39="pvp",1,(1+((Inputs!$B$22+1)+Skills!P9+B373)/100)*(MIN(Skills!Q9,Inputs!$B$38))),0)</f>
        <v/>
      </c>
    </row>
    <row r="352">
      <c r="A352">
        <f>Skills!A10</f>
        <v/>
      </c>
      <c r="B352">
        <f>Skills!B10</f>
        <v/>
      </c>
      <c r="C352">
        <f>Inputs!$B$3&gt;=66</f>
        <v/>
      </c>
      <c r="D352">
        <f>IF(Skills!C10=1,60+Inputs!$B$26+Inputs!$B$30,IF(Skills!C10=2,90+Inputs!$B$27+Inputs!$B$30,IF(Skills!C10=3,120+Inputs!$B$28+Inputs!$B$30,MAX(0,(Inputs!$B$3-100)*3)+Inputs!$B$29+Inputs!$B$30)))</f>
        <v/>
      </c>
      <c r="E352">
        <f>INDEX(FactorTable!$B$2:$Y$301, MATCH(ROUND(MIN(300,MAX(1,D352)),0), FactorTable!$A$2:$A$301,0), Skills!L10+1)</f>
        <v/>
      </c>
      <c r="F352" t="n">
        <v>0</v>
      </c>
      <c r="G352">
        <f>Calc!G10</f>
        <v/>
      </c>
      <c r="H352">
        <f>Calc!H10</f>
        <v/>
      </c>
      <c r="I352">
        <f>IF(Skills!T10&lt;&gt;"",1+(Skills!T10/10)*($Z$3/1000)/100,1)</f>
        <v/>
      </c>
      <c r="J352" t="inlineStr"/>
      <c r="K352" t="inlineStr"/>
      <c r="L352" t="inlineStr"/>
      <c r="M352" t="inlineStr"/>
      <c r="N352" t="inlineStr"/>
      <c r="O352">
        <f>(1-Summary!$B$48)*S352+Summary!$B$48*U352</f>
        <v/>
      </c>
      <c r="P352">
        <f>IF(B384=0,0,O352/B384)</f>
        <v/>
      </c>
      <c r="Q352">
        <f>IFERROR(1/IF(Inputs!$B$39="pvp",15,MAX(0.1,Skills!D10-IF(Skills!E10=TRUE,Inputs!$B$33,0))),0)</f>
        <v/>
      </c>
      <c r="R352">
        <f>IF(AND(Inputs!$B$39&lt;&gt;"pvp",Inputs!$B$44&gt;0),IF(MAX(0,Inputs!$B$44-B381)&lt;=0,0,(INT(MAX(0,Inputs!$B$44-B381)/IF(Inputs!$B$39="pvp",15,MAX(0.1,Skills!D10-IF(Skills!E10=TRUE,Inputs!$B$33,0))))+1)),0)</f>
        <v/>
      </c>
      <c r="S352" t="n">
        <v>0</v>
      </c>
      <c r="U352" t="n">
        <v>0</v>
      </c>
    </row>
    <row r="353">
      <c r="A353">
        <f>Skills!A11</f>
        <v/>
      </c>
      <c r="B353">
        <f>Skills!B11</f>
        <v/>
      </c>
      <c r="C353">
        <f>Inputs!$B$3&gt;=69</f>
        <v/>
      </c>
      <c r="D353">
        <f>IF(Skills!C11=1,60+Inputs!$B$26+Inputs!$B$30,IF(Skills!C11=2,90+Inputs!$B$27+Inputs!$B$30,IF(Skills!C11=3,120+Inputs!$B$28+Inputs!$B$30,MAX(0,(Inputs!$B$3-100)*3)+Inputs!$B$29+Inputs!$B$30)))</f>
        <v/>
      </c>
      <c r="E353">
        <f>INDEX(FactorTable!$B$2:$Y$301, MATCH(ROUND(MIN(300,MAX(1,D353)),0), FactorTable!$A$2:$A$301,0), Skills!L11+1)</f>
        <v/>
      </c>
      <c r="F353">
        <f>IF(Skills!M11=TRUE,(Skills!K11/10)*(E353/1000),Skills!K11/10)+Skills!N11</f>
        <v/>
      </c>
      <c r="G353">
        <f>Calc!G11</f>
        <v/>
      </c>
      <c r="H353">
        <f>Calc!H11</f>
        <v/>
      </c>
      <c r="I353">
        <f>IF(Skills!T11&lt;&gt;"",1+(Skills!T11/10)*($Z$3/1000)/100,1)</f>
        <v/>
      </c>
      <c r="J353" t="inlineStr"/>
      <c r="K353" t="inlineStr"/>
      <c r="L353" t="inlineStr"/>
      <c r="M353" t="inlineStr"/>
      <c r="N353" t="inlineStr"/>
      <c r="O353">
        <f>(1-Summary!$B$48)*S353+Summary!$B$48*U353</f>
        <v/>
      </c>
      <c r="P353">
        <f>IF(B384=0,0,O353/B384)</f>
        <v/>
      </c>
      <c r="Q353">
        <f>IFERROR(1/IF(Inputs!$B$39="pvp",15,MAX(0.1,Skills!D11-IF(Skills!E11=TRUE,Inputs!$B$33,0))),0)</f>
        <v/>
      </c>
      <c r="R353">
        <f>IF(AND(Inputs!$B$39&lt;&gt;"pvp",Inputs!$B$44&gt;0),IF(Inputs!$B$44&lt;=0,0,(INT(Inputs!$B$44/IF(Inputs!$B$39="pvp",15,MAX(0.1,Skills!D11-IF(Skills!E11=TRUE,Inputs!$B$33,0))))+1)),0)</f>
        <v/>
      </c>
      <c r="S353" t="n">
        <v>0</v>
      </c>
      <c r="U353" t="n">
        <v>0</v>
      </c>
    </row>
    <row r="354">
      <c r="A354">
        <f>Skills!A12</f>
        <v/>
      </c>
      <c r="B354">
        <f>Skills!B12</f>
        <v/>
      </c>
      <c r="C354">
        <f>Inputs!$B$3&gt;=72</f>
        <v/>
      </c>
      <c r="D354">
        <f>IF(Skills!C12=1,60+Inputs!$B$26+Inputs!$B$30,IF(Skills!C12=2,90+Inputs!$B$27+Inputs!$B$30,IF(Skills!C12=3,120+Inputs!$B$28+Inputs!$B$30,MAX(0,(Inputs!$B$3-100)*3)+Inputs!$B$29+Inputs!$B$30)))</f>
        <v/>
      </c>
      <c r="E354">
        <f>INDEX(FactorTable!$B$2:$Y$301, MATCH(ROUND(MIN(300,MAX(1,D354)),0), FactorTable!$A$2:$A$301,0), Skills!L12+1)</f>
        <v/>
      </c>
      <c r="F354">
        <f>IF(Skills!M12=TRUE,(Skills!K12/10)*(E354/1000),Skills!K12/10)+Skills!N12</f>
        <v/>
      </c>
      <c r="G354">
        <f>Calc!G12</f>
        <v/>
      </c>
      <c r="H354">
        <f>Calc!H12</f>
        <v/>
      </c>
      <c r="I354">
        <f>IF(Skills!T12&lt;&gt;"",1+(Skills!T12/10)*($Z$3/1000)/100,1)</f>
        <v/>
      </c>
      <c r="J354" t="inlineStr"/>
      <c r="K354" t="inlineStr"/>
      <c r="L354" t="inlineStr"/>
      <c r="M354" t="inlineStr"/>
      <c r="N354" t="inlineStr"/>
      <c r="O354">
        <f>(1-Summary!$B$48)*S354+Summary!$B$48*U354</f>
        <v/>
      </c>
      <c r="P354">
        <f>IF(B384=0,0,O354/B384)</f>
        <v/>
      </c>
      <c r="Q354">
        <f>IFERROR(1/IF(Inputs!$B$39="pvp",15,MAX(0.1,Skills!D12-IF(Skills!E12=TRUE,Inputs!$B$33,0))),0)</f>
        <v/>
      </c>
      <c r="R354">
        <f>IF(AND(Inputs!$B$39&lt;&gt;"pvp",Inputs!$B$44&gt;0),IF(MAX(0,Inputs!$B$44-B381)&lt;=0,0,(INT(MAX(0,Inputs!$B$44-B381)/IF(Inputs!$B$39="pvp",15,MAX(0.1,Skills!D12-IF(Skills!E12=TRUE,Inputs!$B$33,0))))+1)),0)</f>
        <v/>
      </c>
      <c r="S354" t="n">
        <v>0</v>
      </c>
      <c r="U354" t="n">
        <v>0</v>
      </c>
    </row>
    <row r="355">
      <c r="A355">
        <f>Skills!A13</f>
        <v/>
      </c>
      <c r="B355">
        <f>Skills!B13</f>
        <v/>
      </c>
      <c r="C355">
        <f>Inputs!$B$3&gt;=60</f>
        <v/>
      </c>
      <c r="D355">
        <f>IF(Skills!C13=1,60+Inputs!$B$26+Inputs!$B$30,IF(Skills!C13=2,90+Inputs!$B$27+Inputs!$B$30,IF(Skills!C13=3,120+Inputs!$B$28+Inputs!$B$30,MAX(0,(Inputs!$B$3-100)*3)+Inputs!$B$29+Inputs!$B$30)))</f>
        <v/>
      </c>
      <c r="E355">
        <f>INDEX(FactorTable!$B$2:$Y$301, MATCH(ROUND(MIN(300,MAX(1,D355)),0), FactorTable!$A$2:$A$301,0), Skills!L13+1)</f>
        <v/>
      </c>
      <c r="F355">
        <f>IF(Skills!M13=TRUE,(Skills!K13/10)*(E355/1000),Skills!K13/10)+Skills!N13</f>
        <v/>
      </c>
      <c r="G355">
        <f>Calc!G13</f>
        <v/>
      </c>
      <c r="H355">
        <f>Calc!H13</f>
        <v/>
      </c>
      <c r="I355">
        <f>IF(Skills!T13&lt;&gt;"",1+(Skills!T13/10)*($Z$3/1000)/100,1)</f>
        <v/>
      </c>
      <c r="J355" t="inlineStr"/>
      <c r="K355" t="inlineStr"/>
      <c r="L355" t="inlineStr"/>
      <c r="M355" t="inlineStr"/>
      <c r="N355" t="inlineStr"/>
      <c r="O355">
        <f>(1-Summary!$B$48)*S355+Summary!$B$48*U355</f>
        <v/>
      </c>
      <c r="P355">
        <f>IF(B384=0,0,O355/B384)</f>
        <v/>
      </c>
      <c r="Q355">
        <f>IFERROR(1/IF(Inputs!$B$39="pvp",15,MAX(0.1,Skills!D13-IF(Skills!E13=TRUE,Inputs!$B$33,0))),0)</f>
        <v/>
      </c>
      <c r="R355">
        <f>IF(AND(Inputs!$B$39&lt;&gt;"pvp",Inputs!$B$44&gt;0),IF(MAX(0,Inputs!$B$44-B381)&lt;=0,0,(INT(MAX(0,Inputs!$B$44-B381)/IF(Inputs!$B$39="pvp",15,MAX(0.1,Skills!D13-IF(Skills!E13=TRUE,Inputs!$B$33,0))))+1)),0)</f>
        <v/>
      </c>
      <c r="S355" t="n">
        <v>0</v>
      </c>
      <c r="U355" t="n">
        <v>0</v>
      </c>
    </row>
    <row r="356">
      <c r="A356">
        <f>Skills!A14</f>
        <v/>
      </c>
      <c r="B356">
        <f>Skills!B14</f>
        <v/>
      </c>
      <c r="C356">
        <f>Inputs!$B$3&gt;=107</f>
        <v/>
      </c>
      <c r="D356">
        <f>IF(Skills!C14=1,60+Inputs!$B$26+Inputs!$B$30,IF(Skills!C14=2,90+Inputs!$B$27+Inputs!$B$30,IF(Skills!C14=3,120+Inputs!$B$28+Inputs!$B$30,MAX(0,(Inputs!$B$3-100)*3)+Inputs!$B$29+Inputs!$B$30)))</f>
        <v/>
      </c>
      <c r="E356">
        <f>INDEX(FactorTable!$B$2:$Y$301, MATCH(ROUND(MIN(300,MAX(1,D356)),0), FactorTable!$A$2:$A$301,0), Skills!L14+1)</f>
        <v/>
      </c>
      <c r="F356">
        <f>IF(Skills!M14=TRUE,(Skills!K14/10)*(E356/1000),Skills!K14/10)+Skills!N14</f>
        <v/>
      </c>
      <c r="G356">
        <f>Calc!G14</f>
        <v/>
      </c>
      <c r="H356">
        <f>Calc!H14</f>
        <v/>
      </c>
      <c r="I356">
        <f>IF(Skills!T14&lt;&gt;"",1+(Skills!T14/10)*($Z$3/1000)/100,1)</f>
        <v/>
      </c>
      <c r="J356" t="inlineStr"/>
      <c r="K356" t="inlineStr"/>
      <c r="L356" t="inlineStr"/>
      <c r="M356" t="inlineStr"/>
      <c r="N356" t="inlineStr"/>
      <c r="O356">
        <f>(1-Summary!$B$48)*S356+Summary!$B$48*U356</f>
        <v/>
      </c>
      <c r="P356">
        <f>IF(B384=0,0,O356/B384)</f>
        <v/>
      </c>
      <c r="Q356">
        <f>IFERROR(1/IF(Inputs!$B$39="pvp",15,MAX(0.1,Skills!D14-IF(Skills!E14=TRUE,Inputs!$B$33,0))),0)</f>
        <v/>
      </c>
      <c r="R356">
        <f>IF(AND(Inputs!$B$39&lt;&gt;"pvp",Inputs!$B$44&gt;0),IF(Inputs!$B$44&lt;=0,0,(INT(Inputs!$B$44/IF(Inputs!$B$39="pvp",15,MAX(0.1,Skills!D14-IF(Skills!E14=TRUE,Inputs!$B$33,0))))+1)),0)</f>
        <v/>
      </c>
      <c r="S356" t="n">
        <v>0</v>
      </c>
      <c r="U356" t="n">
        <v>0</v>
      </c>
    </row>
    <row r="357">
      <c r="A357">
        <f>Skills!A15</f>
        <v/>
      </c>
      <c r="B357">
        <f>Skills!B15</f>
        <v/>
      </c>
      <c r="C357">
        <f>Inputs!$B$3&gt;=63</f>
        <v/>
      </c>
      <c r="D357">
        <f>IF(Skills!C15=1,60+Inputs!$B$26+Inputs!$B$30,IF(Skills!C15=2,90+Inputs!$B$27+Inputs!$B$30,IF(Skills!C15=3,120+Inputs!$B$28+Inputs!$B$30,MAX(0,(Inputs!$B$3-100)*3)+Inputs!$B$29+Inputs!$B$30)))</f>
        <v/>
      </c>
      <c r="E357">
        <f>INDEX(FactorTable!$B$2:$Y$301, MATCH(ROUND(MIN(300,MAX(1,D357)),0), FactorTable!$A$2:$A$301,0), Skills!L15+1)</f>
        <v/>
      </c>
      <c r="F357">
        <f>IF(Skills!M15=TRUE,(Skills!K15/10)*(E357/1000),Skills!K15/10)+Skills!N15</f>
        <v/>
      </c>
      <c r="G357">
        <f>Calc!G15</f>
        <v/>
      </c>
      <c r="H357">
        <f>Calc!H15</f>
        <v/>
      </c>
      <c r="I357">
        <f>IF(Skills!T15&lt;&gt;"",1+(Skills!T15/10)*($Z$3/1000)/100,1)</f>
        <v/>
      </c>
      <c r="J357">
        <f>((Inputs!$B$6*(1+Inputs!$B$7/100))+(((Inputs!$B$13*(1+Inputs!$B$14/100))-(Inputs!$B$13*(1+Inputs!$B$14/100)))+0.25*(Inputs!$B$15-Inputs!$B$15))*(1+Inputs!$B$7/100))*(F357/100)</f>
        <v/>
      </c>
      <c r="K357">
        <f>J357*(1+(((Inputs!$B$13+IF(Inputs!$B$3&gt;=35,(10*INDEX(FactorTable!$B$2:$Y$301, MATCH(ROUND(MIN(300,MAX(1,Inputs!$B$3)),0), FactorTable!$A$2:$A$301,0), 23)/1000)/100*(Inputs!$B$8*(1+(Inputs!$B$9+B380)/100)),0))*(1+Inputs!$B$14/100))*0.01+Inputs!$B$15*0.0025)/100)*(1+(Inputs!$B$16+B374)/100)*(1+Inputs!$B$17/100)*(5000/(6000+Inputs!$B$43*(1-Inputs!$B$20/100)))*(1+Inputs!$B$25/100)*(1+IF(C360=TRUE,F360,0)/100)*(1+IF(C362=TRUE,F362,0)/100)*(1+IF(Skills!A15="TRIUMPH_FEATHER",IF(C358=TRUE,F358,0),0)/100)*(1+IF(C369=TRUE,F369,0)/100)^5*(1+(IF(Skills!A15="BIG_BANG",Inputs!$B$18,Inputs!$B$19))/100)*(B371*I357)</f>
        <v/>
      </c>
      <c r="L357">
        <f>K357*(MIN(Inputs!$B$23+(F364-Calc!F22),Inputs!$B$24)/100+Inputs!$B$24/100)/2</f>
        <v/>
      </c>
      <c r="M357">
        <f>L357*(1+(Inputs!$B$11+B375+(F367-Calc!F25))/100)</f>
        <v/>
      </c>
      <c r="N357">
        <f>L357*(1-MIN(Inputs!$B$10+((F366-Calc!F24)+(F365-Calc!F23)),100)/100)+M357*(MIN(Inputs!$B$10+((F366-Calc!F24)+(F365-Calc!F23)),100)/100)</f>
        <v/>
      </c>
      <c r="O357">
        <f>(1-Summary!$B$48)*S357+Summary!$B$48*U357</f>
        <v/>
      </c>
      <c r="P357">
        <f>IF(B384=0,0,O357/B384)</f>
        <v/>
      </c>
      <c r="Q357">
        <f>IFERROR(1/IF(Inputs!$B$39="pvp",15,MAX(0.1,Skills!D15-IF(Skills!E15=TRUE,Inputs!$B$33,0))),0)</f>
        <v/>
      </c>
      <c r="R357" t="n">
        <v>0</v>
      </c>
      <c r="S357">
        <f>IF(C357,(Skills!F15*N357*((IF(Inputs!$B$3&gt;=78,25,15)/100*B377*10)/(1+IF(Inputs!$B$3&gt;=78,25,15)/100*B377*10))*(Skills!I15/100*B377)/(1+Skills!G15*Skills!I15/100*B377))*IF(Inputs!$B$39="pvp",1,1+(Inputs!$B$21+Skills!O15+B372)/100),0)</f>
        <v/>
      </c>
      <c r="U357">
        <f>IF(C357,(Skills!F15*N357*((IF(Inputs!$B$3&gt;=78,25,15)/100*B377*10)/(1+IF(Inputs!$B$3&gt;=78,25,15)/100*B377*10))*(Skills!I15/100*B377)/(1+Skills!G15*Skills!I15/100*B377))*IF(Inputs!$B$39="pvp",1,(1+((Inputs!$B$22+1)+Skills!P15+B373)/100)*(MIN(Skills!Q15,Inputs!$B$38))),0)</f>
        <v/>
      </c>
    </row>
    <row r="358">
      <c r="A358">
        <f>Skills!A16</f>
        <v/>
      </c>
      <c r="B358">
        <f>Skills!B16</f>
        <v/>
      </c>
      <c r="C358">
        <f>Inputs!$B$3&gt;=100</f>
        <v/>
      </c>
      <c r="D358">
        <f>IF(Skills!C16=1,60+Inputs!$B$26+Inputs!$B$30,IF(Skills!C16=2,90+Inputs!$B$27+Inputs!$B$30,IF(Skills!C16=3,120+Inputs!$B$28+Inputs!$B$30,MAX(0,(Inputs!$B$3-100)*3)+Inputs!$B$29+Inputs!$B$30)))</f>
        <v/>
      </c>
      <c r="E358">
        <f>INDEX(FactorTable!$B$2:$Y$301, MATCH(ROUND(MIN(300,MAX(1,D358)),0), FactorTable!$A$2:$A$301,0), Skills!L16+1)</f>
        <v/>
      </c>
      <c r="F358">
        <f>IF(Skills!M16=TRUE,(Skills!K16/10)*(E358/1000),Skills!K16/10)+Skills!N16</f>
        <v/>
      </c>
      <c r="G358">
        <f>Calc!G16</f>
        <v/>
      </c>
      <c r="H358">
        <f>Calc!H16</f>
        <v/>
      </c>
      <c r="I358">
        <f>IF(Skills!T16&lt;&gt;"",1+(Skills!T16/10)*($Z$3/1000)/100,1)</f>
        <v/>
      </c>
      <c r="J358" t="inlineStr"/>
      <c r="K358" t="inlineStr"/>
      <c r="L358" t="inlineStr"/>
      <c r="M358" t="inlineStr"/>
      <c r="N358" t="inlineStr"/>
      <c r="O358">
        <f>(1-Summary!$B$48)*S358+Summary!$B$48*U358</f>
        <v/>
      </c>
      <c r="P358">
        <f>IF(B384=0,0,O358/B384)</f>
        <v/>
      </c>
      <c r="Q358">
        <f>IFERROR(1/IF(Inputs!$B$39="pvp",15,MAX(0.1,Skills!D16-IF(Skills!E16=TRUE,Inputs!$B$33,0))),0)</f>
        <v/>
      </c>
      <c r="R358" t="n">
        <v>0</v>
      </c>
      <c r="S358" t="n">
        <v>0</v>
      </c>
      <c r="U358" t="n">
        <v>0</v>
      </c>
    </row>
    <row r="359">
      <c r="A359">
        <f>Skills!A17</f>
        <v/>
      </c>
      <c r="B359">
        <f>Skills!B17</f>
        <v/>
      </c>
      <c r="C359">
        <f>Inputs!$B$3&gt;=49</f>
        <v/>
      </c>
      <c r="D359">
        <f>IF(Skills!C17=1,60+Inputs!$B$26+Inputs!$B$30,IF(Skills!C17=2,90+Inputs!$B$27+Inputs!$B$30,IF(Skills!C17=3,120+Inputs!$B$28+Inputs!$B$30,MAX(0,(Inputs!$B$3-100)*3)+Inputs!$B$29+Inputs!$B$30)))</f>
        <v/>
      </c>
      <c r="E359">
        <f>INDEX(FactorTable!$B$2:$Y$301, MATCH(ROUND(MIN(300,MAX(1,D359)),0), FactorTable!$A$2:$A$301,0), Skills!L17+1)</f>
        <v/>
      </c>
      <c r="F359">
        <f>IF(Skills!M17=TRUE,(Skills!K17/10)*(E359/1000),Skills!K17/10)+Skills!N17</f>
        <v/>
      </c>
      <c r="G359">
        <f>Calc!G17</f>
        <v/>
      </c>
      <c r="H359">
        <f>Calc!H17</f>
        <v/>
      </c>
      <c r="I359">
        <f>IF(Skills!T17&lt;&gt;"",1+(Skills!T17/10)*($Z$3/1000)/100,1)</f>
        <v/>
      </c>
      <c r="J359" t="inlineStr"/>
      <c r="K359" t="inlineStr"/>
      <c r="L359" t="inlineStr"/>
      <c r="M359" t="inlineStr"/>
      <c r="N359" t="inlineStr"/>
      <c r="O359">
        <f>(1-Summary!$B$48)*S359+Summary!$B$48*U359</f>
        <v/>
      </c>
      <c r="P359">
        <f>IF(B384=0,0,O359/B384)</f>
        <v/>
      </c>
      <c r="Q359">
        <f>IFERROR(1/IF(Inputs!$B$39="pvp",15,MAX(0.1,Skills!D17-IF(Skills!E17=TRUE,Inputs!$B$33,0))),0)</f>
        <v/>
      </c>
      <c r="R359" t="n">
        <v>0</v>
      </c>
      <c r="S359" t="n">
        <v>0</v>
      </c>
      <c r="U359" t="n">
        <v>0</v>
      </c>
    </row>
    <row r="360">
      <c r="A360">
        <f>Skills!A18</f>
        <v/>
      </c>
      <c r="B360">
        <f>Skills!B18</f>
        <v/>
      </c>
      <c r="C360">
        <f>Inputs!$B$3&gt;=75</f>
        <v/>
      </c>
      <c r="D360">
        <f>IF(Skills!C18=1,60+Inputs!$B$26+Inputs!$B$30,IF(Skills!C18=2,90+Inputs!$B$27+Inputs!$B$30,IF(Skills!C18=3,120+Inputs!$B$28+Inputs!$B$30,MAX(0,(Inputs!$B$3-100)*3)+Inputs!$B$29+Inputs!$B$30)))</f>
        <v/>
      </c>
      <c r="E360">
        <f>INDEX(FactorTable!$B$2:$Y$301, MATCH(ROUND(MIN(300,MAX(1,D360)),0), FactorTable!$A$2:$A$301,0), Skills!L18+1)</f>
        <v/>
      </c>
      <c r="F360">
        <f>IF(Skills!M18=TRUE,(Skills!K18/10)*(E360/1000),Skills!K18/10)+Skills!N18</f>
        <v/>
      </c>
      <c r="G360">
        <f>Calc!G18</f>
        <v/>
      </c>
      <c r="H360">
        <f>Calc!H18</f>
        <v/>
      </c>
      <c r="I360">
        <f>IF(Skills!T18&lt;&gt;"",1+(Skills!T18/10)*($Z$3/1000)/100,1)</f>
        <v/>
      </c>
      <c r="J360" t="inlineStr"/>
      <c r="K360" t="inlineStr"/>
      <c r="L360" t="inlineStr"/>
      <c r="M360" t="inlineStr"/>
      <c r="N360" t="inlineStr"/>
      <c r="O360">
        <f>(1-Summary!$B$48)*S360+Summary!$B$48*U360</f>
        <v/>
      </c>
      <c r="P360">
        <f>IF(B384=0,0,O360/B384)</f>
        <v/>
      </c>
      <c r="Q360">
        <f>IFERROR(1/IF(Inputs!$B$39="pvp",15,MAX(0.1,Skills!D18-IF(Skills!E18=TRUE,Inputs!$B$33,0))),0)</f>
        <v/>
      </c>
      <c r="R360" t="n">
        <v>0</v>
      </c>
      <c r="S360" t="n">
        <v>0</v>
      </c>
      <c r="U360" t="n">
        <v>0</v>
      </c>
    </row>
    <row r="361">
      <c r="A361">
        <f>Skills!A19</f>
        <v/>
      </c>
      <c r="B361">
        <f>Skills!B19</f>
        <v/>
      </c>
      <c r="C361">
        <f>Inputs!$B$3&gt;=110</f>
        <v/>
      </c>
      <c r="D361">
        <f>IF(Skills!C19=1,60+Inputs!$B$26+Inputs!$B$30,IF(Skills!C19=2,90+Inputs!$B$27+Inputs!$B$30,IF(Skills!C19=3,120+Inputs!$B$28+Inputs!$B$30,MAX(0,(Inputs!$B$3-100)*3)+Inputs!$B$29+Inputs!$B$30)))</f>
        <v/>
      </c>
      <c r="E361">
        <f>INDEX(FactorTable!$B$2:$Y$301, MATCH(ROUND(MIN(300,MAX(1,D361)),0), FactorTable!$A$2:$A$301,0), Skills!L19+1)</f>
        <v/>
      </c>
      <c r="F361">
        <f>(Skills!K19/10)*(E361/1000)*64/45+Skills!N19</f>
        <v/>
      </c>
      <c r="G361">
        <f>Calc!G19</f>
        <v/>
      </c>
      <c r="H361">
        <f>Calc!H19</f>
        <v/>
      </c>
      <c r="I361">
        <f>IF(Skills!T19&lt;&gt;"",1+(Skills!T19/10)*($Z$3/1000)/100,1)</f>
        <v/>
      </c>
      <c r="J361" t="inlineStr"/>
      <c r="K361" t="inlineStr"/>
      <c r="L361" t="inlineStr"/>
      <c r="M361" t="inlineStr"/>
      <c r="N361" t="inlineStr"/>
      <c r="O361">
        <f>(1-Summary!$B$48)*S361+Summary!$B$48*U361</f>
        <v/>
      </c>
      <c r="P361">
        <f>IF(B384=0,0,O361/B384)</f>
        <v/>
      </c>
      <c r="Q361">
        <f>IFERROR(1/IF(Inputs!$B$39="pvp",15,MAX(0.1,Skills!D19-IF(Skills!E19=TRUE,Inputs!$B$33,0))),0)</f>
        <v/>
      </c>
      <c r="R361">
        <f>IF(AND(Inputs!$B$39&lt;&gt;"pvp",Inputs!$B$44&gt;0),IF(Inputs!$B$44&lt;=0,0,(INT(Inputs!$B$44/IF(Inputs!$B$39="pvp",15,MAX(0.1,Skills!D19-IF(Skills!E19=TRUE,Inputs!$B$33,0))))+1)),0)</f>
        <v/>
      </c>
      <c r="S361" t="n">
        <v>0</v>
      </c>
      <c r="U361" t="n">
        <v>0</v>
      </c>
    </row>
    <row r="362">
      <c r="A362">
        <f>Skills!A20</f>
        <v/>
      </c>
      <c r="B362">
        <f>Skills!B20</f>
        <v/>
      </c>
      <c r="C362">
        <f>Inputs!$B$3&gt;=125</f>
        <v/>
      </c>
      <c r="D362">
        <f>IF(Skills!C20=1,60+Inputs!$B$26+Inputs!$B$30,IF(Skills!C20=2,90+Inputs!$B$27+Inputs!$B$30,IF(Skills!C20=3,120+Inputs!$B$28+Inputs!$B$30,MAX(0,(Inputs!$B$3-100)*3)+Inputs!$B$29+Inputs!$B$30)))</f>
        <v/>
      </c>
      <c r="E362">
        <f>INDEX(FactorTable!$B$2:$Y$301, MATCH(ROUND(MIN(300,MAX(1,D362)),0), FactorTable!$A$2:$A$301,0), Skills!L20+1)</f>
        <v/>
      </c>
      <c r="F362">
        <f>IF(Skills!M20=TRUE,(Skills!K20/10)*(E362/1000),Skills!K20/10)+Skills!N20</f>
        <v/>
      </c>
      <c r="G362">
        <f>Calc!G20</f>
        <v/>
      </c>
      <c r="H362">
        <f>Calc!H20</f>
        <v/>
      </c>
      <c r="I362">
        <f>IF(Skills!T20&lt;&gt;"",1+(Skills!T20/10)*($Z$3/1000)/100,1)</f>
        <v/>
      </c>
      <c r="J362" t="inlineStr"/>
      <c r="K362" t="inlineStr"/>
      <c r="L362" t="inlineStr"/>
      <c r="M362" t="inlineStr"/>
      <c r="N362" t="inlineStr"/>
      <c r="O362">
        <f>(1-Summary!$B$48)*S362+Summary!$B$48*U362</f>
        <v/>
      </c>
      <c r="P362">
        <f>IF(B384=0,0,O362/B384)</f>
        <v/>
      </c>
      <c r="Q362">
        <f>IFERROR(1/IF(Inputs!$B$39="pvp",15,MAX(0.1,Skills!D20-IF(Skills!E20=TRUE,Inputs!$B$33,0))),0)</f>
        <v/>
      </c>
      <c r="R362" t="n">
        <v>0</v>
      </c>
      <c r="S362" t="n">
        <v>0</v>
      </c>
      <c r="U362" t="n">
        <v>0</v>
      </c>
    </row>
    <row r="363">
      <c r="A363">
        <f>Skills!A21</f>
        <v/>
      </c>
      <c r="B363">
        <f>Skills!B21</f>
        <v/>
      </c>
      <c r="C363">
        <f>Inputs!$B$3&gt;=33</f>
        <v/>
      </c>
      <c r="D363">
        <f>IF(Skills!C21=1,60+Inputs!$B$26+Inputs!$B$30,IF(Skills!C21=2,90+Inputs!$B$27+Inputs!$B$30,IF(Skills!C21=3,120+Inputs!$B$28+Inputs!$B$30,MAX(0,(Inputs!$B$3-100)*3)+Inputs!$B$29+Inputs!$B$30)))</f>
        <v/>
      </c>
      <c r="E363">
        <f>INDEX(FactorTable!$B$2:$Y$301, MATCH(ROUND(MIN(300,MAX(1,D363)),0), FactorTable!$A$2:$A$301,0), Skills!L21+1)</f>
        <v/>
      </c>
      <c r="F363">
        <f>IF(Skills!M21=TRUE,(Skills!K21/10)*(E363/1000),Skills!K21/10)+Skills!N21</f>
        <v/>
      </c>
      <c r="G363">
        <f>Calc!G21</f>
        <v/>
      </c>
      <c r="H363">
        <f>Calc!H21</f>
        <v/>
      </c>
      <c r="I363">
        <f>IF(Skills!T21&lt;&gt;"",1+(Skills!T21/10)*($Z$3/1000)/100,1)</f>
        <v/>
      </c>
      <c r="J363" t="inlineStr"/>
      <c r="K363" t="inlineStr"/>
      <c r="L363" t="inlineStr"/>
      <c r="M363" t="inlineStr"/>
      <c r="N363" t="inlineStr"/>
      <c r="O363">
        <f>(1-Summary!$B$48)*S363+Summary!$B$48*U363</f>
        <v/>
      </c>
      <c r="P363">
        <f>IF(B384=0,0,O363/B384)</f>
        <v/>
      </c>
      <c r="Q363">
        <f>IFERROR(1/IF(Inputs!$B$39="pvp",15,MAX(0.1,Skills!D21-IF(Skills!E21=TRUE,Inputs!$B$33,0))),0)</f>
        <v/>
      </c>
      <c r="R363" t="n">
        <v>0</v>
      </c>
      <c r="S363" t="n">
        <v>0</v>
      </c>
      <c r="U363" t="n">
        <v>0</v>
      </c>
    </row>
    <row r="364">
      <c r="A364">
        <f>Skills!A22</f>
        <v/>
      </c>
      <c r="B364">
        <f>Skills!B22</f>
        <v/>
      </c>
      <c r="C364">
        <f>Inputs!$B$3&gt;=43</f>
        <v/>
      </c>
      <c r="D364">
        <f>IF(Skills!C22=1,60+Inputs!$B$26+Inputs!$B$30,IF(Skills!C22=2,90+Inputs!$B$27+Inputs!$B$30,IF(Skills!C22=3,120+Inputs!$B$28+Inputs!$B$30,MAX(0,(Inputs!$B$3-100)*3)+Inputs!$B$29+Inputs!$B$30)))</f>
        <v/>
      </c>
      <c r="E364">
        <f>INDEX(FactorTable!$B$2:$Y$301, MATCH(ROUND(MIN(300,MAX(1,D364)),0), FactorTable!$A$2:$A$301,0), Skills!L22+1)</f>
        <v/>
      </c>
      <c r="F364">
        <f>IF(Skills!M22=TRUE,(Skills!K22/10)*(E364/1000),Skills!K22/10)+Skills!N22</f>
        <v/>
      </c>
      <c r="G364">
        <f>Calc!G22</f>
        <v/>
      </c>
      <c r="H364">
        <f>Calc!H22</f>
        <v/>
      </c>
      <c r="I364">
        <f>IF(Skills!T22&lt;&gt;"",1+(Skills!T22/10)*($Z$3/1000)/100,1)</f>
        <v/>
      </c>
      <c r="J364" t="inlineStr"/>
      <c r="K364" t="inlineStr"/>
      <c r="L364" t="inlineStr"/>
      <c r="M364" t="inlineStr"/>
      <c r="N364" t="inlineStr"/>
      <c r="O364">
        <f>(1-Summary!$B$48)*S364+Summary!$B$48*U364</f>
        <v/>
      </c>
      <c r="P364">
        <f>IF(B384=0,0,O364/B384)</f>
        <v/>
      </c>
      <c r="Q364">
        <f>IFERROR(1/IF(Inputs!$B$39="pvp",15,MAX(0.1,Skills!D22-IF(Skills!E22=TRUE,Inputs!$B$33,0))),0)</f>
        <v/>
      </c>
      <c r="R364" t="n">
        <v>0</v>
      </c>
      <c r="S364" t="n">
        <v>0</v>
      </c>
      <c r="U364" t="n">
        <v>0</v>
      </c>
    </row>
    <row r="365">
      <c r="A365">
        <f>Skills!A23</f>
        <v/>
      </c>
      <c r="B365">
        <f>Skills!B23</f>
        <v/>
      </c>
      <c r="C365">
        <f>Inputs!$B$3&gt;=50</f>
        <v/>
      </c>
      <c r="D365">
        <f>IF(Skills!C23=1,60+Inputs!$B$26+Inputs!$B$30,IF(Skills!C23=2,90+Inputs!$B$27+Inputs!$B$30,IF(Skills!C23=3,120+Inputs!$B$28+Inputs!$B$30,MAX(0,(Inputs!$B$3-100)*3)+Inputs!$B$29+Inputs!$B$30)))</f>
        <v/>
      </c>
      <c r="E365">
        <f>INDEX(FactorTable!$B$2:$Y$301, MATCH(ROUND(MIN(300,MAX(1,D365)),0), FactorTable!$A$2:$A$301,0), Skills!L23+1)</f>
        <v/>
      </c>
      <c r="F365">
        <f>IF(Skills!M23=TRUE,(Skills!K23/10)*(E365/1000),Skills!K23/10)+Skills!N23</f>
        <v/>
      </c>
      <c r="G365">
        <f>Calc!G23</f>
        <v/>
      </c>
      <c r="H365">
        <f>Calc!H23</f>
        <v/>
      </c>
      <c r="I365">
        <f>IF(Skills!T23&lt;&gt;"",1+(Skills!T23/10)*($Z$3/1000)/100,1)</f>
        <v/>
      </c>
      <c r="J365" t="inlineStr"/>
      <c r="K365" t="inlineStr"/>
      <c r="L365" t="inlineStr"/>
      <c r="M365" t="inlineStr"/>
      <c r="N365" t="inlineStr"/>
      <c r="O365">
        <f>(1-Summary!$B$48)*S365+Summary!$B$48*U365</f>
        <v/>
      </c>
      <c r="P365">
        <f>IF(B384=0,0,O365/B384)</f>
        <v/>
      </c>
      <c r="Q365">
        <f>IFERROR(1/IF(Inputs!$B$39="pvp",15,MAX(0.1,Skills!D23-IF(Skills!E23=TRUE,Inputs!$B$33,0))),0)</f>
        <v/>
      </c>
      <c r="R365" t="n">
        <v>0</v>
      </c>
      <c r="S365" t="n">
        <v>0</v>
      </c>
      <c r="U365" t="n">
        <v>0</v>
      </c>
    </row>
    <row r="366">
      <c r="A366">
        <f>Skills!A24</f>
        <v/>
      </c>
      <c r="B366">
        <f>Skills!B24</f>
        <v/>
      </c>
      <c r="C366">
        <f>Inputs!$B$3&gt;=74</f>
        <v/>
      </c>
      <c r="D366">
        <f>IF(Skills!C24=1,60+Inputs!$B$26+Inputs!$B$30,IF(Skills!C24=2,90+Inputs!$B$27+Inputs!$B$30,IF(Skills!C24=3,120+Inputs!$B$28+Inputs!$B$30,MAX(0,(Inputs!$B$3-100)*3)+Inputs!$B$29+Inputs!$B$30)))</f>
        <v/>
      </c>
      <c r="E366">
        <f>INDEX(FactorTable!$B$2:$Y$301, MATCH(ROUND(MIN(300,MAX(1,D366)),0), FactorTable!$A$2:$A$301,0), Skills!L24+1)</f>
        <v/>
      </c>
      <c r="F366">
        <f>IF(Skills!M24=TRUE,(Skills!K24/10)*(E366/1000),Skills!K24/10)+Skills!N24</f>
        <v/>
      </c>
      <c r="G366">
        <f>Calc!G24</f>
        <v/>
      </c>
      <c r="H366">
        <f>Calc!H24</f>
        <v/>
      </c>
      <c r="I366">
        <f>IF(Skills!T24&lt;&gt;"",1+(Skills!T24/10)*($Z$3/1000)/100,1)</f>
        <v/>
      </c>
      <c r="J366" t="inlineStr"/>
      <c r="K366" t="inlineStr"/>
      <c r="L366" t="inlineStr"/>
      <c r="M366" t="inlineStr"/>
      <c r="N366" t="inlineStr"/>
      <c r="O366">
        <f>(1-Summary!$B$48)*S366+Summary!$B$48*U366</f>
        <v/>
      </c>
      <c r="P366">
        <f>IF(B384=0,0,O366/B384)</f>
        <v/>
      </c>
      <c r="Q366">
        <f>IFERROR(1/IF(Inputs!$B$39="pvp",15,MAX(0.1,Skills!D24-IF(Skills!E24=TRUE,Inputs!$B$33,0))),0)</f>
        <v/>
      </c>
      <c r="R366" t="n">
        <v>0</v>
      </c>
      <c r="S366" t="n">
        <v>0</v>
      </c>
      <c r="U366" t="n">
        <v>0</v>
      </c>
    </row>
    <row r="367">
      <c r="A367">
        <f>Skills!A25</f>
        <v/>
      </c>
      <c r="B367">
        <f>Skills!B25</f>
        <v/>
      </c>
      <c r="C367">
        <f>Inputs!$B$3&gt;=74</f>
        <v/>
      </c>
      <c r="D367">
        <f>IF(Skills!C25=1,60+Inputs!$B$26+Inputs!$B$30,IF(Skills!C25=2,90+Inputs!$B$27+Inputs!$B$30,IF(Skills!C25=3,120+Inputs!$B$28+Inputs!$B$30,MAX(0,(Inputs!$B$3-100)*3)+Inputs!$B$29+Inputs!$B$30)))</f>
        <v/>
      </c>
      <c r="E367">
        <f>INDEX(FactorTable!$B$2:$Y$301, MATCH(ROUND(MIN(300,MAX(1,D367)),0), FactorTable!$A$2:$A$301,0), Skills!L25+1)</f>
        <v/>
      </c>
      <c r="F367">
        <f>IF(Skills!M25=TRUE,(Skills!K25/10)*(E367/1000),Skills!K25/10)+Skills!N25</f>
        <v/>
      </c>
      <c r="G367">
        <f>Calc!G25</f>
        <v/>
      </c>
      <c r="H367">
        <f>Calc!H25</f>
        <v/>
      </c>
      <c r="I367">
        <f>IF(Skills!T25&lt;&gt;"",1+(Skills!T25/10)*($Z$3/1000)/100,1)</f>
        <v/>
      </c>
      <c r="J367" t="inlineStr"/>
      <c r="K367" t="inlineStr"/>
      <c r="L367" t="inlineStr"/>
      <c r="M367" t="inlineStr"/>
      <c r="N367" t="inlineStr"/>
      <c r="O367">
        <f>(1-Summary!$B$48)*S367+Summary!$B$48*U367</f>
        <v/>
      </c>
      <c r="P367">
        <f>IF(B384=0,0,O367/B384)</f>
        <v/>
      </c>
      <c r="Q367">
        <f>IFERROR(1/IF(Inputs!$B$39="pvp",15,MAX(0.1,Skills!D25-IF(Skills!E25=TRUE,Inputs!$B$33,0))),0)</f>
        <v/>
      </c>
      <c r="R367" t="n">
        <v>0</v>
      </c>
      <c r="S367" t="n">
        <v>0</v>
      </c>
      <c r="U367" t="n">
        <v>0</v>
      </c>
    </row>
    <row r="368">
      <c r="A368">
        <f>Skills!A26</f>
        <v/>
      </c>
      <c r="B368">
        <f>Skills!B26</f>
        <v/>
      </c>
      <c r="C368">
        <f>Inputs!$B$3&gt;=117</f>
        <v/>
      </c>
      <c r="D368">
        <f>IF(Skills!C26=1,60+Inputs!$B$26+Inputs!$B$30,IF(Skills!C26=2,90+Inputs!$B$27+Inputs!$B$30,IF(Skills!C26=3,120+Inputs!$B$28+Inputs!$B$30,MAX(0,(Inputs!$B$3-100)*3)+Inputs!$B$29+Inputs!$B$30)))</f>
        <v/>
      </c>
      <c r="E368">
        <f>INDEX(FactorTable!$B$2:$Y$301, MATCH(ROUND(MIN(300,MAX(1,D368)),0), FactorTable!$A$2:$A$301,0), Skills!L26+1)</f>
        <v/>
      </c>
      <c r="F368">
        <f>IF(Skills!M26=TRUE,(Skills!K26/10)*(E368/1000),Skills!K26/10)+Skills!N26</f>
        <v/>
      </c>
      <c r="G368">
        <f>Calc!G26</f>
        <v/>
      </c>
      <c r="H368">
        <f>Calc!H26</f>
        <v/>
      </c>
      <c r="I368">
        <f>IF(Skills!T26&lt;&gt;"",1+(Skills!T26/10)*($Z$3/1000)/100,1)</f>
        <v/>
      </c>
      <c r="J368" t="inlineStr"/>
      <c r="K368" t="inlineStr"/>
      <c r="L368" t="inlineStr"/>
      <c r="M368" t="inlineStr"/>
      <c r="N368" t="inlineStr"/>
      <c r="O368">
        <f>(1-Summary!$B$48)*S368+Summary!$B$48*U368</f>
        <v/>
      </c>
      <c r="P368">
        <f>IF(B384=0,0,O368/B384)</f>
        <v/>
      </c>
      <c r="Q368">
        <f>IFERROR(1/IF(Inputs!$B$39="pvp",15,MAX(0.1,Skills!D26-IF(Skills!E26=TRUE,Inputs!$B$33,0))),0)</f>
        <v/>
      </c>
      <c r="R368" t="n">
        <v>0</v>
      </c>
      <c r="S368" t="n">
        <v>0</v>
      </c>
      <c r="U368" t="n">
        <v>0</v>
      </c>
    </row>
    <row r="369">
      <c r="A369">
        <f>Skills!A27</f>
        <v/>
      </c>
      <c r="B369">
        <f>Skills!B27</f>
        <v/>
      </c>
      <c r="C369">
        <f>Inputs!$B$3&gt;=120</f>
        <v/>
      </c>
      <c r="D369">
        <f>IF(Skills!C27=1,60+Inputs!$B$26+Inputs!$B$30,IF(Skills!C27=2,90+Inputs!$B$27+Inputs!$B$30,IF(Skills!C27=3,120+Inputs!$B$28+Inputs!$B$30,MAX(0,(Inputs!$B$3-100)*3)+Inputs!$B$29+Inputs!$B$30)))</f>
        <v/>
      </c>
      <c r="E369">
        <f>INDEX(FactorTable!$B$2:$Y$301, MATCH(ROUND(MIN(300,MAX(1,D369)),0), FactorTable!$A$2:$A$301,0), Skills!L27+1)</f>
        <v/>
      </c>
      <c r="F369">
        <f>IF(Skills!M27=TRUE,(Skills!K27/10)*(E369/1000),Skills!K27/10)+Skills!N27</f>
        <v/>
      </c>
      <c r="G369">
        <f>Calc!G27</f>
        <v/>
      </c>
      <c r="H369">
        <f>Calc!H27</f>
        <v/>
      </c>
      <c r="I369">
        <f>IF(Skills!T27&lt;&gt;"",1+(Skills!T27/10)*($Z$3/1000)/100,1)</f>
        <v/>
      </c>
      <c r="J369" t="inlineStr"/>
      <c r="K369" t="inlineStr"/>
      <c r="L369" t="inlineStr"/>
      <c r="M369" t="inlineStr"/>
      <c r="N369" t="inlineStr"/>
      <c r="O369">
        <f>(1-Summary!$B$48)*S369+Summary!$B$48*U369</f>
        <v/>
      </c>
      <c r="P369">
        <f>IF(B384=0,0,O369/B384)</f>
        <v/>
      </c>
      <c r="Q369">
        <f>IFERROR(1/IF(Inputs!$B$39="pvp",15,MAX(0.1,Skills!D27-IF(Skills!E27=TRUE,Inputs!$B$33,0))),0)</f>
        <v/>
      </c>
      <c r="R369" t="n">
        <v>0</v>
      </c>
      <c r="S369" t="n">
        <v>0</v>
      </c>
      <c r="U369" t="n">
        <v>0</v>
      </c>
    </row>
    <row r="371">
      <c r="A371" t="inlineStr">
        <is>
          <t>Average Buff Multiplier</t>
        </is>
      </c>
      <c r="B371">
        <f>(1+(IF(C345=TRUE,F345*IF(AND(Inputs!$B$39&lt;&gt;"pvp",Inputs!$B$44&gt;0),(((R345-1)*(Skills!S3*(1+(Inputs!$B$35+IF(Inputs!$B$3&gt;=117,F368,0))/100))+MIN((Skills!S3*(1+(Inputs!$B$35+IF(Inputs!$B$3&gt;=117,F368,0))/100)),MAX(0,Inputs!$B$44-((R345-1)*Skills!D3))))/Inputs!$B$44),IF(Inputs!$B$39="pvp",MIN((Skills!S3*(1+(Inputs!$B$35+IF(Inputs!$B$3&gt;=117,F368,0))/100)),15)/15,(Skills!S3*(1+(Inputs!$B$35+IF(Inputs!$B$3&gt;=117,F368,0))/100))/Skills!D3)),0)+IF(C346=TRUE,F346*IF(AND(Inputs!$B$39&lt;&gt;"pvp",Inputs!$B$44&gt;0),(((R346-1)*(Skills!S4*(1+(Inputs!$B$35+IF(Inputs!$B$3&gt;=117,F368,0))/100))+MIN((Skills!S4*(1+(Inputs!$B$35+IF(Inputs!$B$3&gt;=117,F368,0))/100)),MAX(0,Inputs!$B$44-((R346-1)*Skills!D4))))/Inputs!$B$44),IF(Inputs!$B$39="pvp",MIN((Skills!S4*(1+(Inputs!$B$35+IF(Inputs!$B$3&gt;=117,F368,0))/100)),15)/15,(Skills!S4*(1+(Inputs!$B$35+IF(Inputs!$B$3&gt;=117,F368,0))/100))/Skills!D4)),0)+IF(C347=TRUE,F347*IF(AND(Inputs!$B$39&lt;&gt;"pvp",Inputs!$B$44&gt;0),(((R347-1)*(Skills!S5*(1+(Inputs!$B$35+IF(Inputs!$B$3&gt;=117,F368,0))/100))+MIN((Skills!S5*(1+(Inputs!$B$35+IF(Inputs!$B$3&gt;=117,F368,0))/100)),MAX(0,Inputs!$B$44-((R347-1)*Skills!D5))))/Inputs!$B$44),IF(Inputs!$B$39="pvp",MIN((Skills!S5*(1+(Inputs!$B$35+IF(Inputs!$B$3&gt;=117,F368,0))/100)),15)/15,(Skills!S5*(1+(Inputs!$B$35+IF(Inputs!$B$3&gt;=117,F368,0))/100))/Skills!D5)),0)+IF(C353=TRUE,F353*IF(AND(Inputs!$B$39&lt;&gt;"pvp",Inputs!$B$44&gt;0),(((R353-1)*(Skills!S11*(1+(Inputs!$B$35+IF(Inputs!$B$3&gt;=117,F368,0))/100))+MIN((Skills!S11*(1+(Inputs!$B$35+IF(Inputs!$B$3&gt;=117,F368,0))/100)),MAX(0,Inputs!$B$44-((R353-1)*Skills!D11))))/Inputs!$B$44),IF(Inputs!$B$39="pvp",MIN((Skills!S11*(1+(Inputs!$B$35+IF(Inputs!$B$3&gt;=117,F368,0))/100)),15)/15,(Skills!S11*(1+(Inputs!$B$35+IF(Inputs!$B$3&gt;=117,F368,0))/100))/Skills!D11)),0))/100)*IF(C356=TRUE,(1+F356*IF(AND(Inputs!$B$39&lt;&gt;"pvp",Inputs!$B$44&gt;0),(((R356-1)*(Skills!S14*(1+(Inputs!$B$35+IF(Inputs!$B$3&gt;=117,F368,0))/100))+MIN((Skills!S14*(1+(Inputs!$B$35+IF(Inputs!$B$3&gt;=117,F368,0))/100)),MAX(0,Inputs!$B$44-((R356-1)*Skills!D14))))/Inputs!$B$44),IF(Inputs!$B$39="pvp",MIN((Skills!S14*(1+(Inputs!$B$35+IF(Inputs!$B$3&gt;=117,F368,0))/100)),15)/15,(Skills!S14*(1+(Inputs!$B$35+IF(Inputs!$B$3&gt;=117,F368,0))/100))/Skills!D14))/100),1)*IF(C361=TRUE,(1+F361*IF(AND(Inputs!$B$39&lt;&gt;"pvp",Inputs!$B$44&gt;0),(((R361-1)*(Skills!S19*(1+(Inputs!$B$35+IF(Inputs!$B$3&gt;=117,F368,0))/100))+MIN((Skills!S19*(1+(Inputs!$B$35+IF(Inputs!$B$3&gt;=117,F368,0))/100)),MAX(0,Inputs!$B$44-((R361-1)*Skills!D19))))/Inputs!$B$44),IF(Inputs!$B$39="pvp",MIN((Skills!S19*(1+(Inputs!$B$35+IF(Inputs!$B$3&gt;=117,F368,0))/100)),15)/15,(Skills!S19*(1+(Inputs!$B$35+IF(Inputs!$B$3&gt;=117,F368,0))/100))/Skills!D19))/100),1)</f>
        <v/>
      </c>
    </row>
    <row r="372">
      <c r="A372" t="inlineStr">
        <is>
          <t>Monster Damage Taken Bonus % (Holy Fountain)</t>
        </is>
      </c>
      <c r="B372">
        <f>IF(Inputs!$B$3&gt;=68,20*IF(Inputs!$B$39="pvp",MIN((15*(1+(Inputs!$B$35+IF(Inputs!$B$3&gt;=117,F368,0))/100)),15)/15,(15*(1+(Inputs!$B$35+IF(Inputs!$B$3&gt;=117,F368,0))/100))/Skills!D10),0)</f>
        <v/>
      </c>
    </row>
    <row r="373">
      <c r="A373" t="inlineStr">
        <is>
          <t>Normal Monster Damage Bonus % (Holy Symbol)</t>
        </is>
      </c>
      <c r="B373">
        <f>IF(C354=TRUE,F354*IF(AND(Inputs!$B$39&lt;&gt;"pvp",Inputs!$B$44&gt;0),(((R354-1)*(Skills!S12*(1+(Inputs!$B$35+IF(Inputs!$B$3&gt;=117,F368,0))/100))+MIN((Skills!S12*(1+(Inputs!$B$35+IF(Inputs!$B$3&gt;=117,F368,0))/100)),MAX(0,Inputs!$B$44-((R354-1)*Skills!D12))))/Inputs!$B$44),IF(Inputs!$B$39="pvp",MIN((Skills!S12*(1+(Inputs!$B$35+IF(Inputs!$B$3&gt;=117,F368,0))/100)),15)/15,(Skills!S12*(1+(Inputs!$B$35+IF(Inputs!$B$3&gt;=117,F368,0))/100))/Skills!D12)),0)</f>
        <v/>
      </c>
    </row>
    <row r="374">
      <c r="A374" t="inlineStr">
        <is>
          <t>Damage % Bonus (Holy Symbol - Damage Boost)</t>
        </is>
      </c>
      <c r="B374">
        <f>Skills!O12</f>
        <v/>
      </c>
    </row>
    <row r="375">
      <c r="A375" t="inlineStr">
        <is>
          <t>Crit Damage % Bonus (Blood of the Divine)</t>
        </is>
      </c>
      <c r="B375">
        <f>4*IF(C362=TRUE,F362,0)</f>
        <v/>
      </c>
    </row>
    <row r="376">
      <c r="A376" t="inlineStr">
        <is>
          <t>Attack Speed Bonus %</t>
        </is>
      </c>
      <c r="B376">
        <f>IF(C359=TRUE,F359+(F363-Calc!F21),0)+IF(Inputs!$B$3&gt;=134,15,0)</f>
        <v/>
      </c>
    </row>
    <row r="377">
      <c r="A377" t="inlineStr">
        <is>
          <t>Actions Per Second</t>
        </is>
      </c>
      <c r="B377">
        <f>1+MIN(150,150*(1-(1-Inputs!$B$12/150)*(1-B376/150)))/100</f>
        <v/>
      </c>
    </row>
    <row r="378">
      <c r="A378" t="inlineStr">
        <is>
          <t>Skill + Buff Cast Rate</t>
        </is>
      </c>
      <c r="B378">
        <f>IF(AND(Inputs!$B$39&lt;&gt;"pvp",Inputs!$B$44&gt;0),SUMPRODUCT((Skills!E2:E27=TRUE)*(C344:C369=TRUE)*R344:R369)/Inputs!$B$44,SUMPRODUCT((Skills!E2:E27=TRUE)*(C344:C369=TRUE)*Q344:Q369))</f>
        <v/>
      </c>
    </row>
    <row r="379">
      <c r="A379" t="inlineStr">
        <is>
          <t>Big Bang Casts Per Second</t>
        </is>
      </c>
      <c r="B379">
        <f>MAX(0,B377-B378)</f>
        <v/>
      </c>
    </row>
    <row r="380">
      <c r="A380" t="inlineStr">
        <is>
          <t>Defense % Bonus (Divine Protection)</t>
        </is>
      </c>
      <c r="B380">
        <f>IF(C355=TRUE,F355*IF(AND(Inputs!$B$39&lt;&gt;"pvp",Inputs!$B$44&gt;0),(((R355-1)*(Skills!S13*(1+(Inputs!$B$35+IF(Inputs!$B$3&gt;=117,F368,0))/100))+MIN((Skills!S13*(1+(Inputs!$B$35+IF(Inputs!$B$3&gt;=117,F368,0))/100)),MAX(0,Inputs!$B$44-((R355-1)*Skills!D13))))/Inputs!$B$44),IF(Inputs!$B$39="pvp",MIN((Skills!S13*(1+(Inputs!$B$35+IF(Inputs!$B$3&gt;=117,F368,0))/100)),15)/15,(Skills!S13*(1+(Inputs!$B$35+IF(Inputs!$B$3&gt;=117,F368,0))/100))/Skills!D13)),0)</f>
        <v/>
      </c>
    </row>
    <row r="381">
      <c r="A381" t="inlineStr">
        <is>
          <t>Buff-Casting Startup Delay (s, fixed-duration only)</t>
        </is>
      </c>
      <c r="B381">
        <f>IF(AND(Inputs!$B$39&lt;&gt;"pvp",Inputs!$B$44&gt;0),SUMPRODUCT((Skills!S2:S27&gt;0)*(Skills!E2:E27=TRUE)*(C344:C369=TRUE))/B377,0)</f>
        <v/>
      </c>
    </row>
    <row r="382">
      <c r="A382" t="inlineStr">
        <is>
          <t>Boss-Only Total DPS (this block's swept value)</t>
        </is>
      </c>
      <c r="B382">
        <f>SUM(S344:S369)</f>
        <v/>
      </c>
    </row>
    <row r="383">
      <c r="A383" t="inlineStr">
        <is>
          <t>Normal-Only Total DPS (this block's swept value)</t>
        </is>
      </c>
      <c r="B383">
        <f>SUM(U344:U369)</f>
        <v/>
      </c>
    </row>
    <row r="384">
      <c r="A384" s="5" t="inlineStr">
        <is>
          <t>TOTAL DPS</t>
        </is>
      </c>
      <c r="B384" s="5">
        <f>SUM(O344:O369)</f>
        <v/>
      </c>
    </row>
    <row r="386">
      <c r="A386" s="5" t="inlineStr">
        <is>
          <t>Stat: FINAL_DAMAGE % (multiplicative source)</t>
        </is>
      </c>
    </row>
    <row r="387">
      <c r="A387" s="9" t="inlineStr">
        <is>
          <t>Key</t>
        </is>
      </c>
      <c r="B387" s="9" t="inlineStr">
        <is>
          <t>Name</t>
        </is>
      </c>
      <c r="C387" s="9" t="inlineStr">
        <is>
          <t>Unlocked</t>
        </is>
      </c>
      <c r="D387" s="9" t="inlineStr">
        <is>
          <t>InputLevel</t>
        </is>
      </c>
      <c r="E387" s="9" t="inlineStr">
        <is>
          <t>Factor</t>
        </is>
      </c>
      <c r="F387" s="9" t="inlineStr">
        <is>
          <t>CoefficientPercent</t>
        </is>
      </c>
      <c r="G387" s="9" t="inlineStr">
        <is>
          <t>EffectiveHits</t>
        </is>
      </c>
      <c r="H387" s="9" t="inlineStr">
        <is>
          <t>ProcProbability</t>
        </is>
      </c>
      <c r="I387" s="9" t="inlineStr">
        <is>
          <t>MapleHeroMultiplier</t>
        </is>
      </c>
      <c r="J387" s="9" t="inlineStr">
        <is>
          <t>BaseDamage</t>
        </is>
      </c>
      <c r="K387" s="9" t="inlineStr">
        <is>
          <t>BaseHitDamage</t>
        </is>
      </c>
      <c r="L387" s="9" t="inlineStr">
        <is>
          <t>NonCritAvg</t>
        </is>
      </c>
      <c r="M387" s="9" t="inlineStr">
        <is>
          <t>CritAvg</t>
        </is>
      </c>
      <c r="N387" s="9" t="inlineStr">
        <is>
          <t>ExpectedDamage(perHit)</t>
        </is>
      </c>
      <c r="O387" s="9" t="inlineStr">
        <is>
          <t>DPS</t>
        </is>
      </c>
      <c r="P387" s="9" t="inlineStr">
        <is>
          <t>% of Total</t>
        </is>
      </c>
      <c r="R387" t="inlineStr">
        <is>
          <t>helpers</t>
        </is>
      </c>
    </row>
    <row r="388">
      <c r="A388">
        <f>Skills!A2</f>
        <v/>
      </c>
      <c r="B388">
        <f>Skills!B2</f>
        <v/>
      </c>
      <c r="C388">
        <f>Inputs!$B$3&gt;=100</f>
        <v/>
      </c>
      <c r="D388" t="inlineStr"/>
      <c r="E388" t="inlineStr"/>
      <c r="F388">
        <f>T390+Skills!N2</f>
        <v/>
      </c>
      <c r="G388">
        <f>Calc!G2</f>
        <v/>
      </c>
      <c r="H388">
        <f>Calc!H2</f>
        <v/>
      </c>
      <c r="I388">
        <f>IF(Skills!T2&lt;&gt;"",1+(Skills!T2/10)*($Z$3/1000)/100,1)</f>
        <v/>
      </c>
      <c r="J388">
        <f>((Inputs!$B$6*(1+Inputs!$B$7/100))+(((Inputs!$B$13*(1+Inputs!$B$14/100))-(Inputs!$B$13*(1+Inputs!$B$14/100)))+0.25*(Inputs!$B$15-Inputs!$B$15))*(1+Inputs!$B$7/100))*(F388/100)</f>
        <v/>
      </c>
      <c r="K388">
        <f>J388*(1+(((Inputs!$B$13+IF(Inputs!$B$3&gt;=35,(10*INDEX(FactorTable!$B$2:$Y$301, MATCH(ROUND(MIN(300,MAX(1,Inputs!$B$3)),0), FactorTable!$A$2:$A$301,0), 23)/1000)/100*(Inputs!$B$8*(1+(Inputs!$B$9+B424)/100)),0))*(1+Inputs!$B$14/100))*0.01+Inputs!$B$15*0.0025)/100)*(1+(Inputs!$B$16+B418)/100)*(1+Inputs!$B$17/100)*(5000/(6000+Inputs!$B$43*(1-Inputs!$B$20/100)))*(1+((((1+Inputs!$B$25/100)*(1.01))-1)*100)/100)*(1+IF(C404=TRUE,F404,0)/100)*(1+IF(C406=TRUE,F406,0)/100)*(1+IF(Skills!A2="TRIUMPH_FEATHER",IF(C402=TRUE,F402,0),0)/100)*(1+IF(C413=TRUE,F413,0)/100)^5*(1+(IF(Skills!A2="BIG_BANG",Inputs!$B$18,Inputs!$B$19))/100)*(B415*I388)</f>
        <v/>
      </c>
      <c r="L388">
        <f>K388*(MIN(Inputs!$B$23+(F408-Calc!F22),Inputs!$B$24)/100+Inputs!$B$24/100)/2</f>
        <v/>
      </c>
      <c r="M388">
        <f>L388*(1+(Inputs!$B$11+B419+(F411-Calc!F25))/100)</f>
        <v/>
      </c>
      <c r="N388">
        <f>L388*(1-MIN(Inputs!$B$10+((F410-Calc!F24)+(F409-Calc!F23)),100)/100)+M388*(MIN(Inputs!$B$10+((F410-Calc!F24)+(F409-Calc!F23)),100)/100)</f>
        <v/>
      </c>
      <c r="O388">
        <f>(1-Summary!$B$48)*S388+Summary!$B$48*U388</f>
        <v/>
      </c>
      <c r="P388">
        <f>IF(B428=0,0,O388/B428)</f>
        <v/>
      </c>
      <c r="Q388">
        <f>IFERROR(1/IF(Inputs!$B$39="pvp",15,MAX(0.1,Skills!D2-IF(Skills!E2=TRUE,Inputs!$B$33,0))),0)</f>
        <v/>
      </c>
      <c r="R388" t="n">
        <v>0</v>
      </c>
      <c r="S388">
        <f>IF(C388,(Skills!F2*N388*B423)*IF(Inputs!$B$39="pvp",1,1+(Inputs!$B$21+Skills!O2+B416)/100),0)</f>
        <v/>
      </c>
      <c r="T388">
        <f>MAX(0,(Inputs!$B$3-100)*3)+Inputs!$B$29+Inputs!$B$30</f>
        <v/>
      </c>
      <c r="U388">
        <f>IF(C388,(Skills!F2*N388*B423)*IF(Inputs!$B$39="pvp",1,(1+(Inputs!$B$22+Skills!P2+B417)/100)*(MIN((6+Inputs!$B$34),Inputs!$B$38))),0)</f>
        <v/>
      </c>
    </row>
    <row r="389">
      <c r="A389">
        <f>Skills!A3</f>
        <v/>
      </c>
      <c r="B389">
        <f>Skills!B3</f>
        <v/>
      </c>
      <c r="C389">
        <f>Inputs!$B$3&gt;=15</f>
        <v/>
      </c>
      <c r="D389">
        <f>IF(Skills!C3=1,60+Inputs!$B$26+Inputs!$B$30,IF(Skills!C3=2,90+Inputs!$B$27+Inputs!$B$30,IF(Skills!C3=3,120+Inputs!$B$28+Inputs!$B$30,MAX(0,(Inputs!$B$3-100)*3)+Inputs!$B$29+Inputs!$B$30)))</f>
        <v/>
      </c>
      <c r="E389">
        <f>INDEX(FactorTable!$B$2:$Y$301, MATCH(ROUND(MIN(300,MAX(1,D389)),0), FactorTable!$A$2:$A$301,0), Skills!L3+1)</f>
        <v/>
      </c>
      <c r="F389">
        <f>IF(Skills!M3=TRUE,(Skills!K3/10)*(E389/1000),Skills!K3/10)+Skills!N3</f>
        <v/>
      </c>
      <c r="G389">
        <f>Calc!G3</f>
        <v/>
      </c>
      <c r="H389">
        <f>Calc!H3</f>
        <v/>
      </c>
      <c r="I389">
        <f>IF(Skills!T3&lt;&gt;"",1+(Skills!T3/10)*($Z$3/1000)/100,1)</f>
        <v/>
      </c>
      <c r="J389" t="inlineStr"/>
      <c r="K389" t="inlineStr"/>
      <c r="L389" t="inlineStr"/>
      <c r="M389" t="inlineStr"/>
      <c r="N389" t="inlineStr"/>
      <c r="O389">
        <f>(1-Summary!$B$48)*S389+Summary!$B$48*U389</f>
        <v/>
      </c>
      <c r="P389">
        <f>IF(B428=0,0,O389/B428)</f>
        <v/>
      </c>
      <c r="Q389">
        <f>IFERROR(1/IF(Inputs!$B$39="pvp",15,MAX(0.1,Skills!D3-IF(Skills!E3=TRUE,Inputs!$B$33,0))),0)</f>
        <v/>
      </c>
      <c r="R389">
        <f>IF(AND(Inputs!$B$39&lt;&gt;"pvp",Inputs!$B$44&gt;0),IF(Inputs!$B$44&lt;=0,0,(INT(Inputs!$B$44/IF(Inputs!$B$39="pvp",15,MAX(0.1,Skills!D3-IF(Skills!E3=TRUE,Inputs!$B$33,0))))+1)),0)</f>
        <v/>
      </c>
      <c r="S389" t="n">
        <v>0</v>
      </c>
      <c r="T389">
        <f>INDEX(FactorTable!$B$2:$Y$301, MATCH(ROUND(MIN(300,MAX(1,T388)),0), FactorTable!$A$2:$A$301,0), 22)</f>
        <v/>
      </c>
      <c r="U389" t="n">
        <v>0</v>
      </c>
    </row>
    <row r="390">
      <c r="A390">
        <f>Skills!A4</f>
        <v/>
      </c>
      <c r="B390">
        <f>Skills!B4</f>
        <v/>
      </c>
      <c r="C390">
        <f>Inputs!$B$3&gt;=38</f>
        <v/>
      </c>
      <c r="D390">
        <f>IF(Skills!C4=1,60+Inputs!$B$26+Inputs!$B$30,IF(Skills!C4=2,90+Inputs!$B$27+Inputs!$B$30,IF(Skills!C4=3,120+Inputs!$B$28+Inputs!$B$30,MAX(0,(Inputs!$B$3-100)*3)+Inputs!$B$29+Inputs!$B$30)))</f>
        <v/>
      </c>
      <c r="E390">
        <f>INDEX(FactorTable!$B$2:$Y$301, MATCH(ROUND(MIN(300,MAX(1,D390)),0), FactorTable!$A$2:$A$301,0), Skills!L4+1)</f>
        <v/>
      </c>
      <c r="F390">
        <f>IF(Skills!M4=TRUE,(Skills!K4/10)*(E390/1000),Skills!K4/10)+Skills!N4</f>
        <v/>
      </c>
      <c r="G390">
        <f>Calc!G4</f>
        <v/>
      </c>
      <c r="H390">
        <f>Calc!H4</f>
        <v/>
      </c>
      <c r="I390">
        <f>IF(Skills!T4&lt;&gt;"",1+(Skills!T4/10)*($Z$3/1000)/100,1)</f>
        <v/>
      </c>
      <c r="J390" t="inlineStr"/>
      <c r="K390" t="inlineStr"/>
      <c r="L390" t="inlineStr"/>
      <c r="M390" t="inlineStr"/>
      <c r="N390" t="inlineStr"/>
      <c r="O390">
        <f>(1-Summary!$B$48)*S390+Summary!$B$48*U390</f>
        <v/>
      </c>
      <c r="P390">
        <f>IF(B428=0,0,O390/B428)</f>
        <v/>
      </c>
      <c r="Q390">
        <f>IFERROR(1/IF(Inputs!$B$39="pvp",15,MAX(0.1,Skills!D4-IF(Skills!E4=TRUE,Inputs!$B$33,0))),0)</f>
        <v/>
      </c>
      <c r="R390">
        <f>IF(AND(Inputs!$B$39&lt;&gt;"pvp",Inputs!$B$44&gt;0),IF(Inputs!$B$44&lt;=0,0,(INT(Inputs!$B$44/IF(Inputs!$B$39="pvp",15,MAX(0.1,Skills!D4-IF(Skills!E4=TRUE,Inputs!$B$33,0))))+1)),0)</f>
        <v/>
      </c>
      <c r="S390" t="n">
        <v>0</v>
      </c>
      <c r="T390">
        <f>290*T389/1000</f>
        <v/>
      </c>
      <c r="U390" t="n">
        <v>0</v>
      </c>
    </row>
    <row r="391">
      <c r="A391">
        <f>Skills!A5</f>
        <v/>
      </c>
      <c r="B391">
        <f>Skills!B5</f>
        <v/>
      </c>
      <c r="C391">
        <f>Inputs!$B$3&gt;=40</f>
        <v/>
      </c>
      <c r="D391">
        <f>IF(Skills!C5=1,60+Inputs!$B$26+Inputs!$B$30,IF(Skills!C5=2,90+Inputs!$B$27+Inputs!$B$30,IF(Skills!C5=3,120+Inputs!$B$28+Inputs!$B$30,MAX(0,(Inputs!$B$3-100)*3)+Inputs!$B$29+Inputs!$B$30)))</f>
        <v/>
      </c>
      <c r="E391">
        <f>INDEX(FactorTable!$B$2:$Y$301, MATCH(ROUND(MIN(300,MAX(1,D391)),0), FactorTable!$A$2:$A$301,0), Skills!L5+1)</f>
        <v/>
      </c>
      <c r="F391">
        <f>IF(Skills!M5=TRUE,(Skills!K5/10)*(E391/1000),Skills!K5/10)+Skills!N5</f>
        <v/>
      </c>
      <c r="G391">
        <f>Calc!G5</f>
        <v/>
      </c>
      <c r="H391">
        <f>Calc!H5</f>
        <v/>
      </c>
      <c r="I391">
        <f>IF(Skills!T5&lt;&gt;"",1+(Skills!T5/10)*($Z$3/1000)/100,1)</f>
        <v/>
      </c>
      <c r="J391" t="inlineStr"/>
      <c r="K391" t="inlineStr"/>
      <c r="L391" t="inlineStr"/>
      <c r="M391" t="inlineStr"/>
      <c r="N391" t="inlineStr"/>
      <c r="O391">
        <f>(1-Summary!$B$48)*S391+Summary!$B$48*U391</f>
        <v/>
      </c>
      <c r="P391">
        <f>IF(B428=0,0,O391/B428)</f>
        <v/>
      </c>
      <c r="Q391">
        <f>IFERROR(1/IF(Inputs!$B$39="pvp",15,MAX(0.1,Skills!D5-IF(Skills!E5=TRUE,Inputs!$B$33,0))),0)</f>
        <v/>
      </c>
      <c r="R391">
        <f>IF(AND(Inputs!$B$39&lt;&gt;"pvp",Inputs!$B$44&gt;0),IF(Inputs!$B$44&lt;=0,0,(INT(Inputs!$B$44/IF(Inputs!$B$39="pvp",15,MAX(0.1,Skills!D5-IF(Skills!E5=TRUE,Inputs!$B$33,0))))+1)),0)</f>
        <v/>
      </c>
      <c r="S391" t="n">
        <v>0</v>
      </c>
      <c r="U391" t="n">
        <v>0</v>
      </c>
    </row>
    <row r="392">
      <c r="A392">
        <f>Skills!A6</f>
        <v/>
      </c>
      <c r="B392">
        <f>Skills!B6</f>
        <v/>
      </c>
      <c r="C392">
        <f>Inputs!$B$3&gt;=103</f>
        <v/>
      </c>
      <c r="D392">
        <f>IF(Skills!C6=1,60+Inputs!$B$26+Inputs!$B$30,IF(Skills!C6=2,90+Inputs!$B$27+Inputs!$B$30,IF(Skills!C6=3,120+Inputs!$B$28+Inputs!$B$30,MAX(0,(Inputs!$B$3-100)*3)+Inputs!$B$29+Inputs!$B$30)))</f>
        <v/>
      </c>
      <c r="E392">
        <f>INDEX(FactorTable!$B$2:$Y$301, MATCH(ROUND(MIN(300,MAX(1,D392)),0), FactorTable!$A$2:$A$301,0), Skills!L6+1)</f>
        <v/>
      </c>
      <c r="F392">
        <f>IF(Skills!M6=TRUE,(Skills!K6/10)*(E392/1000),Skills!K6/10)+Skills!N6</f>
        <v/>
      </c>
      <c r="G392">
        <f>Calc!G6</f>
        <v/>
      </c>
      <c r="H392">
        <f>Calc!H6</f>
        <v/>
      </c>
      <c r="I392">
        <f>IF(Skills!T6&lt;&gt;"",1+(Skills!T6/10)*($Z$3/1000)/100,1)</f>
        <v/>
      </c>
      <c r="J392">
        <f>((Inputs!$B$6*(1+Inputs!$B$7/100))+(((Inputs!$B$13*(1+Inputs!$B$14/100))-(Inputs!$B$13*(1+Inputs!$B$14/100)))+0.25*(Inputs!$B$15-Inputs!$B$15))*(1+Inputs!$B$7/100))*(F392/100)</f>
        <v/>
      </c>
      <c r="K392">
        <f>J392*(1+(((Inputs!$B$13+IF(Inputs!$B$3&gt;=35,(10*INDEX(FactorTable!$B$2:$Y$301, MATCH(ROUND(MIN(300,MAX(1,Inputs!$B$3)),0), FactorTable!$A$2:$A$301,0), 23)/1000)/100*(Inputs!$B$8*(1+(Inputs!$B$9+B424)/100)),0))*(1+Inputs!$B$14/100))*0.01+Inputs!$B$15*0.0025)/100)*(1+(Inputs!$B$16+B418)/100)*(1+Inputs!$B$17/100)*(5000/(6000+Inputs!$B$43*(1-Inputs!$B$20/100)))*(1+((((1+Inputs!$B$25/100)*(1.01))-1)*100)/100)*(1+IF(C404=TRUE,F404,0)/100)*(1+IF(C406=TRUE,F406,0)/100)*(1+IF(Skills!A6="TRIUMPH_FEATHER",IF(C402=TRUE,F402,0),0)/100)*(1+IF(C413=TRUE,F413,0)/100)^5*(1+(IF(Skills!A6="BIG_BANG",Inputs!$B$18,Inputs!$B$19))/100)*(B415*I392)</f>
        <v/>
      </c>
      <c r="L392">
        <f>K392*(MIN(Inputs!$B$23+(F408-Calc!F22),Inputs!$B$24)/100+Inputs!$B$24/100)/2</f>
        <v/>
      </c>
      <c r="M392">
        <f>L392*(1+(Inputs!$B$11+B419+(F411-Calc!F25))/100)</f>
        <v/>
      </c>
      <c r="N392">
        <f>L392*(1-MIN(Inputs!$B$10+((F410-Calc!F24)+(F409-Calc!F23)),100)/100)+M392*(MIN(Inputs!$B$10+((F410-Calc!F24)+(F409-Calc!F23)),100)/100)</f>
        <v/>
      </c>
      <c r="O392">
        <f>(1-Summary!$B$48)*S392+Summary!$B$48*U392</f>
        <v/>
      </c>
      <c r="P392">
        <f>IF(B428=0,0,O392/B428)</f>
        <v/>
      </c>
      <c r="Q392">
        <f>IFERROR(1/IF(Inputs!$B$39="pvp",15,MAX(0.1,Skills!D6-IF(Skills!E6=TRUE,Inputs!$B$33,0))),0)</f>
        <v/>
      </c>
      <c r="R392">
        <f>IF(AND(Inputs!$B$39&lt;&gt;"pvp",Inputs!$B$44&gt;0),IF(MAX(0,Inputs!$B$44-B425)&lt;=0,0,(INT(MAX(0,Inputs!$B$44-B425)/IF(Inputs!$B$39="pvp",15,MAX(0.1,Skills!D6-IF(Skills!E6=TRUE,Inputs!$B$33,0))))+1)),0)</f>
        <v/>
      </c>
      <c r="S392">
        <f>IF(C392,(H392*N392*IF(AND(Inputs!$B$39&lt;&gt;"pvp",Inputs!$B$44&gt;0),((Skills!F6*((R392-1)*IF(Skills!G6&gt;0,Skills!H6/Skills!G6,1)+IF(Skills!G6&gt;0,MIN(Skills!H6,MAX(0,MAX(0,Inputs!$B$44-B425)-((R392-1)*IF(Inputs!$B$39="pvp",15,MAX(0.1,Skills!D6-IF(Skills!E6=TRUE,Inputs!$B$33,0))))))/Skills!G6,1)))/Inputs!$B$44),G392*Q392))*IF(Inputs!$B$39="pvp",1,1+(Inputs!$B$21+Skills!O6+B416)/100),0)</f>
        <v/>
      </c>
      <c r="U392">
        <f>IF(C392,(H392*N392*IF(AND(Inputs!$B$39&lt;&gt;"pvp",Inputs!$B$44&gt;0),((Skills!F6*((R392-1)*IF(Skills!G6&gt;0,Skills!H6/Skills!G6,1)+IF(Skills!G6&gt;0,MIN(Skills!H6,MAX(0,MAX(0,Inputs!$B$44-B425)-((R392-1)*IF(Inputs!$B$39="pvp",15,MAX(0.1,Skills!D6-IF(Skills!E6=TRUE,Inputs!$B$33,0))))))/Skills!G6,1)))/Inputs!$B$44),G392*Q392))*IF(Inputs!$B$39="pvp",1,(1+(Inputs!$B$22+Skills!P6+B417)/100)*(MIN(Skills!Q6,Inputs!$B$38))),0)</f>
        <v/>
      </c>
    </row>
    <row r="393">
      <c r="A393">
        <f>Skills!A7</f>
        <v/>
      </c>
      <c r="B393">
        <f>Skills!B7</f>
        <v/>
      </c>
      <c r="C393">
        <f>Inputs!$B$3&gt;=122</f>
        <v/>
      </c>
      <c r="D393">
        <f>IF(Skills!C7=1,60+Inputs!$B$26+Inputs!$B$30,IF(Skills!C7=2,90+Inputs!$B$27+Inputs!$B$30,IF(Skills!C7=3,120+Inputs!$B$28+Inputs!$B$30,MAX(0,(Inputs!$B$3-100)*3)+Inputs!$B$29+Inputs!$B$30)))</f>
        <v/>
      </c>
      <c r="E393">
        <f>INDEX(FactorTable!$B$2:$Y$301, MATCH(ROUND(MIN(300,MAX(1,D393)),0), FactorTable!$A$2:$A$301,0), Skills!L7+1)</f>
        <v/>
      </c>
      <c r="F393">
        <f>IF(Skills!M7=TRUE,(Skills!K7/10)*(E393/1000),Skills!K7/10)+Skills!N7</f>
        <v/>
      </c>
      <c r="G393">
        <f>Calc!G7</f>
        <v/>
      </c>
      <c r="H393">
        <f>Calc!H7</f>
        <v/>
      </c>
      <c r="I393">
        <f>IF(Skills!T7&lt;&gt;"",1+(Skills!T7/10)*($Z$3/1000)/100,1)</f>
        <v/>
      </c>
      <c r="J393">
        <f>((Inputs!$B$6*(1+Inputs!$B$7/100))+(((Inputs!$B$13*(1+Inputs!$B$14/100))-(Inputs!$B$13*(1+Inputs!$B$14/100)))+0.25*(Inputs!$B$15-Inputs!$B$15))*(1+Inputs!$B$7/100))*(F393/100)</f>
        <v/>
      </c>
      <c r="K393">
        <f>J393*(1+(((Inputs!$B$13+IF(Inputs!$B$3&gt;=35,(10*INDEX(FactorTable!$B$2:$Y$301, MATCH(ROUND(MIN(300,MAX(1,Inputs!$B$3)),0), FactorTable!$A$2:$A$301,0), 23)/1000)/100*(Inputs!$B$8*(1+(Inputs!$B$9+B424)/100)),0))*(1+Inputs!$B$14/100))*0.01+Inputs!$B$15*0.0025)/100)*(1+(Inputs!$B$16+B418)/100)*(1+Inputs!$B$17/100)*(5000/(6000+Inputs!$B$43*(1-Inputs!$B$20/100)))*(1+((((1+Inputs!$B$25/100)*(1.01))-1)*100)/100)*(1+IF(C404=TRUE,F404,0)/100)*(1+IF(C406=TRUE,F406,0)/100)*(1+IF(Skills!A7="TRIUMPH_FEATHER",IF(C402=TRUE,F402,0),0)/100)*(1+IF(C413=TRUE,F413,0)/100)^5*(1+(IF(Skills!A7="BIG_BANG",Inputs!$B$18,Inputs!$B$19))/100)*(B415*I393)</f>
        <v/>
      </c>
      <c r="L393">
        <f>K393*(MIN(Inputs!$B$23+(F408-Calc!F22),Inputs!$B$24)/100+Inputs!$B$24/100)/2</f>
        <v/>
      </c>
      <c r="M393">
        <f>L393*(1+(Inputs!$B$11+B419+(F411-Calc!F25))/100)</f>
        <v/>
      </c>
      <c r="N393">
        <f>L393*(1-MIN(Inputs!$B$10+((F410-Calc!F24)+(F409-Calc!F23)),100)/100)+M393*(MIN(Inputs!$B$10+((F410-Calc!F24)+(F409-Calc!F23)),100)/100)</f>
        <v/>
      </c>
      <c r="O393">
        <f>(1-Summary!$B$48)*S393+Summary!$B$48*U393</f>
        <v/>
      </c>
      <c r="P393">
        <f>IF(B428=0,0,O393/B428)</f>
        <v/>
      </c>
      <c r="Q393">
        <f>IFERROR(1/IF(Inputs!$B$39="pvp",15,MAX(0.1,Skills!D7-IF(Skills!E6=TRUE,Inputs!$B$33,0))),0)</f>
        <v/>
      </c>
      <c r="R393">
        <f>IF(AND(Inputs!$B$39&lt;&gt;"pvp",Inputs!$B$44&gt;0),IF(MAX(0,Inputs!$B$44-B425)&lt;=0,0,(INT(MAX(0,Inputs!$B$44-B425)/IF(Inputs!$B$39="pvp",15,MAX(0.1,Skills!D7-IF(Skills!E6=TRUE,Inputs!$B$33,0))))+1)),0)</f>
        <v/>
      </c>
      <c r="S393">
        <f>IF(C393,H393*N393*IF(AND(Inputs!$B$39&lt;&gt;"pvp",Inputs!$B$44&gt;0),((Skills!F7*((R393-1)*IF(Skills!G7&gt;0,Skills!H7/Skills!G7,1)+IF(Skills!G7&gt;0,MIN(Skills!H7,MAX(0,MAX(0,Inputs!$B$44-B425)-((R393-1)*IF(Inputs!$B$39="pvp",15,MAX(0.1,Skills!D7-IF(Skills!E6=TRUE,Inputs!$B$33,0))))))/Skills!G7,1)))/Inputs!$B$44),G393*Q393)*IF(Inputs!$B$39="pvp",1,1+(Inputs!$B$21+Skills!O7+B416)/100),0)</f>
        <v/>
      </c>
      <c r="U393" t="n">
        <v>0</v>
      </c>
    </row>
    <row r="394">
      <c r="A394">
        <f>Skills!A8</f>
        <v/>
      </c>
      <c r="B394">
        <f>Skills!B8</f>
        <v/>
      </c>
      <c r="C394">
        <f>Inputs!$B$3&gt;=105</f>
        <v/>
      </c>
      <c r="D394">
        <f>IF(Skills!C8=1,60+Inputs!$B$26+Inputs!$B$30,IF(Skills!C8=2,90+Inputs!$B$27+Inputs!$B$30,IF(Skills!C8=3,120+Inputs!$B$28+Inputs!$B$30,MAX(0,(Inputs!$B$3-100)*3)+Inputs!$B$29+Inputs!$B$30)))</f>
        <v/>
      </c>
      <c r="E394">
        <f>INDEX(FactorTable!$B$2:$Y$301, MATCH(ROUND(MIN(300,MAX(1,D394)),0), FactorTable!$A$2:$A$301,0), Skills!L8+1)</f>
        <v/>
      </c>
      <c r="F394">
        <f>IF(Skills!M8=TRUE,(Skills!K8/10)*(E394/1000),Skills!K8/10)+Skills!N8</f>
        <v/>
      </c>
      <c r="G394">
        <f>Calc!G8</f>
        <v/>
      </c>
      <c r="H394">
        <f>Calc!H8</f>
        <v/>
      </c>
      <c r="I394">
        <f>IF(Skills!T8&lt;&gt;"",1+(Skills!T8/10)*($Z$3/1000)/100,1)</f>
        <v/>
      </c>
      <c r="J394">
        <f>((Inputs!$B$6*(1+Inputs!$B$7/100))+(((Inputs!$B$13*(1+Inputs!$B$14/100))-(Inputs!$B$13*(1+Inputs!$B$14/100)))+0.25*(Inputs!$B$15-Inputs!$B$15))*(1+Inputs!$B$7/100))*(F394/100)</f>
        <v/>
      </c>
      <c r="K394">
        <f>J394*(1+(((Inputs!$B$13+IF(Inputs!$B$3&gt;=35,(10*INDEX(FactorTable!$B$2:$Y$301, MATCH(ROUND(MIN(300,MAX(1,Inputs!$B$3)),0), FactorTable!$A$2:$A$301,0), 23)/1000)/100*(Inputs!$B$8*(1+(Inputs!$B$9+B424)/100)),0))*(1+Inputs!$B$14/100))*0.01+Inputs!$B$15*0.0025)/100)*(1+(Inputs!$B$16+B418)/100)*(1+Inputs!$B$17/100)*(5000/(6000+Inputs!$B$43*(1-Inputs!$B$20/100)))*(1+((((1+Inputs!$B$25/100)*(1.01))-1)*100)/100)*(1+IF(C404=TRUE,F404,0)/100)*(1+IF(C406=TRUE,F406,0)/100)*(1+IF(Skills!A8="TRIUMPH_FEATHER",IF(C402=TRUE,F402,0),0)/100)*(1+IF(C413=TRUE,F413,0)/100)^5*(1+(IF(Skills!A8="BIG_BANG",Inputs!$B$18,Inputs!$B$19))/100)*(B415*I394)</f>
        <v/>
      </c>
      <c r="L394">
        <f>K394*(MIN(Inputs!$B$23+(F408-Calc!F22),Inputs!$B$24)/100+Inputs!$B$24/100)/2</f>
        <v/>
      </c>
      <c r="M394">
        <f>L394*(1+(Inputs!$B$11+B419+(F411-Calc!F25))/100)</f>
        <v/>
      </c>
      <c r="N394">
        <f>L394*(1-MIN(Inputs!$B$10+((F410-Calc!F24)+(F409-Calc!F23)),100)/100)+M394*(MIN(Inputs!$B$10+((F410-Calc!F24)+(F409-Calc!F23)),100)/100)</f>
        <v/>
      </c>
      <c r="O394">
        <f>(1-Summary!$B$48)*S394+Summary!$B$48*U394</f>
        <v/>
      </c>
      <c r="P394">
        <f>IF(B428=0,0,O394/B428)</f>
        <v/>
      </c>
      <c r="Q394">
        <f>IFERROR(1/IF(Inputs!$B$39="pvp",15,MAX(0.1,Skills!D8-IF(Skills!E8=TRUE,Inputs!$B$33,0))),0)</f>
        <v/>
      </c>
      <c r="R394">
        <f>IF(AND(Inputs!$B$39&lt;&gt;"pvp",Inputs!$B$44&gt;0),IF(MAX(0,Inputs!$B$44-B425)&lt;=0,0,(INT(MAX(0,Inputs!$B$44-B425)/IF(Inputs!$B$39="pvp",15,MAX(0.1,Skills!D8-IF(Skills!E8=TRUE,Inputs!$B$33,0))))+1)),0)</f>
        <v/>
      </c>
      <c r="S394">
        <f>IF(C394,(H394*N394*IF(AND(Inputs!$B$39&lt;&gt;"pvp",Inputs!$B$44&gt;0),((Skills!F8*((R394-1)*IF(Skills!G8&gt;0,Skills!H8/Skills!G8,1)+IF(Skills!G8&gt;0,MIN(Skills!H8,MAX(0,MAX(0,Inputs!$B$44-B425)-((R394-1)*IF(Inputs!$B$39="pvp",15,MAX(0.1,Skills!D8-IF(Skills!E8=TRUE,Inputs!$B$33,0))))))/Skills!G8,1)))/Inputs!$B$44),G394*Q394))*IF(Inputs!$B$39="pvp",1,1+(Inputs!$B$21+Skills!O8+B416)/100),0)</f>
        <v/>
      </c>
      <c r="U394">
        <f>IF(C394,(H394*N394*IF(AND(Inputs!$B$39&lt;&gt;"pvp",Inputs!$B$44&gt;0),((Skills!F8*((R394-1)*IF(Skills!G8&gt;0,Skills!H8/Skills!G8,1)+IF(Skills!G8&gt;0,MIN(Skills!H8,MAX(0,MAX(0,Inputs!$B$44-B425)-((R394-1)*IF(Inputs!$B$39="pvp",15,MAX(0.1,Skills!D8-IF(Skills!E8=TRUE,Inputs!$B$33,0))))))/Skills!G8,1)))/Inputs!$B$44),G394*Q394))*IF(Inputs!$B$39="pvp",1,(1+(Inputs!$B$22+Skills!P8+B417)/100)*(MIN(Skills!Q8,Inputs!$B$38))),0)</f>
        <v/>
      </c>
    </row>
    <row r="395">
      <c r="A395">
        <f>Skills!A9</f>
        <v/>
      </c>
      <c r="B395">
        <f>Skills!B9</f>
        <v/>
      </c>
      <c r="C395">
        <f>Inputs!$B$3&gt;=115</f>
        <v/>
      </c>
      <c r="D395">
        <f>IF(Skills!C9=1,60+Inputs!$B$26+Inputs!$B$30,IF(Skills!C9=2,90+Inputs!$B$27+Inputs!$B$30,IF(Skills!C9=3,120+Inputs!$B$28+Inputs!$B$30,MAX(0,(Inputs!$B$3-100)*3)+Inputs!$B$29+Inputs!$B$30)))</f>
        <v/>
      </c>
      <c r="E395">
        <f>INDEX(FactorTable!$B$2:$Y$301, MATCH(ROUND(MIN(300,MAX(1,D395)),0), FactorTable!$A$2:$A$301,0), Skills!L9+1)</f>
        <v/>
      </c>
      <c r="F395">
        <f>IF(Skills!M9=TRUE,(Skills!K9/10)*(E395/1000),Skills!K9/10)+Skills!N9</f>
        <v/>
      </c>
      <c r="G395">
        <f>Calc!G9</f>
        <v/>
      </c>
      <c r="H395">
        <f>Calc!H9</f>
        <v/>
      </c>
      <c r="I395">
        <f>IF(Skills!T9&lt;&gt;"",1+(Skills!T9/10)*($Z$3/1000)/100,1)</f>
        <v/>
      </c>
      <c r="J395">
        <f>((Inputs!$B$6*(1+Inputs!$B$7/100))+(((Inputs!$B$13*(1+Inputs!$B$14/100))-(Inputs!$B$13*(1+Inputs!$B$14/100)))+0.25*(Inputs!$B$15-Inputs!$B$15))*(1+Inputs!$B$7/100))*(F395/100)</f>
        <v/>
      </c>
      <c r="K395">
        <f>J395*(1+(((Inputs!$B$13+IF(Inputs!$B$3&gt;=35,(10*INDEX(FactorTable!$B$2:$Y$301, MATCH(ROUND(MIN(300,MAX(1,Inputs!$B$3)),0), FactorTable!$A$2:$A$301,0), 23)/1000)/100*(Inputs!$B$8*(1+(Inputs!$B$9+B424)/100)),0))*(1+Inputs!$B$14/100))*0.01+Inputs!$B$15*0.0025)/100)*(1+(Inputs!$B$16+B418)/100)*(1+Inputs!$B$17/100)*(5000/(6000+Inputs!$B$43*(1-Inputs!$B$20/100)))*(1+((((1+Inputs!$B$25/100)*(1.01))-1)*100)/100)*(1+IF(C404=TRUE,F404,0)/100)*(1+IF(C406=TRUE,F406,0)/100)*(1+IF(Skills!A9="TRIUMPH_FEATHER",IF(C402=TRUE,F402,0),0)/100)*(1+IF(C413=TRUE,F413,0)/100)^5*(1+(IF(Skills!A9="BIG_BANG",Inputs!$B$18,Inputs!$B$19))/100)*(B415*I395)</f>
        <v/>
      </c>
      <c r="L395">
        <f>K395*(MIN(Inputs!$B$23+(F408-Calc!F22),Inputs!$B$24)/100+Inputs!$B$24/100)/2</f>
        <v/>
      </c>
      <c r="M395">
        <f>L395*(1+(Inputs!$B$11+B419+(F411-Calc!F25))/100)</f>
        <v/>
      </c>
      <c r="N395">
        <f>L395*(1-MIN(Inputs!$B$10+((F410-Calc!F24)+(F409-Calc!F23)),100)/100)+M395*(MIN(Inputs!$B$10+((F410-Calc!F24)+(F409-Calc!F23)),100)/100)</f>
        <v/>
      </c>
      <c r="O395">
        <f>(1-Summary!$B$48)*S395+Summary!$B$48*U395</f>
        <v/>
      </c>
      <c r="P395">
        <f>IF(B428=0,0,O395/B428)</f>
        <v/>
      </c>
      <c r="Q395">
        <f>IFERROR(1/IF(Inputs!$B$39="pvp",15,MAX(0.1,Skills!D9-IF(Skills!E9=TRUE,Inputs!$B$33,0))),0)</f>
        <v/>
      </c>
      <c r="R395">
        <f>IF(AND(Inputs!$B$39&lt;&gt;"pvp",Inputs!$B$44&gt;0),IF(MAX(0,Inputs!$B$44-B425)&lt;=0,0,(INT(MAX(0,Inputs!$B$44-B425)/IF(Inputs!$B$39="pvp",15,MAX(0.1,Skills!D9-IF(Skills!E9=TRUE,Inputs!$B$33,0))))+1)),0)</f>
        <v/>
      </c>
      <c r="S395">
        <f>IF(C395,(H395*N395*IF(AND(Inputs!$B$39&lt;&gt;"pvp",Inputs!$B$44&gt;0),((Skills!F9*((R395-1)*IF(Skills!G9&gt;0,Skills!H9/Skills!G9,1)+IF(Skills!G9&gt;0,MIN(Skills!H9,MAX(0,MAX(0,Inputs!$B$44-B425)-((R395-1)*IF(Inputs!$B$39="pvp",15,MAX(0.1,Skills!D9-IF(Skills!E9=TRUE,Inputs!$B$33,0))))))/Skills!G9,1)))/Inputs!$B$44),G395*Q395))*IF(Inputs!$B$39="pvp",1,1+(Inputs!$B$21+Skills!O9+B416)/100),0)</f>
        <v/>
      </c>
      <c r="U395">
        <f>IF(C395,(H395*N395*IF(AND(Inputs!$B$39&lt;&gt;"pvp",Inputs!$B$44&gt;0),((Skills!F9*((R395-1)*IF(Skills!G9&gt;0,Skills!H9/Skills!G9,1)+IF(Skills!G9&gt;0,MIN(Skills!H9,MAX(0,MAX(0,Inputs!$B$44-B425)-((R395-1)*IF(Inputs!$B$39="pvp",15,MAX(0.1,Skills!D9-IF(Skills!E9=TRUE,Inputs!$B$33,0))))))/Skills!G9,1)))/Inputs!$B$44),G395*Q395))*IF(Inputs!$B$39="pvp",1,(1+(Inputs!$B$22+Skills!P9+B417)/100)*(MIN(Skills!Q9,Inputs!$B$38))),0)</f>
        <v/>
      </c>
    </row>
    <row r="396">
      <c r="A396">
        <f>Skills!A10</f>
        <v/>
      </c>
      <c r="B396">
        <f>Skills!B10</f>
        <v/>
      </c>
      <c r="C396">
        <f>Inputs!$B$3&gt;=66</f>
        <v/>
      </c>
      <c r="D396">
        <f>IF(Skills!C10=1,60+Inputs!$B$26+Inputs!$B$30,IF(Skills!C10=2,90+Inputs!$B$27+Inputs!$B$30,IF(Skills!C10=3,120+Inputs!$B$28+Inputs!$B$30,MAX(0,(Inputs!$B$3-100)*3)+Inputs!$B$29+Inputs!$B$30)))</f>
        <v/>
      </c>
      <c r="E396">
        <f>INDEX(FactorTable!$B$2:$Y$301, MATCH(ROUND(MIN(300,MAX(1,D396)),0), FactorTable!$A$2:$A$301,0), Skills!L10+1)</f>
        <v/>
      </c>
      <c r="F396" t="n">
        <v>0</v>
      </c>
      <c r="G396">
        <f>Calc!G10</f>
        <v/>
      </c>
      <c r="H396">
        <f>Calc!H10</f>
        <v/>
      </c>
      <c r="I396">
        <f>IF(Skills!T10&lt;&gt;"",1+(Skills!T10/10)*($Z$3/1000)/100,1)</f>
        <v/>
      </c>
      <c r="J396" t="inlineStr"/>
      <c r="K396" t="inlineStr"/>
      <c r="L396" t="inlineStr"/>
      <c r="M396" t="inlineStr"/>
      <c r="N396" t="inlineStr"/>
      <c r="O396">
        <f>(1-Summary!$B$48)*S396+Summary!$B$48*U396</f>
        <v/>
      </c>
      <c r="P396">
        <f>IF(B428=0,0,O396/B428)</f>
        <v/>
      </c>
      <c r="Q396">
        <f>IFERROR(1/IF(Inputs!$B$39="pvp",15,MAX(0.1,Skills!D10-IF(Skills!E10=TRUE,Inputs!$B$33,0))),0)</f>
        <v/>
      </c>
      <c r="R396">
        <f>IF(AND(Inputs!$B$39&lt;&gt;"pvp",Inputs!$B$44&gt;0),IF(MAX(0,Inputs!$B$44-B425)&lt;=0,0,(INT(MAX(0,Inputs!$B$44-B425)/IF(Inputs!$B$39="pvp",15,MAX(0.1,Skills!D10-IF(Skills!E10=TRUE,Inputs!$B$33,0))))+1)),0)</f>
        <v/>
      </c>
      <c r="S396" t="n">
        <v>0</v>
      </c>
      <c r="U396" t="n">
        <v>0</v>
      </c>
    </row>
    <row r="397">
      <c r="A397">
        <f>Skills!A11</f>
        <v/>
      </c>
      <c r="B397">
        <f>Skills!B11</f>
        <v/>
      </c>
      <c r="C397">
        <f>Inputs!$B$3&gt;=69</f>
        <v/>
      </c>
      <c r="D397">
        <f>IF(Skills!C11=1,60+Inputs!$B$26+Inputs!$B$30,IF(Skills!C11=2,90+Inputs!$B$27+Inputs!$B$30,IF(Skills!C11=3,120+Inputs!$B$28+Inputs!$B$30,MAX(0,(Inputs!$B$3-100)*3)+Inputs!$B$29+Inputs!$B$30)))</f>
        <v/>
      </c>
      <c r="E397">
        <f>INDEX(FactorTable!$B$2:$Y$301, MATCH(ROUND(MIN(300,MAX(1,D397)),0), FactorTable!$A$2:$A$301,0), Skills!L11+1)</f>
        <v/>
      </c>
      <c r="F397">
        <f>IF(Skills!M11=TRUE,(Skills!K11/10)*(E397/1000),Skills!K11/10)+Skills!N11</f>
        <v/>
      </c>
      <c r="G397">
        <f>Calc!G11</f>
        <v/>
      </c>
      <c r="H397">
        <f>Calc!H11</f>
        <v/>
      </c>
      <c r="I397">
        <f>IF(Skills!T11&lt;&gt;"",1+(Skills!T11/10)*($Z$3/1000)/100,1)</f>
        <v/>
      </c>
      <c r="J397" t="inlineStr"/>
      <c r="K397" t="inlineStr"/>
      <c r="L397" t="inlineStr"/>
      <c r="M397" t="inlineStr"/>
      <c r="N397" t="inlineStr"/>
      <c r="O397">
        <f>(1-Summary!$B$48)*S397+Summary!$B$48*U397</f>
        <v/>
      </c>
      <c r="P397">
        <f>IF(B428=0,0,O397/B428)</f>
        <v/>
      </c>
      <c r="Q397">
        <f>IFERROR(1/IF(Inputs!$B$39="pvp",15,MAX(0.1,Skills!D11-IF(Skills!E11=TRUE,Inputs!$B$33,0))),0)</f>
        <v/>
      </c>
      <c r="R397">
        <f>IF(AND(Inputs!$B$39&lt;&gt;"pvp",Inputs!$B$44&gt;0),IF(Inputs!$B$44&lt;=0,0,(INT(Inputs!$B$44/IF(Inputs!$B$39="pvp",15,MAX(0.1,Skills!D11-IF(Skills!E11=TRUE,Inputs!$B$33,0))))+1)),0)</f>
        <v/>
      </c>
      <c r="S397" t="n">
        <v>0</v>
      </c>
      <c r="U397" t="n">
        <v>0</v>
      </c>
    </row>
    <row r="398">
      <c r="A398">
        <f>Skills!A12</f>
        <v/>
      </c>
      <c r="B398">
        <f>Skills!B12</f>
        <v/>
      </c>
      <c r="C398">
        <f>Inputs!$B$3&gt;=72</f>
        <v/>
      </c>
      <c r="D398">
        <f>IF(Skills!C12=1,60+Inputs!$B$26+Inputs!$B$30,IF(Skills!C12=2,90+Inputs!$B$27+Inputs!$B$30,IF(Skills!C12=3,120+Inputs!$B$28+Inputs!$B$30,MAX(0,(Inputs!$B$3-100)*3)+Inputs!$B$29+Inputs!$B$30)))</f>
        <v/>
      </c>
      <c r="E398">
        <f>INDEX(FactorTable!$B$2:$Y$301, MATCH(ROUND(MIN(300,MAX(1,D398)),0), FactorTable!$A$2:$A$301,0), Skills!L12+1)</f>
        <v/>
      </c>
      <c r="F398">
        <f>IF(Skills!M12=TRUE,(Skills!K12/10)*(E398/1000),Skills!K12/10)+Skills!N12</f>
        <v/>
      </c>
      <c r="G398">
        <f>Calc!G12</f>
        <v/>
      </c>
      <c r="H398">
        <f>Calc!H12</f>
        <v/>
      </c>
      <c r="I398">
        <f>IF(Skills!T12&lt;&gt;"",1+(Skills!T12/10)*($Z$3/1000)/100,1)</f>
        <v/>
      </c>
      <c r="J398" t="inlineStr"/>
      <c r="K398" t="inlineStr"/>
      <c r="L398" t="inlineStr"/>
      <c r="M398" t="inlineStr"/>
      <c r="N398" t="inlineStr"/>
      <c r="O398">
        <f>(1-Summary!$B$48)*S398+Summary!$B$48*U398</f>
        <v/>
      </c>
      <c r="P398">
        <f>IF(B428=0,0,O398/B428)</f>
        <v/>
      </c>
      <c r="Q398">
        <f>IFERROR(1/IF(Inputs!$B$39="pvp",15,MAX(0.1,Skills!D12-IF(Skills!E12=TRUE,Inputs!$B$33,0))),0)</f>
        <v/>
      </c>
      <c r="R398">
        <f>IF(AND(Inputs!$B$39&lt;&gt;"pvp",Inputs!$B$44&gt;0),IF(MAX(0,Inputs!$B$44-B425)&lt;=0,0,(INT(MAX(0,Inputs!$B$44-B425)/IF(Inputs!$B$39="pvp",15,MAX(0.1,Skills!D12-IF(Skills!E12=TRUE,Inputs!$B$33,0))))+1)),0)</f>
        <v/>
      </c>
      <c r="S398" t="n">
        <v>0</v>
      </c>
      <c r="U398" t="n">
        <v>0</v>
      </c>
    </row>
    <row r="399">
      <c r="A399">
        <f>Skills!A13</f>
        <v/>
      </c>
      <c r="B399">
        <f>Skills!B13</f>
        <v/>
      </c>
      <c r="C399">
        <f>Inputs!$B$3&gt;=60</f>
        <v/>
      </c>
      <c r="D399">
        <f>IF(Skills!C13=1,60+Inputs!$B$26+Inputs!$B$30,IF(Skills!C13=2,90+Inputs!$B$27+Inputs!$B$30,IF(Skills!C13=3,120+Inputs!$B$28+Inputs!$B$30,MAX(0,(Inputs!$B$3-100)*3)+Inputs!$B$29+Inputs!$B$30)))</f>
        <v/>
      </c>
      <c r="E399">
        <f>INDEX(FactorTable!$B$2:$Y$301, MATCH(ROUND(MIN(300,MAX(1,D399)),0), FactorTable!$A$2:$A$301,0), Skills!L13+1)</f>
        <v/>
      </c>
      <c r="F399">
        <f>IF(Skills!M13=TRUE,(Skills!K13/10)*(E399/1000),Skills!K13/10)+Skills!N13</f>
        <v/>
      </c>
      <c r="G399">
        <f>Calc!G13</f>
        <v/>
      </c>
      <c r="H399">
        <f>Calc!H13</f>
        <v/>
      </c>
      <c r="I399">
        <f>IF(Skills!T13&lt;&gt;"",1+(Skills!T13/10)*($Z$3/1000)/100,1)</f>
        <v/>
      </c>
      <c r="J399" t="inlineStr"/>
      <c r="K399" t="inlineStr"/>
      <c r="L399" t="inlineStr"/>
      <c r="M399" t="inlineStr"/>
      <c r="N399" t="inlineStr"/>
      <c r="O399">
        <f>(1-Summary!$B$48)*S399+Summary!$B$48*U399</f>
        <v/>
      </c>
      <c r="P399">
        <f>IF(B428=0,0,O399/B428)</f>
        <v/>
      </c>
      <c r="Q399">
        <f>IFERROR(1/IF(Inputs!$B$39="pvp",15,MAX(0.1,Skills!D13-IF(Skills!E13=TRUE,Inputs!$B$33,0))),0)</f>
        <v/>
      </c>
      <c r="R399">
        <f>IF(AND(Inputs!$B$39&lt;&gt;"pvp",Inputs!$B$44&gt;0),IF(MAX(0,Inputs!$B$44-B425)&lt;=0,0,(INT(MAX(0,Inputs!$B$44-B425)/IF(Inputs!$B$39="pvp",15,MAX(0.1,Skills!D13-IF(Skills!E13=TRUE,Inputs!$B$33,0))))+1)),0)</f>
        <v/>
      </c>
      <c r="S399" t="n">
        <v>0</v>
      </c>
      <c r="U399" t="n">
        <v>0</v>
      </c>
    </row>
    <row r="400">
      <c r="A400">
        <f>Skills!A14</f>
        <v/>
      </c>
      <c r="B400">
        <f>Skills!B14</f>
        <v/>
      </c>
      <c r="C400">
        <f>Inputs!$B$3&gt;=107</f>
        <v/>
      </c>
      <c r="D400">
        <f>IF(Skills!C14=1,60+Inputs!$B$26+Inputs!$B$30,IF(Skills!C14=2,90+Inputs!$B$27+Inputs!$B$30,IF(Skills!C14=3,120+Inputs!$B$28+Inputs!$B$30,MAX(0,(Inputs!$B$3-100)*3)+Inputs!$B$29+Inputs!$B$30)))</f>
        <v/>
      </c>
      <c r="E400">
        <f>INDEX(FactorTable!$B$2:$Y$301, MATCH(ROUND(MIN(300,MAX(1,D400)),0), FactorTable!$A$2:$A$301,0), Skills!L14+1)</f>
        <v/>
      </c>
      <c r="F400">
        <f>IF(Skills!M14=TRUE,(Skills!K14/10)*(E400/1000),Skills!K14/10)+Skills!N14</f>
        <v/>
      </c>
      <c r="G400">
        <f>Calc!G14</f>
        <v/>
      </c>
      <c r="H400">
        <f>Calc!H14</f>
        <v/>
      </c>
      <c r="I400">
        <f>IF(Skills!T14&lt;&gt;"",1+(Skills!T14/10)*($Z$3/1000)/100,1)</f>
        <v/>
      </c>
      <c r="J400" t="inlineStr"/>
      <c r="K400" t="inlineStr"/>
      <c r="L400" t="inlineStr"/>
      <c r="M400" t="inlineStr"/>
      <c r="N400" t="inlineStr"/>
      <c r="O400">
        <f>(1-Summary!$B$48)*S400+Summary!$B$48*U400</f>
        <v/>
      </c>
      <c r="P400">
        <f>IF(B428=0,0,O400/B428)</f>
        <v/>
      </c>
      <c r="Q400">
        <f>IFERROR(1/IF(Inputs!$B$39="pvp",15,MAX(0.1,Skills!D14-IF(Skills!E14=TRUE,Inputs!$B$33,0))),0)</f>
        <v/>
      </c>
      <c r="R400">
        <f>IF(AND(Inputs!$B$39&lt;&gt;"pvp",Inputs!$B$44&gt;0),IF(Inputs!$B$44&lt;=0,0,(INT(Inputs!$B$44/IF(Inputs!$B$39="pvp",15,MAX(0.1,Skills!D14-IF(Skills!E14=TRUE,Inputs!$B$33,0))))+1)),0)</f>
        <v/>
      </c>
      <c r="S400" t="n">
        <v>0</v>
      </c>
      <c r="U400" t="n">
        <v>0</v>
      </c>
    </row>
    <row r="401">
      <c r="A401">
        <f>Skills!A15</f>
        <v/>
      </c>
      <c r="B401">
        <f>Skills!B15</f>
        <v/>
      </c>
      <c r="C401">
        <f>Inputs!$B$3&gt;=63</f>
        <v/>
      </c>
      <c r="D401">
        <f>IF(Skills!C15=1,60+Inputs!$B$26+Inputs!$B$30,IF(Skills!C15=2,90+Inputs!$B$27+Inputs!$B$30,IF(Skills!C15=3,120+Inputs!$B$28+Inputs!$B$30,MAX(0,(Inputs!$B$3-100)*3)+Inputs!$B$29+Inputs!$B$30)))</f>
        <v/>
      </c>
      <c r="E401">
        <f>INDEX(FactorTable!$B$2:$Y$301, MATCH(ROUND(MIN(300,MAX(1,D401)),0), FactorTable!$A$2:$A$301,0), Skills!L15+1)</f>
        <v/>
      </c>
      <c r="F401">
        <f>IF(Skills!M15=TRUE,(Skills!K15/10)*(E401/1000),Skills!K15/10)+Skills!N15</f>
        <v/>
      </c>
      <c r="G401">
        <f>Calc!G15</f>
        <v/>
      </c>
      <c r="H401">
        <f>Calc!H15</f>
        <v/>
      </c>
      <c r="I401">
        <f>IF(Skills!T15&lt;&gt;"",1+(Skills!T15/10)*($Z$3/1000)/100,1)</f>
        <v/>
      </c>
      <c r="J401">
        <f>((Inputs!$B$6*(1+Inputs!$B$7/100))+(((Inputs!$B$13*(1+Inputs!$B$14/100))-(Inputs!$B$13*(1+Inputs!$B$14/100)))+0.25*(Inputs!$B$15-Inputs!$B$15))*(1+Inputs!$B$7/100))*(F401/100)</f>
        <v/>
      </c>
      <c r="K401">
        <f>J401*(1+(((Inputs!$B$13+IF(Inputs!$B$3&gt;=35,(10*INDEX(FactorTable!$B$2:$Y$301, MATCH(ROUND(MIN(300,MAX(1,Inputs!$B$3)),0), FactorTable!$A$2:$A$301,0), 23)/1000)/100*(Inputs!$B$8*(1+(Inputs!$B$9+B424)/100)),0))*(1+Inputs!$B$14/100))*0.01+Inputs!$B$15*0.0025)/100)*(1+(Inputs!$B$16+B418)/100)*(1+Inputs!$B$17/100)*(5000/(6000+Inputs!$B$43*(1-Inputs!$B$20/100)))*(1+((((1+Inputs!$B$25/100)*(1.01))-1)*100)/100)*(1+IF(C404=TRUE,F404,0)/100)*(1+IF(C406=TRUE,F406,0)/100)*(1+IF(Skills!A15="TRIUMPH_FEATHER",IF(C402=TRUE,F402,0),0)/100)*(1+IF(C413=TRUE,F413,0)/100)^5*(1+(IF(Skills!A15="BIG_BANG",Inputs!$B$18,Inputs!$B$19))/100)*(B415*I401)</f>
        <v/>
      </c>
      <c r="L401">
        <f>K401*(MIN(Inputs!$B$23+(F408-Calc!F22),Inputs!$B$24)/100+Inputs!$B$24/100)/2</f>
        <v/>
      </c>
      <c r="M401">
        <f>L401*(1+(Inputs!$B$11+B419+(F411-Calc!F25))/100)</f>
        <v/>
      </c>
      <c r="N401">
        <f>L401*(1-MIN(Inputs!$B$10+((F410-Calc!F24)+(F409-Calc!F23)),100)/100)+M401*(MIN(Inputs!$B$10+((F410-Calc!F24)+(F409-Calc!F23)),100)/100)</f>
        <v/>
      </c>
      <c r="O401">
        <f>(1-Summary!$B$48)*S401+Summary!$B$48*U401</f>
        <v/>
      </c>
      <c r="P401">
        <f>IF(B428=0,0,O401/B428)</f>
        <v/>
      </c>
      <c r="Q401">
        <f>IFERROR(1/IF(Inputs!$B$39="pvp",15,MAX(0.1,Skills!D15-IF(Skills!E15=TRUE,Inputs!$B$33,0))),0)</f>
        <v/>
      </c>
      <c r="R401" t="n">
        <v>0</v>
      </c>
      <c r="S401">
        <f>IF(C401,(Skills!F15*N401*((IF(Inputs!$B$3&gt;=78,25,15)/100*B421*10)/(1+IF(Inputs!$B$3&gt;=78,25,15)/100*B421*10))*(Skills!I15/100*B421)/(1+Skills!G15*Skills!I15/100*B421))*IF(Inputs!$B$39="pvp",1,1+(Inputs!$B$21+Skills!O15+B416)/100),0)</f>
        <v/>
      </c>
      <c r="U401">
        <f>IF(C401,(Skills!F15*N401*((IF(Inputs!$B$3&gt;=78,25,15)/100*B421*10)/(1+IF(Inputs!$B$3&gt;=78,25,15)/100*B421*10))*(Skills!I15/100*B421)/(1+Skills!G15*Skills!I15/100*B421))*IF(Inputs!$B$39="pvp",1,(1+(Inputs!$B$22+Skills!P15+B417)/100)*(MIN(Skills!Q15,Inputs!$B$38))),0)</f>
        <v/>
      </c>
    </row>
    <row r="402">
      <c r="A402">
        <f>Skills!A16</f>
        <v/>
      </c>
      <c r="B402">
        <f>Skills!B16</f>
        <v/>
      </c>
      <c r="C402">
        <f>Inputs!$B$3&gt;=100</f>
        <v/>
      </c>
      <c r="D402">
        <f>IF(Skills!C16=1,60+Inputs!$B$26+Inputs!$B$30,IF(Skills!C16=2,90+Inputs!$B$27+Inputs!$B$30,IF(Skills!C16=3,120+Inputs!$B$28+Inputs!$B$30,MAX(0,(Inputs!$B$3-100)*3)+Inputs!$B$29+Inputs!$B$30)))</f>
        <v/>
      </c>
      <c r="E402">
        <f>INDEX(FactorTable!$B$2:$Y$301, MATCH(ROUND(MIN(300,MAX(1,D402)),0), FactorTable!$A$2:$A$301,0), Skills!L16+1)</f>
        <v/>
      </c>
      <c r="F402">
        <f>IF(Skills!M16=TRUE,(Skills!K16/10)*(E402/1000),Skills!K16/10)+Skills!N16</f>
        <v/>
      </c>
      <c r="G402">
        <f>Calc!G16</f>
        <v/>
      </c>
      <c r="H402">
        <f>Calc!H16</f>
        <v/>
      </c>
      <c r="I402">
        <f>IF(Skills!T16&lt;&gt;"",1+(Skills!T16/10)*($Z$3/1000)/100,1)</f>
        <v/>
      </c>
      <c r="J402" t="inlineStr"/>
      <c r="K402" t="inlineStr"/>
      <c r="L402" t="inlineStr"/>
      <c r="M402" t="inlineStr"/>
      <c r="N402" t="inlineStr"/>
      <c r="O402">
        <f>(1-Summary!$B$48)*S402+Summary!$B$48*U402</f>
        <v/>
      </c>
      <c r="P402">
        <f>IF(B428=0,0,O402/B428)</f>
        <v/>
      </c>
      <c r="Q402">
        <f>IFERROR(1/IF(Inputs!$B$39="pvp",15,MAX(0.1,Skills!D16-IF(Skills!E16=TRUE,Inputs!$B$33,0))),0)</f>
        <v/>
      </c>
      <c r="R402" t="n">
        <v>0</v>
      </c>
      <c r="S402" t="n">
        <v>0</v>
      </c>
      <c r="U402" t="n">
        <v>0</v>
      </c>
    </row>
    <row r="403">
      <c r="A403">
        <f>Skills!A17</f>
        <v/>
      </c>
      <c r="B403">
        <f>Skills!B17</f>
        <v/>
      </c>
      <c r="C403">
        <f>Inputs!$B$3&gt;=49</f>
        <v/>
      </c>
      <c r="D403">
        <f>IF(Skills!C17=1,60+Inputs!$B$26+Inputs!$B$30,IF(Skills!C17=2,90+Inputs!$B$27+Inputs!$B$30,IF(Skills!C17=3,120+Inputs!$B$28+Inputs!$B$30,MAX(0,(Inputs!$B$3-100)*3)+Inputs!$B$29+Inputs!$B$30)))</f>
        <v/>
      </c>
      <c r="E403">
        <f>INDEX(FactorTable!$B$2:$Y$301, MATCH(ROUND(MIN(300,MAX(1,D403)),0), FactorTable!$A$2:$A$301,0), Skills!L17+1)</f>
        <v/>
      </c>
      <c r="F403">
        <f>IF(Skills!M17=TRUE,(Skills!K17/10)*(E403/1000),Skills!K17/10)+Skills!N17</f>
        <v/>
      </c>
      <c r="G403">
        <f>Calc!G17</f>
        <v/>
      </c>
      <c r="H403">
        <f>Calc!H17</f>
        <v/>
      </c>
      <c r="I403">
        <f>IF(Skills!T17&lt;&gt;"",1+(Skills!T17/10)*($Z$3/1000)/100,1)</f>
        <v/>
      </c>
      <c r="J403" t="inlineStr"/>
      <c r="K403" t="inlineStr"/>
      <c r="L403" t="inlineStr"/>
      <c r="M403" t="inlineStr"/>
      <c r="N403" t="inlineStr"/>
      <c r="O403">
        <f>(1-Summary!$B$48)*S403+Summary!$B$48*U403</f>
        <v/>
      </c>
      <c r="P403">
        <f>IF(B428=0,0,O403/B428)</f>
        <v/>
      </c>
      <c r="Q403">
        <f>IFERROR(1/IF(Inputs!$B$39="pvp",15,MAX(0.1,Skills!D17-IF(Skills!E17=TRUE,Inputs!$B$33,0))),0)</f>
        <v/>
      </c>
      <c r="R403" t="n">
        <v>0</v>
      </c>
      <c r="S403" t="n">
        <v>0</v>
      </c>
      <c r="U403" t="n">
        <v>0</v>
      </c>
    </row>
    <row r="404">
      <c r="A404">
        <f>Skills!A18</f>
        <v/>
      </c>
      <c r="B404">
        <f>Skills!B18</f>
        <v/>
      </c>
      <c r="C404">
        <f>Inputs!$B$3&gt;=75</f>
        <v/>
      </c>
      <c r="D404">
        <f>IF(Skills!C18=1,60+Inputs!$B$26+Inputs!$B$30,IF(Skills!C18=2,90+Inputs!$B$27+Inputs!$B$30,IF(Skills!C18=3,120+Inputs!$B$28+Inputs!$B$30,MAX(0,(Inputs!$B$3-100)*3)+Inputs!$B$29+Inputs!$B$30)))</f>
        <v/>
      </c>
      <c r="E404">
        <f>INDEX(FactorTable!$B$2:$Y$301, MATCH(ROUND(MIN(300,MAX(1,D404)),0), FactorTable!$A$2:$A$301,0), Skills!L18+1)</f>
        <v/>
      </c>
      <c r="F404">
        <f>IF(Skills!M18=TRUE,(Skills!K18/10)*(E404/1000),Skills!K18/10)+Skills!N18</f>
        <v/>
      </c>
      <c r="G404">
        <f>Calc!G18</f>
        <v/>
      </c>
      <c r="H404">
        <f>Calc!H18</f>
        <v/>
      </c>
      <c r="I404">
        <f>IF(Skills!T18&lt;&gt;"",1+(Skills!T18/10)*($Z$3/1000)/100,1)</f>
        <v/>
      </c>
      <c r="J404" t="inlineStr"/>
      <c r="K404" t="inlineStr"/>
      <c r="L404" t="inlineStr"/>
      <c r="M404" t="inlineStr"/>
      <c r="N404" t="inlineStr"/>
      <c r="O404">
        <f>(1-Summary!$B$48)*S404+Summary!$B$48*U404</f>
        <v/>
      </c>
      <c r="P404">
        <f>IF(B428=0,0,O404/B428)</f>
        <v/>
      </c>
      <c r="Q404">
        <f>IFERROR(1/IF(Inputs!$B$39="pvp",15,MAX(0.1,Skills!D18-IF(Skills!E18=TRUE,Inputs!$B$33,0))),0)</f>
        <v/>
      </c>
      <c r="R404" t="n">
        <v>0</v>
      </c>
      <c r="S404" t="n">
        <v>0</v>
      </c>
      <c r="U404" t="n">
        <v>0</v>
      </c>
    </row>
    <row r="405">
      <c r="A405">
        <f>Skills!A19</f>
        <v/>
      </c>
      <c r="B405">
        <f>Skills!B19</f>
        <v/>
      </c>
      <c r="C405">
        <f>Inputs!$B$3&gt;=110</f>
        <v/>
      </c>
      <c r="D405">
        <f>IF(Skills!C19=1,60+Inputs!$B$26+Inputs!$B$30,IF(Skills!C19=2,90+Inputs!$B$27+Inputs!$B$30,IF(Skills!C19=3,120+Inputs!$B$28+Inputs!$B$30,MAX(0,(Inputs!$B$3-100)*3)+Inputs!$B$29+Inputs!$B$30)))</f>
        <v/>
      </c>
      <c r="E405">
        <f>INDEX(FactorTable!$B$2:$Y$301, MATCH(ROUND(MIN(300,MAX(1,D405)),0), FactorTable!$A$2:$A$301,0), Skills!L19+1)</f>
        <v/>
      </c>
      <c r="F405">
        <f>(Skills!K19/10)*(E405/1000)*64/45+Skills!N19</f>
        <v/>
      </c>
      <c r="G405">
        <f>Calc!G19</f>
        <v/>
      </c>
      <c r="H405">
        <f>Calc!H19</f>
        <v/>
      </c>
      <c r="I405">
        <f>IF(Skills!T19&lt;&gt;"",1+(Skills!T19/10)*($Z$3/1000)/100,1)</f>
        <v/>
      </c>
      <c r="J405" t="inlineStr"/>
      <c r="K405" t="inlineStr"/>
      <c r="L405" t="inlineStr"/>
      <c r="M405" t="inlineStr"/>
      <c r="N405" t="inlineStr"/>
      <c r="O405">
        <f>(1-Summary!$B$48)*S405+Summary!$B$48*U405</f>
        <v/>
      </c>
      <c r="P405">
        <f>IF(B428=0,0,O405/B428)</f>
        <v/>
      </c>
      <c r="Q405">
        <f>IFERROR(1/IF(Inputs!$B$39="pvp",15,MAX(0.1,Skills!D19-IF(Skills!E19=TRUE,Inputs!$B$33,0))),0)</f>
        <v/>
      </c>
      <c r="R405">
        <f>IF(AND(Inputs!$B$39&lt;&gt;"pvp",Inputs!$B$44&gt;0),IF(Inputs!$B$44&lt;=0,0,(INT(Inputs!$B$44/IF(Inputs!$B$39="pvp",15,MAX(0.1,Skills!D19-IF(Skills!E19=TRUE,Inputs!$B$33,0))))+1)),0)</f>
        <v/>
      </c>
      <c r="S405" t="n">
        <v>0</v>
      </c>
      <c r="U405" t="n">
        <v>0</v>
      </c>
    </row>
    <row r="406">
      <c r="A406">
        <f>Skills!A20</f>
        <v/>
      </c>
      <c r="B406">
        <f>Skills!B20</f>
        <v/>
      </c>
      <c r="C406">
        <f>Inputs!$B$3&gt;=125</f>
        <v/>
      </c>
      <c r="D406">
        <f>IF(Skills!C20=1,60+Inputs!$B$26+Inputs!$B$30,IF(Skills!C20=2,90+Inputs!$B$27+Inputs!$B$30,IF(Skills!C20=3,120+Inputs!$B$28+Inputs!$B$30,MAX(0,(Inputs!$B$3-100)*3)+Inputs!$B$29+Inputs!$B$30)))</f>
        <v/>
      </c>
      <c r="E406">
        <f>INDEX(FactorTable!$B$2:$Y$301, MATCH(ROUND(MIN(300,MAX(1,D406)),0), FactorTable!$A$2:$A$301,0), Skills!L20+1)</f>
        <v/>
      </c>
      <c r="F406">
        <f>IF(Skills!M20=TRUE,(Skills!K20/10)*(E406/1000),Skills!K20/10)+Skills!N20</f>
        <v/>
      </c>
      <c r="G406">
        <f>Calc!G20</f>
        <v/>
      </c>
      <c r="H406">
        <f>Calc!H20</f>
        <v/>
      </c>
      <c r="I406">
        <f>IF(Skills!T20&lt;&gt;"",1+(Skills!T20/10)*($Z$3/1000)/100,1)</f>
        <v/>
      </c>
      <c r="J406" t="inlineStr"/>
      <c r="K406" t="inlineStr"/>
      <c r="L406" t="inlineStr"/>
      <c r="M406" t="inlineStr"/>
      <c r="N406" t="inlineStr"/>
      <c r="O406">
        <f>(1-Summary!$B$48)*S406+Summary!$B$48*U406</f>
        <v/>
      </c>
      <c r="P406">
        <f>IF(B428=0,0,O406/B428)</f>
        <v/>
      </c>
      <c r="Q406">
        <f>IFERROR(1/IF(Inputs!$B$39="pvp",15,MAX(0.1,Skills!D20-IF(Skills!E20=TRUE,Inputs!$B$33,0))),0)</f>
        <v/>
      </c>
      <c r="R406" t="n">
        <v>0</v>
      </c>
      <c r="S406" t="n">
        <v>0</v>
      </c>
      <c r="U406" t="n">
        <v>0</v>
      </c>
    </row>
    <row r="407">
      <c r="A407">
        <f>Skills!A21</f>
        <v/>
      </c>
      <c r="B407">
        <f>Skills!B21</f>
        <v/>
      </c>
      <c r="C407">
        <f>Inputs!$B$3&gt;=33</f>
        <v/>
      </c>
      <c r="D407">
        <f>IF(Skills!C21=1,60+Inputs!$B$26+Inputs!$B$30,IF(Skills!C21=2,90+Inputs!$B$27+Inputs!$B$30,IF(Skills!C21=3,120+Inputs!$B$28+Inputs!$B$30,MAX(0,(Inputs!$B$3-100)*3)+Inputs!$B$29+Inputs!$B$30)))</f>
        <v/>
      </c>
      <c r="E407">
        <f>INDEX(FactorTable!$B$2:$Y$301, MATCH(ROUND(MIN(300,MAX(1,D407)),0), FactorTable!$A$2:$A$301,0), Skills!L21+1)</f>
        <v/>
      </c>
      <c r="F407">
        <f>IF(Skills!M21=TRUE,(Skills!K21/10)*(E407/1000),Skills!K21/10)+Skills!N21</f>
        <v/>
      </c>
      <c r="G407">
        <f>Calc!G21</f>
        <v/>
      </c>
      <c r="H407">
        <f>Calc!H21</f>
        <v/>
      </c>
      <c r="I407">
        <f>IF(Skills!T21&lt;&gt;"",1+(Skills!T21/10)*($Z$3/1000)/100,1)</f>
        <v/>
      </c>
      <c r="J407" t="inlineStr"/>
      <c r="K407" t="inlineStr"/>
      <c r="L407" t="inlineStr"/>
      <c r="M407" t="inlineStr"/>
      <c r="N407" t="inlineStr"/>
      <c r="O407">
        <f>(1-Summary!$B$48)*S407+Summary!$B$48*U407</f>
        <v/>
      </c>
      <c r="P407">
        <f>IF(B428=0,0,O407/B428)</f>
        <v/>
      </c>
      <c r="Q407">
        <f>IFERROR(1/IF(Inputs!$B$39="pvp",15,MAX(0.1,Skills!D21-IF(Skills!E21=TRUE,Inputs!$B$33,0))),0)</f>
        <v/>
      </c>
      <c r="R407" t="n">
        <v>0</v>
      </c>
      <c r="S407" t="n">
        <v>0</v>
      </c>
      <c r="U407" t="n">
        <v>0</v>
      </c>
    </row>
    <row r="408">
      <c r="A408">
        <f>Skills!A22</f>
        <v/>
      </c>
      <c r="B408">
        <f>Skills!B22</f>
        <v/>
      </c>
      <c r="C408">
        <f>Inputs!$B$3&gt;=43</f>
        <v/>
      </c>
      <c r="D408">
        <f>IF(Skills!C22=1,60+Inputs!$B$26+Inputs!$B$30,IF(Skills!C22=2,90+Inputs!$B$27+Inputs!$B$30,IF(Skills!C22=3,120+Inputs!$B$28+Inputs!$B$30,MAX(0,(Inputs!$B$3-100)*3)+Inputs!$B$29+Inputs!$B$30)))</f>
        <v/>
      </c>
      <c r="E408">
        <f>INDEX(FactorTable!$B$2:$Y$301, MATCH(ROUND(MIN(300,MAX(1,D408)),0), FactorTable!$A$2:$A$301,0), Skills!L22+1)</f>
        <v/>
      </c>
      <c r="F408">
        <f>IF(Skills!M22=TRUE,(Skills!K22/10)*(E408/1000),Skills!K22/10)+Skills!N22</f>
        <v/>
      </c>
      <c r="G408">
        <f>Calc!G22</f>
        <v/>
      </c>
      <c r="H408">
        <f>Calc!H22</f>
        <v/>
      </c>
      <c r="I408">
        <f>IF(Skills!T22&lt;&gt;"",1+(Skills!T22/10)*($Z$3/1000)/100,1)</f>
        <v/>
      </c>
      <c r="J408" t="inlineStr"/>
      <c r="K408" t="inlineStr"/>
      <c r="L408" t="inlineStr"/>
      <c r="M408" t="inlineStr"/>
      <c r="N408" t="inlineStr"/>
      <c r="O408">
        <f>(1-Summary!$B$48)*S408+Summary!$B$48*U408</f>
        <v/>
      </c>
      <c r="P408">
        <f>IF(B428=0,0,O408/B428)</f>
        <v/>
      </c>
      <c r="Q408">
        <f>IFERROR(1/IF(Inputs!$B$39="pvp",15,MAX(0.1,Skills!D22-IF(Skills!E22=TRUE,Inputs!$B$33,0))),0)</f>
        <v/>
      </c>
      <c r="R408" t="n">
        <v>0</v>
      </c>
      <c r="S408" t="n">
        <v>0</v>
      </c>
      <c r="U408" t="n">
        <v>0</v>
      </c>
    </row>
    <row r="409">
      <c r="A409">
        <f>Skills!A23</f>
        <v/>
      </c>
      <c r="B409">
        <f>Skills!B23</f>
        <v/>
      </c>
      <c r="C409">
        <f>Inputs!$B$3&gt;=50</f>
        <v/>
      </c>
      <c r="D409">
        <f>IF(Skills!C23=1,60+Inputs!$B$26+Inputs!$B$30,IF(Skills!C23=2,90+Inputs!$B$27+Inputs!$B$30,IF(Skills!C23=3,120+Inputs!$B$28+Inputs!$B$30,MAX(0,(Inputs!$B$3-100)*3)+Inputs!$B$29+Inputs!$B$30)))</f>
        <v/>
      </c>
      <c r="E409">
        <f>INDEX(FactorTable!$B$2:$Y$301, MATCH(ROUND(MIN(300,MAX(1,D409)),0), FactorTable!$A$2:$A$301,0), Skills!L23+1)</f>
        <v/>
      </c>
      <c r="F409">
        <f>IF(Skills!M23=TRUE,(Skills!K23/10)*(E409/1000),Skills!K23/10)+Skills!N23</f>
        <v/>
      </c>
      <c r="G409">
        <f>Calc!G23</f>
        <v/>
      </c>
      <c r="H409">
        <f>Calc!H23</f>
        <v/>
      </c>
      <c r="I409">
        <f>IF(Skills!T23&lt;&gt;"",1+(Skills!T23/10)*($Z$3/1000)/100,1)</f>
        <v/>
      </c>
      <c r="J409" t="inlineStr"/>
      <c r="K409" t="inlineStr"/>
      <c r="L409" t="inlineStr"/>
      <c r="M409" t="inlineStr"/>
      <c r="N409" t="inlineStr"/>
      <c r="O409">
        <f>(1-Summary!$B$48)*S409+Summary!$B$48*U409</f>
        <v/>
      </c>
      <c r="P409">
        <f>IF(B428=0,0,O409/B428)</f>
        <v/>
      </c>
      <c r="Q409">
        <f>IFERROR(1/IF(Inputs!$B$39="pvp",15,MAX(0.1,Skills!D23-IF(Skills!E23=TRUE,Inputs!$B$33,0))),0)</f>
        <v/>
      </c>
      <c r="R409" t="n">
        <v>0</v>
      </c>
      <c r="S409" t="n">
        <v>0</v>
      </c>
      <c r="U409" t="n">
        <v>0</v>
      </c>
    </row>
    <row r="410">
      <c r="A410">
        <f>Skills!A24</f>
        <v/>
      </c>
      <c r="B410">
        <f>Skills!B24</f>
        <v/>
      </c>
      <c r="C410">
        <f>Inputs!$B$3&gt;=74</f>
        <v/>
      </c>
      <c r="D410">
        <f>IF(Skills!C24=1,60+Inputs!$B$26+Inputs!$B$30,IF(Skills!C24=2,90+Inputs!$B$27+Inputs!$B$30,IF(Skills!C24=3,120+Inputs!$B$28+Inputs!$B$30,MAX(0,(Inputs!$B$3-100)*3)+Inputs!$B$29+Inputs!$B$30)))</f>
        <v/>
      </c>
      <c r="E410">
        <f>INDEX(FactorTable!$B$2:$Y$301, MATCH(ROUND(MIN(300,MAX(1,D410)),0), FactorTable!$A$2:$A$301,0), Skills!L24+1)</f>
        <v/>
      </c>
      <c r="F410">
        <f>IF(Skills!M24=TRUE,(Skills!K24/10)*(E410/1000),Skills!K24/10)+Skills!N24</f>
        <v/>
      </c>
      <c r="G410">
        <f>Calc!G24</f>
        <v/>
      </c>
      <c r="H410">
        <f>Calc!H24</f>
        <v/>
      </c>
      <c r="I410">
        <f>IF(Skills!T24&lt;&gt;"",1+(Skills!T24/10)*($Z$3/1000)/100,1)</f>
        <v/>
      </c>
      <c r="J410" t="inlineStr"/>
      <c r="K410" t="inlineStr"/>
      <c r="L410" t="inlineStr"/>
      <c r="M410" t="inlineStr"/>
      <c r="N410" t="inlineStr"/>
      <c r="O410">
        <f>(1-Summary!$B$48)*S410+Summary!$B$48*U410</f>
        <v/>
      </c>
      <c r="P410">
        <f>IF(B428=0,0,O410/B428)</f>
        <v/>
      </c>
      <c r="Q410">
        <f>IFERROR(1/IF(Inputs!$B$39="pvp",15,MAX(0.1,Skills!D24-IF(Skills!E24=TRUE,Inputs!$B$33,0))),0)</f>
        <v/>
      </c>
      <c r="R410" t="n">
        <v>0</v>
      </c>
      <c r="S410" t="n">
        <v>0</v>
      </c>
      <c r="U410" t="n">
        <v>0</v>
      </c>
    </row>
    <row r="411">
      <c r="A411">
        <f>Skills!A25</f>
        <v/>
      </c>
      <c r="B411">
        <f>Skills!B25</f>
        <v/>
      </c>
      <c r="C411">
        <f>Inputs!$B$3&gt;=74</f>
        <v/>
      </c>
      <c r="D411">
        <f>IF(Skills!C25=1,60+Inputs!$B$26+Inputs!$B$30,IF(Skills!C25=2,90+Inputs!$B$27+Inputs!$B$30,IF(Skills!C25=3,120+Inputs!$B$28+Inputs!$B$30,MAX(0,(Inputs!$B$3-100)*3)+Inputs!$B$29+Inputs!$B$30)))</f>
        <v/>
      </c>
      <c r="E411">
        <f>INDEX(FactorTable!$B$2:$Y$301, MATCH(ROUND(MIN(300,MAX(1,D411)),0), FactorTable!$A$2:$A$301,0), Skills!L25+1)</f>
        <v/>
      </c>
      <c r="F411">
        <f>IF(Skills!M25=TRUE,(Skills!K25/10)*(E411/1000),Skills!K25/10)+Skills!N25</f>
        <v/>
      </c>
      <c r="G411">
        <f>Calc!G25</f>
        <v/>
      </c>
      <c r="H411">
        <f>Calc!H25</f>
        <v/>
      </c>
      <c r="I411">
        <f>IF(Skills!T25&lt;&gt;"",1+(Skills!T25/10)*($Z$3/1000)/100,1)</f>
        <v/>
      </c>
      <c r="J411" t="inlineStr"/>
      <c r="K411" t="inlineStr"/>
      <c r="L411" t="inlineStr"/>
      <c r="M411" t="inlineStr"/>
      <c r="N411" t="inlineStr"/>
      <c r="O411">
        <f>(1-Summary!$B$48)*S411+Summary!$B$48*U411</f>
        <v/>
      </c>
      <c r="P411">
        <f>IF(B428=0,0,O411/B428)</f>
        <v/>
      </c>
      <c r="Q411">
        <f>IFERROR(1/IF(Inputs!$B$39="pvp",15,MAX(0.1,Skills!D25-IF(Skills!E25=TRUE,Inputs!$B$33,0))),0)</f>
        <v/>
      </c>
      <c r="R411" t="n">
        <v>0</v>
      </c>
      <c r="S411" t="n">
        <v>0</v>
      </c>
      <c r="U411" t="n">
        <v>0</v>
      </c>
    </row>
    <row r="412">
      <c r="A412">
        <f>Skills!A26</f>
        <v/>
      </c>
      <c r="B412">
        <f>Skills!B26</f>
        <v/>
      </c>
      <c r="C412">
        <f>Inputs!$B$3&gt;=117</f>
        <v/>
      </c>
      <c r="D412">
        <f>IF(Skills!C26=1,60+Inputs!$B$26+Inputs!$B$30,IF(Skills!C26=2,90+Inputs!$B$27+Inputs!$B$30,IF(Skills!C26=3,120+Inputs!$B$28+Inputs!$B$30,MAX(0,(Inputs!$B$3-100)*3)+Inputs!$B$29+Inputs!$B$30)))</f>
        <v/>
      </c>
      <c r="E412">
        <f>INDEX(FactorTable!$B$2:$Y$301, MATCH(ROUND(MIN(300,MAX(1,D412)),0), FactorTable!$A$2:$A$301,0), Skills!L26+1)</f>
        <v/>
      </c>
      <c r="F412">
        <f>IF(Skills!M26=TRUE,(Skills!K26/10)*(E412/1000),Skills!K26/10)+Skills!N26</f>
        <v/>
      </c>
      <c r="G412">
        <f>Calc!G26</f>
        <v/>
      </c>
      <c r="H412">
        <f>Calc!H26</f>
        <v/>
      </c>
      <c r="I412">
        <f>IF(Skills!T26&lt;&gt;"",1+(Skills!T26/10)*($Z$3/1000)/100,1)</f>
        <v/>
      </c>
      <c r="J412" t="inlineStr"/>
      <c r="K412" t="inlineStr"/>
      <c r="L412" t="inlineStr"/>
      <c r="M412" t="inlineStr"/>
      <c r="N412" t="inlineStr"/>
      <c r="O412">
        <f>(1-Summary!$B$48)*S412+Summary!$B$48*U412</f>
        <v/>
      </c>
      <c r="P412">
        <f>IF(B428=0,0,O412/B428)</f>
        <v/>
      </c>
      <c r="Q412">
        <f>IFERROR(1/IF(Inputs!$B$39="pvp",15,MAX(0.1,Skills!D26-IF(Skills!E26=TRUE,Inputs!$B$33,0))),0)</f>
        <v/>
      </c>
      <c r="R412" t="n">
        <v>0</v>
      </c>
      <c r="S412" t="n">
        <v>0</v>
      </c>
      <c r="U412" t="n">
        <v>0</v>
      </c>
    </row>
    <row r="413">
      <c r="A413">
        <f>Skills!A27</f>
        <v/>
      </c>
      <c r="B413">
        <f>Skills!B27</f>
        <v/>
      </c>
      <c r="C413">
        <f>Inputs!$B$3&gt;=120</f>
        <v/>
      </c>
      <c r="D413">
        <f>IF(Skills!C27=1,60+Inputs!$B$26+Inputs!$B$30,IF(Skills!C27=2,90+Inputs!$B$27+Inputs!$B$30,IF(Skills!C27=3,120+Inputs!$B$28+Inputs!$B$30,MAX(0,(Inputs!$B$3-100)*3)+Inputs!$B$29+Inputs!$B$30)))</f>
        <v/>
      </c>
      <c r="E413">
        <f>INDEX(FactorTable!$B$2:$Y$301, MATCH(ROUND(MIN(300,MAX(1,D413)),0), FactorTable!$A$2:$A$301,0), Skills!L27+1)</f>
        <v/>
      </c>
      <c r="F413">
        <f>IF(Skills!M27=TRUE,(Skills!K27/10)*(E413/1000),Skills!K27/10)+Skills!N27</f>
        <v/>
      </c>
      <c r="G413">
        <f>Calc!G27</f>
        <v/>
      </c>
      <c r="H413">
        <f>Calc!H27</f>
        <v/>
      </c>
      <c r="I413">
        <f>IF(Skills!T27&lt;&gt;"",1+(Skills!T27/10)*($Z$3/1000)/100,1)</f>
        <v/>
      </c>
      <c r="J413" t="inlineStr"/>
      <c r="K413" t="inlineStr"/>
      <c r="L413" t="inlineStr"/>
      <c r="M413" t="inlineStr"/>
      <c r="N413" t="inlineStr"/>
      <c r="O413">
        <f>(1-Summary!$B$48)*S413+Summary!$B$48*U413</f>
        <v/>
      </c>
      <c r="P413">
        <f>IF(B428=0,0,O413/B428)</f>
        <v/>
      </c>
      <c r="Q413">
        <f>IFERROR(1/IF(Inputs!$B$39="pvp",15,MAX(0.1,Skills!D27-IF(Skills!E27=TRUE,Inputs!$B$33,0))),0)</f>
        <v/>
      </c>
      <c r="R413" t="n">
        <v>0</v>
      </c>
      <c r="S413" t="n">
        <v>0</v>
      </c>
      <c r="U413" t="n">
        <v>0</v>
      </c>
    </row>
    <row r="415">
      <c r="A415" t="inlineStr">
        <is>
          <t>Average Buff Multiplier</t>
        </is>
      </c>
      <c r="B415">
        <f>(1+(IF(C389=TRUE,F389*IF(AND(Inputs!$B$39&lt;&gt;"pvp",Inputs!$B$44&gt;0),(((R389-1)*(Skills!S3*(1+(Inputs!$B$35+IF(Inputs!$B$3&gt;=117,F412,0))/100))+MIN((Skills!S3*(1+(Inputs!$B$35+IF(Inputs!$B$3&gt;=117,F412,0))/100)),MAX(0,Inputs!$B$44-((R389-1)*Skills!D3))))/Inputs!$B$44),IF(Inputs!$B$39="pvp",MIN((Skills!S3*(1+(Inputs!$B$35+IF(Inputs!$B$3&gt;=117,F412,0))/100)),15)/15,(Skills!S3*(1+(Inputs!$B$35+IF(Inputs!$B$3&gt;=117,F412,0))/100))/Skills!D3)),0)+IF(C390=TRUE,F390*IF(AND(Inputs!$B$39&lt;&gt;"pvp",Inputs!$B$44&gt;0),(((R390-1)*(Skills!S4*(1+(Inputs!$B$35+IF(Inputs!$B$3&gt;=117,F412,0))/100))+MIN((Skills!S4*(1+(Inputs!$B$35+IF(Inputs!$B$3&gt;=117,F412,0))/100)),MAX(0,Inputs!$B$44-((R390-1)*Skills!D4))))/Inputs!$B$44),IF(Inputs!$B$39="pvp",MIN((Skills!S4*(1+(Inputs!$B$35+IF(Inputs!$B$3&gt;=117,F412,0))/100)),15)/15,(Skills!S4*(1+(Inputs!$B$35+IF(Inputs!$B$3&gt;=117,F412,0))/100))/Skills!D4)),0)+IF(C391=TRUE,F391*IF(AND(Inputs!$B$39&lt;&gt;"pvp",Inputs!$B$44&gt;0),(((R391-1)*(Skills!S5*(1+(Inputs!$B$35+IF(Inputs!$B$3&gt;=117,F412,0))/100))+MIN((Skills!S5*(1+(Inputs!$B$35+IF(Inputs!$B$3&gt;=117,F412,0))/100)),MAX(0,Inputs!$B$44-((R391-1)*Skills!D5))))/Inputs!$B$44),IF(Inputs!$B$39="pvp",MIN((Skills!S5*(1+(Inputs!$B$35+IF(Inputs!$B$3&gt;=117,F412,0))/100)),15)/15,(Skills!S5*(1+(Inputs!$B$35+IF(Inputs!$B$3&gt;=117,F412,0))/100))/Skills!D5)),0)+IF(C397=TRUE,F397*IF(AND(Inputs!$B$39&lt;&gt;"pvp",Inputs!$B$44&gt;0),(((R397-1)*(Skills!S11*(1+(Inputs!$B$35+IF(Inputs!$B$3&gt;=117,F412,0))/100))+MIN((Skills!S11*(1+(Inputs!$B$35+IF(Inputs!$B$3&gt;=117,F412,0))/100)),MAX(0,Inputs!$B$44-((R397-1)*Skills!D11))))/Inputs!$B$44),IF(Inputs!$B$39="pvp",MIN((Skills!S11*(1+(Inputs!$B$35+IF(Inputs!$B$3&gt;=117,F412,0))/100)),15)/15,(Skills!S11*(1+(Inputs!$B$35+IF(Inputs!$B$3&gt;=117,F412,0))/100))/Skills!D11)),0))/100)*IF(C400=TRUE,(1+F400*IF(AND(Inputs!$B$39&lt;&gt;"pvp",Inputs!$B$44&gt;0),(((R400-1)*(Skills!S14*(1+(Inputs!$B$35+IF(Inputs!$B$3&gt;=117,F412,0))/100))+MIN((Skills!S14*(1+(Inputs!$B$35+IF(Inputs!$B$3&gt;=117,F412,0))/100)),MAX(0,Inputs!$B$44-((R400-1)*Skills!D14))))/Inputs!$B$44),IF(Inputs!$B$39="pvp",MIN((Skills!S14*(1+(Inputs!$B$35+IF(Inputs!$B$3&gt;=117,F412,0))/100)),15)/15,(Skills!S14*(1+(Inputs!$B$35+IF(Inputs!$B$3&gt;=117,F412,0))/100))/Skills!D14))/100),1)*IF(C405=TRUE,(1+F405*IF(AND(Inputs!$B$39&lt;&gt;"pvp",Inputs!$B$44&gt;0),(((R405-1)*(Skills!S19*(1+(Inputs!$B$35+IF(Inputs!$B$3&gt;=117,F412,0))/100))+MIN((Skills!S19*(1+(Inputs!$B$35+IF(Inputs!$B$3&gt;=117,F412,0))/100)),MAX(0,Inputs!$B$44-((R405-1)*Skills!D19))))/Inputs!$B$44),IF(Inputs!$B$39="pvp",MIN((Skills!S19*(1+(Inputs!$B$35+IF(Inputs!$B$3&gt;=117,F412,0))/100)),15)/15,(Skills!S19*(1+(Inputs!$B$35+IF(Inputs!$B$3&gt;=117,F412,0))/100))/Skills!D19))/100),1)</f>
        <v/>
      </c>
    </row>
    <row r="416">
      <c r="A416" t="inlineStr">
        <is>
          <t>Monster Damage Taken Bonus % (Holy Fountain)</t>
        </is>
      </c>
      <c r="B416">
        <f>IF(Inputs!$B$3&gt;=68,20*IF(Inputs!$B$39="pvp",MIN((15*(1+(Inputs!$B$35+IF(Inputs!$B$3&gt;=117,F412,0))/100)),15)/15,(15*(1+(Inputs!$B$35+IF(Inputs!$B$3&gt;=117,F412,0))/100))/Skills!D10),0)</f>
        <v/>
      </c>
    </row>
    <row r="417">
      <c r="A417" t="inlineStr">
        <is>
          <t>Normal Monster Damage Bonus % (Holy Symbol)</t>
        </is>
      </c>
      <c r="B417">
        <f>IF(C398=TRUE,F398*IF(AND(Inputs!$B$39&lt;&gt;"pvp",Inputs!$B$44&gt;0),(((R398-1)*(Skills!S12*(1+(Inputs!$B$35+IF(Inputs!$B$3&gt;=117,F412,0))/100))+MIN((Skills!S12*(1+(Inputs!$B$35+IF(Inputs!$B$3&gt;=117,F412,0))/100)),MAX(0,Inputs!$B$44-((R398-1)*Skills!D12))))/Inputs!$B$44),IF(Inputs!$B$39="pvp",MIN((Skills!S12*(1+(Inputs!$B$35+IF(Inputs!$B$3&gt;=117,F412,0))/100)),15)/15,(Skills!S12*(1+(Inputs!$B$35+IF(Inputs!$B$3&gt;=117,F412,0))/100))/Skills!D12)),0)</f>
        <v/>
      </c>
    </row>
    <row r="418">
      <c r="A418" t="inlineStr">
        <is>
          <t>Damage % Bonus (Holy Symbol - Damage Boost)</t>
        </is>
      </c>
      <c r="B418">
        <f>Skills!O12</f>
        <v/>
      </c>
    </row>
    <row r="419">
      <c r="A419" t="inlineStr">
        <is>
          <t>Crit Damage % Bonus (Blood of the Divine)</t>
        </is>
      </c>
      <c r="B419">
        <f>4*IF(C406=TRUE,F406,0)</f>
        <v/>
      </c>
    </row>
    <row r="420">
      <c r="A420" t="inlineStr">
        <is>
          <t>Attack Speed Bonus %</t>
        </is>
      </c>
      <c r="B420">
        <f>IF(C403=TRUE,F403+(F407-Calc!F21),0)+IF(Inputs!$B$3&gt;=134,15,0)</f>
        <v/>
      </c>
    </row>
    <row r="421">
      <c r="A421" t="inlineStr">
        <is>
          <t>Actions Per Second</t>
        </is>
      </c>
      <c r="B421">
        <f>1+MIN(150,150*(1-(1-Inputs!$B$12/150)*(1-B420/150)))/100</f>
        <v/>
      </c>
    </row>
    <row r="422">
      <c r="A422" t="inlineStr">
        <is>
          <t>Skill + Buff Cast Rate</t>
        </is>
      </c>
      <c r="B422">
        <f>IF(AND(Inputs!$B$39&lt;&gt;"pvp",Inputs!$B$44&gt;0),SUMPRODUCT((Skills!E2:E27=TRUE)*(C388:C413=TRUE)*R388:R413)/Inputs!$B$44,SUMPRODUCT((Skills!E2:E27=TRUE)*(C388:C413=TRUE)*Q388:Q413))</f>
        <v/>
      </c>
    </row>
    <row r="423">
      <c r="A423" t="inlineStr">
        <is>
          <t>Big Bang Casts Per Second</t>
        </is>
      </c>
      <c r="B423">
        <f>MAX(0,B421-B422)</f>
        <v/>
      </c>
    </row>
    <row r="424">
      <c r="A424" t="inlineStr">
        <is>
          <t>Defense % Bonus (Divine Protection)</t>
        </is>
      </c>
      <c r="B424">
        <f>IF(C399=TRUE,F399*IF(AND(Inputs!$B$39&lt;&gt;"pvp",Inputs!$B$44&gt;0),(((R399-1)*(Skills!S13*(1+(Inputs!$B$35+IF(Inputs!$B$3&gt;=117,F412,0))/100))+MIN((Skills!S13*(1+(Inputs!$B$35+IF(Inputs!$B$3&gt;=117,F412,0))/100)),MAX(0,Inputs!$B$44-((R399-1)*Skills!D13))))/Inputs!$B$44),IF(Inputs!$B$39="pvp",MIN((Skills!S13*(1+(Inputs!$B$35+IF(Inputs!$B$3&gt;=117,F412,0))/100)),15)/15,(Skills!S13*(1+(Inputs!$B$35+IF(Inputs!$B$3&gt;=117,F412,0))/100))/Skills!D13)),0)</f>
        <v/>
      </c>
    </row>
    <row r="425">
      <c r="A425" t="inlineStr">
        <is>
          <t>Buff-Casting Startup Delay (s, fixed-duration only)</t>
        </is>
      </c>
      <c r="B425">
        <f>IF(AND(Inputs!$B$39&lt;&gt;"pvp",Inputs!$B$44&gt;0),SUMPRODUCT((Skills!S2:S27&gt;0)*(Skills!E2:E27=TRUE)*(C388:C413=TRUE))/B421,0)</f>
        <v/>
      </c>
    </row>
    <row r="426">
      <c r="A426" t="inlineStr">
        <is>
          <t>Boss-Only Total DPS (this block's swept value)</t>
        </is>
      </c>
      <c r="B426">
        <f>SUM(S388:S413)</f>
        <v/>
      </c>
    </row>
    <row r="427">
      <c r="A427" t="inlineStr">
        <is>
          <t>Normal-Only Total DPS (this block's swept value)</t>
        </is>
      </c>
      <c r="B427">
        <f>SUM(U388:U413)</f>
        <v/>
      </c>
    </row>
    <row r="428">
      <c r="A428" s="5" t="inlineStr">
        <is>
          <t>TOTAL DPS</t>
        </is>
      </c>
      <c r="B428" s="5">
        <f>SUM(O388:O413)</f>
        <v/>
      </c>
    </row>
    <row r="430">
      <c r="A430" s="5" t="inlineStr">
        <is>
          <t>Stat: MIN_DAMAGE %</t>
        </is>
      </c>
    </row>
    <row r="431">
      <c r="A431" s="9" t="inlineStr">
        <is>
          <t>Key</t>
        </is>
      </c>
      <c r="B431" s="9" t="inlineStr">
        <is>
          <t>Name</t>
        </is>
      </c>
      <c r="C431" s="9" t="inlineStr">
        <is>
          <t>Unlocked</t>
        </is>
      </c>
      <c r="D431" s="9" t="inlineStr">
        <is>
          <t>InputLevel</t>
        </is>
      </c>
      <c r="E431" s="9" t="inlineStr">
        <is>
          <t>Factor</t>
        </is>
      </c>
      <c r="F431" s="9" t="inlineStr">
        <is>
          <t>CoefficientPercent</t>
        </is>
      </c>
      <c r="G431" s="9" t="inlineStr">
        <is>
          <t>EffectiveHits</t>
        </is>
      </c>
      <c r="H431" s="9" t="inlineStr">
        <is>
          <t>ProcProbability</t>
        </is>
      </c>
      <c r="I431" s="9" t="inlineStr">
        <is>
          <t>MapleHeroMultiplier</t>
        </is>
      </c>
      <c r="J431" s="9" t="inlineStr">
        <is>
          <t>BaseDamage</t>
        </is>
      </c>
      <c r="K431" s="9" t="inlineStr">
        <is>
          <t>BaseHitDamage</t>
        </is>
      </c>
      <c r="L431" s="9" t="inlineStr">
        <is>
          <t>NonCritAvg</t>
        </is>
      </c>
      <c r="M431" s="9" t="inlineStr">
        <is>
          <t>CritAvg</t>
        </is>
      </c>
      <c r="N431" s="9" t="inlineStr">
        <is>
          <t>ExpectedDamage(perHit)</t>
        </is>
      </c>
      <c r="O431" s="9" t="inlineStr">
        <is>
          <t>DPS</t>
        </is>
      </c>
      <c r="P431" s="9" t="inlineStr">
        <is>
          <t>% of Total</t>
        </is>
      </c>
      <c r="R431" t="inlineStr">
        <is>
          <t>helpers</t>
        </is>
      </c>
    </row>
    <row r="432">
      <c r="A432">
        <f>Skills!A2</f>
        <v/>
      </c>
      <c r="B432">
        <f>Skills!B2</f>
        <v/>
      </c>
      <c r="C432">
        <f>Inputs!$B$3&gt;=100</f>
        <v/>
      </c>
      <c r="D432" t="inlineStr"/>
      <c r="E432" t="inlineStr"/>
      <c r="F432">
        <f>T434+Skills!N2</f>
        <v/>
      </c>
      <c r="G432">
        <f>Calc!G2</f>
        <v/>
      </c>
      <c r="H432">
        <f>Calc!H2</f>
        <v/>
      </c>
      <c r="I432">
        <f>IF(Skills!T2&lt;&gt;"",1+(Skills!T2/10)*($Z$3/1000)/100,1)</f>
        <v/>
      </c>
      <c r="J432">
        <f>((Inputs!$B$6*(1+Inputs!$B$7/100))+(((Inputs!$B$13*(1+Inputs!$B$14/100))-(Inputs!$B$13*(1+Inputs!$B$14/100)))+0.25*(Inputs!$B$15-Inputs!$B$15))*(1+Inputs!$B$7/100))*(F432/100)</f>
        <v/>
      </c>
      <c r="K432">
        <f>J432*(1+(((Inputs!$B$13+IF(Inputs!$B$3&gt;=35,(10*INDEX(FactorTable!$B$2:$Y$301, MATCH(ROUND(MIN(300,MAX(1,Inputs!$B$3)),0), FactorTable!$A$2:$A$301,0), 23)/1000)/100*(Inputs!$B$8*(1+(Inputs!$B$9+B468)/100)),0))*(1+Inputs!$B$14/100))*0.01+Inputs!$B$15*0.0025)/100)*(1+(Inputs!$B$16+B462)/100)*(1+Inputs!$B$17/100)*(5000/(6000+Inputs!$B$43*(1-Inputs!$B$20/100)))*(1+Inputs!$B$25/100)*(1+IF(C448=TRUE,F448,0)/100)*(1+IF(C450=TRUE,F450,0)/100)*(1+IF(Skills!A2="TRIUMPH_FEATHER",IF(C446=TRUE,F446,0),0)/100)*(1+IF(C457=TRUE,F457,0)/100)^5*(1+(IF(Skills!A2="BIG_BANG",Inputs!$B$18,Inputs!$B$19))/100)*(B459*I432)</f>
        <v/>
      </c>
      <c r="L432">
        <f>K432*(MIN((Inputs!$B$23+1)+(F452-Calc!F22),Inputs!$B$24)/100+Inputs!$B$24/100)/2</f>
        <v/>
      </c>
      <c r="M432">
        <f>L432*(1+(Inputs!$B$11+B463+(F455-Calc!F25))/100)</f>
        <v/>
      </c>
      <c r="N432">
        <f>L432*(1-MIN(Inputs!$B$10+((F454-Calc!F24)+(F453-Calc!F23)),100)/100)+M432*(MIN(Inputs!$B$10+((F454-Calc!F24)+(F453-Calc!F23)),100)/100)</f>
        <v/>
      </c>
      <c r="O432">
        <f>(1-Summary!$B$48)*S432+Summary!$B$48*U432</f>
        <v/>
      </c>
      <c r="P432">
        <f>IF(B472=0,0,O432/B472)</f>
        <v/>
      </c>
      <c r="Q432">
        <f>IFERROR(1/IF(Inputs!$B$39="pvp",15,MAX(0.1,Skills!D2-IF(Skills!E2=TRUE,Inputs!$B$33,0))),0)</f>
        <v/>
      </c>
      <c r="R432" t="n">
        <v>0</v>
      </c>
      <c r="S432">
        <f>IF(C432,(Skills!F2*N432*B467)*IF(Inputs!$B$39="pvp",1,1+(Inputs!$B$21+Skills!O2+B460)/100),0)</f>
        <v/>
      </c>
      <c r="T432">
        <f>MAX(0,(Inputs!$B$3-100)*3)+Inputs!$B$29+Inputs!$B$30</f>
        <v/>
      </c>
      <c r="U432">
        <f>IF(C432,(Skills!F2*N432*B467)*IF(Inputs!$B$39="pvp",1,(1+(Inputs!$B$22+Skills!P2+B461)/100)*(MIN((6+Inputs!$B$34),Inputs!$B$38))),0)</f>
        <v/>
      </c>
    </row>
    <row r="433">
      <c r="A433">
        <f>Skills!A3</f>
        <v/>
      </c>
      <c r="B433">
        <f>Skills!B3</f>
        <v/>
      </c>
      <c r="C433">
        <f>Inputs!$B$3&gt;=15</f>
        <v/>
      </c>
      <c r="D433">
        <f>IF(Skills!C3=1,60+Inputs!$B$26+Inputs!$B$30,IF(Skills!C3=2,90+Inputs!$B$27+Inputs!$B$30,IF(Skills!C3=3,120+Inputs!$B$28+Inputs!$B$30,MAX(0,(Inputs!$B$3-100)*3)+Inputs!$B$29+Inputs!$B$30)))</f>
        <v/>
      </c>
      <c r="E433">
        <f>INDEX(FactorTable!$B$2:$Y$301, MATCH(ROUND(MIN(300,MAX(1,D433)),0), FactorTable!$A$2:$A$301,0), Skills!L3+1)</f>
        <v/>
      </c>
      <c r="F433">
        <f>IF(Skills!M3=TRUE,(Skills!K3/10)*(E433/1000),Skills!K3/10)+Skills!N3</f>
        <v/>
      </c>
      <c r="G433">
        <f>Calc!G3</f>
        <v/>
      </c>
      <c r="H433">
        <f>Calc!H3</f>
        <v/>
      </c>
      <c r="I433">
        <f>IF(Skills!T3&lt;&gt;"",1+(Skills!T3/10)*($Z$3/1000)/100,1)</f>
        <v/>
      </c>
      <c r="J433" t="inlineStr"/>
      <c r="K433" t="inlineStr"/>
      <c r="L433" t="inlineStr"/>
      <c r="M433" t="inlineStr"/>
      <c r="N433" t="inlineStr"/>
      <c r="O433">
        <f>(1-Summary!$B$48)*S433+Summary!$B$48*U433</f>
        <v/>
      </c>
      <c r="P433">
        <f>IF(B472=0,0,O433/B472)</f>
        <v/>
      </c>
      <c r="Q433">
        <f>IFERROR(1/IF(Inputs!$B$39="pvp",15,MAX(0.1,Skills!D3-IF(Skills!E3=TRUE,Inputs!$B$33,0))),0)</f>
        <v/>
      </c>
      <c r="R433">
        <f>IF(AND(Inputs!$B$39&lt;&gt;"pvp",Inputs!$B$44&gt;0),IF(Inputs!$B$44&lt;=0,0,(INT(Inputs!$B$44/IF(Inputs!$B$39="pvp",15,MAX(0.1,Skills!D3-IF(Skills!E3=TRUE,Inputs!$B$33,0))))+1)),0)</f>
        <v/>
      </c>
      <c r="S433" t="n">
        <v>0</v>
      </c>
      <c r="T433">
        <f>INDEX(FactorTable!$B$2:$Y$301, MATCH(ROUND(MIN(300,MAX(1,T432)),0), FactorTable!$A$2:$A$301,0), 22)</f>
        <v/>
      </c>
      <c r="U433" t="n">
        <v>0</v>
      </c>
    </row>
    <row r="434">
      <c r="A434">
        <f>Skills!A4</f>
        <v/>
      </c>
      <c r="B434">
        <f>Skills!B4</f>
        <v/>
      </c>
      <c r="C434">
        <f>Inputs!$B$3&gt;=38</f>
        <v/>
      </c>
      <c r="D434">
        <f>IF(Skills!C4=1,60+Inputs!$B$26+Inputs!$B$30,IF(Skills!C4=2,90+Inputs!$B$27+Inputs!$B$30,IF(Skills!C4=3,120+Inputs!$B$28+Inputs!$B$30,MAX(0,(Inputs!$B$3-100)*3)+Inputs!$B$29+Inputs!$B$30)))</f>
        <v/>
      </c>
      <c r="E434">
        <f>INDEX(FactorTable!$B$2:$Y$301, MATCH(ROUND(MIN(300,MAX(1,D434)),0), FactorTable!$A$2:$A$301,0), Skills!L4+1)</f>
        <v/>
      </c>
      <c r="F434">
        <f>IF(Skills!M4=TRUE,(Skills!K4/10)*(E434/1000),Skills!K4/10)+Skills!N4</f>
        <v/>
      </c>
      <c r="G434">
        <f>Calc!G4</f>
        <v/>
      </c>
      <c r="H434">
        <f>Calc!H4</f>
        <v/>
      </c>
      <c r="I434">
        <f>IF(Skills!T4&lt;&gt;"",1+(Skills!T4/10)*($Z$3/1000)/100,1)</f>
        <v/>
      </c>
      <c r="J434" t="inlineStr"/>
      <c r="K434" t="inlineStr"/>
      <c r="L434" t="inlineStr"/>
      <c r="M434" t="inlineStr"/>
      <c r="N434" t="inlineStr"/>
      <c r="O434">
        <f>(1-Summary!$B$48)*S434+Summary!$B$48*U434</f>
        <v/>
      </c>
      <c r="P434">
        <f>IF(B472=0,0,O434/B472)</f>
        <v/>
      </c>
      <c r="Q434">
        <f>IFERROR(1/IF(Inputs!$B$39="pvp",15,MAX(0.1,Skills!D4-IF(Skills!E4=TRUE,Inputs!$B$33,0))),0)</f>
        <v/>
      </c>
      <c r="R434">
        <f>IF(AND(Inputs!$B$39&lt;&gt;"pvp",Inputs!$B$44&gt;0),IF(Inputs!$B$44&lt;=0,0,(INT(Inputs!$B$44/IF(Inputs!$B$39="pvp",15,MAX(0.1,Skills!D4-IF(Skills!E4=TRUE,Inputs!$B$33,0))))+1)),0)</f>
        <v/>
      </c>
      <c r="S434" t="n">
        <v>0</v>
      </c>
      <c r="T434">
        <f>290*T433/1000</f>
        <v/>
      </c>
      <c r="U434" t="n">
        <v>0</v>
      </c>
    </row>
    <row r="435">
      <c r="A435">
        <f>Skills!A5</f>
        <v/>
      </c>
      <c r="B435">
        <f>Skills!B5</f>
        <v/>
      </c>
      <c r="C435">
        <f>Inputs!$B$3&gt;=40</f>
        <v/>
      </c>
      <c r="D435">
        <f>IF(Skills!C5=1,60+Inputs!$B$26+Inputs!$B$30,IF(Skills!C5=2,90+Inputs!$B$27+Inputs!$B$30,IF(Skills!C5=3,120+Inputs!$B$28+Inputs!$B$30,MAX(0,(Inputs!$B$3-100)*3)+Inputs!$B$29+Inputs!$B$30)))</f>
        <v/>
      </c>
      <c r="E435">
        <f>INDEX(FactorTable!$B$2:$Y$301, MATCH(ROUND(MIN(300,MAX(1,D435)),0), FactorTable!$A$2:$A$301,0), Skills!L5+1)</f>
        <v/>
      </c>
      <c r="F435">
        <f>IF(Skills!M5=TRUE,(Skills!K5/10)*(E435/1000),Skills!K5/10)+Skills!N5</f>
        <v/>
      </c>
      <c r="G435">
        <f>Calc!G5</f>
        <v/>
      </c>
      <c r="H435">
        <f>Calc!H5</f>
        <v/>
      </c>
      <c r="I435">
        <f>IF(Skills!T5&lt;&gt;"",1+(Skills!T5/10)*($Z$3/1000)/100,1)</f>
        <v/>
      </c>
      <c r="J435" t="inlineStr"/>
      <c r="K435" t="inlineStr"/>
      <c r="L435" t="inlineStr"/>
      <c r="M435" t="inlineStr"/>
      <c r="N435" t="inlineStr"/>
      <c r="O435">
        <f>(1-Summary!$B$48)*S435+Summary!$B$48*U435</f>
        <v/>
      </c>
      <c r="P435">
        <f>IF(B472=0,0,O435/B472)</f>
        <v/>
      </c>
      <c r="Q435">
        <f>IFERROR(1/IF(Inputs!$B$39="pvp",15,MAX(0.1,Skills!D5-IF(Skills!E5=TRUE,Inputs!$B$33,0))),0)</f>
        <v/>
      </c>
      <c r="R435">
        <f>IF(AND(Inputs!$B$39&lt;&gt;"pvp",Inputs!$B$44&gt;0),IF(Inputs!$B$44&lt;=0,0,(INT(Inputs!$B$44/IF(Inputs!$B$39="pvp",15,MAX(0.1,Skills!D5-IF(Skills!E5=TRUE,Inputs!$B$33,0))))+1)),0)</f>
        <v/>
      </c>
      <c r="S435" t="n">
        <v>0</v>
      </c>
      <c r="U435" t="n">
        <v>0</v>
      </c>
    </row>
    <row r="436">
      <c r="A436">
        <f>Skills!A6</f>
        <v/>
      </c>
      <c r="B436">
        <f>Skills!B6</f>
        <v/>
      </c>
      <c r="C436">
        <f>Inputs!$B$3&gt;=103</f>
        <v/>
      </c>
      <c r="D436">
        <f>IF(Skills!C6=1,60+Inputs!$B$26+Inputs!$B$30,IF(Skills!C6=2,90+Inputs!$B$27+Inputs!$B$30,IF(Skills!C6=3,120+Inputs!$B$28+Inputs!$B$30,MAX(0,(Inputs!$B$3-100)*3)+Inputs!$B$29+Inputs!$B$30)))</f>
        <v/>
      </c>
      <c r="E436">
        <f>INDEX(FactorTable!$B$2:$Y$301, MATCH(ROUND(MIN(300,MAX(1,D436)),0), FactorTable!$A$2:$A$301,0), Skills!L6+1)</f>
        <v/>
      </c>
      <c r="F436">
        <f>IF(Skills!M6=TRUE,(Skills!K6/10)*(E436/1000),Skills!K6/10)+Skills!N6</f>
        <v/>
      </c>
      <c r="G436">
        <f>Calc!G6</f>
        <v/>
      </c>
      <c r="H436">
        <f>Calc!H6</f>
        <v/>
      </c>
      <c r="I436">
        <f>IF(Skills!T6&lt;&gt;"",1+(Skills!T6/10)*($Z$3/1000)/100,1)</f>
        <v/>
      </c>
      <c r="J436">
        <f>((Inputs!$B$6*(1+Inputs!$B$7/100))+(((Inputs!$B$13*(1+Inputs!$B$14/100))-(Inputs!$B$13*(1+Inputs!$B$14/100)))+0.25*(Inputs!$B$15-Inputs!$B$15))*(1+Inputs!$B$7/100))*(F436/100)</f>
        <v/>
      </c>
      <c r="K436">
        <f>J436*(1+(((Inputs!$B$13+IF(Inputs!$B$3&gt;=35,(10*INDEX(FactorTable!$B$2:$Y$301, MATCH(ROUND(MIN(300,MAX(1,Inputs!$B$3)),0), FactorTable!$A$2:$A$301,0), 23)/1000)/100*(Inputs!$B$8*(1+(Inputs!$B$9+B468)/100)),0))*(1+Inputs!$B$14/100))*0.01+Inputs!$B$15*0.0025)/100)*(1+(Inputs!$B$16+B462)/100)*(1+Inputs!$B$17/100)*(5000/(6000+Inputs!$B$43*(1-Inputs!$B$20/100)))*(1+Inputs!$B$25/100)*(1+IF(C448=TRUE,F448,0)/100)*(1+IF(C450=TRUE,F450,0)/100)*(1+IF(Skills!A6="TRIUMPH_FEATHER",IF(C446=TRUE,F446,0),0)/100)*(1+IF(C457=TRUE,F457,0)/100)^5*(1+(IF(Skills!A6="BIG_BANG",Inputs!$B$18,Inputs!$B$19))/100)*(B459*I436)</f>
        <v/>
      </c>
      <c r="L436">
        <f>K436*(MIN((Inputs!$B$23+1)+(F452-Calc!F22),Inputs!$B$24)/100+Inputs!$B$24/100)/2</f>
        <v/>
      </c>
      <c r="M436">
        <f>L436*(1+(Inputs!$B$11+B463+(F455-Calc!F25))/100)</f>
        <v/>
      </c>
      <c r="N436">
        <f>L436*(1-MIN(Inputs!$B$10+((F454-Calc!F24)+(F453-Calc!F23)),100)/100)+M436*(MIN(Inputs!$B$10+((F454-Calc!F24)+(F453-Calc!F23)),100)/100)</f>
        <v/>
      </c>
      <c r="O436">
        <f>(1-Summary!$B$48)*S436+Summary!$B$48*U436</f>
        <v/>
      </c>
      <c r="P436">
        <f>IF(B472=0,0,O436/B472)</f>
        <v/>
      </c>
      <c r="Q436">
        <f>IFERROR(1/IF(Inputs!$B$39="pvp",15,MAX(0.1,Skills!D6-IF(Skills!E6=TRUE,Inputs!$B$33,0))),0)</f>
        <v/>
      </c>
      <c r="R436">
        <f>IF(AND(Inputs!$B$39&lt;&gt;"pvp",Inputs!$B$44&gt;0),IF(MAX(0,Inputs!$B$44-B469)&lt;=0,0,(INT(MAX(0,Inputs!$B$44-B469)/IF(Inputs!$B$39="pvp",15,MAX(0.1,Skills!D6-IF(Skills!E6=TRUE,Inputs!$B$33,0))))+1)),0)</f>
        <v/>
      </c>
      <c r="S436">
        <f>IF(C436,(H436*N436*IF(AND(Inputs!$B$39&lt;&gt;"pvp",Inputs!$B$44&gt;0),((Skills!F6*((R436-1)*IF(Skills!G6&gt;0,Skills!H6/Skills!G6,1)+IF(Skills!G6&gt;0,MIN(Skills!H6,MAX(0,MAX(0,Inputs!$B$44-B469)-((R436-1)*IF(Inputs!$B$39="pvp",15,MAX(0.1,Skills!D6-IF(Skills!E6=TRUE,Inputs!$B$33,0))))))/Skills!G6,1)))/Inputs!$B$44),G436*Q436))*IF(Inputs!$B$39="pvp",1,1+(Inputs!$B$21+Skills!O6+B460)/100),0)</f>
        <v/>
      </c>
      <c r="U436">
        <f>IF(C436,(H436*N436*IF(AND(Inputs!$B$39&lt;&gt;"pvp",Inputs!$B$44&gt;0),((Skills!F6*((R436-1)*IF(Skills!G6&gt;0,Skills!H6/Skills!G6,1)+IF(Skills!G6&gt;0,MIN(Skills!H6,MAX(0,MAX(0,Inputs!$B$44-B469)-((R436-1)*IF(Inputs!$B$39="pvp",15,MAX(0.1,Skills!D6-IF(Skills!E6=TRUE,Inputs!$B$33,0))))))/Skills!G6,1)))/Inputs!$B$44),G436*Q436))*IF(Inputs!$B$39="pvp",1,(1+(Inputs!$B$22+Skills!P6+B461)/100)*(MIN(Skills!Q6,Inputs!$B$38))),0)</f>
        <v/>
      </c>
    </row>
    <row r="437">
      <c r="A437">
        <f>Skills!A7</f>
        <v/>
      </c>
      <c r="B437">
        <f>Skills!B7</f>
        <v/>
      </c>
      <c r="C437">
        <f>Inputs!$B$3&gt;=122</f>
        <v/>
      </c>
      <c r="D437">
        <f>IF(Skills!C7=1,60+Inputs!$B$26+Inputs!$B$30,IF(Skills!C7=2,90+Inputs!$B$27+Inputs!$B$30,IF(Skills!C7=3,120+Inputs!$B$28+Inputs!$B$30,MAX(0,(Inputs!$B$3-100)*3)+Inputs!$B$29+Inputs!$B$30)))</f>
        <v/>
      </c>
      <c r="E437">
        <f>INDEX(FactorTable!$B$2:$Y$301, MATCH(ROUND(MIN(300,MAX(1,D437)),0), FactorTable!$A$2:$A$301,0), Skills!L7+1)</f>
        <v/>
      </c>
      <c r="F437">
        <f>IF(Skills!M7=TRUE,(Skills!K7/10)*(E437/1000),Skills!K7/10)+Skills!N7</f>
        <v/>
      </c>
      <c r="G437">
        <f>Calc!G7</f>
        <v/>
      </c>
      <c r="H437">
        <f>Calc!H7</f>
        <v/>
      </c>
      <c r="I437">
        <f>IF(Skills!T7&lt;&gt;"",1+(Skills!T7/10)*($Z$3/1000)/100,1)</f>
        <v/>
      </c>
      <c r="J437">
        <f>((Inputs!$B$6*(1+Inputs!$B$7/100))+(((Inputs!$B$13*(1+Inputs!$B$14/100))-(Inputs!$B$13*(1+Inputs!$B$14/100)))+0.25*(Inputs!$B$15-Inputs!$B$15))*(1+Inputs!$B$7/100))*(F437/100)</f>
        <v/>
      </c>
      <c r="K437">
        <f>J437*(1+(((Inputs!$B$13+IF(Inputs!$B$3&gt;=35,(10*INDEX(FactorTable!$B$2:$Y$301, MATCH(ROUND(MIN(300,MAX(1,Inputs!$B$3)),0), FactorTable!$A$2:$A$301,0), 23)/1000)/100*(Inputs!$B$8*(1+(Inputs!$B$9+B468)/100)),0))*(1+Inputs!$B$14/100))*0.01+Inputs!$B$15*0.0025)/100)*(1+(Inputs!$B$16+B462)/100)*(1+Inputs!$B$17/100)*(5000/(6000+Inputs!$B$43*(1-Inputs!$B$20/100)))*(1+Inputs!$B$25/100)*(1+IF(C448=TRUE,F448,0)/100)*(1+IF(C450=TRUE,F450,0)/100)*(1+IF(Skills!A7="TRIUMPH_FEATHER",IF(C446=TRUE,F446,0),0)/100)*(1+IF(C457=TRUE,F457,0)/100)^5*(1+(IF(Skills!A7="BIG_BANG",Inputs!$B$18,Inputs!$B$19))/100)*(B459*I437)</f>
        <v/>
      </c>
      <c r="L437">
        <f>K437*(MIN((Inputs!$B$23+1)+(F452-Calc!F22),Inputs!$B$24)/100+Inputs!$B$24/100)/2</f>
        <v/>
      </c>
      <c r="M437">
        <f>L437*(1+(Inputs!$B$11+B463+(F455-Calc!F25))/100)</f>
        <v/>
      </c>
      <c r="N437">
        <f>L437*(1-MIN(Inputs!$B$10+((F454-Calc!F24)+(F453-Calc!F23)),100)/100)+M437*(MIN(Inputs!$B$10+((F454-Calc!F24)+(F453-Calc!F23)),100)/100)</f>
        <v/>
      </c>
      <c r="O437">
        <f>(1-Summary!$B$48)*S437+Summary!$B$48*U437</f>
        <v/>
      </c>
      <c r="P437">
        <f>IF(B472=0,0,O437/B472)</f>
        <v/>
      </c>
      <c r="Q437">
        <f>IFERROR(1/IF(Inputs!$B$39="pvp",15,MAX(0.1,Skills!D7-IF(Skills!E6=TRUE,Inputs!$B$33,0))),0)</f>
        <v/>
      </c>
      <c r="R437">
        <f>IF(AND(Inputs!$B$39&lt;&gt;"pvp",Inputs!$B$44&gt;0),IF(MAX(0,Inputs!$B$44-B469)&lt;=0,0,(INT(MAX(0,Inputs!$B$44-B469)/IF(Inputs!$B$39="pvp",15,MAX(0.1,Skills!D7-IF(Skills!E6=TRUE,Inputs!$B$33,0))))+1)),0)</f>
        <v/>
      </c>
      <c r="S437">
        <f>IF(C437,H437*N437*IF(AND(Inputs!$B$39&lt;&gt;"pvp",Inputs!$B$44&gt;0),((Skills!F7*((R437-1)*IF(Skills!G7&gt;0,Skills!H7/Skills!G7,1)+IF(Skills!G7&gt;0,MIN(Skills!H7,MAX(0,MAX(0,Inputs!$B$44-B469)-((R437-1)*IF(Inputs!$B$39="pvp",15,MAX(0.1,Skills!D7-IF(Skills!E6=TRUE,Inputs!$B$33,0))))))/Skills!G7,1)))/Inputs!$B$44),G437*Q437)*IF(Inputs!$B$39="pvp",1,1+(Inputs!$B$21+Skills!O7+B460)/100),0)</f>
        <v/>
      </c>
      <c r="U437" t="n">
        <v>0</v>
      </c>
    </row>
    <row r="438">
      <c r="A438">
        <f>Skills!A8</f>
        <v/>
      </c>
      <c r="B438">
        <f>Skills!B8</f>
        <v/>
      </c>
      <c r="C438">
        <f>Inputs!$B$3&gt;=105</f>
        <v/>
      </c>
      <c r="D438">
        <f>IF(Skills!C8=1,60+Inputs!$B$26+Inputs!$B$30,IF(Skills!C8=2,90+Inputs!$B$27+Inputs!$B$30,IF(Skills!C8=3,120+Inputs!$B$28+Inputs!$B$30,MAX(0,(Inputs!$B$3-100)*3)+Inputs!$B$29+Inputs!$B$30)))</f>
        <v/>
      </c>
      <c r="E438">
        <f>INDEX(FactorTable!$B$2:$Y$301, MATCH(ROUND(MIN(300,MAX(1,D438)),0), FactorTable!$A$2:$A$301,0), Skills!L8+1)</f>
        <v/>
      </c>
      <c r="F438">
        <f>IF(Skills!M8=TRUE,(Skills!K8/10)*(E438/1000),Skills!K8/10)+Skills!N8</f>
        <v/>
      </c>
      <c r="G438">
        <f>Calc!G8</f>
        <v/>
      </c>
      <c r="H438">
        <f>Calc!H8</f>
        <v/>
      </c>
      <c r="I438">
        <f>IF(Skills!T8&lt;&gt;"",1+(Skills!T8/10)*($Z$3/1000)/100,1)</f>
        <v/>
      </c>
      <c r="J438">
        <f>((Inputs!$B$6*(1+Inputs!$B$7/100))+(((Inputs!$B$13*(1+Inputs!$B$14/100))-(Inputs!$B$13*(1+Inputs!$B$14/100)))+0.25*(Inputs!$B$15-Inputs!$B$15))*(1+Inputs!$B$7/100))*(F438/100)</f>
        <v/>
      </c>
      <c r="K438">
        <f>J438*(1+(((Inputs!$B$13+IF(Inputs!$B$3&gt;=35,(10*INDEX(FactorTable!$B$2:$Y$301, MATCH(ROUND(MIN(300,MAX(1,Inputs!$B$3)),0), FactorTable!$A$2:$A$301,0), 23)/1000)/100*(Inputs!$B$8*(1+(Inputs!$B$9+B468)/100)),0))*(1+Inputs!$B$14/100))*0.01+Inputs!$B$15*0.0025)/100)*(1+(Inputs!$B$16+B462)/100)*(1+Inputs!$B$17/100)*(5000/(6000+Inputs!$B$43*(1-Inputs!$B$20/100)))*(1+Inputs!$B$25/100)*(1+IF(C448=TRUE,F448,0)/100)*(1+IF(C450=TRUE,F450,0)/100)*(1+IF(Skills!A8="TRIUMPH_FEATHER",IF(C446=TRUE,F446,0),0)/100)*(1+IF(C457=TRUE,F457,0)/100)^5*(1+(IF(Skills!A8="BIG_BANG",Inputs!$B$18,Inputs!$B$19))/100)*(B459*I438)</f>
        <v/>
      </c>
      <c r="L438">
        <f>K438*(MIN((Inputs!$B$23+1)+(F452-Calc!F22),Inputs!$B$24)/100+Inputs!$B$24/100)/2</f>
        <v/>
      </c>
      <c r="M438">
        <f>L438*(1+(Inputs!$B$11+B463+(F455-Calc!F25))/100)</f>
        <v/>
      </c>
      <c r="N438">
        <f>L438*(1-MIN(Inputs!$B$10+((F454-Calc!F24)+(F453-Calc!F23)),100)/100)+M438*(MIN(Inputs!$B$10+((F454-Calc!F24)+(F453-Calc!F23)),100)/100)</f>
        <v/>
      </c>
      <c r="O438">
        <f>(1-Summary!$B$48)*S438+Summary!$B$48*U438</f>
        <v/>
      </c>
      <c r="P438">
        <f>IF(B472=0,0,O438/B472)</f>
        <v/>
      </c>
      <c r="Q438">
        <f>IFERROR(1/IF(Inputs!$B$39="pvp",15,MAX(0.1,Skills!D8-IF(Skills!E8=TRUE,Inputs!$B$33,0))),0)</f>
        <v/>
      </c>
      <c r="R438">
        <f>IF(AND(Inputs!$B$39&lt;&gt;"pvp",Inputs!$B$44&gt;0),IF(MAX(0,Inputs!$B$44-B469)&lt;=0,0,(INT(MAX(0,Inputs!$B$44-B469)/IF(Inputs!$B$39="pvp",15,MAX(0.1,Skills!D8-IF(Skills!E8=TRUE,Inputs!$B$33,0))))+1)),0)</f>
        <v/>
      </c>
      <c r="S438">
        <f>IF(C438,(H438*N438*IF(AND(Inputs!$B$39&lt;&gt;"pvp",Inputs!$B$44&gt;0),((Skills!F8*((R438-1)*IF(Skills!G8&gt;0,Skills!H8/Skills!G8,1)+IF(Skills!G8&gt;0,MIN(Skills!H8,MAX(0,MAX(0,Inputs!$B$44-B469)-((R438-1)*IF(Inputs!$B$39="pvp",15,MAX(0.1,Skills!D8-IF(Skills!E8=TRUE,Inputs!$B$33,0))))))/Skills!G8,1)))/Inputs!$B$44),G438*Q438))*IF(Inputs!$B$39="pvp",1,1+(Inputs!$B$21+Skills!O8+B460)/100),0)</f>
        <v/>
      </c>
      <c r="U438">
        <f>IF(C438,(H438*N438*IF(AND(Inputs!$B$39&lt;&gt;"pvp",Inputs!$B$44&gt;0),((Skills!F8*((R438-1)*IF(Skills!G8&gt;0,Skills!H8/Skills!G8,1)+IF(Skills!G8&gt;0,MIN(Skills!H8,MAX(0,MAX(0,Inputs!$B$44-B469)-((R438-1)*IF(Inputs!$B$39="pvp",15,MAX(0.1,Skills!D8-IF(Skills!E8=TRUE,Inputs!$B$33,0))))))/Skills!G8,1)))/Inputs!$B$44),G438*Q438))*IF(Inputs!$B$39="pvp",1,(1+(Inputs!$B$22+Skills!P8+B461)/100)*(MIN(Skills!Q8,Inputs!$B$38))),0)</f>
        <v/>
      </c>
    </row>
    <row r="439">
      <c r="A439">
        <f>Skills!A9</f>
        <v/>
      </c>
      <c r="B439">
        <f>Skills!B9</f>
        <v/>
      </c>
      <c r="C439">
        <f>Inputs!$B$3&gt;=115</f>
        <v/>
      </c>
      <c r="D439">
        <f>IF(Skills!C9=1,60+Inputs!$B$26+Inputs!$B$30,IF(Skills!C9=2,90+Inputs!$B$27+Inputs!$B$30,IF(Skills!C9=3,120+Inputs!$B$28+Inputs!$B$30,MAX(0,(Inputs!$B$3-100)*3)+Inputs!$B$29+Inputs!$B$30)))</f>
        <v/>
      </c>
      <c r="E439">
        <f>INDEX(FactorTable!$B$2:$Y$301, MATCH(ROUND(MIN(300,MAX(1,D439)),0), FactorTable!$A$2:$A$301,0), Skills!L9+1)</f>
        <v/>
      </c>
      <c r="F439">
        <f>IF(Skills!M9=TRUE,(Skills!K9/10)*(E439/1000),Skills!K9/10)+Skills!N9</f>
        <v/>
      </c>
      <c r="G439">
        <f>Calc!G9</f>
        <v/>
      </c>
      <c r="H439">
        <f>Calc!H9</f>
        <v/>
      </c>
      <c r="I439">
        <f>IF(Skills!T9&lt;&gt;"",1+(Skills!T9/10)*($Z$3/1000)/100,1)</f>
        <v/>
      </c>
      <c r="J439">
        <f>((Inputs!$B$6*(1+Inputs!$B$7/100))+(((Inputs!$B$13*(1+Inputs!$B$14/100))-(Inputs!$B$13*(1+Inputs!$B$14/100)))+0.25*(Inputs!$B$15-Inputs!$B$15))*(1+Inputs!$B$7/100))*(F439/100)</f>
        <v/>
      </c>
      <c r="K439">
        <f>J439*(1+(((Inputs!$B$13+IF(Inputs!$B$3&gt;=35,(10*INDEX(FactorTable!$B$2:$Y$301, MATCH(ROUND(MIN(300,MAX(1,Inputs!$B$3)),0), FactorTable!$A$2:$A$301,0), 23)/1000)/100*(Inputs!$B$8*(1+(Inputs!$B$9+B468)/100)),0))*(1+Inputs!$B$14/100))*0.01+Inputs!$B$15*0.0025)/100)*(1+(Inputs!$B$16+B462)/100)*(1+Inputs!$B$17/100)*(5000/(6000+Inputs!$B$43*(1-Inputs!$B$20/100)))*(1+Inputs!$B$25/100)*(1+IF(C448=TRUE,F448,0)/100)*(1+IF(C450=TRUE,F450,0)/100)*(1+IF(Skills!A9="TRIUMPH_FEATHER",IF(C446=TRUE,F446,0),0)/100)*(1+IF(C457=TRUE,F457,0)/100)^5*(1+(IF(Skills!A9="BIG_BANG",Inputs!$B$18,Inputs!$B$19))/100)*(B459*I439)</f>
        <v/>
      </c>
      <c r="L439">
        <f>K439*(MIN((Inputs!$B$23+1)+(F452-Calc!F22),Inputs!$B$24)/100+Inputs!$B$24/100)/2</f>
        <v/>
      </c>
      <c r="M439">
        <f>L439*(1+(Inputs!$B$11+B463+(F455-Calc!F25))/100)</f>
        <v/>
      </c>
      <c r="N439">
        <f>L439*(1-MIN(Inputs!$B$10+((F454-Calc!F24)+(F453-Calc!F23)),100)/100)+M439*(MIN(Inputs!$B$10+((F454-Calc!F24)+(F453-Calc!F23)),100)/100)</f>
        <v/>
      </c>
      <c r="O439">
        <f>(1-Summary!$B$48)*S439+Summary!$B$48*U439</f>
        <v/>
      </c>
      <c r="P439">
        <f>IF(B472=0,0,O439/B472)</f>
        <v/>
      </c>
      <c r="Q439">
        <f>IFERROR(1/IF(Inputs!$B$39="pvp",15,MAX(0.1,Skills!D9-IF(Skills!E9=TRUE,Inputs!$B$33,0))),0)</f>
        <v/>
      </c>
      <c r="R439">
        <f>IF(AND(Inputs!$B$39&lt;&gt;"pvp",Inputs!$B$44&gt;0),IF(MAX(0,Inputs!$B$44-B469)&lt;=0,0,(INT(MAX(0,Inputs!$B$44-B469)/IF(Inputs!$B$39="pvp",15,MAX(0.1,Skills!D9-IF(Skills!E9=TRUE,Inputs!$B$33,0))))+1)),0)</f>
        <v/>
      </c>
      <c r="S439">
        <f>IF(C439,(H439*N439*IF(AND(Inputs!$B$39&lt;&gt;"pvp",Inputs!$B$44&gt;0),((Skills!F9*((R439-1)*IF(Skills!G9&gt;0,Skills!H9/Skills!G9,1)+IF(Skills!G9&gt;0,MIN(Skills!H9,MAX(0,MAX(0,Inputs!$B$44-B469)-((R439-1)*IF(Inputs!$B$39="pvp",15,MAX(0.1,Skills!D9-IF(Skills!E9=TRUE,Inputs!$B$33,0))))))/Skills!G9,1)))/Inputs!$B$44),G439*Q439))*IF(Inputs!$B$39="pvp",1,1+(Inputs!$B$21+Skills!O9+B460)/100),0)</f>
        <v/>
      </c>
      <c r="U439">
        <f>IF(C439,(H439*N439*IF(AND(Inputs!$B$39&lt;&gt;"pvp",Inputs!$B$44&gt;0),((Skills!F9*((R439-1)*IF(Skills!G9&gt;0,Skills!H9/Skills!G9,1)+IF(Skills!G9&gt;0,MIN(Skills!H9,MAX(0,MAX(0,Inputs!$B$44-B469)-((R439-1)*IF(Inputs!$B$39="pvp",15,MAX(0.1,Skills!D9-IF(Skills!E9=TRUE,Inputs!$B$33,0))))))/Skills!G9,1)))/Inputs!$B$44),G439*Q439))*IF(Inputs!$B$39="pvp",1,(1+(Inputs!$B$22+Skills!P9+B461)/100)*(MIN(Skills!Q9,Inputs!$B$38))),0)</f>
        <v/>
      </c>
    </row>
    <row r="440">
      <c r="A440">
        <f>Skills!A10</f>
        <v/>
      </c>
      <c r="B440">
        <f>Skills!B10</f>
        <v/>
      </c>
      <c r="C440">
        <f>Inputs!$B$3&gt;=66</f>
        <v/>
      </c>
      <c r="D440">
        <f>IF(Skills!C10=1,60+Inputs!$B$26+Inputs!$B$30,IF(Skills!C10=2,90+Inputs!$B$27+Inputs!$B$30,IF(Skills!C10=3,120+Inputs!$B$28+Inputs!$B$30,MAX(0,(Inputs!$B$3-100)*3)+Inputs!$B$29+Inputs!$B$30)))</f>
        <v/>
      </c>
      <c r="E440">
        <f>INDEX(FactorTable!$B$2:$Y$301, MATCH(ROUND(MIN(300,MAX(1,D440)),0), FactorTable!$A$2:$A$301,0), Skills!L10+1)</f>
        <v/>
      </c>
      <c r="F440" t="n">
        <v>0</v>
      </c>
      <c r="G440">
        <f>Calc!G10</f>
        <v/>
      </c>
      <c r="H440">
        <f>Calc!H10</f>
        <v/>
      </c>
      <c r="I440">
        <f>IF(Skills!T10&lt;&gt;"",1+(Skills!T10/10)*($Z$3/1000)/100,1)</f>
        <v/>
      </c>
      <c r="J440" t="inlineStr"/>
      <c r="K440" t="inlineStr"/>
      <c r="L440" t="inlineStr"/>
      <c r="M440" t="inlineStr"/>
      <c r="N440" t="inlineStr"/>
      <c r="O440">
        <f>(1-Summary!$B$48)*S440+Summary!$B$48*U440</f>
        <v/>
      </c>
      <c r="P440">
        <f>IF(B472=0,0,O440/B472)</f>
        <v/>
      </c>
      <c r="Q440">
        <f>IFERROR(1/IF(Inputs!$B$39="pvp",15,MAX(0.1,Skills!D10-IF(Skills!E10=TRUE,Inputs!$B$33,0))),0)</f>
        <v/>
      </c>
      <c r="R440">
        <f>IF(AND(Inputs!$B$39&lt;&gt;"pvp",Inputs!$B$44&gt;0),IF(MAX(0,Inputs!$B$44-B469)&lt;=0,0,(INT(MAX(0,Inputs!$B$44-B469)/IF(Inputs!$B$39="pvp",15,MAX(0.1,Skills!D10-IF(Skills!E10=TRUE,Inputs!$B$33,0))))+1)),0)</f>
        <v/>
      </c>
      <c r="S440" t="n">
        <v>0</v>
      </c>
      <c r="U440" t="n">
        <v>0</v>
      </c>
    </row>
    <row r="441">
      <c r="A441">
        <f>Skills!A11</f>
        <v/>
      </c>
      <c r="B441">
        <f>Skills!B11</f>
        <v/>
      </c>
      <c r="C441">
        <f>Inputs!$B$3&gt;=69</f>
        <v/>
      </c>
      <c r="D441">
        <f>IF(Skills!C11=1,60+Inputs!$B$26+Inputs!$B$30,IF(Skills!C11=2,90+Inputs!$B$27+Inputs!$B$30,IF(Skills!C11=3,120+Inputs!$B$28+Inputs!$B$30,MAX(0,(Inputs!$B$3-100)*3)+Inputs!$B$29+Inputs!$B$30)))</f>
        <v/>
      </c>
      <c r="E441">
        <f>INDEX(FactorTable!$B$2:$Y$301, MATCH(ROUND(MIN(300,MAX(1,D441)),0), FactorTable!$A$2:$A$301,0), Skills!L11+1)</f>
        <v/>
      </c>
      <c r="F441">
        <f>IF(Skills!M11=TRUE,(Skills!K11/10)*(E441/1000),Skills!K11/10)+Skills!N11</f>
        <v/>
      </c>
      <c r="G441">
        <f>Calc!G11</f>
        <v/>
      </c>
      <c r="H441">
        <f>Calc!H11</f>
        <v/>
      </c>
      <c r="I441">
        <f>IF(Skills!T11&lt;&gt;"",1+(Skills!T11/10)*($Z$3/1000)/100,1)</f>
        <v/>
      </c>
      <c r="J441" t="inlineStr"/>
      <c r="K441" t="inlineStr"/>
      <c r="L441" t="inlineStr"/>
      <c r="M441" t="inlineStr"/>
      <c r="N441" t="inlineStr"/>
      <c r="O441">
        <f>(1-Summary!$B$48)*S441+Summary!$B$48*U441</f>
        <v/>
      </c>
      <c r="P441">
        <f>IF(B472=0,0,O441/B472)</f>
        <v/>
      </c>
      <c r="Q441">
        <f>IFERROR(1/IF(Inputs!$B$39="pvp",15,MAX(0.1,Skills!D11-IF(Skills!E11=TRUE,Inputs!$B$33,0))),0)</f>
        <v/>
      </c>
      <c r="R441">
        <f>IF(AND(Inputs!$B$39&lt;&gt;"pvp",Inputs!$B$44&gt;0),IF(Inputs!$B$44&lt;=0,0,(INT(Inputs!$B$44/IF(Inputs!$B$39="pvp",15,MAX(0.1,Skills!D11-IF(Skills!E11=TRUE,Inputs!$B$33,0))))+1)),0)</f>
        <v/>
      </c>
      <c r="S441" t="n">
        <v>0</v>
      </c>
      <c r="U441" t="n">
        <v>0</v>
      </c>
    </row>
    <row r="442">
      <c r="A442">
        <f>Skills!A12</f>
        <v/>
      </c>
      <c r="B442">
        <f>Skills!B12</f>
        <v/>
      </c>
      <c r="C442">
        <f>Inputs!$B$3&gt;=72</f>
        <v/>
      </c>
      <c r="D442">
        <f>IF(Skills!C12=1,60+Inputs!$B$26+Inputs!$B$30,IF(Skills!C12=2,90+Inputs!$B$27+Inputs!$B$30,IF(Skills!C12=3,120+Inputs!$B$28+Inputs!$B$30,MAX(0,(Inputs!$B$3-100)*3)+Inputs!$B$29+Inputs!$B$30)))</f>
        <v/>
      </c>
      <c r="E442">
        <f>INDEX(FactorTable!$B$2:$Y$301, MATCH(ROUND(MIN(300,MAX(1,D442)),0), FactorTable!$A$2:$A$301,0), Skills!L12+1)</f>
        <v/>
      </c>
      <c r="F442">
        <f>IF(Skills!M12=TRUE,(Skills!K12/10)*(E442/1000),Skills!K12/10)+Skills!N12</f>
        <v/>
      </c>
      <c r="G442">
        <f>Calc!G12</f>
        <v/>
      </c>
      <c r="H442">
        <f>Calc!H12</f>
        <v/>
      </c>
      <c r="I442">
        <f>IF(Skills!T12&lt;&gt;"",1+(Skills!T12/10)*($Z$3/1000)/100,1)</f>
        <v/>
      </c>
      <c r="J442" t="inlineStr"/>
      <c r="K442" t="inlineStr"/>
      <c r="L442" t="inlineStr"/>
      <c r="M442" t="inlineStr"/>
      <c r="N442" t="inlineStr"/>
      <c r="O442">
        <f>(1-Summary!$B$48)*S442+Summary!$B$48*U442</f>
        <v/>
      </c>
      <c r="P442">
        <f>IF(B472=0,0,O442/B472)</f>
        <v/>
      </c>
      <c r="Q442">
        <f>IFERROR(1/IF(Inputs!$B$39="pvp",15,MAX(0.1,Skills!D12-IF(Skills!E12=TRUE,Inputs!$B$33,0))),0)</f>
        <v/>
      </c>
      <c r="R442">
        <f>IF(AND(Inputs!$B$39&lt;&gt;"pvp",Inputs!$B$44&gt;0),IF(MAX(0,Inputs!$B$44-B469)&lt;=0,0,(INT(MAX(0,Inputs!$B$44-B469)/IF(Inputs!$B$39="pvp",15,MAX(0.1,Skills!D12-IF(Skills!E12=TRUE,Inputs!$B$33,0))))+1)),0)</f>
        <v/>
      </c>
      <c r="S442" t="n">
        <v>0</v>
      </c>
      <c r="U442" t="n">
        <v>0</v>
      </c>
    </row>
    <row r="443">
      <c r="A443">
        <f>Skills!A13</f>
        <v/>
      </c>
      <c r="B443">
        <f>Skills!B13</f>
        <v/>
      </c>
      <c r="C443">
        <f>Inputs!$B$3&gt;=60</f>
        <v/>
      </c>
      <c r="D443">
        <f>IF(Skills!C13=1,60+Inputs!$B$26+Inputs!$B$30,IF(Skills!C13=2,90+Inputs!$B$27+Inputs!$B$30,IF(Skills!C13=3,120+Inputs!$B$28+Inputs!$B$30,MAX(0,(Inputs!$B$3-100)*3)+Inputs!$B$29+Inputs!$B$30)))</f>
        <v/>
      </c>
      <c r="E443">
        <f>INDEX(FactorTable!$B$2:$Y$301, MATCH(ROUND(MIN(300,MAX(1,D443)),0), FactorTable!$A$2:$A$301,0), Skills!L13+1)</f>
        <v/>
      </c>
      <c r="F443">
        <f>IF(Skills!M13=TRUE,(Skills!K13/10)*(E443/1000),Skills!K13/10)+Skills!N13</f>
        <v/>
      </c>
      <c r="G443">
        <f>Calc!G13</f>
        <v/>
      </c>
      <c r="H443">
        <f>Calc!H13</f>
        <v/>
      </c>
      <c r="I443">
        <f>IF(Skills!T13&lt;&gt;"",1+(Skills!T13/10)*($Z$3/1000)/100,1)</f>
        <v/>
      </c>
      <c r="J443" t="inlineStr"/>
      <c r="K443" t="inlineStr"/>
      <c r="L443" t="inlineStr"/>
      <c r="M443" t="inlineStr"/>
      <c r="N443" t="inlineStr"/>
      <c r="O443">
        <f>(1-Summary!$B$48)*S443+Summary!$B$48*U443</f>
        <v/>
      </c>
      <c r="P443">
        <f>IF(B472=0,0,O443/B472)</f>
        <v/>
      </c>
      <c r="Q443">
        <f>IFERROR(1/IF(Inputs!$B$39="pvp",15,MAX(0.1,Skills!D13-IF(Skills!E13=TRUE,Inputs!$B$33,0))),0)</f>
        <v/>
      </c>
      <c r="R443">
        <f>IF(AND(Inputs!$B$39&lt;&gt;"pvp",Inputs!$B$44&gt;0),IF(MAX(0,Inputs!$B$44-B469)&lt;=0,0,(INT(MAX(0,Inputs!$B$44-B469)/IF(Inputs!$B$39="pvp",15,MAX(0.1,Skills!D13-IF(Skills!E13=TRUE,Inputs!$B$33,0))))+1)),0)</f>
        <v/>
      </c>
      <c r="S443" t="n">
        <v>0</v>
      </c>
      <c r="U443" t="n">
        <v>0</v>
      </c>
    </row>
    <row r="444">
      <c r="A444">
        <f>Skills!A14</f>
        <v/>
      </c>
      <c r="B444">
        <f>Skills!B14</f>
        <v/>
      </c>
      <c r="C444">
        <f>Inputs!$B$3&gt;=107</f>
        <v/>
      </c>
      <c r="D444">
        <f>IF(Skills!C14=1,60+Inputs!$B$26+Inputs!$B$30,IF(Skills!C14=2,90+Inputs!$B$27+Inputs!$B$30,IF(Skills!C14=3,120+Inputs!$B$28+Inputs!$B$30,MAX(0,(Inputs!$B$3-100)*3)+Inputs!$B$29+Inputs!$B$30)))</f>
        <v/>
      </c>
      <c r="E444">
        <f>INDEX(FactorTable!$B$2:$Y$301, MATCH(ROUND(MIN(300,MAX(1,D444)),0), FactorTable!$A$2:$A$301,0), Skills!L14+1)</f>
        <v/>
      </c>
      <c r="F444">
        <f>IF(Skills!M14=TRUE,(Skills!K14/10)*(E444/1000),Skills!K14/10)+Skills!N14</f>
        <v/>
      </c>
      <c r="G444">
        <f>Calc!G14</f>
        <v/>
      </c>
      <c r="H444">
        <f>Calc!H14</f>
        <v/>
      </c>
      <c r="I444">
        <f>IF(Skills!T14&lt;&gt;"",1+(Skills!T14/10)*($Z$3/1000)/100,1)</f>
        <v/>
      </c>
      <c r="J444" t="inlineStr"/>
      <c r="K444" t="inlineStr"/>
      <c r="L444" t="inlineStr"/>
      <c r="M444" t="inlineStr"/>
      <c r="N444" t="inlineStr"/>
      <c r="O444">
        <f>(1-Summary!$B$48)*S444+Summary!$B$48*U444</f>
        <v/>
      </c>
      <c r="P444">
        <f>IF(B472=0,0,O444/B472)</f>
        <v/>
      </c>
      <c r="Q444">
        <f>IFERROR(1/IF(Inputs!$B$39="pvp",15,MAX(0.1,Skills!D14-IF(Skills!E14=TRUE,Inputs!$B$33,0))),0)</f>
        <v/>
      </c>
      <c r="R444">
        <f>IF(AND(Inputs!$B$39&lt;&gt;"pvp",Inputs!$B$44&gt;0),IF(Inputs!$B$44&lt;=0,0,(INT(Inputs!$B$44/IF(Inputs!$B$39="pvp",15,MAX(0.1,Skills!D14-IF(Skills!E14=TRUE,Inputs!$B$33,0))))+1)),0)</f>
        <v/>
      </c>
      <c r="S444" t="n">
        <v>0</v>
      </c>
      <c r="U444" t="n">
        <v>0</v>
      </c>
    </row>
    <row r="445">
      <c r="A445">
        <f>Skills!A15</f>
        <v/>
      </c>
      <c r="B445">
        <f>Skills!B15</f>
        <v/>
      </c>
      <c r="C445">
        <f>Inputs!$B$3&gt;=63</f>
        <v/>
      </c>
      <c r="D445">
        <f>IF(Skills!C15=1,60+Inputs!$B$26+Inputs!$B$30,IF(Skills!C15=2,90+Inputs!$B$27+Inputs!$B$30,IF(Skills!C15=3,120+Inputs!$B$28+Inputs!$B$30,MAX(0,(Inputs!$B$3-100)*3)+Inputs!$B$29+Inputs!$B$30)))</f>
        <v/>
      </c>
      <c r="E445">
        <f>INDEX(FactorTable!$B$2:$Y$301, MATCH(ROUND(MIN(300,MAX(1,D445)),0), FactorTable!$A$2:$A$301,0), Skills!L15+1)</f>
        <v/>
      </c>
      <c r="F445">
        <f>IF(Skills!M15=TRUE,(Skills!K15/10)*(E445/1000),Skills!K15/10)+Skills!N15</f>
        <v/>
      </c>
      <c r="G445">
        <f>Calc!G15</f>
        <v/>
      </c>
      <c r="H445">
        <f>Calc!H15</f>
        <v/>
      </c>
      <c r="I445">
        <f>IF(Skills!T15&lt;&gt;"",1+(Skills!T15/10)*($Z$3/1000)/100,1)</f>
        <v/>
      </c>
      <c r="J445">
        <f>((Inputs!$B$6*(1+Inputs!$B$7/100))+(((Inputs!$B$13*(1+Inputs!$B$14/100))-(Inputs!$B$13*(1+Inputs!$B$14/100)))+0.25*(Inputs!$B$15-Inputs!$B$15))*(1+Inputs!$B$7/100))*(F445/100)</f>
        <v/>
      </c>
      <c r="K445">
        <f>J445*(1+(((Inputs!$B$13+IF(Inputs!$B$3&gt;=35,(10*INDEX(FactorTable!$B$2:$Y$301, MATCH(ROUND(MIN(300,MAX(1,Inputs!$B$3)),0), FactorTable!$A$2:$A$301,0), 23)/1000)/100*(Inputs!$B$8*(1+(Inputs!$B$9+B468)/100)),0))*(1+Inputs!$B$14/100))*0.01+Inputs!$B$15*0.0025)/100)*(1+(Inputs!$B$16+B462)/100)*(1+Inputs!$B$17/100)*(5000/(6000+Inputs!$B$43*(1-Inputs!$B$20/100)))*(1+Inputs!$B$25/100)*(1+IF(C448=TRUE,F448,0)/100)*(1+IF(C450=TRUE,F450,0)/100)*(1+IF(Skills!A15="TRIUMPH_FEATHER",IF(C446=TRUE,F446,0),0)/100)*(1+IF(C457=TRUE,F457,0)/100)^5*(1+(IF(Skills!A15="BIG_BANG",Inputs!$B$18,Inputs!$B$19))/100)*(B459*I445)</f>
        <v/>
      </c>
      <c r="L445">
        <f>K445*(MIN((Inputs!$B$23+1)+(F452-Calc!F22),Inputs!$B$24)/100+Inputs!$B$24/100)/2</f>
        <v/>
      </c>
      <c r="M445">
        <f>L445*(1+(Inputs!$B$11+B463+(F455-Calc!F25))/100)</f>
        <v/>
      </c>
      <c r="N445">
        <f>L445*(1-MIN(Inputs!$B$10+((F454-Calc!F24)+(F453-Calc!F23)),100)/100)+M445*(MIN(Inputs!$B$10+((F454-Calc!F24)+(F453-Calc!F23)),100)/100)</f>
        <v/>
      </c>
      <c r="O445">
        <f>(1-Summary!$B$48)*S445+Summary!$B$48*U445</f>
        <v/>
      </c>
      <c r="P445">
        <f>IF(B472=0,0,O445/B472)</f>
        <v/>
      </c>
      <c r="Q445">
        <f>IFERROR(1/IF(Inputs!$B$39="pvp",15,MAX(0.1,Skills!D15-IF(Skills!E15=TRUE,Inputs!$B$33,0))),0)</f>
        <v/>
      </c>
      <c r="R445" t="n">
        <v>0</v>
      </c>
      <c r="S445">
        <f>IF(C445,(Skills!F15*N445*((IF(Inputs!$B$3&gt;=78,25,15)/100*B465*10)/(1+IF(Inputs!$B$3&gt;=78,25,15)/100*B465*10))*(Skills!I15/100*B465)/(1+Skills!G15*Skills!I15/100*B465))*IF(Inputs!$B$39="pvp",1,1+(Inputs!$B$21+Skills!O15+B460)/100),0)</f>
        <v/>
      </c>
      <c r="U445">
        <f>IF(C445,(Skills!F15*N445*((IF(Inputs!$B$3&gt;=78,25,15)/100*B465*10)/(1+IF(Inputs!$B$3&gt;=78,25,15)/100*B465*10))*(Skills!I15/100*B465)/(1+Skills!G15*Skills!I15/100*B465))*IF(Inputs!$B$39="pvp",1,(1+(Inputs!$B$22+Skills!P15+B461)/100)*(MIN(Skills!Q15,Inputs!$B$38))),0)</f>
        <v/>
      </c>
    </row>
    <row r="446">
      <c r="A446">
        <f>Skills!A16</f>
        <v/>
      </c>
      <c r="B446">
        <f>Skills!B16</f>
        <v/>
      </c>
      <c r="C446">
        <f>Inputs!$B$3&gt;=100</f>
        <v/>
      </c>
      <c r="D446">
        <f>IF(Skills!C16=1,60+Inputs!$B$26+Inputs!$B$30,IF(Skills!C16=2,90+Inputs!$B$27+Inputs!$B$30,IF(Skills!C16=3,120+Inputs!$B$28+Inputs!$B$30,MAX(0,(Inputs!$B$3-100)*3)+Inputs!$B$29+Inputs!$B$30)))</f>
        <v/>
      </c>
      <c r="E446">
        <f>INDEX(FactorTable!$B$2:$Y$301, MATCH(ROUND(MIN(300,MAX(1,D446)),0), FactorTable!$A$2:$A$301,0), Skills!L16+1)</f>
        <v/>
      </c>
      <c r="F446">
        <f>IF(Skills!M16=TRUE,(Skills!K16/10)*(E446/1000),Skills!K16/10)+Skills!N16</f>
        <v/>
      </c>
      <c r="G446">
        <f>Calc!G16</f>
        <v/>
      </c>
      <c r="H446">
        <f>Calc!H16</f>
        <v/>
      </c>
      <c r="I446">
        <f>IF(Skills!T16&lt;&gt;"",1+(Skills!T16/10)*($Z$3/1000)/100,1)</f>
        <v/>
      </c>
      <c r="J446" t="inlineStr"/>
      <c r="K446" t="inlineStr"/>
      <c r="L446" t="inlineStr"/>
      <c r="M446" t="inlineStr"/>
      <c r="N446" t="inlineStr"/>
      <c r="O446">
        <f>(1-Summary!$B$48)*S446+Summary!$B$48*U446</f>
        <v/>
      </c>
      <c r="P446">
        <f>IF(B472=0,0,O446/B472)</f>
        <v/>
      </c>
      <c r="Q446">
        <f>IFERROR(1/IF(Inputs!$B$39="pvp",15,MAX(0.1,Skills!D16-IF(Skills!E16=TRUE,Inputs!$B$33,0))),0)</f>
        <v/>
      </c>
      <c r="R446" t="n">
        <v>0</v>
      </c>
      <c r="S446" t="n">
        <v>0</v>
      </c>
      <c r="U446" t="n">
        <v>0</v>
      </c>
    </row>
    <row r="447">
      <c r="A447">
        <f>Skills!A17</f>
        <v/>
      </c>
      <c r="B447">
        <f>Skills!B17</f>
        <v/>
      </c>
      <c r="C447">
        <f>Inputs!$B$3&gt;=49</f>
        <v/>
      </c>
      <c r="D447">
        <f>IF(Skills!C17=1,60+Inputs!$B$26+Inputs!$B$30,IF(Skills!C17=2,90+Inputs!$B$27+Inputs!$B$30,IF(Skills!C17=3,120+Inputs!$B$28+Inputs!$B$30,MAX(0,(Inputs!$B$3-100)*3)+Inputs!$B$29+Inputs!$B$30)))</f>
        <v/>
      </c>
      <c r="E447">
        <f>INDEX(FactorTable!$B$2:$Y$301, MATCH(ROUND(MIN(300,MAX(1,D447)),0), FactorTable!$A$2:$A$301,0), Skills!L17+1)</f>
        <v/>
      </c>
      <c r="F447">
        <f>IF(Skills!M17=TRUE,(Skills!K17/10)*(E447/1000),Skills!K17/10)+Skills!N17</f>
        <v/>
      </c>
      <c r="G447">
        <f>Calc!G17</f>
        <v/>
      </c>
      <c r="H447">
        <f>Calc!H17</f>
        <v/>
      </c>
      <c r="I447">
        <f>IF(Skills!T17&lt;&gt;"",1+(Skills!T17/10)*($Z$3/1000)/100,1)</f>
        <v/>
      </c>
      <c r="J447" t="inlineStr"/>
      <c r="K447" t="inlineStr"/>
      <c r="L447" t="inlineStr"/>
      <c r="M447" t="inlineStr"/>
      <c r="N447" t="inlineStr"/>
      <c r="O447">
        <f>(1-Summary!$B$48)*S447+Summary!$B$48*U447</f>
        <v/>
      </c>
      <c r="P447">
        <f>IF(B472=0,0,O447/B472)</f>
        <v/>
      </c>
      <c r="Q447">
        <f>IFERROR(1/IF(Inputs!$B$39="pvp",15,MAX(0.1,Skills!D17-IF(Skills!E17=TRUE,Inputs!$B$33,0))),0)</f>
        <v/>
      </c>
      <c r="R447" t="n">
        <v>0</v>
      </c>
      <c r="S447" t="n">
        <v>0</v>
      </c>
      <c r="U447" t="n">
        <v>0</v>
      </c>
    </row>
    <row r="448">
      <c r="A448">
        <f>Skills!A18</f>
        <v/>
      </c>
      <c r="B448">
        <f>Skills!B18</f>
        <v/>
      </c>
      <c r="C448">
        <f>Inputs!$B$3&gt;=75</f>
        <v/>
      </c>
      <c r="D448">
        <f>IF(Skills!C18=1,60+Inputs!$B$26+Inputs!$B$30,IF(Skills!C18=2,90+Inputs!$B$27+Inputs!$B$30,IF(Skills!C18=3,120+Inputs!$B$28+Inputs!$B$30,MAX(0,(Inputs!$B$3-100)*3)+Inputs!$B$29+Inputs!$B$30)))</f>
        <v/>
      </c>
      <c r="E448">
        <f>INDEX(FactorTable!$B$2:$Y$301, MATCH(ROUND(MIN(300,MAX(1,D448)),0), FactorTable!$A$2:$A$301,0), Skills!L18+1)</f>
        <v/>
      </c>
      <c r="F448">
        <f>IF(Skills!M18=TRUE,(Skills!K18/10)*(E448/1000),Skills!K18/10)+Skills!N18</f>
        <v/>
      </c>
      <c r="G448">
        <f>Calc!G18</f>
        <v/>
      </c>
      <c r="H448">
        <f>Calc!H18</f>
        <v/>
      </c>
      <c r="I448">
        <f>IF(Skills!T18&lt;&gt;"",1+(Skills!T18/10)*($Z$3/1000)/100,1)</f>
        <v/>
      </c>
      <c r="J448" t="inlineStr"/>
      <c r="K448" t="inlineStr"/>
      <c r="L448" t="inlineStr"/>
      <c r="M448" t="inlineStr"/>
      <c r="N448" t="inlineStr"/>
      <c r="O448">
        <f>(1-Summary!$B$48)*S448+Summary!$B$48*U448</f>
        <v/>
      </c>
      <c r="P448">
        <f>IF(B472=0,0,O448/B472)</f>
        <v/>
      </c>
      <c r="Q448">
        <f>IFERROR(1/IF(Inputs!$B$39="pvp",15,MAX(0.1,Skills!D18-IF(Skills!E18=TRUE,Inputs!$B$33,0))),0)</f>
        <v/>
      </c>
      <c r="R448" t="n">
        <v>0</v>
      </c>
      <c r="S448" t="n">
        <v>0</v>
      </c>
      <c r="U448" t="n">
        <v>0</v>
      </c>
    </row>
    <row r="449">
      <c r="A449">
        <f>Skills!A19</f>
        <v/>
      </c>
      <c r="B449">
        <f>Skills!B19</f>
        <v/>
      </c>
      <c r="C449">
        <f>Inputs!$B$3&gt;=110</f>
        <v/>
      </c>
      <c r="D449">
        <f>IF(Skills!C19=1,60+Inputs!$B$26+Inputs!$B$30,IF(Skills!C19=2,90+Inputs!$B$27+Inputs!$B$30,IF(Skills!C19=3,120+Inputs!$B$28+Inputs!$B$30,MAX(0,(Inputs!$B$3-100)*3)+Inputs!$B$29+Inputs!$B$30)))</f>
        <v/>
      </c>
      <c r="E449">
        <f>INDEX(FactorTable!$B$2:$Y$301, MATCH(ROUND(MIN(300,MAX(1,D449)),0), FactorTable!$A$2:$A$301,0), Skills!L19+1)</f>
        <v/>
      </c>
      <c r="F449">
        <f>(Skills!K19/10)*(E449/1000)*64/45+Skills!N19</f>
        <v/>
      </c>
      <c r="G449">
        <f>Calc!G19</f>
        <v/>
      </c>
      <c r="H449">
        <f>Calc!H19</f>
        <v/>
      </c>
      <c r="I449">
        <f>IF(Skills!T19&lt;&gt;"",1+(Skills!T19/10)*($Z$3/1000)/100,1)</f>
        <v/>
      </c>
      <c r="J449" t="inlineStr"/>
      <c r="K449" t="inlineStr"/>
      <c r="L449" t="inlineStr"/>
      <c r="M449" t="inlineStr"/>
      <c r="N449" t="inlineStr"/>
      <c r="O449">
        <f>(1-Summary!$B$48)*S449+Summary!$B$48*U449</f>
        <v/>
      </c>
      <c r="P449">
        <f>IF(B472=0,0,O449/B472)</f>
        <v/>
      </c>
      <c r="Q449">
        <f>IFERROR(1/IF(Inputs!$B$39="pvp",15,MAX(0.1,Skills!D19-IF(Skills!E19=TRUE,Inputs!$B$33,0))),0)</f>
        <v/>
      </c>
      <c r="R449">
        <f>IF(AND(Inputs!$B$39&lt;&gt;"pvp",Inputs!$B$44&gt;0),IF(Inputs!$B$44&lt;=0,0,(INT(Inputs!$B$44/IF(Inputs!$B$39="pvp",15,MAX(0.1,Skills!D19-IF(Skills!E19=TRUE,Inputs!$B$33,0))))+1)),0)</f>
        <v/>
      </c>
      <c r="S449" t="n">
        <v>0</v>
      </c>
      <c r="U449" t="n">
        <v>0</v>
      </c>
    </row>
    <row r="450">
      <c r="A450">
        <f>Skills!A20</f>
        <v/>
      </c>
      <c r="B450">
        <f>Skills!B20</f>
        <v/>
      </c>
      <c r="C450">
        <f>Inputs!$B$3&gt;=125</f>
        <v/>
      </c>
      <c r="D450">
        <f>IF(Skills!C20=1,60+Inputs!$B$26+Inputs!$B$30,IF(Skills!C20=2,90+Inputs!$B$27+Inputs!$B$30,IF(Skills!C20=3,120+Inputs!$B$28+Inputs!$B$30,MAX(0,(Inputs!$B$3-100)*3)+Inputs!$B$29+Inputs!$B$30)))</f>
        <v/>
      </c>
      <c r="E450">
        <f>INDEX(FactorTable!$B$2:$Y$301, MATCH(ROUND(MIN(300,MAX(1,D450)),0), FactorTable!$A$2:$A$301,0), Skills!L20+1)</f>
        <v/>
      </c>
      <c r="F450">
        <f>IF(Skills!M20=TRUE,(Skills!K20/10)*(E450/1000),Skills!K20/10)+Skills!N20</f>
        <v/>
      </c>
      <c r="G450">
        <f>Calc!G20</f>
        <v/>
      </c>
      <c r="H450">
        <f>Calc!H20</f>
        <v/>
      </c>
      <c r="I450">
        <f>IF(Skills!T20&lt;&gt;"",1+(Skills!T20/10)*($Z$3/1000)/100,1)</f>
        <v/>
      </c>
      <c r="J450" t="inlineStr"/>
      <c r="K450" t="inlineStr"/>
      <c r="L450" t="inlineStr"/>
      <c r="M450" t="inlineStr"/>
      <c r="N450" t="inlineStr"/>
      <c r="O450">
        <f>(1-Summary!$B$48)*S450+Summary!$B$48*U450</f>
        <v/>
      </c>
      <c r="P450">
        <f>IF(B472=0,0,O450/B472)</f>
        <v/>
      </c>
      <c r="Q450">
        <f>IFERROR(1/IF(Inputs!$B$39="pvp",15,MAX(0.1,Skills!D20-IF(Skills!E20=TRUE,Inputs!$B$33,0))),0)</f>
        <v/>
      </c>
      <c r="R450" t="n">
        <v>0</v>
      </c>
      <c r="S450" t="n">
        <v>0</v>
      </c>
      <c r="U450" t="n">
        <v>0</v>
      </c>
    </row>
    <row r="451">
      <c r="A451">
        <f>Skills!A21</f>
        <v/>
      </c>
      <c r="B451">
        <f>Skills!B21</f>
        <v/>
      </c>
      <c r="C451">
        <f>Inputs!$B$3&gt;=33</f>
        <v/>
      </c>
      <c r="D451">
        <f>IF(Skills!C21=1,60+Inputs!$B$26+Inputs!$B$30,IF(Skills!C21=2,90+Inputs!$B$27+Inputs!$B$30,IF(Skills!C21=3,120+Inputs!$B$28+Inputs!$B$30,MAX(0,(Inputs!$B$3-100)*3)+Inputs!$B$29+Inputs!$B$30)))</f>
        <v/>
      </c>
      <c r="E451">
        <f>INDEX(FactorTable!$B$2:$Y$301, MATCH(ROUND(MIN(300,MAX(1,D451)),0), FactorTable!$A$2:$A$301,0), Skills!L21+1)</f>
        <v/>
      </c>
      <c r="F451">
        <f>IF(Skills!M21=TRUE,(Skills!K21/10)*(E451/1000),Skills!K21/10)+Skills!N21</f>
        <v/>
      </c>
      <c r="G451">
        <f>Calc!G21</f>
        <v/>
      </c>
      <c r="H451">
        <f>Calc!H21</f>
        <v/>
      </c>
      <c r="I451">
        <f>IF(Skills!T21&lt;&gt;"",1+(Skills!T21/10)*($Z$3/1000)/100,1)</f>
        <v/>
      </c>
      <c r="J451" t="inlineStr"/>
      <c r="K451" t="inlineStr"/>
      <c r="L451" t="inlineStr"/>
      <c r="M451" t="inlineStr"/>
      <c r="N451" t="inlineStr"/>
      <c r="O451">
        <f>(1-Summary!$B$48)*S451+Summary!$B$48*U451</f>
        <v/>
      </c>
      <c r="P451">
        <f>IF(B472=0,0,O451/B472)</f>
        <v/>
      </c>
      <c r="Q451">
        <f>IFERROR(1/IF(Inputs!$B$39="pvp",15,MAX(0.1,Skills!D21-IF(Skills!E21=TRUE,Inputs!$B$33,0))),0)</f>
        <v/>
      </c>
      <c r="R451" t="n">
        <v>0</v>
      </c>
      <c r="S451" t="n">
        <v>0</v>
      </c>
      <c r="U451" t="n">
        <v>0</v>
      </c>
    </row>
    <row r="452">
      <c r="A452">
        <f>Skills!A22</f>
        <v/>
      </c>
      <c r="B452">
        <f>Skills!B22</f>
        <v/>
      </c>
      <c r="C452">
        <f>Inputs!$B$3&gt;=43</f>
        <v/>
      </c>
      <c r="D452">
        <f>IF(Skills!C22=1,60+Inputs!$B$26+Inputs!$B$30,IF(Skills!C22=2,90+Inputs!$B$27+Inputs!$B$30,IF(Skills!C22=3,120+Inputs!$B$28+Inputs!$B$30,MAX(0,(Inputs!$B$3-100)*3)+Inputs!$B$29+Inputs!$B$30)))</f>
        <v/>
      </c>
      <c r="E452">
        <f>INDEX(FactorTable!$B$2:$Y$301, MATCH(ROUND(MIN(300,MAX(1,D452)),0), FactorTable!$A$2:$A$301,0), Skills!L22+1)</f>
        <v/>
      </c>
      <c r="F452">
        <f>IF(Skills!M22=TRUE,(Skills!K22/10)*(E452/1000),Skills!K22/10)+Skills!N22</f>
        <v/>
      </c>
      <c r="G452">
        <f>Calc!G22</f>
        <v/>
      </c>
      <c r="H452">
        <f>Calc!H22</f>
        <v/>
      </c>
      <c r="I452">
        <f>IF(Skills!T22&lt;&gt;"",1+(Skills!T22/10)*($Z$3/1000)/100,1)</f>
        <v/>
      </c>
      <c r="J452" t="inlineStr"/>
      <c r="K452" t="inlineStr"/>
      <c r="L452" t="inlineStr"/>
      <c r="M452" t="inlineStr"/>
      <c r="N452" t="inlineStr"/>
      <c r="O452">
        <f>(1-Summary!$B$48)*S452+Summary!$B$48*U452</f>
        <v/>
      </c>
      <c r="P452">
        <f>IF(B472=0,0,O452/B472)</f>
        <v/>
      </c>
      <c r="Q452">
        <f>IFERROR(1/IF(Inputs!$B$39="pvp",15,MAX(0.1,Skills!D22-IF(Skills!E22=TRUE,Inputs!$B$33,0))),0)</f>
        <v/>
      </c>
      <c r="R452" t="n">
        <v>0</v>
      </c>
      <c r="S452" t="n">
        <v>0</v>
      </c>
      <c r="U452" t="n">
        <v>0</v>
      </c>
    </row>
    <row r="453">
      <c r="A453">
        <f>Skills!A23</f>
        <v/>
      </c>
      <c r="B453">
        <f>Skills!B23</f>
        <v/>
      </c>
      <c r="C453">
        <f>Inputs!$B$3&gt;=50</f>
        <v/>
      </c>
      <c r="D453">
        <f>IF(Skills!C23=1,60+Inputs!$B$26+Inputs!$B$30,IF(Skills!C23=2,90+Inputs!$B$27+Inputs!$B$30,IF(Skills!C23=3,120+Inputs!$B$28+Inputs!$B$30,MAX(0,(Inputs!$B$3-100)*3)+Inputs!$B$29+Inputs!$B$30)))</f>
        <v/>
      </c>
      <c r="E453">
        <f>INDEX(FactorTable!$B$2:$Y$301, MATCH(ROUND(MIN(300,MAX(1,D453)),0), FactorTable!$A$2:$A$301,0), Skills!L23+1)</f>
        <v/>
      </c>
      <c r="F453">
        <f>IF(Skills!M23=TRUE,(Skills!K23/10)*(E453/1000),Skills!K23/10)+Skills!N23</f>
        <v/>
      </c>
      <c r="G453">
        <f>Calc!G23</f>
        <v/>
      </c>
      <c r="H453">
        <f>Calc!H23</f>
        <v/>
      </c>
      <c r="I453">
        <f>IF(Skills!T23&lt;&gt;"",1+(Skills!T23/10)*($Z$3/1000)/100,1)</f>
        <v/>
      </c>
      <c r="J453" t="inlineStr"/>
      <c r="K453" t="inlineStr"/>
      <c r="L453" t="inlineStr"/>
      <c r="M453" t="inlineStr"/>
      <c r="N453" t="inlineStr"/>
      <c r="O453">
        <f>(1-Summary!$B$48)*S453+Summary!$B$48*U453</f>
        <v/>
      </c>
      <c r="P453">
        <f>IF(B472=0,0,O453/B472)</f>
        <v/>
      </c>
      <c r="Q453">
        <f>IFERROR(1/IF(Inputs!$B$39="pvp",15,MAX(0.1,Skills!D23-IF(Skills!E23=TRUE,Inputs!$B$33,0))),0)</f>
        <v/>
      </c>
      <c r="R453" t="n">
        <v>0</v>
      </c>
      <c r="S453" t="n">
        <v>0</v>
      </c>
      <c r="U453" t="n">
        <v>0</v>
      </c>
    </row>
    <row r="454">
      <c r="A454">
        <f>Skills!A24</f>
        <v/>
      </c>
      <c r="B454">
        <f>Skills!B24</f>
        <v/>
      </c>
      <c r="C454">
        <f>Inputs!$B$3&gt;=74</f>
        <v/>
      </c>
      <c r="D454">
        <f>IF(Skills!C24=1,60+Inputs!$B$26+Inputs!$B$30,IF(Skills!C24=2,90+Inputs!$B$27+Inputs!$B$30,IF(Skills!C24=3,120+Inputs!$B$28+Inputs!$B$30,MAX(0,(Inputs!$B$3-100)*3)+Inputs!$B$29+Inputs!$B$30)))</f>
        <v/>
      </c>
      <c r="E454">
        <f>INDEX(FactorTable!$B$2:$Y$301, MATCH(ROUND(MIN(300,MAX(1,D454)),0), FactorTable!$A$2:$A$301,0), Skills!L24+1)</f>
        <v/>
      </c>
      <c r="F454">
        <f>IF(Skills!M24=TRUE,(Skills!K24/10)*(E454/1000),Skills!K24/10)+Skills!N24</f>
        <v/>
      </c>
      <c r="G454">
        <f>Calc!G24</f>
        <v/>
      </c>
      <c r="H454">
        <f>Calc!H24</f>
        <v/>
      </c>
      <c r="I454">
        <f>IF(Skills!T24&lt;&gt;"",1+(Skills!T24/10)*($Z$3/1000)/100,1)</f>
        <v/>
      </c>
      <c r="J454" t="inlineStr"/>
      <c r="K454" t="inlineStr"/>
      <c r="L454" t="inlineStr"/>
      <c r="M454" t="inlineStr"/>
      <c r="N454" t="inlineStr"/>
      <c r="O454">
        <f>(1-Summary!$B$48)*S454+Summary!$B$48*U454</f>
        <v/>
      </c>
      <c r="P454">
        <f>IF(B472=0,0,O454/B472)</f>
        <v/>
      </c>
      <c r="Q454">
        <f>IFERROR(1/IF(Inputs!$B$39="pvp",15,MAX(0.1,Skills!D24-IF(Skills!E24=TRUE,Inputs!$B$33,0))),0)</f>
        <v/>
      </c>
      <c r="R454" t="n">
        <v>0</v>
      </c>
      <c r="S454" t="n">
        <v>0</v>
      </c>
      <c r="U454" t="n">
        <v>0</v>
      </c>
    </row>
    <row r="455">
      <c r="A455">
        <f>Skills!A25</f>
        <v/>
      </c>
      <c r="B455">
        <f>Skills!B25</f>
        <v/>
      </c>
      <c r="C455">
        <f>Inputs!$B$3&gt;=74</f>
        <v/>
      </c>
      <c r="D455">
        <f>IF(Skills!C25=1,60+Inputs!$B$26+Inputs!$B$30,IF(Skills!C25=2,90+Inputs!$B$27+Inputs!$B$30,IF(Skills!C25=3,120+Inputs!$B$28+Inputs!$B$30,MAX(0,(Inputs!$B$3-100)*3)+Inputs!$B$29+Inputs!$B$30)))</f>
        <v/>
      </c>
      <c r="E455">
        <f>INDEX(FactorTable!$B$2:$Y$301, MATCH(ROUND(MIN(300,MAX(1,D455)),0), FactorTable!$A$2:$A$301,0), Skills!L25+1)</f>
        <v/>
      </c>
      <c r="F455">
        <f>IF(Skills!M25=TRUE,(Skills!K25/10)*(E455/1000),Skills!K25/10)+Skills!N25</f>
        <v/>
      </c>
      <c r="G455">
        <f>Calc!G25</f>
        <v/>
      </c>
      <c r="H455">
        <f>Calc!H25</f>
        <v/>
      </c>
      <c r="I455">
        <f>IF(Skills!T25&lt;&gt;"",1+(Skills!T25/10)*($Z$3/1000)/100,1)</f>
        <v/>
      </c>
      <c r="J455" t="inlineStr"/>
      <c r="K455" t="inlineStr"/>
      <c r="L455" t="inlineStr"/>
      <c r="M455" t="inlineStr"/>
      <c r="N455" t="inlineStr"/>
      <c r="O455">
        <f>(1-Summary!$B$48)*S455+Summary!$B$48*U455</f>
        <v/>
      </c>
      <c r="P455">
        <f>IF(B472=0,0,O455/B472)</f>
        <v/>
      </c>
      <c r="Q455">
        <f>IFERROR(1/IF(Inputs!$B$39="pvp",15,MAX(0.1,Skills!D25-IF(Skills!E25=TRUE,Inputs!$B$33,0))),0)</f>
        <v/>
      </c>
      <c r="R455" t="n">
        <v>0</v>
      </c>
      <c r="S455" t="n">
        <v>0</v>
      </c>
      <c r="U455" t="n">
        <v>0</v>
      </c>
    </row>
    <row r="456">
      <c r="A456">
        <f>Skills!A26</f>
        <v/>
      </c>
      <c r="B456">
        <f>Skills!B26</f>
        <v/>
      </c>
      <c r="C456">
        <f>Inputs!$B$3&gt;=117</f>
        <v/>
      </c>
      <c r="D456">
        <f>IF(Skills!C26=1,60+Inputs!$B$26+Inputs!$B$30,IF(Skills!C26=2,90+Inputs!$B$27+Inputs!$B$30,IF(Skills!C26=3,120+Inputs!$B$28+Inputs!$B$30,MAX(0,(Inputs!$B$3-100)*3)+Inputs!$B$29+Inputs!$B$30)))</f>
        <v/>
      </c>
      <c r="E456">
        <f>INDEX(FactorTable!$B$2:$Y$301, MATCH(ROUND(MIN(300,MAX(1,D456)),0), FactorTable!$A$2:$A$301,0), Skills!L26+1)</f>
        <v/>
      </c>
      <c r="F456">
        <f>IF(Skills!M26=TRUE,(Skills!K26/10)*(E456/1000),Skills!K26/10)+Skills!N26</f>
        <v/>
      </c>
      <c r="G456">
        <f>Calc!G26</f>
        <v/>
      </c>
      <c r="H456">
        <f>Calc!H26</f>
        <v/>
      </c>
      <c r="I456">
        <f>IF(Skills!T26&lt;&gt;"",1+(Skills!T26/10)*($Z$3/1000)/100,1)</f>
        <v/>
      </c>
      <c r="J456" t="inlineStr"/>
      <c r="K456" t="inlineStr"/>
      <c r="L456" t="inlineStr"/>
      <c r="M456" t="inlineStr"/>
      <c r="N456" t="inlineStr"/>
      <c r="O456">
        <f>(1-Summary!$B$48)*S456+Summary!$B$48*U456</f>
        <v/>
      </c>
      <c r="P456">
        <f>IF(B472=0,0,O456/B472)</f>
        <v/>
      </c>
      <c r="Q456">
        <f>IFERROR(1/IF(Inputs!$B$39="pvp",15,MAX(0.1,Skills!D26-IF(Skills!E26=TRUE,Inputs!$B$33,0))),0)</f>
        <v/>
      </c>
      <c r="R456" t="n">
        <v>0</v>
      </c>
      <c r="S456" t="n">
        <v>0</v>
      </c>
      <c r="U456" t="n">
        <v>0</v>
      </c>
    </row>
    <row r="457">
      <c r="A457">
        <f>Skills!A27</f>
        <v/>
      </c>
      <c r="B457">
        <f>Skills!B27</f>
        <v/>
      </c>
      <c r="C457">
        <f>Inputs!$B$3&gt;=120</f>
        <v/>
      </c>
      <c r="D457">
        <f>IF(Skills!C27=1,60+Inputs!$B$26+Inputs!$B$30,IF(Skills!C27=2,90+Inputs!$B$27+Inputs!$B$30,IF(Skills!C27=3,120+Inputs!$B$28+Inputs!$B$30,MAX(0,(Inputs!$B$3-100)*3)+Inputs!$B$29+Inputs!$B$30)))</f>
        <v/>
      </c>
      <c r="E457">
        <f>INDEX(FactorTable!$B$2:$Y$301, MATCH(ROUND(MIN(300,MAX(1,D457)),0), FactorTable!$A$2:$A$301,0), Skills!L27+1)</f>
        <v/>
      </c>
      <c r="F457">
        <f>IF(Skills!M27=TRUE,(Skills!K27/10)*(E457/1000),Skills!K27/10)+Skills!N27</f>
        <v/>
      </c>
      <c r="G457">
        <f>Calc!G27</f>
        <v/>
      </c>
      <c r="H457">
        <f>Calc!H27</f>
        <v/>
      </c>
      <c r="I457">
        <f>IF(Skills!T27&lt;&gt;"",1+(Skills!T27/10)*($Z$3/1000)/100,1)</f>
        <v/>
      </c>
      <c r="J457" t="inlineStr"/>
      <c r="K457" t="inlineStr"/>
      <c r="L457" t="inlineStr"/>
      <c r="M457" t="inlineStr"/>
      <c r="N457" t="inlineStr"/>
      <c r="O457">
        <f>(1-Summary!$B$48)*S457+Summary!$B$48*U457</f>
        <v/>
      </c>
      <c r="P457">
        <f>IF(B472=0,0,O457/B472)</f>
        <v/>
      </c>
      <c r="Q457">
        <f>IFERROR(1/IF(Inputs!$B$39="pvp",15,MAX(0.1,Skills!D27-IF(Skills!E27=TRUE,Inputs!$B$33,0))),0)</f>
        <v/>
      </c>
      <c r="R457" t="n">
        <v>0</v>
      </c>
      <c r="S457" t="n">
        <v>0</v>
      </c>
      <c r="U457" t="n">
        <v>0</v>
      </c>
    </row>
    <row r="459">
      <c r="A459" t="inlineStr">
        <is>
          <t>Average Buff Multiplier</t>
        </is>
      </c>
      <c r="B459">
        <f>(1+(IF(C433=TRUE,F433*IF(AND(Inputs!$B$39&lt;&gt;"pvp",Inputs!$B$44&gt;0),(((R433-1)*(Skills!S3*(1+(Inputs!$B$35+IF(Inputs!$B$3&gt;=117,F456,0))/100))+MIN((Skills!S3*(1+(Inputs!$B$35+IF(Inputs!$B$3&gt;=117,F456,0))/100)),MAX(0,Inputs!$B$44-((R433-1)*Skills!D3))))/Inputs!$B$44),IF(Inputs!$B$39="pvp",MIN((Skills!S3*(1+(Inputs!$B$35+IF(Inputs!$B$3&gt;=117,F456,0))/100)),15)/15,(Skills!S3*(1+(Inputs!$B$35+IF(Inputs!$B$3&gt;=117,F456,0))/100))/Skills!D3)),0)+IF(C434=TRUE,F434*IF(AND(Inputs!$B$39&lt;&gt;"pvp",Inputs!$B$44&gt;0),(((R434-1)*(Skills!S4*(1+(Inputs!$B$35+IF(Inputs!$B$3&gt;=117,F456,0))/100))+MIN((Skills!S4*(1+(Inputs!$B$35+IF(Inputs!$B$3&gt;=117,F456,0))/100)),MAX(0,Inputs!$B$44-((R434-1)*Skills!D4))))/Inputs!$B$44),IF(Inputs!$B$39="pvp",MIN((Skills!S4*(1+(Inputs!$B$35+IF(Inputs!$B$3&gt;=117,F456,0))/100)),15)/15,(Skills!S4*(1+(Inputs!$B$35+IF(Inputs!$B$3&gt;=117,F456,0))/100))/Skills!D4)),0)+IF(C435=TRUE,F435*IF(AND(Inputs!$B$39&lt;&gt;"pvp",Inputs!$B$44&gt;0),(((R435-1)*(Skills!S5*(1+(Inputs!$B$35+IF(Inputs!$B$3&gt;=117,F456,0))/100))+MIN((Skills!S5*(1+(Inputs!$B$35+IF(Inputs!$B$3&gt;=117,F456,0))/100)),MAX(0,Inputs!$B$44-((R435-1)*Skills!D5))))/Inputs!$B$44),IF(Inputs!$B$39="pvp",MIN((Skills!S5*(1+(Inputs!$B$35+IF(Inputs!$B$3&gt;=117,F456,0))/100)),15)/15,(Skills!S5*(1+(Inputs!$B$35+IF(Inputs!$B$3&gt;=117,F456,0))/100))/Skills!D5)),0)+IF(C441=TRUE,F441*IF(AND(Inputs!$B$39&lt;&gt;"pvp",Inputs!$B$44&gt;0),(((R441-1)*(Skills!S11*(1+(Inputs!$B$35+IF(Inputs!$B$3&gt;=117,F456,0))/100))+MIN((Skills!S11*(1+(Inputs!$B$35+IF(Inputs!$B$3&gt;=117,F456,0))/100)),MAX(0,Inputs!$B$44-((R441-1)*Skills!D11))))/Inputs!$B$44),IF(Inputs!$B$39="pvp",MIN((Skills!S11*(1+(Inputs!$B$35+IF(Inputs!$B$3&gt;=117,F456,0))/100)),15)/15,(Skills!S11*(1+(Inputs!$B$35+IF(Inputs!$B$3&gt;=117,F456,0))/100))/Skills!D11)),0))/100)*IF(C444=TRUE,(1+F444*IF(AND(Inputs!$B$39&lt;&gt;"pvp",Inputs!$B$44&gt;0),(((R444-1)*(Skills!S14*(1+(Inputs!$B$35+IF(Inputs!$B$3&gt;=117,F456,0))/100))+MIN((Skills!S14*(1+(Inputs!$B$35+IF(Inputs!$B$3&gt;=117,F456,0))/100)),MAX(0,Inputs!$B$44-((R444-1)*Skills!D14))))/Inputs!$B$44),IF(Inputs!$B$39="pvp",MIN((Skills!S14*(1+(Inputs!$B$35+IF(Inputs!$B$3&gt;=117,F456,0))/100)),15)/15,(Skills!S14*(1+(Inputs!$B$35+IF(Inputs!$B$3&gt;=117,F456,0))/100))/Skills!D14))/100),1)*IF(C449=TRUE,(1+F449*IF(AND(Inputs!$B$39&lt;&gt;"pvp",Inputs!$B$44&gt;0),(((R449-1)*(Skills!S19*(1+(Inputs!$B$35+IF(Inputs!$B$3&gt;=117,F456,0))/100))+MIN((Skills!S19*(1+(Inputs!$B$35+IF(Inputs!$B$3&gt;=117,F456,0))/100)),MAX(0,Inputs!$B$44-((R449-1)*Skills!D19))))/Inputs!$B$44),IF(Inputs!$B$39="pvp",MIN((Skills!S19*(1+(Inputs!$B$35+IF(Inputs!$B$3&gt;=117,F456,0))/100)),15)/15,(Skills!S19*(1+(Inputs!$B$35+IF(Inputs!$B$3&gt;=117,F456,0))/100))/Skills!D19))/100),1)</f>
        <v/>
      </c>
    </row>
    <row r="460">
      <c r="A460" t="inlineStr">
        <is>
          <t>Monster Damage Taken Bonus % (Holy Fountain)</t>
        </is>
      </c>
      <c r="B460">
        <f>IF(Inputs!$B$3&gt;=68,20*IF(Inputs!$B$39="pvp",MIN((15*(1+(Inputs!$B$35+IF(Inputs!$B$3&gt;=117,F456,0))/100)),15)/15,(15*(1+(Inputs!$B$35+IF(Inputs!$B$3&gt;=117,F456,0))/100))/Skills!D10),0)</f>
        <v/>
      </c>
    </row>
    <row r="461">
      <c r="A461" t="inlineStr">
        <is>
          <t>Normal Monster Damage Bonus % (Holy Symbol)</t>
        </is>
      </c>
      <c r="B461">
        <f>IF(C442=TRUE,F442*IF(AND(Inputs!$B$39&lt;&gt;"pvp",Inputs!$B$44&gt;0),(((R442-1)*(Skills!S12*(1+(Inputs!$B$35+IF(Inputs!$B$3&gt;=117,F456,0))/100))+MIN((Skills!S12*(1+(Inputs!$B$35+IF(Inputs!$B$3&gt;=117,F456,0))/100)),MAX(0,Inputs!$B$44-((R442-1)*Skills!D12))))/Inputs!$B$44),IF(Inputs!$B$39="pvp",MIN((Skills!S12*(1+(Inputs!$B$35+IF(Inputs!$B$3&gt;=117,F456,0))/100)),15)/15,(Skills!S12*(1+(Inputs!$B$35+IF(Inputs!$B$3&gt;=117,F456,0))/100))/Skills!D12)),0)</f>
        <v/>
      </c>
    </row>
    <row r="462">
      <c r="A462" t="inlineStr">
        <is>
          <t>Damage % Bonus (Holy Symbol - Damage Boost)</t>
        </is>
      </c>
      <c r="B462">
        <f>Skills!O12</f>
        <v/>
      </c>
    </row>
    <row r="463">
      <c r="A463" t="inlineStr">
        <is>
          <t>Crit Damage % Bonus (Blood of the Divine)</t>
        </is>
      </c>
      <c r="B463">
        <f>4*IF(C450=TRUE,F450,0)</f>
        <v/>
      </c>
    </row>
    <row r="464">
      <c r="A464" t="inlineStr">
        <is>
          <t>Attack Speed Bonus %</t>
        </is>
      </c>
      <c r="B464">
        <f>IF(C447=TRUE,F447+(F451-Calc!F21),0)+IF(Inputs!$B$3&gt;=134,15,0)</f>
        <v/>
      </c>
    </row>
    <row r="465">
      <c r="A465" t="inlineStr">
        <is>
          <t>Actions Per Second</t>
        </is>
      </c>
      <c r="B465">
        <f>1+MIN(150,150*(1-(1-Inputs!$B$12/150)*(1-B464/150)))/100</f>
        <v/>
      </c>
    </row>
    <row r="466">
      <c r="A466" t="inlineStr">
        <is>
          <t>Skill + Buff Cast Rate</t>
        </is>
      </c>
      <c r="B466">
        <f>IF(AND(Inputs!$B$39&lt;&gt;"pvp",Inputs!$B$44&gt;0),SUMPRODUCT((Skills!E2:E27=TRUE)*(C432:C457=TRUE)*R432:R457)/Inputs!$B$44,SUMPRODUCT((Skills!E2:E27=TRUE)*(C432:C457=TRUE)*Q432:Q457))</f>
        <v/>
      </c>
    </row>
    <row r="467">
      <c r="A467" t="inlineStr">
        <is>
          <t>Big Bang Casts Per Second</t>
        </is>
      </c>
      <c r="B467">
        <f>MAX(0,B465-B466)</f>
        <v/>
      </c>
    </row>
    <row r="468">
      <c r="A468" t="inlineStr">
        <is>
          <t>Defense % Bonus (Divine Protection)</t>
        </is>
      </c>
      <c r="B468">
        <f>IF(C443=TRUE,F443*IF(AND(Inputs!$B$39&lt;&gt;"pvp",Inputs!$B$44&gt;0),(((R443-1)*(Skills!S13*(1+(Inputs!$B$35+IF(Inputs!$B$3&gt;=117,F456,0))/100))+MIN((Skills!S13*(1+(Inputs!$B$35+IF(Inputs!$B$3&gt;=117,F456,0))/100)),MAX(0,Inputs!$B$44-((R443-1)*Skills!D13))))/Inputs!$B$44),IF(Inputs!$B$39="pvp",MIN((Skills!S13*(1+(Inputs!$B$35+IF(Inputs!$B$3&gt;=117,F456,0))/100)),15)/15,(Skills!S13*(1+(Inputs!$B$35+IF(Inputs!$B$3&gt;=117,F456,0))/100))/Skills!D13)),0)</f>
        <v/>
      </c>
    </row>
    <row r="469">
      <c r="A469" t="inlineStr">
        <is>
          <t>Buff-Casting Startup Delay (s, fixed-duration only)</t>
        </is>
      </c>
      <c r="B469">
        <f>IF(AND(Inputs!$B$39&lt;&gt;"pvp",Inputs!$B$44&gt;0),SUMPRODUCT((Skills!S2:S27&gt;0)*(Skills!E2:E27=TRUE)*(C432:C457=TRUE))/B465,0)</f>
        <v/>
      </c>
    </row>
    <row r="470">
      <c r="A470" t="inlineStr">
        <is>
          <t>Boss-Only Total DPS (this block's swept value)</t>
        </is>
      </c>
      <c r="B470">
        <f>SUM(S432:S457)</f>
        <v/>
      </c>
    </row>
    <row r="471">
      <c r="A471" t="inlineStr">
        <is>
          <t>Normal-Only Total DPS (this block's swept value)</t>
        </is>
      </c>
      <c r="B471">
        <f>SUM(U432:U457)</f>
        <v/>
      </c>
    </row>
    <row r="472">
      <c r="A472" s="5" t="inlineStr">
        <is>
          <t>TOTAL DPS</t>
        </is>
      </c>
      <c r="B472" s="5">
        <f>SUM(O432:O457)</f>
        <v/>
      </c>
    </row>
    <row r="474">
      <c r="A474" s="5" t="inlineStr">
        <is>
          <t>Stat: MAX_DAMAGE %</t>
        </is>
      </c>
    </row>
    <row r="475">
      <c r="A475" s="9" t="inlineStr">
        <is>
          <t>Key</t>
        </is>
      </c>
      <c r="B475" s="9" t="inlineStr">
        <is>
          <t>Name</t>
        </is>
      </c>
      <c r="C475" s="9" t="inlineStr">
        <is>
          <t>Unlocked</t>
        </is>
      </c>
      <c r="D475" s="9" t="inlineStr">
        <is>
          <t>InputLevel</t>
        </is>
      </c>
      <c r="E475" s="9" t="inlineStr">
        <is>
          <t>Factor</t>
        </is>
      </c>
      <c r="F475" s="9" t="inlineStr">
        <is>
          <t>CoefficientPercent</t>
        </is>
      </c>
      <c r="G475" s="9" t="inlineStr">
        <is>
          <t>EffectiveHits</t>
        </is>
      </c>
      <c r="H475" s="9" t="inlineStr">
        <is>
          <t>ProcProbability</t>
        </is>
      </c>
      <c r="I475" s="9" t="inlineStr">
        <is>
          <t>MapleHeroMultiplier</t>
        </is>
      </c>
      <c r="J475" s="9" t="inlineStr">
        <is>
          <t>BaseDamage</t>
        </is>
      </c>
      <c r="K475" s="9" t="inlineStr">
        <is>
          <t>BaseHitDamage</t>
        </is>
      </c>
      <c r="L475" s="9" t="inlineStr">
        <is>
          <t>NonCritAvg</t>
        </is>
      </c>
      <c r="M475" s="9" t="inlineStr">
        <is>
          <t>CritAvg</t>
        </is>
      </c>
      <c r="N475" s="9" t="inlineStr">
        <is>
          <t>ExpectedDamage(perHit)</t>
        </is>
      </c>
      <c r="O475" s="9" t="inlineStr">
        <is>
          <t>DPS</t>
        </is>
      </c>
      <c r="P475" s="9" t="inlineStr">
        <is>
          <t>% of Total</t>
        </is>
      </c>
      <c r="R475" t="inlineStr">
        <is>
          <t>helpers</t>
        </is>
      </c>
    </row>
    <row r="476">
      <c r="A476">
        <f>Skills!A2</f>
        <v/>
      </c>
      <c r="B476">
        <f>Skills!B2</f>
        <v/>
      </c>
      <c r="C476">
        <f>Inputs!$B$3&gt;=100</f>
        <v/>
      </c>
      <c r="D476" t="inlineStr"/>
      <c r="E476" t="inlineStr"/>
      <c r="F476">
        <f>T478+Skills!N2</f>
        <v/>
      </c>
      <c r="G476">
        <f>Calc!G2</f>
        <v/>
      </c>
      <c r="H476">
        <f>Calc!H2</f>
        <v/>
      </c>
      <c r="I476">
        <f>IF(Skills!T2&lt;&gt;"",1+(Skills!T2/10)*($Z$3/1000)/100,1)</f>
        <v/>
      </c>
      <c r="J476">
        <f>((Inputs!$B$6*(1+Inputs!$B$7/100))+(((Inputs!$B$13*(1+Inputs!$B$14/100))-(Inputs!$B$13*(1+Inputs!$B$14/100)))+0.25*(Inputs!$B$15-Inputs!$B$15))*(1+Inputs!$B$7/100))*(F476/100)</f>
        <v/>
      </c>
      <c r="K476">
        <f>J476*(1+(((Inputs!$B$13+IF(Inputs!$B$3&gt;=35,(10*INDEX(FactorTable!$B$2:$Y$301, MATCH(ROUND(MIN(300,MAX(1,Inputs!$B$3)),0), FactorTable!$A$2:$A$301,0), 23)/1000)/100*(Inputs!$B$8*(1+(Inputs!$B$9+B512)/100)),0))*(1+Inputs!$B$14/100))*0.01+Inputs!$B$15*0.0025)/100)*(1+(Inputs!$B$16+B506)/100)*(1+Inputs!$B$17/100)*(5000/(6000+Inputs!$B$43*(1-Inputs!$B$20/100)))*(1+Inputs!$B$25/100)*(1+IF(C492=TRUE,F492,0)/100)*(1+IF(C494=TRUE,F494,0)/100)*(1+IF(Skills!A2="TRIUMPH_FEATHER",IF(C490=TRUE,F490,0),0)/100)*(1+IF(C501=TRUE,F501,0)/100)^5*(1+(IF(Skills!A2="BIG_BANG",Inputs!$B$18,Inputs!$B$19))/100)*(B503*I476)</f>
        <v/>
      </c>
      <c r="L476">
        <f>K476*(MIN(Inputs!$B$23+(F496-Calc!F22),(Inputs!$B$24+1))/100+(Inputs!$B$24+1)/100)/2</f>
        <v/>
      </c>
      <c r="M476">
        <f>L476*(1+(Inputs!$B$11+B507+(F499-Calc!F25))/100)</f>
        <v/>
      </c>
      <c r="N476">
        <f>L476*(1-MIN(Inputs!$B$10+((F498-Calc!F24)+(F497-Calc!F23)),100)/100)+M476*(MIN(Inputs!$B$10+((F498-Calc!F24)+(F497-Calc!F23)),100)/100)</f>
        <v/>
      </c>
      <c r="O476">
        <f>(1-Summary!$B$48)*S476+Summary!$B$48*U476</f>
        <v/>
      </c>
      <c r="P476">
        <f>IF(B516=0,0,O476/B516)</f>
        <v/>
      </c>
      <c r="Q476">
        <f>IFERROR(1/IF(Inputs!$B$39="pvp",15,MAX(0.1,Skills!D2-IF(Skills!E2=TRUE,Inputs!$B$33,0))),0)</f>
        <v/>
      </c>
      <c r="R476" t="n">
        <v>0</v>
      </c>
      <c r="S476">
        <f>IF(C476,(Skills!F2*N476*B511)*IF(Inputs!$B$39="pvp",1,1+(Inputs!$B$21+Skills!O2+B504)/100),0)</f>
        <v/>
      </c>
      <c r="T476">
        <f>MAX(0,(Inputs!$B$3-100)*3)+Inputs!$B$29+Inputs!$B$30</f>
        <v/>
      </c>
      <c r="U476">
        <f>IF(C476,(Skills!F2*N476*B511)*IF(Inputs!$B$39="pvp",1,(1+(Inputs!$B$22+Skills!P2+B505)/100)*(MIN((6+Inputs!$B$34),Inputs!$B$38))),0)</f>
        <v/>
      </c>
    </row>
    <row r="477">
      <c r="A477">
        <f>Skills!A3</f>
        <v/>
      </c>
      <c r="B477">
        <f>Skills!B3</f>
        <v/>
      </c>
      <c r="C477">
        <f>Inputs!$B$3&gt;=15</f>
        <v/>
      </c>
      <c r="D477">
        <f>IF(Skills!C3=1,60+Inputs!$B$26+Inputs!$B$30,IF(Skills!C3=2,90+Inputs!$B$27+Inputs!$B$30,IF(Skills!C3=3,120+Inputs!$B$28+Inputs!$B$30,MAX(0,(Inputs!$B$3-100)*3)+Inputs!$B$29+Inputs!$B$30)))</f>
        <v/>
      </c>
      <c r="E477">
        <f>INDEX(FactorTable!$B$2:$Y$301, MATCH(ROUND(MIN(300,MAX(1,D477)),0), FactorTable!$A$2:$A$301,0), Skills!L3+1)</f>
        <v/>
      </c>
      <c r="F477">
        <f>IF(Skills!M3=TRUE,(Skills!K3/10)*(E477/1000),Skills!K3/10)+Skills!N3</f>
        <v/>
      </c>
      <c r="G477">
        <f>Calc!G3</f>
        <v/>
      </c>
      <c r="H477">
        <f>Calc!H3</f>
        <v/>
      </c>
      <c r="I477">
        <f>IF(Skills!T3&lt;&gt;"",1+(Skills!T3/10)*($Z$3/1000)/100,1)</f>
        <v/>
      </c>
      <c r="J477" t="inlineStr"/>
      <c r="K477" t="inlineStr"/>
      <c r="L477" t="inlineStr"/>
      <c r="M477" t="inlineStr"/>
      <c r="N477" t="inlineStr"/>
      <c r="O477">
        <f>(1-Summary!$B$48)*S477+Summary!$B$48*U477</f>
        <v/>
      </c>
      <c r="P477">
        <f>IF(B516=0,0,O477/B516)</f>
        <v/>
      </c>
      <c r="Q477">
        <f>IFERROR(1/IF(Inputs!$B$39="pvp",15,MAX(0.1,Skills!D3-IF(Skills!E3=TRUE,Inputs!$B$33,0))),0)</f>
        <v/>
      </c>
      <c r="R477">
        <f>IF(AND(Inputs!$B$39&lt;&gt;"pvp",Inputs!$B$44&gt;0),IF(Inputs!$B$44&lt;=0,0,(INT(Inputs!$B$44/IF(Inputs!$B$39="pvp",15,MAX(0.1,Skills!D3-IF(Skills!E3=TRUE,Inputs!$B$33,0))))+1)),0)</f>
        <v/>
      </c>
      <c r="S477" t="n">
        <v>0</v>
      </c>
      <c r="T477">
        <f>INDEX(FactorTable!$B$2:$Y$301, MATCH(ROUND(MIN(300,MAX(1,T476)),0), FactorTable!$A$2:$A$301,0), 22)</f>
        <v/>
      </c>
      <c r="U477" t="n">
        <v>0</v>
      </c>
    </row>
    <row r="478">
      <c r="A478">
        <f>Skills!A4</f>
        <v/>
      </c>
      <c r="B478">
        <f>Skills!B4</f>
        <v/>
      </c>
      <c r="C478">
        <f>Inputs!$B$3&gt;=38</f>
        <v/>
      </c>
      <c r="D478">
        <f>IF(Skills!C4=1,60+Inputs!$B$26+Inputs!$B$30,IF(Skills!C4=2,90+Inputs!$B$27+Inputs!$B$30,IF(Skills!C4=3,120+Inputs!$B$28+Inputs!$B$30,MAX(0,(Inputs!$B$3-100)*3)+Inputs!$B$29+Inputs!$B$30)))</f>
        <v/>
      </c>
      <c r="E478">
        <f>INDEX(FactorTable!$B$2:$Y$301, MATCH(ROUND(MIN(300,MAX(1,D478)),0), FactorTable!$A$2:$A$301,0), Skills!L4+1)</f>
        <v/>
      </c>
      <c r="F478">
        <f>IF(Skills!M4=TRUE,(Skills!K4/10)*(E478/1000),Skills!K4/10)+Skills!N4</f>
        <v/>
      </c>
      <c r="G478">
        <f>Calc!G4</f>
        <v/>
      </c>
      <c r="H478">
        <f>Calc!H4</f>
        <v/>
      </c>
      <c r="I478">
        <f>IF(Skills!T4&lt;&gt;"",1+(Skills!T4/10)*($Z$3/1000)/100,1)</f>
        <v/>
      </c>
      <c r="J478" t="inlineStr"/>
      <c r="K478" t="inlineStr"/>
      <c r="L478" t="inlineStr"/>
      <c r="M478" t="inlineStr"/>
      <c r="N478" t="inlineStr"/>
      <c r="O478">
        <f>(1-Summary!$B$48)*S478+Summary!$B$48*U478</f>
        <v/>
      </c>
      <c r="P478">
        <f>IF(B516=0,0,O478/B516)</f>
        <v/>
      </c>
      <c r="Q478">
        <f>IFERROR(1/IF(Inputs!$B$39="pvp",15,MAX(0.1,Skills!D4-IF(Skills!E4=TRUE,Inputs!$B$33,0))),0)</f>
        <v/>
      </c>
      <c r="R478">
        <f>IF(AND(Inputs!$B$39&lt;&gt;"pvp",Inputs!$B$44&gt;0),IF(Inputs!$B$44&lt;=0,0,(INT(Inputs!$B$44/IF(Inputs!$B$39="pvp",15,MAX(0.1,Skills!D4-IF(Skills!E4=TRUE,Inputs!$B$33,0))))+1)),0)</f>
        <v/>
      </c>
      <c r="S478" t="n">
        <v>0</v>
      </c>
      <c r="T478">
        <f>290*T477/1000</f>
        <v/>
      </c>
      <c r="U478" t="n">
        <v>0</v>
      </c>
    </row>
    <row r="479">
      <c r="A479">
        <f>Skills!A5</f>
        <v/>
      </c>
      <c r="B479">
        <f>Skills!B5</f>
        <v/>
      </c>
      <c r="C479">
        <f>Inputs!$B$3&gt;=40</f>
        <v/>
      </c>
      <c r="D479">
        <f>IF(Skills!C5=1,60+Inputs!$B$26+Inputs!$B$30,IF(Skills!C5=2,90+Inputs!$B$27+Inputs!$B$30,IF(Skills!C5=3,120+Inputs!$B$28+Inputs!$B$30,MAX(0,(Inputs!$B$3-100)*3)+Inputs!$B$29+Inputs!$B$30)))</f>
        <v/>
      </c>
      <c r="E479">
        <f>INDEX(FactorTable!$B$2:$Y$301, MATCH(ROUND(MIN(300,MAX(1,D479)),0), FactorTable!$A$2:$A$301,0), Skills!L5+1)</f>
        <v/>
      </c>
      <c r="F479">
        <f>IF(Skills!M5=TRUE,(Skills!K5/10)*(E479/1000),Skills!K5/10)+Skills!N5</f>
        <v/>
      </c>
      <c r="G479">
        <f>Calc!G5</f>
        <v/>
      </c>
      <c r="H479">
        <f>Calc!H5</f>
        <v/>
      </c>
      <c r="I479">
        <f>IF(Skills!T5&lt;&gt;"",1+(Skills!T5/10)*($Z$3/1000)/100,1)</f>
        <v/>
      </c>
      <c r="J479" t="inlineStr"/>
      <c r="K479" t="inlineStr"/>
      <c r="L479" t="inlineStr"/>
      <c r="M479" t="inlineStr"/>
      <c r="N479" t="inlineStr"/>
      <c r="O479">
        <f>(1-Summary!$B$48)*S479+Summary!$B$48*U479</f>
        <v/>
      </c>
      <c r="P479">
        <f>IF(B516=0,0,O479/B516)</f>
        <v/>
      </c>
      <c r="Q479">
        <f>IFERROR(1/IF(Inputs!$B$39="pvp",15,MAX(0.1,Skills!D5-IF(Skills!E5=TRUE,Inputs!$B$33,0))),0)</f>
        <v/>
      </c>
      <c r="R479">
        <f>IF(AND(Inputs!$B$39&lt;&gt;"pvp",Inputs!$B$44&gt;0),IF(Inputs!$B$44&lt;=0,0,(INT(Inputs!$B$44/IF(Inputs!$B$39="pvp",15,MAX(0.1,Skills!D5-IF(Skills!E5=TRUE,Inputs!$B$33,0))))+1)),0)</f>
        <v/>
      </c>
      <c r="S479" t="n">
        <v>0</v>
      </c>
      <c r="U479" t="n">
        <v>0</v>
      </c>
    </row>
    <row r="480">
      <c r="A480">
        <f>Skills!A6</f>
        <v/>
      </c>
      <c r="B480">
        <f>Skills!B6</f>
        <v/>
      </c>
      <c r="C480">
        <f>Inputs!$B$3&gt;=103</f>
        <v/>
      </c>
      <c r="D480">
        <f>IF(Skills!C6=1,60+Inputs!$B$26+Inputs!$B$30,IF(Skills!C6=2,90+Inputs!$B$27+Inputs!$B$30,IF(Skills!C6=3,120+Inputs!$B$28+Inputs!$B$30,MAX(0,(Inputs!$B$3-100)*3)+Inputs!$B$29+Inputs!$B$30)))</f>
        <v/>
      </c>
      <c r="E480">
        <f>INDEX(FactorTable!$B$2:$Y$301, MATCH(ROUND(MIN(300,MAX(1,D480)),0), FactorTable!$A$2:$A$301,0), Skills!L6+1)</f>
        <v/>
      </c>
      <c r="F480">
        <f>IF(Skills!M6=TRUE,(Skills!K6/10)*(E480/1000),Skills!K6/10)+Skills!N6</f>
        <v/>
      </c>
      <c r="G480">
        <f>Calc!G6</f>
        <v/>
      </c>
      <c r="H480">
        <f>Calc!H6</f>
        <v/>
      </c>
      <c r="I480">
        <f>IF(Skills!T6&lt;&gt;"",1+(Skills!T6/10)*($Z$3/1000)/100,1)</f>
        <v/>
      </c>
      <c r="J480">
        <f>((Inputs!$B$6*(1+Inputs!$B$7/100))+(((Inputs!$B$13*(1+Inputs!$B$14/100))-(Inputs!$B$13*(1+Inputs!$B$14/100)))+0.25*(Inputs!$B$15-Inputs!$B$15))*(1+Inputs!$B$7/100))*(F480/100)</f>
        <v/>
      </c>
      <c r="K480">
        <f>J480*(1+(((Inputs!$B$13+IF(Inputs!$B$3&gt;=35,(10*INDEX(FactorTable!$B$2:$Y$301, MATCH(ROUND(MIN(300,MAX(1,Inputs!$B$3)),0), FactorTable!$A$2:$A$301,0), 23)/1000)/100*(Inputs!$B$8*(1+(Inputs!$B$9+B512)/100)),0))*(1+Inputs!$B$14/100))*0.01+Inputs!$B$15*0.0025)/100)*(1+(Inputs!$B$16+B506)/100)*(1+Inputs!$B$17/100)*(5000/(6000+Inputs!$B$43*(1-Inputs!$B$20/100)))*(1+Inputs!$B$25/100)*(1+IF(C492=TRUE,F492,0)/100)*(1+IF(C494=TRUE,F494,0)/100)*(1+IF(Skills!A6="TRIUMPH_FEATHER",IF(C490=TRUE,F490,0),0)/100)*(1+IF(C501=TRUE,F501,0)/100)^5*(1+(IF(Skills!A6="BIG_BANG",Inputs!$B$18,Inputs!$B$19))/100)*(B503*I480)</f>
        <v/>
      </c>
      <c r="L480">
        <f>K480*(MIN(Inputs!$B$23+(F496-Calc!F22),(Inputs!$B$24+1))/100+(Inputs!$B$24+1)/100)/2</f>
        <v/>
      </c>
      <c r="M480">
        <f>L480*(1+(Inputs!$B$11+B507+(F499-Calc!F25))/100)</f>
        <v/>
      </c>
      <c r="N480">
        <f>L480*(1-MIN(Inputs!$B$10+((F498-Calc!F24)+(F497-Calc!F23)),100)/100)+M480*(MIN(Inputs!$B$10+((F498-Calc!F24)+(F497-Calc!F23)),100)/100)</f>
        <v/>
      </c>
      <c r="O480">
        <f>(1-Summary!$B$48)*S480+Summary!$B$48*U480</f>
        <v/>
      </c>
      <c r="P480">
        <f>IF(B516=0,0,O480/B516)</f>
        <v/>
      </c>
      <c r="Q480">
        <f>IFERROR(1/IF(Inputs!$B$39="pvp",15,MAX(0.1,Skills!D6-IF(Skills!E6=TRUE,Inputs!$B$33,0))),0)</f>
        <v/>
      </c>
      <c r="R480">
        <f>IF(AND(Inputs!$B$39&lt;&gt;"pvp",Inputs!$B$44&gt;0),IF(MAX(0,Inputs!$B$44-B513)&lt;=0,0,(INT(MAX(0,Inputs!$B$44-B513)/IF(Inputs!$B$39="pvp",15,MAX(0.1,Skills!D6-IF(Skills!E6=TRUE,Inputs!$B$33,0))))+1)),0)</f>
        <v/>
      </c>
      <c r="S480">
        <f>IF(C480,(H480*N480*IF(AND(Inputs!$B$39&lt;&gt;"pvp",Inputs!$B$44&gt;0),((Skills!F6*((R480-1)*IF(Skills!G6&gt;0,Skills!H6/Skills!G6,1)+IF(Skills!G6&gt;0,MIN(Skills!H6,MAX(0,MAX(0,Inputs!$B$44-B513)-((R480-1)*IF(Inputs!$B$39="pvp",15,MAX(0.1,Skills!D6-IF(Skills!E6=TRUE,Inputs!$B$33,0))))))/Skills!G6,1)))/Inputs!$B$44),G480*Q480))*IF(Inputs!$B$39="pvp",1,1+(Inputs!$B$21+Skills!O6+B504)/100),0)</f>
        <v/>
      </c>
      <c r="U480">
        <f>IF(C480,(H480*N480*IF(AND(Inputs!$B$39&lt;&gt;"pvp",Inputs!$B$44&gt;0),((Skills!F6*((R480-1)*IF(Skills!G6&gt;0,Skills!H6/Skills!G6,1)+IF(Skills!G6&gt;0,MIN(Skills!H6,MAX(0,MAX(0,Inputs!$B$44-B513)-((R480-1)*IF(Inputs!$B$39="pvp",15,MAX(0.1,Skills!D6-IF(Skills!E6=TRUE,Inputs!$B$33,0))))))/Skills!G6,1)))/Inputs!$B$44),G480*Q480))*IF(Inputs!$B$39="pvp",1,(1+(Inputs!$B$22+Skills!P6+B505)/100)*(MIN(Skills!Q6,Inputs!$B$38))),0)</f>
        <v/>
      </c>
    </row>
    <row r="481">
      <c r="A481">
        <f>Skills!A7</f>
        <v/>
      </c>
      <c r="B481">
        <f>Skills!B7</f>
        <v/>
      </c>
      <c r="C481">
        <f>Inputs!$B$3&gt;=122</f>
        <v/>
      </c>
      <c r="D481">
        <f>IF(Skills!C7=1,60+Inputs!$B$26+Inputs!$B$30,IF(Skills!C7=2,90+Inputs!$B$27+Inputs!$B$30,IF(Skills!C7=3,120+Inputs!$B$28+Inputs!$B$30,MAX(0,(Inputs!$B$3-100)*3)+Inputs!$B$29+Inputs!$B$30)))</f>
        <v/>
      </c>
      <c r="E481">
        <f>INDEX(FactorTable!$B$2:$Y$301, MATCH(ROUND(MIN(300,MAX(1,D481)),0), FactorTable!$A$2:$A$301,0), Skills!L7+1)</f>
        <v/>
      </c>
      <c r="F481">
        <f>IF(Skills!M7=TRUE,(Skills!K7/10)*(E481/1000),Skills!K7/10)+Skills!N7</f>
        <v/>
      </c>
      <c r="G481">
        <f>Calc!G7</f>
        <v/>
      </c>
      <c r="H481">
        <f>Calc!H7</f>
        <v/>
      </c>
      <c r="I481">
        <f>IF(Skills!T7&lt;&gt;"",1+(Skills!T7/10)*($Z$3/1000)/100,1)</f>
        <v/>
      </c>
      <c r="J481">
        <f>((Inputs!$B$6*(1+Inputs!$B$7/100))+(((Inputs!$B$13*(1+Inputs!$B$14/100))-(Inputs!$B$13*(1+Inputs!$B$14/100)))+0.25*(Inputs!$B$15-Inputs!$B$15))*(1+Inputs!$B$7/100))*(F481/100)</f>
        <v/>
      </c>
      <c r="K481">
        <f>J481*(1+(((Inputs!$B$13+IF(Inputs!$B$3&gt;=35,(10*INDEX(FactorTable!$B$2:$Y$301, MATCH(ROUND(MIN(300,MAX(1,Inputs!$B$3)),0), FactorTable!$A$2:$A$301,0), 23)/1000)/100*(Inputs!$B$8*(1+(Inputs!$B$9+B512)/100)),0))*(1+Inputs!$B$14/100))*0.01+Inputs!$B$15*0.0025)/100)*(1+(Inputs!$B$16+B506)/100)*(1+Inputs!$B$17/100)*(5000/(6000+Inputs!$B$43*(1-Inputs!$B$20/100)))*(1+Inputs!$B$25/100)*(1+IF(C492=TRUE,F492,0)/100)*(1+IF(C494=TRUE,F494,0)/100)*(1+IF(Skills!A7="TRIUMPH_FEATHER",IF(C490=TRUE,F490,0),0)/100)*(1+IF(C501=TRUE,F501,0)/100)^5*(1+(IF(Skills!A7="BIG_BANG",Inputs!$B$18,Inputs!$B$19))/100)*(B503*I481)</f>
        <v/>
      </c>
      <c r="L481">
        <f>K481*(MIN(Inputs!$B$23+(F496-Calc!F22),(Inputs!$B$24+1))/100+(Inputs!$B$24+1)/100)/2</f>
        <v/>
      </c>
      <c r="M481">
        <f>L481*(1+(Inputs!$B$11+B507+(F499-Calc!F25))/100)</f>
        <v/>
      </c>
      <c r="N481">
        <f>L481*(1-MIN(Inputs!$B$10+((F498-Calc!F24)+(F497-Calc!F23)),100)/100)+M481*(MIN(Inputs!$B$10+((F498-Calc!F24)+(F497-Calc!F23)),100)/100)</f>
        <v/>
      </c>
      <c r="O481">
        <f>(1-Summary!$B$48)*S481+Summary!$B$48*U481</f>
        <v/>
      </c>
      <c r="P481">
        <f>IF(B516=0,0,O481/B516)</f>
        <v/>
      </c>
      <c r="Q481">
        <f>IFERROR(1/IF(Inputs!$B$39="pvp",15,MAX(0.1,Skills!D7-IF(Skills!E6=TRUE,Inputs!$B$33,0))),0)</f>
        <v/>
      </c>
      <c r="R481">
        <f>IF(AND(Inputs!$B$39&lt;&gt;"pvp",Inputs!$B$44&gt;0),IF(MAX(0,Inputs!$B$44-B513)&lt;=0,0,(INT(MAX(0,Inputs!$B$44-B513)/IF(Inputs!$B$39="pvp",15,MAX(0.1,Skills!D7-IF(Skills!E6=TRUE,Inputs!$B$33,0))))+1)),0)</f>
        <v/>
      </c>
      <c r="S481">
        <f>IF(C481,H481*N481*IF(AND(Inputs!$B$39&lt;&gt;"pvp",Inputs!$B$44&gt;0),((Skills!F7*((R481-1)*IF(Skills!G7&gt;0,Skills!H7/Skills!G7,1)+IF(Skills!G7&gt;0,MIN(Skills!H7,MAX(0,MAX(0,Inputs!$B$44-B513)-((R481-1)*IF(Inputs!$B$39="pvp",15,MAX(0.1,Skills!D7-IF(Skills!E6=TRUE,Inputs!$B$33,0))))))/Skills!G7,1)))/Inputs!$B$44),G481*Q481)*IF(Inputs!$B$39="pvp",1,1+(Inputs!$B$21+Skills!O7+B504)/100),0)</f>
        <v/>
      </c>
      <c r="U481" t="n">
        <v>0</v>
      </c>
    </row>
    <row r="482">
      <c r="A482">
        <f>Skills!A8</f>
        <v/>
      </c>
      <c r="B482">
        <f>Skills!B8</f>
        <v/>
      </c>
      <c r="C482">
        <f>Inputs!$B$3&gt;=105</f>
        <v/>
      </c>
      <c r="D482">
        <f>IF(Skills!C8=1,60+Inputs!$B$26+Inputs!$B$30,IF(Skills!C8=2,90+Inputs!$B$27+Inputs!$B$30,IF(Skills!C8=3,120+Inputs!$B$28+Inputs!$B$30,MAX(0,(Inputs!$B$3-100)*3)+Inputs!$B$29+Inputs!$B$30)))</f>
        <v/>
      </c>
      <c r="E482">
        <f>INDEX(FactorTable!$B$2:$Y$301, MATCH(ROUND(MIN(300,MAX(1,D482)),0), FactorTable!$A$2:$A$301,0), Skills!L8+1)</f>
        <v/>
      </c>
      <c r="F482">
        <f>IF(Skills!M8=TRUE,(Skills!K8/10)*(E482/1000),Skills!K8/10)+Skills!N8</f>
        <v/>
      </c>
      <c r="G482">
        <f>Calc!G8</f>
        <v/>
      </c>
      <c r="H482">
        <f>Calc!H8</f>
        <v/>
      </c>
      <c r="I482">
        <f>IF(Skills!T8&lt;&gt;"",1+(Skills!T8/10)*($Z$3/1000)/100,1)</f>
        <v/>
      </c>
      <c r="J482">
        <f>((Inputs!$B$6*(1+Inputs!$B$7/100))+(((Inputs!$B$13*(1+Inputs!$B$14/100))-(Inputs!$B$13*(1+Inputs!$B$14/100)))+0.25*(Inputs!$B$15-Inputs!$B$15))*(1+Inputs!$B$7/100))*(F482/100)</f>
        <v/>
      </c>
      <c r="K482">
        <f>J482*(1+(((Inputs!$B$13+IF(Inputs!$B$3&gt;=35,(10*INDEX(FactorTable!$B$2:$Y$301, MATCH(ROUND(MIN(300,MAX(1,Inputs!$B$3)),0), FactorTable!$A$2:$A$301,0), 23)/1000)/100*(Inputs!$B$8*(1+(Inputs!$B$9+B512)/100)),0))*(1+Inputs!$B$14/100))*0.01+Inputs!$B$15*0.0025)/100)*(1+(Inputs!$B$16+B506)/100)*(1+Inputs!$B$17/100)*(5000/(6000+Inputs!$B$43*(1-Inputs!$B$20/100)))*(1+Inputs!$B$25/100)*(1+IF(C492=TRUE,F492,0)/100)*(1+IF(C494=TRUE,F494,0)/100)*(1+IF(Skills!A8="TRIUMPH_FEATHER",IF(C490=TRUE,F490,0),0)/100)*(1+IF(C501=TRUE,F501,0)/100)^5*(1+(IF(Skills!A8="BIG_BANG",Inputs!$B$18,Inputs!$B$19))/100)*(B503*I482)</f>
        <v/>
      </c>
      <c r="L482">
        <f>K482*(MIN(Inputs!$B$23+(F496-Calc!F22),(Inputs!$B$24+1))/100+(Inputs!$B$24+1)/100)/2</f>
        <v/>
      </c>
      <c r="M482">
        <f>L482*(1+(Inputs!$B$11+B507+(F499-Calc!F25))/100)</f>
        <v/>
      </c>
      <c r="N482">
        <f>L482*(1-MIN(Inputs!$B$10+((F498-Calc!F24)+(F497-Calc!F23)),100)/100)+M482*(MIN(Inputs!$B$10+((F498-Calc!F24)+(F497-Calc!F23)),100)/100)</f>
        <v/>
      </c>
      <c r="O482">
        <f>(1-Summary!$B$48)*S482+Summary!$B$48*U482</f>
        <v/>
      </c>
      <c r="P482">
        <f>IF(B516=0,0,O482/B516)</f>
        <v/>
      </c>
      <c r="Q482">
        <f>IFERROR(1/IF(Inputs!$B$39="pvp",15,MAX(0.1,Skills!D8-IF(Skills!E8=TRUE,Inputs!$B$33,0))),0)</f>
        <v/>
      </c>
      <c r="R482">
        <f>IF(AND(Inputs!$B$39&lt;&gt;"pvp",Inputs!$B$44&gt;0),IF(MAX(0,Inputs!$B$44-B513)&lt;=0,0,(INT(MAX(0,Inputs!$B$44-B513)/IF(Inputs!$B$39="pvp",15,MAX(0.1,Skills!D8-IF(Skills!E8=TRUE,Inputs!$B$33,0))))+1)),0)</f>
        <v/>
      </c>
      <c r="S482">
        <f>IF(C482,(H482*N482*IF(AND(Inputs!$B$39&lt;&gt;"pvp",Inputs!$B$44&gt;0),((Skills!F8*((R482-1)*IF(Skills!G8&gt;0,Skills!H8/Skills!G8,1)+IF(Skills!G8&gt;0,MIN(Skills!H8,MAX(0,MAX(0,Inputs!$B$44-B513)-((R482-1)*IF(Inputs!$B$39="pvp",15,MAX(0.1,Skills!D8-IF(Skills!E8=TRUE,Inputs!$B$33,0))))))/Skills!G8,1)))/Inputs!$B$44),G482*Q482))*IF(Inputs!$B$39="pvp",1,1+(Inputs!$B$21+Skills!O8+B504)/100),0)</f>
        <v/>
      </c>
      <c r="U482">
        <f>IF(C482,(H482*N482*IF(AND(Inputs!$B$39&lt;&gt;"pvp",Inputs!$B$44&gt;0),((Skills!F8*((R482-1)*IF(Skills!G8&gt;0,Skills!H8/Skills!G8,1)+IF(Skills!G8&gt;0,MIN(Skills!H8,MAX(0,MAX(0,Inputs!$B$44-B513)-((R482-1)*IF(Inputs!$B$39="pvp",15,MAX(0.1,Skills!D8-IF(Skills!E8=TRUE,Inputs!$B$33,0))))))/Skills!G8,1)))/Inputs!$B$44),G482*Q482))*IF(Inputs!$B$39="pvp",1,(1+(Inputs!$B$22+Skills!P8+B505)/100)*(MIN(Skills!Q8,Inputs!$B$38))),0)</f>
        <v/>
      </c>
    </row>
    <row r="483">
      <c r="A483">
        <f>Skills!A9</f>
        <v/>
      </c>
      <c r="B483">
        <f>Skills!B9</f>
        <v/>
      </c>
      <c r="C483">
        <f>Inputs!$B$3&gt;=115</f>
        <v/>
      </c>
      <c r="D483">
        <f>IF(Skills!C9=1,60+Inputs!$B$26+Inputs!$B$30,IF(Skills!C9=2,90+Inputs!$B$27+Inputs!$B$30,IF(Skills!C9=3,120+Inputs!$B$28+Inputs!$B$30,MAX(0,(Inputs!$B$3-100)*3)+Inputs!$B$29+Inputs!$B$30)))</f>
        <v/>
      </c>
      <c r="E483">
        <f>INDEX(FactorTable!$B$2:$Y$301, MATCH(ROUND(MIN(300,MAX(1,D483)),0), FactorTable!$A$2:$A$301,0), Skills!L9+1)</f>
        <v/>
      </c>
      <c r="F483">
        <f>IF(Skills!M9=TRUE,(Skills!K9/10)*(E483/1000),Skills!K9/10)+Skills!N9</f>
        <v/>
      </c>
      <c r="G483">
        <f>Calc!G9</f>
        <v/>
      </c>
      <c r="H483">
        <f>Calc!H9</f>
        <v/>
      </c>
      <c r="I483">
        <f>IF(Skills!T9&lt;&gt;"",1+(Skills!T9/10)*($Z$3/1000)/100,1)</f>
        <v/>
      </c>
      <c r="J483">
        <f>((Inputs!$B$6*(1+Inputs!$B$7/100))+(((Inputs!$B$13*(1+Inputs!$B$14/100))-(Inputs!$B$13*(1+Inputs!$B$14/100)))+0.25*(Inputs!$B$15-Inputs!$B$15))*(1+Inputs!$B$7/100))*(F483/100)</f>
        <v/>
      </c>
      <c r="K483">
        <f>J483*(1+(((Inputs!$B$13+IF(Inputs!$B$3&gt;=35,(10*INDEX(FactorTable!$B$2:$Y$301, MATCH(ROUND(MIN(300,MAX(1,Inputs!$B$3)),0), FactorTable!$A$2:$A$301,0), 23)/1000)/100*(Inputs!$B$8*(1+(Inputs!$B$9+B512)/100)),0))*(1+Inputs!$B$14/100))*0.01+Inputs!$B$15*0.0025)/100)*(1+(Inputs!$B$16+B506)/100)*(1+Inputs!$B$17/100)*(5000/(6000+Inputs!$B$43*(1-Inputs!$B$20/100)))*(1+Inputs!$B$25/100)*(1+IF(C492=TRUE,F492,0)/100)*(1+IF(C494=TRUE,F494,0)/100)*(1+IF(Skills!A9="TRIUMPH_FEATHER",IF(C490=TRUE,F490,0),0)/100)*(1+IF(C501=TRUE,F501,0)/100)^5*(1+(IF(Skills!A9="BIG_BANG",Inputs!$B$18,Inputs!$B$19))/100)*(B503*I483)</f>
        <v/>
      </c>
      <c r="L483">
        <f>K483*(MIN(Inputs!$B$23+(F496-Calc!F22),(Inputs!$B$24+1))/100+(Inputs!$B$24+1)/100)/2</f>
        <v/>
      </c>
      <c r="M483">
        <f>L483*(1+(Inputs!$B$11+B507+(F499-Calc!F25))/100)</f>
        <v/>
      </c>
      <c r="N483">
        <f>L483*(1-MIN(Inputs!$B$10+((F498-Calc!F24)+(F497-Calc!F23)),100)/100)+M483*(MIN(Inputs!$B$10+((F498-Calc!F24)+(F497-Calc!F23)),100)/100)</f>
        <v/>
      </c>
      <c r="O483">
        <f>(1-Summary!$B$48)*S483+Summary!$B$48*U483</f>
        <v/>
      </c>
      <c r="P483">
        <f>IF(B516=0,0,O483/B516)</f>
        <v/>
      </c>
      <c r="Q483">
        <f>IFERROR(1/IF(Inputs!$B$39="pvp",15,MAX(0.1,Skills!D9-IF(Skills!E9=TRUE,Inputs!$B$33,0))),0)</f>
        <v/>
      </c>
      <c r="R483">
        <f>IF(AND(Inputs!$B$39&lt;&gt;"pvp",Inputs!$B$44&gt;0),IF(MAX(0,Inputs!$B$44-B513)&lt;=0,0,(INT(MAX(0,Inputs!$B$44-B513)/IF(Inputs!$B$39="pvp",15,MAX(0.1,Skills!D9-IF(Skills!E9=TRUE,Inputs!$B$33,0))))+1)),0)</f>
        <v/>
      </c>
      <c r="S483">
        <f>IF(C483,(H483*N483*IF(AND(Inputs!$B$39&lt;&gt;"pvp",Inputs!$B$44&gt;0),((Skills!F9*((R483-1)*IF(Skills!G9&gt;0,Skills!H9/Skills!G9,1)+IF(Skills!G9&gt;0,MIN(Skills!H9,MAX(0,MAX(0,Inputs!$B$44-B513)-((R483-1)*IF(Inputs!$B$39="pvp",15,MAX(0.1,Skills!D9-IF(Skills!E9=TRUE,Inputs!$B$33,0))))))/Skills!G9,1)))/Inputs!$B$44),G483*Q483))*IF(Inputs!$B$39="pvp",1,1+(Inputs!$B$21+Skills!O9+B504)/100),0)</f>
        <v/>
      </c>
      <c r="U483">
        <f>IF(C483,(H483*N483*IF(AND(Inputs!$B$39&lt;&gt;"pvp",Inputs!$B$44&gt;0),((Skills!F9*((R483-1)*IF(Skills!G9&gt;0,Skills!H9/Skills!G9,1)+IF(Skills!G9&gt;0,MIN(Skills!H9,MAX(0,MAX(0,Inputs!$B$44-B513)-((R483-1)*IF(Inputs!$B$39="pvp",15,MAX(0.1,Skills!D9-IF(Skills!E9=TRUE,Inputs!$B$33,0))))))/Skills!G9,1)))/Inputs!$B$44),G483*Q483))*IF(Inputs!$B$39="pvp",1,(1+(Inputs!$B$22+Skills!P9+B505)/100)*(MIN(Skills!Q9,Inputs!$B$38))),0)</f>
        <v/>
      </c>
    </row>
    <row r="484">
      <c r="A484">
        <f>Skills!A10</f>
        <v/>
      </c>
      <c r="B484">
        <f>Skills!B10</f>
        <v/>
      </c>
      <c r="C484">
        <f>Inputs!$B$3&gt;=66</f>
        <v/>
      </c>
      <c r="D484">
        <f>IF(Skills!C10=1,60+Inputs!$B$26+Inputs!$B$30,IF(Skills!C10=2,90+Inputs!$B$27+Inputs!$B$30,IF(Skills!C10=3,120+Inputs!$B$28+Inputs!$B$30,MAX(0,(Inputs!$B$3-100)*3)+Inputs!$B$29+Inputs!$B$30)))</f>
        <v/>
      </c>
      <c r="E484">
        <f>INDEX(FactorTable!$B$2:$Y$301, MATCH(ROUND(MIN(300,MAX(1,D484)),0), FactorTable!$A$2:$A$301,0), Skills!L10+1)</f>
        <v/>
      </c>
      <c r="F484" t="n">
        <v>0</v>
      </c>
      <c r="G484">
        <f>Calc!G10</f>
        <v/>
      </c>
      <c r="H484">
        <f>Calc!H10</f>
        <v/>
      </c>
      <c r="I484">
        <f>IF(Skills!T10&lt;&gt;"",1+(Skills!T10/10)*($Z$3/1000)/100,1)</f>
        <v/>
      </c>
      <c r="J484" t="inlineStr"/>
      <c r="K484" t="inlineStr"/>
      <c r="L484" t="inlineStr"/>
      <c r="M484" t="inlineStr"/>
      <c r="N484" t="inlineStr"/>
      <c r="O484">
        <f>(1-Summary!$B$48)*S484+Summary!$B$48*U484</f>
        <v/>
      </c>
      <c r="P484">
        <f>IF(B516=0,0,O484/B516)</f>
        <v/>
      </c>
      <c r="Q484">
        <f>IFERROR(1/IF(Inputs!$B$39="pvp",15,MAX(0.1,Skills!D10-IF(Skills!E10=TRUE,Inputs!$B$33,0))),0)</f>
        <v/>
      </c>
      <c r="R484">
        <f>IF(AND(Inputs!$B$39&lt;&gt;"pvp",Inputs!$B$44&gt;0),IF(MAX(0,Inputs!$B$44-B513)&lt;=0,0,(INT(MAX(0,Inputs!$B$44-B513)/IF(Inputs!$B$39="pvp",15,MAX(0.1,Skills!D10-IF(Skills!E10=TRUE,Inputs!$B$33,0))))+1)),0)</f>
        <v/>
      </c>
      <c r="S484" t="n">
        <v>0</v>
      </c>
      <c r="U484" t="n">
        <v>0</v>
      </c>
    </row>
    <row r="485">
      <c r="A485">
        <f>Skills!A11</f>
        <v/>
      </c>
      <c r="B485">
        <f>Skills!B11</f>
        <v/>
      </c>
      <c r="C485">
        <f>Inputs!$B$3&gt;=69</f>
        <v/>
      </c>
      <c r="D485">
        <f>IF(Skills!C11=1,60+Inputs!$B$26+Inputs!$B$30,IF(Skills!C11=2,90+Inputs!$B$27+Inputs!$B$30,IF(Skills!C11=3,120+Inputs!$B$28+Inputs!$B$30,MAX(0,(Inputs!$B$3-100)*3)+Inputs!$B$29+Inputs!$B$30)))</f>
        <v/>
      </c>
      <c r="E485">
        <f>INDEX(FactorTable!$B$2:$Y$301, MATCH(ROUND(MIN(300,MAX(1,D485)),0), FactorTable!$A$2:$A$301,0), Skills!L11+1)</f>
        <v/>
      </c>
      <c r="F485">
        <f>IF(Skills!M11=TRUE,(Skills!K11/10)*(E485/1000),Skills!K11/10)+Skills!N11</f>
        <v/>
      </c>
      <c r="G485">
        <f>Calc!G11</f>
        <v/>
      </c>
      <c r="H485">
        <f>Calc!H11</f>
        <v/>
      </c>
      <c r="I485">
        <f>IF(Skills!T11&lt;&gt;"",1+(Skills!T11/10)*($Z$3/1000)/100,1)</f>
        <v/>
      </c>
      <c r="J485" t="inlineStr"/>
      <c r="K485" t="inlineStr"/>
      <c r="L485" t="inlineStr"/>
      <c r="M485" t="inlineStr"/>
      <c r="N485" t="inlineStr"/>
      <c r="O485">
        <f>(1-Summary!$B$48)*S485+Summary!$B$48*U485</f>
        <v/>
      </c>
      <c r="P485">
        <f>IF(B516=0,0,O485/B516)</f>
        <v/>
      </c>
      <c r="Q485">
        <f>IFERROR(1/IF(Inputs!$B$39="pvp",15,MAX(0.1,Skills!D11-IF(Skills!E11=TRUE,Inputs!$B$33,0))),0)</f>
        <v/>
      </c>
      <c r="R485">
        <f>IF(AND(Inputs!$B$39&lt;&gt;"pvp",Inputs!$B$44&gt;0),IF(Inputs!$B$44&lt;=0,0,(INT(Inputs!$B$44/IF(Inputs!$B$39="pvp",15,MAX(0.1,Skills!D11-IF(Skills!E11=TRUE,Inputs!$B$33,0))))+1)),0)</f>
        <v/>
      </c>
      <c r="S485" t="n">
        <v>0</v>
      </c>
      <c r="U485" t="n">
        <v>0</v>
      </c>
    </row>
    <row r="486">
      <c r="A486">
        <f>Skills!A12</f>
        <v/>
      </c>
      <c r="B486">
        <f>Skills!B12</f>
        <v/>
      </c>
      <c r="C486">
        <f>Inputs!$B$3&gt;=72</f>
        <v/>
      </c>
      <c r="D486">
        <f>IF(Skills!C12=1,60+Inputs!$B$26+Inputs!$B$30,IF(Skills!C12=2,90+Inputs!$B$27+Inputs!$B$30,IF(Skills!C12=3,120+Inputs!$B$28+Inputs!$B$30,MAX(0,(Inputs!$B$3-100)*3)+Inputs!$B$29+Inputs!$B$30)))</f>
        <v/>
      </c>
      <c r="E486">
        <f>INDEX(FactorTable!$B$2:$Y$301, MATCH(ROUND(MIN(300,MAX(1,D486)),0), FactorTable!$A$2:$A$301,0), Skills!L12+1)</f>
        <v/>
      </c>
      <c r="F486">
        <f>IF(Skills!M12=TRUE,(Skills!K12/10)*(E486/1000),Skills!K12/10)+Skills!N12</f>
        <v/>
      </c>
      <c r="G486">
        <f>Calc!G12</f>
        <v/>
      </c>
      <c r="H486">
        <f>Calc!H12</f>
        <v/>
      </c>
      <c r="I486">
        <f>IF(Skills!T12&lt;&gt;"",1+(Skills!T12/10)*($Z$3/1000)/100,1)</f>
        <v/>
      </c>
      <c r="J486" t="inlineStr"/>
      <c r="K486" t="inlineStr"/>
      <c r="L486" t="inlineStr"/>
      <c r="M486" t="inlineStr"/>
      <c r="N486" t="inlineStr"/>
      <c r="O486">
        <f>(1-Summary!$B$48)*S486+Summary!$B$48*U486</f>
        <v/>
      </c>
      <c r="P486">
        <f>IF(B516=0,0,O486/B516)</f>
        <v/>
      </c>
      <c r="Q486">
        <f>IFERROR(1/IF(Inputs!$B$39="pvp",15,MAX(0.1,Skills!D12-IF(Skills!E12=TRUE,Inputs!$B$33,0))),0)</f>
        <v/>
      </c>
      <c r="R486">
        <f>IF(AND(Inputs!$B$39&lt;&gt;"pvp",Inputs!$B$44&gt;0),IF(MAX(0,Inputs!$B$44-B513)&lt;=0,0,(INT(MAX(0,Inputs!$B$44-B513)/IF(Inputs!$B$39="pvp",15,MAX(0.1,Skills!D12-IF(Skills!E12=TRUE,Inputs!$B$33,0))))+1)),0)</f>
        <v/>
      </c>
      <c r="S486" t="n">
        <v>0</v>
      </c>
      <c r="U486" t="n">
        <v>0</v>
      </c>
    </row>
    <row r="487">
      <c r="A487">
        <f>Skills!A13</f>
        <v/>
      </c>
      <c r="B487">
        <f>Skills!B13</f>
        <v/>
      </c>
      <c r="C487">
        <f>Inputs!$B$3&gt;=60</f>
        <v/>
      </c>
      <c r="D487">
        <f>IF(Skills!C13=1,60+Inputs!$B$26+Inputs!$B$30,IF(Skills!C13=2,90+Inputs!$B$27+Inputs!$B$30,IF(Skills!C13=3,120+Inputs!$B$28+Inputs!$B$30,MAX(0,(Inputs!$B$3-100)*3)+Inputs!$B$29+Inputs!$B$30)))</f>
        <v/>
      </c>
      <c r="E487">
        <f>INDEX(FactorTable!$B$2:$Y$301, MATCH(ROUND(MIN(300,MAX(1,D487)),0), FactorTable!$A$2:$A$301,0), Skills!L13+1)</f>
        <v/>
      </c>
      <c r="F487">
        <f>IF(Skills!M13=TRUE,(Skills!K13/10)*(E487/1000),Skills!K13/10)+Skills!N13</f>
        <v/>
      </c>
      <c r="G487">
        <f>Calc!G13</f>
        <v/>
      </c>
      <c r="H487">
        <f>Calc!H13</f>
        <v/>
      </c>
      <c r="I487">
        <f>IF(Skills!T13&lt;&gt;"",1+(Skills!T13/10)*($Z$3/1000)/100,1)</f>
        <v/>
      </c>
      <c r="J487" t="inlineStr"/>
      <c r="K487" t="inlineStr"/>
      <c r="L487" t="inlineStr"/>
      <c r="M487" t="inlineStr"/>
      <c r="N487" t="inlineStr"/>
      <c r="O487">
        <f>(1-Summary!$B$48)*S487+Summary!$B$48*U487</f>
        <v/>
      </c>
      <c r="P487">
        <f>IF(B516=0,0,O487/B516)</f>
        <v/>
      </c>
      <c r="Q487">
        <f>IFERROR(1/IF(Inputs!$B$39="pvp",15,MAX(0.1,Skills!D13-IF(Skills!E13=TRUE,Inputs!$B$33,0))),0)</f>
        <v/>
      </c>
      <c r="R487">
        <f>IF(AND(Inputs!$B$39&lt;&gt;"pvp",Inputs!$B$44&gt;0),IF(MAX(0,Inputs!$B$44-B513)&lt;=0,0,(INT(MAX(0,Inputs!$B$44-B513)/IF(Inputs!$B$39="pvp",15,MAX(0.1,Skills!D13-IF(Skills!E13=TRUE,Inputs!$B$33,0))))+1)),0)</f>
        <v/>
      </c>
      <c r="S487" t="n">
        <v>0</v>
      </c>
      <c r="U487" t="n">
        <v>0</v>
      </c>
    </row>
    <row r="488">
      <c r="A488">
        <f>Skills!A14</f>
        <v/>
      </c>
      <c r="B488">
        <f>Skills!B14</f>
        <v/>
      </c>
      <c r="C488">
        <f>Inputs!$B$3&gt;=107</f>
        <v/>
      </c>
      <c r="D488">
        <f>IF(Skills!C14=1,60+Inputs!$B$26+Inputs!$B$30,IF(Skills!C14=2,90+Inputs!$B$27+Inputs!$B$30,IF(Skills!C14=3,120+Inputs!$B$28+Inputs!$B$30,MAX(0,(Inputs!$B$3-100)*3)+Inputs!$B$29+Inputs!$B$30)))</f>
        <v/>
      </c>
      <c r="E488">
        <f>INDEX(FactorTable!$B$2:$Y$301, MATCH(ROUND(MIN(300,MAX(1,D488)),0), FactorTable!$A$2:$A$301,0), Skills!L14+1)</f>
        <v/>
      </c>
      <c r="F488">
        <f>IF(Skills!M14=TRUE,(Skills!K14/10)*(E488/1000),Skills!K14/10)+Skills!N14</f>
        <v/>
      </c>
      <c r="G488">
        <f>Calc!G14</f>
        <v/>
      </c>
      <c r="H488">
        <f>Calc!H14</f>
        <v/>
      </c>
      <c r="I488">
        <f>IF(Skills!T14&lt;&gt;"",1+(Skills!T14/10)*($Z$3/1000)/100,1)</f>
        <v/>
      </c>
      <c r="J488" t="inlineStr"/>
      <c r="K488" t="inlineStr"/>
      <c r="L488" t="inlineStr"/>
      <c r="M488" t="inlineStr"/>
      <c r="N488" t="inlineStr"/>
      <c r="O488">
        <f>(1-Summary!$B$48)*S488+Summary!$B$48*U488</f>
        <v/>
      </c>
      <c r="P488">
        <f>IF(B516=0,0,O488/B516)</f>
        <v/>
      </c>
      <c r="Q488">
        <f>IFERROR(1/IF(Inputs!$B$39="pvp",15,MAX(0.1,Skills!D14-IF(Skills!E14=TRUE,Inputs!$B$33,0))),0)</f>
        <v/>
      </c>
      <c r="R488">
        <f>IF(AND(Inputs!$B$39&lt;&gt;"pvp",Inputs!$B$44&gt;0),IF(Inputs!$B$44&lt;=0,0,(INT(Inputs!$B$44/IF(Inputs!$B$39="pvp",15,MAX(0.1,Skills!D14-IF(Skills!E14=TRUE,Inputs!$B$33,0))))+1)),0)</f>
        <v/>
      </c>
      <c r="S488" t="n">
        <v>0</v>
      </c>
      <c r="U488" t="n">
        <v>0</v>
      </c>
    </row>
    <row r="489">
      <c r="A489">
        <f>Skills!A15</f>
        <v/>
      </c>
      <c r="B489">
        <f>Skills!B15</f>
        <v/>
      </c>
      <c r="C489">
        <f>Inputs!$B$3&gt;=63</f>
        <v/>
      </c>
      <c r="D489">
        <f>IF(Skills!C15=1,60+Inputs!$B$26+Inputs!$B$30,IF(Skills!C15=2,90+Inputs!$B$27+Inputs!$B$30,IF(Skills!C15=3,120+Inputs!$B$28+Inputs!$B$30,MAX(0,(Inputs!$B$3-100)*3)+Inputs!$B$29+Inputs!$B$30)))</f>
        <v/>
      </c>
      <c r="E489">
        <f>INDEX(FactorTable!$B$2:$Y$301, MATCH(ROUND(MIN(300,MAX(1,D489)),0), FactorTable!$A$2:$A$301,0), Skills!L15+1)</f>
        <v/>
      </c>
      <c r="F489">
        <f>IF(Skills!M15=TRUE,(Skills!K15/10)*(E489/1000),Skills!K15/10)+Skills!N15</f>
        <v/>
      </c>
      <c r="G489">
        <f>Calc!G15</f>
        <v/>
      </c>
      <c r="H489">
        <f>Calc!H15</f>
        <v/>
      </c>
      <c r="I489">
        <f>IF(Skills!T15&lt;&gt;"",1+(Skills!T15/10)*($Z$3/1000)/100,1)</f>
        <v/>
      </c>
      <c r="J489">
        <f>((Inputs!$B$6*(1+Inputs!$B$7/100))+(((Inputs!$B$13*(1+Inputs!$B$14/100))-(Inputs!$B$13*(1+Inputs!$B$14/100)))+0.25*(Inputs!$B$15-Inputs!$B$15))*(1+Inputs!$B$7/100))*(F489/100)</f>
        <v/>
      </c>
      <c r="K489">
        <f>J489*(1+(((Inputs!$B$13+IF(Inputs!$B$3&gt;=35,(10*INDEX(FactorTable!$B$2:$Y$301, MATCH(ROUND(MIN(300,MAX(1,Inputs!$B$3)),0), FactorTable!$A$2:$A$301,0), 23)/1000)/100*(Inputs!$B$8*(1+(Inputs!$B$9+B512)/100)),0))*(1+Inputs!$B$14/100))*0.01+Inputs!$B$15*0.0025)/100)*(1+(Inputs!$B$16+B506)/100)*(1+Inputs!$B$17/100)*(5000/(6000+Inputs!$B$43*(1-Inputs!$B$20/100)))*(1+Inputs!$B$25/100)*(1+IF(C492=TRUE,F492,0)/100)*(1+IF(C494=TRUE,F494,0)/100)*(1+IF(Skills!A15="TRIUMPH_FEATHER",IF(C490=TRUE,F490,0),0)/100)*(1+IF(C501=TRUE,F501,0)/100)^5*(1+(IF(Skills!A15="BIG_BANG",Inputs!$B$18,Inputs!$B$19))/100)*(B503*I489)</f>
        <v/>
      </c>
      <c r="L489">
        <f>K489*(MIN(Inputs!$B$23+(F496-Calc!F22),(Inputs!$B$24+1))/100+(Inputs!$B$24+1)/100)/2</f>
        <v/>
      </c>
      <c r="M489">
        <f>L489*(1+(Inputs!$B$11+B507+(F499-Calc!F25))/100)</f>
        <v/>
      </c>
      <c r="N489">
        <f>L489*(1-MIN(Inputs!$B$10+((F498-Calc!F24)+(F497-Calc!F23)),100)/100)+M489*(MIN(Inputs!$B$10+((F498-Calc!F24)+(F497-Calc!F23)),100)/100)</f>
        <v/>
      </c>
      <c r="O489">
        <f>(1-Summary!$B$48)*S489+Summary!$B$48*U489</f>
        <v/>
      </c>
      <c r="P489">
        <f>IF(B516=0,0,O489/B516)</f>
        <v/>
      </c>
      <c r="Q489">
        <f>IFERROR(1/IF(Inputs!$B$39="pvp",15,MAX(0.1,Skills!D15-IF(Skills!E15=TRUE,Inputs!$B$33,0))),0)</f>
        <v/>
      </c>
      <c r="R489" t="n">
        <v>0</v>
      </c>
      <c r="S489">
        <f>IF(C489,(Skills!F15*N489*((IF(Inputs!$B$3&gt;=78,25,15)/100*B509*10)/(1+IF(Inputs!$B$3&gt;=78,25,15)/100*B509*10))*(Skills!I15/100*B509)/(1+Skills!G15*Skills!I15/100*B509))*IF(Inputs!$B$39="pvp",1,1+(Inputs!$B$21+Skills!O15+B504)/100),0)</f>
        <v/>
      </c>
      <c r="U489">
        <f>IF(C489,(Skills!F15*N489*((IF(Inputs!$B$3&gt;=78,25,15)/100*B509*10)/(1+IF(Inputs!$B$3&gt;=78,25,15)/100*B509*10))*(Skills!I15/100*B509)/(1+Skills!G15*Skills!I15/100*B509))*IF(Inputs!$B$39="pvp",1,(1+(Inputs!$B$22+Skills!P15+B505)/100)*(MIN(Skills!Q15,Inputs!$B$38))),0)</f>
        <v/>
      </c>
    </row>
    <row r="490">
      <c r="A490">
        <f>Skills!A16</f>
        <v/>
      </c>
      <c r="B490">
        <f>Skills!B16</f>
        <v/>
      </c>
      <c r="C490">
        <f>Inputs!$B$3&gt;=100</f>
        <v/>
      </c>
      <c r="D490">
        <f>IF(Skills!C16=1,60+Inputs!$B$26+Inputs!$B$30,IF(Skills!C16=2,90+Inputs!$B$27+Inputs!$B$30,IF(Skills!C16=3,120+Inputs!$B$28+Inputs!$B$30,MAX(0,(Inputs!$B$3-100)*3)+Inputs!$B$29+Inputs!$B$30)))</f>
        <v/>
      </c>
      <c r="E490">
        <f>INDEX(FactorTable!$B$2:$Y$301, MATCH(ROUND(MIN(300,MAX(1,D490)),0), FactorTable!$A$2:$A$301,0), Skills!L16+1)</f>
        <v/>
      </c>
      <c r="F490">
        <f>IF(Skills!M16=TRUE,(Skills!K16/10)*(E490/1000),Skills!K16/10)+Skills!N16</f>
        <v/>
      </c>
      <c r="G490">
        <f>Calc!G16</f>
        <v/>
      </c>
      <c r="H490">
        <f>Calc!H16</f>
        <v/>
      </c>
      <c r="I490">
        <f>IF(Skills!T16&lt;&gt;"",1+(Skills!T16/10)*($Z$3/1000)/100,1)</f>
        <v/>
      </c>
      <c r="J490" t="inlineStr"/>
      <c r="K490" t="inlineStr"/>
      <c r="L490" t="inlineStr"/>
      <c r="M490" t="inlineStr"/>
      <c r="N490" t="inlineStr"/>
      <c r="O490">
        <f>(1-Summary!$B$48)*S490+Summary!$B$48*U490</f>
        <v/>
      </c>
      <c r="P490">
        <f>IF(B516=0,0,O490/B516)</f>
        <v/>
      </c>
      <c r="Q490">
        <f>IFERROR(1/IF(Inputs!$B$39="pvp",15,MAX(0.1,Skills!D16-IF(Skills!E16=TRUE,Inputs!$B$33,0))),0)</f>
        <v/>
      </c>
      <c r="R490" t="n">
        <v>0</v>
      </c>
      <c r="S490" t="n">
        <v>0</v>
      </c>
      <c r="U490" t="n">
        <v>0</v>
      </c>
    </row>
    <row r="491">
      <c r="A491">
        <f>Skills!A17</f>
        <v/>
      </c>
      <c r="B491">
        <f>Skills!B17</f>
        <v/>
      </c>
      <c r="C491">
        <f>Inputs!$B$3&gt;=49</f>
        <v/>
      </c>
      <c r="D491">
        <f>IF(Skills!C17=1,60+Inputs!$B$26+Inputs!$B$30,IF(Skills!C17=2,90+Inputs!$B$27+Inputs!$B$30,IF(Skills!C17=3,120+Inputs!$B$28+Inputs!$B$30,MAX(0,(Inputs!$B$3-100)*3)+Inputs!$B$29+Inputs!$B$30)))</f>
        <v/>
      </c>
      <c r="E491">
        <f>INDEX(FactorTable!$B$2:$Y$301, MATCH(ROUND(MIN(300,MAX(1,D491)),0), FactorTable!$A$2:$A$301,0), Skills!L17+1)</f>
        <v/>
      </c>
      <c r="F491">
        <f>IF(Skills!M17=TRUE,(Skills!K17/10)*(E491/1000),Skills!K17/10)+Skills!N17</f>
        <v/>
      </c>
      <c r="G491">
        <f>Calc!G17</f>
        <v/>
      </c>
      <c r="H491">
        <f>Calc!H17</f>
        <v/>
      </c>
      <c r="I491">
        <f>IF(Skills!T17&lt;&gt;"",1+(Skills!T17/10)*($Z$3/1000)/100,1)</f>
        <v/>
      </c>
      <c r="J491" t="inlineStr"/>
      <c r="K491" t="inlineStr"/>
      <c r="L491" t="inlineStr"/>
      <c r="M491" t="inlineStr"/>
      <c r="N491" t="inlineStr"/>
      <c r="O491">
        <f>(1-Summary!$B$48)*S491+Summary!$B$48*U491</f>
        <v/>
      </c>
      <c r="P491">
        <f>IF(B516=0,0,O491/B516)</f>
        <v/>
      </c>
      <c r="Q491">
        <f>IFERROR(1/IF(Inputs!$B$39="pvp",15,MAX(0.1,Skills!D17-IF(Skills!E17=TRUE,Inputs!$B$33,0))),0)</f>
        <v/>
      </c>
      <c r="R491" t="n">
        <v>0</v>
      </c>
      <c r="S491" t="n">
        <v>0</v>
      </c>
      <c r="U491" t="n">
        <v>0</v>
      </c>
    </row>
    <row r="492">
      <c r="A492">
        <f>Skills!A18</f>
        <v/>
      </c>
      <c r="B492">
        <f>Skills!B18</f>
        <v/>
      </c>
      <c r="C492">
        <f>Inputs!$B$3&gt;=75</f>
        <v/>
      </c>
      <c r="D492">
        <f>IF(Skills!C18=1,60+Inputs!$B$26+Inputs!$B$30,IF(Skills!C18=2,90+Inputs!$B$27+Inputs!$B$30,IF(Skills!C18=3,120+Inputs!$B$28+Inputs!$B$30,MAX(0,(Inputs!$B$3-100)*3)+Inputs!$B$29+Inputs!$B$30)))</f>
        <v/>
      </c>
      <c r="E492">
        <f>INDEX(FactorTable!$B$2:$Y$301, MATCH(ROUND(MIN(300,MAX(1,D492)),0), FactorTable!$A$2:$A$301,0), Skills!L18+1)</f>
        <v/>
      </c>
      <c r="F492">
        <f>IF(Skills!M18=TRUE,(Skills!K18/10)*(E492/1000),Skills!K18/10)+Skills!N18</f>
        <v/>
      </c>
      <c r="G492">
        <f>Calc!G18</f>
        <v/>
      </c>
      <c r="H492">
        <f>Calc!H18</f>
        <v/>
      </c>
      <c r="I492">
        <f>IF(Skills!T18&lt;&gt;"",1+(Skills!T18/10)*($Z$3/1000)/100,1)</f>
        <v/>
      </c>
      <c r="J492" t="inlineStr"/>
      <c r="K492" t="inlineStr"/>
      <c r="L492" t="inlineStr"/>
      <c r="M492" t="inlineStr"/>
      <c r="N492" t="inlineStr"/>
      <c r="O492">
        <f>(1-Summary!$B$48)*S492+Summary!$B$48*U492</f>
        <v/>
      </c>
      <c r="P492">
        <f>IF(B516=0,0,O492/B516)</f>
        <v/>
      </c>
      <c r="Q492">
        <f>IFERROR(1/IF(Inputs!$B$39="pvp",15,MAX(0.1,Skills!D18-IF(Skills!E18=TRUE,Inputs!$B$33,0))),0)</f>
        <v/>
      </c>
      <c r="R492" t="n">
        <v>0</v>
      </c>
      <c r="S492" t="n">
        <v>0</v>
      </c>
      <c r="U492" t="n">
        <v>0</v>
      </c>
    </row>
    <row r="493">
      <c r="A493">
        <f>Skills!A19</f>
        <v/>
      </c>
      <c r="B493">
        <f>Skills!B19</f>
        <v/>
      </c>
      <c r="C493">
        <f>Inputs!$B$3&gt;=110</f>
        <v/>
      </c>
      <c r="D493">
        <f>IF(Skills!C19=1,60+Inputs!$B$26+Inputs!$B$30,IF(Skills!C19=2,90+Inputs!$B$27+Inputs!$B$30,IF(Skills!C19=3,120+Inputs!$B$28+Inputs!$B$30,MAX(0,(Inputs!$B$3-100)*3)+Inputs!$B$29+Inputs!$B$30)))</f>
        <v/>
      </c>
      <c r="E493">
        <f>INDEX(FactorTable!$B$2:$Y$301, MATCH(ROUND(MIN(300,MAX(1,D493)),0), FactorTable!$A$2:$A$301,0), Skills!L19+1)</f>
        <v/>
      </c>
      <c r="F493">
        <f>(Skills!K19/10)*(E493/1000)*64/45+Skills!N19</f>
        <v/>
      </c>
      <c r="G493">
        <f>Calc!G19</f>
        <v/>
      </c>
      <c r="H493">
        <f>Calc!H19</f>
        <v/>
      </c>
      <c r="I493">
        <f>IF(Skills!T19&lt;&gt;"",1+(Skills!T19/10)*($Z$3/1000)/100,1)</f>
        <v/>
      </c>
      <c r="J493" t="inlineStr"/>
      <c r="K493" t="inlineStr"/>
      <c r="L493" t="inlineStr"/>
      <c r="M493" t="inlineStr"/>
      <c r="N493" t="inlineStr"/>
      <c r="O493">
        <f>(1-Summary!$B$48)*S493+Summary!$B$48*U493</f>
        <v/>
      </c>
      <c r="P493">
        <f>IF(B516=0,0,O493/B516)</f>
        <v/>
      </c>
      <c r="Q493">
        <f>IFERROR(1/IF(Inputs!$B$39="pvp",15,MAX(0.1,Skills!D19-IF(Skills!E19=TRUE,Inputs!$B$33,0))),0)</f>
        <v/>
      </c>
      <c r="R493">
        <f>IF(AND(Inputs!$B$39&lt;&gt;"pvp",Inputs!$B$44&gt;0),IF(Inputs!$B$44&lt;=0,0,(INT(Inputs!$B$44/IF(Inputs!$B$39="pvp",15,MAX(0.1,Skills!D19-IF(Skills!E19=TRUE,Inputs!$B$33,0))))+1)),0)</f>
        <v/>
      </c>
      <c r="S493" t="n">
        <v>0</v>
      </c>
      <c r="U493" t="n">
        <v>0</v>
      </c>
    </row>
    <row r="494">
      <c r="A494">
        <f>Skills!A20</f>
        <v/>
      </c>
      <c r="B494">
        <f>Skills!B20</f>
        <v/>
      </c>
      <c r="C494">
        <f>Inputs!$B$3&gt;=125</f>
        <v/>
      </c>
      <c r="D494">
        <f>IF(Skills!C20=1,60+Inputs!$B$26+Inputs!$B$30,IF(Skills!C20=2,90+Inputs!$B$27+Inputs!$B$30,IF(Skills!C20=3,120+Inputs!$B$28+Inputs!$B$30,MAX(0,(Inputs!$B$3-100)*3)+Inputs!$B$29+Inputs!$B$30)))</f>
        <v/>
      </c>
      <c r="E494">
        <f>INDEX(FactorTable!$B$2:$Y$301, MATCH(ROUND(MIN(300,MAX(1,D494)),0), FactorTable!$A$2:$A$301,0), Skills!L20+1)</f>
        <v/>
      </c>
      <c r="F494">
        <f>IF(Skills!M20=TRUE,(Skills!K20/10)*(E494/1000),Skills!K20/10)+Skills!N20</f>
        <v/>
      </c>
      <c r="G494">
        <f>Calc!G20</f>
        <v/>
      </c>
      <c r="H494">
        <f>Calc!H20</f>
        <v/>
      </c>
      <c r="I494">
        <f>IF(Skills!T20&lt;&gt;"",1+(Skills!T20/10)*($Z$3/1000)/100,1)</f>
        <v/>
      </c>
      <c r="J494" t="inlineStr"/>
      <c r="K494" t="inlineStr"/>
      <c r="L494" t="inlineStr"/>
      <c r="M494" t="inlineStr"/>
      <c r="N494" t="inlineStr"/>
      <c r="O494">
        <f>(1-Summary!$B$48)*S494+Summary!$B$48*U494</f>
        <v/>
      </c>
      <c r="P494">
        <f>IF(B516=0,0,O494/B516)</f>
        <v/>
      </c>
      <c r="Q494">
        <f>IFERROR(1/IF(Inputs!$B$39="pvp",15,MAX(0.1,Skills!D20-IF(Skills!E20=TRUE,Inputs!$B$33,0))),0)</f>
        <v/>
      </c>
      <c r="R494" t="n">
        <v>0</v>
      </c>
      <c r="S494" t="n">
        <v>0</v>
      </c>
      <c r="U494" t="n">
        <v>0</v>
      </c>
    </row>
    <row r="495">
      <c r="A495">
        <f>Skills!A21</f>
        <v/>
      </c>
      <c r="B495">
        <f>Skills!B21</f>
        <v/>
      </c>
      <c r="C495">
        <f>Inputs!$B$3&gt;=33</f>
        <v/>
      </c>
      <c r="D495">
        <f>IF(Skills!C21=1,60+Inputs!$B$26+Inputs!$B$30,IF(Skills!C21=2,90+Inputs!$B$27+Inputs!$B$30,IF(Skills!C21=3,120+Inputs!$B$28+Inputs!$B$30,MAX(0,(Inputs!$B$3-100)*3)+Inputs!$B$29+Inputs!$B$30)))</f>
        <v/>
      </c>
      <c r="E495">
        <f>INDEX(FactorTable!$B$2:$Y$301, MATCH(ROUND(MIN(300,MAX(1,D495)),0), FactorTable!$A$2:$A$301,0), Skills!L21+1)</f>
        <v/>
      </c>
      <c r="F495">
        <f>IF(Skills!M21=TRUE,(Skills!K21/10)*(E495/1000),Skills!K21/10)+Skills!N21</f>
        <v/>
      </c>
      <c r="G495">
        <f>Calc!G21</f>
        <v/>
      </c>
      <c r="H495">
        <f>Calc!H21</f>
        <v/>
      </c>
      <c r="I495">
        <f>IF(Skills!T21&lt;&gt;"",1+(Skills!T21/10)*($Z$3/1000)/100,1)</f>
        <v/>
      </c>
      <c r="J495" t="inlineStr"/>
      <c r="K495" t="inlineStr"/>
      <c r="L495" t="inlineStr"/>
      <c r="M495" t="inlineStr"/>
      <c r="N495" t="inlineStr"/>
      <c r="O495">
        <f>(1-Summary!$B$48)*S495+Summary!$B$48*U495</f>
        <v/>
      </c>
      <c r="P495">
        <f>IF(B516=0,0,O495/B516)</f>
        <v/>
      </c>
      <c r="Q495">
        <f>IFERROR(1/IF(Inputs!$B$39="pvp",15,MAX(0.1,Skills!D21-IF(Skills!E21=TRUE,Inputs!$B$33,0))),0)</f>
        <v/>
      </c>
      <c r="R495" t="n">
        <v>0</v>
      </c>
      <c r="S495" t="n">
        <v>0</v>
      </c>
      <c r="U495" t="n">
        <v>0</v>
      </c>
    </row>
    <row r="496">
      <c r="A496">
        <f>Skills!A22</f>
        <v/>
      </c>
      <c r="B496">
        <f>Skills!B22</f>
        <v/>
      </c>
      <c r="C496">
        <f>Inputs!$B$3&gt;=43</f>
        <v/>
      </c>
      <c r="D496">
        <f>IF(Skills!C22=1,60+Inputs!$B$26+Inputs!$B$30,IF(Skills!C22=2,90+Inputs!$B$27+Inputs!$B$30,IF(Skills!C22=3,120+Inputs!$B$28+Inputs!$B$30,MAX(0,(Inputs!$B$3-100)*3)+Inputs!$B$29+Inputs!$B$30)))</f>
        <v/>
      </c>
      <c r="E496">
        <f>INDEX(FactorTable!$B$2:$Y$301, MATCH(ROUND(MIN(300,MAX(1,D496)),0), FactorTable!$A$2:$A$301,0), Skills!L22+1)</f>
        <v/>
      </c>
      <c r="F496">
        <f>IF(Skills!M22=TRUE,(Skills!K22/10)*(E496/1000),Skills!K22/10)+Skills!N22</f>
        <v/>
      </c>
      <c r="G496">
        <f>Calc!G22</f>
        <v/>
      </c>
      <c r="H496">
        <f>Calc!H22</f>
        <v/>
      </c>
      <c r="I496">
        <f>IF(Skills!T22&lt;&gt;"",1+(Skills!T22/10)*($Z$3/1000)/100,1)</f>
        <v/>
      </c>
      <c r="J496" t="inlineStr"/>
      <c r="K496" t="inlineStr"/>
      <c r="L496" t="inlineStr"/>
      <c r="M496" t="inlineStr"/>
      <c r="N496" t="inlineStr"/>
      <c r="O496">
        <f>(1-Summary!$B$48)*S496+Summary!$B$48*U496</f>
        <v/>
      </c>
      <c r="P496">
        <f>IF(B516=0,0,O496/B516)</f>
        <v/>
      </c>
      <c r="Q496">
        <f>IFERROR(1/IF(Inputs!$B$39="pvp",15,MAX(0.1,Skills!D22-IF(Skills!E22=TRUE,Inputs!$B$33,0))),0)</f>
        <v/>
      </c>
      <c r="R496" t="n">
        <v>0</v>
      </c>
      <c r="S496" t="n">
        <v>0</v>
      </c>
      <c r="U496" t="n">
        <v>0</v>
      </c>
    </row>
    <row r="497">
      <c r="A497">
        <f>Skills!A23</f>
        <v/>
      </c>
      <c r="B497">
        <f>Skills!B23</f>
        <v/>
      </c>
      <c r="C497">
        <f>Inputs!$B$3&gt;=50</f>
        <v/>
      </c>
      <c r="D497">
        <f>IF(Skills!C23=1,60+Inputs!$B$26+Inputs!$B$30,IF(Skills!C23=2,90+Inputs!$B$27+Inputs!$B$30,IF(Skills!C23=3,120+Inputs!$B$28+Inputs!$B$30,MAX(0,(Inputs!$B$3-100)*3)+Inputs!$B$29+Inputs!$B$30)))</f>
        <v/>
      </c>
      <c r="E497">
        <f>INDEX(FactorTable!$B$2:$Y$301, MATCH(ROUND(MIN(300,MAX(1,D497)),0), FactorTable!$A$2:$A$301,0), Skills!L23+1)</f>
        <v/>
      </c>
      <c r="F497">
        <f>IF(Skills!M23=TRUE,(Skills!K23/10)*(E497/1000),Skills!K23/10)+Skills!N23</f>
        <v/>
      </c>
      <c r="G497">
        <f>Calc!G23</f>
        <v/>
      </c>
      <c r="H497">
        <f>Calc!H23</f>
        <v/>
      </c>
      <c r="I497">
        <f>IF(Skills!T23&lt;&gt;"",1+(Skills!T23/10)*($Z$3/1000)/100,1)</f>
        <v/>
      </c>
      <c r="J497" t="inlineStr"/>
      <c r="K497" t="inlineStr"/>
      <c r="L497" t="inlineStr"/>
      <c r="M497" t="inlineStr"/>
      <c r="N497" t="inlineStr"/>
      <c r="O497">
        <f>(1-Summary!$B$48)*S497+Summary!$B$48*U497</f>
        <v/>
      </c>
      <c r="P497">
        <f>IF(B516=0,0,O497/B516)</f>
        <v/>
      </c>
      <c r="Q497">
        <f>IFERROR(1/IF(Inputs!$B$39="pvp",15,MAX(0.1,Skills!D23-IF(Skills!E23=TRUE,Inputs!$B$33,0))),0)</f>
        <v/>
      </c>
      <c r="R497" t="n">
        <v>0</v>
      </c>
      <c r="S497" t="n">
        <v>0</v>
      </c>
      <c r="U497" t="n">
        <v>0</v>
      </c>
    </row>
    <row r="498">
      <c r="A498">
        <f>Skills!A24</f>
        <v/>
      </c>
      <c r="B498">
        <f>Skills!B24</f>
        <v/>
      </c>
      <c r="C498">
        <f>Inputs!$B$3&gt;=74</f>
        <v/>
      </c>
      <c r="D498">
        <f>IF(Skills!C24=1,60+Inputs!$B$26+Inputs!$B$30,IF(Skills!C24=2,90+Inputs!$B$27+Inputs!$B$30,IF(Skills!C24=3,120+Inputs!$B$28+Inputs!$B$30,MAX(0,(Inputs!$B$3-100)*3)+Inputs!$B$29+Inputs!$B$30)))</f>
        <v/>
      </c>
      <c r="E498">
        <f>INDEX(FactorTable!$B$2:$Y$301, MATCH(ROUND(MIN(300,MAX(1,D498)),0), FactorTable!$A$2:$A$301,0), Skills!L24+1)</f>
        <v/>
      </c>
      <c r="F498">
        <f>IF(Skills!M24=TRUE,(Skills!K24/10)*(E498/1000),Skills!K24/10)+Skills!N24</f>
        <v/>
      </c>
      <c r="G498">
        <f>Calc!G24</f>
        <v/>
      </c>
      <c r="H498">
        <f>Calc!H24</f>
        <v/>
      </c>
      <c r="I498">
        <f>IF(Skills!T24&lt;&gt;"",1+(Skills!T24/10)*($Z$3/1000)/100,1)</f>
        <v/>
      </c>
      <c r="J498" t="inlineStr"/>
      <c r="K498" t="inlineStr"/>
      <c r="L498" t="inlineStr"/>
      <c r="M498" t="inlineStr"/>
      <c r="N498" t="inlineStr"/>
      <c r="O498">
        <f>(1-Summary!$B$48)*S498+Summary!$B$48*U498</f>
        <v/>
      </c>
      <c r="P498">
        <f>IF(B516=0,0,O498/B516)</f>
        <v/>
      </c>
      <c r="Q498">
        <f>IFERROR(1/IF(Inputs!$B$39="pvp",15,MAX(0.1,Skills!D24-IF(Skills!E24=TRUE,Inputs!$B$33,0))),0)</f>
        <v/>
      </c>
      <c r="R498" t="n">
        <v>0</v>
      </c>
      <c r="S498" t="n">
        <v>0</v>
      </c>
      <c r="U498" t="n">
        <v>0</v>
      </c>
    </row>
    <row r="499">
      <c r="A499">
        <f>Skills!A25</f>
        <v/>
      </c>
      <c r="B499">
        <f>Skills!B25</f>
        <v/>
      </c>
      <c r="C499">
        <f>Inputs!$B$3&gt;=74</f>
        <v/>
      </c>
      <c r="D499">
        <f>IF(Skills!C25=1,60+Inputs!$B$26+Inputs!$B$30,IF(Skills!C25=2,90+Inputs!$B$27+Inputs!$B$30,IF(Skills!C25=3,120+Inputs!$B$28+Inputs!$B$30,MAX(0,(Inputs!$B$3-100)*3)+Inputs!$B$29+Inputs!$B$30)))</f>
        <v/>
      </c>
      <c r="E499">
        <f>INDEX(FactorTable!$B$2:$Y$301, MATCH(ROUND(MIN(300,MAX(1,D499)),0), FactorTable!$A$2:$A$301,0), Skills!L25+1)</f>
        <v/>
      </c>
      <c r="F499">
        <f>IF(Skills!M25=TRUE,(Skills!K25/10)*(E499/1000),Skills!K25/10)+Skills!N25</f>
        <v/>
      </c>
      <c r="G499">
        <f>Calc!G25</f>
        <v/>
      </c>
      <c r="H499">
        <f>Calc!H25</f>
        <v/>
      </c>
      <c r="I499">
        <f>IF(Skills!T25&lt;&gt;"",1+(Skills!T25/10)*($Z$3/1000)/100,1)</f>
        <v/>
      </c>
      <c r="J499" t="inlineStr"/>
      <c r="K499" t="inlineStr"/>
      <c r="L499" t="inlineStr"/>
      <c r="M499" t="inlineStr"/>
      <c r="N499" t="inlineStr"/>
      <c r="O499">
        <f>(1-Summary!$B$48)*S499+Summary!$B$48*U499</f>
        <v/>
      </c>
      <c r="P499">
        <f>IF(B516=0,0,O499/B516)</f>
        <v/>
      </c>
      <c r="Q499">
        <f>IFERROR(1/IF(Inputs!$B$39="pvp",15,MAX(0.1,Skills!D25-IF(Skills!E25=TRUE,Inputs!$B$33,0))),0)</f>
        <v/>
      </c>
      <c r="R499" t="n">
        <v>0</v>
      </c>
      <c r="S499" t="n">
        <v>0</v>
      </c>
      <c r="U499" t="n">
        <v>0</v>
      </c>
    </row>
    <row r="500">
      <c r="A500">
        <f>Skills!A26</f>
        <v/>
      </c>
      <c r="B500">
        <f>Skills!B26</f>
        <v/>
      </c>
      <c r="C500">
        <f>Inputs!$B$3&gt;=117</f>
        <v/>
      </c>
      <c r="D500">
        <f>IF(Skills!C26=1,60+Inputs!$B$26+Inputs!$B$30,IF(Skills!C26=2,90+Inputs!$B$27+Inputs!$B$30,IF(Skills!C26=3,120+Inputs!$B$28+Inputs!$B$30,MAX(0,(Inputs!$B$3-100)*3)+Inputs!$B$29+Inputs!$B$30)))</f>
        <v/>
      </c>
      <c r="E500">
        <f>INDEX(FactorTable!$B$2:$Y$301, MATCH(ROUND(MIN(300,MAX(1,D500)),0), FactorTable!$A$2:$A$301,0), Skills!L26+1)</f>
        <v/>
      </c>
      <c r="F500">
        <f>IF(Skills!M26=TRUE,(Skills!K26/10)*(E500/1000),Skills!K26/10)+Skills!N26</f>
        <v/>
      </c>
      <c r="G500">
        <f>Calc!G26</f>
        <v/>
      </c>
      <c r="H500">
        <f>Calc!H26</f>
        <v/>
      </c>
      <c r="I500">
        <f>IF(Skills!T26&lt;&gt;"",1+(Skills!T26/10)*($Z$3/1000)/100,1)</f>
        <v/>
      </c>
      <c r="J500" t="inlineStr"/>
      <c r="K500" t="inlineStr"/>
      <c r="L500" t="inlineStr"/>
      <c r="M500" t="inlineStr"/>
      <c r="N500" t="inlineStr"/>
      <c r="O500">
        <f>(1-Summary!$B$48)*S500+Summary!$B$48*U500</f>
        <v/>
      </c>
      <c r="P500">
        <f>IF(B516=0,0,O500/B516)</f>
        <v/>
      </c>
      <c r="Q500">
        <f>IFERROR(1/IF(Inputs!$B$39="pvp",15,MAX(0.1,Skills!D26-IF(Skills!E26=TRUE,Inputs!$B$33,0))),0)</f>
        <v/>
      </c>
      <c r="R500" t="n">
        <v>0</v>
      </c>
      <c r="S500" t="n">
        <v>0</v>
      </c>
      <c r="U500" t="n">
        <v>0</v>
      </c>
    </row>
    <row r="501">
      <c r="A501">
        <f>Skills!A27</f>
        <v/>
      </c>
      <c r="B501">
        <f>Skills!B27</f>
        <v/>
      </c>
      <c r="C501">
        <f>Inputs!$B$3&gt;=120</f>
        <v/>
      </c>
      <c r="D501">
        <f>IF(Skills!C27=1,60+Inputs!$B$26+Inputs!$B$30,IF(Skills!C27=2,90+Inputs!$B$27+Inputs!$B$30,IF(Skills!C27=3,120+Inputs!$B$28+Inputs!$B$30,MAX(0,(Inputs!$B$3-100)*3)+Inputs!$B$29+Inputs!$B$30)))</f>
        <v/>
      </c>
      <c r="E501">
        <f>INDEX(FactorTable!$B$2:$Y$301, MATCH(ROUND(MIN(300,MAX(1,D501)),0), FactorTable!$A$2:$A$301,0), Skills!L27+1)</f>
        <v/>
      </c>
      <c r="F501">
        <f>IF(Skills!M27=TRUE,(Skills!K27/10)*(E501/1000),Skills!K27/10)+Skills!N27</f>
        <v/>
      </c>
      <c r="G501">
        <f>Calc!G27</f>
        <v/>
      </c>
      <c r="H501">
        <f>Calc!H27</f>
        <v/>
      </c>
      <c r="I501">
        <f>IF(Skills!T27&lt;&gt;"",1+(Skills!T27/10)*($Z$3/1000)/100,1)</f>
        <v/>
      </c>
      <c r="J501" t="inlineStr"/>
      <c r="K501" t="inlineStr"/>
      <c r="L501" t="inlineStr"/>
      <c r="M501" t="inlineStr"/>
      <c r="N501" t="inlineStr"/>
      <c r="O501">
        <f>(1-Summary!$B$48)*S501+Summary!$B$48*U501</f>
        <v/>
      </c>
      <c r="P501">
        <f>IF(B516=0,0,O501/B516)</f>
        <v/>
      </c>
      <c r="Q501">
        <f>IFERROR(1/IF(Inputs!$B$39="pvp",15,MAX(0.1,Skills!D27-IF(Skills!E27=TRUE,Inputs!$B$33,0))),0)</f>
        <v/>
      </c>
      <c r="R501" t="n">
        <v>0</v>
      </c>
      <c r="S501" t="n">
        <v>0</v>
      </c>
      <c r="U501" t="n">
        <v>0</v>
      </c>
    </row>
    <row r="503">
      <c r="A503" t="inlineStr">
        <is>
          <t>Average Buff Multiplier</t>
        </is>
      </c>
      <c r="B503">
        <f>(1+(IF(C477=TRUE,F477*IF(AND(Inputs!$B$39&lt;&gt;"pvp",Inputs!$B$44&gt;0),(((R477-1)*(Skills!S3*(1+(Inputs!$B$35+IF(Inputs!$B$3&gt;=117,F500,0))/100))+MIN((Skills!S3*(1+(Inputs!$B$35+IF(Inputs!$B$3&gt;=117,F500,0))/100)),MAX(0,Inputs!$B$44-((R477-1)*Skills!D3))))/Inputs!$B$44),IF(Inputs!$B$39="pvp",MIN((Skills!S3*(1+(Inputs!$B$35+IF(Inputs!$B$3&gt;=117,F500,0))/100)),15)/15,(Skills!S3*(1+(Inputs!$B$35+IF(Inputs!$B$3&gt;=117,F500,0))/100))/Skills!D3)),0)+IF(C478=TRUE,F478*IF(AND(Inputs!$B$39&lt;&gt;"pvp",Inputs!$B$44&gt;0),(((R478-1)*(Skills!S4*(1+(Inputs!$B$35+IF(Inputs!$B$3&gt;=117,F500,0))/100))+MIN((Skills!S4*(1+(Inputs!$B$35+IF(Inputs!$B$3&gt;=117,F500,0))/100)),MAX(0,Inputs!$B$44-((R478-1)*Skills!D4))))/Inputs!$B$44),IF(Inputs!$B$39="pvp",MIN((Skills!S4*(1+(Inputs!$B$35+IF(Inputs!$B$3&gt;=117,F500,0))/100)),15)/15,(Skills!S4*(1+(Inputs!$B$35+IF(Inputs!$B$3&gt;=117,F500,0))/100))/Skills!D4)),0)+IF(C479=TRUE,F479*IF(AND(Inputs!$B$39&lt;&gt;"pvp",Inputs!$B$44&gt;0),(((R479-1)*(Skills!S5*(1+(Inputs!$B$35+IF(Inputs!$B$3&gt;=117,F500,0))/100))+MIN((Skills!S5*(1+(Inputs!$B$35+IF(Inputs!$B$3&gt;=117,F500,0))/100)),MAX(0,Inputs!$B$44-((R479-1)*Skills!D5))))/Inputs!$B$44),IF(Inputs!$B$39="pvp",MIN((Skills!S5*(1+(Inputs!$B$35+IF(Inputs!$B$3&gt;=117,F500,0))/100)),15)/15,(Skills!S5*(1+(Inputs!$B$35+IF(Inputs!$B$3&gt;=117,F500,0))/100))/Skills!D5)),0)+IF(C485=TRUE,F485*IF(AND(Inputs!$B$39&lt;&gt;"pvp",Inputs!$B$44&gt;0),(((R485-1)*(Skills!S11*(1+(Inputs!$B$35+IF(Inputs!$B$3&gt;=117,F500,0))/100))+MIN((Skills!S11*(1+(Inputs!$B$35+IF(Inputs!$B$3&gt;=117,F500,0))/100)),MAX(0,Inputs!$B$44-((R485-1)*Skills!D11))))/Inputs!$B$44),IF(Inputs!$B$39="pvp",MIN((Skills!S11*(1+(Inputs!$B$35+IF(Inputs!$B$3&gt;=117,F500,0))/100)),15)/15,(Skills!S11*(1+(Inputs!$B$35+IF(Inputs!$B$3&gt;=117,F500,0))/100))/Skills!D11)),0))/100)*IF(C488=TRUE,(1+F488*IF(AND(Inputs!$B$39&lt;&gt;"pvp",Inputs!$B$44&gt;0),(((R488-1)*(Skills!S14*(1+(Inputs!$B$35+IF(Inputs!$B$3&gt;=117,F500,0))/100))+MIN((Skills!S14*(1+(Inputs!$B$35+IF(Inputs!$B$3&gt;=117,F500,0))/100)),MAX(0,Inputs!$B$44-((R488-1)*Skills!D14))))/Inputs!$B$44),IF(Inputs!$B$39="pvp",MIN((Skills!S14*(1+(Inputs!$B$35+IF(Inputs!$B$3&gt;=117,F500,0))/100)),15)/15,(Skills!S14*(1+(Inputs!$B$35+IF(Inputs!$B$3&gt;=117,F500,0))/100))/Skills!D14))/100),1)*IF(C493=TRUE,(1+F493*IF(AND(Inputs!$B$39&lt;&gt;"pvp",Inputs!$B$44&gt;0),(((R493-1)*(Skills!S19*(1+(Inputs!$B$35+IF(Inputs!$B$3&gt;=117,F500,0))/100))+MIN((Skills!S19*(1+(Inputs!$B$35+IF(Inputs!$B$3&gt;=117,F500,0))/100)),MAX(0,Inputs!$B$44-((R493-1)*Skills!D19))))/Inputs!$B$44),IF(Inputs!$B$39="pvp",MIN((Skills!S19*(1+(Inputs!$B$35+IF(Inputs!$B$3&gt;=117,F500,0))/100)),15)/15,(Skills!S19*(1+(Inputs!$B$35+IF(Inputs!$B$3&gt;=117,F500,0))/100))/Skills!D19))/100),1)</f>
        <v/>
      </c>
    </row>
    <row r="504">
      <c r="A504" t="inlineStr">
        <is>
          <t>Monster Damage Taken Bonus % (Holy Fountain)</t>
        </is>
      </c>
      <c r="B504">
        <f>IF(Inputs!$B$3&gt;=68,20*IF(Inputs!$B$39="pvp",MIN((15*(1+(Inputs!$B$35+IF(Inputs!$B$3&gt;=117,F500,0))/100)),15)/15,(15*(1+(Inputs!$B$35+IF(Inputs!$B$3&gt;=117,F500,0))/100))/Skills!D10),0)</f>
        <v/>
      </c>
    </row>
    <row r="505">
      <c r="A505" t="inlineStr">
        <is>
          <t>Normal Monster Damage Bonus % (Holy Symbol)</t>
        </is>
      </c>
      <c r="B505">
        <f>IF(C486=TRUE,F486*IF(AND(Inputs!$B$39&lt;&gt;"pvp",Inputs!$B$44&gt;0),(((R486-1)*(Skills!S12*(1+(Inputs!$B$35+IF(Inputs!$B$3&gt;=117,F500,0))/100))+MIN((Skills!S12*(1+(Inputs!$B$35+IF(Inputs!$B$3&gt;=117,F500,0))/100)),MAX(0,Inputs!$B$44-((R486-1)*Skills!D12))))/Inputs!$B$44),IF(Inputs!$B$39="pvp",MIN((Skills!S12*(1+(Inputs!$B$35+IF(Inputs!$B$3&gt;=117,F500,0))/100)),15)/15,(Skills!S12*(1+(Inputs!$B$35+IF(Inputs!$B$3&gt;=117,F500,0))/100))/Skills!D12)),0)</f>
        <v/>
      </c>
    </row>
    <row r="506">
      <c r="A506" t="inlineStr">
        <is>
          <t>Damage % Bonus (Holy Symbol - Damage Boost)</t>
        </is>
      </c>
      <c r="B506">
        <f>Skills!O12</f>
        <v/>
      </c>
    </row>
    <row r="507">
      <c r="A507" t="inlineStr">
        <is>
          <t>Crit Damage % Bonus (Blood of the Divine)</t>
        </is>
      </c>
      <c r="B507">
        <f>4*IF(C494=TRUE,F494,0)</f>
        <v/>
      </c>
    </row>
    <row r="508">
      <c r="A508" t="inlineStr">
        <is>
          <t>Attack Speed Bonus %</t>
        </is>
      </c>
      <c r="B508">
        <f>IF(C491=TRUE,F491+(F495-Calc!F21),0)+IF(Inputs!$B$3&gt;=134,15,0)</f>
        <v/>
      </c>
    </row>
    <row r="509">
      <c r="A509" t="inlineStr">
        <is>
          <t>Actions Per Second</t>
        </is>
      </c>
      <c r="B509">
        <f>1+MIN(150,150*(1-(1-Inputs!$B$12/150)*(1-B508/150)))/100</f>
        <v/>
      </c>
    </row>
    <row r="510">
      <c r="A510" t="inlineStr">
        <is>
          <t>Skill + Buff Cast Rate</t>
        </is>
      </c>
      <c r="B510">
        <f>IF(AND(Inputs!$B$39&lt;&gt;"pvp",Inputs!$B$44&gt;0),SUMPRODUCT((Skills!E2:E27=TRUE)*(C476:C501=TRUE)*R476:R501)/Inputs!$B$44,SUMPRODUCT((Skills!E2:E27=TRUE)*(C476:C501=TRUE)*Q476:Q501))</f>
        <v/>
      </c>
    </row>
    <row r="511">
      <c r="A511" t="inlineStr">
        <is>
          <t>Big Bang Casts Per Second</t>
        </is>
      </c>
      <c r="B511">
        <f>MAX(0,B509-B510)</f>
        <v/>
      </c>
    </row>
    <row r="512">
      <c r="A512" t="inlineStr">
        <is>
          <t>Defense % Bonus (Divine Protection)</t>
        </is>
      </c>
      <c r="B512">
        <f>IF(C487=TRUE,F487*IF(AND(Inputs!$B$39&lt;&gt;"pvp",Inputs!$B$44&gt;0),(((R487-1)*(Skills!S13*(1+(Inputs!$B$35+IF(Inputs!$B$3&gt;=117,F500,0))/100))+MIN((Skills!S13*(1+(Inputs!$B$35+IF(Inputs!$B$3&gt;=117,F500,0))/100)),MAX(0,Inputs!$B$44-((R487-1)*Skills!D13))))/Inputs!$B$44),IF(Inputs!$B$39="pvp",MIN((Skills!S13*(1+(Inputs!$B$35+IF(Inputs!$B$3&gt;=117,F500,0))/100)),15)/15,(Skills!S13*(1+(Inputs!$B$35+IF(Inputs!$B$3&gt;=117,F500,0))/100))/Skills!D13)),0)</f>
        <v/>
      </c>
    </row>
    <row r="513">
      <c r="A513" t="inlineStr">
        <is>
          <t>Buff-Casting Startup Delay (s, fixed-duration only)</t>
        </is>
      </c>
      <c r="B513">
        <f>IF(AND(Inputs!$B$39&lt;&gt;"pvp",Inputs!$B$44&gt;0),SUMPRODUCT((Skills!S2:S27&gt;0)*(Skills!E2:E27=TRUE)*(C476:C501=TRUE))/B509,0)</f>
        <v/>
      </c>
    </row>
    <row r="514">
      <c r="A514" t="inlineStr">
        <is>
          <t>Boss-Only Total DPS (this block's swept value)</t>
        </is>
      </c>
      <c r="B514">
        <f>SUM(S476:S501)</f>
        <v/>
      </c>
    </row>
    <row r="515">
      <c r="A515" t="inlineStr">
        <is>
          <t>Normal-Only Total DPS (this block's swept value)</t>
        </is>
      </c>
      <c r="B515">
        <f>SUM(U476:U501)</f>
        <v/>
      </c>
    </row>
    <row r="516">
      <c r="A516" s="5" t="inlineStr">
        <is>
          <t>TOTAL DPS</t>
        </is>
      </c>
      <c r="B516" s="5">
        <f>SUM(O476:O501)</f>
        <v/>
      </c>
    </row>
    <row r="518">
      <c r="A518" s="5" t="inlineStr">
        <is>
          <t>Stat: CRIT_RATE %</t>
        </is>
      </c>
    </row>
    <row r="519">
      <c r="A519" s="9" t="inlineStr">
        <is>
          <t>Key</t>
        </is>
      </c>
      <c r="B519" s="9" t="inlineStr">
        <is>
          <t>Name</t>
        </is>
      </c>
      <c r="C519" s="9" t="inlineStr">
        <is>
          <t>Unlocked</t>
        </is>
      </c>
      <c r="D519" s="9" t="inlineStr">
        <is>
          <t>InputLevel</t>
        </is>
      </c>
      <c r="E519" s="9" t="inlineStr">
        <is>
          <t>Factor</t>
        </is>
      </c>
      <c r="F519" s="9" t="inlineStr">
        <is>
          <t>CoefficientPercent</t>
        </is>
      </c>
      <c r="G519" s="9" t="inlineStr">
        <is>
          <t>EffectiveHits</t>
        </is>
      </c>
      <c r="H519" s="9" t="inlineStr">
        <is>
          <t>ProcProbability</t>
        </is>
      </c>
      <c r="I519" s="9" t="inlineStr">
        <is>
          <t>MapleHeroMultiplier</t>
        </is>
      </c>
      <c r="J519" s="9" t="inlineStr">
        <is>
          <t>BaseDamage</t>
        </is>
      </c>
      <c r="K519" s="9" t="inlineStr">
        <is>
          <t>BaseHitDamage</t>
        </is>
      </c>
      <c r="L519" s="9" t="inlineStr">
        <is>
          <t>NonCritAvg</t>
        </is>
      </c>
      <c r="M519" s="9" t="inlineStr">
        <is>
          <t>CritAvg</t>
        </is>
      </c>
      <c r="N519" s="9" t="inlineStr">
        <is>
          <t>ExpectedDamage(perHit)</t>
        </is>
      </c>
      <c r="O519" s="9" t="inlineStr">
        <is>
          <t>DPS</t>
        </is>
      </c>
      <c r="P519" s="9" t="inlineStr">
        <is>
          <t>% of Total</t>
        </is>
      </c>
      <c r="R519" t="inlineStr">
        <is>
          <t>helpers</t>
        </is>
      </c>
    </row>
    <row r="520">
      <c r="A520">
        <f>Skills!A2</f>
        <v/>
      </c>
      <c r="B520">
        <f>Skills!B2</f>
        <v/>
      </c>
      <c r="C520">
        <f>Inputs!$B$3&gt;=100</f>
        <v/>
      </c>
      <c r="D520" t="inlineStr"/>
      <c r="E520" t="inlineStr"/>
      <c r="F520">
        <f>T522+Skills!N2</f>
        <v/>
      </c>
      <c r="G520">
        <f>Calc!G2</f>
        <v/>
      </c>
      <c r="H520">
        <f>Calc!H2</f>
        <v/>
      </c>
      <c r="I520">
        <f>IF(Skills!T2&lt;&gt;"",1+(Skills!T2/10)*($Z$3/1000)/100,1)</f>
        <v/>
      </c>
      <c r="J520">
        <f>((Inputs!$B$6*(1+Inputs!$B$7/100))+(((Inputs!$B$13*(1+Inputs!$B$14/100))-(Inputs!$B$13*(1+Inputs!$B$14/100)))+0.25*(Inputs!$B$15-Inputs!$B$15))*(1+Inputs!$B$7/100))*(F520/100)</f>
        <v/>
      </c>
      <c r="K520">
        <f>J520*(1+(((Inputs!$B$13+IF(Inputs!$B$3&gt;=35,(10*INDEX(FactorTable!$B$2:$Y$301, MATCH(ROUND(MIN(300,MAX(1,Inputs!$B$3)),0), FactorTable!$A$2:$A$301,0), 23)/1000)/100*(Inputs!$B$8*(1+(Inputs!$B$9+B556)/100)),0))*(1+Inputs!$B$14/100))*0.01+Inputs!$B$15*0.0025)/100)*(1+(Inputs!$B$16+B550)/100)*(1+Inputs!$B$17/100)*(5000/(6000+Inputs!$B$43*(1-Inputs!$B$20/100)))*(1+Inputs!$B$25/100)*(1+IF(C536=TRUE,F536,0)/100)*(1+IF(C538=TRUE,F538,0)/100)*(1+IF(Skills!A2="TRIUMPH_FEATHER",IF(C534=TRUE,F534,0),0)/100)*(1+IF(C545=TRUE,F545,0)/100)^5*(1+(IF(Skills!A2="BIG_BANG",Inputs!$B$18,Inputs!$B$19))/100)*(B547*I520)</f>
        <v/>
      </c>
      <c r="L520">
        <f>K520*(MIN(Inputs!$B$23+(F540-Calc!F22),Inputs!$B$24)/100+Inputs!$B$24/100)/2</f>
        <v/>
      </c>
      <c r="M520">
        <f>L520*(1+(Inputs!$B$11+B551+(F543-Calc!F25))/100)</f>
        <v/>
      </c>
      <c r="N520">
        <f>L520*(1-MIN((Inputs!$B$10+1)+((F542-Calc!F24)+(F541-Calc!F23)),100)/100)+M520*(MIN((Inputs!$B$10+1)+((F542-Calc!F24)+(F541-Calc!F23)),100)/100)</f>
        <v/>
      </c>
      <c r="O520">
        <f>(1-Summary!$B$48)*S520+Summary!$B$48*U520</f>
        <v/>
      </c>
      <c r="P520">
        <f>IF(B560=0,0,O520/B560)</f>
        <v/>
      </c>
      <c r="Q520">
        <f>IFERROR(1/IF(Inputs!$B$39="pvp",15,MAX(0.1,Skills!D2-IF(Skills!E2=TRUE,Inputs!$B$33,0))),0)</f>
        <v/>
      </c>
      <c r="R520" t="n">
        <v>0</v>
      </c>
      <c r="S520">
        <f>IF(C520,(Skills!F2*N520*B555)*IF(Inputs!$B$39="pvp",1,1+(Inputs!$B$21+Skills!O2+B548)/100),0)</f>
        <v/>
      </c>
      <c r="T520">
        <f>MAX(0,(Inputs!$B$3-100)*3)+Inputs!$B$29+Inputs!$B$30</f>
        <v/>
      </c>
      <c r="U520">
        <f>IF(C520,(Skills!F2*N520*B555)*IF(Inputs!$B$39="pvp",1,(1+(Inputs!$B$22+Skills!P2+B549)/100)*(MIN((6+Inputs!$B$34),Inputs!$B$38))),0)</f>
        <v/>
      </c>
    </row>
    <row r="521">
      <c r="A521">
        <f>Skills!A3</f>
        <v/>
      </c>
      <c r="B521">
        <f>Skills!B3</f>
        <v/>
      </c>
      <c r="C521">
        <f>Inputs!$B$3&gt;=15</f>
        <v/>
      </c>
      <c r="D521">
        <f>IF(Skills!C3=1,60+Inputs!$B$26+Inputs!$B$30,IF(Skills!C3=2,90+Inputs!$B$27+Inputs!$B$30,IF(Skills!C3=3,120+Inputs!$B$28+Inputs!$B$30,MAX(0,(Inputs!$B$3-100)*3)+Inputs!$B$29+Inputs!$B$30)))</f>
        <v/>
      </c>
      <c r="E521">
        <f>INDEX(FactorTable!$B$2:$Y$301, MATCH(ROUND(MIN(300,MAX(1,D521)),0), FactorTable!$A$2:$A$301,0), Skills!L3+1)</f>
        <v/>
      </c>
      <c r="F521">
        <f>IF(Skills!M3=TRUE,(Skills!K3/10)*(E521/1000),Skills!K3/10)+Skills!N3</f>
        <v/>
      </c>
      <c r="G521">
        <f>Calc!G3</f>
        <v/>
      </c>
      <c r="H521">
        <f>Calc!H3</f>
        <v/>
      </c>
      <c r="I521">
        <f>IF(Skills!T3&lt;&gt;"",1+(Skills!T3/10)*($Z$3/1000)/100,1)</f>
        <v/>
      </c>
      <c r="J521" t="inlineStr"/>
      <c r="K521" t="inlineStr"/>
      <c r="L521" t="inlineStr"/>
      <c r="M521" t="inlineStr"/>
      <c r="N521" t="inlineStr"/>
      <c r="O521">
        <f>(1-Summary!$B$48)*S521+Summary!$B$48*U521</f>
        <v/>
      </c>
      <c r="P521">
        <f>IF(B560=0,0,O521/B560)</f>
        <v/>
      </c>
      <c r="Q521">
        <f>IFERROR(1/IF(Inputs!$B$39="pvp",15,MAX(0.1,Skills!D3-IF(Skills!E3=TRUE,Inputs!$B$33,0))),0)</f>
        <v/>
      </c>
      <c r="R521">
        <f>IF(AND(Inputs!$B$39&lt;&gt;"pvp",Inputs!$B$44&gt;0),IF(Inputs!$B$44&lt;=0,0,(INT(Inputs!$B$44/IF(Inputs!$B$39="pvp",15,MAX(0.1,Skills!D3-IF(Skills!E3=TRUE,Inputs!$B$33,0))))+1)),0)</f>
        <v/>
      </c>
      <c r="S521" t="n">
        <v>0</v>
      </c>
      <c r="T521">
        <f>INDEX(FactorTable!$B$2:$Y$301, MATCH(ROUND(MIN(300,MAX(1,T520)),0), FactorTable!$A$2:$A$301,0), 22)</f>
        <v/>
      </c>
      <c r="U521" t="n">
        <v>0</v>
      </c>
    </row>
    <row r="522">
      <c r="A522">
        <f>Skills!A4</f>
        <v/>
      </c>
      <c r="B522">
        <f>Skills!B4</f>
        <v/>
      </c>
      <c r="C522">
        <f>Inputs!$B$3&gt;=38</f>
        <v/>
      </c>
      <c r="D522">
        <f>IF(Skills!C4=1,60+Inputs!$B$26+Inputs!$B$30,IF(Skills!C4=2,90+Inputs!$B$27+Inputs!$B$30,IF(Skills!C4=3,120+Inputs!$B$28+Inputs!$B$30,MAX(0,(Inputs!$B$3-100)*3)+Inputs!$B$29+Inputs!$B$30)))</f>
        <v/>
      </c>
      <c r="E522">
        <f>INDEX(FactorTable!$B$2:$Y$301, MATCH(ROUND(MIN(300,MAX(1,D522)),0), FactorTable!$A$2:$A$301,0), Skills!L4+1)</f>
        <v/>
      </c>
      <c r="F522">
        <f>IF(Skills!M4=TRUE,(Skills!K4/10)*(E522/1000),Skills!K4/10)+Skills!N4</f>
        <v/>
      </c>
      <c r="G522">
        <f>Calc!G4</f>
        <v/>
      </c>
      <c r="H522">
        <f>Calc!H4</f>
        <v/>
      </c>
      <c r="I522">
        <f>IF(Skills!T4&lt;&gt;"",1+(Skills!T4/10)*($Z$3/1000)/100,1)</f>
        <v/>
      </c>
      <c r="J522" t="inlineStr"/>
      <c r="K522" t="inlineStr"/>
      <c r="L522" t="inlineStr"/>
      <c r="M522" t="inlineStr"/>
      <c r="N522" t="inlineStr"/>
      <c r="O522">
        <f>(1-Summary!$B$48)*S522+Summary!$B$48*U522</f>
        <v/>
      </c>
      <c r="P522">
        <f>IF(B560=0,0,O522/B560)</f>
        <v/>
      </c>
      <c r="Q522">
        <f>IFERROR(1/IF(Inputs!$B$39="pvp",15,MAX(0.1,Skills!D4-IF(Skills!E4=TRUE,Inputs!$B$33,0))),0)</f>
        <v/>
      </c>
      <c r="R522">
        <f>IF(AND(Inputs!$B$39&lt;&gt;"pvp",Inputs!$B$44&gt;0),IF(Inputs!$B$44&lt;=0,0,(INT(Inputs!$B$44/IF(Inputs!$B$39="pvp",15,MAX(0.1,Skills!D4-IF(Skills!E4=TRUE,Inputs!$B$33,0))))+1)),0)</f>
        <v/>
      </c>
      <c r="S522" t="n">
        <v>0</v>
      </c>
      <c r="T522">
        <f>290*T521/1000</f>
        <v/>
      </c>
      <c r="U522" t="n">
        <v>0</v>
      </c>
    </row>
    <row r="523">
      <c r="A523">
        <f>Skills!A5</f>
        <v/>
      </c>
      <c r="B523">
        <f>Skills!B5</f>
        <v/>
      </c>
      <c r="C523">
        <f>Inputs!$B$3&gt;=40</f>
        <v/>
      </c>
      <c r="D523">
        <f>IF(Skills!C5=1,60+Inputs!$B$26+Inputs!$B$30,IF(Skills!C5=2,90+Inputs!$B$27+Inputs!$B$30,IF(Skills!C5=3,120+Inputs!$B$28+Inputs!$B$30,MAX(0,(Inputs!$B$3-100)*3)+Inputs!$B$29+Inputs!$B$30)))</f>
        <v/>
      </c>
      <c r="E523">
        <f>INDEX(FactorTable!$B$2:$Y$301, MATCH(ROUND(MIN(300,MAX(1,D523)),0), FactorTable!$A$2:$A$301,0), Skills!L5+1)</f>
        <v/>
      </c>
      <c r="F523">
        <f>IF(Skills!M5=TRUE,(Skills!K5/10)*(E523/1000),Skills!K5/10)+Skills!N5</f>
        <v/>
      </c>
      <c r="G523">
        <f>Calc!G5</f>
        <v/>
      </c>
      <c r="H523">
        <f>Calc!H5</f>
        <v/>
      </c>
      <c r="I523">
        <f>IF(Skills!T5&lt;&gt;"",1+(Skills!T5/10)*($Z$3/1000)/100,1)</f>
        <v/>
      </c>
      <c r="J523" t="inlineStr"/>
      <c r="K523" t="inlineStr"/>
      <c r="L523" t="inlineStr"/>
      <c r="M523" t="inlineStr"/>
      <c r="N523" t="inlineStr"/>
      <c r="O523">
        <f>(1-Summary!$B$48)*S523+Summary!$B$48*U523</f>
        <v/>
      </c>
      <c r="P523">
        <f>IF(B560=0,0,O523/B560)</f>
        <v/>
      </c>
      <c r="Q523">
        <f>IFERROR(1/IF(Inputs!$B$39="pvp",15,MAX(0.1,Skills!D5-IF(Skills!E5=TRUE,Inputs!$B$33,0))),0)</f>
        <v/>
      </c>
      <c r="R523">
        <f>IF(AND(Inputs!$B$39&lt;&gt;"pvp",Inputs!$B$44&gt;0),IF(Inputs!$B$44&lt;=0,0,(INT(Inputs!$B$44/IF(Inputs!$B$39="pvp",15,MAX(0.1,Skills!D5-IF(Skills!E5=TRUE,Inputs!$B$33,0))))+1)),0)</f>
        <v/>
      </c>
      <c r="S523" t="n">
        <v>0</v>
      </c>
      <c r="U523" t="n">
        <v>0</v>
      </c>
    </row>
    <row r="524">
      <c r="A524">
        <f>Skills!A6</f>
        <v/>
      </c>
      <c r="B524">
        <f>Skills!B6</f>
        <v/>
      </c>
      <c r="C524">
        <f>Inputs!$B$3&gt;=103</f>
        <v/>
      </c>
      <c r="D524">
        <f>IF(Skills!C6=1,60+Inputs!$B$26+Inputs!$B$30,IF(Skills!C6=2,90+Inputs!$B$27+Inputs!$B$30,IF(Skills!C6=3,120+Inputs!$B$28+Inputs!$B$30,MAX(0,(Inputs!$B$3-100)*3)+Inputs!$B$29+Inputs!$B$30)))</f>
        <v/>
      </c>
      <c r="E524">
        <f>INDEX(FactorTable!$B$2:$Y$301, MATCH(ROUND(MIN(300,MAX(1,D524)),0), FactorTable!$A$2:$A$301,0), Skills!L6+1)</f>
        <v/>
      </c>
      <c r="F524">
        <f>IF(Skills!M6=TRUE,(Skills!K6/10)*(E524/1000),Skills!K6/10)+Skills!N6</f>
        <v/>
      </c>
      <c r="G524">
        <f>Calc!G6</f>
        <v/>
      </c>
      <c r="H524">
        <f>Calc!H6</f>
        <v/>
      </c>
      <c r="I524">
        <f>IF(Skills!T6&lt;&gt;"",1+(Skills!T6/10)*($Z$3/1000)/100,1)</f>
        <v/>
      </c>
      <c r="J524">
        <f>((Inputs!$B$6*(1+Inputs!$B$7/100))+(((Inputs!$B$13*(1+Inputs!$B$14/100))-(Inputs!$B$13*(1+Inputs!$B$14/100)))+0.25*(Inputs!$B$15-Inputs!$B$15))*(1+Inputs!$B$7/100))*(F524/100)</f>
        <v/>
      </c>
      <c r="K524">
        <f>J524*(1+(((Inputs!$B$13+IF(Inputs!$B$3&gt;=35,(10*INDEX(FactorTable!$B$2:$Y$301, MATCH(ROUND(MIN(300,MAX(1,Inputs!$B$3)),0), FactorTable!$A$2:$A$301,0), 23)/1000)/100*(Inputs!$B$8*(1+(Inputs!$B$9+B556)/100)),0))*(1+Inputs!$B$14/100))*0.01+Inputs!$B$15*0.0025)/100)*(1+(Inputs!$B$16+B550)/100)*(1+Inputs!$B$17/100)*(5000/(6000+Inputs!$B$43*(1-Inputs!$B$20/100)))*(1+Inputs!$B$25/100)*(1+IF(C536=TRUE,F536,0)/100)*(1+IF(C538=TRUE,F538,0)/100)*(1+IF(Skills!A6="TRIUMPH_FEATHER",IF(C534=TRUE,F534,0),0)/100)*(1+IF(C545=TRUE,F545,0)/100)^5*(1+(IF(Skills!A6="BIG_BANG",Inputs!$B$18,Inputs!$B$19))/100)*(B547*I524)</f>
        <v/>
      </c>
      <c r="L524">
        <f>K524*(MIN(Inputs!$B$23+(F540-Calc!F22),Inputs!$B$24)/100+Inputs!$B$24/100)/2</f>
        <v/>
      </c>
      <c r="M524">
        <f>L524*(1+(Inputs!$B$11+B551+(F543-Calc!F25))/100)</f>
        <v/>
      </c>
      <c r="N524">
        <f>L524*(1-MIN((Inputs!$B$10+1)+((F542-Calc!F24)+(F541-Calc!F23)),100)/100)+M524*(MIN((Inputs!$B$10+1)+((F542-Calc!F24)+(F541-Calc!F23)),100)/100)</f>
        <v/>
      </c>
      <c r="O524">
        <f>(1-Summary!$B$48)*S524+Summary!$B$48*U524</f>
        <v/>
      </c>
      <c r="P524">
        <f>IF(B560=0,0,O524/B560)</f>
        <v/>
      </c>
      <c r="Q524">
        <f>IFERROR(1/IF(Inputs!$B$39="pvp",15,MAX(0.1,Skills!D6-IF(Skills!E6=TRUE,Inputs!$B$33,0))),0)</f>
        <v/>
      </c>
      <c r="R524">
        <f>IF(AND(Inputs!$B$39&lt;&gt;"pvp",Inputs!$B$44&gt;0),IF(MAX(0,Inputs!$B$44-B557)&lt;=0,0,(INT(MAX(0,Inputs!$B$44-B557)/IF(Inputs!$B$39="pvp",15,MAX(0.1,Skills!D6-IF(Skills!E6=TRUE,Inputs!$B$33,0))))+1)),0)</f>
        <v/>
      </c>
      <c r="S524">
        <f>IF(C524,(H524*N524*IF(AND(Inputs!$B$39&lt;&gt;"pvp",Inputs!$B$44&gt;0),((Skills!F6*((R524-1)*IF(Skills!G6&gt;0,Skills!H6/Skills!G6,1)+IF(Skills!G6&gt;0,MIN(Skills!H6,MAX(0,MAX(0,Inputs!$B$44-B557)-((R524-1)*IF(Inputs!$B$39="pvp",15,MAX(0.1,Skills!D6-IF(Skills!E6=TRUE,Inputs!$B$33,0))))))/Skills!G6,1)))/Inputs!$B$44),G524*Q524))*IF(Inputs!$B$39="pvp",1,1+(Inputs!$B$21+Skills!O6+B548)/100),0)</f>
        <v/>
      </c>
      <c r="U524">
        <f>IF(C524,(H524*N524*IF(AND(Inputs!$B$39&lt;&gt;"pvp",Inputs!$B$44&gt;0),((Skills!F6*((R524-1)*IF(Skills!G6&gt;0,Skills!H6/Skills!G6,1)+IF(Skills!G6&gt;0,MIN(Skills!H6,MAX(0,MAX(0,Inputs!$B$44-B557)-((R524-1)*IF(Inputs!$B$39="pvp",15,MAX(0.1,Skills!D6-IF(Skills!E6=TRUE,Inputs!$B$33,0))))))/Skills!G6,1)))/Inputs!$B$44),G524*Q524))*IF(Inputs!$B$39="pvp",1,(1+(Inputs!$B$22+Skills!P6+B549)/100)*(MIN(Skills!Q6,Inputs!$B$38))),0)</f>
        <v/>
      </c>
    </row>
    <row r="525">
      <c r="A525">
        <f>Skills!A7</f>
        <v/>
      </c>
      <c r="B525">
        <f>Skills!B7</f>
        <v/>
      </c>
      <c r="C525">
        <f>Inputs!$B$3&gt;=122</f>
        <v/>
      </c>
      <c r="D525">
        <f>IF(Skills!C7=1,60+Inputs!$B$26+Inputs!$B$30,IF(Skills!C7=2,90+Inputs!$B$27+Inputs!$B$30,IF(Skills!C7=3,120+Inputs!$B$28+Inputs!$B$30,MAX(0,(Inputs!$B$3-100)*3)+Inputs!$B$29+Inputs!$B$30)))</f>
        <v/>
      </c>
      <c r="E525">
        <f>INDEX(FactorTable!$B$2:$Y$301, MATCH(ROUND(MIN(300,MAX(1,D525)),0), FactorTable!$A$2:$A$301,0), Skills!L7+1)</f>
        <v/>
      </c>
      <c r="F525">
        <f>IF(Skills!M7=TRUE,(Skills!K7/10)*(E525/1000),Skills!K7/10)+Skills!N7</f>
        <v/>
      </c>
      <c r="G525">
        <f>Calc!G7</f>
        <v/>
      </c>
      <c r="H525">
        <f>Calc!H7</f>
        <v/>
      </c>
      <c r="I525">
        <f>IF(Skills!T7&lt;&gt;"",1+(Skills!T7/10)*($Z$3/1000)/100,1)</f>
        <v/>
      </c>
      <c r="J525">
        <f>((Inputs!$B$6*(1+Inputs!$B$7/100))+(((Inputs!$B$13*(1+Inputs!$B$14/100))-(Inputs!$B$13*(1+Inputs!$B$14/100)))+0.25*(Inputs!$B$15-Inputs!$B$15))*(1+Inputs!$B$7/100))*(F525/100)</f>
        <v/>
      </c>
      <c r="K525">
        <f>J525*(1+(((Inputs!$B$13+IF(Inputs!$B$3&gt;=35,(10*INDEX(FactorTable!$B$2:$Y$301, MATCH(ROUND(MIN(300,MAX(1,Inputs!$B$3)),0), FactorTable!$A$2:$A$301,0), 23)/1000)/100*(Inputs!$B$8*(1+(Inputs!$B$9+B556)/100)),0))*(1+Inputs!$B$14/100))*0.01+Inputs!$B$15*0.0025)/100)*(1+(Inputs!$B$16+B550)/100)*(1+Inputs!$B$17/100)*(5000/(6000+Inputs!$B$43*(1-Inputs!$B$20/100)))*(1+Inputs!$B$25/100)*(1+IF(C536=TRUE,F536,0)/100)*(1+IF(C538=TRUE,F538,0)/100)*(1+IF(Skills!A7="TRIUMPH_FEATHER",IF(C534=TRUE,F534,0),0)/100)*(1+IF(C545=TRUE,F545,0)/100)^5*(1+(IF(Skills!A7="BIG_BANG",Inputs!$B$18,Inputs!$B$19))/100)*(B547*I525)</f>
        <v/>
      </c>
      <c r="L525">
        <f>K525*(MIN(Inputs!$B$23+(F540-Calc!F22),Inputs!$B$24)/100+Inputs!$B$24/100)/2</f>
        <v/>
      </c>
      <c r="M525">
        <f>L525*(1+(Inputs!$B$11+B551+(F543-Calc!F25))/100)</f>
        <v/>
      </c>
      <c r="N525">
        <f>L525*(1-MIN((Inputs!$B$10+1)+((F542-Calc!F24)+(F541-Calc!F23)),100)/100)+M525*(MIN((Inputs!$B$10+1)+((F542-Calc!F24)+(F541-Calc!F23)),100)/100)</f>
        <v/>
      </c>
      <c r="O525">
        <f>(1-Summary!$B$48)*S525+Summary!$B$48*U525</f>
        <v/>
      </c>
      <c r="P525">
        <f>IF(B560=0,0,O525/B560)</f>
        <v/>
      </c>
      <c r="Q525">
        <f>IFERROR(1/IF(Inputs!$B$39="pvp",15,MAX(0.1,Skills!D7-IF(Skills!E6=TRUE,Inputs!$B$33,0))),0)</f>
        <v/>
      </c>
      <c r="R525">
        <f>IF(AND(Inputs!$B$39&lt;&gt;"pvp",Inputs!$B$44&gt;0),IF(MAX(0,Inputs!$B$44-B557)&lt;=0,0,(INT(MAX(0,Inputs!$B$44-B557)/IF(Inputs!$B$39="pvp",15,MAX(0.1,Skills!D7-IF(Skills!E6=TRUE,Inputs!$B$33,0))))+1)),0)</f>
        <v/>
      </c>
      <c r="S525">
        <f>IF(C525,H525*N525*IF(AND(Inputs!$B$39&lt;&gt;"pvp",Inputs!$B$44&gt;0),((Skills!F7*((R525-1)*IF(Skills!G7&gt;0,Skills!H7/Skills!G7,1)+IF(Skills!G7&gt;0,MIN(Skills!H7,MAX(0,MAX(0,Inputs!$B$44-B557)-((R525-1)*IF(Inputs!$B$39="pvp",15,MAX(0.1,Skills!D7-IF(Skills!E6=TRUE,Inputs!$B$33,0))))))/Skills!G7,1)))/Inputs!$B$44),G525*Q525)*IF(Inputs!$B$39="pvp",1,1+(Inputs!$B$21+Skills!O7+B548)/100),0)</f>
        <v/>
      </c>
      <c r="U525" t="n">
        <v>0</v>
      </c>
    </row>
    <row r="526">
      <c r="A526">
        <f>Skills!A8</f>
        <v/>
      </c>
      <c r="B526">
        <f>Skills!B8</f>
        <v/>
      </c>
      <c r="C526">
        <f>Inputs!$B$3&gt;=105</f>
        <v/>
      </c>
      <c r="D526">
        <f>IF(Skills!C8=1,60+Inputs!$B$26+Inputs!$B$30,IF(Skills!C8=2,90+Inputs!$B$27+Inputs!$B$30,IF(Skills!C8=3,120+Inputs!$B$28+Inputs!$B$30,MAX(0,(Inputs!$B$3-100)*3)+Inputs!$B$29+Inputs!$B$30)))</f>
        <v/>
      </c>
      <c r="E526">
        <f>INDEX(FactorTable!$B$2:$Y$301, MATCH(ROUND(MIN(300,MAX(1,D526)),0), FactorTable!$A$2:$A$301,0), Skills!L8+1)</f>
        <v/>
      </c>
      <c r="F526">
        <f>IF(Skills!M8=TRUE,(Skills!K8/10)*(E526/1000),Skills!K8/10)+Skills!N8</f>
        <v/>
      </c>
      <c r="G526">
        <f>Calc!G8</f>
        <v/>
      </c>
      <c r="H526">
        <f>Calc!H8</f>
        <v/>
      </c>
      <c r="I526">
        <f>IF(Skills!T8&lt;&gt;"",1+(Skills!T8/10)*($Z$3/1000)/100,1)</f>
        <v/>
      </c>
      <c r="J526">
        <f>((Inputs!$B$6*(1+Inputs!$B$7/100))+(((Inputs!$B$13*(1+Inputs!$B$14/100))-(Inputs!$B$13*(1+Inputs!$B$14/100)))+0.25*(Inputs!$B$15-Inputs!$B$15))*(1+Inputs!$B$7/100))*(F526/100)</f>
        <v/>
      </c>
      <c r="K526">
        <f>J526*(1+(((Inputs!$B$13+IF(Inputs!$B$3&gt;=35,(10*INDEX(FactorTable!$B$2:$Y$301, MATCH(ROUND(MIN(300,MAX(1,Inputs!$B$3)),0), FactorTable!$A$2:$A$301,0), 23)/1000)/100*(Inputs!$B$8*(1+(Inputs!$B$9+B556)/100)),0))*(1+Inputs!$B$14/100))*0.01+Inputs!$B$15*0.0025)/100)*(1+(Inputs!$B$16+B550)/100)*(1+Inputs!$B$17/100)*(5000/(6000+Inputs!$B$43*(1-Inputs!$B$20/100)))*(1+Inputs!$B$25/100)*(1+IF(C536=TRUE,F536,0)/100)*(1+IF(C538=TRUE,F538,0)/100)*(1+IF(Skills!A8="TRIUMPH_FEATHER",IF(C534=TRUE,F534,0),0)/100)*(1+IF(C545=TRUE,F545,0)/100)^5*(1+(IF(Skills!A8="BIG_BANG",Inputs!$B$18,Inputs!$B$19))/100)*(B547*I526)</f>
        <v/>
      </c>
      <c r="L526">
        <f>K526*(MIN(Inputs!$B$23+(F540-Calc!F22),Inputs!$B$24)/100+Inputs!$B$24/100)/2</f>
        <v/>
      </c>
      <c r="M526">
        <f>L526*(1+(Inputs!$B$11+B551+(F543-Calc!F25))/100)</f>
        <v/>
      </c>
      <c r="N526">
        <f>L526*(1-MIN((Inputs!$B$10+1)+((F542-Calc!F24)+(F541-Calc!F23)),100)/100)+M526*(MIN((Inputs!$B$10+1)+((F542-Calc!F24)+(F541-Calc!F23)),100)/100)</f>
        <v/>
      </c>
      <c r="O526">
        <f>(1-Summary!$B$48)*S526+Summary!$B$48*U526</f>
        <v/>
      </c>
      <c r="P526">
        <f>IF(B560=0,0,O526/B560)</f>
        <v/>
      </c>
      <c r="Q526">
        <f>IFERROR(1/IF(Inputs!$B$39="pvp",15,MAX(0.1,Skills!D8-IF(Skills!E8=TRUE,Inputs!$B$33,0))),0)</f>
        <v/>
      </c>
      <c r="R526">
        <f>IF(AND(Inputs!$B$39&lt;&gt;"pvp",Inputs!$B$44&gt;0),IF(MAX(0,Inputs!$B$44-B557)&lt;=0,0,(INT(MAX(0,Inputs!$B$44-B557)/IF(Inputs!$B$39="pvp",15,MAX(0.1,Skills!D8-IF(Skills!E8=TRUE,Inputs!$B$33,0))))+1)),0)</f>
        <v/>
      </c>
      <c r="S526">
        <f>IF(C526,(H526*N526*IF(AND(Inputs!$B$39&lt;&gt;"pvp",Inputs!$B$44&gt;0),((Skills!F8*((R526-1)*IF(Skills!G8&gt;0,Skills!H8/Skills!G8,1)+IF(Skills!G8&gt;0,MIN(Skills!H8,MAX(0,MAX(0,Inputs!$B$44-B557)-((R526-1)*IF(Inputs!$B$39="pvp",15,MAX(0.1,Skills!D8-IF(Skills!E8=TRUE,Inputs!$B$33,0))))))/Skills!G8,1)))/Inputs!$B$44),G526*Q526))*IF(Inputs!$B$39="pvp",1,1+(Inputs!$B$21+Skills!O8+B548)/100),0)</f>
        <v/>
      </c>
      <c r="U526">
        <f>IF(C526,(H526*N526*IF(AND(Inputs!$B$39&lt;&gt;"pvp",Inputs!$B$44&gt;0),((Skills!F8*((R526-1)*IF(Skills!G8&gt;0,Skills!H8/Skills!G8,1)+IF(Skills!G8&gt;0,MIN(Skills!H8,MAX(0,MAX(0,Inputs!$B$44-B557)-((R526-1)*IF(Inputs!$B$39="pvp",15,MAX(0.1,Skills!D8-IF(Skills!E8=TRUE,Inputs!$B$33,0))))))/Skills!G8,1)))/Inputs!$B$44),G526*Q526))*IF(Inputs!$B$39="pvp",1,(1+(Inputs!$B$22+Skills!P8+B549)/100)*(MIN(Skills!Q8,Inputs!$B$38))),0)</f>
        <v/>
      </c>
    </row>
    <row r="527">
      <c r="A527">
        <f>Skills!A9</f>
        <v/>
      </c>
      <c r="B527">
        <f>Skills!B9</f>
        <v/>
      </c>
      <c r="C527">
        <f>Inputs!$B$3&gt;=115</f>
        <v/>
      </c>
      <c r="D527">
        <f>IF(Skills!C9=1,60+Inputs!$B$26+Inputs!$B$30,IF(Skills!C9=2,90+Inputs!$B$27+Inputs!$B$30,IF(Skills!C9=3,120+Inputs!$B$28+Inputs!$B$30,MAX(0,(Inputs!$B$3-100)*3)+Inputs!$B$29+Inputs!$B$30)))</f>
        <v/>
      </c>
      <c r="E527">
        <f>INDEX(FactorTable!$B$2:$Y$301, MATCH(ROUND(MIN(300,MAX(1,D527)),0), FactorTable!$A$2:$A$301,0), Skills!L9+1)</f>
        <v/>
      </c>
      <c r="F527">
        <f>IF(Skills!M9=TRUE,(Skills!K9/10)*(E527/1000),Skills!K9/10)+Skills!N9</f>
        <v/>
      </c>
      <c r="G527">
        <f>Calc!G9</f>
        <v/>
      </c>
      <c r="H527">
        <f>Calc!H9</f>
        <v/>
      </c>
      <c r="I527">
        <f>IF(Skills!T9&lt;&gt;"",1+(Skills!T9/10)*($Z$3/1000)/100,1)</f>
        <v/>
      </c>
      <c r="J527">
        <f>((Inputs!$B$6*(1+Inputs!$B$7/100))+(((Inputs!$B$13*(1+Inputs!$B$14/100))-(Inputs!$B$13*(1+Inputs!$B$14/100)))+0.25*(Inputs!$B$15-Inputs!$B$15))*(1+Inputs!$B$7/100))*(F527/100)</f>
        <v/>
      </c>
      <c r="K527">
        <f>J527*(1+(((Inputs!$B$13+IF(Inputs!$B$3&gt;=35,(10*INDEX(FactorTable!$B$2:$Y$301, MATCH(ROUND(MIN(300,MAX(1,Inputs!$B$3)),0), FactorTable!$A$2:$A$301,0), 23)/1000)/100*(Inputs!$B$8*(1+(Inputs!$B$9+B556)/100)),0))*(1+Inputs!$B$14/100))*0.01+Inputs!$B$15*0.0025)/100)*(1+(Inputs!$B$16+B550)/100)*(1+Inputs!$B$17/100)*(5000/(6000+Inputs!$B$43*(1-Inputs!$B$20/100)))*(1+Inputs!$B$25/100)*(1+IF(C536=TRUE,F536,0)/100)*(1+IF(C538=TRUE,F538,0)/100)*(1+IF(Skills!A9="TRIUMPH_FEATHER",IF(C534=TRUE,F534,0),0)/100)*(1+IF(C545=TRUE,F545,0)/100)^5*(1+(IF(Skills!A9="BIG_BANG",Inputs!$B$18,Inputs!$B$19))/100)*(B547*I527)</f>
        <v/>
      </c>
      <c r="L527">
        <f>K527*(MIN(Inputs!$B$23+(F540-Calc!F22),Inputs!$B$24)/100+Inputs!$B$24/100)/2</f>
        <v/>
      </c>
      <c r="M527">
        <f>L527*(1+(Inputs!$B$11+B551+(F543-Calc!F25))/100)</f>
        <v/>
      </c>
      <c r="N527">
        <f>L527*(1-MIN((Inputs!$B$10+1)+((F542-Calc!F24)+(F541-Calc!F23)),100)/100)+M527*(MIN((Inputs!$B$10+1)+((F542-Calc!F24)+(F541-Calc!F23)),100)/100)</f>
        <v/>
      </c>
      <c r="O527">
        <f>(1-Summary!$B$48)*S527+Summary!$B$48*U527</f>
        <v/>
      </c>
      <c r="P527">
        <f>IF(B560=0,0,O527/B560)</f>
        <v/>
      </c>
      <c r="Q527">
        <f>IFERROR(1/IF(Inputs!$B$39="pvp",15,MAX(0.1,Skills!D9-IF(Skills!E9=TRUE,Inputs!$B$33,0))),0)</f>
        <v/>
      </c>
      <c r="R527">
        <f>IF(AND(Inputs!$B$39&lt;&gt;"pvp",Inputs!$B$44&gt;0),IF(MAX(0,Inputs!$B$44-B557)&lt;=0,0,(INT(MAX(0,Inputs!$B$44-B557)/IF(Inputs!$B$39="pvp",15,MAX(0.1,Skills!D9-IF(Skills!E9=TRUE,Inputs!$B$33,0))))+1)),0)</f>
        <v/>
      </c>
      <c r="S527">
        <f>IF(C527,(H527*N527*IF(AND(Inputs!$B$39&lt;&gt;"pvp",Inputs!$B$44&gt;0),((Skills!F9*((R527-1)*IF(Skills!G9&gt;0,Skills!H9/Skills!G9,1)+IF(Skills!G9&gt;0,MIN(Skills!H9,MAX(0,MAX(0,Inputs!$B$44-B557)-((R527-1)*IF(Inputs!$B$39="pvp",15,MAX(0.1,Skills!D9-IF(Skills!E9=TRUE,Inputs!$B$33,0))))))/Skills!G9,1)))/Inputs!$B$44),G527*Q527))*IF(Inputs!$B$39="pvp",1,1+(Inputs!$B$21+Skills!O9+B548)/100),0)</f>
        <v/>
      </c>
      <c r="U527">
        <f>IF(C527,(H527*N527*IF(AND(Inputs!$B$39&lt;&gt;"pvp",Inputs!$B$44&gt;0),((Skills!F9*((R527-1)*IF(Skills!G9&gt;0,Skills!H9/Skills!G9,1)+IF(Skills!G9&gt;0,MIN(Skills!H9,MAX(0,MAX(0,Inputs!$B$44-B557)-((R527-1)*IF(Inputs!$B$39="pvp",15,MAX(0.1,Skills!D9-IF(Skills!E9=TRUE,Inputs!$B$33,0))))))/Skills!G9,1)))/Inputs!$B$44),G527*Q527))*IF(Inputs!$B$39="pvp",1,(1+(Inputs!$B$22+Skills!P9+B549)/100)*(MIN(Skills!Q9,Inputs!$B$38))),0)</f>
        <v/>
      </c>
    </row>
    <row r="528">
      <c r="A528">
        <f>Skills!A10</f>
        <v/>
      </c>
      <c r="B528">
        <f>Skills!B10</f>
        <v/>
      </c>
      <c r="C528">
        <f>Inputs!$B$3&gt;=66</f>
        <v/>
      </c>
      <c r="D528">
        <f>IF(Skills!C10=1,60+Inputs!$B$26+Inputs!$B$30,IF(Skills!C10=2,90+Inputs!$B$27+Inputs!$B$30,IF(Skills!C10=3,120+Inputs!$B$28+Inputs!$B$30,MAX(0,(Inputs!$B$3-100)*3)+Inputs!$B$29+Inputs!$B$30)))</f>
        <v/>
      </c>
      <c r="E528">
        <f>INDEX(FactorTable!$B$2:$Y$301, MATCH(ROUND(MIN(300,MAX(1,D528)),0), FactorTable!$A$2:$A$301,0), Skills!L10+1)</f>
        <v/>
      </c>
      <c r="F528" t="n">
        <v>0</v>
      </c>
      <c r="G528">
        <f>Calc!G10</f>
        <v/>
      </c>
      <c r="H528">
        <f>Calc!H10</f>
        <v/>
      </c>
      <c r="I528">
        <f>IF(Skills!T10&lt;&gt;"",1+(Skills!T10/10)*($Z$3/1000)/100,1)</f>
        <v/>
      </c>
      <c r="J528" t="inlineStr"/>
      <c r="K528" t="inlineStr"/>
      <c r="L528" t="inlineStr"/>
      <c r="M528" t="inlineStr"/>
      <c r="N528" t="inlineStr"/>
      <c r="O528">
        <f>(1-Summary!$B$48)*S528+Summary!$B$48*U528</f>
        <v/>
      </c>
      <c r="P528">
        <f>IF(B560=0,0,O528/B560)</f>
        <v/>
      </c>
      <c r="Q528">
        <f>IFERROR(1/IF(Inputs!$B$39="pvp",15,MAX(0.1,Skills!D10-IF(Skills!E10=TRUE,Inputs!$B$33,0))),0)</f>
        <v/>
      </c>
      <c r="R528">
        <f>IF(AND(Inputs!$B$39&lt;&gt;"pvp",Inputs!$B$44&gt;0),IF(MAX(0,Inputs!$B$44-B557)&lt;=0,0,(INT(MAX(0,Inputs!$B$44-B557)/IF(Inputs!$B$39="pvp",15,MAX(0.1,Skills!D10-IF(Skills!E10=TRUE,Inputs!$B$33,0))))+1)),0)</f>
        <v/>
      </c>
      <c r="S528" t="n">
        <v>0</v>
      </c>
      <c r="U528" t="n">
        <v>0</v>
      </c>
    </row>
    <row r="529">
      <c r="A529">
        <f>Skills!A11</f>
        <v/>
      </c>
      <c r="B529">
        <f>Skills!B11</f>
        <v/>
      </c>
      <c r="C529">
        <f>Inputs!$B$3&gt;=69</f>
        <v/>
      </c>
      <c r="D529">
        <f>IF(Skills!C11=1,60+Inputs!$B$26+Inputs!$B$30,IF(Skills!C11=2,90+Inputs!$B$27+Inputs!$B$30,IF(Skills!C11=3,120+Inputs!$B$28+Inputs!$B$30,MAX(0,(Inputs!$B$3-100)*3)+Inputs!$B$29+Inputs!$B$30)))</f>
        <v/>
      </c>
      <c r="E529">
        <f>INDEX(FactorTable!$B$2:$Y$301, MATCH(ROUND(MIN(300,MAX(1,D529)),0), FactorTable!$A$2:$A$301,0), Skills!L11+1)</f>
        <v/>
      </c>
      <c r="F529">
        <f>IF(Skills!M11=TRUE,(Skills!K11/10)*(E529/1000),Skills!K11/10)+Skills!N11</f>
        <v/>
      </c>
      <c r="G529">
        <f>Calc!G11</f>
        <v/>
      </c>
      <c r="H529">
        <f>Calc!H11</f>
        <v/>
      </c>
      <c r="I529">
        <f>IF(Skills!T11&lt;&gt;"",1+(Skills!T11/10)*($Z$3/1000)/100,1)</f>
        <v/>
      </c>
      <c r="J529" t="inlineStr"/>
      <c r="K529" t="inlineStr"/>
      <c r="L529" t="inlineStr"/>
      <c r="M529" t="inlineStr"/>
      <c r="N529" t="inlineStr"/>
      <c r="O529">
        <f>(1-Summary!$B$48)*S529+Summary!$B$48*U529</f>
        <v/>
      </c>
      <c r="P529">
        <f>IF(B560=0,0,O529/B560)</f>
        <v/>
      </c>
      <c r="Q529">
        <f>IFERROR(1/IF(Inputs!$B$39="pvp",15,MAX(0.1,Skills!D11-IF(Skills!E11=TRUE,Inputs!$B$33,0))),0)</f>
        <v/>
      </c>
      <c r="R529">
        <f>IF(AND(Inputs!$B$39&lt;&gt;"pvp",Inputs!$B$44&gt;0),IF(Inputs!$B$44&lt;=0,0,(INT(Inputs!$B$44/IF(Inputs!$B$39="pvp",15,MAX(0.1,Skills!D11-IF(Skills!E11=TRUE,Inputs!$B$33,0))))+1)),0)</f>
        <v/>
      </c>
      <c r="S529" t="n">
        <v>0</v>
      </c>
      <c r="U529" t="n">
        <v>0</v>
      </c>
    </row>
    <row r="530">
      <c r="A530">
        <f>Skills!A12</f>
        <v/>
      </c>
      <c r="B530">
        <f>Skills!B12</f>
        <v/>
      </c>
      <c r="C530">
        <f>Inputs!$B$3&gt;=72</f>
        <v/>
      </c>
      <c r="D530">
        <f>IF(Skills!C12=1,60+Inputs!$B$26+Inputs!$B$30,IF(Skills!C12=2,90+Inputs!$B$27+Inputs!$B$30,IF(Skills!C12=3,120+Inputs!$B$28+Inputs!$B$30,MAX(0,(Inputs!$B$3-100)*3)+Inputs!$B$29+Inputs!$B$30)))</f>
        <v/>
      </c>
      <c r="E530">
        <f>INDEX(FactorTable!$B$2:$Y$301, MATCH(ROUND(MIN(300,MAX(1,D530)),0), FactorTable!$A$2:$A$301,0), Skills!L12+1)</f>
        <v/>
      </c>
      <c r="F530">
        <f>IF(Skills!M12=TRUE,(Skills!K12/10)*(E530/1000),Skills!K12/10)+Skills!N12</f>
        <v/>
      </c>
      <c r="G530">
        <f>Calc!G12</f>
        <v/>
      </c>
      <c r="H530">
        <f>Calc!H12</f>
        <v/>
      </c>
      <c r="I530">
        <f>IF(Skills!T12&lt;&gt;"",1+(Skills!T12/10)*($Z$3/1000)/100,1)</f>
        <v/>
      </c>
      <c r="J530" t="inlineStr"/>
      <c r="K530" t="inlineStr"/>
      <c r="L530" t="inlineStr"/>
      <c r="M530" t="inlineStr"/>
      <c r="N530" t="inlineStr"/>
      <c r="O530">
        <f>(1-Summary!$B$48)*S530+Summary!$B$48*U530</f>
        <v/>
      </c>
      <c r="P530">
        <f>IF(B560=0,0,O530/B560)</f>
        <v/>
      </c>
      <c r="Q530">
        <f>IFERROR(1/IF(Inputs!$B$39="pvp",15,MAX(0.1,Skills!D12-IF(Skills!E12=TRUE,Inputs!$B$33,0))),0)</f>
        <v/>
      </c>
      <c r="R530">
        <f>IF(AND(Inputs!$B$39&lt;&gt;"pvp",Inputs!$B$44&gt;0),IF(MAX(0,Inputs!$B$44-B557)&lt;=0,0,(INT(MAX(0,Inputs!$B$44-B557)/IF(Inputs!$B$39="pvp",15,MAX(0.1,Skills!D12-IF(Skills!E12=TRUE,Inputs!$B$33,0))))+1)),0)</f>
        <v/>
      </c>
      <c r="S530" t="n">
        <v>0</v>
      </c>
      <c r="U530" t="n">
        <v>0</v>
      </c>
    </row>
    <row r="531">
      <c r="A531">
        <f>Skills!A13</f>
        <v/>
      </c>
      <c r="B531">
        <f>Skills!B13</f>
        <v/>
      </c>
      <c r="C531">
        <f>Inputs!$B$3&gt;=60</f>
        <v/>
      </c>
      <c r="D531">
        <f>IF(Skills!C13=1,60+Inputs!$B$26+Inputs!$B$30,IF(Skills!C13=2,90+Inputs!$B$27+Inputs!$B$30,IF(Skills!C13=3,120+Inputs!$B$28+Inputs!$B$30,MAX(0,(Inputs!$B$3-100)*3)+Inputs!$B$29+Inputs!$B$30)))</f>
        <v/>
      </c>
      <c r="E531">
        <f>INDEX(FactorTable!$B$2:$Y$301, MATCH(ROUND(MIN(300,MAX(1,D531)),0), FactorTable!$A$2:$A$301,0), Skills!L13+1)</f>
        <v/>
      </c>
      <c r="F531">
        <f>IF(Skills!M13=TRUE,(Skills!K13/10)*(E531/1000),Skills!K13/10)+Skills!N13</f>
        <v/>
      </c>
      <c r="G531">
        <f>Calc!G13</f>
        <v/>
      </c>
      <c r="H531">
        <f>Calc!H13</f>
        <v/>
      </c>
      <c r="I531">
        <f>IF(Skills!T13&lt;&gt;"",1+(Skills!T13/10)*($Z$3/1000)/100,1)</f>
        <v/>
      </c>
      <c r="J531" t="inlineStr"/>
      <c r="K531" t="inlineStr"/>
      <c r="L531" t="inlineStr"/>
      <c r="M531" t="inlineStr"/>
      <c r="N531" t="inlineStr"/>
      <c r="O531">
        <f>(1-Summary!$B$48)*S531+Summary!$B$48*U531</f>
        <v/>
      </c>
      <c r="P531">
        <f>IF(B560=0,0,O531/B560)</f>
        <v/>
      </c>
      <c r="Q531">
        <f>IFERROR(1/IF(Inputs!$B$39="pvp",15,MAX(0.1,Skills!D13-IF(Skills!E13=TRUE,Inputs!$B$33,0))),0)</f>
        <v/>
      </c>
      <c r="R531">
        <f>IF(AND(Inputs!$B$39&lt;&gt;"pvp",Inputs!$B$44&gt;0),IF(MAX(0,Inputs!$B$44-B557)&lt;=0,0,(INT(MAX(0,Inputs!$B$44-B557)/IF(Inputs!$B$39="pvp",15,MAX(0.1,Skills!D13-IF(Skills!E13=TRUE,Inputs!$B$33,0))))+1)),0)</f>
        <v/>
      </c>
      <c r="S531" t="n">
        <v>0</v>
      </c>
      <c r="U531" t="n">
        <v>0</v>
      </c>
    </row>
    <row r="532">
      <c r="A532">
        <f>Skills!A14</f>
        <v/>
      </c>
      <c r="B532">
        <f>Skills!B14</f>
        <v/>
      </c>
      <c r="C532">
        <f>Inputs!$B$3&gt;=107</f>
        <v/>
      </c>
      <c r="D532">
        <f>IF(Skills!C14=1,60+Inputs!$B$26+Inputs!$B$30,IF(Skills!C14=2,90+Inputs!$B$27+Inputs!$B$30,IF(Skills!C14=3,120+Inputs!$B$28+Inputs!$B$30,MAX(0,(Inputs!$B$3-100)*3)+Inputs!$B$29+Inputs!$B$30)))</f>
        <v/>
      </c>
      <c r="E532">
        <f>INDEX(FactorTable!$B$2:$Y$301, MATCH(ROUND(MIN(300,MAX(1,D532)),0), FactorTable!$A$2:$A$301,0), Skills!L14+1)</f>
        <v/>
      </c>
      <c r="F532">
        <f>IF(Skills!M14=TRUE,(Skills!K14/10)*(E532/1000),Skills!K14/10)+Skills!N14</f>
        <v/>
      </c>
      <c r="G532">
        <f>Calc!G14</f>
        <v/>
      </c>
      <c r="H532">
        <f>Calc!H14</f>
        <v/>
      </c>
      <c r="I532">
        <f>IF(Skills!T14&lt;&gt;"",1+(Skills!T14/10)*($Z$3/1000)/100,1)</f>
        <v/>
      </c>
      <c r="J532" t="inlineStr"/>
      <c r="K532" t="inlineStr"/>
      <c r="L532" t="inlineStr"/>
      <c r="M532" t="inlineStr"/>
      <c r="N532" t="inlineStr"/>
      <c r="O532">
        <f>(1-Summary!$B$48)*S532+Summary!$B$48*U532</f>
        <v/>
      </c>
      <c r="P532">
        <f>IF(B560=0,0,O532/B560)</f>
        <v/>
      </c>
      <c r="Q532">
        <f>IFERROR(1/IF(Inputs!$B$39="pvp",15,MAX(0.1,Skills!D14-IF(Skills!E14=TRUE,Inputs!$B$33,0))),0)</f>
        <v/>
      </c>
      <c r="R532">
        <f>IF(AND(Inputs!$B$39&lt;&gt;"pvp",Inputs!$B$44&gt;0),IF(Inputs!$B$44&lt;=0,0,(INT(Inputs!$B$44/IF(Inputs!$B$39="pvp",15,MAX(0.1,Skills!D14-IF(Skills!E14=TRUE,Inputs!$B$33,0))))+1)),0)</f>
        <v/>
      </c>
      <c r="S532" t="n">
        <v>0</v>
      </c>
      <c r="U532" t="n">
        <v>0</v>
      </c>
    </row>
    <row r="533">
      <c r="A533">
        <f>Skills!A15</f>
        <v/>
      </c>
      <c r="B533">
        <f>Skills!B15</f>
        <v/>
      </c>
      <c r="C533">
        <f>Inputs!$B$3&gt;=63</f>
        <v/>
      </c>
      <c r="D533">
        <f>IF(Skills!C15=1,60+Inputs!$B$26+Inputs!$B$30,IF(Skills!C15=2,90+Inputs!$B$27+Inputs!$B$30,IF(Skills!C15=3,120+Inputs!$B$28+Inputs!$B$30,MAX(0,(Inputs!$B$3-100)*3)+Inputs!$B$29+Inputs!$B$30)))</f>
        <v/>
      </c>
      <c r="E533">
        <f>INDEX(FactorTable!$B$2:$Y$301, MATCH(ROUND(MIN(300,MAX(1,D533)),0), FactorTable!$A$2:$A$301,0), Skills!L15+1)</f>
        <v/>
      </c>
      <c r="F533">
        <f>IF(Skills!M15=TRUE,(Skills!K15/10)*(E533/1000),Skills!K15/10)+Skills!N15</f>
        <v/>
      </c>
      <c r="G533">
        <f>Calc!G15</f>
        <v/>
      </c>
      <c r="H533">
        <f>Calc!H15</f>
        <v/>
      </c>
      <c r="I533">
        <f>IF(Skills!T15&lt;&gt;"",1+(Skills!T15/10)*($Z$3/1000)/100,1)</f>
        <v/>
      </c>
      <c r="J533">
        <f>((Inputs!$B$6*(1+Inputs!$B$7/100))+(((Inputs!$B$13*(1+Inputs!$B$14/100))-(Inputs!$B$13*(1+Inputs!$B$14/100)))+0.25*(Inputs!$B$15-Inputs!$B$15))*(1+Inputs!$B$7/100))*(F533/100)</f>
        <v/>
      </c>
      <c r="K533">
        <f>J533*(1+(((Inputs!$B$13+IF(Inputs!$B$3&gt;=35,(10*INDEX(FactorTable!$B$2:$Y$301, MATCH(ROUND(MIN(300,MAX(1,Inputs!$B$3)),0), FactorTable!$A$2:$A$301,0), 23)/1000)/100*(Inputs!$B$8*(1+(Inputs!$B$9+B556)/100)),0))*(1+Inputs!$B$14/100))*0.01+Inputs!$B$15*0.0025)/100)*(1+(Inputs!$B$16+B550)/100)*(1+Inputs!$B$17/100)*(5000/(6000+Inputs!$B$43*(1-Inputs!$B$20/100)))*(1+Inputs!$B$25/100)*(1+IF(C536=TRUE,F536,0)/100)*(1+IF(C538=TRUE,F538,0)/100)*(1+IF(Skills!A15="TRIUMPH_FEATHER",IF(C534=TRUE,F534,0),0)/100)*(1+IF(C545=TRUE,F545,0)/100)^5*(1+(IF(Skills!A15="BIG_BANG",Inputs!$B$18,Inputs!$B$19))/100)*(B547*I533)</f>
        <v/>
      </c>
      <c r="L533">
        <f>K533*(MIN(Inputs!$B$23+(F540-Calc!F22),Inputs!$B$24)/100+Inputs!$B$24/100)/2</f>
        <v/>
      </c>
      <c r="M533">
        <f>L533*(1+(Inputs!$B$11+B551+(F543-Calc!F25))/100)</f>
        <v/>
      </c>
      <c r="N533">
        <f>L533*(1-MIN((Inputs!$B$10+1)+((F542-Calc!F24)+(F541-Calc!F23)),100)/100)+M533*(MIN((Inputs!$B$10+1)+((F542-Calc!F24)+(F541-Calc!F23)),100)/100)</f>
        <v/>
      </c>
      <c r="O533">
        <f>(1-Summary!$B$48)*S533+Summary!$B$48*U533</f>
        <v/>
      </c>
      <c r="P533">
        <f>IF(B560=0,0,O533/B560)</f>
        <v/>
      </c>
      <c r="Q533">
        <f>IFERROR(1/IF(Inputs!$B$39="pvp",15,MAX(0.1,Skills!D15-IF(Skills!E15=TRUE,Inputs!$B$33,0))),0)</f>
        <v/>
      </c>
      <c r="R533" t="n">
        <v>0</v>
      </c>
      <c r="S533">
        <f>IF(C533,(Skills!F15*N533*((IF(Inputs!$B$3&gt;=78,25,15)/100*B553*10)/(1+IF(Inputs!$B$3&gt;=78,25,15)/100*B553*10))*(Skills!I15/100*B553)/(1+Skills!G15*Skills!I15/100*B553))*IF(Inputs!$B$39="pvp",1,1+(Inputs!$B$21+Skills!O15+B548)/100),0)</f>
        <v/>
      </c>
      <c r="U533">
        <f>IF(C533,(Skills!F15*N533*((IF(Inputs!$B$3&gt;=78,25,15)/100*B553*10)/(1+IF(Inputs!$B$3&gt;=78,25,15)/100*B553*10))*(Skills!I15/100*B553)/(1+Skills!G15*Skills!I15/100*B553))*IF(Inputs!$B$39="pvp",1,(1+(Inputs!$B$22+Skills!P15+B549)/100)*(MIN(Skills!Q15,Inputs!$B$38))),0)</f>
        <v/>
      </c>
    </row>
    <row r="534">
      <c r="A534">
        <f>Skills!A16</f>
        <v/>
      </c>
      <c r="B534">
        <f>Skills!B16</f>
        <v/>
      </c>
      <c r="C534">
        <f>Inputs!$B$3&gt;=100</f>
        <v/>
      </c>
      <c r="D534">
        <f>IF(Skills!C16=1,60+Inputs!$B$26+Inputs!$B$30,IF(Skills!C16=2,90+Inputs!$B$27+Inputs!$B$30,IF(Skills!C16=3,120+Inputs!$B$28+Inputs!$B$30,MAX(0,(Inputs!$B$3-100)*3)+Inputs!$B$29+Inputs!$B$30)))</f>
        <v/>
      </c>
      <c r="E534">
        <f>INDEX(FactorTable!$B$2:$Y$301, MATCH(ROUND(MIN(300,MAX(1,D534)),0), FactorTable!$A$2:$A$301,0), Skills!L16+1)</f>
        <v/>
      </c>
      <c r="F534">
        <f>IF(Skills!M16=TRUE,(Skills!K16/10)*(E534/1000),Skills!K16/10)+Skills!N16</f>
        <v/>
      </c>
      <c r="G534">
        <f>Calc!G16</f>
        <v/>
      </c>
      <c r="H534">
        <f>Calc!H16</f>
        <v/>
      </c>
      <c r="I534">
        <f>IF(Skills!T16&lt;&gt;"",1+(Skills!T16/10)*($Z$3/1000)/100,1)</f>
        <v/>
      </c>
      <c r="J534" t="inlineStr"/>
      <c r="K534" t="inlineStr"/>
      <c r="L534" t="inlineStr"/>
      <c r="M534" t="inlineStr"/>
      <c r="N534" t="inlineStr"/>
      <c r="O534">
        <f>(1-Summary!$B$48)*S534+Summary!$B$48*U534</f>
        <v/>
      </c>
      <c r="P534">
        <f>IF(B560=0,0,O534/B560)</f>
        <v/>
      </c>
      <c r="Q534">
        <f>IFERROR(1/IF(Inputs!$B$39="pvp",15,MAX(0.1,Skills!D16-IF(Skills!E16=TRUE,Inputs!$B$33,0))),0)</f>
        <v/>
      </c>
      <c r="R534" t="n">
        <v>0</v>
      </c>
      <c r="S534" t="n">
        <v>0</v>
      </c>
      <c r="U534" t="n">
        <v>0</v>
      </c>
    </row>
    <row r="535">
      <c r="A535">
        <f>Skills!A17</f>
        <v/>
      </c>
      <c r="B535">
        <f>Skills!B17</f>
        <v/>
      </c>
      <c r="C535">
        <f>Inputs!$B$3&gt;=49</f>
        <v/>
      </c>
      <c r="D535">
        <f>IF(Skills!C17=1,60+Inputs!$B$26+Inputs!$B$30,IF(Skills!C17=2,90+Inputs!$B$27+Inputs!$B$30,IF(Skills!C17=3,120+Inputs!$B$28+Inputs!$B$30,MAX(0,(Inputs!$B$3-100)*3)+Inputs!$B$29+Inputs!$B$30)))</f>
        <v/>
      </c>
      <c r="E535">
        <f>INDEX(FactorTable!$B$2:$Y$301, MATCH(ROUND(MIN(300,MAX(1,D535)),0), FactorTable!$A$2:$A$301,0), Skills!L17+1)</f>
        <v/>
      </c>
      <c r="F535">
        <f>IF(Skills!M17=TRUE,(Skills!K17/10)*(E535/1000),Skills!K17/10)+Skills!N17</f>
        <v/>
      </c>
      <c r="G535">
        <f>Calc!G17</f>
        <v/>
      </c>
      <c r="H535">
        <f>Calc!H17</f>
        <v/>
      </c>
      <c r="I535">
        <f>IF(Skills!T17&lt;&gt;"",1+(Skills!T17/10)*($Z$3/1000)/100,1)</f>
        <v/>
      </c>
      <c r="J535" t="inlineStr"/>
      <c r="K535" t="inlineStr"/>
      <c r="L535" t="inlineStr"/>
      <c r="M535" t="inlineStr"/>
      <c r="N535" t="inlineStr"/>
      <c r="O535">
        <f>(1-Summary!$B$48)*S535+Summary!$B$48*U535</f>
        <v/>
      </c>
      <c r="P535">
        <f>IF(B560=0,0,O535/B560)</f>
        <v/>
      </c>
      <c r="Q535">
        <f>IFERROR(1/IF(Inputs!$B$39="pvp",15,MAX(0.1,Skills!D17-IF(Skills!E17=TRUE,Inputs!$B$33,0))),0)</f>
        <v/>
      </c>
      <c r="R535" t="n">
        <v>0</v>
      </c>
      <c r="S535" t="n">
        <v>0</v>
      </c>
      <c r="U535" t="n">
        <v>0</v>
      </c>
    </row>
    <row r="536">
      <c r="A536">
        <f>Skills!A18</f>
        <v/>
      </c>
      <c r="B536">
        <f>Skills!B18</f>
        <v/>
      </c>
      <c r="C536">
        <f>Inputs!$B$3&gt;=75</f>
        <v/>
      </c>
      <c r="D536">
        <f>IF(Skills!C18=1,60+Inputs!$B$26+Inputs!$B$30,IF(Skills!C18=2,90+Inputs!$B$27+Inputs!$B$30,IF(Skills!C18=3,120+Inputs!$B$28+Inputs!$B$30,MAX(0,(Inputs!$B$3-100)*3)+Inputs!$B$29+Inputs!$B$30)))</f>
        <v/>
      </c>
      <c r="E536">
        <f>INDEX(FactorTable!$B$2:$Y$301, MATCH(ROUND(MIN(300,MAX(1,D536)),0), FactorTable!$A$2:$A$301,0), Skills!L18+1)</f>
        <v/>
      </c>
      <c r="F536">
        <f>IF(Skills!M18=TRUE,(Skills!K18/10)*(E536/1000),Skills!K18/10)+Skills!N18</f>
        <v/>
      </c>
      <c r="G536">
        <f>Calc!G18</f>
        <v/>
      </c>
      <c r="H536">
        <f>Calc!H18</f>
        <v/>
      </c>
      <c r="I536">
        <f>IF(Skills!T18&lt;&gt;"",1+(Skills!T18/10)*($Z$3/1000)/100,1)</f>
        <v/>
      </c>
      <c r="J536" t="inlineStr"/>
      <c r="K536" t="inlineStr"/>
      <c r="L536" t="inlineStr"/>
      <c r="M536" t="inlineStr"/>
      <c r="N536" t="inlineStr"/>
      <c r="O536">
        <f>(1-Summary!$B$48)*S536+Summary!$B$48*U536</f>
        <v/>
      </c>
      <c r="P536">
        <f>IF(B560=0,0,O536/B560)</f>
        <v/>
      </c>
      <c r="Q536">
        <f>IFERROR(1/IF(Inputs!$B$39="pvp",15,MAX(0.1,Skills!D18-IF(Skills!E18=TRUE,Inputs!$B$33,0))),0)</f>
        <v/>
      </c>
      <c r="R536" t="n">
        <v>0</v>
      </c>
      <c r="S536" t="n">
        <v>0</v>
      </c>
      <c r="U536" t="n">
        <v>0</v>
      </c>
    </row>
    <row r="537">
      <c r="A537">
        <f>Skills!A19</f>
        <v/>
      </c>
      <c r="B537">
        <f>Skills!B19</f>
        <v/>
      </c>
      <c r="C537">
        <f>Inputs!$B$3&gt;=110</f>
        <v/>
      </c>
      <c r="D537">
        <f>IF(Skills!C19=1,60+Inputs!$B$26+Inputs!$B$30,IF(Skills!C19=2,90+Inputs!$B$27+Inputs!$B$30,IF(Skills!C19=3,120+Inputs!$B$28+Inputs!$B$30,MAX(0,(Inputs!$B$3-100)*3)+Inputs!$B$29+Inputs!$B$30)))</f>
        <v/>
      </c>
      <c r="E537">
        <f>INDEX(FactorTable!$B$2:$Y$301, MATCH(ROUND(MIN(300,MAX(1,D537)),0), FactorTable!$A$2:$A$301,0), Skills!L19+1)</f>
        <v/>
      </c>
      <c r="F537">
        <f>(Skills!K19/10)*(E537/1000)*64/45+Skills!N19</f>
        <v/>
      </c>
      <c r="G537">
        <f>Calc!G19</f>
        <v/>
      </c>
      <c r="H537">
        <f>Calc!H19</f>
        <v/>
      </c>
      <c r="I537">
        <f>IF(Skills!T19&lt;&gt;"",1+(Skills!T19/10)*($Z$3/1000)/100,1)</f>
        <v/>
      </c>
      <c r="J537" t="inlineStr"/>
      <c r="K537" t="inlineStr"/>
      <c r="L537" t="inlineStr"/>
      <c r="M537" t="inlineStr"/>
      <c r="N537" t="inlineStr"/>
      <c r="O537">
        <f>(1-Summary!$B$48)*S537+Summary!$B$48*U537</f>
        <v/>
      </c>
      <c r="P537">
        <f>IF(B560=0,0,O537/B560)</f>
        <v/>
      </c>
      <c r="Q537">
        <f>IFERROR(1/IF(Inputs!$B$39="pvp",15,MAX(0.1,Skills!D19-IF(Skills!E19=TRUE,Inputs!$B$33,0))),0)</f>
        <v/>
      </c>
      <c r="R537">
        <f>IF(AND(Inputs!$B$39&lt;&gt;"pvp",Inputs!$B$44&gt;0),IF(Inputs!$B$44&lt;=0,0,(INT(Inputs!$B$44/IF(Inputs!$B$39="pvp",15,MAX(0.1,Skills!D19-IF(Skills!E19=TRUE,Inputs!$B$33,0))))+1)),0)</f>
        <v/>
      </c>
      <c r="S537" t="n">
        <v>0</v>
      </c>
      <c r="U537" t="n">
        <v>0</v>
      </c>
    </row>
    <row r="538">
      <c r="A538">
        <f>Skills!A20</f>
        <v/>
      </c>
      <c r="B538">
        <f>Skills!B20</f>
        <v/>
      </c>
      <c r="C538">
        <f>Inputs!$B$3&gt;=125</f>
        <v/>
      </c>
      <c r="D538">
        <f>IF(Skills!C20=1,60+Inputs!$B$26+Inputs!$B$30,IF(Skills!C20=2,90+Inputs!$B$27+Inputs!$B$30,IF(Skills!C20=3,120+Inputs!$B$28+Inputs!$B$30,MAX(0,(Inputs!$B$3-100)*3)+Inputs!$B$29+Inputs!$B$30)))</f>
        <v/>
      </c>
      <c r="E538">
        <f>INDEX(FactorTable!$B$2:$Y$301, MATCH(ROUND(MIN(300,MAX(1,D538)),0), FactorTable!$A$2:$A$301,0), Skills!L20+1)</f>
        <v/>
      </c>
      <c r="F538">
        <f>IF(Skills!M20=TRUE,(Skills!K20/10)*(E538/1000),Skills!K20/10)+Skills!N20</f>
        <v/>
      </c>
      <c r="G538">
        <f>Calc!G20</f>
        <v/>
      </c>
      <c r="H538">
        <f>Calc!H20</f>
        <v/>
      </c>
      <c r="I538">
        <f>IF(Skills!T20&lt;&gt;"",1+(Skills!T20/10)*($Z$3/1000)/100,1)</f>
        <v/>
      </c>
      <c r="J538" t="inlineStr"/>
      <c r="K538" t="inlineStr"/>
      <c r="L538" t="inlineStr"/>
      <c r="M538" t="inlineStr"/>
      <c r="N538" t="inlineStr"/>
      <c r="O538">
        <f>(1-Summary!$B$48)*S538+Summary!$B$48*U538</f>
        <v/>
      </c>
      <c r="P538">
        <f>IF(B560=0,0,O538/B560)</f>
        <v/>
      </c>
      <c r="Q538">
        <f>IFERROR(1/IF(Inputs!$B$39="pvp",15,MAX(0.1,Skills!D20-IF(Skills!E20=TRUE,Inputs!$B$33,0))),0)</f>
        <v/>
      </c>
      <c r="R538" t="n">
        <v>0</v>
      </c>
      <c r="S538" t="n">
        <v>0</v>
      </c>
      <c r="U538" t="n">
        <v>0</v>
      </c>
    </row>
    <row r="539">
      <c r="A539">
        <f>Skills!A21</f>
        <v/>
      </c>
      <c r="B539">
        <f>Skills!B21</f>
        <v/>
      </c>
      <c r="C539">
        <f>Inputs!$B$3&gt;=33</f>
        <v/>
      </c>
      <c r="D539">
        <f>IF(Skills!C21=1,60+Inputs!$B$26+Inputs!$B$30,IF(Skills!C21=2,90+Inputs!$B$27+Inputs!$B$30,IF(Skills!C21=3,120+Inputs!$B$28+Inputs!$B$30,MAX(0,(Inputs!$B$3-100)*3)+Inputs!$B$29+Inputs!$B$30)))</f>
        <v/>
      </c>
      <c r="E539">
        <f>INDEX(FactorTable!$B$2:$Y$301, MATCH(ROUND(MIN(300,MAX(1,D539)),0), FactorTable!$A$2:$A$301,0), Skills!L21+1)</f>
        <v/>
      </c>
      <c r="F539">
        <f>IF(Skills!M21=TRUE,(Skills!K21/10)*(E539/1000),Skills!K21/10)+Skills!N21</f>
        <v/>
      </c>
      <c r="G539">
        <f>Calc!G21</f>
        <v/>
      </c>
      <c r="H539">
        <f>Calc!H21</f>
        <v/>
      </c>
      <c r="I539">
        <f>IF(Skills!T21&lt;&gt;"",1+(Skills!T21/10)*($Z$3/1000)/100,1)</f>
        <v/>
      </c>
      <c r="J539" t="inlineStr"/>
      <c r="K539" t="inlineStr"/>
      <c r="L539" t="inlineStr"/>
      <c r="M539" t="inlineStr"/>
      <c r="N539" t="inlineStr"/>
      <c r="O539">
        <f>(1-Summary!$B$48)*S539+Summary!$B$48*U539</f>
        <v/>
      </c>
      <c r="P539">
        <f>IF(B560=0,0,O539/B560)</f>
        <v/>
      </c>
      <c r="Q539">
        <f>IFERROR(1/IF(Inputs!$B$39="pvp",15,MAX(0.1,Skills!D21-IF(Skills!E21=TRUE,Inputs!$B$33,0))),0)</f>
        <v/>
      </c>
      <c r="R539" t="n">
        <v>0</v>
      </c>
      <c r="S539" t="n">
        <v>0</v>
      </c>
      <c r="U539" t="n">
        <v>0</v>
      </c>
    </row>
    <row r="540">
      <c r="A540">
        <f>Skills!A22</f>
        <v/>
      </c>
      <c r="B540">
        <f>Skills!B22</f>
        <v/>
      </c>
      <c r="C540">
        <f>Inputs!$B$3&gt;=43</f>
        <v/>
      </c>
      <c r="D540">
        <f>IF(Skills!C22=1,60+Inputs!$B$26+Inputs!$B$30,IF(Skills!C22=2,90+Inputs!$B$27+Inputs!$B$30,IF(Skills!C22=3,120+Inputs!$B$28+Inputs!$B$30,MAX(0,(Inputs!$B$3-100)*3)+Inputs!$B$29+Inputs!$B$30)))</f>
        <v/>
      </c>
      <c r="E540">
        <f>INDEX(FactorTable!$B$2:$Y$301, MATCH(ROUND(MIN(300,MAX(1,D540)),0), FactorTable!$A$2:$A$301,0), Skills!L22+1)</f>
        <v/>
      </c>
      <c r="F540">
        <f>IF(Skills!M22=TRUE,(Skills!K22/10)*(E540/1000),Skills!K22/10)+Skills!N22</f>
        <v/>
      </c>
      <c r="G540">
        <f>Calc!G22</f>
        <v/>
      </c>
      <c r="H540">
        <f>Calc!H22</f>
        <v/>
      </c>
      <c r="I540">
        <f>IF(Skills!T22&lt;&gt;"",1+(Skills!T22/10)*($Z$3/1000)/100,1)</f>
        <v/>
      </c>
      <c r="J540" t="inlineStr"/>
      <c r="K540" t="inlineStr"/>
      <c r="L540" t="inlineStr"/>
      <c r="M540" t="inlineStr"/>
      <c r="N540" t="inlineStr"/>
      <c r="O540">
        <f>(1-Summary!$B$48)*S540+Summary!$B$48*U540</f>
        <v/>
      </c>
      <c r="P540">
        <f>IF(B560=0,0,O540/B560)</f>
        <v/>
      </c>
      <c r="Q540">
        <f>IFERROR(1/IF(Inputs!$B$39="pvp",15,MAX(0.1,Skills!D22-IF(Skills!E22=TRUE,Inputs!$B$33,0))),0)</f>
        <v/>
      </c>
      <c r="R540" t="n">
        <v>0</v>
      </c>
      <c r="S540" t="n">
        <v>0</v>
      </c>
      <c r="U540" t="n">
        <v>0</v>
      </c>
    </row>
    <row r="541">
      <c r="A541">
        <f>Skills!A23</f>
        <v/>
      </c>
      <c r="B541">
        <f>Skills!B23</f>
        <v/>
      </c>
      <c r="C541">
        <f>Inputs!$B$3&gt;=50</f>
        <v/>
      </c>
      <c r="D541">
        <f>IF(Skills!C23=1,60+Inputs!$B$26+Inputs!$B$30,IF(Skills!C23=2,90+Inputs!$B$27+Inputs!$B$30,IF(Skills!C23=3,120+Inputs!$B$28+Inputs!$B$30,MAX(0,(Inputs!$B$3-100)*3)+Inputs!$B$29+Inputs!$B$30)))</f>
        <v/>
      </c>
      <c r="E541">
        <f>INDEX(FactorTable!$B$2:$Y$301, MATCH(ROUND(MIN(300,MAX(1,D541)),0), FactorTable!$A$2:$A$301,0), Skills!L23+1)</f>
        <v/>
      </c>
      <c r="F541">
        <f>IF(Skills!M23=TRUE,(Skills!K23/10)*(E541/1000),Skills!K23/10)+Skills!N23</f>
        <v/>
      </c>
      <c r="G541">
        <f>Calc!G23</f>
        <v/>
      </c>
      <c r="H541">
        <f>Calc!H23</f>
        <v/>
      </c>
      <c r="I541">
        <f>IF(Skills!T23&lt;&gt;"",1+(Skills!T23/10)*($Z$3/1000)/100,1)</f>
        <v/>
      </c>
      <c r="J541" t="inlineStr"/>
      <c r="K541" t="inlineStr"/>
      <c r="L541" t="inlineStr"/>
      <c r="M541" t="inlineStr"/>
      <c r="N541" t="inlineStr"/>
      <c r="O541">
        <f>(1-Summary!$B$48)*S541+Summary!$B$48*U541</f>
        <v/>
      </c>
      <c r="P541">
        <f>IF(B560=0,0,O541/B560)</f>
        <v/>
      </c>
      <c r="Q541">
        <f>IFERROR(1/IF(Inputs!$B$39="pvp",15,MAX(0.1,Skills!D23-IF(Skills!E23=TRUE,Inputs!$B$33,0))),0)</f>
        <v/>
      </c>
      <c r="R541" t="n">
        <v>0</v>
      </c>
      <c r="S541" t="n">
        <v>0</v>
      </c>
      <c r="U541" t="n">
        <v>0</v>
      </c>
    </row>
    <row r="542">
      <c r="A542">
        <f>Skills!A24</f>
        <v/>
      </c>
      <c r="B542">
        <f>Skills!B24</f>
        <v/>
      </c>
      <c r="C542">
        <f>Inputs!$B$3&gt;=74</f>
        <v/>
      </c>
      <c r="D542">
        <f>IF(Skills!C24=1,60+Inputs!$B$26+Inputs!$B$30,IF(Skills!C24=2,90+Inputs!$B$27+Inputs!$B$30,IF(Skills!C24=3,120+Inputs!$B$28+Inputs!$B$30,MAX(0,(Inputs!$B$3-100)*3)+Inputs!$B$29+Inputs!$B$30)))</f>
        <v/>
      </c>
      <c r="E542">
        <f>INDEX(FactorTable!$B$2:$Y$301, MATCH(ROUND(MIN(300,MAX(1,D542)),0), FactorTable!$A$2:$A$301,0), Skills!L24+1)</f>
        <v/>
      </c>
      <c r="F542">
        <f>IF(Skills!M24=TRUE,(Skills!K24/10)*(E542/1000),Skills!K24/10)+Skills!N24</f>
        <v/>
      </c>
      <c r="G542">
        <f>Calc!G24</f>
        <v/>
      </c>
      <c r="H542">
        <f>Calc!H24</f>
        <v/>
      </c>
      <c r="I542">
        <f>IF(Skills!T24&lt;&gt;"",1+(Skills!T24/10)*($Z$3/1000)/100,1)</f>
        <v/>
      </c>
      <c r="J542" t="inlineStr"/>
      <c r="K542" t="inlineStr"/>
      <c r="L542" t="inlineStr"/>
      <c r="M542" t="inlineStr"/>
      <c r="N542" t="inlineStr"/>
      <c r="O542">
        <f>(1-Summary!$B$48)*S542+Summary!$B$48*U542</f>
        <v/>
      </c>
      <c r="P542">
        <f>IF(B560=0,0,O542/B560)</f>
        <v/>
      </c>
      <c r="Q542">
        <f>IFERROR(1/IF(Inputs!$B$39="pvp",15,MAX(0.1,Skills!D24-IF(Skills!E24=TRUE,Inputs!$B$33,0))),0)</f>
        <v/>
      </c>
      <c r="R542" t="n">
        <v>0</v>
      </c>
      <c r="S542" t="n">
        <v>0</v>
      </c>
      <c r="U542" t="n">
        <v>0</v>
      </c>
    </row>
    <row r="543">
      <c r="A543">
        <f>Skills!A25</f>
        <v/>
      </c>
      <c r="B543">
        <f>Skills!B25</f>
        <v/>
      </c>
      <c r="C543">
        <f>Inputs!$B$3&gt;=74</f>
        <v/>
      </c>
      <c r="D543">
        <f>IF(Skills!C25=1,60+Inputs!$B$26+Inputs!$B$30,IF(Skills!C25=2,90+Inputs!$B$27+Inputs!$B$30,IF(Skills!C25=3,120+Inputs!$B$28+Inputs!$B$30,MAX(0,(Inputs!$B$3-100)*3)+Inputs!$B$29+Inputs!$B$30)))</f>
        <v/>
      </c>
      <c r="E543">
        <f>INDEX(FactorTable!$B$2:$Y$301, MATCH(ROUND(MIN(300,MAX(1,D543)),0), FactorTable!$A$2:$A$301,0), Skills!L25+1)</f>
        <v/>
      </c>
      <c r="F543">
        <f>IF(Skills!M25=TRUE,(Skills!K25/10)*(E543/1000),Skills!K25/10)+Skills!N25</f>
        <v/>
      </c>
      <c r="G543">
        <f>Calc!G25</f>
        <v/>
      </c>
      <c r="H543">
        <f>Calc!H25</f>
        <v/>
      </c>
      <c r="I543">
        <f>IF(Skills!T25&lt;&gt;"",1+(Skills!T25/10)*($Z$3/1000)/100,1)</f>
        <v/>
      </c>
      <c r="J543" t="inlineStr"/>
      <c r="K543" t="inlineStr"/>
      <c r="L543" t="inlineStr"/>
      <c r="M543" t="inlineStr"/>
      <c r="N543" t="inlineStr"/>
      <c r="O543">
        <f>(1-Summary!$B$48)*S543+Summary!$B$48*U543</f>
        <v/>
      </c>
      <c r="P543">
        <f>IF(B560=0,0,O543/B560)</f>
        <v/>
      </c>
      <c r="Q543">
        <f>IFERROR(1/IF(Inputs!$B$39="pvp",15,MAX(0.1,Skills!D25-IF(Skills!E25=TRUE,Inputs!$B$33,0))),0)</f>
        <v/>
      </c>
      <c r="R543" t="n">
        <v>0</v>
      </c>
      <c r="S543" t="n">
        <v>0</v>
      </c>
      <c r="U543" t="n">
        <v>0</v>
      </c>
    </row>
    <row r="544">
      <c r="A544">
        <f>Skills!A26</f>
        <v/>
      </c>
      <c r="B544">
        <f>Skills!B26</f>
        <v/>
      </c>
      <c r="C544">
        <f>Inputs!$B$3&gt;=117</f>
        <v/>
      </c>
      <c r="D544">
        <f>IF(Skills!C26=1,60+Inputs!$B$26+Inputs!$B$30,IF(Skills!C26=2,90+Inputs!$B$27+Inputs!$B$30,IF(Skills!C26=3,120+Inputs!$B$28+Inputs!$B$30,MAX(0,(Inputs!$B$3-100)*3)+Inputs!$B$29+Inputs!$B$30)))</f>
        <v/>
      </c>
      <c r="E544">
        <f>INDEX(FactorTable!$B$2:$Y$301, MATCH(ROUND(MIN(300,MAX(1,D544)),0), FactorTable!$A$2:$A$301,0), Skills!L26+1)</f>
        <v/>
      </c>
      <c r="F544">
        <f>IF(Skills!M26=TRUE,(Skills!K26/10)*(E544/1000),Skills!K26/10)+Skills!N26</f>
        <v/>
      </c>
      <c r="G544">
        <f>Calc!G26</f>
        <v/>
      </c>
      <c r="H544">
        <f>Calc!H26</f>
        <v/>
      </c>
      <c r="I544">
        <f>IF(Skills!T26&lt;&gt;"",1+(Skills!T26/10)*($Z$3/1000)/100,1)</f>
        <v/>
      </c>
      <c r="J544" t="inlineStr"/>
      <c r="K544" t="inlineStr"/>
      <c r="L544" t="inlineStr"/>
      <c r="M544" t="inlineStr"/>
      <c r="N544" t="inlineStr"/>
      <c r="O544">
        <f>(1-Summary!$B$48)*S544+Summary!$B$48*U544</f>
        <v/>
      </c>
      <c r="P544">
        <f>IF(B560=0,0,O544/B560)</f>
        <v/>
      </c>
      <c r="Q544">
        <f>IFERROR(1/IF(Inputs!$B$39="pvp",15,MAX(0.1,Skills!D26-IF(Skills!E26=TRUE,Inputs!$B$33,0))),0)</f>
        <v/>
      </c>
      <c r="R544" t="n">
        <v>0</v>
      </c>
      <c r="S544" t="n">
        <v>0</v>
      </c>
      <c r="U544" t="n">
        <v>0</v>
      </c>
    </row>
    <row r="545">
      <c r="A545">
        <f>Skills!A27</f>
        <v/>
      </c>
      <c r="B545">
        <f>Skills!B27</f>
        <v/>
      </c>
      <c r="C545">
        <f>Inputs!$B$3&gt;=120</f>
        <v/>
      </c>
      <c r="D545">
        <f>IF(Skills!C27=1,60+Inputs!$B$26+Inputs!$B$30,IF(Skills!C27=2,90+Inputs!$B$27+Inputs!$B$30,IF(Skills!C27=3,120+Inputs!$B$28+Inputs!$B$30,MAX(0,(Inputs!$B$3-100)*3)+Inputs!$B$29+Inputs!$B$30)))</f>
        <v/>
      </c>
      <c r="E545">
        <f>INDEX(FactorTable!$B$2:$Y$301, MATCH(ROUND(MIN(300,MAX(1,D545)),0), FactorTable!$A$2:$A$301,0), Skills!L27+1)</f>
        <v/>
      </c>
      <c r="F545">
        <f>IF(Skills!M27=TRUE,(Skills!K27/10)*(E545/1000),Skills!K27/10)+Skills!N27</f>
        <v/>
      </c>
      <c r="G545">
        <f>Calc!G27</f>
        <v/>
      </c>
      <c r="H545">
        <f>Calc!H27</f>
        <v/>
      </c>
      <c r="I545">
        <f>IF(Skills!T27&lt;&gt;"",1+(Skills!T27/10)*($Z$3/1000)/100,1)</f>
        <v/>
      </c>
      <c r="J545" t="inlineStr"/>
      <c r="K545" t="inlineStr"/>
      <c r="L545" t="inlineStr"/>
      <c r="M545" t="inlineStr"/>
      <c r="N545" t="inlineStr"/>
      <c r="O545">
        <f>(1-Summary!$B$48)*S545+Summary!$B$48*U545</f>
        <v/>
      </c>
      <c r="P545">
        <f>IF(B560=0,0,O545/B560)</f>
        <v/>
      </c>
      <c r="Q545">
        <f>IFERROR(1/IF(Inputs!$B$39="pvp",15,MAX(0.1,Skills!D27-IF(Skills!E27=TRUE,Inputs!$B$33,0))),0)</f>
        <v/>
      </c>
      <c r="R545" t="n">
        <v>0</v>
      </c>
      <c r="S545" t="n">
        <v>0</v>
      </c>
      <c r="U545" t="n">
        <v>0</v>
      </c>
    </row>
    <row r="547">
      <c r="A547" t="inlineStr">
        <is>
          <t>Average Buff Multiplier</t>
        </is>
      </c>
      <c r="B547">
        <f>(1+(IF(C521=TRUE,F521*IF(AND(Inputs!$B$39&lt;&gt;"pvp",Inputs!$B$44&gt;0),(((R521-1)*(Skills!S3*(1+(Inputs!$B$35+IF(Inputs!$B$3&gt;=117,F544,0))/100))+MIN((Skills!S3*(1+(Inputs!$B$35+IF(Inputs!$B$3&gt;=117,F544,0))/100)),MAX(0,Inputs!$B$44-((R521-1)*Skills!D3))))/Inputs!$B$44),IF(Inputs!$B$39="pvp",MIN((Skills!S3*(1+(Inputs!$B$35+IF(Inputs!$B$3&gt;=117,F544,0))/100)),15)/15,(Skills!S3*(1+(Inputs!$B$35+IF(Inputs!$B$3&gt;=117,F544,0))/100))/Skills!D3)),0)+IF(C522=TRUE,F522*IF(AND(Inputs!$B$39&lt;&gt;"pvp",Inputs!$B$44&gt;0),(((R522-1)*(Skills!S4*(1+(Inputs!$B$35+IF(Inputs!$B$3&gt;=117,F544,0))/100))+MIN((Skills!S4*(1+(Inputs!$B$35+IF(Inputs!$B$3&gt;=117,F544,0))/100)),MAX(0,Inputs!$B$44-((R522-1)*Skills!D4))))/Inputs!$B$44),IF(Inputs!$B$39="pvp",MIN((Skills!S4*(1+(Inputs!$B$35+IF(Inputs!$B$3&gt;=117,F544,0))/100)),15)/15,(Skills!S4*(1+(Inputs!$B$35+IF(Inputs!$B$3&gt;=117,F544,0))/100))/Skills!D4)),0)+IF(C523=TRUE,F523*IF(AND(Inputs!$B$39&lt;&gt;"pvp",Inputs!$B$44&gt;0),(((R523-1)*(Skills!S5*(1+(Inputs!$B$35+IF(Inputs!$B$3&gt;=117,F544,0))/100))+MIN((Skills!S5*(1+(Inputs!$B$35+IF(Inputs!$B$3&gt;=117,F544,0))/100)),MAX(0,Inputs!$B$44-((R523-1)*Skills!D5))))/Inputs!$B$44),IF(Inputs!$B$39="pvp",MIN((Skills!S5*(1+(Inputs!$B$35+IF(Inputs!$B$3&gt;=117,F544,0))/100)),15)/15,(Skills!S5*(1+(Inputs!$B$35+IF(Inputs!$B$3&gt;=117,F544,0))/100))/Skills!D5)),0)+IF(C529=TRUE,F529*IF(AND(Inputs!$B$39&lt;&gt;"pvp",Inputs!$B$44&gt;0),(((R529-1)*(Skills!S11*(1+(Inputs!$B$35+IF(Inputs!$B$3&gt;=117,F544,0))/100))+MIN((Skills!S11*(1+(Inputs!$B$35+IF(Inputs!$B$3&gt;=117,F544,0))/100)),MAX(0,Inputs!$B$44-((R529-1)*Skills!D11))))/Inputs!$B$44),IF(Inputs!$B$39="pvp",MIN((Skills!S11*(1+(Inputs!$B$35+IF(Inputs!$B$3&gt;=117,F544,0))/100)),15)/15,(Skills!S11*(1+(Inputs!$B$35+IF(Inputs!$B$3&gt;=117,F544,0))/100))/Skills!D11)),0))/100)*IF(C532=TRUE,(1+F532*IF(AND(Inputs!$B$39&lt;&gt;"pvp",Inputs!$B$44&gt;0),(((R532-1)*(Skills!S14*(1+(Inputs!$B$35+IF(Inputs!$B$3&gt;=117,F544,0))/100))+MIN((Skills!S14*(1+(Inputs!$B$35+IF(Inputs!$B$3&gt;=117,F544,0))/100)),MAX(0,Inputs!$B$44-((R532-1)*Skills!D14))))/Inputs!$B$44),IF(Inputs!$B$39="pvp",MIN((Skills!S14*(1+(Inputs!$B$35+IF(Inputs!$B$3&gt;=117,F544,0))/100)),15)/15,(Skills!S14*(1+(Inputs!$B$35+IF(Inputs!$B$3&gt;=117,F544,0))/100))/Skills!D14))/100),1)*IF(C537=TRUE,(1+F537*IF(AND(Inputs!$B$39&lt;&gt;"pvp",Inputs!$B$44&gt;0),(((R537-1)*(Skills!S19*(1+(Inputs!$B$35+IF(Inputs!$B$3&gt;=117,F544,0))/100))+MIN((Skills!S19*(1+(Inputs!$B$35+IF(Inputs!$B$3&gt;=117,F544,0))/100)),MAX(0,Inputs!$B$44-((R537-1)*Skills!D19))))/Inputs!$B$44),IF(Inputs!$B$39="pvp",MIN((Skills!S19*(1+(Inputs!$B$35+IF(Inputs!$B$3&gt;=117,F544,0))/100)),15)/15,(Skills!S19*(1+(Inputs!$B$35+IF(Inputs!$B$3&gt;=117,F544,0))/100))/Skills!D19))/100),1)</f>
        <v/>
      </c>
    </row>
    <row r="548">
      <c r="A548" t="inlineStr">
        <is>
          <t>Monster Damage Taken Bonus % (Holy Fountain)</t>
        </is>
      </c>
      <c r="B548">
        <f>IF(Inputs!$B$3&gt;=68,20*IF(Inputs!$B$39="pvp",MIN((15*(1+(Inputs!$B$35+IF(Inputs!$B$3&gt;=117,F544,0))/100)),15)/15,(15*(1+(Inputs!$B$35+IF(Inputs!$B$3&gt;=117,F544,0))/100))/Skills!D10),0)</f>
        <v/>
      </c>
    </row>
    <row r="549">
      <c r="A549" t="inlineStr">
        <is>
          <t>Normal Monster Damage Bonus % (Holy Symbol)</t>
        </is>
      </c>
      <c r="B549">
        <f>IF(C530=TRUE,F530*IF(AND(Inputs!$B$39&lt;&gt;"pvp",Inputs!$B$44&gt;0),(((R530-1)*(Skills!S12*(1+(Inputs!$B$35+IF(Inputs!$B$3&gt;=117,F544,0))/100))+MIN((Skills!S12*(1+(Inputs!$B$35+IF(Inputs!$B$3&gt;=117,F544,0))/100)),MAX(0,Inputs!$B$44-((R530-1)*Skills!D12))))/Inputs!$B$44),IF(Inputs!$B$39="pvp",MIN((Skills!S12*(1+(Inputs!$B$35+IF(Inputs!$B$3&gt;=117,F544,0))/100)),15)/15,(Skills!S12*(1+(Inputs!$B$35+IF(Inputs!$B$3&gt;=117,F544,0))/100))/Skills!D12)),0)</f>
        <v/>
      </c>
    </row>
    <row r="550">
      <c r="A550" t="inlineStr">
        <is>
          <t>Damage % Bonus (Holy Symbol - Damage Boost)</t>
        </is>
      </c>
      <c r="B550">
        <f>Skills!O12</f>
        <v/>
      </c>
    </row>
    <row r="551">
      <c r="A551" t="inlineStr">
        <is>
          <t>Crit Damage % Bonus (Blood of the Divine)</t>
        </is>
      </c>
      <c r="B551">
        <f>4*IF(C538=TRUE,F538,0)</f>
        <v/>
      </c>
    </row>
    <row r="552">
      <c r="A552" t="inlineStr">
        <is>
          <t>Attack Speed Bonus %</t>
        </is>
      </c>
      <c r="B552">
        <f>IF(C535=TRUE,F535+(F539-Calc!F21),0)+IF(Inputs!$B$3&gt;=134,15,0)</f>
        <v/>
      </c>
    </row>
    <row r="553">
      <c r="A553" t="inlineStr">
        <is>
          <t>Actions Per Second</t>
        </is>
      </c>
      <c r="B553">
        <f>1+MIN(150,150*(1-(1-Inputs!$B$12/150)*(1-B552/150)))/100</f>
        <v/>
      </c>
    </row>
    <row r="554">
      <c r="A554" t="inlineStr">
        <is>
          <t>Skill + Buff Cast Rate</t>
        </is>
      </c>
      <c r="B554">
        <f>IF(AND(Inputs!$B$39&lt;&gt;"pvp",Inputs!$B$44&gt;0),SUMPRODUCT((Skills!E2:E27=TRUE)*(C520:C545=TRUE)*R520:R545)/Inputs!$B$44,SUMPRODUCT((Skills!E2:E27=TRUE)*(C520:C545=TRUE)*Q520:Q545))</f>
        <v/>
      </c>
    </row>
    <row r="555">
      <c r="A555" t="inlineStr">
        <is>
          <t>Big Bang Casts Per Second</t>
        </is>
      </c>
      <c r="B555">
        <f>MAX(0,B553-B554)</f>
        <v/>
      </c>
    </row>
    <row r="556">
      <c r="A556" t="inlineStr">
        <is>
          <t>Defense % Bonus (Divine Protection)</t>
        </is>
      </c>
      <c r="B556">
        <f>IF(C531=TRUE,F531*IF(AND(Inputs!$B$39&lt;&gt;"pvp",Inputs!$B$44&gt;0),(((R531-1)*(Skills!S13*(1+(Inputs!$B$35+IF(Inputs!$B$3&gt;=117,F544,0))/100))+MIN((Skills!S13*(1+(Inputs!$B$35+IF(Inputs!$B$3&gt;=117,F544,0))/100)),MAX(0,Inputs!$B$44-((R531-1)*Skills!D13))))/Inputs!$B$44),IF(Inputs!$B$39="pvp",MIN((Skills!S13*(1+(Inputs!$B$35+IF(Inputs!$B$3&gt;=117,F544,0))/100)),15)/15,(Skills!S13*(1+(Inputs!$B$35+IF(Inputs!$B$3&gt;=117,F544,0))/100))/Skills!D13)),0)</f>
        <v/>
      </c>
    </row>
    <row r="557">
      <c r="A557" t="inlineStr">
        <is>
          <t>Buff-Casting Startup Delay (s, fixed-duration only)</t>
        </is>
      </c>
      <c r="B557">
        <f>IF(AND(Inputs!$B$39&lt;&gt;"pvp",Inputs!$B$44&gt;0),SUMPRODUCT((Skills!S2:S27&gt;0)*(Skills!E2:E27=TRUE)*(C520:C545=TRUE))/B553,0)</f>
        <v/>
      </c>
    </row>
    <row r="558">
      <c r="A558" t="inlineStr">
        <is>
          <t>Boss-Only Total DPS (this block's swept value)</t>
        </is>
      </c>
      <c r="B558">
        <f>SUM(S520:S545)</f>
        <v/>
      </c>
    </row>
    <row r="559">
      <c r="A559" t="inlineStr">
        <is>
          <t>Normal-Only Total DPS (this block's swept value)</t>
        </is>
      </c>
      <c r="B559">
        <f>SUM(U520:U545)</f>
        <v/>
      </c>
    </row>
    <row r="560">
      <c r="A560" s="5" t="inlineStr">
        <is>
          <t>TOTAL DPS</t>
        </is>
      </c>
      <c r="B560" s="5">
        <f>SUM(O520:O545)</f>
        <v/>
      </c>
    </row>
    <row r="562">
      <c r="A562" s="5" t="inlineStr">
        <is>
          <t>Stat: CRIT_DAMAGE %</t>
        </is>
      </c>
    </row>
    <row r="563">
      <c r="A563" s="9" t="inlineStr">
        <is>
          <t>Key</t>
        </is>
      </c>
      <c r="B563" s="9" t="inlineStr">
        <is>
          <t>Name</t>
        </is>
      </c>
      <c r="C563" s="9" t="inlineStr">
        <is>
          <t>Unlocked</t>
        </is>
      </c>
      <c r="D563" s="9" t="inlineStr">
        <is>
          <t>InputLevel</t>
        </is>
      </c>
      <c r="E563" s="9" t="inlineStr">
        <is>
          <t>Factor</t>
        </is>
      </c>
      <c r="F563" s="9" t="inlineStr">
        <is>
          <t>CoefficientPercent</t>
        </is>
      </c>
      <c r="G563" s="9" t="inlineStr">
        <is>
          <t>EffectiveHits</t>
        </is>
      </c>
      <c r="H563" s="9" t="inlineStr">
        <is>
          <t>ProcProbability</t>
        </is>
      </c>
      <c r="I563" s="9" t="inlineStr">
        <is>
          <t>MapleHeroMultiplier</t>
        </is>
      </c>
      <c r="J563" s="9" t="inlineStr">
        <is>
          <t>BaseDamage</t>
        </is>
      </c>
      <c r="K563" s="9" t="inlineStr">
        <is>
          <t>BaseHitDamage</t>
        </is>
      </c>
      <c r="L563" s="9" t="inlineStr">
        <is>
          <t>NonCritAvg</t>
        </is>
      </c>
      <c r="M563" s="9" t="inlineStr">
        <is>
          <t>CritAvg</t>
        </is>
      </c>
      <c r="N563" s="9" t="inlineStr">
        <is>
          <t>ExpectedDamage(perHit)</t>
        </is>
      </c>
      <c r="O563" s="9" t="inlineStr">
        <is>
          <t>DPS</t>
        </is>
      </c>
      <c r="P563" s="9" t="inlineStr">
        <is>
          <t>% of Total</t>
        </is>
      </c>
      <c r="R563" t="inlineStr">
        <is>
          <t>helpers</t>
        </is>
      </c>
    </row>
    <row r="564">
      <c r="A564">
        <f>Skills!A2</f>
        <v/>
      </c>
      <c r="B564">
        <f>Skills!B2</f>
        <v/>
      </c>
      <c r="C564">
        <f>Inputs!$B$3&gt;=100</f>
        <v/>
      </c>
      <c r="D564" t="inlineStr"/>
      <c r="E564" t="inlineStr"/>
      <c r="F564">
        <f>T566+Skills!N2</f>
        <v/>
      </c>
      <c r="G564">
        <f>Calc!G2</f>
        <v/>
      </c>
      <c r="H564">
        <f>Calc!H2</f>
        <v/>
      </c>
      <c r="I564">
        <f>IF(Skills!T2&lt;&gt;"",1+(Skills!T2/10)*($Z$3/1000)/100,1)</f>
        <v/>
      </c>
      <c r="J564">
        <f>((Inputs!$B$6*(1+Inputs!$B$7/100))+(((Inputs!$B$13*(1+Inputs!$B$14/100))-(Inputs!$B$13*(1+Inputs!$B$14/100)))+0.25*(Inputs!$B$15-Inputs!$B$15))*(1+Inputs!$B$7/100))*(F564/100)</f>
        <v/>
      </c>
      <c r="K564">
        <f>J564*(1+(((Inputs!$B$13+IF(Inputs!$B$3&gt;=35,(10*INDEX(FactorTable!$B$2:$Y$301, MATCH(ROUND(MIN(300,MAX(1,Inputs!$B$3)),0), FactorTable!$A$2:$A$301,0), 23)/1000)/100*(Inputs!$B$8*(1+(Inputs!$B$9+B600)/100)),0))*(1+Inputs!$B$14/100))*0.01+Inputs!$B$15*0.0025)/100)*(1+(Inputs!$B$16+B594)/100)*(1+Inputs!$B$17/100)*(5000/(6000+Inputs!$B$43*(1-Inputs!$B$20/100)))*(1+Inputs!$B$25/100)*(1+IF(C580=TRUE,F580,0)/100)*(1+IF(C582=TRUE,F582,0)/100)*(1+IF(Skills!A2="TRIUMPH_FEATHER",IF(C578=TRUE,F578,0),0)/100)*(1+IF(C589=TRUE,F589,0)/100)^5*(1+(IF(Skills!A2="BIG_BANG",Inputs!$B$18,Inputs!$B$19))/100)*(B591*I564)</f>
        <v/>
      </c>
      <c r="L564">
        <f>K564*(MIN(Inputs!$B$23+(F584-Calc!F22),Inputs!$B$24)/100+Inputs!$B$24/100)/2</f>
        <v/>
      </c>
      <c r="M564">
        <f>L564*(1+((Inputs!$B$11+1)+B595+(F587-Calc!F25))/100)</f>
        <v/>
      </c>
      <c r="N564">
        <f>L564*(1-MIN(Inputs!$B$10+((F586-Calc!F24)+(F585-Calc!F23)),100)/100)+M564*(MIN(Inputs!$B$10+((F586-Calc!F24)+(F585-Calc!F23)),100)/100)</f>
        <v/>
      </c>
      <c r="O564">
        <f>(1-Summary!$B$48)*S564+Summary!$B$48*U564</f>
        <v/>
      </c>
      <c r="P564">
        <f>IF(B604=0,0,O564/B604)</f>
        <v/>
      </c>
      <c r="Q564">
        <f>IFERROR(1/IF(Inputs!$B$39="pvp",15,MAX(0.1,Skills!D2-IF(Skills!E2=TRUE,Inputs!$B$33,0))),0)</f>
        <v/>
      </c>
      <c r="R564" t="n">
        <v>0</v>
      </c>
      <c r="S564">
        <f>IF(C564,(Skills!F2*N564*B599)*IF(Inputs!$B$39="pvp",1,1+(Inputs!$B$21+Skills!O2+B592)/100),0)</f>
        <v/>
      </c>
      <c r="T564">
        <f>MAX(0,(Inputs!$B$3-100)*3)+Inputs!$B$29+Inputs!$B$30</f>
        <v/>
      </c>
      <c r="U564">
        <f>IF(C564,(Skills!F2*N564*B599)*IF(Inputs!$B$39="pvp",1,(1+(Inputs!$B$22+Skills!P2+B593)/100)*(MIN((6+Inputs!$B$34),Inputs!$B$38))),0)</f>
        <v/>
      </c>
    </row>
    <row r="565">
      <c r="A565">
        <f>Skills!A3</f>
        <v/>
      </c>
      <c r="B565">
        <f>Skills!B3</f>
        <v/>
      </c>
      <c r="C565">
        <f>Inputs!$B$3&gt;=15</f>
        <v/>
      </c>
      <c r="D565">
        <f>IF(Skills!C3=1,60+Inputs!$B$26+Inputs!$B$30,IF(Skills!C3=2,90+Inputs!$B$27+Inputs!$B$30,IF(Skills!C3=3,120+Inputs!$B$28+Inputs!$B$30,MAX(0,(Inputs!$B$3-100)*3)+Inputs!$B$29+Inputs!$B$30)))</f>
        <v/>
      </c>
      <c r="E565">
        <f>INDEX(FactorTable!$B$2:$Y$301, MATCH(ROUND(MIN(300,MAX(1,D565)),0), FactorTable!$A$2:$A$301,0), Skills!L3+1)</f>
        <v/>
      </c>
      <c r="F565">
        <f>IF(Skills!M3=TRUE,(Skills!K3/10)*(E565/1000),Skills!K3/10)+Skills!N3</f>
        <v/>
      </c>
      <c r="G565">
        <f>Calc!G3</f>
        <v/>
      </c>
      <c r="H565">
        <f>Calc!H3</f>
        <v/>
      </c>
      <c r="I565">
        <f>IF(Skills!T3&lt;&gt;"",1+(Skills!T3/10)*($Z$3/1000)/100,1)</f>
        <v/>
      </c>
      <c r="J565" t="inlineStr"/>
      <c r="K565" t="inlineStr"/>
      <c r="L565" t="inlineStr"/>
      <c r="M565" t="inlineStr"/>
      <c r="N565" t="inlineStr"/>
      <c r="O565">
        <f>(1-Summary!$B$48)*S565+Summary!$B$48*U565</f>
        <v/>
      </c>
      <c r="P565">
        <f>IF(B604=0,0,O565/B604)</f>
        <v/>
      </c>
      <c r="Q565">
        <f>IFERROR(1/IF(Inputs!$B$39="pvp",15,MAX(0.1,Skills!D3-IF(Skills!E3=TRUE,Inputs!$B$33,0))),0)</f>
        <v/>
      </c>
      <c r="R565">
        <f>IF(AND(Inputs!$B$39&lt;&gt;"pvp",Inputs!$B$44&gt;0),IF(Inputs!$B$44&lt;=0,0,(INT(Inputs!$B$44/IF(Inputs!$B$39="pvp",15,MAX(0.1,Skills!D3-IF(Skills!E3=TRUE,Inputs!$B$33,0))))+1)),0)</f>
        <v/>
      </c>
      <c r="S565" t="n">
        <v>0</v>
      </c>
      <c r="T565">
        <f>INDEX(FactorTable!$B$2:$Y$301, MATCH(ROUND(MIN(300,MAX(1,T564)),0), FactorTable!$A$2:$A$301,0), 22)</f>
        <v/>
      </c>
      <c r="U565" t="n">
        <v>0</v>
      </c>
    </row>
    <row r="566">
      <c r="A566">
        <f>Skills!A4</f>
        <v/>
      </c>
      <c r="B566">
        <f>Skills!B4</f>
        <v/>
      </c>
      <c r="C566">
        <f>Inputs!$B$3&gt;=38</f>
        <v/>
      </c>
      <c r="D566">
        <f>IF(Skills!C4=1,60+Inputs!$B$26+Inputs!$B$30,IF(Skills!C4=2,90+Inputs!$B$27+Inputs!$B$30,IF(Skills!C4=3,120+Inputs!$B$28+Inputs!$B$30,MAX(0,(Inputs!$B$3-100)*3)+Inputs!$B$29+Inputs!$B$30)))</f>
        <v/>
      </c>
      <c r="E566">
        <f>INDEX(FactorTable!$B$2:$Y$301, MATCH(ROUND(MIN(300,MAX(1,D566)),0), FactorTable!$A$2:$A$301,0), Skills!L4+1)</f>
        <v/>
      </c>
      <c r="F566">
        <f>IF(Skills!M4=TRUE,(Skills!K4/10)*(E566/1000),Skills!K4/10)+Skills!N4</f>
        <v/>
      </c>
      <c r="G566">
        <f>Calc!G4</f>
        <v/>
      </c>
      <c r="H566">
        <f>Calc!H4</f>
        <v/>
      </c>
      <c r="I566">
        <f>IF(Skills!T4&lt;&gt;"",1+(Skills!T4/10)*($Z$3/1000)/100,1)</f>
        <v/>
      </c>
      <c r="J566" t="inlineStr"/>
      <c r="K566" t="inlineStr"/>
      <c r="L566" t="inlineStr"/>
      <c r="M566" t="inlineStr"/>
      <c r="N566" t="inlineStr"/>
      <c r="O566">
        <f>(1-Summary!$B$48)*S566+Summary!$B$48*U566</f>
        <v/>
      </c>
      <c r="P566">
        <f>IF(B604=0,0,O566/B604)</f>
        <v/>
      </c>
      <c r="Q566">
        <f>IFERROR(1/IF(Inputs!$B$39="pvp",15,MAX(0.1,Skills!D4-IF(Skills!E4=TRUE,Inputs!$B$33,0))),0)</f>
        <v/>
      </c>
      <c r="R566">
        <f>IF(AND(Inputs!$B$39&lt;&gt;"pvp",Inputs!$B$44&gt;0),IF(Inputs!$B$44&lt;=0,0,(INT(Inputs!$B$44/IF(Inputs!$B$39="pvp",15,MAX(0.1,Skills!D4-IF(Skills!E4=TRUE,Inputs!$B$33,0))))+1)),0)</f>
        <v/>
      </c>
      <c r="S566" t="n">
        <v>0</v>
      </c>
      <c r="T566">
        <f>290*T565/1000</f>
        <v/>
      </c>
      <c r="U566" t="n">
        <v>0</v>
      </c>
    </row>
    <row r="567">
      <c r="A567">
        <f>Skills!A5</f>
        <v/>
      </c>
      <c r="B567">
        <f>Skills!B5</f>
        <v/>
      </c>
      <c r="C567">
        <f>Inputs!$B$3&gt;=40</f>
        <v/>
      </c>
      <c r="D567">
        <f>IF(Skills!C5=1,60+Inputs!$B$26+Inputs!$B$30,IF(Skills!C5=2,90+Inputs!$B$27+Inputs!$B$30,IF(Skills!C5=3,120+Inputs!$B$28+Inputs!$B$30,MAX(0,(Inputs!$B$3-100)*3)+Inputs!$B$29+Inputs!$B$30)))</f>
        <v/>
      </c>
      <c r="E567">
        <f>INDEX(FactorTable!$B$2:$Y$301, MATCH(ROUND(MIN(300,MAX(1,D567)),0), FactorTable!$A$2:$A$301,0), Skills!L5+1)</f>
        <v/>
      </c>
      <c r="F567">
        <f>IF(Skills!M5=TRUE,(Skills!K5/10)*(E567/1000),Skills!K5/10)+Skills!N5</f>
        <v/>
      </c>
      <c r="G567">
        <f>Calc!G5</f>
        <v/>
      </c>
      <c r="H567">
        <f>Calc!H5</f>
        <v/>
      </c>
      <c r="I567">
        <f>IF(Skills!T5&lt;&gt;"",1+(Skills!T5/10)*($Z$3/1000)/100,1)</f>
        <v/>
      </c>
      <c r="J567" t="inlineStr"/>
      <c r="K567" t="inlineStr"/>
      <c r="L567" t="inlineStr"/>
      <c r="M567" t="inlineStr"/>
      <c r="N567" t="inlineStr"/>
      <c r="O567">
        <f>(1-Summary!$B$48)*S567+Summary!$B$48*U567</f>
        <v/>
      </c>
      <c r="P567">
        <f>IF(B604=0,0,O567/B604)</f>
        <v/>
      </c>
      <c r="Q567">
        <f>IFERROR(1/IF(Inputs!$B$39="pvp",15,MAX(0.1,Skills!D5-IF(Skills!E5=TRUE,Inputs!$B$33,0))),0)</f>
        <v/>
      </c>
      <c r="R567">
        <f>IF(AND(Inputs!$B$39&lt;&gt;"pvp",Inputs!$B$44&gt;0),IF(Inputs!$B$44&lt;=0,0,(INT(Inputs!$B$44/IF(Inputs!$B$39="pvp",15,MAX(0.1,Skills!D5-IF(Skills!E5=TRUE,Inputs!$B$33,0))))+1)),0)</f>
        <v/>
      </c>
      <c r="S567" t="n">
        <v>0</v>
      </c>
      <c r="U567" t="n">
        <v>0</v>
      </c>
    </row>
    <row r="568">
      <c r="A568">
        <f>Skills!A6</f>
        <v/>
      </c>
      <c r="B568">
        <f>Skills!B6</f>
        <v/>
      </c>
      <c r="C568">
        <f>Inputs!$B$3&gt;=103</f>
        <v/>
      </c>
      <c r="D568">
        <f>IF(Skills!C6=1,60+Inputs!$B$26+Inputs!$B$30,IF(Skills!C6=2,90+Inputs!$B$27+Inputs!$B$30,IF(Skills!C6=3,120+Inputs!$B$28+Inputs!$B$30,MAX(0,(Inputs!$B$3-100)*3)+Inputs!$B$29+Inputs!$B$30)))</f>
        <v/>
      </c>
      <c r="E568">
        <f>INDEX(FactorTable!$B$2:$Y$301, MATCH(ROUND(MIN(300,MAX(1,D568)),0), FactorTable!$A$2:$A$301,0), Skills!L6+1)</f>
        <v/>
      </c>
      <c r="F568">
        <f>IF(Skills!M6=TRUE,(Skills!K6/10)*(E568/1000),Skills!K6/10)+Skills!N6</f>
        <v/>
      </c>
      <c r="G568">
        <f>Calc!G6</f>
        <v/>
      </c>
      <c r="H568">
        <f>Calc!H6</f>
        <v/>
      </c>
      <c r="I568">
        <f>IF(Skills!T6&lt;&gt;"",1+(Skills!T6/10)*($Z$3/1000)/100,1)</f>
        <v/>
      </c>
      <c r="J568">
        <f>((Inputs!$B$6*(1+Inputs!$B$7/100))+(((Inputs!$B$13*(1+Inputs!$B$14/100))-(Inputs!$B$13*(1+Inputs!$B$14/100)))+0.25*(Inputs!$B$15-Inputs!$B$15))*(1+Inputs!$B$7/100))*(F568/100)</f>
        <v/>
      </c>
      <c r="K568">
        <f>J568*(1+(((Inputs!$B$13+IF(Inputs!$B$3&gt;=35,(10*INDEX(FactorTable!$B$2:$Y$301, MATCH(ROUND(MIN(300,MAX(1,Inputs!$B$3)),0), FactorTable!$A$2:$A$301,0), 23)/1000)/100*(Inputs!$B$8*(1+(Inputs!$B$9+B600)/100)),0))*(1+Inputs!$B$14/100))*0.01+Inputs!$B$15*0.0025)/100)*(1+(Inputs!$B$16+B594)/100)*(1+Inputs!$B$17/100)*(5000/(6000+Inputs!$B$43*(1-Inputs!$B$20/100)))*(1+Inputs!$B$25/100)*(1+IF(C580=TRUE,F580,0)/100)*(1+IF(C582=TRUE,F582,0)/100)*(1+IF(Skills!A6="TRIUMPH_FEATHER",IF(C578=TRUE,F578,0),0)/100)*(1+IF(C589=TRUE,F589,0)/100)^5*(1+(IF(Skills!A6="BIG_BANG",Inputs!$B$18,Inputs!$B$19))/100)*(B591*I568)</f>
        <v/>
      </c>
      <c r="L568">
        <f>K568*(MIN(Inputs!$B$23+(F584-Calc!F22),Inputs!$B$24)/100+Inputs!$B$24/100)/2</f>
        <v/>
      </c>
      <c r="M568">
        <f>L568*(1+((Inputs!$B$11+1)+B595+(F587-Calc!F25))/100)</f>
        <v/>
      </c>
      <c r="N568">
        <f>L568*(1-MIN(Inputs!$B$10+((F586-Calc!F24)+(F585-Calc!F23)),100)/100)+M568*(MIN(Inputs!$B$10+((F586-Calc!F24)+(F585-Calc!F23)),100)/100)</f>
        <v/>
      </c>
      <c r="O568">
        <f>(1-Summary!$B$48)*S568+Summary!$B$48*U568</f>
        <v/>
      </c>
      <c r="P568">
        <f>IF(B604=0,0,O568/B604)</f>
        <v/>
      </c>
      <c r="Q568">
        <f>IFERROR(1/IF(Inputs!$B$39="pvp",15,MAX(0.1,Skills!D6-IF(Skills!E6=TRUE,Inputs!$B$33,0))),0)</f>
        <v/>
      </c>
      <c r="R568">
        <f>IF(AND(Inputs!$B$39&lt;&gt;"pvp",Inputs!$B$44&gt;0),IF(MAX(0,Inputs!$B$44-B601)&lt;=0,0,(INT(MAX(0,Inputs!$B$44-B601)/IF(Inputs!$B$39="pvp",15,MAX(0.1,Skills!D6-IF(Skills!E6=TRUE,Inputs!$B$33,0))))+1)),0)</f>
        <v/>
      </c>
      <c r="S568">
        <f>IF(C568,(H568*N568*IF(AND(Inputs!$B$39&lt;&gt;"pvp",Inputs!$B$44&gt;0),((Skills!F6*((R568-1)*IF(Skills!G6&gt;0,Skills!H6/Skills!G6,1)+IF(Skills!G6&gt;0,MIN(Skills!H6,MAX(0,MAX(0,Inputs!$B$44-B601)-((R568-1)*IF(Inputs!$B$39="pvp",15,MAX(0.1,Skills!D6-IF(Skills!E6=TRUE,Inputs!$B$33,0))))))/Skills!G6,1)))/Inputs!$B$44),G568*Q568))*IF(Inputs!$B$39="pvp",1,1+(Inputs!$B$21+Skills!O6+B592)/100),0)</f>
        <v/>
      </c>
      <c r="U568">
        <f>IF(C568,(H568*N568*IF(AND(Inputs!$B$39&lt;&gt;"pvp",Inputs!$B$44&gt;0),((Skills!F6*((R568-1)*IF(Skills!G6&gt;0,Skills!H6/Skills!G6,1)+IF(Skills!G6&gt;0,MIN(Skills!H6,MAX(0,MAX(0,Inputs!$B$44-B601)-((R568-1)*IF(Inputs!$B$39="pvp",15,MAX(0.1,Skills!D6-IF(Skills!E6=TRUE,Inputs!$B$33,0))))))/Skills!G6,1)))/Inputs!$B$44),G568*Q568))*IF(Inputs!$B$39="pvp",1,(1+(Inputs!$B$22+Skills!P6+B593)/100)*(MIN(Skills!Q6,Inputs!$B$38))),0)</f>
        <v/>
      </c>
    </row>
    <row r="569">
      <c r="A569">
        <f>Skills!A7</f>
        <v/>
      </c>
      <c r="B569">
        <f>Skills!B7</f>
        <v/>
      </c>
      <c r="C569">
        <f>Inputs!$B$3&gt;=122</f>
        <v/>
      </c>
      <c r="D569">
        <f>IF(Skills!C7=1,60+Inputs!$B$26+Inputs!$B$30,IF(Skills!C7=2,90+Inputs!$B$27+Inputs!$B$30,IF(Skills!C7=3,120+Inputs!$B$28+Inputs!$B$30,MAX(0,(Inputs!$B$3-100)*3)+Inputs!$B$29+Inputs!$B$30)))</f>
        <v/>
      </c>
      <c r="E569">
        <f>INDEX(FactorTable!$B$2:$Y$301, MATCH(ROUND(MIN(300,MAX(1,D569)),0), FactorTable!$A$2:$A$301,0), Skills!L7+1)</f>
        <v/>
      </c>
      <c r="F569">
        <f>IF(Skills!M7=TRUE,(Skills!K7/10)*(E569/1000),Skills!K7/10)+Skills!N7</f>
        <v/>
      </c>
      <c r="G569">
        <f>Calc!G7</f>
        <v/>
      </c>
      <c r="H569">
        <f>Calc!H7</f>
        <v/>
      </c>
      <c r="I569">
        <f>IF(Skills!T7&lt;&gt;"",1+(Skills!T7/10)*($Z$3/1000)/100,1)</f>
        <v/>
      </c>
      <c r="J569">
        <f>((Inputs!$B$6*(1+Inputs!$B$7/100))+(((Inputs!$B$13*(1+Inputs!$B$14/100))-(Inputs!$B$13*(1+Inputs!$B$14/100)))+0.25*(Inputs!$B$15-Inputs!$B$15))*(1+Inputs!$B$7/100))*(F569/100)</f>
        <v/>
      </c>
      <c r="K569">
        <f>J569*(1+(((Inputs!$B$13+IF(Inputs!$B$3&gt;=35,(10*INDEX(FactorTable!$B$2:$Y$301, MATCH(ROUND(MIN(300,MAX(1,Inputs!$B$3)),0), FactorTable!$A$2:$A$301,0), 23)/1000)/100*(Inputs!$B$8*(1+(Inputs!$B$9+B600)/100)),0))*(1+Inputs!$B$14/100))*0.01+Inputs!$B$15*0.0025)/100)*(1+(Inputs!$B$16+B594)/100)*(1+Inputs!$B$17/100)*(5000/(6000+Inputs!$B$43*(1-Inputs!$B$20/100)))*(1+Inputs!$B$25/100)*(1+IF(C580=TRUE,F580,0)/100)*(1+IF(C582=TRUE,F582,0)/100)*(1+IF(Skills!A7="TRIUMPH_FEATHER",IF(C578=TRUE,F578,0),0)/100)*(1+IF(C589=TRUE,F589,0)/100)^5*(1+(IF(Skills!A7="BIG_BANG",Inputs!$B$18,Inputs!$B$19))/100)*(B591*I569)</f>
        <v/>
      </c>
      <c r="L569">
        <f>K569*(MIN(Inputs!$B$23+(F584-Calc!F22),Inputs!$B$24)/100+Inputs!$B$24/100)/2</f>
        <v/>
      </c>
      <c r="M569">
        <f>L569*(1+((Inputs!$B$11+1)+B595+(F587-Calc!F25))/100)</f>
        <v/>
      </c>
      <c r="N569">
        <f>L569*(1-MIN(Inputs!$B$10+((F586-Calc!F24)+(F585-Calc!F23)),100)/100)+M569*(MIN(Inputs!$B$10+((F586-Calc!F24)+(F585-Calc!F23)),100)/100)</f>
        <v/>
      </c>
      <c r="O569">
        <f>(1-Summary!$B$48)*S569+Summary!$B$48*U569</f>
        <v/>
      </c>
      <c r="P569">
        <f>IF(B604=0,0,O569/B604)</f>
        <v/>
      </c>
      <c r="Q569">
        <f>IFERROR(1/IF(Inputs!$B$39="pvp",15,MAX(0.1,Skills!D7-IF(Skills!E6=TRUE,Inputs!$B$33,0))),0)</f>
        <v/>
      </c>
      <c r="R569">
        <f>IF(AND(Inputs!$B$39&lt;&gt;"pvp",Inputs!$B$44&gt;0),IF(MAX(0,Inputs!$B$44-B601)&lt;=0,0,(INT(MAX(0,Inputs!$B$44-B601)/IF(Inputs!$B$39="pvp",15,MAX(0.1,Skills!D7-IF(Skills!E6=TRUE,Inputs!$B$33,0))))+1)),0)</f>
        <v/>
      </c>
      <c r="S569">
        <f>IF(C569,H569*N569*IF(AND(Inputs!$B$39&lt;&gt;"pvp",Inputs!$B$44&gt;0),((Skills!F7*((R569-1)*IF(Skills!G7&gt;0,Skills!H7/Skills!G7,1)+IF(Skills!G7&gt;0,MIN(Skills!H7,MAX(0,MAX(0,Inputs!$B$44-B601)-((R569-1)*IF(Inputs!$B$39="pvp",15,MAX(0.1,Skills!D7-IF(Skills!E6=TRUE,Inputs!$B$33,0))))))/Skills!G7,1)))/Inputs!$B$44),G569*Q569)*IF(Inputs!$B$39="pvp",1,1+(Inputs!$B$21+Skills!O7+B592)/100),0)</f>
        <v/>
      </c>
      <c r="U569" t="n">
        <v>0</v>
      </c>
    </row>
    <row r="570">
      <c r="A570">
        <f>Skills!A8</f>
        <v/>
      </c>
      <c r="B570">
        <f>Skills!B8</f>
        <v/>
      </c>
      <c r="C570">
        <f>Inputs!$B$3&gt;=105</f>
        <v/>
      </c>
      <c r="D570">
        <f>IF(Skills!C8=1,60+Inputs!$B$26+Inputs!$B$30,IF(Skills!C8=2,90+Inputs!$B$27+Inputs!$B$30,IF(Skills!C8=3,120+Inputs!$B$28+Inputs!$B$30,MAX(0,(Inputs!$B$3-100)*3)+Inputs!$B$29+Inputs!$B$30)))</f>
        <v/>
      </c>
      <c r="E570">
        <f>INDEX(FactorTable!$B$2:$Y$301, MATCH(ROUND(MIN(300,MAX(1,D570)),0), FactorTable!$A$2:$A$301,0), Skills!L8+1)</f>
        <v/>
      </c>
      <c r="F570">
        <f>IF(Skills!M8=TRUE,(Skills!K8/10)*(E570/1000),Skills!K8/10)+Skills!N8</f>
        <v/>
      </c>
      <c r="G570">
        <f>Calc!G8</f>
        <v/>
      </c>
      <c r="H570">
        <f>Calc!H8</f>
        <v/>
      </c>
      <c r="I570">
        <f>IF(Skills!T8&lt;&gt;"",1+(Skills!T8/10)*($Z$3/1000)/100,1)</f>
        <v/>
      </c>
      <c r="J570">
        <f>((Inputs!$B$6*(1+Inputs!$B$7/100))+(((Inputs!$B$13*(1+Inputs!$B$14/100))-(Inputs!$B$13*(1+Inputs!$B$14/100)))+0.25*(Inputs!$B$15-Inputs!$B$15))*(1+Inputs!$B$7/100))*(F570/100)</f>
        <v/>
      </c>
      <c r="K570">
        <f>J570*(1+(((Inputs!$B$13+IF(Inputs!$B$3&gt;=35,(10*INDEX(FactorTable!$B$2:$Y$301, MATCH(ROUND(MIN(300,MAX(1,Inputs!$B$3)),0), FactorTable!$A$2:$A$301,0), 23)/1000)/100*(Inputs!$B$8*(1+(Inputs!$B$9+B600)/100)),0))*(1+Inputs!$B$14/100))*0.01+Inputs!$B$15*0.0025)/100)*(1+(Inputs!$B$16+B594)/100)*(1+Inputs!$B$17/100)*(5000/(6000+Inputs!$B$43*(1-Inputs!$B$20/100)))*(1+Inputs!$B$25/100)*(1+IF(C580=TRUE,F580,0)/100)*(1+IF(C582=TRUE,F582,0)/100)*(1+IF(Skills!A8="TRIUMPH_FEATHER",IF(C578=TRUE,F578,0),0)/100)*(1+IF(C589=TRUE,F589,0)/100)^5*(1+(IF(Skills!A8="BIG_BANG",Inputs!$B$18,Inputs!$B$19))/100)*(B591*I570)</f>
        <v/>
      </c>
      <c r="L570">
        <f>K570*(MIN(Inputs!$B$23+(F584-Calc!F22),Inputs!$B$24)/100+Inputs!$B$24/100)/2</f>
        <v/>
      </c>
      <c r="M570">
        <f>L570*(1+((Inputs!$B$11+1)+B595+(F587-Calc!F25))/100)</f>
        <v/>
      </c>
      <c r="N570">
        <f>L570*(1-MIN(Inputs!$B$10+((F586-Calc!F24)+(F585-Calc!F23)),100)/100)+M570*(MIN(Inputs!$B$10+((F586-Calc!F24)+(F585-Calc!F23)),100)/100)</f>
        <v/>
      </c>
      <c r="O570">
        <f>(1-Summary!$B$48)*S570+Summary!$B$48*U570</f>
        <v/>
      </c>
      <c r="P570">
        <f>IF(B604=0,0,O570/B604)</f>
        <v/>
      </c>
      <c r="Q570">
        <f>IFERROR(1/IF(Inputs!$B$39="pvp",15,MAX(0.1,Skills!D8-IF(Skills!E8=TRUE,Inputs!$B$33,0))),0)</f>
        <v/>
      </c>
      <c r="R570">
        <f>IF(AND(Inputs!$B$39&lt;&gt;"pvp",Inputs!$B$44&gt;0),IF(MAX(0,Inputs!$B$44-B601)&lt;=0,0,(INT(MAX(0,Inputs!$B$44-B601)/IF(Inputs!$B$39="pvp",15,MAX(0.1,Skills!D8-IF(Skills!E8=TRUE,Inputs!$B$33,0))))+1)),0)</f>
        <v/>
      </c>
      <c r="S570">
        <f>IF(C570,(H570*N570*IF(AND(Inputs!$B$39&lt;&gt;"pvp",Inputs!$B$44&gt;0),((Skills!F8*((R570-1)*IF(Skills!G8&gt;0,Skills!H8/Skills!G8,1)+IF(Skills!G8&gt;0,MIN(Skills!H8,MAX(0,MAX(0,Inputs!$B$44-B601)-((R570-1)*IF(Inputs!$B$39="pvp",15,MAX(0.1,Skills!D8-IF(Skills!E8=TRUE,Inputs!$B$33,0))))))/Skills!G8,1)))/Inputs!$B$44),G570*Q570))*IF(Inputs!$B$39="pvp",1,1+(Inputs!$B$21+Skills!O8+B592)/100),0)</f>
        <v/>
      </c>
      <c r="U570">
        <f>IF(C570,(H570*N570*IF(AND(Inputs!$B$39&lt;&gt;"pvp",Inputs!$B$44&gt;0),((Skills!F8*((R570-1)*IF(Skills!G8&gt;0,Skills!H8/Skills!G8,1)+IF(Skills!G8&gt;0,MIN(Skills!H8,MAX(0,MAX(0,Inputs!$B$44-B601)-((R570-1)*IF(Inputs!$B$39="pvp",15,MAX(0.1,Skills!D8-IF(Skills!E8=TRUE,Inputs!$B$33,0))))))/Skills!G8,1)))/Inputs!$B$44),G570*Q570))*IF(Inputs!$B$39="pvp",1,(1+(Inputs!$B$22+Skills!P8+B593)/100)*(MIN(Skills!Q8,Inputs!$B$38))),0)</f>
        <v/>
      </c>
    </row>
    <row r="571">
      <c r="A571">
        <f>Skills!A9</f>
        <v/>
      </c>
      <c r="B571">
        <f>Skills!B9</f>
        <v/>
      </c>
      <c r="C571">
        <f>Inputs!$B$3&gt;=115</f>
        <v/>
      </c>
      <c r="D571">
        <f>IF(Skills!C9=1,60+Inputs!$B$26+Inputs!$B$30,IF(Skills!C9=2,90+Inputs!$B$27+Inputs!$B$30,IF(Skills!C9=3,120+Inputs!$B$28+Inputs!$B$30,MAX(0,(Inputs!$B$3-100)*3)+Inputs!$B$29+Inputs!$B$30)))</f>
        <v/>
      </c>
      <c r="E571">
        <f>INDEX(FactorTable!$B$2:$Y$301, MATCH(ROUND(MIN(300,MAX(1,D571)),0), FactorTable!$A$2:$A$301,0), Skills!L9+1)</f>
        <v/>
      </c>
      <c r="F571">
        <f>IF(Skills!M9=TRUE,(Skills!K9/10)*(E571/1000),Skills!K9/10)+Skills!N9</f>
        <v/>
      </c>
      <c r="G571">
        <f>Calc!G9</f>
        <v/>
      </c>
      <c r="H571">
        <f>Calc!H9</f>
        <v/>
      </c>
      <c r="I571">
        <f>IF(Skills!T9&lt;&gt;"",1+(Skills!T9/10)*($Z$3/1000)/100,1)</f>
        <v/>
      </c>
      <c r="J571">
        <f>((Inputs!$B$6*(1+Inputs!$B$7/100))+(((Inputs!$B$13*(1+Inputs!$B$14/100))-(Inputs!$B$13*(1+Inputs!$B$14/100)))+0.25*(Inputs!$B$15-Inputs!$B$15))*(1+Inputs!$B$7/100))*(F571/100)</f>
        <v/>
      </c>
      <c r="K571">
        <f>J571*(1+(((Inputs!$B$13+IF(Inputs!$B$3&gt;=35,(10*INDEX(FactorTable!$B$2:$Y$301, MATCH(ROUND(MIN(300,MAX(1,Inputs!$B$3)),0), FactorTable!$A$2:$A$301,0), 23)/1000)/100*(Inputs!$B$8*(1+(Inputs!$B$9+B600)/100)),0))*(1+Inputs!$B$14/100))*0.01+Inputs!$B$15*0.0025)/100)*(1+(Inputs!$B$16+B594)/100)*(1+Inputs!$B$17/100)*(5000/(6000+Inputs!$B$43*(1-Inputs!$B$20/100)))*(1+Inputs!$B$25/100)*(1+IF(C580=TRUE,F580,0)/100)*(1+IF(C582=TRUE,F582,0)/100)*(1+IF(Skills!A9="TRIUMPH_FEATHER",IF(C578=TRUE,F578,0),0)/100)*(1+IF(C589=TRUE,F589,0)/100)^5*(1+(IF(Skills!A9="BIG_BANG",Inputs!$B$18,Inputs!$B$19))/100)*(B591*I571)</f>
        <v/>
      </c>
      <c r="L571">
        <f>K571*(MIN(Inputs!$B$23+(F584-Calc!F22),Inputs!$B$24)/100+Inputs!$B$24/100)/2</f>
        <v/>
      </c>
      <c r="M571">
        <f>L571*(1+((Inputs!$B$11+1)+B595+(F587-Calc!F25))/100)</f>
        <v/>
      </c>
      <c r="N571">
        <f>L571*(1-MIN(Inputs!$B$10+((F586-Calc!F24)+(F585-Calc!F23)),100)/100)+M571*(MIN(Inputs!$B$10+((F586-Calc!F24)+(F585-Calc!F23)),100)/100)</f>
        <v/>
      </c>
      <c r="O571">
        <f>(1-Summary!$B$48)*S571+Summary!$B$48*U571</f>
        <v/>
      </c>
      <c r="P571">
        <f>IF(B604=0,0,O571/B604)</f>
        <v/>
      </c>
      <c r="Q571">
        <f>IFERROR(1/IF(Inputs!$B$39="pvp",15,MAX(0.1,Skills!D9-IF(Skills!E9=TRUE,Inputs!$B$33,0))),0)</f>
        <v/>
      </c>
      <c r="R571">
        <f>IF(AND(Inputs!$B$39&lt;&gt;"pvp",Inputs!$B$44&gt;0),IF(MAX(0,Inputs!$B$44-B601)&lt;=0,0,(INT(MAX(0,Inputs!$B$44-B601)/IF(Inputs!$B$39="pvp",15,MAX(0.1,Skills!D9-IF(Skills!E9=TRUE,Inputs!$B$33,0))))+1)),0)</f>
        <v/>
      </c>
      <c r="S571">
        <f>IF(C571,(H571*N571*IF(AND(Inputs!$B$39&lt;&gt;"pvp",Inputs!$B$44&gt;0),((Skills!F9*((R571-1)*IF(Skills!G9&gt;0,Skills!H9/Skills!G9,1)+IF(Skills!G9&gt;0,MIN(Skills!H9,MAX(0,MAX(0,Inputs!$B$44-B601)-((R571-1)*IF(Inputs!$B$39="pvp",15,MAX(0.1,Skills!D9-IF(Skills!E9=TRUE,Inputs!$B$33,0))))))/Skills!G9,1)))/Inputs!$B$44),G571*Q571))*IF(Inputs!$B$39="pvp",1,1+(Inputs!$B$21+Skills!O9+B592)/100),0)</f>
        <v/>
      </c>
      <c r="U571">
        <f>IF(C571,(H571*N571*IF(AND(Inputs!$B$39&lt;&gt;"pvp",Inputs!$B$44&gt;0),((Skills!F9*((R571-1)*IF(Skills!G9&gt;0,Skills!H9/Skills!G9,1)+IF(Skills!G9&gt;0,MIN(Skills!H9,MAX(0,MAX(0,Inputs!$B$44-B601)-((R571-1)*IF(Inputs!$B$39="pvp",15,MAX(0.1,Skills!D9-IF(Skills!E9=TRUE,Inputs!$B$33,0))))))/Skills!G9,1)))/Inputs!$B$44),G571*Q571))*IF(Inputs!$B$39="pvp",1,(1+(Inputs!$B$22+Skills!P9+B593)/100)*(MIN(Skills!Q9,Inputs!$B$38))),0)</f>
        <v/>
      </c>
    </row>
    <row r="572">
      <c r="A572">
        <f>Skills!A10</f>
        <v/>
      </c>
      <c r="B572">
        <f>Skills!B10</f>
        <v/>
      </c>
      <c r="C572">
        <f>Inputs!$B$3&gt;=66</f>
        <v/>
      </c>
      <c r="D572">
        <f>IF(Skills!C10=1,60+Inputs!$B$26+Inputs!$B$30,IF(Skills!C10=2,90+Inputs!$B$27+Inputs!$B$30,IF(Skills!C10=3,120+Inputs!$B$28+Inputs!$B$30,MAX(0,(Inputs!$B$3-100)*3)+Inputs!$B$29+Inputs!$B$30)))</f>
        <v/>
      </c>
      <c r="E572">
        <f>INDEX(FactorTable!$B$2:$Y$301, MATCH(ROUND(MIN(300,MAX(1,D572)),0), FactorTable!$A$2:$A$301,0), Skills!L10+1)</f>
        <v/>
      </c>
      <c r="F572" t="n">
        <v>0</v>
      </c>
      <c r="G572">
        <f>Calc!G10</f>
        <v/>
      </c>
      <c r="H572">
        <f>Calc!H10</f>
        <v/>
      </c>
      <c r="I572">
        <f>IF(Skills!T10&lt;&gt;"",1+(Skills!T10/10)*($Z$3/1000)/100,1)</f>
        <v/>
      </c>
      <c r="J572" t="inlineStr"/>
      <c r="K572" t="inlineStr"/>
      <c r="L572" t="inlineStr"/>
      <c r="M572" t="inlineStr"/>
      <c r="N572" t="inlineStr"/>
      <c r="O572">
        <f>(1-Summary!$B$48)*S572+Summary!$B$48*U572</f>
        <v/>
      </c>
      <c r="P572">
        <f>IF(B604=0,0,O572/B604)</f>
        <v/>
      </c>
      <c r="Q572">
        <f>IFERROR(1/IF(Inputs!$B$39="pvp",15,MAX(0.1,Skills!D10-IF(Skills!E10=TRUE,Inputs!$B$33,0))),0)</f>
        <v/>
      </c>
      <c r="R572">
        <f>IF(AND(Inputs!$B$39&lt;&gt;"pvp",Inputs!$B$44&gt;0),IF(MAX(0,Inputs!$B$44-B601)&lt;=0,0,(INT(MAX(0,Inputs!$B$44-B601)/IF(Inputs!$B$39="pvp",15,MAX(0.1,Skills!D10-IF(Skills!E10=TRUE,Inputs!$B$33,0))))+1)),0)</f>
        <v/>
      </c>
      <c r="S572" t="n">
        <v>0</v>
      </c>
      <c r="U572" t="n">
        <v>0</v>
      </c>
    </row>
    <row r="573">
      <c r="A573">
        <f>Skills!A11</f>
        <v/>
      </c>
      <c r="B573">
        <f>Skills!B11</f>
        <v/>
      </c>
      <c r="C573">
        <f>Inputs!$B$3&gt;=69</f>
        <v/>
      </c>
      <c r="D573">
        <f>IF(Skills!C11=1,60+Inputs!$B$26+Inputs!$B$30,IF(Skills!C11=2,90+Inputs!$B$27+Inputs!$B$30,IF(Skills!C11=3,120+Inputs!$B$28+Inputs!$B$30,MAX(0,(Inputs!$B$3-100)*3)+Inputs!$B$29+Inputs!$B$30)))</f>
        <v/>
      </c>
      <c r="E573">
        <f>INDEX(FactorTable!$B$2:$Y$301, MATCH(ROUND(MIN(300,MAX(1,D573)),0), FactorTable!$A$2:$A$301,0), Skills!L11+1)</f>
        <v/>
      </c>
      <c r="F573">
        <f>IF(Skills!M11=TRUE,(Skills!K11/10)*(E573/1000),Skills!K11/10)+Skills!N11</f>
        <v/>
      </c>
      <c r="G573">
        <f>Calc!G11</f>
        <v/>
      </c>
      <c r="H573">
        <f>Calc!H11</f>
        <v/>
      </c>
      <c r="I573">
        <f>IF(Skills!T11&lt;&gt;"",1+(Skills!T11/10)*($Z$3/1000)/100,1)</f>
        <v/>
      </c>
      <c r="J573" t="inlineStr"/>
      <c r="K573" t="inlineStr"/>
      <c r="L573" t="inlineStr"/>
      <c r="M573" t="inlineStr"/>
      <c r="N573" t="inlineStr"/>
      <c r="O573">
        <f>(1-Summary!$B$48)*S573+Summary!$B$48*U573</f>
        <v/>
      </c>
      <c r="P573">
        <f>IF(B604=0,0,O573/B604)</f>
        <v/>
      </c>
      <c r="Q573">
        <f>IFERROR(1/IF(Inputs!$B$39="pvp",15,MAX(0.1,Skills!D11-IF(Skills!E11=TRUE,Inputs!$B$33,0))),0)</f>
        <v/>
      </c>
      <c r="R573">
        <f>IF(AND(Inputs!$B$39&lt;&gt;"pvp",Inputs!$B$44&gt;0),IF(Inputs!$B$44&lt;=0,0,(INT(Inputs!$B$44/IF(Inputs!$B$39="pvp",15,MAX(0.1,Skills!D11-IF(Skills!E11=TRUE,Inputs!$B$33,0))))+1)),0)</f>
        <v/>
      </c>
      <c r="S573" t="n">
        <v>0</v>
      </c>
      <c r="U573" t="n">
        <v>0</v>
      </c>
    </row>
    <row r="574">
      <c r="A574">
        <f>Skills!A12</f>
        <v/>
      </c>
      <c r="B574">
        <f>Skills!B12</f>
        <v/>
      </c>
      <c r="C574">
        <f>Inputs!$B$3&gt;=72</f>
        <v/>
      </c>
      <c r="D574">
        <f>IF(Skills!C12=1,60+Inputs!$B$26+Inputs!$B$30,IF(Skills!C12=2,90+Inputs!$B$27+Inputs!$B$30,IF(Skills!C12=3,120+Inputs!$B$28+Inputs!$B$30,MAX(0,(Inputs!$B$3-100)*3)+Inputs!$B$29+Inputs!$B$30)))</f>
        <v/>
      </c>
      <c r="E574">
        <f>INDEX(FactorTable!$B$2:$Y$301, MATCH(ROUND(MIN(300,MAX(1,D574)),0), FactorTable!$A$2:$A$301,0), Skills!L12+1)</f>
        <v/>
      </c>
      <c r="F574">
        <f>IF(Skills!M12=TRUE,(Skills!K12/10)*(E574/1000),Skills!K12/10)+Skills!N12</f>
        <v/>
      </c>
      <c r="G574">
        <f>Calc!G12</f>
        <v/>
      </c>
      <c r="H574">
        <f>Calc!H12</f>
        <v/>
      </c>
      <c r="I574">
        <f>IF(Skills!T12&lt;&gt;"",1+(Skills!T12/10)*($Z$3/1000)/100,1)</f>
        <v/>
      </c>
      <c r="J574" t="inlineStr"/>
      <c r="K574" t="inlineStr"/>
      <c r="L574" t="inlineStr"/>
      <c r="M574" t="inlineStr"/>
      <c r="N574" t="inlineStr"/>
      <c r="O574">
        <f>(1-Summary!$B$48)*S574+Summary!$B$48*U574</f>
        <v/>
      </c>
      <c r="P574">
        <f>IF(B604=0,0,O574/B604)</f>
        <v/>
      </c>
      <c r="Q574">
        <f>IFERROR(1/IF(Inputs!$B$39="pvp",15,MAX(0.1,Skills!D12-IF(Skills!E12=TRUE,Inputs!$B$33,0))),0)</f>
        <v/>
      </c>
      <c r="R574">
        <f>IF(AND(Inputs!$B$39&lt;&gt;"pvp",Inputs!$B$44&gt;0),IF(MAX(0,Inputs!$B$44-B601)&lt;=0,0,(INT(MAX(0,Inputs!$B$44-B601)/IF(Inputs!$B$39="pvp",15,MAX(0.1,Skills!D12-IF(Skills!E12=TRUE,Inputs!$B$33,0))))+1)),0)</f>
        <v/>
      </c>
      <c r="S574" t="n">
        <v>0</v>
      </c>
      <c r="U574" t="n">
        <v>0</v>
      </c>
    </row>
    <row r="575">
      <c r="A575">
        <f>Skills!A13</f>
        <v/>
      </c>
      <c r="B575">
        <f>Skills!B13</f>
        <v/>
      </c>
      <c r="C575">
        <f>Inputs!$B$3&gt;=60</f>
        <v/>
      </c>
      <c r="D575">
        <f>IF(Skills!C13=1,60+Inputs!$B$26+Inputs!$B$30,IF(Skills!C13=2,90+Inputs!$B$27+Inputs!$B$30,IF(Skills!C13=3,120+Inputs!$B$28+Inputs!$B$30,MAX(0,(Inputs!$B$3-100)*3)+Inputs!$B$29+Inputs!$B$30)))</f>
        <v/>
      </c>
      <c r="E575">
        <f>INDEX(FactorTable!$B$2:$Y$301, MATCH(ROUND(MIN(300,MAX(1,D575)),0), FactorTable!$A$2:$A$301,0), Skills!L13+1)</f>
        <v/>
      </c>
      <c r="F575">
        <f>IF(Skills!M13=TRUE,(Skills!K13/10)*(E575/1000),Skills!K13/10)+Skills!N13</f>
        <v/>
      </c>
      <c r="G575">
        <f>Calc!G13</f>
        <v/>
      </c>
      <c r="H575">
        <f>Calc!H13</f>
        <v/>
      </c>
      <c r="I575">
        <f>IF(Skills!T13&lt;&gt;"",1+(Skills!T13/10)*($Z$3/1000)/100,1)</f>
        <v/>
      </c>
      <c r="J575" t="inlineStr"/>
      <c r="K575" t="inlineStr"/>
      <c r="L575" t="inlineStr"/>
      <c r="M575" t="inlineStr"/>
      <c r="N575" t="inlineStr"/>
      <c r="O575">
        <f>(1-Summary!$B$48)*S575+Summary!$B$48*U575</f>
        <v/>
      </c>
      <c r="P575">
        <f>IF(B604=0,0,O575/B604)</f>
        <v/>
      </c>
      <c r="Q575">
        <f>IFERROR(1/IF(Inputs!$B$39="pvp",15,MAX(0.1,Skills!D13-IF(Skills!E13=TRUE,Inputs!$B$33,0))),0)</f>
        <v/>
      </c>
      <c r="R575">
        <f>IF(AND(Inputs!$B$39&lt;&gt;"pvp",Inputs!$B$44&gt;0),IF(MAX(0,Inputs!$B$44-B601)&lt;=0,0,(INT(MAX(0,Inputs!$B$44-B601)/IF(Inputs!$B$39="pvp",15,MAX(0.1,Skills!D13-IF(Skills!E13=TRUE,Inputs!$B$33,0))))+1)),0)</f>
        <v/>
      </c>
      <c r="S575" t="n">
        <v>0</v>
      </c>
      <c r="U575" t="n">
        <v>0</v>
      </c>
    </row>
    <row r="576">
      <c r="A576">
        <f>Skills!A14</f>
        <v/>
      </c>
      <c r="B576">
        <f>Skills!B14</f>
        <v/>
      </c>
      <c r="C576">
        <f>Inputs!$B$3&gt;=107</f>
        <v/>
      </c>
      <c r="D576">
        <f>IF(Skills!C14=1,60+Inputs!$B$26+Inputs!$B$30,IF(Skills!C14=2,90+Inputs!$B$27+Inputs!$B$30,IF(Skills!C14=3,120+Inputs!$B$28+Inputs!$B$30,MAX(0,(Inputs!$B$3-100)*3)+Inputs!$B$29+Inputs!$B$30)))</f>
        <v/>
      </c>
      <c r="E576">
        <f>INDEX(FactorTable!$B$2:$Y$301, MATCH(ROUND(MIN(300,MAX(1,D576)),0), FactorTable!$A$2:$A$301,0), Skills!L14+1)</f>
        <v/>
      </c>
      <c r="F576">
        <f>IF(Skills!M14=TRUE,(Skills!K14/10)*(E576/1000),Skills!K14/10)+Skills!N14</f>
        <v/>
      </c>
      <c r="G576">
        <f>Calc!G14</f>
        <v/>
      </c>
      <c r="H576">
        <f>Calc!H14</f>
        <v/>
      </c>
      <c r="I576">
        <f>IF(Skills!T14&lt;&gt;"",1+(Skills!T14/10)*($Z$3/1000)/100,1)</f>
        <v/>
      </c>
      <c r="J576" t="inlineStr"/>
      <c r="K576" t="inlineStr"/>
      <c r="L576" t="inlineStr"/>
      <c r="M576" t="inlineStr"/>
      <c r="N576" t="inlineStr"/>
      <c r="O576">
        <f>(1-Summary!$B$48)*S576+Summary!$B$48*U576</f>
        <v/>
      </c>
      <c r="P576">
        <f>IF(B604=0,0,O576/B604)</f>
        <v/>
      </c>
      <c r="Q576">
        <f>IFERROR(1/IF(Inputs!$B$39="pvp",15,MAX(0.1,Skills!D14-IF(Skills!E14=TRUE,Inputs!$B$33,0))),0)</f>
        <v/>
      </c>
      <c r="R576">
        <f>IF(AND(Inputs!$B$39&lt;&gt;"pvp",Inputs!$B$44&gt;0),IF(Inputs!$B$44&lt;=0,0,(INT(Inputs!$B$44/IF(Inputs!$B$39="pvp",15,MAX(0.1,Skills!D14-IF(Skills!E14=TRUE,Inputs!$B$33,0))))+1)),0)</f>
        <v/>
      </c>
      <c r="S576" t="n">
        <v>0</v>
      </c>
      <c r="U576" t="n">
        <v>0</v>
      </c>
    </row>
    <row r="577">
      <c r="A577">
        <f>Skills!A15</f>
        <v/>
      </c>
      <c r="B577">
        <f>Skills!B15</f>
        <v/>
      </c>
      <c r="C577">
        <f>Inputs!$B$3&gt;=63</f>
        <v/>
      </c>
      <c r="D577">
        <f>IF(Skills!C15=1,60+Inputs!$B$26+Inputs!$B$30,IF(Skills!C15=2,90+Inputs!$B$27+Inputs!$B$30,IF(Skills!C15=3,120+Inputs!$B$28+Inputs!$B$30,MAX(0,(Inputs!$B$3-100)*3)+Inputs!$B$29+Inputs!$B$30)))</f>
        <v/>
      </c>
      <c r="E577">
        <f>INDEX(FactorTable!$B$2:$Y$301, MATCH(ROUND(MIN(300,MAX(1,D577)),0), FactorTable!$A$2:$A$301,0), Skills!L15+1)</f>
        <v/>
      </c>
      <c r="F577">
        <f>IF(Skills!M15=TRUE,(Skills!K15/10)*(E577/1000),Skills!K15/10)+Skills!N15</f>
        <v/>
      </c>
      <c r="G577">
        <f>Calc!G15</f>
        <v/>
      </c>
      <c r="H577">
        <f>Calc!H15</f>
        <v/>
      </c>
      <c r="I577">
        <f>IF(Skills!T15&lt;&gt;"",1+(Skills!T15/10)*($Z$3/1000)/100,1)</f>
        <v/>
      </c>
      <c r="J577">
        <f>((Inputs!$B$6*(1+Inputs!$B$7/100))+(((Inputs!$B$13*(1+Inputs!$B$14/100))-(Inputs!$B$13*(1+Inputs!$B$14/100)))+0.25*(Inputs!$B$15-Inputs!$B$15))*(1+Inputs!$B$7/100))*(F577/100)</f>
        <v/>
      </c>
      <c r="K577">
        <f>J577*(1+(((Inputs!$B$13+IF(Inputs!$B$3&gt;=35,(10*INDEX(FactorTable!$B$2:$Y$301, MATCH(ROUND(MIN(300,MAX(1,Inputs!$B$3)),0), FactorTable!$A$2:$A$301,0), 23)/1000)/100*(Inputs!$B$8*(1+(Inputs!$B$9+B600)/100)),0))*(1+Inputs!$B$14/100))*0.01+Inputs!$B$15*0.0025)/100)*(1+(Inputs!$B$16+B594)/100)*(1+Inputs!$B$17/100)*(5000/(6000+Inputs!$B$43*(1-Inputs!$B$20/100)))*(1+Inputs!$B$25/100)*(1+IF(C580=TRUE,F580,0)/100)*(1+IF(C582=TRUE,F582,0)/100)*(1+IF(Skills!A15="TRIUMPH_FEATHER",IF(C578=TRUE,F578,0),0)/100)*(1+IF(C589=TRUE,F589,0)/100)^5*(1+(IF(Skills!A15="BIG_BANG",Inputs!$B$18,Inputs!$B$19))/100)*(B591*I577)</f>
        <v/>
      </c>
      <c r="L577">
        <f>K577*(MIN(Inputs!$B$23+(F584-Calc!F22),Inputs!$B$24)/100+Inputs!$B$24/100)/2</f>
        <v/>
      </c>
      <c r="M577">
        <f>L577*(1+((Inputs!$B$11+1)+B595+(F587-Calc!F25))/100)</f>
        <v/>
      </c>
      <c r="N577">
        <f>L577*(1-MIN(Inputs!$B$10+((F586-Calc!F24)+(F585-Calc!F23)),100)/100)+M577*(MIN(Inputs!$B$10+((F586-Calc!F24)+(F585-Calc!F23)),100)/100)</f>
        <v/>
      </c>
      <c r="O577">
        <f>(1-Summary!$B$48)*S577+Summary!$B$48*U577</f>
        <v/>
      </c>
      <c r="P577">
        <f>IF(B604=0,0,O577/B604)</f>
        <v/>
      </c>
      <c r="Q577">
        <f>IFERROR(1/IF(Inputs!$B$39="pvp",15,MAX(0.1,Skills!D15-IF(Skills!E15=TRUE,Inputs!$B$33,0))),0)</f>
        <v/>
      </c>
      <c r="R577" t="n">
        <v>0</v>
      </c>
      <c r="S577">
        <f>IF(C577,(Skills!F15*N577*((IF(Inputs!$B$3&gt;=78,25,15)/100*B597*10)/(1+IF(Inputs!$B$3&gt;=78,25,15)/100*B597*10))*(Skills!I15/100*B597)/(1+Skills!G15*Skills!I15/100*B597))*IF(Inputs!$B$39="pvp",1,1+(Inputs!$B$21+Skills!O15+B592)/100),0)</f>
        <v/>
      </c>
      <c r="U577">
        <f>IF(C577,(Skills!F15*N577*((IF(Inputs!$B$3&gt;=78,25,15)/100*B597*10)/(1+IF(Inputs!$B$3&gt;=78,25,15)/100*B597*10))*(Skills!I15/100*B597)/(1+Skills!G15*Skills!I15/100*B597))*IF(Inputs!$B$39="pvp",1,(1+(Inputs!$B$22+Skills!P15+B593)/100)*(MIN(Skills!Q15,Inputs!$B$38))),0)</f>
        <v/>
      </c>
    </row>
    <row r="578">
      <c r="A578">
        <f>Skills!A16</f>
        <v/>
      </c>
      <c r="B578">
        <f>Skills!B16</f>
        <v/>
      </c>
      <c r="C578">
        <f>Inputs!$B$3&gt;=100</f>
        <v/>
      </c>
      <c r="D578">
        <f>IF(Skills!C16=1,60+Inputs!$B$26+Inputs!$B$30,IF(Skills!C16=2,90+Inputs!$B$27+Inputs!$B$30,IF(Skills!C16=3,120+Inputs!$B$28+Inputs!$B$30,MAX(0,(Inputs!$B$3-100)*3)+Inputs!$B$29+Inputs!$B$30)))</f>
        <v/>
      </c>
      <c r="E578">
        <f>INDEX(FactorTable!$B$2:$Y$301, MATCH(ROUND(MIN(300,MAX(1,D578)),0), FactorTable!$A$2:$A$301,0), Skills!L16+1)</f>
        <v/>
      </c>
      <c r="F578">
        <f>IF(Skills!M16=TRUE,(Skills!K16/10)*(E578/1000),Skills!K16/10)+Skills!N16</f>
        <v/>
      </c>
      <c r="G578">
        <f>Calc!G16</f>
        <v/>
      </c>
      <c r="H578">
        <f>Calc!H16</f>
        <v/>
      </c>
      <c r="I578">
        <f>IF(Skills!T16&lt;&gt;"",1+(Skills!T16/10)*($Z$3/1000)/100,1)</f>
        <v/>
      </c>
      <c r="J578" t="inlineStr"/>
      <c r="K578" t="inlineStr"/>
      <c r="L578" t="inlineStr"/>
      <c r="M578" t="inlineStr"/>
      <c r="N578" t="inlineStr"/>
      <c r="O578">
        <f>(1-Summary!$B$48)*S578+Summary!$B$48*U578</f>
        <v/>
      </c>
      <c r="P578">
        <f>IF(B604=0,0,O578/B604)</f>
        <v/>
      </c>
      <c r="Q578">
        <f>IFERROR(1/IF(Inputs!$B$39="pvp",15,MAX(0.1,Skills!D16-IF(Skills!E16=TRUE,Inputs!$B$33,0))),0)</f>
        <v/>
      </c>
      <c r="R578" t="n">
        <v>0</v>
      </c>
      <c r="S578" t="n">
        <v>0</v>
      </c>
      <c r="U578" t="n">
        <v>0</v>
      </c>
    </row>
    <row r="579">
      <c r="A579">
        <f>Skills!A17</f>
        <v/>
      </c>
      <c r="B579">
        <f>Skills!B17</f>
        <v/>
      </c>
      <c r="C579">
        <f>Inputs!$B$3&gt;=49</f>
        <v/>
      </c>
      <c r="D579">
        <f>IF(Skills!C17=1,60+Inputs!$B$26+Inputs!$B$30,IF(Skills!C17=2,90+Inputs!$B$27+Inputs!$B$30,IF(Skills!C17=3,120+Inputs!$B$28+Inputs!$B$30,MAX(0,(Inputs!$B$3-100)*3)+Inputs!$B$29+Inputs!$B$30)))</f>
        <v/>
      </c>
      <c r="E579">
        <f>INDEX(FactorTable!$B$2:$Y$301, MATCH(ROUND(MIN(300,MAX(1,D579)),0), FactorTable!$A$2:$A$301,0), Skills!L17+1)</f>
        <v/>
      </c>
      <c r="F579">
        <f>IF(Skills!M17=TRUE,(Skills!K17/10)*(E579/1000),Skills!K17/10)+Skills!N17</f>
        <v/>
      </c>
      <c r="G579">
        <f>Calc!G17</f>
        <v/>
      </c>
      <c r="H579">
        <f>Calc!H17</f>
        <v/>
      </c>
      <c r="I579">
        <f>IF(Skills!T17&lt;&gt;"",1+(Skills!T17/10)*($Z$3/1000)/100,1)</f>
        <v/>
      </c>
      <c r="J579" t="inlineStr"/>
      <c r="K579" t="inlineStr"/>
      <c r="L579" t="inlineStr"/>
      <c r="M579" t="inlineStr"/>
      <c r="N579" t="inlineStr"/>
      <c r="O579">
        <f>(1-Summary!$B$48)*S579+Summary!$B$48*U579</f>
        <v/>
      </c>
      <c r="P579">
        <f>IF(B604=0,0,O579/B604)</f>
        <v/>
      </c>
      <c r="Q579">
        <f>IFERROR(1/IF(Inputs!$B$39="pvp",15,MAX(0.1,Skills!D17-IF(Skills!E17=TRUE,Inputs!$B$33,0))),0)</f>
        <v/>
      </c>
      <c r="R579" t="n">
        <v>0</v>
      </c>
      <c r="S579" t="n">
        <v>0</v>
      </c>
      <c r="U579" t="n">
        <v>0</v>
      </c>
    </row>
    <row r="580">
      <c r="A580">
        <f>Skills!A18</f>
        <v/>
      </c>
      <c r="B580">
        <f>Skills!B18</f>
        <v/>
      </c>
      <c r="C580">
        <f>Inputs!$B$3&gt;=75</f>
        <v/>
      </c>
      <c r="D580">
        <f>IF(Skills!C18=1,60+Inputs!$B$26+Inputs!$B$30,IF(Skills!C18=2,90+Inputs!$B$27+Inputs!$B$30,IF(Skills!C18=3,120+Inputs!$B$28+Inputs!$B$30,MAX(0,(Inputs!$B$3-100)*3)+Inputs!$B$29+Inputs!$B$30)))</f>
        <v/>
      </c>
      <c r="E580">
        <f>INDEX(FactorTable!$B$2:$Y$301, MATCH(ROUND(MIN(300,MAX(1,D580)),0), FactorTable!$A$2:$A$301,0), Skills!L18+1)</f>
        <v/>
      </c>
      <c r="F580">
        <f>IF(Skills!M18=TRUE,(Skills!K18/10)*(E580/1000),Skills!K18/10)+Skills!N18</f>
        <v/>
      </c>
      <c r="G580">
        <f>Calc!G18</f>
        <v/>
      </c>
      <c r="H580">
        <f>Calc!H18</f>
        <v/>
      </c>
      <c r="I580">
        <f>IF(Skills!T18&lt;&gt;"",1+(Skills!T18/10)*($Z$3/1000)/100,1)</f>
        <v/>
      </c>
      <c r="J580" t="inlineStr"/>
      <c r="K580" t="inlineStr"/>
      <c r="L580" t="inlineStr"/>
      <c r="M580" t="inlineStr"/>
      <c r="N580" t="inlineStr"/>
      <c r="O580">
        <f>(1-Summary!$B$48)*S580+Summary!$B$48*U580</f>
        <v/>
      </c>
      <c r="P580">
        <f>IF(B604=0,0,O580/B604)</f>
        <v/>
      </c>
      <c r="Q580">
        <f>IFERROR(1/IF(Inputs!$B$39="pvp",15,MAX(0.1,Skills!D18-IF(Skills!E18=TRUE,Inputs!$B$33,0))),0)</f>
        <v/>
      </c>
      <c r="R580" t="n">
        <v>0</v>
      </c>
      <c r="S580" t="n">
        <v>0</v>
      </c>
      <c r="U580" t="n">
        <v>0</v>
      </c>
    </row>
    <row r="581">
      <c r="A581">
        <f>Skills!A19</f>
        <v/>
      </c>
      <c r="B581">
        <f>Skills!B19</f>
        <v/>
      </c>
      <c r="C581">
        <f>Inputs!$B$3&gt;=110</f>
        <v/>
      </c>
      <c r="D581">
        <f>IF(Skills!C19=1,60+Inputs!$B$26+Inputs!$B$30,IF(Skills!C19=2,90+Inputs!$B$27+Inputs!$B$30,IF(Skills!C19=3,120+Inputs!$B$28+Inputs!$B$30,MAX(0,(Inputs!$B$3-100)*3)+Inputs!$B$29+Inputs!$B$30)))</f>
        <v/>
      </c>
      <c r="E581">
        <f>INDEX(FactorTable!$B$2:$Y$301, MATCH(ROUND(MIN(300,MAX(1,D581)),0), FactorTable!$A$2:$A$301,0), Skills!L19+1)</f>
        <v/>
      </c>
      <c r="F581">
        <f>(Skills!K19/10)*(E581/1000)*64/45+Skills!N19</f>
        <v/>
      </c>
      <c r="G581">
        <f>Calc!G19</f>
        <v/>
      </c>
      <c r="H581">
        <f>Calc!H19</f>
        <v/>
      </c>
      <c r="I581">
        <f>IF(Skills!T19&lt;&gt;"",1+(Skills!T19/10)*($Z$3/1000)/100,1)</f>
        <v/>
      </c>
      <c r="J581" t="inlineStr"/>
      <c r="K581" t="inlineStr"/>
      <c r="L581" t="inlineStr"/>
      <c r="M581" t="inlineStr"/>
      <c r="N581" t="inlineStr"/>
      <c r="O581">
        <f>(1-Summary!$B$48)*S581+Summary!$B$48*U581</f>
        <v/>
      </c>
      <c r="P581">
        <f>IF(B604=0,0,O581/B604)</f>
        <v/>
      </c>
      <c r="Q581">
        <f>IFERROR(1/IF(Inputs!$B$39="pvp",15,MAX(0.1,Skills!D19-IF(Skills!E19=TRUE,Inputs!$B$33,0))),0)</f>
        <v/>
      </c>
      <c r="R581">
        <f>IF(AND(Inputs!$B$39&lt;&gt;"pvp",Inputs!$B$44&gt;0),IF(Inputs!$B$44&lt;=0,0,(INT(Inputs!$B$44/IF(Inputs!$B$39="pvp",15,MAX(0.1,Skills!D19-IF(Skills!E19=TRUE,Inputs!$B$33,0))))+1)),0)</f>
        <v/>
      </c>
      <c r="S581" t="n">
        <v>0</v>
      </c>
      <c r="U581" t="n">
        <v>0</v>
      </c>
    </row>
    <row r="582">
      <c r="A582">
        <f>Skills!A20</f>
        <v/>
      </c>
      <c r="B582">
        <f>Skills!B20</f>
        <v/>
      </c>
      <c r="C582">
        <f>Inputs!$B$3&gt;=125</f>
        <v/>
      </c>
      <c r="D582">
        <f>IF(Skills!C20=1,60+Inputs!$B$26+Inputs!$B$30,IF(Skills!C20=2,90+Inputs!$B$27+Inputs!$B$30,IF(Skills!C20=3,120+Inputs!$B$28+Inputs!$B$30,MAX(0,(Inputs!$B$3-100)*3)+Inputs!$B$29+Inputs!$B$30)))</f>
        <v/>
      </c>
      <c r="E582">
        <f>INDEX(FactorTable!$B$2:$Y$301, MATCH(ROUND(MIN(300,MAX(1,D582)),0), FactorTable!$A$2:$A$301,0), Skills!L20+1)</f>
        <v/>
      </c>
      <c r="F582">
        <f>IF(Skills!M20=TRUE,(Skills!K20/10)*(E582/1000),Skills!K20/10)+Skills!N20</f>
        <v/>
      </c>
      <c r="G582">
        <f>Calc!G20</f>
        <v/>
      </c>
      <c r="H582">
        <f>Calc!H20</f>
        <v/>
      </c>
      <c r="I582">
        <f>IF(Skills!T20&lt;&gt;"",1+(Skills!T20/10)*($Z$3/1000)/100,1)</f>
        <v/>
      </c>
      <c r="J582" t="inlineStr"/>
      <c r="K582" t="inlineStr"/>
      <c r="L582" t="inlineStr"/>
      <c r="M582" t="inlineStr"/>
      <c r="N582" t="inlineStr"/>
      <c r="O582">
        <f>(1-Summary!$B$48)*S582+Summary!$B$48*U582</f>
        <v/>
      </c>
      <c r="P582">
        <f>IF(B604=0,0,O582/B604)</f>
        <v/>
      </c>
      <c r="Q582">
        <f>IFERROR(1/IF(Inputs!$B$39="pvp",15,MAX(0.1,Skills!D20-IF(Skills!E20=TRUE,Inputs!$B$33,0))),0)</f>
        <v/>
      </c>
      <c r="R582" t="n">
        <v>0</v>
      </c>
      <c r="S582" t="n">
        <v>0</v>
      </c>
      <c r="U582" t="n">
        <v>0</v>
      </c>
    </row>
    <row r="583">
      <c r="A583">
        <f>Skills!A21</f>
        <v/>
      </c>
      <c r="B583">
        <f>Skills!B21</f>
        <v/>
      </c>
      <c r="C583">
        <f>Inputs!$B$3&gt;=33</f>
        <v/>
      </c>
      <c r="D583">
        <f>IF(Skills!C21=1,60+Inputs!$B$26+Inputs!$B$30,IF(Skills!C21=2,90+Inputs!$B$27+Inputs!$B$30,IF(Skills!C21=3,120+Inputs!$B$28+Inputs!$B$30,MAX(0,(Inputs!$B$3-100)*3)+Inputs!$B$29+Inputs!$B$30)))</f>
        <v/>
      </c>
      <c r="E583">
        <f>INDEX(FactorTable!$B$2:$Y$301, MATCH(ROUND(MIN(300,MAX(1,D583)),0), FactorTable!$A$2:$A$301,0), Skills!L21+1)</f>
        <v/>
      </c>
      <c r="F583">
        <f>IF(Skills!M21=TRUE,(Skills!K21/10)*(E583/1000),Skills!K21/10)+Skills!N21</f>
        <v/>
      </c>
      <c r="G583">
        <f>Calc!G21</f>
        <v/>
      </c>
      <c r="H583">
        <f>Calc!H21</f>
        <v/>
      </c>
      <c r="I583">
        <f>IF(Skills!T21&lt;&gt;"",1+(Skills!T21/10)*($Z$3/1000)/100,1)</f>
        <v/>
      </c>
      <c r="J583" t="inlineStr"/>
      <c r="K583" t="inlineStr"/>
      <c r="L583" t="inlineStr"/>
      <c r="M583" t="inlineStr"/>
      <c r="N583" t="inlineStr"/>
      <c r="O583">
        <f>(1-Summary!$B$48)*S583+Summary!$B$48*U583</f>
        <v/>
      </c>
      <c r="P583">
        <f>IF(B604=0,0,O583/B604)</f>
        <v/>
      </c>
      <c r="Q583">
        <f>IFERROR(1/IF(Inputs!$B$39="pvp",15,MAX(0.1,Skills!D21-IF(Skills!E21=TRUE,Inputs!$B$33,0))),0)</f>
        <v/>
      </c>
      <c r="R583" t="n">
        <v>0</v>
      </c>
      <c r="S583" t="n">
        <v>0</v>
      </c>
      <c r="U583" t="n">
        <v>0</v>
      </c>
    </row>
    <row r="584">
      <c r="A584">
        <f>Skills!A22</f>
        <v/>
      </c>
      <c r="B584">
        <f>Skills!B22</f>
        <v/>
      </c>
      <c r="C584">
        <f>Inputs!$B$3&gt;=43</f>
        <v/>
      </c>
      <c r="D584">
        <f>IF(Skills!C22=1,60+Inputs!$B$26+Inputs!$B$30,IF(Skills!C22=2,90+Inputs!$B$27+Inputs!$B$30,IF(Skills!C22=3,120+Inputs!$B$28+Inputs!$B$30,MAX(0,(Inputs!$B$3-100)*3)+Inputs!$B$29+Inputs!$B$30)))</f>
        <v/>
      </c>
      <c r="E584">
        <f>INDEX(FactorTable!$B$2:$Y$301, MATCH(ROUND(MIN(300,MAX(1,D584)),0), FactorTable!$A$2:$A$301,0), Skills!L22+1)</f>
        <v/>
      </c>
      <c r="F584">
        <f>IF(Skills!M22=TRUE,(Skills!K22/10)*(E584/1000),Skills!K22/10)+Skills!N22</f>
        <v/>
      </c>
      <c r="G584">
        <f>Calc!G22</f>
        <v/>
      </c>
      <c r="H584">
        <f>Calc!H22</f>
        <v/>
      </c>
      <c r="I584">
        <f>IF(Skills!T22&lt;&gt;"",1+(Skills!T22/10)*($Z$3/1000)/100,1)</f>
        <v/>
      </c>
      <c r="J584" t="inlineStr"/>
      <c r="K584" t="inlineStr"/>
      <c r="L584" t="inlineStr"/>
      <c r="M584" t="inlineStr"/>
      <c r="N584" t="inlineStr"/>
      <c r="O584">
        <f>(1-Summary!$B$48)*S584+Summary!$B$48*U584</f>
        <v/>
      </c>
      <c r="P584">
        <f>IF(B604=0,0,O584/B604)</f>
        <v/>
      </c>
      <c r="Q584">
        <f>IFERROR(1/IF(Inputs!$B$39="pvp",15,MAX(0.1,Skills!D22-IF(Skills!E22=TRUE,Inputs!$B$33,0))),0)</f>
        <v/>
      </c>
      <c r="R584" t="n">
        <v>0</v>
      </c>
      <c r="S584" t="n">
        <v>0</v>
      </c>
      <c r="U584" t="n">
        <v>0</v>
      </c>
    </row>
    <row r="585">
      <c r="A585">
        <f>Skills!A23</f>
        <v/>
      </c>
      <c r="B585">
        <f>Skills!B23</f>
        <v/>
      </c>
      <c r="C585">
        <f>Inputs!$B$3&gt;=50</f>
        <v/>
      </c>
      <c r="D585">
        <f>IF(Skills!C23=1,60+Inputs!$B$26+Inputs!$B$30,IF(Skills!C23=2,90+Inputs!$B$27+Inputs!$B$30,IF(Skills!C23=3,120+Inputs!$B$28+Inputs!$B$30,MAX(0,(Inputs!$B$3-100)*3)+Inputs!$B$29+Inputs!$B$30)))</f>
        <v/>
      </c>
      <c r="E585">
        <f>INDEX(FactorTable!$B$2:$Y$301, MATCH(ROUND(MIN(300,MAX(1,D585)),0), FactorTable!$A$2:$A$301,0), Skills!L23+1)</f>
        <v/>
      </c>
      <c r="F585">
        <f>IF(Skills!M23=TRUE,(Skills!K23/10)*(E585/1000),Skills!K23/10)+Skills!N23</f>
        <v/>
      </c>
      <c r="G585">
        <f>Calc!G23</f>
        <v/>
      </c>
      <c r="H585">
        <f>Calc!H23</f>
        <v/>
      </c>
      <c r="I585">
        <f>IF(Skills!T23&lt;&gt;"",1+(Skills!T23/10)*($Z$3/1000)/100,1)</f>
        <v/>
      </c>
      <c r="J585" t="inlineStr"/>
      <c r="K585" t="inlineStr"/>
      <c r="L585" t="inlineStr"/>
      <c r="M585" t="inlineStr"/>
      <c r="N585" t="inlineStr"/>
      <c r="O585">
        <f>(1-Summary!$B$48)*S585+Summary!$B$48*U585</f>
        <v/>
      </c>
      <c r="P585">
        <f>IF(B604=0,0,O585/B604)</f>
        <v/>
      </c>
      <c r="Q585">
        <f>IFERROR(1/IF(Inputs!$B$39="pvp",15,MAX(0.1,Skills!D23-IF(Skills!E23=TRUE,Inputs!$B$33,0))),0)</f>
        <v/>
      </c>
      <c r="R585" t="n">
        <v>0</v>
      </c>
      <c r="S585" t="n">
        <v>0</v>
      </c>
      <c r="U585" t="n">
        <v>0</v>
      </c>
    </row>
    <row r="586">
      <c r="A586">
        <f>Skills!A24</f>
        <v/>
      </c>
      <c r="B586">
        <f>Skills!B24</f>
        <v/>
      </c>
      <c r="C586">
        <f>Inputs!$B$3&gt;=74</f>
        <v/>
      </c>
      <c r="D586">
        <f>IF(Skills!C24=1,60+Inputs!$B$26+Inputs!$B$30,IF(Skills!C24=2,90+Inputs!$B$27+Inputs!$B$30,IF(Skills!C24=3,120+Inputs!$B$28+Inputs!$B$30,MAX(0,(Inputs!$B$3-100)*3)+Inputs!$B$29+Inputs!$B$30)))</f>
        <v/>
      </c>
      <c r="E586">
        <f>INDEX(FactorTable!$B$2:$Y$301, MATCH(ROUND(MIN(300,MAX(1,D586)),0), FactorTable!$A$2:$A$301,0), Skills!L24+1)</f>
        <v/>
      </c>
      <c r="F586">
        <f>IF(Skills!M24=TRUE,(Skills!K24/10)*(E586/1000),Skills!K24/10)+Skills!N24</f>
        <v/>
      </c>
      <c r="G586">
        <f>Calc!G24</f>
        <v/>
      </c>
      <c r="H586">
        <f>Calc!H24</f>
        <v/>
      </c>
      <c r="I586">
        <f>IF(Skills!T24&lt;&gt;"",1+(Skills!T24/10)*($Z$3/1000)/100,1)</f>
        <v/>
      </c>
      <c r="J586" t="inlineStr"/>
      <c r="K586" t="inlineStr"/>
      <c r="L586" t="inlineStr"/>
      <c r="M586" t="inlineStr"/>
      <c r="N586" t="inlineStr"/>
      <c r="O586">
        <f>(1-Summary!$B$48)*S586+Summary!$B$48*U586</f>
        <v/>
      </c>
      <c r="P586">
        <f>IF(B604=0,0,O586/B604)</f>
        <v/>
      </c>
      <c r="Q586">
        <f>IFERROR(1/IF(Inputs!$B$39="pvp",15,MAX(0.1,Skills!D24-IF(Skills!E24=TRUE,Inputs!$B$33,0))),0)</f>
        <v/>
      </c>
      <c r="R586" t="n">
        <v>0</v>
      </c>
      <c r="S586" t="n">
        <v>0</v>
      </c>
      <c r="U586" t="n">
        <v>0</v>
      </c>
    </row>
    <row r="587">
      <c r="A587">
        <f>Skills!A25</f>
        <v/>
      </c>
      <c r="B587">
        <f>Skills!B25</f>
        <v/>
      </c>
      <c r="C587">
        <f>Inputs!$B$3&gt;=74</f>
        <v/>
      </c>
      <c r="D587">
        <f>IF(Skills!C25=1,60+Inputs!$B$26+Inputs!$B$30,IF(Skills!C25=2,90+Inputs!$B$27+Inputs!$B$30,IF(Skills!C25=3,120+Inputs!$B$28+Inputs!$B$30,MAX(0,(Inputs!$B$3-100)*3)+Inputs!$B$29+Inputs!$B$30)))</f>
        <v/>
      </c>
      <c r="E587">
        <f>INDEX(FactorTable!$B$2:$Y$301, MATCH(ROUND(MIN(300,MAX(1,D587)),0), FactorTable!$A$2:$A$301,0), Skills!L25+1)</f>
        <v/>
      </c>
      <c r="F587">
        <f>IF(Skills!M25=TRUE,(Skills!K25/10)*(E587/1000),Skills!K25/10)+Skills!N25</f>
        <v/>
      </c>
      <c r="G587">
        <f>Calc!G25</f>
        <v/>
      </c>
      <c r="H587">
        <f>Calc!H25</f>
        <v/>
      </c>
      <c r="I587">
        <f>IF(Skills!T25&lt;&gt;"",1+(Skills!T25/10)*($Z$3/1000)/100,1)</f>
        <v/>
      </c>
      <c r="J587" t="inlineStr"/>
      <c r="K587" t="inlineStr"/>
      <c r="L587" t="inlineStr"/>
      <c r="M587" t="inlineStr"/>
      <c r="N587" t="inlineStr"/>
      <c r="O587">
        <f>(1-Summary!$B$48)*S587+Summary!$B$48*U587</f>
        <v/>
      </c>
      <c r="P587">
        <f>IF(B604=0,0,O587/B604)</f>
        <v/>
      </c>
      <c r="Q587">
        <f>IFERROR(1/IF(Inputs!$B$39="pvp",15,MAX(0.1,Skills!D25-IF(Skills!E25=TRUE,Inputs!$B$33,0))),0)</f>
        <v/>
      </c>
      <c r="R587" t="n">
        <v>0</v>
      </c>
      <c r="S587" t="n">
        <v>0</v>
      </c>
      <c r="U587" t="n">
        <v>0</v>
      </c>
    </row>
    <row r="588">
      <c r="A588">
        <f>Skills!A26</f>
        <v/>
      </c>
      <c r="B588">
        <f>Skills!B26</f>
        <v/>
      </c>
      <c r="C588">
        <f>Inputs!$B$3&gt;=117</f>
        <v/>
      </c>
      <c r="D588">
        <f>IF(Skills!C26=1,60+Inputs!$B$26+Inputs!$B$30,IF(Skills!C26=2,90+Inputs!$B$27+Inputs!$B$30,IF(Skills!C26=3,120+Inputs!$B$28+Inputs!$B$30,MAX(0,(Inputs!$B$3-100)*3)+Inputs!$B$29+Inputs!$B$30)))</f>
        <v/>
      </c>
      <c r="E588">
        <f>INDEX(FactorTable!$B$2:$Y$301, MATCH(ROUND(MIN(300,MAX(1,D588)),0), FactorTable!$A$2:$A$301,0), Skills!L26+1)</f>
        <v/>
      </c>
      <c r="F588">
        <f>IF(Skills!M26=TRUE,(Skills!K26/10)*(E588/1000),Skills!K26/10)+Skills!N26</f>
        <v/>
      </c>
      <c r="G588">
        <f>Calc!G26</f>
        <v/>
      </c>
      <c r="H588">
        <f>Calc!H26</f>
        <v/>
      </c>
      <c r="I588">
        <f>IF(Skills!T26&lt;&gt;"",1+(Skills!T26/10)*($Z$3/1000)/100,1)</f>
        <v/>
      </c>
      <c r="J588" t="inlineStr"/>
      <c r="K588" t="inlineStr"/>
      <c r="L588" t="inlineStr"/>
      <c r="M588" t="inlineStr"/>
      <c r="N588" t="inlineStr"/>
      <c r="O588">
        <f>(1-Summary!$B$48)*S588+Summary!$B$48*U588</f>
        <v/>
      </c>
      <c r="P588">
        <f>IF(B604=0,0,O588/B604)</f>
        <v/>
      </c>
      <c r="Q588">
        <f>IFERROR(1/IF(Inputs!$B$39="pvp",15,MAX(0.1,Skills!D26-IF(Skills!E26=TRUE,Inputs!$B$33,0))),0)</f>
        <v/>
      </c>
      <c r="R588" t="n">
        <v>0</v>
      </c>
      <c r="S588" t="n">
        <v>0</v>
      </c>
      <c r="U588" t="n">
        <v>0</v>
      </c>
    </row>
    <row r="589">
      <c r="A589">
        <f>Skills!A27</f>
        <v/>
      </c>
      <c r="B589">
        <f>Skills!B27</f>
        <v/>
      </c>
      <c r="C589">
        <f>Inputs!$B$3&gt;=120</f>
        <v/>
      </c>
      <c r="D589">
        <f>IF(Skills!C27=1,60+Inputs!$B$26+Inputs!$B$30,IF(Skills!C27=2,90+Inputs!$B$27+Inputs!$B$30,IF(Skills!C27=3,120+Inputs!$B$28+Inputs!$B$30,MAX(0,(Inputs!$B$3-100)*3)+Inputs!$B$29+Inputs!$B$30)))</f>
        <v/>
      </c>
      <c r="E589">
        <f>INDEX(FactorTable!$B$2:$Y$301, MATCH(ROUND(MIN(300,MAX(1,D589)),0), FactorTable!$A$2:$A$301,0), Skills!L27+1)</f>
        <v/>
      </c>
      <c r="F589">
        <f>IF(Skills!M27=TRUE,(Skills!K27/10)*(E589/1000),Skills!K27/10)+Skills!N27</f>
        <v/>
      </c>
      <c r="G589">
        <f>Calc!G27</f>
        <v/>
      </c>
      <c r="H589">
        <f>Calc!H27</f>
        <v/>
      </c>
      <c r="I589">
        <f>IF(Skills!T27&lt;&gt;"",1+(Skills!T27/10)*($Z$3/1000)/100,1)</f>
        <v/>
      </c>
      <c r="J589" t="inlineStr"/>
      <c r="K589" t="inlineStr"/>
      <c r="L589" t="inlineStr"/>
      <c r="M589" t="inlineStr"/>
      <c r="N589" t="inlineStr"/>
      <c r="O589">
        <f>(1-Summary!$B$48)*S589+Summary!$B$48*U589</f>
        <v/>
      </c>
      <c r="P589">
        <f>IF(B604=0,0,O589/B604)</f>
        <v/>
      </c>
      <c r="Q589">
        <f>IFERROR(1/IF(Inputs!$B$39="pvp",15,MAX(0.1,Skills!D27-IF(Skills!E27=TRUE,Inputs!$B$33,0))),0)</f>
        <v/>
      </c>
      <c r="R589" t="n">
        <v>0</v>
      </c>
      <c r="S589" t="n">
        <v>0</v>
      </c>
      <c r="U589" t="n">
        <v>0</v>
      </c>
    </row>
    <row r="591">
      <c r="A591" t="inlineStr">
        <is>
          <t>Average Buff Multiplier</t>
        </is>
      </c>
      <c r="B591">
        <f>(1+(IF(C565=TRUE,F565*IF(AND(Inputs!$B$39&lt;&gt;"pvp",Inputs!$B$44&gt;0),(((R565-1)*(Skills!S3*(1+(Inputs!$B$35+IF(Inputs!$B$3&gt;=117,F588,0))/100))+MIN((Skills!S3*(1+(Inputs!$B$35+IF(Inputs!$B$3&gt;=117,F588,0))/100)),MAX(0,Inputs!$B$44-((R565-1)*Skills!D3))))/Inputs!$B$44),IF(Inputs!$B$39="pvp",MIN((Skills!S3*(1+(Inputs!$B$35+IF(Inputs!$B$3&gt;=117,F588,0))/100)),15)/15,(Skills!S3*(1+(Inputs!$B$35+IF(Inputs!$B$3&gt;=117,F588,0))/100))/Skills!D3)),0)+IF(C566=TRUE,F566*IF(AND(Inputs!$B$39&lt;&gt;"pvp",Inputs!$B$44&gt;0),(((R566-1)*(Skills!S4*(1+(Inputs!$B$35+IF(Inputs!$B$3&gt;=117,F588,0))/100))+MIN((Skills!S4*(1+(Inputs!$B$35+IF(Inputs!$B$3&gt;=117,F588,0))/100)),MAX(0,Inputs!$B$44-((R566-1)*Skills!D4))))/Inputs!$B$44),IF(Inputs!$B$39="pvp",MIN((Skills!S4*(1+(Inputs!$B$35+IF(Inputs!$B$3&gt;=117,F588,0))/100)),15)/15,(Skills!S4*(1+(Inputs!$B$35+IF(Inputs!$B$3&gt;=117,F588,0))/100))/Skills!D4)),0)+IF(C567=TRUE,F567*IF(AND(Inputs!$B$39&lt;&gt;"pvp",Inputs!$B$44&gt;0),(((R567-1)*(Skills!S5*(1+(Inputs!$B$35+IF(Inputs!$B$3&gt;=117,F588,0))/100))+MIN((Skills!S5*(1+(Inputs!$B$35+IF(Inputs!$B$3&gt;=117,F588,0))/100)),MAX(0,Inputs!$B$44-((R567-1)*Skills!D5))))/Inputs!$B$44),IF(Inputs!$B$39="pvp",MIN((Skills!S5*(1+(Inputs!$B$35+IF(Inputs!$B$3&gt;=117,F588,0))/100)),15)/15,(Skills!S5*(1+(Inputs!$B$35+IF(Inputs!$B$3&gt;=117,F588,0))/100))/Skills!D5)),0)+IF(C573=TRUE,F573*IF(AND(Inputs!$B$39&lt;&gt;"pvp",Inputs!$B$44&gt;0),(((R573-1)*(Skills!S11*(1+(Inputs!$B$35+IF(Inputs!$B$3&gt;=117,F588,0))/100))+MIN((Skills!S11*(1+(Inputs!$B$35+IF(Inputs!$B$3&gt;=117,F588,0))/100)),MAX(0,Inputs!$B$44-((R573-1)*Skills!D11))))/Inputs!$B$44),IF(Inputs!$B$39="pvp",MIN((Skills!S11*(1+(Inputs!$B$35+IF(Inputs!$B$3&gt;=117,F588,0))/100)),15)/15,(Skills!S11*(1+(Inputs!$B$35+IF(Inputs!$B$3&gt;=117,F588,0))/100))/Skills!D11)),0))/100)*IF(C576=TRUE,(1+F576*IF(AND(Inputs!$B$39&lt;&gt;"pvp",Inputs!$B$44&gt;0),(((R576-1)*(Skills!S14*(1+(Inputs!$B$35+IF(Inputs!$B$3&gt;=117,F588,0))/100))+MIN((Skills!S14*(1+(Inputs!$B$35+IF(Inputs!$B$3&gt;=117,F588,0))/100)),MAX(0,Inputs!$B$44-((R576-1)*Skills!D14))))/Inputs!$B$44),IF(Inputs!$B$39="pvp",MIN((Skills!S14*(1+(Inputs!$B$35+IF(Inputs!$B$3&gt;=117,F588,0))/100)),15)/15,(Skills!S14*(1+(Inputs!$B$35+IF(Inputs!$B$3&gt;=117,F588,0))/100))/Skills!D14))/100),1)*IF(C581=TRUE,(1+F581*IF(AND(Inputs!$B$39&lt;&gt;"pvp",Inputs!$B$44&gt;0),(((R581-1)*(Skills!S19*(1+(Inputs!$B$35+IF(Inputs!$B$3&gt;=117,F588,0))/100))+MIN((Skills!S19*(1+(Inputs!$B$35+IF(Inputs!$B$3&gt;=117,F588,0))/100)),MAX(0,Inputs!$B$44-((R581-1)*Skills!D19))))/Inputs!$B$44),IF(Inputs!$B$39="pvp",MIN((Skills!S19*(1+(Inputs!$B$35+IF(Inputs!$B$3&gt;=117,F588,0))/100)),15)/15,(Skills!S19*(1+(Inputs!$B$35+IF(Inputs!$B$3&gt;=117,F588,0))/100))/Skills!D19))/100),1)</f>
        <v/>
      </c>
    </row>
    <row r="592">
      <c r="A592" t="inlineStr">
        <is>
          <t>Monster Damage Taken Bonus % (Holy Fountain)</t>
        </is>
      </c>
      <c r="B592">
        <f>IF(Inputs!$B$3&gt;=68,20*IF(Inputs!$B$39="pvp",MIN((15*(1+(Inputs!$B$35+IF(Inputs!$B$3&gt;=117,F588,0))/100)),15)/15,(15*(1+(Inputs!$B$35+IF(Inputs!$B$3&gt;=117,F588,0))/100))/Skills!D10),0)</f>
        <v/>
      </c>
    </row>
    <row r="593">
      <c r="A593" t="inlineStr">
        <is>
          <t>Normal Monster Damage Bonus % (Holy Symbol)</t>
        </is>
      </c>
      <c r="B593">
        <f>IF(C574=TRUE,F574*IF(AND(Inputs!$B$39&lt;&gt;"pvp",Inputs!$B$44&gt;0),(((R574-1)*(Skills!S12*(1+(Inputs!$B$35+IF(Inputs!$B$3&gt;=117,F588,0))/100))+MIN((Skills!S12*(1+(Inputs!$B$35+IF(Inputs!$B$3&gt;=117,F588,0))/100)),MAX(0,Inputs!$B$44-((R574-1)*Skills!D12))))/Inputs!$B$44),IF(Inputs!$B$39="pvp",MIN((Skills!S12*(1+(Inputs!$B$35+IF(Inputs!$B$3&gt;=117,F588,0))/100)),15)/15,(Skills!S12*(1+(Inputs!$B$35+IF(Inputs!$B$3&gt;=117,F588,0))/100))/Skills!D12)),0)</f>
        <v/>
      </c>
    </row>
    <row r="594">
      <c r="A594" t="inlineStr">
        <is>
          <t>Damage % Bonus (Holy Symbol - Damage Boost)</t>
        </is>
      </c>
      <c r="B594">
        <f>Skills!O12</f>
        <v/>
      </c>
    </row>
    <row r="595">
      <c r="A595" t="inlineStr">
        <is>
          <t>Crit Damage % Bonus (Blood of the Divine)</t>
        </is>
      </c>
      <c r="B595">
        <f>4*IF(C582=TRUE,F582,0)</f>
        <v/>
      </c>
    </row>
    <row r="596">
      <c r="A596" t="inlineStr">
        <is>
          <t>Attack Speed Bonus %</t>
        </is>
      </c>
      <c r="B596">
        <f>IF(C579=TRUE,F579+(F583-Calc!F21),0)+IF(Inputs!$B$3&gt;=134,15,0)</f>
        <v/>
      </c>
    </row>
    <row r="597">
      <c r="A597" t="inlineStr">
        <is>
          <t>Actions Per Second</t>
        </is>
      </c>
      <c r="B597">
        <f>1+MIN(150,150*(1-(1-Inputs!$B$12/150)*(1-B596/150)))/100</f>
        <v/>
      </c>
    </row>
    <row r="598">
      <c r="A598" t="inlineStr">
        <is>
          <t>Skill + Buff Cast Rate</t>
        </is>
      </c>
      <c r="B598">
        <f>IF(AND(Inputs!$B$39&lt;&gt;"pvp",Inputs!$B$44&gt;0),SUMPRODUCT((Skills!E2:E27=TRUE)*(C564:C589=TRUE)*R564:R589)/Inputs!$B$44,SUMPRODUCT((Skills!E2:E27=TRUE)*(C564:C589=TRUE)*Q564:Q589))</f>
        <v/>
      </c>
    </row>
    <row r="599">
      <c r="A599" t="inlineStr">
        <is>
          <t>Big Bang Casts Per Second</t>
        </is>
      </c>
      <c r="B599">
        <f>MAX(0,B597-B598)</f>
        <v/>
      </c>
    </row>
    <row r="600">
      <c r="A600" t="inlineStr">
        <is>
          <t>Defense % Bonus (Divine Protection)</t>
        </is>
      </c>
      <c r="B600">
        <f>IF(C575=TRUE,F575*IF(AND(Inputs!$B$39&lt;&gt;"pvp",Inputs!$B$44&gt;0),(((R575-1)*(Skills!S13*(1+(Inputs!$B$35+IF(Inputs!$B$3&gt;=117,F588,0))/100))+MIN((Skills!S13*(1+(Inputs!$B$35+IF(Inputs!$B$3&gt;=117,F588,0))/100)),MAX(0,Inputs!$B$44-((R575-1)*Skills!D13))))/Inputs!$B$44),IF(Inputs!$B$39="pvp",MIN((Skills!S13*(1+(Inputs!$B$35+IF(Inputs!$B$3&gt;=117,F588,0))/100)),15)/15,(Skills!S13*(1+(Inputs!$B$35+IF(Inputs!$B$3&gt;=117,F588,0))/100))/Skills!D13)),0)</f>
        <v/>
      </c>
    </row>
    <row r="601">
      <c r="A601" t="inlineStr">
        <is>
          <t>Buff-Casting Startup Delay (s, fixed-duration only)</t>
        </is>
      </c>
      <c r="B601">
        <f>IF(AND(Inputs!$B$39&lt;&gt;"pvp",Inputs!$B$44&gt;0),SUMPRODUCT((Skills!S2:S27&gt;0)*(Skills!E2:E27=TRUE)*(C564:C589=TRUE))/B597,0)</f>
        <v/>
      </c>
    </row>
    <row r="602">
      <c r="A602" t="inlineStr">
        <is>
          <t>Boss-Only Total DPS (this block's swept value)</t>
        </is>
      </c>
      <c r="B602">
        <f>SUM(S564:S589)</f>
        <v/>
      </c>
    </row>
    <row r="603">
      <c r="A603" t="inlineStr">
        <is>
          <t>Normal-Only Total DPS (this block's swept value)</t>
        </is>
      </c>
      <c r="B603">
        <f>SUM(U564:U589)</f>
        <v/>
      </c>
    </row>
    <row r="604">
      <c r="A604" s="5" t="inlineStr">
        <is>
          <t>TOTAL DPS</t>
        </is>
      </c>
      <c r="B604" s="5">
        <f>SUM(O564:O589)</f>
        <v/>
      </c>
    </row>
    <row r="606">
      <c r="A606" s="5" t="inlineStr">
        <is>
          <t>Stat: ATTACK_SPEED % (diminishing returns, factor 150)</t>
        </is>
      </c>
    </row>
    <row r="607">
      <c r="A607" s="9" t="inlineStr">
        <is>
          <t>Key</t>
        </is>
      </c>
      <c r="B607" s="9" t="inlineStr">
        <is>
          <t>Name</t>
        </is>
      </c>
      <c r="C607" s="9" t="inlineStr">
        <is>
          <t>Unlocked</t>
        </is>
      </c>
      <c r="D607" s="9" t="inlineStr">
        <is>
          <t>InputLevel</t>
        </is>
      </c>
      <c r="E607" s="9" t="inlineStr">
        <is>
          <t>Factor</t>
        </is>
      </c>
      <c r="F607" s="9" t="inlineStr">
        <is>
          <t>CoefficientPercent</t>
        </is>
      </c>
      <c r="G607" s="9" t="inlineStr">
        <is>
          <t>EffectiveHits</t>
        </is>
      </c>
      <c r="H607" s="9" t="inlineStr">
        <is>
          <t>ProcProbability</t>
        </is>
      </c>
      <c r="I607" s="9" t="inlineStr">
        <is>
          <t>MapleHeroMultiplier</t>
        </is>
      </c>
      <c r="J607" s="9" t="inlineStr">
        <is>
          <t>BaseDamage</t>
        </is>
      </c>
      <c r="K607" s="9" t="inlineStr">
        <is>
          <t>BaseHitDamage</t>
        </is>
      </c>
      <c r="L607" s="9" t="inlineStr">
        <is>
          <t>NonCritAvg</t>
        </is>
      </c>
      <c r="M607" s="9" t="inlineStr">
        <is>
          <t>CritAvg</t>
        </is>
      </c>
      <c r="N607" s="9" t="inlineStr">
        <is>
          <t>ExpectedDamage(perHit)</t>
        </is>
      </c>
      <c r="O607" s="9" t="inlineStr">
        <is>
          <t>DPS</t>
        </is>
      </c>
      <c r="P607" s="9" t="inlineStr">
        <is>
          <t>% of Total</t>
        </is>
      </c>
      <c r="R607" t="inlineStr">
        <is>
          <t>helpers</t>
        </is>
      </c>
    </row>
    <row r="608">
      <c r="A608">
        <f>Skills!A2</f>
        <v/>
      </c>
      <c r="B608">
        <f>Skills!B2</f>
        <v/>
      </c>
      <c r="C608">
        <f>Inputs!$B$3&gt;=100</f>
        <v/>
      </c>
      <c r="D608" t="inlineStr"/>
      <c r="E608" t="inlineStr"/>
      <c r="F608">
        <f>T610+Skills!N2</f>
        <v/>
      </c>
      <c r="G608">
        <f>Calc!G2</f>
        <v/>
      </c>
      <c r="H608">
        <f>Calc!H2</f>
        <v/>
      </c>
      <c r="I608">
        <f>IF(Skills!T2&lt;&gt;"",1+(Skills!T2/10)*($Z$3/1000)/100,1)</f>
        <v/>
      </c>
      <c r="J608">
        <f>((Inputs!$B$6*(1+Inputs!$B$7/100))+(((Inputs!$B$13*(1+Inputs!$B$14/100))-(Inputs!$B$13*(1+Inputs!$B$14/100)))+0.25*(Inputs!$B$15-Inputs!$B$15))*(1+Inputs!$B$7/100))*(F608/100)</f>
        <v/>
      </c>
      <c r="K608">
        <f>J608*(1+(((Inputs!$B$13+IF(Inputs!$B$3&gt;=35,(10*INDEX(FactorTable!$B$2:$Y$301, MATCH(ROUND(MIN(300,MAX(1,Inputs!$B$3)),0), FactorTable!$A$2:$A$301,0), 23)/1000)/100*(Inputs!$B$8*(1+(Inputs!$B$9+B644)/100)),0))*(1+Inputs!$B$14/100))*0.01+Inputs!$B$15*0.0025)/100)*(1+(Inputs!$B$16+B638)/100)*(1+Inputs!$B$17/100)*(5000/(6000+Inputs!$B$43*(1-Inputs!$B$20/100)))*(1+Inputs!$B$25/100)*(1+IF(C624=TRUE,F624,0)/100)*(1+IF(C626=TRUE,F626,0)/100)*(1+IF(Skills!A2="TRIUMPH_FEATHER",IF(C622=TRUE,F622,0),0)/100)*(1+IF(C633=TRUE,F633,0)/100)^5*(1+(IF(Skills!A2="BIG_BANG",Inputs!$B$18,Inputs!$B$19))/100)*(B635*I608)</f>
        <v/>
      </c>
      <c r="L608">
        <f>K608*(MIN(Inputs!$B$23+(F628-Calc!F22),Inputs!$B$24)/100+Inputs!$B$24/100)/2</f>
        <v/>
      </c>
      <c r="M608">
        <f>L608*(1+(Inputs!$B$11+B639+(F631-Calc!F25))/100)</f>
        <v/>
      </c>
      <c r="N608">
        <f>L608*(1-MIN(Inputs!$B$10+((F630-Calc!F24)+(F629-Calc!F23)),100)/100)+M608*(MIN(Inputs!$B$10+((F630-Calc!F24)+(F629-Calc!F23)),100)/100)</f>
        <v/>
      </c>
      <c r="O608">
        <f>(1-Summary!$B$48)*S608+Summary!$B$48*U608</f>
        <v/>
      </c>
      <c r="P608">
        <f>IF(B648=0,0,O608/B648)</f>
        <v/>
      </c>
      <c r="Q608">
        <f>IFERROR(1/IF(Inputs!$B$39="pvp",15,MAX(0.1,Skills!D2-IF(Skills!E2=TRUE,Inputs!$B$33,0))),0)</f>
        <v/>
      </c>
      <c r="R608" t="n">
        <v>0</v>
      </c>
      <c r="S608">
        <f>IF(C608,(Skills!F2*N608*B643)*IF(Inputs!$B$39="pvp",1,1+(Inputs!$B$21+Skills!O2+B636)/100),0)</f>
        <v/>
      </c>
      <c r="T608">
        <f>MAX(0,(Inputs!$B$3-100)*3)+Inputs!$B$29+Inputs!$B$30</f>
        <v/>
      </c>
      <c r="U608">
        <f>IF(C608,(Skills!F2*N608*B643)*IF(Inputs!$B$39="pvp",1,(1+(Inputs!$B$22+Skills!P2+B637)/100)*(MIN((6+Inputs!$B$34),Inputs!$B$38))),0)</f>
        <v/>
      </c>
    </row>
    <row r="609">
      <c r="A609">
        <f>Skills!A3</f>
        <v/>
      </c>
      <c r="B609">
        <f>Skills!B3</f>
        <v/>
      </c>
      <c r="C609">
        <f>Inputs!$B$3&gt;=15</f>
        <v/>
      </c>
      <c r="D609">
        <f>IF(Skills!C3=1,60+Inputs!$B$26+Inputs!$B$30,IF(Skills!C3=2,90+Inputs!$B$27+Inputs!$B$30,IF(Skills!C3=3,120+Inputs!$B$28+Inputs!$B$30,MAX(0,(Inputs!$B$3-100)*3)+Inputs!$B$29+Inputs!$B$30)))</f>
        <v/>
      </c>
      <c r="E609">
        <f>INDEX(FactorTable!$B$2:$Y$301, MATCH(ROUND(MIN(300,MAX(1,D609)),0), FactorTable!$A$2:$A$301,0), Skills!L3+1)</f>
        <v/>
      </c>
      <c r="F609">
        <f>IF(Skills!M3=TRUE,(Skills!K3/10)*(E609/1000),Skills!K3/10)+Skills!N3</f>
        <v/>
      </c>
      <c r="G609">
        <f>Calc!G3</f>
        <v/>
      </c>
      <c r="H609">
        <f>Calc!H3</f>
        <v/>
      </c>
      <c r="I609">
        <f>IF(Skills!T3&lt;&gt;"",1+(Skills!T3/10)*($Z$3/1000)/100,1)</f>
        <v/>
      </c>
      <c r="J609" t="inlineStr"/>
      <c r="K609" t="inlineStr"/>
      <c r="L609" t="inlineStr"/>
      <c r="M609" t="inlineStr"/>
      <c r="N609" t="inlineStr"/>
      <c r="O609">
        <f>(1-Summary!$B$48)*S609+Summary!$B$48*U609</f>
        <v/>
      </c>
      <c r="P609">
        <f>IF(B648=0,0,O609/B648)</f>
        <v/>
      </c>
      <c r="Q609">
        <f>IFERROR(1/IF(Inputs!$B$39="pvp",15,MAX(0.1,Skills!D3-IF(Skills!E3=TRUE,Inputs!$B$33,0))),0)</f>
        <v/>
      </c>
      <c r="R609">
        <f>IF(AND(Inputs!$B$39&lt;&gt;"pvp",Inputs!$B$44&gt;0),IF(Inputs!$B$44&lt;=0,0,(INT(Inputs!$B$44/IF(Inputs!$B$39="pvp",15,MAX(0.1,Skills!D3-IF(Skills!E3=TRUE,Inputs!$B$33,0))))+1)),0)</f>
        <v/>
      </c>
      <c r="S609" t="n">
        <v>0</v>
      </c>
      <c r="T609">
        <f>INDEX(FactorTable!$B$2:$Y$301, MATCH(ROUND(MIN(300,MAX(1,T608)),0), FactorTable!$A$2:$A$301,0), 22)</f>
        <v/>
      </c>
      <c r="U609" t="n">
        <v>0</v>
      </c>
    </row>
    <row r="610">
      <c r="A610">
        <f>Skills!A4</f>
        <v/>
      </c>
      <c r="B610">
        <f>Skills!B4</f>
        <v/>
      </c>
      <c r="C610">
        <f>Inputs!$B$3&gt;=38</f>
        <v/>
      </c>
      <c r="D610">
        <f>IF(Skills!C4=1,60+Inputs!$B$26+Inputs!$B$30,IF(Skills!C4=2,90+Inputs!$B$27+Inputs!$B$30,IF(Skills!C4=3,120+Inputs!$B$28+Inputs!$B$30,MAX(0,(Inputs!$B$3-100)*3)+Inputs!$B$29+Inputs!$B$30)))</f>
        <v/>
      </c>
      <c r="E610">
        <f>INDEX(FactorTable!$B$2:$Y$301, MATCH(ROUND(MIN(300,MAX(1,D610)),0), FactorTable!$A$2:$A$301,0), Skills!L4+1)</f>
        <v/>
      </c>
      <c r="F610">
        <f>IF(Skills!M4=TRUE,(Skills!K4/10)*(E610/1000),Skills!K4/10)+Skills!N4</f>
        <v/>
      </c>
      <c r="G610">
        <f>Calc!G4</f>
        <v/>
      </c>
      <c r="H610">
        <f>Calc!H4</f>
        <v/>
      </c>
      <c r="I610">
        <f>IF(Skills!T4&lt;&gt;"",1+(Skills!T4/10)*($Z$3/1000)/100,1)</f>
        <v/>
      </c>
      <c r="J610" t="inlineStr"/>
      <c r="K610" t="inlineStr"/>
      <c r="L610" t="inlineStr"/>
      <c r="M610" t="inlineStr"/>
      <c r="N610" t="inlineStr"/>
      <c r="O610">
        <f>(1-Summary!$B$48)*S610+Summary!$B$48*U610</f>
        <v/>
      </c>
      <c r="P610">
        <f>IF(B648=0,0,O610/B648)</f>
        <v/>
      </c>
      <c r="Q610">
        <f>IFERROR(1/IF(Inputs!$B$39="pvp",15,MAX(0.1,Skills!D4-IF(Skills!E4=TRUE,Inputs!$B$33,0))),0)</f>
        <v/>
      </c>
      <c r="R610">
        <f>IF(AND(Inputs!$B$39&lt;&gt;"pvp",Inputs!$B$44&gt;0),IF(Inputs!$B$44&lt;=0,0,(INT(Inputs!$B$44/IF(Inputs!$B$39="pvp",15,MAX(0.1,Skills!D4-IF(Skills!E4=TRUE,Inputs!$B$33,0))))+1)),0)</f>
        <v/>
      </c>
      <c r="S610" t="n">
        <v>0</v>
      </c>
      <c r="T610">
        <f>290*T609/1000</f>
        <v/>
      </c>
      <c r="U610" t="n">
        <v>0</v>
      </c>
    </row>
    <row r="611">
      <c r="A611">
        <f>Skills!A5</f>
        <v/>
      </c>
      <c r="B611">
        <f>Skills!B5</f>
        <v/>
      </c>
      <c r="C611">
        <f>Inputs!$B$3&gt;=40</f>
        <v/>
      </c>
      <c r="D611">
        <f>IF(Skills!C5=1,60+Inputs!$B$26+Inputs!$B$30,IF(Skills!C5=2,90+Inputs!$B$27+Inputs!$B$30,IF(Skills!C5=3,120+Inputs!$B$28+Inputs!$B$30,MAX(0,(Inputs!$B$3-100)*3)+Inputs!$B$29+Inputs!$B$30)))</f>
        <v/>
      </c>
      <c r="E611">
        <f>INDEX(FactorTable!$B$2:$Y$301, MATCH(ROUND(MIN(300,MAX(1,D611)),0), FactorTable!$A$2:$A$301,0), Skills!L5+1)</f>
        <v/>
      </c>
      <c r="F611">
        <f>IF(Skills!M5=TRUE,(Skills!K5/10)*(E611/1000),Skills!K5/10)+Skills!N5</f>
        <v/>
      </c>
      <c r="G611">
        <f>Calc!G5</f>
        <v/>
      </c>
      <c r="H611">
        <f>Calc!H5</f>
        <v/>
      </c>
      <c r="I611">
        <f>IF(Skills!T5&lt;&gt;"",1+(Skills!T5/10)*($Z$3/1000)/100,1)</f>
        <v/>
      </c>
      <c r="J611" t="inlineStr"/>
      <c r="K611" t="inlineStr"/>
      <c r="L611" t="inlineStr"/>
      <c r="M611" t="inlineStr"/>
      <c r="N611" t="inlineStr"/>
      <c r="O611">
        <f>(1-Summary!$B$48)*S611+Summary!$B$48*U611</f>
        <v/>
      </c>
      <c r="P611">
        <f>IF(B648=0,0,O611/B648)</f>
        <v/>
      </c>
      <c r="Q611">
        <f>IFERROR(1/IF(Inputs!$B$39="pvp",15,MAX(0.1,Skills!D5-IF(Skills!E5=TRUE,Inputs!$B$33,0))),0)</f>
        <v/>
      </c>
      <c r="R611">
        <f>IF(AND(Inputs!$B$39&lt;&gt;"pvp",Inputs!$B$44&gt;0),IF(Inputs!$B$44&lt;=0,0,(INT(Inputs!$B$44/IF(Inputs!$B$39="pvp",15,MAX(0.1,Skills!D5-IF(Skills!E5=TRUE,Inputs!$B$33,0))))+1)),0)</f>
        <v/>
      </c>
      <c r="S611" t="n">
        <v>0</v>
      </c>
      <c r="U611" t="n">
        <v>0</v>
      </c>
    </row>
    <row r="612">
      <c r="A612">
        <f>Skills!A6</f>
        <v/>
      </c>
      <c r="B612">
        <f>Skills!B6</f>
        <v/>
      </c>
      <c r="C612">
        <f>Inputs!$B$3&gt;=103</f>
        <v/>
      </c>
      <c r="D612">
        <f>IF(Skills!C6=1,60+Inputs!$B$26+Inputs!$B$30,IF(Skills!C6=2,90+Inputs!$B$27+Inputs!$B$30,IF(Skills!C6=3,120+Inputs!$B$28+Inputs!$B$30,MAX(0,(Inputs!$B$3-100)*3)+Inputs!$B$29+Inputs!$B$30)))</f>
        <v/>
      </c>
      <c r="E612">
        <f>INDEX(FactorTable!$B$2:$Y$301, MATCH(ROUND(MIN(300,MAX(1,D612)),0), FactorTable!$A$2:$A$301,0), Skills!L6+1)</f>
        <v/>
      </c>
      <c r="F612">
        <f>IF(Skills!M6=TRUE,(Skills!K6/10)*(E612/1000),Skills!K6/10)+Skills!N6</f>
        <v/>
      </c>
      <c r="G612">
        <f>Calc!G6</f>
        <v/>
      </c>
      <c r="H612">
        <f>Calc!H6</f>
        <v/>
      </c>
      <c r="I612">
        <f>IF(Skills!T6&lt;&gt;"",1+(Skills!T6/10)*($Z$3/1000)/100,1)</f>
        <v/>
      </c>
      <c r="J612">
        <f>((Inputs!$B$6*(1+Inputs!$B$7/100))+(((Inputs!$B$13*(1+Inputs!$B$14/100))-(Inputs!$B$13*(1+Inputs!$B$14/100)))+0.25*(Inputs!$B$15-Inputs!$B$15))*(1+Inputs!$B$7/100))*(F612/100)</f>
        <v/>
      </c>
      <c r="K612">
        <f>J612*(1+(((Inputs!$B$13+IF(Inputs!$B$3&gt;=35,(10*INDEX(FactorTable!$B$2:$Y$301, MATCH(ROUND(MIN(300,MAX(1,Inputs!$B$3)),0), FactorTable!$A$2:$A$301,0), 23)/1000)/100*(Inputs!$B$8*(1+(Inputs!$B$9+B644)/100)),0))*(1+Inputs!$B$14/100))*0.01+Inputs!$B$15*0.0025)/100)*(1+(Inputs!$B$16+B638)/100)*(1+Inputs!$B$17/100)*(5000/(6000+Inputs!$B$43*(1-Inputs!$B$20/100)))*(1+Inputs!$B$25/100)*(1+IF(C624=TRUE,F624,0)/100)*(1+IF(C626=TRUE,F626,0)/100)*(1+IF(Skills!A6="TRIUMPH_FEATHER",IF(C622=TRUE,F622,0),0)/100)*(1+IF(C633=TRUE,F633,0)/100)^5*(1+(IF(Skills!A6="BIG_BANG",Inputs!$B$18,Inputs!$B$19))/100)*(B635*I612)</f>
        <v/>
      </c>
      <c r="L612">
        <f>K612*(MIN(Inputs!$B$23+(F628-Calc!F22),Inputs!$B$24)/100+Inputs!$B$24/100)/2</f>
        <v/>
      </c>
      <c r="M612">
        <f>L612*(1+(Inputs!$B$11+B639+(F631-Calc!F25))/100)</f>
        <v/>
      </c>
      <c r="N612">
        <f>L612*(1-MIN(Inputs!$B$10+((F630-Calc!F24)+(F629-Calc!F23)),100)/100)+M612*(MIN(Inputs!$B$10+((F630-Calc!F24)+(F629-Calc!F23)),100)/100)</f>
        <v/>
      </c>
      <c r="O612">
        <f>(1-Summary!$B$48)*S612+Summary!$B$48*U612</f>
        <v/>
      </c>
      <c r="P612">
        <f>IF(B648=0,0,O612/B648)</f>
        <v/>
      </c>
      <c r="Q612">
        <f>IFERROR(1/IF(Inputs!$B$39="pvp",15,MAX(0.1,Skills!D6-IF(Skills!E6=TRUE,Inputs!$B$33,0))),0)</f>
        <v/>
      </c>
      <c r="R612">
        <f>IF(AND(Inputs!$B$39&lt;&gt;"pvp",Inputs!$B$44&gt;0),IF(MAX(0,Inputs!$B$44-B645)&lt;=0,0,(INT(MAX(0,Inputs!$B$44-B645)/IF(Inputs!$B$39="pvp",15,MAX(0.1,Skills!D6-IF(Skills!E6=TRUE,Inputs!$B$33,0))))+1)),0)</f>
        <v/>
      </c>
      <c r="S612">
        <f>IF(C612,(H612*N612*IF(AND(Inputs!$B$39&lt;&gt;"pvp",Inputs!$B$44&gt;0),((Skills!F6*((R612-1)*IF(Skills!G6&gt;0,Skills!H6/Skills!G6,1)+IF(Skills!G6&gt;0,MIN(Skills!H6,MAX(0,MAX(0,Inputs!$B$44-B645)-((R612-1)*IF(Inputs!$B$39="pvp",15,MAX(0.1,Skills!D6-IF(Skills!E6=TRUE,Inputs!$B$33,0))))))/Skills!G6,1)))/Inputs!$B$44),G612*Q612))*IF(Inputs!$B$39="pvp",1,1+(Inputs!$B$21+Skills!O6+B636)/100),0)</f>
        <v/>
      </c>
      <c r="U612">
        <f>IF(C612,(H612*N612*IF(AND(Inputs!$B$39&lt;&gt;"pvp",Inputs!$B$44&gt;0),((Skills!F6*((R612-1)*IF(Skills!G6&gt;0,Skills!H6/Skills!G6,1)+IF(Skills!G6&gt;0,MIN(Skills!H6,MAX(0,MAX(0,Inputs!$B$44-B645)-((R612-1)*IF(Inputs!$B$39="pvp",15,MAX(0.1,Skills!D6-IF(Skills!E6=TRUE,Inputs!$B$33,0))))))/Skills!G6,1)))/Inputs!$B$44),G612*Q612))*IF(Inputs!$B$39="pvp",1,(1+(Inputs!$B$22+Skills!P6+B637)/100)*(MIN(Skills!Q6,Inputs!$B$38))),0)</f>
        <v/>
      </c>
    </row>
    <row r="613">
      <c r="A613">
        <f>Skills!A7</f>
        <v/>
      </c>
      <c r="B613">
        <f>Skills!B7</f>
        <v/>
      </c>
      <c r="C613">
        <f>Inputs!$B$3&gt;=122</f>
        <v/>
      </c>
      <c r="D613">
        <f>IF(Skills!C7=1,60+Inputs!$B$26+Inputs!$B$30,IF(Skills!C7=2,90+Inputs!$B$27+Inputs!$B$30,IF(Skills!C7=3,120+Inputs!$B$28+Inputs!$B$30,MAX(0,(Inputs!$B$3-100)*3)+Inputs!$B$29+Inputs!$B$30)))</f>
        <v/>
      </c>
      <c r="E613">
        <f>INDEX(FactorTable!$B$2:$Y$301, MATCH(ROUND(MIN(300,MAX(1,D613)),0), FactorTable!$A$2:$A$301,0), Skills!L7+1)</f>
        <v/>
      </c>
      <c r="F613">
        <f>IF(Skills!M7=TRUE,(Skills!K7/10)*(E613/1000),Skills!K7/10)+Skills!N7</f>
        <v/>
      </c>
      <c r="G613">
        <f>Calc!G7</f>
        <v/>
      </c>
      <c r="H613">
        <f>Calc!H7</f>
        <v/>
      </c>
      <c r="I613">
        <f>IF(Skills!T7&lt;&gt;"",1+(Skills!T7/10)*($Z$3/1000)/100,1)</f>
        <v/>
      </c>
      <c r="J613">
        <f>((Inputs!$B$6*(1+Inputs!$B$7/100))+(((Inputs!$B$13*(1+Inputs!$B$14/100))-(Inputs!$B$13*(1+Inputs!$B$14/100)))+0.25*(Inputs!$B$15-Inputs!$B$15))*(1+Inputs!$B$7/100))*(F613/100)</f>
        <v/>
      </c>
      <c r="K613">
        <f>J613*(1+(((Inputs!$B$13+IF(Inputs!$B$3&gt;=35,(10*INDEX(FactorTable!$B$2:$Y$301, MATCH(ROUND(MIN(300,MAX(1,Inputs!$B$3)),0), FactorTable!$A$2:$A$301,0), 23)/1000)/100*(Inputs!$B$8*(1+(Inputs!$B$9+B644)/100)),0))*(1+Inputs!$B$14/100))*0.01+Inputs!$B$15*0.0025)/100)*(1+(Inputs!$B$16+B638)/100)*(1+Inputs!$B$17/100)*(5000/(6000+Inputs!$B$43*(1-Inputs!$B$20/100)))*(1+Inputs!$B$25/100)*(1+IF(C624=TRUE,F624,0)/100)*(1+IF(C626=TRUE,F626,0)/100)*(1+IF(Skills!A7="TRIUMPH_FEATHER",IF(C622=TRUE,F622,0),0)/100)*(1+IF(C633=TRUE,F633,0)/100)^5*(1+(IF(Skills!A7="BIG_BANG",Inputs!$B$18,Inputs!$B$19))/100)*(B635*I613)</f>
        <v/>
      </c>
      <c r="L613">
        <f>K613*(MIN(Inputs!$B$23+(F628-Calc!F22),Inputs!$B$24)/100+Inputs!$B$24/100)/2</f>
        <v/>
      </c>
      <c r="M613">
        <f>L613*(1+(Inputs!$B$11+B639+(F631-Calc!F25))/100)</f>
        <v/>
      </c>
      <c r="N613">
        <f>L613*(1-MIN(Inputs!$B$10+((F630-Calc!F24)+(F629-Calc!F23)),100)/100)+M613*(MIN(Inputs!$B$10+((F630-Calc!F24)+(F629-Calc!F23)),100)/100)</f>
        <v/>
      </c>
      <c r="O613">
        <f>(1-Summary!$B$48)*S613+Summary!$B$48*U613</f>
        <v/>
      </c>
      <c r="P613">
        <f>IF(B648=0,0,O613/B648)</f>
        <v/>
      </c>
      <c r="Q613">
        <f>IFERROR(1/IF(Inputs!$B$39="pvp",15,MAX(0.1,Skills!D7-IF(Skills!E6=TRUE,Inputs!$B$33,0))),0)</f>
        <v/>
      </c>
      <c r="R613">
        <f>IF(AND(Inputs!$B$39&lt;&gt;"pvp",Inputs!$B$44&gt;0),IF(MAX(0,Inputs!$B$44-B645)&lt;=0,0,(INT(MAX(0,Inputs!$B$44-B645)/IF(Inputs!$B$39="pvp",15,MAX(0.1,Skills!D7-IF(Skills!E6=TRUE,Inputs!$B$33,0))))+1)),0)</f>
        <v/>
      </c>
      <c r="S613">
        <f>IF(C613,H613*N613*IF(AND(Inputs!$B$39&lt;&gt;"pvp",Inputs!$B$44&gt;0),((Skills!F7*((R613-1)*IF(Skills!G7&gt;0,Skills!H7/Skills!G7,1)+IF(Skills!G7&gt;0,MIN(Skills!H7,MAX(0,MAX(0,Inputs!$B$44-B645)-((R613-1)*IF(Inputs!$B$39="pvp",15,MAX(0.1,Skills!D7-IF(Skills!E6=TRUE,Inputs!$B$33,0))))))/Skills!G7,1)))/Inputs!$B$44),G613*Q613)*IF(Inputs!$B$39="pvp",1,1+(Inputs!$B$21+Skills!O7+B636)/100),0)</f>
        <v/>
      </c>
      <c r="U613" t="n">
        <v>0</v>
      </c>
    </row>
    <row r="614">
      <c r="A614">
        <f>Skills!A8</f>
        <v/>
      </c>
      <c r="B614">
        <f>Skills!B8</f>
        <v/>
      </c>
      <c r="C614">
        <f>Inputs!$B$3&gt;=105</f>
        <v/>
      </c>
      <c r="D614">
        <f>IF(Skills!C8=1,60+Inputs!$B$26+Inputs!$B$30,IF(Skills!C8=2,90+Inputs!$B$27+Inputs!$B$30,IF(Skills!C8=3,120+Inputs!$B$28+Inputs!$B$30,MAX(0,(Inputs!$B$3-100)*3)+Inputs!$B$29+Inputs!$B$30)))</f>
        <v/>
      </c>
      <c r="E614">
        <f>INDEX(FactorTable!$B$2:$Y$301, MATCH(ROUND(MIN(300,MAX(1,D614)),0), FactorTable!$A$2:$A$301,0), Skills!L8+1)</f>
        <v/>
      </c>
      <c r="F614">
        <f>IF(Skills!M8=TRUE,(Skills!K8/10)*(E614/1000),Skills!K8/10)+Skills!N8</f>
        <v/>
      </c>
      <c r="G614">
        <f>Calc!G8</f>
        <v/>
      </c>
      <c r="H614">
        <f>Calc!H8</f>
        <v/>
      </c>
      <c r="I614">
        <f>IF(Skills!T8&lt;&gt;"",1+(Skills!T8/10)*($Z$3/1000)/100,1)</f>
        <v/>
      </c>
      <c r="J614">
        <f>((Inputs!$B$6*(1+Inputs!$B$7/100))+(((Inputs!$B$13*(1+Inputs!$B$14/100))-(Inputs!$B$13*(1+Inputs!$B$14/100)))+0.25*(Inputs!$B$15-Inputs!$B$15))*(1+Inputs!$B$7/100))*(F614/100)</f>
        <v/>
      </c>
      <c r="K614">
        <f>J614*(1+(((Inputs!$B$13+IF(Inputs!$B$3&gt;=35,(10*INDEX(FactorTable!$B$2:$Y$301, MATCH(ROUND(MIN(300,MAX(1,Inputs!$B$3)),0), FactorTable!$A$2:$A$301,0), 23)/1000)/100*(Inputs!$B$8*(1+(Inputs!$B$9+B644)/100)),0))*(1+Inputs!$B$14/100))*0.01+Inputs!$B$15*0.0025)/100)*(1+(Inputs!$B$16+B638)/100)*(1+Inputs!$B$17/100)*(5000/(6000+Inputs!$B$43*(1-Inputs!$B$20/100)))*(1+Inputs!$B$25/100)*(1+IF(C624=TRUE,F624,0)/100)*(1+IF(C626=TRUE,F626,0)/100)*(1+IF(Skills!A8="TRIUMPH_FEATHER",IF(C622=TRUE,F622,0),0)/100)*(1+IF(C633=TRUE,F633,0)/100)^5*(1+(IF(Skills!A8="BIG_BANG",Inputs!$B$18,Inputs!$B$19))/100)*(B635*I614)</f>
        <v/>
      </c>
      <c r="L614">
        <f>K614*(MIN(Inputs!$B$23+(F628-Calc!F22),Inputs!$B$24)/100+Inputs!$B$24/100)/2</f>
        <v/>
      </c>
      <c r="M614">
        <f>L614*(1+(Inputs!$B$11+B639+(F631-Calc!F25))/100)</f>
        <v/>
      </c>
      <c r="N614">
        <f>L614*(1-MIN(Inputs!$B$10+((F630-Calc!F24)+(F629-Calc!F23)),100)/100)+M614*(MIN(Inputs!$B$10+((F630-Calc!F24)+(F629-Calc!F23)),100)/100)</f>
        <v/>
      </c>
      <c r="O614">
        <f>(1-Summary!$B$48)*S614+Summary!$B$48*U614</f>
        <v/>
      </c>
      <c r="P614">
        <f>IF(B648=0,0,O614/B648)</f>
        <v/>
      </c>
      <c r="Q614">
        <f>IFERROR(1/IF(Inputs!$B$39="pvp",15,MAX(0.1,Skills!D8-IF(Skills!E8=TRUE,Inputs!$B$33,0))),0)</f>
        <v/>
      </c>
      <c r="R614">
        <f>IF(AND(Inputs!$B$39&lt;&gt;"pvp",Inputs!$B$44&gt;0),IF(MAX(0,Inputs!$B$44-B645)&lt;=0,0,(INT(MAX(0,Inputs!$B$44-B645)/IF(Inputs!$B$39="pvp",15,MAX(0.1,Skills!D8-IF(Skills!E8=TRUE,Inputs!$B$33,0))))+1)),0)</f>
        <v/>
      </c>
      <c r="S614">
        <f>IF(C614,(H614*N614*IF(AND(Inputs!$B$39&lt;&gt;"pvp",Inputs!$B$44&gt;0),((Skills!F8*((R614-1)*IF(Skills!G8&gt;0,Skills!H8/Skills!G8,1)+IF(Skills!G8&gt;0,MIN(Skills!H8,MAX(0,MAX(0,Inputs!$B$44-B645)-((R614-1)*IF(Inputs!$B$39="pvp",15,MAX(0.1,Skills!D8-IF(Skills!E8=TRUE,Inputs!$B$33,0))))))/Skills!G8,1)))/Inputs!$B$44),G614*Q614))*IF(Inputs!$B$39="pvp",1,1+(Inputs!$B$21+Skills!O8+B636)/100),0)</f>
        <v/>
      </c>
      <c r="U614">
        <f>IF(C614,(H614*N614*IF(AND(Inputs!$B$39&lt;&gt;"pvp",Inputs!$B$44&gt;0),((Skills!F8*((R614-1)*IF(Skills!G8&gt;0,Skills!H8/Skills!G8,1)+IF(Skills!G8&gt;0,MIN(Skills!H8,MAX(0,MAX(0,Inputs!$B$44-B645)-((R614-1)*IF(Inputs!$B$39="pvp",15,MAX(0.1,Skills!D8-IF(Skills!E8=TRUE,Inputs!$B$33,0))))))/Skills!G8,1)))/Inputs!$B$44),G614*Q614))*IF(Inputs!$B$39="pvp",1,(1+(Inputs!$B$22+Skills!P8+B637)/100)*(MIN(Skills!Q8,Inputs!$B$38))),0)</f>
        <v/>
      </c>
    </row>
    <row r="615">
      <c r="A615">
        <f>Skills!A9</f>
        <v/>
      </c>
      <c r="B615">
        <f>Skills!B9</f>
        <v/>
      </c>
      <c r="C615">
        <f>Inputs!$B$3&gt;=115</f>
        <v/>
      </c>
      <c r="D615">
        <f>IF(Skills!C9=1,60+Inputs!$B$26+Inputs!$B$30,IF(Skills!C9=2,90+Inputs!$B$27+Inputs!$B$30,IF(Skills!C9=3,120+Inputs!$B$28+Inputs!$B$30,MAX(0,(Inputs!$B$3-100)*3)+Inputs!$B$29+Inputs!$B$30)))</f>
        <v/>
      </c>
      <c r="E615">
        <f>INDEX(FactorTable!$B$2:$Y$301, MATCH(ROUND(MIN(300,MAX(1,D615)),0), FactorTable!$A$2:$A$301,0), Skills!L9+1)</f>
        <v/>
      </c>
      <c r="F615">
        <f>IF(Skills!M9=TRUE,(Skills!K9/10)*(E615/1000),Skills!K9/10)+Skills!N9</f>
        <v/>
      </c>
      <c r="G615">
        <f>Calc!G9</f>
        <v/>
      </c>
      <c r="H615">
        <f>Calc!H9</f>
        <v/>
      </c>
      <c r="I615">
        <f>IF(Skills!T9&lt;&gt;"",1+(Skills!T9/10)*($Z$3/1000)/100,1)</f>
        <v/>
      </c>
      <c r="J615">
        <f>((Inputs!$B$6*(1+Inputs!$B$7/100))+(((Inputs!$B$13*(1+Inputs!$B$14/100))-(Inputs!$B$13*(1+Inputs!$B$14/100)))+0.25*(Inputs!$B$15-Inputs!$B$15))*(1+Inputs!$B$7/100))*(F615/100)</f>
        <v/>
      </c>
      <c r="K615">
        <f>J615*(1+(((Inputs!$B$13+IF(Inputs!$B$3&gt;=35,(10*INDEX(FactorTable!$B$2:$Y$301, MATCH(ROUND(MIN(300,MAX(1,Inputs!$B$3)),0), FactorTable!$A$2:$A$301,0), 23)/1000)/100*(Inputs!$B$8*(1+(Inputs!$B$9+B644)/100)),0))*(1+Inputs!$B$14/100))*0.01+Inputs!$B$15*0.0025)/100)*(1+(Inputs!$B$16+B638)/100)*(1+Inputs!$B$17/100)*(5000/(6000+Inputs!$B$43*(1-Inputs!$B$20/100)))*(1+Inputs!$B$25/100)*(1+IF(C624=TRUE,F624,0)/100)*(1+IF(C626=TRUE,F626,0)/100)*(1+IF(Skills!A9="TRIUMPH_FEATHER",IF(C622=TRUE,F622,0),0)/100)*(1+IF(C633=TRUE,F633,0)/100)^5*(1+(IF(Skills!A9="BIG_BANG",Inputs!$B$18,Inputs!$B$19))/100)*(B635*I615)</f>
        <v/>
      </c>
      <c r="L615">
        <f>K615*(MIN(Inputs!$B$23+(F628-Calc!F22),Inputs!$B$24)/100+Inputs!$B$24/100)/2</f>
        <v/>
      </c>
      <c r="M615">
        <f>L615*(1+(Inputs!$B$11+B639+(F631-Calc!F25))/100)</f>
        <v/>
      </c>
      <c r="N615">
        <f>L615*(1-MIN(Inputs!$B$10+((F630-Calc!F24)+(F629-Calc!F23)),100)/100)+M615*(MIN(Inputs!$B$10+((F630-Calc!F24)+(F629-Calc!F23)),100)/100)</f>
        <v/>
      </c>
      <c r="O615">
        <f>(1-Summary!$B$48)*S615+Summary!$B$48*U615</f>
        <v/>
      </c>
      <c r="P615">
        <f>IF(B648=0,0,O615/B648)</f>
        <v/>
      </c>
      <c r="Q615">
        <f>IFERROR(1/IF(Inputs!$B$39="pvp",15,MAX(0.1,Skills!D9-IF(Skills!E9=TRUE,Inputs!$B$33,0))),0)</f>
        <v/>
      </c>
      <c r="R615">
        <f>IF(AND(Inputs!$B$39&lt;&gt;"pvp",Inputs!$B$44&gt;0),IF(MAX(0,Inputs!$B$44-B645)&lt;=0,0,(INT(MAX(0,Inputs!$B$44-B645)/IF(Inputs!$B$39="pvp",15,MAX(0.1,Skills!D9-IF(Skills!E9=TRUE,Inputs!$B$33,0))))+1)),0)</f>
        <v/>
      </c>
      <c r="S615">
        <f>IF(C615,(H615*N615*IF(AND(Inputs!$B$39&lt;&gt;"pvp",Inputs!$B$44&gt;0),((Skills!F9*((R615-1)*IF(Skills!G9&gt;0,Skills!H9/Skills!G9,1)+IF(Skills!G9&gt;0,MIN(Skills!H9,MAX(0,MAX(0,Inputs!$B$44-B645)-((R615-1)*IF(Inputs!$B$39="pvp",15,MAX(0.1,Skills!D9-IF(Skills!E9=TRUE,Inputs!$B$33,0))))))/Skills!G9,1)))/Inputs!$B$44),G615*Q615))*IF(Inputs!$B$39="pvp",1,1+(Inputs!$B$21+Skills!O9+B636)/100),0)</f>
        <v/>
      </c>
      <c r="U615">
        <f>IF(C615,(H615*N615*IF(AND(Inputs!$B$39&lt;&gt;"pvp",Inputs!$B$44&gt;0),((Skills!F9*((R615-1)*IF(Skills!G9&gt;0,Skills!H9/Skills!G9,1)+IF(Skills!G9&gt;0,MIN(Skills!H9,MAX(0,MAX(0,Inputs!$B$44-B645)-((R615-1)*IF(Inputs!$B$39="pvp",15,MAX(0.1,Skills!D9-IF(Skills!E9=TRUE,Inputs!$B$33,0))))))/Skills!G9,1)))/Inputs!$B$44),G615*Q615))*IF(Inputs!$B$39="pvp",1,(1+(Inputs!$B$22+Skills!P9+B637)/100)*(MIN(Skills!Q9,Inputs!$B$38))),0)</f>
        <v/>
      </c>
    </row>
    <row r="616">
      <c r="A616">
        <f>Skills!A10</f>
        <v/>
      </c>
      <c r="B616">
        <f>Skills!B10</f>
        <v/>
      </c>
      <c r="C616">
        <f>Inputs!$B$3&gt;=66</f>
        <v/>
      </c>
      <c r="D616">
        <f>IF(Skills!C10=1,60+Inputs!$B$26+Inputs!$B$30,IF(Skills!C10=2,90+Inputs!$B$27+Inputs!$B$30,IF(Skills!C10=3,120+Inputs!$B$28+Inputs!$B$30,MAX(0,(Inputs!$B$3-100)*3)+Inputs!$B$29+Inputs!$B$30)))</f>
        <v/>
      </c>
      <c r="E616">
        <f>INDEX(FactorTable!$B$2:$Y$301, MATCH(ROUND(MIN(300,MAX(1,D616)),0), FactorTable!$A$2:$A$301,0), Skills!L10+1)</f>
        <v/>
      </c>
      <c r="F616" t="n">
        <v>0</v>
      </c>
      <c r="G616">
        <f>Calc!G10</f>
        <v/>
      </c>
      <c r="H616">
        <f>Calc!H10</f>
        <v/>
      </c>
      <c r="I616">
        <f>IF(Skills!T10&lt;&gt;"",1+(Skills!T10/10)*($Z$3/1000)/100,1)</f>
        <v/>
      </c>
      <c r="J616" t="inlineStr"/>
      <c r="K616" t="inlineStr"/>
      <c r="L616" t="inlineStr"/>
      <c r="M616" t="inlineStr"/>
      <c r="N616" t="inlineStr"/>
      <c r="O616">
        <f>(1-Summary!$B$48)*S616+Summary!$B$48*U616</f>
        <v/>
      </c>
      <c r="P616">
        <f>IF(B648=0,0,O616/B648)</f>
        <v/>
      </c>
      <c r="Q616">
        <f>IFERROR(1/IF(Inputs!$B$39="pvp",15,MAX(0.1,Skills!D10-IF(Skills!E10=TRUE,Inputs!$B$33,0))),0)</f>
        <v/>
      </c>
      <c r="R616">
        <f>IF(AND(Inputs!$B$39&lt;&gt;"pvp",Inputs!$B$44&gt;0),IF(MAX(0,Inputs!$B$44-B645)&lt;=0,0,(INT(MAX(0,Inputs!$B$44-B645)/IF(Inputs!$B$39="pvp",15,MAX(0.1,Skills!D10-IF(Skills!E10=TRUE,Inputs!$B$33,0))))+1)),0)</f>
        <v/>
      </c>
      <c r="S616" t="n">
        <v>0</v>
      </c>
      <c r="U616" t="n">
        <v>0</v>
      </c>
    </row>
    <row r="617">
      <c r="A617">
        <f>Skills!A11</f>
        <v/>
      </c>
      <c r="B617">
        <f>Skills!B11</f>
        <v/>
      </c>
      <c r="C617">
        <f>Inputs!$B$3&gt;=69</f>
        <v/>
      </c>
      <c r="D617">
        <f>IF(Skills!C11=1,60+Inputs!$B$26+Inputs!$B$30,IF(Skills!C11=2,90+Inputs!$B$27+Inputs!$B$30,IF(Skills!C11=3,120+Inputs!$B$28+Inputs!$B$30,MAX(0,(Inputs!$B$3-100)*3)+Inputs!$B$29+Inputs!$B$30)))</f>
        <v/>
      </c>
      <c r="E617">
        <f>INDEX(FactorTable!$B$2:$Y$301, MATCH(ROUND(MIN(300,MAX(1,D617)),0), FactorTable!$A$2:$A$301,0), Skills!L11+1)</f>
        <v/>
      </c>
      <c r="F617">
        <f>IF(Skills!M11=TRUE,(Skills!K11/10)*(E617/1000),Skills!K11/10)+Skills!N11</f>
        <v/>
      </c>
      <c r="G617">
        <f>Calc!G11</f>
        <v/>
      </c>
      <c r="H617">
        <f>Calc!H11</f>
        <v/>
      </c>
      <c r="I617">
        <f>IF(Skills!T11&lt;&gt;"",1+(Skills!T11/10)*($Z$3/1000)/100,1)</f>
        <v/>
      </c>
      <c r="J617" t="inlineStr"/>
      <c r="K617" t="inlineStr"/>
      <c r="L617" t="inlineStr"/>
      <c r="M617" t="inlineStr"/>
      <c r="N617" t="inlineStr"/>
      <c r="O617">
        <f>(1-Summary!$B$48)*S617+Summary!$B$48*U617</f>
        <v/>
      </c>
      <c r="P617">
        <f>IF(B648=0,0,O617/B648)</f>
        <v/>
      </c>
      <c r="Q617">
        <f>IFERROR(1/IF(Inputs!$B$39="pvp",15,MAX(0.1,Skills!D11-IF(Skills!E11=TRUE,Inputs!$B$33,0))),0)</f>
        <v/>
      </c>
      <c r="R617">
        <f>IF(AND(Inputs!$B$39&lt;&gt;"pvp",Inputs!$B$44&gt;0),IF(Inputs!$B$44&lt;=0,0,(INT(Inputs!$B$44/IF(Inputs!$B$39="pvp",15,MAX(0.1,Skills!D11-IF(Skills!E11=TRUE,Inputs!$B$33,0))))+1)),0)</f>
        <v/>
      </c>
      <c r="S617" t="n">
        <v>0</v>
      </c>
      <c r="U617" t="n">
        <v>0</v>
      </c>
    </row>
    <row r="618">
      <c r="A618">
        <f>Skills!A12</f>
        <v/>
      </c>
      <c r="B618">
        <f>Skills!B12</f>
        <v/>
      </c>
      <c r="C618">
        <f>Inputs!$B$3&gt;=72</f>
        <v/>
      </c>
      <c r="D618">
        <f>IF(Skills!C12=1,60+Inputs!$B$26+Inputs!$B$30,IF(Skills!C12=2,90+Inputs!$B$27+Inputs!$B$30,IF(Skills!C12=3,120+Inputs!$B$28+Inputs!$B$30,MAX(0,(Inputs!$B$3-100)*3)+Inputs!$B$29+Inputs!$B$30)))</f>
        <v/>
      </c>
      <c r="E618">
        <f>INDEX(FactorTable!$B$2:$Y$301, MATCH(ROUND(MIN(300,MAX(1,D618)),0), FactorTable!$A$2:$A$301,0), Skills!L12+1)</f>
        <v/>
      </c>
      <c r="F618">
        <f>IF(Skills!M12=TRUE,(Skills!K12/10)*(E618/1000),Skills!K12/10)+Skills!N12</f>
        <v/>
      </c>
      <c r="G618">
        <f>Calc!G12</f>
        <v/>
      </c>
      <c r="H618">
        <f>Calc!H12</f>
        <v/>
      </c>
      <c r="I618">
        <f>IF(Skills!T12&lt;&gt;"",1+(Skills!T12/10)*($Z$3/1000)/100,1)</f>
        <v/>
      </c>
      <c r="J618" t="inlineStr"/>
      <c r="K618" t="inlineStr"/>
      <c r="L618" t="inlineStr"/>
      <c r="M618" t="inlineStr"/>
      <c r="N618" t="inlineStr"/>
      <c r="O618">
        <f>(1-Summary!$B$48)*S618+Summary!$B$48*U618</f>
        <v/>
      </c>
      <c r="P618">
        <f>IF(B648=0,0,O618/B648)</f>
        <v/>
      </c>
      <c r="Q618">
        <f>IFERROR(1/IF(Inputs!$B$39="pvp",15,MAX(0.1,Skills!D12-IF(Skills!E12=TRUE,Inputs!$B$33,0))),0)</f>
        <v/>
      </c>
      <c r="R618">
        <f>IF(AND(Inputs!$B$39&lt;&gt;"pvp",Inputs!$B$44&gt;0),IF(MAX(0,Inputs!$B$44-B645)&lt;=0,0,(INT(MAX(0,Inputs!$B$44-B645)/IF(Inputs!$B$39="pvp",15,MAX(0.1,Skills!D12-IF(Skills!E12=TRUE,Inputs!$B$33,0))))+1)),0)</f>
        <v/>
      </c>
      <c r="S618" t="n">
        <v>0</v>
      </c>
      <c r="U618" t="n">
        <v>0</v>
      </c>
    </row>
    <row r="619">
      <c r="A619">
        <f>Skills!A13</f>
        <v/>
      </c>
      <c r="B619">
        <f>Skills!B13</f>
        <v/>
      </c>
      <c r="C619">
        <f>Inputs!$B$3&gt;=60</f>
        <v/>
      </c>
      <c r="D619">
        <f>IF(Skills!C13=1,60+Inputs!$B$26+Inputs!$B$30,IF(Skills!C13=2,90+Inputs!$B$27+Inputs!$B$30,IF(Skills!C13=3,120+Inputs!$B$28+Inputs!$B$30,MAX(0,(Inputs!$B$3-100)*3)+Inputs!$B$29+Inputs!$B$30)))</f>
        <v/>
      </c>
      <c r="E619">
        <f>INDEX(FactorTable!$B$2:$Y$301, MATCH(ROUND(MIN(300,MAX(1,D619)),0), FactorTable!$A$2:$A$301,0), Skills!L13+1)</f>
        <v/>
      </c>
      <c r="F619">
        <f>IF(Skills!M13=TRUE,(Skills!K13/10)*(E619/1000),Skills!K13/10)+Skills!N13</f>
        <v/>
      </c>
      <c r="G619">
        <f>Calc!G13</f>
        <v/>
      </c>
      <c r="H619">
        <f>Calc!H13</f>
        <v/>
      </c>
      <c r="I619">
        <f>IF(Skills!T13&lt;&gt;"",1+(Skills!T13/10)*($Z$3/1000)/100,1)</f>
        <v/>
      </c>
      <c r="J619" t="inlineStr"/>
      <c r="K619" t="inlineStr"/>
      <c r="L619" t="inlineStr"/>
      <c r="M619" t="inlineStr"/>
      <c r="N619" t="inlineStr"/>
      <c r="O619">
        <f>(1-Summary!$B$48)*S619+Summary!$B$48*U619</f>
        <v/>
      </c>
      <c r="P619">
        <f>IF(B648=0,0,O619/B648)</f>
        <v/>
      </c>
      <c r="Q619">
        <f>IFERROR(1/IF(Inputs!$B$39="pvp",15,MAX(0.1,Skills!D13-IF(Skills!E13=TRUE,Inputs!$B$33,0))),0)</f>
        <v/>
      </c>
      <c r="R619">
        <f>IF(AND(Inputs!$B$39&lt;&gt;"pvp",Inputs!$B$44&gt;0),IF(MAX(0,Inputs!$B$44-B645)&lt;=0,0,(INT(MAX(0,Inputs!$B$44-B645)/IF(Inputs!$B$39="pvp",15,MAX(0.1,Skills!D13-IF(Skills!E13=TRUE,Inputs!$B$33,0))))+1)),0)</f>
        <v/>
      </c>
      <c r="S619" t="n">
        <v>0</v>
      </c>
      <c r="U619" t="n">
        <v>0</v>
      </c>
    </row>
    <row r="620">
      <c r="A620">
        <f>Skills!A14</f>
        <v/>
      </c>
      <c r="B620">
        <f>Skills!B14</f>
        <v/>
      </c>
      <c r="C620">
        <f>Inputs!$B$3&gt;=107</f>
        <v/>
      </c>
      <c r="D620">
        <f>IF(Skills!C14=1,60+Inputs!$B$26+Inputs!$B$30,IF(Skills!C14=2,90+Inputs!$B$27+Inputs!$B$30,IF(Skills!C14=3,120+Inputs!$B$28+Inputs!$B$30,MAX(0,(Inputs!$B$3-100)*3)+Inputs!$B$29+Inputs!$B$30)))</f>
        <v/>
      </c>
      <c r="E620">
        <f>INDEX(FactorTable!$B$2:$Y$301, MATCH(ROUND(MIN(300,MAX(1,D620)),0), FactorTable!$A$2:$A$301,0), Skills!L14+1)</f>
        <v/>
      </c>
      <c r="F620">
        <f>IF(Skills!M14=TRUE,(Skills!K14/10)*(E620/1000),Skills!K14/10)+Skills!N14</f>
        <v/>
      </c>
      <c r="G620">
        <f>Calc!G14</f>
        <v/>
      </c>
      <c r="H620">
        <f>Calc!H14</f>
        <v/>
      </c>
      <c r="I620">
        <f>IF(Skills!T14&lt;&gt;"",1+(Skills!T14/10)*($Z$3/1000)/100,1)</f>
        <v/>
      </c>
      <c r="J620" t="inlineStr"/>
      <c r="K620" t="inlineStr"/>
      <c r="L620" t="inlineStr"/>
      <c r="M620" t="inlineStr"/>
      <c r="N620" t="inlineStr"/>
      <c r="O620">
        <f>(1-Summary!$B$48)*S620+Summary!$B$48*U620</f>
        <v/>
      </c>
      <c r="P620">
        <f>IF(B648=0,0,O620/B648)</f>
        <v/>
      </c>
      <c r="Q620">
        <f>IFERROR(1/IF(Inputs!$B$39="pvp",15,MAX(0.1,Skills!D14-IF(Skills!E14=TRUE,Inputs!$B$33,0))),0)</f>
        <v/>
      </c>
      <c r="R620">
        <f>IF(AND(Inputs!$B$39&lt;&gt;"pvp",Inputs!$B$44&gt;0),IF(Inputs!$B$44&lt;=0,0,(INT(Inputs!$B$44/IF(Inputs!$B$39="pvp",15,MAX(0.1,Skills!D14-IF(Skills!E14=TRUE,Inputs!$B$33,0))))+1)),0)</f>
        <v/>
      </c>
      <c r="S620" t="n">
        <v>0</v>
      </c>
      <c r="U620" t="n">
        <v>0</v>
      </c>
    </row>
    <row r="621">
      <c r="A621">
        <f>Skills!A15</f>
        <v/>
      </c>
      <c r="B621">
        <f>Skills!B15</f>
        <v/>
      </c>
      <c r="C621">
        <f>Inputs!$B$3&gt;=63</f>
        <v/>
      </c>
      <c r="D621">
        <f>IF(Skills!C15=1,60+Inputs!$B$26+Inputs!$B$30,IF(Skills!C15=2,90+Inputs!$B$27+Inputs!$B$30,IF(Skills!C15=3,120+Inputs!$B$28+Inputs!$B$30,MAX(0,(Inputs!$B$3-100)*3)+Inputs!$B$29+Inputs!$B$30)))</f>
        <v/>
      </c>
      <c r="E621">
        <f>INDEX(FactorTable!$B$2:$Y$301, MATCH(ROUND(MIN(300,MAX(1,D621)),0), FactorTable!$A$2:$A$301,0), Skills!L15+1)</f>
        <v/>
      </c>
      <c r="F621">
        <f>IF(Skills!M15=TRUE,(Skills!K15/10)*(E621/1000),Skills!K15/10)+Skills!N15</f>
        <v/>
      </c>
      <c r="G621">
        <f>Calc!G15</f>
        <v/>
      </c>
      <c r="H621">
        <f>Calc!H15</f>
        <v/>
      </c>
      <c r="I621">
        <f>IF(Skills!T15&lt;&gt;"",1+(Skills!T15/10)*($Z$3/1000)/100,1)</f>
        <v/>
      </c>
      <c r="J621">
        <f>((Inputs!$B$6*(1+Inputs!$B$7/100))+(((Inputs!$B$13*(1+Inputs!$B$14/100))-(Inputs!$B$13*(1+Inputs!$B$14/100)))+0.25*(Inputs!$B$15-Inputs!$B$15))*(1+Inputs!$B$7/100))*(F621/100)</f>
        <v/>
      </c>
      <c r="K621">
        <f>J621*(1+(((Inputs!$B$13+IF(Inputs!$B$3&gt;=35,(10*INDEX(FactorTable!$B$2:$Y$301, MATCH(ROUND(MIN(300,MAX(1,Inputs!$B$3)),0), FactorTable!$A$2:$A$301,0), 23)/1000)/100*(Inputs!$B$8*(1+(Inputs!$B$9+B644)/100)),0))*(1+Inputs!$B$14/100))*0.01+Inputs!$B$15*0.0025)/100)*(1+(Inputs!$B$16+B638)/100)*(1+Inputs!$B$17/100)*(5000/(6000+Inputs!$B$43*(1-Inputs!$B$20/100)))*(1+Inputs!$B$25/100)*(1+IF(C624=TRUE,F624,0)/100)*(1+IF(C626=TRUE,F626,0)/100)*(1+IF(Skills!A15="TRIUMPH_FEATHER",IF(C622=TRUE,F622,0),0)/100)*(1+IF(C633=TRUE,F633,0)/100)^5*(1+(IF(Skills!A15="BIG_BANG",Inputs!$B$18,Inputs!$B$19))/100)*(B635*I621)</f>
        <v/>
      </c>
      <c r="L621">
        <f>K621*(MIN(Inputs!$B$23+(F628-Calc!F22),Inputs!$B$24)/100+Inputs!$B$24/100)/2</f>
        <v/>
      </c>
      <c r="M621">
        <f>L621*(1+(Inputs!$B$11+B639+(F631-Calc!F25))/100)</f>
        <v/>
      </c>
      <c r="N621">
        <f>L621*(1-MIN(Inputs!$B$10+((F630-Calc!F24)+(F629-Calc!F23)),100)/100)+M621*(MIN(Inputs!$B$10+((F630-Calc!F24)+(F629-Calc!F23)),100)/100)</f>
        <v/>
      </c>
      <c r="O621">
        <f>(1-Summary!$B$48)*S621+Summary!$B$48*U621</f>
        <v/>
      </c>
      <c r="P621">
        <f>IF(B648=0,0,O621/B648)</f>
        <v/>
      </c>
      <c r="Q621">
        <f>IFERROR(1/IF(Inputs!$B$39="pvp",15,MAX(0.1,Skills!D15-IF(Skills!E15=TRUE,Inputs!$B$33,0))),0)</f>
        <v/>
      </c>
      <c r="R621" t="n">
        <v>0</v>
      </c>
      <c r="S621">
        <f>IF(C621,(Skills!F15*N621*((IF(Inputs!$B$3&gt;=78,25,15)/100*B641*10)/(1+IF(Inputs!$B$3&gt;=78,25,15)/100*B641*10))*(Skills!I15/100*B641)/(1+Skills!G15*Skills!I15/100*B641))*IF(Inputs!$B$39="pvp",1,1+(Inputs!$B$21+Skills!O15+B636)/100),0)</f>
        <v/>
      </c>
      <c r="U621">
        <f>IF(C621,(Skills!F15*N621*((IF(Inputs!$B$3&gt;=78,25,15)/100*B641*10)/(1+IF(Inputs!$B$3&gt;=78,25,15)/100*B641*10))*(Skills!I15/100*B641)/(1+Skills!G15*Skills!I15/100*B641))*IF(Inputs!$B$39="pvp",1,(1+(Inputs!$B$22+Skills!P15+B637)/100)*(MIN(Skills!Q15,Inputs!$B$38))),0)</f>
        <v/>
      </c>
    </row>
    <row r="622">
      <c r="A622">
        <f>Skills!A16</f>
        <v/>
      </c>
      <c r="B622">
        <f>Skills!B16</f>
        <v/>
      </c>
      <c r="C622">
        <f>Inputs!$B$3&gt;=100</f>
        <v/>
      </c>
      <c r="D622">
        <f>IF(Skills!C16=1,60+Inputs!$B$26+Inputs!$B$30,IF(Skills!C16=2,90+Inputs!$B$27+Inputs!$B$30,IF(Skills!C16=3,120+Inputs!$B$28+Inputs!$B$30,MAX(0,(Inputs!$B$3-100)*3)+Inputs!$B$29+Inputs!$B$30)))</f>
        <v/>
      </c>
      <c r="E622">
        <f>INDEX(FactorTable!$B$2:$Y$301, MATCH(ROUND(MIN(300,MAX(1,D622)),0), FactorTable!$A$2:$A$301,0), Skills!L16+1)</f>
        <v/>
      </c>
      <c r="F622">
        <f>IF(Skills!M16=TRUE,(Skills!K16/10)*(E622/1000),Skills!K16/10)+Skills!N16</f>
        <v/>
      </c>
      <c r="G622">
        <f>Calc!G16</f>
        <v/>
      </c>
      <c r="H622">
        <f>Calc!H16</f>
        <v/>
      </c>
      <c r="I622">
        <f>IF(Skills!T16&lt;&gt;"",1+(Skills!T16/10)*($Z$3/1000)/100,1)</f>
        <v/>
      </c>
      <c r="J622" t="inlineStr"/>
      <c r="K622" t="inlineStr"/>
      <c r="L622" t="inlineStr"/>
      <c r="M622" t="inlineStr"/>
      <c r="N622" t="inlineStr"/>
      <c r="O622">
        <f>(1-Summary!$B$48)*S622+Summary!$B$48*U622</f>
        <v/>
      </c>
      <c r="P622">
        <f>IF(B648=0,0,O622/B648)</f>
        <v/>
      </c>
      <c r="Q622">
        <f>IFERROR(1/IF(Inputs!$B$39="pvp",15,MAX(0.1,Skills!D16-IF(Skills!E16=TRUE,Inputs!$B$33,0))),0)</f>
        <v/>
      </c>
      <c r="R622" t="n">
        <v>0</v>
      </c>
      <c r="S622" t="n">
        <v>0</v>
      </c>
      <c r="U622" t="n">
        <v>0</v>
      </c>
    </row>
    <row r="623">
      <c r="A623">
        <f>Skills!A17</f>
        <v/>
      </c>
      <c r="B623">
        <f>Skills!B17</f>
        <v/>
      </c>
      <c r="C623">
        <f>Inputs!$B$3&gt;=49</f>
        <v/>
      </c>
      <c r="D623">
        <f>IF(Skills!C17=1,60+Inputs!$B$26+Inputs!$B$30,IF(Skills!C17=2,90+Inputs!$B$27+Inputs!$B$30,IF(Skills!C17=3,120+Inputs!$B$28+Inputs!$B$30,MAX(0,(Inputs!$B$3-100)*3)+Inputs!$B$29+Inputs!$B$30)))</f>
        <v/>
      </c>
      <c r="E623">
        <f>INDEX(FactorTable!$B$2:$Y$301, MATCH(ROUND(MIN(300,MAX(1,D623)),0), FactorTable!$A$2:$A$301,0), Skills!L17+1)</f>
        <v/>
      </c>
      <c r="F623">
        <f>IF(Skills!M17=TRUE,(Skills!K17/10)*(E623/1000),Skills!K17/10)+Skills!N17</f>
        <v/>
      </c>
      <c r="G623">
        <f>Calc!G17</f>
        <v/>
      </c>
      <c r="H623">
        <f>Calc!H17</f>
        <v/>
      </c>
      <c r="I623">
        <f>IF(Skills!T17&lt;&gt;"",1+(Skills!T17/10)*($Z$3/1000)/100,1)</f>
        <v/>
      </c>
      <c r="J623" t="inlineStr"/>
      <c r="K623" t="inlineStr"/>
      <c r="L623" t="inlineStr"/>
      <c r="M623" t="inlineStr"/>
      <c r="N623" t="inlineStr"/>
      <c r="O623">
        <f>(1-Summary!$B$48)*S623+Summary!$B$48*U623</f>
        <v/>
      </c>
      <c r="P623">
        <f>IF(B648=0,0,O623/B648)</f>
        <v/>
      </c>
      <c r="Q623">
        <f>IFERROR(1/IF(Inputs!$B$39="pvp",15,MAX(0.1,Skills!D17-IF(Skills!E17=TRUE,Inputs!$B$33,0))),0)</f>
        <v/>
      </c>
      <c r="R623" t="n">
        <v>0</v>
      </c>
      <c r="S623" t="n">
        <v>0</v>
      </c>
      <c r="U623" t="n">
        <v>0</v>
      </c>
    </row>
    <row r="624">
      <c r="A624">
        <f>Skills!A18</f>
        <v/>
      </c>
      <c r="B624">
        <f>Skills!B18</f>
        <v/>
      </c>
      <c r="C624">
        <f>Inputs!$B$3&gt;=75</f>
        <v/>
      </c>
      <c r="D624">
        <f>IF(Skills!C18=1,60+Inputs!$B$26+Inputs!$B$30,IF(Skills!C18=2,90+Inputs!$B$27+Inputs!$B$30,IF(Skills!C18=3,120+Inputs!$B$28+Inputs!$B$30,MAX(0,(Inputs!$B$3-100)*3)+Inputs!$B$29+Inputs!$B$30)))</f>
        <v/>
      </c>
      <c r="E624">
        <f>INDEX(FactorTable!$B$2:$Y$301, MATCH(ROUND(MIN(300,MAX(1,D624)),0), FactorTable!$A$2:$A$301,0), Skills!L18+1)</f>
        <v/>
      </c>
      <c r="F624">
        <f>IF(Skills!M18=TRUE,(Skills!K18/10)*(E624/1000),Skills!K18/10)+Skills!N18</f>
        <v/>
      </c>
      <c r="G624">
        <f>Calc!G18</f>
        <v/>
      </c>
      <c r="H624">
        <f>Calc!H18</f>
        <v/>
      </c>
      <c r="I624">
        <f>IF(Skills!T18&lt;&gt;"",1+(Skills!T18/10)*($Z$3/1000)/100,1)</f>
        <v/>
      </c>
      <c r="J624" t="inlineStr"/>
      <c r="K624" t="inlineStr"/>
      <c r="L624" t="inlineStr"/>
      <c r="M624" t="inlineStr"/>
      <c r="N624" t="inlineStr"/>
      <c r="O624">
        <f>(1-Summary!$B$48)*S624+Summary!$B$48*U624</f>
        <v/>
      </c>
      <c r="P624">
        <f>IF(B648=0,0,O624/B648)</f>
        <v/>
      </c>
      <c r="Q624">
        <f>IFERROR(1/IF(Inputs!$B$39="pvp",15,MAX(0.1,Skills!D18-IF(Skills!E18=TRUE,Inputs!$B$33,0))),0)</f>
        <v/>
      </c>
      <c r="R624" t="n">
        <v>0</v>
      </c>
      <c r="S624" t="n">
        <v>0</v>
      </c>
      <c r="U624" t="n">
        <v>0</v>
      </c>
    </row>
    <row r="625">
      <c r="A625">
        <f>Skills!A19</f>
        <v/>
      </c>
      <c r="B625">
        <f>Skills!B19</f>
        <v/>
      </c>
      <c r="C625">
        <f>Inputs!$B$3&gt;=110</f>
        <v/>
      </c>
      <c r="D625">
        <f>IF(Skills!C19=1,60+Inputs!$B$26+Inputs!$B$30,IF(Skills!C19=2,90+Inputs!$B$27+Inputs!$B$30,IF(Skills!C19=3,120+Inputs!$B$28+Inputs!$B$30,MAX(0,(Inputs!$B$3-100)*3)+Inputs!$B$29+Inputs!$B$30)))</f>
        <v/>
      </c>
      <c r="E625">
        <f>INDEX(FactorTable!$B$2:$Y$301, MATCH(ROUND(MIN(300,MAX(1,D625)),0), FactorTable!$A$2:$A$301,0), Skills!L19+1)</f>
        <v/>
      </c>
      <c r="F625">
        <f>(Skills!K19/10)*(E625/1000)*64/45+Skills!N19</f>
        <v/>
      </c>
      <c r="G625">
        <f>Calc!G19</f>
        <v/>
      </c>
      <c r="H625">
        <f>Calc!H19</f>
        <v/>
      </c>
      <c r="I625">
        <f>IF(Skills!T19&lt;&gt;"",1+(Skills!T19/10)*($Z$3/1000)/100,1)</f>
        <v/>
      </c>
      <c r="J625" t="inlineStr"/>
      <c r="K625" t="inlineStr"/>
      <c r="L625" t="inlineStr"/>
      <c r="M625" t="inlineStr"/>
      <c r="N625" t="inlineStr"/>
      <c r="O625">
        <f>(1-Summary!$B$48)*S625+Summary!$B$48*U625</f>
        <v/>
      </c>
      <c r="P625">
        <f>IF(B648=0,0,O625/B648)</f>
        <v/>
      </c>
      <c r="Q625">
        <f>IFERROR(1/IF(Inputs!$B$39="pvp",15,MAX(0.1,Skills!D19-IF(Skills!E19=TRUE,Inputs!$B$33,0))),0)</f>
        <v/>
      </c>
      <c r="R625">
        <f>IF(AND(Inputs!$B$39&lt;&gt;"pvp",Inputs!$B$44&gt;0),IF(Inputs!$B$44&lt;=0,0,(INT(Inputs!$B$44/IF(Inputs!$B$39="pvp",15,MAX(0.1,Skills!D19-IF(Skills!E19=TRUE,Inputs!$B$33,0))))+1)),0)</f>
        <v/>
      </c>
      <c r="S625" t="n">
        <v>0</v>
      </c>
      <c r="U625" t="n">
        <v>0</v>
      </c>
    </row>
    <row r="626">
      <c r="A626">
        <f>Skills!A20</f>
        <v/>
      </c>
      <c r="B626">
        <f>Skills!B20</f>
        <v/>
      </c>
      <c r="C626">
        <f>Inputs!$B$3&gt;=125</f>
        <v/>
      </c>
      <c r="D626">
        <f>IF(Skills!C20=1,60+Inputs!$B$26+Inputs!$B$30,IF(Skills!C20=2,90+Inputs!$B$27+Inputs!$B$30,IF(Skills!C20=3,120+Inputs!$B$28+Inputs!$B$30,MAX(0,(Inputs!$B$3-100)*3)+Inputs!$B$29+Inputs!$B$30)))</f>
        <v/>
      </c>
      <c r="E626">
        <f>INDEX(FactorTable!$B$2:$Y$301, MATCH(ROUND(MIN(300,MAX(1,D626)),0), FactorTable!$A$2:$A$301,0), Skills!L20+1)</f>
        <v/>
      </c>
      <c r="F626">
        <f>IF(Skills!M20=TRUE,(Skills!K20/10)*(E626/1000),Skills!K20/10)+Skills!N20</f>
        <v/>
      </c>
      <c r="G626">
        <f>Calc!G20</f>
        <v/>
      </c>
      <c r="H626">
        <f>Calc!H20</f>
        <v/>
      </c>
      <c r="I626">
        <f>IF(Skills!T20&lt;&gt;"",1+(Skills!T20/10)*($Z$3/1000)/100,1)</f>
        <v/>
      </c>
      <c r="J626" t="inlineStr"/>
      <c r="K626" t="inlineStr"/>
      <c r="L626" t="inlineStr"/>
      <c r="M626" t="inlineStr"/>
      <c r="N626" t="inlineStr"/>
      <c r="O626">
        <f>(1-Summary!$B$48)*S626+Summary!$B$48*U626</f>
        <v/>
      </c>
      <c r="P626">
        <f>IF(B648=0,0,O626/B648)</f>
        <v/>
      </c>
      <c r="Q626">
        <f>IFERROR(1/IF(Inputs!$B$39="pvp",15,MAX(0.1,Skills!D20-IF(Skills!E20=TRUE,Inputs!$B$33,0))),0)</f>
        <v/>
      </c>
      <c r="R626" t="n">
        <v>0</v>
      </c>
      <c r="S626" t="n">
        <v>0</v>
      </c>
      <c r="U626" t="n">
        <v>0</v>
      </c>
    </row>
    <row r="627">
      <c r="A627">
        <f>Skills!A21</f>
        <v/>
      </c>
      <c r="B627">
        <f>Skills!B21</f>
        <v/>
      </c>
      <c r="C627">
        <f>Inputs!$B$3&gt;=33</f>
        <v/>
      </c>
      <c r="D627">
        <f>IF(Skills!C21=1,60+Inputs!$B$26+Inputs!$B$30,IF(Skills!C21=2,90+Inputs!$B$27+Inputs!$B$30,IF(Skills!C21=3,120+Inputs!$B$28+Inputs!$B$30,MAX(0,(Inputs!$B$3-100)*3)+Inputs!$B$29+Inputs!$B$30)))</f>
        <v/>
      </c>
      <c r="E627">
        <f>INDEX(FactorTable!$B$2:$Y$301, MATCH(ROUND(MIN(300,MAX(1,D627)),0), FactorTable!$A$2:$A$301,0), Skills!L21+1)</f>
        <v/>
      </c>
      <c r="F627">
        <f>IF(Skills!M21=TRUE,(Skills!K21/10)*(E627/1000),Skills!K21/10)+Skills!N21</f>
        <v/>
      </c>
      <c r="G627">
        <f>Calc!G21</f>
        <v/>
      </c>
      <c r="H627">
        <f>Calc!H21</f>
        <v/>
      </c>
      <c r="I627">
        <f>IF(Skills!T21&lt;&gt;"",1+(Skills!T21/10)*($Z$3/1000)/100,1)</f>
        <v/>
      </c>
      <c r="J627" t="inlineStr"/>
      <c r="K627" t="inlineStr"/>
      <c r="L627" t="inlineStr"/>
      <c r="M627" t="inlineStr"/>
      <c r="N627" t="inlineStr"/>
      <c r="O627">
        <f>(1-Summary!$B$48)*S627+Summary!$B$48*U627</f>
        <v/>
      </c>
      <c r="P627">
        <f>IF(B648=0,0,O627/B648)</f>
        <v/>
      </c>
      <c r="Q627">
        <f>IFERROR(1/IF(Inputs!$B$39="pvp",15,MAX(0.1,Skills!D21-IF(Skills!E21=TRUE,Inputs!$B$33,0))),0)</f>
        <v/>
      </c>
      <c r="R627" t="n">
        <v>0</v>
      </c>
      <c r="S627" t="n">
        <v>0</v>
      </c>
      <c r="U627" t="n">
        <v>0</v>
      </c>
    </row>
    <row r="628">
      <c r="A628">
        <f>Skills!A22</f>
        <v/>
      </c>
      <c r="B628">
        <f>Skills!B22</f>
        <v/>
      </c>
      <c r="C628">
        <f>Inputs!$B$3&gt;=43</f>
        <v/>
      </c>
      <c r="D628">
        <f>IF(Skills!C22=1,60+Inputs!$B$26+Inputs!$B$30,IF(Skills!C22=2,90+Inputs!$B$27+Inputs!$B$30,IF(Skills!C22=3,120+Inputs!$B$28+Inputs!$B$30,MAX(0,(Inputs!$B$3-100)*3)+Inputs!$B$29+Inputs!$B$30)))</f>
        <v/>
      </c>
      <c r="E628">
        <f>INDEX(FactorTable!$B$2:$Y$301, MATCH(ROUND(MIN(300,MAX(1,D628)),0), FactorTable!$A$2:$A$301,0), Skills!L22+1)</f>
        <v/>
      </c>
      <c r="F628">
        <f>IF(Skills!M22=TRUE,(Skills!K22/10)*(E628/1000),Skills!K22/10)+Skills!N22</f>
        <v/>
      </c>
      <c r="G628">
        <f>Calc!G22</f>
        <v/>
      </c>
      <c r="H628">
        <f>Calc!H22</f>
        <v/>
      </c>
      <c r="I628">
        <f>IF(Skills!T22&lt;&gt;"",1+(Skills!T22/10)*($Z$3/1000)/100,1)</f>
        <v/>
      </c>
      <c r="J628" t="inlineStr"/>
      <c r="K628" t="inlineStr"/>
      <c r="L628" t="inlineStr"/>
      <c r="M628" t="inlineStr"/>
      <c r="N628" t="inlineStr"/>
      <c r="O628">
        <f>(1-Summary!$B$48)*S628+Summary!$B$48*U628</f>
        <v/>
      </c>
      <c r="P628">
        <f>IF(B648=0,0,O628/B648)</f>
        <v/>
      </c>
      <c r="Q628">
        <f>IFERROR(1/IF(Inputs!$B$39="pvp",15,MAX(0.1,Skills!D22-IF(Skills!E22=TRUE,Inputs!$B$33,0))),0)</f>
        <v/>
      </c>
      <c r="R628" t="n">
        <v>0</v>
      </c>
      <c r="S628" t="n">
        <v>0</v>
      </c>
      <c r="U628" t="n">
        <v>0</v>
      </c>
    </row>
    <row r="629">
      <c r="A629">
        <f>Skills!A23</f>
        <v/>
      </c>
      <c r="B629">
        <f>Skills!B23</f>
        <v/>
      </c>
      <c r="C629">
        <f>Inputs!$B$3&gt;=50</f>
        <v/>
      </c>
      <c r="D629">
        <f>IF(Skills!C23=1,60+Inputs!$B$26+Inputs!$B$30,IF(Skills!C23=2,90+Inputs!$B$27+Inputs!$B$30,IF(Skills!C23=3,120+Inputs!$B$28+Inputs!$B$30,MAX(0,(Inputs!$B$3-100)*3)+Inputs!$B$29+Inputs!$B$30)))</f>
        <v/>
      </c>
      <c r="E629">
        <f>INDEX(FactorTable!$B$2:$Y$301, MATCH(ROUND(MIN(300,MAX(1,D629)),0), FactorTable!$A$2:$A$301,0), Skills!L23+1)</f>
        <v/>
      </c>
      <c r="F629">
        <f>IF(Skills!M23=TRUE,(Skills!K23/10)*(E629/1000),Skills!K23/10)+Skills!N23</f>
        <v/>
      </c>
      <c r="G629">
        <f>Calc!G23</f>
        <v/>
      </c>
      <c r="H629">
        <f>Calc!H23</f>
        <v/>
      </c>
      <c r="I629">
        <f>IF(Skills!T23&lt;&gt;"",1+(Skills!T23/10)*($Z$3/1000)/100,1)</f>
        <v/>
      </c>
      <c r="J629" t="inlineStr"/>
      <c r="K629" t="inlineStr"/>
      <c r="L629" t="inlineStr"/>
      <c r="M629" t="inlineStr"/>
      <c r="N629" t="inlineStr"/>
      <c r="O629">
        <f>(1-Summary!$B$48)*S629+Summary!$B$48*U629</f>
        <v/>
      </c>
      <c r="P629">
        <f>IF(B648=0,0,O629/B648)</f>
        <v/>
      </c>
      <c r="Q629">
        <f>IFERROR(1/IF(Inputs!$B$39="pvp",15,MAX(0.1,Skills!D23-IF(Skills!E23=TRUE,Inputs!$B$33,0))),0)</f>
        <v/>
      </c>
      <c r="R629" t="n">
        <v>0</v>
      </c>
      <c r="S629" t="n">
        <v>0</v>
      </c>
      <c r="U629" t="n">
        <v>0</v>
      </c>
    </row>
    <row r="630">
      <c r="A630">
        <f>Skills!A24</f>
        <v/>
      </c>
      <c r="B630">
        <f>Skills!B24</f>
        <v/>
      </c>
      <c r="C630">
        <f>Inputs!$B$3&gt;=74</f>
        <v/>
      </c>
      <c r="D630">
        <f>IF(Skills!C24=1,60+Inputs!$B$26+Inputs!$B$30,IF(Skills!C24=2,90+Inputs!$B$27+Inputs!$B$30,IF(Skills!C24=3,120+Inputs!$B$28+Inputs!$B$30,MAX(0,(Inputs!$B$3-100)*3)+Inputs!$B$29+Inputs!$B$30)))</f>
        <v/>
      </c>
      <c r="E630">
        <f>INDEX(FactorTable!$B$2:$Y$301, MATCH(ROUND(MIN(300,MAX(1,D630)),0), FactorTable!$A$2:$A$301,0), Skills!L24+1)</f>
        <v/>
      </c>
      <c r="F630">
        <f>IF(Skills!M24=TRUE,(Skills!K24/10)*(E630/1000),Skills!K24/10)+Skills!N24</f>
        <v/>
      </c>
      <c r="G630">
        <f>Calc!G24</f>
        <v/>
      </c>
      <c r="H630">
        <f>Calc!H24</f>
        <v/>
      </c>
      <c r="I630">
        <f>IF(Skills!T24&lt;&gt;"",1+(Skills!T24/10)*($Z$3/1000)/100,1)</f>
        <v/>
      </c>
      <c r="J630" t="inlineStr"/>
      <c r="K630" t="inlineStr"/>
      <c r="L630" t="inlineStr"/>
      <c r="M630" t="inlineStr"/>
      <c r="N630" t="inlineStr"/>
      <c r="O630">
        <f>(1-Summary!$B$48)*S630+Summary!$B$48*U630</f>
        <v/>
      </c>
      <c r="P630">
        <f>IF(B648=0,0,O630/B648)</f>
        <v/>
      </c>
      <c r="Q630">
        <f>IFERROR(1/IF(Inputs!$B$39="pvp",15,MAX(0.1,Skills!D24-IF(Skills!E24=TRUE,Inputs!$B$33,0))),0)</f>
        <v/>
      </c>
      <c r="R630" t="n">
        <v>0</v>
      </c>
      <c r="S630" t="n">
        <v>0</v>
      </c>
      <c r="U630" t="n">
        <v>0</v>
      </c>
    </row>
    <row r="631">
      <c r="A631">
        <f>Skills!A25</f>
        <v/>
      </c>
      <c r="B631">
        <f>Skills!B25</f>
        <v/>
      </c>
      <c r="C631">
        <f>Inputs!$B$3&gt;=74</f>
        <v/>
      </c>
      <c r="D631">
        <f>IF(Skills!C25=1,60+Inputs!$B$26+Inputs!$B$30,IF(Skills!C25=2,90+Inputs!$B$27+Inputs!$B$30,IF(Skills!C25=3,120+Inputs!$B$28+Inputs!$B$30,MAX(0,(Inputs!$B$3-100)*3)+Inputs!$B$29+Inputs!$B$30)))</f>
        <v/>
      </c>
      <c r="E631">
        <f>INDEX(FactorTable!$B$2:$Y$301, MATCH(ROUND(MIN(300,MAX(1,D631)),0), FactorTable!$A$2:$A$301,0), Skills!L25+1)</f>
        <v/>
      </c>
      <c r="F631">
        <f>IF(Skills!M25=TRUE,(Skills!K25/10)*(E631/1000),Skills!K25/10)+Skills!N25</f>
        <v/>
      </c>
      <c r="G631">
        <f>Calc!G25</f>
        <v/>
      </c>
      <c r="H631">
        <f>Calc!H25</f>
        <v/>
      </c>
      <c r="I631">
        <f>IF(Skills!T25&lt;&gt;"",1+(Skills!T25/10)*($Z$3/1000)/100,1)</f>
        <v/>
      </c>
      <c r="J631" t="inlineStr"/>
      <c r="K631" t="inlineStr"/>
      <c r="L631" t="inlineStr"/>
      <c r="M631" t="inlineStr"/>
      <c r="N631" t="inlineStr"/>
      <c r="O631">
        <f>(1-Summary!$B$48)*S631+Summary!$B$48*U631</f>
        <v/>
      </c>
      <c r="P631">
        <f>IF(B648=0,0,O631/B648)</f>
        <v/>
      </c>
      <c r="Q631">
        <f>IFERROR(1/IF(Inputs!$B$39="pvp",15,MAX(0.1,Skills!D25-IF(Skills!E25=TRUE,Inputs!$B$33,0))),0)</f>
        <v/>
      </c>
      <c r="R631" t="n">
        <v>0</v>
      </c>
      <c r="S631" t="n">
        <v>0</v>
      </c>
      <c r="U631" t="n">
        <v>0</v>
      </c>
    </row>
    <row r="632">
      <c r="A632">
        <f>Skills!A26</f>
        <v/>
      </c>
      <c r="B632">
        <f>Skills!B26</f>
        <v/>
      </c>
      <c r="C632">
        <f>Inputs!$B$3&gt;=117</f>
        <v/>
      </c>
      <c r="D632">
        <f>IF(Skills!C26=1,60+Inputs!$B$26+Inputs!$B$30,IF(Skills!C26=2,90+Inputs!$B$27+Inputs!$B$30,IF(Skills!C26=3,120+Inputs!$B$28+Inputs!$B$30,MAX(0,(Inputs!$B$3-100)*3)+Inputs!$B$29+Inputs!$B$30)))</f>
        <v/>
      </c>
      <c r="E632">
        <f>INDEX(FactorTable!$B$2:$Y$301, MATCH(ROUND(MIN(300,MAX(1,D632)),0), FactorTable!$A$2:$A$301,0), Skills!L26+1)</f>
        <v/>
      </c>
      <c r="F632">
        <f>IF(Skills!M26=TRUE,(Skills!K26/10)*(E632/1000),Skills!K26/10)+Skills!N26</f>
        <v/>
      </c>
      <c r="G632">
        <f>Calc!G26</f>
        <v/>
      </c>
      <c r="H632">
        <f>Calc!H26</f>
        <v/>
      </c>
      <c r="I632">
        <f>IF(Skills!T26&lt;&gt;"",1+(Skills!T26/10)*($Z$3/1000)/100,1)</f>
        <v/>
      </c>
      <c r="J632" t="inlineStr"/>
      <c r="K632" t="inlineStr"/>
      <c r="L632" t="inlineStr"/>
      <c r="M632" t="inlineStr"/>
      <c r="N632" t="inlineStr"/>
      <c r="O632">
        <f>(1-Summary!$B$48)*S632+Summary!$B$48*U632</f>
        <v/>
      </c>
      <c r="P632">
        <f>IF(B648=0,0,O632/B648)</f>
        <v/>
      </c>
      <c r="Q632">
        <f>IFERROR(1/IF(Inputs!$B$39="pvp",15,MAX(0.1,Skills!D26-IF(Skills!E26=TRUE,Inputs!$B$33,0))),0)</f>
        <v/>
      </c>
      <c r="R632" t="n">
        <v>0</v>
      </c>
      <c r="S632" t="n">
        <v>0</v>
      </c>
      <c r="U632" t="n">
        <v>0</v>
      </c>
    </row>
    <row r="633">
      <c r="A633">
        <f>Skills!A27</f>
        <v/>
      </c>
      <c r="B633">
        <f>Skills!B27</f>
        <v/>
      </c>
      <c r="C633">
        <f>Inputs!$B$3&gt;=120</f>
        <v/>
      </c>
      <c r="D633">
        <f>IF(Skills!C27=1,60+Inputs!$B$26+Inputs!$B$30,IF(Skills!C27=2,90+Inputs!$B$27+Inputs!$B$30,IF(Skills!C27=3,120+Inputs!$B$28+Inputs!$B$30,MAX(0,(Inputs!$B$3-100)*3)+Inputs!$B$29+Inputs!$B$30)))</f>
        <v/>
      </c>
      <c r="E633">
        <f>INDEX(FactorTable!$B$2:$Y$301, MATCH(ROUND(MIN(300,MAX(1,D633)),0), FactorTable!$A$2:$A$301,0), Skills!L27+1)</f>
        <v/>
      </c>
      <c r="F633">
        <f>IF(Skills!M27=TRUE,(Skills!K27/10)*(E633/1000),Skills!K27/10)+Skills!N27</f>
        <v/>
      </c>
      <c r="G633">
        <f>Calc!G27</f>
        <v/>
      </c>
      <c r="H633">
        <f>Calc!H27</f>
        <v/>
      </c>
      <c r="I633">
        <f>IF(Skills!T27&lt;&gt;"",1+(Skills!T27/10)*($Z$3/1000)/100,1)</f>
        <v/>
      </c>
      <c r="J633" t="inlineStr"/>
      <c r="K633" t="inlineStr"/>
      <c r="L633" t="inlineStr"/>
      <c r="M633" t="inlineStr"/>
      <c r="N633" t="inlineStr"/>
      <c r="O633">
        <f>(1-Summary!$B$48)*S633+Summary!$B$48*U633</f>
        <v/>
      </c>
      <c r="P633">
        <f>IF(B648=0,0,O633/B648)</f>
        <v/>
      </c>
      <c r="Q633">
        <f>IFERROR(1/IF(Inputs!$B$39="pvp",15,MAX(0.1,Skills!D27-IF(Skills!E27=TRUE,Inputs!$B$33,0))),0)</f>
        <v/>
      </c>
      <c r="R633" t="n">
        <v>0</v>
      </c>
      <c r="S633" t="n">
        <v>0</v>
      </c>
      <c r="U633" t="n">
        <v>0</v>
      </c>
    </row>
    <row r="635">
      <c r="A635" t="inlineStr">
        <is>
          <t>Average Buff Multiplier</t>
        </is>
      </c>
      <c r="B635">
        <f>(1+(IF(C609=TRUE,F609*IF(AND(Inputs!$B$39&lt;&gt;"pvp",Inputs!$B$44&gt;0),(((R609-1)*(Skills!S3*(1+(Inputs!$B$35+IF(Inputs!$B$3&gt;=117,F632,0))/100))+MIN((Skills!S3*(1+(Inputs!$B$35+IF(Inputs!$B$3&gt;=117,F632,0))/100)),MAX(0,Inputs!$B$44-((R609-1)*Skills!D3))))/Inputs!$B$44),IF(Inputs!$B$39="pvp",MIN((Skills!S3*(1+(Inputs!$B$35+IF(Inputs!$B$3&gt;=117,F632,0))/100)),15)/15,(Skills!S3*(1+(Inputs!$B$35+IF(Inputs!$B$3&gt;=117,F632,0))/100))/Skills!D3)),0)+IF(C610=TRUE,F610*IF(AND(Inputs!$B$39&lt;&gt;"pvp",Inputs!$B$44&gt;0),(((R610-1)*(Skills!S4*(1+(Inputs!$B$35+IF(Inputs!$B$3&gt;=117,F632,0))/100))+MIN((Skills!S4*(1+(Inputs!$B$35+IF(Inputs!$B$3&gt;=117,F632,0))/100)),MAX(0,Inputs!$B$44-((R610-1)*Skills!D4))))/Inputs!$B$44),IF(Inputs!$B$39="pvp",MIN((Skills!S4*(1+(Inputs!$B$35+IF(Inputs!$B$3&gt;=117,F632,0))/100)),15)/15,(Skills!S4*(1+(Inputs!$B$35+IF(Inputs!$B$3&gt;=117,F632,0))/100))/Skills!D4)),0)+IF(C611=TRUE,F611*IF(AND(Inputs!$B$39&lt;&gt;"pvp",Inputs!$B$44&gt;0),(((R611-1)*(Skills!S5*(1+(Inputs!$B$35+IF(Inputs!$B$3&gt;=117,F632,0))/100))+MIN((Skills!S5*(1+(Inputs!$B$35+IF(Inputs!$B$3&gt;=117,F632,0))/100)),MAX(0,Inputs!$B$44-((R611-1)*Skills!D5))))/Inputs!$B$44),IF(Inputs!$B$39="pvp",MIN((Skills!S5*(1+(Inputs!$B$35+IF(Inputs!$B$3&gt;=117,F632,0))/100)),15)/15,(Skills!S5*(1+(Inputs!$B$35+IF(Inputs!$B$3&gt;=117,F632,0))/100))/Skills!D5)),0)+IF(C617=TRUE,F617*IF(AND(Inputs!$B$39&lt;&gt;"pvp",Inputs!$B$44&gt;0),(((R617-1)*(Skills!S11*(1+(Inputs!$B$35+IF(Inputs!$B$3&gt;=117,F632,0))/100))+MIN((Skills!S11*(1+(Inputs!$B$35+IF(Inputs!$B$3&gt;=117,F632,0))/100)),MAX(0,Inputs!$B$44-((R617-1)*Skills!D11))))/Inputs!$B$44),IF(Inputs!$B$39="pvp",MIN((Skills!S11*(1+(Inputs!$B$35+IF(Inputs!$B$3&gt;=117,F632,0))/100)),15)/15,(Skills!S11*(1+(Inputs!$B$35+IF(Inputs!$B$3&gt;=117,F632,0))/100))/Skills!D11)),0))/100)*IF(C620=TRUE,(1+F620*IF(AND(Inputs!$B$39&lt;&gt;"pvp",Inputs!$B$44&gt;0),(((R620-1)*(Skills!S14*(1+(Inputs!$B$35+IF(Inputs!$B$3&gt;=117,F632,0))/100))+MIN((Skills!S14*(1+(Inputs!$B$35+IF(Inputs!$B$3&gt;=117,F632,0))/100)),MAX(0,Inputs!$B$44-((R620-1)*Skills!D14))))/Inputs!$B$44),IF(Inputs!$B$39="pvp",MIN((Skills!S14*(1+(Inputs!$B$35+IF(Inputs!$B$3&gt;=117,F632,0))/100)),15)/15,(Skills!S14*(1+(Inputs!$B$35+IF(Inputs!$B$3&gt;=117,F632,0))/100))/Skills!D14))/100),1)*IF(C625=TRUE,(1+F625*IF(AND(Inputs!$B$39&lt;&gt;"pvp",Inputs!$B$44&gt;0),(((R625-1)*(Skills!S19*(1+(Inputs!$B$35+IF(Inputs!$B$3&gt;=117,F632,0))/100))+MIN((Skills!S19*(1+(Inputs!$B$35+IF(Inputs!$B$3&gt;=117,F632,0))/100)),MAX(0,Inputs!$B$44-((R625-1)*Skills!D19))))/Inputs!$B$44),IF(Inputs!$B$39="pvp",MIN((Skills!S19*(1+(Inputs!$B$35+IF(Inputs!$B$3&gt;=117,F632,0))/100)),15)/15,(Skills!S19*(1+(Inputs!$B$35+IF(Inputs!$B$3&gt;=117,F632,0))/100))/Skills!D19))/100),1)</f>
        <v/>
      </c>
    </row>
    <row r="636">
      <c r="A636" t="inlineStr">
        <is>
          <t>Monster Damage Taken Bonus % (Holy Fountain)</t>
        </is>
      </c>
      <c r="B636">
        <f>IF(Inputs!$B$3&gt;=68,20*IF(Inputs!$B$39="pvp",MIN((15*(1+(Inputs!$B$35+IF(Inputs!$B$3&gt;=117,F632,0))/100)),15)/15,(15*(1+(Inputs!$B$35+IF(Inputs!$B$3&gt;=117,F632,0))/100))/Skills!D10),0)</f>
        <v/>
      </c>
    </row>
    <row r="637">
      <c r="A637" t="inlineStr">
        <is>
          <t>Normal Monster Damage Bonus % (Holy Symbol)</t>
        </is>
      </c>
      <c r="B637">
        <f>IF(C618=TRUE,F618*IF(AND(Inputs!$B$39&lt;&gt;"pvp",Inputs!$B$44&gt;0),(((R618-1)*(Skills!S12*(1+(Inputs!$B$35+IF(Inputs!$B$3&gt;=117,F632,0))/100))+MIN((Skills!S12*(1+(Inputs!$B$35+IF(Inputs!$B$3&gt;=117,F632,0))/100)),MAX(0,Inputs!$B$44-((R618-1)*Skills!D12))))/Inputs!$B$44),IF(Inputs!$B$39="pvp",MIN((Skills!S12*(1+(Inputs!$B$35+IF(Inputs!$B$3&gt;=117,F632,0))/100)),15)/15,(Skills!S12*(1+(Inputs!$B$35+IF(Inputs!$B$3&gt;=117,F632,0))/100))/Skills!D12)),0)</f>
        <v/>
      </c>
    </row>
    <row r="638">
      <c r="A638" t="inlineStr">
        <is>
          <t>Damage % Bonus (Holy Symbol - Damage Boost)</t>
        </is>
      </c>
      <c r="B638">
        <f>Skills!O12</f>
        <v/>
      </c>
    </row>
    <row r="639">
      <c r="A639" t="inlineStr">
        <is>
          <t>Crit Damage % Bonus (Blood of the Divine)</t>
        </is>
      </c>
      <c r="B639">
        <f>4*IF(C626=TRUE,F626,0)</f>
        <v/>
      </c>
    </row>
    <row r="640">
      <c r="A640" t="inlineStr">
        <is>
          <t>Attack Speed Bonus %</t>
        </is>
      </c>
      <c r="B640">
        <f>IF(C623=TRUE,F623+(F627-Calc!F21),0)+IF(Inputs!$B$3&gt;=134,15,0)</f>
        <v/>
      </c>
    </row>
    <row r="641">
      <c r="A641" t="inlineStr">
        <is>
          <t>Actions Per Second</t>
        </is>
      </c>
      <c r="B641">
        <f>1+MIN(150,150*(1-(1-((1-(1-Inputs!$B$12/150)*(1-1/150))*150)/150)*(1-B640/150)))/100</f>
        <v/>
      </c>
    </row>
    <row r="642">
      <c r="A642" t="inlineStr">
        <is>
          <t>Skill + Buff Cast Rate</t>
        </is>
      </c>
      <c r="B642">
        <f>IF(AND(Inputs!$B$39&lt;&gt;"pvp",Inputs!$B$44&gt;0),SUMPRODUCT((Skills!E2:E27=TRUE)*(C608:C633=TRUE)*R608:R633)/Inputs!$B$44,SUMPRODUCT((Skills!E2:E27=TRUE)*(C608:C633=TRUE)*Q608:Q633))</f>
        <v/>
      </c>
    </row>
    <row r="643">
      <c r="A643" t="inlineStr">
        <is>
          <t>Big Bang Casts Per Second</t>
        </is>
      </c>
      <c r="B643">
        <f>MAX(0,B641-B642)</f>
        <v/>
      </c>
    </row>
    <row r="644">
      <c r="A644" t="inlineStr">
        <is>
          <t>Defense % Bonus (Divine Protection)</t>
        </is>
      </c>
      <c r="B644">
        <f>IF(C619=TRUE,F619*IF(AND(Inputs!$B$39&lt;&gt;"pvp",Inputs!$B$44&gt;0),(((R619-1)*(Skills!S13*(1+(Inputs!$B$35+IF(Inputs!$B$3&gt;=117,F632,0))/100))+MIN((Skills!S13*(1+(Inputs!$B$35+IF(Inputs!$B$3&gt;=117,F632,0))/100)),MAX(0,Inputs!$B$44-((R619-1)*Skills!D13))))/Inputs!$B$44),IF(Inputs!$B$39="pvp",MIN((Skills!S13*(1+(Inputs!$B$35+IF(Inputs!$B$3&gt;=117,F632,0))/100)),15)/15,(Skills!S13*(1+(Inputs!$B$35+IF(Inputs!$B$3&gt;=117,F632,0))/100))/Skills!D13)),0)</f>
        <v/>
      </c>
    </row>
    <row r="645">
      <c r="A645" t="inlineStr">
        <is>
          <t>Buff-Casting Startup Delay (s, fixed-duration only)</t>
        </is>
      </c>
      <c r="B645">
        <f>IF(AND(Inputs!$B$39&lt;&gt;"pvp",Inputs!$B$44&gt;0),SUMPRODUCT((Skills!S2:S27&gt;0)*(Skills!E2:E27=TRUE)*(C608:C633=TRUE))/B641,0)</f>
        <v/>
      </c>
    </row>
    <row r="646">
      <c r="A646" t="inlineStr">
        <is>
          <t>Boss-Only Total DPS (this block's swept value)</t>
        </is>
      </c>
      <c r="B646">
        <f>SUM(S608:S633)</f>
        <v/>
      </c>
    </row>
    <row r="647">
      <c r="A647" t="inlineStr">
        <is>
          <t>Normal-Only Total DPS (this block's swept value)</t>
        </is>
      </c>
      <c r="B647">
        <f>SUM(U608:U633)</f>
        <v/>
      </c>
    </row>
    <row r="648">
      <c r="A648" s="5" t="inlineStr">
        <is>
          <t>TOTAL DPS</t>
        </is>
      </c>
      <c r="B648" s="5">
        <f>SUM(O608:O633)</f>
        <v/>
      </c>
    </row>
    <row r="650">
      <c r="A650" s="5" t="inlineStr">
        <is>
          <t>Stat: DEF_PEN % (diminishing returns, factor 100)</t>
        </is>
      </c>
    </row>
    <row r="651">
      <c r="A651" s="9" t="inlineStr">
        <is>
          <t>Key</t>
        </is>
      </c>
      <c r="B651" s="9" t="inlineStr">
        <is>
          <t>Name</t>
        </is>
      </c>
      <c r="C651" s="9" t="inlineStr">
        <is>
          <t>Unlocked</t>
        </is>
      </c>
      <c r="D651" s="9" t="inlineStr">
        <is>
          <t>InputLevel</t>
        </is>
      </c>
      <c r="E651" s="9" t="inlineStr">
        <is>
          <t>Factor</t>
        </is>
      </c>
      <c r="F651" s="9" t="inlineStr">
        <is>
          <t>CoefficientPercent</t>
        </is>
      </c>
      <c r="G651" s="9" t="inlineStr">
        <is>
          <t>EffectiveHits</t>
        </is>
      </c>
      <c r="H651" s="9" t="inlineStr">
        <is>
          <t>ProcProbability</t>
        </is>
      </c>
      <c r="I651" s="9" t="inlineStr">
        <is>
          <t>MapleHeroMultiplier</t>
        </is>
      </c>
      <c r="J651" s="9" t="inlineStr">
        <is>
          <t>BaseDamage</t>
        </is>
      </c>
      <c r="K651" s="9" t="inlineStr">
        <is>
          <t>BaseHitDamage</t>
        </is>
      </c>
      <c r="L651" s="9" t="inlineStr">
        <is>
          <t>NonCritAvg</t>
        </is>
      </c>
      <c r="M651" s="9" t="inlineStr">
        <is>
          <t>CritAvg</t>
        </is>
      </c>
      <c r="N651" s="9" t="inlineStr">
        <is>
          <t>ExpectedDamage(perHit)</t>
        </is>
      </c>
      <c r="O651" s="9" t="inlineStr">
        <is>
          <t>DPS</t>
        </is>
      </c>
      <c r="P651" s="9" t="inlineStr">
        <is>
          <t>% of Total</t>
        </is>
      </c>
      <c r="R651" t="inlineStr">
        <is>
          <t>helpers</t>
        </is>
      </c>
    </row>
    <row r="652">
      <c r="A652">
        <f>Skills!A2</f>
        <v/>
      </c>
      <c r="B652">
        <f>Skills!B2</f>
        <v/>
      </c>
      <c r="C652">
        <f>Inputs!$B$3&gt;=100</f>
        <v/>
      </c>
      <c r="D652" t="inlineStr"/>
      <c r="E652" t="inlineStr"/>
      <c r="F652">
        <f>T654+Skills!N2</f>
        <v/>
      </c>
      <c r="G652">
        <f>Calc!G2</f>
        <v/>
      </c>
      <c r="H652">
        <f>Calc!H2</f>
        <v/>
      </c>
      <c r="I652">
        <f>IF(Skills!T2&lt;&gt;"",1+(Skills!T2/10)*($Z$3/1000)/100,1)</f>
        <v/>
      </c>
      <c r="J652">
        <f>((Inputs!$B$6*(1+Inputs!$B$7/100))+(((Inputs!$B$13*(1+Inputs!$B$14/100))-(Inputs!$B$13*(1+Inputs!$B$14/100)))+0.25*(Inputs!$B$15-Inputs!$B$15))*(1+Inputs!$B$7/100))*(F652/100)</f>
        <v/>
      </c>
      <c r="K652">
        <f>J652*(1+(((Inputs!$B$13+IF(Inputs!$B$3&gt;=35,(10*INDEX(FactorTable!$B$2:$Y$301, MATCH(ROUND(MIN(300,MAX(1,Inputs!$B$3)),0), FactorTable!$A$2:$A$301,0), 23)/1000)/100*(Inputs!$B$8*(1+(Inputs!$B$9+B688)/100)),0))*(1+Inputs!$B$14/100))*0.01+Inputs!$B$15*0.0025)/100)*(1+(Inputs!$B$16+B682)/100)*(1+Inputs!$B$17/100)*(5000/(6000+Inputs!$B$43*(1-((1-(1-Inputs!$B$20/100)*(1-1/100))*100)/100)))*(1+Inputs!$B$25/100)*(1+IF(C668=TRUE,F668,0)/100)*(1+IF(C670=TRUE,F670,0)/100)*(1+IF(Skills!A2="TRIUMPH_FEATHER",IF(C666=TRUE,F666,0),0)/100)*(1+IF(C677=TRUE,F677,0)/100)^5*(1+(IF(Skills!A2="BIG_BANG",Inputs!$B$18,Inputs!$B$19))/100)*(B679*I652)</f>
        <v/>
      </c>
      <c r="L652">
        <f>K652*(MIN(Inputs!$B$23+(F672-Calc!F22),Inputs!$B$24)/100+Inputs!$B$24/100)/2</f>
        <v/>
      </c>
      <c r="M652">
        <f>L652*(1+(Inputs!$B$11+B683+(F675-Calc!F25))/100)</f>
        <v/>
      </c>
      <c r="N652">
        <f>L652*(1-MIN(Inputs!$B$10+((F674-Calc!F24)+(F673-Calc!F23)),100)/100)+M652*(MIN(Inputs!$B$10+((F674-Calc!F24)+(F673-Calc!F23)),100)/100)</f>
        <v/>
      </c>
      <c r="O652">
        <f>(1-Summary!$B$48)*S652+Summary!$B$48*U652</f>
        <v/>
      </c>
      <c r="P652">
        <f>IF(B692=0,0,O652/B692)</f>
        <v/>
      </c>
      <c r="Q652">
        <f>IFERROR(1/IF(Inputs!$B$39="pvp",15,MAX(0.1,Skills!D2-IF(Skills!E2=TRUE,Inputs!$B$33,0))),0)</f>
        <v/>
      </c>
      <c r="R652" t="n">
        <v>0</v>
      </c>
      <c r="S652">
        <f>IF(C652,(Skills!F2*N652*B687)*IF(Inputs!$B$39="pvp",1,1+(Inputs!$B$21+Skills!O2+B680)/100),0)</f>
        <v/>
      </c>
      <c r="T652">
        <f>MAX(0,(Inputs!$B$3-100)*3)+Inputs!$B$29+Inputs!$B$30</f>
        <v/>
      </c>
      <c r="U652">
        <f>IF(C652,(Skills!F2*N652*B687)*IF(Inputs!$B$39="pvp",1,(1+(Inputs!$B$22+Skills!P2+B681)/100)*(MIN((6+Inputs!$B$34),Inputs!$B$38))),0)</f>
        <v/>
      </c>
    </row>
    <row r="653">
      <c r="A653">
        <f>Skills!A3</f>
        <v/>
      </c>
      <c r="B653">
        <f>Skills!B3</f>
        <v/>
      </c>
      <c r="C653">
        <f>Inputs!$B$3&gt;=15</f>
        <v/>
      </c>
      <c r="D653">
        <f>IF(Skills!C3=1,60+Inputs!$B$26+Inputs!$B$30,IF(Skills!C3=2,90+Inputs!$B$27+Inputs!$B$30,IF(Skills!C3=3,120+Inputs!$B$28+Inputs!$B$30,MAX(0,(Inputs!$B$3-100)*3)+Inputs!$B$29+Inputs!$B$30)))</f>
        <v/>
      </c>
      <c r="E653">
        <f>INDEX(FactorTable!$B$2:$Y$301, MATCH(ROUND(MIN(300,MAX(1,D653)),0), FactorTable!$A$2:$A$301,0), Skills!L3+1)</f>
        <v/>
      </c>
      <c r="F653">
        <f>IF(Skills!M3=TRUE,(Skills!K3/10)*(E653/1000),Skills!K3/10)+Skills!N3</f>
        <v/>
      </c>
      <c r="G653">
        <f>Calc!G3</f>
        <v/>
      </c>
      <c r="H653">
        <f>Calc!H3</f>
        <v/>
      </c>
      <c r="I653">
        <f>IF(Skills!T3&lt;&gt;"",1+(Skills!T3/10)*($Z$3/1000)/100,1)</f>
        <v/>
      </c>
      <c r="J653" t="inlineStr"/>
      <c r="K653" t="inlineStr"/>
      <c r="L653" t="inlineStr"/>
      <c r="M653" t="inlineStr"/>
      <c r="N653" t="inlineStr"/>
      <c r="O653">
        <f>(1-Summary!$B$48)*S653+Summary!$B$48*U653</f>
        <v/>
      </c>
      <c r="P653">
        <f>IF(B692=0,0,O653/B692)</f>
        <v/>
      </c>
      <c r="Q653">
        <f>IFERROR(1/IF(Inputs!$B$39="pvp",15,MAX(0.1,Skills!D3-IF(Skills!E3=TRUE,Inputs!$B$33,0))),0)</f>
        <v/>
      </c>
      <c r="R653">
        <f>IF(AND(Inputs!$B$39&lt;&gt;"pvp",Inputs!$B$44&gt;0),IF(Inputs!$B$44&lt;=0,0,(INT(Inputs!$B$44/IF(Inputs!$B$39="pvp",15,MAX(0.1,Skills!D3-IF(Skills!E3=TRUE,Inputs!$B$33,0))))+1)),0)</f>
        <v/>
      </c>
      <c r="S653" t="n">
        <v>0</v>
      </c>
      <c r="T653">
        <f>INDEX(FactorTable!$B$2:$Y$301, MATCH(ROUND(MIN(300,MAX(1,T652)),0), FactorTable!$A$2:$A$301,0), 22)</f>
        <v/>
      </c>
      <c r="U653" t="n">
        <v>0</v>
      </c>
    </row>
    <row r="654">
      <c r="A654">
        <f>Skills!A4</f>
        <v/>
      </c>
      <c r="B654">
        <f>Skills!B4</f>
        <v/>
      </c>
      <c r="C654">
        <f>Inputs!$B$3&gt;=38</f>
        <v/>
      </c>
      <c r="D654">
        <f>IF(Skills!C4=1,60+Inputs!$B$26+Inputs!$B$30,IF(Skills!C4=2,90+Inputs!$B$27+Inputs!$B$30,IF(Skills!C4=3,120+Inputs!$B$28+Inputs!$B$30,MAX(0,(Inputs!$B$3-100)*3)+Inputs!$B$29+Inputs!$B$30)))</f>
        <v/>
      </c>
      <c r="E654">
        <f>INDEX(FactorTable!$B$2:$Y$301, MATCH(ROUND(MIN(300,MAX(1,D654)),0), FactorTable!$A$2:$A$301,0), Skills!L4+1)</f>
        <v/>
      </c>
      <c r="F654">
        <f>IF(Skills!M4=TRUE,(Skills!K4/10)*(E654/1000),Skills!K4/10)+Skills!N4</f>
        <v/>
      </c>
      <c r="G654">
        <f>Calc!G4</f>
        <v/>
      </c>
      <c r="H654">
        <f>Calc!H4</f>
        <v/>
      </c>
      <c r="I654">
        <f>IF(Skills!T4&lt;&gt;"",1+(Skills!T4/10)*($Z$3/1000)/100,1)</f>
        <v/>
      </c>
      <c r="J654" t="inlineStr"/>
      <c r="K654" t="inlineStr"/>
      <c r="L654" t="inlineStr"/>
      <c r="M654" t="inlineStr"/>
      <c r="N654" t="inlineStr"/>
      <c r="O654">
        <f>(1-Summary!$B$48)*S654+Summary!$B$48*U654</f>
        <v/>
      </c>
      <c r="P654">
        <f>IF(B692=0,0,O654/B692)</f>
        <v/>
      </c>
      <c r="Q654">
        <f>IFERROR(1/IF(Inputs!$B$39="pvp",15,MAX(0.1,Skills!D4-IF(Skills!E4=TRUE,Inputs!$B$33,0))),0)</f>
        <v/>
      </c>
      <c r="R654">
        <f>IF(AND(Inputs!$B$39&lt;&gt;"pvp",Inputs!$B$44&gt;0),IF(Inputs!$B$44&lt;=0,0,(INT(Inputs!$B$44/IF(Inputs!$B$39="pvp",15,MAX(0.1,Skills!D4-IF(Skills!E4=TRUE,Inputs!$B$33,0))))+1)),0)</f>
        <v/>
      </c>
      <c r="S654" t="n">
        <v>0</v>
      </c>
      <c r="T654">
        <f>290*T653/1000</f>
        <v/>
      </c>
      <c r="U654" t="n">
        <v>0</v>
      </c>
    </row>
    <row r="655">
      <c r="A655">
        <f>Skills!A5</f>
        <v/>
      </c>
      <c r="B655">
        <f>Skills!B5</f>
        <v/>
      </c>
      <c r="C655">
        <f>Inputs!$B$3&gt;=40</f>
        <v/>
      </c>
      <c r="D655">
        <f>IF(Skills!C5=1,60+Inputs!$B$26+Inputs!$B$30,IF(Skills!C5=2,90+Inputs!$B$27+Inputs!$B$30,IF(Skills!C5=3,120+Inputs!$B$28+Inputs!$B$30,MAX(0,(Inputs!$B$3-100)*3)+Inputs!$B$29+Inputs!$B$30)))</f>
        <v/>
      </c>
      <c r="E655">
        <f>INDEX(FactorTable!$B$2:$Y$301, MATCH(ROUND(MIN(300,MAX(1,D655)),0), FactorTable!$A$2:$A$301,0), Skills!L5+1)</f>
        <v/>
      </c>
      <c r="F655">
        <f>IF(Skills!M5=TRUE,(Skills!K5/10)*(E655/1000),Skills!K5/10)+Skills!N5</f>
        <v/>
      </c>
      <c r="G655">
        <f>Calc!G5</f>
        <v/>
      </c>
      <c r="H655">
        <f>Calc!H5</f>
        <v/>
      </c>
      <c r="I655">
        <f>IF(Skills!T5&lt;&gt;"",1+(Skills!T5/10)*($Z$3/1000)/100,1)</f>
        <v/>
      </c>
      <c r="J655" t="inlineStr"/>
      <c r="K655" t="inlineStr"/>
      <c r="L655" t="inlineStr"/>
      <c r="M655" t="inlineStr"/>
      <c r="N655" t="inlineStr"/>
      <c r="O655">
        <f>(1-Summary!$B$48)*S655+Summary!$B$48*U655</f>
        <v/>
      </c>
      <c r="P655">
        <f>IF(B692=0,0,O655/B692)</f>
        <v/>
      </c>
      <c r="Q655">
        <f>IFERROR(1/IF(Inputs!$B$39="pvp",15,MAX(0.1,Skills!D5-IF(Skills!E5=TRUE,Inputs!$B$33,0))),0)</f>
        <v/>
      </c>
      <c r="R655">
        <f>IF(AND(Inputs!$B$39&lt;&gt;"pvp",Inputs!$B$44&gt;0),IF(Inputs!$B$44&lt;=0,0,(INT(Inputs!$B$44/IF(Inputs!$B$39="pvp",15,MAX(0.1,Skills!D5-IF(Skills!E5=TRUE,Inputs!$B$33,0))))+1)),0)</f>
        <v/>
      </c>
      <c r="S655" t="n">
        <v>0</v>
      </c>
      <c r="U655" t="n">
        <v>0</v>
      </c>
    </row>
    <row r="656">
      <c r="A656">
        <f>Skills!A6</f>
        <v/>
      </c>
      <c r="B656">
        <f>Skills!B6</f>
        <v/>
      </c>
      <c r="C656">
        <f>Inputs!$B$3&gt;=103</f>
        <v/>
      </c>
      <c r="D656">
        <f>IF(Skills!C6=1,60+Inputs!$B$26+Inputs!$B$30,IF(Skills!C6=2,90+Inputs!$B$27+Inputs!$B$30,IF(Skills!C6=3,120+Inputs!$B$28+Inputs!$B$30,MAX(0,(Inputs!$B$3-100)*3)+Inputs!$B$29+Inputs!$B$30)))</f>
        <v/>
      </c>
      <c r="E656">
        <f>INDEX(FactorTable!$B$2:$Y$301, MATCH(ROUND(MIN(300,MAX(1,D656)),0), FactorTable!$A$2:$A$301,0), Skills!L6+1)</f>
        <v/>
      </c>
      <c r="F656">
        <f>IF(Skills!M6=TRUE,(Skills!K6/10)*(E656/1000),Skills!K6/10)+Skills!N6</f>
        <v/>
      </c>
      <c r="G656">
        <f>Calc!G6</f>
        <v/>
      </c>
      <c r="H656">
        <f>Calc!H6</f>
        <v/>
      </c>
      <c r="I656">
        <f>IF(Skills!T6&lt;&gt;"",1+(Skills!T6/10)*($Z$3/1000)/100,1)</f>
        <v/>
      </c>
      <c r="J656">
        <f>((Inputs!$B$6*(1+Inputs!$B$7/100))+(((Inputs!$B$13*(1+Inputs!$B$14/100))-(Inputs!$B$13*(1+Inputs!$B$14/100)))+0.25*(Inputs!$B$15-Inputs!$B$15))*(1+Inputs!$B$7/100))*(F656/100)</f>
        <v/>
      </c>
      <c r="K656">
        <f>J656*(1+(((Inputs!$B$13+IF(Inputs!$B$3&gt;=35,(10*INDEX(FactorTable!$B$2:$Y$301, MATCH(ROUND(MIN(300,MAX(1,Inputs!$B$3)),0), FactorTable!$A$2:$A$301,0), 23)/1000)/100*(Inputs!$B$8*(1+(Inputs!$B$9+B688)/100)),0))*(1+Inputs!$B$14/100))*0.01+Inputs!$B$15*0.0025)/100)*(1+(Inputs!$B$16+B682)/100)*(1+Inputs!$B$17/100)*(5000/(6000+Inputs!$B$43*(1-((1-(1-Inputs!$B$20/100)*(1-1/100))*100)/100)))*(1+Inputs!$B$25/100)*(1+IF(C668=TRUE,F668,0)/100)*(1+IF(C670=TRUE,F670,0)/100)*(1+IF(Skills!A6="TRIUMPH_FEATHER",IF(C666=TRUE,F666,0),0)/100)*(1+IF(C677=TRUE,F677,0)/100)^5*(1+(IF(Skills!A6="BIG_BANG",Inputs!$B$18,Inputs!$B$19))/100)*(B679*I656)</f>
        <v/>
      </c>
      <c r="L656">
        <f>K656*(MIN(Inputs!$B$23+(F672-Calc!F22),Inputs!$B$24)/100+Inputs!$B$24/100)/2</f>
        <v/>
      </c>
      <c r="M656">
        <f>L656*(1+(Inputs!$B$11+B683+(F675-Calc!F25))/100)</f>
        <v/>
      </c>
      <c r="N656">
        <f>L656*(1-MIN(Inputs!$B$10+((F674-Calc!F24)+(F673-Calc!F23)),100)/100)+M656*(MIN(Inputs!$B$10+((F674-Calc!F24)+(F673-Calc!F23)),100)/100)</f>
        <v/>
      </c>
      <c r="O656">
        <f>(1-Summary!$B$48)*S656+Summary!$B$48*U656</f>
        <v/>
      </c>
      <c r="P656">
        <f>IF(B692=0,0,O656/B692)</f>
        <v/>
      </c>
      <c r="Q656">
        <f>IFERROR(1/IF(Inputs!$B$39="pvp",15,MAX(0.1,Skills!D6-IF(Skills!E6=TRUE,Inputs!$B$33,0))),0)</f>
        <v/>
      </c>
      <c r="R656">
        <f>IF(AND(Inputs!$B$39&lt;&gt;"pvp",Inputs!$B$44&gt;0),IF(MAX(0,Inputs!$B$44-B689)&lt;=0,0,(INT(MAX(0,Inputs!$B$44-B689)/IF(Inputs!$B$39="pvp",15,MAX(0.1,Skills!D6-IF(Skills!E6=TRUE,Inputs!$B$33,0))))+1)),0)</f>
        <v/>
      </c>
      <c r="S656">
        <f>IF(C656,(H656*N656*IF(AND(Inputs!$B$39&lt;&gt;"pvp",Inputs!$B$44&gt;0),((Skills!F6*((R656-1)*IF(Skills!G6&gt;0,Skills!H6/Skills!G6,1)+IF(Skills!G6&gt;0,MIN(Skills!H6,MAX(0,MAX(0,Inputs!$B$44-B689)-((R656-1)*IF(Inputs!$B$39="pvp",15,MAX(0.1,Skills!D6-IF(Skills!E6=TRUE,Inputs!$B$33,0))))))/Skills!G6,1)))/Inputs!$B$44),G656*Q656))*IF(Inputs!$B$39="pvp",1,1+(Inputs!$B$21+Skills!O6+B680)/100),0)</f>
        <v/>
      </c>
      <c r="U656">
        <f>IF(C656,(H656*N656*IF(AND(Inputs!$B$39&lt;&gt;"pvp",Inputs!$B$44&gt;0),((Skills!F6*((R656-1)*IF(Skills!G6&gt;0,Skills!H6/Skills!G6,1)+IF(Skills!G6&gt;0,MIN(Skills!H6,MAX(0,MAX(0,Inputs!$B$44-B689)-((R656-1)*IF(Inputs!$B$39="pvp",15,MAX(0.1,Skills!D6-IF(Skills!E6=TRUE,Inputs!$B$33,0))))))/Skills!G6,1)))/Inputs!$B$44),G656*Q656))*IF(Inputs!$B$39="pvp",1,(1+(Inputs!$B$22+Skills!P6+B681)/100)*(MIN(Skills!Q6,Inputs!$B$38))),0)</f>
        <v/>
      </c>
    </row>
    <row r="657">
      <c r="A657">
        <f>Skills!A7</f>
        <v/>
      </c>
      <c r="B657">
        <f>Skills!B7</f>
        <v/>
      </c>
      <c r="C657">
        <f>Inputs!$B$3&gt;=122</f>
        <v/>
      </c>
      <c r="D657">
        <f>IF(Skills!C7=1,60+Inputs!$B$26+Inputs!$B$30,IF(Skills!C7=2,90+Inputs!$B$27+Inputs!$B$30,IF(Skills!C7=3,120+Inputs!$B$28+Inputs!$B$30,MAX(0,(Inputs!$B$3-100)*3)+Inputs!$B$29+Inputs!$B$30)))</f>
        <v/>
      </c>
      <c r="E657">
        <f>INDEX(FactorTable!$B$2:$Y$301, MATCH(ROUND(MIN(300,MAX(1,D657)),0), FactorTable!$A$2:$A$301,0), Skills!L7+1)</f>
        <v/>
      </c>
      <c r="F657">
        <f>IF(Skills!M7=TRUE,(Skills!K7/10)*(E657/1000),Skills!K7/10)+Skills!N7</f>
        <v/>
      </c>
      <c r="G657">
        <f>Calc!G7</f>
        <v/>
      </c>
      <c r="H657">
        <f>Calc!H7</f>
        <v/>
      </c>
      <c r="I657">
        <f>IF(Skills!T7&lt;&gt;"",1+(Skills!T7/10)*($Z$3/1000)/100,1)</f>
        <v/>
      </c>
      <c r="J657">
        <f>((Inputs!$B$6*(1+Inputs!$B$7/100))+(((Inputs!$B$13*(1+Inputs!$B$14/100))-(Inputs!$B$13*(1+Inputs!$B$14/100)))+0.25*(Inputs!$B$15-Inputs!$B$15))*(1+Inputs!$B$7/100))*(F657/100)</f>
        <v/>
      </c>
      <c r="K657">
        <f>J657*(1+(((Inputs!$B$13+IF(Inputs!$B$3&gt;=35,(10*INDEX(FactorTable!$B$2:$Y$301, MATCH(ROUND(MIN(300,MAX(1,Inputs!$B$3)),0), FactorTable!$A$2:$A$301,0), 23)/1000)/100*(Inputs!$B$8*(1+(Inputs!$B$9+B688)/100)),0))*(1+Inputs!$B$14/100))*0.01+Inputs!$B$15*0.0025)/100)*(1+(Inputs!$B$16+B682)/100)*(1+Inputs!$B$17/100)*(5000/(6000+Inputs!$B$43*(1-((1-(1-Inputs!$B$20/100)*(1-1/100))*100)/100)))*(1+Inputs!$B$25/100)*(1+IF(C668=TRUE,F668,0)/100)*(1+IF(C670=TRUE,F670,0)/100)*(1+IF(Skills!A7="TRIUMPH_FEATHER",IF(C666=TRUE,F666,0),0)/100)*(1+IF(C677=TRUE,F677,0)/100)^5*(1+(IF(Skills!A7="BIG_BANG",Inputs!$B$18,Inputs!$B$19))/100)*(B679*I657)</f>
        <v/>
      </c>
      <c r="L657">
        <f>K657*(MIN(Inputs!$B$23+(F672-Calc!F22),Inputs!$B$24)/100+Inputs!$B$24/100)/2</f>
        <v/>
      </c>
      <c r="M657">
        <f>L657*(1+(Inputs!$B$11+B683+(F675-Calc!F25))/100)</f>
        <v/>
      </c>
      <c r="N657">
        <f>L657*(1-MIN(Inputs!$B$10+((F674-Calc!F24)+(F673-Calc!F23)),100)/100)+M657*(MIN(Inputs!$B$10+((F674-Calc!F24)+(F673-Calc!F23)),100)/100)</f>
        <v/>
      </c>
      <c r="O657">
        <f>(1-Summary!$B$48)*S657+Summary!$B$48*U657</f>
        <v/>
      </c>
      <c r="P657">
        <f>IF(B692=0,0,O657/B692)</f>
        <v/>
      </c>
      <c r="Q657">
        <f>IFERROR(1/IF(Inputs!$B$39="pvp",15,MAX(0.1,Skills!D7-IF(Skills!E6=TRUE,Inputs!$B$33,0))),0)</f>
        <v/>
      </c>
      <c r="R657">
        <f>IF(AND(Inputs!$B$39&lt;&gt;"pvp",Inputs!$B$44&gt;0),IF(MAX(0,Inputs!$B$44-B689)&lt;=0,0,(INT(MAX(0,Inputs!$B$44-B689)/IF(Inputs!$B$39="pvp",15,MAX(0.1,Skills!D7-IF(Skills!E6=TRUE,Inputs!$B$33,0))))+1)),0)</f>
        <v/>
      </c>
      <c r="S657">
        <f>IF(C657,H657*N657*IF(AND(Inputs!$B$39&lt;&gt;"pvp",Inputs!$B$44&gt;0),((Skills!F7*((R657-1)*IF(Skills!G7&gt;0,Skills!H7/Skills!G7,1)+IF(Skills!G7&gt;0,MIN(Skills!H7,MAX(0,MAX(0,Inputs!$B$44-B689)-((R657-1)*IF(Inputs!$B$39="pvp",15,MAX(0.1,Skills!D7-IF(Skills!E6=TRUE,Inputs!$B$33,0))))))/Skills!G7,1)))/Inputs!$B$44),G657*Q657)*IF(Inputs!$B$39="pvp",1,1+(Inputs!$B$21+Skills!O7+B680)/100),0)</f>
        <v/>
      </c>
      <c r="U657" t="n">
        <v>0</v>
      </c>
    </row>
    <row r="658">
      <c r="A658">
        <f>Skills!A8</f>
        <v/>
      </c>
      <c r="B658">
        <f>Skills!B8</f>
        <v/>
      </c>
      <c r="C658">
        <f>Inputs!$B$3&gt;=105</f>
        <v/>
      </c>
      <c r="D658">
        <f>IF(Skills!C8=1,60+Inputs!$B$26+Inputs!$B$30,IF(Skills!C8=2,90+Inputs!$B$27+Inputs!$B$30,IF(Skills!C8=3,120+Inputs!$B$28+Inputs!$B$30,MAX(0,(Inputs!$B$3-100)*3)+Inputs!$B$29+Inputs!$B$30)))</f>
        <v/>
      </c>
      <c r="E658">
        <f>INDEX(FactorTable!$B$2:$Y$301, MATCH(ROUND(MIN(300,MAX(1,D658)),0), FactorTable!$A$2:$A$301,0), Skills!L8+1)</f>
        <v/>
      </c>
      <c r="F658">
        <f>IF(Skills!M8=TRUE,(Skills!K8/10)*(E658/1000),Skills!K8/10)+Skills!N8</f>
        <v/>
      </c>
      <c r="G658">
        <f>Calc!G8</f>
        <v/>
      </c>
      <c r="H658">
        <f>Calc!H8</f>
        <v/>
      </c>
      <c r="I658">
        <f>IF(Skills!T8&lt;&gt;"",1+(Skills!T8/10)*($Z$3/1000)/100,1)</f>
        <v/>
      </c>
      <c r="J658">
        <f>((Inputs!$B$6*(1+Inputs!$B$7/100))+(((Inputs!$B$13*(1+Inputs!$B$14/100))-(Inputs!$B$13*(1+Inputs!$B$14/100)))+0.25*(Inputs!$B$15-Inputs!$B$15))*(1+Inputs!$B$7/100))*(F658/100)</f>
        <v/>
      </c>
      <c r="K658">
        <f>J658*(1+(((Inputs!$B$13+IF(Inputs!$B$3&gt;=35,(10*INDEX(FactorTable!$B$2:$Y$301, MATCH(ROUND(MIN(300,MAX(1,Inputs!$B$3)),0), FactorTable!$A$2:$A$301,0), 23)/1000)/100*(Inputs!$B$8*(1+(Inputs!$B$9+B688)/100)),0))*(1+Inputs!$B$14/100))*0.01+Inputs!$B$15*0.0025)/100)*(1+(Inputs!$B$16+B682)/100)*(1+Inputs!$B$17/100)*(5000/(6000+Inputs!$B$43*(1-((1-(1-Inputs!$B$20/100)*(1-1/100))*100)/100)))*(1+Inputs!$B$25/100)*(1+IF(C668=TRUE,F668,0)/100)*(1+IF(C670=TRUE,F670,0)/100)*(1+IF(Skills!A8="TRIUMPH_FEATHER",IF(C666=TRUE,F666,0),0)/100)*(1+IF(C677=TRUE,F677,0)/100)^5*(1+(IF(Skills!A8="BIG_BANG",Inputs!$B$18,Inputs!$B$19))/100)*(B679*I658)</f>
        <v/>
      </c>
      <c r="L658">
        <f>K658*(MIN(Inputs!$B$23+(F672-Calc!F22),Inputs!$B$24)/100+Inputs!$B$24/100)/2</f>
        <v/>
      </c>
      <c r="M658">
        <f>L658*(1+(Inputs!$B$11+B683+(F675-Calc!F25))/100)</f>
        <v/>
      </c>
      <c r="N658">
        <f>L658*(1-MIN(Inputs!$B$10+((F674-Calc!F24)+(F673-Calc!F23)),100)/100)+M658*(MIN(Inputs!$B$10+((F674-Calc!F24)+(F673-Calc!F23)),100)/100)</f>
        <v/>
      </c>
      <c r="O658">
        <f>(1-Summary!$B$48)*S658+Summary!$B$48*U658</f>
        <v/>
      </c>
      <c r="P658">
        <f>IF(B692=0,0,O658/B692)</f>
        <v/>
      </c>
      <c r="Q658">
        <f>IFERROR(1/IF(Inputs!$B$39="pvp",15,MAX(0.1,Skills!D8-IF(Skills!E8=TRUE,Inputs!$B$33,0))),0)</f>
        <v/>
      </c>
      <c r="R658">
        <f>IF(AND(Inputs!$B$39&lt;&gt;"pvp",Inputs!$B$44&gt;0),IF(MAX(0,Inputs!$B$44-B689)&lt;=0,0,(INT(MAX(0,Inputs!$B$44-B689)/IF(Inputs!$B$39="pvp",15,MAX(0.1,Skills!D8-IF(Skills!E8=TRUE,Inputs!$B$33,0))))+1)),0)</f>
        <v/>
      </c>
      <c r="S658">
        <f>IF(C658,(H658*N658*IF(AND(Inputs!$B$39&lt;&gt;"pvp",Inputs!$B$44&gt;0),((Skills!F8*((R658-1)*IF(Skills!G8&gt;0,Skills!H8/Skills!G8,1)+IF(Skills!G8&gt;0,MIN(Skills!H8,MAX(0,MAX(0,Inputs!$B$44-B689)-((R658-1)*IF(Inputs!$B$39="pvp",15,MAX(0.1,Skills!D8-IF(Skills!E8=TRUE,Inputs!$B$33,0))))))/Skills!G8,1)))/Inputs!$B$44),G658*Q658))*IF(Inputs!$B$39="pvp",1,1+(Inputs!$B$21+Skills!O8+B680)/100),0)</f>
        <v/>
      </c>
      <c r="U658">
        <f>IF(C658,(H658*N658*IF(AND(Inputs!$B$39&lt;&gt;"pvp",Inputs!$B$44&gt;0),((Skills!F8*((R658-1)*IF(Skills!G8&gt;0,Skills!H8/Skills!G8,1)+IF(Skills!G8&gt;0,MIN(Skills!H8,MAX(0,MAX(0,Inputs!$B$44-B689)-((R658-1)*IF(Inputs!$B$39="pvp",15,MAX(0.1,Skills!D8-IF(Skills!E8=TRUE,Inputs!$B$33,0))))))/Skills!G8,1)))/Inputs!$B$44),G658*Q658))*IF(Inputs!$B$39="pvp",1,(1+(Inputs!$B$22+Skills!P8+B681)/100)*(MIN(Skills!Q8,Inputs!$B$38))),0)</f>
        <v/>
      </c>
    </row>
    <row r="659">
      <c r="A659">
        <f>Skills!A9</f>
        <v/>
      </c>
      <c r="B659">
        <f>Skills!B9</f>
        <v/>
      </c>
      <c r="C659">
        <f>Inputs!$B$3&gt;=115</f>
        <v/>
      </c>
      <c r="D659">
        <f>IF(Skills!C9=1,60+Inputs!$B$26+Inputs!$B$30,IF(Skills!C9=2,90+Inputs!$B$27+Inputs!$B$30,IF(Skills!C9=3,120+Inputs!$B$28+Inputs!$B$30,MAX(0,(Inputs!$B$3-100)*3)+Inputs!$B$29+Inputs!$B$30)))</f>
        <v/>
      </c>
      <c r="E659">
        <f>INDEX(FactorTable!$B$2:$Y$301, MATCH(ROUND(MIN(300,MAX(1,D659)),0), FactorTable!$A$2:$A$301,0), Skills!L9+1)</f>
        <v/>
      </c>
      <c r="F659">
        <f>IF(Skills!M9=TRUE,(Skills!K9/10)*(E659/1000),Skills!K9/10)+Skills!N9</f>
        <v/>
      </c>
      <c r="G659">
        <f>Calc!G9</f>
        <v/>
      </c>
      <c r="H659">
        <f>Calc!H9</f>
        <v/>
      </c>
      <c r="I659">
        <f>IF(Skills!T9&lt;&gt;"",1+(Skills!T9/10)*($Z$3/1000)/100,1)</f>
        <v/>
      </c>
      <c r="J659">
        <f>((Inputs!$B$6*(1+Inputs!$B$7/100))+(((Inputs!$B$13*(1+Inputs!$B$14/100))-(Inputs!$B$13*(1+Inputs!$B$14/100)))+0.25*(Inputs!$B$15-Inputs!$B$15))*(1+Inputs!$B$7/100))*(F659/100)</f>
        <v/>
      </c>
      <c r="K659">
        <f>J659*(1+(((Inputs!$B$13+IF(Inputs!$B$3&gt;=35,(10*INDEX(FactorTable!$B$2:$Y$301, MATCH(ROUND(MIN(300,MAX(1,Inputs!$B$3)),0), FactorTable!$A$2:$A$301,0), 23)/1000)/100*(Inputs!$B$8*(1+(Inputs!$B$9+B688)/100)),0))*(1+Inputs!$B$14/100))*0.01+Inputs!$B$15*0.0025)/100)*(1+(Inputs!$B$16+B682)/100)*(1+Inputs!$B$17/100)*(5000/(6000+Inputs!$B$43*(1-((1-(1-Inputs!$B$20/100)*(1-1/100))*100)/100)))*(1+Inputs!$B$25/100)*(1+IF(C668=TRUE,F668,0)/100)*(1+IF(C670=TRUE,F670,0)/100)*(1+IF(Skills!A9="TRIUMPH_FEATHER",IF(C666=TRUE,F666,0),0)/100)*(1+IF(C677=TRUE,F677,0)/100)^5*(1+(IF(Skills!A9="BIG_BANG",Inputs!$B$18,Inputs!$B$19))/100)*(B679*I659)</f>
        <v/>
      </c>
      <c r="L659">
        <f>K659*(MIN(Inputs!$B$23+(F672-Calc!F22),Inputs!$B$24)/100+Inputs!$B$24/100)/2</f>
        <v/>
      </c>
      <c r="M659">
        <f>L659*(1+(Inputs!$B$11+B683+(F675-Calc!F25))/100)</f>
        <v/>
      </c>
      <c r="N659">
        <f>L659*(1-MIN(Inputs!$B$10+((F674-Calc!F24)+(F673-Calc!F23)),100)/100)+M659*(MIN(Inputs!$B$10+((F674-Calc!F24)+(F673-Calc!F23)),100)/100)</f>
        <v/>
      </c>
      <c r="O659">
        <f>(1-Summary!$B$48)*S659+Summary!$B$48*U659</f>
        <v/>
      </c>
      <c r="P659">
        <f>IF(B692=0,0,O659/B692)</f>
        <v/>
      </c>
      <c r="Q659">
        <f>IFERROR(1/IF(Inputs!$B$39="pvp",15,MAX(0.1,Skills!D9-IF(Skills!E9=TRUE,Inputs!$B$33,0))),0)</f>
        <v/>
      </c>
      <c r="R659">
        <f>IF(AND(Inputs!$B$39&lt;&gt;"pvp",Inputs!$B$44&gt;0),IF(MAX(0,Inputs!$B$44-B689)&lt;=0,0,(INT(MAX(0,Inputs!$B$44-B689)/IF(Inputs!$B$39="pvp",15,MAX(0.1,Skills!D9-IF(Skills!E9=TRUE,Inputs!$B$33,0))))+1)),0)</f>
        <v/>
      </c>
      <c r="S659">
        <f>IF(C659,(H659*N659*IF(AND(Inputs!$B$39&lt;&gt;"pvp",Inputs!$B$44&gt;0),((Skills!F9*((R659-1)*IF(Skills!G9&gt;0,Skills!H9/Skills!G9,1)+IF(Skills!G9&gt;0,MIN(Skills!H9,MAX(0,MAX(0,Inputs!$B$44-B689)-((R659-1)*IF(Inputs!$B$39="pvp",15,MAX(0.1,Skills!D9-IF(Skills!E9=TRUE,Inputs!$B$33,0))))))/Skills!G9,1)))/Inputs!$B$44),G659*Q659))*IF(Inputs!$B$39="pvp",1,1+(Inputs!$B$21+Skills!O9+B680)/100),0)</f>
        <v/>
      </c>
      <c r="U659">
        <f>IF(C659,(H659*N659*IF(AND(Inputs!$B$39&lt;&gt;"pvp",Inputs!$B$44&gt;0),((Skills!F9*((R659-1)*IF(Skills!G9&gt;0,Skills!H9/Skills!G9,1)+IF(Skills!G9&gt;0,MIN(Skills!H9,MAX(0,MAX(0,Inputs!$B$44-B689)-((R659-1)*IF(Inputs!$B$39="pvp",15,MAX(0.1,Skills!D9-IF(Skills!E9=TRUE,Inputs!$B$33,0))))))/Skills!G9,1)))/Inputs!$B$44),G659*Q659))*IF(Inputs!$B$39="pvp",1,(1+(Inputs!$B$22+Skills!P9+B681)/100)*(MIN(Skills!Q9,Inputs!$B$38))),0)</f>
        <v/>
      </c>
    </row>
    <row r="660">
      <c r="A660">
        <f>Skills!A10</f>
        <v/>
      </c>
      <c r="B660">
        <f>Skills!B10</f>
        <v/>
      </c>
      <c r="C660">
        <f>Inputs!$B$3&gt;=66</f>
        <v/>
      </c>
      <c r="D660">
        <f>IF(Skills!C10=1,60+Inputs!$B$26+Inputs!$B$30,IF(Skills!C10=2,90+Inputs!$B$27+Inputs!$B$30,IF(Skills!C10=3,120+Inputs!$B$28+Inputs!$B$30,MAX(0,(Inputs!$B$3-100)*3)+Inputs!$B$29+Inputs!$B$30)))</f>
        <v/>
      </c>
      <c r="E660">
        <f>INDEX(FactorTable!$B$2:$Y$301, MATCH(ROUND(MIN(300,MAX(1,D660)),0), FactorTable!$A$2:$A$301,0), Skills!L10+1)</f>
        <v/>
      </c>
      <c r="F660" t="n">
        <v>0</v>
      </c>
      <c r="G660">
        <f>Calc!G10</f>
        <v/>
      </c>
      <c r="H660">
        <f>Calc!H10</f>
        <v/>
      </c>
      <c r="I660">
        <f>IF(Skills!T10&lt;&gt;"",1+(Skills!T10/10)*($Z$3/1000)/100,1)</f>
        <v/>
      </c>
      <c r="J660" t="inlineStr"/>
      <c r="K660" t="inlineStr"/>
      <c r="L660" t="inlineStr"/>
      <c r="M660" t="inlineStr"/>
      <c r="N660" t="inlineStr"/>
      <c r="O660">
        <f>(1-Summary!$B$48)*S660+Summary!$B$48*U660</f>
        <v/>
      </c>
      <c r="P660">
        <f>IF(B692=0,0,O660/B692)</f>
        <v/>
      </c>
      <c r="Q660">
        <f>IFERROR(1/IF(Inputs!$B$39="pvp",15,MAX(0.1,Skills!D10-IF(Skills!E10=TRUE,Inputs!$B$33,0))),0)</f>
        <v/>
      </c>
      <c r="R660">
        <f>IF(AND(Inputs!$B$39&lt;&gt;"pvp",Inputs!$B$44&gt;0),IF(MAX(0,Inputs!$B$44-B689)&lt;=0,0,(INT(MAX(0,Inputs!$B$44-B689)/IF(Inputs!$B$39="pvp",15,MAX(0.1,Skills!D10-IF(Skills!E10=TRUE,Inputs!$B$33,0))))+1)),0)</f>
        <v/>
      </c>
      <c r="S660" t="n">
        <v>0</v>
      </c>
      <c r="U660" t="n">
        <v>0</v>
      </c>
    </row>
    <row r="661">
      <c r="A661">
        <f>Skills!A11</f>
        <v/>
      </c>
      <c r="B661">
        <f>Skills!B11</f>
        <v/>
      </c>
      <c r="C661">
        <f>Inputs!$B$3&gt;=69</f>
        <v/>
      </c>
      <c r="D661">
        <f>IF(Skills!C11=1,60+Inputs!$B$26+Inputs!$B$30,IF(Skills!C11=2,90+Inputs!$B$27+Inputs!$B$30,IF(Skills!C11=3,120+Inputs!$B$28+Inputs!$B$30,MAX(0,(Inputs!$B$3-100)*3)+Inputs!$B$29+Inputs!$B$30)))</f>
        <v/>
      </c>
      <c r="E661">
        <f>INDEX(FactorTable!$B$2:$Y$301, MATCH(ROUND(MIN(300,MAX(1,D661)),0), FactorTable!$A$2:$A$301,0), Skills!L11+1)</f>
        <v/>
      </c>
      <c r="F661">
        <f>IF(Skills!M11=TRUE,(Skills!K11/10)*(E661/1000),Skills!K11/10)+Skills!N11</f>
        <v/>
      </c>
      <c r="G661">
        <f>Calc!G11</f>
        <v/>
      </c>
      <c r="H661">
        <f>Calc!H11</f>
        <v/>
      </c>
      <c r="I661">
        <f>IF(Skills!T11&lt;&gt;"",1+(Skills!T11/10)*($Z$3/1000)/100,1)</f>
        <v/>
      </c>
      <c r="J661" t="inlineStr"/>
      <c r="K661" t="inlineStr"/>
      <c r="L661" t="inlineStr"/>
      <c r="M661" t="inlineStr"/>
      <c r="N661" t="inlineStr"/>
      <c r="O661">
        <f>(1-Summary!$B$48)*S661+Summary!$B$48*U661</f>
        <v/>
      </c>
      <c r="P661">
        <f>IF(B692=0,0,O661/B692)</f>
        <v/>
      </c>
      <c r="Q661">
        <f>IFERROR(1/IF(Inputs!$B$39="pvp",15,MAX(0.1,Skills!D11-IF(Skills!E11=TRUE,Inputs!$B$33,0))),0)</f>
        <v/>
      </c>
      <c r="R661">
        <f>IF(AND(Inputs!$B$39&lt;&gt;"pvp",Inputs!$B$44&gt;0),IF(Inputs!$B$44&lt;=0,0,(INT(Inputs!$B$44/IF(Inputs!$B$39="pvp",15,MAX(0.1,Skills!D11-IF(Skills!E11=TRUE,Inputs!$B$33,0))))+1)),0)</f>
        <v/>
      </c>
      <c r="S661" t="n">
        <v>0</v>
      </c>
      <c r="U661" t="n">
        <v>0</v>
      </c>
    </row>
    <row r="662">
      <c r="A662">
        <f>Skills!A12</f>
        <v/>
      </c>
      <c r="B662">
        <f>Skills!B12</f>
        <v/>
      </c>
      <c r="C662">
        <f>Inputs!$B$3&gt;=72</f>
        <v/>
      </c>
      <c r="D662">
        <f>IF(Skills!C12=1,60+Inputs!$B$26+Inputs!$B$30,IF(Skills!C12=2,90+Inputs!$B$27+Inputs!$B$30,IF(Skills!C12=3,120+Inputs!$B$28+Inputs!$B$30,MAX(0,(Inputs!$B$3-100)*3)+Inputs!$B$29+Inputs!$B$30)))</f>
        <v/>
      </c>
      <c r="E662">
        <f>INDEX(FactorTable!$B$2:$Y$301, MATCH(ROUND(MIN(300,MAX(1,D662)),0), FactorTable!$A$2:$A$301,0), Skills!L12+1)</f>
        <v/>
      </c>
      <c r="F662">
        <f>IF(Skills!M12=TRUE,(Skills!K12/10)*(E662/1000),Skills!K12/10)+Skills!N12</f>
        <v/>
      </c>
      <c r="G662">
        <f>Calc!G12</f>
        <v/>
      </c>
      <c r="H662">
        <f>Calc!H12</f>
        <v/>
      </c>
      <c r="I662">
        <f>IF(Skills!T12&lt;&gt;"",1+(Skills!T12/10)*($Z$3/1000)/100,1)</f>
        <v/>
      </c>
      <c r="J662" t="inlineStr"/>
      <c r="K662" t="inlineStr"/>
      <c r="L662" t="inlineStr"/>
      <c r="M662" t="inlineStr"/>
      <c r="N662" t="inlineStr"/>
      <c r="O662">
        <f>(1-Summary!$B$48)*S662+Summary!$B$48*U662</f>
        <v/>
      </c>
      <c r="P662">
        <f>IF(B692=0,0,O662/B692)</f>
        <v/>
      </c>
      <c r="Q662">
        <f>IFERROR(1/IF(Inputs!$B$39="pvp",15,MAX(0.1,Skills!D12-IF(Skills!E12=TRUE,Inputs!$B$33,0))),0)</f>
        <v/>
      </c>
      <c r="R662">
        <f>IF(AND(Inputs!$B$39&lt;&gt;"pvp",Inputs!$B$44&gt;0),IF(MAX(0,Inputs!$B$44-B689)&lt;=0,0,(INT(MAX(0,Inputs!$B$44-B689)/IF(Inputs!$B$39="pvp",15,MAX(0.1,Skills!D12-IF(Skills!E12=TRUE,Inputs!$B$33,0))))+1)),0)</f>
        <v/>
      </c>
      <c r="S662" t="n">
        <v>0</v>
      </c>
      <c r="U662" t="n">
        <v>0</v>
      </c>
    </row>
    <row r="663">
      <c r="A663">
        <f>Skills!A13</f>
        <v/>
      </c>
      <c r="B663">
        <f>Skills!B13</f>
        <v/>
      </c>
      <c r="C663">
        <f>Inputs!$B$3&gt;=60</f>
        <v/>
      </c>
      <c r="D663">
        <f>IF(Skills!C13=1,60+Inputs!$B$26+Inputs!$B$30,IF(Skills!C13=2,90+Inputs!$B$27+Inputs!$B$30,IF(Skills!C13=3,120+Inputs!$B$28+Inputs!$B$30,MAX(0,(Inputs!$B$3-100)*3)+Inputs!$B$29+Inputs!$B$30)))</f>
        <v/>
      </c>
      <c r="E663">
        <f>INDEX(FactorTable!$B$2:$Y$301, MATCH(ROUND(MIN(300,MAX(1,D663)),0), FactorTable!$A$2:$A$301,0), Skills!L13+1)</f>
        <v/>
      </c>
      <c r="F663">
        <f>IF(Skills!M13=TRUE,(Skills!K13/10)*(E663/1000),Skills!K13/10)+Skills!N13</f>
        <v/>
      </c>
      <c r="G663">
        <f>Calc!G13</f>
        <v/>
      </c>
      <c r="H663">
        <f>Calc!H13</f>
        <v/>
      </c>
      <c r="I663">
        <f>IF(Skills!T13&lt;&gt;"",1+(Skills!T13/10)*($Z$3/1000)/100,1)</f>
        <v/>
      </c>
      <c r="J663" t="inlineStr"/>
      <c r="K663" t="inlineStr"/>
      <c r="L663" t="inlineStr"/>
      <c r="M663" t="inlineStr"/>
      <c r="N663" t="inlineStr"/>
      <c r="O663">
        <f>(1-Summary!$B$48)*S663+Summary!$B$48*U663</f>
        <v/>
      </c>
      <c r="P663">
        <f>IF(B692=0,0,O663/B692)</f>
        <v/>
      </c>
      <c r="Q663">
        <f>IFERROR(1/IF(Inputs!$B$39="pvp",15,MAX(0.1,Skills!D13-IF(Skills!E13=TRUE,Inputs!$B$33,0))),0)</f>
        <v/>
      </c>
      <c r="R663">
        <f>IF(AND(Inputs!$B$39&lt;&gt;"pvp",Inputs!$B$44&gt;0),IF(MAX(0,Inputs!$B$44-B689)&lt;=0,0,(INT(MAX(0,Inputs!$B$44-B689)/IF(Inputs!$B$39="pvp",15,MAX(0.1,Skills!D13-IF(Skills!E13=TRUE,Inputs!$B$33,0))))+1)),0)</f>
        <v/>
      </c>
      <c r="S663" t="n">
        <v>0</v>
      </c>
      <c r="U663" t="n">
        <v>0</v>
      </c>
    </row>
    <row r="664">
      <c r="A664">
        <f>Skills!A14</f>
        <v/>
      </c>
      <c r="B664">
        <f>Skills!B14</f>
        <v/>
      </c>
      <c r="C664">
        <f>Inputs!$B$3&gt;=107</f>
        <v/>
      </c>
      <c r="D664">
        <f>IF(Skills!C14=1,60+Inputs!$B$26+Inputs!$B$30,IF(Skills!C14=2,90+Inputs!$B$27+Inputs!$B$30,IF(Skills!C14=3,120+Inputs!$B$28+Inputs!$B$30,MAX(0,(Inputs!$B$3-100)*3)+Inputs!$B$29+Inputs!$B$30)))</f>
        <v/>
      </c>
      <c r="E664">
        <f>INDEX(FactorTable!$B$2:$Y$301, MATCH(ROUND(MIN(300,MAX(1,D664)),0), FactorTable!$A$2:$A$301,0), Skills!L14+1)</f>
        <v/>
      </c>
      <c r="F664">
        <f>IF(Skills!M14=TRUE,(Skills!K14/10)*(E664/1000),Skills!K14/10)+Skills!N14</f>
        <v/>
      </c>
      <c r="G664">
        <f>Calc!G14</f>
        <v/>
      </c>
      <c r="H664">
        <f>Calc!H14</f>
        <v/>
      </c>
      <c r="I664">
        <f>IF(Skills!T14&lt;&gt;"",1+(Skills!T14/10)*($Z$3/1000)/100,1)</f>
        <v/>
      </c>
      <c r="J664" t="inlineStr"/>
      <c r="K664" t="inlineStr"/>
      <c r="L664" t="inlineStr"/>
      <c r="M664" t="inlineStr"/>
      <c r="N664" t="inlineStr"/>
      <c r="O664">
        <f>(1-Summary!$B$48)*S664+Summary!$B$48*U664</f>
        <v/>
      </c>
      <c r="P664">
        <f>IF(B692=0,0,O664/B692)</f>
        <v/>
      </c>
      <c r="Q664">
        <f>IFERROR(1/IF(Inputs!$B$39="pvp",15,MAX(0.1,Skills!D14-IF(Skills!E14=TRUE,Inputs!$B$33,0))),0)</f>
        <v/>
      </c>
      <c r="R664">
        <f>IF(AND(Inputs!$B$39&lt;&gt;"pvp",Inputs!$B$44&gt;0),IF(Inputs!$B$44&lt;=0,0,(INT(Inputs!$B$44/IF(Inputs!$B$39="pvp",15,MAX(0.1,Skills!D14-IF(Skills!E14=TRUE,Inputs!$B$33,0))))+1)),0)</f>
        <v/>
      </c>
      <c r="S664" t="n">
        <v>0</v>
      </c>
      <c r="U664" t="n">
        <v>0</v>
      </c>
    </row>
    <row r="665">
      <c r="A665">
        <f>Skills!A15</f>
        <v/>
      </c>
      <c r="B665">
        <f>Skills!B15</f>
        <v/>
      </c>
      <c r="C665">
        <f>Inputs!$B$3&gt;=63</f>
        <v/>
      </c>
      <c r="D665">
        <f>IF(Skills!C15=1,60+Inputs!$B$26+Inputs!$B$30,IF(Skills!C15=2,90+Inputs!$B$27+Inputs!$B$30,IF(Skills!C15=3,120+Inputs!$B$28+Inputs!$B$30,MAX(0,(Inputs!$B$3-100)*3)+Inputs!$B$29+Inputs!$B$30)))</f>
        <v/>
      </c>
      <c r="E665">
        <f>INDEX(FactorTable!$B$2:$Y$301, MATCH(ROUND(MIN(300,MAX(1,D665)),0), FactorTable!$A$2:$A$301,0), Skills!L15+1)</f>
        <v/>
      </c>
      <c r="F665">
        <f>IF(Skills!M15=TRUE,(Skills!K15/10)*(E665/1000),Skills!K15/10)+Skills!N15</f>
        <v/>
      </c>
      <c r="G665">
        <f>Calc!G15</f>
        <v/>
      </c>
      <c r="H665">
        <f>Calc!H15</f>
        <v/>
      </c>
      <c r="I665">
        <f>IF(Skills!T15&lt;&gt;"",1+(Skills!T15/10)*($Z$3/1000)/100,1)</f>
        <v/>
      </c>
      <c r="J665">
        <f>((Inputs!$B$6*(1+Inputs!$B$7/100))+(((Inputs!$B$13*(1+Inputs!$B$14/100))-(Inputs!$B$13*(1+Inputs!$B$14/100)))+0.25*(Inputs!$B$15-Inputs!$B$15))*(1+Inputs!$B$7/100))*(F665/100)</f>
        <v/>
      </c>
      <c r="K665">
        <f>J665*(1+(((Inputs!$B$13+IF(Inputs!$B$3&gt;=35,(10*INDEX(FactorTable!$B$2:$Y$301, MATCH(ROUND(MIN(300,MAX(1,Inputs!$B$3)),0), FactorTable!$A$2:$A$301,0), 23)/1000)/100*(Inputs!$B$8*(1+(Inputs!$B$9+B688)/100)),0))*(1+Inputs!$B$14/100))*0.01+Inputs!$B$15*0.0025)/100)*(1+(Inputs!$B$16+B682)/100)*(1+Inputs!$B$17/100)*(5000/(6000+Inputs!$B$43*(1-((1-(1-Inputs!$B$20/100)*(1-1/100))*100)/100)))*(1+Inputs!$B$25/100)*(1+IF(C668=TRUE,F668,0)/100)*(1+IF(C670=TRUE,F670,0)/100)*(1+IF(Skills!A15="TRIUMPH_FEATHER",IF(C666=TRUE,F666,0),0)/100)*(1+IF(C677=TRUE,F677,0)/100)^5*(1+(IF(Skills!A15="BIG_BANG",Inputs!$B$18,Inputs!$B$19))/100)*(B679*I665)</f>
        <v/>
      </c>
      <c r="L665">
        <f>K665*(MIN(Inputs!$B$23+(F672-Calc!F22),Inputs!$B$24)/100+Inputs!$B$24/100)/2</f>
        <v/>
      </c>
      <c r="M665">
        <f>L665*(1+(Inputs!$B$11+B683+(F675-Calc!F25))/100)</f>
        <v/>
      </c>
      <c r="N665">
        <f>L665*(1-MIN(Inputs!$B$10+((F674-Calc!F24)+(F673-Calc!F23)),100)/100)+M665*(MIN(Inputs!$B$10+((F674-Calc!F24)+(F673-Calc!F23)),100)/100)</f>
        <v/>
      </c>
      <c r="O665">
        <f>(1-Summary!$B$48)*S665+Summary!$B$48*U665</f>
        <v/>
      </c>
      <c r="P665">
        <f>IF(B692=0,0,O665/B692)</f>
        <v/>
      </c>
      <c r="Q665">
        <f>IFERROR(1/IF(Inputs!$B$39="pvp",15,MAX(0.1,Skills!D15-IF(Skills!E15=TRUE,Inputs!$B$33,0))),0)</f>
        <v/>
      </c>
      <c r="R665" t="n">
        <v>0</v>
      </c>
      <c r="S665">
        <f>IF(C665,(Skills!F15*N665*((IF(Inputs!$B$3&gt;=78,25,15)/100*B685*10)/(1+IF(Inputs!$B$3&gt;=78,25,15)/100*B685*10))*(Skills!I15/100*B685)/(1+Skills!G15*Skills!I15/100*B685))*IF(Inputs!$B$39="pvp",1,1+(Inputs!$B$21+Skills!O15+B680)/100),0)</f>
        <v/>
      </c>
      <c r="U665">
        <f>IF(C665,(Skills!F15*N665*((IF(Inputs!$B$3&gt;=78,25,15)/100*B685*10)/(1+IF(Inputs!$B$3&gt;=78,25,15)/100*B685*10))*(Skills!I15/100*B685)/(1+Skills!G15*Skills!I15/100*B685))*IF(Inputs!$B$39="pvp",1,(1+(Inputs!$B$22+Skills!P15+B681)/100)*(MIN(Skills!Q15,Inputs!$B$38))),0)</f>
        <v/>
      </c>
    </row>
    <row r="666">
      <c r="A666">
        <f>Skills!A16</f>
        <v/>
      </c>
      <c r="B666">
        <f>Skills!B16</f>
        <v/>
      </c>
      <c r="C666">
        <f>Inputs!$B$3&gt;=100</f>
        <v/>
      </c>
      <c r="D666">
        <f>IF(Skills!C16=1,60+Inputs!$B$26+Inputs!$B$30,IF(Skills!C16=2,90+Inputs!$B$27+Inputs!$B$30,IF(Skills!C16=3,120+Inputs!$B$28+Inputs!$B$30,MAX(0,(Inputs!$B$3-100)*3)+Inputs!$B$29+Inputs!$B$30)))</f>
        <v/>
      </c>
      <c r="E666">
        <f>INDEX(FactorTable!$B$2:$Y$301, MATCH(ROUND(MIN(300,MAX(1,D666)),0), FactorTable!$A$2:$A$301,0), Skills!L16+1)</f>
        <v/>
      </c>
      <c r="F666">
        <f>IF(Skills!M16=TRUE,(Skills!K16/10)*(E666/1000),Skills!K16/10)+Skills!N16</f>
        <v/>
      </c>
      <c r="G666">
        <f>Calc!G16</f>
        <v/>
      </c>
      <c r="H666">
        <f>Calc!H16</f>
        <v/>
      </c>
      <c r="I666">
        <f>IF(Skills!T16&lt;&gt;"",1+(Skills!T16/10)*($Z$3/1000)/100,1)</f>
        <v/>
      </c>
      <c r="J666" t="inlineStr"/>
      <c r="K666" t="inlineStr"/>
      <c r="L666" t="inlineStr"/>
      <c r="M666" t="inlineStr"/>
      <c r="N666" t="inlineStr"/>
      <c r="O666">
        <f>(1-Summary!$B$48)*S666+Summary!$B$48*U666</f>
        <v/>
      </c>
      <c r="P666">
        <f>IF(B692=0,0,O666/B692)</f>
        <v/>
      </c>
      <c r="Q666">
        <f>IFERROR(1/IF(Inputs!$B$39="pvp",15,MAX(0.1,Skills!D16-IF(Skills!E16=TRUE,Inputs!$B$33,0))),0)</f>
        <v/>
      </c>
      <c r="R666" t="n">
        <v>0</v>
      </c>
      <c r="S666" t="n">
        <v>0</v>
      </c>
      <c r="U666" t="n">
        <v>0</v>
      </c>
    </row>
    <row r="667">
      <c r="A667">
        <f>Skills!A17</f>
        <v/>
      </c>
      <c r="B667">
        <f>Skills!B17</f>
        <v/>
      </c>
      <c r="C667">
        <f>Inputs!$B$3&gt;=49</f>
        <v/>
      </c>
      <c r="D667">
        <f>IF(Skills!C17=1,60+Inputs!$B$26+Inputs!$B$30,IF(Skills!C17=2,90+Inputs!$B$27+Inputs!$B$30,IF(Skills!C17=3,120+Inputs!$B$28+Inputs!$B$30,MAX(0,(Inputs!$B$3-100)*3)+Inputs!$B$29+Inputs!$B$30)))</f>
        <v/>
      </c>
      <c r="E667">
        <f>INDEX(FactorTable!$B$2:$Y$301, MATCH(ROUND(MIN(300,MAX(1,D667)),0), FactorTable!$A$2:$A$301,0), Skills!L17+1)</f>
        <v/>
      </c>
      <c r="F667">
        <f>IF(Skills!M17=TRUE,(Skills!K17/10)*(E667/1000),Skills!K17/10)+Skills!N17</f>
        <v/>
      </c>
      <c r="G667">
        <f>Calc!G17</f>
        <v/>
      </c>
      <c r="H667">
        <f>Calc!H17</f>
        <v/>
      </c>
      <c r="I667">
        <f>IF(Skills!T17&lt;&gt;"",1+(Skills!T17/10)*($Z$3/1000)/100,1)</f>
        <v/>
      </c>
      <c r="J667" t="inlineStr"/>
      <c r="K667" t="inlineStr"/>
      <c r="L667" t="inlineStr"/>
      <c r="M667" t="inlineStr"/>
      <c r="N667" t="inlineStr"/>
      <c r="O667">
        <f>(1-Summary!$B$48)*S667+Summary!$B$48*U667</f>
        <v/>
      </c>
      <c r="P667">
        <f>IF(B692=0,0,O667/B692)</f>
        <v/>
      </c>
      <c r="Q667">
        <f>IFERROR(1/IF(Inputs!$B$39="pvp",15,MAX(0.1,Skills!D17-IF(Skills!E17=TRUE,Inputs!$B$33,0))),0)</f>
        <v/>
      </c>
      <c r="R667" t="n">
        <v>0</v>
      </c>
      <c r="S667" t="n">
        <v>0</v>
      </c>
      <c r="U667" t="n">
        <v>0</v>
      </c>
    </row>
    <row r="668">
      <c r="A668">
        <f>Skills!A18</f>
        <v/>
      </c>
      <c r="B668">
        <f>Skills!B18</f>
        <v/>
      </c>
      <c r="C668">
        <f>Inputs!$B$3&gt;=75</f>
        <v/>
      </c>
      <c r="D668">
        <f>IF(Skills!C18=1,60+Inputs!$B$26+Inputs!$B$30,IF(Skills!C18=2,90+Inputs!$B$27+Inputs!$B$30,IF(Skills!C18=3,120+Inputs!$B$28+Inputs!$B$30,MAX(0,(Inputs!$B$3-100)*3)+Inputs!$B$29+Inputs!$B$30)))</f>
        <v/>
      </c>
      <c r="E668">
        <f>INDEX(FactorTable!$B$2:$Y$301, MATCH(ROUND(MIN(300,MAX(1,D668)),0), FactorTable!$A$2:$A$301,0), Skills!L18+1)</f>
        <v/>
      </c>
      <c r="F668">
        <f>IF(Skills!M18=TRUE,(Skills!K18/10)*(E668/1000),Skills!K18/10)+Skills!N18</f>
        <v/>
      </c>
      <c r="G668">
        <f>Calc!G18</f>
        <v/>
      </c>
      <c r="H668">
        <f>Calc!H18</f>
        <v/>
      </c>
      <c r="I668">
        <f>IF(Skills!T18&lt;&gt;"",1+(Skills!T18/10)*($Z$3/1000)/100,1)</f>
        <v/>
      </c>
      <c r="J668" t="inlineStr"/>
      <c r="K668" t="inlineStr"/>
      <c r="L668" t="inlineStr"/>
      <c r="M668" t="inlineStr"/>
      <c r="N668" t="inlineStr"/>
      <c r="O668">
        <f>(1-Summary!$B$48)*S668+Summary!$B$48*U668</f>
        <v/>
      </c>
      <c r="P668">
        <f>IF(B692=0,0,O668/B692)</f>
        <v/>
      </c>
      <c r="Q668">
        <f>IFERROR(1/IF(Inputs!$B$39="pvp",15,MAX(0.1,Skills!D18-IF(Skills!E18=TRUE,Inputs!$B$33,0))),0)</f>
        <v/>
      </c>
      <c r="R668" t="n">
        <v>0</v>
      </c>
      <c r="S668" t="n">
        <v>0</v>
      </c>
      <c r="U668" t="n">
        <v>0</v>
      </c>
    </row>
    <row r="669">
      <c r="A669">
        <f>Skills!A19</f>
        <v/>
      </c>
      <c r="B669">
        <f>Skills!B19</f>
        <v/>
      </c>
      <c r="C669">
        <f>Inputs!$B$3&gt;=110</f>
        <v/>
      </c>
      <c r="D669">
        <f>IF(Skills!C19=1,60+Inputs!$B$26+Inputs!$B$30,IF(Skills!C19=2,90+Inputs!$B$27+Inputs!$B$30,IF(Skills!C19=3,120+Inputs!$B$28+Inputs!$B$30,MAX(0,(Inputs!$B$3-100)*3)+Inputs!$B$29+Inputs!$B$30)))</f>
        <v/>
      </c>
      <c r="E669">
        <f>INDEX(FactorTable!$B$2:$Y$301, MATCH(ROUND(MIN(300,MAX(1,D669)),0), FactorTable!$A$2:$A$301,0), Skills!L19+1)</f>
        <v/>
      </c>
      <c r="F669">
        <f>(Skills!K19/10)*(E669/1000)*64/45+Skills!N19</f>
        <v/>
      </c>
      <c r="G669">
        <f>Calc!G19</f>
        <v/>
      </c>
      <c r="H669">
        <f>Calc!H19</f>
        <v/>
      </c>
      <c r="I669">
        <f>IF(Skills!T19&lt;&gt;"",1+(Skills!T19/10)*($Z$3/1000)/100,1)</f>
        <v/>
      </c>
      <c r="J669" t="inlineStr"/>
      <c r="K669" t="inlineStr"/>
      <c r="L669" t="inlineStr"/>
      <c r="M669" t="inlineStr"/>
      <c r="N669" t="inlineStr"/>
      <c r="O669">
        <f>(1-Summary!$B$48)*S669+Summary!$B$48*U669</f>
        <v/>
      </c>
      <c r="P669">
        <f>IF(B692=0,0,O669/B692)</f>
        <v/>
      </c>
      <c r="Q669">
        <f>IFERROR(1/IF(Inputs!$B$39="pvp",15,MAX(0.1,Skills!D19-IF(Skills!E19=TRUE,Inputs!$B$33,0))),0)</f>
        <v/>
      </c>
      <c r="R669">
        <f>IF(AND(Inputs!$B$39&lt;&gt;"pvp",Inputs!$B$44&gt;0),IF(Inputs!$B$44&lt;=0,0,(INT(Inputs!$B$44/IF(Inputs!$B$39="pvp",15,MAX(0.1,Skills!D19-IF(Skills!E19=TRUE,Inputs!$B$33,0))))+1)),0)</f>
        <v/>
      </c>
      <c r="S669" t="n">
        <v>0</v>
      </c>
      <c r="U669" t="n">
        <v>0</v>
      </c>
    </row>
    <row r="670">
      <c r="A670">
        <f>Skills!A20</f>
        <v/>
      </c>
      <c r="B670">
        <f>Skills!B20</f>
        <v/>
      </c>
      <c r="C670">
        <f>Inputs!$B$3&gt;=125</f>
        <v/>
      </c>
      <c r="D670">
        <f>IF(Skills!C20=1,60+Inputs!$B$26+Inputs!$B$30,IF(Skills!C20=2,90+Inputs!$B$27+Inputs!$B$30,IF(Skills!C20=3,120+Inputs!$B$28+Inputs!$B$30,MAX(0,(Inputs!$B$3-100)*3)+Inputs!$B$29+Inputs!$B$30)))</f>
        <v/>
      </c>
      <c r="E670">
        <f>INDEX(FactorTable!$B$2:$Y$301, MATCH(ROUND(MIN(300,MAX(1,D670)),0), FactorTable!$A$2:$A$301,0), Skills!L20+1)</f>
        <v/>
      </c>
      <c r="F670">
        <f>IF(Skills!M20=TRUE,(Skills!K20/10)*(E670/1000),Skills!K20/10)+Skills!N20</f>
        <v/>
      </c>
      <c r="G670">
        <f>Calc!G20</f>
        <v/>
      </c>
      <c r="H670">
        <f>Calc!H20</f>
        <v/>
      </c>
      <c r="I670">
        <f>IF(Skills!T20&lt;&gt;"",1+(Skills!T20/10)*($Z$3/1000)/100,1)</f>
        <v/>
      </c>
      <c r="J670" t="inlineStr"/>
      <c r="K670" t="inlineStr"/>
      <c r="L670" t="inlineStr"/>
      <c r="M670" t="inlineStr"/>
      <c r="N670" t="inlineStr"/>
      <c r="O670">
        <f>(1-Summary!$B$48)*S670+Summary!$B$48*U670</f>
        <v/>
      </c>
      <c r="P670">
        <f>IF(B692=0,0,O670/B692)</f>
        <v/>
      </c>
      <c r="Q670">
        <f>IFERROR(1/IF(Inputs!$B$39="pvp",15,MAX(0.1,Skills!D20-IF(Skills!E20=TRUE,Inputs!$B$33,0))),0)</f>
        <v/>
      </c>
      <c r="R670" t="n">
        <v>0</v>
      </c>
      <c r="S670" t="n">
        <v>0</v>
      </c>
      <c r="U670" t="n">
        <v>0</v>
      </c>
    </row>
    <row r="671">
      <c r="A671">
        <f>Skills!A21</f>
        <v/>
      </c>
      <c r="B671">
        <f>Skills!B21</f>
        <v/>
      </c>
      <c r="C671">
        <f>Inputs!$B$3&gt;=33</f>
        <v/>
      </c>
      <c r="D671">
        <f>IF(Skills!C21=1,60+Inputs!$B$26+Inputs!$B$30,IF(Skills!C21=2,90+Inputs!$B$27+Inputs!$B$30,IF(Skills!C21=3,120+Inputs!$B$28+Inputs!$B$30,MAX(0,(Inputs!$B$3-100)*3)+Inputs!$B$29+Inputs!$B$30)))</f>
        <v/>
      </c>
      <c r="E671">
        <f>INDEX(FactorTable!$B$2:$Y$301, MATCH(ROUND(MIN(300,MAX(1,D671)),0), FactorTable!$A$2:$A$301,0), Skills!L21+1)</f>
        <v/>
      </c>
      <c r="F671">
        <f>IF(Skills!M21=TRUE,(Skills!K21/10)*(E671/1000),Skills!K21/10)+Skills!N21</f>
        <v/>
      </c>
      <c r="G671">
        <f>Calc!G21</f>
        <v/>
      </c>
      <c r="H671">
        <f>Calc!H21</f>
        <v/>
      </c>
      <c r="I671">
        <f>IF(Skills!T21&lt;&gt;"",1+(Skills!T21/10)*($Z$3/1000)/100,1)</f>
        <v/>
      </c>
      <c r="J671" t="inlineStr"/>
      <c r="K671" t="inlineStr"/>
      <c r="L671" t="inlineStr"/>
      <c r="M671" t="inlineStr"/>
      <c r="N671" t="inlineStr"/>
      <c r="O671">
        <f>(1-Summary!$B$48)*S671+Summary!$B$48*U671</f>
        <v/>
      </c>
      <c r="P671">
        <f>IF(B692=0,0,O671/B692)</f>
        <v/>
      </c>
      <c r="Q671">
        <f>IFERROR(1/IF(Inputs!$B$39="pvp",15,MAX(0.1,Skills!D21-IF(Skills!E21=TRUE,Inputs!$B$33,0))),0)</f>
        <v/>
      </c>
      <c r="R671" t="n">
        <v>0</v>
      </c>
      <c r="S671" t="n">
        <v>0</v>
      </c>
      <c r="U671" t="n">
        <v>0</v>
      </c>
    </row>
    <row r="672">
      <c r="A672">
        <f>Skills!A22</f>
        <v/>
      </c>
      <c r="B672">
        <f>Skills!B22</f>
        <v/>
      </c>
      <c r="C672">
        <f>Inputs!$B$3&gt;=43</f>
        <v/>
      </c>
      <c r="D672">
        <f>IF(Skills!C22=1,60+Inputs!$B$26+Inputs!$B$30,IF(Skills!C22=2,90+Inputs!$B$27+Inputs!$B$30,IF(Skills!C22=3,120+Inputs!$B$28+Inputs!$B$30,MAX(0,(Inputs!$B$3-100)*3)+Inputs!$B$29+Inputs!$B$30)))</f>
        <v/>
      </c>
      <c r="E672">
        <f>INDEX(FactorTable!$B$2:$Y$301, MATCH(ROUND(MIN(300,MAX(1,D672)),0), FactorTable!$A$2:$A$301,0), Skills!L22+1)</f>
        <v/>
      </c>
      <c r="F672">
        <f>IF(Skills!M22=TRUE,(Skills!K22/10)*(E672/1000),Skills!K22/10)+Skills!N22</f>
        <v/>
      </c>
      <c r="G672">
        <f>Calc!G22</f>
        <v/>
      </c>
      <c r="H672">
        <f>Calc!H22</f>
        <v/>
      </c>
      <c r="I672">
        <f>IF(Skills!T22&lt;&gt;"",1+(Skills!T22/10)*($Z$3/1000)/100,1)</f>
        <v/>
      </c>
      <c r="J672" t="inlineStr"/>
      <c r="K672" t="inlineStr"/>
      <c r="L672" t="inlineStr"/>
      <c r="M672" t="inlineStr"/>
      <c r="N672" t="inlineStr"/>
      <c r="O672">
        <f>(1-Summary!$B$48)*S672+Summary!$B$48*U672</f>
        <v/>
      </c>
      <c r="P672">
        <f>IF(B692=0,0,O672/B692)</f>
        <v/>
      </c>
      <c r="Q672">
        <f>IFERROR(1/IF(Inputs!$B$39="pvp",15,MAX(0.1,Skills!D22-IF(Skills!E22=TRUE,Inputs!$B$33,0))),0)</f>
        <v/>
      </c>
      <c r="R672" t="n">
        <v>0</v>
      </c>
      <c r="S672" t="n">
        <v>0</v>
      </c>
      <c r="U672" t="n">
        <v>0</v>
      </c>
    </row>
    <row r="673">
      <c r="A673">
        <f>Skills!A23</f>
        <v/>
      </c>
      <c r="B673">
        <f>Skills!B23</f>
        <v/>
      </c>
      <c r="C673">
        <f>Inputs!$B$3&gt;=50</f>
        <v/>
      </c>
      <c r="D673">
        <f>IF(Skills!C23=1,60+Inputs!$B$26+Inputs!$B$30,IF(Skills!C23=2,90+Inputs!$B$27+Inputs!$B$30,IF(Skills!C23=3,120+Inputs!$B$28+Inputs!$B$30,MAX(0,(Inputs!$B$3-100)*3)+Inputs!$B$29+Inputs!$B$30)))</f>
        <v/>
      </c>
      <c r="E673">
        <f>INDEX(FactorTable!$B$2:$Y$301, MATCH(ROUND(MIN(300,MAX(1,D673)),0), FactorTable!$A$2:$A$301,0), Skills!L23+1)</f>
        <v/>
      </c>
      <c r="F673">
        <f>IF(Skills!M23=TRUE,(Skills!K23/10)*(E673/1000),Skills!K23/10)+Skills!N23</f>
        <v/>
      </c>
      <c r="G673">
        <f>Calc!G23</f>
        <v/>
      </c>
      <c r="H673">
        <f>Calc!H23</f>
        <v/>
      </c>
      <c r="I673">
        <f>IF(Skills!T23&lt;&gt;"",1+(Skills!T23/10)*($Z$3/1000)/100,1)</f>
        <v/>
      </c>
      <c r="J673" t="inlineStr"/>
      <c r="K673" t="inlineStr"/>
      <c r="L673" t="inlineStr"/>
      <c r="M673" t="inlineStr"/>
      <c r="N673" t="inlineStr"/>
      <c r="O673">
        <f>(1-Summary!$B$48)*S673+Summary!$B$48*U673</f>
        <v/>
      </c>
      <c r="P673">
        <f>IF(B692=0,0,O673/B692)</f>
        <v/>
      </c>
      <c r="Q673">
        <f>IFERROR(1/IF(Inputs!$B$39="pvp",15,MAX(0.1,Skills!D23-IF(Skills!E23=TRUE,Inputs!$B$33,0))),0)</f>
        <v/>
      </c>
      <c r="R673" t="n">
        <v>0</v>
      </c>
      <c r="S673" t="n">
        <v>0</v>
      </c>
      <c r="U673" t="n">
        <v>0</v>
      </c>
    </row>
    <row r="674">
      <c r="A674">
        <f>Skills!A24</f>
        <v/>
      </c>
      <c r="B674">
        <f>Skills!B24</f>
        <v/>
      </c>
      <c r="C674">
        <f>Inputs!$B$3&gt;=74</f>
        <v/>
      </c>
      <c r="D674">
        <f>IF(Skills!C24=1,60+Inputs!$B$26+Inputs!$B$30,IF(Skills!C24=2,90+Inputs!$B$27+Inputs!$B$30,IF(Skills!C24=3,120+Inputs!$B$28+Inputs!$B$30,MAX(0,(Inputs!$B$3-100)*3)+Inputs!$B$29+Inputs!$B$30)))</f>
        <v/>
      </c>
      <c r="E674">
        <f>INDEX(FactorTable!$B$2:$Y$301, MATCH(ROUND(MIN(300,MAX(1,D674)),0), FactorTable!$A$2:$A$301,0), Skills!L24+1)</f>
        <v/>
      </c>
      <c r="F674">
        <f>IF(Skills!M24=TRUE,(Skills!K24/10)*(E674/1000),Skills!K24/10)+Skills!N24</f>
        <v/>
      </c>
      <c r="G674">
        <f>Calc!G24</f>
        <v/>
      </c>
      <c r="H674">
        <f>Calc!H24</f>
        <v/>
      </c>
      <c r="I674">
        <f>IF(Skills!T24&lt;&gt;"",1+(Skills!T24/10)*($Z$3/1000)/100,1)</f>
        <v/>
      </c>
      <c r="J674" t="inlineStr"/>
      <c r="K674" t="inlineStr"/>
      <c r="L674" t="inlineStr"/>
      <c r="M674" t="inlineStr"/>
      <c r="N674" t="inlineStr"/>
      <c r="O674">
        <f>(1-Summary!$B$48)*S674+Summary!$B$48*U674</f>
        <v/>
      </c>
      <c r="P674">
        <f>IF(B692=0,0,O674/B692)</f>
        <v/>
      </c>
      <c r="Q674">
        <f>IFERROR(1/IF(Inputs!$B$39="pvp",15,MAX(0.1,Skills!D24-IF(Skills!E24=TRUE,Inputs!$B$33,0))),0)</f>
        <v/>
      </c>
      <c r="R674" t="n">
        <v>0</v>
      </c>
      <c r="S674" t="n">
        <v>0</v>
      </c>
      <c r="U674" t="n">
        <v>0</v>
      </c>
    </row>
    <row r="675">
      <c r="A675">
        <f>Skills!A25</f>
        <v/>
      </c>
      <c r="B675">
        <f>Skills!B25</f>
        <v/>
      </c>
      <c r="C675">
        <f>Inputs!$B$3&gt;=74</f>
        <v/>
      </c>
      <c r="D675">
        <f>IF(Skills!C25=1,60+Inputs!$B$26+Inputs!$B$30,IF(Skills!C25=2,90+Inputs!$B$27+Inputs!$B$30,IF(Skills!C25=3,120+Inputs!$B$28+Inputs!$B$30,MAX(0,(Inputs!$B$3-100)*3)+Inputs!$B$29+Inputs!$B$30)))</f>
        <v/>
      </c>
      <c r="E675">
        <f>INDEX(FactorTable!$B$2:$Y$301, MATCH(ROUND(MIN(300,MAX(1,D675)),0), FactorTable!$A$2:$A$301,0), Skills!L25+1)</f>
        <v/>
      </c>
      <c r="F675">
        <f>IF(Skills!M25=TRUE,(Skills!K25/10)*(E675/1000),Skills!K25/10)+Skills!N25</f>
        <v/>
      </c>
      <c r="G675">
        <f>Calc!G25</f>
        <v/>
      </c>
      <c r="H675">
        <f>Calc!H25</f>
        <v/>
      </c>
      <c r="I675">
        <f>IF(Skills!T25&lt;&gt;"",1+(Skills!T25/10)*($Z$3/1000)/100,1)</f>
        <v/>
      </c>
      <c r="J675" t="inlineStr"/>
      <c r="K675" t="inlineStr"/>
      <c r="L675" t="inlineStr"/>
      <c r="M675" t="inlineStr"/>
      <c r="N675" t="inlineStr"/>
      <c r="O675">
        <f>(1-Summary!$B$48)*S675+Summary!$B$48*U675</f>
        <v/>
      </c>
      <c r="P675">
        <f>IF(B692=0,0,O675/B692)</f>
        <v/>
      </c>
      <c r="Q675">
        <f>IFERROR(1/IF(Inputs!$B$39="pvp",15,MAX(0.1,Skills!D25-IF(Skills!E25=TRUE,Inputs!$B$33,0))),0)</f>
        <v/>
      </c>
      <c r="R675" t="n">
        <v>0</v>
      </c>
      <c r="S675" t="n">
        <v>0</v>
      </c>
      <c r="U675" t="n">
        <v>0</v>
      </c>
    </row>
    <row r="676">
      <c r="A676">
        <f>Skills!A26</f>
        <v/>
      </c>
      <c r="B676">
        <f>Skills!B26</f>
        <v/>
      </c>
      <c r="C676">
        <f>Inputs!$B$3&gt;=117</f>
        <v/>
      </c>
      <c r="D676">
        <f>IF(Skills!C26=1,60+Inputs!$B$26+Inputs!$B$30,IF(Skills!C26=2,90+Inputs!$B$27+Inputs!$B$30,IF(Skills!C26=3,120+Inputs!$B$28+Inputs!$B$30,MAX(0,(Inputs!$B$3-100)*3)+Inputs!$B$29+Inputs!$B$30)))</f>
        <v/>
      </c>
      <c r="E676">
        <f>INDEX(FactorTable!$B$2:$Y$301, MATCH(ROUND(MIN(300,MAX(1,D676)),0), FactorTable!$A$2:$A$301,0), Skills!L26+1)</f>
        <v/>
      </c>
      <c r="F676">
        <f>IF(Skills!M26=TRUE,(Skills!K26/10)*(E676/1000),Skills!K26/10)+Skills!N26</f>
        <v/>
      </c>
      <c r="G676">
        <f>Calc!G26</f>
        <v/>
      </c>
      <c r="H676">
        <f>Calc!H26</f>
        <v/>
      </c>
      <c r="I676">
        <f>IF(Skills!T26&lt;&gt;"",1+(Skills!T26/10)*($Z$3/1000)/100,1)</f>
        <v/>
      </c>
      <c r="J676" t="inlineStr"/>
      <c r="K676" t="inlineStr"/>
      <c r="L676" t="inlineStr"/>
      <c r="M676" t="inlineStr"/>
      <c r="N676" t="inlineStr"/>
      <c r="O676">
        <f>(1-Summary!$B$48)*S676+Summary!$B$48*U676</f>
        <v/>
      </c>
      <c r="P676">
        <f>IF(B692=0,0,O676/B692)</f>
        <v/>
      </c>
      <c r="Q676">
        <f>IFERROR(1/IF(Inputs!$B$39="pvp",15,MAX(0.1,Skills!D26-IF(Skills!E26=TRUE,Inputs!$B$33,0))),0)</f>
        <v/>
      </c>
      <c r="R676" t="n">
        <v>0</v>
      </c>
      <c r="S676" t="n">
        <v>0</v>
      </c>
      <c r="U676" t="n">
        <v>0</v>
      </c>
    </row>
    <row r="677">
      <c r="A677">
        <f>Skills!A27</f>
        <v/>
      </c>
      <c r="B677">
        <f>Skills!B27</f>
        <v/>
      </c>
      <c r="C677">
        <f>Inputs!$B$3&gt;=120</f>
        <v/>
      </c>
      <c r="D677">
        <f>IF(Skills!C27=1,60+Inputs!$B$26+Inputs!$B$30,IF(Skills!C27=2,90+Inputs!$B$27+Inputs!$B$30,IF(Skills!C27=3,120+Inputs!$B$28+Inputs!$B$30,MAX(0,(Inputs!$B$3-100)*3)+Inputs!$B$29+Inputs!$B$30)))</f>
        <v/>
      </c>
      <c r="E677">
        <f>INDEX(FactorTable!$B$2:$Y$301, MATCH(ROUND(MIN(300,MAX(1,D677)),0), FactorTable!$A$2:$A$301,0), Skills!L27+1)</f>
        <v/>
      </c>
      <c r="F677">
        <f>IF(Skills!M27=TRUE,(Skills!K27/10)*(E677/1000),Skills!K27/10)+Skills!N27</f>
        <v/>
      </c>
      <c r="G677">
        <f>Calc!G27</f>
        <v/>
      </c>
      <c r="H677">
        <f>Calc!H27</f>
        <v/>
      </c>
      <c r="I677">
        <f>IF(Skills!T27&lt;&gt;"",1+(Skills!T27/10)*($Z$3/1000)/100,1)</f>
        <v/>
      </c>
      <c r="J677" t="inlineStr"/>
      <c r="K677" t="inlineStr"/>
      <c r="L677" t="inlineStr"/>
      <c r="M677" t="inlineStr"/>
      <c r="N677" t="inlineStr"/>
      <c r="O677">
        <f>(1-Summary!$B$48)*S677+Summary!$B$48*U677</f>
        <v/>
      </c>
      <c r="P677">
        <f>IF(B692=0,0,O677/B692)</f>
        <v/>
      </c>
      <c r="Q677">
        <f>IFERROR(1/IF(Inputs!$B$39="pvp",15,MAX(0.1,Skills!D27-IF(Skills!E27=TRUE,Inputs!$B$33,0))),0)</f>
        <v/>
      </c>
      <c r="R677" t="n">
        <v>0</v>
      </c>
      <c r="S677" t="n">
        <v>0</v>
      </c>
      <c r="U677" t="n">
        <v>0</v>
      </c>
    </row>
    <row r="679">
      <c r="A679" t="inlineStr">
        <is>
          <t>Average Buff Multiplier</t>
        </is>
      </c>
      <c r="B679">
        <f>(1+(IF(C653=TRUE,F653*IF(AND(Inputs!$B$39&lt;&gt;"pvp",Inputs!$B$44&gt;0),(((R653-1)*(Skills!S3*(1+(Inputs!$B$35+IF(Inputs!$B$3&gt;=117,F676,0))/100))+MIN((Skills!S3*(1+(Inputs!$B$35+IF(Inputs!$B$3&gt;=117,F676,0))/100)),MAX(0,Inputs!$B$44-((R653-1)*Skills!D3))))/Inputs!$B$44),IF(Inputs!$B$39="pvp",MIN((Skills!S3*(1+(Inputs!$B$35+IF(Inputs!$B$3&gt;=117,F676,0))/100)),15)/15,(Skills!S3*(1+(Inputs!$B$35+IF(Inputs!$B$3&gt;=117,F676,0))/100))/Skills!D3)),0)+IF(C654=TRUE,F654*IF(AND(Inputs!$B$39&lt;&gt;"pvp",Inputs!$B$44&gt;0),(((R654-1)*(Skills!S4*(1+(Inputs!$B$35+IF(Inputs!$B$3&gt;=117,F676,0))/100))+MIN((Skills!S4*(1+(Inputs!$B$35+IF(Inputs!$B$3&gt;=117,F676,0))/100)),MAX(0,Inputs!$B$44-((R654-1)*Skills!D4))))/Inputs!$B$44),IF(Inputs!$B$39="pvp",MIN((Skills!S4*(1+(Inputs!$B$35+IF(Inputs!$B$3&gt;=117,F676,0))/100)),15)/15,(Skills!S4*(1+(Inputs!$B$35+IF(Inputs!$B$3&gt;=117,F676,0))/100))/Skills!D4)),0)+IF(C655=TRUE,F655*IF(AND(Inputs!$B$39&lt;&gt;"pvp",Inputs!$B$44&gt;0),(((R655-1)*(Skills!S5*(1+(Inputs!$B$35+IF(Inputs!$B$3&gt;=117,F676,0))/100))+MIN((Skills!S5*(1+(Inputs!$B$35+IF(Inputs!$B$3&gt;=117,F676,0))/100)),MAX(0,Inputs!$B$44-((R655-1)*Skills!D5))))/Inputs!$B$44),IF(Inputs!$B$39="pvp",MIN((Skills!S5*(1+(Inputs!$B$35+IF(Inputs!$B$3&gt;=117,F676,0))/100)),15)/15,(Skills!S5*(1+(Inputs!$B$35+IF(Inputs!$B$3&gt;=117,F676,0))/100))/Skills!D5)),0)+IF(C661=TRUE,F661*IF(AND(Inputs!$B$39&lt;&gt;"pvp",Inputs!$B$44&gt;0),(((R661-1)*(Skills!S11*(1+(Inputs!$B$35+IF(Inputs!$B$3&gt;=117,F676,0))/100))+MIN((Skills!S11*(1+(Inputs!$B$35+IF(Inputs!$B$3&gt;=117,F676,0))/100)),MAX(0,Inputs!$B$44-((R661-1)*Skills!D11))))/Inputs!$B$44),IF(Inputs!$B$39="pvp",MIN((Skills!S11*(1+(Inputs!$B$35+IF(Inputs!$B$3&gt;=117,F676,0))/100)),15)/15,(Skills!S11*(1+(Inputs!$B$35+IF(Inputs!$B$3&gt;=117,F676,0))/100))/Skills!D11)),0))/100)*IF(C664=TRUE,(1+F664*IF(AND(Inputs!$B$39&lt;&gt;"pvp",Inputs!$B$44&gt;0),(((R664-1)*(Skills!S14*(1+(Inputs!$B$35+IF(Inputs!$B$3&gt;=117,F676,0))/100))+MIN((Skills!S14*(1+(Inputs!$B$35+IF(Inputs!$B$3&gt;=117,F676,0))/100)),MAX(0,Inputs!$B$44-((R664-1)*Skills!D14))))/Inputs!$B$44),IF(Inputs!$B$39="pvp",MIN((Skills!S14*(1+(Inputs!$B$35+IF(Inputs!$B$3&gt;=117,F676,0))/100)),15)/15,(Skills!S14*(1+(Inputs!$B$35+IF(Inputs!$B$3&gt;=117,F676,0))/100))/Skills!D14))/100),1)*IF(C669=TRUE,(1+F669*IF(AND(Inputs!$B$39&lt;&gt;"pvp",Inputs!$B$44&gt;0),(((R669-1)*(Skills!S19*(1+(Inputs!$B$35+IF(Inputs!$B$3&gt;=117,F676,0))/100))+MIN((Skills!S19*(1+(Inputs!$B$35+IF(Inputs!$B$3&gt;=117,F676,0))/100)),MAX(0,Inputs!$B$44-((R669-1)*Skills!D19))))/Inputs!$B$44),IF(Inputs!$B$39="pvp",MIN((Skills!S19*(1+(Inputs!$B$35+IF(Inputs!$B$3&gt;=117,F676,0))/100)),15)/15,(Skills!S19*(1+(Inputs!$B$35+IF(Inputs!$B$3&gt;=117,F676,0))/100))/Skills!D19))/100),1)</f>
        <v/>
      </c>
    </row>
    <row r="680">
      <c r="A680" t="inlineStr">
        <is>
          <t>Monster Damage Taken Bonus % (Holy Fountain)</t>
        </is>
      </c>
      <c r="B680">
        <f>IF(Inputs!$B$3&gt;=68,20*IF(Inputs!$B$39="pvp",MIN((15*(1+(Inputs!$B$35+IF(Inputs!$B$3&gt;=117,F676,0))/100)),15)/15,(15*(1+(Inputs!$B$35+IF(Inputs!$B$3&gt;=117,F676,0))/100))/Skills!D10),0)</f>
        <v/>
      </c>
    </row>
    <row r="681">
      <c r="A681" t="inlineStr">
        <is>
          <t>Normal Monster Damage Bonus % (Holy Symbol)</t>
        </is>
      </c>
      <c r="B681">
        <f>IF(C662=TRUE,F662*IF(AND(Inputs!$B$39&lt;&gt;"pvp",Inputs!$B$44&gt;0),(((R662-1)*(Skills!S12*(1+(Inputs!$B$35+IF(Inputs!$B$3&gt;=117,F676,0))/100))+MIN((Skills!S12*(1+(Inputs!$B$35+IF(Inputs!$B$3&gt;=117,F676,0))/100)),MAX(0,Inputs!$B$44-((R662-1)*Skills!D12))))/Inputs!$B$44),IF(Inputs!$B$39="pvp",MIN((Skills!S12*(1+(Inputs!$B$35+IF(Inputs!$B$3&gt;=117,F676,0))/100)),15)/15,(Skills!S12*(1+(Inputs!$B$35+IF(Inputs!$B$3&gt;=117,F676,0))/100))/Skills!D12)),0)</f>
        <v/>
      </c>
    </row>
    <row r="682">
      <c r="A682" t="inlineStr">
        <is>
          <t>Damage % Bonus (Holy Symbol - Damage Boost)</t>
        </is>
      </c>
      <c r="B682">
        <f>Skills!O12</f>
        <v/>
      </c>
    </row>
    <row r="683">
      <c r="A683" t="inlineStr">
        <is>
          <t>Crit Damage % Bonus (Blood of the Divine)</t>
        </is>
      </c>
      <c r="B683">
        <f>4*IF(C670=TRUE,F670,0)</f>
        <v/>
      </c>
    </row>
    <row r="684">
      <c r="A684" t="inlineStr">
        <is>
          <t>Attack Speed Bonus %</t>
        </is>
      </c>
      <c r="B684">
        <f>IF(C667=TRUE,F667+(F671-Calc!F21),0)+IF(Inputs!$B$3&gt;=134,15,0)</f>
        <v/>
      </c>
    </row>
    <row r="685">
      <c r="A685" t="inlineStr">
        <is>
          <t>Actions Per Second</t>
        </is>
      </c>
      <c r="B685">
        <f>1+MIN(150,150*(1-(1-Inputs!$B$12/150)*(1-B684/150)))/100</f>
        <v/>
      </c>
    </row>
    <row r="686">
      <c r="A686" t="inlineStr">
        <is>
          <t>Skill + Buff Cast Rate</t>
        </is>
      </c>
      <c r="B686">
        <f>IF(AND(Inputs!$B$39&lt;&gt;"pvp",Inputs!$B$44&gt;0),SUMPRODUCT((Skills!E2:E27=TRUE)*(C652:C677=TRUE)*R652:R677)/Inputs!$B$44,SUMPRODUCT((Skills!E2:E27=TRUE)*(C652:C677=TRUE)*Q652:Q677))</f>
        <v/>
      </c>
    </row>
    <row r="687">
      <c r="A687" t="inlineStr">
        <is>
          <t>Big Bang Casts Per Second</t>
        </is>
      </c>
      <c r="B687">
        <f>MAX(0,B685-B686)</f>
        <v/>
      </c>
    </row>
    <row r="688">
      <c r="A688" t="inlineStr">
        <is>
          <t>Defense % Bonus (Divine Protection)</t>
        </is>
      </c>
      <c r="B688">
        <f>IF(C663=TRUE,F663*IF(AND(Inputs!$B$39&lt;&gt;"pvp",Inputs!$B$44&gt;0),(((R663-1)*(Skills!S13*(1+(Inputs!$B$35+IF(Inputs!$B$3&gt;=117,F676,0))/100))+MIN((Skills!S13*(1+(Inputs!$B$35+IF(Inputs!$B$3&gt;=117,F676,0))/100)),MAX(0,Inputs!$B$44-((R663-1)*Skills!D13))))/Inputs!$B$44),IF(Inputs!$B$39="pvp",MIN((Skills!S13*(1+(Inputs!$B$35+IF(Inputs!$B$3&gt;=117,F676,0))/100)),15)/15,(Skills!S13*(1+(Inputs!$B$35+IF(Inputs!$B$3&gt;=117,F676,0))/100))/Skills!D13)),0)</f>
        <v/>
      </c>
    </row>
    <row r="689">
      <c r="A689" t="inlineStr">
        <is>
          <t>Buff-Casting Startup Delay (s, fixed-duration only)</t>
        </is>
      </c>
      <c r="B689">
        <f>IF(AND(Inputs!$B$39&lt;&gt;"pvp",Inputs!$B$44&gt;0),SUMPRODUCT((Skills!S2:S27&gt;0)*(Skills!E2:E27=TRUE)*(C652:C677=TRUE))/B685,0)</f>
        <v/>
      </c>
    </row>
    <row r="690">
      <c r="A690" t="inlineStr">
        <is>
          <t>Boss-Only Total DPS (this block's swept value)</t>
        </is>
      </c>
      <c r="B690">
        <f>SUM(S652:S677)</f>
        <v/>
      </c>
    </row>
    <row r="691">
      <c r="A691" t="inlineStr">
        <is>
          <t>Normal-Only Total DPS (this block's swept value)</t>
        </is>
      </c>
      <c r="B691">
        <f>SUM(U652:U677)</f>
        <v/>
      </c>
    </row>
    <row r="692">
      <c r="A692" s="5" t="inlineStr">
        <is>
          <t>TOTAL DPS</t>
        </is>
      </c>
      <c r="B692" s="5">
        <f>SUM(O652:O677)</f>
        <v/>
      </c>
    </row>
    <row r="694">
      <c r="A694" s="5" t="inlineStr">
        <is>
          <t>Stat: BASIC_ATTACK_DAMAGE %</t>
        </is>
      </c>
    </row>
    <row r="695">
      <c r="A695" s="9" t="inlineStr">
        <is>
          <t>Key</t>
        </is>
      </c>
      <c r="B695" s="9" t="inlineStr">
        <is>
          <t>Name</t>
        </is>
      </c>
      <c r="C695" s="9" t="inlineStr">
        <is>
          <t>Unlocked</t>
        </is>
      </c>
      <c r="D695" s="9" t="inlineStr">
        <is>
          <t>InputLevel</t>
        </is>
      </c>
      <c r="E695" s="9" t="inlineStr">
        <is>
          <t>Factor</t>
        </is>
      </c>
      <c r="F695" s="9" t="inlineStr">
        <is>
          <t>CoefficientPercent</t>
        </is>
      </c>
      <c r="G695" s="9" t="inlineStr">
        <is>
          <t>EffectiveHits</t>
        </is>
      </c>
      <c r="H695" s="9" t="inlineStr">
        <is>
          <t>ProcProbability</t>
        </is>
      </c>
      <c r="I695" s="9" t="inlineStr">
        <is>
          <t>MapleHeroMultiplier</t>
        </is>
      </c>
      <c r="J695" s="9" t="inlineStr">
        <is>
          <t>BaseDamage</t>
        </is>
      </c>
      <c r="K695" s="9" t="inlineStr">
        <is>
          <t>BaseHitDamage</t>
        </is>
      </c>
      <c r="L695" s="9" t="inlineStr">
        <is>
          <t>NonCritAvg</t>
        </is>
      </c>
      <c r="M695" s="9" t="inlineStr">
        <is>
          <t>CritAvg</t>
        </is>
      </c>
      <c r="N695" s="9" t="inlineStr">
        <is>
          <t>ExpectedDamage(perHit)</t>
        </is>
      </c>
      <c r="O695" s="9" t="inlineStr">
        <is>
          <t>DPS</t>
        </is>
      </c>
      <c r="P695" s="9" t="inlineStr">
        <is>
          <t>% of Total</t>
        </is>
      </c>
      <c r="R695" t="inlineStr">
        <is>
          <t>helpers</t>
        </is>
      </c>
    </row>
    <row r="696">
      <c r="A696">
        <f>Skills!A2</f>
        <v/>
      </c>
      <c r="B696">
        <f>Skills!B2</f>
        <v/>
      </c>
      <c r="C696">
        <f>Inputs!$B$3&gt;=100</f>
        <v/>
      </c>
      <c r="D696" t="inlineStr"/>
      <c r="E696" t="inlineStr"/>
      <c r="F696">
        <f>T698+Skills!N2</f>
        <v/>
      </c>
      <c r="G696">
        <f>Calc!G2</f>
        <v/>
      </c>
      <c r="H696">
        <f>Calc!H2</f>
        <v/>
      </c>
      <c r="I696">
        <f>IF(Skills!T2&lt;&gt;"",1+(Skills!T2/10)*($Z$3/1000)/100,1)</f>
        <v/>
      </c>
      <c r="J696">
        <f>((Inputs!$B$6*(1+Inputs!$B$7/100))+(((Inputs!$B$13*(1+Inputs!$B$14/100))-(Inputs!$B$13*(1+Inputs!$B$14/100)))+0.25*(Inputs!$B$15-Inputs!$B$15))*(1+Inputs!$B$7/100))*(F696/100)</f>
        <v/>
      </c>
      <c r="K696">
        <f>J696*(1+(((Inputs!$B$13+IF(Inputs!$B$3&gt;=35,(10*INDEX(FactorTable!$B$2:$Y$301, MATCH(ROUND(MIN(300,MAX(1,Inputs!$B$3)),0), FactorTable!$A$2:$A$301,0), 23)/1000)/100*(Inputs!$B$8*(1+(Inputs!$B$9+B732)/100)),0))*(1+Inputs!$B$14/100))*0.01+Inputs!$B$15*0.0025)/100)*(1+(Inputs!$B$16+B726)/100)*(1+Inputs!$B$17/100)*(5000/(6000+Inputs!$B$43*(1-Inputs!$B$20/100)))*(1+Inputs!$B$25/100)*(1+IF(C712=TRUE,F712,0)/100)*(1+IF(C714=TRUE,F714,0)/100)*(1+IF(Skills!A2="TRIUMPH_FEATHER",IF(C710=TRUE,F710,0),0)/100)*(1+IF(C721=TRUE,F721,0)/100)^5*(1+(IF(Skills!A2="BIG_BANG",(Inputs!$B$18+1),Inputs!$B$19))/100)*(B723*I696)</f>
        <v/>
      </c>
      <c r="L696">
        <f>K696*(MIN(Inputs!$B$23+(F716-Calc!F22),Inputs!$B$24)/100+Inputs!$B$24/100)/2</f>
        <v/>
      </c>
      <c r="M696">
        <f>L696*(1+(Inputs!$B$11+B727+(F719-Calc!F25))/100)</f>
        <v/>
      </c>
      <c r="N696">
        <f>L696*(1-MIN(Inputs!$B$10+((F718-Calc!F24)+(F717-Calc!F23)),100)/100)+M696*(MIN(Inputs!$B$10+((F718-Calc!F24)+(F717-Calc!F23)),100)/100)</f>
        <v/>
      </c>
      <c r="O696">
        <f>(1-Summary!$B$48)*S696+Summary!$B$48*U696</f>
        <v/>
      </c>
      <c r="P696">
        <f>IF(B736=0,0,O696/B736)</f>
        <v/>
      </c>
      <c r="Q696">
        <f>IFERROR(1/IF(Inputs!$B$39="pvp",15,MAX(0.1,Skills!D2-IF(Skills!E2=TRUE,Inputs!$B$33,0))),0)</f>
        <v/>
      </c>
      <c r="R696" t="n">
        <v>0</v>
      </c>
      <c r="S696">
        <f>IF(C696,(Skills!F2*N696*B731)*IF(Inputs!$B$39="pvp",1,1+(Inputs!$B$21+Skills!O2+B724)/100),0)</f>
        <v/>
      </c>
      <c r="T696">
        <f>MAX(0,(Inputs!$B$3-100)*3)+Inputs!$B$29+Inputs!$B$30</f>
        <v/>
      </c>
      <c r="U696">
        <f>IF(C696,(Skills!F2*N696*B731)*IF(Inputs!$B$39="pvp",1,(1+(Inputs!$B$22+Skills!P2+B725)/100)*(MIN((6+Inputs!$B$34),Inputs!$B$38))),0)</f>
        <v/>
      </c>
    </row>
    <row r="697">
      <c r="A697">
        <f>Skills!A3</f>
        <v/>
      </c>
      <c r="B697">
        <f>Skills!B3</f>
        <v/>
      </c>
      <c r="C697">
        <f>Inputs!$B$3&gt;=15</f>
        <v/>
      </c>
      <c r="D697">
        <f>IF(Skills!C3=1,60+Inputs!$B$26+Inputs!$B$30,IF(Skills!C3=2,90+Inputs!$B$27+Inputs!$B$30,IF(Skills!C3=3,120+Inputs!$B$28+Inputs!$B$30,MAX(0,(Inputs!$B$3-100)*3)+Inputs!$B$29+Inputs!$B$30)))</f>
        <v/>
      </c>
      <c r="E697">
        <f>INDEX(FactorTable!$B$2:$Y$301, MATCH(ROUND(MIN(300,MAX(1,D697)),0), FactorTable!$A$2:$A$301,0), Skills!L3+1)</f>
        <v/>
      </c>
      <c r="F697">
        <f>IF(Skills!M3=TRUE,(Skills!K3/10)*(E697/1000),Skills!K3/10)+Skills!N3</f>
        <v/>
      </c>
      <c r="G697">
        <f>Calc!G3</f>
        <v/>
      </c>
      <c r="H697">
        <f>Calc!H3</f>
        <v/>
      </c>
      <c r="I697">
        <f>IF(Skills!T3&lt;&gt;"",1+(Skills!T3/10)*($Z$3/1000)/100,1)</f>
        <v/>
      </c>
      <c r="J697" t="inlineStr"/>
      <c r="K697" t="inlineStr"/>
      <c r="L697" t="inlineStr"/>
      <c r="M697" t="inlineStr"/>
      <c r="N697" t="inlineStr"/>
      <c r="O697">
        <f>(1-Summary!$B$48)*S697+Summary!$B$48*U697</f>
        <v/>
      </c>
      <c r="P697">
        <f>IF(B736=0,0,O697/B736)</f>
        <v/>
      </c>
      <c r="Q697">
        <f>IFERROR(1/IF(Inputs!$B$39="pvp",15,MAX(0.1,Skills!D3-IF(Skills!E3=TRUE,Inputs!$B$33,0))),0)</f>
        <v/>
      </c>
      <c r="R697">
        <f>IF(AND(Inputs!$B$39&lt;&gt;"pvp",Inputs!$B$44&gt;0),IF(Inputs!$B$44&lt;=0,0,(INT(Inputs!$B$44/IF(Inputs!$B$39="pvp",15,MAX(0.1,Skills!D3-IF(Skills!E3=TRUE,Inputs!$B$33,0))))+1)),0)</f>
        <v/>
      </c>
      <c r="S697" t="n">
        <v>0</v>
      </c>
      <c r="T697">
        <f>INDEX(FactorTable!$B$2:$Y$301, MATCH(ROUND(MIN(300,MAX(1,T696)),0), FactorTable!$A$2:$A$301,0), 22)</f>
        <v/>
      </c>
      <c r="U697" t="n">
        <v>0</v>
      </c>
    </row>
    <row r="698">
      <c r="A698">
        <f>Skills!A4</f>
        <v/>
      </c>
      <c r="B698">
        <f>Skills!B4</f>
        <v/>
      </c>
      <c r="C698">
        <f>Inputs!$B$3&gt;=38</f>
        <v/>
      </c>
      <c r="D698">
        <f>IF(Skills!C4=1,60+Inputs!$B$26+Inputs!$B$30,IF(Skills!C4=2,90+Inputs!$B$27+Inputs!$B$30,IF(Skills!C4=3,120+Inputs!$B$28+Inputs!$B$30,MAX(0,(Inputs!$B$3-100)*3)+Inputs!$B$29+Inputs!$B$30)))</f>
        <v/>
      </c>
      <c r="E698">
        <f>INDEX(FactorTable!$B$2:$Y$301, MATCH(ROUND(MIN(300,MAX(1,D698)),0), FactorTable!$A$2:$A$301,0), Skills!L4+1)</f>
        <v/>
      </c>
      <c r="F698">
        <f>IF(Skills!M4=TRUE,(Skills!K4/10)*(E698/1000),Skills!K4/10)+Skills!N4</f>
        <v/>
      </c>
      <c r="G698">
        <f>Calc!G4</f>
        <v/>
      </c>
      <c r="H698">
        <f>Calc!H4</f>
        <v/>
      </c>
      <c r="I698">
        <f>IF(Skills!T4&lt;&gt;"",1+(Skills!T4/10)*($Z$3/1000)/100,1)</f>
        <v/>
      </c>
      <c r="J698" t="inlineStr"/>
      <c r="K698" t="inlineStr"/>
      <c r="L698" t="inlineStr"/>
      <c r="M698" t="inlineStr"/>
      <c r="N698" t="inlineStr"/>
      <c r="O698">
        <f>(1-Summary!$B$48)*S698+Summary!$B$48*U698</f>
        <v/>
      </c>
      <c r="P698">
        <f>IF(B736=0,0,O698/B736)</f>
        <v/>
      </c>
      <c r="Q698">
        <f>IFERROR(1/IF(Inputs!$B$39="pvp",15,MAX(0.1,Skills!D4-IF(Skills!E4=TRUE,Inputs!$B$33,0))),0)</f>
        <v/>
      </c>
      <c r="R698">
        <f>IF(AND(Inputs!$B$39&lt;&gt;"pvp",Inputs!$B$44&gt;0),IF(Inputs!$B$44&lt;=0,0,(INT(Inputs!$B$44/IF(Inputs!$B$39="pvp",15,MAX(0.1,Skills!D4-IF(Skills!E4=TRUE,Inputs!$B$33,0))))+1)),0)</f>
        <v/>
      </c>
      <c r="S698" t="n">
        <v>0</v>
      </c>
      <c r="T698">
        <f>290*T697/1000</f>
        <v/>
      </c>
      <c r="U698" t="n">
        <v>0</v>
      </c>
    </row>
    <row r="699">
      <c r="A699">
        <f>Skills!A5</f>
        <v/>
      </c>
      <c r="B699">
        <f>Skills!B5</f>
        <v/>
      </c>
      <c r="C699">
        <f>Inputs!$B$3&gt;=40</f>
        <v/>
      </c>
      <c r="D699">
        <f>IF(Skills!C5=1,60+Inputs!$B$26+Inputs!$B$30,IF(Skills!C5=2,90+Inputs!$B$27+Inputs!$B$30,IF(Skills!C5=3,120+Inputs!$B$28+Inputs!$B$30,MAX(0,(Inputs!$B$3-100)*3)+Inputs!$B$29+Inputs!$B$30)))</f>
        <v/>
      </c>
      <c r="E699">
        <f>INDEX(FactorTable!$B$2:$Y$301, MATCH(ROUND(MIN(300,MAX(1,D699)),0), FactorTable!$A$2:$A$301,0), Skills!L5+1)</f>
        <v/>
      </c>
      <c r="F699">
        <f>IF(Skills!M5=TRUE,(Skills!K5/10)*(E699/1000),Skills!K5/10)+Skills!N5</f>
        <v/>
      </c>
      <c r="G699">
        <f>Calc!G5</f>
        <v/>
      </c>
      <c r="H699">
        <f>Calc!H5</f>
        <v/>
      </c>
      <c r="I699">
        <f>IF(Skills!T5&lt;&gt;"",1+(Skills!T5/10)*($Z$3/1000)/100,1)</f>
        <v/>
      </c>
      <c r="J699" t="inlineStr"/>
      <c r="K699" t="inlineStr"/>
      <c r="L699" t="inlineStr"/>
      <c r="M699" t="inlineStr"/>
      <c r="N699" t="inlineStr"/>
      <c r="O699">
        <f>(1-Summary!$B$48)*S699+Summary!$B$48*U699</f>
        <v/>
      </c>
      <c r="P699">
        <f>IF(B736=0,0,O699/B736)</f>
        <v/>
      </c>
      <c r="Q699">
        <f>IFERROR(1/IF(Inputs!$B$39="pvp",15,MAX(0.1,Skills!D5-IF(Skills!E5=TRUE,Inputs!$B$33,0))),0)</f>
        <v/>
      </c>
      <c r="R699">
        <f>IF(AND(Inputs!$B$39&lt;&gt;"pvp",Inputs!$B$44&gt;0),IF(Inputs!$B$44&lt;=0,0,(INT(Inputs!$B$44/IF(Inputs!$B$39="pvp",15,MAX(0.1,Skills!D5-IF(Skills!E5=TRUE,Inputs!$B$33,0))))+1)),0)</f>
        <v/>
      </c>
      <c r="S699" t="n">
        <v>0</v>
      </c>
      <c r="U699" t="n">
        <v>0</v>
      </c>
    </row>
    <row r="700">
      <c r="A700">
        <f>Skills!A6</f>
        <v/>
      </c>
      <c r="B700">
        <f>Skills!B6</f>
        <v/>
      </c>
      <c r="C700">
        <f>Inputs!$B$3&gt;=103</f>
        <v/>
      </c>
      <c r="D700">
        <f>IF(Skills!C6=1,60+Inputs!$B$26+Inputs!$B$30,IF(Skills!C6=2,90+Inputs!$B$27+Inputs!$B$30,IF(Skills!C6=3,120+Inputs!$B$28+Inputs!$B$30,MAX(0,(Inputs!$B$3-100)*3)+Inputs!$B$29+Inputs!$B$30)))</f>
        <v/>
      </c>
      <c r="E700">
        <f>INDEX(FactorTable!$B$2:$Y$301, MATCH(ROUND(MIN(300,MAX(1,D700)),0), FactorTable!$A$2:$A$301,0), Skills!L6+1)</f>
        <v/>
      </c>
      <c r="F700">
        <f>IF(Skills!M6=TRUE,(Skills!K6/10)*(E700/1000),Skills!K6/10)+Skills!N6</f>
        <v/>
      </c>
      <c r="G700">
        <f>Calc!G6</f>
        <v/>
      </c>
      <c r="H700">
        <f>Calc!H6</f>
        <v/>
      </c>
      <c r="I700">
        <f>IF(Skills!T6&lt;&gt;"",1+(Skills!T6/10)*($Z$3/1000)/100,1)</f>
        <v/>
      </c>
      <c r="J700">
        <f>((Inputs!$B$6*(1+Inputs!$B$7/100))+(((Inputs!$B$13*(1+Inputs!$B$14/100))-(Inputs!$B$13*(1+Inputs!$B$14/100)))+0.25*(Inputs!$B$15-Inputs!$B$15))*(1+Inputs!$B$7/100))*(F700/100)</f>
        <v/>
      </c>
      <c r="K700">
        <f>J700*(1+(((Inputs!$B$13+IF(Inputs!$B$3&gt;=35,(10*INDEX(FactorTable!$B$2:$Y$301, MATCH(ROUND(MIN(300,MAX(1,Inputs!$B$3)),0), FactorTable!$A$2:$A$301,0), 23)/1000)/100*(Inputs!$B$8*(1+(Inputs!$B$9+B732)/100)),0))*(1+Inputs!$B$14/100))*0.01+Inputs!$B$15*0.0025)/100)*(1+(Inputs!$B$16+B726)/100)*(1+Inputs!$B$17/100)*(5000/(6000+Inputs!$B$43*(1-Inputs!$B$20/100)))*(1+Inputs!$B$25/100)*(1+IF(C712=TRUE,F712,0)/100)*(1+IF(C714=TRUE,F714,0)/100)*(1+IF(Skills!A6="TRIUMPH_FEATHER",IF(C710=TRUE,F710,0),0)/100)*(1+IF(C721=TRUE,F721,0)/100)^5*(1+(IF(Skills!A6="BIG_BANG",(Inputs!$B$18+1),Inputs!$B$19))/100)*(B723*I700)</f>
        <v/>
      </c>
      <c r="L700">
        <f>K700*(MIN(Inputs!$B$23+(F716-Calc!F22),Inputs!$B$24)/100+Inputs!$B$24/100)/2</f>
        <v/>
      </c>
      <c r="M700">
        <f>L700*(1+(Inputs!$B$11+B727+(F719-Calc!F25))/100)</f>
        <v/>
      </c>
      <c r="N700">
        <f>L700*(1-MIN(Inputs!$B$10+((F718-Calc!F24)+(F717-Calc!F23)),100)/100)+M700*(MIN(Inputs!$B$10+((F718-Calc!F24)+(F717-Calc!F23)),100)/100)</f>
        <v/>
      </c>
      <c r="O700">
        <f>(1-Summary!$B$48)*S700+Summary!$B$48*U700</f>
        <v/>
      </c>
      <c r="P700">
        <f>IF(B736=0,0,O700/B736)</f>
        <v/>
      </c>
      <c r="Q700">
        <f>IFERROR(1/IF(Inputs!$B$39="pvp",15,MAX(0.1,Skills!D6-IF(Skills!E6=TRUE,Inputs!$B$33,0))),0)</f>
        <v/>
      </c>
      <c r="R700">
        <f>IF(AND(Inputs!$B$39&lt;&gt;"pvp",Inputs!$B$44&gt;0),IF(MAX(0,Inputs!$B$44-B733)&lt;=0,0,(INT(MAX(0,Inputs!$B$44-B733)/IF(Inputs!$B$39="pvp",15,MAX(0.1,Skills!D6-IF(Skills!E6=TRUE,Inputs!$B$33,0))))+1)),0)</f>
        <v/>
      </c>
      <c r="S700">
        <f>IF(C700,(H700*N700*IF(AND(Inputs!$B$39&lt;&gt;"pvp",Inputs!$B$44&gt;0),((Skills!F6*((R700-1)*IF(Skills!G6&gt;0,Skills!H6/Skills!G6,1)+IF(Skills!G6&gt;0,MIN(Skills!H6,MAX(0,MAX(0,Inputs!$B$44-B733)-((R700-1)*IF(Inputs!$B$39="pvp",15,MAX(0.1,Skills!D6-IF(Skills!E6=TRUE,Inputs!$B$33,0))))))/Skills!G6,1)))/Inputs!$B$44),G700*Q700))*IF(Inputs!$B$39="pvp",1,1+(Inputs!$B$21+Skills!O6+B724)/100),0)</f>
        <v/>
      </c>
      <c r="U700">
        <f>IF(C700,(H700*N700*IF(AND(Inputs!$B$39&lt;&gt;"pvp",Inputs!$B$44&gt;0),((Skills!F6*((R700-1)*IF(Skills!G6&gt;0,Skills!H6/Skills!G6,1)+IF(Skills!G6&gt;0,MIN(Skills!H6,MAX(0,MAX(0,Inputs!$B$44-B733)-((R700-1)*IF(Inputs!$B$39="pvp",15,MAX(0.1,Skills!D6-IF(Skills!E6=TRUE,Inputs!$B$33,0))))))/Skills!G6,1)))/Inputs!$B$44),G700*Q700))*IF(Inputs!$B$39="pvp",1,(1+(Inputs!$B$22+Skills!P6+B725)/100)*(MIN(Skills!Q6,Inputs!$B$38))),0)</f>
        <v/>
      </c>
    </row>
    <row r="701">
      <c r="A701">
        <f>Skills!A7</f>
        <v/>
      </c>
      <c r="B701">
        <f>Skills!B7</f>
        <v/>
      </c>
      <c r="C701">
        <f>Inputs!$B$3&gt;=122</f>
        <v/>
      </c>
      <c r="D701">
        <f>IF(Skills!C7=1,60+Inputs!$B$26+Inputs!$B$30,IF(Skills!C7=2,90+Inputs!$B$27+Inputs!$B$30,IF(Skills!C7=3,120+Inputs!$B$28+Inputs!$B$30,MAX(0,(Inputs!$B$3-100)*3)+Inputs!$B$29+Inputs!$B$30)))</f>
        <v/>
      </c>
      <c r="E701">
        <f>INDEX(FactorTable!$B$2:$Y$301, MATCH(ROUND(MIN(300,MAX(1,D701)),0), FactorTable!$A$2:$A$301,0), Skills!L7+1)</f>
        <v/>
      </c>
      <c r="F701">
        <f>IF(Skills!M7=TRUE,(Skills!K7/10)*(E701/1000),Skills!K7/10)+Skills!N7</f>
        <v/>
      </c>
      <c r="G701">
        <f>Calc!G7</f>
        <v/>
      </c>
      <c r="H701">
        <f>Calc!H7</f>
        <v/>
      </c>
      <c r="I701">
        <f>IF(Skills!T7&lt;&gt;"",1+(Skills!T7/10)*($Z$3/1000)/100,1)</f>
        <v/>
      </c>
      <c r="J701">
        <f>((Inputs!$B$6*(1+Inputs!$B$7/100))+(((Inputs!$B$13*(1+Inputs!$B$14/100))-(Inputs!$B$13*(1+Inputs!$B$14/100)))+0.25*(Inputs!$B$15-Inputs!$B$15))*(1+Inputs!$B$7/100))*(F701/100)</f>
        <v/>
      </c>
      <c r="K701">
        <f>J701*(1+(((Inputs!$B$13+IF(Inputs!$B$3&gt;=35,(10*INDEX(FactorTable!$B$2:$Y$301, MATCH(ROUND(MIN(300,MAX(1,Inputs!$B$3)),0), FactorTable!$A$2:$A$301,0), 23)/1000)/100*(Inputs!$B$8*(1+(Inputs!$B$9+B732)/100)),0))*(1+Inputs!$B$14/100))*0.01+Inputs!$B$15*0.0025)/100)*(1+(Inputs!$B$16+B726)/100)*(1+Inputs!$B$17/100)*(5000/(6000+Inputs!$B$43*(1-Inputs!$B$20/100)))*(1+Inputs!$B$25/100)*(1+IF(C712=TRUE,F712,0)/100)*(1+IF(C714=TRUE,F714,0)/100)*(1+IF(Skills!A7="TRIUMPH_FEATHER",IF(C710=TRUE,F710,0),0)/100)*(1+IF(C721=TRUE,F721,0)/100)^5*(1+(IF(Skills!A7="BIG_BANG",(Inputs!$B$18+1),Inputs!$B$19))/100)*(B723*I701)</f>
        <v/>
      </c>
      <c r="L701">
        <f>K701*(MIN(Inputs!$B$23+(F716-Calc!F22),Inputs!$B$24)/100+Inputs!$B$24/100)/2</f>
        <v/>
      </c>
      <c r="M701">
        <f>L701*(1+(Inputs!$B$11+B727+(F719-Calc!F25))/100)</f>
        <v/>
      </c>
      <c r="N701">
        <f>L701*(1-MIN(Inputs!$B$10+((F718-Calc!F24)+(F717-Calc!F23)),100)/100)+M701*(MIN(Inputs!$B$10+((F718-Calc!F24)+(F717-Calc!F23)),100)/100)</f>
        <v/>
      </c>
      <c r="O701">
        <f>(1-Summary!$B$48)*S701+Summary!$B$48*U701</f>
        <v/>
      </c>
      <c r="P701">
        <f>IF(B736=0,0,O701/B736)</f>
        <v/>
      </c>
      <c r="Q701">
        <f>IFERROR(1/IF(Inputs!$B$39="pvp",15,MAX(0.1,Skills!D7-IF(Skills!E6=TRUE,Inputs!$B$33,0))),0)</f>
        <v/>
      </c>
      <c r="R701">
        <f>IF(AND(Inputs!$B$39&lt;&gt;"pvp",Inputs!$B$44&gt;0),IF(MAX(0,Inputs!$B$44-B733)&lt;=0,0,(INT(MAX(0,Inputs!$B$44-B733)/IF(Inputs!$B$39="pvp",15,MAX(0.1,Skills!D7-IF(Skills!E6=TRUE,Inputs!$B$33,0))))+1)),0)</f>
        <v/>
      </c>
      <c r="S701">
        <f>IF(C701,H701*N701*IF(AND(Inputs!$B$39&lt;&gt;"pvp",Inputs!$B$44&gt;0),((Skills!F7*((R701-1)*IF(Skills!G7&gt;0,Skills!H7/Skills!G7,1)+IF(Skills!G7&gt;0,MIN(Skills!H7,MAX(0,MAX(0,Inputs!$B$44-B733)-((R701-1)*IF(Inputs!$B$39="pvp",15,MAX(0.1,Skills!D7-IF(Skills!E6=TRUE,Inputs!$B$33,0))))))/Skills!G7,1)))/Inputs!$B$44),G701*Q701)*IF(Inputs!$B$39="pvp",1,1+(Inputs!$B$21+Skills!O7+B724)/100),0)</f>
        <v/>
      </c>
      <c r="U701" t="n">
        <v>0</v>
      </c>
    </row>
    <row r="702">
      <c r="A702">
        <f>Skills!A8</f>
        <v/>
      </c>
      <c r="B702">
        <f>Skills!B8</f>
        <v/>
      </c>
      <c r="C702">
        <f>Inputs!$B$3&gt;=105</f>
        <v/>
      </c>
      <c r="D702">
        <f>IF(Skills!C8=1,60+Inputs!$B$26+Inputs!$B$30,IF(Skills!C8=2,90+Inputs!$B$27+Inputs!$B$30,IF(Skills!C8=3,120+Inputs!$B$28+Inputs!$B$30,MAX(0,(Inputs!$B$3-100)*3)+Inputs!$B$29+Inputs!$B$30)))</f>
        <v/>
      </c>
      <c r="E702">
        <f>INDEX(FactorTable!$B$2:$Y$301, MATCH(ROUND(MIN(300,MAX(1,D702)),0), FactorTable!$A$2:$A$301,0), Skills!L8+1)</f>
        <v/>
      </c>
      <c r="F702">
        <f>IF(Skills!M8=TRUE,(Skills!K8/10)*(E702/1000),Skills!K8/10)+Skills!N8</f>
        <v/>
      </c>
      <c r="G702">
        <f>Calc!G8</f>
        <v/>
      </c>
      <c r="H702">
        <f>Calc!H8</f>
        <v/>
      </c>
      <c r="I702">
        <f>IF(Skills!T8&lt;&gt;"",1+(Skills!T8/10)*($Z$3/1000)/100,1)</f>
        <v/>
      </c>
      <c r="J702">
        <f>((Inputs!$B$6*(1+Inputs!$B$7/100))+(((Inputs!$B$13*(1+Inputs!$B$14/100))-(Inputs!$B$13*(1+Inputs!$B$14/100)))+0.25*(Inputs!$B$15-Inputs!$B$15))*(1+Inputs!$B$7/100))*(F702/100)</f>
        <v/>
      </c>
      <c r="K702">
        <f>J702*(1+(((Inputs!$B$13+IF(Inputs!$B$3&gt;=35,(10*INDEX(FactorTable!$B$2:$Y$301, MATCH(ROUND(MIN(300,MAX(1,Inputs!$B$3)),0), FactorTable!$A$2:$A$301,0), 23)/1000)/100*(Inputs!$B$8*(1+(Inputs!$B$9+B732)/100)),0))*(1+Inputs!$B$14/100))*0.01+Inputs!$B$15*0.0025)/100)*(1+(Inputs!$B$16+B726)/100)*(1+Inputs!$B$17/100)*(5000/(6000+Inputs!$B$43*(1-Inputs!$B$20/100)))*(1+Inputs!$B$25/100)*(1+IF(C712=TRUE,F712,0)/100)*(1+IF(C714=TRUE,F714,0)/100)*(1+IF(Skills!A8="TRIUMPH_FEATHER",IF(C710=TRUE,F710,0),0)/100)*(1+IF(C721=TRUE,F721,0)/100)^5*(1+(IF(Skills!A8="BIG_BANG",(Inputs!$B$18+1),Inputs!$B$19))/100)*(B723*I702)</f>
        <v/>
      </c>
      <c r="L702">
        <f>K702*(MIN(Inputs!$B$23+(F716-Calc!F22),Inputs!$B$24)/100+Inputs!$B$24/100)/2</f>
        <v/>
      </c>
      <c r="M702">
        <f>L702*(1+(Inputs!$B$11+B727+(F719-Calc!F25))/100)</f>
        <v/>
      </c>
      <c r="N702">
        <f>L702*(1-MIN(Inputs!$B$10+((F718-Calc!F24)+(F717-Calc!F23)),100)/100)+M702*(MIN(Inputs!$B$10+((F718-Calc!F24)+(F717-Calc!F23)),100)/100)</f>
        <v/>
      </c>
      <c r="O702">
        <f>(1-Summary!$B$48)*S702+Summary!$B$48*U702</f>
        <v/>
      </c>
      <c r="P702">
        <f>IF(B736=0,0,O702/B736)</f>
        <v/>
      </c>
      <c r="Q702">
        <f>IFERROR(1/IF(Inputs!$B$39="pvp",15,MAX(0.1,Skills!D8-IF(Skills!E8=TRUE,Inputs!$B$33,0))),0)</f>
        <v/>
      </c>
      <c r="R702">
        <f>IF(AND(Inputs!$B$39&lt;&gt;"pvp",Inputs!$B$44&gt;0),IF(MAX(0,Inputs!$B$44-B733)&lt;=0,0,(INT(MAX(0,Inputs!$B$44-B733)/IF(Inputs!$B$39="pvp",15,MAX(0.1,Skills!D8-IF(Skills!E8=TRUE,Inputs!$B$33,0))))+1)),0)</f>
        <v/>
      </c>
      <c r="S702">
        <f>IF(C702,(H702*N702*IF(AND(Inputs!$B$39&lt;&gt;"pvp",Inputs!$B$44&gt;0),((Skills!F8*((R702-1)*IF(Skills!G8&gt;0,Skills!H8/Skills!G8,1)+IF(Skills!G8&gt;0,MIN(Skills!H8,MAX(0,MAX(0,Inputs!$B$44-B733)-((R702-1)*IF(Inputs!$B$39="pvp",15,MAX(0.1,Skills!D8-IF(Skills!E8=TRUE,Inputs!$B$33,0))))))/Skills!G8,1)))/Inputs!$B$44),G702*Q702))*IF(Inputs!$B$39="pvp",1,1+(Inputs!$B$21+Skills!O8+B724)/100),0)</f>
        <v/>
      </c>
      <c r="U702">
        <f>IF(C702,(H702*N702*IF(AND(Inputs!$B$39&lt;&gt;"pvp",Inputs!$B$44&gt;0),((Skills!F8*((R702-1)*IF(Skills!G8&gt;0,Skills!H8/Skills!G8,1)+IF(Skills!G8&gt;0,MIN(Skills!H8,MAX(0,MAX(0,Inputs!$B$44-B733)-((R702-1)*IF(Inputs!$B$39="pvp",15,MAX(0.1,Skills!D8-IF(Skills!E8=TRUE,Inputs!$B$33,0))))))/Skills!G8,1)))/Inputs!$B$44),G702*Q702))*IF(Inputs!$B$39="pvp",1,(1+(Inputs!$B$22+Skills!P8+B725)/100)*(MIN(Skills!Q8,Inputs!$B$38))),0)</f>
        <v/>
      </c>
    </row>
    <row r="703">
      <c r="A703">
        <f>Skills!A9</f>
        <v/>
      </c>
      <c r="B703">
        <f>Skills!B9</f>
        <v/>
      </c>
      <c r="C703">
        <f>Inputs!$B$3&gt;=115</f>
        <v/>
      </c>
      <c r="D703">
        <f>IF(Skills!C9=1,60+Inputs!$B$26+Inputs!$B$30,IF(Skills!C9=2,90+Inputs!$B$27+Inputs!$B$30,IF(Skills!C9=3,120+Inputs!$B$28+Inputs!$B$30,MAX(0,(Inputs!$B$3-100)*3)+Inputs!$B$29+Inputs!$B$30)))</f>
        <v/>
      </c>
      <c r="E703">
        <f>INDEX(FactorTable!$B$2:$Y$301, MATCH(ROUND(MIN(300,MAX(1,D703)),0), FactorTable!$A$2:$A$301,0), Skills!L9+1)</f>
        <v/>
      </c>
      <c r="F703">
        <f>IF(Skills!M9=TRUE,(Skills!K9/10)*(E703/1000),Skills!K9/10)+Skills!N9</f>
        <v/>
      </c>
      <c r="G703">
        <f>Calc!G9</f>
        <v/>
      </c>
      <c r="H703">
        <f>Calc!H9</f>
        <v/>
      </c>
      <c r="I703">
        <f>IF(Skills!T9&lt;&gt;"",1+(Skills!T9/10)*($Z$3/1000)/100,1)</f>
        <v/>
      </c>
      <c r="J703">
        <f>((Inputs!$B$6*(1+Inputs!$B$7/100))+(((Inputs!$B$13*(1+Inputs!$B$14/100))-(Inputs!$B$13*(1+Inputs!$B$14/100)))+0.25*(Inputs!$B$15-Inputs!$B$15))*(1+Inputs!$B$7/100))*(F703/100)</f>
        <v/>
      </c>
      <c r="K703">
        <f>J703*(1+(((Inputs!$B$13+IF(Inputs!$B$3&gt;=35,(10*INDEX(FactorTable!$B$2:$Y$301, MATCH(ROUND(MIN(300,MAX(1,Inputs!$B$3)),0), FactorTable!$A$2:$A$301,0), 23)/1000)/100*(Inputs!$B$8*(1+(Inputs!$B$9+B732)/100)),0))*(1+Inputs!$B$14/100))*0.01+Inputs!$B$15*0.0025)/100)*(1+(Inputs!$B$16+B726)/100)*(1+Inputs!$B$17/100)*(5000/(6000+Inputs!$B$43*(1-Inputs!$B$20/100)))*(1+Inputs!$B$25/100)*(1+IF(C712=TRUE,F712,0)/100)*(1+IF(C714=TRUE,F714,0)/100)*(1+IF(Skills!A9="TRIUMPH_FEATHER",IF(C710=TRUE,F710,0),0)/100)*(1+IF(C721=TRUE,F721,0)/100)^5*(1+(IF(Skills!A9="BIG_BANG",(Inputs!$B$18+1),Inputs!$B$19))/100)*(B723*I703)</f>
        <v/>
      </c>
      <c r="L703">
        <f>K703*(MIN(Inputs!$B$23+(F716-Calc!F22),Inputs!$B$24)/100+Inputs!$B$24/100)/2</f>
        <v/>
      </c>
      <c r="M703">
        <f>L703*(1+(Inputs!$B$11+B727+(F719-Calc!F25))/100)</f>
        <v/>
      </c>
      <c r="N703">
        <f>L703*(1-MIN(Inputs!$B$10+((F718-Calc!F24)+(F717-Calc!F23)),100)/100)+M703*(MIN(Inputs!$B$10+((F718-Calc!F24)+(F717-Calc!F23)),100)/100)</f>
        <v/>
      </c>
      <c r="O703">
        <f>(1-Summary!$B$48)*S703+Summary!$B$48*U703</f>
        <v/>
      </c>
      <c r="P703">
        <f>IF(B736=0,0,O703/B736)</f>
        <v/>
      </c>
      <c r="Q703">
        <f>IFERROR(1/IF(Inputs!$B$39="pvp",15,MAX(0.1,Skills!D9-IF(Skills!E9=TRUE,Inputs!$B$33,0))),0)</f>
        <v/>
      </c>
      <c r="R703">
        <f>IF(AND(Inputs!$B$39&lt;&gt;"pvp",Inputs!$B$44&gt;0),IF(MAX(0,Inputs!$B$44-B733)&lt;=0,0,(INT(MAX(0,Inputs!$B$44-B733)/IF(Inputs!$B$39="pvp",15,MAX(0.1,Skills!D9-IF(Skills!E9=TRUE,Inputs!$B$33,0))))+1)),0)</f>
        <v/>
      </c>
      <c r="S703">
        <f>IF(C703,(H703*N703*IF(AND(Inputs!$B$39&lt;&gt;"pvp",Inputs!$B$44&gt;0),((Skills!F9*((R703-1)*IF(Skills!G9&gt;0,Skills!H9/Skills!G9,1)+IF(Skills!G9&gt;0,MIN(Skills!H9,MAX(0,MAX(0,Inputs!$B$44-B733)-((R703-1)*IF(Inputs!$B$39="pvp",15,MAX(0.1,Skills!D9-IF(Skills!E9=TRUE,Inputs!$B$33,0))))))/Skills!G9,1)))/Inputs!$B$44),G703*Q703))*IF(Inputs!$B$39="pvp",1,1+(Inputs!$B$21+Skills!O9+B724)/100),0)</f>
        <v/>
      </c>
      <c r="U703">
        <f>IF(C703,(H703*N703*IF(AND(Inputs!$B$39&lt;&gt;"pvp",Inputs!$B$44&gt;0),((Skills!F9*((R703-1)*IF(Skills!G9&gt;0,Skills!H9/Skills!G9,1)+IF(Skills!G9&gt;0,MIN(Skills!H9,MAX(0,MAX(0,Inputs!$B$44-B733)-((R703-1)*IF(Inputs!$B$39="pvp",15,MAX(0.1,Skills!D9-IF(Skills!E9=TRUE,Inputs!$B$33,0))))))/Skills!G9,1)))/Inputs!$B$44),G703*Q703))*IF(Inputs!$B$39="pvp",1,(1+(Inputs!$B$22+Skills!P9+B725)/100)*(MIN(Skills!Q9,Inputs!$B$38))),0)</f>
        <v/>
      </c>
    </row>
    <row r="704">
      <c r="A704">
        <f>Skills!A10</f>
        <v/>
      </c>
      <c r="B704">
        <f>Skills!B10</f>
        <v/>
      </c>
      <c r="C704">
        <f>Inputs!$B$3&gt;=66</f>
        <v/>
      </c>
      <c r="D704">
        <f>IF(Skills!C10=1,60+Inputs!$B$26+Inputs!$B$30,IF(Skills!C10=2,90+Inputs!$B$27+Inputs!$B$30,IF(Skills!C10=3,120+Inputs!$B$28+Inputs!$B$30,MAX(0,(Inputs!$B$3-100)*3)+Inputs!$B$29+Inputs!$B$30)))</f>
        <v/>
      </c>
      <c r="E704">
        <f>INDEX(FactorTable!$B$2:$Y$301, MATCH(ROUND(MIN(300,MAX(1,D704)),0), FactorTable!$A$2:$A$301,0), Skills!L10+1)</f>
        <v/>
      </c>
      <c r="F704" t="n">
        <v>0</v>
      </c>
      <c r="G704">
        <f>Calc!G10</f>
        <v/>
      </c>
      <c r="H704">
        <f>Calc!H10</f>
        <v/>
      </c>
      <c r="I704">
        <f>IF(Skills!T10&lt;&gt;"",1+(Skills!T10/10)*($Z$3/1000)/100,1)</f>
        <v/>
      </c>
      <c r="J704" t="inlineStr"/>
      <c r="K704" t="inlineStr"/>
      <c r="L704" t="inlineStr"/>
      <c r="M704" t="inlineStr"/>
      <c r="N704" t="inlineStr"/>
      <c r="O704">
        <f>(1-Summary!$B$48)*S704+Summary!$B$48*U704</f>
        <v/>
      </c>
      <c r="P704">
        <f>IF(B736=0,0,O704/B736)</f>
        <v/>
      </c>
      <c r="Q704">
        <f>IFERROR(1/IF(Inputs!$B$39="pvp",15,MAX(0.1,Skills!D10-IF(Skills!E10=TRUE,Inputs!$B$33,0))),0)</f>
        <v/>
      </c>
      <c r="R704">
        <f>IF(AND(Inputs!$B$39&lt;&gt;"pvp",Inputs!$B$44&gt;0),IF(MAX(0,Inputs!$B$44-B733)&lt;=0,0,(INT(MAX(0,Inputs!$B$44-B733)/IF(Inputs!$B$39="pvp",15,MAX(0.1,Skills!D10-IF(Skills!E10=TRUE,Inputs!$B$33,0))))+1)),0)</f>
        <v/>
      </c>
      <c r="S704" t="n">
        <v>0</v>
      </c>
      <c r="U704" t="n">
        <v>0</v>
      </c>
    </row>
    <row r="705">
      <c r="A705">
        <f>Skills!A11</f>
        <v/>
      </c>
      <c r="B705">
        <f>Skills!B11</f>
        <v/>
      </c>
      <c r="C705">
        <f>Inputs!$B$3&gt;=69</f>
        <v/>
      </c>
      <c r="D705">
        <f>IF(Skills!C11=1,60+Inputs!$B$26+Inputs!$B$30,IF(Skills!C11=2,90+Inputs!$B$27+Inputs!$B$30,IF(Skills!C11=3,120+Inputs!$B$28+Inputs!$B$30,MAX(0,(Inputs!$B$3-100)*3)+Inputs!$B$29+Inputs!$B$30)))</f>
        <v/>
      </c>
      <c r="E705">
        <f>INDEX(FactorTable!$B$2:$Y$301, MATCH(ROUND(MIN(300,MAX(1,D705)),0), FactorTable!$A$2:$A$301,0), Skills!L11+1)</f>
        <v/>
      </c>
      <c r="F705">
        <f>IF(Skills!M11=TRUE,(Skills!K11/10)*(E705/1000),Skills!K11/10)+Skills!N11</f>
        <v/>
      </c>
      <c r="G705">
        <f>Calc!G11</f>
        <v/>
      </c>
      <c r="H705">
        <f>Calc!H11</f>
        <v/>
      </c>
      <c r="I705">
        <f>IF(Skills!T11&lt;&gt;"",1+(Skills!T11/10)*($Z$3/1000)/100,1)</f>
        <v/>
      </c>
      <c r="J705" t="inlineStr"/>
      <c r="K705" t="inlineStr"/>
      <c r="L705" t="inlineStr"/>
      <c r="M705" t="inlineStr"/>
      <c r="N705" t="inlineStr"/>
      <c r="O705">
        <f>(1-Summary!$B$48)*S705+Summary!$B$48*U705</f>
        <v/>
      </c>
      <c r="P705">
        <f>IF(B736=0,0,O705/B736)</f>
        <v/>
      </c>
      <c r="Q705">
        <f>IFERROR(1/IF(Inputs!$B$39="pvp",15,MAX(0.1,Skills!D11-IF(Skills!E11=TRUE,Inputs!$B$33,0))),0)</f>
        <v/>
      </c>
      <c r="R705">
        <f>IF(AND(Inputs!$B$39&lt;&gt;"pvp",Inputs!$B$44&gt;0),IF(Inputs!$B$44&lt;=0,0,(INT(Inputs!$B$44/IF(Inputs!$B$39="pvp",15,MAX(0.1,Skills!D11-IF(Skills!E11=TRUE,Inputs!$B$33,0))))+1)),0)</f>
        <v/>
      </c>
      <c r="S705" t="n">
        <v>0</v>
      </c>
      <c r="U705" t="n">
        <v>0</v>
      </c>
    </row>
    <row r="706">
      <c r="A706">
        <f>Skills!A12</f>
        <v/>
      </c>
      <c r="B706">
        <f>Skills!B12</f>
        <v/>
      </c>
      <c r="C706">
        <f>Inputs!$B$3&gt;=72</f>
        <v/>
      </c>
      <c r="D706">
        <f>IF(Skills!C12=1,60+Inputs!$B$26+Inputs!$B$30,IF(Skills!C12=2,90+Inputs!$B$27+Inputs!$B$30,IF(Skills!C12=3,120+Inputs!$B$28+Inputs!$B$30,MAX(0,(Inputs!$B$3-100)*3)+Inputs!$B$29+Inputs!$B$30)))</f>
        <v/>
      </c>
      <c r="E706">
        <f>INDEX(FactorTable!$B$2:$Y$301, MATCH(ROUND(MIN(300,MAX(1,D706)),0), FactorTable!$A$2:$A$301,0), Skills!L12+1)</f>
        <v/>
      </c>
      <c r="F706">
        <f>IF(Skills!M12=TRUE,(Skills!K12/10)*(E706/1000),Skills!K12/10)+Skills!N12</f>
        <v/>
      </c>
      <c r="G706">
        <f>Calc!G12</f>
        <v/>
      </c>
      <c r="H706">
        <f>Calc!H12</f>
        <v/>
      </c>
      <c r="I706">
        <f>IF(Skills!T12&lt;&gt;"",1+(Skills!T12/10)*($Z$3/1000)/100,1)</f>
        <v/>
      </c>
      <c r="J706" t="inlineStr"/>
      <c r="K706" t="inlineStr"/>
      <c r="L706" t="inlineStr"/>
      <c r="M706" t="inlineStr"/>
      <c r="N706" t="inlineStr"/>
      <c r="O706">
        <f>(1-Summary!$B$48)*S706+Summary!$B$48*U706</f>
        <v/>
      </c>
      <c r="P706">
        <f>IF(B736=0,0,O706/B736)</f>
        <v/>
      </c>
      <c r="Q706">
        <f>IFERROR(1/IF(Inputs!$B$39="pvp",15,MAX(0.1,Skills!D12-IF(Skills!E12=TRUE,Inputs!$B$33,0))),0)</f>
        <v/>
      </c>
      <c r="R706">
        <f>IF(AND(Inputs!$B$39&lt;&gt;"pvp",Inputs!$B$44&gt;0),IF(MAX(0,Inputs!$B$44-B733)&lt;=0,0,(INT(MAX(0,Inputs!$B$44-B733)/IF(Inputs!$B$39="pvp",15,MAX(0.1,Skills!D12-IF(Skills!E12=TRUE,Inputs!$B$33,0))))+1)),0)</f>
        <v/>
      </c>
      <c r="S706" t="n">
        <v>0</v>
      </c>
      <c r="U706" t="n">
        <v>0</v>
      </c>
    </row>
    <row r="707">
      <c r="A707">
        <f>Skills!A13</f>
        <v/>
      </c>
      <c r="B707">
        <f>Skills!B13</f>
        <v/>
      </c>
      <c r="C707">
        <f>Inputs!$B$3&gt;=60</f>
        <v/>
      </c>
      <c r="D707">
        <f>IF(Skills!C13=1,60+Inputs!$B$26+Inputs!$B$30,IF(Skills!C13=2,90+Inputs!$B$27+Inputs!$B$30,IF(Skills!C13=3,120+Inputs!$B$28+Inputs!$B$30,MAX(0,(Inputs!$B$3-100)*3)+Inputs!$B$29+Inputs!$B$30)))</f>
        <v/>
      </c>
      <c r="E707">
        <f>INDEX(FactorTable!$B$2:$Y$301, MATCH(ROUND(MIN(300,MAX(1,D707)),0), FactorTable!$A$2:$A$301,0), Skills!L13+1)</f>
        <v/>
      </c>
      <c r="F707">
        <f>IF(Skills!M13=TRUE,(Skills!K13/10)*(E707/1000),Skills!K13/10)+Skills!N13</f>
        <v/>
      </c>
      <c r="G707">
        <f>Calc!G13</f>
        <v/>
      </c>
      <c r="H707">
        <f>Calc!H13</f>
        <v/>
      </c>
      <c r="I707">
        <f>IF(Skills!T13&lt;&gt;"",1+(Skills!T13/10)*($Z$3/1000)/100,1)</f>
        <v/>
      </c>
      <c r="J707" t="inlineStr"/>
      <c r="K707" t="inlineStr"/>
      <c r="L707" t="inlineStr"/>
      <c r="M707" t="inlineStr"/>
      <c r="N707" t="inlineStr"/>
      <c r="O707">
        <f>(1-Summary!$B$48)*S707+Summary!$B$48*U707</f>
        <v/>
      </c>
      <c r="P707">
        <f>IF(B736=0,0,O707/B736)</f>
        <v/>
      </c>
      <c r="Q707">
        <f>IFERROR(1/IF(Inputs!$B$39="pvp",15,MAX(0.1,Skills!D13-IF(Skills!E13=TRUE,Inputs!$B$33,0))),0)</f>
        <v/>
      </c>
      <c r="R707">
        <f>IF(AND(Inputs!$B$39&lt;&gt;"pvp",Inputs!$B$44&gt;0),IF(MAX(0,Inputs!$B$44-B733)&lt;=0,0,(INT(MAX(0,Inputs!$B$44-B733)/IF(Inputs!$B$39="pvp",15,MAX(0.1,Skills!D13-IF(Skills!E13=TRUE,Inputs!$B$33,0))))+1)),0)</f>
        <v/>
      </c>
      <c r="S707" t="n">
        <v>0</v>
      </c>
      <c r="U707" t="n">
        <v>0</v>
      </c>
    </row>
    <row r="708">
      <c r="A708">
        <f>Skills!A14</f>
        <v/>
      </c>
      <c r="B708">
        <f>Skills!B14</f>
        <v/>
      </c>
      <c r="C708">
        <f>Inputs!$B$3&gt;=107</f>
        <v/>
      </c>
      <c r="D708">
        <f>IF(Skills!C14=1,60+Inputs!$B$26+Inputs!$B$30,IF(Skills!C14=2,90+Inputs!$B$27+Inputs!$B$30,IF(Skills!C14=3,120+Inputs!$B$28+Inputs!$B$30,MAX(0,(Inputs!$B$3-100)*3)+Inputs!$B$29+Inputs!$B$30)))</f>
        <v/>
      </c>
      <c r="E708">
        <f>INDEX(FactorTable!$B$2:$Y$301, MATCH(ROUND(MIN(300,MAX(1,D708)),0), FactorTable!$A$2:$A$301,0), Skills!L14+1)</f>
        <v/>
      </c>
      <c r="F708">
        <f>IF(Skills!M14=TRUE,(Skills!K14/10)*(E708/1000),Skills!K14/10)+Skills!N14</f>
        <v/>
      </c>
      <c r="G708">
        <f>Calc!G14</f>
        <v/>
      </c>
      <c r="H708">
        <f>Calc!H14</f>
        <v/>
      </c>
      <c r="I708">
        <f>IF(Skills!T14&lt;&gt;"",1+(Skills!T14/10)*($Z$3/1000)/100,1)</f>
        <v/>
      </c>
      <c r="J708" t="inlineStr"/>
      <c r="K708" t="inlineStr"/>
      <c r="L708" t="inlineStr"/>
      <c r="M708" t="inlineStr"/>
      <c r="N708" t="inlineStr"/>
      <c r="O708">
        <f>(1-Summary!$B$48)*S708+Summary!$B$48*U708</f>
        <v/>
      </c>
      <c r="P708">
        <f>IF(B736=0,0,O708/B736)</f>
        <v/>
      </c>
      <c r="Q708">
        <f>IFERROR(1/IF(Inputs!$B$39="pvp",15,MAX(0.1,Skills!D14-IF(Skills!E14=TRUE,Inputs!$B$33,0))),0)</f>
        <v/>
      </c>
      <c r="R708">
        <f>IF(AND(Inputs!$B$39&lt;&gt;"pvp",Inputs!$B$44&gt;0),IF(Inputs!$B$44&lt;=0,0,(INT(Inputs!$B$44/IF(Inputs!$B$39="pvp",15,MAX(0.1,Skills!D14-IF(Skills!E14=TRUE,Inputs!$B$33,0))))+1)),0)</f>
        <v/>
      </c>
      <c r="S708" t="n">
        <v>0</v>
      </c>
      <c r="U708" t="n">
        <v>0</v>
      </c>
    </row>
    <row r="709">
      <c r="A709">
        <f>Skills!A15</f>
        <v/>
      </c>
      <c r="B709">
        <f>Skills!B15</f>
        <v/>
      </c>
      <c r="C709">
        <f>Inputs!$B$3&gt;=63</f>
        <v/>
      </c>
      <c r="D709">
        <f>IF(Skills!C15=1,60+Inputs!$B$26+Inputs!$B$30,IF(Skills!C15=2,90+Inputs!$B$27+Inputs!$B$30,IF(Skills!C15=3,120+Inputs!$B$28+Inputs!$B$30,MAX(0,(Inputs!$B$3-100)*3)+Inputs!$B$29+Inputs!$B$30)))</f>
        <v/>
      </c>
      <c r="E709">
        <f>INDEX(FactorTable!$B$2:$Y$301, MATCH(ROUND(MIN(300,MAX(1,D709)),0), FactorTable!$A$2:$A$301,0), Skills!L15+1)</f>
        <v/>
      </c>
      <c r="F709">
        <f>IF(Skills!M15=TRUE,(Skills!K15/10)*(E709/1000),Skills!K15/10)+Skills!N15</f>
        <v/>
      </c>
      <c r="G709">
        <f>Calc!G15</f>
        <v/>
      </c>
      <c r="H709">
        <f>Calc!H15</f>
        <v/>
      </c>
      <c r="I709">
        <f>IF(Skills!T15&lt;&gt;"",1+(Skills!T15/10)*($Z$3/1000)/100,1)</f>
        <v/>
      </c>
      <c r="J709">
        <f>((Inputs!$B$6*(1+Inputs!$B$7/100))+(((Inputs!$B$13*(1+Inputs!$B$14/100))-(Inputs!$B$13*(1+Inputs!$B$14/100)))+0.25*(Inputs!$B$15-Inputs!$B$15))*(1+Inputs!$B$7/100))*(F709/100)</f>
        <v/>
      </c>
      <c r="K709">
        <f>J709*(1+(((Inputs!$B$13+IF(Inputs!$B$3&gt;=35,(10*INDEX(FactorTable!$B$2:$Y$301, MATCH(ROUND(MIN(300,MAX(1,Inputs!$B$3)),0), FactorTable!$A$2:$A$301,0), 23)/1000)/100*(Inputs!$B$8*(1+(Inputs!$B$9+B732)/100)),0))*(1+Inputs!$B$14/100))*0.01+Inputs!$B$15*0.0025)/100)*(1+(Inputs!$B$16+B726)/100)*(1+Inputs!$B$17/100)*(5000/(6000+Inputs!$B$43*(1-Inputs!$B$20/100)))*(1+Inputs!$B$25/100)*(1+IF(C712=TRUE,F712,0)/100)*(1+IF(C714=TRUE,F714,0)/100)*(1+IF(Skills!A15="TRIUMPH_FEATHER",IF(C710=TRUE,F710,0),0)/100)*(1+IF(C721=TRUE,F721,0)/100)^5*(1+(IF(Skills!A15="BIG_BANG",(Inputs!$B$18+1),Inputs!$B$19))/100)*(B723*I709)</f>
        <v/>
      </c>
      <c r="L709">
        <f>K709*(MIN(Inputs!$B$23+(F716-Calc!F22),Inputs!$B$24)/100+Inputs!$B$24/100)/2</f>
        <v/>
      </c>
      <c r="M709">
        <f>L709*(1+(Inputs!$B$11+B727+(F719-Calc!F25))/100)</f>
        <v/>
      </c>
      <c r="N709">
        <f>L709*(1-MIN(Inputs!$B$10+((F718-Calc!F24)+(F717-Calc!F23)),100)/100)+M709*(MIN(Inputs!$B$10+((F718-Calc!F24)+(F717-Calc!F23)),100)/100)</f>
        <v/>
      </c>
      <c r="O709">
        <f>(1-Summary!$B$48)*S709+Summary!$B$48*U709</f>
        <v/>
      </c>
      <c r="P709">
        <f>IF(B736=0,0,O709/B736)</f>
        <v/>
      </c>
      <c r="Q709">
        <f>IFERROR(1/IF(Inputs!$B$39="pvp",15,MAX(0.1,Skills!D15-IF(Skills!E15=TRUE,Inputs!$B$33,0))),0)</f>
        <v/>
      </c>
      <c r="R709" t="n">
        <v>0</v>
      </c>
      <c r="S709">
        <f>IF(C709,(Skills!F15*N709*((IF(Inputs!$B$3&gt;=78,25,15)/100*B729*10)/(1+IF(Inputs!$B$3&gt;=78,25,15)/100*B729*10))*(Skills!I15/100*B729)/(1+Skills!G15*Skills!I15/100*B729))*IF(Inputs!$B$39="pvp",1,1+(Inputs!$B$21+Skills!O15+B724)/100),0)</f>
        <v/>
      </c>
      <c r="U709">
        <f>IF(C709,(Skills!F15*N709*((IF(Inputs!$B$3&gt;=78,25,15)/100*B729*10)/(1+IF(Inputs!$B$3&gt;=78,25,15)/100*B729*10))*(Skills!I15/100*B729)/(1+Skills!G15*Skills!I15/100*B729))*IF(Inputs!$B$39="pvp",1,(1+(Inputs!$B$22+Skills!P15+B725)/100)*(MIN(Skills!Q15,Inputs!$B$38))),0)</f>
        <v/>
      </c>
    </row>
    <row r="710">
      <c r="A710">
        <f>Skills!A16</f>
        <v/>
      </c>
      <c r="B710">
        <f>Skills!B16</f>
        <v/>
      </c>
      <c r="C710">
        <f>Inputs!$B$3&gt;=100</f>
        <v/>
      </c>
      <c r="D710">
        <f>IF(Skills!C16=1,60+Inputs!$B$26+Inputs!$B$30,IF(Skills!C16=2,90+Inputs!$B$27+Inputs!$B$30,IF(Skills!C16=3,120+Inputs!$B$28+Inputs!$B$30,MAX(0,(Inputs!$B$3-100)*3)+Inputs!$B$29+Inputs!$B$30)))</f>
        <v/>
      </c>
      <c r="E710">
        <f>INDEX(FactorTable!$B$2:$Y$301, MATCH(ROUND(MIN(300,MAX(1,D710)),0), FactorTable!$A$2:$A$301,0), Skills!L16+1)</f>
        <v/>
      </c>
      <c r="F710">
        <f>IF(Skills!M16=TRUE,(Skills!K16/10)*(E710/1000),Skills!K16/10)+Skills!N16</f>
        <v/>
      </c>
      <c r="G710">
        <f>Calc!G16</f>
        <v/>
      </c>
      <c r="H710">
        <f>Calc!H16</f>
        <v/>
      </c>
      <c r="I710">
        <f>IF(Skills!T16&lt;&gt;"",1+(Skills!T16/10)*($Z$3/1000)/100,1)</f>
        <v/>
      </c>
      <c r="J710" t="inlineStr"/>
      <c r="K710" t="inlineStr"/>
      <c r="L710" t="inlineStr"/>
      <c r="M710" t="inlineStr"/>
      <c r="N710" t="inlineStr"/>
      <c r="O710">
        <f>(1-Summary!$B$48)*S710+Summary!$B$48*U710</f>
        <v/>
      </c>
      <c r="P710">
        <f>IF(B736=0,0,O710/B736)</f>
        <v/>
      </c>
      <c r="Q710">
        <f>IFERROR(1/IF(Inputs!$B$39="pvp",15,MAX(0.1,Skills!D16-IF(Skills!E16=TRUE,Inputs!$B$33,0))),0)</f>
        <v/>
      </c>
      <c r="R710" t="n">
        <v>0</v>
      </c>
      <c r="S710" t="n">
        <v>0</v>
      </c>
      <c r="U710" t="n">
        <v>0</v>
      </c>
    </row>
    <row r="711">
      <c r="A711">
        <f>Skills!A17</f>
        <v/>
      </c>
      <c r="B711">
        <f>Skills!B17</f>
        <v/>
      </c>
      <c r="C711">
        <f>Inputs!$B$3&gt;=49</f>
        <v/>
      </c>
      <c r="D711">
        <f>IF(Skills!C17=1,60+Inputs!$B$26+Inputs!$B$30,IF(Skills!C17=2,90+Inputs!$B$27+Inputs!$B$30,IF(Skills!C17=3,120+Inputs!$B$28+Inputs!$B$30,MAX(0,(Inputs!$B$3-100)*3)+Inputs!$B$29+Inputs!$B$30)))</f>
        <v/>
      </c>
      <c r="E711">
        <f>INDEX(FactorTable!$B$2:$Y$301, MATCH(ROUND(MIN(300,MAX(1,D711)),0), FactorTable!$A$2:$A$301,0), Skills!L17+1)</f>
        <v/>
      </c>
      <c r="F711">
        <f>IF(Skills!M17=TRUE,(Skills!K17/10)*(E711/1000),Skills!K17/10)+Skills!N17</f>
        <v/>
      </c>
      <c r="G711">
        <f>Calc!G17</f>
        <v/>
      </c>
      <c r="H711">
        <f>Calc!H17</f>
        <v/>
      </c>
      <c r="I711">
        <f>IF(Skills!T17&lt;&gt;"",1+(Skills!T17/10)*($Z$3/1000)/100,1)</f>
        <v/>
      </c>
      <c r="J711" t="inlineStr"/>
      <c r="K711" t="inlineStr"/>
      <c r="L711" t="inlineStr"/>
      <c r="M711" t="inlineStr"/>
      <c r="N711" t="inlineStr"/>
      <c r="O711">
        <f>(1-Summary!$B$48)*S711+Summary!$B$48*U711</f>
        <v/>
      </c>
      <c r="P711">
        <f>IF(B736=0,0,O711/B736)</f>
        <v/>
      </c>
      <c r="Q711">
        <f>IFERROR(1/IF(Inputs!$B$39="pvp",15,MAX(0.1,Skills!D17-IF(Skills!E17=TRUE,Inputs!$B$33,0))),0)</f>
        <v/>
      </c>
      <c r="R711" t="n">
        <v>0</v>
      </c>
      <c r="S711" t="n">
        <v>0</v>
      </c>
      <c r="U711" t="n">
        <v>0</v>
      </c>
    </row>
    <row r="712">
      <c r="A712">
        <f>Skills!A18</f>
        <v/>
      </c>
      <c r="B712">
        <f>Skills!B18</f>
        <v/>
      </c>
      <c r="C712">
        <f>Inputs!$B$3&gt;=75</f>
        <v/>
      </c>
      <c r="D712">
        <f>IF(Skills!C18=1,60+Inputs!$B$26+Inputs!$B$30,IF(Skills!C18=2,90+Inputs!$B$27+Inputs!$B$30,IF(Skills!C18=3,120+Inputs!$B$28+Inputs!$B$30,MAX(0,(Inputs!$B$3-100)*3)+Inputs!$B$29+Inputs!$B$30)))</f>
        <v/>
      </c>
      <c r="E712">
        <f>INDEX(FactorTable!$B$2:$Y$301, MATCH(ROUND(MIN(300,MAX(1,D712)),0), FactorTable!$A$2:$A$301,0), Skills!L18+1)</f>
        <v/>
      </c>
      <c r="F712">
        <f>IF(Skills!M18=TRUE,(Skills!K18/10)*(E712/1000),Skills!K18/10)+Skills!N18</f>
        <v/>
      </c>
      <c r="G712">
        <f>Calc!G18</f>
        <v/>
      </c>
      <c r="H712">
        <f>Calc!H18</f>
        <v/>
      </c>
      <c r="I712">
        <f>IF(Skills!T18&lt;&gt;"",1+(Skills!T18/10)*($Z$3/1000)/100,1)</f>
        <v/>
      </c>
      <c r="J712" t="inlineStr"/>
      <c r="K712" t="inlineStr"/>
      <c r="L712" t="inlineStr"/>
      <c r="M712" t="inlineStr"/>
      <c r="N712" t="inlineStr"/>
      <c r="O712">
        <f>(1-Summary!$B$48)*S712+Summary!$B$48*U712</f>
        <v/>
      </c>
      <c r="P712">
        <f>IF(B736=0,0,O712/B736)</f>
        <v/>
      </c>
      <c r="Q712">
        <f>IFERROR(1/IF(Inputs!$B$39="pvp",15,MAX(0.1,Skills!D18-IF(Skills!E18=TRUE,Inputs!$B$33,0))),0)</f>
        <v/>
      </c>
      <c r="R712" t="n">
        <v>0</v>
      </c>
      <c r="S712" t="n">
        <v>0</v>
      </c>
      <c r="U712" t="n">
        <v>0</v>
      </c>
    </row>
    <row r="713">
      <c r="A713">
        <f>Skills!A19</f>
        <v/>
      </c>
      <c r="B713">
        <f>Skills!B19</f>
        <v/>
      </c>
      <c r="C713">
        <f>Inputs!$B$3&gt;=110</f>
        <v/>
      </c>
      <c r="D713">
        <f>IF(Skills!C19=1,60+Inputs!$B$26+Inputs!$B$30,IF(Skills!C19=2,90+Inputs!$B$27+Inputs!$B$30,IF(Skills!C19=3,120+Inputs!$B$28+Inputs!$B$30,MAX(0,(Inputs!$B$3-100)*3)+Inputs!$B$29+Inputs!$B$30)))</f>
        <v/>
      </c>
      <c r="E713">
        <f>INDEX(FactorTable!$B$2:$Y$301, MATCH(ROUND(MIN(300,MAX(1,D713)),0), FactorTable!$A$2:$A$301,0), Skills!L19+1)</f>
        <v/>
      </c>
      <c r="F713">
        <f>(Skills!K19/10)*(E713/1000)*64/45+Skills!N19</f>
        <v/>
      </c>
      <c r="G713">
        <f>Calc!G19</f>
        <v/>
      </c>
      <c r="H713">
        <f>Calc!H19</f>
        <v/>
      </c>
      <c r="I713">
        <f>IF(Skills!T19&lt;&gt;"",1+(Skills!T19/10)*($Z$3/1000)/100,1)</f>
        <v/>
      </c>
      <c r="J713" t="inlineStr"/>
      <c r="K713" t="inlineStr"/>
      <c r="L713" t="inlineStr"/>
      <c r="M713" t="inlineStr"/>
      <c r="N713" t="inlineStr"/>
      <c r="O713">
        <f>(1-Summary!$B$48)*S713+Summary!$B$48*U713</f>
        <v/>
      </c>
      <c r="P713">
        <f>IF(B736=0,0,O713/B736)</f>
        <v/>
      </c>
      <c r="Q713">
        <f>IFERROR(1/IF(Inputs!$B$39="pvp",15,MAX(0.1,Skills!D19-IF(Skills!E19=TRUE,Inputs!$B$33,0))),0)</f>
        <v/>
      </c>
      <c r="R713">
        <f>IF(AND(Inputs!$B$39&lt;&gt;"pvp",Inputs!$B$44&gt;0),IF(Inputs!$B$44&lt;=0,0,(INT(Inputs!$B$44/IF(Inputs!$B$39="pvp",15,MAX(0.1,Skills!D19-IF(Skills!E19=TRUE,Inputs!$B$33,0))))+1)),0)</f>
        <v/>
      </c>
      <c r="S713" t="n">
        <v>0</v>
      </c>
      <c r="U713" t="n">
        <v>0</v>
      </c>
    </row>
    <row r="714">
      <c r="A714">
        <f>Skills!A20</f>
        <v/>
      </c>
      <c r="B714">
        <f>Skills!B20</f>
        <v/>
      </c>
      <c r="C714">
        <f>Inputs!$B$3&gt;=125</f>
        <v/>
      </c>
      <c r="D714">
        <f>IF(Skills!C20=1,60+Inputs!$B$26+Inputs!$B$30,IF(Skills!C20=2,90+Inputs!$B$27+Inputs!$B$30,IF(Skills!C20=3,120+Inputs!$B$28+Inputs!$B$30,MAX(0,(Inputs!$B$3-100)*3)+Inputs!$B$29+Inputs!$B$30)))</f>
        <v/>
      </c>
      <c r="E714">
        <f>INDEX(FactorTable!$B$2:$Y$301, MATCH(ROUND(MIN(300,MAX(1,D714)),0), FactorTable!$A$2:$A$301,0), Skills!L20+1)</f>
        <v/>
      </c>
      <c r="F714">
        <f>IF(Skills!M20=TRUE,(Skills!K20/10)*(E714/1000),Skills!K20/10)+Skills!N20</f>
        <v/>
      </c>
      <c r="G714">
        <f>Calc!G20</f>
        <v/>
      </c>
      <c r="H714">
        <f>Calc!H20</f>
        <v/>
      </c>
      <c r="I714">
        <f>IF(Skills!T20&lt;&gt;"",1+(Skills!T20/10)*($Z$3/1000)/100,1)</f>
        <v/>
      </c>
      <c r="J714" t="inlineStr"/>
      <c r="K714" t="inlineStr"/>
      <c r="L714" t="inlineStr"/>
      <c r="M714" t="inlineStr"/>
      <c r="N714" t="inlineStr"/>
      <c r="O714">
        <f>(1-Summary!$B$48)*S714+Summary!$B$48*U714</f>
        <v/>
      </c>
      <c r="P714">
        <f>IF(B736=0,0,O714/B736)</f>
        <v/>
      </c>
      <c r="Q714">
        <f>IFERROR(1/IF(Inputs!$B$39="pvp",15,MAX(0.1,Skills!D20-IF(Skills!E20=TRUE,Inputs!$B$33,0))),0)</f>
        <v/>
      </c>
      <c r="R714" t="n">
        <v>0</v>
      </c>
      <c r="S714" t="n">
        <v>0</v>
      </c>
      <c r="U714" t="n">
        <v>0</v>
      </c>
    </row>
    <row r="715">
      <c r="A715">
        <f>Skills!A21</f>
        <v/>
      </c>
      <c r="B715">
        <f>Skills!B21</f>
        <v/>
      </c>
      <c r="C715">
        <f>Inputs!$B$3&gt;=33</f>
        <v/>
      </c>
      <c r="D715">
        <f>IF(Skills!C21=1,60+Inputs!$B$26+Inputs!$B$30,IF(Skills!C21=2,90+Inputs!$B$27+Inputs!$B$30,IF(Skills!C21=3,120+Inputs!$B$28+Inputs!$B$30,MAX(0,(Inputs!$B$3-100)*3)+Inputs!$B$29+Inputs!$B$30)))</f>
        <v/>
      </c>
      <c r="E715">
        <f>INDEX(FactorTable!$B$2:$Y$301, MATCH(ROUND(MIN(300,MAX(1,D715)),0), FactorTable!$A$2:$A$301,0), Skills!L21+1)</f>
        <v/>
      </c>
      <c r="F715">
        <f>IF(Skills!M21=TRUE,(Skills!K21/10)*(E715/1000),Skills!K21/10)+Skills!N21</f>
        <v/>
      </c>
      <c r="G715">
        <f>Calc!G21</f>
        <v/>
      </c>
      <c r="H715">
        <f>Calc!H21</f>
        <v/>
      </c>
      <c r="I715">
        <f>IF(Skills!T21&lt;&gt;"",1+(Skills!T21/10)*($Z$3/1000)/100,1)</f>
        <v/>
      </c>
      <c r="J715" t="inlineStr"/>
      <c r="K715" t="inlineStr"/>
      <c r="L715" t="inlineStr"/>
      <c r="M715" t="inlineStr"/>
      <c r="N715" t="inlineStr"/>
      <c r="O715">
        <f>(1-Summary!$B$48)*S715+Summary!$B$48*U715</f>
        <v/>
      </c>
      <c r="P715">
        <f>IF(B736=0,0,O715/B736)</f>
        <v/>
      </c>
      <c r="Q715">
        <f>IFERROR(1/IF(Inputs!$B$39="pvp",15,MAX(0.1,Skills!D21-IF(Skills!E21=TRUE,Inputs!$B$33,0))),0)</f>
        <v/>
      </c>
      <c r="R715" t="n">
        <v>0</v>
      </c>
      <c r="S715" t="n">
        <v>0</v>
      </c>
      <c r="U715" t="n">
        <v>0</v>
      </c>
    </row>
    <row r="716">
      <c r="A716">
        <f>Skills!A22</f>
        <v/>
      </c>
      <c r="B716">
        <f>Skills!B22</f>
        <v/>
      </c>
      <c r="C716">
        <f>Inputs!$B$3&gt;=43</f>
        <v/>
      </c>
      <c r="D716">
        <f>IF(Skills!C22=1,60+Inputs!$B$26+Inputs!$B$30,IF(Skills!C22=2,90+Inputs!$B$27+Inputs!$B$30,IF(Skills!C22=3,120+Inputs!$B$28+Inputs!$B$30,MAX(0,(Inputs!$B$3-100)*3)+Inputs!$B$29+Inputs!$B$30)))</f>
        <v/>
      </c>
      <c r="E716">
        <f>INDEX(FactorTable!$B$2:$Y$301, MATCH(ROUND(MIN(300,MAX(1,D716)),0), FactorTable!$A$2:$A$301,0), Skills!L22+1)</f>
        <v/>
      </c>
      <c r="F716">
        <f>IF(Skills!M22=TRUE,(Skills!K22/10)*(E716/1000),Skills!K22/10)+Skills!N22</f>
        <v/>
      </c>
      <c r="G716">
        <f>Calc!G22</f>
        <v/>
      </c>
      <c r="H716">
        <f>Calc!H22</f>
        <v/>
      </c>
      <c r="I716">
        <f>IF(Skills!T22&lt;&gt;"",1+(Skills!T22/10)*($Z$3/1000)/100,1)</f>
        <v/>
      </c>
      <c r="J716" t="inlineStr"/>
      <c r="K716" t="inlineStr"/>
      <c r="L716" t="inlineStr"/>
      <c r="M716" t="inlineStr"/>
      <c r="N716" t="inlineStr"/>
      <c r="O716">
        <f>(1-Summary!$B$48)*S716+Summary!$B$48*U716</f>
        <v/>
      </c>
      <c r="P716">
        <f>IF(B736=0,0,O716/B736)</f>
        <v/>
      </c>
      <c r="Q716">
        <f>IFERROR(1/IF(Inputs!$B$39="pvp",15,MAX(0.1,Skills!D22-IF(Skills!E22=TRUE,Inputs!$B$33,0))),0)</f>
        <v/>
      </c>
      <c r="R716" t="n">
        <v>0</v>
      </c>
      <c r="S716" t="n">
        <v>0</v>
      </c>
      <c r="U716" t="n">
        <v>0</v>
      </c>
    </row>
    <row r="717">
      <c r="A717">
        <f>Skills!A23</f>
        <v/>
      </c>
      <c r="B717">
        <f>Skills!B23</f>
        <v/>
      </c>
      <c r="C717">
        <f>Inputs!$B$3&gt;=50</f>
        <v/>
      </c>
      <c r="D717">
        <f>IF(Skills!C23=1,60+Inputs!$B$26+Inputs!$B$30,IF(Skills!C23=2,90+Inputs!$B$27+Inputs!$B$30,IF(Skills!C23=3,120+Inputs!$B$28+Inputs!$B$30,MAX(0,(Inputs!$B$3-100)*3)+Inputs!$B$29+Inputs!$B$30)))</f>
        <v/>
      </c>
      <c r="E717">
        <f>INDEX(FactorTable!$B$2:$Y$301, MATCH(ROUND(MIN(300,MAX(1,D717)),0), FactorTable!$A$2:$A$301,0), Skills!L23+1)</f>
        <v/>
      </c>
      <c r="F717">
        <f>IF(Skills!M23=TRUE,(Skills!K23/10)*(E717/1000),Skills!K23/10)+Skills!N23</f>
        <v/>
      </c>
      <c r="G717">
        <f>Calc!G23</f>
        <v/>
      </c>
      <c r="H717">
        <f>Calc!H23</f>
        <v/>
      </c>
      <c r="I717">
        <f>IF(Skills!T23&lt;&gt;"",1+(Skills!T23/10)*($Z$3/1000)/100,1)</f>
        <v/>
      </c>
      <c r="J717" t="inlineStr"/>
      <c r="K717" t="inlineStr"/>
      <c r="L717" t="inlineStr"/>
      <c r="M717" t="inlineStr"/>
      <c r="N717" t="inlineStr"/>
      <c r="O717">
        <f>(1-Summary!$B$48)*S717+Summary!$B$48*U717</f>
        <v/>
      </c>
      <c r="P717">
        <f>IF(B736=0,0,O717/B736)</f>
        <v/>
      </c>
      <c r="Q717">
        <f>IFERROR(1/IF(Inputs!$B$39="pvp",15,MAX(0.1,Skills!D23-IF(Skills!E23=TRUE,Inputs!$B$33,0))),0)</f>
        <v/>
      </c>
      <c r="R717" t="n">
        <v>0</v>
      </c>
      <c r="S717" t="n">
        <v>0</v>
      </c>
      <c r="U717" t="n">
        <v>0</v>
      </c>
    </row>
    <row r="718">
      <c r="A718">
        <f>Skills!A24</f>
        <v/>
      </c>
      <c r="B718">
        <f>Skills!B24</f>
        <v/>
      </c>
      <c r="C718">
        <f>Inputs!$B$3&gt;=74</f>
        <v/>
      </c>
      <c r="D718">
        <f>IF(Skills!C24=1,60+Inputs!$B$26+Inputs!$B$30,IF(Skills!C24=2,90+Inputs!$B$27+Inputs!$B$30,IF(Skills!C24=3,120+Inputs!$B$28+Inputs!$B$30,MAX(0,(Inputs!$B$3-100)*3)+Inputs!$B$29+Inputs!$B$30)))</f>
        <v/>
      </c>
      <c r="E718">
        <f>INDEX(FactorTable!$B$2:$Y$301, MATCH(ROUND(MIN(300,MAX(1,D718)),0), FactorTable!$A$2:$A$301,0), Skills!L24+1)</f>
        <v/>
      </c>
      <c r="F718">
        <f>IF(Skills!M24=TRUE,(Skills!K24/10)*(E718/1000),Skills!K24/10)+Skills!N24</f>
        <v/>
      </c>
      <c r="G718">
        <f>Calc!G24</f>
        <v/>
      </c>
      <c r="H718">
        <f>Calc!H24</f>
        <v/>
      </c>
      <c r="I718">
        <f>IF(Skills!T24&lt;&gt;"",1+(Skills!T24/10)*($Z$3/1000)/100,1)</f>
        <v/>
      </c>
      <c r="J718" t="inlineStr"/>
      <c r="K718" t="inlineStr"/>
      <c r="L718" t="inlineStr"/>
      <c r="M718" t="inlineStr"/>
      <c r="N718" t="inlineStr"/>
      <c r="O718">
        <f>(1-Summary!$B$48)*S718+Summary!$B$48*U718</f>
        <v/>
      </c>
      <c r="P718">
        <f>IF(B736=0,0,O718/B736)</f>
        <v/>
      </c>
      <c r="Q718">
        <f>IFERROR(1/IF(Inputs!$B$39="pvp",15,MAX(0.1,Skills!D24-IF(Skills!E24=TRUE,Inputs!$B$33,0))),0)</f>
        <v/>
      </c>
      <c r="R718" t="n">
        <v>0</v>
      </c>
      <c r="S718" t="n">
        <v>0</v>
      </c>
      <c r="U718" t="n">
        <v>0</v>
      </c>
    </row>
    <row r="719">
      <c r="A719">
        <f>Skills!A25</f>
        <v/>
      </c>
      <c r="B719">
        <f>Skills!B25</f>
        <v/>
      </c>
      <c r="C719">
        <f>Inputs!$B$3&gt;=74</f>
        <v/>
      </c>
      <c r="D719">
        <f>IF(Skills!C25=1,60+Inputs!$B$26+Inputs!$B$30,IF(Skills!C25=2,90+Inputs!$B$27+Inputs!$B$30,IF(Skills!C25=3,120+Inputs!$B$28+Inputs!$B$30,MAX(0,(Inputs!$B$3-100)*3)+Inputs!$B$29+Inputs!$B$30)))</f>
        <v/>
      </c>
      <c r="E719">
        <f>INDEX(FactorTable!$B$2:$Y$301, MATCH(ROUND(MIN(300,MAX(1,D719)),0), FactorTable!$A$2:$A$301,0), Skills!L25+1)</f>
        <v/>
      </c>
      <c r="F719">
        <f>IF(Skills!M25=TRUE,(Skills!K25/10)*(E719/1000),Skills!K25/10)+Skills!N25</f>
        <v/>
      </c>
      <c r="G719">
        <f>Calc!G25</f>
        <v/>
      </c>
      <c r="H719">
        <f>Calc!H25</f>
        <v/>
      </c>
      <c r="I719">
        <f>IF(Skills!T25&lt;&gt;"",1+(Skills!T25/10)*($Z$3/1000)/100,1)</f>
        <v/>
      </c>
      <c r="J719" t="inlineStr"/>
      <c r="K719" t="inlineStr"/>
      <c r="L719" t="inlineStr"/>
      <c r="M719" t="inlineStr"/>
      <c r="N719" t="inlineStr"/>
      <c r="O719">
        <f>(1-Summary!$B$48)*S719+Summary!$B$48*U719</f>
        <v/>
      </c>
      <c r="P719">
        <f>IF(B736=0,0,O719/B736)</f>
        <v/>
      </c>
      <c r="Q719">
        <f>IFERROR(1/IF(Inputs!$B$39="pvp",15,MAX(0.1,Skills!D25-IF(Skills!E25=TRUE,Inputs!$B$33,0))),0)</f>
        <v/>
      </c>
      <c r="R719" t="n">
        <v>0</v>
      </c>
      <c r="S719" t="n">
        <v>0</v>
      </c>
      <c r="U719" t="n">
        <v>0</v>
      </c>
    </row>
    <row r="720">
      <c r="A720">
        <f>Skills!A26</f>
        <v/>
      </c>
      <c r="B720">
        <f>Skills!B26</f>
        <v/>
      </c>
      <c r="C720">
        <f>Inputs!$B$3&gt;=117</f>
        <v/>
      </c>
      <c r="D720">
        <f>IF(Skills!C26=1,60+Inputs!$B$26+Inputs!$B$30,IF(Skills!C26=2,90+Inputs!$B$27+Inputs!$B$30,IF(Skills!C26=3,120+Inputs!$B$28+Inputs!$B$30,MAX(0,(Inputs!$B$3-100)*3)+Inputs!$B$29+Inputs!$B$30)))</f>
        <v/>
      </c>
      <c r="E720">
        <f>INDEX(FactorTable!$B$2:$Y$301, MATCH(ROUND(MIN(300,MAX(1,D720)),0), FactorTable!$A$2:$A$301,0), Skills!L26+1)</f>
        <v/>
      </c>
      <c r="F720">
        <f>IF(Skills!M26=TRUE,(Skills!K26/10)*(E720/1000),Skills!K26/10)+Skills!N26</f>
        <v/>
      </c>
      <c r="G720">
        <f>Calc!G26</f>
        <v/>
      </c>
      <c r="H720">
        <f>Calc!H26</f>
        <v/>
      </c>
      <c r="I720">
        <f>IF(Skills!T26&lt;&gt;"",1+(Skills!T26/10)*($Z$3/1000)/100,1)</f>
        <v/>
      </c>
      <c r="J720" t="inlineStr"/>
      <c r="K720" t="inlineStr"/>
      <c r="L720" t="inlineStr"/>
      <c r="M720" t="inlineStr"/>
      <c r="N720" t="inlineStr"/>
      <c r="O720">
        <f>(1-Summary!$B$48)*S720+Summary!$B$48*U720</f>
        <v/>
      </c>
      <c r="P720">
        <f>IF(B736=0,0,O720/B736)</f>
        <v/>
      </c>
      <c r="Q720">
        <f>IFERROR(1/IF(Inputs!$B$39="pvp",15,MAX(0.1,Skills!D26-IF(Skills!E26=TRUE,Inputs!$B$33,0))),0)</f>
        <v/>
      </c>
      <c r="R720" t="n">
        <v>0</v>
      </c>
      <c r="S720" t="n">
        <v>0</v>
      </c>
      <c r="U720" t="n">
        <v>0</v>
      </c>
    </row>
    <row r="721">
      <c r="A721">
        <f>Skills!A27</f>
        <v/>
      </c>
      <c r="B721">
        <f>Skills!B27</f>
        <v/>
      </c>
      <c r="C721">
        <f>Inputs!$B$3&gt;=120</f>
        <v/>
      </c>
      <c r="D721">
        <f>IF(Skills!C27=1,60+Inputs!$B$26+Inputs!$B$30,IF(Skills!C27=2,90+Inputs!$B$27+Inputs!$B$30,IF(Skills!C27=3,120+Inputs!$B$28+Inputs!$B$30,MAX(0,(Inputs!$B$3-100)*3)+Inputs!$B$29+Inputs!$B$30)))</f>
        <v/>
      </c>
      <c r="E721">
        <f>INDEX(FactorTable!$B$2:$Y$301, MATCH(ROUND(MIN(300,MAX(1,D721)),0), FactorTable!$A$2:$A$301,0), Skills!L27+1)</f>
        <v/>
      </c>
      <c r="F721">
        <f>IF(Skills!M27=TRUE,(Skills!K27/10)*(E721/1000),Skills!K27/10)+Skills!N27</f>
        <v/>
      </c>
      <c r="G721">
        <f>Calc!G27</f>
        <v/>
      </c>
      <c r="H721">
        <f>Calc!H27</f>
        <v/>
      </c>
      <c r="I721">
        <f>IF(Skills!T27&lt;&gt;"",1+(Skills!T27/10)*($Z$3/1000)/100,1)</f>
        <v/>
      </c>
      <c r="J721" t="inlineStr"/>
      <c r="K721" t="inlineStr"/>
      <c r="L721" t="inlineStr"/>
      <c r="M721" t="inlineStr"/>
      <c r="N721" t="inlineStr"/>
      <c r="O721">
        <f>(1-Summary!$B$48)*S721+Summary!$B$48*U721</f>
        <v/>
      </c>
      <c r="P721">
        <f>IF(B736=0,0,O721/B736)</f>
        <v/>
      </c>
      <c r="Q721">
        <f>IFERROR(1/IF(Inputs!$B$39="pvp",15,MAX(0.1,Skills!D27-IF(Skills!E27=TRUE,Inputs!$B$33,0))),0)</f>
        <v/>
      </c>
      <c r="R721" t="n">
        <v>0</v>
      </c>
      <c r="S721" t="n">
        <v>0</v>
      </c>
      <c r="U721" t="n">
        <v>0</v>
      </c>
    </row>
    <row r="723">
      <c r="A723" t="inlineStr">
        <is>
          <t>Average Buff Multiplier</t>
        </is>
      </c>
      <c r="B723">
        <f>(1+(IF(C697=TRUE,F697*IF(AND(Inputs!$B$39&lt;&gt;"pvp",Inputs!$B$44&gt;0),(((R697-1)*(Skills!S3*(1+(Inputs!$B$35+IF(Inputs!$B$3&gt;=117,F720,0))/100))+MIN((Skills!S3*(1+(Inputs!$B$35+IF(Inputs!$B$3&gt;=117,F720,0))/100)),MAX(0,Inputs!$B$44-((R697-1)*Skills!D3))))/Inputs!$B$44),IF(Inputs!$B$39="pvp",MIN((Skills!S3*(1+(Inputs!$B$35+IF(Inputs!$B$3&gt;=117,F720,0))/100)),15)/15,(Skills!S3*(1+(Inputs!$B$35+IF(Inputs!$B$3&gt;=117,F720,0))/100))/Skills!D3)),0)+IF(C698=TRUE,F698*IF(AND(Inputs!$B$39&lt;&gt;"pvp",Inputs!$B$44&gt;0),(((R698-1)*(Skills!S4*(1+(Inputs!$B$35+IF(Inputs!$B$3&gt;=117,F720,0))/100))+MIN((Skills!S4*(1+(Inputs!$B$35+IF(Inputs!$B$3&gt;=117,F720,0))/100)),MAX(0,Inputs!$B$44-((R698-1)*Skills!D4))))/Inputs!$B$44),IF(Inputs!$B$39="pvp",MIN((Skills!S4*(1+(Inputs!$B$35+IF(Inputs!$B$3&gt;=117,F720,0))/100)),15)/15,(Skills!S4*(1+(Inputs!$B$35+IF(Inputs!$B$3&gt;=117,F720,0))/100))/Skills!D4)),0)+IF(C699=TRUE,F699*IF(AND(Inputs!$B$39&lt;&gt;"pvp",Inputs!$B$44&gt;0),(((R699-1)*(Skills!S5*(1+(Inputs!$B$35+IF(Inputs!$B$3&gt;=117,F720,0))/100))+MIN((Skills!S5*(1+(Inputs!$B$35+IF(Inputs!$B$3&gt;=117,F720,0))/100)),MAX(0,Inputs!$B$44-((R699-1)*Skills!D5))))/Inputs!$B$44),IF(Inputs!$B$39="pvp",MIN((Skills!S5*(1+(Inputs!$B$35+IF(Inputs!$B$3&gt;=117,F720,0))/100)),15)/15,(Skills!S5*(1+(Inputs!$B$35+IF(Inputs!$B$3&gt;=117,F720,0))/100))/Skills!D5)),0)+IF(C705=TRUE,F705*IF(AND(Inputs!$B$39&lt;&gt;"pvp",Inputs!$B$44&gt;0),(((R705-1)*(Skills!S11*(1+(Inputs!$B$35+IF(Inputs!$B$3&gt;=117,F720,0))/100))+MIN((Skills!S11*(1+(Inputs!$B$35+IF(Inputs!$B$3&gt;=117,F720,0))/100)),MAX(0,Inputs!$B$44-((R705-1)*Skills!D11))))/Inputs!$B$44),IF(Inputs!$B$39="pvp",MIN((Skills!S11*(1+(Inputs!$B$35+IF(Inputs!$B$3&gt;=117,F720,0))/100)),15)/15,(Skills!S11*(1+(Inputs!$B$35+IF(Inputs!$B$3&gt;=117,F720,0))/100))/Skills!D11)),0))/100)*IF(C708=TRUE,(1+F708*IF(AND(Inputs!$B$39&lt;&gt;"pvp",Inputs!$B$44&gt;0),(((R708-1)*(Skills!S14*(1+(Inputs!$B$35+IF(Inputs!$B$3&gt;=117,F720,0))/100))+MIN((Skills!S14*(1+(Inputs!$B$35+IF(Inputs!$B$3&gt;=117,F720,0))/100)),MAX(0,Inputs!$B$44-((R708-1)*Skills!D14))))/Inputs!$B$44),IF(Inputs!$B$39="pvp",MIN((Skills!S14*(1+(Inputs!$B$35+IF(Inputs!$B$3&gt;=117,F720,0))/100)),15)/15,(Skills!S14*(1+(Inputs!$B$35+IF(Inputs!$B$3&gt;=117,F720,0))/100))/Skills!D14))/100),1)*IF(C713=TRUE,(1+F713*IF(AND(Inputs!$B$39&lt;&gt;"pvp",Inputs!$B$44&gt;0),(((R713-1)*(Skills!S19*(1+(Inputs!$B$35+IF(Inputs!$B$3&gt;=117,F720,0))/100))+MIN((Skills!S19*(1+(Inputs!$B$35+IF(Inputs!$B$3&gt;=117,F720,0))/100)),MAX(0,Inputs!$B$44-((R713-1)*Skills!D19))))/Inputs!$B$44),IF(Inputs!$B$39="pvp",MIN((Skills!S19*(1+(Inputs!$B$35+IF(Inputs!$B$3&gt;=117,F720,0))/100)),15)/15,(Skills!S19*(1+(Inputs!$B$35+IF(Inputs!$B$3&gt;=117,F720,0))/100))/Skills!D19))/100),1)</f>
        <v/>
      </c>
    </row>
    <row r="724">
      <c r="A724" t="inlineStr">
        <is>
          <t>Monster Damage Taken Bonus % (Holy Fountain)</t>
        </is>
      </c>
      <c r="B724">
        <f>IF(Inputs!$B$3&gt;=68,20*IF(Inputs!$B$39="pvp",MIN((15*(1+(Inputs!$B$35+IF(Inputs!$B$3&gt;=117,F720,0))/100)),15)/15,(15*(1+(Inputs!$B$35+IF(Inputs!$B$3&gt;=117,F720,0))/100))/Skills!D10),0)</f>
        <v/>
      </c>
    </row>
    <row r="725">
      <c r="A725" t="inlineStr">
        <is>
          <t>Normal Monster Damage Bonus % (Holy Symbol)</t>
        </is>
      </c>
      <c r="B725">
        <f>IF(C706=TRUE,F706*IF(AND(Inputs!$B$39&lt;&gt;"pvp",Inputs!$B$44&gt;0),(((R706-1)*(Skills!S12*(1+(Inputs!$B$35+IF(Inputs!$B$3&gt;=117,F720,0))/100))+MIN((Skills!S12*(1+(Inputs!$B$35+IF(Inputs!$B$3&gt;=117,F720,0))/100)),MAX(0,Inputs!$B$44-((R706-1)*Skills!D12))))/Inputs!$B$44),IF(Inputs!$B$39="pvp",MIN((Skills!S12*(1+(Inputs!$B$35+IF(Inputs!$B$3&gt;=117,F720,0))/100)),15)/15,(Skills!S12*(1+(Inputs!$B$35+IF(Inputs!$B$3&gt;=117,F720,0))/100))/Skills!D12)),0)</f>
        <v/>
      </c>
    </row>
    <row r="726">
      <c r="A726" t="inlineStr">
        <is>
          <t>Damage % Bonus (Holy Symbol - Damage Boost)</t>
        </is>
      </c>
      <c r="B726">
        <f>Skills!O12</f>
        <v/>
      </c>
    </row>
    <row r="727">
      <c r="A727" t="inlineStr">
        <is>
          <t>Crit Damage % Bonus (Blood of the Divine)</t>
        </is>
      </c>
      <c r="B727">
        <f>4*IF(C714=TRUE,F714,0)</f>
        <v/>
      </c>
    </row>
    <row r="728">
      <c r="A728" t="inlineStr">
        <is>
          <t>Attack Speed Bonus %</t>
        </is>
      </c>
      <c r="B728">
        <f>IF(C711=TRUE,F711+(F715-Calc!F21),0)+IF(Inputs!$B$3&gt;=134,15,0)</f>
        <v/>
      </c>
    </row>
    <row r="729">
      <c r="A729" t="inlineStr">
        <is>
          <t>Actions Per Second</t>
        </is>
      </c>
      <c r="B729">
        <f>1+MIN(150,150*(1-(1-Inputs!$B$12/150)*(1-B728/150)))/100</f>
        <v/>
      </c>
    </row>
    <row r="730">
      <c r="A730" t="inlineStr">
        <is>
          <t>Skill + Buff Cast Rate</t>
        </is>
      </c>
      <c r="B730">
        <f>IF(AND(Inputs!$B$39&lt;&gt;"pvp",Inputs!$B$44&gt;0),SUMPRODUCT((Skills!E2:E27=TRUE)*(C696:C721=TRUE)*R696:R721)/Inputs!$B$44,SUMPRODUCT((Skills!E2:E27=TRUE)*(C696:C721=TRUE)*Q696:Q721))</f>
        <v/>
      </c>
    </row>
    <row r="731">
      <c r="A731" t="inlineStr">
        <is>
          <t>Big Bang Casts Per Second</t>
        </is>
      </c>
      <c r="B731">
        <f>MAX(0,B729-B730)</f>
        <v/>
      </c>
    </row>
    <row r="732">
      <c r="A732" t="inlineStr">
        <is>
          <t>Defense % Bonus (Divine Protection)</t>
        </is>
      </c>
      <c r="B732">
        <f>IF(C707=TRUE,F707*IF(AND(Inputs!$B$39&lt;&gt;"pvp",Inputs!$B$44&gt;0),(((R707-1)*(Skills!S13*(1+(Inputs!$B$35+IF(Inputs!$B$3&gt;=117,F720,0))/100))+MIN((Skills!S13*(1+(Inputs!$B$35+IF(Inputs!$B$3&gt;=117,F720,0))/100)),MAX(0,Inputs!$B$44-((R707-1)*Skills!D13))))/Inputs!$B$44),IF(Inputs!$B$39="pvp",MIN((Skills!S13*(1+(Inputs!$B$35+IF(Inputs!$B$3&gt;=117,F720,0))/100)),15)/15,(Skills!S13*(1+(Inputs!$B$35+IF(Inputs!$B$3&gt;=117,F720,0))/100))/Skills!D13)),0)</f>
        <v/>
      </c>
    </row>
    <row r="733">
      <c r="A733" t="inlineStr">
        <is>
          <t>Buff-Casting Startup Delay (s, fixed-duration only)</t>
        </is>
      </c>
      <c r="B733">
        <f>IF(AND(Inputs!$B$39&lt;&gt;"pvp",Inputs!$B$44&gt;0),SUMPRODUCT((Skills!S2:S27&gt;0)*(Skills!E2:E27=TRUE)*(C696:C721=TRUE))/B729,0)</f>
        <v/>
      </c>
    </row>
    <row r="734">
      <c r="A734" t="inlineStr">
        <is>
          <t>Boss-Only Total DPS (this block's swept value)</t>
        </is>
      </c>
      <c r="B734">
        <f>SUM(S696:S721)</f>
        <v/>
      </c>
    </row>
    <row r="735">
      <c r="A735" t="inlineStr">
        <is>
          <t>Normal-Only Total DPS (this block's swept value)</t>
        </is>
      </c>
      <c r="B735">
        <f>SUM(U696:U721)</f>
        <v/>
      </c>
    </row>
    <row r="736">
      <c r="A736" s="5" t="inlineStr">
        <is>
          <t>TOTAL DPS</t>
        </is>
      </c>
      <c r="B736" s="5">
        <f>SUM(O696:O721)</f>
        <v/>
      </c>
    </row>
    <row r="738">
      <c r="A738" s="5" t="inlineStr">
        <is>
          <t>Stat: SKILL_DAMAGE %</t>
        </is>
      </c>
    </row>
    <row r="739">
      <c r="A739" s="9" t="inlineStr">
        <is>
          <t>Key</t>
        </is>
      </c>
      <c r="B739" s="9" t="inlineStr">
        <is>
          <t>Name</t>
        </is>
      </c>
      <c r="C739" s="9" t="inlineStr">
        <is>
          <t>Unlocked</t>
        </is>
      </c>
      <c r="D739" s="9" t="inlineStr">
        <is>
          <t>InputLevel</t>
        </is>
      </c>
      <c r="E739" s="9" t="inlineStr">
        <is>
          <t>Factor</t>
        </is>
      </c>
      <c r="F739" s="9" t="inlineStr">
        <is>
          <t>CoefficientPercent</t>
        </is>
      </c>
      <c r="G739" s="9" t="inlineStr">
        <is>
          <t>EffectiveHits</t>
        </is>
      </c>
      <c r="H739" s="9" t="inlineStr">
        <is>
          <t>ProcProbability</t>
        </is>
      </c>
      <c r="I739" s="9" t="inlineStr">
        <is>
          <t>MapleHeroMultiplier</t>
        </is>
      </c>
      <c r="J739" s="9" t="inlineStr">
        <is>
          <t>BaseDamage</t>
        </is>
      </c>
      <c r="K739" s="9" t="inlineStr">
        <is>
          <t>BaseHitDamage</t>
        </is>
      </c>
      <c r="L739" s="9" t="inlineStr">
        <is>
          <t>NonCritAvg</t>
        </is>
      </c>
      <c r="M739" s="9" t="inlineStr">
        <is>
          <t>CritAvg</t>
        </is>
      </c>
      <c r="N739" s="9" t="inlineStr">
        <is>
          <t>ExpectedDamage(perHit)</t>
        </is>
      </c>
      <c r="O739" s="9" t="inlineStr">
        <is>
          <t>DPS</t>
        </is>
      </c>
      <c r="P739" s="9" t="inlineStr">
        <is>
          <t>% of Total</t>
        </is>
      </c>
      <c r="R739" t="inlineStr">
        <is>
          <t>helpers</t>
        </is>
      </c>
    </row>
    <row r="740">
      <c r="A740">
        <f>Skills!A2</f>
        <v/>
      </c>
      <c r="B740">
        <f>Skills!B2</f>
        <v/>
      </c>
      <c r="C740">
        <f>Inputs!$B$3&gt;=100</f>
        <v/>
      </c>
      <c r="D740" t="inlineStr"/>
      <c r="E740" t="inlineStr"/>
      <c r="F740">
        <f>T742+Skills!N2</f>
        <v/>
      </c>
      <c r="G740">
        <f>Calc!G2</f>
        <v/>
      </c>
      <c r="H740">
        <f>Calc!H2</f>
        <v/>
      </c>
      <c r="I740">
        <f>IF(Skills!T2&lt;&gt;"",1+(Skills!T2/10)*($Z$3/1000)/100,1)</f>
        <v/>
      </c>
      <c r="J740">
        <f>((Inputs!$B$6*(1+Inputs!$B$7/100))+(((Inputs!$B$13*(1+Inputs!$B$14/100))-(Inputs!$B$13*(1+Inputs!$B$14/100)))+0.25*(Inputs!$B$15-Inputs!$B$15))*(1+Inputs!$B$7/100))*(F740/100)</f>
        <v/>
      </c>
      <c r="K740">
        <f>J740*(1+(((Inputs!$B$13+IF(Inputs!$B$3&gt;=35,(10*INDEX(FactorTable!$B$2:$Y$301, MATCH(ROUND(MIN(300,MAX(1,Inputs!$B$3)),0), FactorTable!$A$2:$A$301,0), 23)/1000)/100*(Inputs!$B$8*(1+(Inputs!$B$9+B776)/100)),0))*(1+Inputs!$B$14/100))*0.01+Inputs!$B$15*0.0025)/100)*(1+(Inputs!$B$16+B770)/100)*(1+Inputs!$B$17/100)*(5000/(6000+Inputs!$B$43*(1-Inputs!$B$20/100)))*(1+Inputs!$B$25/100)*(1+IF(C756=TRUE,F756,0)/100)*(1+IF(C758=TRUE,F758,0)/100)*(1+IF(Skills!A2="TRIUMPH_FEATHER",IF(C754=TRUE,F754,0),0)/100)*(1+IF(C765=TRUE,F765,0)/100)^5*(1+(IF(Skills!A2="BIG_BANG",Inputs!$B$18,(Inputs!$B$19+1)))/100)*(B767*I740)</f>
        <v/>
      </c>
      <c r="L740">
        <f>K740*(MIN(Inputs!$B$23+(F760-Calc!F22),Inputs!$B$24)/100+Inputs!$B$24/100)/2</f>
        <v/>
      </c>
      <c r="M740">
        <f>L740*(1+(Inputs!$B$11+B771+(F763-Calc!F25))/100)</f>
        <v/>
      </c>
      <c r="N740">
        <f>L740*(1-MIN(Inputs!$B$10+((F762-Calc!F24)+(F761-Calc!F23)),100)/100)+M740*(MIN(Inputs!$B$10+((F762-Calc!F24)+(F761-Calc!F23)),100)/100)</f>
        <v/>
      </c>
      <c r="O740">
        <f>(1-Summary!$B$48)*S740+Summary!$B$48*U740</f>
        <v/>
      </c>
      <c r="P740">
        <f>IF(B780=0,0,O740/B780)</f>
        <v/>
      </c>
      <c r="Q740">
        <f>IFERROR(1/IF(Inputs!$B$39="pvp",15,MAX(0.1,Skills!D2-IF(Skills!E2=TRUE,Inputs!$B$33,0))),0)</f>
        <v/>
      </c>
      <c r="R740" t="n">
        <v>0</v>
      </c>
      <c r="S740">
        <f>IF(C740,(Skills!F2*N740*B775)*IF(Inputs!$B$39="pvp",1,1+(Inputs!$B$21+Skills!O2+B768)/100),0)</f>
        <v/>
      </c>
      <c r="T740">
        <f>MAX(0,(Inputs!$B$3-100)*3)+Inputs!$B$29+Inputs!$B$30</f>
        <v/>
      </c>
      <c r="U740">
        <f>IF(C740,(Skills!F2*N740*B775)*IF(Inputs!$B$39="pvp",1,(1+(Inputs!$B$22+Skills!P2+B769)/100)*(MIN((6+Inputs!$B$34),Inputs!$B$38))),0)</f>
        <v/>
      </c>
    </row>
    <row r="741">
      <c r="A741">
        <f>Skills!A3</f>
        <v/>
      </c>
      <c r="B741">
        <f>Skills!B3</f>
        <v/>
      </c>
      <c r="C741">
        <f>Inputs!$B$3&gt;=15</f>
        <v/>
      </c>
      <c r="D741">
        <f>IF(Skills!C3=1,60+Inputs!$B$26+Inputs!$B$30,IF(Skills!C3=2,90+Inputs!$B$27+Inputs!$B$30,IF(Skills!C3=3,120+Inputs!$B$28+Inputs!$B$30,MAX(0,(Inputs!$B$3-100)*3)+Inputs!$B$29+Inputs!$B$30)))</f>
        <v/>
      </c>
      <c r="E741">
        <f>INDEX(FactorTable!$B$2:$Y$301, MATCH(ROUND(MIN(300,MAX(1,D741)),0), FactorTable!$A$2:$A$301,0), Skills!L3+1)</f>
        <v/>
      </c>
      <c r="F741">
        <f>IF(Skills!M3=TRUE,(Skills!K3/10)*(E741/1000),Skills!K3/10)+Skills!N3</f>
        <v/>
      </c>
      <c r="G741">
        <f>Calc!G3</f>
        <v/>
      </c>
      <c r="H741">
        <f>Calc!H3</f>
        <v/>
      </c>
      <c r="I741">
        <f>IF(Skills!T3&lt;&gt;"",1+(Skills!T3/10)*($Z$3/1000)/100,1)</f>
        <v/>
      </c>
      <c r="J741" t="inlineStr"/>
      <c r="K741" t="inlineStr"/>
      <c r="L741" t="inlineStr"/>
      <c r="M741" t="inlineStr"/>
      <c r="N741" t="inlineStr"/>
      <c r="O741">
        <f>(1-Summary!$B$48)*S741+Summary!$B$48*U741</f>
        <v/>
      </c>
      <c r="P741">
        <f>IF(B780=0,0,O741/B780)</f>
        <v/>
      </c>
      <c r="Q741">
        <f>IFERROR(1/IF(Inputs!$B$39="pvp",15,MAX(0.1,Skills!D3-IF(Skills!E3=TRUE,Inputs!$B$33,0))),0)</f>
        <v/>
      </c>
      <c r="R741">
        <f>IF(AND(Inputs!$B$39&lt;&gt;"pvp",Inputs!$B$44&gt;0),IF(Inputs!$B$44&lt;=0,0,(INT(Inputs!$B$44/IF(Inputs!$B$39="pvp",15,MAX(0.1,Skills!D3-IF(Skills!E3=TRUE,Inputs!$B$33,0))))+1)),0)</f>
        <v/>
      </c>
      <c r="S741" t="n">
        <v>0</v>
      </c>
      <c r="T741">
        <f>INDEX(FactorTable!$B$2:$Y$301, MATCH(ROUND(MIN(300,MAX(1,T740)),0), FactorTable!$A$2:$A$301,0), 22)</f>
        <v/>
      </c>
      <c r="U741" t="n">
        <v>0</v>
      </c>
    </row>
    <row r="742">
      <c r="A742">
        <f>Skills!A4</f>
        <v/>
      </c>
      <c r="B742">
        <f>Skills!B4</f>
        <v/>
      </c>
      <c r="C742">
        <f>Inputs!$B$3&gt;=38</f>
        <v/>
      </c>
      <c r="D742">
        <f>IF(Skills!C4=1,60+Inputs!$B$26+Inputs!$B$30,IF(Skills!C4=2,90+Inputs!$B$27+Inputs!$B$30,IF(Skills!C4=3,120+Inputs!$B$28+Inputs!$B$30,MAX(0,(Inputs!$B$3-100)*3)+Inputs!$B$29+Inputs!$B$30)))</f>
        <v/>
      </c>
      <c r="E742">
        <f>INDEX(FactorTable!$B$2:$Y$301, MATCH(ROUND(MIN(300,MAX(1,D742)),0), FactorTable!$A$2:$A$301,0), Skills!L4+1)</f>
        <v/>
      </c>
      <c r="F742">
        <f>IF(Skills!M4=TRUE,(Skills!K4/10)*(E742/1000),Skills!K4/10)+Skills!N4</f>
        <v/>
      </c>
      <c r="G742">
        <f>Calc!G4</f>
        <v/>
      </c>
      <c r="H742">
        <f>Calc!H4</f>
        <v/>
      </c>
      <c r="I742">
        <f>IF(Skills!T4&lt;&gt;"",1+(Skills!T4/10)*($Z$3/1000)/100,1)</f>
        <v/>
      </c>
      <c r="J742" t="inlineStr"/>
      <c r="K742" t="inlineStr"/>
      <c r="L742" t="inlineStr"/>
      <c r="M742" t="inlineStr"/>
      <c r="N742" t="inlineStr"/>
      <c r="O742">
        <f>(1-Summary!$B$48)*S742+Summary!$B$48*U742</f>
        <v/>
      </c>
      <c r="P742">
        <f>IF(B780=0,0,O742/B780)</f>
        <v/>
      </c>
      <c r="Q742">
        <f>IFERROR(1/IF(Inputs!$B$39="pvp",15,MAX(0.1,Skills!D4-IF(Skills!E4=TRUE,Inputs!$B$33,0))),0)</f>
        <v/>
      </c>
      <c r="R742">
        <f>IF(AND(Inputs!$B$39&lt;&gt;"pvp",Inputs!$B$44&gt;0),IF(Inputs!$B$44&lt;=0,0,(INT(Inputs!$B$44/IF(Inputs!$B$39="pvp",15,MAX(0.1,Skills!D4-IF(Skills!E4=TRUE,Inputs!$B$33,0))))+1)),0)</f>
        <v/>
      </c>
      <c r="S742" t="n">
        <v>0</v>
      </c>
      <c r="T742">
        <f>290*T741/1000</f>
        <v/>
      </c>
      <c r="U742" t="n">
        <v>0</v>
      </c>
    </row>
    <row r="743">
      <c r="A743">
        <f>Skills!A5</f>
        <v/>
      </c>
      <c r="B743">
        <f>Skills!B5</f>
        <v/>
      </c>
      <c r="C743">
        <f>Inputs!$B$3&gt;=40</f>
        <v/>
      </c>
      <c r="D743">
        <f>IF(Skills!C5=1,60+Inputs!$B$26+Inputs!$B$30,IF(Skills!C5=2,90+Inputs!$B$27+Inputs!$B$30,IF(Skills!C5=3,120+Inputs!$B$28+Inputs!$B$30,MAX(0,(Inputs!$B$3-100)*3)+Inputs!$B$29+Inputs!$B$30)))</f>
        <v/>
      </c>
      <c r="E743">
        <f>INDEX(FactorTable!$B$2:$Y$301, MATCH(ROUND(MIN(300,MAX(1,D743)),0), FactorTable!$A$2:$A$301,0), Skills!L5+1)</f>
        <v/>
      </c>
      <c r="F743">
        <f>IF(Skills!M5=TRUE,(Skills!K5/10)*(E743/1000),Skills!K5/10)+Skills!N5</f>
        <v/>
      </c>
      <c r="G743">
        <f>Calc!G5</f>
        <v/>
      </c>
      <c r="H743">
        <f>Calc!H5</f>
        <v/>
      </c>
      <c r="I743">
        <f>IF(Skills!T5&lt;&gt;"",1+(Skills!T5/10)*($Z$3/1000)/100,1)</f>
        <v/>
      </c>
      <c r="J743" t="inlineStr"/>
      <c r="K743" t="inlineStr"/>
      <c r="L743" t="inlineStr"/>
      <c r="M743" t="inlineStr"/>
      <c r="N743" t="inlineStr"/>
      <c r="O743">
        <f>(1-Summary!$B$48)*S743+Summary!$B$48*U743</f>
        <v/>
      </c>
      <c r="P743">
        <f>IF(B780=0,0,O743/B780)</f>
        <v/>
      </c>
      <c r="Q743">
        <f>IFERROR(1/IF(Inputs!$B$39="pvp",15,MAX(0.1,Skills!D5-IF(Skills!E5=TRUE,Inputs!$B$33,0))),0)</f>
        <v/>
      </c>
      <c r="R743">
        <f>IF(AND(Inputs!$B$39&lt;&gt;"pvp",Inputs!$B$44&gt;0),IF(Inputs!$B$44&lt;=0,0,(INT(Inputs!$B$44/IF(Inputs!$B$39="pvp",15,MAX(0.1,Skills!D5-IF(Skills!E5=TRUE,Inputs!$B$33,0))))+1)),0)</f>
        <v/>
      </c>
      <c r="S743" t="n">
        <v>0</v>
      </c>
      <c r="U743" t="n">
        <v>0</v>
      </c>
    </row>
    <row r="744">
      <c r="A744">
        <f>Skills!A6</f>
        <v/>
      </c>
      <c r="B744">
        <f>Skills!B6</f>
        <v/>
      </c>
      <c r="C744">
        <f>Inputs!$B$3&gt;=103</f>
        <v/>
      </c>
      <c r="D744">
        <f>IF(Skills!C6=1,60+Inputs!$B$26+Inputs!$B$30,IF(Skills!C6=2,90+Inputs!$B$27+Inputs!$B$30,IF(Skills!C6=3,120+Inputs!$B$28+Inputs!$B$30,MAX(0,(Inputs!$B$3-100)*3)+Inputs!$B$29+Inputs!$B$30)))</f>
        <v/>
      </c>
      <c r="E744">
        <f>INDEX(FactorTable!$B$2:$Y$301, MATCH(ROUND(MIN(300,MAX(1,D744)),0), FactorTable!$A$2:$A$301,0), Skills!L6+1)</f>
        <v/>
      </c>
      <c r="F744">
        <f>IF(Skills!M6=TRUE,(Skills!K6/10)*(E744/1000),Skills!K6/10)+Skills!N6</f>
        <v/>
      </c>
      <c r="G744">
        <f>Calc!G6</f>
        <v/>
      </c>
      <c r="H744">
        <f>Calc!H6</f>
        <v/>
      </c>
      <c r="I744">
        <f>IF(Skills!T6&lt;&gt;"",1+(Skills!T6/10)*($Z$3/1000)/100,1)</f>
        <v/>
      </c>
      <c r="J744">
        <f>((Inputs!$B$6*(1+Inputs!$B$7/100))+(((Inputs!$B$13*(1+Inputs!$B$14/100))-(Inputs!$B$13*(1+Inputs!$B$14/100)))+0.25*(Inputs!$B$15-Inputs!$B$15))*(1+Inputs!$B$7/100))*(F744/100)</f>
        <v/>
      </c>
      <c r="K744">
        <f>J744*(1+(((Inputs!$B$13+IF(Inputs!$B$3&gt;=35,(10*INDEX(FactorTable!$B$2:$Y$301, MATCH(ROUND(MIN(300,MAX(1,Inputs!$B$3)),0), FactorTable!$A$2:$A$301,0), 23)/1000)/100*(Inputs!$B$8*(1+(Inputs!$B$9+B776)/100)),0))*(1+Inputs!$B$14/100))*0.01+Inputs!$B$15*0.0025)/100)*(1+(Inputs!$B$16+B770)/100)*(1+Inputs!$B$17/100)*(5000/(6000+Inputs!$B$43*(1-Inputs!$B$20/100)))*(1+Inputs!$B$25/100)*(1+IF(C756=TRUE,F756,0)/100)*(1+IF(C758=TRUE,F758,0)/100)*(1+IF(Skills!A6="TRIUMPH_FEATHER",IF(C754=TRUE,F754,0),0)/100)*(1+IF(C765=TRUE,F765,0)/100)^5*(1+(IF(Skills!A6="BIG_BANG",Inputs!$B$18,(Inputs!$B$19+1)))/100)*(B767*I744)</f>
        <v/>
      </c>
      <c r="L744">
        <f>K744*(MIN(Inputs!$B$23+(F760-Calc!F22),Inputs!$B$24)/100+Inputs!$B$24/100)/2</f>
        <v/>
      </c>
      <c r="M744">
        <f>L744*(1+(Inputs!$B$11+B771+(F763-Calc!F25))/100)</f>
        <v/>
      </c>
      <c r="N744">
        <f>L744*(1-MIN(Inputs!$B$10+((F762-Calc!F24)+(F761-Calc!F23)),100)/100)+M744*(MIN(Inputs!$B$10+((F762-Calc!F24)+(F761-Calc!F23)),100)/100)</f>
        <v/>
      </c>
      <c r="O744">
        <f>(1-Summary!$B$48)*S744+Summary!$B$48*U744</f>
        <v/>
      </c>
      <c r="P744">
        <f>IF(B780=0,0,O744/B780)</f>
        <v/>
      </c>
      <c r="Q744">
        <f>IFERROR(1/IF(Inputs!$B$39="pvp",15,MAX(0.1,Skills!D6-IF(Skills!E6=TRUE,Inputs!$B$33,0))),0)</f>
        <v/>
      </c>
      <c r="R744">
        <f>IF(AND(Inputs!$B$39&lt;&gt;"pvp",Inputs!$B$44&gt;0),IF(MAX(0,Inputs!$B$44-B777)&lt;=0,0,(INT(MAX(0,Inputs!$B$44-B777)/IF(Inputs!$B$39="pvp",15,MAX(0.1,Skills!D6-IF(Skills!E6=TRUE,Inputs!$B$33,0))))+1)),0)</f>
        <v/>
      </c>
      <c r="S744">
        <f>IF(C744,(H744*N744*IF(AND(Inputs!$B$39&lt;&gt;"pvp",Inputs!$B$44&gt;0),((Skills!F6*((R744-1)*IF(Skills!G6&gt;0,Skills!H6/Skills!G6,1)+IF(Skills!G6&gt;0,MIN(Skills!H6,MAX(0,MAX(0,Inputs!$B$44-B777)-((R744-1)*IF(Inputs!$B$39="pvp",15,MAX(0.1,Skills!D6-IF(Skills!E6=TRUE,Inputs!$B$33,0))))))/Skills!G6,1)))/Inputs!$B$44),G744*Q744))*IF(Inputs!$B$39="pvp",1,1+(Inputs!$B$21+Skills!O6+B768)/100),0)</f>
        <v/>
      </c>
      <c r="U744">
        <f>IF(C744,(H744*N744*IF(AND(Inputs!$B$39&lt;&gt;"pvp",Inputs!$B$44&gt;0),((Skills!F6*((R744-1)*IF(Skills!G6&gt;0,Skills!H6/Skills!G6,1)+IF(Skills!G6&gt;0,MIN(Skills!H6,MAX(0,MAX(0,Inputs!$B$44-B777)-((R744-1)*IF(Inputs!$B$39="pvp",15,MAX(0.1,Skills!D6-IF(Skills!E6=TRUE,Inputs!$B$33,0))))))/Skills!G6,1)))/Inputs!$B$44),G744*Q744))*IF(Inputs!$B$39="pvp",1,(1+(Inputs!$B$22+Skills!P6+B769)/100)*(MIN(Skills!Q6,Inputs!$B$38))),0)</f>
        <v/>
      </c>
    </row>
    <row r="745">
      <c r="A745">
        <f>Skills!A7</f>
        <v/>
      </c>
      <c r="B745">
        <f>Skills!B7</f>
        <v/>
      </c>
      <c r="C745">
        <f>Inputs!$B$3&gt;=122</f>
        <v/>
      </c>
      <c r="D745">
        <f>IF(Skills!C7=1,60+Inputs!$B$26+Inputs!$B$30,IF(Skills!C7=2,90+Inputs!$B$27+Inputs!$B$30,IF(Skills!C7=3,120+Inputs!$B$28+Inputs!$B$30,MAX(0,(Inputs!$B$3-100)*3)+Inputs!$B$29+Inputs!$B$30)))</f>
        <v/>
      </c>
      <c r="E745">
        <f>INDEX(FactorTable!$B$2:$Y$301, MATCH(ROUND(MIN(300,MAX(1,D745)),0), FactorTable!$A$2:$A$301,0), Skills!L7+1)</f>
        <v/>
      </c>
      <c r="F745">
        <f>IF(Skills!M7=TRUE,(Skills!K7/10)*(E745/1000),Skills!K7/10)+Skills!N7</f>
        <v/>
      </c>
      <c r="G745">
        <f>Calc!G7</f>
        <v/>
      </c>
      <c r="H745">
        <f>Calc!H7</f>
        <v/>
      </c>
      <c r="I745">
        <f>IF(Skills!T7&lt;&gt;"",1+(Skills!T7/10)*($Z$3/1000)/100,1)</f>
        <v/>
      </c>
      <c r="J745">
        <f>((Inputs!$B$6*(1+Inputs!$B$7/100))+(((Inputs!$B$13*(1+Inputs!$B$14/100))-(Inputs!$B$13*(1+Inputs!$B$14/100)))+0.25*(Inputs!$B$15-Inputs!$B$15))*(1+Inputs!$B$7/100))*(F745/100)</f>
        <v/>
      </c>
      <c r="K745">
        <f>J745*(1+(((Inputs!$B$13+IF(Inputs!$B$3&gt;=35,(10*INDEX(FactorTable!$B$2:$Y$301, MATCH(ROUND(MIN(300,MAX(1,Inputs!$B$3)),0), FactorTable!$A$2:$A$301,0), 23)/1000)/100*(Inputs!$B$8*(1+(Inputs!$B$9+B776)/100)),0))*(1+Inputs!$B$14/100))*0.01+Inputs!$B$15*0.0025)/100)*(1+(Inputs!$B$16+B770)/100)*(1+Inputs!$B$17/100)*(5000/(6000+Inputs!$B$43*(1-Inputs!$B$20/100)))*(1+Inputs!$B$25/100)*(1+IF(C756=TRUE,F756,0)/100)*(1+IF(C758=TRUE,F758,0)/100)*(1+IF(Skills!A7="TRIUMPH_FEATHER",IF(C754=TRUE,F754,0),0)/100)*(1+IF(C765=TRUE,F765,0)/100)^5*(1+(IF(Skills!A7="BIG_BANG",Inputs!$B$18,(Inputs!$B$19+1)))/100)*(B767*I745)</f>
        <v/>
      </c>
      <c r="L745">
        <f>K745*(MIN(Inputs!$B$23+(F760-Calc!F22),Inputs!$B$24)/100+Inputs!$B$24/100)/2</f>
        <v/>
      </c>
      <c r="M745">
        <f>L745*(1+(Inputs!$B$11+B771+(F763-Calc!F25))/100)</f>
        <v/>
      </c>
      <c r="N745">
        <f>L745*(1-MIN(Inputs!$B$10+((F762-Calc!F24)+(F761-Calc!F23)),100)/100)+M745*(MIN(Inputs!$B$10+((F762-Calc!F24)+(F761-Calc!F23)),100)/100)</f>
        <v/>
      </c>
      <c r="O745">
        <f>(1-Summary!$B$48)*S745+Summary!$B$48*U745</f>
        <v/>
      </c>
      <c r="P745">
        <f>IF(B780=0,0,O745/B780)</f>
        <v/>
      </c>
      <c r="Q745">
        <f>IFERROR(1/IF(Inputs!$B$39="pvp",15,MAX(0.1,Skills!D7-IF(Skills!E6=TRUE,Inputs!$B$33,0))),0)</f>
        <v/>
      </c>
      <c r="R745">
        <f>IF(AND(Inputs!$B$39&lt;&gt;"pvp",Inputs!$B$44&gt;0),IF(MAX(0,Inputs!$B$44-B777)&lt;=0,0,(INT(MAX(0,Inputs!$B$44-B777)/IF(Inputs!$B$39="pvp",15,MAX(0.1,Skills!D7-IF(Skills!E6=TRUE,Inputs!$B$33,0))))+1)),0)</f>
        <v/>
      </c>
      <c r="S745">
        <f>IF(C745,H745*N745*IF(AND(Inputs!$B$39&lt;&gt;"pvp",Inputs!$B$44&gt;0),((Skills!F7*((R745-1)*IF(Skills!G7&gt;0,Skills!H7/Skills!G7,1)+IF(Skills!G7&gt;0,MIN(Skills!H7,MAX(0,MAX(0,Inputs!$B$44-B777)-((R745-1)*IF(Inputs!$B$39="pvp",15,MAX(0.1,Skills!D7-IF(Skills!E6=TRUE,Inputs!$B$33,0))))))/Skills!G7,1)))/Inputs!$B$44),G745*Q745)*IF(Inputs!$B$39="pvp",1,1+(Inputs!$B$21+Skills!O7+B768)/100),0)</f>
        <v/>
      </c>
      <c r="U745" t="n">
        <v>0</v>
      </c>
    </row>
    <row r="746">
      <c r="A746">
        <f>Skills!A8</f>
        <v/>
      </c>
      <c r="B746">
        <f>Skills!B8</f>
        <v/>
      </c>
      <c r="C746">
        <f>Inputs!$B$3&gt;=105</f>
        <v/>
      </c>
      <c r="D746">
        <f>IF(Skills!C8=1,60+Inputs!$B$26+Inputs!$B$30,IF(Skills!C8=2,90+Inputs!$B$27+Inputs!$B$30,IF(Skills!C8=3,120+Inputs!$B$28+Inputs!$B$30,MAX(0,(Inputs!$B$3-100)*3)+Inputs!$B$29+Inputs!$B$30)))</f>
        <v/>
      </c>
      <c r="E746">
        <f>INDEX(FactorTable!$B$2:$Y$301, MATCH(ROUND(MIN(300,MAX(1,D746)),0), FactorTable!$A$2:$A$301,0), Skills!L8+1)</f>
        <v/>
      </c>
      <c r="F746">
        <f>IF(Skills!M8=TRUE,(Skills!K8/10)*(E746/1000),Skills!K8/10)+Skills!N8</f>
        <v/>
      </c>
      <c r="G746">
        <f>Calc!G8</f>
        <v/>
      </c>
      <c r="H746">
        <f>Calc!H8</f>
        <v/>
      </c>
      <c r="I746">
        <f>IF(Skills!T8&lt;&gt;"",1+(Skills!T8/10)*($Z$3/1000)/100,1)</f>
        <v/>
      </c>
      <c r="J746">
        <f>((Inputs!$B$6*(1+Inputs!$B$7/100))+(((Inputs!$B$13*(1+Inputs!$B$14/100))-(Inputs!$B$13*(1+Inputs!$B$14/100)))+0.25*(Inputs!$B$15-Inputs!$B$15))*(1+Inputs!$B$7/100))*(F746/100)</f>
        <v/>
      </c>
      <c r="K746">
        <f>J746*(1+(((Inputs!$B$13+IF(Inputs!$B$3&gt;=35,(10*INDEX(FactorTable!$B$2:$Y$301, MATCH(ROUND(MIN(300,MAX(1,Inputs!$B$3)),0), FactorTable!$A$2:$A$301,0), 23)/1000)/100*(Inputs!$B$8*(1+(Inputs!$B$9+B776)/100)),0))*(1+Inputs!$B$14/100))*0.01+Inputs!$B$15*0.0025)/100)*(1+(Inputs!$B$16+B770)/100)*(1+Inputs!$B$17/100)*(5000/(6000+Inputs!$B$43*(1-Inputs!$B$20/100)))*(1+Inputs!$B$25/100)*(1+IF(C756=TRUE,F756,0)/100)*(1+IF(C758=TRUE,F758,0)/100)*(1+IF(Skills!A8="TRIUMPH_FEATHER",IF(C754=TRUE,F754,0),0)/100)*(1+IF(C765=TRUE,F765,0)/100)^5*(1+(IF(Skills!A8="BIG_BANG",Inputs!$B$18,(Inputs!$B$19+1)))/100)*(B767*I746)</f>
        <v/>
      </c>
      <c r="L746">
        <f>K746*(MIN(Inputs!$B$23+(F760-Calc!F22),Inputs!$B$24)/100+Inputs!$B$24/100)/2</f>
        <v/>
      </c>
      <c r="M746">
        <f>L746*(1+(Inputs!$B$11+B771+(F763-Calc!F25))/100)</f>
        <v/>
      </c>
      <c r="N746">
        <f>L746*(1-MIN(Inputs!$B$10+((F762-Calc!F24)+(F761-Calc!F23)),100)/100)+M746*(MIN(Inputs!$B$10+((F762-Calc!F24)+(F761-Calc!F23)),100)/100)</f>
        <v/>
      </c>
      <c r="O746">
        <f>(1-Summary!$B$48)*S746+Summary!$B$48*U746</f>
        <v/>
      </c>
      <c r="P746">
        <f>IF(B780=0,0,O746/B780)</f>
        <v/>
      </c>
      <c r="Q746">
        <f>IFERROR(1/IF(Inputs!$B$39="pvp",15,MAX(0.1,Skills!D8-IF(Skills!E8=TRUE,Inputs!$B$33,0))),0)</f>
        <v/>
      </c>
      <c r="R746">
        <f>IF(AND(Inputs!$B$39&lt;&gt;"pvp",Inputs!$B$44&gt;0),IF(MAX(0,Inputs!$B$44-B777)&lt;=0,0,(INT(MAX(0,Inputs!$B$44-B777)/IF(Inputs!$B$39="pvp",15,MAX(0.1,Skills!D8-IF(Skills!E8=TRUE,Inputs!$B$33,0))))+1)),0)</f>
        <v/>
      </c>
      <c r="S746">
        <f>IF(C746,(H746*N746*IF(AND(Inputs!$B$39&lt;&gt;"pvp",Inputs!$B$44&gt;0),((Skills!F8*((R746-1)*IF(Skills!G8&gt;0,Skills!H8/Skills!G8,1)+IF(Skills!G8&gt;0,MIN(Skills!H8,MAX(0,MAX(0,Inputs!$B$44-B777)-((R746-1)*IF(Inputs!$B$39="pvp",15,MAX(0.1,Skills!D8-IF(Skills!E8=TRUE,Inputs!$B$33,0))))))/Skills!G8,1)))/Inputs!$B$44),G746*Q746))*IF(Inputs!$B$39="pvp",1,1+(Inputs!$B$21+Skills!O8+B768)/100),0)</f>
        <v/>
      </c>
      <c r="U746">
        <f>IF(C746,(H746*N746*IF(AND(Inputs!$B$39&lt;&gt;"pvp",Inputs!$B$44&gt;0),((Skills!F8*((R746-1)*IF(Skills!G8&gt;0,Skills!H8/Skills!G8,1)+IF(Skills!G8&gt;0,MIN(Skills!H8,MAX(0,MAX(0,Inputs!$B$44-B777)-((R746-1)*IF(Inputs!$B$39="pvp",15,MAX(0.1,Skills!D8-IF(Skills!E8=TRUE,Inputs!$B$33,0))))))/Skills!G8,1)))/Inputs!$B$44),G746*Q746))*IF(Inputs!$B$39="pvp",1,(1+(Inputs!$B$22+Skills!P8+B769)/100)*(MIN(Skills!Q8,Inputs!$B$38))),0)</f>
        <v/>
      </c>
    </row>
    <row r="747">
      <c r="A747">
        <f>Skills!A9</f>
        <v/>
      </c>
      <c r="B747">
        <f>Skills!B9</f>
        <v/>
      </c>
      <c r="C747">
        <f>Inputs!$B$3&gt;=115</f>
        <v/>
      </c>
      <c r="D747">
        <f>IF(Skills!C9=1,60+Inputs!$B$26+Inputs!$B$30,IF(Skills!C9=2,90+Inputs!$B$27+Inputs!$B$30,IF(Skills!C9=3,120+Inputs!$B$28+Inputs!$B$30,MAX(0,(Inputs!$B$3-100)*3)+Inputs!$B$29+Inputs!$B$30)))</f>
        <v/>
      </c>
      <c r="E747">
        <f>INDEX(FactorTable!$B$2:$Y$301, MATCH(ROUND(MIN(300,MAX(1,D747)),0), FactorTable!$A$2:$A$301,0), Skills!L9+1)</f>
        <v/>
      </c>
      <c r="F747">
        <f>IF(Skills!M9=TRUE,(Skills!K9/10)*(E747/1000),Skills!K9/10)+Skills!N9</f>
        <v/>
      </c>
      <c r="G747">
        <f>Calc!G9</f>
        <v/>
      </c>
      <c r="H747">
        <f>Calc!H9</f>
        <v/>
      </c>
      <c r="I747">
        <f>IF(Skills!T9&lt;&gt;"",1+(Skills!T9/10)*($Z$3/1000)/100,1)</f>
        <v/>
      </c>
      <c r="J747">
        <f>((Inputs!$B$6*(1+Inputs!$B$7/100))+(((Inputs!$B$13*(1+Inputs!$B$14/100))-(Inputs!$B$13*(1+Inputs!$B$14/100)))+0.25*(Inputs!$B$15-Inputs!$B$15))*(1+Inputs!$B$7/100))*(F747/100)</f>
        <v/>
      </c>
      <c r="K747">
        <f>J747*(1+(((Inputs!$B$13+IF(Inputs!$B$3&gt;=35,(10*INDEX(FactorTable!$B$2:$Y$301, MATCH(ROUND(MIN(300,MAX(1,Inputs!$B$3)),0), FactorTable!$A$2:$A$301,0), 23)/1000)/100*(Inputs!$B$8*(1+(Inputs!$B$9+B776)/100)),0))*(1+Inputs!$B$14/100))*0.01+Inputs!$B$15*0.0025)/100)*(1+(Inputs!$B$16+B770)/100)*(1+Inputs!$B$17/100)*(5000/(6000+Inputs!$B$43*(1-Inputs!$B$20/100)))*(1+Inputs!$B$25/100)*(1+IF(C756=TRUE,F756,0)/100)*(1+IF(C758=TRUE,F758,0)/100)*(1+IF(Skills!A9="TRIUMPH_FEATHER",IF(C754=TRUE,F754,0),0)/100)*(1+IF(C765=TRUE,F765,0)/100)^5*(1+(IF(Skills!A9="BIG_BANG",Inputs!$B$18,(Inputs!$B$19+1)))/100)*(B767*I747)</f>
        <v/>
      </c>
      <c r="L747">
        <f>K747*(MIN(Inputs!$B$23+(F760-Calc!F22),Inputs!$B$24)/100+Inputs!$B$24/100)/2</f>
        <v/>
      </c>
      <c r="M747">
        <f>L747*(1+(Inputs!$B$11+B771+(F763-Calc!F25))/100)</f>
        <v/>
      </c>
      <c r="N747">
        <f>L747*(1-MIN(Inputs!$B$10+((F762-Calc!F24)+(F761-Calc!F23)),100)/100)+M747*(MIN(Inputs!$B$10+((F762-Calc!F24)+(F761-Calc!F23)),100)/100)</f>
        <v/>
      </c>
      <c r="O747">
        <f>(1-Summary!$B$48)*S747+Summary!$B$48*U747</f>
        <v/>
      </c>
      <c r="P747">
        <f>IF(B780=0,0,O747/B780)</f>
        <v/>
      </c>
      <c r="Q747">
        <f>IFERROR(1/IF(Inputs!$B$39="pvp",15,MAX(0.1,Skills!D9-IF(Skills!E9=TRUE,Inputs!$B$33,0))),0)</f>
        <v/>
      </c>
      <c r="R747">
        <f>IF(AND(Inputs!$B$39&lt;&gt;"pvp",Inputs!$B$44&gt;0),IF(MAX(0,Inputs!$B$44-B777)&lt;=0,0,(INT(MAX(0,Inputs!$B$44-B777)/IF(Inputs!$B$39="pvp",15,MAX(0.1,Skills!D9-IF(Skills!E9=TRUE,Inputs!$B$33,0))))+1)),0)</f>
        <v/>
      </c>
      <c r="S747">
        <f>IF(C747,(H747*N747*IF(AND(Inputs!$B$39&lt;&gt;"pvp",Inputs!$B$44&gt;0),((Skills!F9*((R747-1)*IF(Skills!G9&gt;0,Skills!H9/Skills!G9,1)+IF(Skills!G9&gt;0,MIN(Skills!H9,MAX(0,MAX(0,Inputs!$B$44-B777)-((R747-1)*IF(Inputs!$B$39="pvp",15,MAX(0.1,Skills!D9-IF(Skills!E9=TRUE,Inputs!$B$33,0))))))/Skills!G9,1)))/Inputs!$B$44),G747*Q747))*IF(Inputs!$B$39="pvp",1,1+(Inputs!$B$21+Skills!O9+B768)/100),0)</f>
        <v/>
      </c>
      <c r="U747">
        <f>IF(C747,(H747*N747*IF(AND(Inputs!$B$39&lt;&gt;"pvp",Inputs!$B$44&gt;0),((Skills!F9*((R747-1)*IF(Skills!G9&gt;0,Skills!H9/Skills!G9,1)+IF(Skills!G9&gt;0,MIN(Skills!H9,MAX(0,MAX(0,Inputs!$B$44-B777)-((R747-1)*IF(Inputs!$B$39="pvp",15,MAX(0.1,Skills!D9-IF(Skills!E9=TRUE,Inputs!$B$33,0))))))/Skills!G9,1)))/Inputs!$B$44),G747*Q747))*IF(Inputs!$B$39="pvp",1,(1+(Inputs!$B$22+Skills!P9+B769)/100)*(MIN(Skills!Q9,Inputs!$B$38))),0)</f>
        <v/>
      </c>
    </row>
    <row r="748">
      <c r="A748">
        <f>Skills!A10</f>
        <v/>
      </c>
      <c r="B748">
        <f>Skills!B10</f>
        <v/>
      </c>
      <c r="C748">
        <f>Inputs!$B$3&gt;=66</f>
        <v/>
      </c>
      <c r="D748">
        <f>IF(Skills!C10=1,60+Inputs!$B$26+Inputs!$B$30,IF(Skills!C10=2,90+Inputs!$B$27+Inputs!$B$30,IF(Skills!C10=3,120+Inputs!$B$28+Inputs!$B$30,MAX(0,(Inputs!$B$3-100)*3)+Inputs!$B$29+Inputs!$B$30)))</f>
        <v/>
      </c>
      <c r="E748">
        <f>INDEX(FactorTable!$B$2:$Y$301, MATCH(ROUND(MIN(300,MAX(1,D748)),0), FactorTable!$A$2:$A$301,0), Skills!L10+1)</f>
        <v/>
      </c>
      <c r="F748" t="n">
        <v>0</v>
      </c>
      <c r="G748">
        <f>Calc!G10</f>
        <v/>
      </c>
      <c r="H748">
        <f>Calc!H10</f>
        <v/>
      </c>
      <c r="I748">
        <f>IF(Skills!T10&lt;&gt;"",1+(Skills!T10/10)*($Z$3/1000)/100,1)</f>
        <v/>
      </c>
      <c r="J748" t="inlineStr"/>
      <c r="K748" t="inlineStr"/>
      <c r="L748" t="inlineStr"/>
      <c r="M748" t="inlineStr"/>
      <c r="N748" t="inlineStr"/>
      <c r="O748">
        <f>(1-Summary!$B$48)*S748+Summary!$B$48*U748</f>
        <v/>
      </c>
      <c r="P748">
        <f>IF(B780=0,0,O748/B780)</f>
        <v/>
      </c>
      <c r="Q748">
        <f>IFERROR(1/IF(Inputs!$B$39="pvp",15,MAX(0.1,Skills!D10-IF(Skills!E10=TRUE,Inputs!$B$33,0))),0)</f>
        <v/>
      </c>
      <c r="R748">
        <f>IF(AND(Inputs!$B$39&lt;&gt;"pvp",Inputs!$B$44&gt;0),IF(MAX(0,Inputs!$B$44-B777)&lt;=0,0,(INT(MAX(0,Inputs!$B$44-B777)/IF(Inputs!$B$39="pvp",15,MAX(0.1,Skills!D10-IF(Skills!E10=TRUE,Inputs!$B$33,0))))+1)),0)</f>
        <v/>
      </c>
      <c r="S748" t="n">
        <v>0</v>
      </c>
      <c r="U748" t="n">
        <v>0</v>
      </c>
    </row>
    <row r="749">
      <c r="A749">
        <f>Skills!A11</f>
        <v/>
      </c>
      <c r="B749">
        <f>Skills!B11</f>
        <v/>
      </c>
      <c r="C749">
        <f>Inputs!$B$3&gt;=69</f>
        <v/>
      </c>
      <c r="D749">
        <f>IF(Skills!C11=1,60+Inputs!$B$26+Inputs!$B$30,IF(Skills!C11=2,90+Inputs!$B$27+Inputs!$B$30,IF(Skills!C11=3,120+Inputs!$B$28+Inputs!$B$30,MAX(0,(Inputs!$B$3-100)*3)+Inputs!$B$29+Inputs!$B$30)))</f>
        <v/>
      </c>
      <c r="E749">
        <f>INDEX(FactorTable!$B$2:$Y$301, MATCH(ROUND(MIN(300,MAX(1,D749)),0), FactorTable!$A$2:$A$301,0), Skills!L11+1)</f>
        <v/>
      </c>
      <c r="F749">
        <f>IF(Skills!M11=TRUE,(Skills!K11/10)*(E749/1000),Skills!K11/10)+Skills!N11</f>
        <v/>
      </c>
      <c r="G749">
        <f>Calc!G11</f>
        <v/>
      </c>
      <c r="H749">
        <f>Calc!H11</f>
        <v/>
      </c>
      <c r="I749">
        <f>IF(Skills!T11&lt;&gt;"",1+(Skills!T11/10)*($Z$3/1000)/100,1)</f>
        <v/>
      </c>
      <c r="J749" t="inlineStr"/>
      <c r="K749" t="inlineStr"/>
      <c r="L749" t="inlineStr"/>
      <c r="M749" t="inlineStr"/>
      <c r="N749" t="inlineStr"/>
      <c r="O749">
        <f>(1-Summary!$B$48)*S749+Summary!$B$48*U749</f>
        <v/>
      </c>
      <c r="P749">
        <f>IF(B780=0,0,O749/B780)</f>
        <v/>
      </c>
      <c r="Q749">
        <f>IFERROR(1/IF(Inputs!$B$39="pvp",15,MAX(0.1,Skills!D11-IF(Skills!E11=TRUE,Inputs!$B$33,0))),0)</f>
        <v/>
      </c>
      <c r="R749">
        <f>IF(AND(Inputs!$B$39&lt;&gt;"pvp",Inputs!$B$44&gt;0),IF(Inputs!$B$44&lt;=0,0,(INT(Inputs!$B$44/IF(Inputs!$B$39="pvp",15,MAX(0.1,Skills!D11-IF(Skills!E11=TRUE,Inputs!$B$33,0))))+1)),0)</f>
        <v/>
      </c>
      <c r="S749" t="n">
        <v>0</v>
      </c>
      <c r="U749" t="n">
        <v>0</v>
      </c>
    </row>
    <row r="750">
      <c r="A750">
        <f>Skills!A12</f>
        <v/>
      </c>
      <c r="B750">
        <f>Skills!B12</f>
        <v/>
      </c>
      <c r="C750">
        <f>Inputs!$B$3&gt;=72</f>
        <v/>
      </c>
      <c r="D750">
        <f>IF(Skills!C12=1,60+Inputs!$B$26+Inputs!$B$30,IF(Skills!C12=2,90+Inputs!$B$27+Inputs!$B$30,IF(Skills!C12=3,120+Inputs!$B$28+Inputs!$B$30,MAX(0,(Inputs!$B$3-100)*3)+Inputs!$B$29+Inputs!$B$30)))</f>
        <v/>
      </c>
      <c r="E750">
        <f>INDEX(FactorTable!$B$2:$Y$301, MATCH(ROUND(MIN(300,MAX(1,D750)),0), FactorTable!$A$2:$A$301,0), Skills!L12+1)</f>
        <v/>
      </c>
      <c r="F750">
        <f>IF(Skills!M12=TRUE,(Skills!K12/10)*(E750/1000),Skills!K12/10)+Skills!N12</f>
        <v/>
      </c>
      <c r="G750">
        <f>Calc!G12</f>
        <v/>
      </c>
      <c r="H750">
        <f>Calc!H12</f>
        <v/>
      </c>
      <c r="I750">
        <f>IF(Skills!T12&lt;&gt;"",1+(Skills!T12/10)*($Z$3/1000)/100,1)</f>
        <v/>
      </c>
      <c r="J750" t="inlineStr"/>
      <c r="K750" t="inlineStr"/>
      <c r="L750" t="inlineStr"/>
      <c r="M750" t="inlineStr"/>
      <c r="N750" t="inlineStr"/>
      <c r="O750">
        <f>(1-Summary!$B$48)*S750+Summary!$B$48*U750</f>
        <v/>
      </c>
      <c r="P750">
        <f>IF(B780=0,0,O750/B780)</f>
        <v/>
      </c>
      <c r="Q750">
        <f>IFERROR(1/IF(Inputs!$B$39="pvp",15,MAX(0.1,Skills!D12-IF(Skills!E12=TRUE,Inputs!$B$33,0))),0)</f>
        <v/>
      </c>
      <c r="R750">
        <f>IF(AND(Inputs!$B$39&lt;&gt;"pvp",Inputs!$B$44&gt;0),IF(MAX(0,Inputs!$B$44-B777)&lt;=0,0,(INT(MAX(0,Inputs!$B$44-B777)/IF(Inputs!$B$39="pvp",15,MAX(0.1,Skills!D12-IF(Skills!E12=TRUE,Inputs!$B$33,0))))+1)),0)</f>
        <v/>
      </c>
      <c r="S750" t="n">
        <v>0</v>
      </c>
      <c r="U750" t="n">
        <v>0</v>
      </c>
    </row>
    <row r="751">
      <c r="A751">
        <f>Skills!A13</f>
        <v/>
      </c>
      <c r="B751">
        <f>Skills!B13</f>
        <v/>
      </c>
      <c r="C751">
        <f>Inputs!$B$3&gt;=60</f>
        <v/>
      </c>
      <c r="D751">
        <f>IF(Skills!C13=1,60+Inputs!$B$26+Inputs!$B$30,IF(Skills!C13=2,90+Inputs!$B$27+Inputs!$B$30,IF(Skills!C13=3,120+Inputs!$B$28+Inputs!$B$30,MAX(0,(Inputs!$B$3-100)*3)+Inputs!$B$29+Inputs!$B$30)))</f>
        <v/>
      </c>
      <c r="E751">
        <f>INDEX(FactorTable!$B$2:$Y$301, MATCH(ROUND(MIN(300,MAX(1,D751)),0), FactorTable!$A$2:$A$301,0), Skills!L13+1)</f>
        <v/>
      </c>
      <c r="F751">
        <f>IF(Skills!M13=TRUE,(Skills!K13/10)*(E751/1000),Skills!K13/10)+Skills!N13</f>
        <v/>
      </c>
      <c r="G751">
        <f>Calc!G13</f>
        <v/>
      </c>
      <c r="H751">
        <f>Calc!H13</f>
        <v/>
      </c>
      <c r="I751">
        <f>IF(Skills!T13&lt;&gt;"",1+(Skills!T13/10)*($Z$3/1000)/100,1)</f>
        <v/>
      </c>
      <c r="J751" t="inlineStr"/>
      <c r="K751" t="inlineStr"/>
      <c r="L751" t="inlineStr"/>
      <c r="M751" t="inlineStr"/>
      <c r="N751" t="inlineStr"/>
      <c r="O751">
        <f>(1-Summary!$B$48)*S751+Summary!$B$48*U751</f>
        <v/>
      </c>
      <c r="P751">
        <f>IF(B780=0,0,O751/B780)</f>
        <v/>
      </c>
      <c r="Q751">
        <f>IFERROR(1/IF(Inputs!$B$39="pvp",15,MAX(0.1,Skills!D13-IF(Skills!E13=TRUE,Inputs!$B$33,0))),0)</f>
        <v/>
      </c>
      <c r="R751">
        <f>IF(AND(Inputs!$B$39&lt;&gt;"pvp",Inputs!$B$44&gt;0),IF(MAX(0,Inputs!$B$44-B777)&lt;=0,0,(INT(MAX(0,Inputs!$B$44-B777)/IF(Inputs!$B$39="pvp",15,MAX(0.1,Skills!D13-IF(Skills!E13=TRUE,Inputs!$B$33,0))))+1)),0)</f>
        <v/>
      </c>
      <c r="S751" t="n">
        <v>0</v>
      </c>
      <c r="U751" t="n">
        <v>0</v>
      </c>
    </row>
    <row r="752">
      <c r="A752">
        <f>Skills!A14</f>
        <v/>
      </c>
      <c r="B752">
        <f>Skills!B14</f>
        <v/>
      </c>
      <c r="C752">
        <f>Inputs!$B$3&gt;=107</f>
        <v/>
      </c>
      <c r="D752">
        <f>IF(Skills!C14=1,60+Inputs!$B$26+Inputs!$B$30,IF(Skills!C14=2,90+Inputs!$B$27+Inputs!$B$30,IF(Skills!C14=3,120+Inputs!$B$28+Inputs!$B$30,MAX(0,(Inputs!$B$3-100)*3)+Inputs!$B$29+Inputs!$B$30)))</f>
        <v/>
      </c>
      <c r="E752">
        <f>INDEX(FactorTable!$B$2:$Y$301, MATCH(ROUND(MIN(300,MAX(1,D752)),0), FactorTable!$A$2:$A$301,0), Skills!L14+1)</f>
        <v/>
      </c>
      <c r="F752">
        <f>IF(Skills!M14=TRUE,(Skills!K14/10)*(E752/1000),Skills!K14/10)+Skills!N14</f>
        <v/>
      </c>
      <c r="G752">
        <f>Calc!G14</f>
        <v/>
      </c>
      <c r="H752">
        <f>Calc!H14</f>
        <v/>
      </c>
      <c r="I752">
        <f>IF(Skills!T14&lt;&gt;"",1+(Skills!T14/10)*($Z$3/1000)/100,1)</f>
        <v/>
      </c>
      <c r="J752" t="inlineStr"/>
      <c r="K752" t="inlineStr"/>
      <c r="L752" t="inlineStr"/>
      <c r="M752" t="inlineStr"/>
      <c r="N752" t="inlineStr"/>
      <c r="O752">
        <f>(1-Summary!$B$48)*S752+Summary!$B$48*U752</f>
        <v/>
      </c>
      <c r="P752">
        <f>IF(B780=0,0,O752/B780)</f>
        <v/>
      </c>
      <c r="Q752">
        <f>IFERROR(1/IF(Inputs!$B$39="pvp",15,MAX(0.1,Skills!D14-IF(Skills!E14=TRUE,Inputs!$B$33,0))),0)</f>
        <v/>
      </c>
      <c r="R752">
        <f>IF(AND(Inputs!$B$39&lt;&gt;"pvp",Inputs!$B$44&gt;0),IF(Inputs!$B$44&lt;=0,0,(INT(Inputs!$B$44/IF(Inputs!$B$39="pvp",15,MAX(0.1,Skills!D14-IF(Skills!E14=TRUE,Inputs!$B$33,0))))+1)),0)</f>
        <v/>
      </c>
      <c r="S752" t="n">
        <v>0</v>
      </c>
      <c r="U752" t="n">
        <v>0</v>
      </c>
    </row>
    <row r="753">
      <c r="A753">
        <f>Skills!A15</f>
        <v/>
      </c>
      <c r="B753">
        <f>Skills!B15</f>
        <v/>
      </c>
      <c r="C753">
        <f>Inputs!$B$3&gt;=63</f>
        <v/>
      </c>
      <c r="D753">
        <f>IF(Skills!C15=1,60+Inputs!$B$26+Inputs!$B$30,IF(Skills!C15=2,90+Inputs!$B$27+Inputs!$B$30,IF(Skills!C15=3,120+Inputs!$B$28+Inputs!$B$30,MAX(0,(Inputs!$B$3-100)*3)+Inputs!$B$29+Inputs!$B$30)))</f>
        <v/>
      </c>
      <c r="E753">
        <f>INDEX(FactorTable!$B$2:$Y$301, MATCH(ROUND(MIN(300,MAX(1,D753)),0), FactorTable!$A$2:$A$301,0), Skills!L15+1)</f>
        <v/>
      </c>
      <c r="F753">
        <f>IF(Skills!M15=TRUE,(Skills!K15/10)*(E753/1000),Skills!K15/10)+Skills!N15</f>
        <v/>
      </c>
      <c r="G753">
        <f>Calc!G15</f>
        <v/>
      </c>
      <c r="H753">
        <f>Calc!H15</f>
        <v/>
      </c>
      <c r="I753">
        <f>IF(Skills!T15&lt;&gt;"",1+(Skills!T15/10)*($Z$3/1000)/100,1)</f>
        <v/>
      </c>
      <c r="J753">
        <f>((Inputs!$B$6*(1+Inputs!$B$7/100))+(((Inputs!$B$13*(1+Inputs!$B$14/100))-(Inputs!$B$13*(1+Inputs!$B$14/100)))+0.25*(Inputs!$B$15-Inputs!$B$15))*(1+Inputs!$B$7/100))*(F753/100)</f>
        <v/>
      </c>
      <c r="K753">
        <f>J753*(1+(((Inputs!$B$13+IF(Inputs!$B$3&gt;=35,(10*INDEX(FactorTable!$B$2:$Y$301, MATCH(ROUND(MIN(300,MAX(1,Inputs!$B$3)),0), FactorTable!$A$2:$A$301,0), 23)/1000)/100*(Inputs!$B$8*(1+(Inputs!$B$9+B776)/100)),0))*(1+Inputs!$B$14/100))*0.01+Inputs!$B$15*0.0025)/100)*(1+(Inputs!$B$16+B770)/100)*(1+Inputs!$B$17/100)*(5000/(6000+Inputs!$B$43*(1-Inputs!$B$20/100)))*(1+Inputs!$B$25/100)*(1+IF(C756=TRUE,F756,0)/100)*(1+IF(C758=TRUE,F758,0)/100)*(1+IF(Skills!A15="TRIUMPH_FEATHER",IF(C754=TRUE,F754,0),0)/100)*(1+IF(C765=TRUE,F765,0)/100)^5*(1+(IF(Skills!A15="BIG_BANG",Inputs!$B$18,(Inputs!$B$19+1)))/100)*(B767*I753)</f>
        <v/>
      </c>
      <c r="L753">
        <f>K753*(MIN(Inputs!$B$23+(F760-Calc!F22),Inputs!$B$24)/100+Inputs!$B$24/100)/2</f>
        <v/>
      </c>
      <c r="M753">
        <f>L753*(1+(Inputs!$B$11+B771+(F763-Calc!F25))/100)</f>
        <v/>
      </c>
      <c r="N753">
        <f>L753*(1-MIN(Inputs!$B$10+((F762-Calc!F24)+(F761-Calc!F23)),100)/100)+M753*(MIN(Inputs!$B$10+((F762-Calc!F24)+(F761-Calc!F23)),100)/100)</f>
        <v/>
      </c>
      <c r="O753">
        <f>(1-Summary!$B$48)*S753+Summary!$B$48*U753</f>
        <v/>
      </c>
      <c r="P753">
        <f>IF(B780=0,0,O753/B780)</f>
        <v/>
      </c>
      <c r="Q753">
        <f>IFERROR(1/IF(Inputs!$B$39="pvp",15,MAX(0.1,Skills!D15-IF(Skills!E15=TRUE,Inputs!$B$33,0))),0)</f>
        <v/>
      </c>
      <c r="R753" t="n">
        <v>0</v>
      </c>
      <c r="S753">
        <f>IF(C753,(Skills!F15*N753*((IF(Inputs!$B$3&gt;=78,25,15)/100*B773*10)/(1+IF(Inputs!$B$3&gt;=78,25,15)/100*B773*10))*(Skills!I15/100*B773)/(1+Skills!G15*Skills!I15/100*B773))*IF(Inputs!$B$39="pvp",1,1+(Inputs!$B$21+Skills!O15+B768)/100),0)</f>
        <v/>
      </c>
      <c r="U753">
        <f>IF(C753,(Skills!F15*N753*((IF(Inputs!$B$3&gt;=78,25,15)/100*B773*10)/(1+IF(Inputs!$B$3&gt;=78,25,15)/100*B773*10))*(Skills!I15/100*B773)/(1+Skills!G15*Skills!I15/100*B773))*IF(Inputs!$B$39="pvp",1,(1+(Inputs!$B$22+Skills!P15+B769)/100)*(MIN(Skills!Q15,Inputs!$B$38))),0)</f>
        <v/>
      </c>
    </row>
    <row r="754">
      <c r="A754">
        <f>Skills!A16</f>
        <v/>
      </c>
      <c r="B754">
        <f>Skills!B16</f>
        <v/>
      </c>
      <c r="C754">
        <f>Inputs!$B$3&gt;=100</f>
        <v/>
      </c>
      <c r="D754">
        <f>IF(Skills!C16=1,60+Inputs!$B$26+Inputs!$B$30,IF(Skills!C16=2,90+Inputs!$B$27+Inputs!$B$30,IF(Skills!C16=3,120+Inputs!$B$28+Inputs!$B$30,MAX(0,(Inputs!$B$3-100)*3)+Inputs!$B$29+Inputs!$B$30)))</f>
        <v/>
      </c>
      <c r="E754">
        <f>INDEX(FactorTable!$B$2:$Y$301, MATCH(ROUND(MIN(300,MAX(1,D754)),0), FactorTable!$A$2:$A$301,0), Skills!L16+1)</f>
        <v/>
      </c>
      <c r="F754">
        <f>IF(Skills!M16=TRUE,(Skills!K16/10)*(E754/1000),Skills!K16/10)+Skills!N16</f>
        <v/>
      </c>
      <c r="G754">
        <f>Calc!G16</f>
        <v/>
      </c>
      <c r="H754">
        <f>Calc!H16</f>
        <v/>
      </c>
      <c r="I754">
        <f>IF(Skills!T16&lt;&gt;"",1+(Skills!T16/10)*($Z$3/1000)/100,1)</f>
        <v/>
      </c>
      <c r="J754" t="inlineStr"/>
      <c r="K754" t="inlineStr"/>
      <c r="L754" t="inlineStr"/>
      <c r="M754" t="inlineStr"/>
      <c r="N754" t="inlineStr"/>
      <c r="O754">
        <f>(1-Summary!$B$48)*S754+Summary!$B$48*U754</f>
        <v/>
      </c>
      <c r="P754">
        <f>IF(B780=0,0,O754/B780)</f>
        <v/>
      </c>
      <c r="Q754">
        <f>IFERROR(1/IF(Inputs!$B$39="pvp",15,MAX(0.1,Skills!D16-IF(Skills!E16=TRUE,Inputs!$B$33,0))),0)</f>
        <v/>
      </c>
      <c r="R754" t="n">
        <v>0</v>
      </c>
      <c r="S754" t="n">
        <v>0</v>
      </c>
      <c r="U754" t="n">
        <v>0</v>
      </c>
    </row>
    <row r="755">
      <c r="A755">
        <f>Skills!A17</f>
        <v/>
      </c>
      <c r="B755">
        <f>Skills!B17</f>
        <v/>
      </c>
      <c r="C755">
        <f>Inputs!$B$3&gt;=49</f>
        <v/>
      </c>
      <c r="D755">
        <f>IF(Skills!C17=1,60+Inputs!$B$26+Inputs!$B$30,IF(Skills!C17=2,90+Inputs!$B$27+Inputs!$B$30,IF(Skills!C17=3,120+Inputs!$B$28+Inputs!$B$30,MAX(0,(Inputs!$B$3-100)*3)+Inputs!$B$29+Inputs!$B$30)))</f>
        <v/>
      </c>
      <c r="E755">
        <f>INDEX(FactorTable!$B$2:$Y$301, MATCH(ROUND(MIN(300,MAX(1,D755)),0), FactorTable!$A$2:$A$301,0), Skills!L17+1)</f>
        <v/>
      </c>
      <c r="F755">
        <f>IF(Skills!M17=TRUE,(Skills!K17/10)*(E755/1000),Skills!K17/10)+Skills!N17</f>
        <v/>
      </c>
      <c r="G755">
        <f>Calc!G17</f>
        <v/>
      </c>
      <c r="H755">
        <f>Calc!H17</f>
        <v/>
      </c>
      <c r="I755">
        <f>IF(Skills!T17&lt;&gt;"",1+(Skills!T17/10)*($Z$3/1000)/100,1)</f>
        <v/>
      </c>
      <c r="J755" t="inlineStr"/>
      <c r="K755" t="inlineStr"/>
      <c r="L755" t="inlineStr"/>
      <c r="M755" t="inlineStr"/>
      <c r="N755" t="inlineStr"/>
      <c r="O755">
        <f>(1-Summary!$B$48)*S755+Summary!$B$48*U755</f>
        <v/>
      </c>
      <c r="P755">
        <f>IF(B780=0,0,O755/B780)</f>
        <v/>
      </c>
      <c r="Q755">
        <f>IFERROR(1/IF(Inputs!$B$39="pvp",15,MAX(0.1,Skills!D17-IF(Skills!E17=TRUE,Inputs!$B$33,0))),0)</f>
        <v/>
      </c>
      <c r="R755" t="n">
        <v>0</v>
      </c>
      <c r="S755" t="n">
        <v>0</v>
      </c>
      <c r="U755" t="n">
        <v>0</v>
      </c>
    </row>
    <row r="756">
      <c r="A756">
        <f>Skills!A18</f>
        <v/>
      </c>
      <c r="B756">
        <f>Skills!B18</f>
        <v/>
      </c>
      <c r="C756">
        <f>Inputs!$B$3&gt;=75</f>
        <v/>
      </c>
      <c r="D756">
        <f>IF(Skills!C18=1,60+Inputs!$B$26+Inputs!$B$30,IF(Skills!C18=2,90+Inputs!$B$27+Inputs!$B$30,IF(Skills!C18=3,120+Inputs!$B$28+Inputs!$B$30,MAX(0,(Inputs!$B$3-100)*3)+Inputs!$B$29+Inputs!$B$30)))</f>
        <v/>
      </c>
      <c r="E756">
        <f>INDEX(FactorTable!$B$2:$Y$301, MATCH(ROUND(MIN(300,MAX(1,D756)),0), FactorTable!$A$2:$A$301,0), Skills!L18+1)</f>
        <v/>
      </c>
      <c r="F756">
        <f>IF(Skills!M18=TRUE,(Skills!K18/10)*(E756/1000),Skills!K18/10)+Skills!N18</f>
        <v/>
      </c>
      <c r="G756">
        <f>Calc!G18</f>
        <v/>
      </c>
      <c r="H756">
        <f>Calc!H18</f>
        <v/>
      </c>
      <c r="I756">
        <f>IF(Skills!T18&lt;&gt;"",1+(Skills!T18/10)*($Z$3/1000)/100,1)</f>
        <v/>
      </c>
      <c r="J756" t="inlineStr"/>
      <c r="K756" t="inlineStr"/>
      <c r="L756" t="inlineStr"/>
      <c r="M756" t="inlineStr"/>
      <c r="N756" t="inlineStr"/>
      <c r="O756">
        <f>(1-Summary!$B$48)*S756+Summary!$B$48*U756</f>
        <v/>
      </c>
      <c r="P756">
        <f>IF(B780=0,0,O756/B780)</f>
        <v/>
      </c>
      <c r="Q756">
        <f>IFERROR(1/IF(Inputs!$B$39="pvp",15,MAX(0.1,Skills!D18-IF(Skills!E18=TRUE,Inputs!$B$33,0))),0)</f>
        <v/>
      </c>
      <c r="R756" t="n">
        <v>0</v>
      </c>
      <c r="S756" t="n">
        <v>0</v>
      </c>
      <c r="U756" t="n">
        <v>0</v>
      </c>
    </row>
    <row r="757">
      <c r="A757">
        <f>Skills!A19</f>
        <v/>
      </c>
      <c r="B757">
        <f>Skills!B19</f>
        <v/>
      </c>
      <c r="C757">
        <f>Inputs!$B$3&gt;=110</f>
        <v/>
      </c>
      <c r="D757">
        <f>IF(Skills!C19=1,60+Inputs!$B$26+Inputs!$B$30,IF(Skills!C19=2,90+Inputs!$B$27+Inputs!$B$30,IF(Skills!C19=3,120+Inputs!$B$28+Inputs!$B$30,MAX(0,(Inputs!$B$3-100)*3)+Inputs!$B$29+Inputs!$B$30)))</f>
        <v/>
      </c>
      <c r="E757">
        <f>INDEX(FactorTable!$B$2:$Y$301, MATCH(ROUND(MIN(300,MAX(1,D757)),0), FactorTable!$A$2:$A$301,0), Skills!L19+1)</f>
        <v/>
      </c>
      <c r="F757">
        <f>(Skills!K19/10)*(E757/1000)*64/45+Skills!N19</f>
        <v/>
      </c>
      <c r="G757">
        <f>Calc!G19</f>
        <v/>
      </c>
      <c r="H757">
        <f>Calc!H19</f>
        <v/>
      </c>
      <c r="I757">
        <f>IF(Skills!T19&lt;&gt;"",1+(Skills!T19/10)*($Z$3/1000)/100,1)</f>
        <v/>
      </c>
      <c r="J757" t="inlineStr"/>
      <c r="K757" t="inlineStr"/>
      <c r="L757" t="inlineStr"/>
      <c r="M757" t="inlineStr"/>
      <c r="N757" t="inlineStr"/>
      <c r="O757">
        <f>(1-Summary!$B$48)*S757+Summary!$B$48*U757</f>
        <v/>
      </c>
      <c r="P757">
        <f>IF(B780=0,0,O757/B780)</f>
        <v/>
      </c>
      <c r="Q757">
        <f>IFERROR(1/IF(Inputs!$B$39="pvp",15,MAX(0.1,Skills!D19-IF(Skills!E19=TRUE,Inputs!$B$33,0))),0)</f>
        <v/>
      </c>
      <c r="R757">
        <f>IF(AND(Inputs!$B$39&lt;&gt;"pvp",Inputs!$B$44&gt;0),IF(Inputs!$B$44&lt;=0,0,(INT(Inputs!$B$44/IF(Inputs!$B$39="pvp",15,MAX(0.1,Skills!D19-IF(Skills!E19=TRUE,Inputs!$B$33,0))))+1)),0)</f>
        <v/>
      </c>
      <c r="S757" t="n">
        <v>0</v>
      </c>
      <c r="U757" t="n">
        <v>0</v>
      </c>
    </row>
    <row r="758">
      <c r="A758">
        <f>Skills!A20</f>
        <v/>
      </c>
      <c r="B758">
        <f>Skills!B20</f>
        <v/>
      </c>
      <c r="C758">
        <f>Inputs!$B$3&gt;=125</f>
        <v/>
      </c>
      <c r="D758">
        <f>IF(Skills!C20=1,60+Inputs!$B$26+Inputs!$B$30,IF(Skills!C20=2,90+Inputs!$B$27+Inputs!$B$30,IF(Skills!C20=3,120+Inputs!$B$28+Inputs!$B$30,MAX(0,(Inputs!$B$3-100)*3)+Inputs!$B$29+Inputs!$B$30)))</f>
        <v/>
      </c>
      <c r="E758">
        <f>INDEX(FactorTable!$B$2:$Y$301, MATCH(ROUND(MIN(300,MAX(1,D758)),0), FactorTable!$A$2:$A$301,0), Skills!L20+1)</f>
        <v/>
      </c>
      <c r="F758">
        <f>IF(Skills!M20=TRUE,(Skills!K20/10)*(E758/1000),Skills!K20/10)+Skills!N20</f>
        <v/>
      </c>
      <c r="G758">
        <f>Calc!G20</f>
        <v/>
      </c>
      <c r="H758">
        <f>Calc!H20</f>
        <v/>
      </c>
      <c r="I758">
        <f>IF(Skills!T20&lt;&gt;"",1+(Skills!T20/10)*($Z$3/1000)/100,1)</f>
        <v/>
      </c>
      <c r="J758" t="inlineStr"/>
      <c r="K758" t="inlineStr"/>
      <c r="L758" t="inlineStr"/>
      <c r="M758" t="inlineStr"/>
      <c r="N758" t="inlineStr"/>
      <c r="O758">
        <f>(1-Summary!$B$48)*S758+Summary!$B$48*U758</f>
        <v/>
      </c>
      <c r="P758">
        <f>IF(B780=0,0,O758/B780)</f>
        <v/>
      </c>
      <c r="Q758">
        <f>IFERROR(1/IF(Inputs!$B$39="pvp",15,MAX(0.1,Skills!D20-IF(Skills!E20=TRUE,Inputs!$B$33,0))),0)</f>
        <v/>
      </c>
      <c r="R758" t="n">
        <v>0</v>
      </c>
      <c r="S758" t="n">
        <v>0</v>
      </c>
      <c r="U758" t="n">
        <v>0</v>
      </c>
    </row>
    <row r="759">
      <c r="A759">
        <f>Skills!A21</f>
        <v/>
      </c>
      <c r="B759">
        <f>Skills!B21</f>
        <v/>
      </c>
      <c r="C759">
        <f>Inputs!$B$3&gt;=33</f>
        <v/>
      </c>
      <c r="D759">
        <f>IF(Skills!C21=1,60+Inputs!$B$26+Inputs!$B$30,IF(Skills!C21=2,90+Inputs!$B$27+Inputs!$B$30,IF(Skills!C21=3,120+Inputs!$B$28+Inputs!$B$30,MAX(0,(Inputs!$B$3-100)*3)+Inputs!$B$29+Inputs!$B$30)))</f>
        <v/>
      </c>
      <c r="E759">
        <f>INDEX(FactorTable!$B$2:$Y$301, MATCH(ROUND(MIN(300,MAX(1,D759)),0), FactorTable!$A$2:$A$301,0), Skills!L21+1)</f>
        <v/>
      </c>
      <c r="F759">
        <f>IF(Skills!M21=TRUE,(Skills!K21/10)*(E759/1000),Skills!K21/10)+Skills!N21</f>
        <v/>
      </c>
      <c r="G759">
        <f>Calc!G21</f>
        <v/>
      </c>
      <c r="H759">
        <f>Calc!H21</f>
        <v/>
      </c>
      <c r="I759">
        <f>IF(Skills!T21&lt;&gt;"",1+(Skills!T21/10)*($Z$3/1000)/100,1)</f>
        <v/>
      </c>
      <c r="J759" t="inlineStr"/>
      <c r="K759" t="inlineStr"/>
      <c r="L759" t="inlineStr"/>
      <c r="M759" t="inlineStr"/>
      <c r="N759" t="inlineStr"/>
      <c r="O759">
        <f>(1-Summary!$B$48)*S759+Summary!$B$48*U759</f>
        <v/>
      </c>
      <c r="P759">
        <f>IF(B780=0,0,O759/B780)</f>
        <v/>
      </c>
      <c r="Q759">
        <f>IFERROR(1/IF(Inputs!$B$39="pvp",15,MAX(0.1,Skills!D21-IF(Skills!E21=TRUE,Inputs!$B$33,0))),0)</f>
        <v/>
      </c>
      <c r="R759" t="n">
        <v>0</v>
      </c>
      <c r="S759" t="n">
        <v>0</v>
      </c>
      <c r="U759" t="n">
        <v>0</v>
      </c>
    </row>
    <row r="760">
      <c r="A760">
        <f>Skills!A22</f>
        <v/>
      </c>
      <c r="B760">
        <f>Skills!B22</f>
        <v/>
      </c>
      <c r="C760">
        <f>Inputs!$B$3&gt;=43</f>
        <v/>
      </c>
      <c r="D760">
        <f>IF(Skills!C22=1,60+Inputs!$B$26+Inputs!$B$30,IF(Skills!C22=2,90+Inputs!$B$27+Inputs!$B$30,IF(Skills!C22=3,120+Inputs!$B$28+Inputs!$B$30,MAX(0,(Inputs!$B$3-100)*3)+Inputs!$B$29+Inputs!$B$30)))</f>
        <v/>
      </c>
      <c r="E760">
        <f>INDEX(FactorTable!$B$2:$Y$301, MATCH(ROUND(MIN(300,MAX(1,D760)),0), FactorTable!$A$2:$A$301,0), Skills!L22+1)</f>
        <v/>
      </c>
      <c r="F760">
        <f>IF(Skills!M22=TRUE,(Skills!K22/10)*(E760/1000),Skills!K22/10)+Skills!N22</f>
        <v/>
      </c>
      <c r="G760">
        <f>Calc!G22</f>
        <v/>
      </c>
      <c r="H760">
        <f>Calc!H22</f>
        <v/>
      </c>
      <c r="I760">
        <f>IF(Skills!T22&lt;&gt;"",1+(Skills!T22/10)*($Z$3/1000)/100,1)</f>
        <v/>
      </c>
      <c r="J760" t="inlineStr"/>
      <c r="K760" t="inlineStr"/>
      <c r="L760" t="inlineStr"/>
      <c r="M760" t="inlineStr"/>
      <c r="N760" t="inlineStr"/>
      <c r="O760">
        <f>(1-Summary!$B$48)*S760+Summary!$B$48*U760</f>
        <v/>
      </c>
      <c r="P760">
        <f>IF(B780=0,0,O760/B780)</f>
        <v/>
      </c>
      <c r="Q760">
        <f>IFERROR(1/IF(Inputs!$B$39="pvp",15,MAX(0.1,Skills!D22-IF(Skills!E22=TRUE,Inputs!$B$33,0))),0)</f>
        <v/>
      </c>
      <c r="R760" t="n">
        <v>0</v>
      </c>
      <c r="S760" t="n">
        <v>0</v>
      </c>
      <c r="U760" t="n">
        <v>0</v>
      </c>
    </row>
    <row r="761">
      <c r="A761">
        <f>Skills!A23</f>
        <v/>
      </c>
      <c r="B761">
        <f>Skills!B23</f>
        <v/>
      </c>
      <c r="C761">
        <f>Inputs!$B$3&gt;=50</f>
        <v/>
      </c>
      <c r="D761">
        <f>IF(Skills!C23=1,60+Inputs!$B$26+Inputs!$B$30,IF(Skills!C23=2,90+Inputs!$B$27+Inputs!$B$30,IF(Skills!C23=3,120+Inputs!$B$28+Inputs!$B$30,MAX(0,(Inputs!$B$3-100)*3)+Inputs!$B$29+Inputs!$B$30)))</f>
        <v/>
      </c>
      <c r="E761">
        <f>INDEX(FactorTable!$B$2:$Y$301, MATCH(ROUND(MIN(300,MAX(1,D761)),0), FactorTable!$A$2:$A$301,0), Skills!L23+1)</f>
        <v/>
      </c>
      <c r="F761">
        <f>IF(Skills!M23=TRUE,(Skills!K23/10)*(E761/1000),Skills!K23/10)+Skills!N23</f>
        <v/>
      </c>
      <c r="G761">
        <f>Calc!G23</f>
        <v/>
      </c>
      <c r="H761">
        <f>Calc!H23</f>
        <v/>
      </c>
      <c r="I761">
        <f>IF(Skills!T23&lt;&gt;"",1+(Skills!T23/10)*($Z$3/1000)/100,1)</f>
        <v/>
      </c>
      <c r="J761" t="inlineStr"/>
      <c r="K761" t="inlineStr"/>
      <c r="L761" t="inlineStr"/>
      <c r="M761" t="inlineStr"/>
      <c r="N761" t="inlineStr"/>
      <c r="O761">
        <f>(1-Summary!$B$48)*S761+Summary!$B$48*U761</f>
        <v/>
      </c>
      <c r="P761">
        <f>IF(B780=0,0,O761/B780)</f>
        <v/>
      </c>
      <c r="Q761">
        <f>IFERROR(1/IF(Inputs!$B$39="pvp",15,MAX(0.1,Skills!D23-IF(Skills!E23=TRUE,Inputs!$B$33,0))),0)</f>
        <v/>
      </c>
      <c r="R761" t="n">
        <v>0</v>
      </c>
      <c r="S761" t="n">
        <v>0</v>
      </c>
      <c r="U761" t="n">
        <v>0</v>
      </c>
    </row>
    <row r="762">
      <c r="A762">
        <f>Skills!A24</f>
        <v/>
      </c>
      <c r="B762">
        <f>Skills!B24</f>
        <v/>
      </c>
      <c r="C762">
        <f>Inputs!$B$3&gt;=74</f>
        <v/>
      </c>
      <c r="D762">
        <f>IF(Skills!C24=1,60+Inputs!$B$26+Inputs!$B$30,IF(Skills!C24=2,90+Inputs!$B$27+Inputs!$B$30,IF(Skills!C24=3,120+Inputs!$B$28+Inputs!$B$30,MAX(0,(Inputs!$B$3-100)*3)+Inputs!$B$29+Inputs!$B$30)))</f>
        <v/>
      </c>
      <c r="E762">
        <f>INDEX(FactorTable!$B$2:$Y$301, MATCH(ROUND(MIN(300,MAX(1,D762)),0), FactorTable!$A$2:$A$301,0), Skills!L24+1)</f>
        <v/>
      </c>
      <c r="F762">
        <f>IF(Skills!M24=TRUE,(Skills!K24/10)*(E762/1000),Skills!K24/10)+Skills!N24</f>
        <v/>
      </c>
      <c r="G762">
        <f>Calc!G24</f>
        <v/>
      </c>
      <c r="H762">
        <f>Calc!H24</f>
        <v/>
      </c>
      <c r="I762">
        <f>IF(Skills!T24&lt;&gt;"",1+(Skills!T24/10)*($Z$3/1000)/100,1)</f>
        <v/>
      </c>
      <c r="J762" t="inlineStr"/>
      <c r="K762" t="inlineStr"/>
      <c r="L762" t="inlineStr"/>
      <c r="M762" t="inlineStr"/>
      <c r="N762" t="inlineStr"/>
      <c r="O762">
        <f>(1-Summary!$B$48)*S762+Summary!$B$48*U762</f>
        <v/>
      </c>
      <c r="P762">
        <f>IF(B780=0,0,O762/B780)</f>
        <v/>
      </c>
      <c r="Q762">
        <f>IFERROR(1/IF(Inputs!$B$39="pvp",15,MAX(0.1,Skills!D24-IF(Skills!E24=TRUE,Inputs!$B$33,0))),0)</f>
        <v/>
      </c>
      <c r="R762" t="n">
        <v>0</v>
      </c>
      <c r="S762" t="n">
        <v>0</v>
      </c>
      <c r="U762" t="n">
        <v>0</v>
      </c>
    </row>
    <row r="763">
      <c r="A763">
        <f>Skills!A25</f>
        <v/>
      </c>
      <c r="B763">
        <f>Skills!B25</f>
        <v/>
      </c>
      <c r="C763">
        <f>Inputs!$B$3&gt;=74</f>
        <v/>
      </c>
      <c r="D763">
        <f>IF(Skills!C25=1,60+Inputs!$B$26+Inputs!$B$30,IF(Skills!C25=2,90+Inputs!$B$27+Inputs!$B$30,IF(Skills!C25=3,120+Inputs!$B$28+Inputs!$B$30,MAX(0,(Inputs!$B$3-100)*3)+Inputs!$B$29+Inputs!$B$30)))</f>
        <v/>
      </c>
      <c r="E763">
        <f>INDEX(FactorTable!$B$2:$Y$301, MATCH(ROUND(MIN(300,MAX(1,D763)),0), FactorTable!$A$2:$A$301,0), Skills!L25+1)</f>
        <v/>
      </c>
      <c r="F763">
        <f>IF(Skills!M25=TRUE,(Skills!K25/10)*(E763/1000),Skills!K25/10)+Skills!N25</f>
        <v/>
      </c>
      <c r="G763">
        <f>Calc!G25</f>
        <v/>
      </c>
      <c r="H763">
        <f>Calc!H25</f>
        <v/>
      </c>
      <c r="I763">
        <f>IF(Skills!T25&lt;&gt;"",1+(Skills!T25/10)*($Z$3/1000)/100,1)</f>
        <v/>
      </c>
      <c r="J763" t="inlineStr"/>
      <c r="K763" t="inlineStr"/>
      <c r="L763" t="inlineStr"/>
      <c r="M763" t="inlineStr"/>
      <c r="N763" t="inlineStr"/>
      <c r="O763">
        <f>(1-Summary!$B$48)*S763+Summary!$B$48*U763</f>
        <v/>
      </c>
      <c r="P763">
        <f>IF(B780=0,0,O763/B780)</f>
        <v/>
      </c>
      <c r="Q763">
        <f>IFERROR(1/IF(Inputs!$B$39="pvp",15,MAX(0.1,Skills!D25-IF(Skills!E25=TRUE,Inputs!$B$33,0))),0)</f>
        <v/>
      </c>
      <c r="R763" t="n">
        <v>0</v>
      </c>
      <c r="S763" t="n">
        <v>0</v>
      </c>
      <c r="U763" t="n">
        <v>0</v>
      </c>
    </row>
    <row r="764">
      <c r="A764">
        <f>Skills!A26</f>
        <v/>
      </c>
      <c r="B764">
        <f>Skills!B26</f>
        <v/>
      </c>
      <c r="C764">
        <f>Inputs!$B$3&gt;=117</f>
        <v/>
      </c>
      <c r="D764">
        <f>IF(Skills!C26=1,60+Inputs!$B$26+Inputs!$B$30,IF(Skills!C26=2,90+Inputs!$B$27+Inputs!$B$30,IF(Skills!C26=3,120+Inputs!$B$28+Inputs!$B$30,MAX(0,(Inputs!$B$3-100)*3)+Inputs!$B$29+Inputs!$B$30)))</f>
        <v/>
      </c>
      <c r="E764">
        <f>INDEX(FactorTable!$B$2:$Y$301, MATCH(ROUND(MIN(300,MAX(1,D764)),0), FactorTable!$A$2:$A$301,0), Skills!L26+1)</f>
        <v/>
      </c>
      <c r="F764">
        <f>IF(Skills!M26=TRUE,(Skills!K26/10)*(E764/1000),Skills!K26/10)+Skills!N26</f>
        <v/>
      </c>
      <c r="G764">
        <f>Calc!G26</f>
        <v/>
      </c>
      <c r="H764">
        <f>Calc!H26</f>
        <v/>
      </c>
      <c r="I764">
        <f>IF(Skills!T26&lt;&gt;"",1+(Skills!T26/10)*($Z$3/1000)/100,1)</f>
        <v/>
      </c>
      <c r="J764" t="inlineStr"/>
      <c r="K764" t="inlineStr"/>
      <c r="L764" t="inlineStr"/>
      <c r="M764" t="inlineStr"/>
      <c r="N764" t="inlineStr"/>
      <c r="O764">
        <f>(1-Summary!$B$48)*S764+Summary!$B$48*U764</f>
        <v/>
      </c>
      <c r="P764">
        <f>IF(B780=0,0,O764/B780)</f>
        <v/>
      </c>
      <c r="Q764">
        <f>IFERROR(1/IF(Inputs!$B$39="pvp",15,MAX(0.1,Skills!D26-IF(Skills!E26=TRUE,Inputs!$B$33,0))),0)</f>
        <v/>
      </c>
      <c r="R764" t="n">
        <v>0</v>
      </c>
      <c r="S764" t="n">
        <v>0</v>
      </c>
      <c r="U764" t="n">
        <v>0</v>
      </c>
    </row>
    <row r="765">
      <c r="A765">
        <f>Skills!A27</f>
        <v/>
      </c>
      <c r="B765">
        <f>Skills!B27</f>
        <v/>
      </c>
      <c r="C765">
        <f>Inputs!$B$3&gt;=120</f>
        <v/>
      </c>
      <c r="D765">
        <f>IF(Skills!C27=1,60+Inputs!$B$26+Inputs!$B$30,IF(Skills!C27=2,90+Inputs!$B$27+Inputs!$B$30,IF(Skills!C27=3,120+Inputs!$B$28+Inputs!$B$30,MAX(0,(Inputs!$B$3-100)*3)+Inputs!$B$29+Inputs!$B$30)))</f>
        <v/>
      </c>
      <c r="E765">
        <f>INDEX(FactorTable!$B$2:$Y$301, MATCH(ROUND(MIN(300,MAX(1,D765)),0), FactorTable!$A$2:$A$301,0), Skills!L27+1)</f>
        <v/>
      </c>
      <c r="F765">
        <f>IF(Skills!M27=TRUE,(Skills!K27/10)*(E765/1000),Skills!K27/10)+Skills!N27</f>
        <v/>
      </c>
      <c r="G765">
        <f>Calc!G27</f>
        <v/>
      </c>
      <c r="H765">
        <f>Calc!H27</f>
        <v/>
      </c>
      <c r="I765">
        <f>IF(Skills!T27&lt;&gt;"",1+(Skills!T27/10)*($Z$3/1000)/100,1)</f>
        <v/>
      </c>
      <c r="J765" t="inlineStr"/>
      <c r="K765" t="inlineStr"/>
      <c r="L765" t="inlineStr"/>
      <c r="M765" t="inlineStr"/>
      <c r="N765" t="inlineStr"/>
      <c r="O765">
        <f>(1-Summary!$B$48)*S765+Summary!$B$48*U765</f>
        <v/>
      </c>
      <c r="P765">
        <f>IF(B780=0,0,O765/B780)</f>
        <v/>
      </c>
      <c r="Q765">
        <f>IFERROR(1/IF(Inputs!$B$39="pvp",15,MAX(0.1,Skills!D27-IF(Skills!E27=TRUE,Inputs!$B$33,0))),0)</f>
        <v/>
      </c>
      <c r="R765" t="n">
        <v>0</v>
      </c>
      <c r="S765" t="n">
        <v>0</v>
      </c>
      <c r="U765" t="n">
        <v>0</v>
      </c>
    </row>
    <row r="767">
      <c r="A767" t="inlineStr">
        <is>
          <t>Average Buff Multiplier</t>
        </is>
      </c>
      <c r="B767">
        <f>(1+(IF(C741=TRUE,F741*IF(AND(Inputs!$B$39&lt;&gt;"pvp",Inputs!$B$44&gt;0),(((R741-1)*(Skills!S3*(1+(Inputs!$B$35+IF(Inputs!$B$3&gt;=117,F764,0))/100))+MIN((Skills!S3*(1+(Inputs!$B$35+IF(Inputs!$B$3&gt;=117,F764,0))/100)),MAX(0,Inputs!$B$44-((R741-1)*Skills!D3))))/Inputs!$B$44),IF(Inputs!$B$39="pvp",MIN((Skills!S3*(1+(Inputs!$B$35+IF(Inputs!$B$3&gt;=117,F764,0))/100)),15)/15,(Skills!S3*(1+(Inputs!$B$35+IF(Inputs!$B$3&gt;=117,F764,0))/100))/Skills!D3)),0)+IF(C742=TRUE,F742*IF(AND(Inputs!$B$39&lt;&gt;"pvp",Inputs!$B$44&gt;0),(((R742-1)*(Skills!S4*(1+(Inputs!$B$35+IF(Inputs!$B$3&gt;=117,F764,0))/100))+MIN((Skills!S4*(1+(Inputs!$B$35+IF(Inputs!$B$3&gt;=117,F764,0))/100)),MAX(0,Inputs!$B$44-((R742-1)*Skills!D4))))/Inputs!$B$44),IF(Inputs!$B$39="pvp",MIN((Skills!S4*(1+(Inputs!$B$35+IF(Inputs!$B$3&gt;=117,F764,0))/100)),15)/15,(Skills!S4*(1+(Inputs!$B$35+IF(Inputs!$B$3&gt;=117,F764,0))/100))/Skills!D4)),0)+IF(C743=TRUE,F743*IF(AND(Inputs!$B$39&lt;&gt;"pvp",Inputs!$B$44&gt;0),(((R743-1)*(Skills!S5*(1+(Inputs!$B$35+IF(Inputs!$B$3&gt;=117,F764,0))/100))+MIN((Skills!S5*(1+(Inputs!$B$35+IF(Inputs!$B$3&gt;=117,F764,0))/100)),MAX(0,Inputs!$B$44-((R743-1)*Skills!D5))))/Inputs!$B$44),IF(Inputs!$B$39="pvp",MIN((Skills!S5*(1+(Inputs!$B$35+IF(Inputs!$B$3&gt;=117,F764,0))/100)),15)/15,(Skills!S5*(1+(Inputs!$B$35+IF(Inputs!$B$3&gt;=117,F764,0))/100))/Skills!D5)),0)+IF(C749=TRUE,F749*IF(AND(Inputs!$B$39&lt;&gt;"pvp",Inputs!$B$44&gt;0),(((R749-1)*(Skills!S11*(1+(Inputs!$B$35+IF(Inputs!$B$3&gt;=117,F764,0))/100))+MIN((Skills!S11*(1+(Inputs!$B$35+IF(Inputs!$B$3&gt;=117,F764,0))/100)),MAX(0,Inputs!$B$44-((R749-1)*Skills!D11))))/Inputs!$B$44),IF(Inputs!$B$39="pvp",MIN((Skills!S11*(1+(Inputs!$B$35+IF(Inputs!$B$3&gt;=117,F764,0))/100)),15)/15,(Skills!S11*(1+(Inputs!$B$35+IF(Inputs!$B$3&gt;=117,F764,0))/100))/Skills!D11)),0))/100)*IF(C752=TRUE,(1+F752*IF(AND(Inputs!$B$39&lt;&gt;"pvp",Inputs!$B$44&gt;0),(((R752-1)*(Skills!S14*(1+(Inputs!$B$35+IF(Inputs!$B$3&gt;=117,F764,0))/100))+MIN((Skills!S14*(1+(Inputs!$B$35+IF(Inputs!$B$3&gt;=117,F764,0))/100)),MAX(0,Inputs!$B$44-((R752-1)*Skills!D14))))/Inputs!$B$44),IF(Inputs!$B$39="pvp",MIN((Skills!S14*(1+(Inputs!$B$35+IF(Inputs!$B$3&gt;=117,F764,0))/100)),15)/15,(Skills!S14*(1+(Inputs!$B$35+IF(Inputs!$B$3&gt;=117,F764,0))/100))/Skills!D14))/100),1)*IF(C757=TRUE,(1+F757*IF(AND(Inputs!$B$39&lt;&gt;"pvp",Inputs!$B$44&gt;0),(((R757-1)*(Skills!S19*(1+(Inputs!$B$35+IF(Inputs!$B$3&gt;=117,F764,0))/100))+MIN((Skills!S19*(1+(Inputs!$B$35+IF(Inputs!$B$3&gt;=117,F764,0))/100)),MAX(0,Inputs!$B$44-((R757-1)*Skills!D19))))/Inputs!$B$44),IF(Inputs!$B$39="pvp",MIN((Skills!S19*(1+(Inputs!$B$35+IF(Inputs!$B$3&gt;=117,F764,0))/100)),15)/15,(Skills!S19*(1+(Inputs!$B$35+IF(Inputs!$B$3&gt;=117,F764,0))/100))/Skills!D19))/100),1)</f>
        <v/>
      </c>
    </row>
    <row r="768">
      <c r="A768" t="inlineStr">
        <is>
          <t>Monster Damage Taken Bonus % (Holy Fountain)</t>
        </is>
      </c>
      <c r="B768">
        <f>IF(Inputs!$B$3&gt;=68,20*IF(Inputs!$B$39="pvp",MIN((15*(1+(Inputs!$B$35+IF(Inputs!$B$3&gt;=117,F764,0))/100)),15)/15,(15*(1+(Inputs!$B$35+IF(Inputs!$B$3&gt;=117,F764,0))/100))/Skills!D10),0)</f>
        <v/>
      </c>
    </row>
    <row r="769">
      <c r="A769" t="inlineStr">
        <is>
          <t>Normal Monster Damage Bonus % (Holy Symbol)</t>
        </is>
      </c>
      <c r="B769">
        <f>IF(C750=TRUE,F750*IF(AND(Inputs!$B$39&lt;&gt;"pvp",Inputs!$B$44&gt;0),(((R750-1)*(Skills!S12*(1+(Inputs!$B$35+IF(Inputs!$B$3&gt;=117,F764,0))/100))+MIN((Skills!S12*(1+(Inputs!$B$35+IF(Inputs!$B$3&gt;=117,F764,0))/100)),MAX(0,Inputs!$B$44-((R750-1)*Skills!D12))))/Inputs!$B$44),IF(Inputs!$B$39="pvp",MIN((Skills!S12*(1+(Inputs!$B$35+IF(Inputs!$B$3&gt;=117,F764,0))/100)),15)/15,(Skills!S12*(1+(Inputs!$B$35+IF(Inputs!$B$3&gt;=117,F764,0))/100))/Skills!D12)),0)</f>
        <v/>
      </c>
    </row>
    <row r="770">
      <c r="A770" t="inlineStr">
        <is>
          <t>Damage % Bonus (Holy Symbol - Damage Boost)</t>
        </is>
      </c>
      <c r="B770">
        <f>Skills!O12</f>
        <v/>
      </c>
    </row>
    <row r="771">
      <c r="A771" t="inlineStr">
        <is>
          <t>Crit Damage % Bonus (Blood of the Divine)</t>
        </is>
      </c>
      <c r="B771">
        <f>4*IF(C758=TRUE,F758,0)</f>
        <v/>
      </c>
    </row>
    <row r="772">
      <c r="A772" t="inlineStr">
        <is>
          <t>Attack Speed Bonus %</t>
        </is>
      </c>
      <c r="B772">
        <f>IF(C755=TRUE,F755+(F759-Calc!F21),0)+IF(Inputs!$B$3&gt;=134,15,0)</f>
        <v/>
      </c>
    </row>
    <row r="773">
      <c r="A773" t="inlineStr">
        <is>
          <t>Actions Per Second</t>
        </is>
      </c>
      <c r="B773">
        <f>1+MIN(150,150*(1-(1-Inputs!$B$12/150)*(1-B772/150)))/100</f>
        <v/>
      </c>
    </row>
    <row r="774">
      <c r="A774" t="inlineStr">
        <is>
          <t>Skill + Buff Cast Rate</t>
        </is>
      </c>
      <c r="B774">
        <f>IF(AND(Inputs!$B$39&lt;&gt;"pvp",Inputs!$B$44&gt;0),SUMPRODUCT((Skills!E2:E27=TRUE)*(C740:C765=TRUE)*R740:R765)/Inputs!$B$44,SUMPRODUCT((Skills!E2:E27=TRUE)*(C740:C765=TRUE)*Q740:Q765))</f>
        <v/>
      </c>
    </row>
    <row r="775">
      <c r="A775" t="inlineStr">
        <is>
          <t>Big Bang Casts Per Second</t>
        </is>
      </c>
      <c r="B775">
        <f>MAX(0,B773-B774)</f>
        <v/>
      </c>
    </row>
    <row r="776">
      <c r="A776" t="inlineStr">
        <is>
          <t>Defense % Bonus (Divine Protection)</t>
        </is>
      </c>
      <c r="B776">
        <f>IF(C751=TRUE,F751*IF(AND(Inputs!$B$39&lt;&gt;"pvp",Inputs!$B$44&gt;0),(((R751-1)*(Skills!S13*(1+(Inputs!$B$35+IF(Inputs!$B$3&gt;=117,F764,0))/100))+MIN((Skills!S13*(1+(Inputs!$B$35+IF(Inputs!$B$3&gt;=117,F764,0))/100)),MAX(0,Inputs!$B$44-((R751-1)*Skills!D13))))/Inputs!$B$44),IF(Inputs!$B$39="pvp",MIN((Skills!S13*(1+(Inputs!$B$35+IF(Inputs!$B$3&gt;=117,F764,0))/100)),15)/15,(Skills!S13*(1+(Inputs!$B$35+IF(Inputs!$B$3&gt;=117,F764,0))/100))/Skills!D13)),0)</f>
        <v/>
      </c>
    </row>
    <row r="777">
      <c r="A777" t="inlineStr">
        <is>
          <t>Buff-Casting Startup Delay (s, fixed-duration only)</t>
        </is>
      </c>
      <c r="B777">
        <f>IF(AND(Inputs!$B$39&lt;&gt;"pvp",Inputs!$B$44&gt;0),SUMPRODUCT((Skills!S2:S27&gt;0)*(Skills!E2:E27=TRUE)*(C740:C765=TRUE))/B773,0)</f>
        <v/>
      </c>
    </row>
    <row r="778">
      <c r="A778" t="inlineStr">
        <is>
          <t>Boss-Only Total DPS (this block's swept value)</t>
        </is>
      </c>
      <c r="B778">
        <f>SUM(S740:S765)</f>
        <v/>
      </c>
    </row>
    <row r="779">
      <c r="A779" t="inlineStr">
        <is>
          <t>Normal-Only Total DPS (this block's swept value)</t>
        </is>
      </c>
      <c r="B779">
        <f>SUM(U740:U765)</f>
        <v/>
      </c>
    </row>
    <row r="780">
      <c r="A780" s="5" t="inlineStr">
        <is>
          <t>TOTAL DPS</t>
        </is>
      </c>
      <c r="B780" s="5">
        <f>SUM(O740:O765)</f>
        <v/>
      </c>
    </row>
    <row r="782">
      <c r="A782" s="5" t="inlineStr">
        <is>
          <t>Stat: Skill Level Bonus — 1st Job</t>
        </is>
      </c>
    </row>
    <row r="783">
      <c r="A783" s="9" t="inlineStr">
        <is>
          <t>Key</t>
        </is>
      </c>
      <c r="B783" s="9" t="inlineStr">
        <is>
          <t>Name</t>
        </is>
      </c>
      <c r="C783" s="9" t="inlineStr">
        <is>
          <t>Unlocked</t>
        </is>
      </c>
      <c r="D783" s="9" t="inlineStr">
        <is>
          <t>InputLevel</t>
        </is>
      </c>
      <c r="E783" s="9" t="inlineStr">
        <is>
          <t>Factor</t>
        </is>
      </c>
      <c r="F783" s="9" t="inlineStr">
        <is>
          <t>CoefficientPercent</t>
        </is>
      </c>
      <c r="G783" s="9" t="inlineStr">
        <is>
          <t>EffectiveHits</t>
        </is>
      </c>
      <c r="H783" s="9" t="inlineStr">
        <is>
          <t>ProcProbability</t>
        </is>
      </c>
      <c r="I783" s="9" t="inlineStr">
        <is>
          <t>MapleHeroMultiplier</t>
        </is>
      </c>
      <c r="J783" s="9" t="inlineStr">
        <is>
          <t>BaseDamage</t>
        </is>
      </c>
      <c r="K783" s="9" t="inlineStr">
        <is>
          <t>BaseHitDamage</t>
        </is>
      </c>
      <c r="L783" s="9" t="inlineStr">
        <is>
          <t>NonCritAvg</t>
        </is>
      </c>
      <c r="M783" s="9" t="inlineStr">
        <is>
          <t>CritAvg</t>
        </is>
      </c>
      <c r="N783" s="9" t="inlineStr">
        <is>
          <t>ExpectedDamage(perHit)</t>
        </is>
      </c>
      <c r="O783" s="9" t="inlineStr">
        <is>
          <t>DPS</t>
        </is>
      </c>
      <c r="P783" s="9" t="inlineStr">
        <is>
          <t>% of Total</t>
        </is>
      </c>
      <c r="R783" t="inlineStr">
        <is>
          <t>helpers</t>
        </is>
      </c>
    </row>
    <row r="784">
      <c r="A784">
        <f>Skills!A2</f>
        <v/>
      </c>
      <c r="B784">
        <f>Skills!B2</f>
        <v/>
      </c>
      <c r="C784">
        <f>Inputs!$B$3&gt;=100</f>
        <v/>
      </c>
      <c r="D784" t="inlineStr"/>
      <c r="E784" t="inlineStr"/>
      <c r="F784">
        <f>T786+Skills!N2</f>
        <v/>
      </c>
      <c r="G784">
        <f>Calc!G2</f>
        <v/>
      </c>
      <c r="H784">
        <f>Calc!H2</f>
        <v/>
      </c>
      <c r="I784">
        <f>IF(Skills!T2&lt;&gt;"",1+(Skills!T2/10)*($Z$3/1000)/100,1)</f>
        <v/>
      </c>
      <c r="J784">
        <f>((Inputs!$B$6*(1+Inputs!$B$7/100))+(((Inputs!$B$13*(1+Inputs!$B$14/100))-(Inputs!$B$13*(1+Inputs!$B$14/100)))+0.25*(Inputs!$B$15-Inputs!$B$15))*(1+Inputs!$B$7/100))*(F784/100)</f>
        <v/>
      </c>
      <c r="K784">
        <f>J784*(1+(((Inputs!$B$13+IF(Inputs!$B$3&gt;=35,(10*INDEX(FactorTable!$B$2:$Y$301, MATCH(ROUND(MIN(300,MAX(1,Inputs!$B$3)),0), FactorTable!$A$2:$A$301,0), 23)/1000)/100*(Inputs!$B$8*(1+(Inputs!$B$9+B820)/100)),0))*(1+Inputs!$B$14/100))*0.01+Inputs!$B$15*0.0025)/100)*(1+(Inputs!$B$16+B814)/100)*(1+Inputs!$B$17/100)*(5000/(6000+Inputs!$B$43*(1-Inputs!$B$20/100)))*(1+Inputs!$B$25/100)*(1+IF(C800=TRUE,F800,0)/100)*(1+IF(C802=TRUE,F802,0)/100)*(1+IF(Skills!A2="TRIUMPH_FEATHER",IF(C798=TRUE,F798,0),0)/100)*(1+IF(C809=TRUE,F809,0)/100)^5*(1+(IF(Skills!A2="BIG_BANG",Inputs!$B$18,Inputs!$B$19))/100)*(B811*I784)</f>
        <v/>
      </c>
      <c r="L784">
        <f>K784*(MIN(Inputs!$B$23+(F804-Calc!F22),Inputs!$B$24)/100+Inputs!$B$24/100)/2</f>
        <v/>
      </c>
      <c r="M784">
        <f>L784*(1+(Inputs!$B$11+B815+(F807-Calc!F25))/100)</f>
        <v/>
      </c>
      <c r="N784">
        <f>L784*(1-MIN(Inputs!$B$10+((F806-Calc!F24)+(F805-Calc!F23)),100)/100)+M784*(MIN(Inputs!$B$10+((F806-Calc!F24)+(F805-Calc!F23)),100)/100)</f>
        <v/>
      </c>
      <c r="O784">
        <f>(1-Summary!$B$48)*S784+Summary!$B$48*U784</f>
        <v/>
      </c>
      <c r="P784">
        <f>IF(B824=0,0,O784/B824)</f>
        <v/>
      </c>
      <c r="Q784">
        <f>IFERROR(1/IF(Inputs!$B$39="pvp",15,MAX(0.1,Skills!D2-IF(Skills!E2=TRUE,Inputs!$B$33,0))),0)</f>
        <v/>
      </c>
      <c r="R784" t="n">
        <v>0</v>
      </c>
      <c r="S784">
        <f>IF(C784,(Skills!F2*N784*B819)*IF(Inputs!$B$39="pvp",1,1+(Inputs!$B$21+Skills!O2+B812)/100),0)</f>
        <v/>
      </c>
      <c r="T784">
        <f>MAX(0,(Inputs!$B$3-100)*3)+Inputs!$B$29+Inputs!$B$30</f>
        <v/>
      </c>
      <c r="U784">
        <f>IF(C784,(Skills!F2*N784*B819)*IF(Inputs!$B$39="pvp",1,(1+(Inputs!$B$22+Skills!P2+B813)/100)*(MIN((6+Inputs!$B$34),Inputs!$B$38))),0)</f>
        <v/>
      </c>
    </row>
    <row r="785">
      <c r="A785">
        <f>Skills!A3</f>
        <v/>
      </c>
      <c r="B785">
        <f>Skills!B3</f>
        <v/>
      </c>
      <c r="C785">
        <f>Inputs!$B$3&gt;=15</f>
        <v/>
      </c>
      <c r="D785">
        <f>IF(Skills!C3=1,60+(Inputs!$B$26+1)+Inputs!$B$30,IF(Skills!C3=2,90+Inputs!$B$27+Inputs!$B$30,IF(Skills!C3=3,120+Inputs!$B$28+Inputs!$B$30,MAX(0,(Inputs!$B$3-100)*3)+Inputs!$B$29+Inputs!$B$30)))</f>
        <v/>
      </c>
      <c r="E785">
        <f>INDEX(FactorTable!$B$2:$Y$301, MATCH(ROUND(MIN(300,MAX(1,D785)),0), FactorTable!$A$2:$A$301,0), Skills!L3+1)</f>
        <v/>
      </c>
      <c r="F785">
        <f>IF(Skills!M3=TRUE,(Skills!K3/10)*(E785/1000),Skills!K3/10)+Skills!N3</f>
        <v/>
      </c>
      <c r="G785">
        <f>Calc!G3</f>
        <v/>
      </c>
      <c r="H785">
        <f>Calc!H3</f>
        <v/>
      </c>
      <c r="I785">
        <f>IF(Skills!T3&lt;&gt;"",1+(Skills!T3/10)*($Z$3/1000)/100,1)</f>
        <v/>
      </c>
      <c r="J785" t="inlineStr"/>
      <c r="K785" t="inlineStr"/>
      <c r="L785" t="inlineStr"/>
      <c r="M785" t="inlineStr"/>
      <c r="N785" t="inlineStr"/>
      <c r="O785">
        <f>(1-Summary!$B$48)*S785+Summary!$B$48*U785</f>
        <v/>
      </c>
      <c r="P785">
        <f>IF(B824=0,0,O785/B824)</f>
        <v/>
      </c>
      <c r="Q785">
        <f>IFERROR(1/IF(Inputs!$B$39="pvp",15,MAX(0.1,Skills!D3-IF(Skills!E3=TRUE,Inputs!$B$33,0))),0)</f>
        <v/>
      </c>
      <c r="R785">
        <f>IF(AND(Inputs!$B$39&lt;&gt;"pvp",Inputs!$B$44&gt;0),IF(Inputs!$B$44&lt;=0,0,(INT(Inputs!$B$44/IF(Inputs!$B$39="pvp",15,MAX(0.1,Skills!D3-IF(Skills!E3=TRUE,Inputs!$B$33,0))))+1)),0)</f>
        <v/>
      </c>
      <c r="S785" t="n">
        <v>0</v>
      </c>
      <c r="T785">
        <f>INDEX(FactorTable!$B$2:$Y$301, MATCH(ROUND(MIN(300,MAX(1,T784)),0), FactorTable!$A$2:$A$301,0), 22)</f>
        <v/>
      </c>
      <c r="U785" t="n">
        <v>0</v>
      </c>
    </row>
    <row r="786">
      <c r="A786">
        <f>Skills!A4</f>
        <v/>
      </c>
      <c r="B786">
        <f>Skills!B4</f>
        <v/>
      </c>
      <c r="C786">
        <f>Inputs!$B$3&gt;=38</f>
        <v/>
      </c>
      <c r="D786">
        <f>IF(Skills!C4=1,60+(Inputs!$B$26+1)+Inputs!$B$30,IF(Skills!C4=2,90+Inputs!$B$27+Inputs!$B$30,IF(Skills!C4=3,120+Inputs!$B$28+Inputs!$B$30,MAX(0,(Inputs!$B$3-100)*3)+Inputs!$B$29+Inputs!$B$30)))</f>
        <v/>
      </c>
      <c r="E786">
        <f>INDEX(FactorTable!$B$2:$Y$301, MATCH(ROUND(MIN(300,MAX(1,D786)),0), FactorTable!$A$2:$A$301,0), Skills!L4+1)</f>
        <v/>
      </c>
      <c r="F786">
        <f>IF(Skills!M4=TRUE,(Skills!K4/10)*(E786/1000),Skills!K4/10)+Skills!N4</f>
        <v/>
      </c>
      <c r="G786">
        <f>Calc!G4</f>
        <v/>
      </c>
      <c r="H786">
        <f>Calc!H4</f>
        <v/>
      </c>
      <c r="I786">
        <f>IF(Skills!T4&lt;&gt;"",1+(Skills!T4/10)*($Z$3/1000)/100,1)</f>
        <v/>
      </c>
      <c r="J786" t="inlineStr"/>
      <c r="K786" t="inlineStr"/>
      <c r="L786" t="inlineStr"/>
      <c r="M786" t="inlineStr"/>
      <c r="N786" t="inlineStr"/>
      <c r="O786">
        <f>(1-Summary!$B$48)*S786+Summary!$B$48*U786</f>
        <v/>
      </c>
      <c r="P786">
        <f>IF(B824=0,0,O786/B824)</f>
        <v/>
      </c>
      <c r="Q786">
        <f>IFERROR(1/IF(Inputs!$B$39="pvp",15,MAX(0.1,Skills!D4-IF(Skills!E4=TRUE,Inputs!$B$33,0))),0)</f>
        <v/>
      </c>
      <c r="R786">
        <f>IF(AND(Inputs!$B$39&lt;&gt;"pvp",Inputs!$B$44&gt;0),IF(Inputs!$B$44&lt;=0,0,(INT(Inputs!$B$44/IF(Inputs!$B$39="pvp",15,MAX(0.1,Skills!D4-IF(Skills!E4=TRUE,Inputs!$B$33,0))))+1)),0)</f>
        <v/>
      </c>
      <c r="S786" t="n">
        <v>0</v>
      </c>
      <c r="T786">
        <f>290*T785/1000</f>
        <v/>
      </c>
      <c r="U786" t="n">
        <v>0</v>
      </c>
    </row>
    <row r="787">
      <c r="A787">
        <f>Skills!A5</f>
        <v/>
      </c>
      <c r="B787">
        <f>Skills!B5</f>
        <v/>
      </c>
      <c r="C787">
        <f>Inputs!$B$3&gt;=40</f>
        <v/>
      </c>
      <c r="D787">
        <f>IF(Skills!C5=1,60+(Inputs!$B$26+1)+Inputs!$B$30,IF(Skills!C5=2,90+Inputs!$B$27+Inputs!$B$30,IF(Skills!C5=3,120+Inputs!$B$28+Inputs!$B$30,MAX(0,(Inputs!$B$3-100)*3)+Inputs!$B$29+Inputs!$B$30)))</f>
        <v/>
      </c>
      <c r="E787">
        <f>INDEX(FactorTable!$B$2:$Y$301, MATCH(ROUND(MIN(300,MAX(1,D787)),0), FactorTable!$A$2:$A$301,0), Skills!L5+1)</f>
        <v/>
      </c>
      <c r="F787">
        <f>IF(Skills!M5=TRUE,(Skills!K5/10)*(E787/1000),Skills!K5/10)+Skills!N5</f>
        <v/>
      </c>
      <c r="G787">
        <f>Calc!G5</f>
        <v/>
      </c>
      <c r="H787">
        <f>Calc!H5</f>
        <v/>
      </c>
      <c r="I787">
        <f>IF(Skills!T5&lt;&gt;"",1+(Skills!T5/10)*($Z$3/1000)/100,1)</f>
        <v/>
      </c>
      <c r="J787" t="inlineStr"/>
      <c r="K787" t="inlineStr"/>
      <c r="L787" t="inlineStr"/>
      <c r="M787" t="inlineStr"/>
      <c r="N787" t="inlineStr"/>
      <c r="O787">
        <f>(1-Summary!$B$48)*S787+Summary!$B$48*U787</f>
        <v/>
      </c>
      <c r="P787">
        <f>IF(B824=0,0,O787/B824)</f>
        <v/>
      </c>
      <c r="Q787">
        <f>IFERROR(1/IF(Inputs!$B$39="pvp",15,MAX(0.1,Skills!D5-IF(Skills!E5=TRUE,Inputs!$B$33,0))),0)</f>
        <v/>
      </c>
      <c r="R787">
        <f>IF(AND(Inputs!$B$39&lt;&gt;"pvp",Inputs!$B$44&gt;0),IF(Inputs!$B$44&lt;=0,0,(INT(Inputs!$B$44/IF(Inputs!$B$39="pvp",15,MAX(0.1,Skills!D5-IF(Skills!E5=TRUE,Inputs!$B$33,0))))+1)),0)</f>
        <v/>
      </c>
      <c r="S787" t="n">
        <v>0</v>
      </c>
      <c r="U787" t="n">
        <v>0</v>
      </c>
    </row>
    <row r="788">
      <c r="A788">
        <f>Skills!A6</f>
        <v/>
      </c>
      <c r="B788">
        <f>Skills!B6</f>
        <v/>
      </c>
      <c r="C788">
        <f>Inputs!$B$3&gt;=103</f>
        <v/>
      </c>
      <c r="D788">
        <f>IF(Skills!C6=1,60+(Inputs!$B$26+1)+Inputs!$B$30,IF(Skills!C6=2,90+Inputs!$B$27+Inputs!$B$30,IF(Skills!C6=3,120+Inputs!$B$28+Inputs!$B$30,MAX(0,(Inputs!$B$3-100)*3)+Inputs!$B$29+Inputs!$B$30)))</f>
        <v/>
      </c>
      <c r="E788">
        <f>INDEX(FactorTable!$B$2:$Y$301, MATCH(ROUND(MIN(300,MAX(1,D788)),0), FactorTable!$A$2:$A$301,0), Skills!L6+1)</f>
        <v/>
      </c>
      <c r="F788">
        <f>IF(Skills!M6=TRUE,(Skills!K6/10)*(E788/1000),Skills!K6/10)+Skills!N6</f>
        <v/>
      </c>
      <c r="G788">
        <f>Calc!G6</f>
        <v/>
      </c>
      <c r="H788">
        <f>Calc!H6</f>
        <v/>
      </c>
      <c r="I788">
        <f>IF(Skills!T6&lt;&gt;"",1+(Skills!T6/10)*($Z$3/1000)/100,1)</f>
        <v/>
      </c>
      <c r="J788">
        <f>((Inputs!$B$6*(1+Inputs!$B$7/100))+(((Inputs!$B$13*(1+Inputs!$B$14/100))-(Inputs!$B$13*(1+Inputs!$B$14/100)))+0.25*(Inputs!$B$15-Inputs!$B$15))*(1+Inputs!$B$7/100))*(F788/100)</f>
        <v/>
      </c>
      <c r="K788">
        <f>J788*(1+(((Inputs!$B$13+IF(Inputs!$B$3&gt;=35,(10*INDEX(FactorTable!$B$2:$Y$301, MATCH(ROUND(MIN(300,MAX(1,Inputs!$B$3)),0), FactorTable!$A$2:$A$301,0), 23)/1000)/100*(Inputs!$B$8*(1+(Inputs!$B$9+B820)/100)),0))*(1+Inputs!$B$14/100))*0.01+Inputs!$B$15*0.0025)/100)*(1+(Inputs!$B$16+B814)/100)*(1+Inputs!$B$17/100)*(5000/(6000+Inputs!$B$43*(1-Inputs!$B$20/100)))*(1+Inputs!$B$25/100)*(1+IF(C800=TRUE,F800,0)/100)*(1+IF(C802=TRUE,F802,0)/100)*(1+IF(Skills!A6="TRIUMPH_FEATHER",IF(C798=TRUE,F798,0),0)/100)*(1+IF(C809=TRUE,F809,0)/100)^5*(1+(IF(Skills!A6="BIG_BANG",Inputs!$B$18,Inputs!$B$19))/100)*(B811*I788)</f>
        <v/>
      </c>
      <c r="L788">
        <f>K788*(MIN(Inputs!$B$23+(F804-Calc!F22),Inputs!$B$24)/100+Inputs!$B$24/100)/2</f>
        <v/>
      </c>
      <c r="M788">
        <f>L788*(1+(Inputs!$B$11+B815+(F807-Calc!F25))/100)</f>
        <v/>
      </c>
      <c r="N788">
        <f>L788*(1-MIN(Inputs!$B$10+((F806-Calc!F24)+(F805-Calc!F23)),100)/100)+M788*(MIN(Inputs!$B$10+((F806-Calc!F24)+(F805-Calc!F23)),100)/100)</f>
        <v/>
      </c>
      <c r="O788">
        <f>(1-Summary!$B$48)*S788+Summary!$B$48*U788</f>
        <v/>
      </c>
      <c r="P788">
        <f>IF(B824=0,0,O788/B824)</f>
        <v/>
      </c>
      <c r="Q788">
        <f>IFERROR(1/IF(Inputs!$B$39="pvp",15,MAX(0.1,Skills!D6-IF(Skills!E6=TRUE,Inputs!$B$33,0))),0)</f>
        <v/>
      </c>
      <c r="R788">
        <f>IF(AND(Inputs!$B$39&lt;&gt;"pvp",Inputs!$B$44&gt;0),IF(MAX(0,Inputs!$B$44-B821)&lt;=0,0,(INT(MAX(0,Inputs!$B$44-B821)/IF(Inputs!$B$39="pvp",15,MAX(0.1,Skills!D6-IF(Skills!E6=TRUE,Inputs!$B$33,0))))+1)),0)</f>
        <v/>
      </c>
      <c r="S788">
        <f>IF(C788,(H788*N788*IF(AND(Inputs!$B$39&lt;&gt;"pvp",Inputs!$B$44&gt;0),((Skills!F6*((R788-1)*IF(Skills!G6&gt;0,Skills!H6/Skills!G6,1)+IF(Skills!G6&gt;0,MIN(Skills!H6,MAX(0,MAX(0,Inputs!$B$44-B821)-((R788-1)*IF(Inputs!$B$39="pvp",15,MAX(0.1,Skills!D6-IF(Skills!E6=TRUE,Inputs!$B$33,0))))))/Skills!G6,1)))/Inputs!$B$44),G788*Q788))*IF(Inputs!$B$39="pvp",1,1+(Inputs!$B$21+Skills!O6+B812)/100),0)</f>
        <v/>
      </c>
      <c r="U788">
        <f>IF(C788,(H788*N788*IF(AND(Inputs!$B$39&lt;&gt;"pvp",Inputs!$B$44&gt;0),((Skills!F6*((R788-1)*IF(Skills!G6&gt;0,Skills!H6/Skills!G6,1)+IF(Skills!G6&gt;0,MIN(Skills!H6,MAX(0,MAX(0,Inputs!$B$44-B821)-((R788-1)*IF(Inputs!$B$39="pvp",15,MAX(0.1,Skills!D6-IF(Skills!E6=TRUE,Inputs!$B$33,0))))))/Skills!G6,1)))/Inputs!$B$44),G788*Q788))*IF(Inputs!$B$39="pvp",1,(1+(Inputs!$B$22+Skills!P6+B813)/100)*(MIN(Skills!Q6,Inputs!$B$38))),0)</f>
        <v/>
      </c>
    </row>
    <row r="789">
      <c r="A789">
        <f>Skills!A7</f>
        <v/>
      </c>
      <c r="B789">
        <f>Skills!B7</f>
        <v/>
      </c>
      <c r="C789">
        <f>Inputs!$B$3&gt;=122</f>
        <v/>
      </c>
      <c r="D789">
        <f>IF(Skills!C7=1,60+(Inputs!$B$26+1)+Inputs!$B$30,IF(Skills!C7=2,90+Inputs!$B$27+Inputs!$B$30,IF(Skills!C7=3,120+Inputs!$B$28+Inputs!$B$30,MAX(0,(Inputs!$B$3-100)*3)+Inputs!$B$29+Inputs!$B$30)))</f>
        <v/>
      </c>
      <c r="E789">
        <f>INDEX(FactorTable!$B$2:$Y$301, MATCH(ROUND(MIN(300,MAX(1,D789)),0), FactorTable!$A$2:$A$301,0), Skills!L7+1)</f>
        <v/>
      </c>
      <c r="F789">
        <f>IF(Skills!M7=TRUE,(Skills!K7/10)*(E789/1000),Skills!K7/10)+Skills!N7</f>
        <v/>
      </c>
      <c r="G789">
        <f>Calc!G7</f>
        <v/>
      </c>
      <c r="H789">
        <f>Calc!H7</f>
        <v/>
      </c>
      <c r="I789">
        <f>IF(Skills!T7&lt;&gt;"",1+(Skills!T7/10)*($Z$3/1000)/100,1)</f>
        <v/>
      </c>
      <c r="J789">
        <f>((Inputs!$B$6*(1+Inputs!$B$7/100))+(((Inputs!$B$13*(1+Inputs!$B$14/100))-(Inputs!$B$13*(1+Inputs!$B$14/100)))+0.25*(Inputs!$B$15-Inputs!$B$15))*(1+Inputs!$B$7/100))*(F789/100)</f>
        <v/>
      </c>
      <c r="K789">
        <f>J789*(1+(((Inputs!$B$13+IF(Inputs!$B$3&gt;=35,(10*INDEX(FactorTable!$B$2:$Y$301, MATCH(ROUND(MIN(300,MAX(1,Inputs!$B$3)),0), FactorTable!$A$2:$A$301,0), 23)/1000)/100*(Inputs!$B$8*(1+(Inputs!$B$9+B820)/100)),0))*(1+Inputs!$B$14/100))*0.01+Inputs!$B$15*0.0025)/100)*(1+(Inputs!$B$16+B814)/100)*(1+Inputs!$B$17/100)*(5000/(6000+Inputs!$B$43*(1-Inputs!$B$20/100)))*(1+Inputs!$B$25/100)*(1+IF(C800=TRUE,F800,0)/100)*(1+IF(C802=TRUE,F802,0)/100)*(1+IF(Skills!A7="TRIUMPH_FEATHER",IF(C798=TRUE,F798,0),0)/100)*(1+IF(C809=TRUE,F809,0)/100)^5*(1+(IF(Skills!A7="BIG_BANG",Inputs!$B$18,Inputs!$B$19))/100)*(B811*I789)</f>
        <v/>
      </c>
      <c r="L789">
        <f>K789*(MIN(Inputs!$B$23+(F804-Calc!F22),Inputs!$B$24)/100+Inputs!$B$24/100)/2</f>
        <v/>
      </c>
      <c r="M789">
        <f>L789*(1+(Inputs!$B$11+B815+(F807-Calc!F25))/100)</f>
        <v/>
      </c>
      <c r="N789">
        <f>L789*(1-MIN(Inputs!$B$10+((F806-Calc!F24)+(F805-Calc!F23)),100)/100)+M789*(MIN(Inputs!$B$10+((F806-Calc!F24)+(F805-Calc!F23)),100)/100)</f>
        <v/>
      </c>
      <c r="O789">
        <f>(1-Summary!$B$48)*S789+Summary!$B$48*U789</f>
        <v/>
      </c>
      <c r="P789">
        <f>IF(B824=0,0,O789/B824)</f>
        <v/>
      </c>
      <c r="Q789">
        <f>IFERROR(1/IF(Inputs!$B$39="pvp",15,MAX(0.1,Skills!D7-IF(Skills!E6=TRUE,Inputs!$B$33,0))),0)</f>
        <v/>
      </c>
      <c r="R789">
        <f>IF(AND(Inputs!$B$39&lt;&gt;"pvp",Inputs!$B$44&gt;0),IF(MAX(0,Inputs!$B$44-B821)&lt;=0,0,(INT(MAX(0,Inputs!$B$44-B821)/IF(Inputs!$B$39="pvp",15,MAX(0.1,Skills!D7-IF(Skills!E6=TRUE,Inputs!$B$33,0))))+1)),0)</f>
        <v/>
      </c>
      <c r="S789">
        <f>IF(C789,H789*N789*IF(AND(Inputs!$B$39&lt;&gt;"pvp",Inputs!$B$44&gt;0),((Skills!F7*((R789-1)*IF(Skills!G7&gt;0,Skills!H7/Skills!G7,1)+IF(Skills!G7&gt;0,MIN(Skills!H7,MAX(0,MAX(0,Inputs!$B$44-B821)-((R789-1)*IF(Inputs!$B$39="pvp",15,MAX(0.1,Skills!D7-IF(Skills!E6=TRUE,Inputs!$B$33,0))))))/Skills!G7,1)))/Inputs!$B$44),G789*Q789)*IF(Inputs!$B$39="pvp",1,1+(Inputs!$B$21+Skills!O7+B812)/100),0)</f>
        <v/>
      </c>
      <c r="U789" t="n">
        <v>0</v>
      </c>
    </row>
    <row r="790">
      <c r="A790">
        <f>Skills!A8</f>
        <v/>
      </c>
      <c r="B790">
        <f>Skills!B8</f>
        <v/>
      </c>
      <c r="C790">
        <f>Inputs!$B$3&gt;=105</f>
        <v/>
      </c>
      <c r="D790">
        <f>IF(Skills!C8=1,60+(Inputs!$B$26+1)+Inputs!$B$30,IF(Skills!C8=2,90+Inputs!$B$27+Inputs!$B$30,IF(Skills!C8=3,120+Inputs!$B$28+Inputs!$B$30,MAX(0,(Inputs!$B$3-100)*3)+Inputs!$B$29+Inputs!$B$30)))</f>
        <v/>
      </c>
      <c r="E790">
        <f>INDEX(FactorTable!$B$2:$Y$301, MATCH(ROUND(MIN(300,MAX(1,D790)),0), FactorTable!$A$2:$A$301,0), Skills!L8+1)</f>
        <v/>
      </c>
      <c r="F790">
        <f>IF(Skills!M8=TRUE,(Skills!K8/10)*(E790/1000),Skills!K8/10)+Skills!N8</f>
        <v/>
      </c>
      <c r="G790">
        <f>Calc!G8</f>
        <v/>
      </c>
      <c r="H790">
        <f>Calc!H8</f>
        <v/>
      </c>
      <c r="I790">
        <f>IF(Skills!T8&lt;&gt;"",1+(Skills!T8/10)*($Z$3/1000)/100,1)</f>
        <v/>
      </c>
      <c r="J790">
        <f>((Inputs!$B$6*(1+Inputs!$B$7/100))+(((Inputs!$B$13*(1+Inputs!$B$14/100))-(Inputs!$B$13*(1+Inputs!$B$14/100)))+0.25*(Inputs!$B$15-Inputs!$B$15))*(1+Inputs!$B$7/100))*(F790/100)</f>
        <v/>
      </c>
      <c r="K790">
        <f>J790*(1+(((Inputs!$B$13+IF(Inputs!$B$3&gt;=35,(10*INDEX(FactorTable!$B$2:$Y$301, MATCH(ROUND(MIN(300,MAX(1,Inputs!$B$3)),0), FactorTable!$A$2:$A$301,0), 23)/1000)/100*(Inputs!$B$8*(1+(Inputs!$B$9+B820)/100)),0))*(1+Inputs!$B$14/100))*0.01+Inputs!$B$15*0.0025)/100)*(1+(Inputs!$B$16+B814)/100)*(1+Inputs!$B$17/100)*(5000/(6000+Inputs!$B$43*(1-Inputs!$B$20/100)))*(1+Inputs!$B$25/100)*(1+IF(C800=TRUE,F800,0)/100)*(1+IF(C802=TRUE,F802,0)/100)*(1+IF(Skills!A8="TRIUMPH_FEATHER",IF(C798=TRUE,F798,0),0)/100)*(1+IF(C809=TRUE,F809,0)/100)^5*(1+(IF(Skills!A8="BIG_BANG",Inputs!$B$18,Inputs!$B$19))/100)*(B811*I790)</f>
        <v/>
      </c>
      <c r="L790">
        <f>K790*(MIN(Inputs!$B$23+(F804-Calc!F22),Inputs!$B$24)/100+Inputs!$B$24/100)/2</f>
        <v/>
      </c>
      <c r="M790">
        <f>L790*(1+(Inputs!$B$11+B815+(F807-Calc!F25))/100)</f>
        <v/>
      </c>
      <c r="N790">
        <f>L790*(1-MIN(Inputs!$B$10+((F806-Calc!F24)+(F805-Calc!F23)),100)/100)+M790*(MIN(Inputs!$B$10+((F806-Calc!F24)+(F805-Calc!F23)),100)/100)</f>
        <v/>
      </c>
      <c r="O790">
        <f>(1-Summary!$B$48)*S790+Summary!$B$48*U790</f>
        <v/>
      </c>
      <c r="P790">
        <f>IF(B824=0,0,O790/B824)</f>
        <v/>
      </c>
      <c r="Q790">
        <f>IFERROR(1/IF(Inputs!$B$39="pvp",15,MAX(0.1,Skills!D8-IF(Skills!E8=TRUE,Inputs!$B$33,0))),0)</f>
        <v/>
      </c>
      <c r="R790">
        <f>IF(AND(Inputs!$B$39&lt;&gt;"pvp",Inputs!$B$44&gt;0),IF(MAX(0,Inputs!$B$44-B821)&lt;=0,0,(INT(MAX(0,Inputs!$B$44-B821)/IF(Inputs!$B$39="pvp",15,MAX(0.1,Skills!D8-IF(Skills!E8=TRUE,Inputs!$B$33,0))))+1)),0)</f>
        <v/>
      </c>
      <c r="S790">
        <f>IF(C790,(H790*N790*IF(AND(Inputs!$B$39&lt;&gt;"pvp",Inputs!$B$44&gt;0),((Skills!F8*((R790-1)*IF(Skills!G8&gt;0,Skills!H8/Skills!G8,1)+IF(Skills!G8&gt;0,MIN(Skills!H8,MAX(0,MAX(0,Inputs!$B$44-B821)-((R790-1)*IF(Inputs!$B$39="pvp",15,MAX(0.1,Skills!D8-IF(Skills!E8=TRUE,Inputs!$B$33,0))))))/Skills!G8,1)))/Inputs!$B$44),G790*Q790))*IF(Inputs!$B$39="pvp",1,1+(Inputs!$B$21+Skills!O8+B812)/100),0)</f>
        <v/>
      </c>
      <c r="U790">
        <f>IF(C790,(H790*N790*IF(AND(Inputs!$B$39&lt;&gt;"pvp",Inputs!$B$44&gt;0),((Skills!F8*((R790-1)*IF(Skills!G8&gt;0,Skills!H8/Skills!G8,1)+IF(Skills!G8&gt;0,MIN(Skills!H8,MAX(0,MAX(0,Inputs!$B$44-B821)-((R790-1)*IF(Inputs!$B$39="pvp",15,MAX(0.1,Skills!D8-IF(Skills!E8=TRUE,Inputs!$B$33,0))))))/Skills!G8,1)))/Inputs!$B$44),G790*Q790))*IF(Inputs!$B$39="pvp",1,(1+(Inputs!$B$22+Skills!P8+B813)/100)*(MIN(Skills!Q8,Inputs!$B$38))),0)</f>
        <v/>
      </c>
    </row>
    <row r="791">
      <c r="A791">
        <f>Skills!A9</f>
        <v/>
      </c>
      <c r="B791">
        <f>Skills!B9</f>
        <v/>
      </c>
      <c r="C791">
        <f>Inputs!$B$3&gt;=115</f>
        <v/>
      </c>
      <c r="D791">
        <f>IF(Skills!C9=1,60+(Inputs!$B$26+1)+Inputs!$B$30,IF(Skills!C9=2,90+Inputs!$B$27+Inputs!$B$30,IF(Skills!C9=3,120+Inputs!$B$28+Inputs!$B$30,MAX(0,(Inputs!$B$3-100)*3)+Inputs!$B$29+Inputs!$B$30)))</f>
        <v/>
      </c>
      <c r="E791">
        <f>INDEX(FactorTable!$B$2:$Y$301, MATCH(ROUND(MIN(300,MAX(1,D791)),0), FactorTable!$A$2:$A$301,0), Skills!L9+1)</f>
        <v/>
      </c>
      <c r="F791">
        <f>IF(Skills!M9=TRUE,(Skills!K9/10)*(E791/1000),Skills!K9/10)+Skills!N9</f>
        <v/>
      </c>
      <c r="G791">
        <f>Calc!G9</f>
        <v/>
      </c>
      <c r="H791">
        <f>Calc!H9</f>
        <v/>
      </c>
      <c r="I791">
        <f>IF(Skills!T9&lt;&gt;"",1+(Skills!T9/10)*($Z$3/1000)/100,1)</f>
        <v/>
      </c>
      <c r="J791">
        <f>((Inputs!$B$6*(1+Inputs!$B$7/100))+(((Inputs!$B$13*(1+Inputs!$B$14/100))-(Inputs!$B$13*(1+Inputs!$B$14/100)))+0.25*(Inputs!$B$15-Inputs!$B$15))*(1+Inputs!$B$7/100))*(F791/100)</f>
        <v/>
      </c>
      <c r="K791">
        <f>J791*(1+(((Inputs!$B$13+IF(Inputs!$B$3&gt;=35,(10*INDEX(FactorTable!$B$2:$Y$301, MATCH(ROUND(MIN(300,MAX(1,Inputs!$B$3)),0), FactorTable!$A$2:$A$301,0), 23)/1000)/100*(Inputs!$B$8*(1+(Inputs!$B$9+B820)/100)),0))*(1+Inputs!$B$14/100))*0.01+Inputs!$B$15*0.0025)/100)*(1+(Inputs!$B$16+B814)/100)*(1+Inputs!$B$17/100)*(5000/(6000+Inputs!$B$43*(1-Inputs!$B$20/100)))*(1+Inputs!$B$25/100)*(1+IF(C800=TRUE,F800,0)/100)*(1+IF(C802=TRUE,F802,0)/100)*(1+IF(Skills!A9="TRIUMPH_FEATHER",IF(C798=TRUE,F798,0),0)/100)*(1+IF(C809=TRUE,F809,0)/100)^5*(1+(IF(Skills!A9="BIG_BANG",Inputs!$B$18,Inputs!$B$19))/100)*(B811*I791)</f>
        <v/>
      </c>
      <c r="L791">
        <f>K791*(MIN(Inputs!$B$23+(F804-Calc!F22),Inputs!$B$24)/100+Inputs!$B$24/100)/2</f>
        <v/>
      </c>
      <c r="M791">
        <f>L791*(1+(Inputs!$B$11+B815+(F807-Calc!F25))/100)</f>
        <v/>
      </c>
      <c r="N791">
        <f>L791*(1-MIN(Inputs!$B$10+((F806-Calc!F24)+(F805-Calc!F23)),100)/100)+M791*(MIN(Inputs!$B$10+((F806-Calc!F24)+(F805-Calc!F23)),100)/100)</f>
        <v/>
      </c>
      <c r="O791">
        <f>(1-Summary!$B$48)*S791+Summary!$B$48*U791</f>
        <v/>
      </c>
      <c r="P791">
        <f>IF(B824=0,0,O791/B824)</f>
        <v/>
      </c>
      <c r="Q791">
        <f>IFERROR(1/IF(Inputs!$B$39="pvp",15,MAX(0.1,Skills!D9-IF(Skills!E9=TRUE,Inputs!$B$33,0))),0)</f>
        <v/>
      </c>
      <c r="R791">
        <f>IF(AND(Inputs!$B$39&lt;&gt;"pvp",Inputs!$B$44&gt;0),IF(MAX(0,Inputs!$B$44-B821)&lt;=0,0,(INT(MAX(0,Inputs!$B$44-B821)/IF(Inputs!$B$39="pvp",15,MAX(0.1,Skills!D9-IF(Skills!E9=TRUE,Inputs!$B$33,0))))+1)),0)</f>
        <v/>
      </c>
      <c r="S791">
        <f>IF(C791,(H791*N791*IF(AND(Inputs!$B$39&lt;&gt;"pvp",Inputs!$B$44&gt;0),((Skills!F9*((R791-1)*IF(Skills!G9&gt;0,Skills!H9/Skills!G9,1)+IF(Skills!G9&gt;0,MIN(Skills!H9,MAX(0,MAX(0,Inputs!$B$44-B821)-((R791-1)*IF(Inputs!$B$39="pvp",15,MAX(0.1,Skills!D9-IF(Skills!E9=TRUE,Inputs!$B$33,0))))))/Skills!G9,1)))/Inputs!$B$44),G791*Q791))*IF(Inputs!$B$39="pvp",1,1+(Inputs!$B$21+Skills!O9+B812)/100),0)</f>
        <v/>
      </c>
      <c r="U791">
        <f>IF(C791,(H791*N791*IF(AND(Inputs!$B$39&lt;&gt;"pvp",Inputs!$B$44&gt;0),((Skills!F9*((R791-1)*IF(Skills!G9&gt;0,Skills!H9/Skills!G9,1)+IF(Skills!G9&gt;0,MIN(Skills!H9,MAX(0,MAX(0,Inputs!$B$44-B821)-((R791-1)*IF(Inputs!$B$39="pvp",15,MAX(0.1,Skills!D9-IF(Skills!E9=TRUE,Inputs!$B$33,0))))))/Skills!G9,1)))/Inputs!$B$44),G791*Q791))*IF(Inputs!$B$39="pvp",1,(1+(Inputs!$B$22+Skills!P9+B813)/100)*(MIN(Skills!Q9,Inputs!$B$38))),0)</f>
        <v/>
      </c>
    </row>
    <row r="792">
      <c r="A792">
        <f>Skills!A10</f>
        <v/>
      </c>
      <c r="B792">
        <f>Skills!B10</f>
        <v/>
      </c>
      <c r="C792">
        <f>Inputs!$B$3&gt;=66</f>
        <v/>
      </c>
      <c r="D792">
        <f>IF(Skills!C10=1,60+(Inputs!$B$26+1)+Inputs!$B$30,IF(Skills!C10=2,90+Inputs!$B$27+Inputs!$B$30,IF(Skills!C10=3,120+Inputs!$B$28+Inputs!$B$30,MAX(0,(Inputs!$B$3-100)*3)+Inputs!$B$29+Inputs!$B$30)))</f>
        <v/>
      </c>
      <c r="E792">
        <f>INDEX(FactorTable!$B$2:$Y$301, MATCH(ROUND(MIN(300,MAX(1,D792)),0), FactorTable!$A$2:$A$301,0), Skills!L10+1)</f>
        <v/>
      </c>
      <c r="F792" t="n">
        <v>0</v>
      </c>
      <c r="G792">
        <f>Calc!G10</f>
        <v/>
      </c>
      <c r="H792">
        <f>Calc!H10</f>
        <v/>
      </c>
      <c r="I792">
        <f>IF(Skills!T10&lt;&gt;"",1+(Skills!T10/10)*($Z$3/1000)/100,1)</f>
        <v/>
      </c>
      <c r="J792" t="inlineStr"/>
      <c r="K792" t="inlineStr"/>
      <c r="L792" t="inlineStr"/>
      <c r="M792" t="inlineStr"/>
      <c r="N792" t="inlineStr"/>
      <c r="O792">
        <f>(1-Summary!$B$48)*S792+Summary!$B$48*U792</f>
        <v/>
      </c>
      <c r="P792">
        <f>IF(B824=0,0,O792/B824)</f>
        <v/>
      </c>
      <c r="Q792">
        <f>IFERROR(1/IF(Inputs!$B$39="pvp",15,MAX(0.1,Skills!D10-IF(Skills!E10=TRUE,Inputs!$B$33,0))),0)</f>
        <v/>
      </c>
      <c r="R792">
        <f>IF(AND(Inputs!$B$39&lt;&gt;"pvp",Inputs!$B$44&gt;0),IF(MAX(0,Inputs!$B$44-B821)&lt;=0,0,(INT(MAX(0,Inputs!$B$44-B821)/IF(Inputs!$B$39="pvp",15,MAX(0.1,Skills!D10-IF(Skills!E10=TRUE,Inputs!$B$33,0))))+1)),0)</f>
        <v/>
      </c>
      <c r="S792" t="n">
        <v>0</v>
      </c>
      <c r="U792" t="n">
        <v>0</v>
      </c>
    </row>
    <row r="793">
      <c r="A793">
        <f>Skills!A11</f>
        <v/>
      </c>
      <c r="B793">
        <f>Skills!B11</f>
        <v/>
      </c>
      <c r="C793">
        <f>Inputs!$B$3&gt;=69</f>
        <v/>
      </c>
      <c r="D793">
        <f>IF(Skills!C11=1,60+(Inputs!$B$26+1)+Inputs!$B$30,IF(Skills!C11=2,90+Inputs!$B$27+Inputs!$B$30,IF(Skills!C11=3,120+Inputs!$B$28+Inputs!$B$30,MAX(0,(Inputs!$B$3-100)*3)+Inputs!$B$29+Inputs!$B$30)))</f>
        <v/>
      </c>
      <c r="E793">
        <f>INDEX(FactorTable!$B$2:$Y$301, MATCH(ROUND(MIN(300,MAX(1,D793)),0), FactorTable!$A$2:$A$301,0), Skills!L11+1)</f>
        <v/>
      </c>
      <c r="F793">
        <f>IF(Skills!M11=TRUE,(Skills!K11/10)*(E793/1000),Skills!K11/10)+Skills!N11</f>
        <v/>
      </c>
      <c r="G793">
        <f>Calc!G11</f>
        <v/>
      </c>
      <c r="H793">
        <f>Calc!H11</f>
        <v/>
      </c>
      <c r="I793">
        <f>IF(Skills!T11&lt;&gt;"",1+(Skills!T11/10)*($Z$3/1000)/100,1)</f>
        <v/>
      </c>
      <c r="J793" t="inlineStr"/>
      <c r="K793" t="inlineStr"/>
      <c r="L793" t="inlineStr"/>
      <c r="M793" t="inlineStr"/>
      <c r="N793" t="inlineStr"/>
      <c r="O793">
        <f>(1-Summary!$B$48)*S793+Summary!$B$48*U793</f>
        <v/>
      </c>
      <c r="P793">
        <f>IF(B824=0,0,O793/B824)</f>
        <v/>
      </c>
      <c r="Q793">
        <f>IFERROR(1/IF(Inputs!$B$39="pvp",15,MAX(0.1,Skills!D11-IF(Skills!E11=TRUE,Inputs!$B$33,0))),0)</f>
        <v/>
      </c>
      <c r="R793">
        <f>IF(AND(Inputs!$B$39&lt;&gt;"pvp",Inputs!$B$44&gt;0),IF(Inputs!$B$44&lt;=0,0,(INT(Inputs!$B$44/IF(Inputs!$B$39="pvp",15,MAX(0.1,Skills!D11-IF(Skills!E11=TRUE,Inputs!$B$33,0))))+1)),0)</f>
        <v/>
      </c>
      <c r="S793" t="n">
        <v>0</v>
      </c>
      <c r="U793" t="n">
        <v>0</v>
      </c>
    </row>
    <row r="794">
      <c r="A794">
        <f>Skills!A12</f>
        <v/>
      </c>
      <c r="B794">
        <f>Skills!B12</f>
        <v/>
      </c>
      <c r="C794">
        <f>Inputs!$B$3&gt;=72</f>
        <v/>
      </c>
      <c r="D794">
        <f>IF(Skills!C12=1,60+(Inputs!$B$26+1)+Inputs!$B$30,IF(Skills!C12=2,90+Inputs!$B$27+Inputs!$B$30,IF(Skills!C12=3,120+Inputs!$B$28+Inputs!$B$30,MAX(0,(Inputs!$B$3-100)*3)+Inputs!$B$29+Inputs!$B$30)))</f>
        <v/>
      </c>
      <c r="E794">
        <f>INDEX(FactorTable!$B$2:$Y$301, MATCH(ROUND(MIN(300,MAX(1,D794)),0), FactorTable!$A$2:$A$301,0), Skills!L12+1)</f>
        <v/>
      </c>
      <c r="F794">
        <f>IF(Skills!M12=TRUE,(Skills!K12/10)*(E794/1000),Skills!K12/10)+Skills!N12</f>
        <v/>
      </c>
      <c r="G794">
        <f>Calc!G12</f>
        <v/>
      </c>
      <c r="H794">
        <f>Calc!H12</f>
        <v/>
      </c>
      <c r="I794">
        <f>IF(Skills!T12&lt;&gt;"",1+(Skills!T12/10)*($Z$3/1000)/100,1)</f>
        <v/>
      </c>
      <c r="J794" t="inlineStr"/>
      <c r="K794" t="inlineStr"/>
      <c r="L794" t="inlineStr"/>
      <c r="M794" t="inlineStr"/>
      <c r="N794" t="inlineStr"/>
      <c r="O794">
        <f>(1-Summary!$B$48)*S794+Summary!$B$48*U794</f>
        <v/>
      </c>
      <c r="P794">
        <f>IF(B824=0,0,O794/B824)</f>
        <v/>
      </c>
      <c r="Q794">
        <f>IFERROR(1/IF(Inputs!$B$39="pvp",15,MAX(0.1,Skills!D12-IF(Skills!E12=TRUE,Inputs!$B$33,0))),0)</f>
        <v/>
      </c>
      <c r="R794">
        <f>IF(AND(Inputs!$B$39&lt;&gt;"pvp",Inputs!$B$44&gt;0),IF(MAX(0,Inputs!$B$44-B821)&lt;=0,0,(INT(MAX(0,Inputs!$B$44-B821)/IF(Inputs!$B$39="pvp",15,MAX(0.1,Skills!D12-IF(Skills!E12=TRUE,Inputs!$B$33,0))))+1)),0)</f>
        <v/>
      </c>
      <c r="S794" t="n">
        <v>0</v>
      </c>
      <c r="U794" t="n">
        <v>0</v>
      </c>
    </row>
    <row r="795">
      <c r="A795">
        <f>Skills!A13</f>
        <v/>
      </c>
      <c r="B795">
        <f>Skills!B13</f>
        <v/>
      </c>
      <c r="C795">
        <f>Inputs!$B$3&gt;=60</f>
        <v/>
      </c>
      <c r="D795">
        <f>IF(Skills!C13=1,60+(Inputs!$B$26+1)+Inputs!$B$30,IF(Skills!C13=2,90+Inputs!$B$27+Inputs!$B$30,IF(Skills!C13=3,120+Inputs!$B$28+Inputs!$B$30,MAX(0,(Inputs!$B$3-100)*3)+Inputs!$B$29+Inputs!$B$30)))</f>
        <v/>
      </c>
      <c r="E795">
        <f>INDEX(FactorTable!$B$2:$Y$301, MATCH(ROUND(MIN(300,MAX(1,D795)),0), FactorTable!$A$2:$A$301,0), Skills!L13+1)</f>
        <v/>
      </c>
      <c r="F795">
        <f>IF(Skills!M13=TRUE,(Skills!K13/10)*(E795/1000),Skills!K13/10)+Skills!N13</f>
        <v/>
      </c>
      <c r="G795">
        <f>Calc!G13</f>
        <v/>
      </c>
      <c r="H795">
        <f>Calc!H13</f>
        <v/>
      </c>
      <c r="I795">
        <f>IF(Skills!T13&lt;&gt;"",1+(Skills!T13/10)*($Z$3/1000)/100,1)</f>
        <v/>
      </c>
      <c r="J795" t="inlineStr"/>
      <c r="K795" t="inlineStr"/>
      <c r="L795" t="inlineStr"/>
      <c r="M795" t="inlineStr"/>
      <c r="N795" t="inlineStr"/>
      <c r="O795">
        <f>(1-Summary!$B$48)*S795+Summary!$B$48*U795</f>
        <v/>
      </c>
      <c r="P795">
        <f>IF(B824=0,0,O795/B824)</f>
        <v/>
      </c>
      <c r="Q795">
        <f>IFERROR(1/IF(Inputs!$B$39="pvp",15,MAX(0.1,Skills!D13-IF(Skills!E13=TRUE,Inputs!$B$33,0))),0)</f>
        <v/>
      </c>
      <c r="R795">
        <f>IF(AND(Inputs!$B$39&lt;&gt;"pvp",Inputs!$B$44&gt;0),IF(MAX(0,Inputs!$B$44-B821)&lt;=0,0,(INT(MAX(0,Inputs!$B$44-B821)/IF(Inputs!$B$39="pvp",15,MAX(0.1,Skills!D13-IF(Skills!E13=TRUE,Inputs!$B$33,0))))+1)),0)</f>
        <v/>
      </c>
      <c r="S795" t="n">
        <v>0</v>
      </c>
      <c r="U795" t="n">
        <v>0</v>
      </c>
    </row>
    <row r="796">
      <c r="A796">
        <f>Skills!A14</f>
        <v/>
      </c>
      <c r="B796">
        <f>Skills!B14</f>
        <v/>
      </c>
      <c r="C796">
        <f>Inputs!$B$3&gt;=107</f>
        <v/>
      </c>
      <c r="D796">
        <f>IF(Skills!C14=1,60+(Inputs!$B$26+1)+Inputs!$B$30,IF(Skills!C14=2,90+Inputs!$B$27+Inputs!$B$30,IF(Skills!C14=3,120+Inputs!$B$28+Inputs!$B$30,MAX(0,(Inputs!$B$3-100)*3)+Inputs!$B$29+Inputs!$B$30)))</f>
        <v/>
      </c>
      <c r="E796">
        <f>INDEX(FactorTable!$B$2:$Y$301, MATCH(ROUND(MIN(300,MAX(1,D796)),0), FactorTable!$A$2:$A$301,0), Skills!L14+1)</f>
        <v/>
      </c>
      <c r="F796">
        <f>IF(Skills!M14=TRUE,(Skills!K14/10)*(E796/1000),Skills!K14/10)+Skills!N14</f>
        <v/>
      </c>
      <c r="G796">
        <f>Calc!G14</f>
        <v/>
      </c>
      <c r="H796">
        <f>Calc!H14</f>
        <v/>
      </c>
      <c r="I796">
        <f>IF(Skills!T14&lt;&gt;"",1+(Skills!T14/10)*($Z$3/1000)/100,1)</f>
        <v/>
      </c>
      <c r="J796" t="inlineStr"/>
      <c r="K796" t="inlineStr"/>
      <c r="L796" t="inlineStr"/>
      <c r="M796" t="inlineStr"/>
      <c r="N796" t="inlineStr"/>
      <c r="O796">
        <f>(1-Summary!$B$48)*S796+Summary!$B$48*U796</f>
        <v/>
      </c>
      <c r="P796">
        <f>IF(B824=0,0,O796/B824)</f>
        <v/>
      </c>
      <c r="Q796">
        <f>IFERROR(1/IF(Inputs!$B$39="pvp",15,MAX(0.1,Skills!D14-IF(Skills!E14=TRUE,Inputs!$B$33,0))),0)</f>
        <v/>
      </c>
      <c r="R796">
        <f>IF(AND(Inputs!$B$39&lt;&gt;"pvp",Inputs!$B$44&gt;0),IF(Inputs!$B$44&lt;=0,0,(INT(Inputs!$B$44/IF(Inputs!$B$39="pvp",15,MAX(0.1,Skills!D14-IF(Skills!E14=TRUE,Inputs!$B$33,0))))+1)),0)</f>
        <v/>
      </c>
      <c r="S796" t="n">
        <v>0</v>
      </c>
      <c r="U796" t="n">
        <v>0</v>
      </c>
    </row>
    <row r="797">
      <c r="A797">
        <f>Skills!A15</f>
        <v/>
      </c>
      <c r="B797">
        <f>Skills!B15</f>
        <v/>
      </c>
      <c r="C797">
        <f>Inputs!$B$3&gt;=63</f>
        <v/>
      </c>
      <c r="D797">
        <f>IF(Skills!C15=1,60+(Inputs!$B$26+1)+Inputs!$B$30,IF(Skills!C15=2,90+Inputs!$B$27+Inputs!$B$30,IF(Skills!C15=3,120+Inputs!$B$28+Inputs!$B$30,MAX(0,(Inputs!$B$3-100)*3)+Inputs!$B$29+Inputs!$B$30)))</f>
        <v/>
      </c>
      <c r="E797">
        <f>INDEX(FactorTable!$B$2:$Y$301, MATCH(ROUND(MIN(300,MAX(1,D797)),0), FactorTable!$A$2:$A$301,0), Skills!L15+1)</f>
        <v/>
      </c>
      <c r="F797">
        <f>IF(Skills!M15=TRUE,(Skills!K15/10)*(E797/1000),Skills!K15/10)+Skills!N15</f>
        <v/>
      </c>
      <c r="G797">
        <f>Calc!G15</f>
        <v/>
      </c>
      <c r="H797">
        <f>Calc!H15</f>
        <v/>
      </c>
      <c r="I797">
        <f>IF(Skills!T15&lt;&gt;"",1+(Skills!T15/10)*($Z$3/1000)/100,1)</f>
        <v/>
      </c>
      <c r="J797">
        <f>((Inputs!$B$6*(1+Inputs!$B$7/100))+(((Inputs!$B$13*(1+Inputs!$B$14/100))-(Inputs!$B$13*(1+Inputs!$B$14/100)))+0.25*(Inputs!$B$15-Inputs!$B$15))*(1+Inputs!$B$7/100))*(F797/100)</f>
        <v/>
      </c>
      <c r="K797">
        <f>J797*(1+(((Inputs!$B$13+IF(Inputs!$B$3&gt;=35,(10*INDEX(FactorTable!$B$2:$Y$301, MATCH(ROUND(MIN(300,MAX(1,Inputs!$B$3)),0), FactorTable!$A$2:$A$301,0), 23)/1000)/100*(Inputs!$B$8*(1+(Inputs!$B$9+B820)/100)),0))*(1+Inputs!$B$14/100))*0.01+Inputs!$B$15*0.0025)/100)*(1+(Inputs!$B$16+B814)/100)*(1+Inputs!$B$17/100)*(5000/(6000+Inputs!$B$43*(1-Inputs!$B$20/100)))*(1+Inputs!$B$25/100)*(1+IF(C800=TRUE,F800,0)/100)*(1+IF(C802=TRUE,F802,0)/100)*(1+IF(Skills!A15="TRIUMPH_FEATHER",IF(C798=TRUE,F798,0),0)/100)*(1+IF(C809=TRUE,F809,0)/100)^5*(1+(IF(Skills!A15="BIG_BANG",Inputs!$B$18,Inputs!$B$19))/100)*(B811*I797)</f>
        <v/>
      </c>
      <c r="L797">
        <f>K797*(MIN(Inputs!$B$23+(F804-Calc!F22),Inputs!$B$24)/100+Inputs!$B$24/100)/2</f>
        <v/>
      </c>
      <c r="M797">
        <f>L797*(1+(Inputs!$B$11+B815+(F807-Calc!F25))/100)</f>
        <v/>
      </c>
      <c r="N797">
        <f>L797*(1-MIN(Inputs!$B$10+((F806-Calc!F24)+(F805-Calc!F23)),100)/100)+M797*(MIN(Inputs!$B$10+((F806-Calc!F24)+(F805-Calc!F23)),100)/100)</f>
        <v/>
      </c>
      <c r="O797">
        <f>(1-Summary!$B$48)*S797+Summary!$B$48*U797</f>
        <v/>
      </c>
      <c r="P797">
        <f>IF(B824=0,0,O797/B824)</f>
        <v/>
      </c>
      <c r="Q797">
        <f>IFERROR(1/IF(Inputs!$B$39="pvp",15,MAX(0.1,Skills!D15-IF(Skills!E15=TRUE,Inputs!$B$33,0))),0)</f>
        <v/>
      </c>
      <c r="R797" t="n">
        <v>0</v>
      </c>
      <c r="S797">
        <f>IF(C797,(Skills!F15*N797*((IF(Inputs!$B$3&gt;=78,25,15)/100*B817*10)/(1+IF(Inputs!$B$3&gt;=78,25,15)/100*B817*10))*(Skills!I15/100*B817)/(1+Skills!G15*Skills!I15/100*B817))*IF(Inputs!$B$39="pvp",1,1+(Inputs!$B$21+Skills!O15+B812)/100),0)</f>
        <v/>
      </c>
      <c r="U797">
        <f>IF(C797,(Skills!F15*N797*((IF(Inputs!$B$3&gt;=78,25,15)/100*B817*10)/(1+IF(Inputs!$B$3&gt;=78,25,15)/100*B817*10))*(Skills!I15/100*B817)/(1+Skills!G15*Skills!I15/100*B817))*IF(Inputs!$B$39="pvp",1,(1+(Inputs!$B$22+Skills!P15+B813)/100)*(MIN(Skills!Q15,Inputs!$B$38))),0)</f>
        <v/>
      </c>
    </row>
    <row r="798">
      <c r="A798">
        <f>Skills!A16</f>
        <v/>
      </c>
      <c r="B798">
        <f>Skills!B16</f>
        <v/>
      </c>
      <c r="C798">
        <f>Inputs!$B$3&gt;=100</f>
        <v/>
      </c>
      <c r="D798">
        <f>IF(Skills!C16=1,60+(Inputs!$B$26+1)+Inputs!$B$30,IF(Skills!C16=2,90+Inputs!$B$27+Inputs!$B$30,IF(Skills!C16=3,120+Inputs!$B$28+Inputs!$B$30,MAX(0,(Inputs!$B$3-100)*3)+Inputs!$B$29+Inputs!$B$30)))</f>
        <v/>
      </c>
      <c r="E798">
        <f>INDEX(FactorTable!$B$2:$Y$301, MATCH(ROUND(MIN(300,MAX(1,D798)),0), FactorTable!$A$2:$A$301,0), Skills!L16+1)</f>
        <v/>
      </c>
      <c r="F798">
        <f>IF(Skills!M16=TRUE,(Skills!K16/10)*(E798/1000),Skills!K16/10)+Skills!N16</f>
        <v/>
      </c>
      <c r="G798">
        <f>Calc!G16</f>
        <v/>
      </c>
      <c r="H798">
        <f>Calc!H16</f>
        <v/>
      </c>
      <c r="I798">
        <f>IF(Skills!T16&lt;&gt;"",1+(Skills!T16/10)*($Z$3/1000)/100,1)</f>
        <v/>
      </c>
      <c r="J798" t="inlineStr"/>
      <c r="K798" t="inlineStr"/>
      <c r="L798" t="inlineStr"/>
      <c r="M798" t="inlineStr"/>
      <c r="N798" t="inlineStr"/>
      <c r="O798">
        <f>(1-Summary!$B$48)*S798+Summary!$B$48*U798</f>
        <v/>
      </c>
      <c r="P798">
        <f>IF(B824=0,0,O798/B824)</f>
        <v/>
      </c>
      <c r="Q798">
        <f>IFERROR(1/IF(Inputs!$B$39="pvp",15,MAX(0.1,Skills!D16-IF(Skills!E16=TRUE,Inputs!$B$33,0))),0)</f>
        <v/>
      </c>
      <c r="R798" t="n">
        <v>0</v>
      </c>
      <c r="S798" t="n">
        <v>0</v>
      </c>
      <c r="U798" t="n">
        <v>0</v>
      </c>
    </row>
    <row r="799">
      <c r="A799">
        <f>Skills!A17</f>
        <v/>
      </c>
      <c r="B799">
        <f>Skills!B17</f>
        <v/>
      </c>
      <c r="C799">
        <f>Inputs!$B$3&gt;=49</f>
        <v/>
      </c>
      <c r="D799">
        <f>IF(Skills!C17=1,60+(Inputs!$B$26+1)+Inputs!$B$30,IF(Skills!C17=2,90+Inputs!$B$27+Inputs!$B$30,IF(Skills!C17=3,120+Inputs!$B$28+Inputs!$B$30,MAX(0,(Inputs!$B$3-100)*3)+Inputs!$B$29+Inputs!$B$30)))</f>
        <v/>
      </c>
      <c r="E799">
        <f>INDEX(FactorTable!$B$2:$Y$301, MATCH(ROUND(MIN(300,MAX(1,D799)),0), FactorTable!$A$2:$A$301,0), Skills!L17+1)</f>
        <v/>
      </c>
      <c r="F799">
        <f>IF(Skills!M17=TRUE,(Skills!K17/10)*(E799/1000),Skills!K17/10)+Skills!N17</f>
        <v/>
      </c>
      <c r="G799">
        <f>Calc!G17</f>
        <v/>
      </c>
      <c r="H799">
        <f>Calc!H17</f>
        <v/>
      </c>
      <c r="I799">
        <f>IF(Skills!T17&lt;&gt;"",1+(Skills!T17/10)*($Z$3/1000)/100,1)</f>
        <v/>
      </c>
      <c r="J799" t="inlineStr"/>
      <c r="K799" t="inlineStr"/>
      <c r="L799" t="inlineStr"/>
      <c r="M799" t="inlineStr"/>
      <c r="N799" t="inlineStr"/>
      <c r="O799">
        <f>(1-Summary!$B$48)*S799+Summary!$B$48*U799</f>
        <v/>
      </c>
      <c r="P799">
        <f>IF(B824=0,0,O799/B824)</f>
        <v/>
      </c>
      <c r="Q799">
        <f>IFERROR(1/IF(Inputs!$B$39="pvp",15,MAX(0.1,Skills!D17-IF(Skills!E17=TRUE,Inputs!$B$33,0))),0)</f>
        <v/>
      </c>
      <c r="R799" t="n">
        <v>0</v>
      </c>
      <c r="S799" t="n">
        <v>0</v>
      </c>
      <c r="U799" t="n">
        <v>0</v>
      </c>
    </row>
    <row r="800">
      <c r="A800">
        <f>Skills!A18</f>
        <v/>
      </c>
      <c r="B800">
        <f>Skills!B18</f>
        <v/>
      </c>
      <c r="C800">
        <f>Inputs!$B$3&gt;=75</f>
        <v/>
      </c>
      <c r="D800">
        <f>IF(Skills!C18=1,60+(Inputs!$B$26+1)+Inputs!$B$30,IF(Skills!C18=2,90+Inputs!$B$27+Inputs!$B$30,IF(Skills!C18=3,120+Inputs!$B$28+Inputs!$B$30,MAX(0,(Inputs!$B$3-100)*3)+Inputs!$B$29+Inputs!$B$30)))</f>
        <v/>
      </c>
      <c r="E800">
        <f>INDEX(FactorTable!$B$2:$Y$301, MATCH(ROUND(MIN(300,MAX(1,D800)),0), FactorTable!$A$2:$A$301,0), Skills!L18+1)</f>
        <v/>
      </c>
      <c r="F800">
        <f>IF(Skills!M18=TRUE,(Skills!K18/10)*(E800/1000),Skills!K18/10)+Skills!N18</f>
        <v/>
      </c>
      <c r="G800">
        <f>Calc!G18</f>
        <v/>
      </c>
      <c r="H800">
        <f>Calc!H18</f>
        <v/>
      </c>
      <c r="I800">
        <f>IF(Skills!T18&lt;&gt;"",1+(Skills!T18/10)*($Z$3/1000)/100,1)</f>
        <v/>
      </c>
      <c r="J800" t="inlineStr"/>
      <c r="K800" t="inlineStr"/>
      <c r="L800" t="inlineStr"/>
      <c r="M800" t="inlineStr"/>
      <c r="N800" t="inlineStr"/>
      <c r="O800">
        <f>(1-Summary!$B$48)*S800+Summary!$B$48*U800</f>
        <v/>
      </c>
      <c r="P800">
        <f>IF(B824=0,0,O800/B824)</f>
        <v/>
      </c>
      <c r="Q800">
        <f>IFERROR(1/IF(Inputs!$B$39="pvp",15,MAX(0.1,Skills!D18-IF(Skills!E18=TRUE,Inputs!$B$33,0))),0)</f>
        <v/>
      </c>
      <c r="R800" t="n">
        <v>0</v>
      </c>
      <c r="S800" t="n">
        <v>0</v>
      </c>
      <c r="U800" t="n">
        <v>0</v>
      </c>
    </row>
    <row r="801">
      <c r="A801">
        <f>Skills!A19</f>
        <v/>
      </c>
      <c r="B801">
        <f>Skills!B19</f>
        <v/>
      </c>
      <c r="C801">
        <f>Inputs!$B$3&gt;=110</f>
        <v/>
      </c>
      <c r="D801">
        <f>IF(Skills!C19=1,60+(Inputs!$B$26+1)+Inputs!$B$30,IF(Skills!C19=2,90+Inputs!$B$27+Inputs!$B$30,IF(Skills!C19=3,120+Inputs!$B$28+Inputs!$B$30,MAX(0,(Inputs!$B$3-100)*3)+Inputs!$B$29+Inputs!$B$30)))</f>
        <v/>
      </c>
      <c r="E801">
        <f>INDEX(FactorTable!$B$2:$Y$301, MATCH(ROUND(MIN(300,MAX(1,D801)),0), FactorTable!$A$2:$A$301,0), Skills!L19+1)</f>
        <v/>
      </c>
      <c r="F801">
        <f>(Skills!K19/10)*(E801/1000)*64/45+Skills!N19</f>
        <v/>
      </c>
      <c r="G801">
        <f>Calc!G19</f>
        <v/>
      </c>
      <c r="H801">
        <f>Calc!H19</f>
        <v/>
      </c>
      <c r="I801">
        <f>IF(Skills!T19&lt;&gt;"",1+(Skills!T19/10)*($Z$3/1000)/100,1)</f>
        <v/>
      </c>
      <c r="J801" t="inlineStr"/>
      <c r="K801" t="inlineStr"/>
      <c r="L801" t="inlineStr"/>
      <c r="M801" t="inlineStr"/>
      <c r="N801" t="inlineStr"/>
      <c r="O801">
        <f>(1-Summary!$B$48)*S801+Summary!$B$48*U801</f>
        <v/>
      </c>
      <c r="P801">
        <f>IF(B824=0,0,O801/B824)</f>
        <v/>
      </c>
      <c r="Q801">
        <f>IFERROR(1/IF(Inputs!$B$39="pvp",15,MAX(0.1,Skills!D19-IF(Skills!E19=TRUE,Inputs!$B$33,0))),0)</f>
        <v/>
      </c>
      <c r="R801">
        <f>IF(AND(Inputs!$B$39&lt;&gt;"pvp",Inputs!$B$44&gt;0),IF(Inputs!$B$44&lt;=0,0,(INT(Inputs!$B$44/IF(Inputs!$B$39="pvp",15,MAX(0.1,Skills!D19-IF(Skills!E19=TRUE,Inputs!$B$33,0))))+1)),0)</f>
        <v/>
      </c>
      <c r="S801" t="n">
        <v>0</v>
      </c>
      <c r="U801" t="n">
        <v>0</v>
      </c>
    </row>
    <row r="802">
      <c r="A802">
        <f>Skills!A20</f>
        <v/>
      </c>
      <c r="B802">
        <f>Skills!B20</f>
        <v/>
      </c>
      <c r="C802">
        <f>Inputs!$B$3&gt;=125</f>
        <v/>
      </c>
      <c r="D802">
        <f>IF(Skills!C20=1,60+(Inputs!$B$26+1)+Inputs!$B$30,IF(Skills!C20=2,90+Inputs!$B$27+Inputs!$B$30,IF(Skills!C20=3,120+Inputs!$B$28+Inputs!$B$30,MAX(0,(Inputs!$B$3-100)*3)+Inputs!$B$29+Inputs!$B$30)))</f>
        <v/>
      </c>
      <c r="E802">
        <f>INDEX(FactorTable!$B$2:$Y$301, MATCH(ROUND(MIN(300,MAX(1,D802)),0), FactorTable!$A$2:$A$301,0), Skills!L20+1)</f>
        <v/>
      </c>
      <c r="F802">
        <f>IF(Skills!M20=TRUE,(Skills!K20/10)*(E802/1000),Skills!K20/10)+Skills!N20</f>
        <v/>
      </c>
      <c r="G802">
        <f>Calc!G20</f>
        <v/>
      </c>
      <c r="H802">
        <f>Calc!H20</f>
        <v/>
      </c>
      <c r="I802">
        <f>IF(Skills!T20&lt;&gt;"",1+(Skills!T20/10)*($Z$3/1000)/100,1)</f>
        <v/>
      </c>
      <c r="J802" t="inlineStr"/>
      <c r="K802" t="inlineStr"/>
      <c r="L802" t="inlineStr"/>
      <c r="M802" t="inlineStr"/>
      <c r="N802" t="inlineStr"/>
      <c r="O802">
        <f>(1-Summary!$B$48)*S802+Summary!$B$48*U802</f>
        <v/>
      </c>
      <c r="P802">
        <f>IF(B824=0,0,O802/B824)</f>
        <v/>
      </c>
      <c r="Q802">
        <f>IFERROR(1/IF(Inputs!$B$39="pvp",15,MAX(0.1,Skills!D20-IF(Skills!E20=TRUE,Inputs!$B$33,0))),0)</f>
        <v/>
      </c>
      <c r="R802" t="n">
        <v>0</v>
      </c>
      <c r="S802" t="n">
        <v>0</v>
      </c>
      <c r="U802" t="n">
        <v>0</v>
      </c>
    </row>
    <row r="803">
      <c r="A803">
        <f>Skills!A21</f>
        <v/>
      </c>
      <c r="B803">
        <f>Skills!B21</f>
        <v/>
      </c>
      <c r="C803">
        <f>Inputs!$B$3&gt;=33</f>
        <v/>
      </c>
      <c r="D803">
        <f>IF(Skills!C21=1,60+(Inputs!$B$26+1)+Inputs!$B$30,IF(Skills!C21=2,90+Inputs!$B$27+Inputs!$B$30,IF(Skills!C21=3,120+Inputs!$B$28+Inputs!$B$30,MAX(0,(Inputs!$B$3-100)*3)+Inputs!$B$29+Inputs!$B$30)))</f>
        <v/>
      </c>
      <c r="E803">
        <f>INDEX(FactorTable!$B$2:$Y$301, MATCH(ROUND(MIN(300,MAX(1,D803)),0), FactorTable!$A$2:$A$301,0), Skills!L21+1)</f>
        <v/>
      </c>
      <c r="F803">
        <f>IF(Skills!M21=TRUE,(Skills!K21/10)*(E803/1000),Skills!K21/10)+Skills!N21</f>
        <v/>
      </c>
      <c r="G803">
        <f>Calc!G21</f>
        <v/>
      </c>
      <c r="H803">
        <f>Calc!H21</f>
        <v/>
      </c>
      <c r="I803">
        <f>IF(Skills!T21&lt;&gt;"",1+(Skills!T21/10)*($Z$3/1000)/100,1)</f>
        <v/>
      </c>
      <c r="J803" t="inlineStr"/>
      <c r="K803" t="inlineStr"/>
      <c r="L803" t="inlineStr"/>
      <c r="M803" t="inlineStr"/>
      <c r="N803" t="inlineStr"/>
      <c r="O803">
        <f>(1-Summary!$B$48)*S803+Summary!$B$48*U803</f>
        <v/>
      </c>
      <c r="P803">
        <f>IF(B824=0,0,O803/B824)</f>
        <v/>
      </c>
      <c r="Q803">
        <f>IFERROR(1/IF(Inputs!$B$39="pvp",15,MAX(0.1,Skills!D21-IF(Skills!E21=TRUE,Inputs!$B$33,0))),0)</f>
        <v/>
      </c>
      <c r="R803" t="n">
        <v>0</v>
      </c>
      <c r="S803" t="n">
        <v>0</v>
      </c>
      <c r="U803" t="n">
        <v>0</v>
      </c>
    </row>
    <row r="804">
      <c r="A804">
        <f>Skills!A22</f>
        <v/>
      </c>
      <c r="B804">
        <f>Skills!B22</f>
        <v/>
      </c>
      <c r="C804">
        <f>Inputs!$B$3&gt;=43</f>
        <v/>
      </c>
      <c r="D804">
        <f>IF(Skills!C22=1,60+(Inputs!$B$26+1)+Inputs!$B$30,IF(Skills!C22=2,90+Inputs!$B$27+Inputs!$B$30,IF(Skills!C22=3,120+Inputs!$B$28+Inputs!$B$30,MAX(0,(Inputs!$B$3-100)*3)+Inputs!$B$29+Inputs!$B$30)))</f>
        <v/>
      </c>
      <c r="E804">
        <f>INDEX(FactorTable!$B$2:$Y$301, MATCH(ROUND(MIN(300,MAX(1,D804)),0), FactorTable!$A$2:$A$301,0), Skills!L22+1)</f>
        <v/>
      </c>
      <c r="F804">
        <f>IF(Skills!M22=TRUE,(Skills!K22/10)*(E804/1000),Skills!K22/10)+Skills!N22</f>
        <v/>
      </c>
      <c r="G804">
        <f>Calc!G22</f>
        <v/>
      </c>
      <c r="H804">
        <f>Calc!H22</f>
        <v/>
      </c>
      <c r="I804">
        <f>IF(Skills!T22&lt;&gt;"",1+(Skills!T22/10)*($Z$3/1000)/100,1)</f>
        <v/>
      </c>
      <c r="J804" t="inlineStr"/>
      <c r="K804" t="inlineStr"/>
      <c r="L804" t="inlineStr"/>
      <c r="M804" t="inlineStr"/>
      <c r="N804" t="inlineStr"/>
      <c r="O804">
        <f>(1-Summary!$B$48)*S804+Summary!$B$48*U804</f>
        <v/>
      </c>
      <c r="P804">
        <f>IF(B824=0,0,O804/B824)</f>
        <v/>
      </c>
      <c r="Q804">
        <f>IFERROR(1/IF(Inputs!$B$39="pvp",15,MAX(0.1,Skills!D22-IF(Skills!E22=TRUE,Inputs!$B$33,0))),0)</f>
        <v/>
      </c>
      <c r="R804" t="n">
        <v>0</v>
      </c>
      <c r="S804" t="n">
        <v>0</v>
      </c>
      <c r="U804" t="n">
        <v>0</v>
      </c>
    </row>
    <row r="805">
      <c r="A805">
        <f>Skills!A23</f>
        <v/>
      </c>
      <c r="B805">
        <f>Skills!B23</f>
        <v/>
      </c>
      <c r="C805">
        <f>Inputs!$B$3&gt;=50</f>
        <v/>
      </c>
      <c r="D805">
        <f>IF(Skills!C23=1,60+(Inputs!$B$26+1)+Inputs!$B$30,IF(Skills!C23=2,90+Inputs!$B$27+Inputs!$B$30,IF(Skills!C23=3,120+Inputs!$B$28+Inputs!$B$30,MAX(0,(Inputs!$B$3-100)*3)+Inputs!$B$29+Inputs!$B$30)))</f>
        <v/>
      </c>
      <c r="E805">
        <f>INDEX(FactorTable!$B$2:$Y$301, MATCH(ROUND(MIN(300,MAX(1,D805)),0), FactorTable!$A$2:$A$301,0), Skills!L23+1)</f>
        <v/>
      </c>
      <c r="F805">
        <f>IF(Skills!M23=TRUE,(Skills!K23/10)*(E805/1000),Skills!K23/10)+Skills!N23</f>
        <v/>
      </c>
      <c r="G805">
        <f>Calc!G23</f>
        <v/>
      </c>
      <c r="H805">
        <f>Calc!H23</f>
        <v/>
      </c>
      <c r="I805">
        <f>IF(Skills!T23&lt;&gt;"",1+(Skills!T23/10)*($Z$3/1000)/100,1)</f>
        <v/>
      </c>
      <c r="J805" t="inlineStr"/>
      <c r="K805" t="inlineStr"/>
      <c r="L805" t="inlineStr"/>
      <c r="M805" t="inlineStr"/>
      <c r="N805" t="inlineStr"/>
      <c r="O805">
        <f>(1-Summary!$B$48)*S805+Summary!$B$48*U805</f>
        <v/>
      </c>
      <c r="P805">
        <f>IF(B824=0,0,O805/B824)</f>
        <v/>
      </c>
      <c r="Q805">
        <f>IFERROR(1/IF(Inputs!$B$39="pvp",15,MAX(0.1,Skills!D23-IF(Skills!E23=TRUE,Inputs!$B$33,0))),0)</f>
        <v/>
      </c>
      <c r="R805" t="n">
        <v>0</v>
      </c>
      <c r="S805" t="n">
        <v>0</v>
      </c>
      <c r="U805" t="n">
        <v>0</v>
      </c>
    </row>
    <row r="806">
      <c r="A806">
        <f>Skills!A24</f>
        <v/>
      </c>
      <c r="B806">
        <f>Skills!B24</f>
        <v/>
      </c>
      <c r="C806">
        <f>Inputs!$B$3&gt;=74</f>
        <v/>
      </c>
      <c r="D806">
        <f>IF(Skills!C24=1,60+(Inputs!$B$26+1)+Inputs!$B$30,IF(Skills!C24=2,90+Inputs!$B$27+Inputs!$B$30,IF(Skills!C24=3,120+Inputs!$B$28+Inputs!$B$30,MAX(0,(Inputs!$B$3-100)*3)+Inputs!$B$29+Inputs!$B$30)))</f>
        <v/>
      </c>
      <c r="E806">
        <f>INDEX(FactorTable!$B$2:$Y$301, MATCH(ROUND(MIN(300,MAX(1,D806)),0), FactorTable!$A$2:$A$301,0), Skills!L24+1)</f>
        <v/>
      </c>
      <c r="F806">
        <f>IF(Skills!M24=TRUE,(Skills!K24/10)*(E806/1000),Skills!K24/10)+Skills!N24</f>
        <v/>
      </c>
      <c r="G806">
        <f>Calc!G24</f>
        <v/>
      </c>
      <c r="H806">
        <f>Calc!H24</f>
        <v/>
      </c>
      <c r="I806">
        <f>IF(Skills!T24&lt;&gt;"",1+(Skills!T24/10)*($Z$3/1000)/100,1)</f>
        <v/>
      </c>
      <c r="J806" t="inlineStr"/>
      <c r="K806" t="inlineStr"/>
      <c r="L806" t="inlineStr"/>
      <c r="M806" t="inlineStr"/>
      <c r="N806" t="inlineStr"/>
      <c r="O806">
        <f>(1-Summary!$B$48)*S806+Summary!$B$48*U806</f>
        <v/>
      </c>
      <c r="P806">
        <f>IF(B824=0,0,O806/B824)</f>
        <v/>
      </c>
      <c r="Q806">
        <f>IFERROR(1/IF(Inputs!$B$39="pvp",15,MAX(0.1,Skills!D24-IF(Skills!E24=TRUE,Inputs!$B$33,0))),0)</f>
        <v/>
      </c>
      <c r="R806" t="n">
        <v>0</v>
      </c>
      <c r="S806" t="n">
        <v>0</v>
      </c>
      <c r="U806" t="n">
        <v>0</v>
      </c>
    </row>
    <row r="807">
      <c r="A807">
        <f>Skills!A25</f>
        <v/>
      </c>
      <c r="B807">
        <f>Skills!B25</f>
        <v/>
      </c>
      <c r="C807">
        <f>Inputs!$B$3&gt;=74</f>
        <v/>
      </c>
      <c r="D807">
        <f>IF(Skills!C25=1,60+(Inputs!$B$26+1)+Inputs!$B$30,IF(Skills!C25=2,90+Inputs!$B$27+Inputs!$B$30,IF(Skills!C25=3,120+Inputs!$B$28+Inputs!$B$30,MAX(0,(Inputs!$B$3-100)*3)+Inputs!$B$29+Inputs!$B$30)))</f>
        <v/>
      </c>
      <c r="E807">
        <f>INDEX(FactorTable!$B$2:$Y$301, MATCH(ROUND(MIN(300,MAX(1,D807)),0), FactorTable!$A$2:$A$301,0), Skills!L25+1)</f>
        <v/>
      </c>
      <c r="F807">
        <f>IF(Skills!M25=TRUE,(Skills!K25/10)*(E807/1000),Skills!K25/10)+Skills!N25</f>
        <v/>
      </c>
      <c r="G807">
        <f>Calc!G25</f>
        <v/>
      </c>
      <c r="H807">
        <f>Calc!H25</f>
        <v/>
      </c>
      <c r="I807">
        <f>IF(Skills!T25&lt;&gt;"",1+(Skills!T25/10)*($Z$3/1000)/100,1)</f>
        <v/>
      </c>
      <c r="J807" t="inlineStr"/>
      <c r="K807" t="inlineStr"/>
      <c r="L807" t="inlineStr"/>
      <c r="M807" t="inlineStr"/>
      <c r="N807" t="inlineStr"/>
      <c r="O807">
        <f>(1-Summary!$B$48)*S807+Summary!$B$48*U807</f>
        <v/>
      </c>
      <c r="P807">
        <f>IF(B824=0,0,O807/B824)</f>
        <v/>
      </c>
      <c r="Q807">
        <f>IFERROR(1/IF(Inputs!$B$39="pvp",15,MAX(0.1,Skills!D25-IF(Skills!E25=TRUE,Inputs!$B$33,0))),0)</f>
        <v/>
      </c>
      <c r="R807" t="n">
        <v>0</v>
      </c>
      <c r="S807" t="n">
        <v>0</v>
      </c>
      <c r="U807" t="n">
        <v>0</v>
      </c>
    </row>
    <row r="808">
      <c r="A808">
        <f>Skills!A26</f>
        <v/>
      </c>
      <c r="B808">
        <f>Skills!B26</f>
        <v/>
      </c>
      <c r="C808">
        <f>Inputs!$B$3&gt;=117</f>
        <v/>
      </c>
      <c r="D808">
        <f>IF(Skills!C26=1,60+(Inputs!$B$26+1)+Inputs!$B$30,IF(Skills!C26=2,90+Inputs!$B$27+Inputs!$B$30,IF(Skills!C26=3,120+Inputs!$B$28+Inputs!$B$30,MAX(0,(Inputs!$B$3-100)*3)+Inputs!$B$29+Inputs!$B$30)))</f>
        <v/>
      </c>
      <c r="E808">
        <f>INDEX(FactorTable!$B$2:$Y$301, MATCH(ROUND(MIN(300,MAX(1,D808)),0), FactorTable!$A$2:$A$301,0), Skills!L26+1)</f>
        <v/>
      </c>
      <c r="F808">
        <f>IF(Skills!M26=TRUE,(Skills!K26/10)*(E808/1000),Skills!K26/10)+Skills!N26</f>
        <v/>
      </c>
      <c r="G808">
        <f>Calc!G26</f>
        <v/>
      </c>
      <c r="H808">
        <f>Calc!H26</f>
        <v/>
      </c>
      <c r="I808">
        <f>IF(Skills!T26&lt;&gt;"",1+(Skills!T26/10)*($Z$3/1000)/100,1)</f>
        <v/>
      </c>
      <c r="J808" t="inlineStr"/>
      <c r="K808" t="inlineStr"/>
      <c r="L808" t="inlineStr"/>
      <c r="M808" t="inlineStr"/>
      <c r="N808" t="inlineStr"/>
      <c r="O808">
        <f>(1-Summary!$B$48)*S808+Summary!$B$48*U808</f>
        <v/>
      </c>
      <c r="P808">
        <f>IF(B824=0,0,O808/B824)</f>
        <v/>
      </c>
      <c r="Q808">
        <f>IFERROR(1/IF(Inputs!$B$39="pvp",15,MAX(0.1,Skills!D26-IF(Skills!E26=TRUE,Inputs!$B$33,0))),0)</f>
        <v/>
      </c>
      <c r="R808" t="n">
        <v>0</v>
      </c>
      <c r="S808" t="n">
        <v>0</v>
      </c>
      <c r="U808" t="n">
        <v>0</v>
      </c>
    </row>
    <row r="809">
      <c r="A809">
        <f>Skills!A27</f>
        <v/>
      </c>
      <c r="B809">
        <f>Skills!B27</f>
        <v/>
      </c>
      <c r="C809">
        <f>Inputs!$B$3&gt;=120</f>
        <v/>
      </c>
      <c r="D809">
        <f>IF(Skills!C27=1,60+(Inputs!$B$26+1)+Inputs!$B$30,IF(Skills!C27=2,90+Inputs!$B$27+Inputs!$B$30,IF(Skills!C27=3,120+Inputs!$B$28+Inputs!$B$30,MAX(0,(Inputs!$B$3-100)*3)+Inputs!$B$29+Inputs!$B$30)))</f>
        <v/>
      </c>
      <c r="E809">
        <f>INDEX(FactorTable!$B$2:$Y$301, MATCH(ROUND(MIN(300,MAX(1,D809)),0), FactorTable!$A$2:$A$301,0), Skills!L27+1)</f>
        <v/>
      </c>
      <c r="F809">
        <f>IF(Skills!M27=TRUE,(Skills!K27/10)*(E809/1000),Skills!K27/10)+Skills!N27</f>
        <v/>
      </c>
      <c r="G809">
        <f>Calc!G27</f>
        <v/>
      </c>
      <c r="H809">
        <f>Calc!H27</f>
        <v/>
      </c>
      <c r="I809">
        <f>IF(Skills!T27&lt;&gt;"",1+(Skills!T27/10)*($Z$3/1000)/100,1)</f>
        <v/>
      </c>
      <c r="J809" t="inlineStr"/>
      <c r="K809" t="inlineStr"/>
      <c r="L809" t="inlineStr"/>
      <c r="M809" t="inlineStr"/>
      <c r="N809" t="inlineStr"/>
      <c r="O809">
        <f>(1-Summary!$B$48)*S809+Summary!$B$48*U809</f>
        <v/>
      </c>
      <c r="P809">
        <f>IF(B824=0,0,O809/B824)</f>
        <v/>
      </c>
      <c r="Q809">
        <f>IFERROR(1/IF(Inputs!$B$39="pvp",15,MAX(0.1,Skills!D27-IF(Skills!E27=TRUE,Inputs!$B$33,0))),0)</f>
        <v/>
      </c>
      <c r="R809" t="n">
        <v>0</v>
      </c>
      <c r="S809" t="n">
        <v>0</v>
      </c>
      <c r="U809" t="n">
        <v>0</v>
      </c>
    </row>
    <row r="811">
      <c r="A811" t="inlineStr">
        <is>
          <t>Average Buff Multiplier</t>
        </is>
      </c>
      <c r="B811">
        <f>(1+(IF(C785=TRUE,F785*IF(AND(Inputs!$B$39&lt;&gt;"pvp",Inputs!$B$44&gt;0),(((R785-1)*(Skills!S3*(1+(Inputs!$B$35+IF(Inputs!$B$3&gt;=117,F808,0))/100))+MIN((Skills!S3*(1+(Inputs!$B$35+IF(Inputs!$B$3&gt;=117,F808,0))/100)),MAX(0,Inputs!$B$44-((R785-1)*Skills!D3))))/Inputs!$B$44),IF(Inputs!$B$39="pvp",MIN((Skills!S3*(1+(Inputs!$B$35+IF(Inputs!$B$3&gt;=117,F808,0))/100)),15)/15,(Skills!S3*(1+(Inputs!$B$35+IF(Inputs!$B$3&gt;=117,F808,0))/100))/Skills!D3)),0)+IF(C786=TRUE,F786*IF(AND(Inputs!$B$39&lt;&gt;"pvp",Inputs!$B$44&gt;0),(((R786-1)*(Skills!S4*(1+(Inputs!$B$35+IF(Inputs!$B$3&gt;=117,F808,0))/100))+MIN((Skills!S4*(1+(Inputs!$B$35+IF(Inputs!$B$3&gt;=117,F808,0))/100)),MAX(0,Inputs!$B$44-((R786-1)*Skills!D4))))/Inputs!$B$44),IF(Inputs!$B$39="pvp",MIN((Skills!S4*(1+(Inputs!$B$35+IF(Inputs!$B$3&gt;=117,F808,0))/100)),15)/15,(Skills!S4*(1+(Inputs!$B$35+IF(Inputs!$B$3&gt;=117,F808,0))/100))/Skills!D4)),0)+IF(C787=TRUE,F787*IF(AND(Inputs!$B$39&lt;&gt;"pvp",Inputs!$B$44&gt;0),(((R787-1)*(Skills!S5*(1+(Inputs!$B$35+IF(Inputs!$B$3&gt;=117,F808,0))/100))+MIN((Skills!S5*(1+(Inputs!$B$35+IF(Inputs!$B$3&gt;=117,F808,0))/100)),MAX(0,Inputs!$B$44-((R787-1)*Skills!D5))))/Inputs!$B$44),IF(Inputs!$B$39="pvp",MIN((Skills!S5*(1+(Inputs!$B$35+IF(Inputs!$B$3&gt;=117,F808,0))/100)),15)/15,(Skills!S5*(1+(Inputs!$B$35+IF(Inputs!$B$3&gt;=117,F808,0))/100))/Skills!D5)),0)+IF(C793=TRUE,F793*IF(AND(Inputs!$B$39&lt;&gt;"pvp",Inputs!$B$44&gt;0),(((R793-1)*(Skills!S11*(1+(Inputs!$B$35+IF(Inputs!$B$3&gt;=117,F808,0))/100))+MIN((Skills!S11*(1+(Inputs!$B$35+IF(Inputs!$B$3&gt;=117,F808,0))/100)),MAX(0,Inputs!$B$44-((R793-1)*Skills!D11))))/Inputs!$B$44),IF(Inputs!$B$39="pvp",MIN((Skills!S11*(1+(Inputs!$B$35+IF(Inputs!$B$3&gt;=117,F808,0))/100)),15)/15,(Skills!S11*(1+(Inputs!$B$35+IF(Inputs!$B$3&gt;=117,F808,0))/100))/Skills!D11)),0))/100)*IF(C796=TRUE,(1+F796*IF(AND(Inputs!$B$39&lt;&gt;"pvp",Inputs!$B$44&gt;0),(((R796-1)*(Skills!S14*(1+(Inputs!$B$35+IF(Inputs!$B$3&gt;=117,F808,0))/100))+MIN((Skills!S14*(1+(Inputs!$B$35+IF(Inputs!$B$3&gt;=117,F808,0))/100)),MAX(0,Inputs!$B$44-((R796-1)*Skills!D14))))/Inputs!$B$44),IF(Inputs!$B$39="pvp",MIN((Skills!S14*(1+(Inputs!$B$35+IF(Inputs!$B$3&gt;=117,F808,0))/100)),15)/15,(Skills!S14*(1+(Inputs!$B$35+IF(Inputs!$B$3&gt;=117,F808,0))/100))/Skills!D14))/100),1)*IF(C801=TRUE,(1+F801*IF(AND(Inputs!$B$39&lt;&gt;"pvp",Inputs!$B$44&gt;0),(((R801-1)*(Skills!S19*(1+(Inputs!$B$35+IF(Inputs!$B$3&gt;=117,F808,0))/100))+MIN((Skills!S19*(1+(Inputs!$B$35+IF(Inputs!$B$3&gt;=117,F808,0))/100)),MAX(0,Inputs!$B$44-((R801-1)*Skills!D19))))/Inputs!$B$44),IF(Inputs!$B$39="pvp",MIN((Skills!S19*(1+(Inputs!$B$35+IF(Inputs!$B$3&gt;=117,F808,0))/100)),15)/15,(Skills!S19*(1+(Inputs!$B$35+IF(Inputs!$B$3&gt;=117,F808,0))/100))/Skills!D19))/100),1)</f>
        <v/>
      </c>
    </row>
    <row r="812">
      <c r="A812" t="inlineStr">
        <is>
          <t>Monster Damage Taken Bonus % (Holy Fountain)</t>
        </is>
      </c>
      <c r="B812">
        <f>IF(Inputs!$B$3&gt;=68,20*IF(Inputs!$B$39="pvp",MIN((15*(1+(Inputs!$B$35+IF(Inputs!$B$3&gt;=117,F808,0))/100)),15)/15,(15*(1+(Inputs!$B$35+IF(Inputs!$B$3&gt;=117,F808,0))/100))/Skills!D10),0)</f>
        <v/>
      </c>
    </row>
    <row r="813">
      <c r="A813" t="inlineStr">
        <is>
          <t>Normal Monster Damage Bonus % (Holy Symbol)</t>
        </is>
      </c>
      <c r="B813">
        <f>IF(C794=TRUE,F794*IF(AND(Inputs!$B$39&lt;&gt;"pvp",Inputs!$B$44&gt;0),(((R794-1)*(Skills!S12*(1+(Inputs!$B$35+IF(Inputs!$B$3&gt;=117,F808,0))/100))+MIN((Skills!S12*(1+(Inputs!$B$35+IF(Inputs!$B$3&gt;=117,F808,0))/100)),MAX(0,Inputs!$B$44-((R794-1)*Skills!D12))))/Inputs!$B$44),IF(Inputs!$B$39="pvp",MIN((Skills!S12*(1+(Inputs!$B$35+IF(Inputs!$B$3&gt;=117,F808,0))/100)),15)/15,(Skills!S12*(1+(Inputs!$B$35+IF(Inputs!$B$3&gt;=117,F808,0))/100))/Skills!D12)),0)</f>
        <v/>
      </c>
    </row>
    <row r="814">
      <c r="A814" t="inlineStr">
        <is>
          <t>Damage % Bonus (Holy Symbol - Damage Boost)</t>
        </is>
      </c>
      <c r="B814">
        <f>Skills!O12</f>
        <v/>
      </c>
    </row>
    <row r="815">
      <c r="A815" t="inlineStr">
        <is>
          <t>Crit Damage % Bonus (Blood of the Divine)</t>
        </is>
      </c>
      <c r="B815">
        <f>4*IF(C802=TRUE,F802,0)</f>
        <v/>
      </c>
    </row>
    <row r="816">
      <c r="A816" t="inlineStr">
        <is>
          <t>Attack Speed Bonus %</t>
        </is>
      </c>
      <c r="B816">
        <f>IF(C799=TRUE,F799+(F803-Calc!F21),0)+IF(Inputs!$B$3&gt;=134,15,0)</f>
        <v/>
      </c>
    </row>
    <row r="817">
      <c r="A817" t="inlineStr">
        <is>
          <t>Actions Per Second</t>
        </is>
      </c>
      <c r="B817">
        <f>1+MIN(150,150*(1-(1-Inputs!$B$12/150)*(1-B816/150)))/100</f>
        <v/>
      </c>
    </row>
    <row r="818">
      <c r="A818" t="inlineStr">
        <is>
          <t>Skill + Buff Cast Rate</t>
        </is>
      </c>
      <c r="B818">
        <f>IF(AND(Inputs!$B$39&lt;&gt;"pvp",Inputs!$B$44&gt;0),SUMPRODUCT((Skills!E2:E27=TRUE)*(C784:C809=TRUE)*R784:R809)/Inputs!$B$44,SUMPRODUCT((Skills!E2:E27=TRUE)*(C784:C809=TRUE)*Q784:Q809))</f>
        <v/>
      </c>
    </row>
    <row r="819">
      <c r="A819" t="inlineStr">
        <is>
          <t>Big Bang Casts Per Second</t>
        </is>
      </c>
      <c r="B819">
        <f>MAX(0,B817-B818)</f>
        <v/>
      </c>
    </row>
    <row r="820">
      <c r="A820" t="inlineStr">
        <is>
          <t>Defense % Bonus (Divine Protection)</t>
        </is>
      </c>
      <c r="B820">
        <f>IF(C795=TRUE,F795*IF(AND(Inputs!$B$39&lt;&gt;"pvp",Inputs!$B$44&gt;0),(((R795-1)*(Skills!S13*(1+(Inputs!$B$35+IF(Inputs!$B$3&gt;=117,F808,0))/100))+MIN((Skills!S13*(1+(Inputs!$B$35+IF(Inputs!$B$3&gt;=117,F808,0))/100)),MAX(0,Inputs!$B$44-((R795-1)*Skills!D13))))/Inputs!$B$44),IF(Inputs!$B$39="pvp",MIN((Skills!S13*(1+(Inputs!$B$35+IF(Inputs!$B$3&gt;=117,F808,0))/100)),15)/15,(Skills!S13*(1+(Inputs!$B$35+IF(Inputs!$B$3&gt;=117,F808,0))/100))/Skills!D13)),0)</f>
        <v/>
      </c>
    </row>
    <row r="821">
      <c r="A821" t="inlineStr">
        <is>
          <t>Buff-Casting Startup Delay (s, fixed-duration only)</t>
        </is>
      </c>
      <c r="B821">
        <f>IF(AND(Inputs!$B$39&lt;&gt;"pvp",Inputs!$B$44&gt;0),SUMPRODUCT((Skills!S2:S27&gt;0)*(Skills!E2:E27=TRUE)*(C784:C809=TRUE))/B817,0)</f>
        <v/>
      </c>
    </row>
    <row r="822">
      <c r="A822" t="inlineStr">
        <is>
          <t>Boss-Only Total DPS (this block's swept value)</t>
        </is>
      </c>
      <c r="B822">
        <f>SUM(S784:S809)</f>
        <v/>
      </c>
    </row>
    <row r="823">
      <c r="A823" t="inlineStr">
        <is>
          <t>Normal-Only Total DPS (this block's swept value)</t>
        </is>
      </c>
      <c r="B823">
        <f>SUM(U784:U809)</f>
        <v/>
      </c>
    </row>
    <row r="824">
      <c r="A824" s="5" t="inlineStr">
        <is>
          <t>TOTAL DPS</t>
        </is>
      </c>
      <c r="B824" s="5">
        <f>SUM(O784:O809)</f>
        <v/>
      </c>
    </row>
    <row r="826">
      <c r="A826" s="5" t="inlineStr">
        <is>
          <t>Stat: Skill Level Bonus — 2nd Job</t>
        </is>
      </c>
    </row>
    <row r="827">
      <c r="A827" s="9" t="inlineStr">
        <is>
          <t>Key</t>
        </is>
      </c>
      <c r="B827" s="9" t="inlineStr">
        <is>
          <t>Name</t>
        </is>
      </c>
      <c r="C827" s="9" t="inlineStr">
        <is>
          <t>Unlocked</t>
        </is>
      </c>
      <c r="D827" s="9" t="inlineStr">
        <is>
          <t>InputLevel</t>
        </is>
      </c>
      <c r="E827" s="9" t="inlineStr">
        <is>
          <t>Factor</t>
        </is>
      </c>
      <c r="F827" s="9" t="inlineStr">
        <is>
          <t>CoefficientPercent</t>
        </is>
      </c>
      <c r="G827" s="9" t="inlineStr">
        <is>
          <t>EffectiveHits</t>
        </is>
      </c>
      <c r="H827" s="9" t="inlineStr">
        <is>
          <t>ProcProbability</t>
        </is>
      </c>
      <c r="I827" s="9" t="inlineStr">
        <is>
          <t>MapleHeroMultiplier</t>
        </is>
      </c>
      <c r="J827" s="9" t="inlineStr">
        <is>
          <t>BaseDamage</t>
        </is>
      </c>
      <c r="K827" s="9" t="inlineStr">
        <is>
          <t>BaseHitDamage</t>
        </is>
      </c>
      <c r="L827" s="9" t="inlineStr">
        <is>
          <t>NonCritAvg</t>
        </is>
      </c>
      <c r="M827" s="9" t="inlineStr">
        <is>
          <t>CritAvg</t>
        </is>
      </c>
      <c r="N827" s="9" t="inlineStr">
        <is>
          <t>ExpectedDamage(perHit)</t>
        </is>
      </c>
      <c r="O827" s="9" t="inlineStr">
        <is>
          <t>DPS</t>
        </is>
      </c>
      <c r="P827" s="9" t="inlineStr">
        <is>
          <t>% of Total</t>
        </is>
      </c>
      <c r="R827" t="inlineStr">
        <is>
          <t>helpers</t>
        </is>
      </c>
    </row>
    <row r="828">
      <c r="A828">
        <f>Skills!A2</f>
        <v/>
      </c>
      <c r="B828">
        <f>Skills!B2</f>
        <v/>
      </c>
      <c r="C828">
        <f>Inputs!$B$3&gt;=100</f>
        <v/>
      </c>
      <c r="D828" t="inlineStr"/>
      <c r="E828" t="inlineStr"/>
      <c r="F828">
        <f>T830+Skills!N2</f>
        <v/>
      </c>
      <c r="G828">
        <f>Calc!G2</f>
        <v/>
      </c>
      <c r="H828">
        <f>Calc!H2</f>
        <v/>
      </c>
      <c r="I828">
        <f>IF(Skills!T2&lt;&gt;"",1+(Skills!T2/10)*($Z$3/1000)/100,1)</f>
        <v/>
      </c>
      <c r="J828">
        <f>((Inputs!$B$6*(1+Inputs!$B$7/100))+(((Inputs!$B$13*(1+Inputs!$B$14/100))-(Inputs!$B$13*(1+Inputs!$B$14/100)))+0.25*(Inputs!$B$15-Inputs!$B$15))*(1+Inputs!$B$7/100))*(F828/100)</f>
        <v/>
      </c>
      <c r="K828">
        <f>J828*(1+(((Inputs!$B$13+IF(Inputs!$B$3&gt;=35,(10*INDEX(FactorTable!$B$2:$Y$301, MATCH(ROUND(MIN(300,MAX(1,Inputs!$B$3)),0), FactorTable!$A$2:$A$301,0), 23)/1000)/100*(Inputs!$B$8*(1+(Inputs!$B$9+B864)/100)),0))*(1+Inputs!$B$14/100))*0.01+Inputs!$B$15*0.0025)/100)*(1+(Inputs!$B$16+B858)/100)*(1+Inputs!$B$17/100)*(5000/(6000+Inputs!$B$43*(1-Inputs!$B$20/100)))*(1+Inputs!$B$25/100)*(1+IF(C844=TRUE,F844,0)/100)*(1+IF(C846=TRUE,F846,0)/100)*(1+IF(Skills!A2="TRIUMPH_FEATHER",IF(C842=TRUE,F842,0),0)/100)*(1+IF(C853=TRUE,F853,0)/100)^5*(1+(IF(Skills!A2="BIG_BANG",Inputs!$B$18,Inputs!$B$19))/100)*(B855*I828)</f>
        <v/>
      </c>
      <c r="L828">
        <f>K828*(MIN(Inputs!$B$23+(F848-Calc!F22),Inputs!$B$24)/100+Inputs!$B$24/100)/2</f>
        <v/>
      </c>
      <c r="M828">
        <f>L828*(1+(Inputs!$B$11+B859+(F851-Calc!F25))/100)</f>
        <v/>
      </c>
      <c r="N828">
        <f>L828*(1-MIN(Inputs!$B$10+((F850-Calc!F24)+(F849-Calc!F23)),100)/100)+M828*(MIN(Inputs!$B$10+((F850-Calc!F24)+(F849-Calc!F23)),100)/100)</f>
        <v/>
      </c>
      <c r="O828">
        <f>(1-Summary!$B$48)*S828+Summary!$B$48*U828</f>
        <v/>
      </c>
      <c r="P828">
        <f>IF(B868=0,0,O828/B868)</f>
        <v/>
      </c>
      <c r="Q828">
        <f>IFERROR(1/IF(Inputs!$B$39="pvp",15,MAX(0.1,Skills!D2-IF(Skills!E2=TRUE,Inputs!$B$33,0))),0)</f>
        <v/>
      </c>
      <c r="R828" t="n">
        <v>0</v>
      </c>
      <c r="S828">
        <f>IF(C828,(Skills!F2*N828*B863)*IF(Inputs!$B$39="pvp",1,1+(Inputs!$B$21+Skills!O2+B856)/100),0)</f>
        <v/>
      </c>
      <c r="T828">
        <f>MAX(0,(Inputs!$B$3-100)*3)+Inputs!$B$29+Inputs!$B$30</f>
        <v/>
      </c>
      <c r="U828">
        <f>IF(C828,(Skills!F2*N828*B863)*IF(Inputs!$B$39="pvp",1,(1+(Inputs!$B$22+Skills!P2+B857)/100)*(MIN((6+Inputs!$B$34),Inputs!$B$38))),0)</f>
        <v/>
      </c>
    </row>
    <row r="829">
      <c r="A829">
        <f>Skills!A3</f>
        <v/>
      </c>
      <c r="B829">
        <f>Skills!B3</f>
        <v/>
      </c>
      <c r="C829">
        <f>Inputs!$B$3&gt;=15</f>
        <v/>
      </c>
      <c r="D829">
        <f>IF(Skills!C3=1,60+Inputs!$B$26+Inputs!$B$30,IF(Skills!C3=2,90+(Inputs!$B$27+1)+Inputs!$B$30,IF(Skills!C3=3,120+Inputs!$B$28+Inputs!$B$30,MAX(0,(Inputs!$B$3-100)*3)+Inputs!$B$29+Inputs!$B$30)))</f>
        <v/>
      </c>
      <c r="E829">
        <f>INDEX(FactorTable!$B$2:$Y$301, MATCH(ROUND(MIN(300,MAX(1,D829)),0), FactorTable!$A$2:$A$301,0), Skills!L3+1)</f>
        <v/>
      </c>
      <c r="F829">
        <f>IF(Skills!M3=TRUE,(Skills!K3/10)*(E829/1000),Skills!K3/10)+Skills!N3</f>
        <v/>
      </c>
      <c r="G829">
        <f>Calc!G3</f>
        <v/>
      </c>
      <c r="H829">
        <f>Calc!H3</f>
        <v/>
      </c>
      <c r="I829">
        <f>IF(Skills!T3&lt;&gt;"",1+(Skills!T3/10)*($Z$3/1000)/100,1)</f>
        <v/>
      </c>
      <c r="J829" t="inlineStr"/>
      <c r="K829" t="inlineStr"/>
      <c r="L829" t="inlineStr"/>
      <c r="M829" t="inlineStr"/>
      <c r="N829" t="inlineStr"/>
      <c r="O829">
        <f>(1-Summary!$B$48)*S829+Summary!$B$48*U829</f>
        <v/>
      </c>
      <c r="P829">
        <f>IF(B868=0,0,O829/B868)</f>
        <v/>
      </c>
      <c r="Q829">
        <f>IFERROR(1/IF(Inputs!$B$39="pvp",15,MAX(0.1,Skills!D3-IF(Skills!E3=TRUE,Inputs!$B$33,0))),0)</f>
        <v/>
      </c>
      <c r="R829">
        <f>IF(AND(Inputs!$B$39&lt;&gt;"pvp",Inputs!$B$44&gt;0),IF(Inputs!$B$44&lt;=0,0,(INT(Inputs!$B$44/IF(Inputs!$B$39="pvp",15,MAX(0.1,Skills!D3-IF(Skills!E3=TRUE,Inputs!$B$33,0))))+1)),0)</f>
        <v/>
      </c>
      <c r="S829" t="n">
        <v>0</v>
      </c>
      <c r="T829">
        <f>INDEX(FactorTable!$B$2:$Y$301, MATCH(ROUND(MIN(300,MAX(1,T828)),0), FactorTable!$A$2:$A$301,0), 22)</f>
        <v/>
      </c>
      <c r="U829" t="n">
        <v>0</v>
      </c>
    </row>
    <row r="830">
      <c r="A830">
        <f>Skills!A4</f>
        <v/>
      </c>
      <c r="B830">
        <f>Skills!B4</f>
        <v/>
      </c>
      <c r="C830">
        <f>Inputs!$B$3&gt;=38</f>
        <v/>
      </c>
      <c r="D830">
        <f>IF(Skills!C4=1,60+Inputs!$B$26+Inputs!$B$30,IF(Skills!C4=2,90+(Inputs!$B$27+1)+Inputs!$B$30,IF(Skills!C4=3,120+Inputs!$B$28+Inputs!$B$30,MAX(0,(Inputs!$B$3-100)*3)+Inputs!$B$29+Inputs!$B$30)))</f>
        <v/>
      </c>
      <c r="E830">
        <f>INDEX(FactorTable!$B$2:$Y$301, MATCH(ROUND(MIN(300,MAX(1,D830)),0), FactorTable!$A$2:$A$301,0), Skills!L4+1)</f>
        <v/>
      </c>
      <c r="F830">
        <f>IF(Skills!M4=TRUE,(Skills!K4/10)*(E830/1000),Skills!K4/10)+Skills!N4</f>
        <v/>
      </c>
      <c r="G830">
        <f>Calc!G4</f>
        <v/>
      </c>
      <c r="H830">
        <f>Calc!H4</f>
        <v/>
      </c>
      <c r="I830">
        <f>IF(Skills!T4&lt;&gt;"",1+(Skills!T4/10)*($Z$3/1000)/100,1)</f>
        <v/>
      </c>
      <c r="J830" t="inlineStr"/>
      <c r="K830" t="inlineStr"/>
      <c r="L830" t="inlineStr"/>
      <c r="M830" t="inlineStr"/>
      <c r="N830" t="inlineStr"/>
      <c r="O830">
        <f>(1-Summary!$B$48)*S830+Summary!$B$48*U830</f>
        <v/>
      </c>
      <c r="P830">
        <f>IF(B868=0,0,O830/B868)</f>
        <v/>
      </c>
      <c r="Q830">
        <f>IFERROR(1/IF(Inputs!$B$39="pvp",15,MAX(0.1,Skills!D4-IF(Skills!E4=TRUE,Inputs!$B$33,0))),0)</f>
        <v/>
      </c>
      <c r="R830">
        <f>IF(AND(Inputs!$B$39&lt;&gt;"pvp",Inputs!$B$44&gt;0),IF(Inputs!$B$44&lt;=0,0,(INT(Inputs!$B$44/IF(Inputs!$B$39="pvp",15,MAX(0.1,Skills!D4-IF(Skills!E4=TRUE,Inputs!$B$33,0))))+1)),0)</f>
        <v/>
      </c>
      <c r="S830" t="n">
        <v>0</v>
      </c>
      <c r="T830">
        <f>290*T829/1000</f>
        <v/>
      </c>
      <c r="U830" t="n">
        <v>0</v>
      </c>
    </row>
    <row r="831">
      <c r="A831">
        <f>Skills!A5</f>
        <v/>
      </c>
      <c r="B831">
        <f>Skills!B5</f>
        <v/>
      </c>
      <c r="C831">
        <f>Inputs!$B$3&gt;=40</f>
        <v/>
      </c>
      <c r="D831">
        <f>IF(Skills!C5=1,60+Inputs!$B$26+Inputs!$B$30,IF(Skills!C5=2,90+(Inputs!$B$27+1)+Inputs!$B$30,IF(Skills!C5=3,120+Inputs!$B$28+Inputs!$B$30,MAX(0,(Inputs!$B$3-100)*3)+Inputs!$B$29+Inputs!$B$30)))</f>
        <v/>
      </c>
      <c r="E831">
        <f>INDEX(FactorTable!$B$2:$Y$301, MATCH(ROUND(MIN(300,MAX(1,D831)),0), FactorTable!$A$2:$A$301,0), Skills!L5+1)</f>
        <v/>
      </c>
      <c r="F831">
        <f>IF(Skills!M5=TRUE,(Skills!K5/10)*(E831/1000),Skills!K5/10)+Skills!N5</f>
        <v/>
      </c>
      <c r="G831">
        <f>Calc!G5</f>
        <v/>
      </c>
      <c r="H831">
        <f>Calc!H5</f>
        <v/>
      </c>
      <c r="I831">
        <f>IF(Skills!T5&lt;&gt;"",1+(Skills!T5/10)*($Z$3/1000)/100,1)</f>
        <v/>
      </c>
      <c r="J831" t="inlineStr"/>
      <c r="K831" t="inlineStr"/>
      <c r="L831" t="inlineStr"/>
      <c r="M831" t="inlineStr"/>
      <c r="N831" t="inlineStr"/>
      <c r="O831">
        <f>(1-Summary!$B$48)*S831+Summary!$B$48*U831</f>
        <v/>
      </c>
      <c r="P831">
        <f>IF(B868=0,0,O831/B868)</f>
        <v/>
      </c>
      <c r="Q831">
        <f>IFERROR(1/IF(Inputs!$B$39="pvp",15,MAX(0.1,Skills!D5-IF(Skills!E5=TRUE,Inputs!$B$33,0))),0)</f>
        <v/>
      </c>
      <c r="R831">
        <f>IF(AND(Inputs!$B$39&lt;&gt;"pvp",Inputs!$B$44&gt;0),IF(Inputs!$B$44&lt;=0,0,(INT(Inputs!$B$44/IF(Inputs!$B$39="pvp",15,MAX(0.1,Skills!D5-IF(Skills!E5=TRUE,Inputs!$B$33,0))))+1)),0)</f>
        <v/>
      </c>
      <c r="S831" t="n">
        <v>0</v>
      </c>
      <c r="U831" t="n">
        <v>0</v>
      </c>
    </row>
    <row r="832">
      <c r="A832">
        <f>Skills!A6</f>
        <v/>
      </c>
      <c r="B832">
        <f>Skills!B6</f>
        <v/>
      </c>
      <c r="C832">
        <f>Inputs!$B$3&gt;=103</f>
        <v/>
      </c>
      <c r="D832">
        <f>IF(Skills!C6=1,60+Inputs!$B$26+Inputs!$B$30,IF(Skills!C6=2,90+(Inputs!$B$27+1)+Inputs!$B$30,IF(Skills!C6=3,120+Inputs!$B$28+Inputs!$B$30,MAX(0,(Inputs!$B$3-100)*3)+Inputs!$B$29+Inputs!$B$30)))</f>
        <v/>
      </c>
      <c r="E832">
        <f>INDEX(FactorTable!$B$2:$Y$301, MATCH(ROUND(MIN(300,MAX(1,D832)),0), FactorTable!$A$2:$A$301,0), Skills!L6+1)</f>
        <v/>
      </c>
      <c r="F832">
        <f>IF(Skills!M6=TRUE,(Skills!K6/10)*(E832/1000),Skills!K6/10)+Skills!N6</f>
        <v/>
      </c>
      <c r="G832">
        <f>Calc!G6</f>
        <v/>
      </c>
      <c r="H832">
        <f>Calc!H6</f>
        <v/>
      </c>
      <c r="I832">
        <f>IF(Skills!T6&lt;&gt;"",1+(Skills!T6/10)*($Z$3/1000)/100,1)</f>
        <v/>
      </c>
      <c r="J832">
        <f>((Inputs!$B$6*(1+Inputs!$B$7/100))+(((Inputs!$B$13*(1+Inputs!$B$14/100))-(Inputs!$B$13*(1+Inputs!$B$14/100)))+0.25*(Inputs!$B$15-Inputs!$B$15))*(1+Inputs!$B$7/100))*(F832/100)</f>
        <v/>
      </c>
      <c r="K832">
        <f>J832*(1+(((Inputs!$B$13+IF(Inputs!$B$3&gt;=35,(10*INDEX(FactorTable!$B$2:$Y$301, MATCH(ROUND(MIN(300,MAX(1,Inputs!$B$3)),0), FactorTable!$A$2:$A$301,0), 23)/1000)/100*(Inputs!$B$8*(1+(Inputs!$B$9+B864)/100)),0))*(1+Inputs!$B$14/100))*0.01+Inputs!$B$15*0.0025)/100)*(1+(Inputs!$B$16+B858)/100)*(1+Inputs!$B$17/100)*(5000/(6000+Inputs!$B$43*(1-Inputs!$B$20/100)))*(1+Inputs!$B$25/100)*(1+IF(C844=TRUE,F844,0)/100)*(1+IF(C846=TRUE,F846,0)/100)*(1+IF(Skills!A6="TRIUMPH_FEATHER",IF(C842=TRUE,F842,0),0)/100)*(1+IF(C853=TRUE,F853,0)/100)^5*(1+(IF(Skills!A6="BIG_BANG",Inputs!$B$18,Inputs!$B$19))/100)*(B855*I832)</f>
        <v/>
      </c>
      <c r="L832">
        <f>K832*(MIN(Inputs!$B$23+(F848-Calc!F22),Inputs!$B$24)/100+Inputs!$B$24/100)/2</f>
        <v/>
      </c>
      <c r="M832">
        <f>L832*(1+(Inputs!$B$11+B859+(F851-Calc!F25))/100)</f>
        <v/>
      </c>
      <c r="N832">
        <f>L832*(1-MIN(Inputs!$B$10+((F850-Calc!F24)+(F849-Calc!F23)),100)/100)+M832*(MIN(Inputs!$B$10+((F850-Calc!F24)+(F849-Calc!F23)),100)/100)</f>
        <v/>
      </c>
      <c r="O832">
        <f>(1-Summary!$B$48)*S832+Summary!$B$48*U832</f>
        <v/>
      </c>
      <c r="P832">
        <f>IF(B868=0,0,O832/B868)</f>
        <v/>
      </c>
      <c r="Q832">
        <f>IFERROR(1/IF(Inputs!$B$39="pvp",15,MAX(0.1,Skills!D6-IF(Skills!E6=TRUE,Inputs!$B$33,0))),0)</f>
        <v/>
      </c>
      <c r="R832">
        <f>IF(AND(Inputs!$B$39&lt;&gt;"pvp",Inputs!$B$44&gt;0),IF(MAX(0,Inputs!$B$44-B865)&lt;=0,0,(INT(MAX(0,Inputs!$B$44-B865)/IF(Inputs!$B$39="pvp",15,MAX(0.1,Skills!D6-IF(Skills!E6=TRUE,Inputs!$B$33,0))))+1)),0)</f>
        <v/>
      </c>
      <c r="S832">
        <f>IF(C832,(H832*N832*IF(AND(Inputs!$B$39&lt;&gt;"pvp",Inputs!$B$44&gt;0),((Skills!F6*((R832-1)*IF(Skills!G6&gt;0,Skills!H6/Skills!G6,1)+IF(Skills!G6&gt;0,MIN(Skills!H6,MAX(0,MAX(0,Inputs!$B$44-B865)-((R832-1)*IF(Inputs!$B$39="pvp",15,MAX(0.1,Skills!D6-IF(Skills!E6=TRUE,Inputs!$B$33,0))))))/Skills!G6,1)))/Inputs!$B$44),G832*Q832))*IF(Inputs!$B$39="pvp",1,1+(Inputs!$B$21+Skills!O6+B856)/100),0)</f>
        <v/>
      </c>
      <c r="U832">
        <f>IF(C832,(H832*N832*IF(AND(Inputs!$B$39&lt;&gt;"pvp",Inputs!$B$44&gt;0),((Skills!F6*((R832-1)*IF(Skills!G6&gt;0,Skills!H6/Skills!G6,1)+IF(Skills!G6&gt;0,MIN(Skills!H6,MAX(0,MAX(0,Inputs!$B$44-B865)-((R832-1)*IF(Inputs!$B$39="pvp",15,MAX(0.1,Skills!D6-IF(Skills!E6=TRUE,Inputs!$B$33,0))))))/Skills!G6,1)))/Inputs!$B$44),G832*Q832))*IF(Inputs!$B$39="pvp",1,(1+(Inputs!$B$22+Skills!P6+B857)/100)*(MIN(Skills!Q6,Inputs!$B$38))),0)</f>
        <v/>
      </c>
    </row>
    <row r="833">
      <c r="A833">
        <f>Skills!A7</f>
        <v/>
      </c>
      <c r="B833">
        <f>Skills!B7</f>
        <v/>
      </c>
      <c r="C833">
        <f>Inputs!$B$3&gt;=122</f>
        <v/>
      </c>
      <c r="D833">
        <f>IF(Skills!C7=1,60+Inputs!$B$26+Inputs!$B$30,IF(Skills!C7=2,90+(Inputs!$B$27+1)+Inputs!$B$30,IF(Skills!C7=3,120+Inputs!$B$28+Inputs!$B$30,MAX(0,(Inputs!$B$3-100)*3)+Inputs!$B$29+Inputs!$B$30)))</f>
        <v/>
      </c>
      <c r="E833">
        <f>INDEX(FactorTable!$B$2:$Y$301, MATCH(ROUND(MIN(300,MAX(1,D833)),0), FactorTable!$A$2:$A$301,0), Skills!L7+1)</f>
        <v/>
      </c>
      <c r="F833">
        <f>IF(Skills!M7=TRUE,(Skills!K7/10)*(E833/1000),Skills!K7/10)+Skills!N7</f>
        <v/>
      </c>
      <c r="G833">
        <f>Calc!G7</f>
        <v/>
      </c>
      <c r="H833">
        <f>Calc!H7</f>
        <v/>
      </c>
      <c r="I833">
        <f>IF(Skills!T7&lt;&gt;"",1+(Skills!T7/10)*($Z$3/1000)/100,1)</f>
        <v/>
      </c>
      <c r="J833">
        <f>((Inputs!$B$6*(1+Inputs!$B$7/100))+(((Inputs!$B$13*(1+Inputs!$B$14/100))-(Inputs!$B$13*(1+Inputs!$B$14/100)))+0.25*(Inputs!$B$15-Inputs!$B$15))*(1+Inputs!$B$7/100))*(F833/100)</f>
        <v/>
      </c>
      <c r="K833">
        <f>J833*(1+(((Inputs!$B$13+IF(Inputs!$B$3&gt;=35,(10*INDEX(FactorTable!$B$2:$Y$301, MATCH(ROUND(MIN(300,MAX(1,Inputs!$B$3)),0), FactorTable!$A$2:$A$301,0), 23)/1000)/100*(Inputs!$B$8*(1+(Inputs!$B$9+B864)/100)),0))*(1+Inputs!$B$14/100))*0.01+Inputs!$B$15*0.0025)/100)*(1+(Inputs!$B$16+B858)/100)*(1+Inputs!$B$17/100)*(5000/(6000+Inputs!$B$43*(1-Inputs!$B$20/100)))*(1+Inputs!$B$25/100)*(1+IF(C844=TRUE,F844,0)/100)*(1+IF(C846=TRUE,F846,0)/100)*(1+IF(Skills!A7="TRIUMPH_FEATHER",IF(C842=TRUE,F842,0),0)/100)*(1+IF(C853=TRUE,F853,0)/100)^5*(1+(IF(Skills!A7="BIG_BANG",Inputs!$B$18,Inputs!$B$19))/100)*(B855*I833)</f>
        <v/>
      </c>
      <c r="L833">
        <f>K833*(MIN(Inputs!$B$23+(F848-Calc!F22),Inputs!$B$24)/100+Inputs!$B$24/100)/2</f>
        <v/>
      </c>
      <c r="M833">
        <f>L833*(1+(Inputs!$B$11+B859+(F851-Calc!F25))/100)</f>
        <v/>
      </c>
      <c r="N833">
        <f>L833*(1-MIN(Inputs!$B$10+((F850-Calc!F24)+(F849-Calc!F23)),100)/100)+M833*(MIN(Inputs!$B$10+((F850-Calc!F24)+(F849-Calc!F23)),100)/100)</f>
        <v/>
      </c>
      <c r="O833">
        <f>(1-Summary!$B$48)*S833+Summary!$B$48*U833</f>
        <v/>
      </c>
      <c r="P833">
        <f>IF(B868=0,0,O833/B868)</f>
        <v/>
      </c>
      <c r="Q833">
        <f>IFERROR(1/IF(Inputs!$B$39="pvp",15,MAX(0.1,Skills!D7-IF(Skills!E6=TRUE,Inputs!$B$33,0))),0)</f>
        <v/>
      </c>
      <c r="R833">
        <f>IF(AND(Inputs!$B$39&lt;&gt;"pvp",Inputs!$B$44&gt;0),IF(MAX(0,Inputs!$B$44-B865)&lt;=0,0,(INT(MAX(0,Inputs!$B$44-B865)/IF(Inputs!$B$39="pvp",15,MAX(0.1,Skills!D7-IF(Skills!E6=TRUE,Inputs!$B$33,0))))+1)),0)</f>
        <v/>
      </c>
      <c r="S833">
        <f>IF(C833,H833*N833*IF(AND(Inputs!$B$39&lt;&gt;"pvp",Inputs!$B$44&gt;0),((Skills!F7*((R833-1)*IF(Skills!G7&gt;0,Skills!H7/Skills!G7,1)+IF(Skills!G7&gt;0,MIN(Skills!H7,MAX(0,MAX(0,Inputs!$B$44-B865)-((R833-1)*IF(Inputs!$B$39="pvp",15,MAX(0.1,Skills!D7-IF(Skills!E6=TRUE,Inputs!$B$33,0))))))/Skills!G7,1)))/Inputs!$B$44),G833*Q833)*IF(Inputs!$B$39="pvp",1,1+(Inputs!$B$21+Skills!O7+B856)/100),0)</f>
        <v/>
      </c>
      <c r="U833" t="n">
        <v>0</v>
      </c>
    </row>
    <row r="834">
      <c r="A834">
        <f>Skills!A8</f>
        <v/>
      </c>
      <c r="B834">
        <f>Skills!B8</f>
        <v/>
      </c>
      <c r="C834">
        <f>Inputs!$B$3&gt;=105</f>
        <v/>
      </c>
      <c r="D834">
        <f>IF(Skills!C8=1,60+Inputs!$B$26+Inputs!$B$30,IF(Skills!C8=2,90+(Inputs!$B$27+1)+Inputs!$B$30,IF(Skills!C8=3,120+Inputs!$B$28+Inputs!$B$30,MAX(0,(Inputs!$B$3-100)*3)+Inputs!$B$29+Inputs!$B$30)))</f>
        <v/>
      </c>
      <c r="E834">
        <f>INDEX(FactorTable!$B$2:$Y$301, MATCH(ROUND(MIN(300,MAX(1,D834)),0), FactorTable!$A$2:$A$301,0), Skills!L8+1)</f>
        <v/>
      </c>
      <c r="F834">
        <f>IF(Skills!M8=TRUE,(Skills!K8/10)*(E834/1000),Skills!K8/10)+Skills!N8</f>
        <v/>
      </c>
      <c r="G834">
        <f>Calc!G8</f>
        <v/>
      </c>
      <c r="H834">
        <f>Calc!H8</f>
        <v/>
      </c>
      <c r="I834">
        <f>IF(Skills!T8&lt;&gt;"",1+(Skills!T8/10)*($Z$3/1000)/100,1)</f>
        <v/>
      </c>
      <c r="J834">
        <f>((Inputs!$B$6*(1+Inputs!$B$7/100))+(((Inputs!$B$13*(1+Inputs!$B$14/100))-(Inputs!$B$13*(1+Inputs!$B$14/100)))+0.25*(Inputs!$B$15-Inputs!$B$15))*(1+Inputs!$B$7/100))*(F834/100)</f>
        <v/>
      </c>
      <c r="K834">
        <f>J834*(1+(((Inputs!$B$13+IF(Inputs!$B$3&gt;=35,(10*INDEX(FactorTable!$B$2:$Y$301, MATCH(ROUND(MIN(300,MAX(1,Inputs!$B$3)),0), FactorTable!$A$2:$A$301,0), 23)/1000)/100*(Inputs!$B$8*(1+(Inputs!$B$9+B864)/100)),0))*(1+Inputs!$B$14/100))*0.01+Inputs!$B$15*0.0025)/100)*(1+(Inputs!$B$16+B858)/100)*(1+Inputs!$B$17/100)*(5000/(6000+Inputs!$B$43*(1-Inputs!$B$20/100)))*(1+Inputs!$B$25/100)*(1+IF(C844=TRUE,F844,0)/100)*(1+IF(C846=TRUE,F846,0)/100)*(1+IF(Skills!A8="TRIUMPH_FEATHER",IF(C842=TRUE,F842,0),0)/100)*(1+IF(C853=TRUE,F853,0)/100)^5*(1+(IF(Skills!A8="BIG_BANG",Inputs!$B$18,Inputs!$B$19))/100)*(B855*I834)</f>
        <v/>
      </c>
      <c r="L834">
        <f>K834*(MIN(Inputs!$B$23+(F848-Calc!F22),Inputs!$B$24)/100+Inputs!$B$24/100)/2</f>
        <v/>
      </c>
      <c r="M834">
        <f>L834*(1+(Inputs!$B$11+B859+(F851-Calc!F25))/100)</f>
        <v/>
      </c>
      <c r="N834">
        <f>L834*(1-MIN(Inputs!$B$10+((F850-Calc!F24)+(F849-Calc!F23)),100)/100)+M834*(MIN(Inputs!$B$10+((F850-Calc!F24)+(F849-Calc!F23)),100)/100)</f>
        <v/>
      </c>
      <c r="O834">
        <f>(1-Summary!$B$48)*S834+Summary!$B$48*U834</f>
        <v/>
      </c>
      <c r="P834">
        <f>IF(B868=0,0,O834/B868)</f>
        <v/>
      </c>
      <c r="Q834">
        <f>IFERROR(1/IF(Inputs!$B$39="pvp",15,MAX(0.1,Skills!D8-IF(Skills!E8=TRUE,Inputs!$B$33,0))),0)</f>
        <v/>
      </c>
      <c r="R834">
        <f>IF(AND(Inputs!$B$39&lt;&gt;"pvp",Inputs!$B$44&gt;0),IF(MAX(0,Inputs!$B$44-B865)&lt;=0,0,(INT(MAX(0,Inputs!$B$44-B865)/IF(Inputs!$B$39="pvp",15,MAX(0.1,Skills!D8-IF(Skills!E8=TRUE,Inputs!$B$33,0))))+1)),0)</f>
        <v/>
      </c>
      <c r="S834">
        <f>IF(C834,(H834*N834*IF(AND(Inputs!$B$39&lt;&gt;"pvp",Inputs!$B$44&gt;0),((Skills!F8*((R834-1)*IF(Skills!G8&gt;0,Skills!H8/Skills!G8,1)+IF(Skills!G8&gt;0,MIN(Skills!H8,MAX(0,MAX(0,Inputs!$B$44-B865)-((R834-1)*IF(Inputs!$B$39="pvp",15,MAX(0.1,Skills!D8-IF(Skills!E8=TRUE,Inputs!$B$33,0))))))/Skills!G8,1)))/Inputs!$B$44),G834*Q834))*IF(Inputs!$B$39="pvp",1,1+(Inputs!$B$21+Skills!O8+B856)/100),0)</f>
        <v/>
      </c>
      <c r="U834">
        <f>IF(C834,(H834*N834*IF(AND(Inputs!$B$39&lt;&gt;"pvp",Inputs!$B$44&gt;0),((Skills!F8*((R834-1)*IF(Skills!G8&gt;0,Skills!H8/Skills!G8,1)+IF(Skills!G8&gt;0,MIN(Skills!H8,MAX(0,MAX(0,Inputs!$B$44-B865)-((R834-1)*IF(Inputs!$B$39="pvp",15,MAX(0.1,Skills!D8-IF(Skills!E8=TRUE,Inputs!$B$33,0))))))/Skills!G8,1)))/Inputs!$B$44),G834*Q834))*IF(Inputs!$B$39="pvp",1,(1+(Inputs!$B$22+Skills!P8+B857)/100)*(MIN(Skills!Q8,Inputs!$B$38))),0)</f>
        <v/>
      </c>
    </row>
    <row r="835">
      <c r="A835">
        <f>Skills!A9</f>
        <v/>
      </c>
      <c r="B835">
        <f>Skills!B9</f>
        <v/>
      </c>
      <c r="C835">
        <f>Inputs!$B$3&gt;=115</f>
        <v/>
      </c>
      <c r="D835">
        <f>IF(Skills!C9=1,60+Inputs!$B$26+Inputs!$B$30,IF(Skills!C9=2,90+(Inputs!$B$27+1)+Inputs!$B$30,IF(Skills!C9=3,120+Inputs!$B$28+Inputs!$B$30,MAX(0,(Inputs!$B$3-100)*3)+Inputs!$B$29+Inputs!$B$30)))</f>
        <v/>
      </c>
      <c r="E835">
        <f>INDEX(FactorTable!$B$2:$Y$301, MATCH(ROUND(MIN(300,MAX(1,D835)),0), FactorTable!$A$2:$A$301,0), Skills!L9+1)</f>
        <v/>
      </c>
      <c r="F835">
        <f>IF(Skills!M9=TRUE,(Skills!K9/10)*(E835/1000),Skills!K9/10)+Skills!N9</f>
        <v/>
      </c>
      <c r="G835">
        <f>Calc!G9</f>
        <v/>
      </c>
      <c r="H835">
        <f>Calc!H9</f>
        <v/>
      </c>
      <c r="I835">
        <f>IF(Skills!T9&lt;&gt;"",1+(Skills!T9/10)*($Z$3/1000)/100,1)</f>
        <v/>
      </c>
      <c r="J835">
        <f>((Inputs!$B$6*(1+Inputs!$B$7/100))+(((Inputs!$B$13*(1+Inputs!$B$14/100))-(Inputs!$B$13*(1+Inputs!$B$14/100)))+0.25*(Inputs!$B$15-Inputs!$B$15))*(1+Inputs!$B$7/100))*(F835/100)</f>
        <v/>
      </c>
      <c r="K835">
        <f>J835*(1+(((Inputs!$B$13+IF(Inputs!$B$3&gt;=35,(10*INDEX(FactorTable!$B$2:$Y$301, MATCH(ROUND(MIN(300,MAX(1,Inputs!$B$3)),0), FactorTable!$A$2:$A$301,0), 23)/1000)/100*(Inputs!$B$8*(1+(Inputs!$B$9+B864)/100)),0))*(1+Inputs!$B$14/100))*0.01+Inputs!$B$15*0.0025)/100)*(1+(Inputs!$B$16+B858)/100)*(1+Inputs!$B$17/100)*(5000/(6000+Inputs!$B$43*(1-Inputs!$B$20/100)))*(1+Inputs!$B$25/100)*(1+IF(C844=TRUE,F844,0)/100)*(1+IF(C846=TRUE,F846,0)/100)*(1+IF(Skills!A9="TRIUMPH_FEATHER",IF(C842=TRUE,F842,0),0)/100)*(1+IF(C853=TRUE,F853,0)/100)^5*(1+(IF(Skills!A9="BIG_BANG",Inputs!$B$18,Inputs!$B$19))/100)*(B855*I835)</f>
        <v/>
      </c>
      <c r="L835">
        <f>K835*(MIN(Inputs!$B$23+(F848-Calc!F22),Inputs!$B$24)/100+Inputs!$B$24/100)/2</f>
        <v/>
      </c>
      <c r="M835">
        <f>L835*(1+(Inputs!$B$11+B859+(F851-Calc!F25))/100)</f>
        <v/>
      </c>
      <c r="N835">
        <f>L835*(1-MIN(Inputs!$B$10+((F850-Calc!F24)+(F849-Calc!F23)),100)/100)+M835*(MIN(Inputs!$B$10+((F850-Calc!F24)+(F849-Calc!F23)),100)/100)</f>
        <v/>
      </c>
      <c r="O835">
        <f>(1-Summary!$B$48)*S835+Summary!$B$48*U835</f>
        <v/>
      </c>
      <c r="P835">
        <f>IF(B868=0,0,O835/B868)</f>
        <v/>
      </c>
      <c r="Q835">
        <f>IFERROR(1/IF(Inputs!$B$39="pvp",15,MAX(0.1,Skills!D9-IF(Skills!E9=TRUE,Inputs!$B$33,0))),0)</f>
        <v/>
      </c>
      <c r="R835">
        <f>IF(AND(Inputs!$B$39&lt;&gt;"pvp",Inputs!$B$44&gt;0),IF(MAX(0,Inputs!$B$44-B865)&lt;=0,0,(INT(MAX(0,Inputs!$B$44-B865)/IF(Inputs!$B$39="pvp",15,MAX(0.1,Skills!D9-IF(Skills!E9=TRUE,Inputs!$B$33,0))))+1)),0)</f>
        <v/>
      </c>
      <c r="S835">
        <f>IF(C835,(H835*N835*IF(AND(Inputs!$B$39&lt;&gt;"pvp",Inputs!$B$44&gt;0),((Skills!F9*((R835-1)*IF(Skills!G9&gt;0,Skills!H9/Skills!G9,1)+IF(Skills!G9&gt;0,MIN(Skills!H9,MAX(0,MAX(0,Inputs!$B$44-B865)-((R835-1)*IF(Inputs!$B$39="pvp",15,MAX(0.1,Skills!D9-IF(Skills!E9=TRUE,Inputs!$B$33,0))))))/Skills!G9,1)))/Inputs!$B$44),G835*Q835))*IF(Inputs!$B$39="pvp",1,1+(Inputs!$B$21+Skills!O9+B856)/100),0)</f>
        <v/>
      </c>
      <c r="U835">
        <f>IF(C835,(H835*N835*IF(AND(Inputs!$B$39&lt;&gt;"pvp",Inputs!$B$44&gt;0),((Skills!F9*((R835-1)*IF(Skills!G9&gt;0,Skills!H9/Skills!G9,1)+IF(Skills!G9&gt;0,MIN(Skills!H9,MAX(0,MAX(0,Inputs!$B$44-B865)-((R835-1)*IF(Inputs!$B$39="pvp",15,MAX(0.1,Skills!D9-IF(Skills!E9=TRUE,Inputs!$B$33,0))))))/Skills!G9,1)))/Inputs!$B$44),G835*Q835))*IF(Inputs!$B$39="pvp",1,(1+(Inputs!$B$22+Skills!P9+B857)/100)*(MIN(Skills!Q9,Inputs!$B$38))),0)</f>
        <v/>
      </c>
    </row>
    <row r="836">
      <c r="A836">
        <f>Skills!A10</f>
        <v/>
      </c>
      <c r="B836">
        <f>Skills!B10</f>
        <v/>
      </c>
      <c r="C836">
        <f>Inputs!$B$3&gt;=66</f>
        <v/>
      </c>
      <c r="D836">
        <f>IF(Skills!C10=1,60+Inputs!$B$26+Inputs!$B$30,IF(Skills!C10=2,90+(Inputs!$B$27+1)+Inputs!$B$30,IF(Skills!C10=3,120+Inputs!$B$28+Inputs!$B$30,MAX(0,(Inputs!$B$3-100)*3)+Inputs!$B$29+Inputs!$B$30)))</f>
        <v/>
      </c>
      <c r="E836">
        <f>INDEX(FactorTable!$B$2:$Y$301, MATCH(ROUND(MIN(300,MAX(1,D836)),0), FactorTable!$A$2:$A$301,0), Skills!L10+1)</f>
        <v/>
      </c>
      <c r="F836" t="n">
        <v>0</v>
      </c>
      <c r="G836">
        <f>Calc!G10</f>
        <v/>
      </c>
      <c r="H836">
        <f>Calc!H10</f>
        <v/>
      </c>
      <c r="I836">
        <f>IF(Skills!T10&lt;&gt;"",1+(Skills!T10/10)*($Z$3/1000)/100,1)</f>
        <v/>
      </c>
      <c r="J836" t="inlineStr"/>
      <c r="K836" t="inlineStr"/>
      <c r="L836" t="inlineStr"/>
      <c r="M836" t="inlineStr"/>
      <c r="N836" t="inlineStr"/>
      <c r="O836">
        <f>(1-Summary!$B$48)*S836+Summary!$B$48*U836</f>
        <v/>
      </c>
      <c r="P836">
        <f>IF(B868=0,0,O836/B868)</f>
        <v/>
      </c>
      <c r="Q836">
        <f>IFERROR(1/IF(Inputs!$B$39="pvp",15,MAX(0.1,Skills!D10-IF(Skills!E10=TRUE,Inputs!$B$33,0))),0)</f>
        <v/>
      </c>
      <c r="R836">
        <f>IF(AND(Inputs!$B$39&lt;&gt;"pvp",Inputs!$B$44&gt;0),IF(MAX(0,Inputs!$B$44-B865)&lt;=0,0,(INT(MAX(0,Inputs!$B$44-B865)/IF(Inputs!$B$39="pvp",15,MAX(0.1,Skills!D10-IF(Skills!E10=TRUE,Inputs!$B$33,0))))+1)),0)</f>
        <v/>
      </c>
      <c r="S836" t="n">
        <v>0</v>
      </c>
      <c r="U836" t="n">
        <v>0</v>
      </c>
    </row>
    <row r="837">
      <c r="A837">
        <f>Skills!A11</f>
        <v/>
      </c>
      <c r="B837">
        <f>Skills!B11</f>
        <v/>
      </c>
      <c r="C837">
        <f>Inputs!$B$3&gt;=69</f>
        <v/>
      </c>
      <c r="D837">
        <f>IF(Skills!C11=1,60+Inputs!$B$26+Inputs!$B$30,IF(Skills!C11=2,90+(Inputs!$B$27+1)+Inputs!$B$30,IF(Skills!C11=3,120+Inputs!$B$28+Inputs!$B$30,MAX(0,(Inputs!$B$3-100)*3)+Inputs!$B$29+Inputs!$B$30)))</f>
        <v/>
      </c>
      <c r="E837">
        <f>INDEX(FactorTable!$B$2:$Y$301, MATCH(ROUND(MIN(300,MAX(1,D837)),0), FactorTable!$A$2:$A$301,0), Skills!L11+1)</f>
        <v/>
      </c>
      <c r="F837">
        <f>IF(Skills!M11=TRUE,(Skills!K11/10)*(E837/1000),Skills!K11/10)+Skills!N11</f>
        <v/>
      </c>
      <c r="G837">
        <f>Calc!G11</f>
        <v/>
      </c>
      <c r="H837">
        <f>Calc!H11</f>
        <v/>
      </c>
      <c r="I837">
        <f>IF(Skills!T11&lt;&gt;"",1+(Skills!T11/10)*($Z$3/1000)/100,1)</f>
        <v/>
      </c>
      <c r="J837" t="inlineStr"/>
      <c r="K837" t="inlineStr"/>
      <c r="L837" t="inlineStr"/>
      <c r="M837" t="inlineStr"/>
      <c r="N837" t="inlineStr"/>
      <c r="O837">
        <f>(1-Summary!$B$48)*S837+Summary!$B$48*U837</f>
        <v/>
      </c>
      <c r="P837">
        <f>IF(B868=0,0,O837/B868)</f>
        <v/>
      </c>
      <c r="Q837">
        <f>IFERROR(1/IF(Inputs!$B$39="pvp",15,MAX(0.1,Skills!D11-IF(Skills!E11=TRUE,Inputs!$B$33,0))),0)</f>
        <v/>
      </c>
      <c r="R837">
        <f>IF(AND(Inputs!$B$39&lt;&gt;"pvp",Inputs!$B$44&gt;0),IF(Inputs!$B$44&lt;=0,0,(INT(Inputs!$B$44/IF(Inputs!$B$39="pvp",15,MAX(0.1,Skills!D11-IF(Skills!E11=TRUE,Inputs!$B$33,0))))+1)),0)</f>
        <v/>
      </c>
      <c r="S837" t="n">
        <v>0</v>
      </c>
      <c r="U837" t="n">
        <v>0</v>
      </c>
    </row>
    <row r="838">
      <c r="A838">
        <f>Skills!A12</f>
        <v/>
      </c>
      <c r="B838">
        <f>Skills!B12</f>
        <v/>
      </c>
      <c r="C838">
        <f>Inputs!$B$3&gt;=72</f>
        <v/>
      </c>
      <c r="D838">
        <f>IF(Skills!C12=1,60+Inputs!$B$26+Inputs!$B$30,IF(Skills!C12=2,90+(Inputs!$B$27+1)+Inputs!$B$30,IF(Skills!C12=3,120+Inputs!$B$28+Inputs!$B$30,MAX(0,(Inputs!$B$3-100)*3)+Inputs!$B$29+Inputs!$B$30)))</f>
        <v/>
      </c>
      <c r="E838">
        <f>INDEX(FactorTable!$B$2:$Y$301, MATCH(ROUND(MIN(300,MAX(1,D838)),0), FactorTable!$A$2:$A$301,0), Skills!L12+1)</f>
        <v/>
      </c>
      <c r="F838">
        <f>IF(Skills!M12=TRUE,(Skills!K12/10)*(E838/1000),Skills!K12/10)+Skills!N12</f>
        <v/>
      </c>
      <c r="G838">
        <f>Calc!G12</f>
        <v/>
      </c>
      <c r="H838">
        <f>Calc!H12</f>
        <v/>
      </c>
      <c r="I838">
        <f>IF(Skills!T12&lt;&gt;"",1+(Skills!T12/10)*($Z$3/1000)/100,1)</f>
        <v/>
      </c>
      <c r="J838" t="inlineStr"/>
      <c r="K838" t="inlineStr"/>
      <c r="L838" t="inlineStr"/>
      <c r="M838" t="inlineStr"/>
      <c r="N838" t="inlineStr"/>
      <c r="O838">
        <f>(1-Summary!$B$48)*S838+Summary!$B$48*U838</f>
        <v/>
      </c>
      <c r="P838">
        <f>IF(B868=0,0,O838/B868)</f>
        <v/>
      </c>
      <c r="Q838">
        <f>IFERROR(1/IF(Inputs!$B$39="pvp",15,MAX(0.1,Skills!D12-IF(Skills!E12=TRUE,Inputs!$B$33,0))),0)</f>
        <v/>
      </c>
      <c r="R838">
        <f>IF(AND(Inputs!$B$39&lt;&gt;"pvp",Inputs!$B$44&gt;0),IF(MAX(0,Inputs!$B$44-B865)&lt;=0,0,(INT(MAX(0,Inputs!$B$44-B865)/IF(Inputs!$B$39="pvp",15,MAX(0.1,Skills!D12-IF(Skills!E12=TRUE,Inputs!$B$33,0))))+1)),0)</f>
        <v/>
      </c>
      <c r="S838" t="n">
        <v>0</v>
      </c>
      <c r="U838" t="n">
        <v>0</v>
      </c>
    </row>
    <row r="839">
      <c r="A839">
        <f>Skills!A13</f>
        <v/>
      </c>
      <c r="B839">
        <f>Skills!B13</f>
        <v/>
      </c>
      <c r="C839">
        <f>Inputs!$B$3&gt;=60</f>
        <v/>
      </c>
      <c r="D839">
        <f>IF(Skills!C13=1,60+Inputs!$B$26+Inputs!$B$30,IF(Skills!C13=2,90+(Inputs!$B$27+1)+Inputs!$B$30,IF(Skills!C13=3,120+Inputs!$B$28+Inputs!$B$30,MAX(0,(Inputs!$B$3-100)*3)+Inputs!$B$29+Inputs!$B$30)))</f>
        <v/>
      </c>
      <c r="E839">
        <f>INDEX(FactorTable!$B$2:$Y$301, MATCH(ROUND(MIN(300,MAX(1,D839)),0), FactorTable!$A$2:$A$301,0), Skills!L13+1)</f>
        <v/>
      </c>
      <c r="F839">
        <f>IF(Skills!M13=TRUE,(Skills!K13/10)*(E839/1000),Skills!K13/10)+Skills!N13</f>
        <v/>
      </c>
      <c r="G839">
        <f>Calc!G13</f>
        <v/>
      </c>
      <c r="H839">
        <f>Calc!H13</f>
        <v/>
      </c>
      <c r="I839">
        <f>IF(Skills!T13&lt;&gt;"",1+(Skills!T13/10)*($Z$3/1000)/100,1)</f>
        <v/>
      </c>
      <c r="J839" t="inlineStr"/>
      <c r="K839" t="inlineStr"/>
      <c r="L839" t="inlineStr"/>
      <c r="M839" t="inlineStr"/>
      <c r="N839" t="inlineStr"/>
      <c r="O839">
        <f>(1-Summary!$B$48)*S839+Summary!$B$48*U839</f>
        <v/>
      </c>
      <c r="P839">
        <f>IF(B868=0,0,O839/B868)</f>
        <v/>
      </c>
      <c r="Q839">
        <f>IFERROR(1/IF(Inputs!$B$39="pvp",15,MAX(0.1,Skills!D13-IF(Skills!E13=TRUE,Inputs!$B$33,0))),0)</f>
        <v/>
      </c>
      <c r="R839">
        <f>IF(AND(Inputs!$B$39&lt;&gt;"pvp",Inputs!$B$44&gt;0),IF(MAX(0,Inputs!$B$44-B865)&lt;=0,0,(INT(MAX(0,Inputs!$B$44-B865)/IF(Inputs!$B$39="pvp",15,MAX(0.1,Skills!D13-IF(Skills!E13=TRUE,Inputs!$B$33,0))))+1)),0)</f>
        <v/>
      </c>
      <c r="S839" t="n">
        <v>0</v>
      </c>
      <c r="U839" t="n">
        <v>0</v>
      </c>
    </row>
    <row r="840">
      <c r="A840">
        <f>Skills!A14</f>
        <v/>
      </c>
      <c r="B840">
        <f>Skills!B14</f>
        <v/>
      </c>
      <c r="C840">
        <f>Inputs!$B$3&gt;=107</f>
        <v/>
      </c>
      <c r="D840">
        <f>IF(Skills!C14=1,60+Inputs!$B$26+Inputs!$B$30,IF(Skills!C14=2,90+(Inputs!$B$27+1)+Inputs!$B$30,IF(Skills!C14=3,120+Inputs!$B$28+Inputs!$B$30,MAX(0,(Inputs!$B$3-100)*3)+Inputs!$B$29+Inputs!$B$30)))</f>
        <v/>
      </c>
      <c r="E840">
        <f>INDEX(FactorTable!$B$2:$Y$301, MATCH(ROUND(MIN(300,MAX(1,D840)),0), FactorTable!$A$2:$A$301,0), Skills!L14+1)</f>
        <v/>
      </c>
      <c r="F840">
        <f>IF(Skills!M14=TRUE,(Skills!K14/10)*(E840/1000),Skills!K14/10)+Skills!N14</f>
        <v/>
      </c>
      <c r="G840">
        <f>Calc!G14</f>
        <v/>
      </c>
      <c r="H840">
        <f>Calc!H14</f>
        <v/>
      </c>
      <c r="I840">
        <f>IF(Skills!T14&lt;&gt;"",1+(Skills!T14/10)*($Z$3/1000)/100,1)</f>
        <v/>
      </c>
      <c r="J840" t="inlineStr"/>
      <c r="K840" t="inlineStr"/>
      <c r="L840" t="inlineStr"/>
      <c r="M840" t="inlineStr"/>
      <c r="N840" t="inlineStr"/>
      <c r="O840">
        <f>(1-Summary!$B$48)*S840+Summary!$B$48*U840</f>
        <v/>
      </c>
      <c r="P840">
        <f>IF(B868=0,0,O840/B868)</f>
        <v/>
      </c>
      <c r="Q840">
        <f>IFERROR(1/IF(Inputs!$B$39="pvp",15,MAX(0.1,Skills!D14-IF(Skills!E14=TRUE,Inputs!$B$33,0))),0)</f>
        <v/>
      </c>
      <c r="R840">
        <f>IF(AND(Inputs!$B$39&lt;&gt;"pvp",Inputs!$B$44&gt;0),IF(Inputs!$B$44&lt;=0,0,(INT(Inputs!$B$44/IF(Inputs!$B$39="pvp",15,MAX(0.1,Skills!D14-IF(Skills!E14=TRUE,Inputs!$B$33,0))))+1)),0)</f>
        <v/>
      </c>
      <c r="S840" t="n">
        <v>0</v>
      </c>
      <c r="U840" t="n">
        <v>0</v>
      </c>
    </row>
    <row r="841">
      <c r="A841">
        <f>Skills!A15</f>
        <v/>
      </c>
      <c r="B841">
        <f>Skills!B15</f>
        <v/>
      </c>
      <c r="C841">
        <f>Inputs!$B$3&gt;=63</f>
        <v/>
      </c>
      <c r="D841">
        <f>IF(Skills!C15=1,60+Inputs!$B$26+Inputs!$B$30,IF(Skills!C15=2,90+(Inputs!$B$27+1)+Inputs!$B$30,IF(Skills!C15=3,120+Inputs!$B$28+Inputs!$B$30,MAX(0,(Inputs!$B$3-100)*3)+Inputs!$B$29+Inputs!$B$30)))</f>
        <v/>
      </c>
      <c r="E841">
        <f>INDEX(FactorTable!$B$2:$Y$301, MATCH(ROUND(MIN(300,MAX(1,D841)),0), FactorTable!$A$2:$A$301,0), Skills!L15+1)</f>
        <v/>
      </c>
      <c r="F841">
        <f>IF(Skills!M15=TRUE,(Skills!K15/10)*(E841/1000),Skills!K15/10)+Skills!N15</f>
        <v/>
      </c>
      <c r="G841">
        <f>Calc!G15</f>
        <v/>
      </c>
      <c r="H841">
        <f>Calc!H15</f>
        <v/>
      </c>
      <c r="I841">
        <f>IF(Skills!T15&lt;&gt;"",1+(Skills!T15/10)*($Z$3/1000)/100,1)</f>
        <v/>
      </c>
      <c r="J841">
        <f>((Inputs!$B$6*(1+Inputs!$B$7/100))+(((Inputs!$B$13*(1+Inputs!$B$14/100))-(Inputs!$B$13*(1+Inputs!$B$14/100)))+0.25*(Inputs!$B$15-Inputs!$B$15))*(1+Inputs!$B$7/100))*(F841/100)</f>
        <v/>
      </c>
      <c r="K841">
        <f>J841*(1+(((Inputs!$B$13+IF(Inputs!$B$3&gt;=35,(10*INDEX(FactorTable!$B$2:$Y$301, MATCH(ROUND(MIN(300,MAX(1,Inputs!$B$3)),0), FactorTable!$A$2:$A$301,0), 23)/1000)/100*(Inputs!$B$8*(1+(Inputs!$B$9+B864)/100)),0))*(1+Inputs!$B$14/100))*0.01+Inputs!$B$15*0.0025)/100)*(1+(Inputs!$B$16+B858)/100)*(1+Inputs!$B$17/100)*(5000/(6000+Inputs!$B$43*(1-Inputs!$B$20/100)))*(1+Inputs!$B$25/100)*(1+IF(C844=TRUE,F844,0)/100)*(1+IF(C846=TRUE,F846,0)/100)*(1+IF(Skills!A15="TRIUMPH_FEATHER",IF(C842=TRUE,F842,0),0)/100)*(1+IF(C853=TRUE,F853,0)/100)^5*(1+(IF(Skills!A15="BIG_BANG",Inputs!$B$18,Inputs!$B$19))/100)*(B855*I841)</f>
        <v/>
      </c>
      <c r="L841">
        <f>K841*(MIN(Inputs!$B$23+(F848-Calc!F22),Inputs!$B$24)/100+Inputs!$B$24/100)/2</f>
        <v/>
      </c>
      <c r="M841">
        <f>L841*(1+(Inputs!$B$11+B859+(F851-Calc!F25))/100)</f>
        <v/>
      </c>
      <c r="N841">
        <f>L841*(1-MIN(Inputs!$B$10+((F850-Calc!F24)+(F849-Calc!F23)),100)/100)+M841*(MIN(Inputs!$B$10+((F850-Calc!F24)+(F849-Calc!F23)),100)/100)</f>
        <v/>
      </c>
      <c r="O841">
        <f>(1-Summary!$B$48)*S841+Summary!$B$48*U841</f>
        <v/>
      </c>
      <c r="P841">
        <f>IF(B868=0,0,O841/B868)</f>
        <v/>
      </c>
      <c r="Q841">
        <f>IFERROR(1/IF(Inputs!$B$39="pvp",15,MAX(0.1,Skills!D15-IF(Skills!E15=TRUE,Inputs!$B$33,0))),0)</f>
        <v/>
      </c>
      <c r="R841" t="n">
        <v>0</v>
      </c>
      <c r="S841">
        <f>IF(C841,(Skills!F15*N841*((IF(Inputs!$B$3&gt;=78,25,15)/100*B861*10)/(1+IF(Inputs!$B$3&gt;=78,25,15)/100*B861*10))*(Skills!I15/100*B861)/(1+Skills!G15*Skills!I15/100*B861))*IF(Inputs!$B$39="pvp",1,1+(Inputs!$B$21+Skills!O15+B856)/100),0)</f>
        <v/>
      </c>
      <c r="U841">
        <f>IF(C841,(Skills!F15*N841*((IF(Inputs!$B$3&gt;=78,25,15)/100*B861*10)/(1+IF(Inputs!$B$3&gt;=78,25,15)/100*B861*10))*(Skills!I15/100*B861)/(1+Skills!G15*Skills!I15/100*B861))*IF(Inputs!$B$39="pvp",1,(1+(Inputs!$B$22+Skills!P15+B857)/100)*(MIN(Skills!Q15,Inputs!$B$38))),0)</f>
        <v/>
      </c>
    </row>
    <row r="842">
      <c r="A842">
        <f>Skills!A16</f>
        <v/>
      </c>
      <c r="B842">
        <f>Skills!B16</f>
        <v/>
      </c>
      <c r="C842">
        <f>Inputs!$B$3&gt;=100</f>
        <v/>
      </c>
      <c r="D842">
        <f>IF(Skills!C16=1,60+Inputs!$B$26+Inputs!$B$30,IF(Skills!C16=2,90+(Inputs!$B$27+1)+Inputs!$B$30,IF(Skills!C16=3,120+Inputs!$B$28+Inputs!$B$30,MAX(0,(Inputs!$B$3-100)*3)+Inputs!$B$29+Inputs!$B$30)))</f>
        <v/>
      </c>
      <c r="E842">
        <f>INDEX(FactorTable!$B$2:$Y$301, MATCH(ROUND(MIN(300,MAX(1,D842)),0), FactorTable!$A$2:$A$301,0), Skills!L16+1)</f>
        <v/>
      </c>
      <c r="F842">
        <f>IF(Skills!M16=TRUE,(Skills!K16/10)*(E842/1000),Skills!K16/10)+Skills!N16</f>
        <v/>
      </c>
      <c r="G842">
        <f>Calc!G16</f>
        <v/>
      </c>
      <c r="H842">
        <f>Calc!H16</f>
        <v/>
      </c>
      <c r="I842">
        <f>IF(Skills!T16&lt;&gt;"",1+(Skills!T16/10)*($Z$3/1000)/100,1)</f>
        <v/>
      </c>
      <c r="J842" t="inlineStr"/>
      <c r="K842" t="inlineStr"/>
      <c r="L842" t="inlineStr"/>
      <c r="M842" t="inlineStr"/>
      <c r="N842" t="inlineStr"/>
      <c r="O842">
        <f>(1-Summary!$B$48)*S842+Summary!$B$48*U842</f>
        <v/>
      </c>
      <c r="P842">
        <f>IF(B868=0,0,O842/B868)</f>
        <v/>
      </c>
      <c r="Q842">
        <f>IFERROR(1/IF(Inputs!$B$39="pvp",15,MAX(0.1,Skills!D16-IF(Skills!E16=TRUE,Inputs!$B$33,0))),0)</f>
        <v/>
      </c>
      <c r="R842" t="n">
        <v>0</v>
      </c>
      <c r="S842" t="n">
        <v>0</v>
      </c>
      <c r="U842" t="n">
        <v>0</v>
      </c>
    </row>
    <row r="843">
      <c r="A843">
        <f>Skills!A17</f>
        <v/>
      </c>
      <c r="B843">
        <f>Skills!B17</f>
        <v/>
      </c>
      <c r="C843">
        <f>Inputs!$B$3&gt;=49</f>
        <v/>
      </c>
      <c r="D843">
        <f>IF(Skills!C17=1,60+Inputs!$B$26+Inputs!$B$30,IF(Skills!C17=2,90+(Inputs!$B$27+1)+Inputs!$B$30,IF(Skills!C17=3,120+Inputs!$B$28+Inputs!$B$30,MAX(0,(Inputs!$B$3-100)*3)+Inputs!$B$29+Inputs!$B$30)))</f>
        <v/>
      </c>
      <c r="E843">
        <f>INDEX(FactorTable!$B$2:$Y$301, MATCH(ROUND(MIN(300,MAX(1,D843)),0), FactorTable!$A$2:$A$301,0), Skills!L17+1)</f>
        <v/>
      </c>
      <c r="F843">
        <f>IF(Skills!M17=TRUE,(Skills!K17/10)*(E843/1000),Skills!K17/10)+Skills!N17</f>
        <v/>
      </c>
      <c r="G843">
        <f>Calc!G17</f>
        <v/>
      </c>
      <c r="H843">
        <f>Calc!H17</f>
        <v/>
      </c>
      <c r="I843">
        <f>IF(Skills!T17&lt;&gt;"",1+(Skills!T17/10)*($Z$3/1000)/100,1)</f>
        <v/>
      </c>
      <c r="J843" t="inlineStr"/>
      <c r="K843" t="inlineStr"/>
      <c r="L843" t="inlineStr"/>
      <c r="M843" t="inlineStr"/>
      <c r="N843" t="inlineStr"/>
      <c r="O843">
        <f>(1-Summary!$B$48)*S843+Summary!$B$48*U843</f>
        <v/>
      </c>
      <c r="P843">
        <f>IF(B868=0,0,O843/B868)</f>
        <v/>
      </c>
      <c r="Q843">
        <f>IFERROR(1/IF(Inputs!$B$39="pvp",15,MAX(0.1,Skills!D17-IF(Skills!E17=TRUE,Inputs!$B$33,0))),0)</f>
        <v/>
      </c>
      <c r="R843" t="n">
        <v>0</v>
      </c>
      <c r="S843" t="n">
        <v>0</v>
      </c>
      <c r="U843" t="n">
        <v>0</v>
      </c>
    </row>
    <row r="844">
      <c r="A844">
        <f>Skills!A18</f>
        <v/>
      </c>
      <c r="B844">
        <f>Skills!B18</f>
        <v/>
      </c>
      <c r="C844">
        <f>Inputs!$B$3&gt;=75</f>
        <v/>
      </c>
      <c r="D844">
        <f>IF(Skills!C18=1,60+Inputs!$B$26+Inputs!$B$30,IF(Skills!C18=2,90+(Inputs!$B$27+1)+Inputs!$B$30,IF(Skills!C18=3,120+Inputs!$B$28+Inputs!$B$30,MAX(0,(Inputs!$B$3-100)*3)+Inputs!$B$29+Inputs!$B$30)))</f>
        <v/>
      </c>
      <c r="E844">
        <f>INDEX(FactorTable!$B$2:$Y$301, MATCH(ROUND(MIN(300,MAX(1,D844)),0), FactorTable!$A$2:$A$301,0), Skills!L18+1)</f>
        <v/>
      </c>
      <c r="F844">
        <f>IF(Skills!M18=TRUE,(Skills!K18/10)*(E844/1000),Skills!K18/10)+Skills!N18</f>
        <v/>
      </c>
      <c r="G844">
        <f>Calc!G18</f>
        <v/>
      </c>
      <c r="H844">
        <f>Calc!H18</f>
        <v/>
      </c>
      <c r="I844">
        <f>IF(Skills!T18&lt;&gt;"",1+(Skills!T18/10)*($Z$3/1000)/100,1)</f>
        <v/>
      </c>
      <c r="J844" t="inlineStr"/>
      <c r="K844" t="inlineStr"/>
      <c r="L844" t="inlineStr"/>
      <c r="M844" t="inlineStr"/>
      <c r="N844" t="inlineStr"/>
      <c r="O844">
        <f>(1-Summary!$B$48)*S844+Summary!$B$48*U844</f>
        <v/>
      </c>
      <c r="P844">
        <f>IF(B868=0,0,O844/B868)</f>
        <v/>
      </c>
      <c r="Q844">
        <f>IFERROR(1/IF(Inputs!$B$39="pvp",15,MAX(0.1,Skills!D18-IF(Skills!E18=TRUE,Inputs!$B$33,0))),0)</f>
        <v/>
      </c>
      <c r="R844" t="n">
        <v>0</v>
      </c>
      <c r="S844" t="n">
        <v>0</v>
      </c>
      <c r="U844" t="n">
        <v>0</v>
      </c>
    </row>
    <row r="845">
      <c r="A845">
        <f>Skills!A19</f>
        <v/>
      </c>
      <c r="B845">
        <f>Skills!B19</f>
        <v/>
      </c>
      <c r="C845">
        <f>Inputs!$B$3&gt;=110</f>
        <v/>
      </c>
      <c r="D845">
        <f>IF(Skills!C19=1,60+Inputs!$B$26+Inputs!$B$30,IF(Skills!C19=2,90+(Inputs!$B$27+1)+Inputs!$B$30,IF(Skills!C19=3,120+Inputs!$B$28+Inputs!$B$30,MAX(0,(Inputs!$B$3-100)*3)+Inputs!$B$29+Inputs!$B$30)))</f>
        <v/>
      </c>
      <c r="E845">
        <f>INDEX(FactorTable!$B$2:$Y$301, MATCH(ROUND(MIN(300,MAX(1,D845)),0), FactorTable!$A$2:$A$301,0), Skills!L19+1)</f>
        <v/>
      </c>
      <c r="F845">
        <f>(Skills!K19/10)*(E845/1000)*64/45+Skills!N19</f>
        <v/>
      </c>
      <c r="G845">
        <f>Calc!G19</f>
        <v/>
      </c>
      <c r="H845">
        <f>Calc!H19</f>
        <v/>
      </c>
      <c r="I845">
        <f>IF(Skills!T19&lt;&gt;"",1+(Skills!T19/10)*($Z$3/1000)/100,1)</f>
        <v/>
      </c>
      <c r="J845" t="inlineStr"/>
      <c r="K845" t="inlineStr"/>
      <c r="L845" t="inlineStr"/>
      <c r="M845" t="inlineStr"/>
      <c r="N845" t="inlineStr"/>
      <c r="O845">
        <f>(1-Summary!$B$48)*S845+Summary!$B$48*U845</f>
        <v/>
      </c>
      <c r="P845">
        <f>IF(B868=0,0,O845/B868)</f>
        <v/>
      </c>
      <c r="Q845">
        <f>IFERROR(1/IF(Inputs!$B$39="pvp",15,MAX(0.1,Skills!D19-IF(Skills!E19=TRUE,Inputs!$B$33,0))),0)</f>
        <v/>
      </c>
      <c r="R845">
        <f>IF(AND(Inputs!$B$39&lt;&gt;"pvp",Inputs!$B$44&gt;0),IF(Inputs!$B$44&lt;=0,0,(INT(Inputs!$B$44/IF(Inputs!$B$39="pvp",15,MAX(0.1,Skills!D19-IF(Skills!E19=TRUE,Inputs!$B$33,0))))+1)),0)</f>
        <v/>
      </c>
      <c r="S845" t="n">
        <v>0</v>
      </c>
      <c r="U845" t="n">
        <v>0</v>
      </c>
    </row>
    <row r="846">
      <c r="A846">
        <f>Skills!A20</f>
        <v/>
      </c>
      <c r="B846">
        <f>Skills!B20</f>
        <v/>
      </c>
      <c r="C846">
        <f>Inputs!$B$3&gt;=125</f>
        <v/>
      </c>
      <c r="D846">
        <f>IF(Skills!C20=1,60+Inputs!$B$26+Inputs!$B$30,IF(Skills!C20=2,90+(Inputs!$B$27+1)+Inputs!$B$30,IF(Skills!C20=3,120+Inputs!$B$28+Inputs!$B$30,MAX(0,(Inputs!$B$3-100)*3)+Inputs!$B$29+Inputs!$B$30)))</f>
        <v/>
      </c>
      <c r="E846">
        <f>INDEX(FactorTable!$B$2:$Y$301, MATCH(ROUND(MIN(300,MAX(1,D846)),0), FactorTable!$A$2:$A$301,0), Skills!L20+1)</f>
        <v/>
      </c>
      <c r="F846">
        <f>IF(Skills!M20=TRUE,(Skills!K20/10)*(E846/1000),Skills!K20/10)+Skills!N20</f>
        <v/>
      </c>
      <c r="G846">
        <f>Calc!G20</f>
        <v/>
      </c>
      <c r="H846">
        <f>Calc!H20</f>
        <v/>
      </c>
      <c r="I846">
        <f>IF(Skills!T20&lt;&gt;"",1+(Skills!T20/10)*($Z$3/1000)/100,1)</f>
        <v/>
      </c>
      <c r="J846" t="inlineStr"/>
      <c r="K846" t="inlineStr"/>
      <c r="L846" t="inlineStr"/>
      <c r="M846" t="inlineStr"/>
      <c r="N846" t="inlineStr"/>
      <c r="O846">
        <f>(1-Summary!$B$48)*S846+Summary!$B$48*U846</f>
        <v/>
      </c>
      <c r="P846">
        <f>IF(B868=0,0,O846/B868)</f>
        <v/>
      </c>
      <c r="Q846">
        <f>IFERROR(1/IF(Inputs!$B$39="pvp",15,MAX(0.1,Skills!D20-IF(Skills!E20=TRUE,Inputs!$B$33,0))),0)</f>
        <v/>
      </c>
      <c r="R846" t="n">
        <v>0</v>
      </c>
      <c r="S846" t="n">
        <v>0</v>
      </c>
      <c r="U846" t="n">
        <v>0</v>
      </c>
    </row>
    <row r="847">
      <c r="A847">
        <f>Skills!A21</f>
        <v/>
      </c>
      <c r="B847">
        <f>Skills!B21</f>
        <v/>
      </c>
      <c r="C847">
        <f>Inputs!$B$3&gt;=33</f>
        <v/>
      </c>
      <c r="D847">
        <f>IF(Skills!C21=1,60+Inputs!$B$26+Inputs!$B$30,IF(Skills!C21=2,90+(Inputs!$B$27+1)+Inputs!$B$30,IF(Skills!C21=3,120+Inputs!$B$28+Inputs!$B$30,MAX(0,(Inputs!$B$3-100)*3)+Inputs!$B$29+Inputs!$B$30)))</f>
        <v/>
      </c>
      <c r="E847">
        <f>INDEX(FactorTable!$B$2:$Y$301, MATCH(ROUND(MIN(300,MAX(1,D847)),0), FactorTable!$A$2:$A$301,0), Skills!L21+1)</f>
        <v/>
      </c>
      <c r="F847">
        <f>IF(Skills!M21=TRUE,(Skills!K21/10)*(E847/1000),Skills!K21/10)+Skills!N21</f>
        <v/>
      </c>
      <c r="G847">
        <f>Calc!G21</f>
        <v/>
      </c>
      <c r="H847">
        <f>Calc!H21</f>
        <v/>
      </c>
      <c r="I847">
        <f>IF(Skills!T21&lt;&gt;"",1+(Skills!T21/10)*($Z$3/1000)/100,1)</f>
        <v/>
      </c>
      <c r="J847" t="inlineStr"/>
      <c r="K847" t="inlineStr"/>
      <c r="L847" t="inlineStr"/>
      <c r="M847" t="inlineStr"/>
      <c r="N847" t="inlineStr"/>
      <c r="O847">
        <f>(1-Summary!$B$48)*S847+Summary!$B$48*U847</f>
        <v/>
      </c>
      <c r="P847">
        <f>IF(B868=0,0,O847/B868)</f>
        <v/>
      </c>
      <c r="Q847">
        <f>IFERROR(1/IF(Inputs!$B$39="pvp",15,MAX(0.1,Skills!D21-IF(Skills!E21=TRUE,Inputs!$B$33,0))),0)</f>
        <v/>
      </c>
      <c r="R847" t="n">
        <v>0</v>
      </c>
      <c r="S847" t="n">
        <v>0</v>
      </c>
      <c r="U847" t="n">
        <v>0</v>
      </c>
    </row>
    <row r="848">
      <c r="A848">
        <f>Skills!A22</f>
        <v/>
      </c>
      <c r="B848">
        <f>Skills!B22</f>
        <v/>
      </c>
      <c r="C848">
        <f>Inputs!$B$3&gt;=43</f>
        <v/>
      </c>
      <c r="D848">
        <f>IF(Skills!C22=1,60+Inputs!$B$26+Inputs!$B$30,IF(Skills!C22=2,90+(Inputs!$B$27+1)+Inputs!$B$30,IF(Skills!C22=3,120+Inputs!$B$28+Inputs!$B$30,MAX(0,(Inputs!$B$3-100)*3)+Inputs!$B$29+Inputs!$B$30)))</f>
        <v/>
      </c>
      <c r="E848">
        <f>INDEX(FactorTable!$B$2:$Y$301, MATCH(ROUND(MIN(300,MAX(1,D848)),0), FactorTable!$A$2:$A$301,0), Skills!L22+1)</f>
        <v/>
      </c>
      <c r="F848">
        <f>IF(Skills!M22=TRUE,(Skills!K22/10)*(E848/1000),Skills!K22/10)+Skills!N22</f>
        <v/>
      </c>
      <c r="G848">
        <f>Calc!G22</f>
        <v/>
      </c>
      <c r="H848">
        <f>Calc!H22</f>
        <v/>
      </c>
      <c r="I848">
        <f>IF(Skills!T22&lt;&gt;"",1+(Skills!T22/10)*($Z$3/1000)/100,1)</f>
        <v/>
      </c>
      <c r="J848" t="inlineStr"/>
      <c r="K848" t="inlineStr"/>
      <c r="L848" t="inlineStr"/>
      <c r="M848" t="inlineStr"/>
      <c r="N848" t="inlineStr"/>
      <c r="O848">
        <f>(1-Summary!$B$48)*S848+Summary!$B$48*U848</f>
        <v/>
      </c>
      <c r="P848">
        <f>IF(B868=0,0,O848/B868)</f>
        <v/>
      </c>
      <c r="Q848">
        <f>IFERROR(1/IF(Inputs!$B$39="pvp",15,MAX(0.1,Skills!D22-IF(Skills!E22=TRUE,Inputs!$B$33,0))),0)</f>
        <v/>
      </c>
      <c r="R848" t="n">
        <v>0</v>
      </c>
      <c r="S848" t="n">
        <v>0</v>
      </c>
      <c r="U848" t="n">
        <v>0</v>
      </c>
    </row>
    <row r="849">
      <c r="A849">
        <f>Skills!A23</f>
        <v/>
      </c>
      <c r="B849">
        <f>Skills!B23</f>
        <v/>
      </c>
      <c r="C849">
        <f>Inputs!$B$3&gt;=50</f>
        <v/>
      </c>
      <c r="D849">
        <f>IF(Skills!C23=1,60+Inputs!$B$26+Inputs!$B$30,IF(Skills!C23=2,90+(Inputs!$B$27+1)+Inputs!$B$30,IF(Skills!C23=3,120+Inputs!$B$28+Inputs!$B$30,MAX(0,(Inputs!$B$3-100)*3)+Inputs!$B$29+Inputs!$B$30)))</f>
        <v/>
      </c>
      <c r="E849">
        <f>INDEX(FactorTable!$B$2:$Y$301, MATCH(ROUND(MIN(300,MAX(1,D849)),0), FactorTable!$A$2:$A$301,0), Skills!L23+1)</f>
        <v/>
      </c>
      <c r="F849">
        <f>IF(Skills!M23=TRUE,(Skills!K23/10)*(E849/1000),Skills!K23/10)+Skills!N23</f>
        <v/>
      </c>
      <c r="G849">
        <f>Calc!G23</f>
        <v/>
      </c>
      <c r="H849">
        <f>Calc!H23</f>
        <v/>
      </c>
      <c r="I849">
        <f>IF(Skills!T23&lt;&gt;"",1+(Skills!T23/10)*($Z$3/1000)/100,1)</f>
        <v/>
      </c>
      <c r="J849" t="inlineStr"/>
      <c r="K849" t="inlineStr"/>
      <c r="L849" t="inlineStr"/>
      <c r="M849" t="inlineStr"/>
      <c r="N849" t="inlineStr"/>
      <c r="O849">
        <f>(1-Summary!$B$48)*S849+Summary!$B$48*U849</f>
        <v/>
      </c>
      <c r="P849">
        <f>IF(B868=0,0,O849/B868)</f>
        <v/>
      </c>
      <c r="Q849">
        <f>IFERROR(1/IF(Inputs!$B$39="pvp",15,MAX(0.1,Skills!D23-IF(Skills!E23=TRUE,Inputs!$B$33,0))),0)</f>
        <v/>
      </c>
      <c r="R849" t="n">
        <v>0</v>
      </c>
      <c r="S849" t="n">
        <v>0</v>
      </c>
      <c r="U849" t="n">
        <v>0</v>
      </c>
    </row>
    <row r="850">
      <c r="A850">
        <f>Skills!A24</f>
        <v/>
      </c>
      <c r="B850">
        <f>Skills!B24</f>
        <v/>
      </c>
      <c r="C850">
        <f>Inputs!$B$3&gt;=74</f>
        <v/>
      </c>
      <c r="D850">
        <f>IF(Skills!C24=1,60+Inputs!$B$26+Inputs!$B$30,IF(Skills!C24=2,90+(Inputs!$B$27+1)+Inputs!$B$30,IF(Skills!C24=3,120+Inputs!$B$28+Inputs!$B$30,MAX(0,(Inputs!$B$3-100)*3)+Inputs!$B$29+Inputs!$B$30)))</f>
        <v/>
      </c>
      <c r="E850">
        <f>INDEX(FactorTable!$B$2:$Y$301, MATCH(ROUND(MIN(300,MAX(1,D850)),0), FactorTable!$A$2:$A$301,0), Skills!L24+1)</f>
        <v/>
      </c>
      <c r="F850">
        <f>IF(Skills!M24=TRUE,(Skills!K24/10)*(E850/1000),Skills!K24/10)+Skills!N24</f>
        <v/>
      </c>
      <c r="G850">
        <f>Calc!G24</f>
        <v/>
      </c>
      <c r="H850">
        <f>Calc!H24</f>
        <v/>
      </c>
      <c r="I850">
        <f>IF(Skills!T24&lt;&gt;"",1+(Skills!T24/10)*($Z$3/1000)/100,1)</f>
        <v/>
      </c>
      <c r="J850" t="inlineStr"/>
      <c r="K850" t="inlineStr"/>
      <c r="L850" t="inlineStr"/>
      <c r="M850" t="inlineStr"/>
      <c r="N850" t="inlineStr"/>
      <c r="O850">
        <f>(1-Summary!$B$48)*S850+Summary!$B$48*U850</f>
        <v/>
      </c>
      <c r="P850">
        <f>IF(B868=0,0,O850/B868)</f>
        <v/>
      </c>
      <c r="Q850">
        <f>IFERROR(1/IF(Inputs!$B$39="pvp",15,MAX(0.1,Skills!D24-IF(Skills!E24=TRUE,Inputs!$B$33,0))),0)</f>
        <v/>
      </c>
      <c r="R850" t="n">
        <v>0</v>
      </c>
      <c r="S850" t="n">
        <v>0</v>
      </c>
      <c r="U850" t="n">
        <v>0</v>
      </c>
    </row>
    <row r="851">
      <c r="A851">
        <f>Skills!A25</f>
        <v/>
      </c>
      <c r="B851">
        <f>Skills!B25</f>
        <v/>
      </c>
      <c r="C851">
        <f>Inputs!$B$3&gt;=74</f>
        <v/>
      </c>
      <c r="D851">
        <f>IF(Skills!C25=1,60+Inputs!$B$26+Inputs!$B$30,IF(Skills!C25=2,90+(Inputs!$B$27+1)+Inputs!$B$30,IF(Skills!C25=3,120+Inputs!$B$28+Inputs!$B$30,MAX(0,(Inputs!$B$3-100)*3)+Inputs!$B$29+Inputs!$B$30)))</f>
        <v/>
      </c>
      <c r="E851">
        <f>INDEX(FactorTable!$B$2:$Y$301, MATCH(ROUND(MIN(300,MAX(1,D851)),0), FactorTable!$A$2:$A$301,0), Skills!L25+1)</f>
        <v/>
      </c>
      <c r="F851">
        <f>IF(Skills!M25=TRUE,(Skills!K25/10)*(E851/1000),Skills!K25/10)+Skills!N25</f>
        <v/>
      </c>
      <c r="G851">
        <f>Calc!G25</f>
        <v/>
      </c>
      <c r="H851">
        <f>Calc!H25</f>
        <v/>
      </c>
      <c r="I851">
        <f>IF(Skills!T25&lt;&gt;"",1+(Skills!T25/10)*($Z$3/1000)/100,1)</f>
        <v/>
      </c>
      <c r="J851" t="inlineStr"/>
      <c r="K851" t="inlineStr"/>
      <c r="L851" t="inlineStr"/>
      <c r="M851" t="inlineStr"/>
      <c r="N851" t="inlineStr"/>
      <c r="O851">
        <f>(1-Summary!$B$48)*S851+Summary!$B$48*U851</f>
        <v/>
      </c>
      <c r="P851">
        <f>IF(B868=0,0,O851/B868)</f>
        <v/>
      </c>
      <c r="Q851">
        <f>IFERROR(1/IF(Inputs!$B$39="pvp",15,MAX(0.1,Skills!D25-IF(Skills!E25=TRUE,Inputs!$B$33,0))),0)</f>
        <v/>
      </c>
      <c r="R851" t="n">
        <v>0</v>
      </c>
      <c r="S851" t="n">
        <v>0</v>
      </c>
      <c r="U851" t="n">
        <v>0</v>
      </c>
    </row>
    <row r="852">
      <c r="A852">
        <f>Skills!A26</f>
        <v/>
      </c>
      <c r="B852">
        <f>Skills!B26</f>
        <v/>
      </c>
      <c r="C852">
        <f>Inputs!$B$3&gt;=117</f>
        <v/>
      </c>
      <c r="D852">
        <f>IF(Skills!C26=1,60+Inputs!$B$26+Inputs!$B$30,IF(Skills!C26=2,90+(Inputs!$B$27+1)+Inputs!$B$30,IF(Skills!C26=3,120+Inputs!$B$28+Inputs!$B$30,MAX(0,(Inputs!$B$3-100)*3)+Inputs!$B$29+Inputs!$B$30)))</f>
        <v/>
      </c>
      <c r="E852">
        <f>INDEX(FactorTable!$B$2:$Y$301, MATCH(ROUND(MIN(300,MAX(1,D852)),0), FactorTable!$A$2:$A$301,0), Skills!L26+1)</f>
        <v/>
      </c>
      <c r="F852">
        <f>IF(Skills!M26=TRUE,(Skills!K26/10)*(E852/1000),Skills!K26/10)+Skills!N26</f>
        <v/>
      </c>
      <c r="G852">
        <f>Calc!G26</f>
        <v/>
      </c>
      <c r="H852">
        <f>Calc!H26</f>
        <v/>
      </c>
      <c r="I852">
        <f>IF(Skills!T26&lt;&gt;"",1+(Skills!T26/10)*($Z$3/1000)/100,1)</f>
        <v/>
      </c>
      <c r="J852" t="inlineStr"/>
      <c r="K852" t="inlineStr"/>
      <c r="L852" t="inlineStr"/>
      <c r="M852" t="inlineStr"/>
      <c r="N852" t="inlineStr"/>
      <c r="O852">
        <f>(1-Summary!$B$48)*S852+Summary!$B$48*U852</f>
        <v/>
      </c>
      <c r="P852">
        <f>IF(B868=0,0,O852/B868)</f>
        <v/>
      </c>
      <c r="Q852">
        <f>IFERROR(1/IF(Inputs!$B$39="pvp",15,MAX(0.1,Skills!D26-IF(Skills!E26=TRUE,Inputs!$B$33,0))),0)</f>
        <v/>
      </c>
      <c r="R852" t="n">
        <v>0</v>
      </c>
      <c r="S852" t="n">
        <v>0</v>
      </c>
      <c r="U852" t="n">
        <v>0</v>
      </c>
    </row>
    <row r="853">
      <c r="A853">
        <f>Skills!A27</f>
        <v/>
      </c>
      <c r="B853">
        <f>Skills!B27</f>
        <v/>
      </c>
      <c r="C853">
        <f>Inputs!$B$3&gt;=120</f>
        <v/>
      </c>
      <c r="D853">
        <f>IF(Skills!C27=1,60+Inputs!$B$26+Inputs!$B$30,IF(Skills!C27=2,90+(Inputs!$B$27+1)+Inputs!$B$30,IF(Skills!C27=3,120+Inputs!$B$28+Inputs!$B$30,MAX(0,(Inputs!$B$3-100)*3)+Inputs!$B$29+Inputs!$B$30)))</f>
        <v/>
      </c>
      <c r="E853">
        <f>INDEX(FactorTable!$B$2:$Y$301, MATCH(ROUND(MIN(300,MAX(1,D853)),0), FactorTable!$A$2:$A$301,0), Skills!L27+1)</f>
        <v/>
      </c>
      <c r="F853">
        <f>IF(Skills!M27=TRUE,(Skills!K27/10)*(E853/1000),Skills!K27/10)+Skills!N27</f>
        <v/>
      </c>
      <c r="G853">
        <f>Calc!G27</f>
        <v/>
      </c>
      <c r="H853">
        <f>Calc!H27</f>
        <v/>
      </c>
      <c r="I853">
        <f>IF(Skills!T27&lt;&gt;"",1+(Skills!T27/10)*($Z$3/1000)/100,1)</f>
        <v/>
      </c>
      <c r="J853" t="inlineStr"/>
      <c r="K853" t="inlineStr"/>
      <c r="L853" t="inlineStr"/>
      <c r="M853" t="inlineStr"/>
      <c r="N853" t="inlineStr"/>
      <c r="O853">
        <f>(1-Summary!$B$48)*S853+Summary!$B$48*U853</f>
        <v/>
      </c>
      <c r="P853">
        <f>IF(B868=0,0,O853/B868)</f>
        <v/>
      </c>
      <c r="Q853">
        <f>IFERROR(1/IF(Inputs!$B$39="pvp",15,MAX(0.1,Skills!D27-IF(Skills!E27=TRUE,Inputs!$B$33,0))),0)</f>
        <v/>
      </c>
      <c r="R853" t="n">
        <v>0</v>
      </c>
      <c r="S853" t="n">
        <v>0</v>
      </c>
      <c r="U853" t="n">
        <v>0</v>
      </c>
    </row>
    <row r="855">
      <c r="A855" t="inlineStr">
        <is>
          <t>Average Buff Multiplier</t>
        </is>
      </c>
      <c r="B855">
        <f>(1+(IF(C829=TRUE,F829*IF(AND(Inputs!$B$39&lt;&gt;"pvp",Inputs!$B$44&gt;0),(((R829-1)*(Skills!S3*(1+(Inputs!$B$35+IF(Inputs!$B$3&gt;=117,F852,0))/100))+MIN((Skills!S3*(1+(Inputs!$B$35+IF(Inputs!$B$3&gt;=117,F852,0))/100)),MAX(0,Inputs!$B$44-((R829-1)*Skills!D3))))/Inputs!$B$44),IF(Inputs!$B$39="pvp",MIN((Skills!S3*(1+(Inputs!$B$35+IF(Inputs!$B$3&gt;=117,F852,0))/100)),15)/15,(Skills!S3*(1+(Inputs!$B$35+IF(Inputs!$B$3&gt;=117,F852,0))/100))/Skills!D3)),0)+IF(C830=TRUE,F830*IF(AND(Inputs!$B$39&lt;&gt;"pvp",Inputs!$B$44&gt;0),(((R830-1)*(Skills!S4*(1+(Inputs!$B$35+IF(Inputs!$B$3&gt;=117,F852,0))/100))+MIN((Skills!S4*(1+(Inputs!$B$35+IF(Inputs!$B$3&gt;=117,F852,0))/100)),MAX(0,Inputs!$B$44-((R830-1)*Skills!D4))))/Inputs!$B$44),IF(Inputs!$B$39="pvp",MIN((Skills!S4*(1+(Inputs!$B$35+IF(Inputs!$B$3&gt;=117,F852,0))/100)),15)/15,(Skills!S4*(1+(Inputs!$B$35+IF(Inputs!$B$3&gt;=117,F852,0))/100))/Skills!D4)),0)+IF(C831=TRUE,F831*IF(AND(Inputs!$B$39&lt;&gt;"pvp",Inputs!$B$44&gt;0),(((R831-1)*(Skills!S5*(1+(Inputs!$B$35+IF(Inputs!$B$3&gt;=117,F852,0))/100))+MIN((Skills!S5*(1+(Inputs!$B$35+IF(Inputs!$B$3&gt;=117,F852,0))/100)),MAX(0,Inputs!$B$44-((R831-1)*Skills!D5))))/Inputs!$B$44),IF(Inputs!$B$39="pvp",MIN((Skills!S5*(1+(Inputs!$B$35+IF(Inputs!$B$3&gt;=117,F852,0))/100)),15)/15,(Skills!S5*(1+(Inputs!$B$35+IF(Inputs!$B$3&gt;=117,F852,0))/100))/Skills!D5)),0)+IF(C837=TRUE,F837*IF(AND(Inputs!$B$39&lt;&gt;"pvp",Inputs!$B$44&gt;0),(((R837-1)*(Skills!S11*(1+(Inputs!$B$35+IF(Inputs!$B$3&gt;=117,F852,0))/100))+MIN((Skills!S11*(1+(Inputs!$B$35+IF(Inputs!$B$3&gt;=117,F852,0))/100)),MAX(0,Inputs!$B$44-((R837-1)*Skills!D11))))/Inputs!$B$44),IF(Inputs!$B$39="pvp",MIN((Skills!S11*(1+(Inputs!$B$35+IF(Inputs!$B$3&gt;=117,F852,0))/100)),15)/15,(Skills!S11*(1+(Inputs!$B$35+IF(Inputs!$B$3&gt;=117,F852,0))/100))/Skills!D11)),0))/100)*IF(C840=TRUE,(1+F840*IF(AND(Inputs!$B$39&lt;&gt;"pvp",Inputs!$B$44&gt;0),(((R840-1)*(Skills!S14*(1+(Inputs!$B$35+IF(Inputs!$B$3&gt;=117,F852,0))/100))+MIN((Skills!S14*(1+(Inputs!$B$35+IF(Inputs!$B$3&gt;=117,F852,0))/100)),MAX(0,Inputs!$B$44-((R840-1)*Skills!D14))))/Inputs!$B$44),IF(Inputs!$B$39="pvp",MIN((Skills!S14*(1+(Inputs!$B$35+IF(Inputs!$B$3&gt;=117,F852,0))/100)),15)/15,(Skills!S14*(1+(Inputs!$B$35+IF(Inputs!$B$3&gt;=117,F852,0))/100))/Skills!D14))/100),1)*IF(C845=TRUE,(1+F845*IF(AND(Inputs!$B$39&lt;&gt;"pvp",Inputs!$B$44&gt;0),(((R845-1)*(Skills!S19*(1+(Inputs!$B$35+IF(Inputs!$B$3&gt;=117,F852,0))/100))+MIN((Skills!S19*(1+(Inputs!$B$35+IF(Inputs!$B$3&gt;=117,F852,0))/100)),MAX(0,Inputs!$B$44-((R845-1)*Skills!D19))))/Inputs!$B$44),IF(Inputs!$B$39="pvp",MIN((Skills!S19*(1+(Inputs!$B$35+IF(Inputs!$B$3&gt;=117,F852,0))/100)),15)/15,(Skills!S19*(1+(Inputs!$B$35+IF(Inputs!$B$3&gt;=117,F852,0))/100))/Skills!D19))/100),1)</f>
        <v/>
      </c>
    </row>
    <row r="856">
      <c r="A856" t="inlineStr">
        <is>
          <t>Monster Damage Taken Bonus % (Holy Fountain)</t>
        </is>
      </c>
      <c r="B856">
        <f>IF(Inputs!$B$3&gt;=68,20*IF(Inputs!$B$39="pvp",MIN((15*(1+(Inputs!$B$35+IF(Inputs!$B$3&gt;=117,F852,0))/100)),15)/15,(15*(1+(Inputs!$B$35+IF(Inputs!$B$3&gt;=117,F852,0))/100))/Skills!D10),0)</f>
        <v/>
      </c>
    </row>
    <row r="857">
      <c r="A857" t="inlineStr">
        <is>
          <t>Normal Monster Damage Bonus % (Holy Symbol)</t>
        </is>
      </c>
      <c r="B857">
        <f>IF(C838=TRUE,F838*IF(AND(Inputs!$B$39&lt;&gt;"pvp",Inputs!$B$44&gt;0),(((R838-1)*(Skills!S12*(1+(Inputs!$B$35+IF(Inputs!$B$3&gt;=117,F852,0))/100))+MIN((Skills!S12*(1+(Inputs!$B$35+IF(Inputs!$B$3&gt;=117,F852,0))/100)),MAX(0,Inputs!$B$44-((R838-1)*Skills!D12))))/Inputs!$B$44),IF(Inputs!$B$39="pvp",MIN((Skills!S12*(1+(Inputs!$B$35+IF(Inputs!$B$3&gt;=117,F852,0))/100)),15)/15,(Skills!S12*(1+(Inputs!$B$35+IF(Inputs!$B$3&gt;=117,F852,0))/100))/Skills!D12)),0)</f>
        <v/>
      </c>
    </row>
    <row r="858">
      <c r="A858" t="inlineStr">
        <is>
          <t>Damage % Bonus (Holy Symbol - Damage Boost)</t>
        </is>
      </c>
      <c r="B858">
        <f>Skills!O12</f>
        <v/>
      </c>
    </row>
    <row r="859">
      <c r="A859" t="inlineStr">
        <is>
          <t>Crit Damage % Bonus (Blood of the Divine)</t>
        </is>
      </c>
      <c r="B859">
        <f>4*IF(C846=TRUE,F846,0)</f>
        <v/>
      </c>
    </row>
    <row r="860">
      <c r="A860" t="inlineStr">
        <is>
          <t>Attack Speed Bonus %</t>
        </is>
      </c>
      <c r="B860">
        <f>IF(C843=TRUE,F843+(F847-Calc!F21),0)+IF(Inputs!$B$3&gt;=134,15,0)</f>
        <v/>
      </c>
    </row>
    <row r="861">
      <c r="A861" t="inlineStr">
        <is>
          <t>Actions Per Second</t>
        </is>
      </c>
      <c r="B861">
        <f>1+MIN(150,150*(1-(1-Inputs!$B$12/150)*(1-B860/150)))/100</f>
        <v/>
      </c>
    </row>
    <row r="862">
      <c r="A862" t="inlineStr">
        <is>
          <t>Skill + Buff Cast Rate</t>
        </is>
      </c>
      <c r="B862">
        <f>IF(AND(Inputs!$B$39&lt;&gt;"pvp",Inputs!$B$44&gt;0),SUMPRODUCT((Skills!E2:E27=TRUE)*(C828:C853=TRUE)*R828:R853)/Inputs!$B$44,SUMPRODUCT((Skills!E2:E27=TRUE)*(C828:C853=TRUE)*Q828:Q853))</f>
        <v/>
      </c>
    </row>
    <row r="863">
      <c r="A863" t="inlineStr">
        <is>
          <t>Big Bang Casts Per Second</t>
        </is>
      </c>
      <c r="B863">
        <f>MAX(0,B861-B862)</f>
        <v/>
      </c>
    </row>
    <row r="864">
      <c r="A864" t="inlineStr">
        <is>
          <t>Defense % Bonus (Divine Protection)</t>
        </is>
      </c>
      <c r="B864">
        <f>IF(C839=TRUE,F839*IF(AND(Inputs!$B$39&lt;&gt;"pvp",Inputs!$B$44&gt;0),(((R839-1)*(Skills!S13*(1+(Inputs!$B$35+IF(Inputs!$B$3&gt;=117,F852,0))/100))+MIN((Skills!S13*(1+(Inputs!$B$35+IF(Inputs!$B$3&gt;=117,F852,0))/100)),MAX(0,Inputs!$B$44-((R839-1)*Skills!D13))))/Inputs!$B$44),IF(Inputs!$B$39="pvp",MIN((Skills!S13*(1+(Inputs!$B$35+IF(Inputs!$B$3&gt;=117,F852,0))/100)),15)/15,(Skills!S13*(1+(Inputs!$B$35+IF(Inputs!$B$3&gt;=117,F852,0))/100))/Skills!D13)),0)</f>
        <v/>
      </c>
    </row>
    <row r="865">
      <c r="A865" t="inlineStr">
        <is>
          <t>Buff-Casting Startup Delay (s, fixed-duration only)</t>
        </is>
      </c>
      <c r="B865">
        <f>IF(AND(Inputs!$B$39&lt;&gt;"pvp",Inputs!$B$44&gt;0),SUMPRODUCT((Skills!S2:S27&gt;0)*(Skills!E2:E27=TRUE)*(C828:C853=TRUE))/B861,0)</f>
        <v/>
      </c>
    </row>
    <row r="866">
      <c r="A866" t="inlineStr">
        <is>
          <t>Boss-Only Total DPS (this block's swept value)</t>
        </is>
      </c>
      <c r="B866">
        <f>SUM(S828:S853)</f>
        <v/>
      </c>
    </row>
    <row r="867">
      <c r="A867" t="inlineStr">
        <is>
          <t>Normal-Only Total DPS (this block's swept value)</t>
        </is>
      </c>
      <c r="B867">
        <f>SUM(U828:U853)</f>
        <v/>
      </c>
    </row>
    <row r="868">
      <c r="A868" s="5" t="inlineStr">
        <is>
          <t>TOTAL DPS</t>
        </is>
      </c>
      <c r="B868" s="5">
        <f>SUM(O828:O853)</f>
        <v/>
      </c>
    </row>
    <row r="870">
      <c r="A870" s="5" t="inlineStr">
        <is>
          <t>Stat: Skill Level Bonus — 3rd Job</t>
        </is>
      </c>
    </row>
    <row r="871">
      <c r="A871" s="9" t="inlineStr">
        <is>
          <t>Key</t>
        </is>
      </c>
      <c r="B871" s="9" t="inlineStr">
        <is>
          <t>Name</t>
        </is>
      </c>
      <c r="C871" s="9" t="inlineStr">
        <is>
          <t>Unlocked</t>
        </is>
      </c>
      <c r="D871" s="9" t="inlineStr">
        <is>
          <t>InputLevel</t>
        </is>
      </c>
      <c r="E871" s="9" t="inlineStr">
        <is>
          <t>Factor</t>
        </is>
      </c>
      <c r="F871" s="9" t="inlineStr">
        <is>
          <t>CoefficientPercent</t>
        </is>
      </c>
      <c r="G871" s="9" t="inlineStr">
        <is>
          <t>EffectiveHits</t>
        </is>
      </c>
      <c r="H871" s="9" t="inlineStr">
        <is>
          <t>ProcProbability</t>
        </is>
      </c>
      <c r="I871" s="9" t="inlineStr">
        <is>
          <t>MapleHeroMultiplier</t>
        </is>
      </c>
      <c r="J871" s="9" t="inlineStr">
        <is>
          <t>BaseDamage</t>
        </is>
      </c>
      <c r="K871" s="9" t="inlineStr">
        <is>
          <t>BaseHitDamage</t>
        </is>
      </c>
      <c r="L871" s="9" t="inlineStr">
        <is>
          <t>NonCritAvg</t>
        </is>
      </c>
      <c r="M871" s="9" t="inlineStr">
        <is>
          <t>CritAvg</t>
        </is>
      </c>
      <c r="N871" s="9" t="inlineStr">
        <is>
          <t>ExpectedDamage(perHit)</t>
        </is>
      </c>
      <c r="O871" s="9" t="inlineStr">
        <is>
          <t>DPS</t>
        </is>
      </c>
      <c r="P871" s="9" t="inlineStr">
        <is>
          <t>% of Total</t>
        </is>
      </c>
      <c r="R871" t="inlineStr">
        <is>
          <t>helpers</t>
        </is>
      </c>
    </row>
    <row r="872">
      <c r="A872">
        <f>Skills!A2</f>
        <v/>
      </c>
      <c r="B872">
        <f>Skills!B2</f>
        <v/>
      </c>
      <c r="C872">
        <f>Inputs!$B$3&gt;=100</f>
        <v/>
      </c>
      <c r="D872" t="inlineStr"/>
      <c r="E872" t="inlineStr"/>
      <c r="F872">
        <f>T874+Skills!N2</f>
        <v/>
      </c>
      <c r="G872">
        <f>Calc!G2</f>
        <v/>
      </c>
      <c r="H872">
        <f>Calc!H2</f>
        <v/>
      </c>
      <c r="I872">
        <f>IF(Skills!T2&lt;&gt;"",1+(Skills!T2/10)*($Z$3/1000)/100,1)</f>
        <v/>
      </c>
      <c r="J872">
        <f>((Inputs!$B$6*(1+Inputs!$B$7/100))+(((Inputs!$B$13*(1+Inputs!$B$14/100))-(Inputs!$B$13*(1+Inputs!$B$14/100)))+0.25*(Inputs!$B$15-Inputs!$B$15))*(1+Inputs!$B$7/100))*(F872/100)</f>
        <v/>
      </c>
      <c r="K872">
        <f>J872*(1+(((Inputs!$B$13+IF(Inputs!$B$3&gt;=35,(10*INDEX(FactorTable!$B$2:$Y$301, MATCH(ROUND(MIN(300,MAX(1,Inputs!$B$3)),0), FactorTable!$A$2:$A$301,0), 23)/1000)/100*(Inputs!$B$8*(1+(Inputs!$B$9+B908)/100)),0))*(1+Inputs!$B$14/100))*0.01+Inputs!$B$15*0.0025)/100)*(1+(Inputs!$B$16+B902)/100)*(1+Inputs!$B$17/100)*(5000/(6000+Inputs!$B$43*(1-Inputs!$B$20/100)))*(1+Inputs!$B$25/100)*(1+IF(C888=TRUE,F888,0)/100)*(1+IF(C890=TRUE,F890,0)/100)*(1+IF(Skills!A2="TRIUMPH_FEATHER",IF(C886=TRUE,F886,0),0)/100)*(1+IF(C897=TRUE,F897,0)/100)^5*(1+(IF(Skills!A2="BIG_BANG",Inputs!$B$18,Inputs!$B$19))/100)*(B899*I872)</f>
        <v/>
      </c>
      <c r="L872">
        <f>K872*(MIN(Inputs!$B$23+(F892-Calc!F22),Inputs!$B$24)/100+Inputs!$B$24/100)/2</f>
        <v/>
      </c>
      <c r="M872">
        <f>L872*(1+(Inputs!$B$11+B903+(F895-Calc!F25))/100)</f>
        <v/>
      </c>
      <c r="N872">
        <f>L872*(1-MIN(Inputs!$B$10+((F894-Calc!F24)+(F893-Calc!F23)),100)/100)+M872*(MIN(Inputs!$B$10+((F894-Calc!F24)+(F893-Calc!F23)),100)/100)</f>
        <v/>
      </c>
      <c r="O872">
        <f>(1-Summary!$B$48)*S872+Summary!$B$48*U872</f>
        <v/>
      </c>
      <c r="P872">
        <f>IF(B912=0,0,O872/B912)</f>
        <v/>
      </c>
      <c r="Q872">
        <f>IFERROR(1/IF(Inputs!$B$39="pvp",15,MAX(0.1,Skills!D2-IF(Skills!E2=TRUE,Inputs!$B$33,0))),0)</f>
        <v/>
      </c>
      <c r="R872" t="n">
        <v>0</v>
      </c>
      <c r="S872">
        <f>IF(C872,(Skills!F2*N872*B907)*IF(Inputs!$B$39="pvp",1,1+(Inputs!$B$21+Skills!O2+B900)/100),0)</f>
        <v/>
      </c>
      <c r="T872">
        <f>MAX(0,(Inputs!$B$3-100)*3)+Inputs!$B$29+Inputs!$B$30</f>
        <v/>
      </c>
      <c r="U872">
        <f>IF(C872,(Skills!F2*N872*B907)*IF(Inputs!$B$39="pvp",1,(1+(Inputs!$B$22+Skills!P2+B901)/100)*(MIN((6+Inputs!$B$34),Inputs!$B$38))),0)</f>
        <v/>
      </c>
    </row>
    <row r="873">
      <c r="A873">
        <f>Skills!A3</f>
        <v/>
      </c>
      <c r="B873">
        <f>Skills!B3</f>
        <v/>
      </c>
      <c r="C873">
        <f>Inputs!$B$3&gt;=15</f>
        <v/>
      </c>
      <c r="D873">
        <f>IF(Skills!C3=1,60+Inputs!$B$26+Inputs!$B$30,IF(Skills!C3=2,90+Inputs!$B$27+Inputs!$B$30,IF(Skills!C3=3,120+(Inputs!$B$28+1)+Inputs!$B$30,MAX(0,(Inputs!$B$3-100)*3)+Inputs!$B$29+Inputs!$B$30)))</f>
        <v/>
      </c>
      <c r="E873">
        <f>INDEX(FactorTable!$B$2:$Y$301, MATCH(ROUND(MIN(300,MAX(1,D873)),0), FactorTable!$A$2:$A$301,0), Skills!L3+1)</f>
        <v/>
      </c>
      <c r="F873">
        <f>IF(Skills!M3=TRUE,(Skills!K3/10)*(E873/1000),Skills!K3/10)+Skills!N3</f>
        <v/>
      </c>
      <c r="G873">
        <f>Calc!G3</f>
        <v/>
      </c>
      <c r="H873">
        <f>Calc!H3</f>
        <v/>
      </c>
      <c r="I873">
        <f>IF(Skills!T3&lt;&gt;"",1+(Skills!T3/10)*($Z$3/1000)/100,1)</f>
        <v/>
      </c>
      <c r="J873" t="inlineStr"/>
      <c r="K873" t="inlineStr"/>
      <c r="L873" t="inlineStr"/>
      <c r="M873" t="inlineStr"/>
      <c r="N873" t="inlineStr"/>
      <c r="O873">
        <f>(1-Summary!$B$48)*S873+Summary!$B$48*U873</f>
        <v/>
      </c>
      <c r="P873">
        <f>IF(B912=0,0,O873/B912)</f>
        <v/>
      </c>
      <c r="Q873">
        <f>IFERROR(1/IF(Inputs!$B$39="pvp",15,MAX(0.1,Skills!D3-IF(Skills!E3=TRUE,Inputs!$B$33,0))),0)</f>
        <v/>
      </c>
      <c r="R873">
        <f>IF(AND(Inputs!$B$39&lt;&gt;"pvp",Inputs!$B$44&gt;0),IF(Inputs!$B$44&lt;=0,0,(INT(Inputs!$B$44/IF(Inputs!$B$39="pvp",15,MAX(0.1,Skills!D3-IF(Skills!E3=TRUE,Inputs!$B$33,0))))+1)),0)</f>
        <v/>
      </c>
      <c r="S873" t="n">
        <v>0</v>
      </c>
      <c r="T873">
        <f>INDEX(FactorTable!$B$2:$Y$301, MATCH(ROUND(MIN(300,MAX(1,T872)),0), FactorTable!$A$2:$A$301,0), 22)</f>
        <v/>
      </c>
      <c r="U873" t="n">
        <v>0</v>
      </c>
    </row>
    <row r="874">
      <c r="A874">
        <f>Skills!A4</f>
        <v/>
      </c>
      <c r="B874">
        <f>Skills!B4</f>
        <v/>
      </c>
      <c r="C874">
        <f>Inputs!$B$3&gt;=38</f>
        <v/>
      </c>
      <c r="D874">
        <f>IF(Skills!C4=1,60+Inputs!$B$26+Inputs!$B$30,IF(Skills!C4=2,90+Inputs!$B$27+Inputs!$B$30,IF(Skills!C4=3,120+(Inputs!$B$28+1)+Inputs!$B$30,MAX(0,(Inputs!$B$3-100)*3)+Inputs!$B$29+Inputs!$B$30)))</f>
        <v/>
      </c>
      <c r="E874">
        <f>INDEX(FactorTable!$B$2:$Y$301, MATCH(ROUND(MIN(300,MAX(1,D874)),0), FactorTable!$A$2:$A$301,0), Skills!L4+1)</f>
        <v/>
      </c>
      <c r="F874">
        <f>IF(Skills!M4=TRUE,(Skills!K4/10)*(E874/1000),Skills!K4/10)+Skills!N4</f>
        <v/>
      </c>
      <c r="G874">
        <f>Calc!G4</f>
        <v/>
      </c>
      <c r="H874">
        <f>Calc!H4</f>
        <v/>
      </c>
      <c r="I874">
        <f>IF(Skills!T4&lt;&gt;"",1+(Skills!T4/10)*($Z$3/1000)/100,1)</f>
        <v/>
      </c>
      <c r="J874" t="inlineStr"/>
      <c r="K874" t="inlineStr"/>
      <c r="L874" t="inlineStr"/>
      <c r="M874" t="inlineStr"/>
      <c r="N874" t="inlineStr"/>
      <c r="O874">
        <f>(1-Summary!$B$48)*S874+Summary!$B$48*U874</f>
        <v/>
      </c>
      <c r="P874">
        <f>IF(B912=0,0,O874/B912)</f>
        <v/>
      </c>
      <c r="Q874">
        <f>IFERROR(1/IF(Inputs!$B$39="pvp",15,MAX(0.1,Skills!D4-IF(Skills!E4=TRUE,Inputs!$B$33,0))),0)</f>
        <v/>
      </c>
      <c r="R874">
        <f>IF(AND(Inputs!$B$39&lt;&gt;"pvp",Inputs!$B$44&gt;0),IF(Inputs!$B$44&lt;=0,0,(INT(Inputs!$B$44/IF(Inputs!$B$39="pvp",15,MAX(0.1,Skills!D4-IF(Skills!E4=TRUE,Inputs!$B$33,0))))+1)),0)</f>
        <v/>
      </c>
      <c r="S874" t="n">
        <v>0</v>
      </c>
      <c r="T874">
        <f>290*T873/1000</f>
        <v/>
      </c>
      <c r="U874" t="n">
        <v>0</v>
      </c>
    </row>
    <row r="875">
      <c r="A875">
        <f>Skills!A5</f>
        <v/>
      </c>
      <c r="B875">
        <f>Skills!B5</f>
        <v/>
      </c>
      <c r="C875">
        <f>Inputs!$B$3&gt;=40</f>
        <v/>
      </c>
      <c r="D875">
        <f>IF(Skills!C5=1,60+Inputs!$B$26+Inputs!$B$30,IF(Skills!C5=2,90+Inputs!$B$27+Inputs!$B$30,IF(Skills!C5=3,120+(Inputs!$B$28+1)+Inputs!$B$30,MAX(0,(Inputs!$B$3-100)*3)+Inputs!$B$29+Inputs!$B$30)))</f>
        <v/>
      </c>
      <c r="E875">
        <f>INDEX(FactorTable!$B$2:$Y$301, MATCH(ROUND(MIN(300,MAX(1,D875)),0), FactorTable!$A$2:$A$301,0), Skills!L5+1)</f>
        <v/>
      </c>
      <c r="F875">
        <f>IF(Skills!M5=TRUE,(Skills!K5/10)*(E875/1000),Skills!K5/10)+Skills!N5</f>
        <v/>
      </c>
      <c r="G875">
        <f>Calc!G5</f>
        <v/>
      </c>
      <c r="H875">
        <f>Calc!H5</f>
        <v/>
      </c>
      <c r="I875">
        <f>IF(Skills!T5&lt;&gt;"",1+(Skills!T5/10)*($Z$3/1000)/100,1)</f>
        <v/>
      </c>
      <c r="J875" t="inlineStr"/>
      <c r="K875" t="inlineStr"/>
      <c r="L875" t="inlineStr"/>
      <c r="M875" t="inlineStr"/>
      <c r="N875" t="inlineStr"/>
      <c r="O875">
        <f>(1-Summary!$B$48)*S875+Summary!$B$48*U875</f>
        <v/>
      </c>
      <c r="P875">
        <f>IF(B912=0,0,O875/B912)</f>
        <v/>
      </c>
      <c r="Q875">
        <f>IFERROR(1/IF(Inputs!$B$39="pvp",15,MAX(0.1,Skills!D5-IF(Skills!E5=TRUE,Inputs!$B$33,0))),0)</f>
        <v/>
      </c>
      <c r="R875">
        <f>IF(AND(Inputs!$B$39&lt;&gt;"pvp",Inputs!$B$44&gt;0),IF(Inputs!$B$44&lt;=0,0,(INT(Inputs!$B$44/IF(Inputs!$B$39="pvp",15,MAX(0.1,Skills!D5-IF(Skills!E5=TRUE,Inputs!$B$33,0))))+1)),0)</f>
        <v/>
      </c>
      <c r="S875" t="n">
        <v>0</v>
      </c>
      <c r="U875" t="n">
        <v>0</v>
      </c>
    </row>
    <row r="876">
      <c r="A876">
        <f>Skills!A6</f>
        <v/>
      </c>
      <c r="B876">
        <f>Skills!B6</f>
        <v/>
      </c>
      <c r="C876">
        <f>Inputs!$B$3&gt;=103</f>
        <v/>
      </c>
      <c r="D876">
        <f>IF(Skills!C6=1,60+Inputs!$B$26+Inputs!$B$30,IF(Skills!C6=2,90+Inputs!$B$27+Inputs!$B$30,IF(Skills!C6=3,120+(Inputs!$B$28+1)+Inputs!$B$30,MAX(0,(Inputs!$B$3-100)*3)+Inputs!$B$29+Inputs!$B$30)))</f>
        <v/>
      </c>
      <c r="E876">
        <f>INDEX(FactorTable!$B$2:$Y$301, MATCH(ROUND(MIN(300,MAX(1,D876)),0), FactorTable!$A$2:$A$301,0), Skills!L6+1)</f>
        <v/>
      </c>
      <c r="F876">
        <f>IF(Skills!M6=TRUE,(Skills!K6/10)*(E876/1000),Skills!K6/10)+Skills!N6</f>
        <v/>
      </c>
      <c r="G876">
        <f>Calc!G6</f>
        <v/>
      </c>
      <c r="H876">
        <f>Calc!H6</f>
        <v/>
      </c>
      <c r="I876">
        <f>IF(Skills!T6&lt;&gt;"",1+(Skills!T6/10)*($Z$3/1000)/100,1)</f>
        <v/>
      </c>
      <c r="J876">
        <f>((Inputs!$B$6*(1+Inputs!$B$7/100))+(((Inputs!$B$13*(1+Inputs!$B$14/100))-(Inputs!$B$13*(1+Inputs!$B$14/100)))+0.25*(Inputs!$B$15-Inputs!$B$15))*(1+Inputs!$B$7/100))*(F876/100)</f>
        <v/>
      </c>
      <c r="K876">
        <f>J876*(1+(((Inputs!$B$13+IF(Inputs!$B$3&gt;=35,(10*INDEX(FactorTable!$B$2:$Y$301, MATCH(ROUND(MIN(300,MAX(1,Inputs!$B$3)),0), FactorTable!$A$2:$A$301,0), 23)/1000)/100*(Inputs!$B$8*(1+(Inputs!$B$9+B908)/100)),0))*(1+Inputs!$B$14/100))*0.01+Inputs!$B$15*0.0025)/100)*(1+(Inputs!$B$16+B902)/100)*(1+Inputs!$B$17/100)*(5000/(6000+Inputs!$B$43*(1-Inputs!$B$20/100)))*(1+Inputs!$B$25/100)*(1+IF(C888=TRUE,F888,0)/100)*(1+IF(C890=TRUE,F890,0)/100)*(1+IF(Skills!A6="TRIUMPH_FEATHER",IF(C886=TRUE,F886,0),0)/100)*(1+IF(C897=TRUE,F897,0)/100)^5*(1+(IF(Skills!A6="BIG_BANG",Inputs!$B$18,Inputs!$B$19))/100)*(B899*I876)</f>
        <v/>
      </c>
      <c r="L876">
        <f>K876*(MIN(Inputs!$B$23+(F892-Calc!F22),Inputs!$B$24)/100+Inputs!$B$24/100)/2</f>
        <v/>
      </c>
      <c r="M876">
        <f>L876*(1+(Inputs!$B$11+B903+(F895-Calc!F25))/100)</f>
        <v/>
      </c>
      <c r="N876">
        <f>L876*(1-MIN(Inputs!$B$10+((F894-Calc!F24)+(F893-Calc!F23)),100)/100)+M876*(MIN(Inputs!$B$10+((F894-Calc!F24)+(F893-Calc!F23)),100)/100)</f>
        <v/>
      </c>
      <c r="O876">
        <f>(1-Summary!$B$48)*S876+Summary!$B$48*U876</f>
        <v/>
      </c>
      <c r="P876">
        <f>IF(B912=0,0,O876/B912)</f>
        <v/>
      </c>
      <c r="Q876">
        <f>IFERROR(1/IF(Inputs!$B$39="pvp",15,MAX(0.1,Skills!D6-IF(Skills!E6=TRUE,Inputs!$B$33,0))),0)</f>
        <v/>
      </c>
      <c r="R876">
        <f>IF(AND(Inputs!$B$39&lt;&gt;"pvp",Inputs!$B$44&gt;0),IF(MAX(0,Inputs!$B$44-B909)&lt;=0,0,(INT(MAX(0,Inputs!$B$44-B909)/IF(Inputs!$B$39="pvp",15,MAX(0.1,Skills!D6-IF(Skills!E6=TRUE,Inputs!$B$33,0))))+1)),0)</f>
        <v/>
      </c>
      <c r="S876">
        <f>IF(C876,(H876*N876*IF(AND(Inputs!$B$39&lt;&gt;"pvp",Inputs!$B$44&gt;0),((Skills!F6*((R876-1)*IF(Skills!G6&gt;0,Skills!H6/Skills!G6,1)+IF(Skills!G6&gt;0,MIN(Skills!H6,MAX(0,MAX(0,Inputs!$B$44-B909)-((R876-1)*IF(Inputs!$B$39="pvp",15,MAX(0.1,Skills!D6-IF(Skills!E6=TRUE,Inputs!$B$33,0))))))/Skills!G6,1)))/Inputs!$B$44),G876*Q876))*IF(Inputs!$B$39="pvp",1,1+(Inputs!$B$21+Skills!O6+B900)/100),0)</f>
        <v/>
      </c>
      <c r="U876">
        <f>IF(C876,(H876*N876*IF(AND(Inputs!$B$39&lt;&gt;"pvp",Inputs!$B$44&gt;0),((Skills!F6*((R876-1)*IF(Skills!G6&gt;0,Skills!H6/Skills!G6,1)+IF(Skills!G6&gt;0,MIN(Skills!H6,MAX(0,MAX(0,Inputs!$B$44-B909)-((R876-1)*IF(Inputs!$B$39="pvp",15,MAX(0.1,Skills!D6-IF(Skills!E6=TRUE,Inputs!$B$33,0))))))/Skills!G6,1)))/Inputs!$B$44),G876*Q876))*IF(Inputs!$B$39="pvp",1,(1+(Inputs!$B$22+Skills!P6+B901)/100)*(MIN(Skills!Q6,Inputs!$B$38))),0)</f>
        <v/>
      </c>
    </row>
    <row r="877">
      <c r="A877">
        <f>Skills!A7</f>
        <v/>
      </c>
      <c r="B877">
        <f>Skills!B7</f>
        <v/>
      </c>
      <c r="C877">
        <f>Inputs!$B$3&gt;=122</f>
        <v/>
      </c>
      <c r="D877">
        <f>IF(Skills!C7=1,60+Inputs!$B$26+Inputs!$B$30,IF(Skills!C7=2,90+Inputs!$B$27+Inputs!$B$30,IF(Skills!C7=3,120+(Inputs!$B$28+1)+Inputs!$B$30,MAX(0,(Inputs!$B$3-100)*3)+Inputs!$B$29+Inputs!$B$30)))</f>
        <v/>
      </c>
      <c r="E877">
        <f>INDEX(FactorTable!$B$2:$Y$301, MATCH(ROUND(MIN(300,MAX(1,D877)),0), FactorTable!$A$2:$A$301,0), Skills!L7+1)</f>
        <v/>
      </c>
      <c r="F877">
        <f>IF(Skills!M7=TRUE,(Skills!K7/10)*(E877/1000),Skills!K7/10)+Skills!N7</f>
        <v/>
      </c>
      <c r="G877">
        <f>Calc!G7</f>
        <v/>
      </c>
      <c r="H877">
        <f>Calc!H7</f>
        <v/>
      </c>
      <c r="I877">
        <f>IF(Skills!T7&lt;&gt;"",1+(Skills!T7/10)*($Z$3/1000)/100,1)</f>
        <v/>
      </c>
      <c r="J877">
        <f>((Inputs!$B$6*(1+Inputs!$B$7/100))+(((Inputs!$B$13*(1+Inputs!$B$14/100))-(Inputs!$B$13*(1+Inputs!$B$14/100)))+0.25*(Inputs!$B$15-Inputs!$B$15))*(1+Inputs!$B$7/100))*(F877/100)</f>
        <v/>
      </c>
      <c r="K877">
        <f>J877*(1+(((Inputs!$B$13+IF(Inputs!$B$3&gt;=35,(10*INDEX(FactorTable!$B$2:$Y$301, MATCH(ROUND(MIN(300,MAX(1,Inputs!$B$3)),0), FactorTable!$A$2:$A$301,0), 23)/1000)/100*(Inputs!$B$8*(1+(Inputs!$B$9+B908)/100)),0))*(1+Inputs!$B$14/100))*0.01+Inputs!$B$15*0.0025)/100)*(1+(Inputs!$B$16+B902)/100)*(1+Inputs!$B$17/100)*(5000/(6000+Inputs!$B$43*(1-Inputs!$B$20/100)))*(1+Inputs!$B$25/100)*(1+IF(C888=TRUE,F888,0)/100)*(1+IF(C890=TRUE,F890,0)/100)*(1+IF(Skills!A7="TRIUMPH_FEATHER",IF(C886=TRUE,F886,0),0)/100)*(1+IF(C897=TRUE,F897,0)/100)^5*(1+(IF(Skills!A7="BIG_BANG",Inputs!$B$18,Inputs!$B$19))/100)*(B899*I877)</f>
        <v/>
      </c>
      <c r="L877">
        <f>K877*(MIN(Inputs!$B$23+(F892-Calc!F22),Inputs!$B$24)/100+Inputs!$B$24/100)/2</f>
        <v/>
      </c>
      <c r="M877">
        <f>L877*(1+(Inputs!$B$11+B903+(F895-Calc!F25))/100)</f>
        <v/>
      </c>
      <c r="N877">
        <f>L877*(1-MIN(Inputs!$B$10+((F894-Calc!F24)+(F893-Calc!F23)),100)/100)+M877*(MIN(Inputs!$B$10+((F894-Calc!F24)+(F893-Calc!F23)),100)/100)</f>
        <v/>
      </c>
      <c r="O877">
        <f>(1-Summary!$B$48)*S877+Summary!$B$48*U877</f>
        <v/>
      </c>
      <c r="P877">
        <f>IF(B912=0,0,O877/B912)</f>
        <v/>
      </c>
      <c r="Q877">
        <f>IFERROR(1/IF(Inputs!$B$39="pvp",15,MAX(0.1,Skills!D7-IF(Skills!E6=TRUE,Inputs!$B$33,0))),0)</f>
        <v/>
      </c>
      <c r="R877">
        <f>IF(AND(Inputs!$B$39&lt;&gt;"pvp",Inputs!$B$44&gt;0),IF(MAX(0,Inputs!$B$44-B909)&lt;=0,0,(INT(MAX(0,Inputs!$B$44-B909)/IF(Inputs!$B$39="pvp",15,MAX(0.1,Skills!D7-IF(Skills!E6=TRUE,Inputs!$B$33,0))))+1)),0)</f>
        <v/>
      </c>
      <c r="S877">
        <f>IF(C877,H877*N877*IF(AND(Inputs!$B$39&lt;&gt;"pvp",Inputs!$B$44&gt;0),((Skills!F7*((R877-1)*IF(Skills!G7&gt;0,Skills!H7/Skills!G7,1)+IF(Skills!G7&gt;0,MIN(Skills!H7,MAX(0,MAX(0,Inputs!$B$44-B909)-((R877-1)*IF(Inputs!$B$39="pvp",15,MAX(0.1,Skills!D7-IF(Skills!E6=TRUE,Inputs!$B$33,0))))))/Skills!G7,1)))/Inputs!$B$44),G877*Q877)*IF(Inputs!$B$39="pvp",1,1+(Inputs!$B$21+Skills!O7+B900)/100),0)</f>
        <v/>
      </c>
      <c r="U877" t="n">
        <v>0</v>
      </c>
    </row>
    <row r="878">
      <c r="A878">
        <f>Skills!A8</f>
        <v/>
      </c>
      <c r="B878">
        <f>Skills!B8</f>
        <v/>
      </c>
      <c r="C878">
        <f>Inputs!$B$3&gt;=105</f>
        <v/>
      </c>
      <c r="D878">
        <f>IF(Skills!C8=1,60+Inputs!$B$26+Inputs!$B$30,IF(Skills!C8=2,90+Inputs!$B$27+Inputs!$B$30,IF(Skills!C8=3,120+(Inputs!$B$28+1)+Inputs!$B$30,MAX(0,(Inputs!$B$3-100)*3)+Inputs!$B$29+Inputs!$B$30)))</f>
        <v/>
      </c>
      <c r="E878">
        <f>INDEX(FactorTable!$B$2:$Y$301, MATCH(ROUND(MIN(300,MAX(1,D878)),0), FactorTable!$A$2:$A$301,0), Skills!L8+1)</f>
        <v/>
      </c>
      <c r="F878">
        <f>IF(Skills!M8=TRUE,(Skills!K8/10)*(E878/1000),Skills!K8/10)+Skills!N8</f>
        <v/>
      </c>
      <c r="G878">
        <f>Calc!G8</f>
        <v/>
      </c>
      <c r="H878">
        <f>Calc!H8</f>
        <v/>
      </c>
      <c r="I878">
        <f>IF(Skills!T8&lt;&gt;"",1+(Skills!T8/10)*($Z$3/1000)/100,1)</f>
        <v/>
      </c>
      <c r="J878">
        <f>((Inputs!$B$6*(1+Inputs!$B$7/100))+(((Inputs!$B$13*(1+Inputs!$B$14/100))-(Inputs!$B$13*(1+Inputs!$B$14/100)))+0.25*(Inputs!$B$15-Inputs!$B$15))*(1+Inputs!$B$7/100))*(F878/100)</f>
        <v/>
      </c>
      <c r="K878">
        <f>J878*(1+(((Inputs!$B$13+IF(Inputs!$B$3&gt;=35,(10*INDEX(FactorTable!$B$2:$Y$301, MATCH(ROUND(MIN(300,MAX(1,Inputs!$B$3)),0), FactorTable!$A$2:$A$301,0), 23)/1000)/100*(Inputs!$B$8*(1+(Inputs!$B$9+B908)/100)),0))*(1+Inputs!$B$14/100))*0.01+Inputs!$B$15*0.0025)/100)*(1+(Inputs!$B$16+B902)/100)*(1+Inputs!$B$17/100)*(5000/(6000+Inputs!$B$43*(1-Inputs!$B$20/100)))*(1+Inputs!$B$25/100)*(1+IF(C888=TRUE,F888,0)/100)*(1+IF(C890=TRUE,F890,0)/100)*(1+IF(Skills!A8="TRIUMPH_FEATHER",IF(C886=TRUE,F886,0),0)/100)*(1+IF(C897=TRUE,F897,0)/100)^5*(1+(IF(Skills!A8="BIG_BANG",Inputs!$B$18,Inputs!$B$19))/100)*(B899*I878)</f>
        <v/>
      </c>
      <c r="L878">
        <f>K878*(MIN(Inputs!$B$23+(F892-Calc!F22),Inputs!$B$24)/100+Inputs!$B$24/100)/2</f>
        <v/>
      </c>
      <c r="M878">
        <f>L878*(1+(Inputs!$B$11+B903+(F895-Calc!F25))/100)</f>
        <v/>
      </c>
      <c r="N878">
        <f>L878*(1-MIN(Inputs!$B$10+((F894-Calc!F24)+(F893-Calc!F23)),100)/100)+M878*(MIN(Inputs!$B$10+((F894-Calc!F24)+(F893-Calc!F23)),100)/100)</f>
        <v/>
      </c>
      <c r="O878">
        <f>(1-Summary!$B$48)*S878+Summary!$B$48*U878</f>
        <v/>
      </c>
      <c r="P878">
        <f>IF(B912=0,0,O878/B912)</f>
        <v/>
      </c>
      <c r="Q878">
        <f>IFERROR(1/IF(Inputs!$B$39="pvp",15,MAX(0.1,Skills!D8-IF(Skills!E8=TRUE,Inputs!$B$33,0))),0)</f>
        <v/>
      </c>
      <c r="R878">
        <f>IF(AND(Inputs!$B$39&lt;&gt;"pvp",Inputs!$B$44&gt;0),IF(MAX(0,Inputs!$B$44-B909)&lt;=0,0,(INT(MAX(0,Inputs!$B$44-B909)/IF(Inputs!$B$39="pvp",15,MAX(0.1,Skills!D8-IF(Skills!E8=TRUE,Inputs!$B$33,0))))+1)),0)</f>
        <v/>
      </c>
      <c r="S878">
        <f>IF(C878,(H878*N878*IF(AND(Inputs!$B$39&lt;&gt;"pvp",Inputs!$B$44&gt;0),((Skills!F8*((R878-1)*IF(Skills!G8&gt;0,Skills!H8/Skills!G8,1)+IF(Skills!G8&gt;0,MIN(Skills!H8,MAX(0,MAX(0,Inputs!$B$44-B909)-((R878-1)*IF(Inputs!$B$39="pvp",15,MAX(0.1,Skills!D8-IF(Skills!E8=TRUE,Inputs!$B$33,0))))))/Skills!G8,1)))/Inputs!$B$44),G878*Q878))*IF(Inputs!$B$39="pvp",1,1+(Inputs!$B$21+Skills!O8+B900)/100),0)</f>
        <v/>
      </c>
      <c r="U878">
        <f>IF(C878,(H878*N878*IF(AND(Inputs!$B$39&lt;&gt;"pvp",Inputs!$B$44&gt;0),((Skills!F8*((R878-1)*IF(Skills!G8&gt;0,Skills!H8/Skills!G8,1)+IF(Skills!G8&gt;0,MIN(Skills!H8,MAX(0,MAX(0,Inputs!$B$44-B909)-((R878-1)*IF(Inputs!$B$39="pvp",15,MAX(0.1,Skills!D8-IF(Skills!E8=TRUE,Inputs!$B$33,0))))))/Skills!G8,1)))/Inputs!$B$44),G878*Q878))*IF(Inputs!$B$39="pvp",1,(1+(Inputs!$B$22+Skills!P8+B901)/100)*(MIN(Skills!Q8,Inputs!$B$38))),0)</f>
        <v/>
      </c>
    </row>
    <row r="879">
      <c r="A879">
        <f>Skills!A9</f>
        <v/>
      </c>
      <c r="B879">
        <f>Skills!B9</f>
        <v/>
      </c>
      <c r="C879">
        <f>Inputs!$B$3&gt;=115</f>
        <v/>
      </c>
      <c r="D879">
        <f>IF(Skills!C9=1,60+Inputs!$B$26+Inputs!$B$30,IF(Skills!C9=2,90+Inputs!$B$27+Inputs!$B$30,IF(Skills!C9=3,120+(Inputs!$B$28+1)+Inputs!$B$30,MAX(0,(Inputs!$B$3-100)*3)+Inputs!$B$29+Inputs!$B$30)))</f>
        <v/>
      </c>
      <c r="E879">
        <f>INDEX(FactorTable!$B$2:$Y$301, MATCH(ROUND(MIN(300,MAX(1,D879)),0), FactorTable!$A$2:$A$301,0), Skills!L9+1)</f>
        <v/>
      </c>
      <c r="F879">
        <f>IF(Skills!M9=TRUE,(Skills!K9/10)*(E879/1000),Skills!K9/10)+Skills!N9</f>
        <v/>
      </c>
      <c r="G879">
        <f>Calc!G9</f>
        <v/>
      </c>
      <c r="H879">
        <f>Calc!H9</f>
        <v/>
      </c>
      <c r="I879">
        <f>IF(Skills!T9&lt;&gt;"",1+(Skills!T9/10)*($Z$3/1000)/100,1)</f>
        <v/>
      </c>
      <c r="J879">
        <f>((Inputs!$B$6*(1+Inputs!$B$7/100))+(((Inputs!$B$13*(1+Inputs!$B$14/100))-(Inputs!$B$13*(1+Inputs!$B$14/100)))+0.25*(Inputs!$B$15-Inputs!$B$15))*(1+Inputs!$B$7/100))*(F879/100)</f>
        <v/>
      </c>
      <c r="K879">
        <f>J879*(1+(((Inputs!$B$13+IF(Inputs!$B$3&gt;=35,(10*INDEX(FactorTable!$B$2:$Y$301, MATCH(ROUND(MIN(300,MAX(1,Inputs!$B$3)),0), FactorTable!$A$2:$A$301,0), 23)/1000)/100*(Inputs!$B$8*(1+(Inputs!$B$9+B908)/100)),0))*(1+Inputs!$B$14/100))*0.01+Inputs!$B$15*0.0025)/100)*(1+(Inputs!$B$16+B902)/100)*(1+Inputs!$B$17/100)*(5000/(6000+Inputs!$B$43*(1-Inputs!$B$20/100)))*(1+Inputs!$B$25/100)*(1+IF(C888=TRUE,F888,0)/100)*(1+IF(C890=TRUE,F890,0)/100)*(1+IF(Skills!A9="TRIUMPH_FEATHER",IF(C886=TRUE,F886,0),0)/100)*(1+IF(C897=TRUE,F897,0)/100)^5*(1+(IF(Skills!A9="BIG_BANG",Inputs!$B$18,Inputs!$B$19))/100)*(B899*I879)</f>
        <v/>
      </c>
      <c r="L879">
        <f>K879*(MIN(Inputs!$B$23+(F892-Calc!F22),Inputs!$B$24)/100+Inputs!$B$24/100)/2</f>
        <v/>
      </c>
      <c r="M879">
        <f>L879*(1+(Inputs!$B$11+B903+(F895-Calc!F25))/100)</f>
        <v/>
      </c>
      <c r="N879">
        <f>L879*(1-MIN(Inputs!$B$10+((F894-Calc!F24)+(F893-Calc!F23)),100)/100)+M879*(MIN(Inputs!$B$10+((F894-Calc!F24)+(F893-Calc!F23)),100)/100)</f>
        <v/>
      </c>
      <c r="O879">
        <f>(1-Summary!$B$48)*S879+Summary!$B$48*U879</f>
        <v/>
      </c>
      <c r="P879">
        <f>IF(B912=0,0,O879/B912)</f>
        <v/>
      </c>
      <c r="Q879">
        <f>IFERROR(1/IF(Inputs!$B$39="pvp",15,MAX(0.1,Skills!D9-IF(Skills!E9=TRUE,Inputs!$B$33,0))),0)</f>
        <v/>
      </c>
      <c r="R879">
        <f>IF(AND(Inputs!$B$39&lt;&gt;"pvp",Inputs!$B$44&gt;0),IF(MAX(0,Inputs!$B$44-B909)&lt;=0,0,(INT(MAX(0,Inputs!$B$44-B909)/IF(Inputs!$B$39="pvp",15,MAX(0.1,Skills!D9-IF(Skills!E9=TRUE,Inputs!$B$33,0))))+1)),0)</f>
        <v/>
      </c>
      <c r="S879">
        <f>IF(C879,(H879*N879*IF(AND(Inputs!$B$39&lt;&gt;"pvp",Inputs!$B$44&gt;0),((Skills!F9*((R879-1)*IF(Skills!G9&gt;0,Skills!H9/Skills!G9,1)+IF(Skills!G9&gt;0,MIN(Skills!H9,MAX(0,MAX(0,Inputs!$B$44-B909)-((R879-1)*IF(Inputs!$B$39="pvp",15,MAX(0.1,Skills!D9-IF(Skills!E9=TRUE,Inputs!$B$33,0))))))/Skills!G9,1)))/Inputs!$B$44),G879*Q879))*IF(Inputs!$B$39="pvp",1,1+(Inputs!$B$21+Skills!O9+B900)/100),0)</f>
        <v/>
      </c>
      <c r="U879">
        <f>IF(C879,(H879*N879*IF(AND(Inputs!$B$39&lt;&gt;"pvp",Inputs!$B$44&gt;0),((Skills!F9*((R879-1)*IF(Skills!G9&gt;0,Skills!H9/Skills!G9,1)+IF(Skills!G9&gt;0,MIN(Skills!H9,MAX(0,MAX(0,Inputs!$B$44-B909)-((R879-1)*IF(Inputs!$B$39="pvp",15,MAX(0.1,Skills!D9-IF(Skills!E9=TRUE,Inputs!$B$33,0))))))/Skills!G9,1)))/Inputs!$B$44),G879*Q879))*IF(Inputs!$B$39="pvp",1,(1+(Inputs!$B$22+Skills!P9+B901)/100)*(MIN(Skills!Q9,Inputs!$B$38))),0)</f>
        <v/>
      </c>
    </row>
    <row r="880">
      <c r="A880">
        <f>Skills!A10</f>
        <v/>
      </c>
      <c r="B880">
        <f>Skills!B10</f>
        <v/>
      </c>
      <c r="C880">
        <f>Inputs!$B$3&gt;=66</f>
        <v/>
      </c>
      <c r="D880">
        <f>IF(Skills!C10=1,60+Inputs!$B$26+Inputs!$B$30,IF(Skills!C10=2,90+Inputs!$B$27+Inputs!$B$30,IF(Skills!C10=3,120+(Inputs!$B$28+1)+Inputs!$B$30,MAX(0,(Inputs!$B$3-100)*3)+Inputs!$B$29+Inputs!$B$30)))</f>
        <v/>
      </c>
      <c r="E880">
        <f>INDEX(FactorTable!$B$2:$Y$301, MATCH(ROUND(MIN(300,MAX(1,D880)),0), FactorTable!$A$2:$A$301,0), Skills!L10+1)</f>
        <v/>
      </c>
      <c r="F880" t="n">
        <v>0</v>
      </c>
      <c r="G880">
        <f>Calc!G10</f>
        <v/>
      </c>
      <c r="H880">
        <f>Calc!H10</f>
        <v/>
      </c>
      <c r="I880">
        <f>IF(Skills!T10&lt;&gt;"",1+(Skills!T10/10)*($Z$3/1000)/100,1)</f>
        <v/>
      </c>
      <c r="J880" t="inlineStr"/>
      <c r="K880" t="inlineStr"/>
      <c r="L880" t="inlineStr"/>
      <c r="M880" t="inlineStr"/>
      <c r="N880" t="inlineStr"/>
      <c r="O880">
        <f>(1-Summary!$B$48)*S880+Summary!$B$48*U880</f>
        <v/>
      </c>
      <c r="P880">
        <f>IF(B912=0,0,O880/B912)</f>
        <v/>
      </c>
      <c r="Q880">
        <f>IFERROR(1/IF(Inputs!$B$39="pvp",15,MAX(0.1,Skills!D10-IF(Skills!E10=TRUE,Inputs!$B$33,0))),0)</f>
        <v/>
      </c>
      <c r="R880">
        <f>IF(AND(Inputs!$B$39&lt;&gt;"pvp",Inputs!$B$44&gt;0),IF(MAX(0,Inputs!$B$44-B909)&lt;=0,0,(INT(MAX(0,Inputs!$B$44-B909)/IF(Inputs!$B$39="pvp",15,MAX(0.1,Skills!D10-IF(Skills!E10=TRUE,Inputs!$B$33,0))))+1)),0)</f>
        <v/>
      </c>
      <c r="S880" t="n">
        <v>0</v>
      </c>
      <c r="U880" t="n">
        <v>0</v>
      </c>
    </row>
    <row r="881">
      <c r="A881">
        <f>Skills!A11</f>
        <v/>
      </c>
      <c r="B881">
        <f>Skills!B11</f>
        <v/>
      </c>
      <c r="C881">
        <f>Inputs!$B$3&gt;=69</f>
        <v/>
      </c>
      <c r="D881">
        <f>IF(Skills!C11=1,60+Inputs!$B$26+Inputs!$B$30,IF(Skills!C11=2,90+Inputs!$B$27+Inputs!$B$30,IF(Skills!C11=3,120+(Inputs!$B$28+1)+Inputs!$B$30,MAX(0,(Inputs!$B$3-100)*3)+Inputs!$B$29+Inputs!$B$30)))</f>
        <v/>
      </c>
      <c r="E881">
        <f>INDEX(FactorTable!$B$2:$Y$301, MATCH(ROUND(MIN(300,MAX(1,D881)),0), FactorTable!$A$2:$A$301,0), Skills!L11+1)</f>
        <v/>
      </c>
      <c r="F881">
        <f>IF(Skills!M11=TRUE,(Skills!K11/10)*(E881/1000),Skills!K11/10)+Skills!N11</f>
        <v/>
      </c>
      <c r="G881">
        <f>Calc!G11</f>
        <v/>
      </c>
      <c r="H881">
        <f>Calc!H11</f>
        <v/>
      </c>
      <c r="I881">
        <f>IF(Skills!T11&lt;&gt;"",1+(Skills!T11/10)*($Z$3/1000)/100,1)</f>
        <v/>
      </c>
      <c r="J881" t="inlineStr"/>
      <c r="K881" t="inlineStr"/>
      <c r="L881" t="inlineStr"/>
      <c r="M881" t="inlineStr"/>
      <c r="N881" t="inlineStr"/>
      <c r="O881">
        <f>(1-Summary!$B$48)*S881+Summary!$B$48*U881</f>
        <v/>
      </c>
      <c r="P881">
        <f>IF(B912=0,0,O881/B912)</f>
        <v/>
      </c>
      <c r="Q881">
        <f>IFERROR(1/IF(Inputs!$B$39="pvp",15,MAX(0.1,Skills!D11-IF(Skills!E11=TRUE,Inputs!$B$33,0))),0)</f>
        <v/>
      </c>
      <c r="R881">
        <f>IF(AND(Inputs!$B$39&lt;&gt;"pvp",Inputs!$B$44&gt;0),IF(Inputs!$B$44&lt;=0,0,(INT(Inputs!$B$44/IF(Inputs!$B$39="pvp",15,MAX(0.1,Skills!D11-IF(Skills!E11=TRUE,Inputs!$B$33,0))))+1)),0)</f>
        <v/>
      </c>
      <c r="S881" t="n">
        <v>0</v>
      </c>
      <c r="U881" t="n">
        <v>0</v>
      </c>
    </row>
    <row r="882">
      <c r="A882">
        <f>Skills!A12</f>
        <v/>
      </c>
      <c r="B882">
        <f>Skills!B12</f>
        <v/>
      </c>
      <c r="C882">
        <f>Inputs!$B$3&gt;=72</f>
        <v/>
      </c>
      <c r="D882">
        <f>IF(Skills!C12=1,60+Inputs!$B$26+Inputs!$B$30,IF(Skills!C12=2,90+Inputs!$B$27+Inputs!$B$30,IF(Skills!C12=3,120+(Inputs!$B$28+1)+Inputs!$B$30,MAX(0,(Inputs!$B$3-100)*3)+Inputs!$B$29+Inputs!$B$30)))</f>
        <v/>
      </c>
      <c r="E882">
        <f>INDEX(FactorTable!$B$2:$Y$301, MATCH(ROUND(MIN(300,MAX(1,D882)),0), FactorTable!$A$2:$A$301,0), Skills!L12+1)</f>
        <v/>
      </c>
      <c r="F882">
        <f>IF(Skills!M12=TRUE,(Skills!K12/10)*(E882/1000),Skills!K12/10)+Skills!N12</f>
        <v/>
      </c>
      <c r="G882">
        <f>Calc!G12</f>
        <v/>
      </c>
      <c r="H882">
        <f>Calc!H12</f>
        <v/>
      </c>
      <c r="I882">
        <f>IF(Skills!T12&lt;&gt;"",1+(Skills!T12/10)*($Z$3/1000)/100,1)</f>
        <v/>
      </c>
      <c r="J882" t="inlineStr"/>
      <c r="K882" t="inlineStr"/>
      <c r="L882" t="inlineStr"/>
      <c r="M882" t="inlineStr"/>
      <c r="N882" t="inlineStr"/>
      <c r="O882">
        <f>(1-Summary!$B$48)*S882+Summary!$B$48*U882</f>
        <v/>
      </c>
      <c r="P882">
        <f>IF(B912=0,0,O882/B912)</f>
        <v/>
      </c>
      <c r="Q882">
        <f>IFERROR(1/IF(Inputs!$B$39="pvp",15,MAX(0.1,Skills!D12-IF(Skills!E12=TRUE,Inputs!$B$33,0))),0)</f>
        <v/>
      </c>
      <c r="R882">
        <f>IF(AND(Inputs!$B$39&lt;&gt;"pvp",Inputs!$B$44&gt;0),IF(MAX(0,Inputs!$B$44-B909)&lt;=0,0,(INT(MAX(0,Inputs!$B$44-B909)/IF(Inputs!$B$39="pvp",15,MAX(0.1,Skills!D12-IF(Skills!E12=TRUE,Inputs!$B$33,0))))+1)),0)</f>
        <v/>
      </c>
      <c r="S882" t="n">
        <v>0</v>
      </c>
      <c r="U882" t="n">
        <v>0</v>
      </c>
    </row>
    <row r="883">
      <c r="A883">
        <f>Skills!A13</f>
        <v/>
      </c>
      <c r="B883">
        <f>Skills!B13</f>
        <v/>
      </c>
      <c r="C883">
        <f>Inputs!$B$3&gt;=60</f>
        <v/>
      </c>
      <c r="D883">
        <f>IF(Skills!C13=1,60+Inputs!$B$26+Inputs!$B$30,IF(Skills!C13=2,90+Inputs!$B$27+Inputs!$B$30,IF(Skills!C13=3,120+(Inputs!$B$28+1)+Inputs!$B$30,MAX(0,(Inputs!$B$3-100)*3)+Inputs!$B$29+Inputs!$B$30)))</f>
        <v/>
      </c>
      <c r="E883">
        <f>INDEX(FactorTable!$B$2:$Y$301, MATCH(ROUND(MIN(300,MAX(1,D883)),0), FactorTable!$A$2:$A$301,0), Skills!L13+1)</f>
        <v/>
      </c>
      <c r="F883">
        <f>IF(Skills!M13=TRUE,(Skills!K13/10)*(E883/1000),Skills!K13/10)+Skills!N13</f>
        <v/>
      </c>
      <c r="G883">
        <f>Calc!G13</f>
        <v/>
      </c>
      <c r="H883">
        <f>Calc!H13</f>
        <v/>
      </c>
      <c r="I883">
        <f>IF(Skills!T13&lt;&gt;"",1+(Skills!T13/10)*($Z$3/1000)/100,1)</f>
        <v/>
      </c>
      <c r="J883" t="inlineStr"/>
      <c r="K883" t="inlineStr"/>
      <c r="L883" t="inlineStr"/>
      <c r="M883" t="inlineStr"/>
      <c r="N883" t="inlineStr"/>
      <c r="O883">
        <f>(1-Summary!$B$48)*S883+Summary!$B$48*U883</f>
        <v/>
      </c>
      <c r="P883">
        <f>IF(B912=0,0,O883/B912)</f>
        <v/>
      </c>
      <c r="Q883">
        <f>IFERROR(1/IF(Inputs!$B$39="pvp",15,MAX(0.1,Skills!D13-IF(Skills!E13=TRUE,Inputs!$B$33,0))),0)</f>
        <v/>
      </c>
      <c r="R883">
        <f>IF(AND(Inputs!$B$39&lt;&gt;"pvp",Inputs!$B$44&gt;0),IF(MAX(0,Inputs!$B$44-B909)&lt;=0,0,(INT(MAX(0,Inputs!$B$44-B909)/IF(Inputs!$B$39="pvp",15,MAX(0.1,Skills!D13-IF(Skills!E13=TRUE,Inputs!$B$33,0))))+1)),0)</f>
        <v/>
      </c>
      <c r="S883" t="n">
        <v>0</v>
      </c>
      <c r="U883" t="n">
        <v>0</v>
      </c>
    </row>
    <row r="884">
      <c r="A884">
        <f>Skills!A14</f>
        <v/>
      </c>
      <c r="B884">
        <f>Skills!B14</f>
        <v/>
      </c>
      <c r="C884">
        <f>Inputs!$B$3&gt;=107</f>
        <v/>
      </c>
      <c r="D884">
        <f>IF(Skills!C14=1,60+Inputs!$B$26+Inputs!$B$30,IF(Skills!C14=2,90+Inputs!$B$27+Inputs!$B$30,IF(Skills!C14=3,120+(Inputs!$B$28+1)+Inputs!$B$30,MAX(0,(Inputs!$B$3-100)*3)+Inputs!$B$29+Inputs!$B$30)))</f>
        <v/>
      </c>
      <c r="E884">
        <f>INDEX(FactorTable!$B$2:$Y$301, MATCH(ROUND(MIN(300,MAX(1,D884)),0), FactorTable!$A$2:$A$301,0), Skills!L14+1)</f>
        <v/>
      </c>
      <c r="F884">
        <f>IF(Skills!M14=TRUE,(Skills!K14/10)*(E884/1000),Skills!K14/10)+Skills!N14</f>
        <v/>
      </c>
      <c r="G884">
        <f>Calc!G14</f>
        <v/>
      </c>
      <c r="H884">
        <f>Calc!H14</f>
        <v/>
      </c>
      <c r="I884">
        <f>IF(Skills!T14&lt;&gt;"",1+(Skills!T14/10)*($Z$3/1000)/100,1)</f>
        <v/>
      </c>
      <c r="J884" t="inlineStr"/>
      <c r="K884" t="inlineStr"/>
      <c r="L884" t="inlineStr"/>
      <c r="M884" t="inlineStr"/>
      <c r="N884" t="inlineStr"/>
      <c r="O884">
        <f>(1-Summary!$B$48)*S884+Summary!$B$48*U884</f>
        <v/>
      </c>
      <c r="P884">
        <f>IF(B912=0,0,O884/B912)</f>
        <v/>
      </c>
      <c r="Q884">
        <f>IFERROR(1/IF(Inputs!$B$39="pvp",15,MAX(0.1,Skills!D14-IF(Skills!E14=TRUE,Inputs!$B$33,0))),0)</f>
        <v/>
      </c>
      <c r="R884">
        <f>IF(AND(Inputs!$B$39&lt;&gt;"pvp",Inputs!$B$44&gt;0),IF(Inputs!$B$44&lt;=0,0,(INT(Inputs!$B$44/IF(Inputs!$B$39="pvp",15,MAX(0.1,Skills!D14-IF(Skills!E14=TRUE,Inputs!$B$33,0))))+1)),0)</f>
        <v/>
      </c>
      <c r="S884" t="n">
        <v>0</v>
      </c>
      <c r="U884" t="n">
        <v>0</v>
      </c>
    </row>
    <row r="885">
      <c r="A885">
        <f>Skills!A15</f>
        <v/>
      </c>
      <c r="B885">
        <f>Skills!B15</f>
        <v/>
      </c>
      <c r="C885">
        <f>Inputs!$B$3&gt;=63</f>
        <v/>
      </c>
      <c r="D885">
        <f>IF(Skills!C15=1,60+Inputs!$B$26+Inputs!$B$30,IF(Skills!C15=2,90+Inputs!$B$27+Inputs!$B$30,IF(Skills!C15=3,120+(Inputs!$B$28+1)+Inputs!$B$30,MAX(0,(Inputs!$B$3-100)*3)+Inputs!$B$29+Inputs!$B$30)))</f>
        <v/>
      </c>
      <c r="E885">
        <f>INDEX(FactorTable!$B$2:$Y$301, MATCH(ROUND(MIN(300,MAX(1,D885)),0), FactorTable!$A$2:$A$301,0), Skills!L15+1)</f>
        <v/>
      </c>
      <c r="F885">
        <f>IF(Skills!M15=TRUE,(Skills!K15/10)*(E885/1000),Skills!K15/10)+Skills!N15</f>
        <v/>
      </c>
      <c r="G885">
        <f>Calc!G15</f>
        <v/>
      </c>
      <c r="H885">
        <f>Calc!H15</f>
        <v/>
      </c>
      <c r="I885">
        <f>IF(Skills!T15&lt;&gt;"",1+(Skills!T15/10)*($Z$3/1000)/100,1)</f>
        <v/>
      </c>
      <c r="J885">
        <f>((Inputs!$B$6*(1+Inputs!$B$7/100))+(((Inputs!$B$13*(1+Inputs!$B$14/100))-(Inputs!$B$13*(1+Inputs!$B$14/100)))+0.25*(Inputs!$B$15-Inputs!$B$15))*(1+Inputs!$B$7/100))*(F885/100)</f>
        <v/>
      </c>
      <c r="K885">
        <f>J885*(1+(((Inputs!$B$13+IF(Inputs!$B$3&gt;=35,(10*INDEX(FactorTable!$B$2:$Y$301, MATCH(ROUND(MIN(300,MAX(1,Inputs!$B$3)),0), FactorTable!$A$2:$A$301,0), 23)/1000)/100*(Inputs!$B$8*(1+(Inputs!$B$9+B908)/100)),0))*(1+Inputs!$B$14/100))*0.01+Inputs!$B$15*0.0025)/100)*(1+(Inputs!$B$16+B902)/100)*(1+Inputs!$B$17/100)*(5000/(6000+Inputs!$B$43*(1-Inputs!$B$20/100)))*(1+Inputs!$B$25/100)*(1+IF(C888=TRUE,F888,0)/100)*(1+IF(C890=TRUE,F890,0)/100)*(1+IF(Skills!A15="TRIUMPH_FEATHER",IF(C886=TRUE,F886,0),0)/100)*(1+IF(C897=TRUE,F897,0)/100)^5*(1+(IF(Skills!A15="BIG_BANG",Inputs!$B$18,Inputs!$B$19))/100)*(B899*I885)</f>
        <v/>
      </c>
      <c r="L885">
        <f>K885*(MIN(Inputs!$B$23+(F892-Calc!F22),Inputs!$B$24)/100+Inputs!$B$24/100)/2</f>
        <v/>
      </c>
      <c r="M885">
        <f>L885*(1+(Inputs!$B$11+B903+(F895-Calc!F25))/100)</f>
        <v/>
      </c>
      <c r="N885">
        <f>L885*(1-MIN(Inputs!$B$10+((F894-Calc!F24)+(F893-Calc!F23)),100)/100)+M885*(MIN(Inputs!$B$10+((F894-Calc!F24)+(F893-Calc!F23)),100)/100)</f>
        <v/>
      </c>
      <c r="O885">
        <f>(1-Summary!$B$48)*S885+Summary!$B$48*U885</f>
        <v/>
      </c>
      <c r="P885">
        <f>IF(B912=0,0,O885/B912)</f>
        <v/>
      </c>
      <c r="Q885">
        <f>IFERROR(1/IF(Inputs!$B$39="pvp",15,MAX(0.1,Skills!D15-IF(Skills!E15=TRUE,Inputs!$B$33,0))),0)</f>
        <v/>
      </c>
      <c r="R885" t="n">
        <v>0</v>
      </c>
      <c r="S885">
        <f>IF(C885,(Skills!F15*N885*((IF(Inputs!$B$3&gt;=78,25,15)/100*B905*10)/(1+IF(Inputs!$B$3&gt;=78,25,15)/100*B905*10))*(Skills!I15/100*B905)/(1+Skills!G15*Skills!I15/100*B905))*IF(Inputs!$B$39="pvp",1,1+(Inputs!$B$21+Skills!O15+B900)/100),0)</f>
        <v/>
      </c>
      <c r="U885">
        <f>IF(C885,(Skills!F15*N885*((IF(Inputs!$B$3&gt;=78,25,15)/100*B905*10)/(1+IF(Inputs!$B$3&gt;=78,25,15)/100*B905*10))*(Skills!I15/100*B905)/(1+Skills!G15*Skills!I15/100*B905))*IF(Inputs!$B$39="pvp",1,(1+(Inputs!$B$22+Skills!P15+B901)/100)*(MIN(Skills!Q15,Inputs!$B$38))),0)</f>
        <v/>
      </c>
    </row>
    <row r="886">
      <c r="A886">
        <f>Skills!A16</f>
        <v/>
      </c>
      <c r="B886">
        <f>Skills!B16</f>
        <v/>
      </c>
      <c r="C886">
        <f>Inputs!$B$3&gt;=100</f>
        <v/>
      </c>
      <c r="D886">
        <f>IF(Skills!C16=1,60+Inputs!$B$26+Inputs!$B$30,IF(Skills!C16=2,90+Inputs!$B$27+Inputs!$B$30,IF(Skills!C16=3,120+(Inputs!$B$28+1)+Inputs!$B$30,MAX(0,(Inputs!$B$3-100)*3)+Inputs!$B$29+Inputs!$B$30)))</f>
        <v/>
      </c>
      <c r="E886">
        <f>INDEX(FactorTable!$B$2:$Y$301, MATCH(ROUND(MIN(300,MAX(1,D886)),0), FactorTable!$A$2:$A$301,0), Skills!L16+1)</f>
        <v/>
      </c>
      <c r="F886">
        <f>IF(Skills!M16=TRUE,(Skills!K16/10)*(E886/1000),Skills!K16/10)+Skills!N16</f>
        <v/>
      </c>
      <c r="G886">
        <f>Calc!G16</f>
        <v/>
      </c>
      <c r="H886">
        <f>Calc!H16</f>
        <v/>
      </c>
      <c r="I886">
        <f>IF(Skills!T16&lt;&gt;"",1+(Skills!T16/10)*($Z$3/1000)/100,1)</f>
        <v/>
      </c>
      <c r="J886" t="inlineStr"/>
      <c r="K886" t="inlineStr"/>
      <c r="L886" t="inlineStr"/>
      <c r="M886" t="inlineStr"/>
      <c r="N886" t="inlineStr"/>
      <c r="O886">
        <f>(1-Summary!$B$48)*S886+Summary!$B$48*U886</f>
        <v/>
      </c>
      <c r="P886">
        <f>IF(B912=0,0,O886/B912)</f>
        <v/>
      </c>
      <c r="Q886">
        <f>IFERROR(1/IF(Inputs!$B$39="pvp",15,MAX(0.1,Skills!D16-IF(Skills!E16=TRUE,Inputs!$B$33,0))),0)</f>
        <v/>
      </c>
      <c r="R886" t="n">
        <v>0</v>
      </c>
      <c r="S886" t="n">
        <v>0</v>
      </c>
      <c r="U886" t="n">
        <v>0</v>
      </c>
    </row>
    <row r="887">
      <c r="A887">
        <f>Skills!A17</f>
        <v/>
      </c>
      <c r="B887">
        <f>Skills!B17</f>
        <v/>
      </c>
      <c r="C887">
        <f>Inputs!$B$3&gt;=49</f>
        <v/>
      </c>
      <c r="D887">
        <f>IF(Skills!C17=1,60+Inputs!$B$26+Inputs!$B$30,IF(Skills!C17=2,90+Inputs!$B$27+Inputs!$B$30,IF(Skills!C17=3,120+(Inputs!$B$28+1)+Inputs!$B$30,MAX(0,(Inputs!$B$3-100)*3)+Inputs!$B$29+Inputs!$B$30)))</f>
        <v/>
      </c>
      <c r="E887">
        <f>INDEX(FactorTable!$B$2:$Y$301, MATCH(ROUND(MIN(300,MAX(1,D887)),0), FactorTable!$A$2:$A$301,0), Skills!L17+1)</f>
        <v/>
      </c>
      <c r="F887">
        <f>IF(Skills!M17=TRUE,(Skills!K17/10)*(E887/1000),Skills!K17/10)+Skills!N17</f>
        <v/>
      </c>
      <c r="G887">
        <f>Calc!G17</f>
        <v/>
      </c>
      <c r="H887">
        <f>Calc!H17</f>
        <v/>
      </c>
      <c r="I887">
        <f>IF(Skills!T17&lt;&gt;"",1+(Skills!T17/10)*($Z$3/1000)/100,1)</f>
        <v/>
      </c>
      <c r="J887" t="inlineStr"/>
      <c r="K887" t="inlineStr"/>
      <c r="L887" t="inlineStr"/>
      <c r="M887" t="inlineStr"/>
      <c r="N887" t="inlineStr"/>
      <c r="O887">
        <f>(1-Summary!$B$48)*S887+Summary!$B$48*U887</f>
        <v/>
      </c>
      <c r="P887">
        <f>IF(B912=0,0,O887/B912)</f>
        <v/>
      </c>
      <c r="Q887">
        <f>IFERROR(1/IF(Inputs!$B$39="pvp",15,MAX(0.1,Skills!D17-IF(Skills!E17=TRUE,Inputs!$B$33,0))),0)</f>
        <v/>
      </c>
      <c r="R887" t="n">
        <v>0</v>
      </c>
      <c r="S887" t="n">
        <v>0</v>
      </c>
      <c r="U887" t="n">
        <v>0</v>
      </c>
    </row>
    <row r="888">
      <c r="A888">
        <f>Skills!A18</f>
        <v/>
      </c>
      <c r="B888">
        <f>Skills!B18</f>
        <v/>
      </c>
      <c r="C888">
        <f>Inputs!$B$3&gt;=75</f>
        <v/>
      </c>
      <c r="D888">
        <f>IF(Skills!C18=1,60+Inputs!$B$26+Inputs!$B$30,IF(Skills!C18=2,90+Inputs!$B$27+Inputs!$B$30,IF(Skills!C18=3,120+(Inputs!$B$28+1)+Inputs!$B$30,MAX(0,(Inputs!$B$3-100)*3)+Inputs!$B$29+Inputs!$B$30)))</f>
        <v/>
      </c>
      <c r="E888">
        <f>INDEX(FactorTable!$B$2:$Y$301, MATCH(ROUND(MIN(300,MAX(1,D888)),0), FactorTable!$A$2:$A$301,0), Skills!L18+1)</f>
        <v/>
      </c>
      <c r="F888">
        <f>IF(Skills!M18=TRUE,(Skills!K18/10)*(E888/1000),Skills!K18/10)+Skills!N18</f>
        <v/>
      </c>
      <c r="G888">
        <f>Calc!G18</f>
        <v/>
      </c>
      <c r="H888">
        <f>Calc!H18</f>
        <v/>
      </c>
      <c r="I888">
        <f>IF(Skills!T18&lt;&gt;"",1+(Skills!T18/10)*($Z$3/1000)/100,1)</f>
        <v/>
      </c>
      <c r="J888" t="inlineStr"/>
      <c r="K888" t="inlineStr"/>
      <c r="L888" t="inlineStr"/>
      <c r="M888" t="inlineStr"/>
      <c r="N888" t="inlineStr"/>
      <c r="O888">
        <f>(1-Summary!$B$48)*S888+Summary!$B$48*U888</f>
        <v/>
      </c>
      <c r="P888">
        <f>IF(B912=0,0,O888/B912)</f>
        <v/>
      </c>
      <c r="Q888">
        <f>IFERROR(1/IF(Inputs!$B$39="pvp",15,MAX(0.1,Skills!D18-IF(Skills!E18=TRUE,Inputs!$B$33,0))),0)</f>
        <v/>
      </c>
      <c r="R888" t="n">
        <v>0</v>
      </c>
      <c r="S888" t="n">
        <v>0</v>
      </c>
      <c r="U888" t="n">
        <v>0</v>
      </c>
    </row>
    <row r="889">
      <c r="A889">
        <f>Skills!A19</f>
        <v/>
      </c>
      <c r="B889">
        <f>Skills!B19</f>
        <v/>
      </c>
      <c r="C889">
        <f>Inputs!$B$3&gt;=110</f>
        <v/>
      </c>
      <c r="D889">
        <f>IF(Skills!C19=1,60+Inputs!$B$26+Inputs!$B$30,IF(Skills!C19=2,90+Inputs!$B$27+Inputs!$B$30,IF(Skills!C19=3,120+(Inputs!$B$28+1)+Inputs!$B$30,MAX(0,(Inputs!$B$3-100)*3)+Inputs!$B$29+Inputs!$B$30)))</f>
        <v/>
      </c>
      <c r="E889">
        <f>INDEX(FactorTable!$B$2:$Y$301, MATCH(ROUND(MIN(300,MAX(1,D889)),0), FactorTable!$A$2:$A$301,0), Skills!L19+1)</f>
        <v/>
      </c>
      <c r="F889">
        <f>(Skills!K19/10)*(E889/1000)*64/45+Skills!N19</f>
        <v/>
      </c>
      <c r="G889">
        <f>Calc!G19</f>
        <v/>
      </c>
      <c r="H889">
        <f>Calc!H19</f>
        <v/>
      </c>
      <c r="I889">
        <f>IF(Skills!T19&lt;&gt;"",1+(Skills!T19/10)*($Z$3/1000)/100,1)</f>
        <v/>
      </c>
      <c r="J889" t="inlineStr"/>
      <c r="K889" t="inlineStr"/>
      <c r="L889" t="inlineStr"/>
      <c r="M889" t="inlineStr"/>
      <c r="N889" t="inlineStr"/>
      <c r="O889">
        <f>(1-Summary!$B$48)*S889+Summary!$B$48*U889</f>
        <v/>
      </c>
      <c r="P889">
        <f>IF(B912=0,0,O889/B912)</f>
        <v/>
      </c>
      <c r="Q889">
        <f>IFERROR(1/IF(Inputs!$B$39="pvp",15,MAX(0.1,Skills!D19-IF(Skills!E19=TRUE,Inputs!$B$33,0))),0)</f>
        <v/>
      </c>
      <c r="R889">
        <f>IF(AND(Inputs!$B$39&lt;&gt;"pvp",Inputs!$B$44&gt;0),IF(Inputs!$B$44&lt;=0,0,(INT(Inputs!$B$44/IF(Inputs!$B$39="pvp",15,MAX(0.1,Skills!D19-IF(Skills!E19=TRUE,Inputs!$B$33,0))))+1)),0)</f>
        <v/>
      </c>
      <c r="S889" t="n">
        <v>0</v>
      </c>
      <c r="U889" t="n">
        <v>0</v>
      </c>
    </row>
    <row r="890">
      <c r="A890">
        <f>Skills!A20</f>
        <v/>
      </c>
      <c r="B890">
        <f>Skills!B20</f>
        <v/>
      </c>
      <c r="C890">
        <f>Inputs!$B$3&gt;=125</f>
        <v/>
      </c>
      <c r="D890">
        <f>IF(Skills!C20=1,60+Inputs!$B$26+Inputs!$B$30,IF(Skills!C20=2,90+Inputs!$B$27+Inputs!$B$30,IF(Skills!C20=3,120+(Inputs!$B$28+1)+Inputs!$B$30,MAX(0,(Inputs!$B$3-100)*3)+Inputs!$B$29+Inputs!$B$30)))</f>
        <v/>
      </c>
      <c r="E890">
        <f>INDEX(FactorTable!$B$2:$Y$301, MATCH(ROUND(MIN(300,MAX(1,D890)),0), FactorTable!$A$2:$A$301,0), Skills!L20+1)</f>
        <v/>
      </c>
      <c r="F890">
        <f>IF(Skills!M20=TRUE,(Skills!K20/10)*(E890/1000),Skills!K20/10)+Skills!N20</f>
        <v/>
      </c>
      <c r="G890">
        <f>Calc!G20</f>
        <v/>
      </c>
      <c r="H890">
        <f>Calc!H20</f>
        <v/>
      </c>
      <c r="I890">
        <f>IF(Skills!T20&lt;&gt;"",1+(Skills!T20/10)*($Z$3/1000)/100,1)</f>
        <v/>
      </c>
      <c r="J890" t="inlineStr"/>
      <c r="K890" t="inlineStr"/>
      <c r="L890" t="inlineStr"/>
      <c r="M890" t="inlineStr"/>
      <c r="N890" t="inlineStr"/>
      <c r="O890">
        <f>(1-Summary!$B$48)*S890+Summary!$B$48*U890</f>
        <v/>
      </c>
      <c r="P890">
        <f>IF(B912=0,0,O890/B912)</f>
        <v/>
      </c>
      <c r="Q890">
        <f>IFERROR(1/IF(Inputs!$B$39="pvp",15,MAX(0.1,Skills!D20-IF(Skills!E20=TRUE,Inputs!$B$33,0))),0)</f>
        <v/>
      </c>
      <c r="R890" t="n">
        <v>0</v>
      </c>
      <c r="S890" t="n">
        <v>0</v>
      </c>
      <c r="U890" t="n">
        <v>0</v>
      </c>
    </row>
    <row r="891">
      <c r="A891">
        <f>Skills!A21</f>
        <v/>
      </c>
      <c r="B891">
        <f>Skills!B21</f>
        <v/>
      </c>
      <c r="C891">
        <f>Inputs!$B$3&gt;=33</f>
        <v/>
      </c>
      <c r="D891">
        <f>IF(Skills!C21=1,60+Inputs!$B$26+Inputs!$B$30,IF(Skills!C21=2,90+Inputs!$B$27+Inputs!$B$30,IF(Skills!C21=3,120+(Inputs!$B$28+1)+Inputs!$B$30,MAX(0,(Inputs!$B$3-100)*3)+Inputs!$B$29+Inputs!$B$30)))</f>
        <v/>
      </c>
      <c r="E891">
        <f>INDEX(FactorTable!$B$2:$Y$301, MATCH(ROUND(MIN(300,MAX(1,D891)),0), FactorTable!$A$2:$A$301,0), Skills!L21+1)</f>
        <v/>
      </c>
      <c r="F891">
        <f>IF(Skills!M21=TRUE,(Skills!K21/10)*(E891/1000),Skills!K21/10)+Skills!N21</f>
        <v/>
      </c>
      <c r="G891">
        <f>Calc!G21</f>
        <v/>
      </c>
      <c r="H891">
        <f>Calc!H21</f>
        <v/>
      </c>
      <c r="I891">
        <f>IF(Skills!T21&lt;&gt;"",1+(Skills!T21/10)*($Z$3/1000)/100,1)</f>
        <v/>
      </c>
      <c r="J891" t="inlineStr"/>
      <c r="K891" t="inlineStr"/>
      <c r="L891" t="inlineStr"/>
      <c r="M891" t="inlineStr"/>
      <c r="N891" t="inlineStr"/>
      <c r="O891">
        <f>(1-Summary!$B$48)*S891+Summary!$B$48*U891</f>
        <v/>
      </c>
      <c r="P891">
        <f>IF(B912=0,0,O891/B912)</f>
        <v/>
      </c>
      <c r="Q891">
        <f>IFERROR(1/IF(Inputs!$B$39="pvp",15,MAX(0.1,Skills!D21-IF(Skills!E21=TRUE,Inputs!$B$33,0))),0)</f>
        <v/>
      </c>
      <c r="R891" t="n">
        <v>0</v>
      </c>
      <c r="S891" t="n">
        <v>0</v>
      </c>
      <c r="U891" t="n">
        <v>0</v>
      </c>
    </row>
    <row r="892">
      <c r="A892">
        <f>Skills!A22</f>
        <v/>
      </c>
      <c r="B892">
        <f>Skills!B22</f>
        <v/>
      </c>
      <c r="C892">
        <f>Inputs!$B$3&gt;=43</f>
        <v/>
      </c>
      <c r="D892">
        <f>IF(Skills!C22=1,60+Inputs!$B$26+Inputs!$B$30,IF(Skills!C22=2,90+Inputs!$B$27+Inputs!$B$30,IF(Skills!C22=3,120+(Inputs!$B$28+1)+Inputs!$B$30,MAX(0,(Inputs!$B$3-100)*3)+Inputs!$B$29+Inputs!$B$30)))</f>
        <v/>
      </c>
      <c r="E892">
        <f>INDEX(FactorTable!$B$2:$Y$301, MATCH(ROUND(MIN(300,MAX(1,D892)),0), FactorTable!$A$2:$A$301,0), Skills!L22+1)</f>
        <v/>
      </c>
      <c r="F892">
        <f>IF(Skills!M22=TRUE,(Skills!K22/10)*(E892/1000),Skills!K22/10)+Skills!N22</f>
        <v/>
      </c>
      <c r="G892">
        <f>Calc!G22</f>
        <v/>
      </c>
      <c r="H892">
        <f>Calc!H22</f>
        <v/>
      </c>
      <c r="I892">
        <f>IF(Skills!T22&lt;&gt;"",1+(Skills!T22/10)*($Z$3/1000)/100,1)</f>
        <v/>
      </c>
      <c r="J892" t="inlineStr"/>
      <c r="K892" t="inlineStr"/>
      <c r="L892" t="inlineStr"/>
      <c r="M892" t="inlineStr"/>
      <c r="N892" t="inlineStr"/>
      <c r="O892">
        <f>(1-Summary!$B$48)*S892+Summary!$B$48*U892</f>
        <v/>
      </c>
      <c r="P892">
        <f>IF(B912=0,0,O892/B912)</f>
        <v/>
      </c>
      <c r="Q892">
        <f>IFERROR(1/IF(Inputs!$B$39="pvp",15,MAX(0.1,Skills!D22-IF(Skills!E22=TRUE,Inputs!$B$33,0))),0)</f>
        <v/>
      </c>
      <c r="R892" t="n">
        <v>0</v>
      </c>
      <c r="S892" t="n">
        <v>0</v>
      </c>
      <c r="U892" t="n">
        <v>0</v>
      </c>
    </row>
    <row r="893">
      <c r="A893">
        <f>Skills!A23</f>
        <v/>
      </c>
      <c r="B893">
        <f>Skills!B23</f>
        <v/>
      </c>
      <c r="C893">
        <f>Inputs!$B$3&gt;=50</f>
        <v/>
      </c>
      <c r="D893">
        <f>IF(Skills!C23=1,60+Inputs!$B$26+Inputs!$B$30,IF(Skills!C23=2,90+Inputs!$B$27+Inputs!$B$30,IF(Skills!C23=3,120+(Inputs!$B$28+1)+Inputs!$B$30,MAX(0,(Inputs!$B$3-100)*3)+Inputs!$B$29+Inputs!$B$30)))</f>
        <v/>
      </c>
      <c r="E893">
        <f>INDEX(FactorTable!$B$2:$Y$301, MATCH(ROUND(MIN(300,MAX(1,D893)),0), FactorTable!$A$2:$A$301,0), Skills!L23+1)</f>
        <v/>
      </c>
      <c r="F893">
        <f>IF(Skills!M23=TRUE,(Skills!K23/10)*(E893/1000),Skills!K23/10)+Skills!N23</f>
        <v/>
      </c>
      <c r="G893">
        <f>Calc!G23</f>
        <v/>
      </c>
      <c r="H893">
        <f>Calc!H23</f>
        <v/>
      </c>
      <c r="I893">
        <f>IF(Skills!T23&lt;&gt;"",1+(Skills!T23/10)*($Z$3/1000)/100,1)</f>
        <v/>
      </c>
      <c r="J893" t="inlineStr"/>
      <c r="K893" t="inlineStr"/>
      <c r="L893" t="inlineStr"/>
      <c r="M893" t="inlineStr"/>
      <c r="N893" t="inlineStr"/>
      <c r="O893">
        <f>(1-Summary!$B$48)*S893+Summary!$B$48*U893</f>
        <v/>
      </c>
      <c r="P893">
        <f>IF(B912=0,0,O893/B912)</f>
        <v/>
      </c>
      <c r="Q893">
        <f>IFERROR(1/IF(Inputs!$B$39="pvp",15,MAX(0.1,Skills!D23-IF(Skills!E23=TRUE,Inputs!$B$33,0))),0)</f>
        <v/>
      </c>
      <c r="R893" t="n">
        <v>0</v>
      </c>
      <c r="S893" t="n">
        <v>0</v>
      </c>
      <c r="U893" t="n">
        <v>0</v>
      </c>
    </row>
    <row r="894">
      <c r="A894">
        <f>Skills!A24</f>
        <v/>
      </c>
      <c r="B894">
        <f>Skills!B24</f>
        <v/>
      </c>
      <c r="C894">
        <f>Inputs!$B$3&gt;=74</f>
        <v/>
      </c>
      <c r="D894">
        <f>IF(Skills!C24=1,60+Inputs!$B$26+Inputs!$B$30,IF(Skills!C24=2,90+Inputs!$B$27+Inputs!$B$30,IF(Skills!C24=3,120+(Inputs!$B$28+1)+Inputs!$B$30,MAX(0,(Inputs!$B$3-100)*3)+Inputs!$B$29+Inputs!$B$30)))</f>
        <v/>
      </c>
      <c r="E894">
        <f>INDEX(FactorTable!$B$2:$Y$301, MATCH(ROUND(MIN(300,MAX(1,D894)),0), FactorTable!$A$2:$A$301,0), Skills!L24+1)</f>
        <v/>
      </c>
      <c r="F894">
        <f>IF(Skills!M24=TRUE,(Skills!K24/10)*(E894/1000),Skills!K24/10)+Skills!N24</f>
        <v/>
      </c>
      <c r="G894">
        <f>Calc!G24</f>
        <v/>
      </c>
      <c r="H894">
        <f>Calc!H24</f>
        <v/>
      </c>
      <c r="I894">
        <f>IF(Skills!T24&lt;&gt;"",1+(Skills!T24/10)*($Z$3/1000)/100,1)</f>
        <v/>
      </c>
      <c r="J894" t="inlineStr"/>
      <c r="K894" t="inlineStr"/>
      <c r="L894" t="inlineStr"/>
      <c r="M894" t="inlineStr"/>
      <c r="N894" t="inlineStr"/>
      <c r="O894">
        <f>(1-Summary!$B$48)*S894+Summary!$B$48*U894</f>
        <v/>
      </c>
      <c r="P894">
        <f>IF(B912=0,0,O894/B912)</f>
        <v/>
      </c>
      <c r="Q894">
        <f>IFERROR(1/IF(Inputs!$B$39="pvp",15,MAX(0.1,Skills!D24-IF(Skills!E24=TRUE,Inputs!$B$33,0))),0)</f>
        <v/>
      </c>
      <c r="R894" t="n">
        <v>0</v>
      </c>
      <c r="S894" t="n">
        <v>0</v>
      </c>
      <c r="U894" t="n">
        <v>0</v>
      </c>
    </row>
    <row r="895">
      <c r="A895">
        <f>Skills!A25</f>
        <v/>
      </c>
      <c r="B895">
        <f>Skills!B25</f>
        <v/>
      </c>
      <c r="C895">
        <f>Inputs!$B$3&gt;=74</f>
        <v/>
      </c>
      <c r="D895">
        <f>IF(Skills!C25=1,60+Inputs!$B$26+Inputs!$B$30,IF(Skills!C25=2,90+Inputs!$B$27+Inputs!$B$30,IF(Skills!C25=3,120+(Inputs!$B$28+1)+Inputs!$B$30,MAX(0,(Inputs!$B$3-100)*3)+Inputs!$B$29+Inputs!$B$30)))</f>
        <v/>
      </c>
      <c r="E895">
        <f>INDEX(FactorTable!$B$2:$Y$301, MATCH(ROUND(MIN(300,MAX(1,D895)),0), FactorTable!$A$2:$A$301,0), Skills!L25+1)</f>
        <v/>
      </c>
      <c r="F895">
        <f>IF(Skills!M25=TRUE,(Skills!K25/10)*(E895/1000),Skills!K25/10)+Skills!N25</f>
        <v/>
      </c>
      <c r="G895">
        <f>Calc!G25</f>
        <v/>
      </c>
      <c r="H895">
        <f>Calc!H25</f>
        <v/>
      </c>
      <c r="I895">
        <f>IF(Skills!T25&lt;&gt;"",1+(Skills!T25/10)*($Z$3/1000)/100,1)</f>
        <v/>
      </c>
      <c r="J895" t="inlineStr"/>
      <c r="K895" t="inlineStr"/>
      <c r="L895" t="inlineStr"/>
      <c r="M895" t="inlineStr"/>
      <c r="N895" t="inlineStr"/>
      <c r="O895">
        <f>(1-Summary!$B$48)*S895+Summary!$B$48*U895</f>
        <v/>
      </c>
      <c r="P895">
        <f>IF(B912=0,0,O895/B912)</f>
        <v/>
      </c>
      <c r="Q895">
        <f>IFERROR(1/IF(Inputs!$B$39="pvp",15,MAX(0.1,Skills!D25-IF(Skills!E25=TRUE,Inputs!$B$33,0))),0)</f>
        <v/>
      </c>
      <c r="R895" t="n">
        <v>0</v>
      </c>
      <c r="S895" t="n">
        <v>0</v>
      </c>
      <c r="U895" t="n">
        <v>0</v>
      </c>
    </row>
    <row r="896">
      <c r="A896">
        <f>Skills!A26</f>
        <v/>
      </c>
      <c r="B896">
        <f>Skills!B26</f>
        <v/>
      </c>
      <c r="C896">
        <f>Inputs!$B$3&gt;=117</f>
        <v/>
      </c>
      <c r="D896">
        <f>IF(Skills!C26=1,60+Inputs!$B$26+Inputs!$B$30,IF(Skills!C26=2,90+Inputs!$B$27+Inputs!$B$30,IF(Skills!C26=3,120+(Inputs!$B$28+1)+Inputs!$B$30,MAX(0,(Inputs!$B$3-100)*3)+Inputs!$B$29+Inputs!$B$30)))</f>
        <v/>
      </c>
      <c r="E896">
        <f>INDEX(FactorTable!$B$2:$Y$301, MATCH(ROUND(MIN(300,MAX(1,D896)),0), FactorTable!$A$2:$A$301,0), Skills!L26+1)</f>
        <v/>
      </c>
      <c r="F896">
        <f>IF(Skills!M26=TRUE,(Skills!K26/10)*(E896/1000),Skills!K26/10)+Skills!N26</f>
        <v/>
      </c>
      <c r="G896">
        <f>Calc!G26</f>
        <v/>
      </c>
      <c r="H896">
        <f>Calc!H26</f>
        <v/>
      </c>
      <c r="I896">
        <f>IF(Skills!T26&lt;&gt;"",1+(Skills!T26/10)*($Z$3/1000)/100,1)</f>
        <v/>
      </c>
      <c r="J896" t="inlineStr"/>
      <c r="K896" t="inlineStr"/>
      <c r="L896" t="inlineStr"/>
      <c r="M896" t="inlineStr"/>
      <c r="N896" t="inlineStr"/>
      <c r="O896">
        <f>(1-Summary!$B$48)*S896+Summary!$B$48*U896</f>
        <v/>
      </c>
      <c r="P896">
        <f>IF(B912=0,0,O896/B912)</f>
        <v/>
      </c>
      <c r="Q896">
        <f>IFERROR(1/IF(Inputs!$B$39="pvp",15,MAX(0.1,Skills!D26-IF(Skills!E26=TRUE,Inputs!$B$33,0))),0)</f>
        <v/>
      </c>
      <c r="R896" t="n">
        <v>0</v>
      </c>
      <c r="S896" t="n">
        <v>0</v>
      </c>
      <c r="U896" t="n">
        <v>0</v>
      </c>
    </row>
    <row r="897">
      <c r="A897">
        <f>Skills!A27</f>
        <v/>
      </c>
      <c r="B897">
        <f>Skills!B27</f>
        <v/>
      </c>
      <c r="C897">
        <f>Inputs!$B$3&gt;=120</f>
        <v/>
      </c>
      <c r="D897">
        <f>IF(Skills!C27=1,60+Inputs!$B$26+Inputs!$B$30,IF(Skills!C27=2,90+Inputs!$B$27+Inputs!$B$30,IF(Skills!C27=3,120+(Inputs!$B$28+1)+Inputs!$B$30,MAX(0,(Inputs!$B$3-100)*3)+Inputs!$B$29+Inputs!$B$30)))</f>
        <v/>
      </c>
      <c r="E897">
        <f>INDEX(FactorTable!$B$2:$Y$301, MATCH(ROUND(MIN(300,MAX(1,D897)),0), FactorTable!$A$2:$A$301,0), Skills!L27+1)</f>
        <v/>
      </c>
      <c r="F897">
        <f>IF(Skills!M27=TRUE,(Skills!K27/10)*(E897/1000),Skills!K27/10)+Skills!N27</f>
        <v/>
      </c>
      <c r="G897">
        <f>Calc!G27</f>
        <v/>
      </c>
      <c r="H897">
        <f>Calc!H27</f>
        <v/>
      </c>
      <c r="I897">
        <f>IF(Skills!T27&lt;&gt;"",1+(Skills!T27/10)*($Z$3/1000)/100,1)</f>
        <v/>
      </c>
      <c r="J897" t="inlineStr"/>
      <c r="K897" t="inlineStr"/>
      <c r="L897" t="inlineStr"/>
      <c r="M897" t="inlineStr"/>
      <c r="N897" t="inlineStr"/>
      <c r="O897">
        <f>(1-Summary!$B$48)*S897+Summary!$B$48*U897</f>
        <v/>
      </c>
      <c r="P897">
        <f>IF(B912=0,0,O897/B912)</f>
        <v/>
      </c>
      <c r="Q897">
        <f>IFERROR(1/IF(Inputs!$B$39="pvp",15,MAX(0.1,Skills!D27-IF(Skills!E27=TRUE,Inputs!$B$33,0))),0)</f>
        <v/>
      </c>
      <c r="R897" t="n">
        <v>0</v>
      </c>
      <c r="S897" t="n">
        <v>0</v>
      </c>
      <c r="U897" t="n">
        <v>0</v>
      </c>
    </row>
    <row r="899">
      <c r="A899" t="inlineStr">
        <is>
          <t>Average Buff Multiplier</t>
        </is>
      </c>
      <c r="B899">
        <f>(1+(IF(C873=TRUE,F873*IF(AND(Inputs!$B$39&lt;&gt;"pvp",Inputs!$B$44&gt;0),(((R873-1)*(Skills!S3*(1+(Inputs!$B$35+IF(Inputs!$B$3&gt;=117,F896,0))/100))+MIN((Skills!S3*(1+(Inputs!$B$35+IF(Inputs!$B$3&gt;=117,F896,0))/100)),MAX(0,Inputs!$B$44-((R873-1)*Skills!D3))))/Inputs!$B$44),IF(Inputs!$B$39="pvp",MIN((Skills!S3*(1+(Inputs!$B$35+IF(Inputs!$B$3&gt;=117,F896,0))/100)),15)/15,(Skills!S3*(1+(Inputs!$B$35+IF(Inputs!$B$3&gt;=117,F896,0))/100))/Skills!D3)),0)+IF(C874=TRUE,F874*IF(AND(Inputs!$B$39&lt;&gt;"pvp",Inputs!$B$44&gt;0),(((R874-1)*(Skills!S4*(1+(Inputs!$B$35+IF(Inputs!$B$3&gt;=117,F896,0))/100))+MIN((Skills!S4*(1+(Inputs!$B$35+IF(Inputs!$B$3&gt;=117,F896,0))/100)),MAX(0,Inputs!$B$44-((R874-1)*Skills!D4))))/Inputs!$B$44),IF(Inputs!$B$39="pvp",MIN((Skills!S4*(1+(Inputs!$B$35+IF(Inputs!$B$3&gt;=117,F896,0))/100)),15)/15,(Skills!S4*(1+(Inputs!$B$35+IF(Inputs!$B$3&gt;=117,F896,0))/100))/Skills!D4)),0)+IF(C875=TRUE,F875*IF(AND(Inputs!$B$39&lt;&gt;"pvp",Inputs!$B$44&gt;0),(((R875-1)*(Skills!S5*(1+(Inputs!$B$35+IF(Inputs!$B$3&gt;=117,F896,0))/100))+MIN((Skills!S5*(1+(Inputs!$B$35+IF(Inputs!$B$3&gt;=117,F896,0))/100)),MAX(0,Inputs!$B$44-((R875-1)*Skills!D5))))/Inputs!$B$44),IF(Inputs!$B$39="pvp",MIN((Skills!S5*(1+(Inputs!$B$35+IF(Inputs!$B$3&gt;=117,F896,0))/100)),15)/15,(Skills!S5*(1+(Inputs!$B$35+IF(Inputs!$B$3&gt;=117,F896,0))/100))/Skills!D5)),0)+IF(C881=TRUE,F881*IF(AND(Inputs!$B$39&lt;&gt;"pvp",Inputs!$B$44&gt;0),(((R881-1)*(Skills!S11*(1+(Inputs!$B$35+IF(Inputs!$B$3&gt;=117,F896,0))/100))+MIN((Skills!S11*(1+(Inputs!$B$35+IF(Inputs!$B$3&gt;=117,F896,0))/100)),MAX(0,Inputs!$B$44-((R881-1)*Skills!D11))))/Inputs!$B$44),IF(Inputs!$B$39="pvp",MIN((Skills!S11*(1+(Inputs!$B$35+IF(Inputs!$B$3&gt;=117,F896,0))/100)),15)/15,(Skills!S11*(1+(Inputs!$B$35+IF(Inputs!$B$3&gt;=117,F896,0))/100))/Skills!D11)),0))/100)*IF(C884=TRUE,(1+F884*IF(AND(Inputs!$B$39&lt;&gt;"pvp",Inputs!$B$44&gt;0),(((R884-1)*(Skills!S14*(1+(Inputs!$B$35+IF(Inputs!$B$3&gt;=117,F896,0))/100))+MIN((Skills!S14*(1+(Inputs!$B$35+IF(Inputs!$B$3&gt;=117,F896,0))/100)),MAX(0,Inputs!$B$44-((R884-1)*Skills!D14))))/Inputs!$B$44),IF(Inputs!$B$39="pvp",MIN((Skills!S14*(1+(Inputs!$B$35+IF(Inputs!$B$3&gt;=117,F896,0))/100)),15)/15,(Skills!S14*(1+(Inputs!$B$35+IF(Inputs!$B$3&gt;=117,F896,0))/100))/Skills!D14))/100),1)*IF(C889=TRUE,(1+F889*IF(AND(Inputs!$B$39&lt;&gt;"pvp",Inputs!$B$44&gt;0),(((R889-1)*(Skills!S19*(1+(Inputs!$B$35+IF(Inputs!$B$3&gt;=117,F896,0))/100))+MIN((Skills!S19*(1+(Inputs!$B$35+IF(Inputs!$B$3&gt;=117,F896,0))/100)),MAX(0,Inputs!$B$44-((R889-1)*Skills!D19))))/Inputs!$B$44),IF(Inputs!$B$39="pvp",MIN((Skills!S19*(1+(Inputs!$B$35+IF(Inputs!$B$3&gt;=117,F896,0))/100)),15)/15,(Skills!S19*(1+(Inputs!$B$35+IF(Inputs!$B$3&gt;=117,F896,0))/100))/Skills!D19))/100),1)</f>
        <v/>
      </c>
    </row>
    <row r="900">
      <c r="A900" t="inlineStr">
        <is>
          <t>Monster Damage Taken Bonus % (Holy Fountain)</t>
        </is>
      </c>
      <c r="B900">
        <f>IF(Inputs!$B$3&gt;=68,20*IF(Inputs!$B$39="pvp",MIN((15*(1+(Inputs!$B$35+IF(Inputs!$B$3&gt;=117,F896,0))/100)),15)/15,(15*(1+(Inputs!$B$35+IF(Inputs!$B$3&gt;=117,F896,0))/100))/Skills!D10),0)</f>
        <v/>
      </c>
    </row>
    <row r="901">
      <c r="A901" t="inlineStr">
        <is>
          <t>Normal Monster Damage Bonus % (Holy Symbol)</t>
        </is>
      </c>
      <c r="B901">
        <f>IF(C882=TRUE,F882*IF(AND(Inputs!$B$39&lt;&gt;"pvp",Inputs!$B$44&gt;0),(((R882-1)*(Skills!S12*(1+(Inputs!$B$35+IF(Inputs!$B$3&gt;=117,F896,0))/100))+MIN((Skills!S12*(1+(Inputs!$B$35+IF(Inputs!$B$3&gt;=117,F896,0))/100)),MAX(0,Inputs!$B$44-((R882-1)*Skills!D12))))/Inputs!$B$44),IF(Inputs!$B$39="pvp",MIN((Skills!S12*(1+(Inputs!$B$35+IF(Inputs!$B$3&gt;=117,F896,0))/100)),15)/15,(Skills!S12*(1+(Inputs!$B$35+IF(Inputs!$B$3&gt;=117,F896,0))/100))/Skills!D12)),0)</f>
        <v/>
      </c>
    </row>
    <row r="902">
      <c r="A902" t="inlineStr">
        <is>
          <t>Damage % Bonus (Holy Symbol - Damage Boost)</t>
        </is>
      </c>
      <c r="B902">
        <f>Skills!O12</f>
        <v/>
      </c>
    </row>
    <row r="903">
      <c r="A903" t="inlineStr">
        <is>
          <t>Crit Damage % Bonus (Blood of the Divine)</t>
        </is>
      </c>
      <c r="B903">
        <f>4*IF(C890=TRUE,F890,0)</f>
        <v/>
      </c>
    </row>
    <row r="904">
      <c r="A904" t="inlineStr">
        <is>
          <t>Attack Speed Bonus %</t>
        </is>
      </c>
      <c r="B904">
        <f>IF(C887=TRUE,F887+(F891-Calc!F21),0)+IF(Inputs!$B$3&gt;=134,15,0)</f>
        <v/>
      </c>
    </row>
    <row r="905">
      <c r="A905" t="inlineStr">
        <is>
          <t>Actions Per Second</t>
        </is>
      </c>
      <c r="B905">
        <f>1+MIN(150,150*(1-(1-Inputs!$B$12/150)*(1-B904/150)))/100</f>
        <v/>
      </c>
    </row>
    <row r="906">
      <c r="A906" t="inlineStr">
        <is>
          <t>Skill + Buff Cast Rate</t>
        </is>
      </c>
      <c r="B906">
        <f>IF(AND(Inputs!$B$39&lt;&gt;"pvp",Inputs!$B$44&gt;0),SUMPRODUCT((Skills!E2:E27=TRUE)*(C872:C897=TRUE)*R872:R897)/Inputs!$B$44,SUMPRODUCT((Skills!E2:E27=TRUE)*(C872:C897=TRUE)*Q872:Q897))</f>
        <v/>
      </c>
    </row>
    <row r="907">
      <c r="A907" t="inlineStr">
        <is>
          <t>Big Bang Casts Per Second</t>
        </is>
      </c>
      <c r="B907">
        <f>MAX(0,B905-B906)</f>
        <v/>
      </c>
    </row>
    <row r="908">
      <c r="A908" t="inlineStr">
        <is>
          <t>Defense % Bonus (Divine Protection)</t>
        </is>
      </c>
      <c r="B908">
        <f>IF(C883=TRUE,F883*IF(AND(Inputs!$B$39&lt;&gt;"pvp",Inputs!$B$44&gt;0),(((R883-1)*(Skills!S13*(1+(Inputs!$B$35+IF(Inputs!$B$3&gt;=117,F896,0))/100))+MIN((Skills!S13*(1+(Inputs!$B$35+IF(Inputs!$B$3&gt;=117,F896,0))/100)),MAX(0,Inputs!$B$44-((R883-1)*Skills!D13))))/Inputs!$B$44),IF(Inputs!$B$39="pvp",MIN((Skills!S13*(1+(Inputs!$B$35+IF(Inputs!$B$3&gt;=117,F896,0))/100)),15)/15,(Skills!S13*(1+(Inputs!$B$35+IF(Inputs!$B$3&gt;=117,F896,0))/100))/Skills!D13)),0)</f>
        <v/>
      </c>
    </row>
    <row r="909">
      <c r="A909" t="inlineStr">
        <is>
          <t>Buff-Casting Startup Delay (s, fixed-duration only)</t>
        </is>
      </c>
      <c r="B909">
        <f>IF(AND(Inputs!$B$39&lt;&gt;"pvp",Inputs!$B$44&gt;0),SUMPRODUCT((Skills!S2:S27&gt;0)*(Skills!E2:E27=TRUE)*(C872:C897=TRUE))/B905,0)</f>
        <v/>
      </c>
    </row>
    <row r="910">
      <c r="A910" t="inlineStr">
        <is>
          <t>Boss-Only Total DPS (this block's swept value)</t>
        </is>
      </c>
      <c r="B910">
        <f>SUM(S872:S897)</f>
        <v/>
      </c>
    </row>
    <row r="911">
      <c r="A911" t="inlineStr">
        <is>
          <t>Normal-Only Total DPS (this block's swept value)</t>
        </is>
      </c>
      <c r="B911">
        <f>SUM(U872:U897)</f>
        <v/>
      </c>
    </row>
    <row r="912">
      <c r="A912" s="5" t="inlineStr">
        <is>
          <t>TOTAL DPS</t>
        </is>
      </c>
      <c r="B912" s="5">
        <f>SUM(O872:O897)</f>
        <v/>
      </c>
    </row>
    <row r="914">
      <c r="A914" s="5" t="inlineStr">
        <is>
          <t>Stat: Skill Level Bonus — 4th Job</t>
        </is>
      </c>
    </row>
    <row r="915">
      <c r="A915" s="9" t="inlineStr">
        <is>
          <t>Key</t>
        </is>
      </c>
      <c r="B915" s="9" t="inlineStr">
        <is>
          <t>Name</t>
        </is>
      </c>
      <c r="C915" s="9" t="inlineStr">
        <is>
          <t>Unlocked</t>
        </is>
      </c>
      <c r="D915" s="9" t="inlineStr">
        <is>
          <t>InputLevel</t>
        </is>
      </c>
      <c r="E915" s="9" t="inlineStr">
        <is>
          <t>Factor</t>
        </is>
      </c>
      <c r="F915" s="9" t="inlineStr">
        <is>
          <t>CoefficientPercent</t>
        </is>
      </c>
      <c r="G915" s="9" t="inlineStr">
        <is>
          <t>EffectiveHits</t>
        </is>
      </c>
      <c r="H915" s="9" t="inlineStr">
        <is>
          <t>ProcProbability</t>
        </is>
      </c>
      <c r="I915" s="9" t="inlineStr">
        <is>
          <t>MapleHeroMultiplier</t>
        </is>
      </c>
      <c r="J915" s="9" t="inlineStr">
        <is>
          <t>BaseDamage</t>
        </is>
      </c>
      <c r="K915" s="9" t="inlineStr">
        <is>
          <t>BaseHitDamage</t>
        </is>
      </c>
      <c r="L915" s="9" t="inlineStr">
        <is>
          <t>NonCritAvg</t>
        </is>
      </c>
      <c r="M915" s="9" t="inlineStr">
        <is>
          <t>CritAvg</t>
        </is>
      </c>
      <c r="N915" s="9" t="inlineStr">
        <is>
          <t>ExpectedDamage(perHit)</t>
        </is>
      </c>
      <c r="O915" s="9" t="inlineStr">
        <is>
          <t>DPS</t>
        </is>
      </c>
      <c r="P915" s="9" t="inlineStr">
        <is>
          <t>% of Total</t>
        </is>
      </c>
      <c r="R915" t="inlineStr">
        <is>
          <t>helpers</t>
        </is>
      </c>
    </row>
    <row r="916">
      <c r="A916">
        <f>Skills!A2</f>
        <v/>
      </c>
      <c r="B916">
        <f>Skills!B2</f>
        <v/>
      </c>
      <c r="C916">
        <f>Inputs!$B$3&gt;=100</f>
        <v/>
      </c>
      <c r="D916" t="inlineStr"/>
      <c r="E916" t="inlineStr"/>
      <c r="F916">
        <f>T918+Skills!N2</f>
        <v/>
      </c>
      <c r="G916">
        <f>Calc!G2</f>
        <v/>
      </c>
      <c r="H916">
        <f>Calc!H2</f>
        <v/>
      </c>
      <c r="I916">
        <f>IF(Skills!T2&lt;&gt;"",1+(Skills!T2/10)*($Z$3/1000)/100,1)</f>
        <v/>
      </c>
      <c r="J916">
        <f>((Inputs!$B$6*(1+Inputs!$B$7/100))+(((Inputs!$B$13*(1+Inputs!$B$14/100))-(Inputs!$B$13*(1+Inputs!$B$14/100)))+0.25*(Inputs!$B$15-Inputs!$B$15))*(1+Inputs!$B$7/100))*(F916/100)</f>
        <v/>
      </c>
      <c r="K916">
        <f>J916*(1+(((Inputs!$B$13+IF(Inputs!$B$3&gt;=35,(10*INDEX(FactorTable!$B$2:$Y$301, MATCH(ROUND(MIN(300,MAX(1,Inputs!$B$3)),0), FactorTable!$A$2:$A$301,0), 23)/1000)/100*(Inputs!$B$8*(1+(Inputs!$B$9+B952)/100)),0))*(1+Inputs!$B$14/100))*0.01+Inputs!$B$15*0.0025)/100)*(1+(Inputs!$B$16+B946)/100)*(1+Inputs!$B$17/100)*(5000/(6000+Inputs!$B$43*(1-Inputs!$B$20/100)))*(1+Inputs!$B$25/100)*(1+IF(C932=TRUE,F932,0)/100)*(1+IF(C934=TRUE,F934,0)/100)*(1+IF(Skills!A2="TRIUMPH_FEATHER",IF(C930=TRUE,F930,0),0)/100)*(1+IF(C941=TRUE,F941,0)/100)^5*(1+(IF(Skills!A2="BIG_BANG",Inputs!$B$18,Inputs!$B$19))/100)*(B943*I916)</f>
        <v/>
      </c>
      <c r="L916">
        <f>K916*(MIN(Inputs!$B$23+(F936-Calc!F22),Inputs!$B$24)/100+Inputs!$B$24/100)/2</f>
        <v/>
      </c>
      <c r="M916">
        <f>L916*(1+(Inputs!$B$11+B947+(F939-Calc!F25))/100)</f>
        <v/>
      </c>
      <c r="N916">
        <f>L916*(1-MIN(Inputs!$B$10+((F938-Calc!F24)+(F937-Calc!F23)),100)/100)+M916*(MIN(Inputs!$B$10+((F938-Calc!F24)+(F937-Calc!F23)),100)/100)</f>
        <v/>
      </c>
      <c r="O916">
        <f>(1-Summary!$B$48)*S916+Summary!$B$48*U916</f>
        <v/>
      </c>
      <c r="P916">
        <f>IF(B956=0,0,O916/B956)</f>
        <v/>
      </c>
      <c r="Q916">
        <f>IFERROR(1/IF(Inputs!$B$39="pvp",15,MAX(0.1,Skills!D2-IF(Skills!E2=TRUE,Inputs!$B$33,0))),0)</f>
        <v/>
      </c>
      <c r="R916" t="n">
        <v>0</v>
      </c>
      <c r="S916">
        <f>IF(C916,(Skills!F2*N916*B951)*IF(Inputs!$B$39="pvp",1,1+(Inputs!$B$21+Skills!O2+B944)/100),0)</f>
        <v/>
      </c>
      <c r="T916">
        <f>MAX(0,(Inputs!$B$3-100)*3)+(Inputs!$B$29+1)+Inputs!$B$30</f>
        <v/>
      </c>
      <c r="U916">
        <f>IF(C916,(Skills!F2*N916*B951)*IF(Inputs!$B$39="pvp",1,(1+(Inputs!$B$22+Skills!P2+B945)/100)*(MIN((6+Inputs!$B$34),Inputs!$B$38))),0)</f>
        <v/>
      </c>
    </row>
    <row r="917">
      <c r="A917">
        <f>Skills!A3</f>
        <v/>
      </c>
      <c r="B917">
        <f>Skills!B3</f>
        <v/>
      </c>
      <c r="C917">
        <f>Inputs!$B$3&gt;=15</f>
        <v/>
      </c>
      <c r="D917">
        <f>IF(Skills!C3=1,60+Inputs!$B$26+Inputs!$B$30,IF(Skills!C3=2,90+Inputs!$B$27+Inputs!$B$30,IF(Skills!C3=3,120+Inputs!$B$28+Inputs!$B$30,MAX(0,(Inputs!$B$3-100)*3)+(Inputs!$B$29+1)+Inputs!$B$30)))</f>
        <v/>
      </c>
      <c r="E917">
        <f>INDEX(FactorTable!$B$2:$Y$301, MATCH(ROUND(MIN(300,MAX(1,D917)),0), FactorTable!$A$2:$A$301,0), Skills!L3+1)</f>
        <v/>
      </c>
      <c r="F917">
        <f>IF(Skills!M3=TRUE,(Skills!K3/10)*(E917/1000),Skills!K3/10)+Skills!N3</f>
        <v/>
      </c>
      <c r="G917">
        <f>Calc!G3</f>
        <v/>
      </c>
      <c r="H917">
        <f>Calc!H3</f>
        <v/>
      </c>
      <c r="I917">
        <f>IF(Skills!T3&lt;&gt;"",1+(Skills!T3/10)*($Z$3/1000)/100,1)</f>
        <v/>
      </c>
      <c r="J917" t="inlineStr"/>
      <c r="K917" t="inlineStr"/>
      <c r="L917" t="inlineStr"/>
      <c r="M917" t="inlineStr"/>
      <c r="N917" t="inlineStr"/>
      <c r="O917">
        <f>(1-Summary!$B$48)*S917+Summary!$B$48*U917</f>
        <v/>
      </c>
      <c r="P917">
        <f>IF(B956=0,0,O917/B956)</f>
        <v/>
      </c>
      <c r="Q917">
        <f>IFERROR(1/IF(Inputs!$B$39="pvp",15,MAX(0.1,Skills!D3-IF(Skills!E3=TRUE,Inputs!$B$33,0))),0)</f>
        <v/>
      </c>
      <c r="R917">
        <f>IF(AND(Inputs!$B$39&lt;&gt;"pvp",Inputs!$B$44&gt;0),IF(Inputs!$B$44&lt;=0,0,(INT(Inputs!$B$44/IF(Inputs!$B$39="pvp",15,MAX(0.1,Skills!D3-IF(Skills!E3=TRUE,Inputs!$B$33,0))))+1)),0)</f>
        <v/>
      </c>
      <c r="S917" t="n">
        <v>0</v>
      </c>
      <c r="T917">
        <f>INDEX(FactorTable!$B$2:$Y$301, MATCH(ROUND(MIN(300,MAX(1,T916)),0), FactorTable!$A$2:$A$301,0), 22)</f>
        <v/>
      </c>
      <c r="U917" t="n">
        <v>0</v>
      </c>
    </row>
    <row r="918">
      <c r="A918">
        <f>Skills!A4</f>
        <v/>
      </c>
      <c r="B918">
        <f>Skills!B4</f>
        <v/>
      </c>
      <c r="C918">
        <f>Inputs!$B$3&gt;=38</f>
        <v/>
      </c>
      <c r="D918">
        <f>IF(Skills!C4=1,60+Inputs!$B$26+Inputs!$B$30,IF(Skills!C4=2,90+Inputs!$B$27+Inputs!$B$30,IF(Skills!C4=3,120+Inputs!$B$28+Inputs!$B$30,MAX(0,(Inputs!$B$3-100)*3)+(Inputs!$B$29+1)+Inputs!$B$30)))</f>
        <v/>
      </c>
      <c r="E918">
        <f>INDEX(FactorTable!$B$2:$Y$301, MATCH(ROUND(MIN(300,MAX(1,D918)),0), FactorTable!$A$2:$A$301,0), Skills!L4+1)</f>
        <v/>
      </c>
      <c r="F918">
        <f>IF(Skills!M4=TRUE,(Skills!K4/10)*(E918/1000),Skills!K4/10)+Skills!N4</f>
        <v/>
      </c>
      <c r="G918">
        <f>Calc!G4</f>
        <v/>
      </c>
      <c r="H918">
        <f>Calc!H4</f>
        <v/>
      </c>
      <c r="I918">
        <f>IF(Skills!T4&lt;&gt;"",1+(Skills!T4/10)*($Z$3/1000)/100,1)</f>
        <v/>
      </c>
      <c r="J918" t="inlineStr"/>
      <c r="K918" t="inlineStr"/>
      <c r="L918" t="inlineStr"/>
      <c r="M918" t="inlineStr"/>
      <c r="N918" t="inlineStr"/>
      <c r="O918">
        <f>(1-Summary!$B$48)*S918+Summary!$B$48*U918</f>
        <v/>
      </c>
      <c r="P918">
        <f>IF(B956=0,0,O918/B956)</f>
        <v/>
      </c>
      <c r="Q918">
        <f>IFERROR(1/IF(Inputs!$B$39="pvp",15,MAX(0.1,Skills!D4-IF(Skills!E4=TRUE,Inputs!$B$33,0))),0)</f>
        <v/>
      </c>
      <c r="R918">
        <f>IF(AND(Inputs!$B$39&lt;&gt;"pvp",Inputs!$B$44&gt;0),IF(Inputs!$B$44&lt;=0,0,(INT(Inputs!$B$44/IF(Inputs!$B$39="pvp",15,MAX(0.1,Skills!D4-IF(Skills!E4=TRUE,Inputs!$B$33,0))))+1)),0)</f>
        <v/>
      </c>
      <c r="S918" t="n">
        <v>0</v>
      </c>
      <c r="T918">
        <f>290*T917/1000</f>
        <v/>
      </c>
      <c r="U918" t="n">
        <v>0</v>
      </c>
    </row>
    <row r="919">
      <c r="A919">
        <f>Skills!A5</f>
        <v/>
      </c>
      <c r="B919">
        <f>Skills!B5</f>
        <v/>
      </c>
      <c r="C919">
        <f>Inputs!$B$3&gt;=40</f>
        <v/>
      </c>
      <c r="D919">
        <f>IF(Skills!C5=1,60+Inputs!$B$26+Inputs!$B$30,IF(Skills!C5=2,90+Inputs!$B$27+Inputs!$B$30,IF(Skills!C5=3,120+Inputs!$B$28+Inputs!$B$30,MAX(0,(Inputs!$B$3-100)*3)+(Inputs!$B$29+1)+Inputs!$B$30)))</f>
        <v/>
      </c>
      <c r="E919">
        <f>INDEX(FactorTable!$B$2:$Y$301, MATCH(ROUND(MIN(300,MAX(1,D919)),0), FactorTable!$A$2:$A$301,0), Skills!L5+1)</f>
        <v/>
      </c>
      <c r="F919">
        <f>IF(Skills!M5=TRUE,(Skills!K5/10)*(E919/1000),Skills!K5/10)+Skills!N5</f>
        <v/>
      </c>
      <c r="G919">
        <f>Calc!G5</f>
        <v/>
      </c>
      <c r="H919">
        <f>Calc!H5</f>
        <v/>
      </c>
      <c r="I919">
        <f>IF(Skills!T5&lt;&gt;"",1+(Skills!T5/10)*($Z$3/1000)/100,1)</f>
        <v/>
      </c>
      <c r="J919" t="inlineStr"/>
      <c r="K919" t="inlineStr"/>
      <c r="L919" t="inlineStr"/>
      <c r="M919" t="inlineStr"/>
      <c r="N919" t="inlineStr"/>
      <c r="O919">
        <f>(1-Summary!$B$48)*S919+Summary!$B$48*U919</f>
        <v/>
      </c>
      <c r="P919">
        <f>IF(B956=0,0,O919/B956)</f>
        <v/>
      </c>
      <c r="Q919">
        <f>IFERROR(1/IF(Inputs!$B$39="pvp",15,MAX(0.1,Skills!D5-IF(Skills!E5=TRUE,Inputs!$B$33,0))),0)</f>
        <v/>
      </c>
      <c r="R919">
        <f>IF(AND(Inputs!$B$39&lt;&gt;"pvp",Inputs!$B$44&gt;0),IF(Inputs!$B$44&lt;=0,0,(INT(Inputs!$B$44/IF(Inputs!$B$39="pvp",15,MAX(0.1,Skills!D5-IF(Skills!E5=TRUE,Inputs!$B$33,0))))+1)),0)</f>
        <v/>
      </c>
      <c r="S919" t="n">
        <v>0</v>
      </c>
      <c r="U919" t="n">
        <v>0</v>
      </c>
    </row>
    <row r="920">
      <c r="A920">
        <f>Skills!A6</f>
        <v/>
      </c>
      <c r="B920">
        <f>Skills!B6</f>
        <v/>
      </c>
      <c r="C920">
        <f>Inputs!$B$3&gt;=103</f>
        <v/>
      </c>
      <c r="D920">
        <f>IF(Skills!C6=1,60+Inputs!$B$26+Inputs!$B$30,IF(Skills!C6=2,90+Inputs!$B$27+Inputs!$B$30,IF(Skills!C6=3,120+Inputs!$B$28+Inputs!$B$30,MAX(0,(Inputs!$B$3-100)*3)+(Inputs!$B$29+1)+Inputs!$B$30)))</f>
        <v/>
      </c>
      <c r="E920">
        <f>INDEX(FactorTable!$B$2:$Y$301, MATCH(ROUND(MIN(300,MAX(1,D920)),0), FactorTable!$A$2:$A$301,0), Skills!L6+1)</f>
        <v/>
      </c>
      <c r="F920">
        <f>IF(Skills!M6=TRUE,(Skills!K6/10)*(E920/1000),Skills!K6/10)+Skills!N6</f>
        <v/>
      </c>
      <c r="G920">
        <f>Calc!G6</f>
        <v/>
      </c>
      <c r="H920">
        <f>Calc!H6</f>
        <v/>
      </c>
      <c r="I920">
        <f>IF(Skills!T6&lt;&gt;"",1+(Skills!T6/10)*($Z$3/1000)/100,1)</f>
        <v/>
      </c>
      <c r="J920">
        <f>((Inputs!$B$6*(1+Inputs!$B$7/100))+(((Inputs!$B$13*(1+Inputs!$B$14/100))-(Inputs!$B$13*(1+Inputs!$B$14/100)))+0.25*(Inputs!$B$15-Inputs!$B$15))*(1+Inputs!$B$7/100))*(F920/100)</f>
        <v/>
      </c>
      <c r="K920">
        <f>J920*(1+(((Inputs!$B$13+IF(Inputs!$B$3&gt;=35,(10*INDEX(FactorTable!$B$2:$Y$301, MATCH(ROUND(MIN(300,MAX(1,Inputs!$B$3)),0), FactorTable!$A$2:$A$301,0), 23)/1000)/100*(Inputs!$B$8*(1+(Inputs!$B$9+B952)/100)),0))*(1+Inputs!$B$14/100))*0.01+Inputs!$B$15*0.0025)/100)*(1+(Inputs!$B$16+B946)/100)*(1+Inputs!$B$17/100)*(5000/(6000+Inputs!$B$43*(1-Inputs!$B$20/100)))*(1+Inputs!$B$25/100)*(1+IF(C932=TRUE,F932,0)/100)*(1+IF(C934=TRUE,F934,0)/100)*(1+IF(Skills!A6="TRIUMPH_FEATHER",IF(C930=TRUE,F930,0),0)/100)*(1+IF(C941=TRUE,F941,0)/100)^5*(1+(IF(Skills!A6="BIG_BANG",Inputs!$B$18,Inputs!$B$19))/100)*(B943*I920)</f>
        <v/>
      </c>
      <c r="L920">
        <f>K920*(MIN(Inputs!$B$23+(F936-Calc!F22),Inputs!$B$24)/100+Inputs!$B$24/100)/2</f>
        <v/>
      </c>
      <c r="M920">
        <f>L920*(1+(Inputs!$B$11+B947+(F939-Calc!F25))/100)</f>
        <v/>
      </c>
      <c r="N920">
        <f>L920*(1-MIN(Inputs!$B$10+((F938-Calc!F24)+(F937-Calc!F23)),100)/100)+M920*(MIN(Inputs!$B$10+((F938-Calc!F24)+(F937-Calc!F23)),100)/100)</f>
        <v/>
      </c>
      <c r="O920">
        <f>(1-Summary!$B$48)*S920+Summary!$B$48*U920</f>
        <v/>
      </c>
      <c r="P920">
        <f>IF(B956=0,0,O920/B956)</f>
        <v/>
      </c>
      <c r="Q920">
        <f>IFERROR(1/IF(Inputs!$B$39="pvp",15,MAX(0.1,Skills!D6-IF(Skills!E6=TRUE,Inputs!$B$33,0))),0)</f>
        <v/>
      </c>
      <c r="R920">
        <f>IF(AND(Inputs!$B$39&lt;&gt;"pvp",Inputs!$B$44&gt;0),IF(MAX(0,Inputs!$B$44-B953)&lt;=0,0,(INT(MAX(0,Inputs!$B$44-B953)/IF(Inputs!$B$39="pvp",15,MAX(0.1,Skills!D6-IF(Skills!E6=TRUE,Inputs!$B$33,0))))+1)),0)</f>
        <v/>
      </c>
      <c r="S920">
        <f>IF(C920,(H920*N920*IF(AND(Inputs!$B$39&lt;&gt;"pvp",Inputs!$B$44&gt;0),((Skills!F6*((R920-1)*IF(Skills!G6&gt;0,Skills!H6/Skills!G6,1)+IF(Skills!G6&gt;0,MIN(Skills!H6,MAX(0,MAX(0,Inputs!$B$44-B953)-((R920-1)*IF(Inputs!$B$39="pvp",15,MAX(0.1,Skills!D6-IF(Skills!E6=TRUE,Inputs!$B$33,0))))))/Skills!G6,1)))/Inputs!$B$44),G920*Q920))*IF(Inputs!$B$39="pvp",1,1+(Inputs!$B$21+Skills!O6+B944)/100),0)</f>
        <v/>
      </c>
      <c r="U920">
        <f>IF(C920,(H920*N920*IF(AND(Inputs!$B$39&lt;&gt;"pvp",Inputs!$B$44&gt;0),((Skills!F6*((R920-1)*IF(Skills!G6&gt;0,Skills!H6/Skills!G6,1)+IF(Skills!G6&gt;0,MIN(Skills!H6,MAX(0,MAX(0,Inputs!$B$44-B953)-((R920-1)*IF(Inputs!$B$39="pvp",15,MAX(0.1,Skills!D6-IF(Skills!E6=TRUE,Inputs!$B$33,0))))))/Skills!G6,1)))/Inputs!$B$44),G920*Q920))*IF(Inputs!$B$39="pvp",1,(1+(Inputs!$B$22+Skills!P6+B945)/100)*(MIN(Skills!Q6,Inputs!$B$38))),0)</f>
        <v/>
      </c>
    </row>
    <row r="921">
      <c r="A921">
        <f>Skills!A7</f>
        <v/>
      </c>
      <c r="B921">
        <f>Skills!B7</f>
        <v/>
      </c>
      <c r="C921">
        <f>Inputs!$B$3&gt;=122</f>
        <v/>
      </c>
      <c r="D921">
        <f>IF(Skills!C7=1,60+Inputs!$B$26+Inputs!$B$30,IF(Skills!C7=2,90+Inputs!$B$27+Inputs!$B$30,IF(Skills!C7=3,120+Inputs!$B$28+Inputs!$B$30,MAX(0,(Inputs!$B$3-100)*3)+(Inputs!$B$29+1)+Inputs!$B$30)))</f>
        <v/>
      </c>
      <c r="E921">
        <f>INDEX(FactorTable!$B$2:$Y$301, MATCH(ROUND(MIN(300,MAX(1,D921)),0), FactorTable!$A$2:$A$301,0), Skills!L7+1)</f>
        <v/>
      </c>
      <c r="F921">
        <f>IF(Skills!M7=TRUE,(Skills!K7/10)*(E921/1000),Skills!K7/10)+Skills!N7</f>
        <v/>
      </c>
      <c r="G921">
        <f>Calc!G7</f>
        <v/>
      </c>
      <c r="H921">
        <f>Calc!H7</f>
        <v/>
      </c>
      <c r="I921">
        <f>IF(Skills!T7&lt;&gt;"",1+(Skills!T7/10)*($Z$3/1000)/100,1)</f>
        <v/>
      </c>
      <c r="J921">
        <f>((Inputs!$B$6*(1+Inputs!$B$7/100))+(((Inputs!$B$13*(1+Inputs!$B$14/100))-(Inputs!$B$13*(1+Inputs!$B$14/100)))+0.25*(Inputs!$B$15-Inputs!$B$15))*(1+Inputs!$B$7/100))*(F921/100)</f>
        <v/>
      </c>
      <c r="K921">
        <f>J921*(1+(((Inputs!$B$13+IF(Inputs!$B$3&gt;=35,(10*INDEX(FactorTable!$B$2:$Y$301, MATCH(ROUND(MIN(300,MAX(1,Inputs!$B$3)),0), FactorTable!$A$2:$A$301,0), 23)/1000)/100*(Inputs!$B$8*(1+(Inputs!$B$9+B952)/100)),0))*(1+Inputs!$B$14/100))*0.01+Inputs!$B$15*0.0025)/100)*(1+(Inputs!$B$16+B946)/100)*(1+Inputs!$B$17/100)*(5000/(6000+Inputs!$B$43*(1-Inputs!$B$20/100)))*(1+Inputs!$B$25/100)*(1+IF(C932=TRUE,F932,0)/100)*(1+IF(C934=TRUE,F934,0)/100)*(1+IF(Skills!A7="TRIUMPH_FEATHER",IF(C930=TRUE,F930,0),0)/100)*(1+IF(C941=TRUE,F941,0)/100)^5*(1+(IF(Skills!A7="BIG_BANG",Inputs!$B$18,Inputs!$B$19))/100)*(B943*I921)</f>
        <v/>
      </c>
      <c r="L921">
        <f>K921*(MIN(Inputs!$B$23+(F936-Calc!F22),Inputs!$B$24)/100+Inputs!$B$24/100)/2</f>
        <v/>
      </c>
      <c r="M921">
        <f>L921*(1+(Inputs!$B$11+B947+(F939-Calc!F25))/100)</f>
        <v/>
      </c>
      <c r="N921">
        <f>L921*(1-MIN(Inputs!$B$10+((F938-Calc!F24)+(F937-Calc!F23)),100)/100)+M921*(MIN(Inputs!$B$10+((F938-Calc!F24)+(F937-Calc!F23)),100)/100)</f>
        <v/>
      </c>
      <c r="O921">
        <f>(1-Summary!$B$48)*S921+Summary!$B$48*U921</f>
        <v/>
      </c>
      <c r="P921">
        <f>IF(B956=0,0,O921/B956)</f>
        <v/>
      </c>
      <c r="Q921">
        <f>IFERROR(1/IF(Inputs!$B$39="pvp",15,MAX(0.1,Skills!D7-IF(Skills!E6=TRUE,Inputs!$B$33,0))),0)</f>
        <v/>
      </c>
      <c r="R921">
        <f>IF(AND(Inputs!$B$39&lt;&gt;"pvp",Inputs!$B$44&gt;0),IF(MAX(0,Inputs!$B$44-B953)&lt;=0,0,(INT(MAX(0,Inputs!$B$44-B953)/IF(Inputs!$B$39="pvp",15,MAX(0.1,Skills!D7-IF(Skills!E6=TRUE,Inputs!$B$33,0))))+1)),0)</f>
        <v/>
      </c>
      <c r="S921">
        <f>IF(C921,H921*N921*IF(AND(Inputs!$B$39&lt;&gt;"pvp",Inputs!$B$44&gt;0),((Skills!F7*((R921-1)*IF(Skills!G7&gt;0,Skills!H7/Skills!G7,1)+IF(Skills!G7&gt;0,MIN(Skills!H7,MAX(0,MAX(0,Inputs!$B$44-B953)-((R921-1)*IF(Inputs!$B$39="pvp",15,MAX(0.1,Skills!D7-IF(Skills!E6=TRUE,Inputs!$B$33,0))))))/Skills!G7,1)))/Inputs!$B$44),G921*Q921)*IF(Inputs!$B$39="pvp",1,1+(Inputs!$B$21+Skills!O7+B944)/100),0)</f>
        <v/>
      </c>
      <c r="U921" t="n">
        <v>0</v>
      </c>
    </row>
    <row r="922">
      <c r="A922">
        <f>Skills!A8</f>
        <v/>
      </c>
      <c r="B922">
        <f>Skills!B8</f>
        <v/>
      </c>
      <c r="C922">
        <f>Inputs!$B$3&gt;=105</f>
        <v/>
      </c>
      <c r="D922">
        <f>IF(Skills!C8=1,60+Inputs!$B$26+Inputs!$B$30,IF(Skills!C8=2,90+Inputs!$B$27+Inputs!$B$30,IF(Skills!C8=3,120+Inputs!$B$28+Inputs!$B$30,MAX(0,(Inputs!$B$3-100)*3)+(Inputs!$B$29+1)+Inputs!$B$30)))</f>
        <v/>
      </c>
      <c r="E922">
        <f>INDEX(FactorTable!$B$2:$Y$301, MATCH(ROUND(MIN(300,MAX(1,D922)),0), FactorTable!$A$2:$A$301,0), Skills!L8+1)</f>
        <v/>
      </c>
      <c r="F922">
        <f>IF(Skills!M8=TRUE,(Skills!K8/10)*(E922/1000),Skills!K8/10)+Skills!N8</f>
        <v/>
      </c>
      <c r="G922">
        <f>Calc!G8</f>
        <v/>
      </c>
      <c r="H922">
        <f>Calc!H8</f>
        <v/>
      </c>
      <c r="I922">
        <f>IF(Skills!T8&lt;&gt;"",1+(Skills!T8/10)*($Z$3/1000)/100,1)</f>
        <v/>
      </c>
      <c r="J922">
        <f>((Inputs!$B$6*(1+Inputs!$B$7/100))+(((Inputs!$B$13*(1+Inputs!$B$14/100))-(Inputs!$B$13*(1+Inputs!$B$14/100)))+0.25*(Inputs!$B$15-Inputs!$B$15))*(1+Inputs!$B$7/100))*(F922/100)</f>
        <v/>
      </c>
      <c r="K922">
        <f>J922*(1+(((Inputs!$B$13+IF(Inputs!$B$3&gt;=35,(10*INDEX(FactorTable!$B$2:$Y$301, MATCH(ROUND(MIN(300,MAX(1,Inputs!$B$3)),0), FactorTable!$A$2:$A$301,0), 23)/1000)/100*(Inputs!$B$8*(1+(Inputs!$B$9+B952)/100)),0))*(1+Inputs!$B$14/100))*0.01+Inputs!$B$15*0.0025)/100)*(1+(Inputs!$B$16+B946)/100)*(1+Inputs!$B$17/100)*(5000/(6000+Inputs!$B$43*(1-Inputs!$B$20/100)))*(1+Inputs!$B$25/100)*(1+IF(C932=TRUE,F932,0)/100)*(1+IF(C934=TRUE,F934,0)/100)*(1+IF(Skills!A8="TRIUMPH_FEATHER",IF(C930=TRUE,F930,0),0)/100)*(1+IF(C941=TRUE,F941,0)/100)^5*(1+(IF(Skills!A8="BIG_BANG",Inputs!$B$18,Inputs!$B$19))/100)*(B943*I922)</f>
        <v/>
      </c>
      <c r="L922">
        <f>K922*(MIN(Inputs!$B$23+(F936-Calc!F22),Inputs!$B$24)/100+Inputs!$B$24/100)/2</f>
        <v/>
      </c>
      <c r="M922">
        <f>L922*(1+(Inputs!$B$11+B947+(F939-Calc!F25))/100)</f>
        <v/>
      </c>
      <c r="N922">
        <f>L922*(1-MIN(Inputs!$B$10+((F938-Calc!F24)+(F937-Calc!F23)),100)/100)+M922*(MIN(Inputs!$B$10+((F938-Calc!F24)+(F937-Calc!F23)),100)/100)</f>
        <v/>
      </c>
      <c r="O922">
        <f>(1-Summary!$B$48)*S922+Summary!$B$48*U922</f>
        <v/>
      </c>
      <c r="P922">
        <f>IF(B956=0,0,O922/B956)</f>
        <v/>
      </c>
      <c r="Q922">
        <f>IFERROR(1/IF(Inputs!$B$39="pvp",15,MAX(0.1,Skills!D8-IF(Skills!E8=TRUE,Inputs!$B$33,0))),0)</f>
        <v/>
      </c>
      <c r="R922">
        <f>IF(AND(Inputs!$B$39&lt;&gt;"pvp",Inputs!$B$44&gt;0),IF(MAX(0,Inputs!$B$44-B953)&lt;=0,0,(INT(MAX(0,Inputs!$B$44-B953)/IF(Inputs!$B$39="pvp",15,MAX(0.1,Skills!D8-IF(Skills!E8=TRUE,Inputs!$B$33,0))))+1)),0)</f>
        <v/>
      </c>
      <c r="S922">
        <f>IF(C922,(H922*N922*IF(AND(Inputs!$B$39&lt;&gt;"pvp",Inputs!$B$44&gt;0),((Skills!F8*((R922-1)*IF(Skills!G8&gt;0,Skills!H8/Skills!G8,1)+IF(Skills!G8&gt;0,MIN(Skills!H8,MAX(0,MAX(0,Inputs!$B$44-B953)-((R922-1)*IF(Inputs!$B$39="pvp",15,MAX(0.1,Skills!D8-IF(Skills!E8=TRUE,Inputs!$B$33,0))))))/Skills!G8,1)))/Inputs!$B$44),G922*Q922))*IF(Inputs!$B$39="pvp",1,1+(Inputs!$B$21+Skills!O8+B944)/100),0)</f>
        <v/>
      </c>
      <c r="U922">
        <f>IF(C922,(H922*N922*IF(AND(Inputs!$B$39&lt;&gt;"pvp",Inputs!$B$44&gt;0),((Skills!F8*((R922-1)*IF(Skills!G8&gt;0,Skills!H8/Skills!G8,1)+IF(Skills!G8&gt;0,MIN(Skills!H8,MAX(0,MAX(0,Inputs!$B$44-B953)-((R922-1)*IF(Inputs!$B$39="pvp",15,MAX(0.1,Skills!D8-IF(Skills!E8=TRUE,Inputs!$B$33,0))))))/Skills!G8,1)))/Inputs!$B$44),G922*Q922))*IF(Inputs!$B$39="pvp",1,(1+(Inputs!$B$22+Skills!P8+B945)/100)*(MIN(Skills!Q8,Inputs!$B$38))),0)</f>
        <v/>
      </c>
    </row>
    <row r="923">
      <c r="A923">
        <f>Skills!A9</f>
        <v/>
      </c>
      <c r="B923">
        <f>Skills!B9</f>
        <v/>
      </c>
      <c r="C923">
        <f>Inputs!$B$3&gt;=115</f>
        <v/>
      </c>
      <c r="D923">
        <f>IF(Skills!C9=1,60+Inputs!$B$26+Inputs!$B$30,IF(Skills!C9=2,90+Inputs!$B$27+Inputs!$B$30,IF(Skills!C9=3,120+Inputs!$B$28+Inputs!$B$30,MAX(0,(Inputs!$B$3-100)*3)+(Inputs!$B$29+1)+Inputs!$B$30)))</f>
        <v/>
      </c>
      <c r="E923">
        <f>INDEX(FactorTable!$B$2:$Y$301, MATCH(ROUND(MIN(300,MAX(1,D923)),0), FactorTable!$A$2:$A$301,0), Skills!L9+1)</f>
        <v/>
      </c>
      <c r="F923">
        <f>IF(Skills!M9=TRUE,(Skills!K9/10)*(E923/1000),Skills!K9/10)+Skills!N9</f>
        <v/>
      </c>
      <c r="G923">
        <f>Calc!G9</f>
        <v/>
      </c>
      <c r="H923">
        <f>Calc!H9</f>
        <v/>
      </c>
      <c r="I923">
        <f>IF(Skills!T9&lt;&gt;"",1+(Skills!T9/10)*($Z$3/1000)/100,1)</f>
        <v/>
      </c>
      <c r="J923">
        <f>((Inputs!$B$6*(1+Inputs!$B$7/100))+(((Inputs!$B$13*(1+Inputs!$B$14/100))-(Inputs!$B$13*(1+Inputs!$B$14/100)))+0.25*(Inputs!$B$15-Inputs!$B$15))*(1+Inputs!$B$7/100))*(F923/100)</f>
        <v/>
      </c>
      <c r="K923">
        <f>J923*(1+(((Inputs!$B$13+IF(Inputs!$B$3&gt;=35,(10*INDEX(FactorTable!$B$2:$Y$301, MATCH(ROUND(MIN(300,MAX(1,Inputs!$B$3)),0), FactorTable!$A$2:$A$301,0), 23)/1000)/100*(Inputs!$B$8*(1+(Inputs!$B$9+B952)/100)),0))*(1+Inputs!$B$14/100))*0.01+Inputs!$B$15*0.0025)/100)*(1+(Inputs!$B$16+B946)/100)*(1+Inputs!$B$17/100)*(5000/(6000+Inputs!$B$43*(1-Inputs!$B$20/100)))*(1+Inputs!$B$25/100)*(1+IF(C932=TRUE,F932,0)/100)*(1+IF(C934=TRUE,F934,0)/100)*(1+IF(Skills!A9="TRIUMPH_FEATHER",IF(C930=TRUE,F930,0),0)/100)*(1+IF(C941=TRUE,F941,0)/100)^5*(1+(IF(Skills!A9="BIG_BANG",Inputs!$B$18,Inputs!$B$19))/100)*(B943*I923)</f>
        <v/>
      </c>
      <c r="L923">
        <f>K923*(MIN(Inputs!$B$23+(F936-Calc!F22),Inputs!$B$24)/100+Inputs!$B$24/100)/2</f>
        <v/>
      </c>
      <c r="M923">
        <f>L923*(1+(Inputs!$B$11+B947+(F939-Calc!F25))/100)</f>
        <v/>
      </c>
      <c r="N923">
        <f>L923*(1-MIN(Inputs!$B$10+((F938-Calc!F24)+(F937-Calc!F23)),100)/100)+M923*(MIN(Inputs!$B$10+((F938-Calc!F24)+(F937-Calc!F23)),100)/100)</f>
        <v/>
      </c>
      <c r="O923">
        <f>(1-Summary!$B$48)*S923+Summary!$B$48*U923</f>
        <v/>
      </c>
      <c r="P923">
        <f>IF(B956=0,0,O923/B956)</f>
        <v/>
      </c>
      <c r="Q923">
        <f>IFERROR(1/IF(Inputs!$B$39="pvp",15,MAX(0.1,Skills!D9-IF(Skills!E9=TRUE,Inputs!$B$33,0))),0)</f>
        <v/>
      </c>
      <c r="R923">
        <f>IF(AND(Inputs!$B$39&lt;&gt;"pvp",Inputs!$B$44&gt;0),IF(MAX(0,Inputs!$B$44-B953)&lt;=0,0,(INT(MAX(0,Inputs!$B$44-B953)/IF(Inputs!$B$39="pvp",15,MAX(0.1,Skills!D9-IF(Skills!E9=TRUE,Inputs!$B$33,0))))+1)),0)</f>
        <v/>
      </c>
      <c r="S923">
        <f>IF(C923,(H923*N923*IF(AND(Inputs!$B$39&lt;&gt;"pvp",Inputs!$B$44&gt;0),((Skills!F9*((R923-1)*IF(Skills!G9&gt;0,Skills!H9/Skills!G9,1)+IF(Skills!G9&gt;0,MIN(Skills!H9,MAX(0,MAX(0,Inputs!$B$44-B953)-((R923-1)*IF(Inputs!$B$39="pvp",15,MAX(0.1,Skills!D9-IF(Skills!E9=TRUE,Inputs!$B$33,0))))))/Skills!G9,1)))/Inputs!$B$44),G923*Q923))*IF(Inputs!$B$39="pvp",1,1+(Inputs!$B$21+Skills!O9+B944)/100),0)</f>
        <v/>
      </c>
      <c r="U923">
        <f>IF(C923,(H923*N923*IF(AND(Inputs!$B$39&lt;&gt;"pvp",Inputs!$B$44&gt;0),((Skills!F9*((R923-1)*IF(Skills!G9&gt;0,Skills!H9/Skills!G9,1)+IF(Skills!G9&gt;0,MIN(Skills!H9,MAX(0,MAX(0,Inputs!$B$44-B953)-((R923-1)*IF(Inputs!$B$39="pvp",15,MAX(0.1,Skills!D9-IF(Skills!E9=TRUE,Inputs!$B$33,0))))))/Skills!G9,1)))/Inputs!$B$44),G923*Q923))*IF(Inputs!$B$39="pvp",1,(1+(Inputs!$B$22+Skills!P9+B945)/100)*(MIN(Skills!Q9,Inputs!$B$38))),0)</f>
        <v/>
      </c>
    </row>
    <row r="924">
      <c r="A924">
        <f>Skills!A10</f>
        <v/>
      </c>
      <c r="B924">
        <f>Skills!B10</f>
        <v/>
      </c>
      <c r="C924">
        <f>Inputs!$B$3&gt;=66</f>
        <v/>
      </c>
      <c r="D924">
        <f>IF(Skills!C10=1,60+Inputs!$B$26+Inputs!$B$30,IF(Skills!C10=2,90+Inputs!$B$27+Inputs!$B$30,IF(Skills!C10=3,120+Inputs!$B$28+Inputs!$B$30,MAX(0,(Inputs!$B$3-100)*3)+(Inputs!$B$29+1)+Inputs!$B$30)))</f>
        <v/>
      </c>
      <c r="E924">
        <f>INDEX(FactorTable!$B$2:$Y$301, MATCH(ROUND(MIN(300,MAX(1,D924)),0), FactorTable!$A$2:$A$301,0), Skills!L10+1)</f>
        <v/>
      </c>
      <c r="F924" t="n">
        <v>0</v>
      </c>
      <c r="G924">
        <f>Calc!G10</f>
        <v/>
      </c>
      <c r="H924">
        <f>Calc!H10</f>
        <v/>
      </c>
      <c r="I924">
        <f>IF(Skills!T10&lt;&gt;"",1+(Skills!T10/10)*($Z$3/1000)/100,1)</f>
        <v/>
      </c>
      <c r="J924" t="inlineStr"/>
      <c r="K924" t="inlineStr"/>
      <c r="L924" t="inlineStr"/>
      <c r="M924" t="inlineStr"/>
      <c r="N924" t="inlineStr"/>
      <c r="O924">
        <f>(1-Summary!$B$48)*S924+Summary!$B$48*U924</f>
        <v/>
      </c>
      <c r="P924">
        <f>IF(B956=0,0,O924/B956)</f>
        <v/>
      </c>
      <c r="Q924">
        <f>IFERROR(1/IF(Inputs!$B$39="pvp",15,MAX(0.1,Skills!D10-IF(Skills!E10=TRUE,Inputs!$B$33,0))),0)</f>
        <v/>
      </c>
      <c r="R924">
        <f>IF(AND(Inputs!$B$39&lt;&gt;"pvp",Inputs!$B$44&gt;0),IF(MAX(0,Inputs!$B$44-B953)&lt;=0,0,(INT(MAX(0,Inputs!$B$44-B953)/IF(Inputs!$B$39="pvp",15,MAX(0.1,Skills!D10-IF(Skills!E10=TRUE,Inputs!$B$33,0))))+1)),0)</f>
        <v/>
      </c>
      <c r="S924" t="n">
        <v>0</v>
      </c>
      <c r="U924" t="n">
        <v>0</v>
      </c>
    </row>
    <row r="925">
      <c r="A925">
        <f>Skills!A11</f>
        <v/>
      </c>
      <c r="B925">
        <f>Skills!B11</f>
        <v/>
      </c>
      <c r="C925">
        <f>Inputs!$B$3&gt;=69</f>
        <v/>
      </c>
      <c r="D925">
        <f>IF(Skills!C11=1,60+Inputs!$B$26+Inputs!$B$30,IF(Skills!C11=2,90+Inputs!$B$27+Inputs!$B$30,IF(Skills!C11=3,120+Inputs!$B$28+Inputs!$B$30,MAX(0,(Inputs!$B$3-100)*3)+(Inputs!$B$29+1)+Inputs!$B$30)))</f>
        <v/>
      </c>
      <c r="E925">
        <f>INDEX(FactorTable!$B$2:$Y$301, MATCH(ROUND(MIN(300,MAX(1,D925)),0), FactorTable!$A$2:$A$301,0), Skills!L11+1)</f>
        <v/>
      </c>
      <c r="F925">
        <f>IF(Skills!M11=TRUE,(Skills!K11/10)*(E925/1000),Skills!K11/10)+Skills!N11</f>
        <v/>
      </c>
      <c r="G925">
        <f>Calc!G11</f>
        <v/>
      </c>
      <c r="H925">
        <f>Calc!H11</f>
        <v/>
      </c>
      <c r="I925">
        <f>IF(Skills!T11&lt;&gt;"",1+(Skills!T11/10)*($Z$3/1000)/100,1)</f>
        <v/>
      </c>
      <c r="J925" t="inlineStr"/>
      <c r="K925" t="inlineStr"/>
      <c r="L925" t="inlineStr"/>
      <c r="M925" t="inlineStr"/>
      <c r="N925" t="inlineStr"/>
      <c r="O925">
        <f>(1-Summary!$B$48)*S925+Summary!$B$48*U925</f>
        <v/>
      </c>
      <c r="P925">
        <f>IF(B956=0,0,O925/B956)</f>
        <v/>
      </c>
      <c r="Q925">
        <f>IFERROR(1/IF(Inputs!$B$39="pvp",15,MAX(0.1,Skills!D11-IF(Skills!E11=TRUE,Inputs!$B$33,0))),0)</f>
        <v/>
      </c>
      <c r="R925">
        <f>IF(AND(Inputs!$B$39&lt;&gt;"pvp",Inputs!$B$44&gt;0),IF(Inputs!$B$44&lt;=0,0,(INT(Inputs!$B$44/IF(Inputs!$B$39="pvp",15,MAX(0.1,Skills!D11-IF(Skills!E11=TRUE,Inputs!$B$33,0))))+1)),0)</f>
        <v/>
      </c>
      <c r="S925" t="n">
        <v>0</v>
      </c>
      <c r="U925" t="n">
        <v>0</v>
      </c>
    </row>
    <row r="926">
      <c r="A926">
        <f>Skills!A12</f>
        <v/>
      </c>
      <c r="B926">
        <f>Skills!B12</f>
        <v/>
      </c>
      <c r="C926">
        <f>Inputs!$B$3&gt;=72</f>
        <v/>
      </c>
      <c r="D926">
        <f>IF(Skills!C12=1,60+Inputs!$B$26+Inputs!$B$30,IF(Skills!C12=2,90+Inputs!$B$27+Inputs!$B$30,IF(Skills!C12=3,120+Inputs!$B$28+Inputs!$B$30,MAX(0,(Inputs!$B$3-100)*3)+(Inputs!$B$29+1)+Inputs!$B$30)))</f>
        <v/>
      </c>
      <c r="E926">
        <f>INDEX(FactorTable!$B$2:$Y$301, MATCH(ROUND(MIN(300,MAX(1,D926)),0), FactorTable!$A$2:$A$301,0), Skills!L12+1)</f>
        <v/>
      </c>
      <c r="F926">
        <f>IF(Skills!M12=TRUE,(Skills!K12/10)*(E926/1000),Skills!K12/10)+Skills!N12</f>
        <v/>
      </c>
      <c r="G926">
        <f>Calc!G12</f>
        <v/>
      </c>
      <c r="H926">
        <f>Calc!H12</f>
        <v/>
      </c>
      <c r="I926">
        <f>IF(Skills!T12&lt;&gt;"",1+(Skills!T12/10)*($Z$3/1000)/100,1)</f>
        <v/>
      </c>
      <c r="J926" t="inlineStr"/>
      <c r="K926" t="inlineStr"/>
      <c r="L926" t="inlineStr"/>
      <c r="M926" t="inlineStr"/>
      <c r="N926" t="inlineStr"/>
      <c r="O926">
        <f>(1-Summary!$B$48)*S926+Summary!$B$48*U926</f>
        <v/>
      </c>
      <c r="P926">
        <f>IF(B956=0,0,O926/B956)</f>
        <v/>
      </c>
      <c r="Q926">
        <f>IFERROR(1/IF(Inputs!$B$39="pvp",15,MAX(0.1,Skills!D12-IF(Skills!E12=TRUE,Inputs!$B$33,0))),0)</f>
        <v/>
      </c>
      <c r="R926">
        <f>IF(AND(Inputs!$B$39&lt;&gt;"pvp",Inputs!$B$44&gt;0),IF(MAX(0,Inputs!$B$44-B953)&lt;=0,0,(INT(MAX(0,Inputs!$B$44-B953)/IF(Inputs!$B$39="pvp",15,MAX(0.1,Skills!D12-IF(Skills!E12=TRUE,Inputs!$B$33,0))))+1)),0)</f>
        <v/>
      </c>
      <c r="S926" t="n">
        <v>0</v>
      </c>
      <c r="U926" t="n">
        <v>0</v>
      </c>
    </row>
    <row r="927">
      <c r="A927">
        <f>Skills!A13</f>
        <v/>
      </c>
      <c r="B927">
        <f>Skills!B13</f>
        <v/>
      </c>
      <c r="C927">
        <f>Inputs!$B$3&gt;=60</f>
        <v/>
      </c>
      <c r="D927">
        <f>IF(Skills!C13=1,60+Inputs!$B$26+Inputs!$B$30,IF(Skills!C13=2,90+Inputs!$B$27+Inputs!$B$30,IF(Skills!C13=3,120+Inputs!$B$28+Inputs!$B$30,MAX(0,(Inputs!$B$3-100)*3)+(Inputs!$B$29+1)+Inputs!$B$30)))</f>
        <v/>
      </c>
      <c r="E927">
        <f>INDEX(FactorTable!$B$2:$Y$301, MATCH(ROUND(MIN(300,MAX(1,D927)),0), FactorTable!$A$2:$A$301,0), Skills!L13+1)</f>
        <v/>
      </c>
      <c r="F927">
        <f>IF(Skills!M13=TRUE,(Skills!K13/10)*(E927/1000),Skills!K13/10)+Skills!N13</f>
        <v/>
      </c>
      <c r="G927">
        <f>Calc!G13</f>
        <v/>
      </c>
      <c r="H927">
        <f>Calc!H13</f>
        <v/>
      </c>
      <c r="I927">
        <f>IF(Skills!T13&lt;&gt;"",1+(Skills!T13/10)*($Z$3/1000)/100,1)</f>
        <v/>
      </c>
      <c r="J927" t="inlineStr"/>
      <c r="K927" t="inlineStr"/>
      <c r="L927" t="inlineStr"/>
      <c r="M927" t="inlineStr"/>
      <c r="N927" t="inlineStr"/>
      <c r="O927">
        <f>(1-Summary!$B$48)*S927+Summary!$B$48*U927</f>
        <v/>
      </c>
      <c r="P927">
        <f>IF(B956=0,0,O927/B956)</f>
        <v/>
      </c>
      <c r="Q927">
        <f>IFERROR(1/IF(Inputs!$B$39="pvp",15,MAX(0.1,Skills!D13-IF(Skills!E13=TRUE,Inputs!$B$33,0))),0)</f>
        <v/>
      </c>
      <c r="R927">
        <f>IF(AND(Inputs!$B$39&lt;&gt;"pvp",Inputs!$B$44&gt;0),IF(MAX(0,Inputs!$B$44-B953)&lt;=0,0,(INT(MAX(0,Inputs!$B$44-B953)/IF(Inputs!$B$39="pvp",15,MAX(0.1,Skills!D13-IF(Skills!E13=TRUE,Inputs!$B$33,0))))+1)),0)</f>
        <v/>
      </c>
      <c r="S927" t="n">
        <v>0</v>
      </c>
      <c r="U927" t="n">
        <v>0</v>
      </c>
    </row>
    <row r="928">
      <c r="A928">
        <f>Skills!A14</f>
        <v/>
      </c>
      <c r="B928">
        <f>Skills!B14</f>
        <v/>
      </c>
      <c r="C928">
        <f>Inputs!$B$3&gt;=107</f>
        <v/>
      </c>
      <c r="D928">
        <f>IF(Skills!C14=1,60+Inputs!$B$26+Inputs!$B$30,IF(Skills!C14=2,90+Inputs!$B$27+Inputs!$B$30,IF(Skills!C14=3,120+Inputs!$B$28+Inputs!$B$30,MAX(0,(Inputs!$B$3-100)*3)+(Inputs!$B$29+1)+Inputs!$B$30)))</f>
        <v/>
      </c>
      <c r="E928">
        <f>INDEX(FactorTable!$B$2:$Y$301, MATCH(ROUND(MIN(300,MAX(1,D928)),0), FactorTable!$A$2:$A$301,0), Skills!L14+1)</f>
        <v/>
      </c>
      <c r="F928">
        <f>IF(Skills!M14=TRUE,(Skills!K14/10)*(E928/1000),Skills!K14/10)+Skills!N14</f>
        <v/>
      </c>
      <c r="G928">
        <f>Calc!G14</f>
        <v/>
      </c>
      <c r="H928">
        <f>Calc!H14</f>
        <v/>
      </c>
      <c r="I928">
        <f>IF(Skills!T14&lt;&gt;"",1+(Skills!T14/10)*($Z$3/1000)/100,1)</f>
        <v/>
      </c>
      <c r="J928" t="inlineStr"/>
      <c r="K928" t="inlineStr"/>
      <c r="L928" t="inlineStr"/>
      <c r="M928" t="inlineStr"/>
      <c r="N928" t="inlineStr"/>
      <c r="O928">
        <f>(1-Summary!$B$48)*S928+Summary!$B$48*U928</f>
        <v/>
      </c>
      <c r="P928">
        <f>IF(B956=0,0,O928/B956)</f>
        <v/>
      </c>
      <c r="Q928">
        <f>IFERROR(1/IF(Inputs!$B$39="pvp",15,MAX(0.1,Skills!D14-IF(Skills!E14=TRUE,Inputs!$B$33,0))),0)</f>
        <v/>
      </c>
      <c r="R928">
        <f>IF(AND(Inputs!$B$39&lt;&gt;"pvp",Inputs!$B$44&gt;0),IF(Inputs!$B$44&lt;=0,0,(INT(Inputs!$B$44/IF(Inputs!$B$39="pvp",15,MAX(0.1,Skills!D14-IF(Skills!E14=TRUE,Inputs!$B$33,0))))+1)),0)</f>
        <v/>
      </c>
      <c r="S928" t="n">
        <v>0</v>
      </c>
      <c r="U928" t="n">
        <v>0</v>
      </c>
    </row>
    <row r="929">
      <c r="A929">
        <f>Skills!A15</f>
        <v/>
      </c>
      <c r="B929">
        <f>Skills!B15</f>
        <v/>
      </c>
      <c r="C929">
        <f>Inputs!$B$3&gt;=63</f>
        <v/>
      </c>
      <c r="D929">
        <f>IF(Skills!C15=1,60+Inputs!$B$26+Inputs!$B$30,IF(Skills!C15=2,90+Inputs!$B$27+Inputs!$B$30,IF(Skills!C15=3,120+Inputs!$B$28+Inputs!$B$30,MAX(0,(Inputs!$B$3-100)*3)+(Inputs!$B$29+1)+Inputs!$B$30)))</f>
        <v/>
      </c>
      <c r="E929">
        <f>INDEX(FactorTable!$B$2:$Y$301, MATCH(ROUND(MIN(300,MAX(1,D929)),0), FactorTable!$A$2:$A$301,0), Skills!L15+1)</f>
        <v/>
      </c>
      <c r="F929">
        <f>IF(Skills!M15=TRUE,(Skills!K15/10)*(E929/1000),Skills!K15/10)+Skills!N15</f>
        <v/>
      </c>
      <c r="G929">
        <f>Calc!G15</f>
        <v/>
      </c>
      <c r="H929">
        <f>Calc!H15</f>
        <v/>
      </c>
      <c r="I929">
        <f>IF(Skills!T15&lt;&gt;"",1+(Skills!T15/10)*($Z$3/1000)/100,1)</f>
        <v/>
      </c>
      <c r="J929">
        <f>((Inputs!$B$6*(1+Inputs!$B$7/100))+(((Inputs!$B$13*(1+Inputs!$B$14/100))-(Inputs!$B$13*(1+Inputs!$B$14/100)))+0.25*(Inputs!$B$15-Inputs!$B$15))*(1+Inputs!$B$7/100))*(F929/100)</f>
        <v/>
      </c>
      <c r="K929">
        <f>J929*(1+(((Inputs!$B$13+IF(Inputs!$B$3&gt;=35,(10*INDEX(FactorTable!$B$2:$Y$301, MATCH(ROUND(MIN(300,MAX(1,Inputs!$B$3)),0), FactorTable!$A$2:$A$301,0), 23)/1000)/100*(Inputs!$B$8*(1+(Inputs!$B$9+B952)/100)),0))*(1+Inputs!$B$14/100))*0.01+Inputs!$B$15*0.0025)/100)*(1+(Inputs!$B$16+B946)/100)*(1+Inputs!$B$17/100)*(5000/(6000+Inputs!$B$43*(1-Inputs!$B$20/100)))*(1+Inputs!$B$25/100)*(1+IF(C932=TRUE,F932,0)/100)*(1+IF(C934=TRUE,F934,0)/100)*(1+IF(Skills!A15="TRIUMPH_FEATHER",IF(C930=TRUE,F930,0),0)/100)*(1+IF(C941=TRUE,F941,0)/100)^5*(1+(IF(Skills!A15="BIG_BANG",Inputs!$B$18,Inputs!$B$19))/100)*(B943*I929)</f>
        <v/>
      </c>
      <c r="L929">
        <f>K929*(MIN(Inputs!$B$23+(F936-Calc!F22),Inputs!$B$24)/100+Inputs!$B$24/100)/2</f>
        <v/>
      </c>
      <c r="M929">
        <f>L929*(1+(Inputs!$B$11+B947+(F939-Calc!F25))/100)</f>
        <v/>
      </c>
      <c r="N929">
        <f>L929*(1-MIN(Inputs!$B$10+((F938-Calc!F24)+(F937-Calc!F23)),100)/100)+M929*(MIN(Inputs!$B$10+((F938-Calc!F24)+(F937-Calc!F23)),100)/100)</f>
        <v/>
      </c>
      <c r="O929">
        <f>(1-Summary!$B$48)*S929+Summary!$B$48*U929</f>
        <v/>
      </c>
      <c r="P929">
        <f>IF(B956=0,0,O929/B956)</f>
        <v/>
      </c>
      <c r="Q929">
        <f>IFERROR(1/IF(Inputs!$B$39="pvp",15,MAX(0.1,Skills!D15-IF(Skills!E15=TRUE,Inputs!$B$33,0))),0)</f>
        <v/>
      </c>
      <c r="R929" t="n">
        <v>0</v>
      </c>
      <c r="S929">
        <f>IF(C929,(Skills!F15*N929*((IF(Inputs!$B$3&gt;=78,25,15)/100*B949*10)/(1+IF(Inputs!$B$3&gt;=78,25,15)/100*B949*10))*(Skills!I15/100*B949)/(1+Skills!G15*Skills!I15/100*B949))*IF(Inputs!$B$39="pvp",1,1+(Inputs!$B$21+Skills!O15+B944)/100),0)</f>
        <v/>
      </c>
      <c r="U929">
        <f>IF(C929,(Skills!F15*N929*((IF(Inputs!$B$3&gt;=78,25,15)/100*B949*10)/(1+IF(Inputs!$B$3&gt;=78,25,15)/100*B949*10))*(Skills!I15/100*B949)/(1+Skills!G15*Skills!I15/100*B949))*IF(Inputs!$B$39="pvp",1,(1+(Inputs!$B$22+Skills!P15+B945)/100)*(MIN(Skills!Q15,Inputs!$B$38))),0)</f>
        <v/>
      </c>
    </row>
    <row r="930">
      <c r="A930">
        <f>Skills!A16</f>
        <v/>
      </c>
      <c r="B930">
        <f>Skills!B16</f>
        <v/>
      </c>
      <c r="C930">
        <f>Inputs!$B$3&gt;=100</f>
        <v/>
      </c>
      <c r="D930">
        <f>IF(Skills!C16=1,60+Inputs!$B$26+Inputs!$B$30,IF(Skills!C16=2,90+Inputs!$B$27+Inputs!$B$30,IF(Skills!C16=3,120+Inputs!$B$28+Inputs!$B$30,MAX(0,(Inputs!$B$3-100)*3)+(Inputs!$B$29+1)+Inputs!$B$30)))</f>
        <v/>
      </c>
      <c r="E930">
        <f>INDEX(FactorTable!$B$2:$Y$301, MATCH(ROUND(MIN(300,MAX(1,D930)),0), FactorTable!$A$2:$A$301,0), Skills!L16+1)</f>
        <v/>
      </c>
      <c r="F930">
        <f>IF(Skills!M16=TRUE,(Skills!K16/10)*(E930/1000),Skills!K16/10)+Skills!N16</f>
        <v/>
      </c>
      <c r="G930">
        <f>Calc!G16</f>
        <v/>
      </c>
      <c r="H930">
        <f>Calc!H16</f>
        <v/>
      </c>
      <c r="I930">
        <f>IF(Skills!T16&lt;&gt;"",1+(Skills!T16/10)*($Z$3/1000)/100,1)</f>
        <v/>
      </c>
      <c r="J930" t="inlineStr"/>
      <c r="K930" t="inlineStr"/>
      <c r="L930" t="inlineStr"/>
      <c r="M930" t="inlineStr"/>
      <c r="N930" t="inlineStr"/>
      <c r="O930">
        <f>(1-Summary!$B$48)*S930+Summary!$B$48*U930</f>
        <v/>
      </c>
      <c r="P930">
        <f>IF(B956=0,0,O930/B956)</f>
        <v/>
      </c>
      <c r="Q930">
        <f>IFERROR(1/IF(Inputs!$B$39="pvp",15,MAX(0.1,Skills!D16-IF(Skills!E16=TRUE,Inputs!$B$33,0))),0)</f>
        <v/>
      </c>
      <c r="R930" t="n">
        <v>0</v>
      </c>
      <c r="S930" t="n">
        <v>0</v>
      </c>
      <c r="U930" t="n">
        <v>0</v>
      </c>
    </row>
    <row r="931">
      <c r="A931">
        <f>Skills!A17</f>
        <v/>
      </c>
      <c r="B931">
        <f>Skills!B17</f>
        <v/>
      </c>
      <c r="C931">
        <f>Inputs!$B$3&gt;=49</f>
        <v/>
      </c>
      <c r="D931">
        <f>IF(Skills!C17=1,60+Inputs!$B$26+Inputs!$B$30,IF(Skills!C17=2,90+Inputs!$B$27+Inputs!$B$30,IF(Skills!C17=3,120+Inputs!$B$28+Inputs!$B$30,MAX(0,(Inputs!$B$3-100)*3)+(Inputs!$B$29+1)+Inputs!$B$30)))</f>
        <v/>
      </c>
      <c r="E931">
        <f>INDEX(FactorTable!$B$2:$Y$301, MATCH(ROUND(MIN(300,MAX(1,D931)),0), FactorTable!$A$2:$A$301,0), Skills!L17+1)</f>
        <v/>
      </c>
      <c r="F931">
        <f>IF(Skills!M17=TRUE,(Skills!K17/10)*(E931/1000),Skills!K17/10)+Skills!N17</f>
        <v/>
      </c>
      <c r="G931">
        <f>Calc!G17</f>
        <v/>
      </c>
      <c r="H931">
        <f>Calc!H17</f>
        <v/>
      </c>
      <c r="I931">
        <f>IF(Skills!T17&lt;&gt;"",1+(Skills!T17/10)*($Z$3/1000)/100,1)</f>
        <v/>
      </c>
      <c r="J931" t="inlineStr"/>
      <c r="K931" t="inlineStr"/>
      <c r="L931" t="inlineStr"/>
      <c r="M931" t="inlineStr"/>
      <c r="N931" t="inlineStr"/>
      <c r="O931">
        <f>(1-Summary!$B$48)*S931+Summary!$B$48*U931</f>
        <v/>
      </c>
      <c r="P931">
        <f>IF(B956=0,0,O931/B956)</f>
        <v/>
      </c>
      <c r="Q931">
        <f>IFERROR(1/IF(Inputs!$B$39="pvp",15,MAX(0.1,Skills!D17-IF(Skills!E17=TRUE,Inputs!$B$33,0))),0)</f>
        <v/>
      </c>
      <c r="R931" t="n">
        <v>0</v>
      </c>
      <c r="S931" t="n">
        <v>0</v>
      </c>
      <c r="U931" t="n">
        <v>0</v>
      </c>
    </row>
    <row r="932">
      <c r="A932">
        <f>Skills!A18</f>
        <v/>
      </c>
      <c r="B932">
        <f>Skills!B18</f>
        <v/>
      </c>
      <c r="C932">
        <f>Inputs!$B$3&gt;=75</f>
        <v/>
      </c>
      <c r="D932">
        <f>IF(Skills!C18=1,60+Inputs!$B$26+Inputs!$B$30,IF(Skills!C18=2,90+Inputs!$B$27+Inputs!$B$30,IF(Skills!C18=3,120+Inputs!$B$28+Inputs!$B$30,MAX(0,(Inputs!$B$3-100)*3)+(Inputs!$B$29+1)+Inputs!$B$30)))</f>
        <v/>
      </c>
      <c r="E932">
        <f>INDEX(FactorTable!$B$2:$Y$301, MATCH(ROUND(MIN(300,MAX(1,D932)),0), FactorTable!$A$2:$A$301,0), Skills!L18+1)</f>
        <v/>
      </c>
      <c r="F932">
        <f>IF(Skills!M18=TRUE,(Skills!K18/10)*(E932/1000),Skills!K18/10)+Skills!N18</f>
        <v/>
      </c>
      <c r="G932">
        <f>Calc!G18</f>
        <v/>
      </c>
      <c r="H932">
        <f>Calc!H18</f>
        <v/>
      </c>
      <c r="I932">
        <f>IF(Skills!T18&lt;&gt;"",1+(Skills!T18/10)*($Z$3/1000)/100,1)</f>
        <v/>
      </c>
      <c r="J932" t="inlineStr"/>
      <c r="K932" t="inlineStr"/>
      <c r="L932" t="inlineStr"/>
      <c r="M932" t="inlineStr"/>
      <c r="N932" t="inlineStr"/>
      <c r="O932">
        <f>(1-Summary!$B$48)*S932+Summary!$B$48*U932</f>
        <v/>
      </c>
      <c r="P932">
        <f>IF(B956=0,0,O932/B956)</f>
        <v/>
      </c>
      <c r="Q932">
        <f>IFERROR(1/IF(Inputs!$B$39="pvp",15,MAX(0.1,Skills!D18-IF(Skills!E18=TRUE,Inputs!$B$33,0))),0)</f>
        <v/>
      </c>
      <c r="R932" t="n">
        <v>0</v>
      </c>
      <c r="S932" t="n">
        <v>0</v>
      </c>
      <c r="U932" t="n">
        <v>0</v>
      </c>
    </row>
    <row r="933">
      <c r="A933">
        <f>Skills!A19</f>
        <v/>
      </c>
      <c r="B933">
        <f>Skills!B19</f>
        <v/>
      </c>
      <c r="C933">
        <f>Inputs!$B$3&gt;=110</f>
        <v/>
      </c>
      <c r="D933">
        <f>IF(Skills!C19=1,60+Inputs!$B$26+Inputs!$B$30,IF(Skills!C19=2,90+Inputs!$B$27+Inputs!$B$30,IF(Skills!C19=3,120+Inputs!$B$28+Inputs!$B$30,MAX(0,(Inputs!$B$3-100)*3)+(Inputs!$B$29+1)+Inputs!$B$30)))</f>
        <v/>
      </c>
      <c r="E933">
        <f>INDEX(FactorTable!$B$2:$Y$301, MATCH(ROUND(MIN(300,MAX(1,D933)),0), FactorTable!$A$2:$A$301,0), Skills!L19+1)</f>
        <v/>
      </c>
      <c r="F933">
        <f>(Skills!K19/10)*(E933/1000)*64/45+Skills!N19</f>
        <v/>
      </c>
      <c r="G933">
        <f>Calc!G19</f>
        <v/>
      </c>
      <c r="H933">
        <f>Calc!H19</f>
        <v/>
      </c>
      <c r="I933">
        <f>IF(Skills!T19&lt;&gt;"",1+(Skills!T19/10)*($Z$3/1000)/100,1)</f>
        <v/>
      </c>
      <c r="J933" t="inlineStr"/>
      <c r="K933" t="inlineStr"/>
      <c r="L933" t="inlineStr"/>
      <c r="M933" t="inlineStr"/>
      <c r="N933" t="inlineStr"/>
      <c r="O933">
        <f>(1-Summary!$B$48)*S933+Summary!$B$48*U933</f>
        <v/>
      </c>
      <c r="P933">
        <f>IF(B956=0,0,O933/B956)</f>
        <v/>
      </c>
      <c r="Q933">
        <f>IFERROR(1/IF(Inputs!$B$39="pvp",15,MAX(0.1,Skills!D19-IF(Skills!E19=TRUE,Inputs!$B$33,0))),0)</f>
        <v/>
      </c>
      <c r="R933">
        <f>IF(AND(Inputs!$B$39&lt;&gt;"pvp",Inputs!$B$44&gt;0),IF(Inputs!$B$44&lt;=0,0,(INT(Inputs!$B$44/IF(Inputs!$B$39="pvp",15,MAX(0.1,Skills!D19-IF(Skills!E19=TRUE,Inputs!$B$33,0))))+1)),0)</f>
        <v/>
      </c>
      <c r="S933" t="n">
        <v>0</v>
      </c>
      <c r="U933" t="n">
        <v>0</v>
      </c>
    </row>
    <row r="934">
      <c r="A934">
        <f>Skills!A20</f>
        <v/>
      </c>
      <c r="B934">
        <f>Skills!B20</f>
        <v/>
      </c>
      <c r="C934">
        <f>Inputs!$B$3&gt;=125</f>
        <v/>
      </c>
      <c r="D934">
        <f>IF(Skills!C20=1,60+Inputs!$B$26+Inputs!$B$30,IF(Skills!C20=2,90+Inputs!$B$27+Inputs!$B$30,IF(Skills!C20=3,120+Inputs!$B$28+Inputs!$B$30,MAX(0,(Inputs!$B$3-100)*3)+(Inputs!$B$29+1)+Inputs!$B$30)))</f>
        <v/>
      </c>
      <c r="E934">
        <f>INDEX(FactorTable!$B$2:$Y$301, MATCH(ROUND(MIN(300,MAX(1,D934)),0), FactorTable!$A$2:$A$301,0), Skills!L20+1)</f>
        <v/>
      </c>
      <c r="F934">
        <f>IF(Skills!M20=TRUE,(Skills!K20/10)*(E934/1000),Skills!K20/10)+Skills!N20</f>
        <v/>
      </c>
      <c r="G934">
        <f>Calc!G20</f>
        <v/>
      </c>
      <c r="H934">
        <f>Calc!H20</f>
        <v/>
      </c>
      <c r="I934">
        <f>IF(Skills!T20&lt;&gt;"",1+(Skills!T20/10)*($Z$3/1000)/100,1)</f>
        <v/>
      </c>
      <c r="J934" t="inlineStr"/>
      <c r="K934" t="inlineStr"/>
      <c r="L934" t="inlineStr"/>
      <c r="M934" t="inlineStr"/>
      <c r="N934" t="inlineStr"/>
      <c r="O934">
        <f>(1-Summary!$B$48)*S934+Summary!$B$48*U934</f>
        <v/>
      </c>
      <c r="P934">
        <f>IF(B956=0,0,O934/B956)</f>
        <v/>
      </c>
      <c r="Q934">
        <f>IFERROR(1/IF(Inputs!$B$39="pvp",15,MAX(0.1,Skills!D20-IF(Skills!E20=TRUE,Inputs!$B$33,0))),0)</f>
        <v/>
      </c>
      <c r="R934" t="n">
        <v>0</v>
      </c>
      <c r="S934" t="n">
        <v>0</v>
      </c>
      <c r="U934" t="n">
        <v>0</v>
      </c>
    </row>
    <row r="935">
      <c r="A935">
        <f>Skills!A21</f>
        <v/>
      </c>
      <c r="B935">
        <f>Skills!B21</f>
        <v/>
      </c>
      <c r="C935">
        <f>Inputs!$B$3&gt;=33</f>
        <v/>
      </c>
      <c r="D935">
        <f>IF(Skills!C21=1,60+Inputs!$B$26+Inputs!$B$30,IF(Skills!C21=2,90+Inputs!$B$27+Inputs!$B$30,IF(Skills!C21=3,120+Inputs!$B$28+Inputs!$B$30,MAX(0,(Inputs!$B$3-100)*3)+(Inputs!$B$29+1)+Inputs!$B$30)))</f>
        <v/>
      </c>
      <c r="E935">
        <f>INDEX(FactorTable!$B$2:$Y$301, MATCH(ROUND(MIN(300,MAX(1,D935)),0), FactorTable!$A$2:$A$301,0), Skills!L21+1)</f>
        <v/>
      </c>
      <c r="F935">
        <f>IF(Skills!M21=TRUE,(Skills!K21/10)*(E935/1000),Skills!K21/10)+Skills!N21</f>
        <v/>
      </c>
      <c r="G935">
        <f>Calc!G21</f>
        <v/>
      </c>
      <c r="H935">
        <f>Calc!H21</f>
        <v/>
      </c>
      <c r="I935">
        <f>IF(Skills!T21&lt;&gt;"",1+(Skills!T21/10)*($Z$3/1000)/100,1)</f>
        <v/>
      </c>
      <c r="J935" t="inlineStr"/>
      <c r="K935" t="inlineStr"/>
      <c r="L935" t="inlineStr"/>
      <c r="M935" t="inlineStr"/>
      <c r="N935" t="inlineStr"/>
      <c r="O935">
        <f>(1-Summary!$B$48)*S935+Summary!$B$48*U935</f>
        <v/>
      </c>
      <c r="P935">
        <f>IF(B956=0,0,O935/B956)</f>
        <v/>
      </c>
      <c r="Q935">
        <f>IFERROR(1/IF(Inputs!$B$39="pvp",15,MAX(0.1,Skills!D21-IF(Skills!E21=TRUE,Inputs!$B$33,0))),0)</f>
        <v/>
      </c>
      <c r="R935" t="n">
        <v>0</v>
      </c>
      <c r="S935" t="n">
        <v>0</v>
      </c>
      <c r="U935" t="n">
        <v>0</v>
      </c>
    </row>
    <row r="936">
      <c r="A936">
        <f>Skills!A22</f>
        <v/>
      </c>
      <c r="B936">
        <f>Skills!B22</f>
        <v/>
      </c>
      <c r="C936">
        <f>Inputs!$B$3&gt;=43</f>
        <v/>
      </c>
      <c r="D936">
        <f>IF(Skills!C22=1,60+Inputs!$B$26+Inputs!$B$30,IF(Skills!C22=2,90+Inputs!$B$27+Inputs!$B$30,IF(Skills!C22=3,120+Inputs!$B$28+Inputs!$B$30,MAX(0,(Inputs!$B$3-100)*3)+(Inputs!$B$29+1)+Inputs!$B$30)))</f>
        <v/>
      </c>
      <c r="E936">
        <f>INDEX(FactorTable!$B$2:$Y$301, MATCH(ROUND(MIN(300,MAX(1,D936)),0), FactorTable!$A$2:$A$301,0), Skills!L22+1)</f>
        <v/>
      </c>
      <c r="F936">
        <f>IF(Skills!M22=TRUE,(Skills!K22/10)*(E936/1000),Skills!K22/10)+Skills!N22</f>
        <v/>
      </c>
      <c r="G936">
        <f>Calc!G22</f>
        <v/>
      </c>
      <c r="H936">
        <f>Calc!H22</f>
        <v/>
      </c>
      <c r="I936">
        <f>IF(Skills!T22&lt;&gt;"",1+(Skills!T22/10)*($Z$3/1000)/100,1)</f>
        <v/>
      </c>
      <c r="J936" t="inlineStr"/>
      <c r="K936" t="inlineStr"/>
      <c r="L936" t="inlineStr"/>
      <c r="M936" t="inlineStr"/>
      <c r="N936" t="inlineStr"/>
      <c r="O936">
        <f>(1-Summary!$B$48)*S936+Summary!$B$48*U936</f>
        <v/>
      </c>
      <c r="P936">
        <f>IF(B956=0,0,O936/B956)</f>
        <v/>
      </c>
      <c r="Q936">
        <f>IFERROR(1/IF(Inputs!$B$39="pvp",15,MAX(0.1,Skills!D22-IF(Skills!E22=TRUE,Inputs!$B$33,0))),0)</f>
        <v/>
      </c>
      <c r="R936" t="n">
        <v>0</v>
      </c>
      <c r="S936" t="n">
        <v>0</v>
      </c>
      <c r="U936" t="n">
        <v>0</v>
      </c>
    </row>
    <row r="937">
      <c r="A937">
        <f>Skills!A23</f>
        <v/>
      </c>
      <c r="B937">
        <f>Skills!B23</f>
        <v/>
      </c>
      <c r="C937">
        <f>Inputs!$B$3&gt;=50</f>
        <v/>
      </c>
      <c r="D937">
        <f>IF(Skills!C23=1,60+Inputs!$B$26+Inputs!$B$30,IF(Skills!C23=2,90+Inputs!$B$27+Inputs!$B$30,IF(Skills!C23=3,120+Inputs!$B$28+Inputs!$B$30,MAX(0,(Inputs!$B$3-100)*3)+(Inputs!$B$29+1)+Inputs!$B$30)))</f>
        <v/>
      </c>
      <c r="E937">
        <f>INDEX(FactorTable!$B$2:$Y$301, MATCH(ROUND(MIN(300,MAX(1,D937)),0), FactorTable!$A$2:$A$301,0), Skills!L23+1)</f>
        <v/>
      </c>
      <c r="F937">
        <f>IF(Skills!M23=TRUE,(Skills!K23/10)*(E937/1000),Skills!K23/10)+Skills!N23</f>
        <v/>
      </c>
      <c r="G937">
        <f>Calc!G23</f>
        <v/>
      </c>
      <c r="H937">
        <f>Calc!H23</f>
        <v/>
      </c>
      <c r="I937">
        <f>IF(Skills!T23&lt;&gt;"",1+(Skills!T23/10)*($Z$3/1000)/100,1)</f>
        <v/>
      </c>
      <c r="J937" t="inlineStr"/>
      <c r="K937" t="inlineStr"/>
      <c r="L937" t="inlineStr"/>
      <c r="M937" t="inlineStr"/>
      <c r="N937" t="inlineStr"/>
      <c r="O937">
        <f>(1-Summary!$B$48)*S937+Summary!$B$48*U937</f>
        <v/>
      </c>
      <c r="P937">
        <f>IF(B956=0,0,O937/B956)</f>
        <v/>
      </c>
      <c r="Q937">
        <f>IFERROR(1/IF(Inputs!$B$39="pvp",15,MAX(0.1,Skills!D23-IF(Skills!E23=TRUE,Inputs!$B$33,0))),0)</f>
        <v/>
      </c>
      <c r="R937" t="n">
        <v>0</v>
      </c>
      <c r="S937" t="n">
        <v>0</v>
      </c>
      <c r="U937" t="n">
        <v>0</v>
      </c>
    </row>
    <row r="938">
      <c r="A938">
        <f>Skills!A24</f>
        <v/>
      </c>
      <c r="B938">
        <f>Skills!B24</f>
        <v/>
      </c>
      <c r="C938">
        <f>Inputs!$B$3&gt;=74</f>
        <v/>
      </c>
      <c r="D938">
        <f>IF(Skills!C24=1,60+Inputs!$B$26+Inputs!$B$30,IF(Skills!C24=2,90+Inputs!$B$27+Inputs!$B$30,IF(Skills!C24=3,120+Inputs!$B$28+Inputs!$B$30,MAX(0,(Inputs!$B$3-100)*3)+(Inputs!$B$29+1)+Inputs!$B$30)))</f>
        <v/>
      </c>
      <c r="E938">
        <f>INDEX(FactorTable!$B$2:$Y$301, MATCH(ROUND(MIN(300,MAX(1,D938)),0), FactorTable!$A$2:$A$301,0), Skills!L24+1)</f>
        <v/>
      </c>
      <c r="F938">
        <f>IF(Skills!M24=TRUE,(Skills!K24/10)*(E938/1000),Skills!K24/10)+Skills!N24</f>
        <v/>
      </c>
      <c r="G938">
        <f>Calc!G24</f>
        <v/>
      </c>
      <c r="H938">
        <f>Calc!H24</f>
        <v/>
      </c>
      <c r="I938">
        <f>IF(Skills!T24&lt;&gt;"",1+(Skills!T24/10)*($Z$3/1000)/100,1)</f>
        <v/>
      </c>
      <c r="J938" t="inlineStr"/>
      <c r="K938" t="inlineStr"/>
      <c r="L938" t="inlineStr"/>
      <c r="M938" t="inlineStr"/>
      <c r="N938" t="inlineStr"/>
      <c r="O938">
        <f>(1-Summary!$B$48)*S938+Summary!$B$48*U938</f>
        <v/>
      </c>
      <c r="P938">
        <f>IF(B956=0,0,O938/B956)</f>
        <v/>
      </c>
      <c r="Q938">
        <f>IFERROR(1/IF(Inputs!$B$39="pvp",15,MAX(0.1,Skills!D24-IF(Skills!E24=TRUE,Inputs!$B$33,0))),0)</f>
        <v/>
      </c>
      <c r="R938" t="n">
        <v>0</v>
      </c>
      <c r="S938" t="n">
        <v>0</v>
      </c>
      <c r="U938" t="n">
        <v>0</v>
      </c>
    </row>
    <row r="939">
      <c r="A939">
        <f>Skills!A25</f>
        <v/>
      </c>
      <c r="B939">
        <f>Skills!B25</f>
        <v/>
      </c>
      <c r="C939">
        <f>Inputs!$B$3&gt;=74</f>
        <v/>
      </c>
      <c r="D939">
        <f>IF(Skills!C25=1,60+Inputs!$B$26+Inputs!$B$30,IF(Skills!C25=2,90+Inputs!$B$27+Inputs!$B$30,IF(Skills!C25=3,120+Inputs!$B$28+Inputs!$B$30,MAX(0,(Inputs!$B$3-100)*3)+(Inputs!$B$29+1)+Inputs!$B$30)))</f>
        <v/>
      </c>
      <c r="E939">
        <f>INDEX(FactorTable!$B$2:$Y$301, MATCH(ROUND(MIN(300,MAX(1,D939)),0), FactorTable!$A$2:$A$301,0), Skills!L25+1)</f>
        <v/>
      </c>
      <c r="F939">
        <f>IF(Skills!M25=TRUE,(Skills!K25/10)*(E939/1000),Skills!K25/10)+Skills!N25</f>
        <v/>
      </c>
      <c r="G939">
        <f>Calc!G25</f>
        <v/>
      </c>
      <c r="H939">
        <f>Calc!H25</f>
        <v/>
      </c>
      <c r="I939">
        <f>IF(Skills!T25&lt;&gt;"",1+(Skills!T25/10)*($Z$3/1000)/100,1)</f>
        <v/>
      </c>
      <c r="J939" t="inlineStr"/>
      <c r="K939" t="inlineStr"/>
      <c r="L939" t="inlineStr"/>
      <c r="M939" t="inlineStr"/>
      <c r="N939" t="inlineStr"/>
      <c r="O939">
        <f>(1-Summary!$B$48)*S939+Summary!$B$48*U939</f>
        <v/>
      </c>
      <c r="P939">
        <f>IF(B956=0,0,O939/B956)</f>
        <v/>
      </c>
      <c r="Q939">
        <f>IFERROR(1/IF(Inputs!$B$39="pvp",15,MAX(0.1,Skills!D25-IF(Skills!E25=TRUE,Inputs!$B$33,0))),0)</f>
        <v/>
      </c>
      <c r="R939" t="n">
        <v>0</v>
      </c>
      <c r="S939" t="n">
        <v>0</v>
      </c>
      <c r="U939" t="n">
        <v>0</v>
      </c>
    </row>
    <row r="940">
      <c r="A940">
        <f>Skills!A26</f>
        <v/>
      </c>
      <c r="B940">
        <f>Skills!B26</f>
        <v/>
      </c>
      <c r="C940">
        <f>Inputs!$B$3&gt;=117</f>
        <v/>
      </c>
      <c r="D940">
        <f>IF(Skills!C26=1,60+Inputs!$B$26+Inputs!$B$30,IF(Skills!C26=2,90+Inputs!$B$27+Inputs!$B$30,IF(Skills!C26=3,120+Inputs!$B$28+Inputs!$B$30,MAX(0,(Inputs!$B$3-100)*3)+(Inputs!$B$29+1)+Inputs!$B$30)))</f>
        <v/>
      </c>
      <c r="E940">
        <f>INDEX(FactorTable!$B$2:$Y$301, MATCH(ROUND(MIN(300,MAX(1,D940)),0), FactorTable!$A$2:$A$301,0), Skills!L26+1)</f>
        <v/>
      </c>
      <c r="F940">
        <f>IF(Skills!M26=TRUE,(Skills!K26/10)*(E940/1000),Skills!K26/10)+Skills!N26</f>
        <v/>
      </c>
      <c r="G940">
        <f>Calc!G26</f>
        <v/>
      </c>
      <c r="H940">
        <f>Calc!H26</f>
        <v/>
      </c>
      <c r="I940">
        <f>IF(Skills!T26&lt;&gt;"",1+(Skills!T26/10)*($Z$3/1000)/100,1)</f>
        <v/>
      </c>
      <c r="J940" t="inlineStr"/>
      <c r="K940" t="inlineStr"/>
      <c r="L940" t="inlineStr"/>
      <c r="M940" t="inlineStr"/>
      <c r="N940" t="inlineStr"/>
      <c r="O940">
        <f>(1-Summary!$B$48)*S940+Summary!$B$48*U940</f>
        <v/>
      </c>
      <c r="P940">
        <f>IF(B956=0,0,O940/B956)</f>
        <v/>
      </c>
      <c r="Q940">
        <f>IFERROR(1/IF(Inputs!$B$39="pvp",15,MAX(0.1,Skills!D26-IF(Skills!E26=TRUE,Inputs!$B$33,0))),0)</f>
        <v/>
      </c>
      <c r="R940" t="n">
        <v>0</v>
      </c>
      <c r="S940" t="n">
        <v>0</v>
      </c>
      <c r="U940" t="n">
        <v>0</v>
      </c>
    </row>
    <row r="941">
      <c r="A941">
        <f>Skills!A27</f>
        <v/>
      </c>
      <c r="B941">
        <f>Skills!B27</f>
        <v/>
      </c>
      <c r="C941">
        <f>Inputs!$B$3&gt;=120</f>
        <v/>
      </c>
      <c r="D941">
        <f>IF(Skills!C27=1,60+Inputs!$B$26+Inputs!$B$30,IF(Skills!C27=2,90+Inputs!$B$27+Inputs!$B$30,IF(Skills!C27=3,120+Inputs!$B$28+Inputs!$B$30,MAX(0,(Inputs!$B$3-100)*3)+(Inputs!$B$29+1)+Inputs!$B$30)))</f>
        <v/>
      </c>
      <c r="E941">
        <f>INDEX(FactorTable!$B$2:$Y$301, MATCH(ROUND(MIN(300,MAX(1,D941)),0), FactorTable!$A$2:$A$301,0), Skills!L27+1)</f>
        <v/>
      </c>
      <c r="F941">
        <f>IF(Skills!M27=TRUE,(Skills!K27/10)*(E941/1000),Skills!K27/10)+Skills!N27</f>
        <v/>
      </c>
      <c r="G941">
        <f>Calc!G27</f>
        <v/>
      </c>
      <c r="H941">
        <f>Calc!H27</f>
        <v/>
      </c>
      <c r="I941">
        <f>IF(Skills!T27&lt;&gt;"",1+(Skills!T27/10)*($Z$3/1000)/100,1)</f>
        <v/>
      </c>
      <c r="J941" t="inlineStr"/>
      <c r="K941" t="inlineStr"/>
      <c r="L941" t="inlineStr"/>
      <c r="M941" t="inlineStr"/>
      <c r="N941" t="inlineStr"/>
      <c r="O941">
        <f>(1-Summary!$B$48)*S941+Summary!$B$48*U941</f>
        <v/>
      </c>
      <c r="P941">
        <f>IF(B956=0,0,O941/B956)</f>
        <v/>
      </c>
      <c r="Q941">
        <f>IFERROR(1/IF(Inputs!$B$39="pvp",15,MAX(0.1,Skills!D27-IF(Skills!E27=TRUE,Inputs!$B$33,0))),0)</f>
        <v/>
      </c>
      <c r="R941" t="n">
        <v>0</v>
      </c>
      <c r="S941" t="n">
        <v>0</v>
      </c>
      <c r="U941" t="n">
        <v>0</v>
      </c>
    </row>
    <row r="943">
      <c r="A943" t="inlineStr">
        <is>
          <t>Average Buff Multiplier</t>
        </is>
      </c>
      <c r="B943">
        <f>(1+(IF(C917=TRUE,F917*IF(AND(Inputs!$B$39&lt;&gt;"pvp",Inputs!$B$44&gt;0),(((R917-1)*(Skills!S3*(1+(Inputs!$B$35+IF(Inputs!$B$3&gt;=117,F940,0))/100))+MIN((Skills!S3*(1+(Inputs!$B$35+IF(Inputs!$B$3&gt;=117,F940,0))/100)),MAX(0,Inputs!$B$44-((R917-1)*Skills!D3))))/Inputs!$B$44),IF(Inputs!$B$39="pvp",MIN((Skills!S3*(1+(Inputs!$B$35+IF(Inputs!$B$3&gt;=117,F940,0))/100)),15)/15,(Skills!S3*(1+(Inputs!$B$35+IF(Inputs!$B$3&gt;=117,F940,0))/100))/Skills!D3)),0)+IF(C918=TRUE,F918*IF(AND(Inputs!$B$39&lt;&gt;"pvp",Inputs!$B$44&gt;0),(((R918-1)*(Skills!S4*(1+(Inputs!$B$35+IF(Inputs!$B$3&gt;=117,F940,0))/100))+MIN((Skills!S4*(1+(Inputs!$B$35+IF(Inputs!$B$3&gt;=117,F940,0))/100)),MAX(0,Inputs!$B$44-((R918-1)*Skills!D4))))/Inputs!$B$44),IF(Inputs!$B$39="pvp",MIN((Skills!S4*(1+(Inputs!$B$35+IF(Inputs!$B$3&gt;=117,F940,0))/100)),15)/15,(Skills!S4*(1+(Inputs!$B$35+IF(Inputs!$B$3&gt;=117,F940,0))/100))/Skills!D4)),0)+IF(C919=TRUE,F919*IF(AND(Inputs!$B$39&lt;&gt;"pvp",Inputs!$B$44&gt;0),(((R919-1)*(Skills!S5*(1+(Inputs!$B$35+IF(Inputs!$B$3&gt;=117,F940,0))/100))+MIN((Skills!S5*(1+(Inputs!$B$35+IF(Inputs!$B$3&gt;=117,F940,0))/100)),MAX(0,Inputs!$B$44-((R919-1)*Skills!D5))))/Inputs!$B$44),IF(Inputs!$B$39="pvp",MIN((Skills!S5*(1+(Inputs!$B$35+IF(Inputs!$B$3&gt;=117,F940,0))/100)),15)/15,(Skills!S5*(1+(Inputs!$B$35+IF(Inputs!$B$3&gt;=117,F940,0))/100))/Skills!D5)),0)+IF(C925=TRUE,F925*IF(AND(Inputs!$B$39&lt;&gt;"pvp",Inputs!$B$44&gt;0),(((R925-1)*(Skills!S11*(1+(Inputs!$B$35+IF(Inputs!$B$3&gt;=117,F940,0))/100))+MIN((Skills!S11*(1+(Inputs!$B$35+IF(Inputs!$B$3&gt;=117,F940,0))/100)),MAX(0,Inputs!$B$44-((R925-1)*Skills!D11))))/Inputs!$B$44),IF(Inputs!$B$39="pvp",MIN((Skills!S11*(1+(Inputs!$B$35+IF(Inputs!$B$3&gt;=117,F940,0))/100)),15)/15,(Skills!S11*(1+(Inputs!$B$35+IF(Inputs!$B$3&gt;=117,F940,0))/100))/Skills!D11)),0))/100)*IF(C928=TRUE,(1+F928*IF(AND(Inputs!$B$39&lt;&gt;"pvp",Inputs!$B$44&gt;0),(((R928-1)*(Skills!S14*(1+(Inputs!$B$35+IF(Inputs!$B$3&gt;=117,F940,0))/100))+MIN((Skills!S14*(1+(Inputs!$B$35+IF(Inputs!$B$3&gt;=117,F940,0))/100)),MAX(0,Inputs!$B$44-((R928-1)*Skills!D14))))/Inputs!$B$44),IF(Inputs!$B$39="pvp",MIN((Skills!S14*(1+(Inputs!$B$35+IF(Inputs!$B$3&gt;=117,F940,0))/100)),15)/15,(Skills!S14*(1+(Inputs!$B$35+IF(Inputs!$B$3&gt;=117,F940,0))/100))/Skills!D14))/100),1)*IF(C933=TRUE,(1+F933*IF(AND(Inputs!$B$39&lt;&gt;"pvp",Inputs!$B$44&gt;0),(((R933-1)*(Skills!S19*(1+(Inputs!$B$35+IF(Inputs!$B$3&gt;=117,F940,0))/100))+MIN((Skills!S19*(1+(Inputs!$B$35+IF(Inputs!$B$3&gt;=117,F940,0))/100)),MAX(0,Inputs!$B$44-((R933-1)*Skills!D19))))/Inputs!$B$44),IF(Inputs!$B$39="pvp",MIN((Skills!S19*(1+(Inputs!$B$35+IF(Inputs!$B$3&gt;=117,F940,0))/100)),15)/15,(Skills!S19*(1+(Inputs!$B$35+IF(Inputs!$B$3&gt;=117,F940,0))/100))/Skills!D19))/100),1)</f>
        <v/>
      </c>
    </row>
    <row r="944">
      <c r="A944" t="inlineStr">
        <is>
          <t>Monster Damage Taken Bonus % (Holy Fountain)</t>
        </is>
      </c>
      <c r="B944">
        <f>IF(Inputs!$B$3&gt;=68,20*IF(Inputs!$B$39="pvp",MIN((15*(1+(Inputs!$B$35+IF(Inputs!$B$3&gt;=117,F940,0))/100)),15)/15,(15*(1+(Inputs!$B$35+IF(Inputs!$B$3&gt;=117,F940,0))/100))/Skills!D10),0)</f>
        <v/>
      </c>
    </row>
    <row r="945">
      <c r="A945" t="inlineStr">
        <is>
          <t>Normal Monster Damage Bonus % (Holy Symbol)</t>
        </is>
      </c>
      <c r="B945">
        <f>IF(C926=TRUE,F926*IF(AND(Inputs!$B$39&lt;&gt;"pvp",Inputs!$B$44&gt;0),(((R926-1)*(Skills!S12*(1+(Inputs!$B$35+IF(Inputs!$B$3&gt;=117,F940,0))/100))+MIN((Skills!S12*(1+(Inputs!$B$35+IF(Inputs!$B$3&gt;=117,F940,0))/100)),MAX(0,Inputs!$B$44-((R926-1)*Skills!D12))))/Inputs!$B$44),IF(Inputs!$B$39="pvp",MIN((Skills!S12*(1+(Inputs!$B$35+IF(Inputs!$B$3&gt;=117,F940,0))/100)),15)/15,(Skills!S12*(1+(Inputs!$B$35+IF(Inputs!$B$3&gt;=117,F940,0))/100))/Skills!D12)),0)</f>
        <v/>
      </c>
    </row>
    <row r="946">
      <c r="A946" t="inlineStr">
        <is>
          <t>Damage % Bonus (Holy Symbol - Damage Boost)</t>
        </is>
      </c>
      <c r="B946">
        <f>Skills!O12</f>
        <v/>
      </c>
    </row>
    <row r="947">
      <c r="A947" t="inlineStr">
        <is>
          <t>Crit Damage % Bonus (Blood of the Divine)</t>
        </is>
      </c>
      <c r="B947">
        <f>4*IF(C934=TRUE,F934,0)</f>
        <v/>
      </c>
    </row>
    <row r="948">
      <c r="A948" t="inlineStr">
        <is>
          <t>Attack Speed Bonus %</t>
        </is>
      </c>
      <c r="B948">
        <f>IF(C931=TRUE,F931+(F935-Calc!F21),0)+IF(Inputs!$B$3&gt;=134,15,0)</f>
        <v/>
      </c>
    </row>
    <row r="949">
      <c r="A949" t="inlineStr">
        <is>
          <t>Actions Per Second</t>
        </is>
      </c>
      <c r="B949">
        <f>1+MIN(150,150*(1-(1-Inputs!$B$12/150)*(1-B948/150)))/100</f>
        <v/>
      </c>
    </row>
    <row r="950">
      <c r="A950" t="inlineStr">
        <is>
          <t>Skill + Buff Cast Rate</t>
        </is>
      </c>
      <c r="B950">
        <f>IF(AND(Inputs!$B$39&lt;&gt;"pvp",Inputs!$B$44&gt;0),SUMPRODUCT((Skills!E2:E27=TRUE)*(C916:C941=TRUE)*R916:R941)/Inputs!$B$44,SUMPRODUCT((Skills!E2:E27=TRUE)*(C916:C941=TRUE)*Q916:Q941))</f>
        <v/>
      </c>
    </row>
    <row r="951">
      <c r="A951" t="inlineStr">
        <is>
          <t>Big Bang Casts Per Second</t>
        </is>
      </c>
      <c r="B951">
        <f>MAX(0,B949-B950)</f>
        <v/>
      </c>
    </row>
    <row r="952">
      <c r="A952" t="inlineStr">
        <is>
          <t>Defense % Bonus (Divine Protection)</t>
        </is>
      </c>
      <c r="B952">
        <f>IF(C927=TRUE,F927*IF(AND(Inputs!$B$39&lt;&gt;"pvp",Inputs!$B$44&gt;0),(((R927-1)*(Skills!S13*(1+(Inputs!$B$35+IF(Inputs!$B$3&gt;=117,F940,0))/100))+MIN((Skills!S13*(1+(Inputs!$B$35+IF(Inputs!$B$3&gt;=117,F940,0))/100)),MAX(0,Inputs!$B$44-((R927-1)*Skills!D13))))/Inputs!$B$44),IF(Inputs!$B$39="pvp",MIN((Skills!S13*(1+(Inputs!$B$35+IF(Inputs!$B$3&gt;=117,F940,0))/100)),15)/15,(Skills!S13*(1+(Inputs!$B$35+IF(Inputs!$B$3&gt;=117,F940,0))/100))/Skills!D13)),0)</f>
        <v/>
      </c>
    </row>
    <row r="953">
      <c r="A953" t="inlineStr">
        <is>
          <t>Buff-Casting Startup Delay (s, fixed-duration only)</t>
        </is>
      </c>
      <c r="B953">
        <f>IF(AND(Inputs!$B$39&lt;&gt;"pvp",Inputs!$B$44&gt;0),SUMPRODUCT((Skills!S2:S27&gt;0)*(Skills!E2:E27=TRUE)*(C916:C941=TRUE))/B949,0)</f>
        <v/>
      </c>
    </row>
    <row r="954">
      <c r="A954" t="inlineStr">
        <is>
          <t>Boss-Only Total DPS (this block's swept value)</t>
        </is>
      </c>
      <c r="B954">
        <f>SUM(S916:S941)</f>
        <v/>
      </c>
    </row>
    <row r="955">
      <c r="A955" t="inlineStr">
        <is>
          <t>Normal-Only Total DPS (this block's swept value)</t>
        </is>
      </c>
      <c r="B955">
        <f>SUM(U916:U941)</f>
        <v/>
      </c>
    </row>
    <row r="956">
      <c r="A956" s="5" t="inlineStr">
        <is>
          <t>TOTAL DPS</t>
        </is>
      </c>
      <c r="B956" s="5">
        <f>SUM(O916:O941)</f>
        <v/>
      </c>
    </row>
    <row r="958">
      <c r="A958" s="5" t="inlineStr">
        <is>
          <t>Stat: Skill Level Bonus — All Skills</t>
        </is>
      </c>
    </row>
    <row r="959">
      <c r="A959" s="9" t="inlineStr">
        <is>
          <t>Key</t>
        </is>
      </c>
      <c r="B959" s="9" t="inlineStr">
        <is>
          <t>Name</t>
        </is>
      </c>
      <c r="C959" s="9" t="inlineStr">
        <is>
          <t>Unlocked</t>
        </is>
      </c>
      <c r="D959" s="9" t="inlineStr">
        <is>
          <t>InputLevel</t>
        </is>
      </c>
      <c r="E959" s="9" t="inlineStr">
        <is>
          <t>Factor</t>
        </is>
      </c>
      <c r="F959" s="9" t="inlineStr">
        <is>
          <t>CoefficientPercent</t>
        </is>
      </c>
      <c r="G959" s="9" t="inlineStr">
        <is>
          <t>EffectiveHits</t>
        </is>
      </c>
      <c r="H959" s="9" t="inlineStr">
        <is>
          <t>ProcProbability</t>
        </is>
      </c>
      <c r="I959" s="9" t="inlineStr">
        <is>
          <t>MapleHeroMultiplier</t>
        </is>
      </c>
      <c r="J959" s="9" t="inlineStr">
        <is>
          <t>BaseDamage</t>
        </is>
      </c>
      <c r="K959" s="9" t="inlineStr">
        <is>
          <t>BaseHitDamage</t>
        </is>
      </c>
      <c r="L959" s="9" t="inlineStr">
        <is>
          <t>NonCritAvg</t>
        </is>
      </c>
      <c r="M959" s="9" t="inlineStr">
        <is>
          <t>CritAvg</t>
        </is>
      </c>
      <c r="N959" s="9" t="inlineStr">
        <is>
          <t>ExpectedDamage(perHit)</t>
        </is>
      </c>
      <c r="O959" s="9" t="inlineStr">
        <is>
          <t>DPS</t>
        </is>
      </c>
      <c r="P959" s="9" t="inlineStr">
        <is>
          <t>% of Total</t>
        </is>
      </c>
      <c r="R959" t="inlineStr">
        <is>
          <t>helpers</t>
        </is>
      </c>
    </row>
    <row r="960">
      <c r="A960">
        <f>Skills!A2</f>
        <v/>
      </c>
      <c r="B960">
        <f>Skills!B2</f>
        <v/>
      </c>
      <c r="C960">
        <f>Inputs!$B$3&gt;=100</f>
        <v/>
      </c>
      <c r="D960" t="inlineStr"/>
      <c r="E960" t="inlineStr"/>
      <c r="F960">
        <f>T962+Skills!N2</f>
        <v/>
      </c>
      <c r="G960">
        <f>Calc!G2</f>
        <v/>
      </c>
      <c r="H960">
        <f>Calc!H2</f>
        <v/>
      </c>
      <c r="I960">
        <f>IF(Skills!T2&lt;&gt;"",1+(Skills!T2/10)*($Z$3/1000)/100,1)</f>
        <v/>
      </c>
      <c r="J960">
        <f>((Inputs!$B$6*(1+Inputs!$B$7/100))+(((Inputs!$B$13*(1+Inputs!$B$14/100))-(Inputs!$B$13*(1+Inputs!$B$14/100)))+0.25*(Inputs!$B$15-Inputs!$B$15))*(1+Inputs!$B$7/100))*(F960/100)</f>
        <v/>
      </c>
      <c r="K960">
        <f>J960*(1+(((Inputs!$B$13+IF(Inputs!$B$3&gt;=35,(10*INDEX(FactorTable!$B$2:$Y$301, MATCH(ROUND(MIN(300,MAX(1,Inputs!$B$3)),0), FactorTable!$A$2:$A$301,0), 23)/1000)/100*(Inputs!$B$8*(1+(Inputs!$B$9+B996)/100)),0))*(1+Inputs!$B$14/100))*0.01+Inputs!$B$15*0.0025)/100)*(1+(Inputs!$B$16+B990)/100)*(1+Inputs!$B$17/100)*(5000/(6000+Inputs!$B$43*(1-Inputs!$B$20/100)))*(1+Inputs!$B$25/100)*(1+IF(C976=TRUE,F976,0)/100)*(1+IF(C978=TRUE,F978,0)/100)*(1+IF(Skills!A2="TRIUMPH_FEATHER",IF(C974=TRUE,F974,0),0)/100)*(1+IF(C985=TRUE,F985,0)/100)^5*(1+(IF(Skills!A2="BIG_BANG",Inputs!$B$18,Inputs!$B$19))/100)*(B987*I960)</f>
        <v/>
      </c>
      <c r="L960">
        <f>K960*(MIN(Inputs!$B$23+(F980-Calc!F22),Inputs!$B$24)/100+Inputs!$B$24/100)/2</f>
        <v/>
      </c>
      <c r="M960">
        <f>L960*(1+(Inputs!$B$11+B991+(F983-Calc!F25))/100)</f>
        <v/>
      </c>
      <c r="N960">
        <f>L960*(1-MIN(Inputs!$B$10+((F982-Calc!F24)+(F981-Calc!F23)),100)/100)+M960*(MIN(Inputs!$B$10+((F982-Calc!F24)+(F981-Calc!F23)),100)/100)</f>
        <v/>
      </c>
      <c r="O960">
        <f>(1-Summary!$B$48)*S960+Summary!$B$48*U960</f>
        <v/>
      </c>
      <c r="P960">
        <f>IF(B1000=0,0,O960/B1000)</f>
        <v/>
      </c>
      <c r="Q960">
        <f>IFERROR(1/IF(Inputs!$B$39="pvp",15,MAX(0.1,Skills!D2-IF(Skills!E2=TRUE,Inputs!$B$33,0))),0)</f>
        <v/>
      </c>
      <c r="R960" t="n">
        <v>0</v>
      </c>
      <c r="S960">
        <f>IF(C960,(Skills!F2*N960*B995)*IF(Inputs!$B$39="pvp",1,1+(Inputs!$B$21+Skills!O2+B988)/100),0)</f>
        <v/>
      </c>
      <c r="T960">
        <f>MAX(0,(Inputs!$B$3-100)*3)+Inputs!$B$29+(Inputs!$B$30+1)</f>
        <v/>
      </c>
      <c r="U960">
        <f>IF(C960,(Skills!F2*N960*B995)*IF(Inputs!$B$39="pvp",1,(1+(Inputs!$B$22+Skills!P2+B989)/100)*(MIN((6+Inputs!$B$34),Inputs!$B$38))),0)</f>
        <v/>
      </c>
    </row>
    <row r="961">
      <c r="A961">
        <f>Skills!A3</f>
        <v/>
      </c>
      <c r="B961">
        <f>Skills!B3</f>
        <v/>
      </c>
      <c r="C961">
        <f>Inputs!$B$3&gt;=15</f>
        <v/>
      </c>
      <c r="D961">
        <f>IF(Skills!C3=1,60+Inputs!$B$26+(Inputs!$B$30+1),IF(Skills!C3=2,90+Inputs!$B$27+(Inputs!$B$30+1),IF(Skills!C3=3,120+Inputs!$B$28+(Inputs!$B$30+1),MAX(0,(Inputs!$B$3-100)*3)+Inputs!$B$29+(Inputs!$B$30+1))))</f>
        <v/>
      </c>
      <c r="E961">
        <f>INDEX(FactorTable!$B$2:$Y$301, MATCH(ROUND(MIN(300,MAX(1,D961)),0), FactorTable!$A$2:$A$301,0), Skills!L3+1)</f>
        <v/>
      </c>
      <c r="F961">
        <f>IF(Skills!M3=TRUE,(Skills!K3/10)*(E961/1000),Skills!K3/10)+Skills!N3</f>
        <v/>
      </c>
      <c r="G961">
        <f>Calc!G3</f>
        <v/>
      </c>
      <c r="H961">
        <f>Calc!H3</f>
        <v/>
      </c>
      <c r="I961">
        <f>IF(Skills!T3&lt;&gt;"",1+(Skills!T3/10)*($Z$3/1000)/100,1)</f>
        <v/>
      </c>
      <c r="J961" t="inlineStr"/>
      <c r="K961" t="inlineStr"/>
      <c r="L961" t="inlineStr"/>
      <c r="M961" t="inlineStr"/>
      <c r="N961" t="inlineStr"/>
      <c r="O961">
        <f>(1-Summary!$B$48)*S961+Summary!$B$48*U961</f>
        <v/>
      </c>
      <c r="P961">
        <f>IF(B1000=0,0,O961/B1000)</f>
        <v/>
      </c>
      <c r="Q961">
        <f>IFERROR(1/IF(Inputs!$B$39="pvp",15,MAX(0.1,Skills!D3-IF(Skills!E3=TRUE,Inputs!$B$33,0))),0)</f>
        <v/>
      </c>
      <c r="R961">
        <f>IF(AND(Inputs!$B$39&lt;&gt;"pvp",Inputs!$B$44&gt;0),IF(Inputs!$B$44&lt;=0,0,(INT(Inputs!$B$44/IF(Inputs!$B$39="pvp",15,MAX(0.1,Skills!D3-IF(Skills!E3=TRUE,Inputs!$B$33,0))))+1)),0)</f>
        <v/>
      </c>
      <c r="S961" t="n">
        <v>0</v>
      </c>
      <c r="T961">
        <f>INDEX(FactorTable!$B$2:$Y$301, MATCH(ROUND(MIN(300,MAX(1,T960)),0), FactorTable!$A$2:$A$301,0), 22)</f>
        <v/>
      </c>
      <c r="U961" t="n">
        <v>0</v>
      </c>
    </row>
    <row r="962">
      <c r="A962">
        <f>Skills!A4</f>
        <v/>
      </c>
      <c r="B962">
        <f>Skills!B4</f>
        <v/>
      </c>
      <c r="C962">
        <f>Inputs!$B$3&gt;=38</f>
        <v/>
      </c>
      <c r="D962">
        <f>IF(Skills!C4=1,60+Inputs!$B$26+(Inputs!$B$30+1),IF(Skills!C4=2,90+Inputs!$B$27+(Inputs!$B$30+1),IF(Skills!C4=3,120+Inputs!$B$28+(Inputs!$B$30+1),MAX(0,(Inputs!$B$3-100)*3)+Inputs!$B$29+(Inputs!$B$30+1))))</f>
        <v/>
      </c>
      <c r="E962">
        <f>INDEX(FactorTable!$B$2:$Y$301, MATCH(ROUND(MIN(300,MAX(1,D962)),0), FactorTable!$A$2:$A$301,0), Skills!L4+1)</f>
        <v/>
      </c>
      <c r="F962">
        <f>IF(Skills!M4=TRUE,(Skills!K4/10)*(E962/1000),Skills!K4/10)+Skills!N4</f>
        <v/>
      </c>
      <c r="G962">
        <f>Calc!G4</f>
        <v/>
      </c>
      <c r="H962">
        <f>Calc!H4</f>
        <v/>
      </c>
      <c r="I962">
        <f>IF(Skills!T4&lt;&gt;"",1+(Skills!T4/10)*($Z$3/1000)/100,1)</f>
        <v/>
      </c>
      <c r="J962" t="inlineStr"/>
      <c r="K962" t="inlineStr"/>
      <c r="L962" t="inlineStr"/>
      <c r="M962" t="inlineStr"/>
      <c r="N962" t="inlineStr"/>
      <c r="O962">
        <f>(1-Summary!$B$48)*S962+Summary!$B$48*U962</f>
        <v/>
      </c>
      <c r="P962">
        <f>IF(B1000=0,0,O962/B1000)</f>
        <v/>
      </c>
      <c r="Q962">
        <f>IFERROR(1/IF(Inputs!$B$39="pvp",15,MAX(0.1,Skills!D4-IF(Skills!E4=TRUE,Inputs!$B$33,0))),0)</f>
        <v/>
      </c>
      <c r="R962">
        <f>IF(AND(Inputs!$B$39&lt;&gt;"pvp",Inputs!$B$44&gt;0),IF(Inputs!$B$44&lt;=0,0,(INT(Inputs!$B$44/IF(Inputs!$B$39="pvp",15,MAX(0.1,Skills!D4-IF(Skills!E4=TRUE,Inputs!$B$33,0))))+1)),0)</f>
        <v/>
      </c>
      <c r="S962" t="n">
        <v>0</v>
      </c>
      <c r="T962">
        <f>290*T961/1000</f>
        <v/>
      </c>
      <c r="U962" t="n">
        <v>0</v>
      </c>
    </row>
    <row r="963">
      <c r="A963">
        <f>Skills!A5</f>
        <v/>
      </c>
      <c r="B963">
        <f>Skills!B5</f>
        <v/>
      </c>
      <c r="C963">
        <f>Inputs!$B$3&gt;=40</f>
        <v/>
      </c>
      <c r="D963">
        <f>IF(Skills!C5=1,60+Inputs!$B$26+(Inputs!$B$30+1),IF(Skills!C5=2,90+Inputs!$B$27+(Inputs!$B$30+1),IF(Skills!C5=3,120+Inputs!$B$28+(Inputs!$B$30+1),MAX(0,(Inputs!$B$3-100)*3)+Inputs!$B$29+(Inputs!$B$30+1))))</f>
        <v/>
      </c>
      <c r="E963">
        <f>INDEX(FactorTable!$B$2:$Y$301, MATCH(ROUND(MIN(300,MAX(1,D963)),0), FactorTable!$A$2:$A$301,0), Skills!L5+1)</f>
        <v/>
      </c>
      <c r="F963">
        <f>IF(Skills!M5=TRUE,(Skills!K5/10)*(E963/1000),Skills!K5/10)+Skills!N5</f>
        <v/>
      </c>
      <c r="G963">
        <f>Calc!G5</f>
        <v/>
      </c>
      <c r="H963">
        <f>Calc!H5</f>
        <v/>
      </c>
      <c r="I963">
        <f>IF(Skills!T5&lt;&gt;"",1+(Skills!T5/10)*($Z$3/1000)/100,1)</f>
        <v/>
      </c>
      <c r="J963" t="inlineStr"/>
      <c r="K963" t="inlineStr"/>
      <c r="L963" t="inlineStr"/>
      <c r="M963" t="inlineStr"/>
      <c r="N963" t="inlineStr"/>
      <c r="O963">
        <f>(1-Summary!$B$48)*S963+Summary!$B$48*U963</f>
        <v/>
      </c>
      <c r="P963">
        <f>IF(B1000=0,0,O963/B1000)</f>
        <v/>
      </c>
      <c r="Q963">
        <f>IFERROR(1/IF(Inputs!$B$39="pvp",15,MAX(0.1,Skills!D5-IF(Skills!E5=TRUE,Inputs!$B$33,0))),0)</f>
        <v/>
      </c>
      <c r="R963">
        <f>IF(AND(Inputs!$B$39&lt;&gt;"pvp",Inputs!$B$44&gt;0),IF(Inputs!$B$44&lt;=0,0,(INT(Inputs!$B$44/IF(Inputs!$B$39="pvp",15,MAX(0.1,Skills!D5-IF(Skills!E5=TRUE,Inputs!$B$33,0))))+1)),0)</f>
        <v/>
      </c>
      <c r="S963" t="n">
        <v>0</v>
      </c>
      <c r="U963" t="n">
        <v>0</v>
      </c>
    </row>
    <row r="964">
      <c r="A964">
        <f>Skills!A6</f>
        <v/>
      </c>
      <c r="B964">
        <f>Skills!B6</f>
        <v/>
      </c>
      <c r="C964">
        <f>Inputs!$B$3&gt;=103</f>
        <v/>
      </c>
      <c r="D964">
        <f>IF(Skills!C6=1,60+Inputs!$B$26+(Inputs!$B$30+1),IF(Skills!C6=2,90+Inputs!$B$27+(Inputs!$B$30+1),IF(Skills!C6=3,120+Inputs!$B$28+(Inputs!$B$30+1),MAX(0,(Inputs!$B$3-100)*3)+Inputs!$B$29+(Inputs!$B$30+1))))</f>
        <v/>
      </c>
      <c r="E964">
        <f>INDEX(FactorTable!$B$2:$Y$301, MATCH(ROUND(MIN(300,MAX(1,D964)),0), FactorTable!$A$2:$A$301,0), Skills!L6+1)</f>
        <v/>
      </c>
      <c r="F964">
        <f>IF(Skills!M6=TRUE,(Skills!K6/10)*(E964/1000),Skills!K6/10)+Skills!N6</f>
        <v/>
      </c>
      <c r="G964">
        <f>Calc!G6</f>
        <v/>
      </c>
      <c r="H964">
        <f>Calc!H6</f>
        <v/>
      </c>
      <c r="I964">
        <f>IF(Skills!T6&lt;&gt;"",1+(Skills!T6/10)*($Z$3/1000)/100,1)</f>
        <v/>
      </c>
      <c r="J964">
        <f>((Inputs!$B$6*(1+Inputs!$B$7/100))+(((Inputs!$B$13*(1+Inputs!$B$14/100))-(Inputs!$B$13*(1+Inputs!$B$14/100)))+0.25*(Inputs!$B$15-Inputs!$B$15))*(1+Inputs!$B$7/100))*(F964/100)</f>
        <v/>
      </c>
      <c r="K964">
        <f>J964*(1+(((Inputs!$B$13+IF(Inputs!$B$3&gt;=35,(10*INDEX(FactorTable!$B$2:$Y$301, MATCH(ROUND(MIN(300,MAX(1,Inputs!$B$3)),0), FactorTable!$A$2:$A$301,0), 23)/1000)/100*(Inputs!$B$8*(1+(Inputs!$B$9+B996)/100)),0))*(1+Inputs!$B$14/100))*0.01+Inputs!$B$15*0.0025)/100)*(1+(Inputs!$B$16+B990)/100)*(1+Inputs!$B$17/100)*(5000/(6000+Inputs!$B$43*(1-Inputs!$B$20/100)))*(1+Inputs!$B$25/100)*(1+IF(C976=TRUE,F976,0)/100)*(1+IF(C978=TRUE,F978,0)/100)*(1+IF(Skills!A6="TRIUMPH_FEATHER",IF(C974=TRUE,F974,0),0)/100)*(1+IF(C985=TRUE,F985,0)/100)^5*(1+(IF(Skills!A6="BIG_BANG",Inputs!$B$18,Inputs!$B$19))/100)*(B987*I964)</f>
        <v/>
      </c>
      <c r="L964">
        <f>K964*(MIN(Inputs!$B$23+(F980-Calc!F22),Inputs!$B$24)/100+Inputs!$B$24/100)/2</f>
        <v/>
      </c>
      <c r="M964">
        <f>L964*(1+(Inputs!$B$11+B991+(F983-Calc!F25))/100)</f>
        <v/>
      </c>
      <c r="N964">
        <f>L964*(1-MIN(Inputs!$B$10+((F982-Calc!F24)+(F981-Calc!F23)),100)/100)+M964*(MIN(Inputs!$B$10+((F982-Calc!F24)+(F981-Calc!F23)),100)/100)</f>
        <v/>
      </c>
      <c r="O964">
        <f>(1-Summary!$B$48)*S964+Summary!$B$48*U964</f>
        <v/>
      </c>
      <c r="P964">
        <f>IF(B1000=0,0,O964/B1000)</f>
        <v/>
      </c>
      <c r="Q964">
        <f>IFERROR(1/IF(Inputs!$B$39="pvp",15,MAX(0.1,Skills!D6-IF(Skills!E6=TRUE,Inputs!$B$33,0))),0)</f>
        <v/>
      </c>
      <c r="R964">
        <f>IF(AND(Inputs!$B$39&lt;&gt;"pvp",Inputs!$B$44&gt;0),IF(MAX(0,Inputs!$B$44-B997)&lt;=0,0,(INT(MAX(0,Inputs!$B$44-B997)/IF(Inputs!$B$39="pvp",15,MAX(0.1,Skills!D6-IF(Skills!E6=TRUE,Inputs!$B$33,0))))+1)),0)</f>
        <v/>
      </c>
      <c r="S964">
        <f>IF(C964,(H964*N964*IF(AND(Inputs!$B$39&lt;&gt;"pvp",Inputs!$B$44&gt;0),((Skills!F6*((R964-1)*IF(Skills!G6&gt;0,Skills!H6/Skills!G6,1)+IF(Skills!G6&gt;0,MIN(Skills!H6,MAX(0,MAX(0,Inputs!$B$44-B997)-((R964-1)*IF(Inputs!$B$39="pvp",15,MAX(0.1,Skills!D6-IF(Skills!E6=TRUE,Inputs!$B$33,0))))))/Skills!G6,1)))/Inputs!$B$44),G964*Q964))*IF(Inputs!$B$39="pvp",1,1+(Inputs!$B$21+Skills!O6+B988)/100),0)</f>
        <v/>
      </c>
      <c r="U964">
        <f>IF(C964,(H964*N964*IF(AND(Inputs!$B$39&lt;&gt;"pvp",Inputs!$B$44&gt;0),((Skills!F6*((R964-1)*IF(Skills!G6&gt;0,Skills!H6/Skills!G6,1)+IF(Skills!G6&gt;0,MIN(Skills!H6,MAX(0,MAX(0,Inputs!$B$44-B997)-((R964-1)*IF(Inputs!$B$39="pvp",15,MAX(0.1,Skills!D6-IF(Skills!E6=TRUE,Inputs!$B$33,0))))))/Skills!G6,1)))/Inputs!$B$44),G964*Q964))*IF(Inputs!$B$39="pvp",1,(1+(Inputs!$B$22+Skills!P6+B989)/100)*(MIN(Skills!Q6,Inputs!$B$38))),0)</f>
        <v/>
      </c>
    </row>
    <row r="965">
      <c r="A965">
        <f>Skills!A7</f>
        <v/>
      </c>
      <c r="B965">
        <f>Skills!B7</f>
        <v/>
      </c>
      <c r="C965">
        <f>Inputs!$B$3&gt;=122</f>
        <v/>
      </c>
      <c r="D965">
        <f>IF(Skills!C7=1,60+Inputs!$B$26+(Inputs!$B$30+1),IF(Skills!C7=2,90+Inputs!$B$27+(Inputs!$B$30+1),IF(Skills!C7=3,120+Inputs!$B$28+(Inputs!$B$30+1),MAX(0,(Inputs!$B$3-100)*3)+Inputs!$B$29+(Inputs!$B$30+1))))</f>
        <v/>
      </c>
      <c r="E965">
        <f>INDEX(FactorTable!$B$2:$Y$301, MATCH(ROUND(MIN(300,MAX(1,D965)),0), FactorTable!$A$2:$A$301,0), Skills!L7+1)</f>
        <v/>
      </c>
      <c r="F965">
        <f>IF(Skills!M7=TRUE,(Skills!K7/10)*(E965/1000),Skills!K7/10)+Skills!N7</f>
        <v/>
      </c>
      <c r="G965">
        <f>Calc!G7</f>
        <v/>
      </c>
      <c r="H965">
        <f>Calc!H7</f>
        <v/>
      </c>
      <c r="I965">
        <f>IF(Skills!T7&lt;&gt;"",1+(Skills!T7/10)*($Z$3/1000)/100,1)</f>
        <v/>
      </c>
      <c r="J965">
        <f>((Inputs!$B$6*(1+Inputs!$B$7/100))+(((Inputs!$B$13*(1+Inputs!$B$14/100))-(Inputs!$B$13*(1+Inputs!$B$14/100)))+0.25*(Inputs!$B$15-Inputs!$B$15))*(1+Inputs!$B$7/100))*(F965/100)</f>
        <v/>
      </c>
      <c r="K965">
        <f>J965*(1+(((Inputs!$B$13+IF(Inputs!$B$3&gt;=35,(10*INDEX(FactorTable!$B$2:$Y$301, MATCH(ROUND(MIN(300,MAX(1,Inputs!$B$3)),0), FactorTable!$A$2:$A$301,0), 23)/1000)/100*(Inputs!$B$8*(1+(Inputs!$B$9+B996)/100)),0))*(1+Inputs!$B$14/100))*0.01+Inputs!$B$15*0.0025)/100)*(1+(Inputs!$B$16+B990)/100)*(1+Inputs!$B$17/100)*(5000/(6000+Inputs!$B$43*(1-Inputs!$B$20/100)))*(1+Inputs!$B$25/100)*(1+IF(C976=TRUE,F976,0)/100)*(1+IF(C978=TRUE,F978,0)/100)*(1+IF(Skills!A7="TRIUMPH_FEATHER",IF(C974=TRUE,F974,0),0)/100)*(1+IF(C985=TRUE,F985,0)/100)^5*(1+(IF(Skills!A7="BIG_BANG",Inputs!$B$18,Inputs!$B$19))/100)*(B987*I965)</f>
        <v/>
      </c>
      <c r="L965">
        <f>K965*(MIN(Inputs!$B$23+(F980-Calc!F22),Inputs!$B$24)/100+Inputs!$B$24/100)/2</f>
        <v/>
      </c>
      <c r="M965">
        <f>L965*(1+(Inputs!$B$11+B991+(F983-Calc!F25))/100)</f>
        <v/>
      </c>
      <c r="N965">
        <f>L965*(1-MIN(Inputs!$B$10+((F982-Calc!F24)+(F981-Calc!F23)),100)/100)+M965*(MIN(Inputs!$B$10+((F982-Calc!F24)+(F981-Calc!F23)),100)/100)</f>
        <v/>
      </c>
      <c r="O965">
        <f>(1-Summary!$B$48)*S965+Summary!$B$48*U965</f>
        <v/>
      </c>
      <c r="P965">
        <f>IF(B1000=0,0,O965/B1000)</f>
        <v/>
      </c>
      <c r="Q965">
        <f>IFERROR(1/IF(Inputs!$B$39="pvp",15,MAX(0.1,Skills!D7-IF(Skills!E6=TRUE,Inputs!$B$33,0))),0)</f>
        <v/>
      </c>
      <c r="R965">
        <f>IF(AND(Inputs!$B$39&lt;&gt;"pvp",Inputs!$B$44&gt;0),IF(MAX(0,Inputs!$B$44-B997)&lt;=0,0,(INT(MAX(0,Inputs!$B$44-B997)/IF(Inputs!$B$39="pvp",15,MAX(0.1,Skills!D7-IF(Skills!E6=TRUE,Inputs!$B$33,0))))+1)),0)</f>
        <v/>
      </c>
      <c r="S965">
        <f>IF(C965,H965*N965*IF(AND(Inputs!$B$39&lt;&gt;"pvp",Inputs!$B$44&gt;0),((Skills!F7*((R965-1)*IF(Skills!G7&gt;0,Skills!H7/Skills!G7,1)+IF(Skills!G7&gt;0,MIN(Skills!H7,MAX(0,MAX(0,Inputs!$B$44-B997)-((R965-1)*IF(Inputs!$B$39="pvp",15,MAX(0.1,Skills!D7-IF(Skills!E6=TRUE,Inputs!$B$33,0))))))/Skills!G7,1)))/Inputs!$B$44),G965*Q965)*IF(Inputs!$B$39="pvp",1,1+(Inputs!$B$21+Skills!O7+B988)/100),0)</f>
        <v/>
      </c>
      <c r="U965" t="n">
        <v>0</v>
      </c>
    </row>
    <row r="966">
      <c r="A966">
        <f>Skills!A8</f>
        <v/>
      </c>
      <c r="B966">
        <f>Skills!B8</f>
        <v/>
      </c>
      <c r="C966">
        <f>Inputs!$B$3&gt;=105</f>
        <v/>
      </c>
      <c r="D966">
        <f>IF(Skills!C8=1,60+Inputs!$B$26+(Inputs!$B$30+1),IF(Skills!C8=2,90+Inputs!$B$27+(Inputs!$B$30+1),IF(Skills!C8=3,120+Inputs!$B$28+(Inputs!$B$30+1),MAX(0,(Inputs!$B$3-100)*3)+Inputs!$B$29+(Inputs!$B$30+1))))</f>
        <v/>
      </c>
      <c r="E966">
        <f>INDEX(FactorTable!$B$2:$Y$301, MATCH(ROUND(MIN(300,MAX(1,D966)),0), FactorTable!$A$2:$A$301,0), Skills!L8+1)</f>
        <v/>
      </c>
      <c r="F966">
        <f>IF(Skills!M8=TRUE,(Skills!K8/10)*(E966/1000),Skills!K8/10)+Skills!N8</f>
        <v/>
      </c>
      <c r="G966">
        <f>Calc!G8</f>
        <v/>
      </c>
      <c r="H966">
        <f>Calc!H8</f>
        <v/>
      </c>
      <c r="I966">
        <f>IF(Skills!T8&lt;&gt;"",1+(Skills!T8/10)*($Z$3/1000)/100,1)</f>
        <v/>
      </c>
      <c r="J966">
        <f>((Inputs!$B$6*(1+Inputs!$B$7/100))+(((Inputs!$B$13*(1+Inputs!$B$14/100))-(Inputs!$B$13*(1+Inputs!$B$14/100)))+0.25*(Inputs!$B$15-Inputs!$B$15))*(1+Inputs!$B$7/100))*(F966/100)</f>
        <v/>
      </c>
      <c r="K966">
        <f>J966*(1+(((Inputs!$B$13+IF(Inputs!$B$3&gt;=35,(10*INDEX(FactorTable!$B$2:$Y$301, MATCH(ROUND(MIN(300,MAX(1,Inputs!$B$3)),0), FactorTable!$A$2:$A$301,0), 23)/1000)/100*(Inputs!$B$8*(1+(Inputs!$B$9+B996)/100)),0))*(1+Inputs!$B$14/100))*0.01+Inputs!$B$15*0.0025)/100)*(1+(Inputs!$B$16+B990)/100)*(1+Inputs!$B$17/100)*(5000/(6000+Inputs!$B$43*(1-Inputs!$B$20/100)))*(1+Inputs!$B$25/100)*(1+IF(C976=TRUE,F976,0)/100)*(1+IF(C978=TRUE,F978,0)/100)*(1+IF(Skills!A8="TRIUMPH_FEATHER",IF(C974=TRUE,F974,0),0)/100)*(1+IF(C985=TRUE,F985,0)/100)^5*(1+(IF(Skills!A8="BIG_BANG",Inputs!$B$18,Inputs!$B$19))/100)*(B987*I966)</f>
        <v/>
      </c>
      <c r="L966">
        <f>K966*(MIN(Inputs!$B$23+(F980-Calc!F22),Inputs!$B$24)/100+Inputs!$B$24/100)/2</f>
        <v/>
      </c>
      <c r="M966">
        <f>L966*(1+(Inputs!$B$11+B991+(F983-Calc!F25))/100)</f>
        <v/>
      </c>
      <c r="N966">
        <f>L966*(1-MIN(Inputs!$B$10+((F982-Calc!F24)+(F981-Calc!F23)),100)/100)+M966*(MIN(Inputs!$B$10+((F982-Calc!F24)+(F981-Calc!F23)),100)/100)</f>
        <v/>
      </c>
      <c r="O966">
        <f>(1-Summary!$B$48)*S966+Summary!$B$48*U966</f>
        <v/>
      </c>
      <c r="P966">
        <f>IF(B1000=0,0,O966/B1000)</f>
        <v/>
      </c>
      <c r="Q966">
        <f>IFERROR(1/IF(Inputs!$B$39="pvp",15,MAX(0.1,Skills!D8-IF(Skills!E8=TRUE,Inputs!$B$33,0))),0)</f>
        <v/>
      </c>
      <c r="R966">
        <f>IF(AND(Inputs!$B$39&lt;&gt;"pvp",Inputs!$B$44&gt;0),IF(MAX(0,Inputs!$B$44-B997)&lt;=0,0,(INT(MAX(0,Inputs!$B$44-B997)/IF(Inputs!$B$39="pvp",15,MAX(0.1,Skills!D8-IF(Skills!E8=TRUE,Inputs!$B$33,0))))+1)),0)</f>
        <v/>
      </c>
      <c r="S966">
        <f>IF(C966,(H966*N966*IF(AND(Inputs!$B$39&lt;&gt;"pvp",Inputs!$B$44&gt;0),((Skills!F8*((R966-1)*IF(Skills!G8&gt;0,Skills!H8/Skills!G8,1)+IF(Skills!G8&gt;0,MIN(Skills!H8,MAX(0,MAX(0,Inputs!$B$44-B997)-((R966-1)*IF(Inputs!$B$39="pvp",15,MAX(0.1,Skills!D8-IF(Skills!E8=TRUE,Inputs!$B$33,0))))))/Skills!G8,1)))/Inputs!$B$44),G966*Q966))*IF(Inputs!$B$39="pvp",1,1+(Inputs!$B$21+Skills!O8+B988)/100),0)</f>
        <v/>
      </c>
      <c r="U966">
        <f>IF(C966,(H966*N966*IF(AND(Inputs!$B$39&lt;&gt;"pvp",Inputs!$B$44&gt;0),((Skills!F8*((R966-1)*IF(Skills!G8&gt;0,Skills!H8/Skills!G8,1)+IF(Skills!G8&gt;0,MIN(Skills!H8,MAX(0,MAX(0,Inputs!$B$44-B997)-((R966-1)*IF(Inputs!$B$39="pvp",15,MAX(0.1,Skills!D8-IF(Skills!E8=TRUE,Inputs!$B$33,0))))))/Skills!G8,1)))/Inputs!$B$44),G966*Q966))*IF(Inputs!$B$39="pvp",1,(1+(Inputs!$B$22+Skills!P8+B989)/100)*(MIN(Skills!Q8,Inputs!$B$38))),0)</f>
        <v/>
      </c>
    </row>
    <row r="967">
      <c r="A967">
        <f>Skills!A9</f>
        <v/>
      </c>
      <c r="B967">
        <f>Skills!B9</f>
        <v/>
      </c>
      <c r="C967">
        <f>Inputs!$B$3&gt;=115</f>
        <v/>
      </c>
      <c r="D967">
        <f>IF(Skills!C9=1,60+Inputs!$B$26+(Inputs!$B$30+1),IF(Skills!C9=2,90+Inputs!$B$27+(Inputs!$B$30+1),IF(Skills!C9=3,120+Inputs!$B$28+(Inputs!$B$30+1),MAX(0,(Inputs!$B$3-100)*3)+Inputs!$B$29+(Inputs!$B$30+1))))</f>
        <v/>
      </c>
      <c r="E967">
        <f>INDEX(FactorTable!$B$2:$Y$301, MATCH(ROUND(MIN(300,MAX(1,D967)),0), FactorTable!$A$2:$A$301,0), Skills!L9+1)</f>
        <v/>
      </c>
      <c r="F967">
        <f>IF(Skills!M9=TRUE,(Skills!K9/10)*(E967/1000),Skills!K9/10)+Skills!N9</f>
        <v/>
      </c>
      <c r="G967">
        <f>Calc!G9</f>
        <v/>
      </c>
      <c r="H967">
        <f>Calc!H9</f>
        <v/>
      </c>
      <c r="I967">
        <f>IF(Skills!T9&lt;&gt;"",1+(Skills!T9/10)*($Z$3/1000)/100,1)</f>
        <v/>
      </c>
      <c r="J967">
        <f>((Inputs!$B$6*(1+Inputs!$B$7/100))+(((Inputs!$B$13*(1+Inputs!$B$14/100))-(Inputs!$B$13*(1+Inputs!$B$14/100)))+0.25*(Inputs!$B$15-Inputs!$B$15))*(1+Inputs!$B$7/100))*(F967/100)</f>
        <v/>
      </c>
      <c r="K967">
        <f>J967*(1+(((Inputs!$B$13+IF(Inputs!$B$3&gt;=35,(10*INDEX(FactorTable!$B$2:$Y$301, MATCH(ROUND(MIN(300,MAX(1,Inputs!$B$3)),0), FactorTable!$A$2:$A$301,0), 23)/1000)/100*(Inputs!$B$8*(1+(Inputs!$B$9+B996)/100)),0))*(1+Inputs!$B$14/100))*0.01+Inputs!$B$15*0.0025)/100)*(1+(Inputs!$B$16+B990)/100)*(1+Inputs!$B$17/100)*(5000/(6000+Inputs!$B$43*(1-Inputs!$B$20/100)))*(1+Inputs!$B$25/100)*(1+IF(C976=TRUE,F976,0)/100)*(1+IF(C978=TRUE,F978,0)/100)*(1+IF(Skills!A9="TRIUMPH_FEATHER",IF(C974=TRUE,F974,0),0)/100)*(1+IF(C985=TRUE,F985,0)/100)^5*(1+(IF(Skills!A9="BIG_BANG",Inputs!$B$18,Inputs!$B$19))/100)*(B987*I967)</f>
        <v/>
      </c>
      <c r="L967">
        <f>K967*(MIN(Inputs!$B$23+(F980-Calc!F22),Inputs!$B$24)/100+Inputs!$B$24/100)/2</f>
        <v/>
      </c>
      <c r="M967">
        <f>L967*(1+(Inputs!$B$11+B991+(F983-Calc!F25))/100)</f>
        <v/>
      </c>
      <c r="N967">
        <f>L967*(1-MIN(Inputs!$B$10+((F982-Calc!F24)+(F981-Calc!F23)),100)/100)+M967*(MIN(Inputs!$B$10+((F982-Calc!F24)+(F981-Calc!F23)),100)/100)</f>
        <v/>
      </c>
      <c r="O967">
        <f>(1-Summary!$B$48)*S967+Summary!$B$48*U967</f>
        <v/>
      </c>
      <c r="P967">
        <f>IF(B1000=0,0,O967/B1000)</f>
        <v/>
      </c>
      <c r="Q967">
        <f>IFERROR(1/IF(Inputs!$B$39="pvp",15,MAX(0.1,Skills!D9-IF(Skills!E9=TRUE,Inputs!$B$33,0))),0)</f>
        <v/>
      </c>
      <c r="R967">
        <f>IF(AND(Inputs!$B$39&lt;&gt;"pvp",Inputs!$B$44&gt;0),IF(MAX(0,Inputs!$B$44-B997)&lt;=0,0,(INT(MAX(0,Inputs!$B$44-B997)/IF(Inputs!$B$39="pvp",15,MAX(0.1,Skills!D9-IF(Skills!E9=TRUE,Inputs!$B$33,0))))+1)),0)</f>
        <v/>
      </c>
      <c r="S967">
        <f>IF(C967,(H967*N967*IF(AND(Inputs!$B$39&lt;&gt;"pvp",Inputs!$B$44&gt;0),((Skills!F9*((R967-1)*IF(Skills!G9&gt;0,Skills!H9/Skills!G9,1)+IF(Skills!G9&gt;0,MIN(Skills!H9,MAX(0,MAX(0,Inputs!$B$44-B997)-((R967-1)*IF(Inputs!$B$39="pvp",15,MAX(0.1,Skills!D9-IF(Skills!E9=TRUE,Inputs!$B$33,0))))))/Skills!G9,1)))/Inputs!$B$44),G967*Q967))*IF(Inputs!$B$39="pvp",1,1+(Inputs!$B$21+Skills!O9+B988)/100),0)</f>
        <v/>
      </c>
      <c r="U967">
        <f>IF(C967,(H967*N967*IF(AND(Inputs!$B$39&lt;&gt;"pvp",Inputs!$B$44&gt;0),((Skills!F9*((R967-1)*IF(Skills!G9&gt;0,Skills!H9/Skills!G9,1)+IF(Skills!G9&gt;0,MIN(Skills!H9,MAX(0,MAX(0,Inputs!$B$44-B997)-((R967-1)*IF(Inputs!$B$39="pvp",15,MAX(0.1,Skills!D9-IF(Skills!E9=TRUE,Inputs!$B$33,0))))))/Skills!G9,1)))/Inputs!$B$44),G967*Q967))*IF(Inputs!$B$39="pvp",1,(1+(Inputs!$B$22+Skills!P9+B989)/100)*(MIN(Skills!Q9,Inputs!$B$38))),0)</f>
        <v/>
      </c>
    </row>
    <row r="968">
      <c r="A968">
        <f>Skills!A10</f>
        <v/>
      </c>
      <c r="B968">
        <f>Skills!B10</f>
        <v/>
      </c>
      <c r="C968">
        <f>Inputs!$B$3&gt;=66</f>
        <v/>
      </c>
      <c r="D968">
        <f>IF(Skills!C10=1,60+Inputs!$B$26+(Inputs!$B$30+1),IF(Skills!C10=2,90+Inputs!$B$27+(Inputs!$B$30+1),IF(Skills!C10=3,120+Inputs!$B$28+(Inputs!$B$30+1),MAX(0,(Inputs!$B$3-100)*3)+Inputs!$B$29+(Inputs!$B$30+1))))</f>
        <v/>
      </c>
      <c r="E968">
        <f>INDEX(FactorTable!$B$2:$Y$301, MATCH(ROUND(MIN(300,MAX(1,D968)),0), FactorTable!$A$2:$A$301,0), Skills!L10+1)</f>
        <v/>
      </c>
      <c r="F968" t="n">
        <v>0</v>
      </c>
      <c r="G968">
        <f>Calc!G10</f>
        <v/>
      </c>
      <c r="H968">
        <f>Calc!H10</f>
        <v/>
      </c>
      <c r="I968">
        <f>IF(Skills!T10&lt;&gt;"",1+(Skills!T10/10)*($Z$3/1000)/100,1)</f>
        <v/>
      </c>
      <c r="J968" t="inlineStr"/>
      <c r="K968" t="inlineStr"/>
      <c r="L968" t="inlineStr"/>
      <c r="M968" t="inlineStr"/>
      <c r="N968" t="inlineStr"/>
      <c r="O968">
        <f>(1-Summary!$B$48)*S968+Summary!$B$48*U968</f>
        <v/>
      </c>
      <c r="P968">
        <f>IF(B1000=0,0,O968/B1000)</f>
        <v/>
      </c>
      <c r="Q968">
        <f>IFERROR(1/IF(Inputs!$B$39="pvp",15,MAX(0.1,Skills!D10-IF(Skills!E10=TRUE,Inputs!$B$33,0))),0)</f>
        <v/>
      </c>
      <c r="R968">
        <f>IF(AND(Inputs!$B$39&lt;&gt;"pvp",Inputs!$B$44&gt;0),IF(MAX(0,Inputs!$B$44-B997)&lt;=0,0,(INT(MAX(0,Inputs!$B$44-B997)/IF(Inputs!$B$39="pvp",15,MAX(0.1,Skills!D10-IF(Skills!E10=TRUE,Inputs!$B$33,0))))+1)),0)</f>
        <v/>
      </c>
      <c r="S968" t="n">
        <v>0</v>
      </c>
      <c r="U968" t="n">
        <v>0</v>
      </c>
    </row>
    <row r="969">
      <c r="A969">
        <f>Skills!A11</f>
        <v/>
      </c>
      <c r="B969">
        <f>Skills!B11</f>
        <v/>
      </c>
      <c r="C969">
        <f>Inputs!$B$3&gt;=69</f>
        <v/>
      </c>
      <c r="D969">
        <f>IF(Skills!C11=1,60+Inputs!$B$26+(Inputs!$B$30+1),IF(Skills!C11=2,90+Inputs!$B$27+(Inputs!$B$30+1),IF(Skills!C11=3,120+Inputs!$B$28+(Inputs!$B$30+1),MAX(0,(Inputs!$B$3-100)*3)+Inputs!$B$29+(Inputs!$B$30+1))))</f>
        <v/>
      </c>
      <c r="E969">
        <f>INDEX(FactorTable!$B$2:$Y$301, MATCH(ROUND(MIN(300,MAX(1,D969)),0), FactorTable!$A$2:$A$301,0), Skills!L11+1)</f>
        <v/>
      </c>
      <c r="F969">
        <f>IF(Skills!M11=TRUE,(Skills!K11/10)*(E969/1000),Skills!K11/10)+Skills!N11</f>
        <v/>
      </c>
      <c r="G969">
        <f>Calc!G11</f>
        <v/>
      </c>
      <c r="H969">
        <f>Calc!H11</f>
        <v/>
      </c>
      <c r="I969">
        <f>IF(Skills!T11&lt;&gt;"",1+(Skills!T11/10)*($Z$3/1000)/100,1)</f>
        <v/>
      </c>
      <c r="J969" t="inlineStr"/>
      <c r="K969" t="inlineStr"/>
      <c r="L969" t="inlineStr"/>
      <c r="M969" t="inlineStr"/>
      <c r="N969" t="inlineStr"/>
      <c r="O969">
        <f>(1-Summary!$B$48)*S969+Summary!$B$48*U969</f>
        <v/>
      </c>
      <c r="P969">
        <f>IF(B1000=0,0,O969/B1000)</f>
        <v/>
      </c>
      <c r="Q969">
        <f>IFERROR(1/IF(Inputs!$B$39="pvp",15,MAX(0.1,Skills!D11-IF(Skills!E11=TRUE,Inputs!$B$33,0))),0)</f>
        <v/>
      </c>
      <c r="R969">
        <f>IF(AND(Inputs!$B$39&lt;&gt;"pvp",Inputs!$B$44&gt;0),IF(Inputs!$B$44&lt;=0,0,(INT(Inputs!$B$44/IF(Inputs!$B$39="pvp",15,MAX(0.1,Skills!D11-IF(Skills!E11=TRUE,Inputs!$B$33,0))))+1)),0)</f>
        <v/>
      </c>
      <c r="S969" t="n">
        <v>0</v>
      </c>
      <c r="U969" t="n">
        <v>0</v>
      </c>
    </row>
    <row r="970">
      <c r="A970">
        <f>Skills!A12</f>
        <v/>
      </c>
      <c r="B970">
        <f>Skills!B12</f>
        <v/>
      </c>
      <c r="C970">
        <f>Inputs!$B$3&gt;=72</f>
        <v/>
      </c>
      <c r="D970">
        <f>IF(Skills!C12=1,60+Inputs!$B$26+(Inputs!$B$30+1),IF(Skills!C12=2,90+Inputs!$B$27+(Inputs!$B$30+1),IF(Skills!C12=3,120+Inputs!$B$28+(Inputs!$B$30+1),MAX(0,(Inputs!$B$3-100)*3)+Inputs!$B$29+(Inputs!$B$30+1))))</f>
        <v/>
      </c>
      <c r="E970">
        <f>INDEX(FactorTable!$B$2:$Y$301, MATCH(ROUND(MIN(300,MAX(1,D970)),0), FactorTable!$A$2:$A$301,0), Skills!L12+1)</f>
        <v/>
      </c>
      <c r="F970">
        <f>IF(Skills!M12=TRUE,(Skills!K12/10)*(E970/1000),Skills!K12/10)+Skills!N12</f>
        <v/>
      </c>
      <c r="G970">
        <f>Calc!G12</f>
        <v/>
      </c>
      <c r="H970">
        <f>Calc!H12</f>
        <v/>
      </c>
      <c r="I970">
        <f>IF(Skills!T12&lt;&gt;"",1+(Skills!T12/10)*($Z$3/1000)/100,1)</f>
        <v/>
      </c>
      <c r="J970" t="inlineStr"/>
      <c r="K970" t="inlineStr"/>
      <c r="L970" t="inlineStr"/>
      <c r="M970" t="inlineStr"/>
      <c r="N970" t="inlineStr"/>
      <c r="O970">
        <f>(1-Summary!$B$48)*S970+Summary!$B$48*U970</f>
        <v/>
      </c>
      <c r="P970">
        <f>IF(B1000=0,0,O970/B1000)</f>
        <v/>
      </c>
      <c r="Q970">
        <f>IFERROR(1/IF(Inputs!$B$39="pvp",15,MAX(0.1,Skills!D12-IF(Skills!E12=TRUE,Inputs!$B$33,0))),0)</f>
        <v/>
      </c>
      <c r="R970">
        <f>IF(AND(Inputs!$B$39&lt;&gt;"pvp",Inputs!$B$44&gt;0),IF(MAX(0,Inputs!$B$44-B997)&lt;=0,0,(INT(MAX(0,Inputs!$B$44-B997)/IF(Inputs!$B$39="pvp",15,MAX(0.1,Skills!D12-IF(Skills!E12=TRUE,Inputs!$B$33,0))))+1)),0)</f>
        <v/>
      </c>
      <c r="S970" t="n">
        <v>0</v>
      </c>
      <c r="U970" t="n">
        <v>0</v>
      </c>
    </row>
    <row r="971">
      <c r="A971">
        <f>Skills!A13</f>
        <v/>
      </c>
      <c r="B971">
        <f>Skills!B13</f>
        <v/>
      </c>
      <c r="C971">
        <f>Inputs!$B$3&gt;=60</f>
        <v/>
      </c>
      <c r="D971">
        <f>IF(Skills!C13=1,60+Inputs!$B$26+(Inputs!$B$30+1),IF(Skills!C13=2,90+Inputs!$B$27+(Inputs!$B$30+1),IF(Skills!C13=3,120+Inputs!$B$28+(Inputs!$B$30+1),MAX(0,(Inputs!$B$3-100)*3)+Inputs!$B$29+(Inputs!$B$30+1))))</f>
        <v/>
      </c>
      <c r="E971">
        <f>INDEX(FactorTable!$B$2:$Y$301, MATCH(ROUND(MIN(300,MAX(1,D971)),0), FactorTable!$A$2:$A$301,0), Skills!L13+1)</f>
        <v/>
      </c>
      <c r="F971">
        <f>IF(Skills!M13=TRUE,(Skills!K13/10)*(E971/1000),Skills!K13/10)+Skills!N13</f>
        <v/>
      </c>
      <c r="G971">
        <f>Calc!G13</f>
        <v/>
      </c>
      <c r="H971">
        <f>Calc!H13</f>
        <v/>
      </c>
      <c r="I971">
        <f>IF(Skills!T13&lt;&gt;"",1+(Skills!T13/10)*($Z$3/1000)/100,1)</f>
        <v/>
      </c>
      <c r="J971" t="inlineStr"/>
      <c r="K971" t="inlineStr"/>
      <c r="L971" t="inlineStr"/>
      <c r="M971" t="inlineStr"/>
      <c r="N971" t="inlineStr"/>
      <c r="O971">
        <f>(1-Summary!$B$48)*S971+Summary!$B$48*U971</f>
        <v/>
      </c>
      <c r="P971">
        <f>IF(B1000=0,0,O971/B1000)</f>
        <v/>
      </c>
      <c r="Q971">
        <f>IFERROR(1/IF(Inputs!$B$39="pvp",15,MAX(0.1,Skills!D13-IF(Skills!E13=TRUE,Inputs!$B$33,0))),0)</f>
        <v/>
      </c>
      <c r="R971">
        <f>IF(AND(Inputs!$B$39&lt;&gt;"pvp",Inputs!$B$44&gt;0),IF(MAX(0,Inputs!$B$44-B997)&lt;=0,0,(INT(MAX(0,Inputs!$B$44-B997)/IF(Inputs!$B$39="pvp",15,MAX(0.1,Skills!D13-IF(Skills!E13=TRUE,Inputs!$B$33,0))))+1)),0)</f>
        <v/>
      </c>
      <c r="S971" t="n">
        <v>0</v>
      </c>
      <c r="U971" t="n">
        <v>0</v>
      </c>
    </row>
    <row r="972">
      <c r="A972">
        <f>Skills!A14</f>
        <v/>
      </c>
      <c r="B972">
        <f>Skills!B14</f>
        <v/>
      </c>
      <c r="C972">
        <f>Inputs!$B$3&gt;=107</f>
        <v/>
      </c>
      <c r="D972">
        <f>IF(Skills!C14=1,60+Inputs!$B$26+(Inputs!$B$30+1),IF(Skills!C14=2,90+Inputs!$B$27+(Inputs!$B$30+1),IF(Skills!C14=3,120+Inputs!$B$28+(Inputs!$B$30+1),MAX(0,(Inputs!$B$3-100)*3)+Inputs!$B$29+(Inputs!$B$30+1))))</f>
        <v/>
      </c>
      <c r="E972">
        <f>INDEX(FactorTable!$B$2:$Y$301, MATCH(ROUND(MIN(300,MAX(1,D972)),0), FactorTable!$A$2:$A$301,0), Skills!L14+1)</f>
        <v/>
      </c>
      <c r="F972">
        <f>IF(Skills!M14=TRUE,(Skills!K14/10)*(E972/1000),Skills!K14/10)+Skills!N14</f>
        <v/>
      </c>
      <c r="G972">
        <f>Calc!G14</f>
        <v/>
      </c>
      <c r="H972">
        <f>Calc!H14</f>
        <v/>
      </c>
      <c r="I972">
        <f>IF(Skills!T14&lt;&gt;"",1+(Skills!T14/10)*($Z$3/1000)/100,1)</f>
        <v/>
      </c>
      <c r="J972" t="inlineStr"/>
      <c r="K972" t="inlineStr"/>
      <c r="L972" t="inlineStr"/>
      <c r="M972" t="inlineStr"/>
      <c r="N972" t="inlineStr"/>
      <c r="O972">
        <f>(1-Summary!$B$48)*S972+Summary!$B$48*U972</f>
        <v/>
      </c>
      <c r="P972">
        <f>IF(B1000=0,0,O972/B1000)</f>
        <v/>
      </c>
      <c r="Q972">
        <f>IFERROR(1/IF(Inputs!$B$39="pvp",15,MAX(0.1,Skills!D14-IF(Skills!E14=TRUE,Inputs!$B$33,0))),0)</f>
        <v/>
      </c>
      <c r="R972">
        <f>IF(AND(Inputs!$B$39&lt;&gt;"pvp",Inputs!$B$44&gt;0),IF(Inputs!$B$44&lt;=0,0,(INT(Inputs!$B$44/IF(Inputs!$B$39="pvp",15,MAX(0.1,Skills!D14-IF(Skills!E14=TRUE,Inputs!$B$33,0))))+1)),0)</f>
        <v/>
      </c>
      <c r="S972" t="n">
        <v>0</v>
      </c>
      <c r="U972" t="n">
        <v>0</v>
      </c>
    </row>
    <row r="973">
      <c r="A973">
        <f>Skills!A15</f>
        <v/>
      </c>
      <c r="B973">
        <f>Skills!B15</f>
        <v/>
      </c>
      <c r="C973">
        <f>Inputs!$B$3&gt;=63</f>
        <v/>
      </c>
      <c r="D973">
        <f>IF(Skills!C15=1,60+Inputs!$B$26+(Inputs!$B$30+1),IF(Skills!C15=2,90+Inputs!$B$27+(Inputs!$B$30+1),IF(Skills!C15=3,120+Inputs!$B$28+(Inputs!$B$30+1),MAX(0,(Inputs!$B$3-100)*3)+Inputs!$B$29+(Inputs!$B$30+1))))</f>
        <v/>
      </c>
      <c r="E973">
        <f>INDEX(FactorTable!$B$2:$Y$301, MATCH(ROUND(MIN(300,MAX(1,D973)),0), FactorTable!$A$2:$A$301,0), Skills!L15+1)</f>
        <v/>
      </c>
      <c r="F973">
        <f>IF(Skills!M15=TRUE,(Skills!K15/10)*(E973/1000),Skills!K15/10)+Skills!N15</f>
        <v/>
      </c>
      <c r="G973">
        <f>Calc!G15</f>
        <v/>
      </c>
      <c r="H973">
        <f>Calc!H15</f>
        <v/>
      </c>
      <c r="I973">
        <f>IF(Skills!T15&lt;&gt;"",1+(Skills!T15/10)*($Z$3/1000)/100,1)</f>
        <v/>
      </c>
      <c r="J973">
        <f>((Inputs!$B$6*(1+Inputs!$B$7/100))+(((Inputs!$B$13*(1+Inputs!$B$14/100))-(Inputs!$B$13*(1+Inputs!$B$14/100)))+0.25*(Inputs!$B$15-Inputs!$B$15))*(1+Inputs!$B$7/100))*(F973/100)</f>
        <v/>
      </c>
      <c r="K973">
        <f>J973*(1+(((Inputs!$B$13+IF(Inputs!$B$3&gt;=35,(10*INDEX(FactorTable!$B$2:$Y$301, MATCH(ROUND(MIN(300,MAX(1,Inputs!$B$3)),0), FactorTable!$A$2:$A$301,0), 23)/1000)/100*(Inputs!$B$8*(1+(Inputs!$B$9+B996)/100)),0))*(1+Inputs!$B$14/100))*0.01+Inputs!$B$15*0.0025)/100)*(1+(Inputs!$B$16+B990)/100)*(1+Inputs!$B$17/100)*(5000/(6000+Inputs!$B$43*(1-Inputs!$B$20/100)))*(1+Inputs!$B$25/100)*(1+IF(C976=TRUE,F976,0)/100)*(1+IF(C978=TRUE,F978,0)/100)*(1+IF(Skills!A15="TRIUMPH_FEATHER",IF(C974=TRUE,F974,0),0)/100)*(1+IF(C985=TRUE,F985,0)/100)^5*(1+(IF(Skills!A15="BIG_BANG",Inputs!$B$18,Inputs!$B$19))/100)*(B987*I973)</f>
        <v/>
      </c>
      <c r="L973">
        <f>K973*(MIN(Inputs!$B$23+(F980-Calc!F22),Inputs!$B$24)/100+Inputs!$B$24/100)/2</f>
        <v/>
      </c>
      <c r="M973">
        <f>L973*(1+(Inputs!$B$11+B991+(F983-Calc!F25))/100)</f>
        <v/>
      </c>
      <c r="N973">
        <f>L973*(1-MIN(Inputs!$B$10+((F982-Calc!F24)+(F981-Calc!F23)),100)/100)+M973*(MIN(Inputs!$B$10+((F982-Calc!F24)+(F981-Calc!F23)),100)/100)</f>
        <v/>
      </c>
      <c r="O973">
        <f>(1-Summary!$B$48)*S973+Summary!$B$48*U973</f>
        <v/>
      </c>
      <c r="P973">
        <f>IF(B1000=0,0,O973/B1000)</f>
        <v/>
      </c>
      <c r="Q973">
        <f>IFERROR(1/IF(Inputs!$B$39="pvp",15,MAX(0.1,Skills!D15-IF(Skills!E15=TRUE,Inputs!$B$33,0))),0)</f>
        <v/>
      </c>
      <c r="R973" t="n">
        <v>0</v>
      </c>
      <c r="S973">
        <f>IF(C973,(Skills!F15*N973*((IF(Inputs!$B$3&gt;=78,25,15)/100*B993*10)/(1+IF(Inputs!$B$3&gt;=78,25,15)/100*B993*10))*(Skills!I15/100*B993)/(1+Skills!G15*Skills!I15/100*B993))*IF(Inputs!$B$39="pvp",1,1+(Inputs!$B$21+Skills!O15+B988)/100),0)</f>
        <v/>
      </c>
      <c r="U973">
        <f>IF(C973,(Skills!F15*N973*((IF(Inputs!$B$3&gt;=78,25,15)/100*B993*10)/(1+IF(Inputs!$B$3&gt;=78,25,15)/100*B993*10))*(Skills!I15/100*B993)/(1+Skills!G15*Skills!I15/100*B993))*IF(Inputs!$B$39="pvp",1,(1+(Inputs!$B$22+Skills!P15+B989)/100)*(MIN(Skills!Q15,Inputs!$B$38))),0)</f>
        <v/>
      </c>
    </row>
    <row r="974">
      <c r="A974">
        <f>Skills!A16</f>
        <v/>
      </c>
      <c r="B974">
        <f>Skills!B16</f>
        <v/>
      </c>
      <c r="C974">
        <f>Inputs!$B$3&gt;=100</f>
        <v/>
      </c>
      <c r="D974">
        <f>IF(Skills!C16=1,60+Inputs!$B$26+(Inputs!$B$30+1),IF(Skills!C16=2,90+Inputs!$B$27+(Inputs!$B$30+1),IF(Skills!C16=3,120+Inputs!$B$28+(Inputs!$B$30+1),MAX(0,(Inputs!$B$3-100)*3)+Inputs!$B$29+(Inputs!$B$30+1))))</f>
        <v/>
      </c>
      <c r="E974">
        <f>INDEX(FactorTable!$B$2:$Y$301, MATCH(ROUND(MIN(300,MAX(1,D974)),0), FactorTable!$A$2:$A$301,0), Skills!L16+1)</f>
        <v/>
      </c>
      <c r="F974">
        <f>IF(Skills!M16=TRUE,(Skills!K16/10)*(E974/1000),Skills!K16/10)+Skills!N16</f>
        <v/>
      </c>
      <c r="G974">
        <f>Calc!G16</f>
        <v/>
      </c>
      <c r="H974">
        <f>Calc!H16</f>
        <v/>
      </c>
      <c r="I974">
        <f>IF(Skills!T16&lt;&gt;"",1+(Skills!T16/10)*($Z$3/1000)/100,1)</f>
        <v/>
      </c>
      <c r="J974" t="inlineStr"/>
      <c r="K974" t="inlineStr"/>
      <c r="L974" t="inlineStr"/>
      <c r="M974" t="inlineStr"/>
      <c r="N974" t="inlineStr"/>
      <c r="O974">
        <f>(1-Summary!$B$48)*S974+Summary!$B$48*U974</f>
        <v/>
      </c>
      <c r="P974">
        <f>IF(B1000=0,0,O974/B1000)</f>
        <v/>
      </c>
      <c r="Q974">
        <f>IFERROR(1/IF(Inputs!$B$39="pvp",15,MAX(0.1,Skills!D16-IF(Skills!E16=TRUE,Inputs!$B$33,0))),0)</f>
        <v/>
      </c>
      <c r="R974" t="n">
        <v>0</v>
      </c>
      <c r="S974" t="n">
        <v>0</v>
      </c>
      <c r="U974" t="n">
        <v>0</v>
      </c>
    </row>
    <row r="975">
      <c r="A975">
        <f>Skills!A17</f>
        <v/>
      </c>
      <c r="B975">
        <f>Skills!B17</f>
        <v/>
      </c>
      <c r="C975">
        <f>Inputs!$B$3&gt;=49</f>
        <v/>
      </c>
      <c r="D975">
        <f>IF(Skills!C17=1,60+Inputs!$B$26+(Inputs!$B$30+1),IF(Skills!C17=2,90+Inputs!$B$27+(Inputs!$B$30+1),IF(Skills!C17=3,120+Inputs!$B$28+(Inputs!$B$30+1),MAX(0,(Inputs!$B$3-100)*3)+Inputs!$B$29+(Inputs!$B$30+1))))</f>
        <v/>
      </c>
      <c r="E975">
        <f>INDEX(FactorTable!$B$2:$Y$301, MATCH(ROUND(MIN(300,MAX(1,D975)),0), FactorTable!$A$2:$A$301,0), Skills!L17+1)</f>
        <v/>
      </c>
      <c r="F975">
        <f>IF(Skills!M17=TRUE,(Skills!K17/10)*(E975/1000),Skills!K17/10)+Skills!N17</f>
        <v/>
      </c>
      <c r="G975">
        <f>Calc!G17</f>
        <v/>
      </c>
      <c r="H975">
        <f>Calc!H17</f>
        <v/>
      </c>
      <c r="I975">
        <f>IF(Skills!T17&lt;&gt;"",1+(Skills!T17/10)*($Z$3/1000)/100,1)</f>
        <v/>
      </c>
      <c r="J975" t="inlineStr"/>
      <c r="K975" t="inlineStr"/>
      <c r="L975" t="inlineStr"/>
      <c r="M975" t="inlineStr"/>
      <c r="N975" t="inlineStr"/>
      <c r="O975">
        <f>(1-Summary!$B$48)*S975+Summary!$B$48*U975</f>
        <v/>
      </c>
      <c r="P975">
        <f>IF(B1000=0,0,O975/B1000)</f>
        <v/>
      </c>
      <c r="Q975">
        <f>IFERROR(1/IF(Inputs!$B$39="pvp",15,MAX(0.1,Skills!D17-IF(Skills!E17=TRUE,Inputs!$B$33,0))),0)</f>
        <v/>
      </c>
      <c r="R975" t="n">
        <v>0</v>
      </c>
      <c r="S975" t="n">
        <v>0</v>
      </c>
      <c r="U975" t="n">
        <v>0</v>
      </c>
    </row>
    <row r="976">
      <c r="A976">
        <f>Skills!A18</f>
        <v/>
      </c>
      <c r="B976">
        <f>Skills!B18</f>
        <v/>
      </c>
      <c r="C976">
        <f>Inputs!$B$3&gt;=75</f>
        <v/>
      </c>
      <c r="D976">
        <f>IF(Skills!C18=1,60+Inputs!$B$26+(Inputs!$B$30+1),IF(Skills!C18=2,90+Inputs!$B$27+(Inputs!$B$30+1),IF(Skills!C18=3,120+Inputs!$B$28+(Inputs!$B$30+1),MAX(0,(Inputs!$B$3-100)*3)+Inputs!$B$29+(Inputs!$B$30+1))))</f>
        <v/>
      </c>
      <c r="E976">
        <f>INDEX(FactorTable!$B$2:$Y$301, MATCH(ROUND(MIN(300,MAX(1,D976)),0), FactorTable!$A$2:$A$301,0), Skills!L18+1)</f>
        <v/>
      </c>
      <c r="F976">
        <f>IF(Skills!M18=TRUE,(Skills!K18/10)*(E976/1000),Skills!K18/10)+Skills!N18</f>
        <v/>
      </c>
      <c r="G976">
        <f>Calc!G18</f>
        <v/>
      </c>
      <c r="H976">
        <f>Calc!H18</f>
        <v/>
      </c>
      <c r="I976">
        <f>IF(Skills!T18&lt;&gt;"",1+(Skills!T18/10)*($Z$3/1000)/100,1)</f>
        <v/>
      </c>
      <c r="J976" t="inlineStr"/>
      <c r="K976" t="inlineStr"/>
      <c r="L976" t="inlineStr"/>
      <c r="M976" t="inlineStr"/>
      <c r="N976" t="inlineStr"/>
      <c r="O976">
        <f>(1-Summary!$B$48)*S976+Summary!$B$48*U976</f>
        <v/>
      </c>
      <c r="P976">
        <f>IF(B1000=0,0,O976/B1000)</f>
        <v/>
      </c>
      <c r="Q976">
        <f>IFERROR(1/IF(Inputs!$B$39="pvp",15,MAX(0.1,Skills!D18-IF(Skills!E18=TRUE,Inputs!$B$33,0))),0)</f>
        <v/>
      </c>
      <c r="R976" t="n">
        <v>0</v>
      </c>
      <c r="S976" t="n">
        <v>0</v>
      </c>
      <c r="U976" t="n">
        <v>0</v>
      </c>
    </row>
    <row r="977">
      <c r="A977">
        <f>Skills!A19</f>
        <v/>
      </c>
      <c r="B977">
        <f>Skills!B19</f>
        <v/>
      </c>
      <c r="C977">
        <f>Inputs!$B$3&gt;=110</f>
        <v/>
      </c>
      <c r="D977">
        <f>IF(Skills!C19=1,60+Inputs!$B$26+(Inputs!$B$30+1),IF(Skills!C19=2,90+Inputs!$B$27+(Inputs!$B$30+1),IF(Skills!C19=3,120+Inputs!$B$28+(Inputs!$B$30+1),MAX(0,(Inputs!$B$3-100)*3)+Inputs!$B$29+(Inputs!$B$30+1))))</f>
        <v/>
      </c>
      <c r="E977">
        <f>INDEX(FactorTable!$B$2:$Y$301, MATCH(ROUND(MIN(300,MAX(1,D977)),0), FactorTable!$A$2:$A$301,0), Skills!L19+1)</f>
        <v/>
      </c>
      <c r="F977">
        <f>(Skills!K19/10)*(E977/1000)*64/45+Skills!N19</f>
        <v/>
      </c>
      <c r="G977">
        <f>Calc!G19</f>
        <v/>
      </c>
      <c r="H977">
        <f>Calc!H19</f>
        <v/>
      </c>
      <c r="I977">
        <f>IF(Skills!T19&lt;&gt;"",1+(Skills!T19/10)*($Z$3/1000)/100,1)</f>
        <v/>
      </c>
      <c r="J977" t="inlineStr"/>
      <c r="K977" t="inlineStr"/>
      <c r="L977" t="inlineStr"/>
      <c r="M977" t="inlineStr"/>
      <c r="N977" t="inlineStr"/>
      <c r="O977">
        <f>(1-Summary!$B$48)*S977+Summary!$B$48*U977</f>
        <v/>
      </c>
      <c r="P977">
        <f>IF(B1000=0,0,O977/B1000)</f>
        <v/>
      </c>
      <c r="Q977">
        <f>IFERROR(1/IF(Inputs!$B$39="pvp",15,MAX(0.1,Skills!D19-IF(Skills!E19=TRUE,Inputs!$B$33,0))),0)</f>
        <v/>
      </c>
      <c r="R977">
        <f>IF(AND(Inputs!$B$39&lt;&gt;"pvp",Inputs!$B$44&gt;0),IF(Inputs!$B$44&lt;=0,0,(INT(Inputs!$B$44/IF(Inputs!$B$39="pvp",15,MAX(0.1,Skills!D19-IF(Skills!E19=TRUE,Inputs!$B$33,0))))+1)),0)</f>
        <v/>
      </c>
      <c r="S977" t="n">
        <v>0</v>
      </c>
      <c r="U977" t="n">
        <v>0</v>
      </c>
    </row>
    <row r="978">
      <c r="A978">
        <f>Skills!A20</f>
        <v/>
      </c>
      <c r="B978">
        <f>Skills!B20</f>
        <v/>
      </c>
      <c r="C978">
        <f>Inputs!$B$3&gt;=125</f>
        <v/>
      </c>
      <c r="D978">
        <f>IF(Skills!C20=1,60+Inputs!$B$26+(Inputs!$B$30+1),IF(Skills!C20=2,90+Inputs!$B$27+(Inputs!$B$30+1),IF(Skills!C20=3,120+Inputs!$B$28+(Inputs!$B$30+1),MAX(0,(Inputs!$B$3-100)*3)+Inputs!$B$29+(Inputs!$B$30+1))))</f>
        <v/>
      </c>
      <c r="E978">
        <f>INDEX(FactorTable!$B$2:$Y$301, MATCH(ROUND(MIN(300,MAX(1,D978)),0), FactorTable!$A$2:$A$301,0), Skills!L20+1)</f>
        <v/>
      </c>
      <c r="F978">
        <f>IF(Skills!M20=TRUE,(Skills!K20/10)*(E978/1000),Skills!K20/10)+Skills!N20</f>
        <v/>
      </c>
      <c r="G978">
        <f>Calc!G20</f>
        <v/>
      </c>
      <c r="H978">
        <f>Calc!H20</f>
        <v/>
      </c>
      <c r="I978">
        <f>IF(Skills!T20&lt;&gt;"",1+(Skills!T20/10)*($Z$3/1000)/100,1)</f>
        <v/>
      </c>
      <c r="J978" t="inlineStr"/>
      <c r="K978" t="inlineStr"/>
      <c r="L978" t="inlineStr"/>
      <c r="M978" t="inlineStr"/>
      <c r="N978" t="inlineStr"/>
      <c r="O978">
        <f>(1-Summary!$B$48)*S978+Summary!$B$48*U978</f>
        <v/>
      </c>
      <c r="P978">
        <f>IF(B1000=0,0,O978/B1000)</f>
        <v/>
      </c>
      <c r="Q978">
        <f>IFERROR(1/IF(Inputs!$B$39="pvp",15,MAX(0.1,Skills!D20-IF(Skills!E20=TRUE,Inputs!$B$33,0))),0)</f>
        <v/>
      </c>
      <c r="R978" t="n">
        <v>0</v>
      </c>
      <c r="S978" t="n">
        <v>0</v>
      </c>
      <c r="U978" t="n">
        <v>0</v>
      </c>
    </row>
    <row r="979">
      <c r="A979">
        <f>Skills!A21</f>
        <v/>
      </c>
      <c r="B979">
        <f>Skills!B21</f>
        <v/>
      </c>
      <c r="C979">
        <f>Inputs!$B$3&gt;=33</f>
        <v/>
      </c>
      <c r="D979">
        <f>IF(Skills!C21=1,60+Inputs!$B$26+(Inputs!$B$30+1),IF(Skills!C21=2,90+Inputs!$B$27+(Inputs!$B$30+1),IF(Skills!C21=3,120+Inputs!$B$28+(Inputs!$B$30+1),MAX(0,(Inputs!$B$3-100)*3)+Inputs!$B$29+(Inputs!$B$30+1))))</f>
        <v/>
      </c>
      <c r="E979">
        <f>INDEX(FactorTable!$B$2:$Y$301, MATCH(ROUND(MIN(300,MAX(1,D979)),0), FactorTable!$A$2:$A$301,0), Skills!L21+1)</f>
        <v/>
      </c>
      <c r="F979">
        <f>IF(Skills!M21=TRUE,(Skills!K21/10)*(E979/1000),Skills!K21/10)+Skills!N21</f>
        <v/>
      </c>
      <c r="G979">
        <f>Calc!G21</f>
        <v/>
      </c>
      <c r="H979">
        <f>Calc!H21</f>
        <v/>
      </c>
      <c r="I979">
        <f>IF(Skills!T21&lt;&gt;"",1+(Skills!T21/10)*($Z$3/1000)/100,1)</f>
        <v/>
      </c>
      <c r="J979" t="inlineStr"/>
      <c r="K979" t="inlineStr"/>
      <c r="L979" t="inlineStr"/>
      <c r="M979" t="inlineStr"/>
      <c r="N979" t="inlineStr"/>
      <c r="O979">
        <f>(1-Summary!$B$48)*S979+Summary!$B$48*U979</f>
        <v/>
      </c>
      <c r="P979">
        <f>IF(B1000=0,0,O979/B1000)</f>
        <v/>
      </c>
      <c r="Q979">
        <f>IFERROR(1/IF(Inputs!$B$39="pvp",15,MAX(0.1,Skills!D21-IF(Skills!E21=TRUE,Inputs!$B$33,0))),0)</f>
        <v/>
      </c>
      <c r="R979" t="n">
        <v>0</v>
      </c>
      <c r="S979" t="n">
        <v>0</v>
      </c>
      <c r="U979" t="n">
        <v>0</v>
      </c>
    </row>
    <row r="980">
      <c r="A980">
        <f>Skills!A22</f>
        <v/>
      </c>
      <c r="B980">
        <f>Skills!B22</f>
        <v/>
      </c>
      <c r="C980">
        <f>Inputs!$B$3&gt;=43</f>
        <v/>
      </c>
      <c r="D980">
        <f>IF(Skills!C22=1,60+Inputs!$B$26+(Inputs!$B$30+1),IF(Skills!C22=2,90+Inputs!$B$27+(Inputs!$B$30+1),IF(Skills!C22=3,120+Inputs!$B$28+(Inputs!$B$30+1),MAX(0,(Inputs!$B$3-100)*3)+Inputs!$B$29+(Inputs!$B$30+1))))</f>
        <v/>
      </c>
      <c r="E980">
        <f>INDEX(FactorTable!$B$2:$Y$301, MATCH(ROUND(MIN(300,MAX(1,D980)),0), FactorTable!$A$2:$A$301,0), Skills!L22+1)</f>
        <v/>
      </c>
      <c r="F980">
        <f>IF(Skills!M22=TRUE,(Skills!K22/10)*(E980/1000),Skills!K22/10)+Skills!N22</f>
        <v/>
      </c>
      <c r="G980">
        <f>Calc!G22</f>
        <v/>
      </c>
      <c r="H980">
        <f>Calc!H22</f>
        <v/>
      </c>
      <c r="I980">
        <f>IF(Skills!T22&lt;&gt;"",1+(Skills!T22/10)*($Z$3/1000)/100,1)</f>
        <v/>
      </c>
      <c r="J980" t="inlineStr"/>
      <c r="K980" t="inlineStr"/>
      <c r="L980" t="inlineStr"/>
      <c r="M980" t="inlineStr"/>
      <c r="N980" t="inlineStr"/>
      <c r="O980">
        <f>(1-Summary!$B$48)*S980+Summary!$B$48*U980</f>
        <v/>
      </c>
      <c r="P980">
        <f>IF(B1000=0,0,O980/B1000)</f>
        <v/>
      </c>
      <c r="Q980">
        <f>IFERROR(1/IF(Inputs!$B$39="pvp",15,MAX(0.1,Skills!D22-IF(Skills!E22=TRUE,Inputs!$B$33,0))),0)</f>
        <v/>
      </c>
      <c r="R980" t="n">
        <v>0</v>
      </c>
      <c r="S980" t="n">
        <v>0</v>
      </c>
      <c r="U980" t="n">
        <v>0</v>
      </c>
    </row>
    <row r="981">
      <c r="A981">
        <f>Skills!A23</f>
        <v/>
      </c>
      <c r="B981">
        <f>Skills!B23</f>
        <v/>
      </c>
      <c r="C981">
        <f>Inputs!$B$3&gt;=50</f>
        <v/>
      </c>
      <c r="D981">
        <f>IF(Skills!C23=1,60+Inputs!$B$26+(Inputs!$B$30+1),IF(Skills!C23=2,90+Inputs!$B$27+(Inputs!$B$30+1),IF(Skills!C23=3,120+Inputs!$B$28+(Inputs!$B$30+1),MAX(0,(Inputs!$B$3-100)*3)+Inputs!$B$29+(Inputs!$B$30+1))))</f>
        <v/>
      </c>
      <c r="E981">
        <f>INDEX(FactorTable!$B$2:$Y$301, MATCH(ROUND(MIN(300,MAX(1,D981)),0), FactorTable!$A$2:$A$301,0), Skills!L23+1)</f>
        <v/>
      </c>
      <c r="F981">
        <f>IF(Skills!M23=TRUE,(Skills!K23/10)*(E981/1000),Skills!K23/10)+Skills!N23</f>
        <v/>
      </c>
      <c r="G981">
        <f>Calc!G23</f>
        <v/>
      </c>
      <c r="H981">
        <f>Calc!H23</f>
        <v/>
      </c>
      <c r="I981">
        <f>IF(Skills!T23&lt;&gt;"",1+(Skills!T23/10)*($Z$3/1000)/100,1)</f>
        <v/>
      </c>
      <c r="J981" t="inlineStr"/>
      <c r="K981" t="inlineStr"/>
      <c r="L981" t="inlineStr"/>
      <c r="M981" t="inlineStr"/>
      <c r="N981" t="inlineStr"/>
      <c r="O981">
        <f>(1-Summary!$B$48)*S981+Summary!$B$48*U981</f>
        <v/>
      </c>
      <c r="P981">
        <f>IF(B1000=0,0,O981/B1000)</f>
        <v/>
      </c>
      <c r="Q981">
        <f>IFERROR(1/IF(Inputs!$B$39="pvp",15,MAX(0.1,Skills!D23-IF(Skills!E23=TRUE,Inputs!$B$33,0))),0)</f>
        <v/>
      </c>
      <c r="R981" t="n">
        <v>0</v>
      </c>
      <c r="S981" t="n">
        <v>0</v>
      </c>
      <c r="U981" t="n">
        <v>0</v>
      </c>
    </row>
    <row r="982">
      <c r="A982">
        <f>Skills!A24</f>
        <v/>
      </c>
      <c r="B982">
        <f>Skills!B24</f>
        <v/>
      </c>
      <c r="C982">
        <f>Inputs!$B$3&gt;=74</f>
        <v/>
      </c>
      <c r="D982">
        <f>IF(Skills!C24=1,60+Inputs!$B$26+(Inputs!$B$30+1),IF(Skills!C24=2,90+Inputs!$B$27+(Inputs!$B$30+1),IF(Skills!C24=3,120+Inputs!$B$28+(Inputs!$B$30+1),MAX(0,(Inputs!$B$3-100)*3)+Inputs!$B$29+(Inputs!$B$30+1))))</f>
        <v/>
      </c>
      <c r="E982">
        <f>INDEX(FactorTable!$B$2:$Y$301, MATCH(ROUND(MIN(300,MAX(1,D982)),0), FactorTable!$A$2:$A$301,0), Skills!L24+1)</f>
        <v/>
      </c>
      <c r="F982">
        <f>IF(Skills!M24=TRUE,(Skills!K24/10)*(E982/1000),Skills!K24/10)+Skills!N24</f>
        <v/>
      </c>
      <c r="G982">
        <f>Calc!G24</f>
        <v/>
      </c>
      <c r="H982">
        <f>Calc!H24</f>
        <v/>
      </c>
      <c r="I982">
        <f>IF(Skills!T24&lt;&gt;"",1+(Skills!T24/10)*($Z$3/1000)/100,1)</f>
        <v/>
      </c>
      <c r="J982" t="inlineStr"/>
      <c r="K982" t="inlineStr"/>
      <c r="L982" t="inlineStr"/>
      <c r="M982" t="inlineStr"/>
      <c r="N982" t="inlineStr"/>
      <c r="O982">
        <f>(1-Summary!$B$48)*S982+Summary!$B$48*U982</f>
        <v/>
      </c>
      <c r="P982">
        <f>IF(B1000=0,0,O982/B1000)</f>
        <v/>
      </c>
      <c r="Q982">
        <f>IFERROR(1/IF(Inputs!$B$39="pvp",15,MAX(0.1,Skills!D24-IF(Skills!E24=TRUE,Inputs!$B$33,0))),0)</f>
        <v/>
      </c>
      <c r="R982" t="n">
        <v>0</v>
      </c>
      <c r="S982" t="n">
        <v>0</v>
      </c>
      <c r="U982" t="n">
        <v>0</v>
      </c>
    </row>
    <row r="983">
      <c r="A983">
        <f>Skills!A25</f>
        <v/>
      </c>
      <c r="B983">
        <f>Skills!B25</f>
        <v/>
      </c>
      <c r="C983">
        <f>Inputs!$B$3&gt;=74</f>
        <v/>
      </c>
      <c r="D983">
        <f>IF(Skills!C25=1,60+Inputs!$B$26+(Inputs!$B$30+1),IF(Skills!C25=2,90+Inputs!$B$27+(Inputs!$B$30+1),IF(Skills!C25=3,120+Inputs!$B$28+(Inputs!$B$30+1),MAX(0,(Inputs!$B$3-100)*3)+Inputs!$B$29+(Inputs!$B$30+1))))</f>
        <v/>
      </c>
      <c r="E983">
        <f>INDEX(FactorTable!$B$2:$Y$301, MATCH(ROUND(MIN(300,MAX(1,D983)),0), FactorTable!$A$2:$A$301,0), Skills!L25+1)</f>
        <v/>
      </c>
      <c r="F983">
        <f>IF(Skills!M25=TRUE,(Skills!K25/10)*(E983/1000),Skills!K25/10)+Skills!N25</f>
        <v/>
      </c>
      <c r="G983">
        <f>Calc!G25</f>
        <v/>
      </c>
      <c r="H983">
        <f>Calc!H25</f>
        <v/>
      </c>
      <c r="I983">
        <f>IF(Skills!T25&lt;&gt;"",1+(Skills!T25/10)*($Z$3/1000)/100,1)</f>
        <v/>
      </c>
      <c r="J983" t="inlineStr"/>
      <c r="K983" t="inlineStr"/>
      <c r="L983" t="inlineStr"/>
      <c r="M983" t="inlineStr"/>
      <c r="N983" t="inlineStr"/>
      <c r="O983">
        <f>(1-Summary!$B$48)*S983+Summary!$B$48*U983</f>
        <v/>
      </c>
      <c r="P983">
        <f>IF(B1000=0,0,O983/B1000)</f>
        <v/>
      </c>
      <c r="Q983">
        <f>IFERROR(1/IF(Inputs!$B$39="pvp",15,MAX(0.1,Skills!D25-IF(Skills!E25=TRUE,Inputs!$B$33,0))),0)</f>
        <v/>
      </c>
      <c r="R983" t="n">
        <v>0</v>
      </c>
      <c r="S983" t="n">
        <v>0</v>
      </c>
      <c r="U983" t="n">
        <v>0</v>
      </c>
    </row>
    <row r="984">
      <c r="A984">
        <f>Skills!A26</f>
        <v/>
      </c>
      <c r="B984">
        <f>Skills!B26</f>
        <v/>
      </c>
      <c r="C984">
        <f>Inputs!$B$3&gt;=117</f>
        <v/>
      </c>
      <c r="D984">
        <f>IF(Skills!C26=1,60+Inputs!$B$26+(Inputs!$B$30+1),IF(Skills!C26=2,90+Inputs!$B$27+(Inputs!$B$30+1),IF(Skills!C26=3,120+Inputs!$B$28+(Inputs!$B$30+1),MAX(0,(Inputs!$B$3-100)*3)+Inputs!$B$29+(Inputs!$B$30+1))))</f>
        <v/>
      </c>
      <c r="E984">
        <f>INDEX(FactorTable!$B$2:$Y$301, MATCH(ROUND(MIN(300,MAX(1,D984)),0), FactorTable!$A$2:$A$301,0), Skills!L26+1)</f>
        <v/>
      </c>
      <c r="F984">
        <f>IF(Skills!M26=TRUE,(Skills!K26/10)*(E984/1000),Skills!K26/10)+Skills!N26</f>
        <v/>
      </c>
      <c r="G984">
        <f>Calc!G26</f>
        <v/>
      </c>
      <c r="H984">
        <f>Calc!H26</f>
        <v/>
      </c>
      <c r="I984">
        <f>IF(Skills!T26&lt;&gt;"",1+(Skills!T26/10)*($Z$3/1000)/100,1)</f>
        <v/>
      </c>
      <c r="J984" t="inlineStr"/>
      <c r="K984" t="inlineStr"/>
      <c r="L984" t="inlineStr"/>
      <c r="M984" t="inlineStr"/>
      <c r="N984" t="inlineStr"/>
      <c r="O984">
        <f>(1-Summary!$B$48)*S984+Summary!$B$48*U984</f>
        <v/>
      </c>
      <c r="P984">
        <f>IF(B1000=0,0,O984/B1000)</f>
        <v/>
      </c>
      <c r="Q984">
        <f>IFERROR(1/IF(Inputs!$B$39="pvp",15,MAX(0.1,Skills!D26-IF(Skills!E26=TRUE,Inputs!$B$33,0))),0)</f>
        <v/>
      </c>
      <c r="R984" t="n">
        <v>0</v>
      </c>
      <c r="S984" t="n">
        <v>0</v>
      </c>
      <c r="U984" t="n">
        <v>0</v>
      </c>
    </row>
    <row r="985">
      <c r="A985">
        <f>Skills!A27</f>
        <v/>
      </c>
      <c r="B985">
        <f>Skills!B27</f>
        <v/>
      </c>
      <c r="C985">
        <f>Inputs!$B$3&gt;=120</f>
        <v/>
      </c>
      <c r="D985">
        <f>IF(Skills!C27=1,60+Inputs!$B$26+(Inputs!$B$30+1),IF(Skills!C27=2,90+Inputs!$B$27+(Inputs!$B$30+1),IF(Skills!C27=3,120+Inputs!$B$28+(Inputs!$B$30+1),MAX(0,(Inputs!$B$3-100)*3)+Inputs!$B$29+(Inputs!$B$30+1))))</f>
        <v/>
      </c>
      <c r="E985">
        <f>INDEX(FactorTable!$B$2:$Y$301, MATCH(ROUND(MIN(300,MAX(1,D985)),0), FactorTable!$A$2:$A$301,0), Skills!L27+1)</f>
        <v/>
      </c>
      <c r="F985">
        <f>IF(Skills!M27=TRUE,(Skills!K27/10)*(E985/1000),Skills!K27/10)+Skills!N27</f>
        <v/>
      </c>
      <c r="G985">
        <f>Calc!G27</f>
        <v/>
      </c>
      <c r="H985">
        <f>Calc!H27</f>
        <v/>
      </c>
      <c r="I985">
        <f>IF(Skills!T27&lt;&gt;"",1+(Skills!T27/10)*($Z$3/1000)/100,1)</f>
        <v/>
      </c>
      <c r="J985" t="inlineStr"/>
      <c r="K985" t="inlineStr"/>
      <c r="L985" t="inlineStr"/>
      <c r="M985" t="inlineStr"/>
      <c r="N985" t="inlineStr"/>
      <c r="O985">
        <f>(1-Summary!$B$48)*S985+Summary!$B$48*U985</f>
        <v/>
      </c>
      <c r="P985">
        <f>IF(B1000=0,0,O985/B1000)</f>
        <v/>
      </c>
      <c r="Q985">
        <f>IFERROR(1/IF(Inputs!$B$39="pvp",15,MAX(0.1,Skills!D27-IF(Skills!E27=TRUE,Inputs!$B$33,0))),0)</f>
        <v/>
      </c>
      <c r="R985" t="n">
        <v>0</v>
      </c>
      <c r="S985" t="n">
        <v>0</v>
      </c>
      <c r="U985" t="n">
        <v>0</v>
      </c>
    </row>
    <row r="987">
      <c r="A987" t="inlineStr">
        <is>
          <t>Average Buff Multiplier</t>
        </is>
      </c>
      <c r="B987">
        <f>(1+(IF(C961=TRUE,F961*IF(AND(Inputs!$B$39&lt;&gt;"pvp",Inputs!$B$44&gt;0),(((R961-1)*(Skills!S3*(1+(Inputs!$B$35+IF(Inputs!$B$3&gt;=117,F984,0))/100))+MIN((Skills!S3*(1+(Inputs!$B$35+IF(Inputs!$B$3&gt;=117,F984,0))/100)),MAX(0,Inputs!$B$44-((R961-1)*Skills!D3))))/Inputs!$B$44),IF(Inputs!$B$39="pvp",MIN((Skills!S3*(1+(Inputs!$B$35+IF(Inputs!$B$3&gt;=117,F984,0))/100)),15)/15,(Skills!S3*(1+(Inputs!$B$35+IF(Inputs!$B$3&gt;=117,F984,0))/100))/Skills!D3)),0)+IF(C962=TRUE,F962*IF(AND(Inputs!$B$39&lt;&gt;"pvp",Inputs!$B$44&gt;0),(((R962-1)*(Skills!S4*(1+(Inputs!$B$35+IF(Inputs!$B$3&gt;=117,F984,0))/100))+MIN((Skills!S4*(1+(Inputs!$B$35+IF(Inputs!$B$3&gt;=117,F984,0))/100)),MAX(0,Inputs!$B$44-((R962-1)*Skills!D4))))/Inputs!$B$44),IF(Inputs!$B$39="pvp",MIN((Skills!S4*(1+(Inputs!$B$35+IF(Inputs!$B$3&gt;=117,F984,0))/100)),15)/15,(Skills!S4*(1+(Inputs!$B$35+IF(Inputs!$B$3&gt;=117,F984,0))/100))/Skills!D4)),0)+IF(C963=TRUE,F963*IF(AND(Inputs!$B$39&lt;&gt;"pvp",Inputs!$B$44&gt;0),(((R963-1)*(Skills!S5*(1+(Inputs!$B$35+IF(Inputs!$B$3&gt;=117,F984,0))/100))+MIN((Skills!S5*(1+(Inputs!$B$35+IF(Inputs!$B$3&gt;=117,F984,0))/100)),MAX(0,Inputs!$B$44-((R963-1)*Skills!D5))))/Inputs!$B$44),IF(Inputs!$B$39="pvp",MIN((Skills!S5*(1+(Inputs!$B$35+IF(Inputs!$B$3&gt;=117,F984,0))/100)),15)/15,(Skills!S5*(1+(Inputs!$B$35+IF(Inputs!$B$3&gt;=117,F984,0))/100))/Skills!D5)),0)+IF(C969=TRUE,F969*IF(AND(Inputs!$B$39&lt;&gt;"pvp",Inputs!$B$44&gt;0),(((R969-1)*(Skills!S11*(1+(Inputs!$B$35+IF(Inputs!$B$3&gt;=117,F984,0))/100))+MIN((Skills!S11*(1+(Inputs!$B$35+IF(Inputs!$B$3&gt;=117,F984,0))/100)),MAX(0,Inputs!$B$44-((R969-1)*Skills!D11))))/Inputs!$B$44),IF(Inputs!$B$39="pvp",MIN((Skills!S11*(1+(Inputs!$B$35+IF(Inputs!$B$3&gt;=117,F984,0))/100)),15)/15,(Skills!S11*(1+(Inputs!$B$35+IF(Inputs!$B$3&gt;=117,F984,0))/100))/Skills!D11)),0))/100)*IF(C972=TRUE,(1+F972*IF(AND(Inputs!$B$39&lt;&gt;"pvp",Inputs!$B$44&gt;0),(((R972-1)*(Skills!S14*(1+(Inputs!$B$35+IF(Inputs!$B$3&gt;=117,F984,0))/100))+MIN((Skills!S14*(1+(Inputs!$B$35+IF(Inputs!$B$3&gt;=117,F984,0))/100)),MAX(0,Inputs!$B$44-((R972-1)*Skills!D14))))/Inputs!$B$44),IF(Inputs!$B$39="pvp",MIN((Skills!S14*(1+(Inputs!$B$35+IF(Inputs!$B$3&gt;=117,F984,0))/100)),15)/15,(Skills!S14*(1+(Inputs!$B$35+IF(Inputs!$B$3&gt;=117,F984,0))/100))/Skills!D14))/100),1)*IF(C977=TRUE,(1+F977*IF(AND(Inputs!$B$39&lt;&gt;"pvp",Inputs!$B$44&gt;0),(((R977-1)*(Skills!S19*(1+(Inputs!$B$35+IF(Inputs!$B$3&gt;=117,F984,0))/100))+MIN((Skills!S19*(1+(Inputs!$B$35+IF(Inputs!$B$3&gt;=117,F984,0))/100)),MAX(0,Inputs!$B$44-((R977-1)*Skills!D19))))/Inputs!$B$44),IF(Inputs!$B$39="pvp",MIN((Skills!S19*(1+(Inputs!$B$35+IF(Inputs!$B$3&gt;=117,F984,0))/100)),15)/15,(Skills!S19*(1+(Inputs!$B$35+IF(Inputs!$B$3&gt;=117,F984,0))/100))/Skills!D19))/100),1)</f>
        <v/>
      </c>
    </row>
    <row r="988">
      <c r="A988" t="inlineStr">
        <is>
          <t>Monster Damage Taken Bonus % (Holy Fountain)</t>
        </is>
      </c>
      <c r="B988">
        <f>IF(Inputs!$B$3&gt;=68,20*IF(Inputs!$B$39="pvp",MIN((15*(1+(Inputs!$B$35+IF(Inputs!$B$3&gt;=117,F984,0))/100)),15)/15,(15*(1+(Inputs!$B$35+IF(Inputs!$B$3&gt;=117,F984,0))/100))/Skills!D10),0)</f>
        <v/>
      </c>
    </row>
    <row r="989">
      <c r="A989" t="inlineStr">
        <is>
          <t>Normal Monster Damage Bonus % (Holy Symbol)</t>
        </is>
      </c>
      <c r="B989">
        <f>IF(C970=TRUE,F970*IF(AND(Inputs!$B$39&lt;&gt;"pvp",Inputs!$B$44&gt;0),(((R970-1)*(Skills!S12*(1+(Inputs!$B$35+IF(Inputs!$B$3&gt;=117,F984,0))/100))+MIN((Skills!S12*(1+(Inputs!$B$35+IF(Inputs!$B$3&gt;=117,F984,0))/100)),MAX(0,Inputs!$B$44-((R970-1)*Skills!D12))))/Inputs!$B$44),IF(Inputs!$B$39="pvp",MIN((Skills!S12*(1+(Inputs!$B$35+IF(Inputs!$B$3&gt;=117,F984,0))/100)),15)/15,(Skills!S12*(1+(Inputs!$B$35+IF(Inputs!$B$3&gt;=117,F984,0))/100))/Skills!D12)),0)</f>
        <v/>
      </c>
    </row>
    <row r="990">
      <c r="A990" t="inlineStr">
        <is>
          <t>Damage % Bonus (Holy Symbol - Damage Boost)</t>
        </is>
      </c>
      <c r="B990">
        <f>Skills!O12</f>
        <v/>
      </c>
    </row>
    <row r="991">
      <c r="A991" t="inlineStr">
        <is>
          <t>Crit Damage % Bonus (Blood of the Divine)</t>
        </is>
      </c>
      <c r="B991">
        <f>4*IF(C978=TRUE,F978,0)</f>
        <v/>
      </c>
    </row>
    <row r="992">
      <c r="A992" t="inlineStr">
        <is>
          <t>Attack Speed Bonus %</t>
        </is>
      </c>
      <c r="B992">
        <f>IF(C975=TRUE,F975+(F979-Calc!F21),0)+IF(Inputs!$B$3&gt;=134,15,0)</f>
        <v/>
      </c>
    </row>
    <row r="993">
      <c r="A993" t="inlineStr">
        <is>
          <t>Actions Per Second</t>
        </is>
      </c>
      <c r="B993">
        <f>1+MIN(150,150*(1-(1-Inputs!$B$12/150)*(1-B992/150)))/100</f>
        <v/>
      </c>
    </row>
    <row r="994">
      <c r="A994" t="inlineStr">
        <is>
          <t>Skill + Buff Cast Rate</t>
        </is>
      </c>
      <c r="B994">
        <f>IF(AND(Inputs!$B$39&lt;&gt;"pvp",Inputs!$B$44&gt;0),SUMPRODUCT((Skills!E2:E27=TRUE)*(C960:C985=TRUE)*R960:R985)/Inputs!$B$44,SUMPRODUCT((Skills!E2:E27=TRUE)*(C960:C985=TRUE)*Q960:Q985))</f>
        <v/>
      </c>
    </row>
    <row r="995">
      <c r="A995" t="inlineStr">
        <is>
          <t>Big Bang Casts Per Second</t>
        </is>
      </c>
      <c r="B995">
        <f>MAX(0,B993-B994)</f>
        <v/>
      </c>
    </row>
    <row r="996">
      <c r="A996" t="inlineStr">
        <is>
          <t>Defense % Bonus (Divine Protection)</t>
        </is>
      </c>
      <c r="B996">
        <f>IF(C971=TRUE,F971*IF(AND(Inputs!$B$39&lt;&gt;"pvp",Inputs!$B$44&gt;0),(((R971-1)*(Skills!S13*(1+(Inputs!$B$35+IF(Inputs!$B$3&gt;=117,F984,0))/100))+MIN((Skills!S13*(1+(Inputs!$B$35+IF(Inputs!$B$3&gt;=117,F984,0))/100)),MAX(0,Inputs!$B$44-((R971-1)*Skills!D13))))/Inputs!$B$44),IF(Inputs!$B$39="pvp",MIN((Skills!S13*(1+(Inputs!$B$35+IF(Inputs!$B$3&gt;=117,F984,0))/100)),15)/15,(Skills!S13*(1+(Inputs!$B$35+IF(Inputs!$B$3&gt;=117,F984,0))/100))/Skills!D13)),0)</f>
        <v/>
      </c>
    </row>
    <row r="997">
      <c r="A997" t="inlineStr">
        <is>
          <t>Buff-Casting Startup Delay (s, fixed-duration only)</t>
        </is>
      </c>
      <c r="B997">
        <f>IF(AND(Inputs!$B$39&lt;&gt;"pvp",Inputs!$B$44&gt;0),SUMPRODUCT((Skills!S2:S27&gt;0)*(Skills!E2:E27=TRUE)*(C960:C985=TRUE))/B993,0)</f>
        <v/>
      </c>
    </row>
    <row r="998">
      <c r="A998" t="inlineStr">
        <is>
          <t>Boss-Only Total DPS (this block's swept value)</t>
        </is>
      </c>
      <c r="B998">
        <f>SUM(S960:S985)</f>
        <v/>
      </c>
    </row>
    <row r="999">
      <c r="A999" t="inlineStr">
        <is>
          <t>Normal-Only Total DPS (this block's swept value)</t>
        </is>
      </c>
      <c r="B999">
        <f>SUM(U960:U985)</f>
        <v/>
      </c>
    </row>
    <row r="1000">
      <c r="A1000" s="5" t="inlineStr">
        <is>
          <t>TOTAL DPS</t>
        </is>
      </c>
      <c r="B1000" s="5">
        <f>SUM(O960:O985)</f>
        <v/>
      </c>
    </row>
    <row r="1002">
      <c r="A1002" s="5" t="inlineStr">
        <is>
          <t>Stat: Flat ATTACK</t>
        </is>
      </c>
    </row>
    <row r="1003">
      <c r="A1003" s="9" t="inlineStr">
        <is>
          <t>Key</t>
        </is>
      </c>
      <c r="B1003" s="9" t="inlineStr">
        <is>
          <t>Name</t>
        </is>
      </c>
      <c r="C1003" s="9" t="inlineStr">
        <is>
          <t>Unlocked</t>
        </is>
      </c>
      <c r="D1003" s="9" t="inlineStr">
        <is>
          <t>InputLevel</t>
        </is>
      </c>
      <c r="E1003" s="9" t="inlineStr">
        <is>
          <t>Factor</t>
        </is>
      </c>
      <c r="F1003" s="9" t="inlineStr">
        <is>
          <t>CoefficientPercent</t>
        </is>
      </c>
      <c r="G1003" s="9" t="inlineStr">
        <is>
          <t>EffectiveHits</t>
        </is>
      </c>
      <c r="H1003" s="9" t="inlineStr">
        <is>
          <t>ProcProbability</t>
        </is>
      </c>
      <c r="I1003" s="9" t="inlineStr">
        <is>
          <t>MapleHeroMultiplier</t>
        </is>
      </c>
      <c r="J1003" s="9" t="inlineStr">
        <is>
          <t>BaseDamage</t>
        </is>
      </c>
      <c r="K1003" s="9" t="inlineStr">
        <is>
          <t>BaseHitDamage</t>
        </is>
      </c>
      <c r="L1003" s="9" t="inlineStr">
        <is>
          <t>NonCritAvg</t>
        </is>
      </c>
      <c r="M1003" s="9" t="inlineStr">
        <is>
          <t>CritAvg</t>
        </is>
      </c>
      <c r="N1003" s="9" t="inlineStr">
        <is>
          <t>ExpectedDamage(perHit)</t>
        </is>
      </c>
      <c r="O1003" s="9" t="inlineStr">
        <is>
          <t>DPS</t>
        </is>
      </c>
      <c r="P1003" s="9" t="inlineStr">
        <is>
          <t>% of Total</t>
        </is>
      </c>
      <c r="R1003" t="inlineStr">
        <is>
          <t>helpers</t>
        </is>
      </c>
    </row>
    <row r="1004">
      <c r="A1004">
        <f>Skills!A2</f>
        <v/>
      </c>
      <c r="B1004">
        <f>Skills!B2</f>
        <v/>
      </c>
      <c r="C1004">
        <f>Inputs!$B$3&gt;=100</f>
        <v/>
      </c>
      <c r="D1004" t="inlineStr"/>
      <c r="E1004" t="inlineStr"/>
      <c r="F1004">
        <f>T1006+Skills!N2</f>
        <v/>
      </c>
      <c r="G1004">
        <f>Calc!G2</f>
        <v/>
      </c>
      <c r="H1004">
        <f>Calc!H2</f>
        <v/>
      </c>
      <c r="I1004">
        <f>IF(Skills!T2&lt;&gt;"",1+(Skills!T2/10)*($Z$3/1000)/100,1)</f>
        <v/>
      </c>
      <c r="J1004">
        <f>(((Inputs!$B$6+1)*(1+Inputs!$B$7/100))+(((Inputs!$B$13*(1+Inputs!$B$14/100))-(Inputs!$B$13*(1+Inputs!$B$14/100)))+0.25*(Inputs!$B$15-Inputs!$B$15))*(1+Inputs!$B$7/100))*(F1004/100)</f>
        <v/>
      </c>
      <c r="K1004">
        <f>J1004*(1+(((Inputs!$B$13+IF(Inputs!$B$3&gt;=35,(10*INDEX(FactorTable!$B$2:$Y$301, MATCH(ROUND(MIN(300,MAX(1,Inputs!$B$3)),0), FactorTable!$A$2:$A$301,0), 23)/1000)/100*(Inputs!$B$8*(1+(Inputs!$B$9+B1040)/100)),0))*(1+Inputs!$B$14/100))*0.01+Inputs!$B$15*0.0025)/100)*(1+(Inputs!$B$16+B1034)/100)*(1+Inputs!$B$17/100)*(5000/(6000+Inputs!$B$43*(1-Inputs!$B$20/100)))*(1+Inputs!$B$25/100)*(1+IF(C1020=TRUE,F1020,0)/100)*(1+IF(C1022=TRUE,F1022,0)/100)*(1+IF(Skills!A2="TRIUMPH_FEATHER",IF(C1018=TRUE,F1018,0),0)/100)*(1+IF(C1029=TRUE,F1029,0)/100)^5*(1+(IF(Skills!A2="BIG_BANG",Inputs!$B$18,Inputs!$B$19))/100)*(B1031*I1004)</f>
        <v/>
      </c>
      <c r="L1004">
        <f>K1004*(MIN(Inputs!$B$23+(F1024-Calc!F22),Inputs!$B$24)/100+Inputs!$B$24/100)/2</f>
        <v/>
      </c>
      <c r="M1004">
        <f>L1004*(1+(Inputs!$B$11+B1035+(F1027-Calc!F25))/100)</f>
        <v/>
      </c>
      <c r="N1004">
        <f>L1004*(1-MIN(Inputs!$B$10+((F1026-Calc!F24)+(F1025-Calc!F23)),100)/100)+M1004*(MIN(Inputs!$B$10+((F1026-Calc!F24)+(F1025-Calc!F23)),100)/100)</f>
        <v/>
      </c>
      <c r="O1004">
        <f>(1-Summary!$B$48)*S1004+Summary!$B$48*U1004</f>
        <v/>
      </c>
      <c r="P1004">
        <f>IF(B1044=0,0,O1004/B1044)</f>
        <v/>
      </c>
      <c r="Q1004">
        <f>IFERROR(1/IF(Inputs!$B$39="pvp",15,MAX(0.1,Skills!D2-IF(Skills!E2=TRUE,Inputs!$B$33,0))),0)</f>
        <v/>
      </c>
      <c r="R1004" t="n">
        <v>0</v>
      </c>
      <c r="S1004">
        <f>IF(C1004,(Skills!F2*N1004*B1039)*IF(Inputs!$B$39="pvp",1,1+(Inputs!$B$21+Skills!O2+B1032)/100),0)</f>
        <v/>
      </c>
      <c r="T1004">
        <f>MAX(0,(Inputs!$B$3-100)*3)+Inputs!$B$29+Inputs!$B$30</f>
        <v/>
      </c>
      <c r="U1004">
        <f>IF(C1004,(Skills!F2*N1004*B1039)*IF(Inputs!$B$39="pvp",1,(1+(Inputs!$B$22+Skills!P2+B1033)/100)*(MIN((6+Inputs!$B$34),Inputs!$B$38))),0)</f>
        <v/>
      </c>
    </row>
    <row r="1005">
      <c r="A1005">
        <f>Skills!A3</f>
        <v/>
      </c>
      <c r="B1005">
        <f>Skills!B3</f>
        <v/>
      </c>
      <c r="C1005">
        <f>Inputs!$B$3&gt;=15</f>
        <v/>
      </c>
      <c r="D1005">
        <f>IF(Skills!C3=1,60+Inputs!$B$26+Inputs!$B$30,IF(Skills!C3=2,90+Inputs!$B$27+Inputs!$B$30,IF(Skills!C3=3,120+Inputs!$B$28+Inputs!$B$30,MAX(0,(Inputs!$B$3-100)*3)+Inputs!$B$29+Inputs!$B$30)))</f>
        <v/>
      </c>
      <c r="E1005">
        <f>INDEX(FactorTable!$B$2:$Y$301, MATCH(ROUND(MIN(300,MAX(1,D1005)),0), FactorTable!$A$2:$A$301,0), Skills!L3+1)</f>
        <v/>
      </c>
      <c r="F1005">
        <f>IF(Skills!M3=TRUE,(Skills!K3/10)*(E1005/1000),Skills!K3/10)+Skills!N3</f>
        <v/>
      </c>
      <c r="G1005">
        <f>Calc!G3</f>
        <v/>
      </c>
      <c r="H1005">
        <f>Calc!H3</f>
        <v/>
      </c>
      <c r="I1005">
        <f>IF(Skills!T3&lt;&gt;"",1+(Skills!T3/10)*($Z$3/1000)/100,1)</f>
        <v/>
      </c>
      <c r="J1005" t="inlineStr"/>
      <c r="K1005" t="inlineStr"/>
      <c r="L1005" t="inlineStr"/>
      <c r="M1005" t="inlineStr"/>
      <c r="N1005" t="inlineStr"/>
      <c r="O1005">
        <f>(1-Summary!$B$48)*S1005+Summary!$B$48*U1005</f>
        <v/>
      </c>
      <c r="P1005">
        <f>IF(B1044=0,0,O1005/B1044)</f>
        <v/>
      </c>
      <c r="Q1005">
        <f>IFERROR(1/IF(Inputs!$B$39="pvp",15,MAX(0.1,Skills!D3-IF(Skills!E3=TRUE,Inputs!$B$33,0))),0)</f>
        <v/>
      </c>
      <c r="R1005">
        <f>IF(AND(Inputs!$B$39&lt;&gt;"pvp",Inputs!$B$44&gt;0),IF(Inputs!$B$44&lt;=0,0,(INT(Inputs!$B$44/IF(Inputs!$B$39="pvp",15,MAX(0.1,Skills!D3-IF(Skills!E3=TRUE,Inputs!$B$33,0))))+1)),0)</f>
        <v/>
      </c>
      <c r="S1005" t="n">
        <v>0</v>
      </c>
      <c r="T1005">
        <f>INDEX(FactorTable!$B$2:$Y$301, MATCH(ROUND(MIN(300,MAX(1,T1004)),0), FactorTable!$A$2:$A$301,0), 22)</f>
        <v/>
      </c>
      <c r="U1005" t="n">
        <v>0</v>
      </c>
    </row>
    <row r="1006">
      <c r="A1006">
        <f>Skills!A4</f>
        <v/>
      </c>
      <c r="B1006">
        <f>Skills!B4</f>
        <v/>
      </c>
      <c r="C1006">
        <f>Inputs!$B$3&gt;=38</f>
        <v/>
      </c>
      <c r="D1006">
        <f>IF(Skills!C4=1,60+Inputs!$B$26+Inputs!$B$30,IF(Skills!C4=2,90+Inputs!$B$27+Inputs!$B$30,IF(Skills!C4=3,120+Inputs!$B$28+Inputs!$B$30,MAX(0,(Inputs!$B$3-100)*3)+Inputs!$B$29+Inputs!$B$30)))</f>
        <v/>
      </c>
      <c r="E1006">
        <f>INDEX(FactorTable!$B$2:$Y$301, MATCH(ROUND(MIN(300,MAX(1,D1006)),0), FactorTable!$A$2:$A$301,0), Skills!L4+1)</f>
        <v/>
      </c>
      <c r="F1006">
        <f>IF(Skills!M4=TRUE,(Skills!K4/10)*(E1006/1000),Skills!K4/10)+Skills!N4</f>
        <v/>
      </c>
      <c r="G1006">
        <f>Calc!G4</f>
        <v/>
      </c>
      <c r="H1006">
        <f>Calc!H4</f>
        <v/>
      </c>
      <c r="I1006">
        <f>IF(Skills!T4&lt;&gt;"",1+(Skills!T4/10)*($Z$3/1000)/100,1)</f>
        <v/>
      </c>
      <c r="J1006" t="inlineStr"/>
      <c r="K1006" t="inlineStr"/>
      <c r="L1006" t="inlineStr"/>
      <c r="M1006" t="inlineStr"/>
      <c r="N1006" t="inlineStr"/>
      <c r="O1006">
        <f>(1-Summary!$B$48)*S1006+Summary!$B$48*U1006</f>
        <v/>
      </c>
      <c r="P1006">
        <f>IF(B1044=0,0,O1006/B1044)</f>
        <v/>
      </c>
      <c r="Q1006">
        <f>IFERROR(1/IF(Inputs!$B$39="pvp",15,MAX(0.1,Skills!D4-IF(Skills!E4=TRUE,Inputs!$B$33,0))),0)</f>
        <v/>
      </c>
      <c r="R1006">
        <f>IF(AND(Inputs!$B$39&lt;&gt;"pvp",Inputs!$B$44&gt;0),IF(Inputs!$B$44&lt;=0,0,(INT(Inputs!$B$44/IF(Inputs!$B$39="pvp",15,MAX(0.1,Skills!D4-IF(Skills!E4=TRUE,Inputs!$B$33,0))))+1)),0)</f>
        <v/>
      </c>
      <c r="S1006" t="n">
        <v>0</v>
      </c>
      <c r="T1006">
        <f>290*T1005/1000</f>
        <v/>
      </c>
      <c r="U1006" t="n">
        <v>0</v>
      </c>
    </row>
    <row r="1007">
      <c r="A1007">
        <f>Skills!A5</f>
        <v/>
      </c>
      <c r="B1007">
        <f>Skills!B5</f>
        <v/>
      </c>
      <c r="C1007">
        <f>Inputs!$B$3&gt;=40</f>
        <v/>
      </c>
      <c r="D1007">
        <f>IF(Skills!C5=1,60+Inputs!$B$26+Inputs!$B$30,IF(Skills!C5=2,90+Inputs!$B$27+Inputs!$B$30,IF(Skills!C5=3,120+Inputs!$B$28+Inputs!$B$30,MAX(0,(Inputs!$B$3-100)*3)+Inputs!$B$29+Inputs!$B$30)))</f>
        <v/>
      </c>
      <c r="E1007">
        <f>INDEX(FactorTable!$B$2:$Y$301, MATCH(ROUND(MIN(300,MAX(1,D1007)),0), FactorTable!$A$2:$A$301,0), Skills!L5+1)</f>
        <v/>
      </c>
      <c r="F1007">
        <f>IF(Skills!M5=TRUE,(Skills!K5/10)*(E1007/1000),Skills!K5/10)+Skills!N5</f>
        <v/>
      </c>
      <c r="G1007">
        <f>Calc!G5</f>
        <v/>
      </c>
      <c r="H1007">
        <f>Calc!H5</f>
        <v/>
      </c>
      <c r="I1007">
        <f>IF(Skills!T5&lt;&gt;"",1+(Skills!T5/10)*($Z$3/1000)/100,1)</f>
        <v/>
      </c>
      <c r="J1007" t="inlineStr"/>
      <c r="K1007" t="inlineStr"/>
      <c r="L1007" t="inlineStr"/>
      <c r="M1007" t="inlineStr"/>
      <c r="N1007" t="inlineStr"/>
      <c r="O1007">
        <f>(1-Summary!$B$48)*S1007+Summary!$B$48*U1007</f>
        <v/>
      </c>
      <c r="P1007">
        <f>IF(B1044=0,0,O1007/B1044)</f>
        <v/>
      </c>
      <c r="Q1007">
        <f>IFERROR(1/IF(Inputs!$B$39="pvp",15,MAX(0.1,Skills!D5-IF(Skills!E5=TRUE,Inputs!$B$33,0))),0)</f>
        <v/>
      </c>
      <c r="R1007">
        <f>IF(AND(Inputs!$B$39&lt;&gt;"pvp",Inputs!$B$44&gt;0),IF(Inputs!$B$44&lt;=0,0,(INT(Inputs!$B$44/IF(Inputs!$B$39="pvp",15,MAX(0.1,Skills!D5-IF(Skills!E5=TRUE,Inputs!$B$33,0))))+1)),0)</f>
        <v/>
      </c>
      <c r="S1007" t="n">
        <v>0</v>
      </c>
      <c r="U1007" t="n">
        <v>0</v>
      </c>
    </row>
    <row r="1008">
      <c r="A1008">
        <f>Skills!A6</f>
        <v/>
      </c>
      <c r="B1008">
        <f>Skills!B6</f>
        <v/>
      </c>
      <c r="C1008">
        <f>Inputs!$B$3&gt;=103</f>
        <v/>
      </c>
      <c r="D1008">
        <f>IF(Skills!C6=1,60+Inputs!$B$26+Inputs!$B$30,IF(Skills!C6=2,90+Inputs!$B$27+Inputs!$B$30,IF(Skills!C6=3,120+Inputs!$B$28+Inputs!$B$30,MAX(0,(Inputs!$B$3-100)*3)+Inputs!$B$29+Inputs!$B$30)))</f>
        <v/>
      </c>
      <c r="E1008">
        <f>INDEX(FactorTable!$B$2:$Y$301, MATCH(ROUND(MIN(300,MAX(1,D1008)),0), FactorTable!$A$2:$A$301,0), Skills!L6+1)</f>
        <v/>
      </c>
      <c r="F1008">
        <f>IF(Skills!M6=TRUE,(Skills!K6/10)*(E1008/1000),Skills!K6/10)+Skills!N6</f>
        <v/>
      </c>
      <c r="G1008">
        <f>Calc!G6</f>
        <v/>
      </c>
      <c r="H1008">
        <f>Calc!H6</f>
        <v/>
      </c>
      <c r="I1008">
        <f>IF(Skills!T6&lt;&gt;"",1+(Skills!T6/10)*($Z$3/1000)/100,1)</f>
        <v/>
      </c>
      <c r="J1008">
        <f>(((Inputs!$B$6+1)*(1+Inputs!$B$7/100))+(((Inputs!$B$13*(1+Inputs!$B$14/100))-(Inputs!$B$13*(1+Inputs!$B$14/100)))+0.25*(Inputs!$B$15-Inputs!$B$15))*(1+Inputs!$B$7/100))*(F1008/100)</f>
        <v/>
      </c>
      <c r="K1008">
        <f>J1008*(1+(((Inputs!$B$13+IF(Inputs!$B$3&gt;=35,(10*INDEX(FactorTable!$B$2:$Y$301, MATCH(ROUND(MIN(300,MAX(1,Inputs!$B$3)),0), FactorTable!$A$2:$A$301,0), 23)/1000)/100*(Inputs!$B$8*(1+(Inputs!$B$9+B1040)/100)),0))*(1+Inputs!$B$14/100))*0.01+Inputs!$B$15*0.0025)/100)*(1+(Inputs!$B$16+B1034)/100)*(1+Inputs!$B$17/100)*(5000/(6000+Inputs!$B$43*(1-Inputs!$B$20/100)))*(1+Inputs!$B$25/100)*(1+IF(C1020=TRUE,F1020,0)/100)*(1+IF(C1022=TRUE,F1022,0)/100)*(1+IF(Skills!A6="TRIUMPH_FEATHER",IF(C1018=TRUE,F1018,0),0)/100)*(1+IF(C1029=TRUE,F1029,0)/100)^5*(1+(IF(Skills!A6="BIG_BANG",Inputs!$B$18,Inputs!$B$19))/100)*(B1031*I1008)</f>
        <v/>
      </c>
      <c r="L1008">
        <f>K1008*(MIN(Inputs!$B$23+(F1024-Calc!F22),Inputs!$B$24)/100+Inputs!$B$24/100)/2</f>
        <v/>
      </c>
      <c r="M1008">
        <f>L1008*(1+(Inputs!$B$11+B1035+(F1027-Calc!F25))/100)</f>
        <v/>
      </c>
      <c r="N1008">
        <f>L1008*(1-MIN(Inputs!$B$10+((F1026-Calc!F24)+(F1025-Calc!F23)),100)/100)+M1008*(MIN(Inputs!$B$10+((F1026-Calc!F24)+(F1025-Calc!F23)),100)/100)</f>
        <v/>
      </c>
      <c r="O1008">
        <f>(1-Summary!$B$48)*S1008+Summary!$B$48*U1008</f>
        <v/>
      </c>
      <c r="P1008">
        <f>IF(B1044=0,0,O1008/B1044)</f>
        <v/>
      </c>
      <c r="Q1008">
        <f>IFERROR(1/IF(Inputs!$B$39="pvp",15,MAX(0.1,Skills!D6-IF(Skills!E6=TRUE,Inputs!$B$33,0))),0)</f>
        <v/>
      </c>
      <c r="R1008">
        <f>IF(AND(Inputs!$B$39&lt;&gt;"pvp",Inputs!$B$44&gt;0),IF(MAX(0,Inputs!$B$44-B1041)&lt;=0,0,(INT(MAX(0,Inputs!$B$44-B1041)/IF(Inputs!$B$39="pvp",15,MAX(0.1,Skills!D6-IF(Skills!E6=TRUE,Inputs!$B$33,0))))+1)),0)</f>
        <v/>
      </c>
      <c r="S1008">
        <f>IF(C1008,(H1008*N1008*IF(AND(Inputs!$B$39&lt;&gt;"pvp",Inputs!$B$44&gt;0),((Skills!F6*((R1008-1)*IF(Skills!G6&gt;0,Skills!H6/Skills!G6,1)+IF(Skills!G6&gt;0,MIN(Skills!H6,MAX(0,MAX(0,Inputs!$B$44-B1041)-((R1008-1)*IF(Inputs!$B$39="pvp",15,MAX(0.1,Skills!D6-IF(Skills!E6=TRUE,Inputs!$B$33,0))))))/Skills!G6,1)))/Inputs!$B$44),G1008*Q1008))*IF(Inputs!$B$39="pvp",1,1+(Inputs!$B$21+Skills!O6+B1032)/100),0)</f>
        <v/>
      </c>
      <c r="U1008">
        <f>IF(C1008,(H1008*N1008*IF(AND(Inputs!$B$39&lt;&gt;"pvp",Inputs!$B$44&gt;0),((Skills!F6*((R1008-1)*IF(Skills!G6&gt;0,Skills!H6/Skills!G6,1)+IF(Skills!G6&gt;0,MIN(Skills!H6,MAX(0,MAX(0,Inputs!$B$44-B1041)-((R1008-1)*IF(Inputs!$B$39="pvp",15,MAX(0.1,Skills!D6-IF(Skills!E6=TRUE,Inputs!$B$33,0))))))/Skills!G6,1)))/Inputs!$B$44),G1008*Q1008))*IF(Inputs!$B$39="pvp",1,(1+(Inputs!$B$22+Skills!P6+B1033)/100)*(MIN(Skills!Q6,Inputs!$B$38))),0)</f>
        <v/>
      </c>
    </row>
    <row r="1009">
      <c r="A1009">
        <f>Skills!A7</f>
        <v/>
      </c>
      <c r="B1009">
        <f>Skills!B7</f>
        <v/>
      </c>
      <c r="C1009">
        <f>Inputs!$B$3&gt;=122</f>
        <v/>
      </c>
      <c r="D1009">
        <f>IF(Skills!C7=1,60+Inputs!$B$26+Inputs!$B$30,IF(Skills!C7=2,90+Inputs!$B$27+Inputs!$B$30,IF(Skills!C7=3,120+Inputs!$B$28+Inputs!$B$30,MAX(0,(Inputs!$B$3-100)*3)+Inputs!$B$29+Inputs!$B$30)))</f>
        <v/>
      </c>
      <c r="E1009">
        <f>INDEX(FactorTable!$B$2:$Y$301, MATCH(ROUND(MIN(300,MAX(1,D1009)),0), FactorTable!$A$2:$A$301,0), Skills!L7+1)</f>
        <v/>
      </c>
      <c r="F1009">
        <f>IF(Skills!M7=TRUE,(Skills!K7/10)*(E1009/1000),Skills!K7/10)+Skills!N7</f>
        <v/>
      </c>
      <c r="G1009">
        <f>Calc!G7</f>
        <v/>
      </c>
      <c r="H1009">
        <f>Calc!H7</f>
        <v/>
      </c>
      <c r="I1009">
        <f>IF(Skills!T7&lt;&gt;"",1+(Skills!T7/10)*($Z$3/1000)/100,1)</f>
        <v/>
      </c>
      <c r="J1009">
        <f>(((Inputs!$B$6+1)*(1+Inputs!$B$7/100))+(((Inputs!$B$13*(1+Inputs!$B$14/100))-(Inputs!$B$13*(1+Inputs!$B$14/100)))+0.25*(Inputs!$B$15-Inputs!$B$15))*(1+Inputs!$B$7/100))*(F1009/100)</f>
        <v/>
      </c>
      <c r="K1009">
        <f>J1009*(1+(((Inputs!$B$13+IF(Inputs!$B$3&gt;=35,(10*INDEX(FactorTable!$B$2:$Y$301, MATCH(ROUND(MIN(300,MAX(1,Inputs!$B$3)),0), FactorTable!$A$2:$A$301,0), 23)/1000)/100*(Inputs!$B$8*(1+(Inputs!$B$9+B1040)/100)),0))*(1+Inputs!$B$14/100))*0.01+Inputs!$B$15*0.0025)/100)*(1+(Inputs!$B$16+B1034)/100)*(1+Inputs!$B$17/100)*(5000/(6000+Inputs!$B$43*(1-Inputs!$B$20/100)))*(1+Inputs!$B$25/100)*(1+IF(C1020=TRUE,F1020,0)/100)*(1+IF(C1022=TRUE,F1022,0)/100)*(1+IF(Skills!A7="TRIUMPH_FEATHER",IF(C1018=TRUE,F1018,0),0)/100)*(1+IF(C1029=TRUE,F1029,0)/100)^5*(1+(IF(Skills!A7="BIG_BANG",Inputs!$B$18,Inputs!$B$19))/100)*(B1031*I1009)</f>
        <v/>
      </c>
      <c r="L1009">
        <f>K1009*(MIN(Inputs!$B$23+(F1024-Calc!F22),Inputs!$B$24)/100+Inputs!$B$24/100)/2</f>
        <v/>
      </c>
      <c r="M1009">
        <f>L1009*(1+(Inputs!$B$11+B1035+(F1027-Calc!F25))/100)</f>
        <v/>
      </c>
      <c r="N1009">
        <f>L1009*(1-MIN(Inputs!$B$10+((F1026-Calc!F24)+(F1025-Calc!F23)),100)/100)+M1009*(MIN(Inputs!$B$10+((F1026-Calc!F24)+(F1025-Calc!F23)),100)/100)</f>
        <v/>
      </c>
      <c r="O1009">
        <f>(1-Summary!$B$48)*S1009+Summary!$B$48*U1009</f>
        <v/>
      </c>
      <c r="P1009">
        <f>IF(B1044=0,0,O1009/B1044)</f>
        <v/>
      </c>
      <c r="Q1009">
        <f>IFERROR(1/IF(Inputs!$B$39="pvp",15,MAX(0.1,Skills!D7-IF(Skills!E6=TRUE,Inputs!$B$33,0))),0)</f>
        <v/>
      </c>
      <c r="R1009">
        <f>IF(AND(Inputs!$B$39&lt;&gt;"pvp",Inputs!$B$44&gt;0),IF(MAX(0,Inputs!$B$44-B1041)&lt;=0,0,(INT(MAX(0,Inputs!$B$44-B1041)/IF(Inputs!$B$39="pvp",15,MAX(0.1,Skills!D7-IF(Skills!E6=TRUE,Inputs!$B$33,0))))+1)),0)</f>
        <v/>
      </c>
      <c r="S1009">
        <f>IF(C1009,H1009*N1009*IF(AND(Inputs!$B$39&lt;&gt;"pvp",Inputs!$B$44&gt;0),((Skills!F7*((R1009-1)*IF(Skills!G7&gt;0,Skills!H7/Skills!G7,1)+IF(Skills!G7&gt;0,MIN(Skills!H7,MAX(0,MAX(0,Inputs!$B$44-B1041)-((R1009-1)*IF(Inputs!$B$39="pvp",15,MAX(0.1,Skills!D7-IF(Skills!E6=TRUE,Inputs!$B$33,0))))))/Skills!G7,1)))/Inputs!$B$44),G1009*Q1009)*IF(Inputs!$B$39="pvp",1,1+(Inputs!$B$21+Skills!O7+B1032)/100),0)</f>
        <v/>
      </c>
      <c r="U1009" t="n">
        <v>0</v>
      </c>
    </row>
    <row r="1010">
      <c r="A1010">
        <f>Skills!A8</f>
        <v/>
      </c>
      <c r="B1010">
        <f>Skills!B8</f>
        <v/>
      </c>
      <c r="C1010">
        <f>Inputs!$B$3&gt;=105</f>
        <v/>
      </c>
      <c r="D1010">
        <f>IF(Skills!C8=1,60+Inputs!$B$26+Inputs!$B$30,IF(Skills!C8=2,90+Inputs!$B$27+Inputs!$B$30,IF(Skills!C8=3,120+Inputs!$B$28+Inputs!$B$30,MAX(0,(Inputs!$B$3-100)*3)+Inputs!$B$29+Inputs!$B$30)))</f>
        <v/>
      </c>
      <c r="E1010">
        <f>INDEX(FactorTable!$B$2:$Y$301, MATCH(ROUND(MIN(300,MAX(1,D1010)),0), FactorTable!$A$2:$A$301,0), Skills!L8+1)</f>
        <v/>
      </c>
      <c r="F1010">
        <f>IF(Skills!M8=TRUE,(Skills!K8/10)*(E1010/1000),Skills!K8/10)+Skills!N8</f>
        <v/>
      </c>
      <c r="G1010">
        <f>Calc!G8</f>
        <v/>
      </c>
      <c r="H1010">
        <f>Calc!H8</f>
        <v/>
      </c>
      <c r="I1010">
        <f>IF(Skills!T8&lt;&gt;"",1+(Skills!T8/10)*($Z$3/1000)/100,1)</f>
        <v/>
      </c>
      <c r="J1010">
        <f>(((Inputs!$B$6+1)*(1+Inputs!$B$7/100))+(((Inputs!$B$13*(1+Inputs!$B$14/100))-(Inputs!$B$13*(1+Inputs!$B$14/100)))+0.25*(Inputs!$B$15-Inputs!$B$15))*(1+Inputs!$B$7/100))*(F1010/100)</f>
        <v/>
      </c>
      <c r="K1010">
        <f>J1010*(1+(((Inputs!$B$13+IF(Inputs!$B$3&gt;=35,(10*INDEX(FactorTable!$B$2:$Y$301, MATCH(ROUND(MIN(300,MAX(1,Inputs!$B$3)),0), FactorTable!$A$2:$A$301,0), 23)/1000)/100*(Inputs!$B$8*(1+(Inputs!$B$9+B1040)/100)),0))*(1+Inputs!$B$14/100))*0.01+Inputs!$B$15*0.0025)/100)*(1+(Inputs!$B$16+B1034)/100)*(1+Inputs!$B$17/100)*(5000/(6000+Inputs!$B$43*(1-Inputs!$B$20/100)))*(1+Inputs!$B$25/100)*(1+IF(C1020=TRUE,F1020,0)/100)*(1+IF(C1022=TRUE,F1022,0)/100)*(1+IF(Skills!A8="TRIUMPH_FEATHER",IF(C1018=TRUE,F1018,0),0)/100)*(1+IF(C1029=TRUE,F1029,0)/100)^5*(1+(IF(Skills!A8="BIG_BANG",Inputs!$B$18,Inputs!$B$19))/100)*(B1031*I1010)</f>
        <v/>
      </c>
      <c r="L1010">
        <f>K1010*(MIN(Inputs!$B$23+(F1024-Calc!F22),Inputs!$B$24)/100+Inputs!$B$24/100)/2</f>
        <v/>
      </c>
      <c r="M1010">
        <f>L1010*(1+(Inputs!$B$11+B1035+(F1027-Calc!F25))/100)</f>
        <v/>
      </c>
      <c r="N1010">
        <f>L1010*(1-MIN(Inputs!$B$10+((F1026-Calc!F24)+(F1025-Calc!F23)),100)/100)+M1010*(MIN(Inputs!$B$10+((F1026-Calc!F24)+(F1025-Calc!F23)),100)/100)</f>
        <v/>
      </c>
      <c r="O1010">
        <f>(1-Summary!$B$48)*S1010+Summary!$B$48*U1010</f>
        <v/>
      </c>
      <c r="P1010">
        <f>IF(B1044=0,0,O1010/B1044)</f>
        <v/>
      </c>
      <c r="Q1010">
        <f>IFERROR(1/IF(Inputs!$B$39="pvp",15,MAX(0.1,Skills!D8-IF(Skills!E8=TRUE,Inputs!$B$33,0))),0)</f>
        <v/>
      </c>
      <c r="R1010">
        <f>IF(AND(Inputs!$B$39&lt;&gt;"pvp",Inputs!$B$44&gt;0),IF(MAX(0,Inputs!$B$44-B1041)&lt;=0,0,(INT(MAX(0,Inputs!$B$44-B1041)/IF(Inputs!$B$39="pvp",15,MAX(0.1,Skills!D8-IF(Skills!E8=TRUE,Inputs!$B$33,0))))+1)),0)</f>
        <v/>
      </c>
      <c r="S1010">
        <f>IF(C1010,(H1010*N1010*IF(AND(Inputs!$B$39&lt;&gt;"pvp",Inputs!$B$44&gt;0),((Skills!F8*((R1010-1)*IF(Skills!G8&gt;0,Skills!H8/Skills!G8,1)+IF(Skills!G8&gt;0,MIN(Skills!H8,MAX(0,MAX(0,Inputs!$B$44-B1041)-((R1010-1)*IF(Inputs!$B$39="pvp",15,MAX(0.1,Skills!D8-IF(Skills!E8=TRUE,Inputs!$B$33,0))))))/Skills!G8,1)))/Inputs!$B$44),G1010*Q1010))*IF(Inputs!$B$39="pvp",1,1+(Inputs!$B$21+Skills!O8+B1032)/100),0)</f>
        <v/>
      </c>
      <c r="U1010">
        <f>IF(C1010,(H1010*N1010*IF(AND(Inputs!$B$39&lt;&gt;"pvp",Inputs!$B$44&gt;0),((Skills!F8*((R1010-1)*IF(Skills!G8&gt;0,Skills!H8/Skills!G8,1)+IF(Skills!G8&gt;0,MIN(Skills!H8,MAX(0,MAX(0,Inputs!$B$44-B1041)-((R1010-1)*IF(Inputs!$B$39="pvp",15,MAX(0.1,Skills!D8-IF(Skills!E8=TRUE,Inputs!$B$33,0))))))/Skills!G8,1)))/Inputs!$B$44),G1010*Q1010))*IF(Inputs!$B$39="pvp",1,(1+(Inputs!$B$22+Skills!P8+B1033)/100)*(MIN(Skills!Q8,Inputs!$B$38))),0)</f>
        <v/>
      </c>
    </row>
    <row r="1011">
      <c r="A1011">
        <f>Skills!A9</f>
        <v/>
      </c>
      <c r="B1011">
        <f>Skills!B9</f>
        <v/>
      </c>
      <c r="C1011">
        <f>Inputs!$B$3&gt;=115</f>
        <v/>
      </c>
      <c r="D1011">
        <f>IF(Skills!C9=1,60+Inputs!$B$26+Inputs!$B$30,IF(Skills!C9=2,90+Inputs!$B$27+Inputs!$B$30,IF(Skills!C9=3,120+Inputs!$B$28+Inputs!$B$30,MAX(0,(Inputs!$B$3-100)*3)+Inputs!$B$29+Inputs!$B$30)))</f>
        <v/>
      </c>
      <c r="E1011">
        <f>INDEX(FactorTable!$B$2:$Y$301, MATCH(ROUND(MIN(300,MAX(1,D1011)),0), FactorTable!$A$2:$A$301,0), Skills!L9+1)</f>
        <v/>
      </c>
      <c r="F1011">
        <f>IF(Skills!M9=TRUE,(Skills!K9/10)*(E1011/1000),Skills!K9/10)+Skills!N9</f>
        <v/>
      </c>
      <c r="G1011">
        <f>Calc!G9</f>
        <v/>
      </c>
      <c r="H1011">
        <f>Calc!H9</f>
        <v/>
      </c>
      <c r="I1011">
        <f>IF(Skills!T9&lt;&gt;"",1+(Skills!T9/10)*($Z$3/1000)/100,1)</f>
        <v/>
      </c>
      <c r="J1011">
        <f>(((Inputs!$B$6+1)*(1+Inputs!$B$7/100))+(((Inputs!$B$13*(1+Inputs!$B$14/100))-(Inputs!$B$13*(1+Inputs!$B$14/100)))+0.25*(Inputs!$B$15-Inputs!$B$15))*(1+Inputs!$B$7/100))*(F1011/100)</f>
        <v/>
      </c>
      <c r="K1011">
        <f>J1011*(1+(((Inputs!$B$13+IF(Inputs!$B$3&gt;=35,(10*INDEX(FactorTable!$B$2:$Y$301, MATCH(ROUND(MIN(300,MAX(1,Inputs!$B$3)),0), FactorTable!$A$2:$A$301,0), 23)/1000)/100*(Inputs!$B$8*(1+(Inputs!$B$9+B1040)/100)),0))*(1+Inputs!$B$14/100))*0.01+Inputs!$B$15*0.0025)/100)*(1+(Inputs!$B$16+B1034)/100)*(1+Inputs!$B$17/100)*(5000/(6000+Inputs!$B$43*(1-Inputs!$B$20/100)))*(1+Inputs!$B$25/100)*(1+IF(C1020=TRUE,F1020,0)/100)*(1+IF(C1022=TRUE,F1022,0)/100)*(1+IF(Skills!A9="TRIUMPH_FEATHER",IF(C1018=TRUE,F1018,0),0)/100)*(1+IF(C1029=TRUE,F1029,0)/100)^5*(1+(IF(Skills!A9="BIG_BANG",Inputs!$B$18,Inputs!$B$19))/100)*(B1031*I1011)</f>
        <v/>
      </c>
      <c r="L1011">
        <f>K1011*(MIN(Inputs!$B$23+(F1024-Calc!F22),Inputs!$B$24)/100+Inputs!$B$24/100)/2</f>
        <v/>
      </c>
      <c r="M1011">
        <f>L1011*(1+(Inputs!$B$11+B1035+(F1027-Calc!F25))/100)</f>
        <v/>
      </c>
      <c r="N1011">
        <f>L1011*(1-MIN(Inputs!$B$10+((F1026-Calc!F24)+(F1025-Calc!F23)),100)/100)+M1011*(MIN(Inputs!$B$10+((F1026-Calc!F24)+(F1025-Calc!F23)),100)/100)</f>
        <v/>
      </c>
      <c r="O1011">
        <f>(1-Summary!$B$48)*S1011+Summary!$B$48*U1011</f>
        <v/>
      </c>
      <c r="P1011">
        <f>IF(B1044=0,0,O1011/B1044)</f>
        <v/>
      </c>
      <c r="Q1011">
        <f>IFERROR(1/IF(Inputs!$B$39="pvp",15,MAX(0.1,Skills!D9-IF(Skills!E9=TRUE,Inputs!$B$33,0))),0)</f>
        <v/>
      </c>
      <c r="R1011">
        <f>IF(AND(Inputs!$B$39&lt;&gt;"pvp",Inputs!$B$44&gt;0),IF(MAX(0,Inputs!$B$44-B1041)&lt;=0,0,(INT(MAX(0,Inputs!$B$44-B1041)/IF(Inputs!$B$39="pvp",15,MAX(0.1,Skills!D9-IF(Skills!E9=TRUE,Inputs!$B$33,0))))+1)),0)</f>
        <v/>
      </c>
      <c r="S1011">
        <f>IF(C1011,(H1011*N1011*IF(AND(Inputs!$B$39&lt;&gt;"pvp",Inputs!$B$44&gt;0),((Skills!F9*((R1011-1)*IF(Skills!G9&gt;0,Skills!H9/Skills!G9,1)+IF(Skills!G9&gt;0,MIN(Skills!H9,MAX(0,MAX(0,Inputs!$B$44-B1041)-((R1011-1)*IF(Inputs!$B$39="pvp",15,MAX(0.1,Skills!D9-IF(Skills!E9=TRUE,Inputs!$B$33,0))))))/Skills!G9,1)))/Inputs!$B$44),G1011*Q1011))*IF(Inputs!$B$39="pvp",1,1+(Inputs!$B$21+Skills!O9+B1032)/100),0)</f>
        <v/>
      </c>
      <c r="U1011">
        <f>IF(C1011,(H1011*N1011*IF(AND(Inputs!$B$39&lt;&gt;"pvp",Inputs!$B$44&gt;0),((Skills!F9*((R1011-1)*IF(Skills!G9&gt;0,Skills!H9/Skills!G9,1)+IF(Skills!G9&gt;0,MIN(Skills!H9,MAX(0,MAX(0,Inputs!$B$44-B1041)-((R1011-1)*IF(Inputs!$B$39="pvp",15,MAX(0.1,Skills!D9-IF(Skills!E9=TRUE,Inputs!$B$33,0))))))/Skills!G9,1)))/Inputs!$B$44),G1011*Q1011))*IF(Inputs!$B$39="pvp",1,(1+(Inputs!$B$22+Skills!P9+B1033)/100)*(MIN(Skills!Q9,Inputs!$B$38))),0)</f>
        <v/>
      </c>
    </row>
    <row r="1012">
      <c r="A1012">
        <f>Skills!A10</f>
        <v/>
      </c>
      <c r="B1012">
        <f>Skills!B10</f>
        <v/>
      </c>
      <c r="C1012">
        <f>Inputs!$B$3&gt;=66</f>
        <v/>
      </c>
      <c r="D1012">
        <f>IF(Skills!C10=1,60+Inputs!$B$26+Inputs!$B$30,IF(Skills!C10=2,90+Inputs!$B$27+Inputs!$B$30,IF(Skills!C10=3,120+Inputs!$B$28+Inputs!$B$30,MAX(0,(Inputs!$B$3-100)*3)+Inputs!$B$29+Inputs!$B$30)))</f>
        <v/>
      </c>
      <c r="E1012">
        <f>INDEX(FactorTable!$B$2:$Y$301, MATCH(ROUND(MIN(300,MAX(1,D1012)),0), FactorTable!$A$2:$A$301,0), Skills!L10+1)</f>
        <v/>
      </c>
      <c r="F1012" t="n">
        <v>0</v>
      </c>
      <c r="G1012">
        <f>Calc!G10</f>
        <v/>
      </c>
      <c r="H1012">
        <f>Calc!H10</f>
        <v/>
      </c>
      <c r="I1012">
        <f>IF(Skills!T10&lt;&gt;"",1+(Skills!T10/10)*($Z$3/1000)/100,1)</f>
        <v/>
      </c>
      <c r="J1012" t="inlineStr"/>
      <c r="K1012" t="inlineStr"/>
      <c r="L1012" t="inlineStr"/>
      <c r="M1012" t="inlineStr"/>
      <c r="N1012" t="inlineStr"/>
      <c r="O1012">
        <f>(1-Summary!$B$48)*S1012+Summary!$B$48*U1012</f>
        <v/>
      </c>
      <c r="P1012">
        <f>IF(B1044=0,0,O1012/B1044)</f>
        <v/>
      </c>
      <c r="Q1012">
        <f>IFERROR(1/IF(Inputs!$B$39="pvp",15,MAX(0.1,Skills!D10-IF(Skills!E10=TRUE,Inputs!$B$33,0))),0)</f>
        <v/>
      </c>
      <c r="R1012">
        <f>IF(AND(Inputs!$B$39&lt;&gt;"pvp",Inputs!$B$44&gt;0),IF(MAX(0,Inputs!$B$44-B1041)&lt;=0,0,(INT(MAX(0,Inputs!$B$44-B1041)/IF(Inputs!$B$39="pvp",15,MAX(0.1,Skills!D10-IF(Skills!E10=TRUE,Inputs!$B$33,0))))+1)),0)</f>
        <v/>
      </c>
      <c r="S1012" t="n">
        <v>0</v>
      </c>
      <c r="U1012" t="n">
        <v>0</v>
      </c>
    </row>
    <row r="1013">
      <c r="A1013">
        <f>Skills!A11</f>
        <v/>
      </c>
      <c r="B1013">
        <f>Skills!B11</f>
        <v/>
      </c>
      <c r="C1013">
        <f>Inputs!$B$3&gt;=69</f>
        <v/>
      </c>
      <c r="D1013">
        <f>IF(Skills!C11=1,60+Inputs!$B$26+Inputs!$B$30,IF(Skills!C11=2,90+Inputs!$B$27+Inputs!$B$30,IF(Skills!C11=3,120+Inputs!$B$28+Inputs!$B$30,MAX(0,(Inputs!$B$3-100)*3)+Inputs!$B$29+Inputs!$B$30)))</f>
        <v/>
      </c>
      <c r="E1013">
        <f>INDEX(FactorTable!$B$2:$Y$301, MATCH(ROUND(MIN(300,MAX(1,D1013)),0), FactorTable!$A$2:$A$301,0), Skills!L11+1)</f>
        <v/>
      </c>
      <c r="F1013">
        <f>IF(Skills!M11=TRUE,(Skills!K11/10)*(E1013/1000),Skills!K11/10)+Skills!N11</f>
        <v/>
      </c>
      <c r="G1013">
        <f>Calc!G11</f>
        <v/>
      </c>
      <c r="H1013">
        <f>Calc!H11</f>
        <v/>
      </c>
      <c r="I1013">
        <f>IF(Skills!T11&lt;&gt;"",1+(Skills!T11/10)*($Z$3/1000)/100,1)</f>
        <v/>
      </c>
      <c r="J1013" t="inlineStr"/>
      <c r="K1013" t="inlineStr"/>
      <c r="L1013" t="inlineStr"/>
      <c r="M1013" t="inlineStr"/>
      <c r="N1013" t="inlineStr"/>
      <c r="O1013">
        <f>(1-Summary!$B$48)*S1013+Summary!$B$48*U1013</f>
        <v/>
      </c>
      <c r="P1013">
        <f>IF(B1044=0,0,O1013/B1044)</f>
        <v/>
      </c>
      <c r="Q1013">
        <f>IFERROR(1/IF(Inputs!$B$39="pvp",15,MAX(0.1,Skills!D11-IF(Skills!E11=TRUE,Inputs!$B$33,0))),0)</f>
        <v/>
      </c>
      <c r="R1013">
        <f>IF(AND(Inputs!$B$39&lt;&gt;"pvp",Inputs!$B$44&gt;0),IF(Inputs!$B$44&lt;=0,0,(INT(Inputs!$B$44/IF(Inputs!$B$39="pvp",15,MAX(0.1,Skills!D11-IF(Skills!E11=TRUE,Inputs!$B$33,0))))+1)),0)</f>
        <v/>
      </c>
      <c r="S1013" t="n">
        <v>0</v>
      </c>
      <c r="U1013" t="n">
        <v>0</v>
      </c>
    </row>
    <row r="1014">
      <c r="A1014">
        <f>Skills!A12</f>
        <v/>
      </c>
      <c r="B1014">
        <f>Skills!B12</f>
        <v/>
      </c>
      <c r="C1014">
        <f>Inputs!$B$3&gt;=72</f>
        <v/>
      </c>
      <c r="D1014">
        <f>IF(Skills!C12=1,60+Inputs!$B$26+Inputs!$B$30,IF(Skills!C12=2,90+Inputs!$B$27+Inputs!$B$30,IF(Skills!C12=3,120+Inputs!$B$28+Inputs!$B$30,MAX(0,(Inputs!$B$3-100)*3)+Inputs!$B$29+Inputs!$B$30)))</f>
        <v/>
      </c>
      <c r="E1014">
        <f>INDEX(FactorTable!$B$2:$Y$301, MATCH(ROUND(MIN(300,MAX(1,D1014)),0), FactorTable!$A$2:$A$301,0), Skills!L12+1)</f>
        <v/>
      </c>
      <c r="F1014">
        <f>IF(Skills!M12=TRUE,(Skills!K12/10)*(E1014/1000),Skills!K12/10)+Skills!N12</f>
        <v/>
      </c>
      <c r="G1014">
        <f>Calc!G12</f>
        <v/>
      </c>
      <c r="H1014">
        <f>Calc!H12</f>
        <v/>
      </c>
      <c r="I1014">
        <f>IF(Skills!T12&lt;&gt;"",1+(Skills!T12/10)*($Z$3/1000)/100,1)</f>
        <v/>
      </c>
      <c r="J1014" t="inlineStr"/>
      <c r="K1014" t="inlineStr"/>
      <c r="L1014" t="inlineStr"/>
      <c r="M1014" t="inlineStr"/>
      <c r="N1014" t="inlineStr"/>
      <c r="O1014">
        <f>(1-Summary!$B$48)*S1014+Summary!$B$48*U1014</f>
        <v/>
      </c>
      <c r="P1014">
        <f>IF(B1044=0,0,O1014/B1044)</f>
        <v/>
      </c>
      <c r="Q1014">
        <f>IFERROR(1/IF(Inputs!$B$39="pvp",15,MAX(0.1,Skills!D12-IF(Skills!E12=TRUE,Inputs!$B$33,0))),0)</f>
        <v/>
      </c>
      <c r="R1014">
        <f>IF(AND(Inputs!$B$39&lt;&gt;"pvp",Inputs!$B$44&gt;0),IF(MAX(0,Inputs!$B$44-B1041)&lt;=0,0,(INT(MAX(0,Inputs!$B$44-B1041)/IF(Inputs!$B$39="pvp",15,MAX(0.1,Skills!D12-IF(Skills!E12=TRUE,Inputs!$B$33,0))))+1)),0)</f>
        <v/>
      </c>
      <c r="S1014" t="n">
        <v>0</v>
      </c>
      <c r="U1014" t="n">
        <v>0</v>
      </c>
    </row>
    <row r="1015">
      <c r="A1015">
        <f>Skills!A13</f>
        <v/>
      </c>
      <c r="B1015">
        <f>Skills!B13</f>
        <v/>
      </c>
      <c r="C1015">
        <f>Inputs!$B$3&gt;=60</f>
        <v/>
      </c>
      <c r="D1015">
        <f>IF(Skills!C13=1,60+Inputs!$B$26+Inputs!$B$30,IF(Skills!C13=2,90+Inputs!$B$27+Inputs!$B$30,IF(Skills!C13=3,120+Inputs!$B$28+Inputs!$B$30,MAX(0,(Inputs!$B$3-100)*3)+Inputs!$B$29+Inputs!$B$30)))</f>
        <v/>
      </c>
      <c r="E1015">
        <f>INDEX(FactorTable!$B$2:$Y$301, MATCH(ROUND(MIN(300,MAX(1,D1015)),0), FactorTable!$A$2:$A$301,0), Skills!L13+1)</f>
        <v/>
      </c>
      <c r="F1015">
        <f>IF(Skills!M13=TRUE,(Skills!K13/10)*(E1015/1000),Skills!K13/10)+Skills!N13</f>
        <v/>
      </c>
      <c r="G1015">
        <f>Calc!G13</f>
        <v/>
      </c>
      <c r="H1015">
        <f>Calc!H13</f>
        <v/>
      </c>
      <c r="I1015">
        <f>IF(Skills!T13&lt;&gt;"",1+(Skills!T13/10)*($Z$3/1000)/100,1)</f>
        <v/>
      </c>
      <c r="J1015" t="inlineStr"/>
      <c r="K1015" t="inlineStr"/>
      <c r="L1015" t="inlineStr"/>
      <c r="M1015" t="inlineStr"/>
      <c r="N1015" t="inlineStr"/>
      <c r="O1015">
        <f>(1-Summary!$B$48)*S1015+Summary!$B$48*U1015</f>
        <v/>
      </c>
      <c r="P1015">
        <f>IF(B1044=0,0,O1015/B1044)</f>
        <v/>
      </c>
      <c r="Q1015">
        <f>IFERROR(1/IF(Inputs!$B$39="pvp",15,MAX(0.1,Skills!D13-IF(Skills!E13=TRUE,Inputs!$B$33,0))),0)</f>
        <v/>
      </c>
      <c r="R1015">
        <f>IF(AND(Inputs!$B$39&lt;&gt;"pvp",Inputs!$B$44&gt;0),IF(MAX(0,Inputs!$B$44-B1041)&lt;=0,0,(INT(MAX(0,Inputs!$B$44-B1041)/IF(Inputs!$B$39="pvp",15,MAX(0.1,Skills!D13-IF(Skills!E13=TRUE,Inputs!$B$33,0))))+1)),0)</f>
        <v/>
      </c>
      <c r="S1015" t="n">
        <v>0</v>
      </c>
      <c r="U1015" t="n">
        <v>0</v>
      </c>
    </row>
    <row r="1016">
      <c r="A1016">
        <f>Skills!A14</f>
        <v/>
      </c>
      <c r="B1016">
        <f>Skills!B14</f>
        <v/>
      </c>
      <c r="C1016">
        <f>Inputs!$B$3&gt;=107</f>
        <v/>
      </c>
      <c r="D1016">
        <f>IF(Skills!C14=1,60+Inputs!$B$26+Inputs!$B$30,IF(Skills!C14=2,90+Inputs!$B$27+Inputs!$B$30,IF(Skills!C14=3,120+Inputs!$B$28+Inputs!$B$30,MAX(0,(Inputs!$B$3-100)*3)+Inputs!$B$29+Inputs!$B$30)))</f>
        <v/>
      </c>
      <c r="E1016">
        <f>INDEX(FactorTable!$B$2:$Y$301, MATCH(ROUND(MIN(300,MAX(1,D1016)),0), FactorTable!$A$2:$A$301,0), Skills!L14+1)</f>
        <v/>
      </c>
      <c r="F1016">
        <f>IF(Skills!M14=TRUE,(Skills!K14/10)*(E1016/1000),Skills!K14/10)+Skills!N14</f>
        <v/>
      </c>
      <c r="G1016">
        <f>Calc!G14</f>
        <v/>
      </c>
      <c r="H1016">
        <f>Calc!H14</f>
        <v/>
      </c>
      <c r="I1016">
        <f>IF(Skills!T14&lt;&gt;"",1+(Skills!T14/10)*($Z$3/1000)/100,1)</f>
        <v/>
      </c>
      <c r="J1016" t="inlineStr"/>
      <c r="K1016" t="inlineStr"/>
      <c r="L1016" t="inlineStr"/>
      <c r="M1016" t="inlineStr"/>
      <c r="N1016" t="inlineStr"/>
      <c r="O1016">
        <f>(1-Summary!$B$48)*S1016+Summary!$B$48*U1016</f>
        <v/>
      </c>
      <c r="P1016">
        <f>IF(B1044=0,0,O1016/B1044)</f>
        <v/>
      </c>
      <c r="Q1016">
        <f>IFERROR(1/IF(Inputs!$B$39="pvp",15,MAX(0.1,Skills!D14-IF(Skills!E14=TRUE,Inputs!$B$33,0))),0)</f>
        <v/>
      </c>
      <c r="R1016">
        <f>IF(AND(Inputs!$B$39&lt;&gt;"pvp",Inputs!$B$44&gt;0),IF(Inputs!$B$44&lt;=0,0,(INT(Inputs!$B$44/IF(Inputs!$B$39="pvp",15,MAX(0.1,Skills!D14-IF(Skills!E14=TRUE,Inputs!$B$33,0))))+1)),0)</f>
        <v/>
      </c>
      <c r="S1016" t="n">
        <v>0</v>
      </c>
      <c r="U1016" t="n">
        <v>0</v>
      </c>
    </row>
    <row r="1017">
      <c r="A1017">
        <f>Skills!A15</f>
        <v/>
      </c>
      <c r="B1017">
        <f>Skills!B15</f>
        <v/>
      </c>
      <c r="C1017">
        <f>Inputs!$B$3&gt;=63</f>
        <v/>
      </c>
      <c r="D1017">
        <f>IF(Skills!C15=1,60+Inputs!$B$26+Inputs!$B$30,IF(Skills!C15=2,90+Inputs!$B$27+Inputs!$B$30,IF(Skills!C15=3,120+Inputs!$B$28+Inputs!$B$30,MAX(0,(Inputs!$B$3-100)*3)+Inputs!$B$29+Inputs!$B$30)))</f>
        <v/>
      </c>
      <c r="E1017">
        <f>INDEX(FactorTable!$B$2:$Y$301, MATCH(ROUND(MIN(300,MAX(1,D1017)),0), FactorTable!$A$2:$A$301,0), Skills!L15+1)</f>
        <v/>
      </c>
      <c r="F1017">
        <f>IF(Skills!M15=TRUE,(Skills!K15/10)*(E1017/1000),Skills!K15/10)+Skills!N15</f>
        <v/>
      </c>
      <c r="G1017">
        <f>Calc!G15</f>
        <v/>
      </c>
      <c r="H1017">
        <f>Calc!H15</f>
        <v/>
      </c>
      <c r="I1017">
        <f>IF(Skills!T15&lt;&gt;"",1+(Skills!T15/10)*($Z$3/1000)/100,1)</f>
        <v/>
      </c>
      <c r="J1017">
        <f>(((Inputs!$B$6+1)*(1+Inputs!$B$7/100))+(((Inputs!$B$13*(1+Inputs!$B$14/100))-(Inputs!$B$13*(1+Inputs!$B$14/100)))+0.25*(Inputs!$B$15-Inputs!$B$15))*(1+Inputs!$B$7/100))*(F1017/100)</f>
        <v/>
      </c>
      <c r="K1017">
        <f>J1017*(1+(((Inputs!$B$13+IF(Inputs!$B$3&gt;=35,(10*INDEX(FactorTable!$B$2:$Y$301, MATCH(ROUND(MIN(300,MAX(1,Inputs!$B$3)),0), FactorTable!$A$2:$A$301,0), 23)/1000)/100*(Inputs!$B$8*(1+(Inputs!$B$9+B1040)/100)),0))*(1+Inputs!$B$14/100))*0.01+Inputs!$B$15*0.0025)/100)*(1+(Inputs!$B$16+B1034)/100)*(1+Inputs!$B$17/100)*(5000/(6000+Inputs!$B$43*(1-Inputs!$B$20/100)))*(1+Inputs!$B$25/100)*(1+IF(C1020=TRUE,F1020,0)/100)*(1+IF(C1022=TRUE,F1022,0)/100)*(1+IF(Skills!A15="TRIUMPH_FEATHER",IF(C1018=TRUE,F1018,0),0)/100)*(1+IF(C1029=TRUE,F1029,0)/100)^5*(1+(IF(Skills!A15="BIG_BANG",Inputs!$B$18,Inputs!$B$19))/100)*(B1031*I1017)</f>
        <v/>
      </c>
      <c r="L1017">
        <f>K1017*(MIN(Inputs!$B$23+(F1024-Calc!F22),Inputs!$B$24)/100+Inputs!$B$24/100)/2</f>
        <v/>
      </c>
      <c r="M1017">
        <f>L1017*(1+(Inputs!$B$11+B1035+(F1027-Calc!F25))/100)</f>
        <v/>
      </c>
      <c r="N1017">
        <f>L1017*(1-MIN(Inputs!$B$10+((F1026-Calc!F24)+(F1025-Calc!F23)),100)/100)+M1017*(MIN(Inputs!$B$10+((F1026-Calc!F24)+(F1025-Calc!F23)),100)/100)</f>
        <v/>
      </c>
      <c r="O1017">
        <f>(1-Summary!$B$48)*S1017+Summary!$B$48*U1017</f>
        <v/>
      </c>
      <c r="P1017">
        <f>IF(B1044=0,0,O1017/B1044)</f>
        <v/>
      </c>
      <c r="Q1017">
        <f>IFERROR(1/IF(Inputs!$B$39="pvp",15,MAX(0.1,Skills!D15-IF(Skills!E15=TRUE,Inputs!$B$33,0))),0)</f>
        <v/>
      </c>
      <c r="R1017" t="n">
        <v>0</v>
      </c>
      <c r="S1017">
        <f>IF(C1017,(Skills!F15*N1017*((IF(Inputs!$B$3&gt;=78,25,15)/100*B1037*10)/(1+IF(Inputs!$B$3&gt;=78,25,15)/100*B1037*10))*(Skills!I15/100*B1037)/(1+Skills!G15*Skills!I15/100*B1037))*IF(Inputs!$B$39="pvp",1,1+(Inputs!$B$21+Skills!O15+B1032)/100),0)</f>
        <v/>
      </c>
      <c r="U1017">
        <f>IF(C1017,(Skills!F15*N1017*((IF(Inputs!$B$3&gt;=78,25,15)/100*B1037*10)/(1+IF(Inputs!$B$3&gt;=78,25,15)/100*B1037*10))*(Skills!I15/100*B1037)/(1+Skills!G15*Skills!I15/100*B1037))*IF(Inputs!$B$39="pvp",1,(1+(Inputs!$B$22+Skills!P15+B1033)/100)*(MIN(Skills!Q15,Inputs!$B$38))),0)</f>
        <v/>
      </c>
    </row>
    <row r="1018">
      <c r="A1018">
        <f>Skills!A16</f>
        <v/>
      </c>
      <c r="B1018">
        <f>Skills!B16</f>
        <v/>
      </c>
      <c r="C1018">
        <f>Inputs!$B$3&gt;=100</f>
        <v/>
      </c>
      <c r="D1018">
        <f>IF(Skills!C16=1,60+Inputs!$B$26+Inputs!$B$30,IF(Skills!C16=2,90+Inputs!$B$27+Inputs!$B$30,IF(Skills!C16=3,120+Inputs!$B$28+Inputs!$B$30,MAX(0,(Inputs!$B$3-100)*3)+Inputs!$B$29+Inputs!$B$30)))</f>
        <v/>
      </c>
      <c r="E1018">
        <f>INDEX(FactorTable!$B$2:$Y$301, MATCH(ROUND(MIN(300,MAX(1,D1018)),0), FactorTable!$A$2:$A$301,0), Skills!L16+1)</f>
        <v/>
      </c>
      <c r="F1018">
        <f>IF(Skills!M16=TRUE,(Skills!K16/10)*(E1018/1000),Skills!K16/10)+Skills!N16</f>
        <v/>
      </c>
      <c r="G1018">
        <f>Calc!G16</f>
        <v/>
      </c>
      <c r="H1018">
        <f>Calc!H16</f>
        <v/>
      </c>
      <c r="I1018">
        <f>IF(Skills!T16&lt;&gt;"",1+(Skills!T16/10)*($Z$3/1000)/100,1)</f>
        <v/>
      </c>
      <c r="J1018" t="inlineStr"/>
      <c r="K1018" t="inlineStr"/>
      <c r="L1018" t="inlineStr"/>
      <c r="M1018" t="inlineStr"/>
      <c r="N1018" t="inlineStr"/>
      <c r="O1018">
        <f>(1-Summary!$B$48)*S1018+Summary!$B$48*U1018</f>
        <v/>
      </c>
      <c r="P1018">
        <f>IF(B1044=0,0,O1018/B1044)</f>
        <v/>
      </c>
      <c r="Q1018">
        <f>IFERROR(1/IF(Inputs!$B$39="pvp",15,MAX(0.1,Skills!D16-IF(Skills!E16=TRUE,Inputs!$B$33,0))),0)</f>
        <v/>
      </c>
      <c r="R1018" t="n">
        <v>0</v>
      </c>
      <c r="S1018" t="n">
        <v>0</v>
      </c>
      <c r="U1018" t="n">
        <v>0</v>
      </c>
    </row>
    <row r="1019">
      <c r="A1019">
        <f>Skills!A17</f>
        <v/>
      </c>
      <c r="B1019">
        <f>Skills!B17</f>
        <v/>
      </c>
      <c r="C1019">
        <f>Inputs!$B$3&gt;=49</f>
        <v/>
      </c>
      <c r="D1019">
        <f>IF(Skills!C17=1,60+Inputs!$B$26+Inputs!$B$30,IF(Skills!C17=2,90+Inputs!$B$27+Inputs!$B$30,IF(Skills!C17=3,120+Inputs!$B$28+Inputs!$B$30,MAX(0,(Inputs!$B$3-100)*3)+Inputs!$B$29+Inputs!$B$30)))</f>
        <v/>
      </c>
      <c r="E1019">
        <f>INDEX(FactorTable!$B$2:$Y$301, MATCH(ROUND(MIN(300,MAX(1,D1019)),0), FactorTable!$A$2:$A$301,0), Skills!L17+1)</f>
        <v/>
      </c>
      <c r="F1019">
        <f>IF(Skills!M17=TRUE,(Skills!K17/10)*(E1019/1000),Skills!K17/10)+Skills!N17</f>
        <v/>
      </c>
      <c r="G1019">
        <f>Calc!G17</f>
        <v/>
      </c>
      <c r="H1019">
        <f>Calc!H17</f>
        <v/>
      </c>
      <c r="I1019">
        <f>IF(Skills!T17&lt;&gt;"",1+(Skills!T17/10)*($Z$3/1000)/100,1)</f>
        <v/>
      </c>
      <c r="J1019" t="inlineStr"/>
      <c r="K1019" t="inlineStr"/>
      <c r="L1019" t="inlineStr"/>
      <c r="M1019" t="inlineStr"/>
      <c r="N1019" t="inlineStr"/>
      <c r="O1019">
        <f>(1-Summary!$B$48)*S1019+Summary!$B$48*U1019</f>
        <v/>
      </c>
      <c r="P1019">
        <f>IF(B1044=0,0,O1019/B1044)</f>
        <v/>
      </c>
      <c r="Q1019">
        <f>IFERROR(1/IF(Inputs!$B$39="pvp",15,MAX(0.1,Skills!D17-IF(Skills!E17=TRUE,Inputs!$B$33,0))),0)</f>
        <v/>
      </c>
      <c r="R1019" t="n">
        <v>0</v>
      </c>
      <c r="S1019" t="n">
        <v>0</v>
      </c>
      <c r="U1019" t="n">
        <v>0</v>
      </c>
    </row>
    <row r="1020">
      <c r="A1020">
        <f>Skills!A18</f>
        <v/>
      </c>
      <c r="B1020">
        <f>Skills!B18</f>
        <v/>
      </c>
      <c r="C1020">
        <f>Inputs!$B$3&gt;=75</f>
        <v/>
      </c>
      <c r="D1020">
        <f>IF(Skills!C18=1,60+Inputs!$B$26+Inputs!$B$30,IF(Skills!C18=2,90+Inputs!$B$27+Inputs!$B$30,IF(Skills!C18=3,120+Inputs!$B$28+Inputs!$B$30,MAX(0,(Inputs!$B$3-100)*3)+Inputs!$B$29+Inputs!$B$30)))</f>
        <v/>
      </c>
      <c r="E1020">
        <f>INDEX(FactorTable!$B$2:$Y$301, MATCH(ROUND(MIN(300,MAX(1,D1020)),0), FactorTable!$A$2:$A$301,0), Skills!L18+1)</f>
        <v/>
      </c>
      <c r="F1020">
        <f>IF(Skills!M18=TRUE,(Skills!K18/10)*(E1020/1000),Skills!K18/10)+Skills!N18</f>
        <v/>
      </c>
      <c r="G1020">
        <f>Calc!G18</f>
        <v/>
      </c>
      <c r="H1020">
        <f>Calc!H18</f>
        <v/>
      </c>
      <c r="I1020">
        <f>IF(Skills!T18&lt;&gt;"",1+(Skills!T18/10)*($Z$3/1000)/100,1)</f>
        <v/>
      </c>
      <c r="J1020" t="inlineStr"/>
      <c r="K1020" t="inlineStr"/>
      <c r="L1020" t="inlineStr"/>
      <c r="M1020" t="inlineStr"/>
      <c r="N1020" t="inlineStr"/>
      <c r="O1020">
        <f>(1-Summary!$B$48)*S1020+Summary!$B$48*U1020</f>
        <v/>
      </c>
      <c r="P1020">
        <f>IF(B1044=0,0,O1020/B1044)</f>
        <v/>
      </c>
      <c r="Q1020">
        <f>IFERROR(1/IF(Inputs!$B$39="pvp",15,MAX(0.1,Skills!D18-IF(Skills!E18=TRUE,Inputs!$B$33,0))),0)</f>
        <v/>
      </c>
      <c r="R1020" t="n">
        <v>0</v>
      </c>
      <c r="S1020" t="n">
        <v>0</v>
      </c>
      <c r="U1020" t="n">
        <v>0</v>
      </c>
    </row>
    <row r="1021">
      <c r="A1021">
        <f>Skills!A19</f>
        <v/>
      </c>
      <c r="B1021">
        <f>Skills!B19</f>
        <v/>
      </c>
      <c r="C1021">
        <f>Inputs!$B$3&gt;=110</f>
        <v/>
      </c>
      <c r="D1021">
        <f>IF(Skills!C19=1,60+Inputs!$B$26+Inputs!$B$30,IF(Skills!C19=2,90+Inputs!$B$27+Inputs!$B$30,IF(Skills!C19=3,120+Inputs!$B$28+Inputs!$B$30,MAX(0,(Inputs!$B$3-100)*3)+Inputs!$B$29+Inputs!$B$30)))</f>
        <v/>
      </c>
      <c r="E1021">
        <f>INDEX(FactorTable!$B$2:$Y$301, MATCH(ROUND(MIN(300,MAX(1,D1021)),0), FactorTable!$A$2:$A$301,0), Skills!L19+1)</f>
        <v/>
      </c>
      <c r="F1021">
        <f>(Skills!K19/10)*(E1021/1000)*64/45+Skills!N19</f>
        <v/>
      </c>
      <c r="G1021">
        <f>Calc!G19</f>
        <v/>
      </c>
      <c r="H1021">
        <f>Calc!H19</f>
        <v/>
      </c>
      <c r="I1021">
        <f>IF(Skills!T19&lt;&gt;"",1+(Skills!T19/10)*($Z$3/1000)/100,1)</f>
        <v/>
      </c>
      <c r="J1021" t="inlineStr"/>
      <c r="K1021" t="inlineStr"/>
      <c r="L1021" t="inlineStr"/>
      <c r="M1021" t="inlineStr"/>
      <c r="N1021" t="inlineStr"/>
      <c r="O1021">
        <f>(1-Summary!$B$48)*S1021+Summary!$B$48*U1021</f>
        <v/>
      </c>
      <c r="P1021">
        <f>IF(B1044=0,0,O1021/B1044)</f>
        <v/>
      </c>
      <c r="Q1021">
        <f>IFERROR(1/IF(Inputs!$B$39="pvp",15,MAX(0.1,Skills!D19-IF(Skills!E19=TRUE,Inputs!$B$33,0))),0)</f>
        <v/>
      </c>
      <c r="R1021">
        <f>IF(AND(Inputs!$B$39&lt;&gt;"pvp",Inputs!$B$44&gt;0),IF(Inputs!$B$44&lt;=0,0,(INT(Inputs!$B$44/IF(Inputs!$B$39="pvp",15,MAX(0.1,Skills!D19-IF(Skills!E19=TRUE,Inputs!$B$33,0))))+1)),0)</f>
        <v/>
      </c>
      <c r="S1021" t="n">
        <v>0</v>
      </c>
      <c r="U1021" t="n">
        <v>0</v>
      </c>
    </row>
    <row r="1022">
      <c r="A1022">
        <f>Skills!A20</f>
        <v/>
      </c>
      <c r="B1022">
        <f>Skills!B20</f>
        <v/>
      </c>
      <c r="C1022">
        <f>Inputs!$B$3&gt;=125</f>
        <v/>
      </c>
      <c r="D1022">
        <f>IF(Skills!C20=1,60+Inputs!$B$26+Inputs!$B$30,IF(Skills!C20=2,90+Inputs!$B$27+Inputs!$B$30,IF(Skills!C20=3,120+Inputs!$B$28+Inputs!$B$30,MAX(0,(Inputs!$B$3-100)*3)+Inputs!$B$29+Inputs!$B$30)))</f>
        <v/>
      </c>
      <c r="E1022">
        <f>INDEX(FactorTable!$B$2:$Y$301, MATCH(ROUND(MIN(300,MAX(1,D1022)),0), FactorTable!$A$2:$A$301,0), Skills!L20+1)</f>
        <v/>
      </c>
      <c r="F1022">
        <f>IF(Skills!M20=TRUE,(Skills!K20/10)*(E1022/1000),Skills!K20/10)+Skills!N20</f>
        <v/>
      </c>
      <c r="G1022">
        <f>Calc!G20</f>
        <v/>
      </c>
      <c r="H1022">
        <f>Calc!H20</f>
        <v/>
      </c>
      <c r="I1022">
        <f>IF(Skills!T20&lt;&gt;"",1+(Skills!T20/10)*($Z$3/1000)/100,1)</f>
        <v/>
      </c>
      <c r="J1022" t="inlineStr"/>
      <c r="K1022" t="inlineStr"/>
      <c r="L1022" t="inlineStr"/>
      <c r="M1022" t="inlineStr"/>
      <c r="N1022" t="inlineStr"/>
      <c r="O1022">
        <f>(1-Summary!$B$48)*S1022+Summary!$B$48*U1022</f>
        <v/>
      </c>
      <c r="P1022">
        <f>IF(B1044=0,0,O1022/B1044)</f>
        <v/>
      </c>
      <c r="Q1022">
        <f>IFERROR(1/IF(Inputs!$B$39="pvp",15,MAX(0.1,Skills!D20-IF(Skills!E20=TRUE,Inputs!$B$33,0))),0)</f>
        <v/>
      </c>
      <c r="R1022" t="n">
        <v>0</v>
      </c>
      <c r="S1022" t="n">
        <v>0</v>
      </c>
      <c r="U1022" t="n">
        <v>0</v>
      </c>
    </row>
    <row r="1023">
      <c r="A1023">
        <f>Skills!A21</f>
        <v/>
      </c>
      <c r="B1023">
        <f>Skills!B21</f>
        <v/>
      </c>
      <c r="C1023">
        <f>Inputs!$B$3&gt;=33</f>
        <v/>
      </c>
      <c r="D1023">
        <f>IF(Skills!C21=1,60+Inputs!$B$26+Inputs!$B$30,IF(Skills!C21=2,90+Inputs!$B$27+Inputs!$B$30,IF(Skills!C21=3,120+Inputs!$B$28+Inputs!$B$30,MAX(0,(Inputs!$B$3-100)*3)+Inputs!$B$29+Inputs!$B$30)))</f>
        <v/>
      </c>
      <c r="E1023">
        <f>INDEX(FactorTable!$B$2:$Y$301, MATCH(ROUND(MIN(300,MAX(1,D1023)),0), FactorTable!$A$2:$A$301,0), Skills!L21+1)</f>
        <v/>
      </c>
      <c r="F1023">
        <f>IF(Skills!M21=TRUE,(Skills!K21/10)*(E1023/1000),Skills!K21/10)+Skills!N21</f>
        <v/>
      </c>
      <c r="G1023">
        <f>Calc!G21</f>
        <v/>
      </c>
      <c r="H1023">
        <f>Calc!H21</f>
        <v/>
      </c>
      <c r="I1023">
        <f>IF(Skills!T21&lt;&gt;"",1+(Skills!T21/10)*($Z$3/1000)/100,1)</f>
        <v/>
      </c>
      <c r="J1023" t="inlineStr"/>
      <c r="K1023" t="inlineStr"/>
      <c r="L1023" t="inlineStr"/>
      <c r="M1023" t="inlineStr"/>
      <c r="N1023" t="inlineStr"/>
      <c r="O1023">
        <f>(1-Summary!$B$48)*S1023+Summary!$B$48*U1023</f>
        <v/>
      </c>
      <c r="P1023">
        <f>IF(B1044=0,0,O1023/B1044)</f>
        <v/>
      </c>
      <c r="Q1023">
        <f>IFERROR(1/IF(Inputs!$B$39="pvp",15,MAX(0.1,Skills!D21-IF(Skills!E21=TRUE,Inputs!$B$33,0))),0)</f>
        <v/>
      </c>
      <c r="R1023" t="n">
        <v>0</v>
      </c>
      <c r="S1023" t="n">
        <v>0</v>
      </c>
      <c r="U1023" t="n">
        <v>0</v>
      </c>
    </row>
    <row r="1024">
      <c r="A1024">
        <f>Skills!A22</f>
        <v/>
      </c>
      <c r="B1024">
        <f>Skills!B22</f>
        <v/>
      </c>
      <c r="C1024">
        <f>Inputs!$B$3&gt;=43</f>
        <v/>
      </c>
      <c r="D1024">
        <f>IF(Skills!C22=1,60+Inputs!$B$26+Inputs!$B$30,IF(Skills!C22=2,90+Inputs!$B$27+Inputs!$B$30,IF(Skills!C22=3,120+Inputs!$B$28+Inputs!$B$30,MAX(0,(Inputs!$B$3-100)*3)+Inputs!$B$29+Inputs!$B$30)))</f>
        <v/>
      </c>
      <c r="E1024">
        <f>INDEX(FactorTable!$B$2:$Y$301, MATCH(ROUND(MIN(300,MAX(1,D1024)),0), FactorTable!$A$2:$A$301,0), Skills!L22+1)</f>
        <v/>
      </c>
      <c r="F1024">
        <f>IF(Skills!M22=TRUE,(Skills!K22/10)*(E1024/1000),Skills!K22/10)+Skills!N22</f>
        <v/>
      </c>
      <c r="G1024">
        <f>Calc!G22</f>
        <v/>
      </c>
      <c r="H1024">
        <f>Calc!H22</f>
        <v/>
      </c>
      <c r="I1024">
        <f>IF(Skills!T22&lt;&gt;"",1+(Skills!T22/10)*($Z$3/1000)/100,1)</f>
        <v/>
      </c>
      <c r="J1024" t="inlineStr"/>
      <c r="K1024" t="inlineStr"/>
      <c r="L1024" t="inlineStr"/>
      <c r="M1024" t="inlineStr"/>
      <c r="N1024" t="inlineStr"/>
      <c r="O1024">
        <f>(1-Summary!$B$48)*S1024+Summary!$B$48*U1024</f>
        <v/>
      </c>
      <c r="P1024">
        <f>IF(B1044=0,0,O1024/B1044)</f>
        <v/>
      </c>
      <c r="Q1024">
        <f>IFERROR(1/IF(Inputs!$B$39="pvp",15,MAX(0.1,Skills!D22-IF(Skills!E22=TRUE,Inputs!$B$33,0))),0)</f>
        <v/>
      </c>
      <c r="R1024" t="n">
        <v>0</v>
      </c>
      <c r="S1024" t="n">
        <v>0</v>
      </c>
      <c r="U1024" t="n">
        <v>0</v>
      </c>
    </row>
    <row r="1025">
      <c r="A1025">
        <f>Skills!A23</f>
        <v/>
      </c>
      <c r="B1025">
        <f>Skills!B23</f>
        <v/>
      </c>
      <c r="C1025">
        <f>Inputs!$B$3&gt;=50</f>
        <v/>
      </c>
      <c r="D1025">
        <f>IF(Skills!C23=1,60+Inputs!$B$26+Inputs!$B$30,IF(Skills!C23=2,90+Inputs!$B$27+Inputs!$B$30,IF(Skills!C23=3,120+Inputs!$B$28+Inputs!$B$30,MAX(0,(Inputs!$B$3-100)*3)+Inputs!$B$29+Inputs!$B$30)))</f>
        <v/>
      </c>
      <c r="E1025">
        <f>INDEX(FactorTable!$B$2:$Y$301, MATCH(ROUND(MIN(300,MAX(1,D1025)),0), FactorTable!$A$2:$A$301,0), Skills!L23+1)</f>
        <v/>
      </c>
      <c r="F1025">
        <f>IF(Skills!M23=TRUE,(Skills!K23/10)*(E1025/1000),Skills!K23/10)+Skills!N23</f>
        <v/>
      </c>
      <c r="G1025">
        <f>Calc!G23</f>
        <v/>
      </c>
      <c r="H1025">
        <f>Calc!H23</f>
        <v/>
      </c>
      <c r="I1025">
        <f>IF(Skills!T23&lt;&gt;"",1+(Skills!T23/10)*($Z$3/1000)/100,1)</f>
        <v/>
      </c>
      <c r="J1025" t="inlineStr"/>
      <c r="K1025" t="inlineStr"/>
      <c r="L1025" t="inlineStr"/>
      <c r="M1025" t="inlineStr"/>
      <c r="N1025" t="inlineStr"/>
      <c r="O1025">
        <f>(1-Summary!$B$48)*S1025+Summary!$B$48*U1025</f>
        <v/>
      </c>
      <c r="P1025">
        <f>IF(B1044=0,0,O1025/B1044)</f>
        <v/>
      </c>
      <c r="Q1025">
        <f>IFERROR(1/IF(Inputs!$B$39="pvp",15,MAX(0.1,Skills!D23-IF(Skills!E23=TRUE,Inputs!$B$33,0))),0)</f>
        <v/>
      </c>
      <c r="R1025" t="n">
        <v>0</v>
      </c>
      <c r="S1025" t="n">
        <v>0</v>
      </c>
      <c r="U1025" t="n">
        <v>0</v>
      </c>
    </row>
    <row r="1026">
      <c r="A1026">
        <f>Skills!A24</f>
        <v/>
      </c>
      <c r="B1026">
        <f>Skills!B24</f>
        <v/>
      </c>
      <c r="C1026">
        <f>Inputs!$B$3&gt;=74</f>
        <v/>
      </c>
      <c r="D1026">
        <f>IF(Skills!C24=1,60+Inputs!$B$26+Inputs!$B$30,IF(Skills!C24=2,90+Inputs!$B$27+Inputs!$B$30,IF(Skills!C24=3,120+Inputs!$B$28+Inputs!$B$30,MAX(0,(Inputs!$B$3-100)*3)+Inputs!$B$29+Inputs!$B$30)))</f>
        <v/>
      </c>
      <c r="E1026">
        <f>INDEX(FactorTable!$B$2:$Y$301, MATCH(ROUND(MIN(300,MAX(1,D1026)),0), FactorTable!$A$2:$A$301,0), Skills!L24+1)</f>
        <v/>
      </c>
      <c r="F1026">
        <f>IF(Skills!M24=TRUE,(Skills!K24/10)*(E1026/1000),Skills!K24/10)+Skills!N24</f>
        <v/>
      </c>
      <c r="G1026">
        <f>Calc!G24</f>
        <v/>
      </c>
      <c r="H1026">
        <f>Calc!H24</f>
        <v/>
      </c>
      <c r="I1026">
        <f>IF(Skills!T24&lt;&gt;"",1+(Skills!T24/10)*($Z$3/1000)/100,1)</f>
        <v/>
      </c>
      <c r="J1026" t="inlineStr"/>
      <c r="K1026" t="inlineStr"/>
      <c r="L1026" t="inlineStr"/>
      <c r="M1026" t="inlineStr"/>
      <c r="N1026" t="inlineStr"/>
      <c r="O1026">
        <f>(1-Summary!$B$48)*S1026+Summary!$B$48*U1026</f>
        <v/>
      </c>
      <c r="P1026">
        <f>IF(B1044=0,0,O1026/B1044)</f>
        <v/>
      </c>
      <c r="Q1026">
        <f>IFERROR(1/IF(Inputs!$B$39="pvp",15,MAX(0.1,Skills!D24-IF(Skills!E24=TRUE,Inputs!$B$33,0))),0)</f>
        <v/>
      </c>
      <c r="R1026" t="n">
        <v>0</v>
      </c>
      <c r="S1026" t="n">
        <v>0</v>
      </c>
      <c r="U1026" t="n">
        <v>0</v>
      </c>
    </row>
    <row r="1027">
      <c r="A1027">
        <f>Skills!A25</f>
        <v/>
      </c>
      <c r="B1027">
        <f>Skills!B25</f>
        <v/>
      </c>
      <c r="C1027">
        <f>Inputs!$B$3&gt;=74</f>
        <v/>
      </c>
      <c r="D1027">
        <f>IF(Skills!C25=1,60+Inputs!$B$26+Inputs!$B$30,IF(Skills!C25=2,90+Inputs!$B$27+Inputs!$B$30,IF(Skills!C25=3,120+Inputs!$B$28+Inputs!$B$30,MAX(0,(Inputs!$B$3-100)*3)+Inputs!$B$29+Inputs!$B$30)))</f>
        <v/>
      </c>
      <c r="E1027">
        <f>INDEX(FactorTable!$B$2:$Y$301, MATCH(ROUND(MIN(300,MAX(1,D1027)),0), FactorTable!$A$2:$A$301,0), Skills!L25+1)</f>
        <v/>
      </c>
      <c r="F1027">
        <f>IF(Skills!M25=TRUE,(Skills!K25/10)*(E1027/1000),Skills!K25/10)+Skills!N25</f>
        <v/>
      </c>
      <c r="G1027">
        <f>Calc!G25</f>
        <v/>
      </c>
      <c r="H1027">
        <f>Calc!H25</f>
        <v/>
      </c>
      <c r="I1027">
        <f>IF(Skills!T25&lt;&gt;"",1+(Skills!T25/10)*($Z$3/1000)/100,1)</f>
        <v/>
      </c>
      <c r="J1027" t="inlineStr"/>
      <c r="K1027" t="inlineStr"/>
      <c r="L1027" t="inlineStr"/>
      <c r="M1027" t="inlineStr"/>
      <c r="N1027" t="inlineStr"/>
      <c r="O1027">
        <f>(1-Summary!$B$48)*S1027+Summary!$B$48*U1027</f>
        <v/>
      </c>
      <c r="P1027">
        <f>IF(B1044=0,0,O1027/B1044)</f>
        <v/>
      </c>
      <c r="Q1027">
        <f>IFERROR(1/IF(Inputs!$B$39="pvp",15,MAX(0.1,Skills!D25-IF(Skills!E25=TRUE,Inputs!$B$33,0))),0)</f>
        <v/>
      </c>
      <c r="R1027" t="n">
        <v>0</v>
      </c>
      <c r="S1027" t="n">
        <v>0</v>
      </c>
      <c r="U1027" t="n">
        <v>0</v>
      </c>
    </row>
    <row r="1028">
      <c r="A1028">
        <f>Skills!A26</f>
        <v/>
      </c>
      <c r="B1028">
        <f>Skills!B26</f>
        <v/>
      </c>
      <c r="C1028">
        <f>Inputs!$B$3&gt;=117</f>
        <v/>
      </c>
      <c r="D1028">
        <f>IF(Skills!C26=1,60+Inputs!$B$26+Inputs!$B$30,IF(Skills!C26=2,90+Inputs!$B$27+Inputs!$B$30,IF(Skills!C26=3,120+Inputs!$B$28+Inputs!$B$30,MAX(0,(Inputs!$B$3-100)*3)+Inputs!$B$29+Inputs!$B$30)))</f>
        <v/>
      </c>
      <c r="E1028">
        <f>INDEX(FactorTable!$B$2:$Y$301, MATCH(ROUND(MIN(300,MAX(1,D1028)),0), FactorTable!$A$2:$A$301,0), Skills!L26+1)</f>
        <v/>
      </c>
      <c r="F1028">
        <f>IF(Skills!M26=TRUE,(Skills!K26/10)*(E1028/1000),Skills!K26/10)+Skills!N26</f>
        <v/>
      </c>
      <c r="G1028">
        <f>Calc!G26</f>
        <v/>
      </c>
      <c r="H1028">
        <f>Calc!H26</f>
        <v/>
      </c>
      <c r="I1028">
        <f>IF(Skills!T26&lt;&gt;"",1+(Skills!T26/10)*($Z$3/1000)/100,1)</f>
        <v/>
      </c>
      <c r="J1028" t="inlineStr"/>
      <c r="K1028" t="inlineStr"/>
      <c r="L1028" t="inlineStr"/>
      <c r="M1028" t="inlineStr"/>
      <c r="N1028" t="inlineStr"/>
      <c r="O1028">
        <f>(1-Summary!$B$48)*S1028+Summary!$B$48*U1028</f>
        <v/>
      </c>
      <c r="P1028">
        <f>IF(B1044=0,0,O1028/B1044)</f>
        <v/>
      </c>
      <c r="Q1028">
        <f>IFERROR(1/IF(Inputs!$B$39="pvp",15,MAX(0.1,Skills!D26-IF(Skills!E26=TRUE,Inputs!$B$33,0))),0)</f>
        <v/>
      </c>
      <c r="R1028" t="n">
        <v>0</v>
      </c>
      <c r="S1028" t="n">
        <v>0</v>
      </c>
      <c r="U1028" t="n">
        <v>0</v>
      </c>
    </row>
    <row r="1029">
      <c r="A1029">
        <f>Skills!A27</f>
        <v/>
      </c>
      <c r="B1029">
        <f>Skills!B27</f>
        <v/>
      </c>
      <c r="C1029">
        <f>Inputs!$B$3&gt;=120</f>
        <v/>
      </c>
      <c r="D1029">
        <f>IF(Skills!C27=1,60+Inputs!$B$26+Inputs!$B$30,IF(Skills!C27=2,90+Inputs!$B$27+Inputs!$B$30,IF(Skills!C27=3,120+Inputs!$B$28+Inputs!$B$30,MAX(0,(Inputs!$B$3-100)*3)+Inputs!$B$29+Inputs!$B$30)))</f>
        <v/>
      </c>
      <c r="E1029">
        <f>INDEX(FactorTable!$B$2:$Y$301, MATCH(ROUND(MIN(300,MAX(1,D1029)),0), FactorTable!$A$2:$A$301,0), Skills!L27+1)</f>
        <v/>
      </c>
      <c r="F1029">
        <f>IF(Skills!M27=TRUE,(Skills!K27/10)*(E1029/1000),Skills!K27/10)+Skills!N27</f>
        <v/>
      </c>
      <c r="G1029">
        <f>Calc!G27</f>
        <v/>
      </c>
      <c r="H1029">
        <f>Calc!H27</f>
        <v/>
      </c>
      <c r="I1029">
        <f>IF(Skills!T27&lt;&gt;"",1+(Skills!T27/10)*($Z$3/1000)/100,1)</f>
        <v/>
      </c>
      <c r="J1029" t="inlineStr"/>
      <c r="K1029" t="inlineStr"/>
      <c r="L1029" t="inlineStr"/>
      <c r="M1029" t="inlineStr"/>
      <c r="N1029" t="inlineStr"/>
      <c r="O1029">
        <f>(1-Summary!$B$48)*S1029+Summary!$B$48*U1029</f>
        <v/>
      </c>
      <c r="P1029">
        <f>IF(B1044=0,0,O1029/B1044)</f>
        <v/>
      </c>
      <c r="Q1029">
        <f>IFERROR(1/IF(Inputs!$B$39="pvp",15,MAX(0.1,Skills!D27-IF(Skills!E27=TRUE,Inputs!$B$33,0))),0)</f>
        <v/>
      </c>
      <c r="R1029" t="n">
        <v>0</v>
      </c>
      <c r="S1029" t="n">
        <v>0</v>
      </c>
      <c r="U1029" t="n">
        <v>0</v>
      </c>
    </row>
    <row r="1031">
      <c r="A1031" t="inlineStr">
        <is>
          <t>Average Buff Multiplier</t>
        </is>
      </c>
      <c r="B1031">
        <f>(1+(IF(C1005=TRUE,F1005*IF(AND(Inputs!$B$39&lt;&gt;"pvp",Inputs!$B$44&gt;0),(((R1005-1)*(Skills!S3*(1+(Inputs!$B$35+IF(Inputs!$B$3&gt;=117,F1028,0))/100))+MIN((Skills!S3*(1+(Inputs!$B$35+IF(Inputs!$B$3&gt;=117,F1028,0))/100)),MAX(0,Inputs!$B$44-((R1005-1)*Skills!D3))))/Inputs!$B$44),IF(Inputs!$B$39="pvp",MIN((Skills!S3*(1+(Inputs!$B$35+IF(Inputs!$B$3&gt;=117,F1028,0))/100)),15)/15,(Skills!S3*(1+(Inputs!$B$35+IF(Inputs!$B$3&gt;=117,F1028,0))/100))/Skills!D3)),0)+IF(C1006=TRUE,F1006*IF(AND(Inputs!$B$39&lt;&gt;"pvp",Inputs!$B$44&gt;0),(((R1006-1)*(Skills!S4*(1+(Inputs!$B$35+IF(Inputs!$B$3&gt;=117,F1028,0))/100))+MIN((Skills!S4*(1+(Inputs!$B$35+IF(Inputs!$B$3&gt;=117,F1028,0))/100)),MAX(0,Inputs!$B$44-((R1006-1)*Skills!D4))))/Inputs!$B$44),IF(Inputs!$B$39="pvp",MIN((Skills!S4*(1+(Inputs!$B$35+IF(Inputs!$B$3&gt;=117,F1028,0))/100)),15)/15,(Skills!S4*(1+(Inputs!$B$35+IF(Inputs!$B$3&gt;=117,F1028,0))/100))/Skills!D4)),0)+IF(C1007=TRUE,F1007*IF(AND(Inputs!$B$39&lt;&gt;"pvp",Inputs!$B$44&gt;0),(((R1007-1)*(Skills!S5*(1+(Inputs!$B$35+IF(Inputs!$B$3&gt;=117,F1028,0))/100))+MIN((Skills!S5*(1+(Inputs!$B$35+IF(Inputs!$B$3&gt;=117,F1028,0))/100)),MAX(0,Inputs!$B$44-((R1007-1)*Skills!D5))))/Inputs!$B$44),IF(Inputs!$B$39="pvp",MIN((Skills!S5*(1+(Inputs!$B$35+IF(Inputs!$B$3&gt;=117,F1028,0))/100)),15)/15,(Skills!S5*(1+(Inputs!$B$35+IF(Inputs!$B$3&gt;=117,F1028,0))/100))/Skills!D5)),0)+IF(C1013=TRUE,F1013*IF(AND(Inputs!$B$39&lt;&gt;"pvp",Inputs!$B$44&gt;0),(((R1013-1)*(Skills!S11*(1+(Inputs!$B$35+IF(Inputs!$B$3&gt;=117,F1028,0))/100))+MIN((Skills!S11*(1+(Inputs!$B$35+IF(Inputs!$B$3&gt;=117,F1028,0))/100)),MAX(0,Inputs!$B$44-((R1013-1)*Skills!D11))))/Inputs!$B$44),IF(Inputs!$B$39="pvp",MIN((Skills!S11*(1+(Inputs!$B$35+IF(Inputs!$B$3&gt;=117,F1028,0))/100)),15)/15,(Skills!S11*(1+(Inputs!$B$35+IF(Inputs!$B$3&gt;=117,F1028,0))/100))/Skills!D11)),0))/100)*IF(C1016=TRUE,(1+F1016*IF(AND(Inputs!$B$39&lt;&gt;"pvp",Inputs!$B$44&gt;0),(((R1016-1)*(Skills!S14*(1+(Inputs!$B$35+IF(Inputs!$B$3&gt;=117,F1028,0))/100))+MIN((Skills!S14*(1+(Inputs!$B$35+IF(Inputs!$B$3&gt;=117,F1028,0))/100)),MAX(0,Inputs!$B$44-((R1016-1)*Skills!D14))))/Inputs!$B$44),IF(Inputs!$B$39="pvp",MIN((Skills!S14*(1+(Inputs!$B$35+IF(Inputs!$B$3&gt;=117,F1028,0))/100)),15)/15,(Skills!S14*(1+(Inputs!$B$35+IF(Inputs!$B$3&gt;=117,F1028,0))/100))/Skills!D14))/100),1)*IF(C1021=TRUE,(1+F1021*IF(AND(Inputs!$B$39&lt;&gt;"pvp",Inputs!$B$44&gt;0),(((R1021-1)*(Skills!S19*(1+(Inputs!$B$35+IF(Inputs!$B$3&gt;=117,F1028,0))/100))+MIN((Skills!S19*(1+(Inputs!$B$35+IF(Inputs!$B$3&gt;=117,F1028,0))/100)),MAX(0,Inputs!$B$44-((R1021-1)*Skills!D19))))/Inputs!$B$44),IF(Inputs!$B$39="pvp",MIN((Skills!S19*(1+(Inputs!$B$35+IF(Inputs!$B$3&gt;=117,F1028,0))/100)),15)/15,(Skills!S19*(1+(Inputs!$B$35+IF(Inputs!$B$3&gt;=117,F1028,0))/100))/Skills!D19))/100),1)</f>
        <v/>
      </c>
    </row>
    <row r="1032">
      <c r="A1032" t="inlineStr">
        <is>
          <t>Monster Damage Taken Bonus % (Holy Fountain)</t>
        </is>
      </c>
      <c r="B1032">
        <f>IF(Inputs!$B$3&gt;=68,20*IF(Inputs!$B$39="pvp",MIN((15*(1+(Inputs!$B$35+IF(Inputs!$B$3&gt;=117,F1028,0))/100)),15)/15,(15*(1+(Inputs!$B$35+IF(Inputs!$B$3&gt;=117,F1028,0))/100))/Skills!D10),0)</f>
        <v/>
      </c>
    </row>
    <row r="1033">
      <c r="A1033" t="inlineStr">
        <is>
          <t>Normal Monster Damage Bonus % (Holy Symbol)</t>
        </is>
      </c>
      <c r="B1033">
        <f>IF(C1014=TRUE,F1014*IF(AND(Inputs!$B$39&lt;&gt;"pvp",Inputs!$B$44&gt;0),(((R1014-1)*(Skills!S12*(1+(Inputs!$B$35+IF(Inputs!$B$3&gt;=117,F1028,0))/100))+MIN((Skills!S12*(1+(Inputs!$B$35+IF(Inputs!$B$3&gt;=117,F1028,0))/100)),MAX(0,Inputs!$B$44-((R1014-1)*Skills!D12))))/Inputs!$B$44),IF(Inputs!$B$39="pvp",MIN((Skills!S12*(1+(Inputs!$B$35+IF(Inputs!$B$3&gt;=117,F1028,0))/100)),15)/15,(Skills!S12*(1+(Inputs!$B$35+IF(Inputs!$B$3&gt;=117,F1028,0))/100))/Skills!D12)),0)</f>
        <v/>
      </c>
    </row>
    <row r="1034">
      <c r="A1034" t="inlineStr">
        <is>
          <t>Damage % Bonus (Holy Symbol - Damage Boost)</t>
        </is>
      </c>
      <c r="B1034">
        <f>Skills!O12</f>
        <v/>
      </c>
    </row>
    <row r="1035">
      <c r="A1035" t="inlineStr">
        <is>
          <t>Crit Damage % Bonus (Blood of the Divine)</t>
        </is>
      </c>
      <c r="B1035">
        <f>4*IF(C1022=TRUE,F1022,0)</f>
        <v/>
      </c>
    </row>
    <row r="1036">
      <c r="A1036" t="inlineStr">
        <is>
          <t>Attack Speed Bonus %</t>
        </is>
      </c>
      <c r="B1036">
        <f>IF(C1019=TRUE,F1019+(F1023-Calc!F21),0)+IF(Inputs!$B$3&gt;=134,15,0)</f>
        <v/>
      </c>
    </row>
    <row r="1037">
      <c r="A1037" t="inlineStr">
        <is>
          <t>Actions Per Second</t>
        </is>
      </c>
      <c r="B1037">
        <f>1+MIN(150,150*(1-(1-Inputs!$B$12/150)*(1-B1036/150)))/100</f>
        <v/>
      </c>
    </row>
    <row r="1038">
      <c r="A1038" t="inlineStr">
        <is>
          <t>Skill + Buff Cast Rate</t>
        </is>
      </c>
      <c r="B1038">
        <f>IF(AND(Inputs!$B$39&lt;&gt;"pvp",Inputs!$B$44&gt;0),SUMPRODUCT((Skills!E2:E27=TRUE)*(C1004:C1029=TRUE)*R1004:R1029)/Inputs!$B$44,SUMPRODUCT((Skills!E2:E27=TRUE)*(C1004:C1029=TRUE)*Q1004:Q1029))</f>
        <v/>
      </c>
    </row>
    <row r="1039">
      <c r="A1039" t="inlineStr">
        <is>
          <t>Big Bang Casts Per Second</t>
        </is>
      </c>
      <c r="B1039">
        <f>MAX(0,B1037-B1038)</f>
        <v/>
      </c>
    </row>
    <row r="1040">
      <c r="A1040" t="inlineStr">
        <is>
          <t>Defense % Bonus (Divine Protection)</t>
        </is>
      </c>
      <c r="B1040">
        <f>IF(C1015=TRUE,F1015*IF(AND(Inputs!$B$39&lt;&gt;"pvp",Inputs!$B$44&gt;0),(((R1015-1)*(Skills!S13*(1+(Inputs!$B$35+IF(Inputs!$B$3&gt;=117,F1028,0))/100))+MIN((Skills!S13*(1+(Inputs!$B$35+IF(Inputs!$B$3&gt;=117,F1028,0))/100)),MAX(0,Inputs!$B$44-((R1015-1)*Skills!D13))))/Inputs!$B$44),IF(Inputs!$B$39="pvp",MIN((Skills!S13*(1+(Inputs!$B$35+IF(Inputs!$B$3&gt;=117,F1028,0))/100)),15)/15,(Skills!S13*(1+(Inputs!$B$35+IF(Inputs!$B$3&gt;=117,F1028,0))/100))/Skills!D13)),0)</f>
        <v/>
      </c>
    </row>
    <row r="1041">
      <c r="A1041" t="inlineStr">
        <is>
          <t>Buff-Casting Startup Delay (s, fixed-duration only)</t>
        </is>
      </c>
      <c r="B1041">
        <f>IF(AND(Inputs!$B$39&lt;&gt;"pvp",Inputs!$B$44&gt;0),SUMPRODUCT((Skills!S2:S27&gt;0)*(Skills!E2:E27=TRUE)*(C1004:C1029=TRUE))/B1037,0)</f>
        <v/>
      </c>
    </row>
    <row r="1042">
      <c r="A1042" t="inlineStr">
        <is>
          <t>Boss-Only Total DPS (this block's swept value)</t>
        </is>
      </c>
      <c r="B1042">
        <f>SUM(S1004:S1029)</f>
        <v/>
      </c>
    </row>
    <row r="1043">
      <c r="A1043" t="inlineStr">
        <is>
          <t>Normal-Only Total DPS (this block's swept value)</t>
        </is>
      </c>
      <c r="B1043">
        <f>SUM(U1004:U1029)</f>
        <v/>
      </c>
    </row>
    <row r="1044">
      <c r="A1044" s="5" t="inlineStr">
        <is>
          <t>TOTAL DPS</t>
        </is>
      </c>
      <c r="B1044" s="5">
        <f>SUM(O1004:O1029)</f>
        <v/>
      </c>
    </row>
    <row r="1046">
      <c r="A1046" s="5" t="inlineStr">
        <is>
          <t>Stat: ATTACK %</t>
        </is>
      </c>
    </row>
    <row r="1047">
      <c r="A1047" s="9" t="inlineStr">
        <is>
          <t>Key</t>
        </is>
      </c>
      <c r="B1047" s="9" t="inlineStr">
        <is>
          <t>Name</t>
        </is>
      </c>
      <c r="C1047" s="9" t="inlineStr">
        <is>
          <t>Unlocked</t>
        </is>
      </c>
      <c r="D1047" s="9" t="inlineStr">
        <is>
          <t>InputLevel</t>
        </is>
      </c>
      <c r="E1047" s="9" t="inlineStr">
        <is>
          <t>Factor</t>
        </is>
      </c>
      <c r="F1047" s="9" t="inlineStr">
        <is>
          <t>CoefficientPercent</t>
        </is>
      </c>
      <c r="G1047" s="9" t="inlineStr">
        <is>
          <t>EffectiveHits</t>
        </is>
      </c>
      <c r="H1047" s="9" t="inlineStr">
        <is>
          <t>ProcProbability</t>
        </is>
      </c>
      <c r="I1047" s="9" t="inlineStr">
        <is>
          <t>MapleHeroMultiplier</t>
        </is>
      </c>
      <c r="J1047" s="9" t="inlineStr">
        <is>
          <t>BaseDamage</t>
        </is>
      </c>
      <c r="K1047" s="9" t="inlineStr">
        <is>
          <t>BaseHitDamage</t>
        </is>
      </c>
      <c r="L1047" s="9" t="inlineStr">
        <is>
          <t>NonCritAvg</t>
        </is>
      </c>
      <c r="M1047" s="9" t="inlineStr">
        <is>
          <t>CritAvg</t>
        </is>
      </c>
      <c r="N1047" s="9" t="inlineStr">
        <is>
          <t>ExpectedDamage(perHit)</t>
        </is>
      </c>
      <c r="O1047" s="9" t="inlineStr">
        <is>
          <t>DPS</t>
        </is>
      </c>
      <c r="P1047" s="9" t="inlineStr">
        <is>
          <t>% of Total</t>
        </is>
      </c>
      <c r="R1047" t="inlineStr">
        <is>
          <t>helpers</t>
        </is>
      </c>
    </row>
    <row r="1048">
      <c r="A1048">
        <f>Skills!A2</f>
        <v/>
      </c>
      <c r="B1048">
        <f>Skills!B2</f>
        <v/>
      </c>
      <c r="C1048">
        <f>Inputs!$B$3&gt;=100</f>
        <v/>
      </c>
      <c r="D1048" t="inlineStr"/>
      <c r="E1048" t="inlineStr"/>
      <c r="F1048">
        <f>T1050+Skills!N2</f>
        <v/>
      </c>
      <c r="G1048">
        <f>Calc!G2</f>
        <v/>
      </c>
      <c r="H1048">
        <f>Calc!H2</f>
        <v/>
      </c>
      <c r="I1048">
        <f>IF(Skills!T2&lt;&gt;"",1+(Skills!T2/10)*($Z$3/1000)/100,1)</f>
        <v/>
      </c>
      <c r="J1048">
        <f>((Inputs!$B$6*(1+(Inputs!$B$7+1)/100))+(((Inputs!$B$13*(1+Inputs!$B$14/100))-(Inputs!$B$13*(1+Inputs!$B$14/100)))+0.25*(Inputs!$B$15-Inputs!$B$15))*(1+(Inputs!$B$7+1)/100))*(F1048/100)</f>
        <v/>
      </c>
      <c r="K1048">
        <f>J1048*(1+(((Inputs!$B$13+IF(Inputs!$B$3&gt;=35,(10*INDEX(FactorTable!$B$2:$Y$301, MATCH(ROUND(MIN(300,MAX(1,Inputs!$B$3)),0), FactorTable!$A$2:$A$301,0), 23)/1000)/100*(Inputs!$B$8*(1+(Inputs!$B$9+B1084)/100)),0))*(1+Inputs!$B$14/100))*0.01+Inputs!$B$15*0.0025)/100)*(1+(Inputs!$B$16+B1078)/100)*(1+Inputs!$B$17/100)*(5000/(6000+Inputs!$B$43*(1-Inputs!$B$20/100)))*(1+Inputs!$B$25/100)*(1+IF(C1064=TRUE,F1064,0)/100)*(1+IF(C1066=TRUE,F1066,0)/100)*(1+IF(Skills!A2="TRIUMPH_FEATHER",IF(C1062=TRUE,F1062,0),0)/100)*(1+IF(C1073=TRUE,F1073,0)/100)^5*(1+(IF(Skills!A2="BIG_BANG",Inputs!$B$18,Inputs!$B$19))/100)*(B1075*I1048)</f>
        <v/>
      </c>
      <c r="L1048">
        <f>K1048*(MIN(Inputs!$B$23+(F1068-Calc!F22),Inputs!$B$24)/100+Inputs!$B$24/100)/2</f>
        <v/>
      </c>
      <c r="M1048">
        <f>L1048*(1+(Inputs!$B$11+B1079+(F1071-Calc!F25))/100)</f>
        <v/>
      </c>
      <c r="N1048">
        <f>L1048*(1-MIN(Inputs!$B$10+((F1070-Calc!F24)+(F1069-Calc!F23)),100)/100)+M1048*(MIN(Inputs!$B$10+((F1070-Calc!F24)+(F1069-Calc!F23)),100)/100)</f>
        <v/>
      </c>
      <c r="O1048">
        <f>(1-Summary!$B$48)*S1048+Summary!$B$48*U1048</f>
        <v/>
      </c>
      <c r="P1048">
        <f>IF(B1088=0,0,O1048/B1088)</f>
        <v/>
      </c>
      <c r="Q1048">
        <f>IFERROR(1/IF(Inputs!$B$39="pvp",15,MAX(0.1,Skills!D2-IF(Skills!E2=TRUE,Inputs!$B$33,0))),0)</f>
        <v/>
      </c>
      <c r="R1048" t="n">
        <v>0</v>
      </c>
      <c r="S1048">
        <f>IF(C1048,(Skills!F2*N1048*B1083)*IF(Inputs!$B$39="pvp",1,1+(Inputs!$B$21+Skills!O2+B1076)/100),0)</f>
        <v/>
      </c>
      <c r="T1048">
        <f>MAX(0,(Inputs!$B$3-100)*3)+Inputs!$B$29+Inputs!$B$30</f>
        <v/>
      </c>
      <c r="U1048">
        <f>IF(C1048,(Skills!F2*N1048*B1083)*IF(Inputs!$B$39="pvp",1,(1+(Inputs!$B$22+Skills!P2+B1077)/100)*(MIN((6+Inputs!$B$34),Inputs!$B$38))),0)</f>
        <v/>
      </c>
    </row>
    <row r="1049">
      <c r="A1049">
        <f>Skills!A3</f>
        <v/>
      </c>
      <c r="B1049">
        <f>Skills!B3</f>
        <v/>
      </c>
      <c r="C1049">
        <f>Inputs!$B$3&gt;=15</f>
        <v/>
      </c>
      <c r="D1049">
        <f>IF(Skills!C3=1,60+Inputs!$B$26+Inputs!$B$30,IF(Skills!C3=2,90+Inputs!$B$27+Inputs!$B$30,IF(Skills!C3=3,120+Inputs!$B$28+Inputs!$B$30,MAX(0,(Inputs!$B$3-100)*3)+Inputs!$B$29+Inputs!$B$30)))</f>
        <v/>
      </c>
      <c r="E1049">
        <f>INDEX(FactorTable!$B$2:$Y$301, MATCH(ROUND(MIN(300,MAX(1,D1049)),0), FactorTable!$A$2:$A$301,0), Skills!L3+1)</f>
        <v/>
      </c>
      <c r="F1049">
        <f>IF(Skills!M3=TRUE,(Skills!K3/10)*(E1049/1000),Skills!K3/10)+Skills!N3</f>
        <v/>
      </c>
      <c r="G1049">
        <f>Calc!G3</f>
        <v/>
      </c>
      <c r="H1049">
        <f>Calc!H3</f>
        <v/>
      </c>
      <c r="I1049">
        <f>IF(Skills!T3&lt;&gt;"",1+(Skills!T3/10)*($Z$3/1000)/100,1)</f>
        <v/>
      </c>
      <c r="J1049" t="inlineStr"/>
      <c r="K1049" t="inlineStr"/>
      <c r="L1049" t="inlineStr"/>
      <c r="M1049" t="inlineStr"/>
      <c r="N1049" t="inlineStr"/>
      <c r="O1049">
        <f>(1-Summary!$B$48)*S1049+Summary!$B$48*U1049</f>
        <v/>
      </c>
      <c r="P1049">
        <f>IF(B1088=0,0,O1049/B1088)</f>
        <v/>
      </c>
      <c r="Q1049">
        <f>IFERROR(1/IF(Inputs!$B$39="pvp",15,MAX(0.1,Skills!D3-IF(Skills!E3=TRUE,Inputs!$B$33,0))),0)</f>
        <v/>
      </c>
      <c r="R1049">
        <f>IF(AND(Inputs!$B$39&lt;&gt;"pvp",Inputs!$B$44&gt;0),IF(Inputs!$B$44&lt;=0,0,(INT(Inputs!$B$44/IF(Inputs!$B$39="pvp",15,MAX(0.1,Skills!D3-IF(Skills!E3=TRUE,Inputs!$B$33,0))))+1)),0)</f>
        <v/>
      </c>
      <c r="S1049" t="n">
        <v>0</v>
      </c>
      <c r="T1049">
        <f>INDEX(FactorTable!$B$2:$Y$301, MATCH(ROUND(MIN(300,MAX(1,T1048)),0), FactorTable!$A$2:$A$301,0), 22)</f>
        <v/>
      </c>
      <c r="U1049" t="n">
        <v>0</v>
      </c>
    </row>
    <row r="1050">
      <c r="A1050">
        <f>Skills!A4</f>
        <v/>
      </c>
      <c r="B1050">
        <f>Skills!B4</f>
        <v/>
      </c>
      <c r="C1050">
        <f>Inputs!$B$3&gt;=38</f>
        <v/>
      </c>
      <c r="D1050">
        <f>IF(Skills!C4=1,60+Inputs!$B$26+Inputs!$B$30,IF(Skills!C4=2,90+Inputs!$B$27+Inputs!$B$30,IF(Skills!C4=3,120+Inputs!$B$28+Inputs!$B$30,MAX(0,(Inputs!$B$3-100)*3)+Inputs!$B$29+Inputs!$B$30)))</f>
        <v/>
      </c>
      <c r="E1050">
        <f>INDEX(FactorTable!$B$2:$Y$301, MATCH(ROUND(MIN(300,MAX(1,D1050)),0), FactorTable!$A$2:$A$301,0), Skills!L4+1)</f>
        <v/>
      </c>
      <c r="F1050">
        <f>IF(Skills!M4=TRUE,(Skills!K4/10)*(E1050/1000),Skills!K4/10)+Skills!N4</f>
        <v/>
      </c>
      <c r="G1050">
        <f>Calc!G4</f>
        <v/>
      </c>
      <c r="H1050">
        <f>Calc!H4</f>
        <v/>
      </c>
      <c r="I1050">
        <f>IF(Skills!T4&lt;&gt;"",1+(Skills!T4/10)*($Z$3/1000)/100,1)</f>
        <v/>
      </c>
      <c r="J1050" t="inlineStr"/>
      <c r="K1050" t="inlineStr"/>
      <c r="L1050" t="inlineStr"/>
      <c r="M1050" t="inlineStr"/>
      <c r="N1050" t="inlineStr"/>
      <c r="O1050">
        <f>(1-Summary!$B$48)*S1050+Summary!$B$48*U1050</f>
        <v/>
      </c>
      <c r="P1050">
        <f>IF(B1088=0,0,O1050/B1088)</f>
        <v/>
      </c>
      <c r="Q1050">
        <f>IFERROR(1/IF(Inputs!$B$39="pvp",15,MAX(0.1,Skills!D4-IF(Skills!E4=TRUE,Inputs!$B$33,0))),0)</f>
        <v/>
      </c>
      <c r="R1050">
        <f>IF(AND(Inputs!$B$39&lt;&gt;"pvp",Inputs!$B$44&gt;0),IF(Inputs!$B$44&lt;=0,0,(INT(Inputs!$B$44/IF(Inputs!$B$39="pvp",15,MAX(0.1,Skills!D4-IF(Skills!E4=TRUE,Inputs!$B$33,0))))+1)),0)</f>
        <v/>
      </c>
      <c r="S1050" t="n">
        <v>0</v>
      </c>
      <c r="T1050">
        <f>290*T1049/1000</f>
        <v/>
      </c>
      <c r="U1050" t="n">
        <v>0</v>
      </c>
    </row>
    <row r="1051">
      <c r="A1051">
        <f>Skills!A5</f>
        <v/>
      </c>
      <c r="B1051">
        <f>Skills!B5</f>
        <v/>
      </c>
      <c r="C1051">
        <f>Inputs!$B$3&gt;=40</f>
        <v/>
      </c>
      <c r="D1051">
        <f>IF(Skills!C5=1,60+Inputs!$B$26+Inputs!$B$30,IF(Skills!C5=2,90+Inputs!$B$27+Inputs!$B$30,IF(Skills!C5=3,120+Inputs!$B$28+Inputs!$B$30,MAX(0,(Inputs!$B$3-100)*3)+Inputs!$B$29+Inputs!$B$30)))</f>
        <v/>
      </c>
      <c r="E1051">
        <f>INDEX(FactorTable!$B$2:$Y$301, MATCH(ROUND(MIN(300,MAX(1,D1051)),0), FactorTable!$A$2:$A$301,0), Skills!L5+1)</f>
        <v/>
      </c>
      <c r="F1051">
        <f>IF(Skills!M5=TRUE,(Skills!K5/10)*(E1051/1000),Skills!K5/10)+Skills!N5</f>
        <v/>
      </c>
      <c r="G1051">
        <f>Calc!G5</f>
        <v/>
      </c>
      <c r="H1051">
        <f>Calc!H5</f>
        <v/>
      </c>
      <c r="I1051">
        <f>IF(Skills!T5&lt;&gt;"",1+(Skills!T5/10)*($Z$3/1000)/100,1)</f>
        <v/>
      </c>
      <c r="J1051" t="inlineStr"/>
      <c r="K1051" t="inlineStr"/>
      <c r="L1051" t="inlineStr"/>
      <c r="M1051" t="inlineStr"/>
      <c r="N1051" t="inlineStr"/>
      <c r="O1051">
        <f>(1-Summary!$B$48)*S1051+Summary!$B$48*U1051</f>
        <v/>
      </c>
      <c r="P1051">
        <f>IF(B1088=0,0,O1051/B1088)</f>
        <v/>
      </c>
      <c r="Q1051">
        <f>IFERROR(1/IF(Inputs!$B$39="pvp",15,MAX(0.1,Skills!D5-IF(Skills!E5=TRUE,Inputs!$B$33,0))),0)</f>
        <v/>
      </c>
      <c r="R1051">
        <f>IF(AND(Inputs!$B$39&lt;&gt;"pvp",Inputs!$B$44&gt;0),IF(Inputs!$B$44&lt;=0,0,(INT(Inputs!$B$44/IF(Inputs!$B$39="pvp",15,MAX(0.1,Skills!D5-IF(Skills!E5=TRUE,Inputs!$B$33,0))))+1)),0)</f>
        <v/>
      </c>
      <c r="S1051" t="n">
        <v>0</v>
      </c>
      <c r="U1051" t="n">
        <v>0</v>
      </c>
    </row>
    <row r="1052">
      <c r="A1052">
        <f>Skills!A6</f>
        <v/>
      </c>
      <c r="B1052">
        <f>Skills!B6</f>
        <v/>
      </c>
      <c r="C1052">
        <f>Inputs!$B$3&gt;=103</f>
        <v/>
      </c>
      <c r="D1052">
        <f>IF(Skills!C6=1,60+Inputs!$B$26+Inputs!$B$30,IF(Skills!C6=2,90+Inputs!$B$27+Inputs!$B$30,IF(Skills!C6=3,120+Inputs!$B$28+Inputs!$B$30,MAX(0,(Inputs!$B$3-100)*3)+Inputs!$B$29+Inputs!$B$30)))</f>
        <v/>
      </c>
      <c r="E1052">
        <f>INDEX(FactorTable!$B$2:$Y$301, MATCH(ROUND(MIN(300,MAX(1,D1052)),0), FactorTable!$A$2:$A$301,0), Skills!L6+1)</f>
        <v/>
      </c>
      <c r="F1052">
        <f>IF(Skills!M6=TRUE,(Skills!K6/10)*(E1052/1000),Skills!K6/10)+Skills!N6</f>
        <v/>
      </c>
      <c r="G1052">
        <f>Calc!G6</f>
        <v/>
      </c>
      <c r="H1052">
        <f>Calc!H6</f>
        <v/>
      </c>
      <c r="I1052">
        <f>IF(Skills!T6&lt;&gt;"",1+(Skills!T6/10)*($Z$3/1000)/100,1)</f>
        <v/>
      </c>
      <c r="J1052">
        <f>((Inputs!$B$6*(1+(Inputs!$B$7+1)/100))+(((Inputs!$B$13*(1+Inputs!$B$14/100))-(Inputs!$B$13*(1+Inputs!$B$14/100)))+0.25*(Inputs!$B$15-Inputs!$B$15))*(1+(Inputs!$B$7+1)/100))*(F1052/100)</f>
        <v/>
      </c>
      <c r="K1052">
        <f>J1052*(1+(((Inputs!$B$13+IF(Inputs!$B$3&gt;=35,(10*INDEX(FactorTable!$B$2:$Y$301, MATCH(ROUND(MIN(300,MAX(1,Inputs!$B$3)),0), FactorTable!$A$2:$A$301,0), 23)/1000)/100*(Inputs!$B$8*(1+(Inputs!$B$9+B1084)/100)),0))*(1+Inputs!$B$14/100))*0.01+Inputs!$B$15*0.0025)/100)*(1+(Inputs!$B$16+B1078)/100)*(1+Inputs!$B$17/100)*(5000/(6000+Inputs!$B$43*(1-Inputs!$B$20/100)))*(1+Inputs!$B$25/100)*(1+IF(C1064=TRUE,F1064,0)/100)*(1+IF(C1066=TRUE,F1066,0)/100)*(1+IF(Skills!A6="TRIUMPH_FEATHER",IF(C1062=TRUE,F1062,0),0)/100)*(1+IF(C1073=TRUE,F1073,0)/100)^5*(1+(IF(Skills!A6="BIG_BANG",Inputs!$B$18,Inputs!$B$19))/100)*(B1075*I1052)</f>
        <v/>
      </c>
      <c r="L1052">
        <f>K1052*(MIN(Inputs!$B$23+(F1068-Calc!F22),Inputs!$B$24)/100+Inputs!$B$24/100)/2</f>
        <v/>
      </c>
      <c r="M1052">
        <f>L1052*(1+(Inputs!$B$11+B1079+(F1071-Calc!F25))/100)</f>
        <v/>
      </c>
      <c r="N1052">
        <f>L1052*(1-MIN(Inputs!$B$10+((F1070-Calc!F24)+(F1069-Calc!F23)),100)/100)+M1052*(MIN(Inputs!$B$10+((F1070-Calc!F24)+(F1069-Calc!F23)),100)/100)</f>
        <v/>
      </c>
      <c r="O1052">
        <f>(1-Summary!$B$48)*S1052+Summary!$B$48*U1052</f>
        <v/>
      </c>
      <c r="P1052">
        <f>IF(B1088=0,0,O1052/B1088)</f>
        <v/>
      </c>
      <c r="Q1052">
        <f>IFERROR(1/IF(Inputs!$B$39="pvp",15,MAX(0.1,Skills!D6-IF(Skills!E6=TRUE,Inputs!$B$33,0))),0)</f>
        <v/>
      </c>
      <c r="R1052">
        <f>IF(AND(Inputs!$B$39&lt;&gt;"pvp",Inputs!$B$44&gt;0),IF(MAX(0,Inputs!$B$44-B1085)&lt;=0,0,(INT(MAX(0,Inputs!$B$44-B1085)/IF(Inputs!$B$39="pvp",15,MAX(0.1,Skills!D6-IF(Skills!E6=TRUE,Inputs!$B$33,0))))+1)),0)</f>
        <v/>
      </c>
      <c r="S1052">
        <f>IF(C1052,(H1052*N1052*IF(AND(Inputs!$B$39&lt;&gt;"pvp",Inputs!$B$44&gt;0),((Skills!F6*((R1052-1)*IF(Skills!G6&gt;0,Skills!H6/Skills!G6,1)+IF(Skills!G6&gt;0,MIN(Skills!H6,MAX(0,MAX(0,Inputs!$B$44-B1085)-((R1052-1)*IF(Inputs!$B$39="pvp",15,MAX(0.1,Skills!D6-IF(Skills!E6=TRUE,Inputs!$B$33,0))))))/Skills!G6,1)))/Inputs!$B$44),G1052*Q1052))*IF(Inputs!$B$39="pvp",1,1+(Inputs!$B$21+Skills!O6+B1076)/100),0)</f>
        <v/>
      </c>
      <c r="U1052">
        <f>IF(C1052,(H1052*N1052*IF(AND(Inputs!$B$39&lt;&gt;"pvp",Inputs!$B$44&gt;0),((Skills!F6*((R1052-1)*IF(Skills!G6&gt;0,Skills!H6/Skills!G6,1)+IF(Skills!G6&gt;0,MIN(Skills!H6,MAX(0,MAX(0,Inputs!$B$44-B1085)-((R1052-1)*IF(Inputs!$B$39="pvp",15,MAX(0.1,Skills!D6-IF(Skills!E6=TRUE,Inputs!$B$33,0))))))/Skills!G6,1)))/Inputs!$B$44),G1052*Q1052))*IF(Inputs!$B$39="pvp",1,(1+(Inputs!$B$22+Skills!P6+B1077)/100)*(MIN(Skills!Q6,Inputs!$B$38))),0)</f>
        <v/>
      </c>
    </row>
    <row r="1053">
      <c r="A1053">
        <f>Skills!A7</f>
        <v/>
      </c>
      <c r="B1053">
        <f>Skills!B7</f>
        <v/>
      </c>
      <c r="C1053">
        <f>Inputs!$B$3&gt;=122</f>
        <v/>
      </c>
      <c r="D1053">
        <f>IF(Skills!C7=1,60+Inputs!$B$26+Inputs!$B$30,IF(Skills!C7=2,90+Inputs!$B$27+Inputs!$B$30,IF(Skills!C7=3,120+Inputs!$B$28+Inputs!$B$30,MAX(0,(Inputs!$B$3-100)*3)+Inputs!$B$29+Inputs!$B$30)))</f>
        <v/>
      </c>
      <c r="E1053">
        <f>INDEX(FactorTable!$B$2:$Y$301, MATCH(ROUND(MIN(300,MAX(1,D1053)),0), FactorTable!$A$2:$A$301,0), Skills!L7+1)</f>
        <v/>
      </c>
      <c r="F1053">
        <f>IF(Skills!M7=TRUE,(Skills!K7/10)*(E1053/1000),Skills!K7/10)+Skills!N7</f>
        <v/>
      </c>
      <c r="G1053">
        <f>Calc!G7</f>
        <v/>
      </c>
      <c r="H1053">
        <f>Calc!H7</f>
        <v/>
      </c>
      <c r="I1053">
        <f>IF(Skills!T7&lt;&gt;"",1+(Skills!T7/10)*($Z$3/1000)/100,1)</f>
        <v/>
      </c>
      <c r="J1053">
        <f>((Inputs!$B$6*(1+(Inputs!$B$7+1)/100))+(((Inputs!$B$13*(1+Inputs!$B$14/100))-(Inputs!$B$13*(1+Inputs!$B$14/100)))+0.25*(Inputs!$B$15-Inputs!$B$15))*(1+(Inputs!$B$7+1)/100))*(F1053/100)</f>
        <v/>
      </c>
      <c r="K1053">
        <f>J1053*(1+(((Inputs!$B$13+IF(Inputs!$B$3&gt;=35,(10*INDEX(FactorTable!$B$2:$Y$301, MATCH(ROUND(MIN(300,MAX(1,Inputs!$B$3)),0), FactorTable!$A$2:$A$301,0), 23)/1000)/100*(Inputs!$B$8*(1+(Inputs!$B$9+B1084)/100)),0))*(1+Inputs!$B$14/100))*0.01+Inputs!$B$15*0.0025)/100)*(1+(Inputs!$B$16+B1078)/100)*(1+Inputs!$B$17/100)*(5000/(6000+Inputs!$B$43*(1-Inputs!$B$20/100)))*(1+Inputs!$B$25/100)*(1+IF(C1064=TRUE,F1064,0)/100)*(1+IF(C1066=TRUE,F1066,0)/100)*(1+IF(Skills!A7="TRIUMPH_FEATHER",IF(C1062=TRUE,F1062,0),0)/100)*(1+IF(C1073=TRUE,F1073,0)/100)^5*(1+(IF(Skills!A7="BIG_BANG",Inputs!$B$18,Inputs!$B$19))/100)*(B1075*I1053)</f>
        <v/>
      </c>
      <c r="L1053">
        <f>K1053*(MIN(Inputs!$B$23+(F1068-Calc!F22),Inputs!$B$24)/100+Inputs!$B$24/100)/2</f>
        <v/>
      </c>
      <c r="M1053">
        <f>L1053*(1+(Inputs!$B$11+B1079+(F1071-Calc!F25))/100)</f>
        <v/>
      </c>
      <c r="N1053">
        <f>L1053*(1-MIN(Inputs!$B$10+((F1070-Calc!F24)+(F1069-Calc!F23)),100)/100)+M1053*(MIN(Inputs!$B$10+((F1070-Calc!F24)+(F1069-Calc!F23)),100)/100)</f>
        <v/>
      </c>
      <c r="O1053">
        <f>(1-Summary!$B$48)*S1053+Summary!$B$48*U1053</f>
        <v/>
      </c>
      <c r="P1053">
        <f>IF(B1088=0,0,O1053/B1088)</f>
        <v/>
      </c>
      <c r="Q1053">
        <f>IFERROR(1/IF(Inputs!$B$39="pvp",15,MAX(0.1,Skills!D7-IF(Skills!E6=TRUE,Inputs!$B$33,0))),0)</f>
        <v/>
      </c>
      <c r="R1053">
        <f>IF(AND(Inputs!$B$39&lt;&gt;"pvp",Inputs!$B$44&gt;0),IF(MAX(0,Inputs!$B$44-B1085)&lt;=0,0,(INT(MAX(0,Inputs!$B$44-B1085)/IF(Inputs!$B$39="pvp",15,MAX(0.1,Skills!D7-IF(Skills!E6=TRUE,Inputs!$B$33,0))))+1)),0)</f>
        <v/>
      </c>
      <c r="S1053">
        <f>IF(C1053,H1053*N1053*IF(AND(Inputs!$B$39&lt;&gt;"pvp",Inputs!$B$44&gt;0),((Skills!F7*((R1053-1)*IF(Skills!G7&gt;0,Skills!H7/Skills!G7,1)+IF(Skills!G7&gt;0,MIN(Skills!H7,MAX(0,MAX(0,Inputs!$B$44-B1085)-((R1053-1)*IF(Inputs!$B$39="pvp",15,MAX(0.1,Skills!D7-IF(Skills!E6=TRUE,Inputs!$B$33,0))))))/Skills!G7,1)))/Inputs!$B$44),G1053*Q1053)*IF(Inputs!$B$39="pvp",1,1+(Inputs!$B$21+Skills!O7+B1076)/100),0)</f>
        <v/>
      </c>
      <c r="U1053" t="n">
        <v>0</v>
      </c>
    </row>
    <row r="1054">
      <c r="A1054">
        <f>Skills!A8</f>
        <v/>
      </c>
      <c r="B1054">
        <f>Skills!B8</f>
        <v/>
      </c>
      <c r="C1054">
        <f>Inputs!$B$3&gt;=105</f>
        <v/>
      </c>
      <c r="D1054">
        <f>IF(Skills!C8=1,60+Inputs!$B$26+Inputs!$B$30,IF(Skills!C8=2,90+Inputs!$B$27+Inputs!$B$30,IF(Skills!C8=3,120+Inputs!$B$28+Inputs!$B$30,MAX(0,(Inputs!$B$3-100)*3)+Inputs!$B$29+Inputs!$B$30)))</f>
        <v/>
      </c>
      <c r="E1054">
        <f>INDEX(FactorTable!$B$2:$Y$301, MATCH(ROUND(MIN(300,MAX(1,D1054)),0), FactorTable!$A$2:$A$301,0), Skills!L8+1)</f>
        <v/>
      </c>
      <c r="F1054">
        <f>IF(Skills!M8=TRUE,(Skills!K8/10)*(E1054/1000),Skills!K8/10)+Skills!N8</f>
        <v/>
      </c>
      <c r="G1054">
        <f>Calc!G8</f>
        <v/>
      </c>
      <c r="H1054">
        <f>Calc!H8</f>
        <v/>
      </c>
      <c r="I1054">
        <f>IF(Skills!T8&lt;&gt;"",1+(Skills!T8/10)*($Z$3/1000)/100,1)</f>
        <v/>
      </c>
      <c r="J1054">
        <f>((Inputs!$B$6*(1+(Inputs!$B$7+1)/100))+(((Inputs!$B$13*(1+Inputs!$B$14/100))-(Inputs!$B$13*(1+Inputs!$B$14/100)))+0.25*(Inputs!$B$15-Inputs!$B$15))*(1+(Inputs!$B$7+1)/100))*(F1054/100)</f>
        <v/>
      </c>
      <c r="K1054">
        <f>J1054*(1+(((Inputs!$B$13+IF(Inputs!$B$3&gt;=35,(10*INDEX(FactorTable!$B$2:$Y$301, MATCH(ROUND(MIN(300,MAX(1,Inputs!$B$3)),0), FactorTable!$A$2:$A$301,0), 23)/1000)/100*(Inputs!$B$8*(1+(Inputs!$B$9+B1084)/100)),0))*(1+Inputs!$B$14/100))*0.01+Inputs!$B$15*0.0025)/100)*(1+(Inputs!$B$16+B1078)/100)*(1+Inputs!$B$17/100)*(5000/(6000+Inputs!$B$43*(1-Inputs!$B$20/100)))*(1+Inputs!$B$25/100)*(1+IF(C1064=TRUE,F1064,0)/100)*(1+IF(C1066=TRUE,F1066,0)/100)*(1+IF(Skills!A8="TRIUMPH_FEATHER",IF(C1062=TRUE,F1062,0),0)/100)*(1+IF(C1073=TRUE,F1073,0)/100)^5*(1+(IF(Skills!A8="BIG_BANG",Inputs!$B$18,Inputs!$B$19))/100)*(B1075*I1054)</f>
        <v/>
      </c>
      <c r="L1054">
        <f>K1054*(MIN(Inputs!$B$23+(F1068-Calc!F22),Inputs!$B$24)/100+Inputs!$B$24/100)/2</f>
        <v/>
      </c>
      <c r="M1054">
        <f>L1054*(1+(Inputs!$B$11+B1079+(F1071-Calc!F25))/100)</f>
        <v/>
      </c>
      <c r="N1054">
        <f>L1054*(1-MIN(Inputs!$B$10+((F1070-Calc!F24)+(F1069-Calc!F23)),100)/100)+M1054*(MIN(Inputs!$B$10+((F1070-Calc!F24)+(F1069-Calc!F23)),100)/100)</f>
        <v/>
      </c>
      <c r="O1054">
        <f>(1-Summary!$B$48)*S1054+Summary!$B$48*U1054</f>
        <v/>
      </c>
      <c r="P1054">
        <f>IF(B1088=0,0,O1054/B1088)</f>
        <v/>
      </c>
      <c r="Q1054">
        <f>IFERROR(1/IF(Inputs!$B$39="pvp",15,MAX(0.1,Skills!D8-IF(Skills!E8=TRUE,Inputs!$B$33,0))),0)</f>
        <v/>
      </c>
      <c r="R1054">
        <f>IF(AND(Inputs!$B$39&lt;&gt;"pvp",Inputs!$B$44&gt;0),IF(MAX(0,Inputs!$B$44-B1085)&lt;=0,0,(INT(MAX(0,Inputs!$B$44-B1085)/IF(Inputs!$B$39="pvp",15,MAX(0.1,Skills!D8-IF(Skills!E8=TRUE,Inputs!$B$33,0))))+1)),0)</f>
        <v/>
      </c>
      <c r="S1054">
        <f>IF(C1054,(H1054*N1054*IF(AND(Inputs!$B$39&lt;&gt;"pvp",Inputs!$B$44&gt;0),((Skills!F8*((R1054-1)*IF(Skills!G8&gt;0,Skills!H8/Skills!G8,1)+IF(Skills!G8&gt;0,MIN(Skills!H8,MAX(0,MAX(0,Inputs!$B$44-B1085)-((R1054-1)*IF(Inputs!$B$39="pvp",15,MAX(0.1,Skills!D8-IF(Skills!E8=TRUE,Inputs!$B$33,0))))))/Skills!G8,1)))/Inputs!$B$44),G1054*Q1054))*IF(Inputs!$B$39="pvp",1,1+(Inputs!$B$21+Skills!O8+B1076)/100),0)</f>
        <v/>
      </c>
      <c r="U1054">
        <f>IF(C1054,(H1054*N1054*IF(AND(Inputs!$B$39&lt;&gt;"pvp",Inputs!$B$44&gt;0),((Skills!F8*((R1054-1)*IF(Skills!G8&gt;0,Skills!H8/Skills!G8,1)+IF(Skills!G8&gt;0,MIN(Skills!H8,MAX(0,MAX(0,Inputs!$B$44-B1085)-((R1054-1)*IF(Inputs!$B$39="pvp",15,MAX(0.1,Skills!D8-IF(Skills!E8=TRUE,Inputs!$B$33,0))))))/Skills!G8,1)))/Inputs!$B$44),G1054*Q1054))*IF(Inputs!$B$39="pvp",1,(1+(Inputs!$B$22+Skills!P8+B1077)/100)*(MIN(Skills!Q8,Inputs!$B$38))),0)</f>
        <v/>
      </c>
    </row>
    <row r="1055">
      <c r="A1055">
        <f>Skills!A9</f>
        <v/>
      </c>
      <c r="B1055">
        <f>Skills!B9</f>
        <v/>
      </c>
      <c r="C1055">
        <f>Inputs!$B$3&gt;=115</f>
        <v/>
      </c>
      <c r="D1055">
        <f>IF(Skills!C9=1,60+Inputs!$B$26+Inputs!$B$30,IF(Skills!C9=2,90+Inputs!$B$27+Inputs!$B$30,IF(Skills!C9=3,120+Inputs!$B$28+Inputs!$B$30,MAX(0,(Inputs!$B$3-100)*3)+Inputs!$B$29+Inputs!$B$30)))</f>
        <v/>
      </c>
      <c r="E1055">
        <f>INDEX(FactorTable!$B$2:$Y$301, MATCH(ROUND(MIN(300,MAX(1,D1055)),0), FactorTable!$A$2:$A$301,0), Skills!L9+1)</f>
        <v/>
      </c>
      <c r="F1055">
        <f>IF(Skills!M9=TRUE,(Skills!K9/10)*(E1055/1000),Skills!K9/10)+Skills!N9</f>
        <v/>
      </c>
      <c r="G1055">
        <f>Calc!G9</f>
        <v/>
      </c>
      <c r="H1055">
        <f>Calc!H9</f>
        <v/>
      </c>
      <c r="I1055">
        <f>IF(Skills!T9&lt;&gt;"",1+(Skills!T9/10)*($Z$3/1000)/100,1)</f>
        <v/>
      </c>
      <c r="J1055">
        <f>((Inputs!$B$6*(1+(Inputs!$B$7+1)/100))+(((Inputs!$B$13*(1+Inputs!$B$14/100))-(Inputs!$B$13*(1+Inputs!$B$14/100)))+0.25*(Inputs!$B$15-Inputs!$B$15))*(1+(Inputs!$B$7+1)/100))*(F1055/100)</f>
        <v/>
      </c>
      <c r="K1055">
        <f>J1055*(1+(((Inputs!$B$13+IF(Inputs!$B$3&gt;=35,(10*INDEX(FactorTable!$B$2:$Y$301, MATCH(ROUND(MIN(300,MAX(1,Inputs!$B$3)),0), FactorTable!$A$2:$A$301,0), 23)/1000)/100*(Inputs!$B$8*(1+(Inputs!$B$9+B1084)/100)),0))*(1+Inputs!$B$14/100))*0.01+Inputs!$B$15*0.0025)/100)*(1+(Inputs!$B$16+B1078)/100)*(1+Inputs!$B$17/100)*(5000/(6000+Inputs!$B$43*(1-Inputs!$B$20/100)))*(1+Inputs!$B$25/100)*(1+IF(C1064=TRUE,F1064,0)/100)*(1+IF(C1066=TRUE,F1066,0)/100)*(1+IF(Skills!A9="TRIUMPH_FEATHER",IF(C1062=TRUE,F1062,0),0)/100)*(1+IF(C1073=TRUE,F1073,0)/100)^5*(1+(IF(Skills!A9="BIG_BANG",Inputs!$B$18,Inputs!$B$19))/100)*(B1075*I1055)</f>
        <v/>
      </c>
      <c r="L1055">
        <f>K1055*(MIN(Inputs!$B$23+(F1068-Calc!F22),Inputs!$B$24)/100+Inputs!$B$24/100)/2</f>
        <v/>
      </c>
      <c r="M1055">
        <f>L1055*(1+(Inputs!$B$11+B1079+(F1071-Calc!F25))/100)</f>
        <v/>
      </c>
      <c r="N1055">
        <f>L1055*(1-MIN(Inputs!$B$10+((F1070-Calc!F24)+(F1069-Calc!F23)),100)/100)+M1055*(MIN(Inputs!$B$10+((F1070-Calc!F24)+(F1069-Calc!F23)),100)/100)</f>
        <v/>
      </c>
      <c r="O1055">
        <f>(1-Summary!$B$48)*S1055+Summary!$B$48*U1055</f>
        <v/>
      </c>
      <c r="P1055">
        <f>IF(B1088=0,0,O1055/B1088)</f>
        <v/>
      </c>
      <c r="Q1055">
        <f>IFERROR(1/IF(Inputs!$B$39="pvp",15,MAX(0.1,Skills!D9-IF(Skills!E9=TRUE,Inputs!$B$33,0))),0)</f>
        <v/>
      </c>
      <c r="R1055">
        <f>IF(AND(Inputs!$B$39&lt;&gt;"pvp",Inputs!$B$44&gt;0),IF(MAX(0,Inputs!$B$44-B1085)&lt;=0,0,(INT(MAX(0,Inputs!$B$44-B1085)/IF(Inputs!$B$39="pvp",15,MAX(0.1,Skills!D9-IF(Skills!E9=TRUE,Inputs!$B$33,0))))+1)),0)</f>
        <v/>
      </c>
      <c r="S1055">
        <f>IF(C1055,(H1055*N1055*IF(AND(Inputs!$B$39&lt;&gt;"pvp",Inputs!$B$44&gt;0),((Skills!F9*((R1055-1)*IF(Skills!G9&gt;0,Skills!H9/Skills!G9,1)+IF(Skills!G9&gt;0,MIN(Skills!H9,MAX(0,MAX(0,Inputs!$B$44-B1085)-((R1055-1)*IF(Inputs!$B$39="pvp",15,MAX(0.1,Skills!D9-IF(Skills!E9=TRUE,Inputs!$B$33,0))))))/Skills!G9,1)))/Inputs!$B$44),G1055*Q1055))*IF(Inputs!$B$39="pvp",1,1+(Inputs!$B$21+Skills!O9+B1076)/100),0)</f>
        <v/>
      </c>
      <c r="U1055">
        <f>IF(C1055,(H1055*N1055*IF(AND(Inputs!$B$39&lt;&gt;"pvp",Inputs!$B$44&gt;0),((Skills!F9*((R1055-1)*IF(Skills!G9&gt;0,Skills!H9/Skills!G9,1)+IF(Skills!G9&gt;0,MIN(Skills!H9,MAX(0,MAX(0,Inputs!$B$44-B1085)-((R1055-1)*IF(Inputs!$B$39="pvp",15,MAX(0.1,Skills!D9-IF(Skills!E9=TRUE,Inputs!$B$33,0))))))/Skills!G9,1)))/Inputs!$B$44),G1055*Q1055))*IF(Inputs!$B$39="pvp",1,(1+(Inputs!$B$22+Skills!P9+B1077)/100)*(MIN(Skills!Q9,Inputs!$B$38))),0)</f>
        <v/>
      </c>
    </row>
    <row r="1056">
      <c r="A1056">
        <f>Skills!A10</f>
        <v/>
      </c>
      <c r="B1056">
        <f>Skills!B10</f>
        <v/>
      </c>
      <c r="C1056">
        <f>Inputs!$B$3&gt;=66</f>
        <v/>
      </c>
      <c r="D1056">
        <f>IF(Skills!C10=1,60+Inputs!$B$26+Inputs!$B$30,IF(Skills!C10=2,90+Inputs!$B$27+Inputs!$B$30,IF(Skills!C10=3,120+Inputs!$B$28+Inputs!$B$30,MAX(0,(Inputs!$B$3-100)*3)+Inputs!$B$29+Inputs!$B$30)))</f>
        <v/>
      </c>
      <c r="E1056">
        <f>INDEX(FactorTable!$B$2:$Y$301, MATCH(ROUND(MIN(300,MAX(1,D1056)),0), FactorTable!$A$2:$A$301,0), Skills!L10+1)</f>
        <v/>
      </c>
      <c r="F1056" t="n">
        <v>0</v>
      </c>
      <c r="G1056">
        <f>Calc!G10</f>
        <v/>
      </c>
      <c r="H1056">
        <f>Calc!H10</f>
        <v/>
      </c>
      <c r="I1056">
        <f>IF(Skills!T10&lt;&gt;"",1+(Skills!T10/10)*($Z$3/1000)/100,1)</f>
        <v/>
      </c>
      <c r="J1056" t="inlineStr"/>
      <c r="K1056" t="inlineStr"/>
      <c r="L1056" t="inlineStr"/>
      <c r="M1056" t="inlineStr"/>
      <c r="N1056" t="inlineStr"/>
      <c r="O1056">
        <f>(1-Summary!$B$48)*S1056+Summary!$B$48*U1056</f>
        <v/>
      </c>
      <c r="P1056">
        <f>IF(B1088=0,0,O1056/B1088)</f>
        <v/>
      </c>
      <c r="Q1056">
        <f>IFERROR(1/IF(Inputs!$B$39="pvp",15,MAX(0.1,Skills!D10-IF(Skills!E10=TRUE,Inputs!$B$33,0))),0)</f>
        <v/>
      </c>
      <c r="R1056">
        <f>IF(AND(Inputs!$B$39&lt;&gt;"pvp",Inputs!$B$44&gt;0),IF(MAX(0,Inputs!$B$44-B1085)&lt;=0,0,(INT(MAX(0,Inputs!$B$44-B1085)/IF(Inputs!$B$39="pvp",15,MAX(0.1,Skills!D10-IF(Skills!E10=TRUE,Inputs!$B$33,0))))+1)),0)</f>
        <v/>
      </c>
      <c r="S1056" t="n">
        <v>0</v>
      </c>
      <c r="U1056" t="n">
        <v>0</v>
      </c>
    </row>
    <row r="1057">
      <c r="A1057">
        <f>Skills!A11</f>
        <v/>
      </c>
      <c r="B1057">
        <f>Skills!B11</f>
        <v/>
      </c>
      <c r="C1057">
        <f>Inputs!$B$3&gt;=69</f>
        <v/>
      </c>
      <c r="D1057">
        <f>IF(Skills!C11=1,60+Inputs!$B$26+Inputs!$B$30,IF(Skills!C11=2,90+Inputs!$B$27+Inputs!$B$30,IF(Skills!C11=3,120+Inputs!$B$28+Inputs!$B$30,MAX(0,(Inputs!$B$3-100)*3)+Inputs!$B$29+Inputs!$B$30)))</f>
        <v/>
      </c>
      <c r="E1057">
        <f>INDEX(FactorTable!$B$2:$Y$301, MATCH(ROUND(MIN(300,MAX(1,D1057)),0), FactorTable!$A$2:$A$301,0), Skills!L11+1)</f>
        <v/>
      </c>
      <c r="F1057">
        <f>IF(Skills!M11=TRUE,(Skills!K11/10)*(E1057/1000),Skills!K11/10)+Skills!N11</f>
        <v/>
      </c>
      <c r="G1057">
        <f>Calc!G11</f>
        <v/>
      </c>
      <c r="H1057">
        <f>Calc!H11</f>
        <v/>
      </c>
      <c r="I1057">
        <f>IF(Skills!T11&lt;&gt;"",1+(Skills!T11/10)*($Z$3/1000)/100,1)</f>
        <v/>
      </c>
      <c r="J1057" t="inlineStr"/>
      <c r="K1057" t="inlineStr"/>
      <c r="L1057" t="inlineStr"/>
      <c r="M1057" t="inlineStr"/>
      <c r="N1057" t="inlineStr"/>
      <c r="O1057">
        <f>(1-Summary!$B$48)*S1057+Summary!$B$48*U1057</f>
        <v/>
      </c>
      <c r="P1057">
        <f>IF(B1088=0,0,O1057/B1088)</f>
        <v/>
      </c>
      <c r="Q1057">
        <f>IFERROR(1/IF(Inputs!$B$39="pvp",15,MAX(0.1,Skills!D11-IF(Skills!E11=TRUE,Inputs!$B$33,0))),0)</f>
        <v/>
      </c>
      <c r="R1057">
        <f>IF(AND(Inputs!$B$39&lt;&gt;"pvp",Inputs!$B$44&gt;0),IF(Inputs!$B$44&lt;=0,0,(INT(Inputs!$B$44/IF(Inputs!$B$39="pvp",15,MAX(0.1,Skills!D11-IF(Skills!E11=TRUE,Inputs!$B$33,0))))+1)),0)</f>
        <v/>
      </c>
      <c r="S1057" t="n">
        <v>0</v>
      </c>
      <c r="U1057" t="n">
        <v>0</v>
      </c>
    </row>
    <row r="1058">
      <c r="A1058">
        <f>Skills!A12</f>
        <v/>
      </c>
      <c r="B1058">
        <f>Skills!B12</f>
        <v/>
      </c>
      <c r="C1058">
        <f>Inputs!$B$3&gt;=72</f>
        <v/>
      </c>
      <c r="D1058">
        <f>IF(Skills!C12=1,60+Inputs!$B$26+Inputs!$B$30,IF(Skills!C12=2,90+Inputs!$B$27+Inputs!$B$30,IF(Skills!C12=3,120+Inputs!$B$28+Inputs!$B$30,MAX(0,(Inputs!$B$3-100)*3)+Inputs!$B$29+Inputs!$B$30)))</f>
        <v/>
      </c>
      <c r="E1058">
        <f>INDEX(FactorTable!$B$2:$Y$301, MATCH(ROUND(MIN(300,MAX(1,D1058)),0), FactorTable!$A$2:$A$301,0), Skills!L12+1)</f>
        <v/>
      </c>
      <c r="F1058">
        <f>IF(Skills!M12=TRUE,(Skills!K12/10)*(E1058/1000),Skills!K12/10)+Skills!N12</f>
        <v/>
      </c>
      <c r="G1058">
        <f>Calc!G12</f>
        <v/>
      </c>
      <c r="H1058">
        <f>Calc!H12</f>
        <v/>
      </c>
      <c r="I1058">
        <f>IF(Skills!T12&lt;&gt;"",1+(Skills!T12/10)*($Z$3/1000)/100,1)</f>
        <v/>
      </c>
      <c r="J1058" t="inlineStr"/>
      <c r="K1058" t="inlineStr"/>
      <c r="L1058" t="inlineStr"/>
      <c r="M1058" t="inlineStr"/>
      <c r="N1058" t="inlineStr"/>
      <c r="O1058">
        <f>(1-Summary!$B$48)*S1058+Summary!$B$48*U1058</f>
        <v/>
      </c>
      <c r="P1058">
        <f>IF(B1088=0,0,O1058/B1088)</f>
        <v/>
      </c>
      <c r="Q1058">
        <f>IFERROR(1/IF(Inputs!$B$39="pvp",15,MAX(0.1,Skills!D12-IF(Skills!E12=TRUE,Inputs!$B$33,0))),0)</f>
        <v/>
      </c>
      <c r="R1058">
        <f>IF(AND(Inputs!$B$39&lt;&gt;"pvp",Inputs!$B$44&gt;0),IF(MAX(0,Inputs!$B$44-B1085)&lt;=0,0,(INT(MAX(0,Inputs!$B$44-B1085)/IF(Inputs!$B$39="pvp",15,MAX(0.1,Skills!D12-IF(Skills!E12=TRUE,Inputs!$B$33,0))))+1)),0)</f>
        <v/>
      </c>
      <c r="S1058" t="n">
        <v>0</v>
      </c>
      <c r="U1058" t="n">
        <v>0</v>
      </c>
    </row>
    <row r="1059">
      <c r="A1059">
        <f>Skills!A13</f>
        <v/>
      </c>
      <c r="B1059">
        <f>Skills!B13</f>
        <v/>
      </c>
      <c r="C1059">
        <f>Inputs!$B$3&gt;=60</f>
        <v/>
      </c>
      <c r="D1059">
        <f>IF(Skills!C13=1,60+Inputs!$B$26+Inputs!$B$30,IF(Skills!C13=2,90+Inputs!$B$27+Inputs!$B$30,IF(Skills!C13=3,120+Inputs!$B$28+Inputs!$B$30,MAX(0,(Inputs!$B$3-100)*3)+Inputs!$B$29+Inputs!$B$30)))</f>
        <v/>
      </c>
      <c r="E1059">
        <f>INDEX(FactorTable!$B$2:$Y$301, MATCH(ROUND(MIN(300,MAX(1,D1059)),0), FactorTable!$A$2:$A$301,0), Skills!L13+1)</f>
        <v/>
      </c>
      <c r="F1059">
        <f>IF(Skills!M13=TRUE,(Skills!K13/10)*(E1059/1000),Skills!K13/10)+Skills!N13</f>
        <v/>
      </c>
      <c r="G1059">
        <f>Calc!G13</f>
        <v/>
      </c>
      <c r="H1059">
        <f>Calc!H13</f>
        <v/>
      </c>
      <c r="I1059">
        <f>IF(Skills!T13&lt;&gt;"",1+(Skills!T13/10)*($Z$3/1000)/100,1)</f>
        <v/>
      </c>
      <c r="J1059" t="inlineStr"/>
      <c r="K1059" t="inlineStr"/>
      <c r="L1059" t="inlineStr"/>
      <c r="M1059" t="inlineStr"/>
      <c r="N1059" t="inlineStr"/>
      <c r="O1059">
        <f>(1-Summary!$B$48)*S1059+Summary!$B$48*U1059</f>
        <v/>
      </c>
      <c r="P1059">
        <f>IF(B1088=0,0,O1059/B1088)</f>
        <v/>
      </c>
      <c r="Q1059">
        <f>IFERROR(1/IF(Inputs!$B$39="pvp",15,MAX(0.1,Skills!D13-IF(Skills!E13=TRUE,Inputs!$B$33,0))),0)</f>
        <v/>
      </c>
      <c r="R1059">
        <f>IF(AND(Inputs!$B$39&lt;&gt;"pvp",Inputs!$B$44&gt;0),IF(MAX(0,Inputs!$B$44-B1085)&lt;=0,0,(INT(MAX(0,Inputs!$B$44-B1085)/IF(Inputs!$B$39="pvp",15,MAX(0.1,Skills!D13-IF(Skills!E13=TRUE,Inputs!$B$33,0))))+1)),0)</f>
        <v/>
      </c>
      <c r="S1059" t="n">
        <v>0</v>
      </c>
      <c r="U1059" t="n">
        <v>0</v>
      </c>
    </row>
    <row r="1060">
      <c r="A1060">
        <f>Skills!A14</f>
        <v/>
      </c>
      <c r="B1060">
        <f>Skills!B14</f>
        <v/>
      </c>
      <c r="C1060">
        <f>Inputs!$B$3&gt;=107</f>
        <v/>
      </c>
      <c r="D1060">
        <f>IF(Skills!C14=1,60+Inputs!$B$26+Inputs!$B$30,IF(Skills!C14=2,90+Inputs!$B$27+Inputs!$B$30,IF(Skills!C14=3,120+Inputs!$B$28+Inputs!$B$30,MAX(0,(Inputs!$B$3-100)*3)+Inputs!$B$29+Inputs!$B$30)))</f>
        <v/>
      </c>
      <c r="E1060">
        <f>INDEX(FactorTable!$B$2:$Y$301, MATCH(ROUND(MIN(300,MAX(1,D1060)),0), FactorTable!$A$2:$A$301,0), Skills!L14+1)</f>
        <v/>
      </c>
      <c r="F1060">
        <f>IF(Skills!M14=TRUE,(Skills!K14/10)*(E1060/1000),Skills!K14/10)+Skills!N14</f>
        <v/>
      </c>
      <c r="G1060">
        <f>Calc!G14</f>
        <v/>
      </c>
      <c r="H1060">
        <f>Calc!H14</f>
        <v/>
      </c>
      <c r="I1060">
        <f>IF(Skills!T14&lt;&gt;"",1+(Skills!T14/10)*($Z$3/1000)/100,1)</f>
        <v/>
      </c>
      <c r="J1060" t="inlineStr"/>
      <c r="K1060" t="inlineStr"/>
      <c r="L1060" t="inlineStr"/>
      <c r="M1060" t="inlineStr"/>
      <c r="N1060" t="inlineStr"/>
      <c r="O1060">
        <f>(1-Summary!$B$48)*S1060+Summary!$B$48*U1060</f>
        <v/>
      </c>
      <c r="P1060">
        <f>IF(B1088=0,0,O1060/B1088)</f>
        <v/>
      </c>
      <c r="Q1060">
        <f>IFERROR(1/IF(Inputs!$B$39="pvp",15,MAX(0.1,Skills!D14-IF(Skills!E14=TRUE,Inputs!$B$33,0))),0)</f>
        <v/>
      </c>
      <c r="R1060">
        <f>IF(AND(Inputs!$B$39&lt;&gt;"pvp",Inputs!$B$44&gt;0),IF(Inputs!$B$44&lt;=0,0,(INT(Inputs!$B$44/IF(Inputs!$B$39="pvp",15,MAX(0.1,Skills!D14-IF(Skills!E14=TRUE,Inputs!$B$33,0))))+1)),0)</f>
        <v/>
      </c>
      <c r="S1060" t="n">
        <v>0</v>
      </c>
      <c r="U1060" t="n">
        <v>0</v>
      </c>
    </row>
    <row r="1061">
      <c r="A1061">
        <f>Skills!A15</f>
        <v/>
      </c>
      <c r="B1061">
        <f>Skills!B15</f>
        <v/>
      </c>
      <c r="C1061">
        <f>Inputs!$B$3&gt;=63</f>
        <v/>
      </c>
      <c r="D1061">
        <f>IF(Skills!C15=1,60+Inputs!$B$26+Inputs!$B$30,IF(Skills!C15=2,90+Inputs!$B$27+Inputs!$B$30,IF(Skills!C15=3,120+Inputs!$B$28+Inputs!$B$30,MAX(0,(Inputs!$B$3-100)*3)+Inputs!$B$29+Inputs!$B$30)))</f>
        <v/>
      </c>
      <c r="E1061">
        <f>INDEX(FactorTable!$B$2:$Y$301, MATCH(ROUND(MIN(300,MAX(1,D1061)),0), FactorTable!$A$2:$A$301,0), Skills!L15+1)</f>
        <v/>
      </c>
      <c r="F1061">
        <f>IF(Skills!M15=TRUE,(Skills!K15/10)*(E1061/1000),Skills!K15/10)+Skills!N15</f>
        <v/>
      </c>
      <c r="G1061">
        <f>Calc!G15</f>
        <v/>
      </c>
      <c r="H1061">
        <f>Calc!H15</f>
        <v/>
      </c>
      <c r="I1061">
        <f>IF(Skills!T15&lt;&gt;"",1+(Skills!T15/10)*($Z$3/1000)/100,1)</f>
        <v/>
      </c>
      <c r="J1061">
        <f>((Inputs!$B$6*(1+(Inputs!$B$7+1)/100))+(((Inputs!$B$13*(1+Inputs!$B$14/100))-(Inputs!$B$13*(1+Inputs!$B$14/100)))+0.25*(Inputs!$B$15-Inputs!$B$15))*(1+(Inputs!$B$7+1)/100))*(F1061/100)</f>
        <v/>
      </c>
      <c r="K1061">
        <f>J1061*(1+(((Inputs!$B$13+IF(Inputs!$B$3&gt;=35,(10*INDEX(FactorTable!$B$2:$Y$301, MATCH(ROUND(MIN(300,MAX(1,Inputs!$B$3)),0), FactorTable!$A$2:$A$301,0), 23)/1000)/100*(Inputs!$B$8*(1+(Inputs!$B$9+B1084)/100)),0))*(1+Inputs!$B$14/100))*0.01+Inputs!$B$15*0.0025)/100)*(1+(Inputs!$B$16+B1078)/100)*(1+Inputs!$B$17/100)*(5000/(6000+Inputs!$B$43*(1-Inputs!$B$20/100)))*(1+Inputs!$B$25/100)*(1+IF(C1064=TRUE,F1064,0)/100)*(1+IF(C1066=TRUE,F1066,0)/100)*(1+IF(Skills!A15="TRIUMPH_FEATHER",IF(C1062=TRUE,F1062,0),0)/100)*(1+IF(C1073=TRUE,F1073,0)/100)^5*(1+(IF(Skills!A15="BIG_BANG",Inputs!$B$18,Inputs!$B$19))/100)*(B1075*I1061)</f>
        <v/>
      </c>
      <c r="L1061">
        <f>K1061*(MIN(Inputs!$B$23+(F1068-Calc!F22),Inputs!$B$24)/100+Inputs!$B$24/100)/2</f>
        <v/>
      </c>
      <c r="M1061">
        <f>L1061*(1+(Inputs!$B$11+B1079+(F1071-Calc!F25))/100)</f>
        <v/>
      </c>
      <c r="N1061">
        <f>L1061*(1-MIN(Inputs!$B$10+((F1070-Calc!F24)+(F1069-Calc!F23)),100)/100)+M1061*(MIN(Inputs!$B$10+((F1070-Calc!F24)+(F1069-Calc!F23)),100)/100)</f>
        <v/>
      </c>
      <c r="O1061">
        <f>(1-Summary!$B$48)*S1061+Summary!$B$48*U1061</f>
        <v/>
      </c>
      <c r="P1061">
        <f>IF(B1088=0,0,O1061/B1088)</f>
        <v/>
      </c>
      <c r="Q1061">
        <f>IFERROR(1/IF(Inputs!$B$39="pvp",15,MAX(0.1,Skills!D15-IF(Skills!E15=TRUE,Inputs!$B$33,0))),0)</f>
        <v/>
      </c>
      <c r="R1061" t="n">
        <v>0</v>
      </c>
      <c r="S1061">
        <f>IF(C1061,(Skills!F15*N1061*((IF(Inputs!$B$3&gt;=78,25,15)/100*B1081*10)/(1+IF(Inputs!$B$3&gt;=78,25,15)/100*B1081*10))*(Skills!I15/100*B1081)/(1+Skills!G15*Skills!I15/100*B1081))*IF(Inputs!$B$39="pvp",1,1+(Inputs!$B$21+Skills!O15+B1076)/100),0)</f>
        <v/>
      </c>
      <c r="U1061">
        <f>IF(C1061,(Skills!F15*N1061*((IF(Inputs!$B$3&gt;=78,25,15)/100*B1081*10)/(1+IF(Inputs!$B$3&gt;=78,25,15)/100*B1081*10))*(Skills!I15/100*B1081)/(1+Skills!G15*Skills!I15/100*B1081))*IF(Inputs!$B$39="pvp",1,(1+(Inputs!$B$22+Skills!P15+B1077)/100)*(MIN(Skills!Q15,Inputs!$B$38))),0)</f>
        <v/>
      </c>
    </row>
    <row r="1062">
      <c r="A1062">
        <f>Skills!A16</f>
        <v/>
      </c>
      <c r="B1062">
        <f>Skills!B16</f>
        <v/>
      </c>
      <c r="C1062">
        <f>Inputs!$B$3&gt;=100</f>
        <v/>
      </c>
      <c r="D1062">
        <f>IF(Skills!C16=1,60+Inputs!$B$26+Inputs!$B$30,IF(Skills!C16=2,90+Inputs!$B$27+Inputs!$B$30,IF(Skills!C16=3,120+Inputs!$B$28+Inputs!$B$30,MAX(0,(Inputs!$B$3-100)*3)+Inputs!$B$29+Inputs!$B$30)))</f>
        <v/>
      </c>
      <c r="E1062">
        <f>INDEX(FactorTable!$B$2:$Y$301, MATCH(ROUND(MIN(300,MAX(1,D1062)),0), FactorTable!$A$2:$A$301,0), Skills!L16+1)</f>
        <v/>
      </c>
      <c r="F1062">
        <f>IF(Skills!M16=TRUE,(Skills!K16/10)*(E1062/1000),Skills!K16/10)+Skills!N16</f>
        <v/>
      </c>
      <c r="G1062">
        <f>Calc!G16</f>
        <v/>
      </c>
      <c r="H1062">
        <f>Calc!H16</f>
        <v/>
      </c>
      <c r="I1062">
        <f>IF(Skills!T16&lt;&gt;"",1+(Skills!T16/10)*($Z$3/1000)/100,1)</f>
        <v/>
      </c>
      <c r="J1062" t="inlineStr"/>
      <c r="K1062" t="inlineStr"/>
      <c r="L1062" t="inlineStr"/>
      <c r="M1062" t="inlineStr"/>
      <c r="N1062" t="inlineStr"/>
      <c r="O1062">
        <f>(1-Summary!$B$48)*S1062+Summary!$B$48*U1062</f>
        <v/>
      </c>
      <c r="P1062">
        <f>IF(B1088=0,0,O1062/B1088)</f>
        <v/>
      </c>
      <c r="Q1062">
        <f>IFERROR(1/IF(Inputs!$B$39="pvp",15,MAX(0.1,Skills!D16-IF(Skills!E16=TRUE,Inputs!$B$33,0))),0)</f>
        <v/>
      </c>
      <c r="R1062" t="n">
        <v>0</v>
      </c>
      <c r="S1062" t="n">
        <v>0</v>
      </c>
      <c r="U1062" t="n">
        <v>0</v>
      </c>
    </row>
    <row r="1063">
      <c r="A1063">
        <f>Skills!A17</f>
        <v/>
      </c>
      <c r="B1063">
        <f>Skills!B17</f>
        <v/>
      </c>
      <c r="C1063">
        <f>Inputs!$B$3&gt;=49</f>
        <v/>
      </c>
      <c r="D1063">
        <f>IF(Skills!C17=1,60+Inputs!$B$26+Inputs!$B$30,IF(Skills!C17=2,90+Inputs!$B$27+Inputs!$B$30,IF(Skills!C17=3,120+Inputs!$B$28+Inputs!$B$30,MAX(0,(Inputs!$B$3-100)*3)+Inputs!$B$29+Inputs!$B$30)))</f>
        <v/>
      </c>
      <c r="E1063">
        <f>INDEX(FactorTable!$B$2:$Y$301, MATCH(ROUND(MIN(300,MAX(1,D1063)),0), FactorTable!$A$2:$A$301,0), Skills!L17+1)</f>
        <v/>
      </c>
      <c r="F1063">
        <f>IF(Skills!M17=TRUE,(Skills!K17/10)*(E1063/1000),Skills!K17/10)+Skills!N17</f>
        <v/>
      </c>
      <c r="G1063">
        <f>Calc!G17</f>
        <v/>
      </c>
      <c r="H1063">
        <f>Calc!H17</f>
        <v/>
      </c>
      <c r="I1063">
        <f>IF(Skills!T17&lt;&gt;"",1+(Skills!T17/10)*($Z$3/1000)/100,1)</f>
        <v/>
      </c>
      <c r="J1063" t="inlineStr"/>
      <c r="K1063" t="inlineStr"/>
      <c r="L1063" t="inlineStr"/>
      <c r="M1063" t="inlineStr"/>
      <c r="N1063" t="inlineStr"/>
      <c r="O1063">
        <f>(1-Summary!$B$48)*S1063+Summary!$B$48*U1063</f>
        <v/>
      </c>
      <c r="P1063">
        <f>IF(B1088=0,0,O1063/B1088)</f>
        <v/>
      </c>
      <c r="Q1063">
        <f>IFERROR(1/IF(Inputs!$B$39="pvp",15,MAX(0.1,Skills!D17-IF(Skills!E17=TRUE,Inputs!$B$33,0))),0)</f>
        <v/>
      </c>
      <c r="R1063" t="n">
        <v>0</v>
      </c>
      <c r="S1063" t="n">
        <v>0</v>
      </c>
      <c r="U1063" t="n">
        <v>0</v>
      </c>
    </row>
    <row r="1064">
      <c r="A1064">
        <f>Skills!A18</f>
        <v/>
      </c>
      <c r="B1064">
        <f>Skills!B18</f>
        <v/>
      </c>
      <c r="C1064">
        <f>Inputs!$B$3&gt;=75</f>
        <v/>
      </c>
      <c r="D1064">
        <f>IF(Skills!C18=1,60+Inputs!$B$26+Inputs!$B$30,IF(Skills!C18=2,90+Inputs!$B$27+Inputs!$B$30,IF(Skills!C18=3,120+Inputs!$B$28+Inputs!$B$30,MAX(0,(Inputs!$B$3-100)*3)+Inputs!$B$29+Inputs!$B$30)))</f>
        <v/>
      </c>
      <c r="E1064">
        <f>INDEX(FactorTable!$B$2:$Y$301, MATCH(ROUND(MIN(300,MAX(1,D1064)),0), FactorTable!$A$2:$A$301,0), Skills!L18+1)</f>
        <v/>
      </c>
      <c r="F1064">
        <f>IF(Skills!M18=TRUE,(Skills!K18/10)*(E1064/1000),Skills!K18/10)+Skills!N18</f>
        <v/>
      </c>
      <c r="G1064">
        <f>Calc!G18</f>
        <v/>
      </c>
      <c r="H1064">
        <f>Calc!H18</f>
        <v/>
      </c>
      <c r="I1064">
        <f>IF(Skills!T18&lt;&gt;"",1+(Skills!T18/10)*($Z$3/1000)/100,1)</f>
        <v/>
      </c>
      <c r="J1064" t="inlineStr"/>
      <c r="K1064" t="inlineStr"/>
      <c r="L1064" t="inlineStr"/>
      <c r="M1064" t="inlineStr"/>
      <c r="N1064" t="inlineStr"/>
      <c r="O1064">
        <f>(1-Summary!$B$48)*S1064+Summary!$B$48*U1064</f>
        <v/>
      </c>
      <c r="P1064">
        <f>IF(B1088=0,0,O1064/B1088)</f>
        <v/>
      </c>
      <c r="Q1064">
        <f>IFERROR(1/IF(Inputs!$B$39="pvp",15,MAX(0.1,Skills!D18-IF(Skills!E18=TRUE,Inputs!$B$33,0))),0)</f>
        <v/>
      </c>
      <c r="R1064" t="n">
        <v>0</v>
      </c>
      <c r="S1064" t="n">
        <v>0</v>
      </c>
      <c r="U1064" t="n">
        <v>0</v>
      </c>
    </row>
    <row r="1065">
      <c r="A1065">
        <f>Skills!A19</f>
        <v/>
      </c>
      <c r="B1065">
        <f>Skills!B19</f>
        <v/>
      </c>
      <c r="C1065">
        <f>Inputs!$B$3&gt;=110</f>
        <v/>
      </c>
      <c r="D1065">
        <f>IF(Skills!C19=1,60+Inputs!$B$26+Inputs!$B$30,IF(Skills!C19=2,90+Inputs!$B$27+Inputs!$B$30,IF(Skills!C19=3,120+Inputs!$B$28+Inputs!$B$30,MAX(0,(Inputs!$B$3-100)*3)+Inputs!$B$29+Inputs!$B$30)))</f>
        <v/>
      </c>
      <c r="E1065">
        <f>INDEX(FactorTable!$B$2:$Y$301, MATCH(ROUND(MIN(300,MAX(1,D1065)),0), FactorTable!$A$2:$A$301,0), Skills!L19+1)</f>
        <v/>
      </c>
      <c r="F1065">
        <f>(Skills!K19/10)*(E1065/1000)*64/45+Skills!N19</f>
        <v/>
      </c>
      <c r="G1065">
        <f>Calc!G19</f>
        <v/>
      </c>
      <c r="H1065">
        <f>Calc!H19</f>
        <v/>
      </c>
      <c r="I1065">
        <f>IF(Skills!T19&lt;&gt;"",1+(Skills!T19/10)*($Z$3/1000)/100,1)</f>
        <v/>
      </c>
      <c r="J1065" t="inlineStr"/>
      <c r="K1065" t="inlineStr"/>
      <c r="L1065" t="inlineStr"/>
      <c r="M1065" t="inlineStr"/>
      <c r="N1065" t="inlineStr"/>
      <c r="O1065">
        <f>(1-Summary!$B$48)*S1065+Summary!$B$48*U1065</f>
        <v/>
      </c>
      <c r="P1065">
        <f>IF(B1088=0,0,O1065/B1088)</f>
        <v/>
      </c>
      <c r="Q1065">
        <f>IFERROR(1/IF(Inputs!$B$39="pvp",15,MAX(0.1,Skills!D19-IF(Skills!E19=TRUE,Inputs!$B$33,0))),0)</f>
        <v/>
      </c>
      <c r="R1065">
        <f>IF(AND(Inputs!$B$39&lt;&gt;"pvp",Inputs!$B$44&gt;0),IF(Inputs!$B$44&lt;=0,0,(INT(Inputs!$B$44/IF(Inputs!$B$39="pvp",15,MAX(0.1,Skills!D19-IF(Skills!E19=TRUE,Inputs!$B$33,0))))+1)),0)</f>
        <v/>
      </c>
      <c r="S1065" t="n">
        <v>0</v>
      </c>
      <c r="U1065" t="n">
        <v>0</v>
      </c>
    </row>
    <row r="1066">
      <c r="A1066">
        <f>Skills!A20</f>
        <v/>
      </c>
      <c r="B1066">
        <f>Skills!B20</f>
        <v/>
      </c>
      <c r="C1066">
        <f>Inputs!$B$3&gt;=125</f>
        <v/>
      </c>
      <c r="D1066">
        <f>IF(Skills!C20=1,60+Inputs!$B$26+Inputs!$B$30,IF(Skills!C20=2,90+Inputs!$B$27+Inputs!$B$30,IF(Skills!C20=3,120+Inputs!$B$28+Inputs!$B$30,MAX(0,(Inputs!$B$3-100)*3)+Inputs!$B$29+Inputs!$B$30)))</f>
        <v/>
      </c>
      <c r="E1066">
        <f>INDEX(FactorTable!$B$2:$Y$301, MATCH(ROUND(MIN(300,MAX(1,D1066)),0), FactorTable!$A$2:$A$301,0), Skills!L20+1)</f>
        <v/>
      </c>
      <c r="F1066">
        <f>IF(Skills!M20=TRUE,(Skills!K20/10)*(E1066/1000),Skills!K20/10)+Skills!N20</f>
        <v/>
      </c>
      <c r="G1066">
        <f>Calc!G20</f>
        <v/>
      </c>
      <c r="H1066">
        <f>Calc!H20</f>
        <v/>
      </c>
      <c r="I1066">
        <f>IF(Skills!T20&lt;&gt;"",1+(Skills!T20/10)*($Z$3/1000)/100,1)</f>
        <v/>
      </c>
      <c r="J1066" t="inlineStr"/>
      <c r="K1066" t="inlineStr"/>
      <c r="L1066" t="inlineStr"/>
      <c r="M1066" t="inlineStr"/>
      <c r="N1066" t="inlineStr"/>
      <c r="O1066">
        <f>(1-Summary!$B$48)*S1066+Summary!$B$48*U1066</f>
        <v/>
      </c>
      <c r="P1066">
        <f>IF(B1088=0,0,O1066/B1088)</f>
        <v/>
      </c>
      <c r="Q1066">
        <f>IFERROR(1/IF(Inputs!$B$39="pvp",15,MAX(0.1,Skills!D20-IF(Skills!E20=TRUE,Inputs!$B$33,0))),0)</f>
        <v/>
      </c>
      <c r="R1066" t="n">
        <v>0</v>
      </c>
      <c r="S1066" t="n">
        <v>0</v>
      </c>
      <c r="U1066" t="n">
        <v>0</v>
      </c>
    </row>
    <row r="1067">
      <c r="A1067">
        <f>Skills!A21</f>
        <v/>
      </c>
      <c r="B1067">
        <f>Skills!B21</f>
        <v/>
      </c>
      <c r="C1067">
        <f>Inputs!$B$3&gt;=33</f>
        <v/>
      </c>
      <c r="D1067">
        <f>IF(Skills!C21=1,60+Inputs!$B$26+Inputs!$B$30,IF(Skills!C21=2,90+Inputs!$B$27+Inputs!$B$30,IF(Skills!C21=3,120+Inputs!$B$28+Inputs!$B$30,MAX(0,(Inputs!$B$3-100)*3)+Inputs!$B$29+Inputs!$B$30)))</f>
        <v/>
      </c>
      <c r="E1067">
        <f>INDEX(FactorTable!$B$2:$Y$301, MATCH(ROUND(MIN(300,MAX(1,D1067)),0), FactorTable!$A$2:$A$301,0), Skills!L21+1)</f>
        <v/>
      </c>
      <c r="F1067">
        <f>IF(Skills!M21=TRUE,(Skills!K21/10)*(E1067/1000),Skills!K21/10)+Skills!N21</f>
        <v/>
      </c>
      <c r="G1067">
        <f>Calc!G21</f>
        <v/>
      </c>
      <c r="H1067">
        <f>Calc!H21</f>
        <v/>
      </c>
      <c r="I1067">
        <f>IF(Skills!T21&lt;&gt;"",1+(Skills!T21/10)*($Z$3/1000)/100,1)</f>
        <v/>
      </c>
      <c r="J1067" t="inlineStr"/>
      <c r="K1067" t="inlineStr"/>
      <c r="L1067" t="inlineStr"/>
      <c r="M1067" t="inlineStr"/>
      <c r="N1067" t="inlineStr"/>
      <c r="O1067">
        <f>(1-Summary!$B$48)*S1067+Summary!$B$48*U1067</f>
        <v/>
      </c>
      <c r="P1067">
        <f>IF(B1088=0,0,O1067/B1088)</f>
        <v/>
      </c>
      <c r="Q1067">
        <f>IFERROR(1/IF(Inputs!$B$39="pvp",15,MAX(0.1,Skills!D21-IF(Skills!E21=TRUE,Inputs!$B$33,0))),0)</f>
        <v/>
      </c>
      <c r="R1067" t="n">
        <v>0</v>
      </c>
      <c r="S1067" t="n">
        <v>0</v>
      </c>
      <c r="U1067" t="n">
        <v>0</v>
      </c>
    </row>
    <row r="1068">
      <c r="A1068">
        <f>Skills!A22</f>
        <v/>
      </c>
      <c r="B1068">
        <f>Skills!B22</f>
        <v/>
      </c>
      <c r="C1068">
        <f>Inputs!$B$3&gt;=43</f>
        <v/>
      </c>
      <c r="D1068">
        <f>IF(Skills!C22=1,60+Inputs!$B$26+Inputs!$B$30,IF(Skills!C22=2,90+Inputs!$B$27+Inputs!$B$30,IF(Skills!C22=3,120+Inputs!$B$28+Inputs!$B$30,MAX(0,(Inputs!$B$3-100)*3)+Inputs!$B$29+Inputs!$B$30)))</f>
        <v/>
      </c>
      <c r="E1068">
        <f>INDEX(FactorTable!$B$2:$Y$301, MATCH(ROUND(MIN(300,MAX(1,D1068)),0), FactorTable!$A$2:$A$301,0), Skills!L22+1)</f>
        <v/>
      </c>
      <c r="F1068">
        <f>IF(Skills!M22=TRUE,(Skills!K22/10)*(E1068/1000),Skills!K22/10)+Skills!N22</f>
        <v/>
      </c>
      <c r="G1068">
        <f>Calc!G22</f>
        <v/>
      </c>
      <c r="H1068">
        <f>Calc!H22</f>
        <v/>
      </c>
      <c r="I1068">
        <f>IF(Skills!T22&lt;&gt;"",1+(Skills!T22/10)*($Z$3/1000)/100,1)</f>
        <v/>
      </c>
      <c r="J1068" t="inlineStr"/>
      <c r="K1068" t="inlineStr"/>
      <c r="L1068" t="inlineStr"/>
      <c r="M1068" t="inlineStr"/>
      <c r="N1068" t="inlineStr"/>
      <c r="O1068">
        <f>(1-Summary!$B$48)*S1068+Summary!$B$48*U1068</f>
        <v/>
      </c>
      <c r="P1068">
        <f>IF(B1088=0,0,O1068/B1088)</f>
        <v/>
      </c>
      <c r="Q1068">
        <f>IFERROR(1/IF(Inputs!$B$39="pvp",15,MAX(0.1,Skills!D22-IF(Skills!E22=TRUE,Inputs!$B$33,0))),0)</f>
        <v/>
      </c>
      <c r="R1068" t="n">
        <v>0</v>
      </c>
      <c r="S1068" t="n">
        <v>0</v>
      </c>
      <c r="U1068" t="n">
        <v>0</v>
      </c>
    </row>
    <row r="1069">
      <c r="A1069">
        <f>Skills!A23</f>
        <v/>
      </c>
      <c r="B1069">
        <f>Skills!B23</f>
        <v/>
      </c>
      <c r="C1069">
        <f>Inputs!$B$3&gt;=50</f>
        <v/>
      </c>
      <c r="D1069">
        <f>IF(Skills!C23=1,60+Inputs!$B$26+Inputs!$B$30,IF(Skills!C23=2,90+Inputs!$B$27+Inputs!$B$30,IF(Skills!C23=3,120+Inputs!$B$28+Inputs!$B$30,MAX(0,(Inputs!$B$3-100)*3)+Inputs!$B$29+Inputs!$B$30)))</f>
        <v/>
      </c>
      <c r="E1069">
        <f>INDEX(FactorTable!$B$2:$Y$301, MATCH(ROUND(MIN(300,MAX(1,D1069)),0), FactorTable!$A$2:$A$301,0), Skills!L23+1)</f>
        <v/>
      </c>
      <c r="F1069">
        <f>IF(Skills!M23=TRUE,(Skills!K23/10)*(E1069/1000),Skills!K23/10)+Skills!N23</f>
        <v/>
      </c>
      <c r="G1069">
        <f>Calc!G23</f>
        <v/>
      </c>
      <c r="H1069">
        <f>Calc!H23</f>
        <v/>
      </c>
      <c r="I1069">
        <f>IF(Skills!T23&lt;&gt;"",1+(Skills!T23/10)*($Z$3/1000)/100,1)</f>
        <v/>
      </c>
      <c r="J1069" t="inlineStr"/>
      <c r="K1069" t="inlineStr"/>
      <c r="L1069" t="inlineStr"/>
      <c r="M1069" t="inlineStr"/>
      <c r="N1069" t="inlineStr"/>
      <c r="O1069">
        <f>(1-Summary!$B$48)*S1069+Summary!$B$48*U1069</f>
        <v/>
      </c>
      <c r="P1069">
        <f>IF(B1088=0,0,O1069/B1088)</f>
        <v/>
      </c>
      <c r="Q1069">
        <f>IFERROR(1/IF(Inputs!$B$39="pvp",15,MAX(0.1,Skills!D23-IF(Skills!E23=TRUE,Inputs!$B$33,0))),0)</f>
        <v/>
      </c>
      <c r="R1069" t="n">
        <v>0</v>
      </c>
      <c r="S1069" t="n">
        <v>0</v>
      </c>
      <c r="U1069" t="n">
        <v>0</v>
      </c>
    </row>
    <row r="1070">
      <c r="A1070">
        <f>Skills!A24</f>
        <v/>
      </c>
      <c r="B1070">
        <f>Skills!B24</f>
        <v/>
      </c>
      <c r="C1070">
        <f>Inputs!$B$3&gt;=74</f>
        <v/>
      </c>
      <c r="D1070">
        <f>IF(Skills!C24=1,60+Inputs!$B$26+Inputs!$B$30,IF(Skills!C24=2,90+Inputs!$B$27+Inputs!$B$30,IF(Skills!C24=3,120+Inputs!$B$28+Inputs!$B$30,MAX(0,(Inputs!$B$3-100)*3)+Inputs!$B$29+Inputs!$B$30)))</f>
        <v/>
      </c>
      <c r="E1070">
        <f>INDEX(FactorTable!$B$2:$Y$301, MATCH(ROUND(MIN(300,MAX(1,D1070)),0), FactorTable!$A$2:$A$301,0), Skills!L24+1)</f>
        <v/>
      </c>
      <c r="F1070">
        <f>IF(Skills!M24=TRUE,(Skills!K24/10)*(E1070/1000),Skills!K24/10)+Skills!N24</f>
        <v/>
      </c>
      <c r="G1070">
        <f>Calc!G24</f>
        <v/>
      </c>
      <c r="H1070">
        <f>Calc!H24</f>
        <v/>
      </c>
      <c r="I1070">
        <f>IF(Skills!T24&lt;&gt;"",1+(Skills!T24/10)*($Z$3/1000)/100,1)</f>
        <v/>
      </c>
      <c r="J1070" t="inlineStr"/>
      <c r="K1070" t="inlineStr"/>
      <c r="L1070" t="inlineStr"/>
      <c r="M1070" t="inlineStr"/>
      <c r="N1070" t="inlineStr"/>
      <c r="O1070">
        <f>(1-Summary!$B$48)*S1070+Summary!$B$48*U1070</f>
        <v/>
      </c>
      <c r="P1070">
        <f>IF(B1088=0,0,O1070/B1088)</f>
        <v/>
      </c>
      <c r="Q1070">
        <f>IFERROR(1/IF(Inputs!$B$39="pvp",15,MAX(0.1,Skills!D24-IF(Skills!E24=TRUE,Inputs!$B$33,0))),0)</f>
        <v/>
      </c>
      <c r="R1070" t="n">
        <v>0</v>
      </c>
      <c r="S1070" t="n">
        <v>0</v>
      </c>
      <c r="U1070" t="n">
        <v>0</v>
      </c>
    </row>
    <row r="1071">
      <c r="A1071">
        <f>Skills!A25</f>
        <v/>
      </c>
      <c r="B1071">
        <f>Skills!B25</f>
        <v/>
      </c>
      <c r="C1071">
        <f>Inputs!$B$3&gt;=74</f>
        <v/>
      </c>
      <c r="D1071">
        <f>IF(Skills!C25=1,60+Inputs!$B$26+Inputs!$B$30,IF(Skills!C25=2,90+Inputs!$B$27+Inputs!$B$30,IF(Skills!C25=3,120+Inputs!$B$28+Inputs!$B$30,MAX(0,(Inputs!$B$3-100)*3)+Inputs!$B$29+Inputs!$B$30)))</f>
        <v/>
      </c>
      <c r="E1071">
        <f>INDEX(FactorTable!$B$2:$Y$301, MATCH(ROUND(MIN(300,MAX(1,D1071)),0), FactorTable!$A$2:$A$301,0), Skills!L25+1)</f>
        <v/>
      </c>
      <c r="F1071">
        <f>IF(Skills!M25=TRUE,(Skills!K25/10)*(E1071/1000),Skills!K25/10)+Skills!N25</f>
        <v/>
      </c>
      <c r="G1071">
        <f>Calc!G25</f>
        <v/>
      </c>
      <c r="H1071">
        <f>Calc!H25</f>
        <v/>
      </c>
      <c r="I1071">
        <f>IF(Skills!T25&lt;&gt;"",1+(Skills!T25/10)*($Z$3/1000)/100,1)</f>
        <v/>
      </c>
      <c r="J1071" t="inlineStr"/>
      <c r="K1071" t="inlineStr"/>
      <c r="L1071" t="inlineStr"/>
      <c r="M1071" t="inlineStr"/>
      <c r="N1071" t="inlineStr"/>
      <c r="O1071">
        <f>(1-Summary!$B$48)*S1071+Summary!$B$48*U1071</f>
        <v/>
      </c>
      <c r="P1071">
        <f>IF(B1088=0,0,O1071/B1088)</f>
        <v/>
      </c>
      <c r="Q1071">
        <f>IFERROR(1/IF(Inputs!$B$39="pvp",15,MAX(0.1,Skills!D25-IF(Skills!E25=TRUE,Inputs!$B$33,0))),0)</f>
        <v/>
      </c>
      <c r="R1071" t="n">
        <v>0</v>
      </c>
      <c r="S1071" t="n">
        <v>0</v>
      </c>
      <c r="U1071" t="n">
        <v>0</v>
      </c>
    </row>
    <row r="1072">
      <c r="A1072">
        <f>Skills!A26</f>
        <v/>
      </c>
      <c r="B1072">
        <f>Skills!B26</f>
        <v/>
      </c>
      <c r="C1072">
        <f>Inputs!$B$3&gt;=117</f>
        <v/>
      </c>
      <c r="D1072">
        <f>IF(Skills!C26=1,60+Inputs!$B$26+Inputs!$B$30,IF(Skills!C26=2,90+Inputs!$B$27+Inputs!$B$30,IF(Skills!C26=3,120+Inputs!$B$28+Inputs!$B$30,MAX(0,(Inputs!$B$3-100)*3)+Inputs!$B$29+Inputs!$B$30)))</f>
        <v/>
      </c>
      <c r="E1072">
        <f>INDEX(FactorTable!$B$2:$Y$301, MATCH(ROUND(MIN(300,MAX(1,D1072)),0), FactorTable!$A$2:$A$301,0), Skills!L26+1)</f>
        <v/>
      </c>
      <c r="F1072">
        <f>IF(Skills!M26=TRUE,(Skills!K26/10)*(E1072/1000),Skills!K26/10)+Skills!N26</f>
        <v/>
      </c>
      <c r="G1072">
        <f>Calc!G26</f>
        <v/>
      </c>
      <c r="H1072">
        <f>Calc!H26</f>
        <v/>
      </c>
      <c r="I1072">
        <f>IF(Skills!T26&lt;&gt;"",1+(Skills!T26/10)*($Z$3/1000)/100,1)</f>
        <v/>
      </c>
      <c r="J1072" t="inlineStr"/>
      <c r="K1072" t="inlineStr"/>
      <c r="L1072" t="inlineStr"/>
      <c r="M1072" t="inlineStr"/>
      <c r="N1072" t="inlineStr"/>
      <c r="O1072">
        <f>(1-Summary!$B$48)*S1072+Summary!$B$48*U1072</f>
        <v/>
      </c>
      <c r="P1072">
        <f>IF(B1088=0,0,O1072/B1088)</f>
        <v/>
      </c>
      <c r="Q1072">
        <f>IFERROR(1/IF(Inputs!$B$39="pvp",15,MAX(0.1,Skills!D26-IF(Skills!E26=TRUE,Inputs!$B$33,0))),0)</f>
        <v/>
      </c>
      <c r="R1072" t="n">
        <v>0</v>
      </c>
      <c r="S1072" t="n">
        <v>0</v>
      </c>
      <c r="U1072" t="n">
        <v>0</v>
      </c>
    </row>
    <row r="1073">
      <c r="A1073">
        <f>Skills!A27</f>
        <v/>
      </c>
      <c r="B1073">
        <f>Skills!B27</f>
        <v/>
      </c>
      <c r="C1073">
        <f>Inputs!$B$3&gt;=120</f>
        <v/>
      </c>
      <c r="D1073">
        <f>IF(Skills!C27=1,60+Inputs!$B$26+Inputs!$B$30,IF(Skills!C27=2,90+Inputs!$B$27+Inputs!$B$30,IF(Skills!C27=3,120+Inputs!$B$28+Inputs!$B$30,MAX(0,(Inputs!$B$3-100)*3)+Inputs!$B$29+Inputs!$B$30)))</f>
        <v/>
      </c>
      <c r="E1073">
        <f>INDEX(FactorTable!$B$2:$Y$301, MATCH(ROUND(MIN(300,MAX(1,D1073)),0), FactorTable!$A$2:$A$301,0), Skills!L27+1)</f>
        <v/>
      </c>
      <c r="F1073">
        <f>IF(Skills!M27=TRUE,(Skills!K27/10)*(E1073/1000),Skills!K27/10)+Skills!N27</f>
        <v/>
      </c>
      <c r="G1073">
        <f>Calc!G27</f>
        <v/>
      </c>
      <c r="H1073">
        <f>Calc!H27</f>
        <v/>
      </c>
      <c r="I1073">
        <f>IF(Skills!T27&lt;&gt;"",1+(Skills!T27/10)*($Z$3/1000)/100,1)</f>
        <v/>
      </c>
      <c r="J1073" t="inlineStr"/>
      <c r="K1073" t="inlineStr"/>
      <c r="L1073" t="inlineStr"/>
      <c r="M1073" t="inlineStr"/>
      <c r="N1073" t="inlineStr"/>
      <c r="O1073">
        <f>(1-Summary!$B$48)*S1073+Summary!$B$48*U1073</f>
        <v/>
      </c>
      <c r="P1073">
        <f>IF(B1088=0,0,O1073/B1088)</f>
        <v/>
      </c>
      <c r="Q1073">
        <f>IFERROR(1/IF(Inputs!$B$39="pvp",15,MAX(0.1,Skills!D27-IF(Skills!E27=TRUE,Inputs!$B$33,0))),0)</f>
        <v/>
      </c>
      <c r="R1073" t="n">
        <v>0</v>
      </c>
      <c r="S1073" t="n">
        <v>0</v>
      </c>
      <c r="U1073" t="n">
        <v>0</v>
      </c>
    </row>
    <row r="1075">
      <c r="A1075" t="inlineStr">
        <is>
          <t>Average Buff Multiplier</t>
        </is>
      </c>
      <c r="B1075">
        <f>(1+(IF(C1049=TRUE,F1049*IF(AND(Inputs!$B$39&lt;&gt;"pvp",Inputs!$B$44&gt;0),(((R1049-1)*(Skills!S3*(1+(Inputs!$B$35+IF(Inputs!$B$3&gt;=117,F1072,0))/100))+MIN((Skills!S3*(1+(Inputs!$B$35+IF(Inputs!$B$3&gt;=117,F1072,0))/100)),MAX(0,Inputs!$B$44-((R1049-1)*Skills!D3))))/Inputs!$B$44),IF(Inputs!$B$39="pvp",MIN((Skills!S3*(1+(Inputs!$B$35+IF(Inputs!$B$3&gt;=117,F1072,0))/100)),15)/15,(Skills!S3*(1+(Inputs!$B$35+IF(Inputs!$B$3&gt;=117,F1072,0))/100))/Skills!D3)),0)+IF(C1050=TRUE,F1050*IF(AND(Inputs!$B$39&lt;&gt;"pvp",Inputs!$B$44&gt;0),(((R1050-1)*(Skills!S4*(1+(Inputs!$B$35+IF(Inputs!$B$3&gt;=117,F1072,0))/100))+MIN((Skills!S4*(1+(Inputs!$B$35+IF(Inputs!$B$3&gt;=117,F1072,0))/100)),MAX(0,Inputs!$B$44-((R1050-1)*Skills!D4))))/Inputs!$B$44),IF(Inputs!$B$39="pvp",MIN((Skills!S4*(1+(Inputs!$B$35+IF(Inputs!$B$3&gt;=117,F1072,0))/100)),15)/15,(Skills!S4*(1+(Inputs!$B$35+IF(Inputs!$B$3&gt;=117,F1072,0))/100))/Skills!D4)),0)+IF(C1051=TRUE,F1051*IF(AND(Inputs!$B$39&lt;&gt;"pvp",Inputs!$B$44&gt;0),(((R1051-1)*(Skills!S5*(1+(Inputs!$B$35+IF(Inputs!$B$3&gt;=117,F1072,0))/100))+MIN((Skills!S5*(1+(Inputs!$B$35+IF(Inputs!$B$3&gt;=117,F1072,0))/100)),MAX(0,Inputs!$B$44-((R1051-1)*Skills!D5))))/Inputs!$B$44),IF(Inputs!$B$39="pvp",MIN((Skills!S5*(1+(Inputs!$B$35+IF(Inputs!$B$3&gt;=117,F1072,0))/100)),15)/15,(Skills!S5*(1+(Inputs!$B$35+IF(Inputs!$B$3&gt;=117,F1072,0))/100))/Skills!D5)),0)+IF(C1057=TRUE,F1057*IF(AND(Inputs!$B$39&lt;&gt;"pvp",Inputs!$B$44&gt;0),(((R1057-1)*(Skills!S11*(1+(Inputs!$B$35+IF(Inputs!$B$3&gt;=117,F1072,0))/100))+MIN((Skills!S11*(1+(Inputs!$B$35+IF(Inputs!$B$3&gt;=117,F1072,0))/100)),MAX(0,Inputs!$B$44-((R1057-1)*Skills!D11))))/Inputs!$B$44),IF(Inputs!$B$39="pvp",MIN((Skills!S11*(1+(Inputs!$B$35+IF(Inputs!$B$3&gt;=117,F1072,0))/100)),15)/15,(Skills!S11*(1+(Inputs!$B$35+IF(Inputs!$B$3&gt;=117,F1072,0))/100))/Skills!D11)),0))/100)*IF(C1060=TRUE,(1+F1060*IF(AND(Inputs!$B$39&lt;&gt;"pvp",Inputs!$B$44&gt;0),(((R1060-1)*(Skills!S14*(1+(Inputs!$B$35+IF(Inputs!$B$3&gt;=117,F1072,0))/100))+MIN((Skills!S14*(1+(Inputs!$B$35+IF(Inputs!$B$3&gt;=117,F1072,0))/100)),MAX(0,Inputs!$B$44-((R1060-1)*Skills!D14))))/Inputs!$B$44),IF(Inputs!$B$39="pvp",MIN((Skills!S14*(1+(Inputs!$B$35+IF(Inputs!$B$3&gt;=117,F1072,0))/100)),15)/15,(Skills!S14*(1+(Inputs!$B$35+IF(Inputs!$B$3&gt;=117,F1072,0))/100))/Skills!D14))/100),1)*IF(C1065=TRUE,(1+F1065*IF(AND(Inputs!$B$39&lt;&gt;"pvp",Inputs!$B$44&gt;0),(((R1065-1)*(Skills!S19*(1+(Inputs!$B$35+IF(Inputs!$B$3&gt;=117,F1072,0))/100))+MIN((Skills!S19*(1+(Inputs!$B$35+IF(Inputs!$B$3&gt;=117,F1072,0))/100)),MAX(0,Inputs!$B$44-((R1065-1)*Skills!D19))))/Inputs!$B$44),IF(Inputs!$B$39="pvp",MIN((Skills!S19*(1+(Inputs!$B$35+IF(Inputs!$B$3&gt;=117,F1072,0))/100)),15)/15,(Skills!S19*(1+(Inputs!$B$35+IF(Inputs!$B$3&gt;=117,F1072,0))/100))/Skills!D19))/100),1)</f>
        <v/>
      </c>
    </row>
    <row r="1076">
      <c r="A1076" t="inlineStr">
        <is>
          <t>Monster Damage Taken Bonus % (Holy Fountain)</t>
        </is>
      </c>
      <c r="B1076">
        <f>IF(Inputs!$B$3&gt;=68,20*IF(Inputs!$B$39="pvp",MIN((15*(1+(Inputs!$B$35+IF(Inputs!$B$3&gt;=117,F1072,0))/100)),15)/15,(15*(1+(Inputs!$B$35+IF(Inputs!$B$3&gt;=117,F1072,0))/100))/Skills!D10),0)</f>
        <v/>
      </c>
    </row>
    <row r="1077">
      <c r="A1077" t="inlineStr">
        <is>
          <t>Normal Monster Damage Bonus % (Holy Symbol)</t>
        </is>
      </c>
      <c r="B1077">
        <f>IF(C1058=TRUE,F1058*IF(AND(Inputs!$B$39&lt;&gt;"pvp",Inputs!$B$44&gt;0),(((R1058-1)*(Skills!S12*(1+(Inputs!$B$35+IF(Inputs!$B$3&gt;=117,F1072,0))/100))+MIN((Skills!S12*(1+(Inputs!$B$35+IF(Inputs!$B$3&gt;=117,F1072,0))/100)),MAX(0,Inputs!$B$44-((R1058-1)*Skills!D12))))/Inputs!$B$44),IF(Inputs!$B$39="pvp",MIN((Skills!S12*(1+(Inputs!$B$35+IF(Inputs!$B$3&gt;=117,F1072,0))/100)),15)/15,(Skills!S12*(1+(Inputs!$B$35+IF(Inputs!$B$3&gt;=117,F1072,0))/100))/Skills!D12)),0)</f>
        <v/>
      </c>
    </row>
    <row r="1078">
      <c r="A1078" t="inlineStr">
        <is>
          <t>Damage % Bonus (Holy Symbol - Damage Boost)</t>
        </is>
      </c>
      <c r="B1078">
        <f>Skills!O12</f>
        <v/>
      </c>
    </row>
    <row r="1079">
      <c r="A1079" t="inlineStr">
        <is>
          <t>Crit Damage % Bonus (Blood of the Divine)</t>
        </is>
      </c>
      <c r="B1079">
        <f>4*IF(C1066=TRUE,F1066,0)</f>
        <v/>
      </c>
    </row>
    <row r="1080">
      <c r="A1080" t="inlineStr">
        <is>
          <t>Attack Speed Bonus %</t>
        </is>
      </c>
      <c r="B1080">
        <f>IF(C1063=TRUE,F1063+(F1067-Calc!F21),0)+IF(Inputs!$B$3&gt;=134,15,0)</f>
        <v/>
      </c>
    </row>
    <row r="1081">
      <c r="A1081" t="inlineStr">
        <is>
          <t>Actions Per Second</t>
        </is>
      </c>
      <c r="B1081">
        <f>1+MIN(150,150*(1-(1-Inputs!$B$12/150)*(1-B1080/150)))/100</f>
        <v/>
      </c>
    </row>
    <row r="1082">
      <c r="A1082" t="inlineStr">
        <is>
          <t>Skill + Buff Cast Rate</t>
        </is>
      </c>
      <c r="B1082">
        <f>IF(AND(Inputs!$B$39&lt;&gt;"pvp",Inputs!$B$44&gt;0),SUMPRODUCT((Skills!E2:E27=TRUE)*(C1048:C1073=TRUE)*R1048:R1073)/Inputs!$B$44,SUMPRODUCT((Skills!E2:E27=TRUE)*(C1048:C1073=TRUE)*Q1048:Q1073))</f>
        <v/>
      </c>
    </row>
    <row r="1083">
      <c r="A1083" t="inlineStr">
        <is>
          <t>Big Bang Casts Per Second</t>
        </is>
      </c>
      <c r="B1083">
        <f>MAX(0,B1081-B1082)</f>
        <v/>
      </c>
    </row>
    <row r="1084">
      <c r="A1084" t="inlineStr">
        <is>
          <t>Defense % Bonus (Divine Protection)</t>
        </is>
      </c>
      <c r="B1084">
        <f>IF(C1059=TRUE,F1059*IF(AND(Inputs!$B$39&lt;&gt;"pvp",Inputs!$B$44&gt;0),(((R1059-1)*(Skills!S13*(1+(Inputs!$B$35+IF(Inputs!$B$3&gt;=117,F1072,0))/100))+MIN((Skills!S13*(1+(Inputs!$B$35+IF(Inputs!$B$3&gt;=117,F1072,0))/100)),MAX(0,Inputs!$B$44-((R1059-1)*Skills!D13))))/Inputs!$B$44),IF(Inputs!$B$39="pvp",MIN((Skills!S13*(1+(Inputs!$B$35+IF(Inputs!$B$3&gt;=117,F1072,0))/100)),15)/15,(Skills!S13*(1+(Inputs!$B$35+IF(Inputs!$B$3&gt;=117,F1072,0))/100))/Skills!D13)),0)</f>
        <v/>
      </c>
    </row>
    <row r="1085">
      <c r="A1085" t="inlineStr">
        <is>
          <t>Buff-Casting Startup Delay (s, fixed-duration only)</t>
        </is>
      </c>
      <c r="B1085">
        <f>IF(AND(Inputs!$B$39&lt;&gt;"pvp",Inputs!$B$44&gt;0),SUMPRODUCT((Skills!S2:S27&gt;0)*(Skills!E2:E27=TRUE)*(C1048:C1073=TRUE))/B1081,0)</f>
        <v/>
      </c>
    </row>
    <row r="1086">
      <c r="A1086" t="inlineStr">
        <is>
          <t>Boss-Only Total DPS (this block's swept value)</t>
        </is>
      </c>
      <c r="B1086">
        <f>SUM(S1048:S1073)</f>
        <v/>
      </c>
    </row>
    <row r="1087">
      <c r="A1087" t="inlineStr">
        <is>
          <t>Normal-Only Total DPS (this block's swept value)</t>
        </is>
      </c>
      <c r="B1087">
        <f>SUM(U1048:U1073)</f>
        <v/>
      </c>
    </row>
    <row r="1088">
      <c r="A1088" s="5" t="inlineStr">
        <is>
          <t>TOTAL DPS</t>
        </is>
      </c>
      <c r="B1088" s="5">
        <f>SUM(O1048:O1073)</f>
        <v/>
      </c>
    </row>
    <row r="1090">
      <c r="A1090" s="5" t="inlineStr">
        <is>
          <t>Stat: Skill Cooldown Decrease (seconds)</t>
        </is>
      </c>
    </row>
    <row r="1091">
      <c r="A1091" s="9" t="inlineStr">
        <is>
          <t>Key</t>
        </is>
      </c>
      <c r="B1091" s="9" t="inlineStr">
        <is>
          <t>Name</t>
        </is>
      </c>
      <c r="C1091" s="9" t="inlineStr">
        <is>
          <t>Unlocked</t>
        </is>
      </c>
      <c r="D1091" s="9" t="inlineStr">
        <is>
          <t>InputLevel</t>
        </is>
      </c>
      <c r="E1091" s="9" t="inlineStr">
        <is>
          <t>Factor</t>
        </is>
      </c>
      <c r="F1091" s="9" t="inlineStr">
        <is>
          <t>CoefficientPercent</t>
        </is>
      </c>
      <c r="G1091" s="9" t="inlineStr">
        <is>
          <t>EffectiveHits</t>
        </is>
      </c>
      <c r="H1091" s="9" t="inlineStr">
        <is>
          <t>ProcProbability</t>
        </is>
      </c>
      <c r="I1091" s="9" t="inlineStr">
        <is>
          <t>MapleHeroMultiplier</t>
        </is>
      </c>
      <c r="J1091" s="9" t="inlineStr">
        <is>
          <t>BaseDamage</t>
        </is>
      </c>
      <c r="K1091" s="9" t="inlineStr">
        <is>
          <t>BaseHitDamage</t>
        </is>
      </c>
      <c r="L1091" s="9" t="inlineStr">
        <is>
          <t>NonCritAvg</t>
        </is>
      </c>
      <c r="M1091" s="9" t="inlineStr">
        <is>
          <t>CritAvg</t>
        </is>
      </c>
      <c r="N1091" s="9" t="inlineStr">
        <is>
          <t>ExpectedDamage(perHit)</t>
        </is>
      </c>
      <c r="O1091" s="9" t="inlineStr">
        <is>
          <t>DPS</t>
        </is>
      </c>
      <c r="P1091" s="9" t="inlineStr">
        <is>
          <t>% of Total</t>
        </is>
      </c>
      <c r="R1091" t="inlineStr">
        <is>
          <t>helpers</t>
        </is>
      </c>
    </row>
    <row r="1092">
      <c r="A1092">
        <f>Skills!A2</f>
        <v/>
      </c>
      <c r="B1092">
        <f>Skills!B2</f>
        <v/>
      </c>
      <c r="C1092">
        <f>Inputs!$B$3&gt;=100</f>
        <v/>
      </c>
      <c r="D1092" t="inlineStr"/>
      <c r="E1092" t="inlineStr"/>
      <c r="F1092">
        <f>T1094+Skills!N2</f>
        <v/>
      </c>
      <c r="G1092">
        <f>Calc!G2</f>
        <v/>
      </c>
      <c r="H1092">
        <f>Calc!H2</f>
        <v/>
      </c>
      <c r="I1092">
        <f>IF(Skills!T2&lt;&gt;"",1+(Skills!T2/10)*($Z$3/1000)/100,1)</f>
        <v/>
      </c>
      <c r="J1092">
        <f>((Inputs!$B$6*(1+Inputs!$B$7/100))+(((Inputs!$B$13*(1+Inputs!$B$14/100))-(Inputs!$B$13*(1+Inputs!$B$14/100)))+0.25*(Inputs!$B$15-Inputs!$B$15))*(1+Inputs!$B$7/100))*(F1092/100)</f>
        <v/>
      </c>
      <c r="K1092">
        <f>J1092*(1+(((Inputs!$B$13+IF(Inputs!$B$3&gt;=35,(10*INDEX(FactorTable!$B$2:$Y$301, MATCH(ROUND(MIN(300,MAX(1,Inputs!$B$3)),0), FactorTable!$A$2:$A$301,0), 23)/1000)/100*(Inputs!$B$8*(1+(Inputs!$B$9+B1128)/100)),0))*(1+Inputs!$B$14/100))*0.01+Inputs!$B$15*0.0025)/100)*(1+(Inputs!$B$16+B1122)/100)*(1+Inputs!$B$17/100)*(5000/(6000+Inputs!$B$43*(1-Inputs!$B$20/100)))*(1+Inputs!$B$25/100)*(1+IF(C1108=TRUE,F1108,0)/100)*(1+IF(C1110=TRUE,F1110,0)/100)*(1+IF(Skills!A2="TRIUMPH_FEATHER",IF(C1106=TRUE,F1106,0),0)/100)*(1+IF(C1117=TRUE,F1117,0)/100)^5*(1+(IF(Skills!A2="BIG_BANG",Inputs!$B$18,Inputs!$B$19))/100)*(B1119*I1092)</f>
        <v/>
      </c>
      <c r="L1092">
        <f>K1092*(MIN(Inputs!$B$23+(F1112-Calc!F22),Inputs!$B$24)/100+Inputs!$B$24/100)/2</f>
        <v/>
      </c>
      <c r="M1092">
        <f>L1092*(1+(Inputs!$B$11+B1123+(F1115-Calc!F25))/100)</f>
        <v/>
      </c>
      <c r="N1092">
        <f>L1092*(1-MIN(Inputs!$B$10+((F1114-Calc!F24)+(F1113-Calc!F23)),100)/100)+M1092*(MIN(Inputs!$B$10+((F1114-Calc!F24)+(F1113-Calc!F23)),100)/100)</f>
        <v/>
      </c>
      <c r="O1092">
        <f>(1-Summary!$B$48)*S1092+Summary!$B$48*U1092</f>
        <v/>
      </c>
      <c r="P1092">
        <f>IF(B1132=0,0,O1092/B1132)</f>
        <v/>
      </c>
      <c r="Q1092">
        <f>IFERROR(1/IF(Inputs!$B$39="pvp",15,MAX(0.1,Skills!D2-IF(Skills!E2=TRUE,(Inputs!$B$33+1),0))),0)</f>
        <v/>
      </c>
      <c r="R1092" t="n">
        <v>0</v>
      </c>
      <c r="S1092">
        <f>IF(C1092,(Skills!F2*N1092*B1127)*IF(Inputs!$B$39="pvp",1,1+(Inputs!$B$21+Skills!O2+B1120)/100),0)</f>
        <v/>
      </c>
      <c r="T1092">
        <f>MAX(0,(Inputs!$B$3-100)*3)+Inputs!$B$29+Inputs!$B$30</f>
        <v/>
      </c>
      <c r="U1092">
        <f>IF(C1092,(Skills!F2*N1092*B1127)*IF(Inputs!$B$39="pvp",1,(1+(Inputs!$B$22+Skills!P2+B1121)/100)*(MIN((6+Inputs!$B$34),Inputs!$B$38))),0)</f>
        <v/>
      </c>
    </row>
    <row r="1093">
      <c r="A1093">
        <f>Skills!A3</f>
        <v/>
      </c>
      <c r="B1093">
        <f>Skills!B3</f>
        <v/>
      </c>
      <c r="C1093">
        <f>Inputs!$B$3&gt;=15</f>
        <v/>
      </c>
      <c r="D1093">
        <f>IF(Skills!C3=1,60+Inputs!$B$26+Inputs!$B$30,IF(Skills!C3=2,90+Inputs!$B$27+Inputs!$B$30,IF(Skills!C3=3,120+Inputs!$B$28+Inputs!$B$30,MAX(0,(Inputs!$B$3-100)*3)+Inputs!$B$29+Inputs!$B$30)))</f>
        <v/>
      </c>
      <c r="E1093">
        <f>INDEX(FactorTable!$B$2:$Y$301, MATCH(ROUND(MIN(300,MAX(1,D1093)),0), FactorTable!$A$2:$A$301,0), Skills!L3+1)</f>
        <v/>
      </c>
      <c r="F1093">
        <f>IF(Skills!M3=TRUE,(Skills!K3/10)*(E1093/1000),Skills!K3/10)+Skills!N3</f>
        <v/>
      </c>
      <c r="G1093">
        <f>Calc!G3</f>
        <v/>
      </c>
      <c r="H1093">
        <f>Calc!H3</f>
        <v/>
      </c>
      <c r="I1093">
        <f>IF(Skills!T3&lt;&gt;"",1+(Skills!T3/10)*($Z$3/1000)/100,1)</f>
        <v/>
      </c>
      <c r="J1093" t="inlineStr"/>
      <c r="K1093" t="inlineStr"/>
      <c r="L1093" t="inlineStr"/>
      <c r="M1093" t="inlineStr"/>
      <c r="N1093" t="inlineStr"/>
      <c r="O1093">
        <f>(1-Summary!$B$48)*S1093+Summary!$B$48*U1093</f>
        <v/>
      </c>
      <c r="P1093">
        <f>IF(B1132=0,0,O1093/B1132)</f>
        <v/>
      </c>
      <c r="Q1093">
        <f>IFERROR(1/IF(Inputs!$B$39="pvp",15,MAX(0.1,Skills!D3-IF(Skills!E3=TRUE,(Inputs!$B$33+1),0))),0)</f>
        <v/>
      </c>
      <c r="R1093">
        <f>IF(AND(Inputs!$B$39&lt;&gt;"pvp",Inputs!$B$44&gt;0),IF(Inputs!$B$44&lt;=0,0,(INT(Inputs!$B$44/IF(Inputs!$B$39="pvp",15,MAX(0.1,Skills!D3-IF(Skills!E3=TRUE,(Inputs!$B$33+1),0))))+1)),0)</f>
        <v/>
      </c>
      <c r="S1093" t="n">
        <v>0</v>
      </c>
      <c r="T1093">
        <f>INDEX(FactorTable!$B$2:$Y$301, MATCH(ROUND(MIN(300,MAX(1,T1092)),0), FactorTable!$A$2:$A$301,0), 22)</f>
        <v/>
      </c>
      <c r="U1093" t="n">
        <v>0</v>
      </c>
    </row>
    <row r="1094">
      <c r="A1094">
        <f>Skills!A4</f>
        <v/>
      </c>
      <c r="B1094">
        <f>Skills!B4</f>
        <v/>
      </c>
      <c r="C1094">
        <f>Inputs!$B$3&gt;=38</f>
        <v/>
      </c>
      <c r="D1094">
        <f>IF(Skills!C4=1,60+Inputs!$B$26+Inputs!$B$30,IF(Skills!C4=2,90+Inputs!$B$27+Inputs!$B$30,IF(Skills!C4=3,120+Inputs!$B$28+Inputs!$B$30,MAX(0,(Inputs!$B$3-100)*3)+Inputs!$B$29+Inputs!$B$30)))</f>
        <v/>
      </c>
      <c r="E1094">
        <f>INDEX(FactorTable!$B$2:$Y$301, MATCH(ROUND(MIN(300,MAX(1,D1094)),0), FactorTable!$A$2:$A$301,0), Skills!L4+1)</f>
        <v/>
      </c>
      <c r="F1094">
        <f>IF(Skills!M4=TRUE,(Skills!K4/10)*(E1094/1000),Skills!K4/10)+Skills!N4</f>
        <v/>
      </c>
      <c r="G1094">
        <f>Calc!G4</f>
        <v/>
      </c>
      <c r="H1094">
        <f>Calc!H4</f>
        <v/>
      </c>
      <c r="I1094">
        <f>IF(Skills!T4&lt;&gt;"",1+(Skills!T4/10)*($Z$3/1000)/100,1)</f>
        <v/>
      </c>
      <c r="J1094" t="inlineStr"/>
      <c r="K1094" t="inlineStr"/>
      <c r="L1094" t="inlineStr"/>
      <c r="M1094" t="inlineStr"/>
      <c r="N1094" t="inlineStr"/>
      <c r="O1094">
        <f>(1-Summary!$B$48)*S1094+Summary!$B$48*U1094</f>
        <v/>
      </c>
      <c r="P1094">
        <f>IF(B1132=0,0,O1094/B1132)</f>
        <v/>
      </c>
      <c r="Q1094">
        <f>IFERROR(1/IF(Inputs!$B$39="pvp",15,MAX(0.1,Skills!D4-IF(Skills!E4=TRUE,(Inputs!$B$33+1),0))),0)</f>
        <v/>
      </c>
      <c r="R1094">
        <f>IF(AND(Inputs!$B$39&lt;&gt;"pvp",Inputs!$B$44&gt;0),IF(Inputs!$B$44&lt;=0,0,(INT(Inputs!$B$44/IF(Inputs!$B$39="pvp",15,MAX(0.1,Skills!D4-IF(Skills!E4=TRUE,(Inputs!$B$33+1),0))))+1)),0)</f>
        <v/>
      </c>
      <c r="S1094" t="n">
        <v>0</v>
      </c>
      <c r="T1094">
        <f>290*T1093/1000</f>
        <v/>
      </c>
      <c r="U1094" t="n">
        <v>0</v>
      </c>
    </row>
    <row r="1095">
      <c r="A1095">
        <f>Skills!A5</f>
        <v/>
      </c>
      <c r="B1095">
        <f>Skills!B5</f>
        <v/>
      </c>
      <c r="C1095">
        <f>Inputs!$B$3&gt;=40</f>
        <v/>
      </c>
      <c r="D1095">
        <f>IF(Skills!C5=1,60+Inputs!$B$26+Inputs!$B$30,IF(Skills!C5=2,90+Inputs!$B$27+Inputs!$B$30,IF(Skills!C5=3,120+Inputs!$B$28+Inputs!$B$30,MAX(0,(Inputs!$B$3-100)*3)+Inputs!$B$29+Inputs!$B$30)))</f>
        <v/>
      </c>
      <c r="E1095">
        <f>INDEX(FactorTable!$B$2:$Y$301, MATCH(ROUND(MIN(300,MAX(1,D1095)),0), FactorTable!$A$2:$A$301,0), Skills!L5+1)</f>
        <v/>
      </c>
      <c r="F1095">
        <f>IF(Skills!M5=TRUE,(Skills!K5/10)*(E1095/1000),Skills!K5/10)+Skills!N5</f>
        <v/>
      </c>
      <c r="G1095">
        <f>Calc!G5</f>
        <v/>
      </c>
      <c r="H1095">
        <f>Calc!H5</f>
        <v/>
      </c>
      <c r="I1095">
        <f>IF(Skills!T5&lt;&gt;"",1+(Skills!T5/10)*($Z$3/1000)/100,1)</f>
        <v/>
      </c>
      <c r="J1095" t="inlineStr"/>
      <c r="K1095" t="inlineStr"/>
      <c r="L1095" t="inlineStr"/>
      <c r="M1095" t="inlineStr"/>
      <c r="N1095" t="inlineStr"/>
      <c r="O1095">
        <f>(1-Summary!$B$48)*S1095+Summary!$B$48*U1095</f>
        <v/>
      </c>
      <c r="P1095">
        <f>IF(B1132=0,0,O1095/B1132)</f>
        <v/>
      </c>
      <c r="Q1095">
        <f>IFERROR(1/IF(Inputs!$B$39="pvp",15,MAX(0.1,Skills!D5-IF(Skills!E5=TRUE,(Inputs!$B$33+1),0))),0)</f>
        <v/>
      </c>
      <c r="R1095">
        <f>IF(AND(Inputs!$B$39&lt;&gt;"pvp",Inputs!$B$44&gt;0),IF(Inputs!$B$44&lt;=0,0,(INT(Inputs!$B$44/IF(Inputs!$B$39="pvp",15,MAX(0.1,Skills!D5-IF(Skills!E5=TRUE,(Inputs!$B$33+1),0))))+1)),0)</f>
        <v/>
      </c>
      <c r="S1095" t="n">
        <v>0</v>
      </c>
      <c r="U1095" t="n">
        <v>0</v>
      </c>
    </row>
    <row r="1096">
      <c r="A1096">
        <f>Skills!A6</f>
        <v/>
      </c>
      <c r="B1096">
        <f>Skills!B6</f>
        <v/>
      </c>
      <c r="C1096">
        <f>Inputs!$B$3&gt;=103</f>
        <v/>
      </c>
      <c r="D1096">
        <f>IF(Skills!C6=1,60+Inputs!$B$26+Inputs!$B$30,IF(Skills!C6=2,90+Inputs!$B$27+Inputs!$B$30,IF(Skills!C6=3,120+Inputs!$B$28+Inputs!$B$30,MAX(0,(Inputs!$B$3-100)*3)+Inputs!$B$29+Inputs!$B$30)))</f>
        <v/>
      </c>
      <c r="E1096">
        <f>INDEX(FactorTable!$B$2:$Y$301, MATCH(ROUND(MIN(300,MAX(1,D1096)),0), FactorTable!$A$2:$A$301,0), Skills!L6+1)</f>
        <v/>
      </c>
      <c r="F1096">
        <f>IF(Skills!M6=TRUE,(Skills!K6/10)*(E1096/1000),Skills!K6/10)+Skills!N6</f>
        <v/>
      </c>
      <c r="G1096">
        <f>Calc!G6</f>
        <v/>
      </c>
      <c r="H1096">
        <f>Calc!H6</f>
        <v/>
      </c>
      <c r="I1096">
        <f>IF(Skills!T6&lt;&gt;"",1+(Skills!T6/10)*($Z$3/1000)/100,1)</f>
        <v/>
      </c>
      <c r="J1096">
        <f>((Inputs!$B$6*(1+Inputs!$B$7/100))+(((Inputs!$B$13*(1+Inputs!$B$14/100))-(Inputs!$B$13*(1+Inputs!$B$14/100)))+0.25*(Inputs!$B$15-Inputs!$B$15))*(1+Inputs!$B$7/100))*(F1096/100)</f>
        <v/>
      </c>
      <c r="K1096">
        <f>J1096*(1+(((Inputs!$B$13+IF(Inputs!$B$3&gt;=35,(10*INDEX(FactorTable!$B$2:$Y$301, MATCH(ROUND(MIN(300,MAX(1,Inputs!$B$3)),0), FactorTable!$A$2:$A$301,0), 23)/1000)/100*(Inputs!$B$8*(1+(Inputs!$B$9+B1128)/100)),0))*(1+Inputs!$B$14/100))*0.01+Inputs!$B$15*0.0025)/100)*(1+(Inputs!$B$16+B1122)/100)*(1+Inputs!$B$17/100)*(5000/(6000+Inputs!$B$43*(1-Inputs!$B$20/100)))*(1+Inputs!$B$25/100)*(1+IF(C1108=TRUE,F1108,0)/100)*(1+IF(C1110=TRUE,F1110,0)/100)*(1+IF(Skills!A6="TRIUMPH_FEATHER",IF(C1106=TRUE,F1106,0),0)/100)*(1+IF(C1117=TRUE,F1117,0)/100)^5*(1+(IF(Skills!A6="BIG_BANG",Inputs!$B$18,Inputs!$B$19))/100)*(B1119*I1096)</f>
        <v/>
      </c>
      <c r="L1096">
        <f>K1096*(MIN(Inputs!$B$23+(F1112-Calc!F22),Inputs!$B$24)/100+Inputs!$B$24/100)/2</f>
        <v/>
      </c>
      <c r="M1096">
        <f>L1096*(1+(Inputs!$B$11+B1123+(F1115-Calc!F25))/100)</f>
        <v/>
      </c>
      <c r="N1096">
        <f>L1096*(1-MIN(Inputs!$B$10+((F1114-Calc!F24)+(F1113-Calc!F23)),100)/100)+M1096*(MIN(Inputs!$B$10+((F1114-Calc!F24)+(F1113-Calc!F23)),100)/100)</f>
        <v/>
      </c>
      <c r="O1096">
        <f>(1-Summary!$B$48)*S1096+Summary!$B$48*U1096</f>
        <v/>
      </c>
      <c r="P1096">
        <f>IF(B1132=0,0,O1096/B1132)</f>
        <v/>
      </c>
      <c r="Q1096">
        <f>IFERROR(1/IF(Inputs!$B$39="pvp",15,MAX(0.1,Skills!D6-IF(Skills!E6=TRUE,(Inputs!$B$33+1),0))),0)</f>
        <v/>
      </c>
      <c r="R1096">
        <f>IF(AND(Inputs!$B$39&lt;&gt;"pvp",Inputs!$B$44&gt;0),IF(MAX(0,Inputs!$B$44-B1129)&lt;=0,0,(INT(MAX(0,Inputs!$B$44-B1129)/IF(Inputs!$B$39="pvp",15,MAX(0.1,Skills!D6-IF(Skills!E6=TRUE,(Inputs!$B$33+1),0))))+1)),0)</f>
        <v/>
      </c>
      <c r="S1096">
        <f>IF(C1096,(H1096*N1096*IF(AND(Inputs!$B$39&lt;&gt;"pvp",Inputs!$B$44&gt;0),((Skills!F6*((R1096-1)*IF(Skills!G6&gt;0,Skills!H6/Skills!G6,1)+IF(Skills!G6&gt;0,MIN(Skills!H6,MAX(0,MAX(0,Inputs!$B$44-B1129)-((R1096-1)*IF(Inputs!$B$39="pvp",15,MAX(0.1,Skills!D6-IF(Skills!E6=TRUE,(Inputs!$B$33+1),0))))))/Skills!G6,1)))/Inputs!$B$44),G1096*Q1096))*IF(Inputs!$B$39="pvp",1,1+(Inputs!$B$21+Skills!O6+B1120)/100),0)</f>
        <v/>
      </c>
      <c r="U1096">
        <f>IF(C1096,(H1096*N1096*IF(AND(Inputs!$B$39&lt;&gt;"pvp",Inputs!$B$44&gt;0),((Skills!F6*((R1096-1)*IF(Skills!G6&gt;0,Skills!H6/Skills!G6,1)+IF(Skills!G6&gt;0,MIN(Skills!H6,MAX(0,MAX(0,Inputs!$B$44-B1129)-((R1096-1)*IF(Inputs!$B$39="pvp",15,MAX(0.1,Skills!D6-IF(Skills!E6=TRUE,(Inputs!$B$33+1),0))))))/Skills!G6,1)))/Inputs!$B$44),G1096*Q1096))*IF(Inputs!$B$39="pvp",1,(1+(Inputs!$B$22+Skills!P6+B1121)/100)*(MIN(Skills!Q6,Inputs!$B$38))),0)</f>
        <v/>
      </c>
    </row>
    <row r="1097">
      <c r="A1097">
        <f>Skills!A7</f>
        <v/>
      </c>
      <c r="B1097">
        <f>Skills!B7</f>
        <v/>
      </c>
      <c r="C1097">
        <f>Inputs!$B$3&gt;=122</f>
        <v/>
      </c>
      <c r="D1097">
        <f>IF(Skills!C7=1,60+Inputs!$B$26+Inputs!$B$30,IF(Skills!C7=2,90+Inputs!$B$27+Inputs!$B$30,IF(Skills!C7=3,120+Inputs!$B$28+Inputs!$B$30,MAX(0,(Inputs!$B$3-100)*3)+Inputs!$B$29+Inputs!$B$30)))</f>
        <v/>
      </c>
      <c r="E1097">
        <f>INDEX(FactorTable!$B$2:$Y$301, MATCH(ROUND(MIN(300,MAX(1,D1097)),0), FactorTable!$A$2:$A$301,0), Skills!L7+1)</f>
        <v/>
      </c>
      <c r="F1097">
        <f>IF(Skills!M7=TRUE,(Skills!K7/10)*(E1097/1000),Skills!K7/10)+Skills!N7</f>
        <v/>
      </c>
      <c r="G1097">
        <f>Calc!G7</f>
        <v/>
      </c>
      <c r="H1097">
        <f>Calc!H7</f>
        <v/>
      </c>
      <c r="I1097">
        <f>IF(Skills!T7&lt;&gt;"",1+(Skills!T7/10)*($Z$3/1000)/100,1)</f>
        <v/>
      </c>
      <c r="J1097">
        <f>((Inputs!$B$6*(1+Inputs!$B$7/100))+(((Inputs!$B$13*(1+Inputs!$B$14/100))-(Inputs!$B$13*(1+Inputs!$B$14/100)))+0.25*(Inputs!$B$15-Inputs!$B$15))*(1+Inputs!$B$7/100))*(F1097/100)</f>
        <v/>
      </c>
      <c r="K1097">
        <f>J1097*(1+(((Inputs!$B$13+IF(Inputs!$B$3&gt;=35,(10*INDEX(FactorTable!$B$2:$Y$301, MATCH(ROUND(MIN(300,MAX(1,Inputs!$B$3)),0), FactorTable!$A$2:$A$301,0), 23)/1000)/100*(Inputs!$B$8*(1+(Inputs!$B$9+B1128)/100)),0))*(1+Inputs!$B$14/100))*0.01+Inputs!$B$15*0.0025)/100)*(1+(Inputs!$B$16+B1122)/100)*(1+Inputs!$B$17/100)*(5000/(6000+Inputs!$B$43*(1-Inputs!$B$20/100)))*(1+Inputs!$B$25/100)*(1+IF(C1108=TRUE,F1108,0)/100)*(1+IF(C1110=TRUE,F1110,0)/100)*(1+IF(Skills!A7="TRIUMPH_FEATHER",IF(C1106=TRUE,F1106,0),0)/100)*(1+IF(C1117=TRUE,F1117,0)/100)^5*(1+(IF(Skills!A7="BIG_BANG",Inputs!$B$18,Inputs!$B$19))/100)*(B1119*I1097)</f>
        <v/>
      </c>
      <c r="L1097">
        <f>K1097*(MIN(Inputs!$B$23+(F1112-Calc!F22),Inputs!$B$24)/100+Inputs!$B$24/100)/2</f>
        <v/>
      </c>
      <c r="M1097">
        <f>L1097*(1+(Inputs!$B$11+B1123+(F1115-Calc!F25))/100)</f>
        <v/>
      </c>
      <c r="N1097">
        <f>L1097*(1-MIN(Inputs!$B$10+((F1114-Calc!F24)+(F1113-Calc!F23)),100)/100)+M1097*(MIN(Inputs!$B$10+((F1114-Calc!F24)+(F1113-Calc!F23)),100)/100)</f>
        <v/>
      </c>
      <c r="O1097">
        <f>(1-Summary!$B$48)*S1097+Summary!$B$48*U1097</f>
        <v/>
      </c>
      <c r="P1097">
        <f>IF(B1132=0,0,O1097/B1132)</f>
        <v/>
      </c>
      <c r="Q1097">
        <f>IFERROR(1/IF(Inputs!$B$39="pvp",15,MAX(0.1,Skills!D7-IF(Skills!E6=TRUE,(Inputs!$B$33+1),0))),0)</f>
        <v/>
      </c>
      <c r="R1097">
        <f>IF(AND(Inputs!$B$39&lt;&gt;"pvp",Inputs!$B$44&gt;0),IF(MAX(0,Inputs!$B$44-B1129)&lt;=0,0,(INT(MAX(0,Inputs!$B$44-B1129)/IF(Inputs!$B$39="pvp",15,MAX(0.1,Skills!D7-IF(Skills!E6=TRUE,(Inputs!$B$33+1),0))))+1)),0)</f>
        <v/>
      </c>
      <c r="S1097">
        <f>IF(C1097,H1097*N1097*IF(AND(Inputs!$B$39&lt;&gt;"pvp",Inputs!$B$44&gt;0),((Skills!F7*((R1097-1)*IF(Skills!G7&gt;0,Skills!H7/Skills!G7,1)+IF(Skills!G7&gt;0,MIN(Skills!H7,MAX(0,MAX(0,Inputs!$B$44-B1129)-((R1097-1)*IF(Inputs!$B$39="pvp",15,MAX(0.1,Skills!D7-IF(Skills!E6=TRUE,(Inputs!$B$33+1),0))))))/Skills!G7,1)))/Inputs!$B$44),G1097*Q1097)*IF(Inputs!$B$39="pvp",1,1+(Inputs!$B$21+Skills!O7+B1120)/100),0)</f>
        <v/>
      </c>
      <c r="U1097" t="n">
        <v>0</v>
      </c>
    </row>
    <row r="1098">
      <c r="A1098">
        <f>Skills!A8</f>
        <v/>
      </c>
      <c r="B1098">
        <f>Skills!B8</f>
        <v/>
      </c>
      <c r="C1098">
        <f>Inputs!$B$3&gt;=105</f>
        <v/>
      </c>
      <c r="D1098">
        <f>IF(Skills!C8=1,60+Inputs!$B$26+Inputs!$B$30,IF(Skills!C8=2,90+Inputs!$B$27+Inputs!$B$30,IF(Skills!C8=3,120+Inputs!$B$28+Inputs!$B$30,MAX(0,(Inputs!$B$3-100)*3)+Inputs!$B$29+Inputs!$B$30)))</f>
        <v/>
      </c>
      <c r="E1098">
        <f>INDEX(FactorTable!$B$2:$Y$301, MATCH(ROUND(MIN(300,MAX(1,D1098)),0), FactorTable!$A$2:$A$301,0), Skills!L8+1)</f>
        <v/>
      </c>
      <c r="F1098">
        <f>IF(Skills!M8=TRUE,(Skills!K8/10)*(E1098/1000),Skills!K8/10)+Skills!N8</f>
        <v/>
      </c>
      <c r="G1098">
        <f>Calc!G8</f>
        <v/>
      </c>
      <c r="H1098">
        <f>Calc!H8</f>
        <v/>
      </c>
      <c r="I1098">
        <f>IF(Skills!T8&lt;&gt;"",1+(Skills!T8/10)*($Z$3/1000)/100,1)</f>
        <v/>
      </c>
      <c r="J1098">
        <f>((Inputs!$B$6*(1+Inputs!$B$7/100))+(((Inputs!$B$13*(1+Inputs!$B$14/100))-(Inputs!$B$13*(1+Inputs!$B$14/100)))+0.25*(Inputs!$B$15-Inputs!$B$15))*(1+Inputs!$B$7/100))*(F1098/100)</f>
        <v/>
      </c>
      <c r="K1098">
        <f>J1098*(1+(((Inputs!$B$13+IF(Inputs!$B$3&gt;=35,(10*INDEX(FactorTable!$B$2:$Y$301, MATCH(ROUND(MIN(300,MAX(1,Inputs!$B$3)),0), FactorTable!$A$2:$A$301,0), 23)/1000)/100*(Inputs!$B$8*(1+(Inputs!$B$9+B1128)/100)),0))*(1+Inputs!$B$14/100))*0.01+Inputs!$B$15*0.0025)/100)*(1+(Inputs!$B$16+B1122)/100)*(1+Inputs!$B$17/100)*(5000/(6000+Inputs!$B$43*(1-Inputs!$B$20/100)))*(1+Inputs!$B$25/100)*(1+IF(C1108=TRUE,F1108,0)/100)*(1+IF(C1110=TRUE,F1110,0)/100)*(1+IF(Skills!A8="TRIUMPH_FEATHER",IF(C1106=TRUE,F1106,0),0)/100)*(1+IF(C1117=TRUE,F1117,0)/100)^5*(1+(IF(Skills!A8="BIG_BANG",Inputs!$B$18,Inputs!$B$19))/100)*(B1119*I1098)</f>
        <v/>
      </c>
      <c r="L1098">
        <f>K1098*(MIN(Inputs!$B$23+(F1112-Calc!F22),Inputs!$B$24)/100+Inputs!$B$24/100)/2</f>
        <v/>
      </c>
      <c r="M1098">
        <f>L1098*(1+(Inputs!$B$11+B1123+(F1115-Calc!F25))/100)</f>
        <v/>
      </c>
      <c r="N1098">
        <f>L1098*(1-MIN(Inputs!$B$10+((F1114-Calc!F24)+(F1113-Calc!F23)),100)/100)+M1098*(MIN(Inputs!$B$10+((F1114-Calc!F24)+(F1113-Calc!F23)),100)/100)</f>
        <v/>
      </c>
      <c r="O1098">
        <f>(1-Summary!$B$48)*S1098+Summary!$B$48*U1098</f>
        <v/>
      </c>
      <c r="P1098">
        <f>IF(B1132=0,0,O1098/B1132)</f>
        <v/>
      </c>
      <c r="Q1098">
        <f>IFERROR(1/IF(Inputs!$B$39="pvp",15,MAX(0.1,Skills!D8-IF(Skills!E8=TRUE,(Inputs!$B$33+1),0))),0)</f>
        <v/>
      </c>
      <c r="R1098">
        <f>IF(AND(Inputs!$B$39&lt;&gt;"pvp",Inputs!$B$44&gt;0),IF(MAX(0,Inputs!$B$44-B1129)&lt;=0,0,(INT(MAX(0,Inputs!$B$44-B1129)/IF(Inputs!$B$39="pvp",15,MAX(0.1,Skills!D8-IF(Skills!E8=TRUE,(Inputs!$B$33+1),0))))+1)),0)</f>
        <v/>
      </c>
      <c r="S1098">
        <f>IF(C1098,(H1098*N1098*IF(AND(Inputs!$B$39&lt;&gt;"pvp",Inputs!$B$44&gt;0),((Skills!F8*((R1098-1)*IF(Skills!G8&gt;0,Skills!H8/Skills!G8,1)+IF(Skills!G8&gt;0,MIN(Skills!H8,MAX(0,MAX(0,Inputs!$B$44-B1129)-((R1098-1)*IF(Inputs!$B$39="pvp",15,MAX(0.1,Skills!D8-IF(Skills!E8=TRUE,(Inputs!$B$33+1),0))))))/Skills!G8,1)))/Inputs!$B$44),G1098*Q1098))*IF(Inputs!$B$39="pvp",1,1+(Inputs!$B$21+Skills!O8+B1120)/100),0)</f>
        <v/>
      </c>
      <c r="U1098">
        <f>IF(C1098,(H1098*N1098*IF(AND(Inputs!$B$39&lt;&gt;"pvp",Inputs!$B$44&gt;0),((Skills!F8*((R1098-1)*IF(Skills!G8&gt;0,Skills!H8/Skills!G8,1)+IF(Skills!G8&gt;0,MIN(Skills!H8,MAX(0,MAX(0,Inputs!$B$44-B1129)-((R1098-1)*IF(Inputs!$B$39="pvp",15,MAX(0.1,Skills!D8-IF(Skills!E8=TRUE,(Inputs!$B$33+1),0))))))/Skills!G8,1)))/Inputs!$B$44),G1098*Q1098))*IF(Inputs!$B$39="pvp",1,(1+(Inputs!$B$22+Skills!P8+B1121)/100)*(MIN(Skills!Q8,Inputs!$B$38))),0)</f>
        <v/>
      </c>
    </row>
    <row r="1099">
      <c r="A1099">
        <f>Skills!A9</f>
        <v/>
      </c>
      <c r="B1099">
        <f>Skills!B9</f>
        <v/>
      </c>
      <c r="C1099">
        <f>Inputs!$B$3&gt;=115</f>
        <v/>
      </c>
      <c r="D1099">
        <f>IF(Skills!C9=1,60+Inputs!$B$26+Inputs!$B$30,IF(Skills!C9=2,90+Inputs!$B$27+Inputs!$B$30,IF(Skills!C9=3,120+Inputs!$B$28+Inputs!$B$30,MAX(0,(Inputs!$B$3-100)*3)+Inputs!$B$29+Inputs!$B$30)))</f>
        <v/>
      </c>
      <c r="E1099">
        <f>INDEX(FactorTable!$B$2:$Y$301, MATCH(ROUND(MIN(300,MAX(1,D1099)),0), FactorTable!$A$2:$A$301,0), Skills!L9+1)</f>
        <v/>
      </c>
      <c r="F1099">
        <f>IF(Skills!M9=TRUE,(Skills!K9/10)*(E1099/1000),Skills!K9/10)+Skills!N9</f>
        <v/>
      </c>
      <c r="G1099">
        <f>Calc!G9</f>
        <v/>
      </c>
      <c r="H1099">
        <f>Calc!H9</f>
        <v/>
      </c>
      <c r="I1099">
        <f>IF(Skills!T9&lt;&gt;"",1+(Skills!T9/10)*($Z$3/1000)/100,1)</f>
        <v/>
      </c>
      <c r="J1099">
        <f>((Inputs!$B$6*(1+Inputs!$B$7/100))+(((Inputs!$B$13*(1+Inputs!$B$14/100))-(Inputs!$B$13*(1+Inputs!$B$14/100)))+0.25*(Inputs!$B$15-Inputs!$B$15))*(1+Inputs!$B$7/100))*(F1099/100)</f>
        <v/>
      </c>
      <c r="K1099">
        <f>J1099*(1+(((Inputs!$B$13+IF(Inputs!$B$3&gt;=35,(10*INDEX(FactorTable!$B$2:$Y$301, MATCH(ROUND(MIN(300,MAX(1,Inputs!$B$3)),0), FactorTable!$A$2:$A$301,0), 23)/1000)/100*(Inputs!$B$8*(1+(Inputs!$B$9+B1128)/100)),0))*(1+Inputs!$B$14/100))*0.01+Inputs!$B$15*0.0025)/100)*(1+(Inputs!$B$16+B1122)/100)*(1+Inputs!$B$17/100)*(5000/(6000+Inputs!$B$43*(1-Inputs!$B$20/100)))*(1+Inputs!$B$25/100)*(1+IF(C1108=TRUE,F1108,0)/100)*(1+IF(C1110=TRUE,F1110,0)/100)*(1+IF(Skills!A9="TRIUMPH_FEATHER",IF(C1106=TRUE,F1106,0),0)/100)*(1+IF(C1117=TRUE,F1117,0)/100)^5*(1+(IF(Skills!A9="BIG_BANG",Inputs!$B$18,Inputs!$B$19))/100)*(B1119*I1099)</f>
        <v/>
      </c>
      <c r="L1099">
        <f>K1099*(MIN(Inputs!$B$23+(F1112-Calc!F22),Inputs!$B$24)/100+Inputs!$B$24/100)/2</f>
        <v/>
      </c>
      <c r="M1099">
        <f>L1099*(1+(Inputs!$B$11+B1123+(F1115-Calc!F25))/100)</f>
        <v/>
      </c>
      <c r="N1099">
        <f>L1099*(1-MIN(Inputs!$B$10+((F1114-Calc!F24)+(F1113-Calc!F23)),100)/100)+M1099*(MIN(Inputs!$B$10+((F1114-Calc!F24)+(F1113-Calc!F23)),100)/100)</f>
        <v/>
      </c>
      <c r="O1099">
        <f>(1-Summary!$B$48)*S1099+Summary!$B$48*U1099</f>
        <v/>
      </c>
      <c r="P1099">
        <f>IF(B1132=0,0,O1099/B1132)</f>
        <v/>
      </c>
      <c r="Q1099">
        <f>IFERROR(1/IF(Inputs!$B$39="pvp",15,MAX(0.1,Skills!D9-IF(Skills!E9=TRUE,(Inputs!$B$33+1),0))),0)</f>
        <v/>
      </c>
      <c r="R1099">
        <f>IF(AND(Inputs!$B$39&lt;&gt;"pvp",Inputs!$B$44&gt;0),IF(MAX(0,Inputs!$B$44-B1129)&lt;=0,0,(INT(MAX(0,Inputs!$B$44-B1129)/IF(Inputs!$B$39="pvp",15,MAX(0.1,Skills!D9-IF(Skills!E9=TRUE,(Inputs!$B$33+1),0))))+1)),0)</f>
        <v/>
      </c>
      <c r="S1099">
        <f>IF(C1099,(H1099*N1099*IF(AND(Inputs!$B$39&lt;&gt;"pvp",Inputs!$B$44&gt;0),((Skills!F9*((R1099-1)*IF(Skills!G9&gt;0,Skills!H9/Skills!G9,1)+IF(Skills!G9&gt;0,MIN(Skills!H9,MAX(0,MAX(0,Inputs!$B$44-B1129)-((R1099-1)*IF(Inputs!$B$39="pvp",15,MAX(0.1,Skills!D9-IF(Skills!E9=TRUE,(Inputs!$B$33+1),0))))))/Skills!G9,1)))/Inputs!$B$44),G1099*Q1099))*IF(Inputs!$B$39="pvp",1,1+(Inputs!$B$21+Skills!O9+B1120)/100),0)</f>
        <v/>
      </c>
      <c r="U1099">
        <f>IF(C1099,(H1099*N1099*IF(AND(Inputs!$B$39&lt;&gt;"pvp",Inputs!$B$44&gt;0),((Skills!F9*((R1099-1)*IF(Skills!G9&gt;0,Skills!H9/Skills!G9,1)+IF(Skills!G9&gt;0,MIN(Skills!H9,MAX(0,MAX(0,Inputs!$B$44-B1129)-((R1099-1)*IF(Inputs!$B$39="pvp",15,MAX(0.1,Skills!D9-IF(Skills!E9=TRUE,(Inputs!$B$33+1),0))))))/Skills!G9,1)))/Inputs!$B$44),G1099*Q1099))*IF(Inputs!$B$39="pvp",1,(1+(Inputs!$B$22+Skills!P9+B1121)/100)*(MIN(Skills!Q9,Inputs!$B$38))),0)</f>
        <v/>
      </c>
    </row>
    <row r="1100">
      <c r="A1100">
        <f>Skills!A10</f>
        <v/>
      </c>
      <c r="B1100">
        <f>Skills!B10</f>
        <v/>
      </c>
      <c r="C1100">
        <f>Inputs!$B$3&gt;=66</f>
        <v/>
      </c>
      <c r="D1100">
        <f>IF(Skills!C10=1,60+Inputs!$B$26+Inputs!$B$30,IF(Skills!C10=2,90+Inputs!$B$27+Inputs!$B$30,IF(Skills!C10=3,120+Inputs!$B$28+Inputs!$B$30,MAX(0,(Inputs!$B$3-100)*3)+Inputs!$B$29+Inputs!$B$30)))</f>
        <v/>
      </c>
      <c r="E1100">
        <f>INDEX(FactorTable!$B$2:$Y$301, MATCH(ROUND(MIN(300,MAX(1,D1100)),0), FactorTable!$A$2:$A$301,0), Skills!L10+1)</f>
        <v/>
      </c>
      <c r="F1100" t="n">
        <v>0</v>
      </c>
      <c r="G1100">
        <f>Calc!G10</f>
        <v/>
      </c>
      <c r="H1100">
        <f>Calc!H10</f>
        <v/>
      </c>
      <c r="I1100">
        <f>IF(Skills!T10&lt;&gt;"",1+(Skills!T10/10)*($Z$3/1000)/100,1)</f>
        <v/>
      </c>
      <c r="J1100" t="inlineStr"/>
      <c r="K1100" t="inlineStr"/>
      <c r="L1100" t="inlineStr"/>
      <c r="M1100" t="inlineStr"/>
      <c r="N1100" t="inlineStr"/>
      <c r="O1100">
        <f>(1-Summary!$B$48)*S1100+Summary!$B$48*U1100</f>
        <v/>
      </c>
      <c r="P1100">
        <f>IF(B1132=0,0,O1100/B1132)</f>
        <v/>
      </c>
      <c r="Q1100">
        <f>IFERROR(1/IF(Inputs!$B$39="pvp",15,MAX(0.1,Skills!D10-IF(Skills!E10=TRUE,(Inputs!$B$33+1),0))),0)</f>
        <v/>
      </c>
      <c r="R1100">
        <f>IF(AND(Inputs!$B$39&lt;&gt;"pvp",Inputs!$B$44&gt;0),IF(MAX(0,Inputs!$B$44-B1129)&lt;=0,0,(INT(MAX(0,Inputs!$B$44-B1129)/IF(Inputs!$B$39="pvp",15,MAX(0.1,Skills!D10-IF(Skills!E10=TRUE,(Inputs!$B$33+1),0))))+1)),0)</f>
        <v/>
      </c>
      <c r="S1100" t="n">
        <v>0</v>
      </c>
      <c r="U1100" t="n">
        <v>0</v>
      </c>
    </row>
    <row r="1101">
      <c r="A1101">
        <f>Skills!A11</f>
        <v/>
      </c>
      <c r="B1101">
        <f>Skills!B11</f>
        <v/>
      </c>
      <c r="C1101">
        <f>Inputs!$B$3&gt;=69</f>
        <v/>
      </c>
      <c r="D1101">
        <f>IF(Skills!C11=1,60+Inputs!$B$26+Inputs!$B$30,IF(Skills!C11=2,90+Inputs!$B$27+Inputs!$B$30,IF(Skills!C11=3,120+Inputs!$B$28+Inputs!$B$30,MAX(0,(Inputs!$B$3-100)*3)+Inputs!$B$29+Inputs!$B$30)))</f>
        <v/>
      </c>
      <c r="E1101">
        <f>INDEX(FactorTable!$B$2:$Y$301, MATCH(ROUND(MIN(300,MAX(1,D1101)),0), FactorTable!$A$2:$A$301,0), Skills!L11+1)</f>
        <v/>
      </c>
      <c r="F1101">
        <f>IF(Skills!M11=TRUE,(Skills!K11/10)*(E1101/1000),Skills!K11/10)+Skills!N11</f>
        <v/>
      </c>
      <c r="G1101">
        <f>Calc!G11</f>
        <v/>
      </c>
      <c r="H1101">
        <f>Calc!H11</f>
        <v/>
      </c>
      <c r="I1101">
        <f>IF(Skills!T11&lt;&gt;"",1+(Skills!T11/10)*($Z$3/1000)/100,1)</f>
        <v/>
      </c>
      <c r="J1101" t="inlineStr"/>
      <c r="K1101" t="inlineStr"/>
      <c r="L1101" t="inlineStr"/>
      <c r="M1101" t="inlineStr"/>
      <c r="N1101" t="inlineStr"/>
      <c r="O1101">
        <f>(1-Summary!$B$48)*S1101+Summary!$B$48*U1101</f>
        <v/>
      </c>
      <c r="P1101">
        <f>IF(B1132=0,0,O1101/B1132)</f>
        <v/>
      </c>
      <c r="Q1101">
        <f>IFERROR(1/IF(Inputs!$B$39="pvp",15,MAX(0.1,Skills!D11-IF(Skills!E11=TRUE,(Inputs!$B$33+1),0))),0)</f>
        <v/>
      </c>
      <c r="R1101">
        <f>IF(AND(Inputs!$B$39&lt;&gt;"pvp",Inputs!$B$44&gt;0),IF(Inputs!$B$44&lt;=0,0,(INT(Inputs!$B$44/IF(Inputs!$B$39="pvp",15,MAX(0.1,Skills!D11-IF(Skills!E11=TRUE,(Inputs!$B$33+1),0))))+1)),0)</f>
        <v/>
      </c>
      <c r="S1101" t="n">
        <v>0</v>
      </c>
      <c r="U1101" t="n">
        <v>0</v>
      </c>
    </row>
    <row r="1102">
      <c r="A1102">
        <f>Skills!A12</f>
        <v/>
      </c>
      <c r="B1102">
        <f>Skills!B12</f>
        <v/>
      </c>
      <c r="C1102">
        <f>Inputs!$B$3&gt;=72</f>
        <v/>
      </c>
      <c r="D1102">
        <f>IF(Skills!C12=1,60+Inputs!$B$26+Inputs!$B$30,IF(Skills!C12=2,90+Inputs!$B$27+Inputs!$B$30,IF(Skills!C12=3,120+Inputs!$B$28+Inputs!$B$30,MAX(0,(Inputs!$B$3-100)*3)+Inputs!$B$29+Inputs!$B$30)))</f>
        <v/>
      </c>
      <c r="E1102">
        <f>INDEX(FactorTable!$B$2:$Y$301, MATCH(ROUND(MIN(300,MAX(1,D1102)),0), FactorTable!$A$2:$A$301,0), Skills!L12+1)</f>
        <v/>
      </c>
      <c r="F1102">
        <f>IF(Skills!M12=TRUE,(Skills!K12/10)*(E1102/1000),Skills!K12/10)+Skills!N12</f>
        <v/>
      </c>
      <c r="G1102">
        <f>Calc!G12</f>
        <v/>
      </c>
      <c r="H1102">
        <f>Calc!H12</f>
        <v/>
      </c>
      <c r="I1102">
        <f>IF(Skills!T12&lt;&gt;"",1+(Skills!T12/10)*($Z$3/1000)/100,1)</f>
        <v/>
      </c>
      <c r="J1102" t="inlineStr"/>
      <c r="K1102" t="inlineStr"/>
      <c r="L1102" t="inlineStr"/>
      <c r="M1102" t="inlineStr"/>
      <c r="N1102" t="inlineStr"/>
      <c r="O1102">
        <f>(1-Summary!$B$48)*S1102+Summary!$B$48*U1102</f>
        <v/>
      </c>
      <c r="P1102">
        <f>IF(B1132=0,0,O1102/B1132)</f>
        <v/>
      </c>
      <c r="Q1102">
        <f>IFERROR(1/IF(Inputs!$B$39="pvp",15,MAX(0.1,Skills!D12-IF(Skills!E12=TRUE,(Inputs!$B$33+1),0))),0)</f>
        <v/>
      </c>
      <c r="R1102">
        <f>IF(AND(Inputs!$B$39&lt;&gt;"pvp",Inputs!$B$44&gt;0),IF(MAX(0,Inputs!$B$44-B1129)&lt;=0,0,(INT(MAX(0,Inputs!$B$44-B1129)/IF(Inputs!$B$39="pvp",15,MAX(0.1,Skills!D12-IF(Skills!E12=TRUE,(Inputs!$B$33+1),0))))+1)),0)</f>
        <v/>
      </c>
      <c r="S1102" t="n">
        <v>0</v>
      </c>
      <c r="U1102" t="n">
        <v>0</v>
      </c>
    </row>
    <row r="1103">
      <c r="A1103">
        <f>Skills!A13</f>
        <v/>
      </c>
      <c r="B1103">
        <f>Skills!B13</f>
        <v/>
      </c>
      <c r="C1103">
        <f>Inputs!$B$3&gt;=60</f>
        <v/>
      </c>
      <c r="D1103">
        <f>IF(Skills!C13=1,60+Inputs!$B$26+Inputs!$B$30,IF(Skills!C13=2,90+Inputs!$B$27+Inputs!$B$30,IF(Skills!C13=3,120+Inputs!$B$28+Inputs!$B$30,MAX(0,(Inputs!$B$3-100)*3)+Inputs!$B$29+Inputs!$B$30)))</f>
        <v/>
      </c>
      <c r="E1103">
        <f>INDEX(FactorTable!$B$2:$Y$301, MATCH(ROUND(MIN(300,MAX(1,D1103)),0), FactorTable!$A$2:$A$301,0), Skills!L13+1)</f>
        <v/>
      </c>
      <c r="F1103">
        <f>IF(Skills!M13=TRUE,(Skills!K13/10)*(E1103/1000),Skills!K13/10)+Skills!N13</f>
        <v/>
      </c>
      <c r="G1103">
        <f>Calc!G13</f>
        <v/>
      </c>
      <c r="H1103">
        <f>Calc!H13</f>
        <v/>
      </c>
      <c r="I1103">
        <f>IF(Skills!T13&lt;&gt;"",1+(Skills!T13/10)*($Z$3/1000)/100,1)</f>
        <v/>
      </c>
      <c r="J1103" t="inlineStr"/>
      <c r="K1103" t="inlineStr"/>
      <c r="L1103" t="inlineStr"/>
      <c r="M1103" t="inlineStr"/>
      <c r="N1103" t="inlineStr"/>
      <c r="O1103">
        <f>(1-Summary!$B$48)*S1103+Summary!$B$48*U1103</f>
        <v/>
      </c>
      <c r="P1103">
        <f>IF(B1132=0,0,O1103/B1132)</f>
        <v/>
      </c>
      <c r="Q1103">
        <f>IFERROR(1/IF(Inputs!$B$39="pvp",15,MAX(0.1,Skills!D13-IF(Skills!E13=TRUE,(Inputs!$B$33+1),0))),0)</f>
        <v/>
      </c>
      <c r="R1103">
        <f>IF(AND(Inputs!$B$39&lt;&gt;"pvp",Inputs!$B$44&gt;0),IF(MAX(0,Inputs!$B$44-B1129)&lt;=0,0,(INT(MAX(0,Inputs!$B$44-B1129)/IF(Inputs!$B$39="pvp",15,MAX(0.1,Skills!D13-IF(Skills!E13=TRUE,(Inputs!$B$33+1),0))))+1)),0)</f>
        <v/>
      </c>
      <c r="S1103" t="n">
        <v>0</v>
      </c>
      <c r="U1103" t="n">
        <v>0</v>
      </c>
    </row>
    <row r="1104">
      <c r="A1104">
        <f>Skills!A14</f>
        <v/>
      </c>
      <c r="B1104">
        <f>Skills!B14</f>
        <v/>
      </c>
      <c r="C1104">
        <f>Inputs!$B$3&gt;=107</f>
        <v/>
      </c>
      <c r="D1104">
        <f>IF(Skills!C14=1,60+Inputs!$B$26+Inputs!$B$30,IF(Skills!C14=2,90+Inputs!$B$27+Inputs!$B$30,IF(Skills!C14=3,120+Inputs!$B$28+Inputs!$B$30,MAX(0,(Inputs!$B$3-100)*3)+Inputs!$B$29+Inputs!$B$30)))</f>
        <v/>
      </c>
      <c r="E1104">
        <f>INDEX(FactorTable!$B$2:$Y$301, MATCH(ROUND(MIN(300,MAX(1,D1104)),0), FactorTable!$A$2:$A$301,0), Skills!L14+1)</f>
        <v/>
      </c>
      <c r="F1104">
        <f>IF(Skills!M14=TRUE,(Skills!K14/10)*(E1104/1000),Skills!K14/10)+Skills!N14</f>
        <v/>
      </c>
      <c r="G1104">
        <f>Calc!G14</f>
        <v/>
      </c>
      <c r="H1104">
        <f>Calc!H14</f>
        <v/>
      </c>
      <c r="I1104">
        <f>IF(Skills!T14&lt;&gt;"",1+(Skills!T14/10)*($Z$3/1000)/100,1)</f>
        <v/>
      </c>
      <c r="J1104" t="inlineStr"/>
      <c r="K1104" t="inlineStr"/>
      <c r="L1104" t="inlineStr"/>
      <c r="M1104" t="inlineStr"/>
      <c r="N1104" t="inlineStr"/>
      <c r="O1104">
        <f>(1-Summary!$B$48)*S1104+Summary!$B$48*U1104</f>
        <v/>
      </c>
      <c r="P1104">
        <f>IF(B1132=0,0,O1104/B1132)</f>
        <v/>
      </c>
      <c r="Q1104">
        <f>IFERROR(1/IF(Inputs!$B$39="pvp",15,MAX(0.1,Skills!D14-IF(Skills!E14=TRUE,(Inputs!$B$33+1),0))),0)</f>
        <v/>
      </c>
      <c r="R1104">
        <f>IF(AND(Inputs!$B$39&lt;&gt;"pvp",Inputs!$B$44&gt;0),IF(Inputs!$B$44&lt;=0,0,(INT(Inputs!$B$44/IF(Inputs!$B$39="pvp",15,MAX(0.1,Skills!D14-IF(Skills!E14=TRUE,(Inputs!$B$33+1),0))))+1)),0)</f>
        <v/>
      </c>
      <c r="S1104" t="n">
        <v>0</v>
      </c>
      <c r="U1104" t="n">
        <v>0</v>
      </c>
    </row>
    <row r="1105">
      <c r="A1105">
        <f>Skills!A15</f>
        <v/>
      </c>
      <c r="B1105">
        <f>Skills!B15</f>
        <v/>
      </c>
      <c r="C1105">
        <f>Inputs!$B$3&gt;=63</f>
        <v/>
      </c>
      <c r="D1105">
        <f>IF(Skills!C15=1,60+Inputs!$B$26+Inputs!$B$30,IF(Skills!C15=2,90+Inputs!$B$27+Inputs!$B$30,IF(Skills!C15=3,120+Inputs!$B$28+Inputs!$B$30,MAX(0,(Inputs!$B$3-100)*3)+Inputs!$B$29+Inputs!$B$30)))</f>
        <v/>
      </c>
      <c r="E1105">
        <f>INDEX(FactorTable!$B$2:$Y$301, MATCH(ROUND(MIN(300,MAX(1,D1105)),0), FactorTable!$A$2:$A$301,0), Skills!L15+1)</f>
        <v/>
      </c>
      <c r="F1105">
        <f>IF(Skills!M15=TRUE,(Skills!K15/10)*(E1105/1000),Skills!K15/10)+Skills!N15</f>
        <v/>
      </c>
      <c r="G1105">
        <f>Calc!G15</f>
        <v/>
      </c>
      <c r="H1105">
        <f>Calc!H15</f>
        <v/>
      </c>
      <c r="I1105">
        <f>IF(Skills!T15&lt;&gt;"",1+(Skills!T15/10)*($Z$3/1000)/100,1)</f>
        <v/>
      </c>
      <c r="J1105">
        <f>((Inputs!$B$6*(1+Inputs!$B$7/100))+(((Inputs!$B$13*(1+Inputs!$B$14/100))-(Inputs!$B$13*(1+Inputs!$B$14/100)))+0.25*(Inputs!$B$15-Inputs!$B$15))*(1+Inputs!$B$7/100))*(F1105/100)</f>
        <v/>
      </c>
      <c r="K1105">
        <f>J1105*(1+(((Inputs!$B$13+IF(Inputs!$B$3&gt;=35,(10*INDEX(FactorTable!$B$2:$Y$301, MATCH(ROUND(MIN(300,MAX(1,Inputs!$B$3)),0), FactorTable!$A$2:$A$301,0), 23)/1000)/100*(Inputs!$B$8*(1+(Inputs!$B$9+B1128)/100)),0))*(1+Inputs!$B$14/100))*0.01+Inputs!$B$15*0.0025)/100)*(1+(Inputs!$B$16+B1122)/100)*(1+Inputs!$B$17/100)*(5000/(6000+Inputs!$B$43*(1-Inputs!$B$20/100)))*(1+Inputs!$B$25/100)*(1+IF(C1108=TRUE,F1108,0)/100)*(1+IF(C1110=TRUE,F1110,0)/100)*(1+IF(Skills!A15="TRIUMPH_FEATHER",IF(C1106=TRUE,F1106,0),0)/100)*(1+IF(C1117=TRUE,F1117,0)/100)^5*(1+(IF(Skills!A15="BIG_BANG",Inputs!$B$18,Inputs!$B$19))/100)*(B1119*I1105)</f>
        <v/>
      </c>
      <c r="L1105">
        <f>K1105*(MIN(Inputs!$B$23+(F1112-Calc!F22),Inputs!$B$24)/100+Inputs!$B$24/100)/2</f>
        <v/>
      </c>
      <c r="M1105">
        <f>L1105*(1+(Inputs!$B$11+B1123+(F1115-Calc!F25))/100)</f>
        <v/>
      </c>
      <c r="N1105">
        <f>L1105*(1-MIN(Inputs!$B$10+((F1114-Calc!F24)+(F1113-Calc!F23)),100)/100)+M1105*(MIN(Inputs!$B$10+((F1114-Calc!F24)+(F1113-Calc!F23)),100)/100)</f>
        <v/>
      </c>
      <c r="O1105">
        <f>(1-Summary!$B$48)*S1105+Summary!$B$48*U1105</f>
        <v/>
      </c>
      <c r="P1105">
        <f>IF(B1132=0,0,O1105/B1132)</f>
        <v/>
      </c>
      <c r="Q1105">
        <f>IFERROR(1/IF(Inputs!$B$39="pvp",15,MAX(0.1,Skills!D15-IF(Skills!E15=TRUE,(Inputs!$B$33+1),0))),0)</f>
        <v/>
      </c>
      <c r="R1105" t="n">
        <v>0</v>
      </c>
      <c r="S1105">
        <f>IF(C1105,(Skills!F15*N1105*((IF(Inputs!$B$3&gt;=78,25,15)/100*B1125*10)/(1+IF(Inputs!$B$3&gt;=78,25,15)/100*B1125*10))*(Skills!I15/100*B1125)/(1+Skills!G15*Skills!I15/100*B1125))*IF(Inputs!$B$39="pvp",1,1+(Inputs!$B$21+Skills!O15+B1120)/100),0)</f>
        <v/>
      </c>
      <c r="U1105">
        <f>IF(C1105,(Skills!F15*N1105*((IF(Inputs!$B$3&gt;=78,25,15)/100*B1125*10)/(1+IF(Inputs!$B$3&gt;=78,25,15)/100*B1125*10))*(Skills!I15/100*B1125)/(1+Skills!G15*Skills!I15/100*B1125))*IF(Inputs!$B$39="pvp",1,(1+(Inputs!$B$22+Skills!P15+B1121)/100)*(MIN(Skills!Q15,Inputs!$B$38))),0)</f>
        <v/>
      </c>
    </row>
    <row r="1106">
      <c r="A1106">
        <f>Skills!A16</f>
        <v/>
      </c>
      <c r="B1106">
        <f>Skills!B16</f>
        <v/>
      </c>
      <c r="C1106">
        <f>Inputs!$B$3&gt;=100</f>
        <v/>
      </c>
      <c r="D1106">
        <f>IF(Skills!C16=1,60+Inputs!$B$26+Inputs!$B$30,IF(Skills!C16=2,90+Inputs!$B$27+Inputs!$B$30,IF(Skills!C16=3,120+Inputs!$B$28+Inputs!$B$30,MAX(0,(Inputs!$B$3-100)*3)+Inputs!$B$29+Inputs!$B$30)))</f>
        <v/>
      </c>
      <c r="E1106">
        <f>INDEX(FactorTable!$B$2:$Y$301, MATCH(ROUND(MIN(300,MAX(1,D1106)),0), FactorTable!$A$2:$A$301,0), Skills!L16+1)</f>
        <v/>
      </c>
      <c r="F1106">
        <f>IF(Skills!M16=TRUE,(Skills!K16/10)*(E1106/1000),Skills!K16/10)+Skills!N16</f>
        <v/>
      </c>
      <c r="G1106">
        <f>Calc!G16</f>
        <v/>
      </c>
      <c r="H1106">
        <f>Calc!H16</f>
        <v/>
      </c>
      <c r="I1106">
        <f>IF(Skills!T16&lt;&gt;"",1+(Skills!T16/10)*($Z$3/1000)/100,1)</f>
        <v/>
      </c>
      <c r="J1106" t="inlineStr"/>
      <c r="K1106" t="inlineStr"/>
      <c r="L1106" t="inlineStr"/>
      <c r="M1106" t="inlineStr"/>
      <c r="N1106" t="inlineStr"/>
      <c r="O1106">
        <f>(1-Summary!$B$48)*S1106+Summary!$B$48*U1106</f>
        <v/>
      </c>
      <c r="P1106">
        <f>IF(B1132=0,0,O1106/B1132)</f>
        <v/>
      </c>
      <c r="Q1106">
        <f>IFERROR(1/IF(Inputs!$B$39="pvp",15,MAX(0.1,Skills!D16-IF(Skills!E16=TRUE,(Inputs!$B$33+1),0))),0)</f>
        <v/>
      </c>
      <c r="R1106" t="n">
        <v>0</v>
      </c>
      <c r="S1106" t="n">
        <v>0</v>
      </c>
      <c r="U1106" t="n">
        <v>0</v>
      </c>
    </row>
    <row r="1107">
      <c r="A1107">
        <f>Skills!A17</f>
        <v/>
      </c>
      <c r="B1107">
        <f>Skills!B17</f>
        <v/>
      </c>
      <c r="C1107">
        <f>Inputs!$B$3&gt;=49</f>
        <v/>
      </c>
      <c r="D1107">
        <f>IF(Skills!C17=1,60+Inputs!$B$26+Inputs!$B$30,IF(Skills!C17=2,90+Inputs!$B$27+Inputs!$B$30,IF(Skills!C17=3,120+Inputs!$B$28+Inputs!$B$30,MAX(0,(Inputs!$B$3-100)*3)+Inputs!$B$29+Inputs!$B$30)))</f>
        <v/>
      </c>
      <c r="E1107">
        <f>INDEX(FactorTable!$B$2:$Y$301, MATCH(ROUND(MIN(300,MAX(1,D1107)),0), FactorTable!$A$2:$A$301,0), Skills!L17+1)</f>
        <v/>
      </c>
      <c r="F1107">
        <f>IF(Skills!M17=TRUE,(Skills!K17/10)*(E1107/1000),Skills!K17/10)+Skills!N17</f>
        <v/>
      </c>
      <c r="G1107">
        <f>Calc!G17</f>
        <v/>
      </c>
      <c r="H1107">
        <f>Calc!H17</f>
        <v/>
      </c>
      <c r="I1107">
        <f>IF(Skills!T17&lt;&gt;"",1+(Skills!T17/10)*($Z$3/1000)/100,1)</f>
        <v/>
      </c>
      <c r="J1107" t="inlineStr"/>
      <c r="K1107" t="inlineStr"/>
      <c r="L1107" t="inlineStr"/>
      <c r="M1107" t="inlineStr"/>
      <c r="N1107" t="inlineStr"/>
      <c r="O1107">
        <f>(1-Summary!$B$48)*S1107+Summary!$B$48*U1107</f>
        <v/>
      </c>
      <c r="P1107">
        <f>IF(B1132=0,0,O1107/B1132)</f>
        <v/>
      </c>
      <c r="Q1107">
        <f>IFERROR(1/IF(Inputs!$B$39="pvp",15,MAX(0.1,Skills!D17-IF(Skills!E17=TRUE,(Inputs!$B$33+1),0))),0)</f>
        <v/>
      </c>
      <c r="R1107" t="n">
        <v>0</v>
      </c>
      <c r="S1107" t="n">
        <v>0</v>
      </c>
      <c r="U1107" t="n">
        <v>0</v>
      </c>
    </row>
    <row r="1108">
      <c r="A1108">
        <f>Skills!A18</f>
        <v/>
      </c>
      <c r="B1108">
        <f>Skills!B18</f>
        <v/>
      </c>
      <c r="C1108">
        <f>Inputs!$B$3&gt;=75</f>
        <v/>
      </c>
      <c r="D1108">
        <f>IF(Skills!C18=1,60+Inputs!$B$26+Inputs!$B$30,IF(Skills!C18=2,90+Inputs!$B$27+Inputs!$B$30,IF(Skills!C18=3,120+Inputs!$B$28+Inputs!$B$30,MAX(0,(Inputs!$B$3-100)*3)+Inputs!$B$29+Inputs!$B$30)))</f>
        <v/>
      </c>
      <c r="E1108">
        <f>INDEX(FactorTable!$B$2:$Y$301, MATCH(ROUND(MIN(300,MAX(1,D1108)),0), FactorTable!$A$2:$A$301,0), Skills!L18+1)</f>
        <v/>
      </c>
      <c r="F1108">
        <f>IF(Skills!M18=TRUE,(Skills!K18/10)*(E1108/1000),Skills!K18/10)+Skills!N18</f>
        <v/>
      </c>
      <c r="G1108">
        <f>Calc!G18</f>
        <v/>
      </c>
      <c r="H1108">
        <f>Calc!H18</f>
        <v/>
      </c>
      <c r="I1108">
        <f>IF(Skills!T18&lt;&gt;"",1+(Skills!T18/10)*($Z$3/1000)/100,1)</f>
        <v/>
      </c>
      <c r="J1108" t="inlineStr"/>
      <c r="K1108" t="inlineStr"/>
      <c r="L1108" t="inlineStr"/>
      <c r="M1108" t="inlineStr"/>
      <c r="N1108" t="inlineStr"/>
      <c r="O1108">
        <f>(1-Summary!$B$48)*S1108+Summary!$B$48*U1108</f>
        <v/>
      </c>
      <c r="P1108">
        <f>IF(B1132=0,0,O1108/B1132)</f>
        <v/>
      </c>
      <c r="Q1108">
        <f>IFERROR(1/IF(Inputs!$B$39="pvp",15,MAX(0.1,Skills!D18-IF(Skills!E18=TRUE,(Inputs!$B$33+1),0))),0)</f>
        <v/>
      </c>
      <c r="R1108" t="n">
        <v>0</v>
      </c>
      <c r="S1108" t="n">
        <v>0</v>
      </c>
      <c r="U1108" t="n">
        <v>0</v>
      </c>
    </row>
    <row r="1109">
      <c r="A1109">
        <f>Skills!A19</f>
        <v/>
      </c>
      <c r="B1109">
        <f>Skills!B19</f>
        <v/>
      </c>
      <c r="C1109">
        <f>Inputs!$B$3&gt;=110</f>
        <v/>
      </c>
      <c r="D1109">
        <f>IF(Skills!C19=1,60+Inputs!$B$26+Inputs!$B$30,IF(Skills!C19=2,90+Inputs!$B$27+Inputs!$B$30,IF(Skills!C19=3,120+Inputs!$B$28+Inputs!$B$30,MAX(0,(Inputs!$B$3-100)*3)+Inputs!$B$29+Inputs!$B$30)))</f>
        <v/>
      </c>
      <c r="E1109">
        <f>INDEX(FactorTable!$B$2:$Y$301, MATCH(ROUND(MIN(300,MAX(1,D1109)),0), FactorTable!$A$2:$A$301,0), Skills!L19+1)</f>
        <v/>
      </c>
      <c r="F1109">
        <f>(Skills!K19/10)*(E1109/1000)*64/45+Skills!N19</f>
        <v/>
      </c>
      <c r="G1109">
        <f>Calc!G19</f>
        <v/>
      </c>
      <c r="H1109">
        <f>Calc!H19</f>
        <v/>
      </c>
      <c r="I1109">
        <f>IF(Skills!T19&lt;&gt;"",1+(Skills!T19/10)*($Z$3/1000)/100,1)</f>
        <v/>
      </c>
      <c r="J1109" t="inlineStr"/>
      <c r="K1109" t="inlineStr"/>
      <c r="L1109" t="inlineStr"/>
      <c r="M1109" t="inlineStr"/>
      <c r="N1109" t="inlineStr"/>
      <c r="O1109">
        <f>(1-Summary!$B$48)*S1109+Summary!$B$48*U1109</f>
        <v/>
      </c>
      <c r="P1109">
        <f>IF(B1132=0,0,O1109/B1132)</f>
        <v/>
      </c>
      <c r="Q1109">
        <f>IFERROR(1/IF(Inputs!$B$39="pvp",15,MAX(0.1,Skills!D19-IF(Skills!E19=TRUE,(Inputs!$B$33+1),0))),0)</f>
        <v/>
      </c>
      <c r="R1109">
        <f>IF(AND(Inputs!$B$39&lt;&gt;"pvp",Inputs!$B$44&gt;0),IF(Inputs!$B$44&lt;=0,0,(INT(Inputs!$B$44/IF(Inputs!$B$39="pvp",15,MAX(0.1,Skills!D19-IF(Skills!E19=TRUE,(Inputs!$B$33+1),0))))+1)),0)</f>
        <v/>
      </c>
      <c r="S1109" t="n">
        <v>0</v>
      </c>
      <c r="U1109" t="n">
        <v>0</v>
      </c>
    </row>
    <row r="1110">
      <c r="A1110">
        <f>Skills!A20</f>
        <v/>
      </c>
      <c r="B1110">
        <f>Skills!B20</f>
        <v/>
      </c>
      <c r="C1110">
        <f>Inputs!$B$3&gt;=125</f>
        <v/>
      </c>
      <c r="D1110">
        <f>IF(Skills!C20=1,60+Inputs!$B$26+Inputs!$B$30,IF(Skills!C20=2,90+Inputs!$B$27+Inputs!$B$30,IF(Skills!C20=3,120+Inputs!$B$28+Inputs!$B$30,MAX(0,(Inputs!$B$3-100)*3)+Inputs!$B$29+Inputs!$B$30)))</f>
        <v/>
      </c>
      <c r="E1110">
        <f>INDEX(FactorTable!$B$2:$Y$301, MATCH(ROUND(MIN(300,MAX(1,D1110)),0), FactorTable!$A$2:$A$301,0), Skills!L20+1)</f>
        <v/>
      </c>
      <c r="F1110">
        <f>IF(Skills!M20=TRUE,(Skills!K20/10)*(E1110/1000),Skills!K20/10)+Skills!N20</f>
        <v/>
      </c>
      <c r="G1110">
        <f>Calc!G20</f>
        <v/>
      </c>
      <c r="H1110">
        <f>Calc!H20</f>
        <v/>
      </c>
      <c r="I1110">
        <f>IF(Skills!T20&lt;&gt;"",1+(Skills!T20/10)*($Z$3/1000)/100,1)</f>
        <v/>
      </c>
      <c r="J1110" t="inlineStr"/>
      <c r="K1110" t="inlineStr"/>
      <c r="L1110" t="inlineStr"/>
      <c r="M1110" t="inlineStr"/>
      <c r="N1110" t="inlineStr"/>
      <c r="O1110">
        <f>(1-Summary!$B$48)*S1110+Summary!$B$48*U1110</f>
        <v/>
      </c>
      <c r="P1110">
        <f>IF(B1132=0,0,O1110/B1132)</f>
        <v/>
      </c>
      <c r="Q1110">
        <f>IFERROR(1/IF(Inputs!$B$39="pvp",15,MAX(0.1,Skills!D20-IF(Skills!E20=TRUE,(Inputs!$B$33+1),0))),0)</f>
        <v/>
      </c>
      <c r="R1110" t="n">
        <v>0</v>
      </c>
      <c r="S1110" t="n">
        <v>0</v>
      </c>
      <c r="U1110" t="n">
        <v>0</v>
      </c>
    </row>
    <row r="1111">
      <c r="A1111">
        <f>Skills!A21</f>
        <v/>
      </c>
      <c r="B1111">
        <f>Skills!B21</f>
        <v/>
      </c>
      <c r="C1111">
        <f>Inputs!$B$3&gt;=33</f>
        <v/>
      </c>
      <c r="D1111">
        <f>IF(Skills!C21=1,60+Inputs!$B$26+Inputs!$B$30,IF(Skills!C21=2,90+Inputs!$B$27+Inputs!$B$30,IF(Skills!C21=3,120+Inputs!$B$28+Inputs!$B$30,MAX(0,(Inputs!$B$3-100)*3)+Inputs!$B$29+Inputs!$B$30)))</f>
        <v/>
      </c>
      <c r="E1111">
        <f>INDEX(FactorTable!$B$2:$Y$301, MATCH(ROUND(MIN(300,MAX(1,D1111)),0), FactorTable!$A$2:$A$301,0), Skills!L21+1)</f>
        <v/>
      </c>
      <c r="F1111">
        <f>IF(Skills!M21=TRUE,(Skills!K21/10)*(E1111/1000),Skills!K21/10)+Skills!N21</f>
        <v/>
      </c>
      <c r="G1111">
        <f>Calc!G21</f>
        <v/>
      </c>
      <c r="H1111">
        <f>Calc!H21</f>
        <v/>
      </c>
      <c r="I1111">
        <f>IF(Skills!T21&lt;&gt;"",1+(Skills!T21/10)*($Z$3/1000)/100,1)</f>
        <v/>
      </c>
      <c r="J1111" t="inlineStr"/>
      <c r="K1111" t="inlineStr"/>
      <c r="L1111" t="inlineStr"/>
      <c r="M1111" t="inlineStr"/>
      <c r="N1111" t="inlineStr"/>
      <c r="O1111">
        <f>(1-Summary!$B$48)*S1111+Summary!$B$48*U1111</f>
        <v/>
      </c>
      <c r="P1111">
        <f>IF(B1132=0,0,O1111/B1132)</f>
        <v/>
      </c>
      <c r="Q1111">
        <f>IFERROR(1/IF(Inputs!$B$39="pvp",15,MAX(0.1,Skills!D21-IF(Skills!E21=TRUE,(Inputs!$B$33+1),0))),0)</f>
        <v/>
      </c>
      <c r="R1111" t="n">
        <v>0</v>
      </c>
      <c r="S1111" t="n">
        <v>0</v>
      </c>
      <c r="U1111" t="n">
        <v>0</v>
      </c>
    </row>
    <row r="1112">
      <c r="A1112">
        <f>Skills!A22</f>
        <v/>
      </c>
      <c r="B1112">
        <f>Skills!B22</f>
        <v/>
      </c>
      <c r="C1112">
        <f>Inputs!$B$3&gt;=43</f>
        <v/>
      </c>
      <c r="D1112">
        <f>IF(Skills!C22=1,60+Inputs!$B$26+Inputs!$B$30,IF(Skills!C22=2,90+Inputs!$B$27+Inputs!$B$30,IF(Skills!C22=3,120+Inputs!$B$28+Inputs!$B$30,MAX(0,(Inputs!$B$3-100)*3)+Inputs!$B$29+Inputs!$B$30)))</f>
        <v/>
      </c>
      <c r="E1112">
        <f>INDEX(FactorTable!$B$2:$Y$301, MATCH(ROUND(MIN(300,MAX(1,D1112)),0), FactorTable!$A$2:$A$301,0), Skills!L22+1)</f>
        <v/>
      </c>
      <c r="F1112">
        <f>IF(Skills!M22=TRUE,(Skills!K22/10)*(E1112/1000),Skills!K22/10)+Skills!N22</f>
        <v/>
      </c>
      <c r="G1112">
        <f>Calc!G22</f>
        <v/>
      </c>
      <c r="H1112">
        <f>Calc!H22</f>
        <v/>
      </c>
      <c r="I1112">
        <f>IF(Skills!T22&lt;&gt;"",1+(Skills!T22/10)*($Z$3/1000)/100,1)</f>
        <v/>
      </c>
      <c r="J1112" t="inlineStr"/>
      <c r="K1112" t="inlineStr"/>
      <c r="L1112" t="inlineStr"/>
      <c r="M1112" t="inlineStr"/>
      <c r="N1112" t="inlineStr"/>
      <c r="O1112">
        <f>(1-Summary!$B$48)*S1112+Summary!$B$48*U1112</f>
        <v/>
      </c>
      <c r="P1112">
        <f>IF(B1132=0,0,O1112/B1132)</f>
        <v/>
      </c>
      <c r="Q1112">
        <f>IFERROR(1/IF(Inputs!$B$39="pvp",15,MAX(0.1,Skills!D22-IF(Skills!E22=TRUE,(Inputs!$B$33+1),0))),0)</f>
        <v/>
      </c>
      <c r="R1112" t="n">
        <v>0</v>
      </c>
      <c r="S1112" t="n">
        <v>0</v>
      </c>
      <c r="U1112" t="n">
        <v>0</v>
      </c>
    </row>
    <row r="1113">
      <c r="A1113">
        <f>Skills!A23</f>
        <v/>
      </c>
      <c r="B1113">
        <f>Skills!B23</f>
        <v/>
      </c>
      <c r="C1113">
        <f>Inputs!$B$3&gt;=50</f>
        <v/>
      </c>
      <c r="D1113">
        <f>IF(Skills!C23=1,60+Inputs!$B$26+Inputs!$B$30,IF(Skills!C23=2,90+Inputs!$B$27+Inputs!$B$30,IF(Skills!C23=3,120+Inputs!$B$28+Inputs!$B$30,MAX(0,(Inputs!$B$3-100)*3)+Inputs!$B$29+Inputs!$B$30)))</f>
        <v/>
      </c>
      <c r="E1113">
        <f>INDEX(FactorTable!$B$2:$Y$301, MATCH(ROUND(MIN(300,MAX(1,D1113)),0), FactorTable!$A$2:$A$301,0), Skills!L23+1)</f>
        <v/>
      </c>
      <c r="F1113">
        <f>IF(Skills!M23=TRUE,(Skills!K23/10)*(E1113/1000),Skills!K23/10)+Skills!N23</f>
        <v/>
      </c>
      <c r="G1113">
        <f>Calc!G23</f>
        <v/>
      </c>
      <c r="H1113">
        <f>Calc!H23</f>
        <v/>
      </c>
      <c r="I1113">
        <f>IF(Skills!T23&lt;&gt;"",1+(Skills!T23/10)*($Z$3/1000)/100,1)</f>
        <v/>
      </c>
      <c r="J1113" t="inlineStr"/>
      <c r="K1113" t="inlineStr"/>
      <c r="L1113" t="inlineStr"/>
      <c r="M1113" t="inlineStr"/>
      <c r="N1113" t="inlineStr"/>
      <c r="O1113">
        <f>(1-Summary!$B$48)*S1113+Summary!$B$48*U1113</f>
        <v/>
      </c>
      <c r="P1113">
        <f>IF(B1132=0,0,O1113/B1132)</f>
        <v/>
      </c>
      <c r="Q1113">
        <f>IFERROR(1/IF(Inputs!$B$39="pvp",15,MAX(0.1,Skills!D23-IF(Skills!E23=TRUE,(Inputs!$B$33+1),0))),0)</f>
        <v/>
      </c>
      <c r="R1113" t="n">
        <v>0</v>
      </c>
      <c r="S1113" t="n">
        <v>0</v>
      </c>
      <c r="U1113" t="n">
        <v>0</v>
      </c>
    </row>
    <row r="1114">
      <c r="A1114">
        <f>Skills!A24</f>
        <v/>
      </c>
      <c r="B1114">
        <f>Skills!B24</f>
        <v/>
      </c>
      <c r="C1114">
        <f>Inputs!$B$3&gt;=74</f>
        <v/>
      </c>
      <c r="D1114">
        <f>IF(Skills!C24=1,60+Inputs!$B$26+Inputs!$B$30,IF(Skills!C24=2,90+Inputs!$B$27+Inputs!$B$30,IF(Skills!C24=3,120+Inputs!$B$28+Inputs!$B$30,MAX(0,(Inputs!$B$3-100)*3)+Inputs!$B$29+Inputs!$B$30)))</f>
        <v/>
      </c>
      <c r="E1114">
        <f>INDEX(FactorTable!$B$2:$Y$301, MATCH(ROUND(MIN(300,MAX(1,D1114)),0), FactorTable!$A$2:$A$301,0), Skills!L24+1)</f>
        <v/>
      </c>
      <c r="F1114">
        <f>IF(Skills!M24=TRUE,(Skills!K24/10)*(E1114/1000),Skills!K24/10)+Skills!N24</f>
        <v/>
      </c>
      <c r="G1114">
        <f>Calc!G24</f>
        <v/>
      </c>
      <c r="H1114">
        <f>Calc!H24</f>
        <v/>
      </c>
      <c r="I1114">
        <f>IF(Skills!T24&lt;&gt;"",1+(Skills!T24/10)*($Z$3/1000)/100,1)</f>
        <v/>
      </c>
      <c r="J1114" t="inlineStr"/>
      <c r="K1114" t="inlineStr"/>
      <c r="L1114" t="inlineStr"/>
      <c r="M1114" t="inlineStr"/>
      <c r="N1114" t="inlineStr"/>
      <c r="O1114">
        <f>(1-Summary!$B$48)*S1114+Summary!$B$48*U1114</f>
        <v/>
      </c>
      <c r="P1114">
        <f>IF(B1132=0,0,O1114/B1132)</f>
        <v/>
      </c>
      <c r="Q1114">
        <f>IFERROR(1/IF(Inputs!$B$39="pvp",15,MAX(0.1,Skills!D24-IF(Skills!E24=TRUE,(Inputs!$B$33+1),0))),0)</f>
        <v/>
      </c>
      <c r="R1114" t="n">
        <v>0</v>
      </c>
      <c r="S1114" t="n">
        <v>0</v>
      </c>
      <c r="U1114" t="n">
        <v>0</v>
      </c>
    </row>
    <row r="1115">
      <c r="A1115">
        <f>Skills!A25</f>
        <v/>
      </c>
      <c r="B1115">
        <f>Skills!B25</f>
        <v/>
      </c>
      <c r="C1115">
        <f>Inputs!$B$3&gt;=74</f>
        <v/>
      </c>
      <c r="D1115">
        <f>IF(Skills!C25=1,60+Inputs!$B$26+Inputs!$B$30,IF(Skills!C25=2,90+Inputs!$B$27+Inputs!$B$30,IF(Skills!C25=3,120+Inputs!$B$28+Inputs!$B$30,MAX(0,(Inputs!$B$3-100)*3)+Inputs!$B$29+Inputs!$B$30)))</f>
        <v/>
      </c>
      <c r="E1115">
        <f>INDEX(FactorTable!$B$2:$Y$301, MATCH(ROUND(MIN(300,MAX(1,D1115)),0), FactorTable!$A$2:$A$301,0), Skills!L25+1)</f>
        <v/>
      </c>
      <c r="F1115">
        <f>IF(Skills!M25=TRUE,(Skills!K25/10)*(E1115/1000),Skills!K25/10)+Skills!N25</f>
        <v/>
      </c>
      <c r="G1115">
        <f>Calc!G25</f>
        <v/>
      </c>
      <c r="H1115">
        <f>Calc!H25</f>
        <v/>
      </c>
      <c r="I1115">
        <f>IF(Skills!T25&lt;&gt;"",1+(Skills!T25/10)*($Z$3/1000)/100,1)</f>
        <v/>
      </c>
      <c r="J1115" t="inlineStr"/>
      <c r="K1115" t="inlineStr"/>
      <c r="L1115" t="inlineStr"/>
      <c r="M1115" t="inlineStr"/>
      <c r="N1115" t="inlineStr"/>
      <c r="O1115">
        <f>(1-Summary!$B$48)*S1115+Summary!$B$48*U1115</f>
        <v/>
      </c>
      <c r="P1115">
        <f>IF(B1132=0,0,O1115/B1132)</f>
        <v/>
      </c>
      <c r="Q1115">
        <f>IFERROR(1/IF(Inputs!$B$39="pvp",15,MAX(0.1,Skills!D25-IF(Skills!E25=TRUE,(Inputs!$B$33+1),0))),0)</f>
        <v/>
      </c>
      <c r="R1115" t="n">
        <v>0</v>
      </c>
      <c r="S1115" t="n">
        <v>0</v>
      </c>
      <c r="U1115" t="n">
        <v>0</v>
      </c>
    </row>
    <row r="1116">
      <c r="A1116">
        <f>Skills!A26</f>
        <v/>
      </c>
      <c r="B1116">
        <f>Skills!B26</f>
        <v/>
      </c>
      <c r="C1116">
        <f>Inputs!$B$3&gt;=117</f>
        <v/>
      </c>
      <c r="D1116">
        <f>IF(Skills!C26=1,60+Inputs!$B$26+Inputs!$B$30,IF(Skills!C26=2,90+Inputs!$B$27+Inputs!$B$30,IF(Skills!C26=3,120+Inputs!$B$28+Inputs!$B$30,MAX(0,(Inputs!$B$3-100)*3)+Inputs!$B$29+Inputs!$B$30)))</f>
        <v/>
      </c>
      <c r="E1116">
        <f>INDEX(FactorTable!$B$2:$Y$301, MATCH(ROUND(MIN(300,MAX(1,D1116)),0), FactorTable!$A$2:$A$301,0), Skills!L26+1)</f>
        <v/>
      </c>
      <c r="F1116">
        <f>IF(Skills!M26=TRUE,(Skills!K26/10)*(E1116/1000),Skills!K26/10)+Skills!N26</f>
        <v/>
      </c>
      <c r="G1116">
        <f>Calc!G26</f>
        <v/>
      </c>
      <c r="H1116">
        <f>Calc!H26</f>
        <v/>
      </c>
      <c r="I1116">
        <f>IF(Skills!T26&lt;&gt;"",1+(Skills!T26/10)*($Z$3/1000)/100,1)</f>
        <v/>
      </c>
      <c r="J1116" t="inlineStr"/>
      <c r="K1116" t="inlineStr"/>
      <c r="L1116" t="inlineStr"/>
      <c r="M1116" t="inlineStr"/>
      <c r="N1116" t="inlineStr"/>
      <c r="O1116">
        <f>(1-Summary!$B$48)*S1116+Summary!$B$48*U1116</f>
        <v/>
      </c>
      <c r="P1116">
        <f>IF(B1132=0,0,O1116/B1132)</f>
        <v/>
      </c>
      <c r="Q1116">
        <f>IFERROR(1/IF(Inputs!$B$39="pvp",15,MAX(0.1,Skills!D26-IF(Skills!E26=TRUE,(Inputs!$B$33+1),0))),0)</f>
        <v/>
      </c>
      <c r="R1116" t="n">
        <v>0</v>
      </c>
      <c r="S1116" t="n">
        <v>0</v>
      </c>
      <c r="U1116" t="n">
        <v>0</v>
      </c>
    </row>
    <row r="1117">
      <c r="A1117">
        <f>Skills!A27</f>
        <v/>
      </c>
      <c r="B1117">
        <f>Skills!B27</f>
        <v/>
      </c>
      <c r="C1117">
        <f>Inputs!$B$3&gt;=120</f>
        <v/>
      </c>
      <c r="D1117">
        <f>IF(Skills!C27=1,60+Inputs!$B$26+Inputs!$B$30,IF(Skills!C27=2,90+Inputs!$B$27+Inputs!$B$30,IF(Skills!C27=3,120+Inputs!$B$28+Inputs!$B$30,MAX(0,(Inputs!$B$3-100)*3)+Inputs!$B$29+Inputs!$B$30)))</f>
        <v/>
      </c>
      <c r="E1117">
        <f>INDEX(FactorTable!$B$2:$Y$301, MATCH(ROUND(MIN(300,MAX(1,D1117)),0), FactorTable!$A$2:$A$301,0), Skills!L27+1)</f>
        <v/>
      </c>
      <c r="F1117">
        <f>IF(Skills!M27=TRUE,(Skills!K27/10)*(E1117/1000),Skills!K27/10)+Skills!N27</f>
        <v/>
      </c>
      <c r="G1117">
        <f>Calc!G27</f>
        <v/>
      </c>
      <c r="H1117">
        <f>Calc!H27</f>
        <v/>
      </c>
      <c r="I1117">
        <f>IF(Skills!T27&lt;&gt;"",1+(Skills!T27/10)*($Z$3/1000)/100,1)</f>
        <v/>
      </c>
      <c r="J1117" t="inlineStr"/>
      <c r="K1117" t="inlineStr"/>
      <c r="L1117" t="inlineStr"/>
      <c r="M1117" t="inlineStr"/>
      <c r="N1117" t="inlineStr"/>
      <c r="O1117">
        <f>(1-Summary!$B$48)*S1117+Summary!$B$48*U1117</f>
        <v/>
      </c>
      <c r="P1117">
        <f>IF(B1132=0,0,O1117/B1132)</f>
        <v/>
      </c>
      <c r="Q1117">
        <f>IFERROR(1/IF(Inputs!$B$39="pvp",15,MAX(0.1,Skills!D27-IF(Skills!E27=TRUE,(Inputs!$B$33+1),0))),0)</f>
        <v/>
      </c>
      <c r="R1117" t="n">
        <v>0</v>
      </c>
      <c r="S1117" t="n">
        <v>0</v>
      </c>
      <c r="U1117" t="n">
        <v>0</v>
      </c>
    </row>
    <row r="1119">
      <c r="A1119" t="inlineStr">
        <is>
          <t>Average Buff Multiplier</t>
        </is>
      </c>
      <c r="B1119">
        <f>(1+(IF(C1093=TRUE,F1093*IF(AND(Inputs!$B$39&lt;&gt;"pvp",Inputs!$B$44&gt;0),(((R1093-1)*(Skills!S3*(1+(Inputs!$B$35+IF(Inputs!$B$3&gt;=117,F1116,0))/100))+MIN((Skills!S3*(1+(Inputs!$B$35+IF(Inputs!$B$3&gt;=117,F1116,0))/100)),MAX(0,Inputs!$B$44-((R1093-1)*Skills!D3))))/Inputs!$B$44),IF(Inputs!$B$39="pvp",MIN((Skills!S3*(1+(Inputs!$B$35+IF(Inputs!$B$3&gt;=117,F1116,0))/100)),15)/15,(Skills!S3*(1+(Inputs!$B$35+IF(Inputs!$B$3&gt;=117,F1116,0))/100))/Skills!D3)),0)+IF(C1094=TRUE,F1094*IF(AND(Inputs!$B$39&lt;&gt;"pvp",Inputs!$B$44&gt;0),(((R1094-1)*(Skills!S4*(1+(Inputs!$B$35+IF(Inputs!$B$3&gt;=117,F1116,0))/100))+MIN((Skills!S4*(1+(Inputs!$B$35+IF(Inputs!$B$3&gt;=117,F1116,0))/100)),MAX(0,Inputs!$B$44-((R1094-1)*Skills!D4))))/Inputs!$B$44),IF(Inputs!$B$39="pvp",MIN((Skills!S4*(1+(Inputs!$B$35+IF(Inputs!$B$3&gt;=117,F1116,0))/100)),15)/15,(Skills!S4*(1+(Inputs!$B$35+IF(Inputs!$B$3&gt;=117,F1116,0))/100))/Skills!D4)),0)+IF(C1095=TRUE,F1095*IF(AND(Inputs!$B$39&lt;&gt;"pvp",Inputs!$B$44&gt;0),(((R1095-1)*(Skills!S5*(1+(Inputs!$B$35+IF(Inputs!$B$3&gt;=117,F1116,0))/100))+MIN((Skills!S5*(1+(Inputs!$B$35+IF(Inputs!$B$3&gt;=117,F1116,0))/100)),MAX(0,Inputs!$B$44-((R1095-1)*Skills!D5))))/Inputs!$B$44),IF(Inputs!$B$39="pvp",MIN((Skills!S5*(1+(Inputs!$B$35+IF(Inputs!$B$3&gt;=117,F1116,0))/100)),15)/15,(Skills!S5*(1+(Inputs!$B$35+IF(Inputs!$B$3&gt;=117,F1116,0))/100))/Skills!D5)),0)+IF(C1101=TRUE,F1101*IF(AND(Inputs!$B$39&lt;&gt;"pvp",Inputs!$B$44&gt;0),(((R1101-1)*(Skills!S11*(1+(Inputs!$B$35+IF(Inputs!$B$3&gt;=117,F1116,0))/100))+MIN((Skills!S11*(1+(Inputs!$B$35+IF(Inputs!$B$3&gt;=117,F1116,0))/100)),MAX(0,Inputs!$B$44-((R1101-1)*Skills!D11))))/Inputs!$B$44),IF(Inputs!$B$39="pvp",MIN((Skills!S11*(1+(Inputs!$B$35+IF(Inputs!$B$3&gt;=117,F1116,0))/100)),15)/15,(Skills!S11*(1+(Inputs!$B$35+IF(Inputs!$B$3&gt;=117,F1116,0))/100))/Skills!D11)),0))/100)*IF(C1104=TRUE,(1+F1104*IF(AND(Inputs!$B$39&lt;&gt;"pvp",Inputs!$B$44&gt;0),(((R1104-1)*(Skills!S14*(1+(Inputs!$B$35+IF(Inputs!$B$3&gt;=117,F1116,0))/100))+MIN((Skills!S14*(1+(Inputs!$B$35+IF(Inputs!$B$3&gt;=117,F1116,0))/100)),MAX(0,Inputs!$B$44-((R1104-1)*Skills!D14))))/Inputs!$B$44),IF(Inputs!$B$39="pvp",MIN((Skills!S14*(1+(Inputs!$B$35+IF(Inputs!$B$3&gt;=117,F1116,0))/100)),15)/15,(Skills!S14*(1+(Inputs!$B$35+IF(Inputs!$B$3&gt;=117,F1116,0))/100))/Skills!D14))/100),1)*IF(C1109=TRUE,(1+F1109*IF(AND(Inputs!$B$39&lt;&gt;"pvp",Inputs!$B$44&gt;0),(((R1109-1)*(Skills!S19*(1+(Inputs!$B$35+IF(Inputs!$B$3&gt;=117,F1116,0))/100))+MIN((Skills!S19*(1+(Inputs!$B$35+IF(Inputs!$B$3&gt;=117,F1116,0))/100)),MAX(0,Inputs!$B$44-((R1109-1)*Skills!D19))))/Inputs!$B$44),IF(Inputs!$B$39="pvp",MIN((Skills!S19*(1+(Inputs!$B$35+IF(Inputs!$B$3&gt;=117,F1116,0))/100)),15)/15,(Skills!S19*(1+(Inputs!$B$35+IF(Inputs!$B$3&gt;=117,F1116,0))/100))/Skills!D19))/100),1)</f>
        <v/>
      </c>
    </row>
    <row r="1120">
      <c r="A1120" t="inlineStr">
        <is>
          <t>Monster Damage Taken Bonus % (Holy Fountain)</t>
        </is>
      </c>
      <c r="B1120">
        <f>IF(Inputs!$B$3&gt;=68,20*IF(Inputs!$B$39="pvp",MIN((15*(1+(Inputs!$B$35+IF(Inputs!$B$3&gt;=117,F1116,0))/100)),15)/15,(15*(1+(Inputs!$B$35+IF(Inputs!$B$3&gt;=117,F1116,0))/100))/Skills!D10),0)</f>
        <v/>
      </c>
    </row>
    <row r="1121">
      <c r="A1121" t="inlineStr">
        <is>
          <t>Normal Monster Damage Bonus % (Holy Symbol)</t>
        </is>
      </c>
      <c r="B1121">
        <f>IF(C1102=TRUE,F1102*IF(AND(Inputs!$B$39&lt;&gt;"pvp",Inputs!$B$44&gt;0),(((R1102-1)*(Skills!S12*(1+(Inputs!$B$35+IF(Inputs!$B$3&gt;=117,F1116,0))/100))+MIN((Skills!S12*(1+(Inputs!$B$35+IF(Inputs!$B$3&gt;=117,F1116,0))/100)),MAX(0,Inputs!$B$44-((R1102-1)*Skills!D12))))/Inputs!$B$44),IF(Inputs!$B$39="pvp",MIN((Skills!S12*(1+(Inputs!$B$35+IF(Inputs!$B$3&gt;=117,F1116,0))/100)),15)/15,(Skills!S12*(1+(Inputs!$B$35+IF(Inputs!$B$3&gt;=117,F1116,0))/100))/Skills!D12)),0)</f>
        <v/>
      </c>
    </row>
    <row r="1122">
      <c r="A1122" t="inlineStr">
        <is>
          <t>Damage % Bonus (Holy Symbol - Damage Boost)</t>
        </is>
      </c>
      <c r="B1122">
        <f>Skills!O12</f>
        <v/>
      </c>
    </row>
    <row r="1123">
      <c r="A1123" t="inlineStr">
        <is>
          <t>Crit Damage % Bonus (Blood of the Divine)</t>
        </is>
      </c>
      <c r="B1123">
        <f>4*IF(C1110=TRUE,F1110,0)</f>
        <v/>
      </c>
    </row>
    <row r="1124">
      <c r="A1124" t="inlineStr">
        <is>
          <t>Attack Speed Bonus %</t>
        </is>
      </c>
      <c r="B1124">
        <f>IF(C1107=TRUE,F1107+(F1111-Calc!F21),0)+IF(Inputs!$B$3&gt;=134,15,0)</f>
        <v/>
      </c>
    </row>
    <row r="1125">
      <c r="A1125" t="inlineStr">
        <is>
          <t>Actions Per Second</t>
        </is>
      </c>
      <c r="B1125">
        <f>1+MIN(150,150*(1-(1-Inputs!$B$12/150)*(1-B1124/150)))/100</f>
        <v/>
      </c>
    </row>
    <row r="1126">
      <c r="A1126" t="inlineStr">
        <is>
          <t>Skill + Buff Cast Rate</t>
        </is>
      </c>
      <c r="B1126">
        <f>IF(AND(Inputs!$B$39&lt;&gt;"pvp",Inputs!$B$44&gt;0),SUMPRODUCT((Skills!E2:E27=TRUE)*(C1092:C1117=TRUE)*R1092:R1117)/Inputs!$B$44,SUMPRODUCT((Skills!E2:E27=TRUE)*(C1092:C1117=TRUE)*Q1092:Q1117))</f>
        <v/>
      </c>
    </row>
    <row r="1127">
      <c r="A1127" t="inlineStr">
        <is>
          <t>Big Bang Casts Per Second</t>
        </is>
      </c>
      <c r="B1127">
        <f>MAX(0,B1125-B1126)</f>
        <v/>
      </c>
    </row>
    <row r="1128">
      <c r="A1128" t="inlineStr">
        <is>
          <t>Defense % Bonus (Divine Protection)</t>
        </is>
      </c>
      <c r="B1128">
        <f>IF(C1103=TRUE,F1103*IF(AND(Inputs!$B$39&lt;&gt;"pvp",Inputs!$B$44&gt;0),(((R1103-1)*(Skills!S13*(1+(Inputs!$B$35+IF(Inputs!$B$3&gt;=117,F1116,0))/100))+MIN((Skills!S13*(1+(Inputs!$B$35+IF(Inputs!$B$3&gt;=117,F1116,0))/100)),MAX(0,Inputs!$B$44-((R1103-1)*Skills!D13))))/Inputs!$B$44),IF(Inputs!$B$39="pvp",MIN((Skills!S13*(1+(Inputs!$B$35+IF(Inputs!$B$3&gt;=117,F1116,0))/100)),15)/15,(Skills!S13*(1+(Inputs!$B$35+IF(Inputs!$B$3&gt;=117,F1116,0))/100))/Skills!D13)),0)</f>
        <v/>
      </c>
    </row>
    <row r="1129">
      <c r="A1129" t="inlineStr">
        <is>
          <t>Buff-Casting Startup Delay (s, fixed-duration only)</t>
        </is>
      </c>
      <c r="B1129">
        <f>IF(AND(Inputs!$B$39&lt;&gt;"pvp",Inputs!$B$44&gt;0),SUMPRODUCT((Skills!S2:S27&gt;0)*(Skills!E2:E27=TRUE)*(C1092:C1117=TRUE))/B1125,0)</f>
        <v/>
      </c>
    </row>
    <row r="1130">
      <c r="A1130" t="inlineStr">
        <is>
          <t>Boss-Only Total DPS (this block's swept value)</t>
        </is>
      </c>
      <c r="B1130">
        <f>SUM(S1092:S1117)</f>
        <v/>
      </c>
    </row>
    <row r="1131">
      <c r="A1131" t="inlineStr">
        <is>
          <t>Normal-Only Total DPS (this block's swept value)</t>
        </is>
      </c>
      <c r="B1131">
        <f>SUM(U1092:U1117)</f>
        <v/>
      </c>
    </row>
    <row r="1132">
      <c r="A1132" s="5" t="inlineStr">
        <is>
          <t>TOTAL DPS</t>
        </is>
      </c>
      <c r="B1132" s="5">
        <f>SUM(O1092:O1117)</f>
        <v/>
      </c>
    </row>
    <row r="1134">
      <c r="A1134" s="5" t="inlineStr">
        <is>
          <t>Stat: Basic Attack Target Increase (flat)</t>
        </is>
      </c>
    </row>
    <row r="1135">
      <c r="A1135" s="9" t="inlineStr">
        <is>
          <t>Key</t>
        </is>
      </c>
      <c r="B1135" s="9" t="inlineStr">
        <is>
          <t>Name</t>
        </is>
      </c>
      <c r="C1135" s="9" t="inlineStr">
        <is>
          <t>Unlocked</t>
        </is>
      </c>
      <c r="D1135" s="9" t="inlineStr">
        <is>
          <t>InputLevel</t>
        </is>
      </c>
      <c r="E1135" s="9" t="inlineStr">
        <is>
          <t>Factor</t>
        </is>
      </c>
      <c r="F1135" s="9" t="inlineStr">
        <is>
          <t>CoefficientPercent</t>
        </is>
      </c>
      <c r="G1135" s="9" t="inlineStr">
        <is>
          <t>EffectiveHits</t>
        </is>
      </c>
      <c r="H1135" s="9" t="inlineStr">
        <is>
          <t>ProcProbability</t>
        </is>
      </c>
      <c r="I1135" s="9" t="inlineStr">
        <is>
          <t>MapleHeroMultiplier</t>
        </is>
      </c>
      <c r="J1135" s="9" t="inlineStr">
        <is>
          <t>BaseDamage</t>
        </is>
      </c>
      <c r="K1135" s="9" t="inlineStr">
        <is>
          <t>BaseHitDamage</t>
        </is>
      </c>
      <c r="L1135" s="9" t="inlineStr">
        <is>
          <t>NonCritAvg</t>
        </is>
      </c>
      <c r="M1135" s="9" t="inlineStr">
        <is>
          <t>CritAvg</t>
        </is>
      </c>
      <c r="N1135" s="9" t="inlineStr">
        <is>
          <t>ExpectedDamage(perHit)</t>
        </is>
      </c>
      <c r="O1135" s="9" t="inlineStr">
        <is>
          <t>DPS</t>
        </is>
      </c>
      <c r="P1135" s="9" t="inlineStr">
        <is>
          <t>% of Total</t>
        </is>
      </c>
      <c r="R1135" t="inlineStr">
        <is>
          <t>helpers</t>
        </is>
      </c>
    </row>
    <row r="1136">
      <c r="A1136">
        <f>Skills!A2</f>
        <v/>
      </c>
      <c r="B1136">
        <f>Skills!B2</f>
        <v/>
      </c>
      <c r="C1136">
        <f>Inputs!$B$3&gt;=100</f>
        <v/>
      </c>
      <c r="D1136" t="inlineStr"/>
      <c r="E1136" t="inlineStr"/>
      <c r="F1136">
        <f>T1138+Skills!N2</f>
        <v/>
      </c>
      <c r="G1136">
        <f>Calc!G2</f>
        <v/>
      </c>
      <c r="H1136">
        <f>Calc!H2</f>
        <v/>
      </c>
      <c r="I1136">
        <f>IF(Skills!T2&lt;&gt;"",1+(Skills!T2/10)*($Z$3/1000)/100,1)</f>
        <v/>
      </c>
      <c r="J1136">
        <f>((Inputs!$B$6*(1+Inputs!$B$7/100))+(((Inputs!$B$13*(1+Inputs!$B$14/100))-(Inputs!$B$13*(1+Inputs!$B$14/100)))+0.25*(Inputs!$B$15-Inputs!$B$15))*(1+Inputs!$B$7/100))*(F1136/100)</f>
        <v/>
      </c>
      <c r="K1136">
        <f>J1136*(1+(((Inputs!$B$13+IF(Inputs!$B$3&gt;=35,(10*INDEX(FactorTable!$B$2:$Y$301, MATCH(ROUND(MIN(300,MAX(1,Inputs!$B$3)),0), FactorTable!$A$2:$A$301,0), 23)/1000)/100*(Inputs!$B$8*(1+(Inputs!$B$9+B1172)/100)),0))*(1+Inputs!$B$14/100))*0.01+Inputs!$B$15*0.0025)/100)*(1+(Inputs!$B$16+B1166)/100)*(1+Inputs!$B$17/100)*(5000/(6000+Inputs!$B$43*(1-Inputs!$B$20/100)))*(1+Inputs!$B$25/100)*(1+IF(C1152=TRUE,F1152,0)/100)*(1+IF(C1154=TRUE,F1154,0)/100)*(1+IF(Skills!A2="TRIUMPH_FEATHER",IF(C1150=TRUE,F1150,0),0)/100)*(1+IF(C1161=TRUE,F1161,0)/100)^5*(1+(IF(Skills!A2="BIG_BANG",Inputs!$B$18,Inputs!$B$19))/100)*(B1163*I1136)</f>
        <v/>
      </c>
      <c r="L1136">
        <f>K1136*(MIN(Inputs!$B$23+(F1156-Calc!F22),Inputs!$B$24)/100+Inputs!$B$24/100)/2</f>
        <v/>
      </c>
      <c r="M1136">
        <f>L1136*(1+(Inputs!$B$11+B1167+(F1159-Calc!F25))/100)</f>
        <v/>
      </c>
      <c r="N1136">
        <f>L1136*(1-MIN(Inputs!$B$10+((F1158-Calc!F24)+(F1157-Calc!F23)),100)/100)+M1136*(MIN(Inputs!$B$10+((F1158-Calc!F24)+(F1157-Calc!F23)),100)/100)</f>
        <v/>
      </c>
      <c r="O1136">
        <f>(1-Summary!$B$48)*S1136+Summary!$B$48*U1136</f>
        <v/>
      </c>
      <c r="P1136">
        <f>IF(B1176=0,0,O1136/B1176)</f>
        <v/>
      </c>
      <c r="Q1136">
        <f>IFERROR(1/IF(Inputs!$B$39="pvp",15,MAX(0.1,Skills!D2-IF(Skills!E2=TRUE,Inputs!$B$33,0))),0)</f>
        <v/>
      </c>
      <c r="R1136" t="n">
        <v>0</v>
      </c>
      <c r="S1136">
        <f>IF(C1136,(Skills!F2*N1136*B1171)*IF(Inputs!$B$39="pvp",1,1+(Inputs!$B$21+Skills!O2+B1164)/100),0)</f>
        <v/>
      </c>
      <c r="T1136">
        <f>MAX(0,(Inputs!$B$3-100)*3)+Inputs!$B$29+Inputs!$B$30</f>
        <v/>
      </c>
      <c r="U1136">
        <f>IF(C1136,(Skills!F2*N1136*B1171)*IF(Inputs!$B$39="pvp",1,(1+(Inputs!$B$22+Skills!P2+B1165)/100)*(MIN((6+(Inputs!$B$34+1)),Inputs!$B$38))),0)</f>
        <v/>
      </c>
    </row>
    <row r="1137">
      <c r="A1137">
        <f>Skills!A3</f>
        <v/>
      </c>
      <c r="B1137">
        <f>Skills!B3</f>
        <v/>
      </c>
      <c r="C1137">
        <f>Inputs!$B$3&gt;=15</f>
        <v/>
      </c>
      <c r="D1137">
        <f>IF(Skills!C3=1,60+Inputs!$B$26+Inputs!$B$30,IF(Skills!C3=2,90+Inputs!$B$27+Inputs!$B$30,IF(Skills!C3=3,120+Inputs!$B$28+Inputs!$B$30,MAX(0,(Inputs!$B$3-100)*3)+Inputs!$B$29+Inputs!$B$30)))</f>
        <v/>
      </c>
      <c r="E1137">
        <f>INDEX(FactorTable!$B$2:$Y$301, MATCH(ROUND(MIN(300,MAX(1,D1137)),0), FactorTable!$A$2:$A$301,0), Skills!L3+1)</f>
        <v/>
      </c>
      <c r="F1137">
        <f>IF(Skills!M3=TRUE,(Skills!K3/10)*(E1137/1000),Skills!K3/10)+Skills!N3</f>
        <v/>
      </c>
      <c r="G1137">
        <f>Calc!G3</f>
        <v/>
      </c>
      <c r="H1137">
        <f>Calc!H3</f>
        <v/>
      </c>
      <c r="I1137">
        <f>IF(Skills!T3&lt;&gt;"",1+(Skills!T3/10)*($Z$3/1000)/100,1)</f>
        <v/>
      </c>
      <c r="J1137" t="inlineStr"/>
      <c r="K1137" t="inlineStr"/>
      <c r="L1137" t="inlineStr"/>
      <c r="M1137" t="inlineStr"/>
      <c r="N1137" t="inlineStr"/>
      <c r="O1137">
        <f>(1-Summary!$B$48)*S1137+Summary!$B$48*U1137</f>
        <v/>
      </c>
      <c r="P1137">
        <f>IF(B1176=0,0,O1137/B1176)</f>
        <v/>
      </c>
      <c r="Q1137">
        <f>IFERROR(1/IF(Inputs!$B$39="pvp",15,MAX(0.1,Skills!D3-IF(Skills!E3=TRUE,Inputs!$B$33,0))),0)</f>
        <v/>
      </c>
      <c r="R1137">
        <f>IF(AND(Inputs!$B$39&lt;&gt;"pvp",Inputs!$B$44&gt;0),IF(Inputs!$B$44&lt;=0,0,(INT(Inputs!$B$44/IF(Inputs!$B$39="pvp",15,MAX(0.1,Skills!D3-IF(Skills!E3=TRUE,Inputs!$B$33,0))))+1)),0)</f>
        <v/>
      </c>
      <c r="S1137" t="n">
        <v>0</v>
      </c>
      <c r="T1137">
        <f>INDEX(FactorTable!$B$2:$Y$301, MATCH(ROUND(MIN(300,MAX(1,T1136)),0), FactorTable!$A$2:$A$301,0), 22)</f>
        <v/>
      </c>
      <c r="U1137" t="n">
        <v>0</v>
      </c>
    </row>
    <row r="1138">
      <c r="A1138">
        <f>Skills!A4</f>
        <v/>
      </c>
      <c r="B1138">
        <f>Skills!B4</f>
        <v/>
      </c>
      <c r="C1138">
        <f>Inputs!$B$3&gt;=38</f>
        <v/>
      </c>
      <c r="D1138">
        <f>IF(Skills!C4=1,60+Inputs!$B$26+Inputs!$B$30,IF(Skills!C4=2,90+Inputs!$B$27+Inputs!$B$30,IF(Skills!C4=3,120+Inputs!$B$28+Inputs!$B$30,MAX(0,(Inputs!$B$3-100)*3)+Inputs!$B$29+Inputs!$B$30)))</f>
        <v/>
      </c>
      <c r="E1138">
        <f>INDEX(FactorTable!$B$2:$Y$301, MATCH(ROUND(MIN(300,MAX(1,D1138)),0), FactorTable!$A$2:$A$301,0), Skills!L4+1)</f>
        <v/>
      </c>
      <c r="F1138">
        <f>IF(Skills!M4=TRUE,(Skills!K4/10)*(E1138/1000),Skills!K4/10)+Skills!N4</f>
        <v/>
      </c>
      <c r="G1138">
        <f>Calc!G4</f>
        <v/>
      </c>
      <c r="H1138">
        <f>Calc!H4</f>
        <v/>
      </c>
      <c r="I1138">
        <f>IF(Skills!T4&lt;&gt;"",1+(Skills!T4/10)*($Z$3/1000)/100,1)</f>
        <v/>
      </c>
      <c r="J1138" t="inlineStr"/>
      <c r="K1138" t="inlineStr"/>
      <c r="L1138" t="inlineStr"/>
      <c r="M1138" t="inlineStr"/>
      <c r="N1138" t="inlineStr"/>
      <c r="O1138">
        <f>(1-Summary!$B$48)*S1138+Summary!$B$48*U1138</f>
        <v/>
      </c>
      <c r="P1138">
        <f>IF(B1176=0,0,O1138/B1176)</f>
        <v/>
      </c>
      <c r="Q1138">
        <f>IFERROR(1/IF(Inputs!$B$39="pvp",15,MAX(0.1,Skills!D4-IF(Skills!E4=TRUE,Inputs!$B$33,0))),0)</f>
        <v/>
      </c>
      <c r="R1138">
        <f>IF(AND(Inputs!$B$39&lt;&gt;"pvp",Inputs!$B$44&gt;0),IF(Inputs!$B$44&lt;=0,0,(INT(Inputs!$B$44/IF(Inputs!$B$39="pvp",15,MAX(0.1,Skills!D4-IF(Skills!E4=TRUE,Inputs!$B$33,0))))+1)),0)</f>
        <v/>
      </c>
      <c r="S1138" t="n">
        <v>0</v>
      </c>
      <c r="T1138">
        <f>290*T1137/1000</f>
        <v/>
      </c>
      <c r="U1138" t="n">
        <v>0</v>
      </c>
    </row>
    <row r="1139">
      <c r="A1139">
        <f>Skills!A5</f>
        <v/>
      </c>
      <c r="B1139">
        <f>Skills!B5</f>
        <v/>
      </c>
      <c r="C1139">
        <f>Inputs!$B$3&gt;=40</f>
        <v/>
      </c>
      <c r="D1139">
        <f>IF(Skills!C5=1,60+Inputs!$B$26+Inputs!$B$30,IF(Skills!C5=2,90+Inputs!$B$27+Inputs!$B$30,IF(Skills!C5=3,120+Inputs!$B$28+Inputs!$B$30,MAX(0,(Inputs!$B$3-100)*3)+Inputs!$B$29+Inputs!$B$30)))</f>
        <v/>
      </c>
      <c r="E1139">
        <f>INDEX(FactorTable!$B$2:$Y$301, MATCH(ROUND(MIN(300,MAX(1,D1139)),0), FactorTable!$A$2:$A$301,0), Skills!L5+1)</f>
        <v/>
      </c>
      <c r="F1139">
        <f>IF(Skills!M5=TRUE,(Skills!K5/10)*(E1139/1000),Skills!K5/10)+Skills!N5</f>
        <v/>
      </c>
      <c r="G1139">
        <f>Calc!G5</f>
        <v/>
      </c>
      <c r="H1139">
        <f>Calc!H5</f>
        <v/>
      </c>
      <c r="I1139">
        <f>IF(Skills!T5&lt;&gt;"",1+(Skills!T5/10)*($Z$3/1000)/100,1)</f>
        <v/>
      </c>
      <c r="J1139" t="inlineStr"/>
      <c r="K1139" t="inlineStr"/>
      <c r="L1139" t="inlineStr"/>
      <c r="M1139" t="inlineStr"/>
      <c r="N1139" t="inlineStr"/>
      <c r="O1139">
        <f>(1-Summary!$B$48)*S1139+Summary!$B$48*U1139</f>
        <v/>
      </c>
      <c r="P1139">
        <f>IF(B1176=0,0,O1139/B1176)</f>
        <v/>
      </c>
      <c r="Q1139">
        <f>IFERROR(1/IF(Inputs!$B$39="pvp",15,MAX(0.1,Skills!D5-IF(Skills!E5=TRUE,Inputs!$B$33,0))),0)</f>
        <v/>
      </c>
      <c r="R1139">
        <f>IF(AND(Inputs!$B$39&lt;&gt;"pvp",Inputs!$B$44&gt;0),IF(Inputs!$B$44&lt;=0,0,(INT(Inputs!$B$44/IF(Inputs!$B$39="pvp",15,MAX(0.1,Skills!D5-IF(Skills!E5=TRUE,Inputs!$B$33,0))))+1)),0)</f>
        <v/>
      </c>
      <c r="S1139" t="n">
        <v>0</v>
      </c>
      <c r="U1139" t="n">
        <v>0</v>
      </c>
    </row>
    <row r="1140">
      <c r="A1140">
        <f>Skills!A6</f>
        <v/>
      </c>
      <c r="B1140">
        <f>Skills!B6</f>
        <v/>
      </c>
      <c r="C1140">
        <f>Inputs!$B$3&gt;=103</f>
        <v/>
      </c>
      <c r="D1140">
        <f>IF(Skills!C6=1,60+Inputs!$B$26+Inputs!$B$30,IF(Skills!C6=2,90+Inputs!$B$27+Inputs!$B$30,IF(Skills!C6=3,120+Inputs!$B$28+Inputs!$B$30,MAX(0,(Inputs!$B$3-100)*3)+Inputs!$B$29+Inputs!$B$30)))</f>
        <v/>
      </c>
      <c r="E1140">
        <f>INDEX(FactorTable!$B$2:$Y$301, MATCH(ROUND(MIN(300,MAX(1,D1140)),0), FactorTable!$A$2:$A$301,0), Skills!L6+1)</f>
        <v/>
      </c>
      <c r="F1140">
        <f>IF(Skills!M6=TRUE,(Skills!K6/10)*(E1140/1000),Skills!K6/10)+Skills!N6</f>
        <v/>
      </c>
      <c r="G1140">
        <f>Calc!G6</f>
        <v/>
      </c>
      <c r="H1140">
        <f>Calc!H6</f>
        <v/>
      </c>
      <c r="I1140">
        <f>IF(Skills!T6&lt;&gt;"",1+(Skills!T6/10)*($Z$3/1000)/100,1)</f>
        <v/>
      </c>
      <c r="J1140">
        <f>((Inputs!$B$6*(1+Inputs!$B$7/100))+(((Inputs!$B$13*(1+Inputs!$B$14/100))-(Inputs!$B$13*(1+Inputs!$B$14/100)))+0.25*(Inputs!$B$15-Inputs!$B$15))*(1+Inputs!$B$7/100))*(F1140/100)</f>
        <v/>
      </c>
      <c r="K1140">
        <f>J1140*(1+(((Inputs!$B$13+IF(Inputs!$B$3&gt;=35,(10*INDEX(FactorTable!$B$2:$Y$301, MATCH(ROUND(MIN(300,MAX(1,Inputs!$B$3)),0), FactorTable!$A$2:$A$301,0), 23)/1000)/100*(Inputs!$B$8*(1+(Inputs!$B$9+B1172)/100)),0))*(1+Inputs!$B$14/100))*0.01+Inputs!$B$15*0.0025)/100)*(1+(Inputs!$B$16+B1166)/100)*(1+Inputs!$B$17/100)*(5000/(6000+Inputs!$B$43*(1-Inputs!$B$20/100)))*(1+Inputs!$B$25/100)*(1+IF(C1152=TRUE,F1152,0)/100)*(1+IF(C1154=TRUE,F1154,0)/100)*(1+IF(Skills!A6="TRIUMPH_FEATHER",IF(C1150=TRUE,F1150,0),0)/100)*(1+IF(C1161=TRUE,F1161,0)/100)^5*(1+(IF(Skills!A6="BIG_BANG",Inputs!$B$18,Inputs!$B$19))/100)*(B1163*I1140)</f>
        <v/>
      </c>
      <c r="L1140">
        <f>K1140*(MIN(Inputs!$B$23+(F1156-Calc!F22),Inputs!$B$24)/100+Inputs!$B$24/100)/2</f>
        <v/>
      </c>
      <c r="M1140">
        <f>L1140*(1+(Inputs!$B$11+B1167+(F1159-Calc!F25))/100)</f>
        <v/>
      </c>
      <c r="N1140">
        <f>L1140*(1-MIN(Inputs!$B$10+((F1158-Calc!F24)+(F1157-Calc!F23)),100)/100)+M1140*(MIN(Inputs!$B$10+((F1158-Calc!F24)+(F1157-Calc!F23)),100)/100)</f>
        <v/>
      </c>
      <c r="O1140">
        <f>(1-Summary!$B$48)*S1140+Summary!$B$48*U1140</f>
        <v/>
      </c>
      <c r="P1140">
        <f>IF(B1176=0,0,O1140/B1176)</f>
        <v/>
      </c>
      <c r="Q1140">
        <f>IFERROR(1/IF(Inputs!$B$39="pvp",15,MAX(0.1,Skills!D6-IF(Skills!E6=TRUE,Inputs!$B$33,0))),0)</f>
        <v/>
      </c>
      <c r="R1140">
        <f>IF(AND(Inputs!$B$39&lt;&gt;"pvp",Inputs!$B$44&gt;0),IF(MAX(0,Inputs!$B$44-B1173)&lt;=0,0,(INT(MAX(0,Inputs!$B$44-B1173)/IF(Inputs!$B$39="pvp",15,MAX(0.1,Skills!D6-IF(Skills!E6=TRUE,Inputs!$B$33,0))))+1)),0)</f>
        <v/>
      </c>
      <c r="S1140">
        <f>IF(C1140,(H1140*N1140*IF(AND(Inputs!$B$39&lt;&gt;"pvp",Inputs!$B$44&gt;0),((Skills!F6*((R1140-1)*IF(Skills!G6&gt;0,Skills!H6/Skills!G6,1)+IF(Skills!G6&gt;0,MIN(Skills!H6,MAX(0,MAX(0,Inputs!$B$44-B1173)-((R1140-1)*IF(Inputs!$B$39="pvp",15,MAX(0.1,Skills!D6-IF(Skills!E6=TRUE,Inputs!$B$33,0))))))/Skills!G6,1)))/Inputs!$B$44),G1140*Q1140))*IF(Inputs!$B$39="pvp",1,1+(Inputs!$B$21+Skills!O6+B1164)/100),0)</f>
        <v/>
      </c>
      <c r="U1140">
        <f>IF(C1140,(H1140*N1140*IF(AND(Inputs!$B$39&lt;&gt;"pvp",Inputs!$B$44&gt;0),((Skills!F6*((R1140-1)*IF(Skills!G6&gt;0,Skills!H6/Skills!G6,1)+IF(Skills!G6&gt;0,MIN(Skills!H6,MAX(0,MAX(0,Inputs!$B$44-B1173)-((R1140-1)*IF(Inputs!$B$39="pvp",15,MAX(0.1,Skills!D6-IF(Skills!E6=TRUE,Inputs!$B$33,0))))))/Skills!G6,1)))/Inputs!$B$44),G1140*Q1140))*IF(Inputs!$B$39="pvp",1,(1+(Inputs!$B$22+Skills!P6+B1165)/100)*(MIN(Skills!Q6,Inputs!$B$38))),0)</f>
        <v/>
      </c>
    </row>
    <row r="1141">
      <c r="A1141">
        <f>Skills!A7</f>
        <v/>
      </c>
      <c r="B1141">
        <f>Skills!B7</f>
        <v/>
      </c>
      <c r="C1141">
        <f>Inputs!$B$3&gt;=122</f>
        <v/>
      </c>
      <c r="D1141">
        <f>IF(Skills!C7=1,60+Inputs!$B$26+Inputs!$B$30,IF(Skills!C7=2,90+Inputs!$B$27+Inputs!$B$30,IF(Skills!C7=3,120+Inputs!$B$28+Inputs!$B$30,MAX(0,(Inputs!$B$3-100)*3)+Inputs!$B$29+Inputs!$B$30)))</f>
        <v/>
      </c>
      <c r="E1141">
        <f>INDEX(FactorTable!$B$2:$Y$301, MATCH(ROUND(MIN(300,MAX(1,D1141)),0), FactorTable!$A$2:$A$301,0), Skills!L7+1)</f>
        <v/>
      </c>
      <c r="F1141">
        <f>IF(Skills!M7=TRUE,(Skills!K7/10)*(E1141/1000),Skills!K7/10)+Skills!N7</f>
        <v/>
      </c>
      <c r="G1141">
        <f>Calc!G7</f>
        <v/>
      </c>
      <c r="H1141">
        <f>Calc!H7</f>
        <v/>
      </c>
      <c r="I1141">
        <f>IF(Skills!T7&lt;&gt;"",1+(Skills!T7/10)*($Z$3/1000)/100,1)</f>
        <v/>
      </c>
      <c r="J1141">
        <f>((Inputs!$B$6*(1+Inputs!$B$7/100))+(((Inputs!$B$13*(1+Inputs!$B$14/100))-(Inputs!$B$13*(1+Inputs!$B$14/100)))+0.25*(Inputs!$B$15-Inputs!$B$15))*(1+Inputs!$B$7/100))*(F1141/100)</f>
        <v/>
      </c>
      <c r="K1141">
        <f>J1141*(1+(((Inputs!$B$13+IF(Inputs!$B$3&gt;=35,(10*INDEX(FactorTable!$B$2:$Y$301, MATCH(ROUND(MIN(300,MAX(1,Inputs!$B$3)),0), FactorTable!$A$2:$A$301,0), 23)/1000)/100*(Inputs!$B$8*(1+(Inputs!$B$9+B1172)/100)),0))*(1+Inputs!$B$14/100))*0.01+Inputs!$B$15*0.0025)/100)*(1+(Inputs!$B$16+B1166)/100)*(1+Inputs!$B$17/100)*(5000/(6000+Inputs!$B$43*(1-Inputs!$B$20/100)))*(1+Inputs!$B$25/100)*(1+IF(C1152=TRUE,F1152,0)/100)*(1+IF(C1154=TRUE,F1154,0)/100)*(1+IF(Skills!A7="TRIUMPH_FEATHER",IF(C1150=TRUE,F1150,0),0)/100)*(1+IF(C1161=TRUE,F1161,0)/100)^5*(1+(IF(Skills!A7="BIG_BANG",Inputs!$B$18,Inputs!$B$19))/100)*(B1163*I1141)</f>
        <v/>
      </c>
      <c r="L1141">
        <f>K1141*(MIN(Inputs!$B$23+(F1156-Calc!F22),Inputs!$B$24)/100+Inputs!$B$24/100)/2</f>
        <v/>
      </c>
      <c r="M1141">
        <f>L1141*(1+(Inputs!$B$11+B1167+(F1159-Calc!F25))/100)</f>
        <v/>
      </c>
      <c r="N1141">
        <f>L1141*(1-MIN(Inputs!$B$10+((F1158-Calc!F24)+(F1157-Calc!F23)),100)/100)+M1141*(MIN(Inputs!$B$10+((F1158-Calc!F24)+(F1157-Calc!F23)),100)/100)</f>
        <v/>
      </c>
      <c r="O1141">
        <f>(1-Summary!$B$48)*S1141+Summary!$B$48*U1141</f>
        <v/>
      </c>
      <c r="P1141">
        <f>IF(B1176=0,0,O1141/B1176)</f>
        <v/>
      </c>
      <c r="Q1141">
        <f>IFERROR(1/IF(Inputs!$B$39="pvp",15,MAX(0.1,Skills!D7-IF(Skills!E6=TRUE,Inputs!$B$33,0))),0)</f>
        <v/>
      </c>
      <c r="R1141">
        <f>IF(AND(Inputs!$B$39&lt;&gt;"pvp",Inputs!$B$44&gt;0),IF(MAX(0,Inputs!$B$44-B1173)&lt;=0,0,(INT(MAX(0,Inputs!$B$44-B1173)/IF(Inputs!$B$39="pvp",15,MAX(0.1,Skills!D7-IF(Skills!E6=TRUE,Inputs!$B$33,0))))+1)),0)</f>
        <v/>
      </c>
      <c r="S1141">
        <f>IF(C1141,H1141*N1141*IF(AND(Inputs!$B$39&lt;&gt;"pvp",Inputs!$B$44&gt;0),((Skills!F7*((R1141-1)*IF(Skills!G7&gt;0,Skills!H7/Skills!G7,1)+IF(Skills!G7&gt;0,MIN(Skills!H7,MAX(0,MAX(0,Inputs!$B$44-B1173)-((R1141-1)*IF(Inputs!$B$39="pvp",15,MAX(0.1,Skills!D7-IF(Skills!E6=TRUE,Inputs!$B$33,0))))))/Skills!G7,1)))/Inputs!$B$44),G1141*Q1141)*IF(Inputs!$B$39="pvp",1,1+(Inputs!$B$21+Skills!O7+B1164)/100),0)</f>
        <v/>
      </c>
      <c r="U1141" t="n">
        <v>0</v>
      </c>
    </row>
    <row r="1142">
      <c r="A1142">
        <f>Skills!A8</f>
        <v/>
      </c>
      <c r="B1142">
        <f>Skills!B8</f>
        <v/>
      </c>
      <c r="C1142">
        <f>Inputs!$B$3&gt;=105</f>
        <v/>
      </c>
      <c r="D1142">
        <f>IF(Skills!C8=1,60+Inputs!$B$26+Inputs!$B$30,IF(Skills!C8=2,90+Inputs!$B$27+Inputs!$B$30,IF(Skills!C8=3,120+Inputs!$B$28+Inputs!$B$30,MAX(0,(Inputs!$B$3-100)*3)+Inputs!$B$29+Inputs!$B$30)))</f>
        <v/>
      </c>
      <c r="E1142">
        <f>INDEX(FactorTable!$B$2:$Y$301, MATCH(ROUND(MIN(300,MAX(1,D1142)),0), FactorTable!$A$2:$A$301,0), Skills!L8+1)</f>
        <v/>
      </c>
      <c r="F1142">
        <f>IF(Skills!M8=TRUE,(Skills!K8/10)*(E1142/1000),Skills!K8/10)+Skills!N8</f>
        <v/>
      </c>
      <c r="G1142">
        <f>Calc!G8</f>
        <v/>
      </c>
      <c r="H1142">
        <f>Calc!H8</f>
        <v/>
      </c>
      <c r="I1142">
        <f>IF(Skills!T8&lt;&gt;"",1+(Skills!T8/10)*($Z$3/1000)/100,1)</f>
        <v/>
      </c>
      <c r="J1142">
        <f>((Inputs!$B$6*(1+Inputs!$B$7/100))+(((Inputs!$B$13*(1+Inputs!$B$14/100))-(Inputs!$B$13*(1+Inputs!$B$14/100)))+0.25*(Inputs!$B$15-Inputs!$B$15))*(1+Inputs!$B$7/100))*(F1142/100)</f>
        <v/>
      </c>
      <c r="K1142">
        <f>J1142*(1+(((Inputs!$B$13+IF(Inputs!$B$3&gt;=35,(10*INDEX(FactorTable!$B$2:$Y$301, MATCH(ROUND(MIN(300,MAX(1,Inputs!$B$3)),0), FactorTable!$A$2:$A$301,0), 23)/1000)/100*(Inputs!$B$8*(1+(Inputs!$B$9+B1172)/100)),0))*(1+Inputs!$B$14/100))*0.01+Inputs!$B$15*0.0025)/100)*(1+(Inputs!$B$16+B1166)/100)*(1+Inputs!$B$17/100)*(5000/(6000+Inputs!$B$43*(1-Inputs!$B$20/100)))*(1+Inputs!$B$25/100)*(1+IF(C1152=TRUE,F1152,0)/100)*(1+IF(C1154=TRUE,F1154,0)/100)*(1+IF(Skills!A8="TRIUMPH_FEATHER",IF(C1150=TRUE,F1150,0),0)/100)*(1+IF(C1161=TRUE,F1161,0)/100)^5*(1+(IF(Skills!A8="BIG_BANG",Inputs!$B$18,Inputs!$B$19))/100)*(B1163*I1142)</f>
        <v/>
      </c>
      <c r="L1142">
        <f>K1142*(MIN(Inputs!$B$23+(F1156-Calc!F22),Inputs!$B$24)/100+Inputs!$B$24/100)/2</f>
        <v/>
      </c>
      <c r="M1142">
        <f>L1142*(1+(Inputs!$B$11+B1167+(F1159-Calc!F25))/100)</f>
        <v/>
      </c>
      <c r="N1142">
        <f>L1142*(1-MIN(Inputs!$B$10+((F1158-Calc!F24)+(F1157-Calc!F23)),100)/100)+M1142*(MIN(Inputs!$B$10+((F1158-Calc!F24)+(F1157-Calc!F23)),100)/100)</f>
        <v/>
      </c>
      <c r="O1142">
        <f>(1-Summary!$B$48)*S1142+Summary!$B$48*U1142</f>
        <v/>
      </c>
      <c r="P1142">
        <f>IF(B1176=0,0,O1142/B1176)</f>
        <v/>
      </c>
      <c r="Q1142">
        <f>IFERROR(1/IF(Inputs!$B$39="pvp",15,MAX(0.1,Skills!D8-IF(Skills!E8=TRUE,Inputs!$B$33,0))),0)</f>
        <v/>
      </c>
      <c r="R1142">
        <f>IF(AND(Inputs!$B$39&lt;&gt;"pvp",Inputs!$B$44&gt;0),IF(MAX(0,Inputs!$B$44-B1173)&lt;=0,0,(INT(MAX(0,Inputs!$B$44-B1173)/IF(Inputs!$B$39="pvp",15,MAX(0.1,Skills!D8-IF(Skills!E8=TRUE,Inputs!$B$33,0))))+1)),0)</f>
        <v/>
      </c>
      <c r="S1142">
        <f>IF(C1142,(H1142*N1142*IF(AND(Inputs!$B$39&lt;&gt;"pvp",Inputs!$B$44&gt;0),((Skills!F8*((R1142-1)*IF(Skills!G8&gt;0,Skills!H8/Skills!G8,1)+IF(Skills!G8&gt;0,MIN(Skills!H8,MAX(0,MAX(0,Inputs!$B$44-B1173)-((R1142-1)*IF(Inputs!$B$39="pvp",15,MAX(0.1,Skills!D8-IF(Skills!E8=TRUE,Inputs!$B$33,0))))))/Skills!G8,1)))/Inputs!$B$44),G1142*Q1142))*IF(Inputs!$B$39="pvp",1,1+(Inputs!$B$21+Skills!O8+B1164)/100),0)</f>
        <v/>
      </c>
      <c r="U1142">
        <f>IF(C1142,(H1142*N1142*IF(AND(Inputs!$B$39&lt;&gt;"pvp",Inputs!$B$44&gt;0),((Skills!F8*((R1142-1)*IF(Skills!G8&gt;0,Skills!H8/Skills!G8,1)+IF(Skills!G8&gt;0,MIN(Skills!H8,MAX(0,MAX(0,Inputs!$B$44-B1173)-((R1142-1)*IF(Inputs!$B$39="pvp",15,MAX(0.1,Skills!D8-IF(Skills!E8=TRUE,Inputs!$B$33,0))))))/Skills!G8,1)))/Inputs!$B$44),G1142*Q1142))*IF(Inputs!$B$39="pvp",1,(1+(Inputs!$B$22+Skills!P8+B1165)/100)*(MIN(Skills!Q8,Inputs!$B$38))),0)</f>
        <v/>
      </c>
    </row>
    <row r="1143">
      <c r="A1143">
        <f>Skills!A9</f>
        <v/>
      </c>
      <c r="B1143">
        <f>Skills!B9</f>
        <v/>
      </c>
      <c r="C1143">
        <f>Inputs!$B$3&gt;=115</f>
        <v/>
      </c>
      <c r="D1143">
        <f>IF(Skills!C9=1,60+Inputs!$B$26+Inputs!$B$30,IF(Skills!C9=2,90+Inputs!$B$27+Inputs!$B$30,IF(Skills!C9=3,120+Inputs!$B$28+Inputs!$B$30,MAX(0,(Inputs!$B$3-100)*3)+Inputs!$B$29+Inputs!$B$30)))</f>
        <v/>
      </c>
      <c r="E1143">
        <f>INDEX(FactorTable!$B$2:$Y$301, MATCH(ROUND(MIN(300,MAX(1,D1143)),0), FactorTable!$A$2:$A$301,0), Skills!L9+1)</f>
        <v/>
      </c>
      <c r="F1143">
        <f>IF(Skills!M9=TRUE,(Skills!K9/10)*(E1143/1000),Skills!K9/10)+Skills!N9</f>
        <v/>
      </c>
      <c r="G1143">
        <f>Calc!G9</f>
        <v/>
      </c>
      <c r="H1143">
        <f>Calc!H9</f>
        <v/>
      </c>
      <c r="I1143">
        <f>IF(Skills!T9&lt;&gt;"",1+(Skills!T9/10)*($Z$3/1000)/100,1)</f>
        <v/>
      </c>
      <c r="J1143">
        <f>((Inputs!$B$6*(1+Inputs!$B$7/100))+(((Inputs!$B$13*(1+Inputs!$B$14/100))-(Inputs!$B$13*(1+Inputs!$B$14/100)))+0.25*(Inputs!$B$15-Inputs!$B$15))*(1+Inputs!$B$7/100))*(F1143/100)</f>
        <v/>
      </c>
      <c r="K1143">
        <f>J1143*(1+(((Inputs!$B$13+IF(Inputs!$B$3&gt;=35,(10*INDEX(FactorTable!$B$2:$Y$301, MATCH(ROUND(MIN(300,MAX(1,Inputs!$B$3)),0), FactorTable!$A$2:$A$301,0), 23)/1000)/100*(Inputs!$B$8*(1+(Inputs!$B$9+B1172)/100)),0))*(1+Inputs!$B$14/100))*0.01+Inputs!$B$15*0.0025)/100)*(1+(Inputs!$B$16+B1166)/100)*(1+Inputs!$B$17/100)*(5000/(6000+Inputs!$B$43*(1-Inputs!$B$20/100)))*(1+Inputs!$B$25/100)*(1+IF(C1152=TRUE,F1152,0)/100)*(1+IF(C1154=TRUE,F1154,0)/100)*(1+IF(Skills!A9="TRIUMPH_FEATHER",IF(C1150=TRUE,F1150,0),0)/100)*(1+IF(C1161=TRUE,F1161,0)/100)^5*(1+(IF(Skills!A9="BIG_BANG",Inputs!$B$18,Inputs!$B$19))/100)*(B1163*I1143)</f>
        <v/>
      </c>
      <c r="L1143">
        <f>K1143*(MIN(Inputs!$B$23+(F1156-Calc!F22),Inputs!$B$24)/100+Inputs!$B$24/100)/2</f>
        <v/>
      </c>
      <c r="M1143">
        <f>L1143*(1+(Inputs!$B$11+B1167+(F1159-Calc!F25))/100)</f>
        <v/>
      </c>
      <c r="N1143">
        <f>L1143*(1-MIN(Inputs!$B$10+((F1158-Calc!F24)+(F1157-Calc!F23)),100)/100)+M1143*(MIN(Inputs!$B$10+((F1158-Calc!F24)+(F1157-Calc!F23)),100)/100)</f>
        <v/>
      </c>
      <c r="O1143">
        <f>(1-Summary!$B$48)*S1143+Summary!$B$48*U1143</f>
        <v/>
      </c>
      <c r="P1143">
        <f>IF(B1176=0,0,O1143/B1176)</f>
        <v/>
      </c>
      <c r="Q1143">
        <f>IFERROR(1/IF(Inputs!$B$39="pvp",15,MAX(0.1,Skills!D9-IF(Skills!E9=TRUE,Inputs!$B$33,0))),0)</f>
        <v/>
      </c>
      <c r="R1143">
        <f>IF(AND(Inputs!$B$39&lt;&gt;"pvp",Inputs!$B$44&gt;0),IF(MAX(0,Inputs!$B$44-B1173)&lt;=0,0,(INT(MAX(0,Inputs!$B$44-B1173)/IF(Inputs!$B$39="pvp",15,MAX(0.1,Skills!D9-IF(Skills!E9=TRUE,Inputs!$B$33,0))))+1)),0)</f>
        <v/>
      </c>
      <c r="S1143">
        <f>IF(C1143,(H1143*N1143*IF(AND(Inputs!$B$39&lt;&gt;"pvp",Inputs!$B$44&gt;0),((Skills!F9*((R1143-1)*IF(Skills!G9&gt;0,Skills!H9/Skills!G9,1)+IF(Skills!G9&gt;0,MIN(Skills!H9,MAX(0,MAX(0,Inputs!$B$44-B1173)-((R1143-1)*IF(Inputs!$B$39="pvp",15,MAX(0.1,Skills!D9-IF(Skills!E9=TRUE,Inputs!$B$33,0))))))/Skills!G9,1)))/Inputs!$B$44),G1143*Q1143))*IF(Inputs!$B$39="pvp",1,1+(Inputs!$B$21+Skills!O9+B1164)/100),0)</f>
        <v/>
      </c>
      <c r="U1143">
        <f>IF(C1143,(H1143*N1143*IF(AND(Inputs!$B$39&lt;&gt;"pvp",Inputs!$B$44&gt;0),((Skills!F9*((R1143-1)*IF(Skills!G9&gt;0,Skills!H9/Skills!G9,1)+IF(Skills!G9&gt;0,MIN(Skills!H9,MAX(0,MAX(0,Inputs!$B$44-B1173)-((R1143-1)*IF(Inputs!$B$39="pvp",15,MAX(0.1,Skills!D9-IF(Skills!E9=TRUE,Inputs!$B$33,0))))))/Skills!G9,1)))/Inputs!$B$44),G1143*Q1143))*IF(Inputs!$B$39="pvp",1,(1+(Inputs!$B$22+Skills!P9+B1165)/100)*(MIN(Skills!Q9,Inputs!$B$38))),0)</f>
        <v/>
      </c>
    </row>
    <row r="1144">
      <c r="A1144">
        <f>Skills!A10</f>
        <v/>
      </c>
      <c r="B1144">
        <f>Skills!B10</f>
        <v/>
      </c>
      <c r="C1144">
        <f>Inputs!$B$3&gt;=66</f>
        <v/>
      </c>
      <c r="D1144">
        <f>IF(Skills!C10=1,60+Inputs!$B$26+Inputs!$B$30,IF(Skills!C10=2,90+Inputs!$B$27+Inputs!$B$30,IF(Skills!C10=3,120+Inputs!$B$28+Inputs!$B$30,MAX(0,(Inputs!$B$3-100)*3)+Inputs!$B$29+Inputs!$B$30)))</f>
        <v/>
      </c>
      <c r="E1144">
        <f>INDEX(FactorTable!$B$2:$Y$301, MATCH(ROUND(MIN(300,MAX(1,D1144)),0), FactorTable!$A$2:$A$301,0), Skills!L10+1)</f>
        <v/>
      </c>
      <c r="F1144" t="n">
        <v>0</v>
      </c>
      <c r="G1144">
        <f>Calc!G10</f>
        <v/>
      </c>
      <c r="H1144">
        <f>Calc!H10</f>
        <v/>
      </c>
      <c r="I1144">
        <f>IF(Skills!T10&lt;&gt;"",1+(Skills!T10/10)*($Z$3/1000)/100,1)</f>
        <v/>
      </c>
      <c r="J1144" t="inlineStr"/>
      <c r="K1144" t="inlineStr"/>
      <c r="L1144" t="inlineStr"/>
      <c r="M1144" t="inlineStr"/>
      <c r="N1144" t="inlineStr"/>
      <c r="O1144">
        <f>(1-Summary!$B$48)*S1144+Summary!$B$48*U1144</f>
        <v/>
      </c>
      <c r="P1144">
        <f>IF(B1176=0,0,O1144/B1176)</f>
        <v/>
      </c>
      <c r="Q1144">
        <f>IFERROR(1/IF(Inputs!$B$39="pvp",15,MAX(0.1,Skills!D10-IF(Skills!E10=TRUE,Inputs!$B$33,0))),0)</f>
        <v/>
      </c>
      <c r="R1144">
        <f>IF(AND(Inputs!$B$39&lt;&gt;"pvp",Inputs!$B$44&gt;0),IF(MAX(0,Inputs!$B$44-B1173)&lt;=0,0,(INT(MAX(0,Inputs!$B$44-B1173)/IF(Inputs!$B$39="pvp",15,MAX(0.1,Skills!D10-IF(Skills!E10=TRUE,Inputs!$B$33,0))))+1)),0)</f>
        <v/>
      </c>
      <c r="S1144" t="n">
        <v>0</v>
      </c>
      <c r="U1144" t="n">
        <v>0</v>
      </c>
    </row>
    <row r="1145">
      <c r="A1145">
        <f>Skills!A11</f>
        <v/>
      </c>
      <c r="B1145">
        <f>Skills!B11</f>
        <v/>
      </c>
      <c r="C1145">
        <f>Inputs!$B$3&gt;=69</f>
        <v/>
      </c>
      <c r="D1145">
        <f>IF(Skills!C11=1,60+Inputs!$B$26+Inputs!$B$30,IF(Skills!C11=2,90+Inputs!$B$27+Inputs!$B$30,IF(Skills!C11=3,120+Inputs!$B$28+Inputs!$B$30,MAX(0,(Inputs!$B$3-100)*3)+Inputs!$B$29+Inputs!$B$30)))</f>
        <v/>
      </c>
      <c r="E1145">
        <f>INDEX(FactorTable!$B$2:$Y$301, MATCH(ROUND(MIN(300,MAX(1,D1145)),0), FactorTable!$A$2:$A$301,0), Skills!L11+1)</f>
        <v/>
      </c>
      <c r="F1145">
        <f>IF(Skills!M11=TRUE,(Skills!K11/10)*(E1145/1000),Skills!K11/10)+Skills!N11</f>
        <v/>
      </c>
      <c r="G1145">
        <f>Calc!G11</f>
        <v/>
      </c>
      <c r="H1145">
        <f>Calc!H11</f>
        <v/>
      </c>
      <c r="I1145">
        <f>IF(Skills!T11&lt;&gt;"",1+(Skills!T11/10)*($Z$3/1000)/100,1)</f>
        <v/>
      </c>
      <c r="J1145" t="inlineStr"/>
      <c r="K1145" t="inlineStr"/>
      <c r="L1145" t="inlineStr"/>
      <c r="M1145" t="inlineStr"/>
      <c r="N1145" t="inlineStr"/>
      <c r="O1145">
        <f>(1-Summary!$B$48)*S1145+Summary!$B$48*U1145</f>
        <v/>
      </c>
      <c r="P1145">
        <f>IF(B1176=0,0,O1145/B1176)</f>
        <v/>
      </c>
      <c r="Q1145">
        <f>IFERROR(1/IF(Inputs!$B$39="pvp",15,MAX(0.1,Skills!D11-IF(Skills!E11=TRUE,Inputs!$B$33,0))),0)</f>
        <v/>
      </c>
      <c r="R1145">
        <f>IF(AND(Inputs!$B$39&lt;&gt;"pvp",Inputs!$B$44&gt;0),IF(Inputs!$B$44&lt;=0,0,(INT(Inputs!$B$44/IF(Inputs!$B$39="pvp",15,MAX(0.1,Skills!D11-IF(Skills!E11=TRUE,Inputs!$B$33,0))))+1)),0)</f>
        <v/>
      </c>
      <c r="S1145" t="n">
        <v>0</v>
      </c>
      <c r="U1145" t="n">
        <v>0</v>
      </c>
    </row>
    <row r="1146">
      <c r="A1146">
        <f>Skills!A12</f>
        <v/>
      </c>
      <c r="B1146">
        <f>Skills!B12</f>
        <v/>
      </c>
      <c r="C1146">
        <f>Inputs!$B$3&gt;=72</f>
        <v/>
      </c>
      <c r="D1146">
        <f>IF(Skills!C12=1,60+Inputs!$B$26+Inputs!$B$30,IF(Skills!C12=2,90+Inputs!$B$27+Inputs!$B$30,IF(Skills!C12=3,120+Inputs!$B$28+Inputs!$B$30,MAX(0,(Inputs!$B$3-100)*3)+Inputs!$B$29+Inputs!$B$30)))</f>
        <v/>
      </c>
      <c r="E1146">
        <f>INDEX(FactorTable!$B$2:$Y$301, MATCH(ROUND(MIN(300,MAX(1,D1146)),0), FactorTable!$A$2:$A$301,0), Skills!L12+1)</f>
        <v/>
      </c>
      <c r="F1146">
        <f>IF(Skills!M12=TRUE,(Skills!K12/10)*(E1146/1000),Skills!K12/10)+Skills!N12</f>
        <v/>
      </c>
      <c r="G1146">
        <f>Calc!G12</f>
        <v/>
      </c>
      <c r="H1146">
        <f>Calc!H12</f>
        <v/>
      </c>
      <c r="I1146">
        <f>IF(Skills!T12&lt;&gt;"",1+(Skills!T12/10)*($Z$3/1000)/100,1)</f>
        <v/>
      </c>
      <c r="J1146" t="inlineStr"/>
      <c r="K1146" t="inlineStr"/>
      <c r="L1146" t="inlineStr"/>
      <c r="M1146" t="inlineStr"/>
      <c r="N1146" t="inlineStr"/>
      <c r="O1146">
        <f>(1-Summary!$B$48)*S1146+Summary!$B$48*U1146</f>
        <v/>
      </c>
      <c r="P1146">
        <f>IF(B1176=0,0,O1146/B1176)</f>
        <v/>
      </c>
      <c r="Q1146">
        <f>IFERROR(1/IF(Inputs!$B$39="pvp",15,MAX(0.1,Skills!D12-IF(Skills!E12=TRUE,Inputs!$B$33,0))),0)</f>
        <v/>
      </c>
      <c r="R1146">
        <f>IF(AND(Inputs!$B$39&lt;&gt;"pvp",Inputs!$B$44&gt;0),IF(MAX(0,Inputs!$B$44-B1173)&lt;=0,0,(INT(MAX(0,Inputs!$B$44-B1173)/IF(Inputs!$B$39="pvp",15,MAX(0.1,Skills!D12-IF(Skills!E12=TRUE,Inputs!$B$33,0))))+1)),0)</f>
        <v/>
      </c>
      <c r="S1146" t="n">
        <v>0</v>
      </c>
      <c r="U1146" t="n">
        <v>0</v>
      </c>
    </row>
    <row r="1147">
      <c r="A1147">
        <f>Skills!A13</f>
        <v/>
      </c>
      <c r="B1147">
        <f>Skills!B13</f>
        <v/>
      </c>
      <c r="C1147">
        <f>Inputs!$B$3&gt;=60</f>
        <v/>
      </c>
      <c r="D1147">
        <f>IF(Skills!C13=1,60+Inputs!$B$26+Inputs!$B$30,IF(Skills!C13=2,90+Inputs!$B$27+Inputs!$B$30,IF(Skills!C13=3,120+Inputs!$B$28+Inputs!$B$30,MAX(0,(Inputs!$B$3-100)*3)+Inputs!$B$29+Inputs!$B$30)))</f>
        <v/>
      </c>
      <c r="E1147">
        <f>INDEX(FactorTable!$B$2:$Y$301, MATCH(ROUND(MIN(300,MAX(1,D1147)),0), FactorTable!$A$2:$A$301,0), Skills!L13+1)</f>
        <v/>
      </c>
      <c r="F1147">
        <f>IF(Skills!M13=TRUE,(Skills!K13/10)*(E1147/1000),Skills!K13/10)+Skills!N13</f>
        <v/>
      </c>
      <c r="G1147">
        <f>Calc!G13</f>
        <v/>
      </c>
      <c r="H1147">
        <f>Calc!H13</f>
        <v/>
      </c>
      <c r="I1147">
        <f>IF(Skills!T13&lt;&gt;"",1+(Skills!T13/10)*($Z$3/1000)/100,1)</f>
        <v/>
      </c>
      <c r="J1147" t="inlineStr"/>
      <c r="K1147" t="inlineStr"/>
      <c r="L1147" t="inlineStr"/>
      <c r="M1147" t="inlineStr"/>
      <c r="N1147" t="inlineStr"/>
      <c r="O1147">
        <f>(1-Summary!$B$48)*S1147+Summary!$B$48*U1147</f>
        <v/>
      </c>
      <c r="P1147">
        <f>IF(B1176=0,0,O1147/B1176)</f>
        <v/>
      </c>
      <c r="Q1147">
        <f>IFERROR(1/IF(Inputs!$B$39="pvp",15,MAX(0.1,Skills!D13-IF(Skills!E13=TRUE,Inputs!$B$33,0))),0)</f>
        <v/>
      </c>
      <c r="R1147">
        <f>IF(AND(Inputs!$B$39&lt;&gt;"pvp",Inputs!$B$44&gt;0),IF(MAX(0,Inputs!$B$44-B1173)&lt;=0,0,(INT(MAX(0,Inputs!$B$44-B1173)/IF(Inputs!$B$39="pvp",15,MAX(0.1,Skills!D13-IF(Skills!E13=TRUE,Inputs!$B$33,0))))+1)),0)</f>
        <v/>
      </c>
      <c r="S1147" t="n">
        <v>0</v>
      </c>
      <c r="U1147" t="n">
        <v>0</v>
      </c>
    </row>
    <row r="1148">
      <c r="A1148">
        <f>Skills!A14</f>
        <v/>
      </c>
      <c r="B1148">
        <f>Skills!B14</f>
        <v/>
      </c>
      <c r="C1148">
        <f>Inputs!$B$3&gt;=107</f>
        <v/>
      </c>
      <c r="D1148">
        <f>IF(Skills!C14=1,60+Inputs!$B$26+Inputs!$B$30,IF(Skills!C14=2,90+Inputs!$B$27+Inputs!$B$30,IF(Skills!C14=3,120+Inputs!$B$28+Inputs!$B$30,MAX(0,(Inputs!$B$3-100)*3)+Inputs!$B$29+Inputs!$B$30)))</f>
        <v/>
      </c>
      <c r="E1148">
        <f>INDEX(FactorTable!$B$2:$Y$301, MATCH(ROUND(MIN(300,MAX(1,D1148)),0), FactorTable!$A$2:$A$301,0), Skills!L14+1)</f>
        <v/>
      </c>
      <c r="F1148">
        <f>IF(Skills!M14=TRUE,(Skills!K14/10)*(E1148/1000),Skills!K14/10)+Skills!N14</f>
        <v/>
      </c>
      <c r="G1148">
        <f>Calc!G14</f>
        <v/>
      </c>
      <c r="H1148">
        <f>Calc!H14</f>
        <v/>
      </c>
      <c r="I1148">
        <f>IF(Skills!T14&lt;&gt;"",1+(Skills!T14/10)*($Z$3/1000)/100,1)</f>
        <v/>
      </c>
      <c r="J1148" t="inlineStr"/>
      <c r="K1148" t="inlineStr"/>
      <c r="L1148" t="inlineStr"/>
      <c r="M1148" t="inlineStr"/>
      <c r="N1148" t="inlineStr"/>
      <c r="O1148">
        <f>(1-Summary!$B$48)*S1148+Summary!$B$48*U1148</f>
        <v/>
      </c>
      <c r="P1148">
        <f>IF(B1176=0,0,O1148/B1176)</f>
        <v/>
      </c>
      <c r="Q1148">
        <f>IFERROR(1/IF(Inputs!$B$39="pvp",15,MAX(0.1,Skills!D14-IF(Skills!E14=TRUE,Inputs!$B$33,0))),0)</f>
        <v/>
      </c>
      <c r="R1148">
        <f>IF(AND(Inputs!$B$39&lt;&gt;"pvp",Inputs!$B$44&gt;0),IF(Inputs!$B$44&lt;=0,0,(INT(Inputs!$B$44/IF(Inputs!$B$39="pvp",15,MAX(0.1,Skills!D14-IF(Skills!E14=TRUE,Inputs!$B$33,0))))+1)),0)</f>
        <v/>
      </c>
      <c r="S1148" t="n">
        <v>0</v>
      </c>
      <c r="U1148" t="n">
        <v>0</v>
      </c>
    </row>
    <row r="1149">
      <c r="A1149">
        <f>Skills!A15</f>
        <v/>
      </c>
      <c r="B1149">
        <f>Skills!B15</f>
        <v/>
      </c>
      <c r="C1149">
        <f>Inputs!$B$3&gt;=63</f>
        <v/>
      </c>
      <c r="D1149">
        <f>IF(Skills!C15=1,60+Inputs!$B$26+Inputs!$B$30,IF(Skills!C15=2,90+Inputs!$B$27+Inputs!$B$30,IF(Skills!C15=3,120+Inputs!$B$28+Inputs!$B$30,MAX(0,(Inputs!$B$3-100)*3)+Inputs!$B$29+Inputs!$B$30)))</f>
        <v/>
      </c>
      <c r="E1149">
        <f>INDEX(FactorTable!$B$2:$Y$301, MATCH(ROUND(MIN(300,MAX(1,D1149)),0), FactorTable!$A$2:$A$301,0), Skills!L15+1)</f>
        <v/>
      </c>
      <c r="F1149">
        <f>IF(Skills!M15=TRUE,(Skills!K15/10)*(E1149/1000),Skills!K15/10)+Skills!N15</f>
        <v/>
      </c>
      <c r="G1149">
        <f>Calc!G15</f>
        <v/>
      </c>
      <c r="H1149">
        <f>Calc!H15</f>
        <v/>
      </c>
      <c r="I1149">
        <f>IF(Skills!T15&lt;&gt;"",1+(Skills!T15/10)*($Z$3/1000)/100,1)</f>
        <v/>
      </c>
      <c r="J1149">
        <f>((Inputs!$B$6*(1+Inputs!$B$7/100))+(((Inputs!$B$13*(1+Inputs!$B$14/100))-(Inputs!$B$13*(1+Inputs!$B$14/100)))+0.25*(Inputs!$B$15-Inputs!$B$15))*(1+Inputs!$B$7/100))*(F1149/100)</f>
        <v/>
      </c>
      <c r="K1149">
        <f>J1149*(1+(((Inputs!$B$13+IF(Inputs!$B$3&gt;=35,(10*INDEX(FactorTable!$B$2:$Y$301, MATCH(ROUND(MIN(300,MAX(1,Inputs!$B$3)),0), FactorTable!$A$2:$A$301,0), 23)/1000)/100*(Inputs!$B$8*(1+(Inputs!$B$9+B1172)/100)),0))*(1+Inputs!$B$14/100))*0.01+Inputs!$B$15*0.0025)/100)*(1+(Inputs!$B$16+B1166)/100)*(1+Inputs!$B$17/100)*(5000/(6000+Inputs!$B$43*(1-Inputs!$B$20/100)))*(1+Inputs!$B$25/100)*(1+IF(C1152=TRUE,F1152,0)/100)*(1+IF(C1154=TRUE,F1154,0)/100)*(1+IF(Skills!A15="TRIUMPH_FEATHER",IF(C1150=TRUE,F1150,0),0)/100)*(1+IF(C1161=TRUE,F1161,0)/100)^5*(1+(IF(Skills!A15="BIG_BANG",Inputs!$B$18,Inputs!$B$19))/100)*(B1163*I1149)</f>
        <v/>
      </c>
      <c r="L1149">
        <f>K1149*(MIN(Inputs!$B$23+(F1156-Calc!F22),Inputs!$B$24)/100+Inputs!$B$24/100)/2</f>
        <v/>
      </c>
      <c r="M1149">
        <f>L1149*(1+(Inputs!$B$11+B1167+(F1159-Calc!F25))/100)</f>
        <v/>
      </c>
      <c r="N1149">
        <f>L1149*(1-MIN(Inputs!$B$10+((F1158-Calc!F24)+(F1157-Calc!F23)),100)/100)+M1149*(MIN(Inputs!$B$10+((F1158-Calc!F24)+(F1157-Calc!F23)),100)/100)</f>
        <v/>
      </c>
      <c r="O1149">
        <f>(1-Summary!$B$48)*S1149+Summary!$B$48*U1149</f>
        <v/>
      </c>
      <c r="P1149">
        <f>IF(B1176=0,0,O1149/B1176)</f>
        <v/>
      </c>
      <c r="Q1149">
        <f>IFERROR(1/IF(Inputs!$B$39="pvp",15,MAX(0.1,Skills!D15-IF(Skills!E15=TRUE,Inputs!$B$33,0))),0)</f>
        <v/>
      </c>
      <c r="R1149" t="n">
        <v>0</v>
      </c>
      <c r="S1149">
        <f>IF(C1149,(Skills!F15*N1149*((IF(Inputs!$B$3&gt;=78,25,15)/100*B1169*10)/(1+IF(Inputs!$B$3&gt;=78,25,15)/100*B1169*10))*(Skills!I15/100*B1169)/(1+Skills!G15*Skills!I15/100*B1169))*IF(Inputs!$B$39="pvp",1,1+(Inputs!$B$21+Skills!O15+B1164)/100),0)</f>
        <v/>
      </c>
      <c r="U1149">
        <f>IF(C1149,(Skills!F15*N1149*((IF(Inputs!$B$3&gt;=78,25,15)/100*B1169*10)/(1+IF(Inputs!$B$3&gt;=78,25,15)/100*B1169*10))*(Skills!I15/100*B1169)/(1+Skills!G15*Skills!I15/100*B1169))*IF(Inputs!$B$39="pvp",1,(1+(Inputs!$B$22+Skills!P15+B1165)/100)*(MIN(Skills!Q15,Inputs!$B$38))),0)</f>
        <v/>
      </c>
    </row>
    <row r="1150">
      <c r="A1150">
        <f>Skills!A16</f>
        <v/>
      </c>
      <c r="B1150">
        <f>Skills!B16</f>
        <v/>
      </c>
      <c r="C1150">
        <f>Inputs!$B$3&gt;=100</f>
        <v/>
      </c>
      <c r="D1150">
        <f>IF(Skills!C16=1,60+Inputs!$B$26+Inputs!$B$30,IF(Skills!C16=2,90+Inputs!$B$27+Inputs!$B$30,IF(Skills!C16=3,120+Inputs!$B$28+Inputs!$B$30,MAX(0,(Inputs!$B$3-100)*3)+Inputs!$B$29+Inputs!$B$30)))</f>
        <v/>
      </c>
      <c r="E1150">
        <f>INDEX(FactorTable!$B$2:$Y$301, MATCH(ROUND(MIN(300,MAX(1,D1150)),0), FactorTable!$A$2:$A$301,0), Skills!L16+1)</f>
        <v/>
      </c>
      <c r="F1150">
        <f>IF(Skills!M16=TRUE,(Skills!K16/10)*(E1150/1000),Skills!K16/10)+Skills!N16</f>
        <v/>
      </c>
      <c r="G1150">
        <f>Calc!G16</f>
        <v/>
      </c>
      <c r="H1150">
        <f>Calc!H16</f>
        <v/>
      </c>
      <c r="I1150">
        <f>IF(Skills!T16&lt;&gt;"",1+(Skills!T16/10)*($Z$3/1000)/100,1)</f>
        <v/>
      </c>
      <c r="J1150" t="inlineStr"/>
      <c r="K1150" t="inlineStr"/>
      <c r="L1150" t="inlineStr"/>
      <c r="M1150" t="inlineStr"/>
      <c r="N1150" t="inlineStr"/>
      <c r="O1150">
        <f>(1-Summary!$B$48)*S1150+Summary!$B$48*U1150</f>
        <v/>
      </c>
      <c r="P1150">
        <f>IF(B1176=0,0,O1150/B1176)</f>
        <v/>
      </c>
      <c r="Q1150">
        <f>IFERROR(1/IF(Inputs!$B$39="pvp",15,MAX(0.1,Skills!D16-IF(Skills!E16=TRUE,Inputs!$B$33,0))),0)</f>
        <v/>
      </c>
      <c r="R1150" t="n">
        <v>0</v>
      </c>
      <c r="S1150" t="n">
        <v>0</v>
      </c>
      <c r="U1150" t="n">
        <v>0</v>
      </c>
    </row>
    <row r="1151">
      <c r="A1151">
        <f>Skills!A17</f>
        <v/>
      </c>
      <c r="B1151">
        <f>Skills!B17</f>
        <v/>
      </c>
      <c r="C1151">
        <f>Inputs!$B$3&gt;=49</f>
        <v/>
      </c>
      <c r="D1151">
        <f>IF(Skills!C17=1,60+Inputs!$B$26+Inputs!$B$30,IF(Skills!C17=2,90+Inputs!$B$27+Inputs!$B$30,IF(Skills!C17=3,120+Inputs!$B$28+Inputs!$B$30,MAX(0,(Inputs!$B$3-100)*3)+Inputs!$B$29+Inputs!$B$30)))</f>
        <v/>
      </c>
      <c r="E1151">
        <f>INDEX(FactorTable!$B$2:$Y$301, MATCH(ROUND(MIN(300,MAX(1,D1151)),0), FactorTable!$A$2:$A$301,0), Skills!L17+1)</f>
        <v/>
      </c>
      <c r="F1151">
        <f>IF(Skills!M17=TRUE,(Skills!K17/10)*(E1151/1000),Skills!K17/10)+Skills!N17</f>
        <v/>
      </c>
      <c r="G1151">
        <f>Calc!G17</f>
        <v/>
      </c>
      <c r="H1151">
        <f>Calc!H17</f>
        <v/>
      </c>
      <c r="I1151">
        <f>IF(Skills!T17&lt;&gt;"",1+(Skills!T17/10)*($Z$3/1000)/100,1)</f>
        <v/>
      </c>
      <c r="J1151" t="inlineStr"/>
      <c r="K1151" t="inlineStr"/>
      <c r="L1151" t="inlineStr"/>
      <c r="M1151" t="inlineStr"/>
      <c r="N1151" t="inlineStr"/>
      <c r="O1151">
        <f>(1-Summary!$B$48)*S1151+Summary!$B$48*U1151</f>
        <v/>
      </c>
      <c r="P1151">
        <f>IF(B1176=0,0,O1151/B1176)</f>
        <v/>
      </c>
      <c r="Q1151">
        <f>IFERROR(1/IF(Inputs!$B$39="pvp",15,MAX(0.1,Skills!D17-IF(Skills!E17=TRUE,Inputs!$B$33,0))),0)</f>
        <v/>
      </c>
      <c r="R1151" t="n">
        <v>0</v>
      </c>
      <c r="S1151" t="n">
        <v>0</v>
      </c>
      <c r="U1151" t="n">
        <v>0</v>
      </c>
    </row>
    <row r="1152">
      <c r="A1152">
        <f>Skills!A18</f>
        <v/>
      </c>
      <c r="B1152">
        <f>Skills!B18</f>
        <v/>
      </c>
      <c r="C1152">
        <f>Inputs!$B$3&gt;=75</f>
        <v/>
      </c>
      <c r="D1152">
        <f>IF(Skills!C18=1,60+Inputs!$B$26+Inputs!$B$30,IF(Skills!C18=2,90+Inputs!$B$27+Inputs!$B$30,IF(Skills!C18=3,120+Inputs!$B$28+Inputs!$B$30,MAX(0,(Inputs!$B$3-100)*3)+Inputs!$B$29+Inputs!$B$30)))</f>
        <v/>
      </c>
      <c r="E1152">
        <f>INDEX(FactorTable!$B$2:$Y$301, MATCH(ROUND(MIN(300,MAX(1,D1152)),0), FactorTable!$A$2:$A$301,0), Skills!L18+1)</f>
        <v/>
      </c>
      <c r="F1152">
        <f>IF(Skills!M18=TRUE,(Skills!K18/10)*(E1152/1000),Skills!K18/10)+Skills!N18</f>
        <v/>
      </c>
      <c r="G1152">
        <f>Calc!G18</f>
        <v/>
      </c>
      <c r="H1152">
        <f>Calc!H18</f>
        <v/>
      </c>
      <c r="I1152">
        <f>IF(Skills!T18&lt;&gt;"",1+(Skills!T18/10)*($Z$3/1000)/100,1)</f>
        <v/>
      </c>
      <c r="J1152" t="inlineStr"/>
      <c r="K1152" t="inlineStr"/>
      <c r="L1152" t="inlineStr"/>
      <c r="M1152" t="inlineStr"/>
      <c r="N1152" t="inlineStr"/>
      <c r="O1152">
        <f>(1-Summary!$B$48)*S1152+Summary!$B$48*U1152</f>
        <v/>
      </c>
      <c r="P1152">
        <f>IF(B1176=0,0,O1152/B1176)</f>
        <v/>
      </c>
      <c r="Q1152">
        <f>IFERROR(1/IF(Inputs!$B$39="pvp",15,MAX(0.1,Skills!D18-IF(Skills!E18=TRUE,Inputs!$B$33,0))),0)</f>
        <v/>
      </c>
      <c r="R1152" t="n">
        <v>0</v>
      </c>
      <c r="S1152" t="n">
        <v>0</v>
      </c>
      <c r="U1152" t="n">
        <v>0</v>
      </c>
    </row>
    <row r="1153">
      <c r="A1153">
        <f>Skills!A19</f>
        <v/>
      </c>
      <c r="B1153">
        <f>Skills!B19</f>
        <v/>
      </c>
      <c r="C1153">
        <f>Inputs!$B$3&gt;=110</f>
        <v/>
      </c>
      <c r="D1153">
        <f>IF(Skills!C19=1,60+Inputs!$B$26+Inputs!$B$30,IF(Skills!C19=2,90+Inputs!$B$27+Inputs!$B$30,IF(Skills!C19=3,120+Inputs!$B$28+Inputs!$B$30,MAX(0,(Inputs!$B$3-100)*3)+Inputs!$B$29+Inputs!$B$30)))</f>
        <v/>
      </c>
      <c r="E1153">
        <f>INDEX(FactorTable!$B$2:$Y$301, MATCH(ROUND(MIN(300,MAX(1,D1153)),0), FactorTable!$A$2:$A$301,0), Skills!L19+1)</f>
        <v/>
      </c>
      <c r="F1153">
        <f>(Skills!K19/10)*(E1153/1000)*64/45+Skills!N19</f>
        <v/>
      </c>
      <c r="G1153">
        <f>Calc!G19</f>
        <v/>
      </c>
      <c r="H1153">
        <f>Calc!H19</f>
        <v/>
      </c>
      <c r="I1153">
        <f>IF(Skills!T19&lt;&gt;"",1+(Skills!T19/10)*($Z$3/1000)/100,1)</f>
        <v/>
      </c>
      <c r="J1153" t="inlineStr"/>
      <c r="K1153" t="inlineStr"/>
      <c r="L1153" t="inlineStr"/>
      <c r="M1153" t="inlineStr"/>
      <c r="N1153" t="inlineStr"/>
      <c r="O1153">
        <f>(1-Summary!$B$48)*S1153+Summary!$B$48*U1153</f>
        <v/>
      </c>
      <c r="P1153">
        <f>IF(B1176=0,0,O1153/B1176)</f>
        <v/>
      </c>
      <c r="Q1153">
        <f>IFERROR(1/IF(Inputs!$B$39="pvp",15,MAX(0.1,Skills!D19-IF(Skills!E19=TRUE,Inputs!$B$33,0))),0)</f>
        <v/>
      </c>
      <c r="R1153">
        <f>IF(AND(Inputs!$B$39&lt;&gt;"pvp",Inputs!$B$44&gt;0),IF(Inputs!$B$44&lt;=0,0,(INT(Inputs!$B$44/IF(Inputs!$B$39="pvp",15,MAX(0.1,Skills!D19-IF(Skills!E19=TRUE,Inputs!$B$33,0))))+1)),0)</f>
        <v/>
      </c>
      <c r="S1153" t="n">
        <v>0</v>
      </c>
      <c r="U1153" t="n">
        <v>0</v>
      </c>
    </row>
    <row r="1154">
      <c r="A1154">
        <f>Skills!A20</f>
        <v/>
      </c>
      <c r="B1154">
        <f>Skills!B20</f>
        <v/>
      </c>
      <c r="C1154">
        <f>Inputs!$B$3&gt;=125</f>
        <v/>
      </c>
      <c r="D1154">
        <f>IF(Skills!C20=1,60+Inputs!$B$26+Inputs!$B$30,IF(Skills!C20=2,90+Inputs!$B$27+Inputs!$B$30,IF(Skills!C20=3,120+Inputs!$B$28+Inputs!$B$30,MAX(0,(Inputs!$B$3-100)*3)+Inputs!$B$29+Inputs!$B$30)))</f>
        <v/>
      </c>
      <c r="E1154">
        <f>INDEX(FactorTable!$B$2:$Y$301, MATCH(ROUND(MIN(300,MAX(1,D1154)),0), FactorTable!$A$2:$A$301,0), Skills!L20+1)</f>
        <v/>
      </c>
      <c r="F1154">
        <f>IF(Skills!M20=TRUE,(Skills!K20/10)*(E1154/1000),Skills!K20/10)+Skills!N20</f>
        <v/>
      </c>
      <c r="G1154">
        <f>Calc!G20</f>
        <v/>
      </c>
      <c r="H1154">
        <f>Calc!H20</f>
        <v/>
      </c>
      <c r="I1154">
        <f>IF(Skills!T20&lt;&gt;"",1+(Skills!T20/10)*($Z$3/1000)/100,1)</f>
        <v/>
      </c>
      <c r="J1154" t="inlineStr"/>
      <c r="K1154" t="inlineStr"/>
      <c r="L1154" t="inlineStr"/>
      <c r="M1154" t="inlineStr"/>
      <c r="N1154" t="inlineStr"/>
      <c r="O1154">
        <f>(1-Summary!$B$48)*S1154+Summary!$B$48*U1154</f>
        <v/>
      </c>
      <c r="P1154">
        <f>IF(B1176=0,0,O1154/B1176)</f>
        <v/>
      </c>
      <c r="Q1154">
        <f>IFERROR(1/IF(Inputs!$B$39="pvp",15,MAX(0.1,Skills!D20-IF(Skills!E20=TRUE,Inputs!$B$33,0))),0)</f>
        <v/>
      </c>
      <c r="R1154" t="n">
        <v>0</v>
      </c>
      <c r="S1154" t="n">
        <v>0</v>
      </c>
      <c r="U1154" t="n">
        <v>0</v>
      </c>
    </row>
    <row r="1155">
      <c r="A1155">
        <f>Skills!A21</f>
        <v/>
      </c>
      <c r="B1155">
        <f>Skills!B21</f>
        <v/>
      </c>
      <c r="C1155">
        <f>Inputs!$B$3&gt;=33</f>
        <v/>
      </c>
      <c r="D1155">
        <f>IF(Skills!C21=1,60+Inputs!$B$26+Inputs!$B$30,IF(Skills!C21=2,90+Inputs!$B$27+Inputs!$B$30,IF(Skills!C21=3,120+Inputs!$B$28+Inputs!$B$30,MAX(0,(Inputs!$B$3-100)*3)+Inputs!$B$29+Inputs!$B$30)))</f>
        <v/>
      </c>
      <c r="E1155">
        <f>INDEX(FactorTable!$B$2:$Y$301, MATCH(ROUND(MIN(300,MAX(1,D1155)),0), FactorTable!$A$2:$A$301,0), Skills!L21+1)</f>
        <v/>
      </c>
      <c r="F1155">
        <f>IF(Skills!M21=TRUE,(Skills!K21/10)*(E1155/1000),Skills!K21/10)+Skills!N21</f>
        <v/>
      </c>
      <c r="G1155">
        <f>Calc!G21</f>
        <v/>
      </c>
      <c r="H1155">
        <f>Calc!H21</f>
        <v/>
      </c>
      <c r="I1155">
        <f>IF(Skills!T21&lt;&gt;"",1+(Skills!T21/10)*($Z$3/1000)/100,1)</f>
        <v/>
      </c>
      <c r="J1155" t="inlineStr"/>
      <c r="K1155" t="inlineStr"/>
      <c r="L1155" t="inlineStr"/>
      <c r="M1155" t="inlineStr"/>
      <c r="N1155" t="inlineStr"/>
      <c r="O1155">
        <f>(1-Summary!$B$48)*S1155+Summary!$B$48*U1155</f>
        <v/>
      </c>
      <c r="P1155">
        <f>IF(B1176=0,0,O1155/B1176)</f>
        <v/>
      </c>
      <c r="Q1155">
        <f>IFERROR(1/IF(Inputs!$B$39="pvp",15,MAX(0.1,Skills!D21-IF(Skills!E21=TRUE,Inputs!$B$33,0))),0)</f>
        <v/>
      </c>
      <c r="R1155" t="n">
        <v>0</v>
      </c>
      <c r="S1155" t="n">
        <v>0</v>
      </c>
      <c r="U1155" t="n">
        <v>0</v>
      </c>
    </row>
    <row r="1156">
      <c r="A1156">
        <f>Skills!A22</f>
        <v/>
      </c>
      <c r="B1156">
        <f>Skills!B22</f>
        <v/>
      </c>
      <c r="C1156">
        <f>Inputs!$B$3&gt;=43</f>
        <v/>
      </c>
      <c r="D1156">
        <f>IF(Skills!C22=1,60+Inputs!$B$26+Inputs!$B$30,IF(Skills!C22=2,90+Inputs!$B$27+Inputs!$B$30,IF(Skills!C22=3,120+Inputs!$B$28+Inputs!$B$30,MAX(0,(Inputs!$B$3-100)*3)+Inputs!$B$29+Inputs!$B$30)))</f>
        <v/>
      </c>
      <c r="E1156">
        <f>INDEX(FactorTable!$B$2:$Y$301, MATCH(ROUND(MIN(300,MAX(1,D1156)),0), FactorTable!$A$2:$A$301,0), Skills!L22+1)</f>
        <v/>
      </c>
      <c r="F1156">
        <f>IF(Skills!M22=TRUE,(Skills!K22/10)*(E1156/1000),Skills!K22/10)+Skills!N22</f>
        <v/>
      </c>
      <c r="G1156">
        <f>Calc!G22</f>
        <v/>
      </c>
      <c r="H1156">
        <f>Calc!H22</f>
        <v/>
      </c>
      <c r="I1156">
        <f>IF(Skills!T22&lt;&gt;"",1+(Skills!T22/10)*($Z$3/1000)/100,1)</f>
        <v/>
      </c>
      <c r="J1156" t="inlineStr"/>
      <c r="K1156" t="inlineStr"/>
      <c r="L1156" t="inlineStr"/>
      <c r="M1156" t="inlineStr"/>
      <c r="N1156" t="inlineStr"/>
      <c r="O1156">
        <f>(1-Summary!$B$48)*S1156+Summary!$B$48*U1156</f>
        <v/>
      </c>
      <c r="P1156">
        <f>IF(B1176=0,0,O1156/B1176)</f>
        <v/>
      </c>
      <c r="Q1156">
        <f>IFERROR(1/IF(Inputs!$B$39="pvp",15,MAX(0.1,Skills!D22-IF(Skills!E22=TRUE,Inputs!$B$33,0))),0)</f>
        <v/>
      </c>
      <c r="R1156" t="n">
        <v>0</v>
      </c>
      <c r="S1156" t="n">
        <v>0</v>
      </c>
      <c r="U1156" t="n">
        <v>0</v>
      </c>
    </row>
    <row r="1157">
      <c r="A1157">
        <f>Skills!A23</f>
        <v/>
      </c>
      <c r="B1157">
        <f>Skills!B23</f>
        <v/>
      </c>
      <c r="C1157">
        <f>Inputs!$B$3&gt;=50</f>
        <v/>
      </c>
      <c r="D1157">
        <f>IF(Skills!C23=1,60+Inputs!$B$26+Inputs!$B$30,IF(Skills!C23=2,90+Inputs!$B$27+Inputs!$B$30,IF(Skills!C23=3,120+Inputs!$B$28+Inputs!$B$30,MAX(0,(Inputs!$B$3-100)*3)+Inputs!$B$29+Inputs!$B$30)))</f>
        <v/>
      </c>
      <c r="E1157">
        <f>INDEX(FactorTable!$B$2:$Y$301, MATCH(ROUND(MIN(300,MAX(1,D1157)),0), FactorTable!$A$2:$A$301,0), Skills!L23+1)</f>
        <v/>
      </c>
      <c r="F1157">
        <f>IF(Skills!M23=TRUE,(Skills!K23/10)*(E1157/1000),Skills!K23/10)+Skills!N23</f>
        <v/>
      </c>
      <c r="G1157">
        <f>Calc!G23</f>
        <v/>
      </c>
      <c r="H1157">
        <f>Calc!H23</f>
        <v/>
      </c>
      <c r="I1157">
        <f>IF(Skills!T23&lt;&gt;"",1+(Skills!T23/10)*($Z$3/1000)/100,1)</f>
        <v/>
      </c>
      <c r="J1157" t="inlineStr"/>
      <c r="K1157" t="inlineStr"/>
      <c r="L1157" t="inlineStr"/>
      <c r="M1157" t="inlineStr"/>
      <c r="N1157" t="inlineStr"/>
      <c r="O1157">
        <f>(1-Summary!$B$48)*S1157+Summary!$B$48*U1157</f>
        <v/>
      </c>
      <c r="P1157">
        <f>IF(B1176=0,0,O1157/B1176)</f>
        <v/>
      </c>
      <c r="Q1157">
        <f>IFERROR(1/IF(Inputs!$B$39="pvp",15,MAX(0.1,Skills!D23-IF(Skills!E23=TRUE,Inputs!$B$33,0))),0)</f>
        <v/>
      </c>
      <c r="R1157" t="n">
        <v>0</v>
      </c>
      <c r="S1157" t="n">
        <v>0</v>
      </c>
      <c r="U1157" t="n">
        <v>0</v>
      </c>
    </row>
    <row r="1158">
      <c r="A1158">
        <f>Skills!A24</f>
        <v/>
      </c>
      <c r="B1158">
        <f>Skills!B24</f>
        <v/>
      </c>
      <c r="C1158">
        <f>Inputs!$B$3&gt;=74</f>
        <v/>
      </c>
      <c r="D1158">
        <f>IF(Skills!C24=1,60+Inputs!$B$26+Inputs!$B$30,IF(Skills!C24=2,90+Inputs!$B$27+Inputs!$B$30,IF(Skills!C24=3,120+Inputs!$B$28+Inputs!$B$30,MAX(0,(Inputs!$B$3-100)*3)+Inputs!$B$29+Inputs!$B$30)))</f>
        <v/>
      </c>
      <c r="E1158">
        <f>INDEX(FactorTable!$B$2:$Y$301, MATCH(ROUND(MIN(300,MAX(1,D1158)),0), FactorTable!$A$2:$A$301,0), Skills!L24+1)</f>
        <v/>
      </c>
      <c r="F1158">
        <f>IF(Skills!M24=TRUE,(Skills!K24/10)*(E1158/1000),Skills!K24/10)+Skills!N24</f>
        <v/>
      </c>
      <c r="G1158">
        <f>Calc!G24</f>
        <v/>
      </c>
      <c r="H1158">
        <f>Calc!H24</f>
        <v/>
      </c>
      <c r="I1158">
        <f>IF(Skills!T24&lt;&gt;"",1+(Skills!T24/10)*($Z$3/1000)/100,1)</f>
        <v/>
      </c>
      <c r="J1158" t="inlineStr"/>
      <c r="K1158" t="inlineStr"/>
      <c r="L1158" t="inlineStr"/>
      <c r="M1158" t="inlineStr"/>
      <c r="N1158" t="inlineStr"/>
      <c r="O1158">
        <f>(1-Summary!$B$48)*S1158+Summary!$B$48*U1158</f>
        <v/>
      </c>
      <c r="P1158">
        <f>IF(B1176=0,0,O1158/B1176)</f>
        <v/>
      </c>
      <c r="Q1158">
        <f>IFERROR(1/IF(Inputs!$B$39="pvp",15,MAX(0.1,Skills!D24-IF(Skills!E24=TRUE,Inputs!$B$33,0))),0)</f>
        <v/>
      </c>
      <c r="R1158" t="n">
        <v>0</v>
      </c>
      <c r="S1158" t="n">
        <v>0</v>
      </c>
      <c r="U1158" t="n">
        <v>0</v>
      </c>
    </row>
    <row r="1159">
      <c r="A1159">
        <f>Skills!A25</f>
        <v/>
      </c>
      <c r="B1159">
        <f>Skills!B25</f>
        <v/>
      </c>
      <c r="C1159">
        <f>Inputs!$B$3&gt;=74</f>
        <v/>
      </c>
      <c r="D1159">
        <f>IF(Skills!C25=1,60+Inputs!$B$26+Inputs!$B$30,IF(Skills!C25=2,90+Inputs!$B$27+Inputs!$B$30,IF(Skills!C25=3,120+Inputs!$B$28+Inputs!$B$30,MAX(0,(Inputs!$B$3-100)*3)+Inputs!$B$29+Inputs!$B$30)))</f>
        <v/>
      </c>
      <c r="E1159">
        <f>INDEX(FactorTable!$B$2:$Y$301, MATCH(ROUND(MIN(300,MAX(1,D1159)),0), FactorTable!$A$2:$A$301,0), Skills!L25+1)</f>
        <v/>
      </c>
      <c r="F1159">
        <f>IF(Skills!M25=TRUE,(Skills!K25/10)*(E1159/1000),Skills!K25/10)+Skills!N25</f>
        <v/>
      </c>
      <c r="G1159">
        <f>Calc!G25</f>
        <v/>
      </c>
      <c r="H1159">
        <f>Calc!H25</f>
        <v/>
      </c>
      <c r="I1159">
        <f>IF(Skills!T25&lt;&gt;"",1+(Skills!T25/10)*($Z$3/1000)/100,1)</f>
        <v/>
      </c>
      <c r="J1159" t="inlineStr"/>
      <c r="K1159" t="inlineStr"/>
      <c r="L1159" t="inlineStr"/>
      <c r="M1159" t="inlineStr"/>
      <c r="N1159" t="inlineStr"/>
      <c r="O1159">
        <f>(1-Summary!$B$48)*S1159+Summary!$B$48*U1159</f>
        <v/>
      </c>
      <c r="P1159">
        <f>IF(B1176=0,0,O1159/B1176)</f>
        <v/>
      </c>
      <c r="Q1159">
        <f>IFERROR(1/IF(Inputs!$B$39="pvp",15,MAX(0.1,Skills!D25-IF(Skills!E25=TRUE,Inputs!$B$33,0))),0)</f>
        <v/>
      </c>
      <c r="R1159" t="n">
        <v>0</v>
      </c>
      <c r="S1159" t="n">
        <v>0</v>
      </c>
      <c r="U1159" t="n">
        <v>0</v>
      </c>
    </row>
    <row r="1160">
      <c r="A1160">
        <f>Skills!A26</f>
        <v/>
      </c>
      <c r="B1160">
        <f>Skills!B26</f>
        <v/>
      </c>
      <c r="C1160">
        <f>Inputs!$B$3&gt;=117</f>
        <v/>
      </c>
      <c r="D1160">
        <f>IF(Skills!C26=1,60+Inputs!$B$26+Inputs!$B$30,IF(Skills!C26=2,90+Inputs!$B$27+Inputs!$B$30,IF(Skills!C26=3,120+Inputs!$B$28+Inputs!$B$30,MAX(0,(Inputs!$B$3-100)*3)+Inputs!$B$29+Inputs!$B$30)))</f>
        <v/>
      </c>
      <c r="E1160">
        <f>INDEX(FactorTable!$B$2:$Y$301, MATCH(ROUND(MIN(300,MAX(1,D1160)),0), FactorTable!$A$2:$A$301,0), Skills!L26+1)</f>
        <v/>
      </c>
      <c r="F1160">
        <f>IF(Skills!M26=TRUE,(Skills!K26/10)*(E1160/1000),Skills!K26/10)+Skills!N26</f>
        <v/>
      </c>
      <c r="G1160">
        <f>Calc!G26</f>
        <v/>
      </c>
      <c r="H1160">
        <f>Calc!H26</f>
        <v/>
      </c>
      <c r="I1160">
        <f>IF(Skills!T26&lt;&gt;"",1+(Skills!T26/10)*($Z$3/1000)/100,1)</f>
        <v/>
      </c>
      <c r="J1160" t="inlineStr"/>
      <c r="K1160" t="inlineStr"/>
      <c r="L1160" t="inlineStr"/>
      <c r="M1160" t="inlineStr"/>
      <c r="N1160" t="inlineStr"/>
      <c r="O1160">
        <f>(1-Summary!$B$48)*S1160+Summary!$B$48*U1160</f>
        <v/>
      </c>
      <c r="P1160">
        <f>IF(B1176=0,0,O1160/B1176)</f>
        <v/>
      </c>
      <c r="Q1160">
        <f>IFERROR(1/IF(Inputs!$B$39="pvp",15,MAX(0.1,Skills!D26-IF(Skills!E26=TRUE,Inputs!$B$33,0))),0)</f>
        <v/>
      </c>
      <c r="R1160" t="n">
        <v>0</v>
      </c>
      <c r="S1160" t="n">
        <v>0</v>
      </c>
      <c r="U1160" t="n">
        <v>0</v>
      </c>
    </row>
    <row r="1161">
      <c r="A1161">
        <f>Skills!A27</f>
        <v/>
      </c>
      <c r="B1161">
        <f>Skills!B27</f>
        <v/>
      </c>
      <c r="C1161">
        <f>Inputs!$B$3&gt;=120</f>
        <v/>
      </c>
      <c r="D1161">
        <f>IF(Skills!C27=1,60+Inputs!$B$26+Inputs!$B$30,IF(Skills!C27=2,90+Inputs!$B$27+Inputs!$B$30,IF(Skills!C27=3,120+Inputs!$B$28+Inputs!$B$30,MAX(0,(Inputs!$B$3-100)*3)+Inputs!$B$29+Inputs!$B$30)))</f>
        <v/>
      </c>
      <c r="E1161">
        <f>INDEX(FactorTable!$B$2:$Y$301, MATCH(ROUND(MIN(300,MAX(1,D1161)),0), FactorTable!$A$2:$A$301,0), Skills!L27+1)</f>
        <v/>
      </c>
      <c r="F1161">
        <f>IF(Skills!M27=TRUE,(Skills!K27/10)*(E1161/1000),Skills!K27/10)+Skills!N27</f>
        <v/>
      </c>
      <c r="G1161">
        <f>Calc!G27</f>
        <v/>
      </c>
      <c r="H1161">
        <f>Calc!H27</f>
        <v/>
      </c>
      <c r="I1161">
        <f>IF(Skills!T27&lt;&gt;"",1+(Skills!T27/10)*($Z$3/1000)/100,1)</f>
        <v/>
      </c>
      <c r="J1161" t="inlineStr"/>
      <c r="K1161" t="inlineStr"/>
      <c r="L1161" t="inlineStr"/>
      <c r="M1161" t="inlineStr"/>
      <c r="N1161" t="inlineStr"/>
      <c r="O1161">
        <f>(1-Summary!$B$48)*S1161+Summary!$B$48*U1161</f>
        <v/>
      </c>
      <c r="P1161">
        <f>IF(B1176=0,0,O1161/B1176)</f>
        <v/>
      </c>
      <c r="Q1161">
        <f>IFERROR(1/IF(Inputs!$B$39="pvp",15,MAX(0.1,Skills!D27-IF(Skills!E27=TRUE,Inputs!$B$33,0))),0)</f>
        <v/>
      </c>
      <c r="R1161" t="n">
        <v>0</v>
      </c>
      <c r="S1161" t="n">
        <v>0</v>
      </c>
      <c r="U1161" t="n">
        <v>0</v>
      </c>
    </row>
    <row r="1163">
      <c r="A1163" t="inlineStr">
        <is>
          <t>Average Buff Multiplier</t>
        </is>
      </c>
      <c r="B1163">
        <f>(1+(IF(C1137=TRUE,F1137*IF(AND(Inputs!$B$39&lt;&gt;"pvp",Inputs!$B$44&gt;0),(((R1137-1)*(Skills!S3*(1+(Inputs!$B$35+IF(Inputs!$B$3&gt;=117,F1160,0))/100))+MIN((Skills!S3*(1+(Inputs!$B$35+IF(Inputs!$B$3&gt;=117,F1160,0))/100)),MAX(0,Inputs!$B$44-((R1137-1)*Skills!D3))))/Inputs!$B$44),IF(Inputs!$B$39="pvp",MIN((Skills!S3*(1+(Inputs!$B$35+IF(Inputs!$B$3&gt;=117,F1160,0))/100)),15)/15,(Skills!S3*(1+(Inputs!$B$35+IF(Inputs!$B$3&gt;=117,F1160,0))/100))/Skills!D3)),0)+IF(C1138=TRUE,F1138*IF(AND(Inputs!$B$39&lt;&gt;"pvp",Inputs!$B$44&gt;0),(((R1138-1)*(Skills!S4*(1+(Inputs!$B$35+IF(Inputs!$B$3&gt;=117,F1160,0))/100))+MIN((Skills!S4*(1+(Inputs!$B$35+IF(Inputs!$B$3&gt;=117,F1160,0))/100)),MAX(0,Inputs!$B$44-((R1138-1)*Skills!D4))))/Inputs!$B$44),IF(Inputs!$B$39="pvp",MIN((Skills!S4*(1+(Inputs!$B$35+IF(Inputs!$B$3&gt;=117,F1160,0))/100)),15)/15,(Skills!S4*(1+(Inputs!$B$35+IF(Inputs!$B$3&gt;=117,F1160,0))/100))/Skills!D4)),0)+IF(C1139=TRUE,F1139*IF(AND(Inputs!$B$39&lt;&gt;"pvp",Inputs!$B$44&gt;0),(((R1139-1)*(Skills!S5*(1+(Inputs!$B$35+IF(Inputs!$B$3&gt;=117,F1160,0))/100))+MIN((Skills!S5*(1+(Inputs!$B$35+IF(Inputs!$B$3&gt;=117,F1160,0))/100)),MAX(0,Inputs!$B$44-((R1139-1)*Skills!D5))))/Inputs!$B$44),IF(Inputs!$B$39="pvp",MIN((Skills!S5*(1+(Inputs!$B$35+IF(Inputs!$B$3&gt;=117,F1160,0))/100)),15)/15,(Skills!S5*(1+(Inputs!$B$35+IF(Inputs!$B$3&gt;=117,F1160,0))/100))/Skills!D5)),0)+IF(C1145=TRUE,F1145*IF(AND(Inputs!$B$39&lt;&gt;"pvp",Inputs!$B$44&gt;0),(((R1145-1)*(Skills!S11*(1+(Inputs!$B$35+IF(Inputs!$B$3&gt;=117,F1160,0))/100))+MIN((Skills!S11*(1+(Inputs!$B$35+IF(Inputs!$B$3&gt;=117,F1160,0))/100)),MAX(0,Inputs!$B$44-((R1145-1)*Skills!D11))))/Inputs!$B$44),IF(Inputs!$B$39="pvp",MIN((Skills!S11*(1+(Inputs!$B$35+IF(Inputs!$B$3&gt;=117,F1160,0))/100)),15)/15,(Skills!S11*(1+(Inputs!$B$35+IF(Inputs!$B$3&gt;=117,F1160,0))/100))/Skills!D11)),0))/100)*IF(C1148=TRUE,(1+F1148*IF(AND(Inputs!$B$39&lt;&gt;"pvp",Inputs!$B$44&gt;0),(((R1148-1)*(Skills!S14*(1+(Inputs!$B$35+IF(Inputs!$B$3&gt;=117,F1160,0))/100))+MIN((Skills!S14*(1+(Inputs!$B$35+IF(Inputs!$B$3&gt;=117,F1160,0))/100)),MAX(0,Inputs!$B$44-((R1148-1)*Skills!D14))))/Inputs!$B$44),IF(Inputs!$B$39="pvp",MIN((Skills!S14*(1+(Inputs!$B$35+IF(Inputs!$B$3&gt;=117,F1160,0))/100)),15)/15,(Skills!S14*(1+(Inputs!$B$35+IF(Inputs!$B$3&gt;=117,F1160,0))/100))/Skills!D14))/100),1)*IF(C1153=TRUE,(1+F1153*IF(AND(Inputs!$B$39&lt;&gt;"pvp",Inputs!$B$44&gt;0),(((R1153-1)*(Skills!S19*(1+(Inputs!$B$35+IF(Inputs!$B$3&gt;=117,F1160,0))/100))+MIN((Skills!S19*(1+(Inputs!$B$35+IF(Inputs!$B$3&gt;=117,F1160,0))/100)),MAX(0,Inputs!$B$44-((R1153-1)*Skills!D19))))/Inputs!$B$44),IF(Inputs!$B$39="pvp",MIN((Skills!S19*(1+(Inputs!$B$35+IF(Inputs!$B$3&gt;=117,F1160,0))/100)),15)/15,(Skills!S19*(1+(Inputs!$B$35+IF(Inputs!$B$3&gt;=117,F1160,0))/100))/Skills!D19))/100),1)</f>
        <v/>
      </c>
    </row>
    <row r="1164">
      <c r="A1164" t="inlineStr">
        <is>
          <t>Monster Damage Taken Bonus % (Holy Fountain)</t>
        </is>
      </c>
      <c r="B1164">
        <f>IF(Inputs!$B$3&gt;=68,20*IF(Inputs!$B$39="pvp",MIN((15*(1+(Inputs!$B$35+IF(Inputs!$B$3&gt;=117,F1160,0))/100)),15)/15,(15*(1+(Inputs!$B$35+IF(Inputs!$B$3&gt;=117,F1160,0))/100))/Skills!D10),0)</f>
        <v/>
      </c>
    </row>
    <row r="1165">
      <c r="A1165" t="inlineStr">
        <is>
          <t>Normal Monster Damage Bonus % (Holy Symbol)</t>
        </is>
      </c>
      <c r="B1165">
        <f>IF(C1146=TRUE,F1146*IF(AND(Inputs!$B$39&lt;&gt;"pvp",Inputs!$B$44&gt;0),(((R1146-1)*(Skills!S12*(1+(Inputs!$B$35+IF(Inputs!$B$3&gt;=117,F1160,0))/100))+MIN((Skills!S12*(1+(Inputs!$B$35+IF(Inputs!$B$3&gt;=117,F1160,0))/100)),MAX(0,Inputs!$B$44-((R1146-1)*Skills!D12))))/Inputs!$B$44),IF(Inputs!$B$39="pvp",MIN((Skills!S12*(1+(Inputs!$B$35+IF(Inputs!$B$3&gt;=117,F1160,0))/100)),15)/15,(Skills!S12*(1+(Inputs!$B$35+IF(Inputs!$B$3&gt;=117,F1160,0))/100))/Skills!D12)),0)</f>
        <v/>
      </c>
    </row>
    <row r="1166">
      <c r="A1166" t="inlineStr">
        <is>
          <t>Damage % Bonus (Holy Symbol - Damage Boost)</t>
        </is>
      </c>
      <c r="B1166">
        <f>Skills!O12</f>
        <v/>
      </c>
    </row>
    <row r="1167">
      <c r="A1167" t="inlineStr">
        <is>
          <t>Crit Damage % Bonus (Blood of the Divine)</t>
        </is>
      </c>
      <c r="B1167">
        <f>4*IF(C1154=TRUE,F1154,0)</f>
        <v/>
      </c>
    </row>
    <row r="1168">
      <c r="A1168" t="inlineStr">
        <is>
          <t>Attack Speed Bonus %</t>
        </is>
      </c>
      <c r="B1168">
        <f>IF(C1151=TRUE,F1151+(F1155-Calc!F21),0)+IF(Inputs!$B$3&gt;=134,15,0)</f>
        <v/>
      </c>
    </row>
    <row r="1169">
      <c r="A1169" t="inlineStr">
        <is>
          <t>Actions Per Second</t>
        </is>
      </c>
      <c r="B1169">
        <f>1+MIN(150,150*(1-(1-Inputs!$B$12/150)*(1-B1168/150)))/100</f>
        <v/>
      </c>
    </row>
    <row r="1170">
      <c r="A1170" t="inlineStr">
        <is>
          <t>Skill + Buff Cast Rate</t>
        </is>
      </c>
      <c r="B1170">
        <f>IF(AND(Inputs!$B$39&lt;&gt;"pvp",Inputs!$B$44&gt;0),SUMPRODUCT((Skills!E2:E27=TRUE)*(C1136:C1161=TRUE)*R1136:R1161)/Inputs!$B$44,SUMPRODUCT((Skills!E2:E27=TRUE)*(C1136:C1161=TRUE)*Q1136:Q1161))</f>
        <v/>
      </c>
    </row>
    <row r="1171">
      <c r="A1171" t="inlineStr">
        <is>
          <t>Big Bang Casts Per Second</t>
        </is>
      </c>
      <c r="B1171">
        <f>MAX(0,B1169-B1170)</f>
        <v/>
      </c>
    </row>
    <row r="1172">
      <c r="A1172" t="inlineStr">
        <is>
          <t>Defense % Bonus (Divine Protection)</t>
        </is>
      </c>
      <c r="B1172">
        <f>IF(C1147=TRUE,F1147*IF(AND(Inputs!$B$39&lt;&gt;"pvp",Inputs!$B$44&gt;0),(((R1147-1)*(Skills!S13*(1+(Inputs!$B$35+IF(Inputs!$B$3&gt;=117,F1160,0))/100))+MIN((Skills!S13*(1+(Inputs!$B$35+IF(Inputs!$B$3&gt;=117,F1160,0))/100)),MAX(0,Inputs!$B$44-((R1147-1)*Skills!D13))))/Inputs!$B$44),IF(Inputs!$B$39="pvp",MIN((Skills!S13*(1+(Inputs!$B$35+IF(Inputs!$B$3&gt;=117,F1160,0))/100)),15)/15,(Skills!S13*(1+(Inputs!$B$35+IF(Inputs!$B$3&gt;=117,F1160,0))/100))/Skills!D13)),0)</f>
        <v/>
      </c>
    </row>
    <row r="1173">
      <c r="A1173" t="inlineStr">
        <is>
          <t>Buff-Casting Startup Delay (s, fixed-duration only)</t>
        </is>
      </c>
      <c r="B1173">
        <f>IF(AND(Inputs!$B$39&lt;&gt;"pvp",Inputs!$B$44&gt;0),SUMPRODUCT((Skills!S2:S27&gt;0)*(Skills!E2:E27=TRUE)*(C1136:C1161=TRUE))/B1169,0)</f>
        <v/>
      </c>
    </row>
    <row r="1174">
      <c r="A1174" t="inlineStr">
        <is>
          <t>Boss-Only Total DPS (this block's swept value)</t>
        </is>
      </c>
      <c r="B1174">
        <f>SUM(S1136:S1161)</f>
        <v/>
      </c>
    </row>
    <row r="1175">
      <c r="A1175" t="inlineStr">
        <is>
          <t>Normal-Only Total DPS (this block's swept value)</t>
        </is>
      </c>
      <c r="B1175">
        <f>SUM(U1136:U1161)</f>
        <v/>
      </c>
    </row>
    <row r="1176">
      <c r="A1176" s="5" t="inlineStr">
        <is>
          <t>TOTAL DPS</t>
        </is>
      </c>
      <c r="B1176" s="5">
        <f>SUM(O1136:O1161)</f>
        <v/>
      </c>
    </row>
    <row r="1178">
      <c r="A1178" s="5" t="inlineStr">
        <is>
          <t>Stat: Buff Duration Increase %</t>
        </is>
      </c>
    </row>
    <row r="1179">
      <c r="A1179" s="9" t="inlineStr">
        <is>
          <t>Key</t>
        </is>
      </c>
      <c r="B1179" s="9" t="inlineStr">
        <is>
          <t>Name</t>
        </is>
      </c>
      <c r="C1179" s="9" t="inlineStr">
        <is>
          <t>Unlocked</t>
        </is>
      </c>
      <c r="D1179" s="9" t="inlineStr">
        <is>
          <t>InputLevel</t>
        </is>
      </c>
      <c r="E1179" s="9" t="inlineStr">
        <is>
          <t>Factor</t>
        </is>
      </c>
      <c r="F1179" s="9" t="inlineStr">
        <is>
          <t>CoefficientPercent</t>
        </is>
      </c>
      <c r="G1179" s="9" t="inlineStr">
        <is>
          <t>EffectiveHits</t>
        </is>
      </c>
      <c r="H1179" s="9" t="inlineStr">
        <is>
          <t>ProcProbability</t>
        </is>
      </c>
      <c r="I1179" s="9" t="inlineStr">
        <is>
          <t>MapleHeroMultiplier</t>
        </is>
      </c>
      <c r="J1179" s="9" t="inlineStr">
        <is>
          <t>BaseDamage</t>
        </is>
      </c>
      <c r="K1179" s="9" t="inlineStr">
        <is>
          <t>BaseHitDamage</t>
        </is>
      </c>
      <c r="L1179" s="9" t="inlineStr">
        <is>
          <t>NonCritAvg</t>
        </is>
      </c>
      <c r="M1179" s="9" t="inlineStr">
        <is>
          <t>CritAvg</t>
        </is>
      </c>
      <c r="N1179" s="9" t="inlineStr">
        <is>
          <t>ExpectedDamage(perHit)</t>
        </is>
      </c>
      <c r="O1179" s="9" t="inlineStr">
        <is>
          <t>DPS</t>
        </is>
      </c>
      <c r="P1179" s="9" t="inlineStr">
        <is>
          <t>% of Total</t>
        </is>
      </c>
      <c r="R1179" t="inlineStr">
        <is>
          <t>helpers</t>
        </is>
      </c>
    </row>
    <row r="1180">
      <c r="A1180">
        <f>Skills!A2</f>
        <v/>
      </c>
      <c r="B1180">
        <f>Skills!B2</f>
        <v/>
      </c>
      <c r="C1180">
        <f>Inputs!$B$3&gt;=100</f>
        <v/>
      </c>
      <c r="D1180" t="inlineStr"/>
      <c r="E1180" t="inlineStr"/>
      <c r="F1180">
        <f>T1182+Skills!N2</f>
        <v/>
      </c>
      <c r="G1180">
        <f>Calc!G2</f>
        <v/>
      </c>
      <c r="H1180">
        <f>Calc!H2</f>
        <v/>
      </c>
      <c r="I1180">
        <f>IF(Skills!T2&lt;&gt;"",1+(Skills!T2/10)*($Z$3/1000)/100,1)</f>
        <v/>
      </c>
      <c r="J1180">
        <f>((Inputs!$B$6*(1+Inputs!$B$7/100))+(((Inputs!$B$13*(1+Inputs!$B$14/100))-(Inputs!$B$13*(1+Inputs!$B$14/100)))+0.25*(Inputs!$B$15-Inputs!$B$15))*(1+Inputs!$B$7/100))*(F1180/100)</f>
        <v/>
      </c>
      <c r="K1180">
        <f>J1180*(1+(((Inputs!$B$13+IF(Inputs!$B$3&gt;=35,(10*INDEX(FactorTable!$B$2:$Y$301, MATCH(ROUND(MIN(300,MAX(1,Inputs!$B$3)),0), FactorTable!$A$2:$A$301,0), 23)/1000)/100*(Inputs!$B$8*(1+(Inputs!$B$9+B1216)/100)),0))*(1+Inputs!$B$14/100))*0.01+Inputs!$B$15*0.0025)/100)*(1+(Inputs!$B$16+B1210)/100)*(1+Inputs!$B$17/100)*(5000/(6000+Inputs!$B$43*(1-Inputs!$B$20/100)))*(1+Inputs!$B$25/100)*(1+IF(C1196=TRUE,F1196,0)/100)*(1+IF(C1198=TRUE,F1198,0)/100)*(1+IF(Skills!A2="TRIUMPH_FEATHER",IF(C1194=TRUE,F1194,0),0)/100)*(1+IF(C1205=TRUE,F1205,0)/100)^5*(1+(IF(Skills!A2="BIG_BANG",Inputs!$B$18,Inputs!$B$19))/100)*(B1207*I1180)</f>
        <v/>
      </c>
      <c r="L1180">
        <f>K1180*(MIN(Inputs!$B$23+(F1200-Calc!F22),Inputs!$B$24)/100+Inputs!$B$24/100)/2</f>
        <v/>
      </c>
      <c r="M1180">
        <f>L1180*(1+(Inputs!$B$11+B1211+(F1203-Calc!F25))/100)</f>
        <v/>
      </c>
      <c r="N1180">
        <f>L1180*(1-MIN(Inputs!$B$10+((F1202-Calc!F24)+(F1201-Calc!F23)),100)/100)+M1180*(MIN(Inputs!$B$10+((F1202-Calc!F24)+(F1201-Calc!F23)),100)/100)</f>
        <v/>
      </c>
      <c r="O1180">
        <f>(1-Summary!$B$48)*S1180+Summary!$B$48*U1180</f>
        <v/>
      </c>
      <c r="P1180">
        <f>IF(B1220=0,0,O1180/B1220)</f>
        <v/>
      </c>
      <c r="Q1180">
        <f>IFERROR(1/IF(Inputs!$B$39="pvp",15,MAX(0.1,Skills!D2-IF(Skills!E2=TRUE,Inputs!$B$33,0))),0)</f>
        <v/>
      </c>
      <c r="R1180" t="n">
        <v>0</v>
      </c>
      <c r="S1180">
        <f>IF(C1180,(Skills!F2*N1180*B1215)*IF(Inputs!$B$39="pvp",1,1+(Inputs!$B$21+Skills!O2+B1208)/100),0)</f>
        <v/>
      </c>
      <c r="T1180">
        <f>MAX(0,(Inputs!$B$3-100)*3)+Inputs!$B$29+Inputs!$B$30</f>
        <v/>
      </c>
      <c r="U1180">
        <f>IF(C1180,(Skills!F2*N1180*B1215)*IF(Inputs!$B$39="pvp",1,(1+(Inputs!$B$22+Skills!P2+B1209)/100)*(MIN((6+Inputs!$B$34),Inputs!$B$38))),0)</f>
        <v/>
      </c>
    </row>
    <row r="1181">
      <c r="A1181">
        <f>Skills!A3</f>
        <v/>
      </c>
      <c r="B1181">
        <f>Skills!B3</f>
        <v/>
      </c>
      <c r="C1181">
        <f>Inputs!$B$3&gt;=15</f>
        <v/>
      </c>
      <c r="D1181">
        <f>IF(Skills!C3=1,60+Inputs!$B$26+Inputs!$B$30,IF(Skills!C3=2,90+Inputs!$B$27+Inputs!$B$30,IF(Skills!C3=3,120+Inputs!$B$28+Inputs!$B$30,MAX(0,(Inputs!$B$3-100)*3)+Inputs!$B$29+Inputs!$B$30)))</f>
        <v/>
      </c>
      <c r="E1181">
        <f>INDEX(FactorTable!$B$2:$Y$301, MATCH(ROUND(MIN(300,MAX(1,D1181)),0), FactorTable!$A$2:$A$301,0), Skills!L3+1)</f>
        <v/>
      </c>
      <c r="F1181">
        <f>IF(Skills!M3=TRUE,(Skills!K3/10)*(E1181/1000),Skills!K3/10)+Skills!N3</f>
        <v/>
      </c>
      <c r="G1181">
        <f>Calc!G3</f>
        <v/>
      </c>
      <c r="H1181">
        <f>Calc!H3</f>
        <v/>
      </c>
      <c r="I1181">
        <f>IF(Skills!T3&lt;&gt;"",1+(Skills!T3/10)*($Z$3/1000)/100,1)</f>
        <v/>
      </c>
      <c r="J1181" t="inlineStr"/>
      <c r="K1181" t="inlineStr"/>
      <c r="L1181" t="inlineStr"/>
      <c r="M1181" t="inlineStr"/>
      <c r="N1181" t="inlineStr"/>
      <c r="O1181">
        <f>(1-Summary!$B$48)*S1181+Summary!$B$48*U1181</f>
        <v/>
      </c>
      <c r="P1181">
        <f>IF(B1220=0,0,O1181/B1220)</f>
        <v/>
      </c>
      <c r="Q1181">
        <f>IFERROR(1/IF(Inputs!$B$39="pvp",15,MAX(0.1,Skills!D3-IF(Skills!E3=TRUE,Inputs!$B$33,0))),0)</f>
        <v/>
      </c>
      <c r="R1181">
        <f>IF(AND(Inputs!$B$39&lt;&gt;"pvp",Inputs!$B$44&gt;0),IF(Inputs!$B$44&lt;=0,0,(INT(Inputs!$B$44/IF(Inputs!$B$39="pvp",15,MAX(0.1,Skills!D3-IF(Skills!E3=TRUE,Inputs!$B$33,0))))+1)),0)</f>
        <v/>
      </c>
      <c r="S1181" t="n">
        <v>0</v>
      </c>
      <c r="T1181">
        <f>INDEX(FactorTable!$B$2:$Y$301, MATCH(ROUND(MIN(300,MAX(1,T1180)),0), FactorTable!$A$2:$A$301,0), 22)</f>
        <v/>
      </c>
      <c r="U1181" t="n">
        <v>0</v>
      </c>
    </row>
    <row r="1182">
      <c r="A1182">
        <f>Skills!A4</f>
        <v/>
      </c>
      <c r="B1182">
        <f>Skills!B4</f>
        <v/>
      </c>
      <c r="C1182">
        <f>Inputs!$B$3&gt;=38</f>
        <v/>
      </c>
      <c r="D1182">
        <f>IF(Skills!C4=1,60+Inputs!$B$26+Inputs!$B$30,IF(Skills!C4=2,90+Inputs!$B$27+Inputs!$B$30,IF(Skills!C4=3,120+Inputs!$B$28+Inputs!$B$30,MAX(0,(Inputs!$B$3-100)*3)+Inputs!$B$29+Inputs!$B$30)))</f>
        <v/>
      </c>
      <c r="E1182">
        <f>INDEX(FactorTable!$B$2:$Y$301, MATCH(ROUND(MIN(300,MAX(1,D1182)),0), FactorTable!$A$2:$A$301,0), Skills!L4+1)</f>
        <v/>
      </c>
      <c r="F1182">
        <f>IF(Skills!M4=TRUE,(Skills!K4/10)*(E1182/1000),Skills!K4/10)+Skills!N4</f>
        <v/>
      </c>
      <c r="G1182">
        <f>Calc!G4</f>
        <v/>
      </c>
      <c r="H1182">
        <f>Calc!H4</f>
        <v/>
      </c>
      <c r="I1182">
        <f>IF(Skills!T4&lt;&gt;"",1+(Skills!T4/10)*($Z$3/1000)/100,1)</f>
        <v/>
      </c>
      <c r="J1182" t="inlineStr"/>
      <c r="K1182" t="inlineStr"/>
      <c r="L1182" t="inlineStr"/>
      <c r="M1182" t="inlineStr"/>
      <c r="N1182" t="inlineStr"/>
      <c r="O1182">
        <f>(1-Summary!$B$48)*S1182+Summary!$B$48*U1182</f>
        <v/>
      </c>
      <c r="P1182">
        <f>IF(B1220=0,0,O1182/B1220)</f>
        <v/>
      </c>
      <c r="Q1182">
        <f>IFERROR(1/IF(Inputs!$B$39="pvp",15,MAX(0.1,Skills!D4-IF(Skills!E4=TRUE,Inputs!$B$33,0))),0)</f>
        <v/>
      </c>
      <c r="R1182">
        <f>IF(AND(Inputs!$B$39&lt;&gt;"pvp",Inputs!$B$44&gt;0),IF(Inputs!$B$44&lt;=0,0,(INT(Inputs!$B$44/IF(Inputs!$B$39="pvp",15,MAX(0.1,Skills!D4-IF(Skills!E4=TRUE,Inputs!$B$33,0))))+1)),0)</f>
        <v/>
      </c>
      <c r="S1182" t="n">
        <v>0</v>
      </c>
      <c r="T1182">
        <f>290*T1181/1000</f>
        <v/>
      </c>
      <c r="U1182" t="n">
        <v>0</v>
      </c>
    </row>
    <row r="1183">
      <c r="A1183">
        <f>Skills!A5</f>
        <v/>
      </c>
      <c r="B1183">
        <f>Skills!B5</f>
        <v/>
      </c>
      <c r="C1183">
        <f>Inputs!$B$3&gt;=40</f>
        <v/>
      </c>
      <c r="D1183">
        <f>IF(Skills!C5=1,60+Inputs!$B$26+Inputs!$B$30,IF(Skills!C5=2,90+Inputs!$B$27+Inputs!$B$30,IF(Skills!C5=3,120+Inputs!$B$28+Inputs!$B$30,MAX(0,(Inputs!$B$3-100)*3)+Inputs!$B$29+Inputs!$B$30)))</f>
        <v/>
      </c>
      <c r="E1183">
        <f>INDEX(FactorTable!$B$2:$Y$301, MATCH(ROUND(MIN(300,MAX(1,D1183)),0), FactorTable!$A$2:$A$301,0), Skills!L5+1)</f>
        <v/>
      </c>
      <c r="F1183">
        <f>IF(Skills!M5=TRUE,(Skills!K5/10)*(E1183/1000),Skills!K5/10)+Skills!N5</f>
        <v/>
      </c>
      <c r="G1183">
        <f>Calc!G5</f>
        <v/>
      </c>
      <c r="H1183">
        <f>Calc!H5</f>
        <v/>
      </c>
      <c r="I1183">
        <f>IF(Skills!T5&lt;&gt;"",1+(Skills!T5/10)*($Z$3/1000)/100,1)</f>
        <v/>
      </c>
      <c r="J1183" t="inlineStr"/>
      <c r="K1183" t="inlineStr"/>
      <c r="L1183" t="inlineStr"/>
      <c r="M1183" t="inlineStr"/>
      <c r="N1183" t="inlineStr"/>
      <c r="O1183">
        <f>(1-Summary!$B$48)*S1183+Summary!$B$48*U1183</f>
        <v/>
      </c>
      <c r="P1183">
        <f>IF(B1220=0,0,O1183/B1220)</f>
        <v/>
      </c>
      <c r="Q1183">
        <f>IFERROR(1/IF(Inputs!$B$39="pvp",15,MAX(0.1,Skills!D5-IF(Skills!E5=TRUE,Inputs!$B$33,0))),0)</f>
        <v/>
      </c>
      <c r="R1183">
        <f>IF(AND(Inputs!$B$39&lt;&gt;"pvp",Inputs!$B$44&gt;0),IF(Inputs!$B$44&lt;=0,0,(INT(Inputs!$B$44/IF(Inputs!$B$39="pvp",15,MAX(0.1,Skills!D5-IF(Skills!E5=TRUE,Inputs!$B$33,0))))+1)),0)</f>
        <v/>
      </c>
      <c r="S1183" t="n">
        <v>0</v>
      </c>
      <c r="U1183" t="n">
        <v>0</v>
      </c>
    </row>
    <row r="1184">
      <c r="A1184">
        <f>Skills!A6</f>
        <v/>
      </c>
      <c r="B1184">
        <f>Skills!B6</f>
        <v/>
      </c>
      <c r="C1184">
        <f>Inputs!$B$3&gt;=103</f>
        <v/>
      </c>
      <c r="D1184">
        <f>IF(Skills!C6=1,60+Inputs!$B$26+Inputs!$B$30,IF(Skills!C6=2,90+Inputs!$B$27+Inputs!$B$30,IF(Skills!C6=3,120+Inputs!$B$28+Inputs!$B$30,MAX(0,(Inputs!$B$3-100)*3)+Inputs!$B$29+Inputs!$B$30)))</f>
        <v/>
      </c>
      <c r="E1184">
        <f>INDEX(FactorTable!$B$2:$Y$301, MATCH(ROUND(MIN(300,MAX(1,D1184)),0), FactorTable!$A$2:$A$301,0), Skills!L6+1)</f>
        <v/>
      </c>
      <c r="F1184">
        <f>IF(Skills!M6=TRUE,(Skills!K6/10)*(E1184/1000),Skills!K6/10)+Skills!N6</f>
        <v/>
      </c>
      <c r="G1184">
        <f>Calc!G6</f>
        <v/>
      </c>
      <c r="H1184">
        <f>Calc!H6</f>
        <v/>
      </c>
      <c r="I1184">
        <f>IF(Skills!T6&lt;&gt;"",1+(Skills!T6/10)*($Z$3/1000)/100,1)</f>
        <v/>
      </c>
      <c r="J1184">
        <f>((Inputs!$B$6*(1+Inputs!$B$7/100))+(((Inputs!$B$13*(1+Inputs!$B$14/100))-(Inputs!$B$13*(1+Inputs!$B$14/100)))+0.25*(Inputs!$B$15-Inputs!$B$15))*(1+Inputs!$B$7/100))*(F1184/100)</f>
        <v/>
      </c>
      <c r="K1184">
        <f>J1184*(1+(((Inputs!$B$13+IF(Inputs!$B$3&gt;=35,(10*INDEX(FactorTable!$B$2:$Y$301, MATCH(ROUND(MIN(300,MAX(1,Inputs!$B$3)),0), FactorTable!$A$2:$A$301,0), 23)/1000)/100*(Inputs!$B$8*(1+(Inputs!$B$9+B1216)/100)),0))*(1+Inputs!$B$14/100))*0.01+Inputs!$B$15*0.0025)/100)*(1+(Inputs!$B$16+B1210)/100)*(1+Inputs!$B$17/100)*(5000/(6000+Inputs!$B$43*(1-Inputs!$B$20/100)))*(1+Inputs!$B$25/100)*(1+IF(C1196=TRUE,F1196,0)/100)*(1+IF(C1198=TRUE,F1198,0)/100)*(1+IF(Skills!A6="TRIUMPH_FEATHER",IF(C1194=TRUE,F1194,0),0)/100)*(1+IF(C1205=TRUE,F1205,0)/100)^5*(1+(IF(Skills!A6="BIG_BANG",Inputs!$B$18,Inputs!$B$19))/100)*(B1207*I1184)</f>
        <v/>
      </c>
      <c r="L1184">
        <f>K1184*(MIN(Inputs!$B$23+(F1200-Calc!F22),Inputs!$B$24)/100+Inputs!$B$24/100)/2</f>
        <v/>
      </c>
      <c r="M1184">
        <f>L1184*(1+(Inputs!$B$11+B1211+(F1203-Calc!F25))/100)</f>
        <v/>
      </c>
      <c r="N1184">
        <f>L1184*(1-MIN(Inputs!$B$10+((F1202-Calc!F24)+(F1201-Calc!F23)),100)/100)+M1184*(MIN(Inputs!$B$10+((F1202-Calc!F24)+(F1201-Calc!F23)),100)/100)</f>
        <v/>
      </c>
      <c r="O1184">
        <f>(1-Summary!$B$48)*S1184+Summary!$B$48*U1184</f>
        <v/>
      </c>
      <c r="P1184">
        <f>IF(B1220=0,0,O1184/B1220)</f>
        <v/>
      </c>
      <c r="Q1184">
        <f>IFERROR(1/IF(Inputs!$B$39="pvp",15,MAX(0.1,Skills!D6-IF(Skills!E6=TRUE,Inputs!$B$33,0))),0)</f>
        <v/>
      </c>
      <c r="R1184">
        <f>IF(AND(Inputs!$B$39&lt;&gt;"pvp",Inputs!$B$44&gt;0),IF(MAX(0,Inputs!$B$44-B1217)&lt;=0,0,(INT(MAX(0,Inputs!$B$44-B1217)/IF(Inputs!$B$39="pvp",15,MAX(0.1,Skills!D6-IF(Skills!E6=TRUE,Inputs!$B$33,0))))+1)),0)</f>
        <v/>
      </c>
      <c r="S1184">
        <f>IF(C1184,(H1184*N1184*IF(AND(Inputs!$B$39&lt;&gt;"pvp",Inputs!$B$44&gt;0),((Skills!F6*((R1184-1)*IF(Skills!G6&gt;0,Skills!H6/Skills!G6,1)+IF(Skills!G6&gt;0,MIN(Skills!H6,MAX(0,MAX(0,Inputs!$B$44-B1217)-((R1184-1)*IF(Inputs!$B$39="pvp",15,MAX(0.1,Skills!D6-IF(Skills!E6=TRUE,Inputs!$B$33,0))))))/Skills!G6,1)))/Inputs!$B$44),G1184*Q1184))*IF(Inputs!$B$39="pvp",1,1+(Inputs!$B$21+Skills!O6+B1208)/100),0)</f>
        <v/>
      </c>
      <c r="U1184">
        <f>IF(C1184,(H1184*N1184*IF(AND(Inputs!$B$39&lt;&gt;"pvp",Inputs!$B$44&gt;0),((Skills!F6*((R1184-1)*IF(Skills!G6&gt;0,Skills!H6/Skills!G6,1)+IF(Skills!G6&gt;0,MIN(Skills!H6,MAX(0,MAX(0,Inputs!$B$44-B1217)-((R1184-1)*IF(Inputs!$B$39="pvp",15,MAX(0.1,Skills!D6-IF(Skills!E6=TRUE,Inputs!$B$33,0))))))/Skills!G6,1)))/Inputs!$B$44),G1184*Q1184))*IF(Inputs!$B$39="pvp",1,(1+(Inputs!$B$22+Skills!P6+B1209)/100)*(MIN(Skills!Q6,Inputs!$B$38))),0)</f>
        <v/>
      </c>
    </row>
    <row r="1185">
      <c r="A1185">
        <f>Skills!A7</f>
        <v/>
      </c>
      <c r="B1185">
        <f>Skills!B7</f>
        <v/>
      </c>
      <c r="C1185">
        <f>Inputs!$B$3&gt;=122</f>
        <v/>
      </c>
      <c r="D1185">
        <f>IF(Skills!C7=1,60+Inputs!$B$26+Inputs!$B$30,IF(Skills!C7=2,90+Inputs!$B$27+Inputs!$B$30,IF(Skills!C7=3,120+Inputs!$B$28+Inputs!$B$30,MAX(0,(Inputs!$B$3-100)*3)+Inputs!$B$29+Inputs!$B$30)))</f>
        <v/>
      </c>
      <c r="E1185">
        <f>INDEX(FactorTable!$B$2:$Y$301, MATCH(ROUND(MIN(300,MAX(1,D1185)),0), FactorTable!$A$2:$A$301,0), Skills!L7+1)</f>
        <v/>
      </c>
      <c r="F1185">
        <f>IF(Skills!M7=TRUE,(Skills!K7/10)*(E1185/1000),Skills!K7/10)+Skills!N7</f>
        <v/>
      </c>
      <c r="G1185">
        <f>Calc!G7</f>
        <v/>
      </c>
      <c r="H1185">
        <f>Calc!H7</f>
        <v/>
      </c>
      <c r="I1185">
        <f>IF(Skills!T7&lt;&gt;"",1+(Skills!T7/10)*($Z$3/1000)/100,1)</f>
        <v/>
      </c>
      <c r="J1185">
        <f>((Inputs!$B$6*(1+Inputs!$B$7/100))+(((Inputs!$B$13*(1+Inputs!$B$14/100))-(Inputs!$B$13*(1+Inputs!$B$14/100)))+0.25*(Inputs!$B$15-Inputs!$B$15))*(1+Inputs!$B$7/100))*(F1185/100)</f>
        <v/>
      </c>
      <c r="K1185">
        <f>J1185*(1+(((Inputs!$B$13+IF(Inputs!$B$3&gt;=35,(10*INDEX(FactorTable!$B$2:$Y$301, MATCH(ROUND(MIN(300,MAX(1,Inputs!$B$3)),0), FactorTable!$A$2:$A$301,0), 23)/1000)/100*(Inputs!$B$8*(1+(Inputs!$B$9+B1216)/100)),0))*(1+Inputs!$B$14/100))*0.01+Inputs!$B$15*0.0025)/100)*(1+(Inputs!$B$16+B1210)/100)*(1+Inputs!$B$17/100)*(5000/(6000+Inputs!$B$43*(1-Inputs!$B$20/100)))*(1+Inputs!$B$25/100)*(1+IF(C1196=TRUE,F1196,0)/100)*(1+IF(C1198=TRUE,F1198,0)/100)*(1+IF(Skills!A7="TRIUMPH_FEATHER",IF(C1194=TRUE,F1194,0),0)/100)*(1+IF(C1205=TRUE,F1205,0)/100)^5*(1+(IF(Skills!A7="BIG_BANG",Inputs!$B$18,Inputs!$B$19))/100)*(B1207*I1185)</f>
        <v/>
      </c>
      <c r="L1185">
        <f>K1185*(MIN(Inputs!$B$23+(F1200-Calc!F22),Inputs!$B$24)/100+Inputs!$B$24/100)/2</f>
        <v/>
      </c>
      <c r="M1185">
        <f>L1185*(1+(Inputs!$B$11+B1211+(F1203-Calc!F25))/100)</f>
        <v/>
      </c>
      <c r="N1185">
        <f>L1185*(1-MIN(Inputs!$B$10+((F1202-Calc!F24)+(F1201-Calc!F23)),100)/100)+M1185*(MIN(Inputs!$B$10+((F1202-Calc!F24)+(F1201-Calc!F23)),100)/100)</f>
        <v/>
      </c>
      <c r="O1185">
        <f>(1-Summary!$B$48)*S1185+Summary!$B$48*U1185</f>
        <v/>
      </c>
      <c r="P1185">
        <f>IF(B1220=0,0,O1185/B1220)</f>
        <v/>
      </c>
      <c r="Q1185">
        <f>IFERROR(1/IF(Inputs!$B$39="pvp",15,MAX(0.1,Skills!D7-IF(Skills!E6=TRUE,Inputs!$B$33,0))),0)</f>
        <v/>
      </c>
      <c r="R1185">
        <f>IF(AND(Inputs!$B$39&lt;&gt;"pvp",Inputs!$B$44&gt;0),IF(MAX(0,Inputs!$B$44-B1217)&lt;=0,0,(INT(MAX(0,Inputs!$B$44-B1217)/IF(Inputs!$B$39="pvp",15,MAX(0.1,Skills!D7-IF(Skills!E6=TRUE,Inputs!$B$33,0))))+1)),0)</f>
        <v/>
      </c>
      <c r="S1185">
        <f>IF(C1185,H1185*N1185*IF(AND(Inputs!$B$39&lt;&gt;"pvp",Inputs!$B$44&gt;0),((Skills!F7*((R1185-1)*IF(Skills!G7&gt;0,Skills!H7/Skills!G7,1)+IF(Skills!G7&gt;0,MIN(Skills!H7,MAX(0,MAX(0,Inputs!$B$44-B1217)-((R1185-1)*IF(Inputs!$B$39="pvp",15,MAX(0.1,Skills!D7-IF(Skills!E6=TRUE,Inputs!$B$33,0))))))/Skills!G7,1)))/Inputs!$B$44),G1185*Q1185)*IF(Inputs!$B$39="pvp",1,1+(Inputs!$B$21+Skills!O7+B1208)/100),0)</f>
        <v/>
      </c>
      <c r="U1185" t="n">
        <v>0</v>
      </c>
    </row>
    <row r="1186">
      <c r="A1186">
        <f>Skills!A8</f>
        <v/>
      </c>
      <c r="B1186">
        <f>Skills!B8</f>
        <v/>
      </c>
      <c r="C1186">
        <f>Inputs!$B$3&gt;=105</f>
        <v/>
      </c>
      <c r="D1186">
        <f>IF(Skills!C8=1,60+Inputs!$B$26+Inputs!$B$30,IF(Skills!C8=2,90+Inputs!$B$27+Inputs!$B$30,IF(Skills!C8=3,120+Inputs!$B$28+Inputs!$B$30,MAX(0,(Inputs!$B$3-100)*3)+Inputs!$B$29+Inputs!$B$30)))</f>
        <v/>
      </c>
      <c r="E1186">
        <f>INDEX(FactorTable!$B$2:$Y$301, MATCH(ROUND(MIN(300,MAX(1,D1186)),0), FactorTable!$A$2:$A$301,0), Skills!L8+1)</f>
        <v/>
      </c>
      <c r="F1186">
        <f>IF(Skills!M8=TRUE,(Skills!K8/10)*(E1186/1000),Skills!K8/10)+Skills!N8</f>
        <v/>
      </c>
      <c r="G1186">
        <f>Calc!G8</f>
        <v/>
      </c>
      <c r="H1186">
        <f>Calc!H8</f>
        <v/>
      </c>
      <c r="I1186">
        <f>IF(Skills!T8&lt;&gt;"",1+(Skills!T8/10)*($Z$3/1000)/100,1)</f>
        <v/>
      </c>
      <c r="J1186">
        <f>((Inputs!$B$6*(1+Inputs!$B$7/100))+(((Inputs!$B$13*(1+Inputs!$B$14/100))-(Inputs!$B$13*(1+Inputs!$B$14/100)))+0.25*(Inputs!$B$15-Inputs!$B$15))*(1+Inputs!$B$7/100))*(F1186/100)</f>
        <v/>
      </c>
      <c r="K1186">
        <f>J1186*(1+(((Inputs!$B$13+IF(Inputs!$B$3&gt;=35,(10*INDEX(FactorTable!$B$2:$Y$301, MATCH(ROUND(MIN(300,MAX(1,Inputs!$B$3)),0), FactorTable!$A$2:$A$301,0), 23)/1000)/100*(Inputs!$B$8*(1+(Inputs!$B$9+B1216)/100)),0))*(1+Inputs!$B$14/100))*0.01+Inputs!$B$15*0.0025)/100)*(1+(Inputs!$B$16+B1210)/100)*(1+Inputs!$B$17/100)*(5000/(6000+Inputs!$B$43*(1-Inputs!$B$20/100)))*(1+Inputs!$B$25/100)*(1+IF(C1196=TRUE,F1196,0)/100)*(1+IF(C1198=TRUE,F1198,0)/100)*(1+IF(Skills!A8="TRIUMPH_FEATHER",IF(C1194=TRUE,F1194,0),0)/100)*(1+IF(C1205=TRUE,F1205,0)/100)^5*(1+(IF(Skills!A8="BIG_BANG",Inputs!$B$18,Inputs!$B$19))/100)*(B1207*I1186)</f>
        <v/>
      </c>
      <c r="L1186">
        <f>K1186*(MIN(Inputs!$B$23+(F1200-Calc!F22),Inputs!$B$24)/100+Inputs!$B$24/100)/2</f>
        <v/>
      </c>
      <c r="M1186">
        <f>L1186*(1+(Inputs!$B$11+B1211+(F1203-Calc!F25))/100)</f>
        <v/>
      </c>
      <c r="N1186">
        <f>L1186*(1-MIN(Inputs!$B$10+((F1202-Calc!F24)+(F1201-Calc!F23)),100)/100)+M1186*(MIN(Inputs!$B$10+((F1202-Calc!F24)+(F1201-Calc!F23)),100)/100)</f>
        <v/>
      </c>
      <c r="O1186">
        <f>(1-Summary!$B$48)*S1186+Summary!$B$48*U1186</f>
        <v/>
      </c>
      <c r="P1186">
        <f>IF(B1220=0,0,O1186/B1220)</f>
        <v/>
      </c>
      <c r="Q1186">
        <f>IFERROR(1/IF(Inputs!$B$39="pvp",15,MAX(0.1,Skills!D8-IF(Skills!E8=TRUE,Inputs!$B$33,0))),0)</f>
        <v/>
      </c>
      <c r="R1186">
        <f>IF(AND(Inputs!$B$39&lt;&gt;"pvp",Inputs!$B$44&gt;0),IF(MAX(0,Inputs!$B$44-B1217)&lt;=0,0,(INT(MAX(0,Inputs!$B$44-B1217)/IF(Inputs!$B$39="pvp",15,MAX(0.1,Skills!D8-IF(Skills!E8=TRUE,Inputs!$B$33,0))))+1)),0)</f>
        <v/>
      </c>
      <c r="S1186">
        <f>IF(C1186,(H1186*N1186*IF(AND(Inputs!$B$39&lt;&gt;"pvp",Inputs!$B$44&gt;0),((Skills!F8*((R1186-1)*IF(Skills!G8&gt;0,Skills!H8/Skills!G8,1)+IF(Skills!G8&gt;0,MIN(Skills!H8,MAX(0,MAX(0,Inputs!$B$44-B1217)-((R1186-1)*IF(Inputs!$B$39="pvp",15,MAX(0.1,Skills!D8-IF(Skills!E8=TRUE,Inputs!$B$33,0))))))/Skills!G8,1)))/Inputs!$B$44),G1186*Q1186))*IF(Inputs!$B$39="pvp",1,1+(Inputs!$B$21+Skills!O8+B1208)/100),0)</f>
        <v/>
      </c>
      <c r="U1186">
        <f>IF(C1186,(H1186*N1186*IF(AND(Inputs!$B$39&lt;&gt;"pvp",Inputs!$B$44&gt;0),((Skills!F8*((R1186-1)*IF(Skills!G8&gt;0,Skills!H8/Skills!G8,1)+IF(Skills!G8&gt;0,MIN(Skills!H8,MAX(0,MAX(0,Inputs!$B$44-B1217)-((R1186-1)*IF(Inputs!$B$39="pvp",15,MAX(0.1,Skills!D8-IF(Skills!E8=TRUE,Inputs!$B$33,0))))))/Skills!G8,1)))/Inputs!$B$44),G1186*Q1186))*IF(Inputs!$B$39="pvp",1,(1+(Inputs!$B$22+Skills!P8+B1209)/100)*(MIN(Skills!Q8,Inputs!$B$38))),0)</f>
        <v/>
      </c>
    </row>
    <row r="1187">
      <c r="A1187">
        <f>Skills!A9</f>
        <v/>
      </c>
      <c r="B1187">
        <f>Skills!B9</f>
        <v/>
      </c>
      <c r="C1187">
        <f>Inputs!$B$3&gt;=115</f>
        <v/>
      </c>
      <c r="D1187">
        <f>IF(Skills!C9=1,60+Inputs!$B$26+Inputs!$B$30,IF(Skills!C9=2,90+Inputs!$B$27+Inputs!$B$30,IF(Skills!C9=3,120+Inputs!$B$28+Inputs!$B$30,MAX(0,(Inputs!$B$3-100)*3)+Inputs!$B$29+Inputs!$B$30)))</f>
        <v/>
      </c>
      <c r="E1187">
        <f>INDEX(FactorTable!$B$2:$Y$301, MATCH(ROUND(MIN(300,MAX(1,D1187)),0), FactorTable!$A$2:$A$301,0), Skills!L9+1)</f>
        <v/>
      </c>
      <c r="F1187">
        <f>IF(Skills!M9=TRUE,(Skills!K9/10)*(E1187/1000),Skills!K9/10)+Skills!N9</f>
        <v/>
      </c>
      <c r="G1187">
        <f>Calc!G9</f>
        <v/>
      </c>
      <c r="H1187">
        <f>Calc!H9</f>
        <v/>
      </c>
      <c r="I1187">
        <f>IF(Skills!T9&lt;&gt;"",1+(Skills!T9/10)*($Z$3/1000)/100,1)</f>
        <v/>
      </c>
      <c r="J1187">
        <f>((Inputs!$B$6*(1+Inputs!$B$7/100))+(((Inputs!$B$13*(1+Inputs!$B$14/100))-(Inputs!$B$13*(1+Inputs!$B$14/100)))+0.25*(Inputs!$B$15-Inputs!$B$15))*(1+Inputs!$B$7/100))*(F1187/100)</f>
        <v/>
      </c>
      <c r="K1187">
        <f>J1187*(1+(((Inputs!$B$13+IF(Inputs!$B$3&gt;=35,(10*INDEX(FactorTable!$B$2:$Y$301, MATCH(ROUND(MIN(300,MAX(1,Inputs!$B$3)),0), FactorTable!$A$2:$A$301,0), 23)/1000)/100*(Inputs!$B$8*(1+(Inputs!$B$9+B1216)/100)),0))*(1+Inputs!$B$14/100))*0.01+Inputs!$B$15*0.0025)/100)*(1+(Inputs!$B$16+B1210)/100)*(1+Inputs!$B$17/100)*(5000/(6000+Inputs!$B$43*(1-Inputs!$B$20/100)))*(1+Inputs!$B$25/100)*(1+IF(C1196=TRUE,F1196,0)/100)*(1+IF(C1198=TRUE,F1198,0)/100)*(1+IF(Skills!A9="TRIUMPH_FEATHER",IF(C1194=TRUE,F1194,0),0)/100)*(1+IF(C1205=TRUE,F1205,0)/100)^5*(1+(IF(Skills!A9="BIG_BANG",Inputs!$B$18,Inputs!$B$19))/100)*(B1207*I1187)</f>
        <v/>
      </c>
      <c r="L1187">
        <f>K1187*(MIN(Inputs!$B$23+(F1200-Calc!F22),Inputs!$B$24)/100+Inputs!$B$24/100)/2</f>
        <v/>
      </c>
      <c r="M1187">
        <f>L1187*(1+(Inputs!$B$11+B1211+(F1203-Calc!F25))/100)</f>
        <v/>
      </c>
      <c r="N1187">
        <f>L1187*(1-MIN(Inputs!$B$10+((F1202-Calc!F24)+(F1201-Calc!F23)),100)/100)+M1187*(MIN(Inputs!$B$10+((F1202-Calc!F24)+(F1201-Calc!F23)),100)/100)</f>
        <v/>
      </c>
      <c r="O1187">
        <f>(1-Summary!$B$48)*S1187+Summary!$B$48*U1187</f>
        <v/>
      </c>
      <c r="P1187">
        <f>IF(B1220=0,0,O1187/B1220)</f>
        <v/>
      </c>
      <c r="Q1187">
        <f>IFERROR(1/IF(Inputs!$B$39="pvp",15,MAX(0.1,Skills!D9-IF(Skills!E9=TRUE,Inputs!$B$33,0))),0)</f>
        <v/>
      </c>
      <c r="R1187">
        <f>IF(AND(Inputs!$B$39&lt;&gt;"pvp",Inputs!$B$44&gt;0),IF(MAX(0,Inputs!$B$44-B1217)&lt;=0,0,(INT(MAX(0,Inputs!$B$44-B1217)/IF(Inputs!$B$39="pvp",15,MAX(0.1,Skills!D9-IF(Skills!E9=TRUE,Inputs!$B$33,0))))+1)),0)</f>
        <v/>
      </c>
      <c r="S1187">
        <f>IF(C1187,(H1187*N1187*IF(AND(Inputs!$B$39&lt;&gt;"pvp",Inputs!$B$44&gt;0),((Skills!F9*((R1187-1)*IF(Skills!G9&gt;0,Skills!H9/Skills!G9,1)+IF(Skills!G9&gt;0,MIN(Skills!H9,MAX(0,MAX(0,Inputs!$B$44-B1217)-((R1187-1)*IF(Inputs!$B$39="pvp",15,MAX(0.1,Skills!D9-IF(Skills!E9=TRUE,Inputs!$B$33,0))))))/Skills!G9,1)))/Inputs!$B$44),G1187*Q1187))*IF(Inputs!$B$39="pvp",1,1+(Inputs!$B$21+Skills!O9+B1208)/100),0)</f>
        <v/>
      </c>
      <c r="U1187">
        <f>IF(C1187,(H1187*N1187*IF(AND(Inputs!$B$39&lt;&gt;"pvp",Inputs!$B$44&gt;0),((Skills!F9*((R1187-1)*IF(Skills!G9&gt;0,Skills!H9/Skills!G9,1)+IF(Skills!G9&gt;0,MIN(Skills!H9,MAX(0,MAX(0,Inputs!$B$44-B1217)-((R1187-1)*IF(Inputs!$B$39="pvp",15,MAX(0.1,Skills!D9-IF(Skills!E9=TRUE,Inputs!$B$33,0))))))/Skills!G9,1)))/Inputs!$B$44),G1187*Q1187))*IF(Inputs!$B$39="pvp",1,(1+(Inputs!$B$22+Skills!P9+B1209)/100)*(MIN(Skills!Q9,Inputs!$B$38))),0)</f>
        <v/>
      </c>
    </row>
    <row r="1188">
      <c r="A1188">
        <f>Skills!A10</f>
        <v/>
      </c>
      <c r="B1188">
        <f>Skills!B10</f>
        <v/>
      </c>
      <c r="C1188">
        <f>Inputs!$B$3&gt;=66</f>
        <v/>
      </c>
      <c r="D1188">
        <f>IF(Skills!C10=1,60+Inputs!$B$26+Inputs!$B$30,IF(Skills!C10=2,90+Inputs!$B$27+Inputs!$B$30,IF(Skills!C10=3,120+Inputs!$B$28+Inputs!$B$30,MAX(0,(Inputs!$B$3-100)*3)+Inputs!$B$29+Inputs!$B$30)))</f>
        <v/>
      </c>
      <c r="E1188">
        <f>INDEX(FactorTable!$B$2:$Y$301, MATCH(ROUND(MIN(300,MAX(1,D1188)),0), FactorTable!$A$2:$A$301,0), Skills!L10+1)</f>
        <v/>
      </c>
      <c r="F1188" t="n">
        <v>0</v>
      </c>
      <c r="G1188">
        <f>Calc!G10</f>
        <v/>
      </c>
      <c r="H1188">
        <f>Calc!H10</f>
        <v/>
      </c>
      <c r="I1188">
        <f>IF(Skills!T10&lt;&gt;"",1+(Skills!T10/10)*($Z$3/1000)/100,1)</f>
        <v/>
      </c>
      <c r="J1188" t="inlineStr"/>
      <c r="K1188" t="inlineStr"/>
      <c r="L1188" t="inlineStr"/>
      <c r="M1188" t="inlineStr"/>
      <c r="N1188" t="inlineStr"/>
      <c r="O1188">
        <f>(1-Summary!$B$48)*S1188+Summary!$B$48*U1188</f>
        <v/>
      </c>
      <c r="P1188">
        <f>IF(B1220=0,0,O1188/B1220)</f>
        <v/>
      </c>
      <c r="Q1188">
        <f>IFERROR(1/IF(Inputs!$B$39="pvp",15,MAX(0.1,Skills!D10-IF(Skills!E10=TRUE,Inputs!$B$33,0))),0)</f>
        <v/>
      </c>
      <c r="R1188">
        <f>IF(AND(Inputs!$B$39&lt;&gt;"pvp",Inputs!$B$44&gt;0),IF(MAX(0,Inputs!$B$44-B1217)&lt;=0,0,(INT(MAX(0,Inputs!$B$44-B1217)/IF(Inputs!$B$39="pvp",15,MAX(0.1,Skills!D10-IF(Skills!E10=TRUE,Inputs!$B$33,0))))+1)),0)</f>
        <v/>
      </c>
      <c r="S1188" t="n">
        <v>0</v>
      </c>
      <c r="U1188" t="n">
        <v>0</v>
      </c>
    </row>
    <row r="1189">
      <c r="A1189">
        <f>Skills!A11</f>
        <v/>
      </c>
      <c r="B1189">
        <f>Skills!B11</f>
        <v/>
      </c>
      <c r="C1189">
        <f>Inputs!$B$3&gt;=69</f>
        <v/>
      </c>
      <c r="D1189">
        <f>IF(Skills!C11=1,60+Inputs!$B$26+Inputs!$B$30,IF(Skills!C11=2,90+Inputs!$B$27+Inputs!$B$30,IF(Skills!C11=3,120+Inputs!$B$28+Inputs!$B$30,MAX(0,(Inputs!$B$3-100)*3)+Inputs!$B$29+Inputs!$B$30)))</f>
        <v/>
      </c>
      <c r="E1189">
        <f>INDEX(FactorTable!$B$2:$Y$301, MATCH(ROUND(MIN(300,MAX(1,D1189)),0), FactorTable!$A$2:$A$301,0), Skills!L11+1)</f>
        <v/>
      </c>
      <c r="F1189">
        <f>IF(Skills!M11=TRUE,(Skills!K11/10)*(E1189/1000),Skills!K11/10)+Skills!N11</f>
        <v/>
      </c>
      <c r="G1189">
        <f>Calc!G11</f>
        <v/>
      </c>
      <c r="H1189">
        <f>Calc!H11</f>
        <v/>
      </c>
      <c r="I1189">
        <f>IF(Skills!T11&lt;&gt;"",1+(Skills!T11/10)*($Z$3/1000)/100,1)</f>
        <v/>
      </c>
      <c r="J1189" t="inlineStr"/>
      <c r="K1189" t="inlineStr"/>
      <c r="L1189" t="inlineStr"/>
      <c r="M1189" t="inlineStr"/>
      <c r="N1189" t="inlineStr"/>
      <c r="O1189">
        <f>(1-Summary!$B$48)*S1189+Summary!$B$48*U1189</f>
        <v/>
      </c>
      <c r="P1189">
        <f>IF(B1220=0,0,O1189/B1220)</f>
        <v/>
      </c>
      <c r="Q1189">
        <f>IFERROR(1/IF(Inputs!$B$39="pvp",15,MAX(0.1,Skills!D11-IF(Skills!E11=TRUE,Inputs!$B$33,0))),0)</f>
        <v/>
      </c>
      <c r="R1189">
        <f>IF(AND(Inputs!$B$39&lt;&gt;"pvp",Inputs!$B$44&gt;0),IF(Inputs!$B$44&lt;=0,0,(INT(Inputs!$B$44/IF(Inputs!$B$39="pvp",15,MAX(0.1,Skills!D11-IF(Skills!E11=TRUE,Inputs!$B$33,0))))+1)),0)</f>
        <v/>
      </c>
      <c r="S1189" t="n">
        <v>0</v>
      </c>
      <c r="U1189" t="n">
        <v>0</v>
      </c>
    </row>
    <row r="1190">
      <c r="A1190">
        <f>Skills!A12</f>
        <v/>
      </c>
      <c r="B1190">
        <f>Skills!B12</f>
        <v/>
      </c>
      <c r="C1190">
        <f>Inputs!$B$3&gt;=72</f>
        <v/>
      </c>
      <c r="D1190">
        <f>IF(Skills!C12=1,60+Inputs!$B$26+Inputs!$B$30,IF(Skills!C12=2,90+Inputs!$B$27+Inputs!$B$30,IF(Skills!C12=3,120+Inputs!$B$28+Inputs!$B$30,MAX(0,(Inputs!$B$3-100)*3)+Inputs!$B$29+Inputs!$B$30)))</f>
        <v/>
      </c>
      <c r="E1190">
        <f>INDEX(FactorTable!$B$2:$Y$301, MATCH(ROUND(MIN(300,MAX(1,D1190)),0), FactorTable!$A$2:$A$301,0), Skills!L12+1)</f>
        <v/>
      </c>
      <c r="F1190">
        <f>IF(Skills!M12=TRUE,(Skills!K12/10)*(E1190/1000),Skills!K12/10)+Skills!N12</f>
        <v/>
      </c>
      <c r="G1190">
        <f>Calc!G12</f>
        <v/>
      </c>
      <c r="H1190">
        <f>Calc!H12</f>
        <v/>
      </c>
      <c r="I1190">
        <f>IF(Skills!T12&lt;&gt;"",1+(Skills!T12/10)*($Z$3/1000)/100,1)</f>
        <v/>
      </c>
      <c r="J1190" t="inlineStr"/>
      <c r="K1190" t="inlineStr"/>
      <c r="L1190" t="inlineStr"/>
      <c r="M1190" t="inlineStr"/>
      <c r="N1190" t="inlineStr"/>
      <c r="O1190">
        <f>(1-Summary!$B$48)*S1190+Summary!$B$48*U1190</f>
        <v/>
      </c>
      <c r="P1190">
        <f>IF(B1220=0,0,O1190/B1220)</f>
        <v/>
      </c>
      <c r="Q1190">
        <f>IFERROR(1/IF(Inputs!$B$39="pvp",15,MAX(0.1,Skills!D12-IF(Skills!E12=TRUE,Inputs!$B$33,0))),0)</f>
        <v/>
      </c>
      <c r="R1190">
        <f>IF(AND(Inputs!$B$39&lt;&gt;"pvp",Inputs!$B$44&gt;0),IF(MAX(0,Inputs!$B$44-B1217)&lt;=0,0,(INT(MAX(0,Inputs!$B$44-B1217)/IF(Inputs!$B$39="pvp",15,MAX(0.1,Skills!D12-IF(Skills!E12=TRUE,Inputs!$B$33,0))))+1)),0)</f>
        <v/>
      </c>
      <c r="S1190" t="n">
        <v>0</v>
      </c>
      <c r="U1190" t="n">
        <v>0</v>
      </c>
    </row>
    <row r="1191">
      <c r="A1191">
        <f>Skills!A13</f>
        <v/>
      </c>
      <c r="B1191">
        <f>Skills!B13</f>
        <v/>
      </c>
      <c r="C1191">
        <f>Inputs!$B$3&gt;=60</f>
        <v/>
      </c>
      <c r="D1191">
        <f>IF(Skills!C13=1,60+Inputs!$B$26+Inputs!$B$30,IF(Skills!C13=2,90+Inputs!$B$27+Inputs!$B$30,IF(Skills!C13=3,120+Inputs!$B$28+Inputs!$B$30,MAX(0,(Inputs!$B$3-100)*3)+Inputs!$B$29+Inputs!$B$30)))</f>
        <v/>
      </c>
      <c r="E1191">
        <f>INDEX(FactorTable!$B$2:$Y$301, MATCH(ROUND(MIN(300,MAX(1,D1191)),0), FactorTable!$A$2:$A$301,0), Skills!L13+1)</f>
        <v/>
      </c>
      <c r="F1191">
        <f>IF(Skills!M13=TRUE,(Skills!K13/10)*(E1191/1000),Skills!K13/10)+Skills!N13</f>
        <v/>
      </c>
      <c r="G1191">
        <f>Calc!G13</f>
        <v/>
      </c>
      <c r="H1191">
        <f>Calc!H13</f>
        <v/>
      </c>
      <c r="I1191">
        <f>IF(Skills!T13&lt;&gt;"",1+(Skills!T13/10)*($Z$3/1000)/100,1)</f>
        <v/>
      </c>
      <c r="J1191" t="inlineStr"/>
      <c r="K1191" t="inlineStr"/>
      <c r="L1191" t="inlineStr"/>
      <c r="M1191" t="inlineStr"/>
      <c r="N1191" t="inlineStr"/>
      <c r="O1191">
        <f>(1-Summary!$B$48)*S1191+Summary!$B$48*U1191</f>
        <v/>
      </c>
      <c r="P1191">
        <f>IF(B1220=0,0,O1191/B1220)</f>
        <v/>
      </c>
      <c r="Q1191">
        <f>IFERROR(1/IF(Inputs!$B$39="pvp",15,MAX(0.1,Skills!D13-IF(Skills!E13=TRUE,Inputs!$B$33,0))),0)</f>
        <v/>
      </c>
      <c r="R1191">
        <f>IF(AND(Inputs!$B$39&lt;&gt;"pvp",Inputs!$B$44&gt;0),IF(MAX(0,Inputs!$B$44-B1217)&lt;=0,0,(INT(MAX(0,Inputs!$B$44-B1217)/IF(Inputs!$B$39="pvp",15,MAX(0.1,Skills!D13-IF(Skills!E13=TRUE,Inputs!$B$33,0))))+1)),0)</f>
        <v/>
      </c>
      <c r="S1191" t="n">
        <v>0</v>
      </c>
      <c r="U1191" t="n">
        <v>0</v>
      </c>
    </row>
    <row r="1192">
      <c r="A1192">
        <f>Skills!A14</f>
        <v/>
      </c>
      <c r="B1192">
        <f>Skills!B14</f>
        <v/>
      </c>
      <c r="C1192">
        <f>Inputs!$B$3&gt;=107</f>
        <v/>
      </c>
      <c r="D1192">
        <f>IF(Skills!C14=1,60+Inputs!$B$26+Inputs!$B$30,IF(Skills!C14=2,90+Inputs!$B$27+Inputs!$B$30,IF(Skills!C14=3,120+Inputs!$B$28+Inputs!$B$30,MAX(0,(Inputs!$B$3-100)*3)+Inputs!$B$29+Inputs!$B$30)))</f>
        <v/>
      </c>
      <c r="E1192">
        <f>INDEX(FactorTable!$B$2:$Y$301, MATCH(ROUND(MIN(300,MAX(1,D1192)),0), FactorTable!$A$2:$A$301,0), Skills!L14+1)</f>
        <v/>
      </c>
      <c r="F1192">
        <f>IF(Skills!M14=TRUE,(Skills!K14/10)*(E1192/1000),Skills!K14/10)+Skills!N14</f>
        <v/>
      </c>
      <c r="G1192">
        <f>Calc!G14</f>
        <v/>
      </c>
      <c r="H1192">
        <f>Calc!H14</f>
        <v/>
      </c>
      <c r="I1192">
        <f>IF(Skills!T14&lt;&gt;"",1+(Skills!T14/10)*($Z$3/1000)/100,1)</f>
        <v/>
      </c>
      <c r="J1192" t="inlineStr"/>
      <c r="K1192" t="inlineStr"/>
      <c r="L1192" t="inlineStr"/>
      <c r="M1192" t="inlineStr"/>
      <c r="N1192" t="inlineStr"/>
      <c r="O1192">
        <f>(1-Summary!$B$48)*S1192+Summary!$B$48*U1192</f>
        <v/>
      </c>
      <c r="P1192">
        <f>IF(B1220=0,0,O1192/B1220)</f>
        <v/>
      </c>
      <c r="Q1192">
        <f>IFERROR(1/IF(Inputs!$B$39="pvp",15,MAX(0.1,Skills!D14-IF(Skills!E14=TRUE,Inputs!$B$33,0))),0)</f>
        <v/>
      </c>
      <c r="R1192">
        <f>IF(AND(Inputs!$B$39&lt;&gt;"pvp",Inputs!$B$44&gt;0),IF(Inputs!$B$44&lt;=0,0,(INT(Inputs!$B$44/IF(Inputs!$B$39="pvp",15,MAX(0.1,Skills!D14-IF(Skills!E14=TRUE,Inputs!$B$33,0))))+1)),0)</f>
        <v/>
      </c>
      <c r="S1192" t="n">
        <v>0</v>
      </c>
      <c r="U1192" t="n">
        <v>0</v>
      </c>
    </row>
    <row r="1193">
      <c r="A1193">
        <f>Skills!A15</f>
        <v/>
      </c>
      <c r="B1193">
        <f>Skills!B15</f>
        <v/>
      </c>
      <c r="C1193">
        <f>Inputs!$B$3&gt;=63</f>
        <v/>
      </c>
      <c r="D1193">
        <f>IF(Skills!C15=1,60+Inputs!$B$26+Inputs!$B$30,IF(Skills!C15=2,90+Inputs!$B$27+Inputs!$B$30,IF(Skills!C15=3,120+Inputs!$B$28+Inputs!$B$30,MAX(0,(Inputs!$B$3-100)*3)+Inputs!$B$29+Inputs!$B$30)))</f>
        <v/>
      </c>
      <c r="E1193">
        <f>INDEX(FactorTable!$B$2:$Y$301, MATCH(ROUND(MIN(300,MAX(1,D1193)),0), FactorTable!$A$2:$A$301,0), Skills!L15+1)</f>
        <v/>
      </c>
      <c r="F1193">
        <f>IF(Skills!M15=TRUE,(Skills!K15/10)*(E1193/1000),Skills!K15/10)+Skills!N15</f>
        <v/>
      </c>
      <c r="G1193">
        <f>Calc!G15</f>
        <v/>
      </c>
      <c r="H1193">
        <f>Calc!H15</f>
        <v/>
      </c>
      <c r="I1193">
        <f>IF(Skills!T15&lt;&gt;"",1+(Skills!T15/10)*($Z$3/1000)/100,1)</f>
        <v/>
      </c>
      <c r="J1193">
        <f>((Inputs!$B$6*(1+Inputs!$B$7/100))+(((Inputs!$B$13*(1+Inputs!$B$14/100))-(Inputs!$B$13*(1+Inputs!$B$14/100)))+0.25*(Inputs!$B$15-Inputs!$B$15))*(1+Inputs!$B$7/100))*(F1193/100)</f>
        <v/>
      </c>
      <c r="K1193">
        <f>J1193*(1+(((Inputs!$B$13+IF(Inputs!$B$3&gt;=35,(10*INDEX(FactorTable!$B$2:$Y$301, MATCH(ROUND(MIN(300,MAX(1,Inputs!$B$3)),0), FactorTable!$A$2:$A$301,0), 23)/1000)/100*(Inputs!$B$8*(1+(Inputs!$B$9+B1216)/100)),0))*(1+Inputs!$B$14/100))*0.01+Inputs!$B$15*0.0025)/100)*(1+(Inputs!$B$16+B1210)/100)*(1+Inputs!$B$17/100)*(5000/(6000+Inputs!$B$43*(1-Inputs!$B$20/100)))*(1+Inputs!$B$25/100)*(1+IF(C1196=TRUE,F1196,0)/100)*(1+IF(C1198=TRUE,F1198,0)/100)*(1+IF(Skills!A15="TRIUMPH_FEATHER",IF(C1194=TRUE,F1194,0),0)/100)*(1+IF(C1205=TRUE,F1205,0)/100)^5*(1+(IF(Skills!A15="BIG_BANG",Inputs!$B$18,Inputs!$B$19))/100)*(B1207*I1193)</f>
        <v/>
      </c>
      <c r="L1193">
        <f>K1193*(MIN(Inputs!$B$23+(F1200-Calc!F22),Inputs!$B$24)/100+Inputs!$B$24/100)/2</f>
        <v/>
      </c>
      <c r="M1193">
        <f>L1193*(1+(Inputs!$B$11+B1211+(F1203-Calc!F25))/100)</f>
        <v/>
      </c>
      <c r="N1193">
        <f>L1193*(1-MIN(Inputs!$B$10+((F1202-Calc!F24)+(F1201-Calc!F23)),100)/100)+M1193*(MIN(Inputs!$B$10+((F1202-Calc!F24)+(F1201-Calc!F23)),100)/100)</f>
        <v/>
      </c>
      <c r="O1193">
        <f>(1-Summary!$B$48)*S1193+Summary!$B$48*U1193</f>
        <v/>
      </c>
      <c r="P1193">
        <f>IF(B1220=0,0,O1193/B1220)</f>
        <v/>
      </c>
      <c r="Q1193">
        <f>IFERROR(1/IF(Inputs!$B$39="pvp",15,MAX(0.1,Skills!D15-IF(Skills!E15=TRUE,Inputs!$B$33,0))),0)</f>
        <v/>
      </c>
      <c r="R1193" t="n">
        <v>0</v>
      </c>
      <c r="S1193">
        <f>IF(C1193,(Skills!F15*N1193*((IF(Inputs!$B$3&gt;=78,25,15)/100*B1213*10)/(1+IF(Inputs!$B$3&gt;=78,25,15)/100*B1213*10))*(Skills!I15/100*B1213)/(1+Skills!G15*Skills!I15/100*B1213))*IF(Inputs!$B$39="pvp",1,1+(Inputs!$B$21+Skills!O15+B1208)/100),0)</f>
        <v/>
      </c>
      <c r="U1193">
        <f>IF(C1193,(Skills!F15*N1193*((IF(Inputs!$B$3&gt;=78,25,15)/100*B1213*10)/(1+IF(Inputs!$B$3&gt;=78,25,15)/100*B1213*10))*(Skills!I15/100*B1213)/(1+Skills!G15*Skills!I15/100*B1213))*IF(Inputs!$B$39="pvp",1,(1+(Inputs!$B$22+Skills!P15+B1209)/100)*(MIN(Skills!Q15,Inputs!$B$38))),0)</f>
        <v/>
      </c>
    </row>
    <row r="1194">
      <c r="A1194">
        <f>Skills!A16</f>
        <v/>
      </c>
      <c r="B1194">
        <f>Skills!B16</f>
        <v/>
      </c>
      <c r="C1194">
        <f>Inputs!$B$3&gt;=100</f>
        <v/>
      </c>
      <c r="D1194">
        <f>IF(Skills!C16=1,60+Inputs!$B$26+Inputs!$B$30,IF(Skills!C16=2,90+Inputs!$B$27+Inputs!$B$30,IF(Skills!C16=3,120+Inputs!$B$28+Inputs!$B$30,MAX(0,(Inputs!$B$3-100)*3)+Inputs!$B$29+Inputs!$B$30)))</f>
        <v/>
      </c>
      <c r="E1194">
        <f>INDEX(FactorTable!$B$2:$Y$301, MATCH(ROUND(MIN(300,MAX(1,D1194)),0), FactorTable!$A$2:$A$301,0), Skills!L16+1)</f>
        <v/>
      </c>
      <c r="F1194">
        <f>IF(Skills!M16=TRUE,(Skills!K16/10)*(E1194/1000),Skills!K16/10)+Skills!N16</f>
        <v/>
      </c>
      <c r="G1194">
        <f>Calc!G16</f>
        <v/>
      </c>
      <c r="H1194">
        <f>Calc!H16</f>
        <v/>
      </c>
      <c r="I1194">
        <f>IF(Skills!T16&lt;&gt;"",1+(Skills!T16/10)*($Z$3/1000)/100,1)</f>
        <v/>
      </c>
      <c r="J1194" t="inlineStr"/>
      <c r="K1194" t="inlineStr"/>
      <c r="L1194" t="inlineStr"/>
      <c r="M1194" t="inlineStr"/>
      <c r="N1194" t="inlineStr"/>
      <c r="O1194">
        <f>(1-Summary!$B$48)*S1194+Summary!$B$48*U1194</f>
        <v/>
      </c>
      <c r="P1194">
        <f>IF(B1220=0,0,O1194/B1220)</f>
        <v/>
      </c>
      <c r="Q1194">
        <f>IFERROR(1/IF(Inputs!$B$39="pvp",15,MAX(0.1,Skills!D16-IF(Skills!E16=TRUE,Inputs!$B$33,0))),0)</f>
        <v/>
      </c>
      <c r="R1194" t="n">
        <v>0</v>
      </c>
      <c r="S1194" t="n">
        <v>0</v>
      </c>
      <c r="U1194" t="n">
        <v>0</v>
      </c>
    </row>
    <row r="1195">
      <c r="A1195">
        <f>Skills!A17</f>
        <v/>
      </c>
      <c r="B1195">
        <f>Skills!B17</f>
        <v/>
      </c>
      <c r="C1195">
        <f>Inputs!$B$3&gt;=49</f>
        <v/>
      </c>
      <c r="D1195">
        <f>IF(Skills!C17=1,60+Inputs!$B$26+Inputs!$B$30,IF(Skills!C17=2,90+Inputs!$B$27+Inputs!$B$30,IF(Skills!C17=3,120+Inputs!$B$28+Inputs!$B$30,MAX(0,(Inputs!$B$3-100)*3)+Inputs!$B$29+Inputs!$B$30)))</f>
        <v/>
      </c>
      <c r="E1195">
        <f>INDEX(FactorTable!$B$2:$Y$301, MATCH(ROUND(MIN(300,MAX(1,D1195)),0), FactorTable!$A$2:$A$301,0), Skills!L17+1)</f>
        <v/>
      </c>
      <c r="F1195">
        <f>IF(Skills!M17=TRUE,(Skills!K17/10)*(E1195/1000),Skills!K17/10)+Skills!N17</f>
        <v/>
      </c>
      <c r="G1195">
        <f>Calc!G17</f>
        <v/>
      </c>
      <c r="H1195">
        <f>Calc!H17</f>
        <v/>
      </c>
      <c r="I1195">
        <f>IF(Skills!T17&lt;&gt;"",1+(Skills!T17/10)*($Z$3/1000)/100,1)</f>
        <v/>
      </c>
      <c r="J1195" t="inlineStr"/>
      <c r="K1195" t="inlineStr"/>
      <c r="L1195" t="inlineStr"/>
      <c r="M1195" t="inlineStr"/>
      <c r="N1195" t="inlineStr"/>
      <c r="O1195">
        <f>(1-Summary!$B$48)*S1195+Summary!$B$48*U1195</f>
        <v/>
      </c>
      <c r="P1195">
        <f>IF(B1220=0,0,O1195/B1220)</f>
        <v/>
      </c>
      <c r="Q1195">
        <f>IFERROR(1/IF(Inputs!$B$39="pvp",15,MAX(0.1,Skills!D17-IF(Skills!E17=TRUE,Inputs!$B$33,0))),0)</f>
        <v/>
      </c>
      <c r="R1195" t="n">
        <v>0</v>
      </c>
      <c r="S1195" t="n">
        <v>0</v>
      </c>
      <c r="U1195" t="n">
        <v>0</v>
      </c>
    </row>
    <row r="1196">
      <c r="A1196">
        <f>Skills!A18</f>
        <v/>
      </c>
      <c r="B1196">
        <f>Skills!B18</f>
        <v/>
      </c>
      <c r="C1196">
        <f>Inputs!$B$3&gt;=75</f>
        <v/>
      </c>
      <c r="D1196">
        <f>IF(Skills!C18=1,60+Inputs!$B$26+Inputs!$B$30,IF(Skills!C18=2,90+Inputs!$B$27+Inputs!$B$30,IF(Skills!C18=3,120+Inputs!$B$28+Inputs!$B$30,MAX(0,(Inputs!$B$3-100)*3)+Inputs!$B$29+Inputs!$B$30)))</f>
        <v/>
      </c>
      <c r="E1196">
        <f>INDEX(FactorTable!$B$2:$Y$301, MATCH(ROUND(MIN(300,MAX(1,D1196)),0), FactorTable!$A$2:$A$301,0), Skills!L18+1)</f>
        <v/>
      </c>
      <c r="F1196">
        <f>IF(Skills!M18=TRUE,(Skills!K18/10)*(E1196/1000),Skills!K18/10)+Skills!N18</f>
        <v/>
      </c>
      <c r="G1196">
        <f>Calc!G18</f>
        <v/>
      </c>
      <c r="H1196">
        <f>Calc!H18</f>
        <v/>
      </c>
      <c r="I1196">
        <f>IF(Skills!T18&lt;&gt;"",1+(Skills!T18/10)*($Z$3/1000)/100,1)</f>
        <v/>
      </c>
      <c r="J1196" t="inlineStr"/>
      <c r="K1196" t="inlineStr"/>
      <c r="L1196" t="inlineStr"/>
      <c r="M1196" t="inlineStr"/>
      <c r="N1196" t="inlineStr"/>
      <c r="O1196">
        <f>(1-Summary!$B$48)*S1196+Summary!$B$48*U1196</f>
        <v/>
      </c>
      <c r="P1196">
        <f>IF(B1220=0,0,O1196/B1220)</f>
        <v/>
      </c>
      <c r="Q1196">
        <f>IFERROR(1/IF(Inputs!$B$39="pvp",15,MAX(0.1,Skills!D18-IF(Skills!E18=TRUE,Inputs!$B$33,0))),0)</f>
        <v/>
      </c>
      <c r="R1196" t="n">
        <v>0</v>
      </c>
      <c r="S1196" t="n">
        <v>0</v>
      </c>
      <c r="U1196" t="n">
        <v>0</v>
      </c>
    </row>
    <row r="1197">
      <c r="A1197">
        <f>Skills!A19</f>
        <v/>
      </c>
      <c r="B1197">
        <f>Skills!B19</f>
        <v/>
      </c>
      <c r="C1197">
        <f>Inputs!$B$3&gt;=110</f>
        <v/>
      </c>
      <c r="D1197">
        <f>IF(Skills!C19=1,60+Inputs!$B$26+Inputs!$B$30,IF(Skills!C19=2,90+Inputs!$B$27+Inputs!$B$30,IF(Skills!C19=3,120+Inputs!$B$28+Inputs!$B$30,MAX(0,(Inputs!$B$3-100)*3)+Inputs!$B$29+Inputs!$B$30)))</f>
        <v/>
      </c>
      <c r="E1197">
        <f>INDEX(FactorTable!$B$2:$Y$301, MATCH(ROUND(MIN(300,MAX(1,D1197)),0), FactorTable!$A$2:$A$301,0), Skills!L19+1)</f>
        <v/>
      </c>
      <c r="F1197">
        <f>(Skills!K19/10)*(E1197/1000)*64/45+Skills!N19</f>
        <v/>
      </c>
      <c r="G1197">
        <f>Calc!G19</f>
        <v/>
      </c>
      <c r="H1197">
        <f>Calc!H19</f>
        <v/>
      </c>
      <c r="I1197">
        <f>IF(Skills!T19&lt;&gt;"",1+(Skills!T19/10)*($Z$3/1000)/100,1)</f>
        <v/>
      </c>
      <c r="J1197" t="inlineStr"/>
      <c r="K1197" t="inlineStr"/>
      <c r="L1197" t="inlineStr"/>
      <c r="M1197" t="inlineStr"/>
      <c r="N1197" t="inlineStr"/>
      <c r="O1197">
        <f>(1-Summary!$B$48)*S1197+Summary!$B$48*U1197</f>
        <v/>
      </c>
      <c r="P1197">
        <f>IF(B1220=0,0,O1197/B1220)</f>
        <v/>
      </c>
      <c r="Q1197">
        <f>IFERROR(1/IF(Inputs!$B$39="pvp",15,MAX(0.1,Skills!D19-IF(Skills!E19=TRUE,Inputs!$B$33,0))),0)</f>
        <v/>
      </c>
      <c r="R1197">
        <f>IF(AND(Inputs!$B$39&lt;&gt;"pvp",Inputs!$B$44&gt;0),IF(Inputs!$B$44&lt;=0,0,(INT(Inputs!$B$44/IF(Inputs!$B$39="pvp",15,MAX(0.1,Skills!D19-IF(Skills!E19=TRUE,Inputs!$B$33,0))))+1)),0)</f>
        <v/>
      </c>
      <c r="S1197" t="n">
        <v>0</v>
      </c>
      <c r="U1197" t="n">
        <v>0</v>
      </c>
    </row>
    <row r="1198">
      <c r="A1198">
        <f>Skills!A20</f>
        <v/>
      </c>
      <c r="B1198">
        <f>Skills!B20</f>
        <v/>
      </c>
      <c r="C1198">
        <f>Inputs!$B$3&gt;=125</f>
        <v/>
      </c>
      <c r="D1198">
        <f>IF(Skills!C20=1,60+Inputs!$B$26+Inputs!$B$30,IF(Skills!C20=2,90+Inputs!$B$27+Inputs!$B$30,IF(Skills!C20=3,120+Inputs!$B$28+Inputs!$B$30,MAX(0,(Inputs!$B$3-100)*3)+Inputs!$B$29+Inputs!$B$30)))</f>
        <v/>
      </c>
      <c r="E1198">
        <f>INDEX(FactorTable!$B$2:$Y$301, MATCH(ROUND(MIN(300,MAX(1,D1198)),0), FactorTable!$A$2:$A$301,0), Skills!L20+1)</f>
        <v/>
      </c>
      <c r="F1198">
        <f>IF(Skills!M20=TRUE,(Skills!K20/10)*(E1198/1000),Skills!K20/10)+Skills!N20</f>
        <v/>
      </c>
      <c r="G1198">
        <f>Calc!G20</f>
        <v/>
      </c>
      <c r="H1198">
        <f>Calc!H20</f>
        <v/>
      </c>
      <c r="I1198">
        <f>IF(Skills!T20&lt;&gt;"",1+(Skills!T20/10)*($Z$3/1000)/100,1)</f>
        <v/>
      </c>
      <c r="J1198" t="inlineStr"/>
      <c r="K1198" t="inlineStr"/>
      <c r="L1198" t="inlineStr"/>
      <c r="M1198" t="inlineStr"/>
      <c r="N1198" t="inlineStr"/>
      <c r="O1198">
        <f>(1-Summary!$B$48)*S1198+Summary!$B$48*U1198</f>
        <v/>
      </c>
      <c r="P1198">
        <f>IF(B1220=0,0,O1198/B1220)</f>
        <v/>
      </c>
      <c r="Q1198">
        <f>IFERROR(1/IF(Inputs!$B$39="pvp",15,MAX(0.1,Skills!D20-IF(Skills!E20=TRUE,Inputs!$B$33,0))),0)</f>
        <v/>
      </c>
      <c r="R1198" t="n">
        <v>0</v>
      </c>
      <c r="S1198" t="n">
        <v>0</v>
      </c>
      <c r="U1198" t="n">
        <v>0</v>
      </c>
    </row>
    <row r="1199">
      <c r="A1199">
        <f>Skills!A21</f>
        <v/>
      </c>
      <c r="B1199">
        <f>Skills!B21</f>
        <v/>
      </c>
      <c r="C1199">
        <f>Inputs!$B$3&gt;=33</f>
        <v/>
      </c>
      <c r="D1199">
        <f>IF(Skills!C21=1,60+Inputs!$B$26+Inputs!$B$30,IF(Skills!C21=2,90+Inputs!$B$27+Inputs!$B$30,IF(Skills!C21=3,120+Inputs!$B$28+Inputs!$B$30,MAX(0,(Inputs!$B$3-100)*3)+Inputs!$B$29+Inputs!$B$30)))</f>
        <v/>
      </c>
      <c r="E1199">
        <f>INDEX(FactorTable!$B$2:$Y$301, MATCH(ROUND(MIN(300,MAX(1,D1199)),0), FactorTable!$A$2:$A$301,0), Skills!L21+1)</f>
        <v/>
      </c>
      <c r="F1199">
        <f>IF(Skills!M21=TRUE,(Skills!K21/10)*(E1199/1000),Skills!K21/10)+Skills!N21</f>
        <v/>
      </c>
      <c r="G1199">
        <f>Calc!G21</f>
        <v/>
      </c>
      <c r="H1199">
        <f>Calc!H21</f>
        <v/>
      </c>
      <c r="I1199">
        <f>IF(Skills!T21&lt;&gt;"",1+(Skills!T21/10)*($Z$3/1000)/100,1)</f>
        <v/>
      </c>
      <c r="J1199" t="inlineStr"/>
      <c r="K1199" t="inlineStr"/>
      <c r="L1199" t="inlineStr"/>
      <c r="M1199" t="inlineStr"/>
      <c r="N1199" t="inlineStr"/>
      <c r="O1199">
        <f>(1-Summary!$B$48)*S1199+Summary!$B$48*U1199</f>
        <v/>
      </c>
      <c r="P1199">
        <f>IF(B1220=0,0,O1199/B1220)</f>
        <v/>
      </c>
      <c r="Q1199">
        <f>IFERROR(1/IF(Inputs!$B$39="pvp",15,MAX(0.1,Skills!D21-IF(Skills!E21=TRUE,Inputs!$B$33,0))),0)</f>
        <v/>
      </c>
      <c r="R1199" t="n">
        <v>0</v>
      </c>
      <c r="S1199" t="n">
        <v>0</v>
      </c>
      <c r="U1199" t="n">
        <v>0</v>
      </c>
    </row>
    <row r="1200">
      <c r="A1200">
        <f>Skills!A22</f>
        <v/>
      </c>
      <c r="B1200">
        <f>Skills!B22</f>
        <v/>
      </c>
      <c r="C1200">
        <f>Inputs!$B$3&gt;=43</f>
        <v/>
      </c>
      <c r="D1200">
        <f>IF(Skills!C22=1,60+Inputs!$B$26+Inputs!$B$30,IF(Skills!C22=2,90+Inputs!$B$27+Inputs!$B$30,IF(Skills!C22=3,120+Inputs!$B$28+Inputs!$B$30,MAX(0,(Inputs!$B$3-100)*3)+Inputs!$B$29+Inputs!$B$30)))</f>
        <v/>
      </c>
      <c r="E1200">
        <f>INDEX(FactorTable!$B$2:$Y$301, MATCH(ROUND(MIN(300,MAX(1,D1200)),0), FactorTable!$A$2:$A$301,0), Skills!L22+1)</f>
        <v/>
      </c>
      <c r="F1200">
        <f>IF(Skills!M22=TRUE,(Skills!K22/10)*(E1200/1000),Skills!K22/10)+Skills!N22</f>
        <v/>
      </c>
      <c r="G1200">
        <f>Calc!G22</f>
        <v/>
      </c>
      <c r="H1200">
        <f>Calc!H22</f>
        <v/>
      </c>
      <c r="I1200">
        <f>IF(Skills!T22&lt;&gt;"",1+(Skills!T22/10)*($Z$3/1000)/100,1)</f>
        <v/>
      </c>
      <c r="J1200" t="inlineStr"/>
      <c r="K1200" t="inlineStr"/>
      <c r="L1200" t="inlineStr"/>
      <c r="M1200" t="inlineStr"/>
      <c r="N1200" t="inlineStr"/>
      <c r="O1200">
        <f>(1-Summary!$B$48)*S1200+Summary!$B$48*U1200</f>
        <v/>
      </c>
      <c r="P1200">
        <f>IF(B1220=0,0,O1200/B1220)</f>
        <v/>
      </c>
      <c r="Q1200">
        <f>IFERROR(1/IF(Inputs!$B$39="pvp",15,MAX(0.1,Skills!D22-IF(Skills!E22=TRUE,Inputs!$B$33,0))),0)</f>
        <v/>
      </c>
      <c r="R1200" t="n">
        <v>0</v>
      </c>
      <c r="S1200" t="n">
        <v>0</v>
      </c>
      <c r="U1200" t="n">
        <v>0</v>
      </c>
    </row>
    <row r="1201">
      <c r="A1201">
        <f>Skills!A23</f>
        <v/>
      </c>
      <c r="B1201">
        <f>Skills!B23</f>
        <v/>
      </c>
      <c r="C1201">
        <f>Inputs!$B$3&gt;=50</f>
        <v/>
      </c>
      <c r="D1201">
        <f>IF(Skills!C23=1,60+Inputs!$B$26+Inputs!$B$30,IF(Skills!C23=2,90+Inputs!$B$27+Inputs!$B$30,IF(Skills!C23=3,120+Inputs!$B$28+Inputs!$B$30,MAX(0,(Inputs!$B$3-100)*3)+Inputs!$B$29+Inputs!$B$30)))</f>
        <v/>
      </c>
      <c r="E1201">
        <f>INDEX(FactorTable!$B$2:$Y$301, MATCH(ROUND(MIN(300,MAX(1,D1201)),0), FactorTable!$A$2:$A$301,0), Skills!L23+1)</f>
        <v/>
      </c>
      <c r="F1201">
        <f>IF(Skills!M23=TRUE,(Skills!K23/10)*(E1201/1000),Skills!K23/10)+Skills!N23</f>
        <v/>
      </c>
      <c r="G1201">
        <f>Calc!G23</f>
        <v/>
      </c>
      <c r="H1201">
        <f>Calc!H23</f>
        <v/>
      </c>
      <c r="I1201">
        <f>IF(Skills!T23&lt;&gt;"",1+(Skills!T23/10)*($Z$3/1000)/100,1)</f>
        <v/>
      </c>
      <c r="J1201" t="inlineStr"/>
      <c r="K1201" t="inlineStr"/>
      <c r="L1201" t="inlineStr"/>
      <c r="M1201" t="inlineStr"/>
      <c r="N1201" t="inlineStr"/>
      <c r="O1201">
        <f>(1-Summary!$B$48)*S1201+Summary!$B$48*U1201</f>
        <v/>
      </c>
      <c r="P1201">
        <f>IF(B1220=0,0,O1201/B1220)</f>
        <v/>
      </c>
      <c r="Q1201">
        <f>IFERROR(1/IF(Inputs!$B$39="pvp",15,MAX(0.1,Skills!D23-IF(Skills!E23=TRUE,Inputs!$B$33,0))),0)</f>
        <v/>
      </c>
      <c r="R1201" t="n">
        <v>0</v>
      </c>
      <c r="S1201" t="n">
        <v>0</v>
      </c>
      <c r="U1201" t="n">
        <v>0</v>
      </c>
    </row>
    <row r="1202">
      <c r="A1202">
        <f>Skills!A24</f>
        <v/>
      </c>
      <c r="B1202">
        <f>Skills!B24</f>
        <v/>
      </c>
      <c r="C1202">
        <f>Inputs!$B$3&gt;=74</f>
        <v/>
      </c>
      <c r="D1202">
        <f>IF(Skills!C24=1,60+Inputs!$B$26+Inputs!$B$30,IF(Skills!C24=2,90+Inputs!$B$27+Inputs!$B$30,IF(Skills!C24=3,120+Inputs!$B$28+Inputs!$B$30,MAX(0,(Inputs!$B$3-100)*3)+Inputs!$B$29+Inputs!$B$30)))</f>
        <v/>
      </c>
      <c r="E1202">
        <f>INDEX(FactorTable!$B$2:$Y$301, MATCH(ROUND(MIN(300,MAX(1,D1202)),0), FactorTable!$A$2:$A$301,0), Skills!L24+1)</f>
        <v/>
      </c>
      <c r="F1202">
        <f>IF(Skills!M24=TRUE,(Skills!K24/10)*(E1202/1000),Skills!K24/10)+Skills!N24</f>
        <v/>
      </c>
      <c r="G1202">
        <f>Calc!G24</f>
        <v/>
      </c>
      <c r="H1202">
        <f>Calc!H24</f>
        <v/>
      </c>
      <c r="I1202">
        <f>IF(Skills!T24&lt;&gt;"",1+(Skills!T24/10)*($Z$3/1000)/100,1)</f>
        <v/>
      </c>
      <c r="J1202" t="inlineStr"/>
      <c r="K1202" t="inlineStr"/>
      <c r="L1202" t="inlineStr"/>
      <c r="M1202" t="inlineStr"/>
      <c r="N1202" t="inlineStr"/>
      <c r="O1202">
        <f>(1-Summary!$B$48)*S1202+Summary!$B$48*U1202</f>
        <v/>
      </c>
      <c r="P1202">
        <f>IF(B1220=0,0,O1202/B1220)</f>
        <v/>
      </c>
      <c r="Q1202">
        <f>IFERROR(1/IF(Inputs!$B$39="pvp",15,MAX(0.1,Skills!D24-IF(Skills!E24=TRUE,Inputs!$B$33,0))),0)</f>
        <v/>
      </c>
      <c r="R1202" t="n">
        <v>0</v>
      </c>
      <c r="S1202" t="n">
        <v>0</v>
      </c>
      <c r="U1202" t="n">
        <v>0</v>
      </c>
    </row>
    <row r="1203">
      <c r="A1203">
        <f>Skills!A25</f>
        <v/>
      </c>
      <c r="B1203">
        <f>Skills!B25</f>
        <v/>
      </c>
      <c r="C1203">
        <f>Inputs!$B$3&gt;=74</f>
        <v/>
      </c>
      <c r="D1203">
        <f>IF(Skills!C25=1,60+Inputs!$B$26+Inputs!$B$30,IF(Skills!C25=2,90+Inputs!$B$27+Inputs!$B$30,IF(Skills!C25=3,120+Inputs!$B$28+Inputs!$B$30,MAX(0,(Inputs!$B$3-100)*3)+Inputs!$B$29+Inputs!$B$30)))</f>
        <v/>
      </c>
      <c r="E1203">
        <f>INDEX(FactorTable!$B$2:$Y$301, MATCH(ROUND(MIN(300,MAX(1,D1203)),0), FactorTable!$A$2:$A$301,0), Skills!L25+1)</f>
        <v/>
      </c>
      <c r="F1203">
        <f>IF(Skills!M25=TRUE,(Skills!K25/10)*(E1203/1000),Skills!K25/10)+Skills!N25</f>
        <v/>
      </c>
      <c r="G1203">
        <f>Calc!G25</f>
        <v/>
      </c>
      <c r="H1203">
        <f>Calc!H25</f>
        <v/>
      </c>
      <c r="I1203">
        <f>IF(Skills!T25&lt;&gt;"",1+(Skills!T25/10)*($Z$3/1000)/100,1)</f>
        <v/>
      </c>
      <c r="J1203" t="inlineStr"/>
      <c r="K1203" t="inlineStr"/>
      <c r="L1203" t="inlineStr"/>
      <c r="M1203" t="inlineStr"/>
      <c r="N1203" t="inlineStr"/>
      <c r="O1203">
        <f>(1-Summary!$B$48)*S1203+Summary!$B$48*U1203</f>
        <v/>
      </c>
      <c r="P1203">
        <f>IF(B1220=0,0,O1203/B1220)</f>
        <v/>
      </c>
      <c r="Q1203">
        <f>IFERROR(1/IF(Inputs!$B$39="pvp",15,MAX(0.1,Skills!D25-IF(Skills!E25=TRUE,Inputs!$B$33,0))),0)</f>
        <v/>
      </c>
      <c r="R1203" t="n">
        <v>0</v>
      </c>
      <c r="S1203" t="n">
        <v>0</v>
      </c>
      <c r="U1203" t="n">
        <v>0</v>
      </c>
    </row>
    <row r="1204">
      <c r="A1204">
        <f>Skills!A26</f>
        <v/>
      </c>
      <c r="B1204">
        <f>Skills!B26</f>
        <v/>
      </c>
      <c r="C1204">
        <f>Inputs!$B$3&gt;=117</f>
        <v/>
      </c>
      <c r="D1204">
        <f>IF(Skills!C26=1,60+Inputs!$B$26+Inputs!$B$30,IF(Skills!C26=2,90+Inputs!$B$27+Inputs!$B$30,IF(Skills!C26=3,120+Inputs!$B$28+Inputs!$B$30,MAX(0,(Inputs!$B$3-100)*3)+Inputs!$B$29+Inputs!$B$30)))</f>
        <v/>
      </c>
      <c r="E1204">
        <f>INDEX(FactorTable!$B$2:$Y$301, MATCH(ROUND(MIN(300,MAX(1,D1204)),0), FactorTable!$A$2:$A$301,0), Skills!L26+1)</f>
        <v/>
      </c>
      <c r="F1204">
        <f>IF(Skills!M26=TRUE,(Skills!K26/10)*(E1204/1000),Skills!K26/10)+Skills!N26</f>
        <v/>
      </c>
      <c r="G1204">
        <f>Calc!G26</f>
        <v/>
      </c>
      <c r="H1204">
        <f>Calc!H26</f>
        <v/>
      </c>
      <c r="I1204">
        <f>IF(Skills!T26&lt;&gt;"",1+(Skills!T26/10)*($Z$3/1000)/100,1)</f>
        <v/>
      </c>
      <c r="J1204" t="inlineStr"/>
      <c r="K1204" t="inlineStr"/>
      <c r="L1204" t="inlineStr"/>
      <c r="M1204" t="inlineStr"/>
      <c r="N1204" t="inlineStr"/>
      <c r="O1204">
        <f>(1-Summary!$B$48)*S1204+Summary!$B$48*U1204</f>
        <v/>
      </c>
      <c r="P1204">
        <f>IF(B1220=0,0,O1204/B1220)</f>
        <v/>
      </c>
      <c r="Q1204">
        <f>IFERROR(1/IF(Inputs!$B$39="pvp",15,MAX(0.1,Skills!D26-IF(Skills!E26=TRUE,Inputs!$B$33,0))),0)</f>
        <v/>
      </c>
      <c r="R1204" t="n">
        <v>0</v>
      </c>
      <c r="S1204" t="n">
        <v>0</v>
      </c>
      <c r="U1204" t="n">
        <v>0</v>
      </c>
    </row>
    <row r="1205">
      <c r="A1205">
        <f>Skills!A27</f>
        <v/>
      </c>
      <c r="B1205">
        <f>Skills!B27</f>
        <v/>
      </c>
      <c r="C1205">
        <f>Inputs!$B$3&gt;=120</f>
        <v/>
      </c>
      <c r="D1205">
        <f>IF(Skills!C27=1,60+Inputs!$B$26+Inputs!$B$30,IF(Skills!C27=2,90+Inputs!$B$27+Inputs!$B$30,IF(Skills!C27=3,120+Inputs!$B$28+Inputs!$B$30,MAX(0,(Inputs!$B$3-100)*3)+Inputs!$B$29+Inputs!$B$30)))</f>
        <v/>
      </c>
      <c r="E1205">
        <f>INDEX(FactorTable!$B$2:$Y$301, MATCH(ROUND(MIN(300,MAX(1,D1205)),0), FactorTable!$A$2:$A$301,0), Skills!L27+1)</f>
        <v/>
      </c>
      <c r="F1205">
        <f>IF(Skills!M27=TRUE,(Skills!K27/10)*(E1205/1000),Skills!K27/10)+Skills!N27</f>
        <v/>
      </c>
      <c r="G1205">
        <f>Calc!G27</f>
        <v/>
      </c>
      <c r="H1205">
        <f>Calc!H27</f>
        <v/>
      </c>
      <c r="I1205">
        <f>IF(Skills!T27&lt;&gt;"",1+(Skills!T27/10)*($Z$3/1000)/100,1)</f>
        <v/>
      </c>
      <c r="J1205" t="inlineStr"/>
      <c r="K1205" t="inlineStr"/>
      <c r="L1205" t="inlineStr"/>
      <c r="M1205" t="inlineStr"/>
      <c r="N1205" t="inlineStr"/>
      <c r="O1205">
        <f>(1-Summary!$B$48)*S1205+Summary!$B$48*U1205</f>
        <v/>
      </c>
      <c r="P1205">
        <f>IF(B1220=0,0,O1205/B1220)</f>
        <v/>
      </c>
      <c r="Q1205">
        <f>IFERROR(1/IF(Inputs!$B$39="pvp",15,MAX(0.1,Skills!D27-IF(Skills!E27=TRUE,Inputs!$B$33,0))),0)</f>
        <v/>
      </c>
      <c r="R1205" t="n">
        <v>0</v>
      </c>
      <c r="S1205" t="n">
        <v>0</v>
      </c>
      <c r="U1205" t="n">
        <v>0</v>
      </c>
    </row>
    <row r="1207">
      <c r="A1207" t="inlineStr">
        <is>
          <t>Average Buff Multiplier</t>
        </is>
      </c>
      <c r="B1207">
        <f>(1+(IF(C1181=TRUE,F1181*IF(AND(Inputs!$B$39&lt;&gt;"pvp",Inputs!$B$44&gt;0),(((R1181-1)*(Skills!S3*(1+((Inputs!$B$35+1)+IF(Inputs!$B$3&gt;=117,F1204,0))/100))+MIN((Skills!S3*(1+((Inputs!$B$35+1)+IF(Inputs!$B$3&gt;=117,F1204,0))/100)),MAX(0,Inputs!$B$44-((R1181-1)*Skills!D3))))/Inputs!$B$44),IF(Inputs!$B$39="pvp",MIN((Skills!S3*(1+((Inputs!$B$35+1)+IF(Inputs!$B$3&gt;=117,F1204,0))/100)),15)/15,(Skills!S3*(1+((Inputs!$B$35+1)+IF(Inputs!$B$3&gt;=117,F1204,0))/100))/Skills!D3)),0)+IF(C1182=TRUE,F1182*IF(AND(Inputs!$B$39&lt;&gt;"pvp",Inputs!$B$44&gt;0),(((R1182-1)*(Skills!S4*(1+((Inputs!$B$35+1)+IF(Inputs!$B$3&gt;=117,F1204,0))/100))+MIN((Skills!S4*(1+((Inputs!$B$35+1)+IF(Inputs!$B$3&gt;=117,F1204,0))/100)),MAX(0,Inputs!$B$44-((R1182-1)*Skills!D4))))/Inputs!$B$44),IF(Inputs!$B$39="pvp",MIN((Skills!S4*(1+((Inputs!$B$35+1)+IF(Inputs!$B$3&gt;=117,F1204,0))/100)),15)/15,(Skills!S4*(1+((Inputs!$B$35+1)+IF(Inputs!$B$3&gt;=117,F1204,0))/100))/Skills!D4)),0)+IF(C1183=TRUE,F1183*IF(AND(Inputs!$B$39&lt;&gt;"pvp",Inputs!$B$44&gt;0),(((R1183-1)*(Skills!S5*(1+((Inputs!$B$35+1)+IF(Inputs!$B$3&gt;=117,F1204,0))/100))+MIN((Skills!S5*(1+((Inputs!$B$35+1)+IF(Inputs!$B$3&gt;=117,F1204,0))/100)),MAX(0,Inputs!$B$44-((R1183-1)*Skills!D5))))/Inputs!$B$44),IF(Inputs!$B$39="pvp",MIN((Skills!S5*(1+((Inputs!$B$35+1)+IF(Inputs!$B$3&gt;=117,F1204,0))/100)),15)/15,(Skills!S5*(1+((Inputs!$B$35+1)+IF(Inputs!$B$3&gt;=117,F1204,0))/100))/Skills!D5)),0)+IF(C1189=TRUE,F1189*IF(AND(Inputs!$B$39&lt;&gt;"pvp",Inputs!$B$44&gt;0),(((R1189-1)*(Skills!S11*(1+((Inputs!$B$35+1)+IF(Inputs!$B$3&gt;=117,F1204,0))/100))+MIN((Skills!S11*(1+((Inputs!$B$35+1)+IF(Inputs!$B$3&gt;=117,F1204,0))/100)),MAX(0,Inputs!$B$44-((R1189-1)*Skills!D11))))/Inputs!$B$44),IF(Inputs!$B$39="pvp",MIN((Skills!S11*(1+((Inputs!$B$35+1)+IF(Inputs!$B$3&gt;=117,F1204,0))/100)),15)/15,(Skills!S11*(1+((Inputs!$B$35+1)+IF(Inputs!$B$3&gt;=117,F1204,0))/100))/Skills!D11)),0))/100)*IF(C1192=TRUE,(1+F1192*IF(AND(Inputs!$B$39&lt;&gt;"pvp",Inputs!$B$44&gt;0),(((R1192-1)*(Skills!S14*(1+((Inputs!$B$35+1)+IF(Inputs!$B$3&gt;=117,F1204,0))/100))+MIN((Skills!S14*(1+((Inputs!$B$35+1)+IF(Inputs!$B$3&gt;=117,F1204,0))/100)),MAX(0,Inputs!$B$44-((R1192-1)*Skills!D14))))/Inputs!$B$44),IF(Inputs!$B$39="pvp",MIN((Skills!S14*(1+((Inputs!$B$35+1)+IF(Inputs!$B$3&gt;=117,F1204,0))/100)),15)/15,(Skills!S14*(1+((Inputs!$B$35+1)+IF(Inputs!$B$3&gt;=117,F1204,0))/100))/Skills!D14))/100),1)*IF(C1197=TRUE,(1+F1197*IF(AND(Inputs!$B$39&lt;&gt;"pvp",Inputs!$B$44&gt;0),(((R1197-1)*(Skills!S19*(1+((Inputs!$B$35+1)+IF(Inputs!$B$3&gt;=117,F1204,0))/100))+MIN((Skills!S19*(1+((Inputs!$B$35+1)+IF(Inputs!$B$3&gt;=117,F1204,0))/100)),MAX(0,Inputs!$B$44-((R1197-1)*Skills!D19))))/Inputs!$B$44),IF(Inputs!$B$39="pvp",MIN((Skills!S19*(1+((Inputs!$B$35+1)+IF(Inputs!$B$3&gt;=117,F1204,0))/100)),15)/15,(Skills!S19*(1+((Inputs!$B$35+1)+IF(Inputs!$B$3&gt;=117,F1204,0))/100))/Skills!D19))/100),1)</f>
        <v/>
      </c>
    </row>
    <row r="1208">
      <c r="A1208" t="inlineStr">
        <is>
          <t>Monster Damage Taken Bonus % (Holy Fountain)</t>
        </is>
      </c>
      <c r="B1208">
        <f>IF(Inputs!$B$3&gt;=68,20*IF(Inputs!$B$39="pvp",MIN((15*(1+((Inputs!$B$35+1)+IF(Inputs!$B$3&gt;=117,F1204,0))/100)),15)/15,(15*(1+((Inputs!$B$35+1)+IF(Inputs!$B$3&gt;=117,F1204,0))/100))/Skills!D10),0)</f>
        <v/>
      </c>
    </row>
    <row r="1209">
      <c r="A1209" t="inlineStr">
        <is>
          <t>Normal Monster Damage Bonus % (Holy Symbol)</t>
        </is>
      </c>
      <c r="B1209">
        <f>IF(C1190=TRUE,F1190*IF(AND(Inputs!$B$39&lt;&gt;"pvp",Inputs!$B$44&gt;0),(((R1190-1)*(Skills!S12*(1+((Inputs!$B$35+1)+IF(Inputs!$B$3&gt;=117,F1204,0))/100))+MIN((Skills!S12*(1+((Inputs!$B$35+1)+IF(Inputs!$B$3&gt;=117,F1204,0))/100)),MAX(0,Inputs!$B$44-((R1190-1)*Skills!D12))))/Inputs!$B$44),IF(Inputs!$B$39="pvp",MIN((Skills!S12*(1+((Inputs!$B$35+1)+IF(Inputs!$B$3&gt;=117,F1204,0))/100)),15)/15,(Skills!S12*(1+((Inputs!$B$35+1)+IF(Inputs!$B$3&gt;=117,F1204,0))/100))/Skills!D12)),0)</f>
        <v/>
      </c>
    </row>
    <row r="1210">
      <c r="A1210" t="inlineStr">
        <is>
          <t>Damage % Bonus (Holy Symbol - Damage Boost)</t>
        </is>
      </c>
      <c r="B1210">
        <f>Skills!O12</f>
        <v/>
      </c>
    </row>
    <row r="1211">
      <c r="A1211" t="inlineStr">
        <is>
          <t>Crit Damage % Bonus (Blood of the Divine)</t>
        </is>
      </c>
      <c r="B1211">
        <f>4*IF(C1198=TRUE,F1198,0)</f>
        <v/>
      </c>
    </row>
    <row r="1212">
      <c r="A1212" t="inlineStr">
        <is>
          <t>Attack Speed Bonus %</t>
        </is>
      </c>
      <c r="B1212">
        <f>IF(C1195=TRUE,F1195+(F1199-Calc!F21),0)+IF(Inputs!$B$3&gt;=134,15,0)</f>
        <v/>
      </c>
    </row>
    <row r="1213">
      <c r="A1213" t="inlineStr">
        <is>
          <t>Actions Per Second</t>
        </is>
      </c>
      <c r="B1213">
        <f>1+MIN(150,150*(1-(1-Inputs!$B$12/150)*(1-B1212/150)))/100</f>
        <v/>
      </c>
    </row>
    <row r="1214">
      <c r="A1214" t="inlineStr">
        <is>
          <t>Skill + Buff Cast Rate</t>
        </is>
      </c>
      <c r="B1214">
        <f>IF(AND(Inputs!$B$39&lt;&gt;"pvp",Inputs!$B$44&gt;0),SUMPRODUCT((Skills!E2:E27=TRUE)*(C1180:C1205=TRUE)*R1180:R1205)/Inputs!$B$44,SUMPRODUCT((Skills!E2:E27=TRUE)*(C1180:C1205=TRUE)*Q1180:Q1205))</f>
        <v/>
      </c>
    </row>
    <row r="1215">
      <c r="A1215" t="inlineStr">
        <is>
          <t>Big Bang Casts Per Second</t>
        </is>
      </c>
      <c r="B1215">
        <f>MAX(0,B1213-B1214)</f>
        <v/>
      </c>
    </row>
    <row r="1216">
      <c r="A1216" t="inlineStr">
        <is>
          <t>Defense % Bonus (Divine Protection)</t>
        </is>
      </c>
      <c r="B1216">
        <f>IF(C1191=TRUE,F1191*IF(AND(Inputs!$B$39&lt;&gt;"pvp",Inputs!$B$44&gt;0),(((R1191-1)*(Skills!S13*(1+((Inputs!$B$35+1)+IF(Inputs!$B$3&gt;=117,F1204,0))/100))+MIN((Skills!S13*(1+((Inputs!$B$35+1)+IF(Inputs!$B$3&gt;=117,F1204,0))/100)),MAX(0,Inputs!$B$44-((R1191-1)*Skills!D13))))/Inputs!$B$44),IF(Inputs!$B$39="pvp",MIN((Skills!S13*(1+((Inputs!$B$35+1)+IF(Inputs!$B$3&gt;=117,F1204,0))/100)),15)/15,(Skills!S13*(1+((Inputs!$B$35+1)+IF(Inputs!$B$3&gt;=117,F1204,0))/100))/Skills!D13)),0)</f>
        <v/>
      </c>
    </row>
    <row r="1217">
      <c r="A1217" t="inlineStr">
        <is>
          <t>Buff-Casting Startup Delay (s, fixed-duration only)</t>
        </is>
      </c>
      <c r="B1217">
        <f>IF(AND(Inputs!$B$39&lt;&gt;"pvp",Inputs!$B$44&gt;0),SUMPRODUCT((Skills!S2:S27&gt;0)*(Skills!E2:E27=TRUE)*(C1180:C1205=TRUE))/B1213,0)</f>
        <v/>
      </c>
    </row>
    <row r="1218">
      <c r="A1218" t="inlineStr">
        <is>
          <t>Boss-Only Total DPS (this block's swept value)</t>
        </is>
      </c>
      <c r="B1218">
        <f>SUM(S1180:S1205)</f>
        <v/>
      </c>
    </row>
    <row r="1219">
      <c r="A1219" t="inlineStr">
        <is>
          <t>Normal-Only Total DPS (this block's swept value)</t>
        </is>
      </c>
      <c r="B1219">
        <f>SUM(U1180:U1205)</f>
        <v/>
      </c>
    </row>
    <row r="1220">
      <c r="A1220" s="5" t="inlineStr">
        <is>
          <t>TOTAL DPS</t>
        </is>
      </c>
      <c r="B1220" s="5">
        <f>SUM(O1180:O1205)</f>
        <v/>
      </c>
    </row>
    <row r="1222">
      <c r="A1222" s="7" t="inlineStr">
        <is>
          <t>Cooldown Reduction Milestone Sweep (absolute CDR seconds, fixed-duration content only)</t>
        </is>
      </c>
    </row>
    <row r="1223">
      <c r="A1223" s="9" t="inlineStr">
        <is>
          <t>CDR (s)</t>
        </is>
      </c>
      <c r="B1223" s="9" t="inlineStr">
        <is>
          <t>Total DPS</t>
        </is>
      </c>
      <c r="C1223" s="9" t="inlineStr">
        <is>
          <t>DPS Gain (vs prior step)</t>
        </is>
      </c>
      <c r="D1223" s="9" t="inlineStr">
        <is>
          <t>% Gain (vs current CDR)</t>
        </is>
      </c>
    </row>
    <row r="1224">
      <c r="A1224" t="n">
        <v>0.5</v>
      </c>
      <c r="B1224">
        <f>B1278</f>
        <v/>
      </c>
      <c r="C1224" t="n">
        <v>0</v>
      </c>
      <c r="D1224">
        <f>IF(Summary!$B$3=0,0,(B1224-Summary!$B$3)/Summary!$B$3*100)</f>
        <v/>
      </c>
    </row>
    <row r="1225">
      <c r="A1225" t="n">
        <v>1</v>
      </c>
      <c r="B1225">
        <f>B1322</f>
        <v/>
      </c>
      <c r="C1225">
        <f>B1225-B1224</f>
        <v/>
      </c>
      <c r="D1225">
        <f>IF(Summary!$B$3=0,0,(B1225-Summary!$B$3)/Summary!$B$3*100)</f>
        <v/>
      </c>
    </row>
    <row r="1226">
      <c r="A1226" t="n">
        <v>1.5</v>
      </c>
      <c r="B1226">
        <f>B1366</f>
        <v/>
      </c>
      <c r="C1226">
        <f>B1226-B1225</f>
        <v/>
      </c>
      <c r="D1226">
        <f>IF(Summary!$B$3=0,0,(B1226-Summary!$B$3)/Summary!$B$3*100)</f>
        <v/>
      </c>
    </row>
    <row r="1227">
      <c r="A1227" t="n">
        <v>2</v>
      </c>
      <c r="B1227">
        <f>B1410</f>
        <v/>
      </c>
      <c r="C1227">
        <f>B1227-B1226</f>
        <v/>
      </c>
      <c r="D1227">
        <f>IF(Summary!$B$3=0,0,(B1227-Summary!$B$3)/Summary!$B$3*100)</f>
        <v/>
      </c>
    </row>
    <row r="1228">
      <c r="A1228" t="n">
        <v>2.5</v>
      </c>
      <c r="B1228">
        <f>B1454</f>
        <v/>
      </c>
      <c r="C1228">
        <f>B1228-B1227</f>
        <v/>
      </c>
      <c r="D1228">
        <f>IF(Summary!$B$3=0,0,(B1228-Summary!$B$3)/Summary!$B$3*100)</f>
        <v/>
      </c>
    </row>
    <row r="1229">
      <c r="A1229" t="n">
        <v>3</v>
      </c>
      <c r="B1229">
        <f>B1498</f>
        <v/>
      </c>
      <c r="C1229">
        <f>B1229-B1228</f>
        <v/>
      </c>
      <c r="D1229">
        <f>IF(Summary!$B$3=0,0,(B1229-Summary!$B$3)/Summary!$B$3*100)</f>
        <v/>
      </c>
    </row>
    <row r="1230">
      <c r="A1230" t="n">
        <v>3.5</v>
      </c>
      <c r="B1230">
        <f>B1542</f>
        <v/>
      </c>
      <c r="C1230">
        <f>B1230-B1229</f>
        <v/>
      </c>
      <c r="D1230">
        <f>IF(Summary!$B$3=0,0,(B1230-Summary!$B$3)/Summary!$B$3*100)</f>
        <v/>
      </c>
    </row>
    <row r="1231">
      <c r="A1231" t="n">
        <v>4</v>
      </c>
      <c r="B1231">
        <f>B1586</f>
        <v/>
      </c>
      <c r="C1231">
        <f>B1231-B1230</f>
        <v/>
      </c>
      <c r="D1231">
        <f>IF(Summary!$B$3=0,0,(B1231-Summary!$B$3)/Summary!$B$3*100)</f>
        <v/>
      </c>
    </row>
    <row r="1232">
      <c r="A1232" t="n">
        <v>4.5</v>
      </c>
      <c r="B1232">
        <f>B1630</f>
        <v/>
      </c>
      <c r="C1232">
        <f>B1232-B1231</f>
        <v/>
      </c>
      <c r="D1232">
        <f>IF(Summary!$B$3=0,0,(B1232-Summary!$B$3)/Summary!$B$3*100)</f>
        <v/>
      </c>
    </row>
    <row r="1233">
      <c r="A1233" t="n">
        <v>5</v>
      </c>
      <c r="B1233">
        <f>B1674</f>
        <v/>
      </c>
      <c r="C1233">
        <f>B1233-B1232</f>
        <v/>
      </c>
      <c r="D1233">
        <f>IF(Summary!$B$3=0,0,(B1233-Summary!$B$3)/Summary!$B$3*100)</f>
        <v/>
      </c>
    </row>
    <row r="1236">
      <c r="A1236" s="5" t="inlineStr">
        <is>
          <t>Stat: CDR = 0.5s</t>
        </is>
      </c>
    </row>
    <row r="1237">
      <c r="A1237" s="9" t="inlineStr">
        <is>
          <t>Key</t>
        </is>
      </c>
      <c r="B1237" s="9" t="inlineStr">
        <is>
          <t>Name</t>
        </is>
      </c>
      <c r="C1237" s="9" t="inlineStr">
        <is>
          <t>Unlocked</t>
        </is>
      </c>
      <c r="D1237" s="9" t="inlineStr">
        <is>
          <t>InputLevel</t>
        </is>
      </c>
      <c r="E1237" s="9" t="inlineStr">
        <is>
          <t>Factor</t>
        </is>
      </c>
      <c r="F1237" s="9" t="inlineStr">
        <is>
          <t>CoefficientPercent</t>
        </is>
      </c>
      <c r="G1237" s="9" t="inlineStr">
        <is>
          <t>EffectiveHits</t>
        </is>
      </c>
      <c r="H1237" s="9" t="inlineStr">
        <is>
          <t>ProcProbability</t>
        </is>
      </c>
      <c r="I1237" s="9" t="inlineStr">
        <is>
          <t>MapleHeroMultiplier</t>
        </is>
      </c>
      <c r="J1237" s="9" t="inlineStr">
        <is>
          <t>BaseDamage</t>
        </is>
      </c>
      <c r="K1237" s="9" t="inlineStr">
        <is>
          <t>BaseHitDamage</t>
        </is>
      </c>
      <c r="L1237" s="9" t="inlineStr">
        <is>
          <t>NonCritAvg</t>
        </is>
      </c>
      <c r="M1237" s="9" t="inlineStr">
        <is>
          <t>CritAvg</t>
        </is>
      </c>
      <c r="N1237" s="9" t="inlineStr">
        <is>
          <t>ExpectedDamage(perHit)</t>
        </is>
      </c>
      <c r="O1237" s="9" t="inlineStr">
        <is>
          <t>DPS</t>
        </is>
      </c>
      <c r="P1237" s="9" t="inlineStr">
        <is>
          <t>% of Total</t>
        </is>
      </c>
      <c r="R1237" t="inlineStr">
        <is>
          <t>helpers</t>
        </is>
      </c>
    </row>
    <row r="1238">
      <c r="A1238">
        <f>Skills!A2</f>
        <v/>
      </c>
      <c r="B1238">
        <f>Skills!B2</f>
        <v/>
      </c>
      <c r="C1238">
        <f>Inputs!$B$3&gt;=100</f>
        <v/>
      </c>
      <c r="D1238" t="inlineStr"/>
      <c r="E1238" t="inlineStr"/>
      <c r="F1238">
        <f>T1240+Skills!N2</f>
        <v/>
      </c>
      <c r="G1238">
        <f>Calc!G2</f>
        <v/>
      </c>
      <c r="H1238">
        <f>Calc!H2</f>
        <v/>
      </c>
      <c r="I1238">
        <f>IF(Skills!T2&lt;&gt;"",1+(Skills!T2/10)*($Z$3/1000)/100,1)</f>
        <v/>
      </c>
      <c r="J1238">
        <f>((Inputs!$B$6*(1+Inputs!$B$7/100))+(((Inputs!$B$13*(1+Inputs!$B$14/100))-(Inputs!$B$13*(1+Inputs!$B$14/100)))+0.25*(Inputs!$B$15-Inputs!$B$15))*(1+Inputs!$B$7/100))*(F1238/100)</f>
        <v/>
      </c>
      <c r="K1238">
        <f>J1238*(1+(((Inputs!$B$13+IF(Inputs!$B$3&gt;=35,(10*INDEX(FactorTable!$B$2:$Y$301, MATCH(ROUND(MIN(300,MAX(1,Inputs!$B$3)),0), FactorTable!$A$2:$A$301,0), 23)/1000)/100*(Inputs!$B$8*(1+(Inputs!$B$9+B1274)/100)),0))*(1+Inputs!$B$14/100))*0.01+Inputs!$B$15*0.0025)/100)*(1+(Inputs!$B$16+B1268)/100)*(1+Inputs!$B$17/100)*(5000/(6000+Inputs!$B$43*(1-Inputs!$B$20/100)))*(1+Inputs!$B$25/100)*(1+IF(C1254=TRUE,F1254,0)/100)*(1+IF(C1256=TRUE,F1256,0)/100)*(1+IF(Skills!A2="TRIUMPH_FEATHER",IF(C1252=TRUE,F1252,0),0)/100)*(1+IF(C1263=TRUE,F1263,0)/100)^5*(1+(IF(Skills!A2="BIG_BANG",Inputs!$B$18,Inputs!$B$19))/100)*(B1265*I1238)</f>
        <v/>
      </c>
      <c r="L1238">
        <f>K1238*(MIN(Inputs!$B$23+(F1258-Calc!F22),Inputs!$B$24)/100+Inputs!$B$24/100)/2</f>
        <v/>
      </c>
      <c r="M1238">
        <f>L1238*(1+(Inputs!$B$11+B1269+(F1261-Calc!F25))/100)</f>
        <v/>
      </c>
      <c r="N1238">
        <f>L1238*(1-MIN(Inputs!$B$10+((F1260-Calc!F24)+(F1259-Calc!F23)),100)/100)+M1238*(MIN(Inputs!$B$10+((F1260-Calc!F24)+(F1259-Calc!F23)),100)/100)</f>
        <v/>
      </c>
      <c r="O1238">
        <f>(1-Summary!$B$48)*S1238+Summary!$B$48*U1238</f>
        <v/>
      </c>
      <c r="P1238">
        <f>IF(B1278=0,0,O1238/B1278)</f>
        <v/>
      </c>
      <c r="Q1238">
        <f>IFERROR(1/IF(Inputs!$B$39="pvp",15,MAX(0.1,Skills!D2-IF(Skills!E2=TRUE,0.5,0))),0)</f>
        <v/>
      </c>
      <c r="R1238" t="n">
        <v>0</v>
      </c>
      <c r="S1238">
        <f>IF(C1238,(Skills!F2*N1238*B1273)*IF(Inputs!$B$39="pvp",1,1+(Inputs!$B$21+Skills!O2+B1266)/100),0)</f>
        <v/>
      </c>
      <c r="T1238">
        <f>MAX(0,(Inputs!$B$3-100)*3)+Inputs!$B$29+Inputs!$B$30</f>
        <v/>
      </c>
      <c r="U1238">
        <f>IF(C1238,(Skills!F2*N1238*B1273)*IF(Inputs!$B$39="pvp",1,(1+(Inputs!$B$22+Skills!P2+B1267)/100)*(MIN((6+Inputs!$B$34),Inputs!$B$38))),0)</f>
        <v/>
      </c>
    </row>
    <row r="1239">
      <c r="A1239">
        <f>Skills!A3</f>
        <v/>
      </c>
      <c r="B1239">
        <f>Skills!B3</f>
        <v/>
      </c>
      <c r="C1239">
        <f>Inputs!$B$3&gt;=15</f>
        <v/>
      </c>
      <c r="D1239">
        <f>IF(Skills!C3=1,60+Inputs!$B$26+Inputs!$B$30,IF(Skills!C3=2,90+Inputs!$B$27+Inputs!$B$30,IF(Skills!C3=3,120+Inputs!$B$28+Inputs!$B$30,MAX(0,(Inputs!$B$3-100)*3)+Inputs!$B$29+Inputs!$B$30)))</f>
        <v/>
      </c>
      <c r="E1239">
        <f>INDEX(FactorTable!$B$2:$Y$301, MATCH(ROUND(MIN(300,MAX(1,D1239)),0), FactorTable!$A$2:$A$301,0), Skills!L3+1)</f>
        <v/>
      </c>
      <c r="F1239">
        <f>IF(Skills!M3=TRUE,(Skills!K3/10)*(E1239/1000),Skills!K3/10)+Skills!N3</f>
        <v/>
      </c>
      <c r="G1239">
        <f>Calc!G3</f>
        <v/>
      </c>
      <c r="H1239">
        <f>Calc!H3</f>
        <v/>
      </c>
      <c r="I1239">
        <f>IF(Skills!T3&lt;&gt;"",1+(Skills!T3/10)*($Z$3/1000)/100,1)</f>
        <v/>
      </c>
      <c r="J1239" t="inlineStr"/>
      <c r="K1239" t="inlineStr"/>
      <c r="L1239" t="inlineStr"/>
      <c r="M1239" t="inlineStr"/>
      <c r="N1239" t="inlineStr"/>
      <c r="O1239">
        <f>(1-Summary!$B$48)*S1239+Summary!$B$48*U1239</f>
        <v/>
      </c>
      <c r="P1239">
        <f>IF(B1278=0,0,O1239/B1278)</f>
        <v/>
      </c>
      <c r="Q1239">
        <f>IFERROR(1/IF(Inputs!$B$39="pvp",15,MAX(0.1,Skills!D3-IF(Skills!E3=TRUE,0.5,0))),0)</f>
        <v/>
      </c>
      <c r="R1239">
        <f>IF(AND(Inputs!$B$39&lt;&gt;"pvp",Inputs!$B$44&gt;0),IF(Inputs!$B$44&lt;=0,0,(INT(Inputs!$B$44/IF(Inputs!$B$39="pvp",15,MAX(0.1,Skills!D3-IF(Skills!E3=TRUE,0.5,0))))+1)),0)</f>
        <v/>
      </c>
      <c r="S1239" t="n">
        <v>0</v>
      </c>
      <c r="T1239">
        <f>INDEX(FactorTable!$B$2:$Y$301, MATCH(ROUND(MIN(300,MAX(1,T1238)),0), FactorTable!$A$2:$A$301,0), 22)</f>
        <v/>
      </c>
      <c r="U1239" t="n">
        <v>0</v>
      </c>
    </row>
    <row r="1240">
      <c r="A1240">
        <f>Skills!A4</f>
        <v/>
      </c>
      <c r="B1240">
        <f>Skills!B4</f>
        <v/>
      </c>
      <c r="C1240">
        <f>Inputs!$B$3&gt;=38</f>
        <v/>
      </c>
      <c r="D1240">
        <f>IF(Skills!C4=1,60+Inputs!$B$26+Inputs!$B$30,IF(Skills!C4=2,90+Inputs!$B$27+Inputs!$B$30,IF(Skills!C4=3,120+Inputs!$B$28+Inputs!$B$30,MAX(0,(Inputs!$B$3-100)*3)+Inputs!$B$29+Inputs!$B$30)))</f>
        <v/>
      </c>
      <c r="E1240">
        <f>INDEX(FactorTable!$B$2:$Y$301, MATCH(ROUND(MIN(300,MAX(1,D1240)),0), FactorTable!$A$2:$A$301,0), Skills!L4+1)</f>
        <v/>
      </c>
      <c r="F1240">
        <f>IF(Skills!M4=TRUE,(Skills!K4/10)*(E1240/1000),Skills!K4/10)+Skills!N4</f>
        <v/>
      </c>
      <c r="G1240">
        <f>Calc!G4</f>
        <v/>
      </c>
      <c r="H1240">
        <f>Calc!H4</f>
        <v/>
      </c>
      <c r="I1240">
        <f>IF(Skills!T4&lt;&gt;"",1+(Skills!T4/10)*($Z$3/1000)/100,1)</f>
        <v/>
      </c>
      <c r="J1240" t="inlineStr"/>
      <c r="K1240" t="inlineStr"/>
      <c r="L1240" t="inlineStr"/>
      <c r="M1240" t="inlineStr"/>
      <c r="N1240" t="inlineStr"/>
      <c r="O1240">
        <f>(1-Summary!$B$48)*S1240+Summary!$B$48*U1240</f>
        <v/>
      </c>
      <c r="P1240">
        <f>IF(B1278=0,0,O1240/B1278)</f>
        <v/>
      </c>
      <c r="Q1240">
        <f>IFERROR(1/IF(Inputs!$B$39="pvp",15,MAX(0.1,Skills!D4-IF(Skills!E4=TRUE,0.5,0))),0)</f>
        <v/>
      </c>
      <c r="R1240">
        <f>IF(AND(Inputs!$B$39&lt;&gt;"pvp",Inputs!$B$44&gt;0),IF(Inputs!$B$44&lt;=0,0,(INT(Inputs!$B$44/IF(Inputs!$B$39="pvp",15,MAX(0.1,Skills!D4-IF(Skills!E4=TRUE,0.5,0))))+1)),0)</f>
        <v/>
      </c>
      <c r="S1240" t="n">
        <v>0</v>
      </c>
      <c r="T1240">
        <f>290*T1239/1000</f>
        <v/>
      </c>
      <c r="U1240" t="n">
        <v>0</v>
      </c>
    </row>
    <row r="1241">
      <c r="A1241">
        <f>Skills!A5</f>
        <v/>
      </c>
      <c r="B1241">
        <f>Skills!B5</f>
        <v/>
      </c>
      <c r="C1241">
        <f>Inputs!$B$3&gt;=40</f>
        <v/>
      </c>
      <c r="D1241">
        <f>IF(Skills!C5=1,60+Inputs!$B$26+Inputs!$B$30,IF(Skills!C5=2,90+Inputs!$B$27+Inputs!$B$30,IF(Skills!C5=3,120+Inputs!$B$28+Inputs!$B$30,MAX(0,(Inputs!$B$3-100)*3)+Inputs!$B$29+Inputs!$B$30)))</f>
        <v/>
      </c>
      <c r="E1241">
        <f>INDEX(FactorTable!$B$2:$Y$301, MATCH(ROUND(MIN(300,MAX(1,D1241)),0), FactorTable!$A$2:$A$301,0), Skills!L5+1)</f>
        <v/>
      </c>
      <c r="F1241">
        <f>IF(Skills!M5=TRUE,(Skills!K5/10)*(E1241/1000),Skills!K5/10)+Skills!N5</f>
        <v/>
      </c>
      <c r="G1241">
        <f>Calc!G5</f>
        <v/>
      </c>
      <c r="H1241">
        <f>Calc!H5</f>
        <v/>
      </c>
      <c r="I1241">
        <f>IF(Skills!T5&lt;&gt;"",1+(Skills!T5/10)*($Z$3/1000)/100,1)</f>
        <v/>
      </c>
      <c r="J1241" t="inlineStr"/>
      <c r="K1241" t="inlineStr"/>
      <c r="L1241" t="inlineStr"/>
      <c r="M1241" t="inlineStr"/>
      <c r="N1241" t="inlineStr"/>
      <c r="O1241">
        <f>(1-Summary!$B$48)*S1241+Summary!$B$48*U1241</f>
        <v/>
      </c>
      <c r="P1241">
        <f>IF(B1278=0,0,O1241/B1278)</f>
        <v/>
      </c>
      <c r="Q1241">
        <f>IFERROR(1/IF(Inputs!$B$39="pvp",15,MAX(0.1,Skills!D5-IF(Skills!E5=TRUE,0.5,0))),0)</f>
        <v/>
      </c>
      <c r="R1241">
        <f>IF(AND(Inputs!$B$39&lt;&gt;"pvp",Inputs!$B$44&gt;0),IF(Inputs!$B$44&lt;=0,0,(INT(Inputs!$B$44/IF(Inputs!$B$39="pvp",15,MAX(0.1,Skills!D5-IF(Skills!E5=TRUE,0.5,0))))+1)),0)</f>
        <v/>
      </c>
      <c r="S1241" t="n">
        <v>0</v>
      </c>
      <c r="U1241" t="n">
        <v>0</v>
      </c>
    </row>
    <row r="1242">
      <c r="A1242">
        <f>Skills!A6</f>
        <v/>
      </c>
      <c r="B1242">
        <f>Skills!B6</f>
        <v/>
      </c>
      <c r="C1242">
        <f>Inputs!$B$3&gt;=103</f>
        <v/>
      </c>
      <c r="D1242">
        <f>IF(Skills!C6=1,60+Inputs!$B$26+Inputs!$B$30,IF(Skills!C6=2,90+Inputs!$B$27+Inputs!$B$30,IF(Skills!C6=3,120+Inputs!$B$28+Inputs!$B$30,MAX(0,(Inputs!$B$3-100)*3)+Inputs!$B$29+Inputs!$B$30)))</f>
        <v/>
      </c>
      <c r="E1242">
        <f>INDEX(FactorTable!$B$2:$Y$301, MATCH(ROUND(MIN(300,MAX(1,D1242)),0), FactorTable!$A$2:$A$301,0), Skills!L6+1)</f>
        <v/>
      </c>
      <c r="F1242">
        <f>IF(Skills!M6=TRUE,(Skills!K6/10)*(E1242/1000),Skills!K6/10)+Skills!N6</f>
        <v/>
      </c>
      <c r="G1242">
        <f>Calc!G6</f>
        <v/>
      </c>
      <c r="H1242">
        <f>Calc!H6</f>
        <v/>
      </c>
      <c r="I1242">
        <f>IF(Skills!T6&lt;&gt;"",1+(Skills!T6/10)*($Z$3/1000)/100,1)</f>
        <v/>
      </c>
      <c r="J1242">
        <f>((Inputs!$B$6*(1+Inputs!$B$7/100))+(((Inputs!$B$13*(1+Inputs!$B$14/100))-(Inputs!$B$13*(1+Inputs!$B$14/100)))+0.25*(Inputs!$B$15-Inputs!$B$15))*(1+Inputs!$B$7/100))*(F1242/100)</f>
        <v/>
      </c>
      <c r="K1242">
        <f>J1242*(1+(((Inputs!$B$13+IF(Inputs!$B$3&gt;=35,(10*INDEX(FactorTable!$B$2:$Y$301, MATCH(ROUND(MIN(300,MAX(1,Inputs!$B$3)),0), FactorTable!$A$2:$A$301,0), 23)/1000)/100*(Inputs!$B$8*(1+(Inputs!$B$9+B1274)/100)),0))*(1+Inputs!$B$14/100))*0.01+Inputs!$B$15*0.0025)/100)*(1+(Inputs!$B$16+B1268)/100)*(1+Inputs!$B$17/100)*(5000/(6000+Inputs!$B$43*(1-Inputs!$B$20/100)))*(1+Inputs!$B$25/100)*(1+IF(C1254=TRUE,F1254,0)/100)*(1+IF(C1256=TRUE,F1256,0)/100)*(1+IF(Skills!A6="TRIUMPH_FEATHER",IF(C1252=TRUE,F1252,0),0)/100)*(1+IF(C1263=TRUE,F1263,0)/100)^5*(1+(IF(Skills!A6="BIG_BANG",Inputs!$B$18,Inputs!$B$19))/100)*(B1265*I1242)</f>
        <v/>
      </c>
      <c r="L1242">
        <f>K1242*(MIN(Inputs!$B$23+(F1258-Calc!F22),Inputs!$B$24)/100+Inputs!$B$24/100)/2</f>
        <v/>
      </c>
      <c r="M1242">
        <f>L1242*(1+(Inputs!$B$11+B1269+(F1261-Calc!F25))/100)</f>
        <v/>
      </c>
      <c r="N1242">
        <f>L1242*(1-MIN(Inputs!$B$10+((F1260-Calc!F24)+(F1259-Calc!F23)),100)/100)+M1242*(MIN(Inputs!$B$10+((F1260-Calc!F24)+(F1259-Calc!F23)),100)/100)</f>
        <v/>
      </c>
      <c r="O1242">
        <f>(1-Summary!$B$48)*S1242+Summary!$B$48*U1242</f>
        <v/>
      </c>
      <c r="P1242">
        <f>IF(B1278=0,0,O1242/B1278)</f>
        <v/>
      </c>
      <c r="Q1242">
        <f>IFERROR(1/IF(Inputs!$B$39="pvp",15,MAX(0.1,Skills!D6-IF(Skills!E6=TRUE,0.5,0))),0)</f>
        <v/>
      </c>
      <c r="R1242">
        <f>IF(AND(Inputs!$B$39&lt;&gt;"pvp",Inputs!$B$44&gt;0),IF(MAX(0,Inputs!$B$44-B1275)&lt;=0,0,(INT(MAX(0,Inputs!$B$44-B1275)/IF(Inputs!$B$39="pvp",15,MAX(0.1,Skills!D6-IF(Skills!E6=TRUE,0.5,0))))+1)),0)</f>
        <v/>
      </c>
      <c r="S1242">
        <f>IF(C1242,(H1242*N1242*IF(AND(Inputs!$B$39&lt;&gt;"pvp",Inputs!$B$44&gt;0),((Skills!F6*((R1242-1)*IF(Skills!G6&gt;0,Skills!H6/Skills!G6,1)+IF(Skills!G6&gt;0,MIN(Skills!H6,MAX(0,MAX(0,Inputs!$B$44-B1275)-((R1242-1)*IF(Inputs!$B$39="pvp",15,MAX(0.1,Skills!D6-IF(Skills!E6=TRUE,0.5,0))))))/Skills!G6,1)))/Inputs!$B$44),G1242*Q1242))*IF(Inputs!$B$39="pvp",1,1+(Inputs!$B$21+Skills!O6+B1266)/100),0)</f>
        <v/>
      </c>
      <c r="U1242">
        <f>IF(C1242,(H1242*N1242*IF(AND(Inputs!$B$39&lt;&gt;"pvp",Inputs!$B$44&gt;0),((Skills!F6*((R1242-1)*IF(Skills!G6&gt;0,Skills!H6/Skills!G6,1)+IF(Skills!G6&gt;0,MIN(Skills!H6,MAX(0,MAX(0,Inputs!$B$44-B1275)-((R1242-1)*IF(Inputs!$B$39="pvp",15,MAX(0.1,Skills!D6-IF(Skills!E6=TRUE,0.5,0))))))/Skills!G6,1)))/Inputs!$B$44),G1242*Q1242))*IF(Inputs!$B$39="pvp",1,(1+(Inputs!$B$22+Skills!P6+B1267)/100)*(MIN(Skills!Q6,Inputs!$B$38))),0)</f>
        <v/>
      </c>
    </row>
    <row r="1243">
      <c r="A1243">
        <f>Skills!A7</f>
        <v/>
      </c>
      <c r="B1243">
        <f>Skills!B7</f>
        <v/>
      </c>
      <c r="C1243">
        <f>Inputs!$B$3&gt;=122</f>
        <v/>
      </c>
      <c r="D1243">
        <f>IF(Skills!C7=1,60+Inputs!$B$26+Inputs!$B$30,IF(Skills!C7=2,90+Inputs!$B$27+Inputs!$B$30,IF(Skills!C7=3,120+Inputs!$B$28+Inputs!$B$30,MAX(0,(Inputs!$B$3-100)*3)+Inputs!$B$29+Inputs!$B$30)))</f>
        <v/>
      </c>
      <c r="E1243">
        <f>INDEX(FactorTable!$B$2:$Y$301, MATCH(ROUND(MIN(300,MAX(1,D1243)),0), FactorTable!$A$2:$A$301,0), Skills!L7+1)</f>
        <v/>
      </c>
      <c r="F1243">
        <f>IF(Skills!M7=TRUE,(Skills!K7/10)*(E1243/1000),Skills!K7/10)+Skills!N7</f>
        <v/>
      </c>
      <c r="G1243">
        <f>Calc!G7</f>
        <v/>
      </c>
      <c r="H1243">
        <f>Calc!H7</f>
        <v/>
      </c>
      <c r="I1243">
        <f>IF(Skills!T7&lt;&gt;"",1+(Skills!T7/10)*($Z$3/1000)/100,1)</f>
        <v/>
      </c>
      <c r="J1243">
        <f>((Inputs!$B$6*(1+Inputs!$B$7/100))+(((Inputs!$B$13*(1+Inputs!$B$14/100))-(Inputs!$B$13*(1+Inputs!$B$14/100)))+0.25*(Inputs!$B$15-Inputs!$B$15))*(1+Inputs!$B$7/100))*(F1243/100)</f>
        <v/>
      </c>
      <c r="K1243">
        <f>J1243*(1+(((Inputs!$B$13+IF(Inputs!$B$3&gt;=35,(10*INDEX(FactorTable!$B$2:$Y$301, MATCH(ROUND(MIN(300,MAX(1,Inputs!$B$3)),0), FactorTable!$A$2:$A$301,0), 23)/1000)/100*(Inputs!$B$8*(1+(Inputs!$B$9+B1274)/100)),0))*(1+Inputs!$B$14/100))*0.01+Inputs!$B$15*0.0025)/100)*(1+(Inputs!$B$16+B1268)/100)*(1+Inputs!$B$17/100)*(5000/(6000+Inputs!$B$43*(1-Inputs!$B$20/100)))*(1+Inputs!$B$25/100)*(1+IF(C1254=TRUE,F1254,0)/100)*(1+IF(C1256=TRUE,F1256,0)/100)*(1+IF(Skills!A7="TRIUMPH_FEATHER",IF(C1252=TRUE,F1252,0),0)/100)*(1+IF(C1263=TRUE,F1263,0)/100)^5*(1+(IF(Skills!A7="BIG_BANG",Inputs!$B$18,Inputs!$B$19))/100)*(B1265*I1243)</f>
        <v/>
      </c>
      <c r="L1243">
        <f>K1243*(MIN(Inputs!$B$23+(F1258-Calc!F22),Inputs!$B$24)/100+Inputs!$B$24/100)/2</f>
        <v/>
      </c>
      <c r="M1243">
        <f>L1243*(1+(Inputs!$B$11+B1269+(F1261-Calc!F25))/100)</f>
        <v/>
      </c>
      <c r="N1243">
        <f>L1243*(1-MIN(Inputs!$B$10+((F1260-Calc!F24)+(F1259-Calc!F23)),100)/100)+M1243*(MIN(Inputs!$B$10+((F1260-Calc!F24)+(F1259-Calc!F23)),100)/100)</f>
        <v/>
      </c>
      <c r="O1243">
        <f>(1-Summary!$B$48)*S1243+Summary!$B$48*U1243</f>
        <v/>
      </c>
      <c r="P1243">
        <f>IF(B1278=0,0,O1243/B1278)</f>
        <v/>
      </c>
      <c r="Q1243">
        <f>IFERROR(1/IF(Inputs!$B$39="pvp",15,MAX(0.1,Skills!D7-IF(Skills!E6=TRUE,0.5,0))),0)</f>
        <v/>
      </c>
      <c r="R1243">
        <f>IF(AND(Inputs!$B$39&lt;&gt;"pvp",Inputs!$B$44&gt;0),IF(MAX(0,Inputs!$B$44-B1275)&lt;=0,0,(INT(MAX(0,Inputs!$B$44-B1275)/IF(Inputs!$B$39="pvp",15,MAX(0.1,Skills!D7-IF(Skills!E6=TRUE,0.5,0))))+1)),0)</f>
        <v/>
      </c>
      <c r="S1243">
        <f>IF(C1243,H1243*N1243*IF(AND(Inputs!$B$39&lt;&gt;"pvp",Inputs!$B$44&gt;0),((Skills!F7*((R1243-1)*IF(Skills!G7&gt;0,Skills!H7/Skills!G7,1)+IF(Skills!G7&gt;0,MIN(Skills!H7,MAX(0,MAX(0,Inputs!$B$44-B1275)-((R1243-1)*IF(Inputs!$B$39="pvp",15,MAX(0.1,Skills!D7-IF(Skills!E6=TRUE,0.5,0))))))/Skills!G7,1)))/Inputs!$B$44),G1243*Q1243)*IF(Inputs!$B$39="pvp",1,1+(Inputs!$B$21+Skills!O7+B1266)/100),0)</f>
        <v/>
      </c>
      <c r="U1243" t="n">
        <v>0</v>
      </c>
    </row>
    <row r="1244">
      <c r="A1244">
        <f>Skills!A8</f>
        <v/>
      </c>
      <c r="B1244">
        <f>Skills!B8</f>
        <v/>
      </c>
      <c r="C1244">
        <f>Inputs!$B$3&gt;=105</f>
        <v/>
      </c>
      <c r="D1244">
        <f>IF(Skills!C8=1,60+Inputs!$B$26+Inputs!$B$30,IF(Skills!C8=2,90+Inputs!$B$27+Inputs!$B$30,IF(Skills!C8=3,120+Inputs!$B$28+Inputs!$B$30,MAX(0,(Inputs!$B$3-100)*3)+Inputs!$B$29+Inputs!$B$30)))</f>
        <v/>
      </c>
      <c r="E1244">
        <f>INDEX(FactorTable!$B$2:$Y$301, MATCH(ROUND(MIN(300,MAX(1,D1244)),0), FactorTable!$A$2:$A$301,0), Skills!L8+1)</f>
        <v/>
      </c>
      <c r="F1244">
        <f>IF(Skills!M8=TRUE,(Skills!K8/10)*(E1244/1000),Skills!K8/10)+Skills!N8</f>
        <v/>
      </c>
      <c r="G1244">
        <f>Calc!G8</f>
        <v/>
      </c>
      <c r="H1244">
        <f>Calc!H8</f>
        <v/>
      </c>
      <c r="I1244">
        <f>IF(Skills!T8&lt;&gt;"",1+(Skills!T8/10)*($Z$3/1000)/100,1)</f>
        <v/>
      </c>
      <c r="J1244">
        <f>((Inputs!$B$6*(1+Inputs!$B$7/100))+(((Inputs!$B$13*(1+Inputs!$B$14/100))-(Inputs!$B$13*(1+Inputs!$B$14/100)))+0.25*(Inputs!$B$15-Inputs!$B$15))*(1+Inputs!$B$7/100))*(F1244/100)</f>
        <v/>
      </c>
      <c r="K1244">
        <f>J1244*(1+(((Inputs!$B$13+IF(Inputs!$B$3&gt;=35,(10*INDEX(FactorTable!$B$2:$Y$301, MATCH(ROUND(MIN(300,MAX(1,Inputs!$B$3)),0), FactorTable!$A$2:$A$301,0), 23)/1000)/100*(Inputs!$B$8*(1+(Inputs!$B$9+B1274)/100)),0))*(1+Inputs!$B$14/100))*0.01+Inputs!$B$15*0.0025)/100)*(1+(Inputs!$B$16+B1268)/100)*(1+Inputs!$B$17/100)*(5000/(6000+Inputs!$B$43*(1-Inputs!$B$20/100)))*(1+Inputs!$B$25/100)*(1+IF(C1254=TRUE,F1254,0)/100)*(1+IF(C1256=TRUE,F1256,0)/100)*(1+IF(Skills!A8="TRIUMPH_FEATHER",IF(C1252=TRUE,F1252,0),0)/100)*(1+IF(C1263=TRUE,F1263,0)/100)^5*(1+(IF(Skills!A8="BIG_BANG",Inputs!$B$18,Inputs!$B$19))/100)*(B1265*I1244)</f>
        <v/>
      </c>
      <c r="L1244">
        <f>K1244*(MIN(Inputs!$B$23+(F1258-Calc!F22),Inputs!$B$24)/100+Inputs!$B$24/100)/2</f>
        <v/>
      </c>
      <c r="M1244">
        <f>L1244*(1+(Inputs!$B$11+B1269+(F1261-Calc!F25))/100)</f>
        <v/>
      </c>
      <c r="N1244">
        <f>L1244*(1-MIN(Inputs!$B$10+((F1260-Calc!F24)+(F1259-Calc!F23)),100)/100)+M1244*(MIN(Inputs!$B$10+((F1260-Calc!F24)+(F1259-Calc!F23)),100)/100)</f>
        <v/>
      </c>
      <c r="O1244">
        <f>(1-Summary!$B$48)*S1244+Summary!$B$48*U1244</f>
        <v/>
      </c>
      <c r="P1244">
        <f>IF(B1278=0,0,O1244/B1278)</f>
        <v/>
      </c>
      <c r="Q1244">
        <f>IFERROR(1/IF(Inputs!$B$39="pvp",15,MAX(0.1,Skills!D8-IF(Skills!E8=TRUE,0.5,0))),0)</f>
        <v/>
      </c>
      <c r="R1244">
        <f>IF(AND(Inputs!$B$39&lt;&gt;"pvp",Inputs!$B$44&gt;0),IF(MAX(0,Inputs!$B$44-B1275)&lt;=0,0,(INT(MAX(0,Inputs!$B$44-B1275)/IF(Inputs!$B$39="pvp",15,MAX(0.1,Skills!D8-IF(Skills!E8=TRUE,0.5,0))))+1)),0)</f>
        <v/>
      </c>
      <c r="S1244">
        <f>IF(C1244,(H1244*N1244*IF(AND(Inputs!$B$39&lt;&gt;"pvp",Inputs!$B$44&gt;0),((Skills!F8*((R1244-1)*IF(Skills!G8&gt;0,Skills!H8/Skills!G8,1)+IF(Skills!G8&gt;0,MIN(Skills!H8,MAX(0,MAX(0,Inputs!$B$44-B1275)-((R1244-1)*IF(Inputs!$B$39="pvp",15,MAX(0.1,Skills!D8-IF(Skills!E8=TRUE,0.5,0))))))/Skills!G8,1)))/Inputs!$B$44),G1244*Q1244))*IF(Inputs!$B$39="pvp",1,1+(Inputs!$B$21+Skills!O8+B1266)/100),0)</f>
        <v/>
      </c>
      <c r="U1244">
        <f>IF(C1244,(H1244*N1244*IF(AND(Inputs!$B$39&lt;&gt;"pvp",Inputs!$B$44&gt;0),((Skills!F8*((R1244-1)*IF(Skills!G8&gt;0,Skills!H8/Skills!G8,1)+IF(Skills!G8&gt;0,MIN(Skills!H8,MAX(0,MAX(0,Inputs!$B$44-B1275)-((R1244-1)*IF(Inputs!$B$39="pvp",15,MAX(0.1,Skills!D8-IF(Skills!E8=TRUE,0.5,0))))))/Skills!G8,1)))/Inputs!$B$44),G1244*Q1244))*IF(Inputs!$B$39="pvp",1,(1+(Inputs!$B$22+Skills!P8+B1267)/100)*(MIN(Skills!Q8,Inputs!$B$38))),0)</f>
        <v/>
      </c>
    </row>
    <row r="1245">
      <c r="A1245">
        <f>Skills!A9</f>
        <v/>
      </c>
      <c r="B1245">
        <f>Skills!B9</f>
        <v/>
      </c>
      <c r="C1245">
        <f>Inputs!$B$3&gt;=115</f>
        <v/>
      </c>
      <c r="D1245">
        <f>IF(Skills!C9=1,60+Inputs!$B$26+Inputs!$B$30,IF(Skills!C9=2,90+Inputs!$B$27+Inputs!$B$30,IF(Skills!C9=3,120+Inputs!$B$28+Inputs!$B$30,MAX(0,(Inputs!$B$3-100)*3)+Inputs!$B$29+Inputs!$B$30)))</f>
        <v/>
      </c>
      <c r="E1245">
        <f>INDEX(FactorTable!$B$2:$Y$301, MATCH(ROUND(MIN(300,MAX(1,D1245)),0), FactorTable!$A$2:$A$301,0), Skills!L9+1)</f>
        <v/>
      </c>
      <c r="F1245">
        <f>IF(Skills!M9=TRUE,(Skills!K9/10)*(E1245/1000),Skills!K9/10)+Skills!N9</f>
        <v/>
      </c>
      <c r="G1245">
        <f>Calc!G9</f>
        <v/>
      </c>
      <c r="H1245">
        <f>Calc!H9</f>
        <v/>
      </c>
      <c r="I1245">
        <f>IF(Skills!T9&lt;&gt;"",1+(Skills!T9/10)*($Z$3/1000)/100,1)</f>
        <v/>
      </c>
      <c r="J1245">
        <f>((Inputs!$B$6*(1+Inputs!$B$7/100))+(((Inputs!$B$13*(1+Inputs!$B$14/100))-(Inputs!$B$13*(1+Inputs!$B$14/100)))+0.25*(Inputs!$B$15-Inputs!$B$15))*(1+Inputs!$B$7/100))*(F1245/100)</f>
        <v/>
      </c>
      <c r="K1245">
        <f>J1245*(1+(((Inputs!$B$13+IF(Inputs!$B$3&gt;=35,(10*INDEX(FactorTable!$B$2:$Y$301, MATCH(ROUND(MIN(300,MAX(1,Inputs!$B$3)),0), FactorTable!$A$2:$A$301,0), 23)/1000)/100*(Inputs!$B$8*(1+(Inputs!$B$9+B1274)/100)),0))*(1+Inputs!$B$14/100))*0.01+Inputs!$B$15*0.0025)/100)*(1+(Inputs!$B$16+B1268)/100)*(1+Inputs!$B$17/100)*(5000/(6000+Inputs!$B$43*(1-Inputs!$B$20/100)))*(1+Inputs!$B$25/100)*(1+IF(C1254=TRUE,F1254,0)/100)*(1+IF(C1256=TRUE,F1256,0)/100)*(1+IF(Skills!A9="TRIUMPH_FEATHER",IF(C1252=TRUE,F1252,0),0)/100)*(1+IF(C1263=TRUE,F1263,0)/100)^5*(1+(IF(Skills!A9="BIG_BANG",Inputs!$B$18,Inputs!$B$19))/100)*(B1265*I1245)</f>
        <v/>
      </c>
      <c r="L1245">
        <f>K1245*(MIN(Inputs!$B$23+(F1258-Calc!F22),Inputs!$B$24)/100+Inputs!$B$24/100)/2</f>
        <v/>
      </c>
      <c r="M1245">
        <f>L1245*(1+(Inputs!$B$11+B1269+(F1261-Calc!F25))/100)</f>
        <v/>
      </c>
      <c r="N1245">
        <f>L1245*(1-MIN(Inputs!$B$10+((F1260-Calc!F24)+(F1259-Calc!F23)),100)/100)+M1245*(MIN(Inputs!$B$10+((F1260-Calc!F24)+(F1259-Calc!F23)),100)/100)</f>
        <v/>
      </c>
      <c r="O1245">
        <f>(1-Summary!$B$48)*S1245+Summary!$B$48*U1245</f>
        <v/>
      </c>
      <c r="P1245">
        <f>IF(B1278=0,0,O1245/B1278)</f>
        <v/>
      </c>
      <c r="Q1245">
        <f>IFERROR(1/IF(Inputs!$B$39="pvp",15,MAX(0.1,Skills!D9-IF(Skills!E9=TRUE,0.5,0))),0)</f>
        <v/>
      </c>
      <c r="R1245">
        <f>IF(AND(Inputs!$B$39&lt;&gt;"pvp",Inputs!$B$44&gt;0),IF(MAX(0,Inputs!$B$44-B1275)&lt;=0,0,(INT(MAX(0,Inputs!$B$44-B1275)/IF(Inputs!$B$39="pvp",15,MAX(0.1,Skills!D9-IF(Skills!E9=TRUE,0.5,0))))+1)),0)</f>
        <v/>
      </c>
      <c r="S1245">
        <f>IF(C1245,(H1245*N1245*IF(AND(Inputs!$B$39&lt;&gt;"pvp",Inputs!$B$44&gt;0),((Skills!F9*((R1245-1)*IF(Skills!G9&gt;0,Skills!H9/Skills!G9,1)+IF(Skills!G9&gt;0,MIN(Skills!H9,MAX(0,MAX(0,Inputs!$B$44-B1275)-((R1245-1)*IF(Inputs!$B$39="pvp",15,MAX(0.1,Skills!D9-IF(Skills!E9=TRUE,0.5,0))))))/Skills!G9,1)))/Inputs!$B$44),G1245*Q1245))*IF(Inputs!$B$39="pvp",1,1+(Inputs!$B$21+Skills!O9+B1266)/100),0)</f>
        <v/>
      </c>
      <c r="U1245">
        <f>IF(C1245,(H1245*N1245*IF(AND(Inputs!$B$39&lt;&gt;"pvp",Inputs!$B$44&gt;0),((Skills!F9*((R1245-1)*IF(Skills!G9&gt;0,Skills!H9/Skills!G9,1)+IF(Skills!G9&gt;0,MIN(Skills!H9,MAX(0,MAX(0,Inputs!$B$44-B1275)-((R1245-1)*IF(Inputs!$B$39="pvp",15,MAX(0.1,Skills!D9-IF(Skills!E9=TRUE,0.5,0))))))/Skills!G9,1)))/Inputs!$B$44),G1245*Q1245))*IF(Inputs!$B$39="pvp",1,(1+(Inputs!$B$22+Skills!P9+B1267)/100)*(MIN(Skills!Q9,Inputs!$B$38))),0)</f>
        <v/>
      </c>
    </row>
    <row r="1246">
      <c r="A1246">
        <f>Skills!A10</f>
        <v/>
      </c>
      <c r="B1246">
        <f>Skills!B10</f>
        <v/>
      </c>
      <c r="C1246">
        <f>Inputs!$B$3&gt;=66</f>
        <v/>
      </c>
      <c r="D1246">
        <f>IF(Skills!C10=1,60+Inputs!$B$26+Inputs!$B$30,IF(Skills!C10=2,90+Inputs!$B$27+Inputs!$B$30,IF(Skills!C10=3,120+Inputs!$B$28+Inputs!$B$30,MAX(0,(Inputs!$B$3-100)*3)+Inputs!$B$29+Inputs!$B$30)))</f>
        <v/>
      </c>
      <c r="E1246">
        <f>INDEX(FactorTable!$B$2:$Y$301, MATCH(ROUND(MIN(300,MAX(1,D1246)),0), FactorTable!$A$2:$A$301,0), Skills!L10+1)</f>
        <v/>
      </c>
      <c r="F1246" t="n">
        <v>0</v>
      </c>
      <c r="G1246">
        <f>Calc!G10</f>
        <v/>
      </c>
      <c r="H1246">
        <f>Calc!H10</f>
        <v/>
      </c>
      <c r="I1246">
        <f>IF(Skills!T10&lt;&gt;"",1+(Skills!T10/10)*($Z$3/1000)/100,1)</f>
        <v/>
      </c>
      <c r="J1246" t="inlineStr"/>
      <c r="K1246" t="inlineStr"/>
      <c r="L1246" t="inlineStr"/>
      <c r="M1246" t="inlineStr"/>
      <c r="N1246" t="inlineStr"/>
      <c r="O1246">
        <f>(1-Summary!$B$48)*S1246+Summary!$B$48*U1246</f>
        <v/>
      </c>
      <c r="P1246">
        <f>IF(B1278=0,0,O1246/B1278)</f>
        <v/>
      </c>
      <c r="Q1246">
        <f>IFERROR(1/IF(Inputs!$B$39="pvp",15,MAX(0.1,Skills!D10-IF(Skills!E10=TRUE,0.5,0))),0)</f>
        <v/>
      </c>
      <c r="R1246">
        <f>IF(AND(Inputs!$B$39&lt;&gt;"pvp",Inputs!$B$44&gt;0),IF(MAX(0,Inputs!$B$44-B1275)&lt;=0,0,(INT(MAX(0,Inputs!$B$44-B1275)/IF(Inputs!$B$39="pvp",15,MAX(0.1,Skills!D10-IF(Skills!E10=TRUE,0.5,0))))+1)),0)</f>
        <v/>
      </c>
      <c r="S1246" t="n">
        <v>0</v>
      </c>
      <c r="U1246" t="n">
        <v>0</v>
      </c>
    </row>
    <row r="1247">
      <c r="A1247">
        <f>Skills!A11</f>
        <v/>
      </c>
      <c r="B1247">
        <f>Skills!B11</f>
        <v/>
      </c>
      <c r="C1247">
        <f>Inputs!$B$3&gt;=69</f>
        <v/>
      </c>
      <c r="D1247">
        <f>IF(Skills!C11=1,60+Inputs!$B$26+Inputs!$B$30,IF(Skills!C11=2,90+Inputs!$B$27+Inputs!$B$30,IF(Skills!C11=3,120+Inputs!$B$28+Inputs!$B$30,MAX(0,(Inputs!$B$3-100)*3)+Inputs!$B$29+Inputs!$B$30)))</f>
        <v/>
      </c>
      <c r="E1247">
        <f>INDEX(FactorTable!$B$2:$Y$301, MATCH(ROUND(MIN(300,MAX(1,D1247)),0), FactorTable!$A$2:$A$301,0), Skills!L11+1)</f>
        <v/>
      </c>
      <c r="F1247">
        <f>IF(Skills!M11=TRUE,(Skills!K11/10)*(E1247/1000),Skills!K11/10)+Skills!N11</f>
        <v/>
      </c>
      <c r="G1247">
        <f>Calc!G11</f>
        <v/>
      </c>
      <c r="H1247">
        <f>Calc!H11</f>
        <v/>
      </c>
      <c r="I1247">
        <f>IF(Skills!T11&lt;&gt;"",1+(Skills!T11/10)*($Z$3/1000)/100,1)</f>
        <v/>
      </c>
      <c r="J1247" t="inlineStr"/>
      <c r="K1247" t="inlineStr"/>
      <c r="L1247" t="inlineStr"/>
      <c r="M1247" t="inlineStr"/>
      <c r="N1247" t="inlineStr"/>
      <c r="O1247">
        <f>(1-Summary!$B$48)*S1247+Summary!$B$48*U1247</f>
        <v/>
      </c>
      <c r="P1247">
        <f>IF(B1278=0,0,O1247/B1278)</f>
        <v/>
      </c>
      <c r="Q1247">
        <f>IFERROR(1/IF(Inputs!$B$39="pvp",15,MAX(0.1,Skills!D11-IF(Skills!E11=TRUE,0.5,0))),0)</f>
        <v/>
      </c>
      <c r="R1247">
        <f>IF(AND(Inputs!$B$39&lt;&gt;"pvp",Inputs!$B$44&gt;0),IF(Inputs!$B$44&lt;=0,0,(INT(Inputs!$B$44/IF(Inputs!$B$39="pvp",15,MAX(0.1,Skills!D11-IF(Skills!E11=TRUE,0.5,0))))+1)),0)</f>
        <v/>
      </c>
      <c r="S1247" t="n">
        <v>0</v>
      </c>
      <c r="U1247" t="n">
        <v>0</v>
      </c>
    </row>
    <row r="1248">
      <c r="A1248">
        <f>Skills!A12</f>
        <v/>
      </c>
      <c r="B1248">
        <f>Skills!B12</f>
        <v/>
      </c>
      <c r="C1248">
        <f>Inputs!$B$3&gt;=72</f>
        <v/>
      </c>
      <c r="D1248">
        <f>IF(Skills!C12=1,60+Inputs!$B$26+Inputs!$B$30,IF(Skills!C12=2,90+Inputs!$B$27+Inputs!$B$30,IF(Skills!C12=3,120+Inputs!$B$28+Inputs!$B$30,MAX(0,(Inputs!$B$3-100)*3)+Inputs!$B$29+Inputs!$B$30)))</f>
        <v/>
      </c>
      <c r="E1248">
        <f>INDEX(FactorTable!$B$2:$Y$301, MATCH(ROUND(MIN(300,MAX(1,D1248)),0), FactorTable!$A$2:$A$301,0), Skills!L12+1)</f>
        <v/>
      </c>
      <c r="F1248">
        <f>IF(Skills!M12=TRUE,(Skills!K12/10)*(E1248/1000),Skills!K12/10)+Skills!N12</f>
        <v/>
      </c>
      <c r="G1248">
        <f>Calc!G12</f>
        <v/>
      </c>
      <c r="H1248">
        <f>Calc!H12</f>
        <v/>
      </c>
      <c r="I1248">
        <f>IF(Skills!T12&lt;&gt;"",1+(Skills!T12/10)*($Z$3/1000)/100,1)</f>
        <v/>
      </c>
      <c r="J1248" t="inlineStr"/>
      <c r="K1248" t="inlineStr"/>
      <c r="L1248" t="inlineStr"/>
      <c r="M1248" t="inlineStr"/>
      <c r="N1248" t="inlineStr"/>
      <c r="O1248">
        <f>(1-Summary!$B$48)*S1248+Summary!$B$48*U1248</f>
        <v/>
      </c>
      <c r="P1248">
        <f>IF(B1278=0,0,O1248/B1278)</f>
        <v/>
      </c>
      <c r="Q1248">
        <f>IFERROR(1/IF(Inputs!$B$39="pvp",15,MAX(0.1,Skills!D12-IF(Skills!E12=TRUE,0.5,0))),0)</f>
        <v/>
      </c>
      <c r="R1248">
        <f>IF(AND(Inputs!$B$39&lt;&gt;"pvp",Inputs!$B$44&gt;0),IF(MAX(0,Inputs!$B$44-B1275)&lt;=0,0,(INT(MAX(0,Inputs!$B$44-B1275)/IF(Inputs!$B$39="pvp",15,MAX(0.1,Skills!D12-IF(Skills!E12=TRUE,0.5,0))))+1)),0)</f>
        <v/>
      </c>
      <c r="S1248" t="n">
        <v>0</v>
      </c>
      <c r="U1248" t="n">
        <v>0</v>
      </c>
    </row>
    <row r="1249">
      <c r="A1249">
        <f>Skills!A13</f>
        <v/>
      </c>
      <c r="B1249">
        <f>Skills!B13</f>
        <v/>
      </c>
      <c r="C1249">
        <f>Inputs!$B$3&gt;=60</f>
        <v/>
      </c>
      <c r="D1249">
        <f>IF(Skills!C13=1,60+Inputs!$B$26+Inputs!$B$30,IF(Skills!C13=2,90+Inputs!$B$27+Inputs!$B$30,IF(Skills!C13=3,120+Inputs!$B$28+Inputs!$B$30,MAX(0,(Inputs!$B$3-100)*3)+Inputs!$B$29+Inputs!$B$30)))</f>
        <v/>
      </c>
      <c r="E1249">
        <f>INDEX(FactorTable!$B$2:$Y$301, MATCH(ROUND(MIN(300,MAX(1,D1249)),0), FactorTable!$A$2:$A$301,0), Skills!L13+1)</f>
        <v/>
      </c>
      <c r="F1249">
        <f>IF(Skills!M13=TRUE,(Skills!K13/10)*(E1249/1000),Skills!K13/10)+Skills!N13</f>
        <v/>
      </c>
      <c r="G1249">
        <f>Calc!G13</f>
        <v/>
      </c>
      <c r="H1249">
        <f>Calc!H13</f>
        <v/>
      </c>
      <c r="I1249">
        <f>IF(Skills!T13&lt;&gt;"",1+(Skills!T13/10)*($Z$3/1000)/100,1)</f>
        <v/>
      </c>
      <c r="J1249" t="inlineStr"/>
      <c r="K1249" t="inlineStr"/>
      <c r="L1249" t="inlineStr"/>
      <c r="M1249" t="inlineStr"/>
      <c r="N1249" t="inlineStr"/>
      <c r="O1249">
        <f>(1-Summary!$B$48)*S1249+Summary!$B$48*U1249</f>
        <v/>
      </c>
      <c r="P1249">
        <f>IF(B1278=0,0,O1249/B1278)</f>
        <v/>
      </c>
      <c r="Q1249">
        <f>IFERROR(1/IF(Inputs!$B$39="pvp",15,MAX(0.1,Skills!D13-IF(Skills!E13=TRUE,0.5,0))),0)</f>
        <v/>
      </c>
      <c r="R1249">
        <f>IF(AND(Inputs!$B$39&lt;&gt;"pvp",Inputs!$B$44&gt;0),IF(MAX(0,Inputs!$B$44-B1275)&lt;=0,0,(INT(MAX(0,Inputs!$B$44-B1275)/IF(Inputs!$B$39="pvp",15,MAX(0.1,Skills!D13-IF(Skills!E13=TRUE,0.5,0))))+1)),0)</f>
        <v/>
      </c>
      <c r="S1249" t="n">
        <v>0</v>
      </c>
      <c r="U1249" t="n">
        <v>0</v>
      </c>
    </row>
    <row r="1250">
      <c r="A1250">
        <f>Skills!A14</f>
        <v/>
      </c>
      <c r="B1250">
        <f>Skills!B14</f>
        <v/>
      </c>
      <c r="C1250">
        <f>Inputs!$B$3&gt;=107</f>
        <v/>
      </c>
      <c r="D1250">
        <f>IF(Skills!C14=1,60+Inputs!$B$26+Inputs!$B$30,IF(Skills!C14=2,90+Inputs!$B$27+Inputs!$B$30,IF(Skills!C14=3,120+Inputs!$B$28+Inputs!$B$30,MAX(0,(Inputs!$B$3-100)*3)+Inputs!$B$29+Inputs!$B$30)))</f>
        <v/>
      </c>
      <c r="E1250">
        <f>INDEX(FactorTable!$B$2:$Y$301, MATCH(ROUND(MIN(300,MAX(1,D1250)),0), FactorTable!$A$2:$A$301,0), Skills!L14+1)</f>
        <v/>
      </c>
      <c r="F1250">
        <f>IF(Skills!M14=TRUE,(Skills!K14/10)*(E1250/1000),Skills!K14/10)+Skills!N14</f>
        <v/>
      </c>
      <c r="G1250">
        <f>Calc!G14</f>
        <v/>
      </c>
      <c r="H1250">
        <f>Calc!H14</f>
        <v/>
      </c>
      <c r="I1250">
        <f>IF(Skills!T14&lt;&gt;"",1+(Skills!T14/10)*($Z$3/1000)/100,1)</f>
        <v/>
      </c>
      <c r="J1250" t="inlineStr"/>
      <c r="K1250" t="inlineStr"/>
      <c r="L1250" t="inlineStr"/>
      <c r="M1250" t="inlineStr"/>
      <c r="N1250" t="inlineStr"/>
      <c r="O1250">
        <f>(1-Summary!$B$48)*S1250+Summary!$B$48*U1250</f>
        <v/>
      </c>
      <c r="P1250">
        <f>IF(B1278=0,0,O1250/B1278)</f>
        <v/>
      </c>
      <c r="Q1250">
        <f>IFERROR(1/IF(Inputs!$B$39="pvp",15,MAX(0.1,Skills!D14-IF(Skills!E14=TRUE,0.5,0))),0)</f>
        <v/>
      </c>
      <c r="R1250">
        <f>IF(AND(Inputs!$B$39&lt;&gt;"pvp",Inputs!$B$44&gt;0),IF(Inputs!$B$44&lt;=0,0,(INT(Inputs!$B$44/IF(Inputs!$B$39="pvp",15,MAX(0.1,Skills!D14-IF(Skills!E14=TRUE,0.5,0))))+1)),0)</f>
        <v/>
      </c>
      <c r="S1250" t="n">
        <v>0</v>
      </c>
      <c r="U1250" t="n">
        <v>0</v>
      </c>
    </row>
    <row r="1251">
      <c r="A1251">
        <f>Skills!A15</f>
        <v/>
      </c>
      <c r="B1251">
        <f>Skills!B15</f>
        <v/>
      </c>
      <c r="C1251">
        <f>Inputs!$B$3&gt;=63</f>
        <v/>
      </c>
      <c r="D1251">
        <f>IF(Skills!C15=1,60+Inputs!$B$26+Inputs!$B$30,IF(Skills!C15=2,90+Inputs!$B$27+Inputs!$B$30,IF(Skills!C15=3,120+Inputs!$B$28+Inputs!$B$30,MAX(0,(Inputs!$B$3-100)*3)+Inputs!$B$29+Inputs!$B$30)))</f>
        <v/>
      </c>
      <c r="E1251">
        <f>INDEX(FactorTable!$B$2:$Y$301, MATCH(ROUND(MIN(300,MAX(1,D1251)),0), FactorTable!$A$2:$A$301,0), Skills!L15+1)</f>
        <v/>
      </c>
      <c r="F1251">
        <f>IF(Skills!M15=TRUE,(Skills!K15/10)*(E1251/1000),Skills!K15/10)+Skills!N15</f>
        <v/>
      </c>
      <c r="G1251">
        <f>Calc!G15</f>
        <v/>
      </c>
      <c r="H1251">
        <f>Calc!H15</f>
        <v/>
      </c>
      <c r="I1251">
        <f>IF(Skills!T15&lt;&gt;"",1+(Skills!T15/10)*($Z$3/1000)/100,1)</f>
        <v/>
      </c>
      <c r="J1251">
        <f>((Inputs!$B$6*(1+Inputs!$B$7/100))+(((Inputs!$B$13*(1+Inputs!$B$14/100))-(Inputs!$B$13*(1+Inputs!$B$14/100)))+0.25*(Inputs!$B$15-Inputs!$B$15))*(1+Inputs!$B$7/100))*(F1251/100)</f>
        <v/>
      </c>
      <c r="K1251">
        <f>J1251*(1+(((Inputs!$B$13+IF(Inputs!$B$3&gt;=35,(10*INDEX(FactorTable!$B$2:$Y$301, MATCH(ROUND(MIN(300,MAX(1,Inputs!$B$3)),0), FactorTable!$A$2:$A$301,0), 23)/1000)/100*(Inputs!$B$8*(1+(Inputs!$B$9+B1274)/100)),0))*(1+Inputs!$B$14/100))*0.01+Inputs!$B$15*0.0025)/100)*(1+(Inputs!$B$16+B1268)/100)*(1+Inputs!$B$17/100)*(5000/(6000+Inputs!$B$43*(1-Inputs!$B$20/100)))*(1+Inputs!$B$25/100)*(1+IF(C1254=TRUE,F1254,0)/100)*(1+IF(C1256=TRUE,F1256,0)/100)*(1+IF(Skills!A15="TRIUMPH_FEATHER",IF(C1252=TRUE,F1252,0),0)/100)*(1+IF(C1263=TRUE,F1263,0)/100)^5*(1+(IF(Skills!A15="BIG_BANG",Inputs!$B$18,Inputs!$B$19))/100)*(B1265*I1251)</f>
        <v/>
      </c>
      <c r="L1251">
        <f>K1251*(MIN(Inputs!$B$23+(F1258-Calc!F22),Inputs!$B$24)/100+Inputs!$B$24/100)/2</f>
        <v/>
      </c>
      <c r="M1251">
        <f>L1251*(1+(Inputs!$B$11+B1269+(F1261-Calc!F25))/100)</f>
        <v/>
      </c>
      <c r="N1251">
        <f>L1251*(1-MIN(Inputs!$B$10+((F1260-Calc!F24)+(F1259-Calc!F23)),100)/100)+M1251*(MIN(Inputs!$B$10+((F1260-Calc!F24)+(F1259-Calc!F23)),100)/100)</f>
        <v/>
      </c>
      <c r="O1251">
        <f>(1-Summary!$B$48)*S1251+Summary!$B$48*U1251</f>
        <v/>
      </c>
      <c r="P1251">
        <f>IF(B1278=0,0,O1251/B1278)</f>
        <v/>
      </c>
      <c r="Q1251">
        <f>IFERROR(1/IF(Inputs!$B$39="pvp",15,MAX(0.1,Skills!D15-IF(Skills!E15=TRUE,0.5,0))),0)</f>
        <v/>
      </c>
      <c r="R1251" t="n">
        <v>0</v>
      </c>
      <c r="S1251">
        <f>IF(C1251,(Skills!F15*N1251*((IF(Inputs!$B$3&gt;=78,25,15)/100*B1271*10)/(1+IF(Inputs!$B$3&gt;=78,25,15)/100*B1271*10))*(Skills!I15/100*B1271)/(1+Skills!G15*Skills!I15/100*B1271))*IF(Inputs!$B$39="pvp",1,1+(Inputs!$B$21+Skills!O15+B1266)/100),0)</f>
        <v/>
      </c>
      <c r="U1251">
        <f>IF(C1251,(Skills!F15*N1251*((IF(Inputs!$B$3&gt;=78,25,15)/100*B1271*10)/(1+IF(Inputs!$B$3&gt;=78,25,15)/100*B1271*10))*(Skills!I15/100*B1271)/(1+Skills!G15*Skills!I15/100*B1271))*IF(Inputs!$B$39="pvp",1,(1+(Inputs!$B$22+Skills!P15+B1267)/100)*(MIN(Skills!Q15,Inputs!$B$38))),0)</f>
        <v/>
      </c>
    </row>
    <row r="1252">
      <c r="A1252">
        <f>Skills!A16</f>
        <v/>
      </c>
      <c r="B1252">
        <f>Skills!B16</f>
        <v/>
      </c>
      <c r="C1252">
        <f>Inputs!$B$3&gt;=100</f>
        <v/>
      </c>
      <c r="D1252">
        <f>IF(Skills!C16=1,60+Inputs!$B$26+Inputs!$B$30,IF(Skills!C16=2,90+Inputs!$B$27+Inputs!$B$30,IF(Skills!C16=3,120+Inputs!$B$28+Inputs!$B$30,MAX(0,(Inputs!$B$3-100)*3)+Inputs!$B$29+Inputs!$B$30)))</f>
        <v/>
      </c>
      <c r="E1252">
        <f>INDEX(FactorTable!$B$2:$Y$301, MATCH(ROUND(MIN(300,MAX(1,D1252)),0), FactorTable!$A$2:$A$301,0), Skills!L16+1)</f>
        <v/>
      </c>
      <c r="F1252">
        <f>IF(Skills!M16=TRUE,(Skills!K16/10)*(E1252/1000),Skills!K16/10)+Skills!N16</f>
        <v/>
      </c>
      <c r="G1252">
        <f>Calc!G16</f>
        <v/>
      </c>
      <c r="H1252">
        <f>Calc!H16</f>
        <v/>
      </c>
      <c r="I1252">
        <f>IF(Skills!T16&lt;&gt;"",1+(Skills!T16/10)*($Z$3/1000)/100,1)</f>
        <v/>
      </c>
      <c r="J1252" t="inlineStr"/>
      <c r="K1252" t="inlineStr"/>
      <c r="L1252" t="inlineStr"/>
      <c r="M1252" t="inlineStr"/>
      <c r="N1252" t="inlineStr"/>
      <c r="O1252">
        <f>(1-Summary!$B$48)*S1252+Summary!$B$48*U1252</f>
        <v/>
      </c>
      <c r="P1252">
        <f>IF(B1278=0,0,O1252/B1278)</f>
        <v/>
      </c>
      <c r="Q1252">
        <f>IFERROR(1/IF(Inputs!$B$39="pvp",15,MAX(0.1,Skills!D16-IF(Skills!E16=TRUE,0.5,0))),0)</f>
        <v/>
      </c>
      <c r="R1252" t="n">
        <v>0</v>
      </c>
      <c r="S1252" t="n">
        <v>0</v>
      </c>
      <c r="U1252" t="n">
        <v>0</v>
      </c>
    </row>
    <row r="1253">
      <c r="A1253">
        <f>Skills!A17</f>
        <v/>
      </c>
      <c r="B1253">
        <f>Skills!B17</f>
        <v/>
      </c>
      <c r="C1253">
        <f>Inputs!$B$3&gt;=49</f>
        <v/>
      </c>
      <c r="D1253">
        <f>IF(Skills!C17=1,60+Inputs!$B$26+Inputs!$B$30,IF(Skills!C17=2,90+Inputs!$B$27+Inputs!$B$30,IF(Skills!C17=3,120+Inputs!$B$28+Inputs!$B$30,MAX(0,(Inputs!$B$3-100)*3)+Inputs!$B$29+Inputs!$B$30)))</f>
        <v/>
      </c>
      <c r="E1253">
        <f>INDEX(FactorTable!$B$2:$Y$301, MATCH(ROUND(MIN(300,MAX(1,D1253)),0), FactorTable!$A$2:$A$301,0), Skills!L17+1)</f>
        <v/>
      </c>
      <c r="F1253">
        <f>IF(Skills!M17=TRUE,(Skills!K17/10)*(E1253/1000),Skills!K17/10)+Skills!N17</f>
        <v/>
      </c>
      <c r="G1253">
        <f>Calc!G17</f>
        <v/>
      </c>
      <c r="H1253">
        <f>Calc!H17</f>
        <v/>
      </c>
      <c r="I1253">
        <f>IF(Skills!T17&lt;&gt;"",1+(Skills!T17/10)*($Z$3/1000)/100,1)</f>
        <v/>
      </c>
      <c r="J1253" t="inlineStr"/>
      <c r="K1253" t="inlineStr"/>
      <c r="L1253" t="inlineStr"/>
      <c r="M1253" t="inlineStr"/>
      <c r="N1253" t="inlineStr"/>
      <c r="O1253">
        <f>(1-Summary!$B$48)*S1253+Summary!$B$48*U1253</f>
        <v/>
      </c>
      <c r="P1253">
        <f>IF(B1278=0,0,O1253/B1278)</f>
        <v/>
      </c>
      <c r="Q1253">
        <f>IFERROR(1/IF(Inputs!$B$39="pvp",15,MAX(0.1,Skills!D17-IF(Skills!E17=TRUE,0.5,0))),0)</f>
        <v/>
      </c>
      <c r="R1253" t="n">
        <v>0</v>
      </c>
      <c r="S1253" t="n">
        <v>0</v>
      </c>
      <c r="U1253" t="n">
        <v>0</v>
      </c>
    </row>
    <row r="1254">
      <c r="A1254">
        <f>Skills!A18</f>
        <v/>
      </c>
      <c r="B1254">
        <f>Skills!B18</f>
        <v/>
      </c>
      <c r="C1254">
        <f>Inputs!$B$3&gt;=75</f>
        <v/>
      </c>
      <c r="D1254">
        <f>IF(Skills!C18=1,60+Inputs!$B$26+Inputs!$B$30,IF(Skills!C18=2,90+Inputs!$B$27+Inputs!$B$30,IF(Skills!C18=3,120+Inputs!$B$28+Inputs!$B$30,MAX(0,(Inputs!$B$3-100)*3)+Inputs!$B$29+Inputs!$B$30)))</f>
        <v/>
      </c>
      <c r="E1254">
        <f>INDEX(FactorTable!$B$2:$Y$301, MATCH(ROUND(MIN(300,MAX(1,D1254)),0), FactorTable!$A$2:$A$301,0), Skills!L18+1)</f>
        <v/>
      </c>
      <c r="F1254">
        <f>IF(Skills!M18=TRUE,(Skills!K18/10)*(E1254/1000),Skills!K18/10)+Skills!N18</f>
        <v/>
      </c>
      <c r="G1254">
        <f>Calc!G18</f>
        <v/>
      </c>
      <c r="H1254">
        <f>Calc!H18</f>
        <v/>
      </c>
      <c r="I1254">
        <f>IF(Skills!T18&lt;&gt;"",1+(Skills!T18/10)*($Z$3/1000)/100,1)</f>
        <v/>
      </c>
      <c r="J1254" t="inlineStr"/>
      <c r="K1254" t="inlineStr"/>
      <c r="L1254" t="inlineStr"/>
      <c r="M1254" t="inlineStr"/>
      <c r="N1254" t="inlineStr"/>
      <c r="O1254">
        <f>(1-Summary!$B$48)*S1254+Summary!$B$48*U1254</f>
        <v/>
      </c>
      <c r="P1254">
        <f>IF(B1278=0,0,O1254/B1278)</f>
        <v/>
      </c>
      <c r="Q1254">
        <f>IFERROR(1/IF(Inputs!$B$39="pvp",15,MAX(0.1,Skills!D18-IF(Skills!E18=TRUE,0.5,0))),0)</f>
        <v/>
      </c>
      <c r="R1254" t="n">
        <v>0</v>
      </c>
      <c r="S1254" t="n">
        <v>0</v>
      </c>
      <c r="U1254" t="n">
        <v>0</v>
      </c>
    </row>
    <row r="1255">
      <c r="A1255">
        <f>Skills!A19</f>
        <v/>
      </c>
      <c r="B1255">
        <f>Skills!B19</f>
        <v/>
      </c>
      <c r="C1255">
        <f>Inputs!$B$3&gt;=110</f>
        <v/>
      </c>
      <c r="D1255">
        <f>IF(Skills!C19=1,60+Inputs!$B$26+Inputs!$B$30,IF(Skills!C19=2,90+Inputs!$B$27+Inputs!$B$30,IF(Skills!C19=3,120+Inputs!$B$28+Inputs!$B$30,MAX(0,(Inputs!$B$3-100)*3)+Inputs!$B$29+Inputs!$B$30)))</f>
        <v/>
      </c>
      <c r="E1255">
        <f>INDEX(FactorTable!$B$2:$Y$301, MATCH(ROUND(MIN(300,MAX(1,D1255)),0), FactorTable!$A$2:$A$301,0), Skills!L19+1)</f>
        <v/>
      </c>
      <c r="F1255">
        <f>(Skills!K19/10)*(E1255/1000)*64/45+Skills!N19</f>
        <v/>
      </c>
      <c r="G1255">
        <f>Calc!G19</f>
        <v/>
      </c>
      <c r="H1255">
        <f>Calc!H19</f>
        <v/>
      </c>
      <c r="I1255">
        <f>IF(Skills!T19&lt;&gt;"",1+(Skills!T19/10)*($Z$3/1000)/100,1)</f>
        <v/>
      </c>
      <c r="J1255" t="inlineStr"/>
      <c r="K1255" t="inlineStr"/>
      <c r="L1255" t="inlineStr"/>
      <c r="M1255" t="inlineStr"/>
      <c r="N1255" t="inlineStr"/>
      <c r="O1255">
        <f>(1-Summary!$B$48)*S1255+Summary!$B$48*U1255</f>
        <v/>
      </c>
      <c r="P1255">
        <f>IF(B1278=0,0,O1255/B1278)</f>
        <v/>
      </c>
      <c r="Q1255">
        <f>IFERROR(1/IF(Inputs!$B$39="pvp",15,MAX(0.1,Skills!D19-IF(Skills!E19=TRUE,0.5,0))),0)</f>
        <v/>
      </c>
      <c r="R1255">
        <f>IF(AND(Inputs!$B$39&lt;&gt;"pvp",Inputs!$B$44&gt;0),IF(Inputs!$B$44&lt;=0,0,(INT(Inputs!$B$44/IF(Inputs!$B$39="pvp",15,MAX(0.1,Skills!D19-IF(Skills!E19=TRUE,0.5,0))))+1)),0)</f>
        <v/>
      </c>
      <c r="S1255" t="n">
        <v>0</v>
      </c>
      <c r="U1255" t="n">
        <v>0</v>
      </c>
    </row>
    <row r="1256">
      <c r="A1256">
        <f>Skills!A20</f>
        <v/>
      </c>
      <c r="B1256">
        <f>Skills!B20</f>
        <v/>
      </c>
      <c r="C1256">
        <f>Inputs!$B$3&gt;=125</f>
        <v/>
      </c>
      <c r="D1256">
        <f>IF(Skills!C20=1,60+Inputs!$B$26+Inputs!$B$30,IF(Skills!C20=2,90+Inputs!$B$27+Inputs!$B$30,IF(Skills!C20=3,120+Inputs!$B$28+Inputs!$B$30,MAX(0,(Inputs!$B$3-100)*3)+Inputs!$B$29+Inputs!$B$30)))</f>
        <v/>
      </c>
      <c r="E1256">
        <f>INDEX(FactorTable!$B$2:$Y$301, MATCH(ROUND(MIN(300,MAX(1,D1256)),0), FactorTable!$A$2:$A$301,0), Skills!L20+1)</f>
        <v/>
      </c>
      <c r="F1256">
        <f>IF(Skills!M20=TRUE,(Skills!K20/10)*(E1256/1000),Skills!K20/10)+Skills!N20</f>
        <v/>
      </c>
      <c r="G1256">
        <f>Calc!G20</f>
        <v/>
      </c>
      <c r="H1256">
        <f>Calc!H20</f>
        <v/>
      </c>
      <c r="I1256">
        <f>IF(Skills!T20&lt;&gt;"",1+(Skills!T20/10)*($Z$3/1000)/100,1)</f>
        <v/>
      </c>
      <c r="J1256" t="inlineStr"/>
      <c r="K1256" t="inlineStr"/>
      <c r="L1256" t="inlineStr"/>
      <c r="M1256" t="inlineStr"/>
      <c r="N1256" t="inlineStr"/>
      <c r="O1256">
        <f>(1-Summary!$B$48)*S1256+Summary!$B$48*U1256</f>
        <v/>
      </c>
      <c r="P1256">
        <f>IF(B1278=0,0,O1256/B1278)</f>
        <v/>
      </c>
      <c r="Q1256">
        <f>IFERROR(1/IF(Inputs!$B$39="pvp",15,MAX(0.1,Skills!D20-IF(Skills!E20=TRUE,0.5,0))),0)</f>
        <v/>
      </c>
      <c r="R1256" t="n">
        <v>0</v>
      </c>
      <c r="S1256" t="n">
        <v>0</v>
      </c>
      <c r="U1256" t="n">
        <v>0</v>
      </c>
    </row>
    <row r="1257">
      <c r="A1257">
        <f>Skills!A21</f>
        <v/>
      </c>
      <c r="B1257">
        <f>Skills!B21</f>
        <v/>
      </c>
      <c r="C1257">
        <f>Inputs!$B$3&gt;=33</f>
        <v/>
      </c>
      <c r="D1257">
        <f>IF(Skills!C21=1,60+Inputs!$B$26+Inputs!$B$30,IF(Skills!C21=2,90+Inputs!$B$27+Inputs!$B$30,IF(Skills!C21=3,120+Inputs!$B$28+Inputs!$B$30,MAX(0,(Inputs!$B$3-100)*3)+Inputs!$B$29+Inputs!$B$30)))</f>
        <v/>
      </c>
      <c r="E1257">
        <f>INDEX(FactorTable!$B$2:$Y$301, MATCH(ROUND(MIN(300,MAX(1,D1257)),0), FactorTable!$A$2:$A$301,0), Skills!L21+1)</f>
        <v/>
      </c>
      <c r="F1257">
        <f>IF(Skills!M21=TRUE,(Skills!K21/10)*(E1257/1000),Skills!K21/10)+Skills!N21</f>
        <v/>
      </c>
      <c r="G1257">
        <f>Calc!G21</f>
        <v/>
      </c>
      <c r="H1257">
        <f>Calc!H21</f>
        <v/>
      </c>
      <c r="I1257">
        <f>IF(Skills!T21&lt;&gt;"",1+(Skills!T21/10)*($Z$3/1000)/100,1)</f>
        <v/>
      </c>
      <c r="J1257" t="inlineStr"/>
      <c r="K1257" t="inlineStr"/>
      <c r="L1257" t="inlineStr"/>
      <c r="M1257" t="inlineStr"/>
      <c r="N1257" t="inlineStr"/>
      <c r="O1257">
        <f>(1-Summary!$B$48)*S1257+Summary!$B$48*U1257</f>
        <v/>
      </c>
      <c r="P1257">
        <f>IF(B1278=0,0,O1257/B1278)</f>
        <v/>
      </c>
      <c r="Q1257">
        <f>IFERROR(1/IF(Inputs!$B$39="pvp",15,MAX(0.1,Skills!D21-IF(Skills!E21=TRUE,0.5,0))),0)</f>
        <v/>
      </c>
      <c r="R1257" t="n">
        <v>0</v>
      </c>
      <c r="S1257" t="n">
        <v>0</v>
      </c>
      <c r="U1257" t="n">
        <v>0</v>
      </c>
    </row>
    <row r="1258">
      <c r="A1258">
        <f>Skills!A22</f>
        <v/>
      </c>
      <c r="B1258">
        <f>Skills!B22</f>
        <v/>
      </c>
      <c r="C1258">
        <f>Inputs!$B$3&gt;=43</f>
        <v/>
      </c>
      <c r="D1258">
        <f>IF(Skills!C22=1,60+Inputs!$B$26+Inputs!$B$30,IF(Skills!C22=2,90+Inputs!$B$27+Inputs!$B$30,IF(Skills!C22=3,120+Inputs!$B$28+Inputs!$B$30,MAX(0,(Inputs!$B$3-100)*3)+Inputs!$B$29+Inputs!$B$30)))</f>
        <v/>
      </c>
      <c r="E1258">
        <f>INDEX(FactorTable!$B$2:$Y$301, MATCH(ROUND(MIN(300,MAX(1,D1258)),0), FactorTable!$A$2:$A$301,0), Skills!L22+1)</f>
        <v/>
      </c>
      <c r="F1258">
        <f>IF(Skills!M22=TRUE,(Skills!K22/10)*(E1258/1000),Skills!K22/10)+Skills!N22</f>
        <v/>
      </c>
      <c r="G1258">
        <f>Calc!G22</f>
        <v/>
      </c>
      <c r="H1258">
        <f>Calc!H22</f>
        <v/>
      </c>
      <c r="I1258">
        <f>IF(Skills!T22&lt;&gt;"",1+(Skills!T22/10)*($Z$3/1000)/100,1)</f>
        <v/>
      </c>
      <c r="J1258" t="inlineStr"/>
      <c r="K1258" t="inlineStr"/>
      <c r="L1258" t="inlineStr"/>
      <c r="M1258" t="inlineStr"/>
      <c r="N1258" t="inlineStr"/>
      <c r="O1258">
        <f>(1-Summary!$B$48)*S1258+Summary!$B$48*U1258</f>
        <v/>
      </c>
      <c r="P1258">
        <f>IF(B1278=0,0,O1258/B1278)</f>
        <v/>
      </c>
      <c r="Q1258">
        <f>IFERROR(1/IF(Inputs!$B$39="pvp",15,MAX(0.1,Skills!D22-IF(Skills!E22=TRUE,0.5,0))),0)</f>
        <v/>
      </c>
      <c r="R1258" t="n">
        <v>0</v>
      </c>
      <c r="S1258" t="n">
        <v>0</v>
      </c>
      <c r="U1258" t="n">
        <v>0</v>
      </c>
    </row>
    <row r="1259">
      <c r="A1259">
        <f>Skills!A23</f>
        <v/>
      </c>
      <c r="B1259">
        <f>Skills!B23</f>
        <v/>
      </c>
      <c r="C1259">
        <f>Inputs!$B$3&gt;=50</f>
        <v/>
      </c>
      <c r="D1259">
        <f>IF(Skills!C23=1,60+Inputs!$B$26+Inputs!$B$30,IF(Skills!C23=2,90+Inputs!$B$27+Inputs!$B$30,IF(Skills!C23=3,120+Inputs!$B$28+Inputs!$B$30,MAX(0,(Inputs!$B$3-100)*3)+Inputs!$B$29+Inputs!$B$30)))</f>
        <v/>
      </c>
      <c r="E1259">
        <f>INDEX(FactorTable!$B$2:$Y$301, MATCH(ROUND(MIN(300,MAX(1,D1259)),0), FactorTable!$A$2:$A$301,0), Skills!L23+1)</f>
        <v/>
      </c>
      <c r="F1259">
        <f>IF(Skills!M23=TRUE,(Skills!K23/10)*(E1259/1000),Skills!K23/10)+Skills!N23</f>
        <v/>
      </c>
      <c r="G1259">
        <f>Calc!G23</f>
        <v/>
      </c>
      <c r="H1259">
        <f>Calc!H23</f>
        <v/>
      </c>
      <c r="I1259">
        <f>IF(Skills!T23&lt;&gt;"",1+(Skills!T23/10)*($Z$3/1000)/100,1)</f>
        <v/>
      </c>
      <c r="J1259" t="inlineStr"/>
      <c r="K1259" t="inlineStr"/>
      <c r="L1259" t="inlineStr"/>
      <c r="M1259" t="inlineStr"/>
      <c r="N1259" t="inlineStr"/>
      <c r="O1259">
        <f>(1-Summary!$B$48)*S1259+Summary!$B$48*U1259</f>
        <v/>
      </c>
      <c r="P1259">
        <f>IF(B1278=0,0,O1259/B1278)</f>
        <v/>
      </c>
      <c r="Q1259">
        <f>IFERROR(1/IF(Inputs!$B$39="pvp",15,MAX(0.1,Skills!D23-IF(Skills!E23=TRUE,0.5,0))),0)</f>
        <v/>
      </c>
      <c r="R1259" t="n">
        <v>0</v>
      </c>
      <c r="S1259" t="n">
        <v>0</v>
      </c>
      <c r="U1259" t="n">
        <v>0</v>
      </c>
    </row>
    <row r="1260">
      <c r="A1260">
        <f>Skills!A24</f>
        <v/>
      </c>
      <c r="B1260">
        <f>Skills!B24</f>
        <v/>
      </c>
      <c r="C1260">
        <f>Inputs!$B$3&gt;=74</f>
        <v/>
      </c>
      <c r="D1260">
        <f>IF(Skills!C24=1,60+Inputs!$B$26+Inputs!$B$30,IF(Skills!C24=2,90+Inputs!$B$27+Inputs!$B$30,IF(Skills!C24=3,120+Inputs!$B$28+Inputs!$B$30,MAX(0,(Inputs!$B$3-100)*3)+Inputs!$B$29+Inputs!$B$30)))</f>
        <v/>
      </c>
      <c r="E1260">
        <f>INDEX(FactorTable!$B$2:$Y$301, MATCH(ROUND(MIN(300,MAX(1,D1260)),0), FactorTable!$A$2:$A$301,0), Skills!L24+1)</f>
        <v/>
      </c>
      <c r="F1260">
        <f>IF(Skills!M24=TRUE,(Skills!K24/10)*(E1260/1000),Skills!K24/10)+Skills!N24</f>
        <v/>
      </c>
      <c r="G1260">
        <f>Calc!G24</f>
        <v/>
      </c>
      <c r="H1260">
        <f>Calc!H24</f>
        <v/>
      </c>
      <c r="I1260">
        <f>IF(Skills!T24&lt;&gt;"",1+(Skills!T24/10)*($Z$3/1000)/100,1)</f>
        <v/>
      </c>
      <c r="J1260" t="inlineStr"/>
      <c r="K1260" t="inlineStr"/>
      <c r="L1260" t="inlineStr"/>
      <c r="M1260" t="inlineStr"/>
      <c r="N1260" t="inlineStr"/>
      <c r="O1260">
        <f>(1-Summary!$B$48)*S1260+Summary!$B$48*U1260</f>
        <v/>
      </c>
      <c r="P1260">
        <f>IF(B1278=0,0,O1260/B1278)</f>
        <v/>
      </c>
      <c r="Q1260">
        <f>IFERROR(1/IF(Inputs!$B$39="pvp",15,MAX(0.1,Skills!D24-IF(Skills!E24=TRUE,0.5,0))),0)</f>
        <v/>
      </c>
      <c r="R1260" t="n">
        <v>0</v>
      </c>
      <c r="S1260" t="n">
        <v>0</v>
      </c>
      <c r="U1260" t="n">
        <v>0</v>
      </c>
    </row>
    <row r="1261">
      <c r="A1261">
        <f>Skills!A25</f>
        <v/>
      </c>
      <c r="B1261">
        <f>Skills!B25</f>
        <v/>
      </c>
      <c r="C1261">
        <f>Inputs!$B$3&gt;=74</f>
        <v/>
      </c>
      <c r="D1261">
        <f>IF(Skills!C25=1,60+Inputs!$B$26+Inputs!$B$30,IF(Skills!C25=2,90+Inputs!$B$27+Inputs!$B$30,IF(Skills!C25=3,120+Inputs!$B$28+Inputs!$B$30,MAX(0,(Inputs!$B$3-100)*3)+Inputs!$B$29+Inputs!$B$30)))</f>
        <v/>
      </c>
      <c r="E1261">
        <f>INDEX(FactorTable!$B$2:$Y$301, MATCH(ROUND(MIN(300,MAX(1,D1261)),0), FactorTable!$A$2:$A$301,0), Skills!L25+1)</f>
        <v/>
      </c>
      <c r="F1261">
        <f>IF(Skills!M25=TRUE,(Skills!K25/10)*(E1261/1000),Skills!K25/10)+Skills!N25</f>
        <v/>
      </c>
      <c r="G1261">
        <f>Calc!G25</f>
        <v/>
      </c>
      <c r="H1261">
        <f>Calc!H25</f>
        <v/>
      </c>
      <c r="I1261">
        <f>IF(Skills!T25&lt;&gt;"",1+(Skills!T25/10)*($Z$3/1000)/100,1)</f>
        <v/>
      </c>
      <c r="J1261" t="inlineStr"/>
      <c r="K1261" t="inlineStr"/>
      <c r="L1261" t="inlineStr"/>
      <c r="M1261" t="inlineStr"/>
      <c r="N1261" t="inlineStr"/>
      <c r="O1261">
        <f>(1-Summary!$B$48)*S1261+Summary!$B$48*U1261</f>
        <v/>
      </c>
      <c r="P1261">
        <f>IF(B1278=0,0,O1261/B1278)</f>
        <v/>
      </c>
      <c r="Q1261">
        <f>IFERROR(1/IF(Inputs!$B$39="pvp",15,MAX(0.1,Skills!D25-IF(Skills!E25=TRUE,0.5,0))),0)</f>
        <v/>
      </c>
      <c r="R1261" t="n">
        <v>0</v>
      </c>
      <c r="S1261" t="n">
        <v>0</v>
      </c>
      <c r="U1261" t="n">
        <v>0</v>
      </c>
    </row>
    <row r="1262">
      <c r="A1262">
        <f>Skills!A26</f>
        <v/>
      </c>
      <c r="B1262">
        <f>Skills!B26</f>
        <v/>
      </c>
      <c r="C1262">
        <f>Inputs!$B$3&gt;=117</f>
        <v/>
      </c>
      <c r="D1262">
        <f>IF(Skills!C26=1,60+Inputs!$B$26+Inputs!$B$30,IF(Skills!C26=2,90+Inputs!$B$27+Inputs!$B$30,IF(Skills!C26=3,120+Inputs!$B$28+Inputs!$B$30,MAX(0,(Inputs!$B$3-100)*3)+Inputs!$B$29+Inputs!$B$30)))</f>
        <v/>
      </c>
      <c r="E1262">
        <f>INDEX(FactorTable!$B$2:$Y$301, MATCH(ROUND(MIN(300,MAX(1,D1262)),0), FactorTable!$A$2:$A$301,0), Skills!L26+1)</f>
        <v/>
      </c>
      <c r="F1262">
        <f>IF(Skills!M26=TRUE,(Skills!K26/10)*(E1262/1000),Skills!K26/10)+Skills!N26</f>
        <v/>
      </c>
      <c r="G1262">
        <f>Calc!G26</f>
        <v/>
      </c>
      <c r="H1262">
        <f>Calc!H26</f>
        <v/>
      </c>
      <c r="I1262">
        <f>IF(Skills!T26&lt;&gt;"",1+(Skills!T26/10)*($Z$3/1000)/100,1)</f>
        <v/>
      </c>
      <c r="J1262" t="inlineStr"/>
      <c r="K1262" t="inlineStr"/>
      <c r="L1262" t="inlineStr"/>
      <c r="M1262" t="inlineStr"/>
      <c r="N1262" t="inlineStr"/>
      <c r="O1262">
        <f>(1-Summary!$B$48)*S1262+Summary!$B$48*U1262</f>
        <v/>
      </c>
      <c r="P1262">
        <f>IF(B1278=0,0,O1262/B1278)</f>
        <v/>
      </c>
      <c r="Q1262">
        <f>IFERROR(1/IF(Inputs!$B$39="pvp",15,MAX(0.1,Skills!D26-IF(Skills!E26=TRUE,0.5,0))),0)</f>
        <v/>
      </c>
      <c r="R1262" t="n">
        <v>0</v>
      </c>
      <c r="S1262" t="n">
        <v>0</v>
      </c>
      <c r="U1262" t="n">
        <v>0</v>
      </c>
    </row>
    <row r="1263">
      <c r="A1263">
        <f>Skills!A27</f>
        <v/>
      </c>
      <c r="B1263">
        <f>Skills!B27</f>
        <v/>
      </c>
      <c r="C1263">
        <f>Inputs!$B$3&gt;=120</f>
        <v/>
      </c>
      <c r="D1263">
        <f>IF(Skills!C27=1,60+Inputs!$B$26+Inputs!$B$30,IF(Skills!C27=2,90+Inputs!$B$27+Inputs!$B$30,IF(Skills!C27=3,120+Inputs!$B$28+Inputs!$B$30,MAX(0,(Inputs!$B$3-100)*3)+Inputs!$B$29+Inputs!$B$30)))</f>
        <v/>
      </c>
      <c r="E1263">
        <f>INDEX(FactorTable!$B$2:$Y$301, MATCH(ROUND(MIN(300,MAX(1,D1263)),0), FactorTable!$A$2:$A$301,0), Skills!L27+1)</f>
        <v/>
      </c>
      <c r="F1263">
        <f>IF(Skills!M27=TRUE,(Skills!K27/10)*(E1263/1000),Skills!K27/10)+Skills!N27</f>
        <v/>
      </c>
      <c r="G1263">
        <f>Calc!G27</f>
        <v/>
      </c>
      <c r="H1263">
        <f>Calc!H27</f>
        <v/>
      </c>
      <c r="I1263">
        <f>IF(Skills!T27&lt;&gt;"",1+(Skills!T27/10)*($Z$3/1000)/100,1)</f>
        <v/>
      </c>
      <c r="J1263" t="inlineStr"/>
      <c r="K1263" t="inlineStr"/>
      <c r="L1263" t="inlineStr"/>
      <c r="M1263" t="inlineStr"/>
      <c r="N1263" t="inlineStr"/>
      <c r="O1263">
        <f>(1-Summary!$B$48)*S1263+Summary!$B$48*U1263</f>
        <v/>
      </c>
      <c r="P1263">
        <f>IF(B1278=0,0,O1263/B1278)</f>
        <v/>
      </c>
      <c r="Q1263">
        <f>IFERROR(1/IF(Inputs!$B$39="pvp",15,MAX(0.1,Skills!D27-IF(Skills!E27=TRUE,0.5,0))),0)</f>
        <v/>
      </c>
      <c r="R1263" t="n">
        <v>0</v>
      </c>
      <c r="S1263" t="n">
        <v>0</v>
      </c>
      <c r="U1263" t="n">
        <v>0</v>
      </c>
    </row>
    <row r="1265">
      <c r="A1265" t="inlineStr">
        <is>
          <t>Average Buff Multiplier</t>
        </is>
      </c>
      <c r="B1265">
        <f>(1+(IF(C1239=TRUE,F1239*IF(AND(Inputs!$B$39&lt;&gt;"pvp",Inputs!$B$44&gt;0),(((R1239-1)*(Skills!S3*(1+(Inputs!$B$35+IF(Inputs!$B$3&gt;=117,F1262,0))/100))+MIN((Skills!S3*(1+(Inputs!$B$35+IF(Inputs!$B$3&gt;=117,F1262,0))/100)),MAX(0,Inputs!$B$44-((R1239-1)*Skills!D3))))/Inputs!$B$44),IF(Inputs!$B$39="pvp",MIN((Skills!S3*(1+(Inputs!$B$35+IF(Inputs!$B$3&gt;=117,F1262,0))/100)),15)/15,(Skills!S3*(1+(Inputs!$B$35+IF(Inputs!$B$3&gt;=117,F1262,0))/100))/Skills!D3)),0)+IF(C1240=TRUE,F1240*IF(AND(Inputs!$B$39&lt;&gt;"pvp",Inputs!$B$44&gt;0),(((R1240-1)*(Skills!S4*(1+(Inputs!$B$35+IF(Inputs!$B$3&gt;=117,F1262,0))/100))+MIN((Skills!S4*(1+(Inputs!$B$35+IF(Inputs!$B$3&gt;=117,F1262,0))/100)),MAX(0,Inputs!$B$44-((R1240-1)*Skills!D4))))/Inputs!$B$44),IF(Inputs!$B$39="pvp",MIN((Skills!S4*(1+(Inputs!$B$35+IF(Inputs!$B$3&gt;=117,F1262,0))/100)),15)/15,(Skills!S4*(1+(Inputs!$B$35+IF(Inputs!$B$3&gt;=117,F1262,0))/100))/Skills!D4)),0)+IF(C1241=TRUE,F1241*IF(AND(Inputs!$B$39&lt;&gt;"pvp",Inputs!$B$44&gt;0),(((R1241-1)*(Skills!S5*(1+(Inputs!$B$35+IF(Inputs!$B$3&gt;=117,F1262,0))/100))+MIN((Skills!S5*(1+(Inputs!$B$35+IF(Inputs!$B$3&gt;=117,F1262,0))/100)),MAX(0,Inputs!$B$44-((R1241-1)*Skills!D5))))/Inputs!$B$44),IF(Inputs!$B$39="pvp",MIN((Skills!S5*(1+(Inputs!$B$35+IF(Inputs!$B$3&gt;=117,F1262,0))/100)),15)/15,(Skills!S5*(1+(Inputs!$B$35+IF(Inputs!$B$3&gt;=117,F1262,0))/100))/Skills!D5)),0)+IF(C1247=TRUE,F1247*IF(AND(Inputs!$B$39&lt;&gt;"pvp",Inputs!$B$44&gt;0),(((R1247-1)*(Skills!S11*(1+(Inputs!$B$35+IF(Inputs!$B$3&gt;=117,F1262,0))/100))+MIN((Skills!S11*(1+(Inputs!$B$35+IF(Inputs!$B$3&gt;=117,F1262,0))/100)),MAX(0,Inputs!$B$44-((R1247-1)*Skills!D11))))/Inputs!$B$44),IF(Inputs!$B$39="pvp",MIN((Skills!S11*(1+(Inputs!$B$35+IF(Inputs!$B$3&gt;=117,F1262,0))/100)),15)/15,(Skills!S11*(1+(Inputs!$B$35+IF(Inputs!$B$3&gt;=117,F1262,0))/100))/Skills!D11)),0))/100)*IF(C1250=TRUE,(1+F1250*IF(AND(Inputs!$B$39&lt;&gt;"pvp",Inputs!$B$44&gt;0),(((R1250-1)*(Skills!S14*(1+(Inputs!$B$35+IF(Inputs!$B$3&gt;=117,F1262,0))/100))+MIN((Skills!S14*(1+(Inputs!$B$35+IF(Inputs!$B$3&gt;=117,F1262,0))/100)),MAX(0,Inputs!$B$44-((R1250-1)*Skills!D14))))/Inputs!$B$44),IF(Inputs!$B$39="pvp",MIN((Skills!S14*(1+(Inputs!$B$35+IF(Inputs!$B$3&gt;=117,F1262,0))/100)),15)/15,(Skills!S14*(1+(Inputs!$B$35+IF(Inputs!$B$3&gt;=117,F1262,0))/100))/Skills!D14))/100),1)*IF(C1255=TRUE,(1+F1255*IF(AND(Inputs!$B$39&lt;&gt;"pvp",Inputs!$B$44&gt;0),(((R1255-1)*(Skills!S19*(1+(Inputs!$B$35+IF(Inputs!$B$3&gt;=117,F1262,0))/100))+MIN((Skills!S19*(1+(Inputs!$B$35+IF(Inputs!$B$3&gt;=117,F1262,0))/100)),MAX(0,Inputs!$B$44-((R1255-1)*Skills!D19))))/Inputs!$B$44),IF(Inputs!$B$39="pvp",MIN((Skills!S19*(1+(Inputs!$B$35+IF(Inputs!$B$3&gt;=117,F1262,0))/100)),15)/15,(Skills!S19*(1+(Inputs!$B$35+IF(Inputs!$B$3&gt;=117,F1262,0))/100))/Skills!D19))/100),1)</f>
        <v/>
      </c>
    </row>
    <row r="1266">
      <c r="A1266" t="inlineStr">
        <is>
          <t>Monster Damage Taken Bonus % (Holy Fountain)</t>
        </is>
      </c>
      <c r="B1266">
        <f>IF(Inputs!$B$3&gt;=68,20*IF(Inputs!$B$39="pvp",MIN((15*(1+(Inputs!$B$35+IF(Inputs!$B$3&gt;=117,F1262,0))/100)),15)/15,(15*(1+(Inputs!$B$35+IF(Inputs!$B$3&gt;=117,F1262,0))/100))/Skills!D10),0)</f>
        <v/>
      </c>
    </row>
    <row r="1267">
      <c r="A1267" t="inlineStr">
        <is>
          <t>Normal Monster Damage Bonus % (Holy Symbol)</t>
        </is>
      </c>
      <c r="B1267">
        <f>IF(C1248=TRUE,F1248*IF(AND(Inputs!$B$39&lt;&gt;"pvp",Inputs!$B$44&gt;0),(((R1248-1)*(Skills!S12*(1+(Inputs!$B$35+IF(Inputs!$B$3&gt;=117,F1262,0))/100))+MIN((Skills!S12*(1+(Inputs!$B$35+IF(Inputs!$B$3&gt;=117,F1262,0))/100)),MAX(0,Inputs!$B$44-((R1248-1)*Skills!D12))))/Inputs!$B$44),IF(Inputs!$B$39="pvp",MIN((Skills!S12*(1+(Inputs!$B$35+IF(Inputs!$B$3&gt;=117,F1262,0))/100)),15)/15,(Skills!S12*(1+(Inputs!$B$35+IF(Inputs!$B$3&gt;=117,F1262,0))/100))/Skills!D12)),0)</f>
        <v/>
      </c>
    </row>
    <row r="1268">
      <c r="A1268" t="inlineStr">
        <is>
          <t>Damage % Bonus (Holy Symbol - Damage Boost)</t>
        </is>
      </c>
      <c r="B1268">
        <f>Skills!O12</f>
        <v/>
      </c>
    </row>
    <row r="1269">
      <c r="A1269" t="inlineStr">
        <is>
          <t>Crit Damage % Bonus (Blood of the Divine)</t>
        </is>
      </c>
      <c r="B1269">
        <f>4*IF(C1256=TRUE,F1256,0)</f>
        <v/>
      </c>
    </row>
    <row r="1270">
      <c r="A1270" t="inlineStr">
        <is>
          <t>Attack Speed Bonus %</t>
        </is>
      </c>
      <c r="B1270">
        <f>IF(C1253=TRUE,F1253+(F1257-Calc!F21),0)+IF(Inputs!$B$3&gt;=134,15,0)</f>
        <v/>
      </c>
    </row>
    <row r="1271">
      <c r="A1271" t="inlineStr">
        <is>
          <t>Actions Per Second</t>
        </is>
      </c>
      <c r="B1271">
        <f>1+MIN(150,150*(1-(1-Inputs!$B$12/150)*(1-B1270/150)))/100</f>
        <v/>
      </c>
    </row>
    <row r="1272">
      <c r="A1272" t="inlineStr">
        <is>
          <t>Skill + Buff Cast Rate</t>
        </is>
      </c>
      <c r="B1272">
        <f>IF(AND(Inputs!$B$39&lt;&gt;"pvp",Inputs!$B$44&gt;0),SUMPRODUCT((Skills!E2:E27=TRUE)*(C1238:C1263=TRUE)*R1238:R1263)/Inputs!$B$44,SUMPRODUCT((Skills!E2:E27=TRUE)*(C1238:C1263=TRUE)*Q1238:Q1263))</f>
        <v/>
      </c>
    </row>
    <row r="1273">
      <c r="A1273" t="inlineStr">
        <is>
          <t>Big Bang Casts Per Second</t>
        </is>
      </c>
      <c r="B1273">
        <f>MAX(0,B1271-B1272)</f>
        <v/>
      </c>
    </row>
    <row r="1274">
      <c r="A1274" t="inlineStr">
        <is>
          <t>Defense % Bonus (Divine Protection)</t>
        </is>
      </c>
      <c r="B1274">
        <f>IF(C1249=TRUE,F1249*IF(AND(Inputs!$B$39&lt;&gt;"pvp",Inputs!$B$44&gt;0),(((R1249-1)*(Skills!S13*(1+(Inputs!$B$35+IF(Inputs!$B$3&gt;=117,F1262,0))/100))+MIN((Skills!S13*(1+(Inputs!$B$35+IF(Inputs!$B$3&gt;=117,F1262,0))/100)),MAX(0,Inputs!$B$44-((R1249-1)*Skills!D13))))/Inputs!$B$44),IF(Inputs!$B$39="pvp",MIN((Skills!S13*(1+(Inputs!$B$35+IF(Inputs!$B$3&gt;=117,F1262,0))/100)),15)/15,(Skills!S13*(1+(Inputs!$B$35+IF(Inputs!$B$3&gt;=117,F1262,0))/100))/Skills!D13)),0)</f>
        <v/>
      </c>
    </row>
    <row r="1275">
      <c r="A1275" t="inlineStr">
        <is>
          <t>Buff-Casting Startup Delay (s, fixed-duration only)</t>
        </is>
      </c>
      <c r="B1275">
        <f>IF(AND(Inputs!$B$39&lt;&gt;"pvp",Inputs!$B$44&gt;0),SUMPRODUCT((Skills!S2:S27&gt;0)*(Skills!E2:E27=TRUE)*(C1238:C1263=TRUE))/B1271,0)</f>
        <v/>
      </c>
    </row>
    <row r="1276">
      <c r="A1276" t="inlineStr">
        <is>
          <t>Boss-Only Total DPS (this block's swept value)</t>
        </is>
      </c>
      <c r="B1276">
        <f>SUM(S1238:S1263)</f>
        <v/>
      </c>
    </row>
    <row r="1277">
      <c r="A1277" t="inlineStr">
        <is>
          <t>Normal-Only Total DPS (this block's swept value)</t>
        </is>
      </c>
      <c r="B1277">
        <f>SUM(U1238:U1263)</f>
        <v/>
      </c>
    </row>
    <row r="1278">
      <c r="A1278" s="5" t="inlineStr">
        <is>
          <t>TOTAL DPS</t>
        </is>
      </c>
      <c r="B1278" s="5">
        <f>SUM(O1238:O1263)</f>
        <v/>
      </c>
    </row>
    <row r="1280">
      <c r="A1280" s="5" t="inlineStr">
        <is>
          <t>Stat: CDR = 1.0s</t>
        </is>
      </c>
    </row>
    <row r="1281">
      <c r="A1281" s="9" t="inlineStr">
        <is>
          <t>Key</t>
        </is>
      </c>
      <c r="B1281" s="9" t="inlineStr">
        <is>
          <t>Name</t>
        </is>
      </c>
      <c r="C1281" s="9" t="inlineStr">
        <is>
          <t>Unlocked</t>
        </is>
      </c>
      <c r="D1281" s="9" t="inlineStr">
        <is>
          <t>InputLevel</t>
        </is>
      </c>
      <c r="E1281" s="9" t="inlineStr">
        <is>
          <t>Factor</t>
        </is>
      </c>
      <c r="F1281" s="9" t="inlineStr">
        <is>
          <t>CoefficientPercent</t>
        </is>
      </c>
      <c r="G1281" s="9" t="inlineStr">
        <is>
          <t>EffectiveHits</t>
        </is>
      </c>
      <c r="H1281" s="9" t="inlineStr">
        <is>
          <t>ProcProbability</t>
        </is>
      </c>
      <c r="I1281" s="9" t="inlineStr">
        <is>
          <t>MapleHeroMultiplier</t>
        </is>
      </c>
      <c r="J1281" s="9" t="inlineStr">
        <is>
          <t>BaseDamage</t>
        </is>
      </c>
      <c r="K1281" s="9" t="inlineStr">
        <is>
          <t>BaseHitDamage</t>
        </is>
      </c>
      <c r="L1281" s="9" t="inlineStr">
        <is>
          <t>NonCritAvg</t>
        </is>
      </c>
      <c r="M1281" s="9" t="inlineStr">
        <is>
          <t>CritAvg</t>
        </is>
      </c>
      <c r="N1281" s="9" t="inlineStr">
        <is>
          <t>ExpectedDamage(perHit)</t>
        </is>
      </c>
      <c r="O1281" s="9" t="inlineStr">
        <is>
          <t>DPS</t>
        </is>
      </c>
      <c r="P1281" s="9" t="inlineStr">
        <is>
          <t>% of Total</t>
        </is>
      </c>
      <c r="R1281" t="inlineStr">
        <is>
          <t>helpers</t>
        </is>
      </c>
    </row>
    <row r="1282">
      <c r="A1282">
        <f>Skills!A2</f>
        <v/>
      </c>
      <c r="B1282">
        <f>Skills!B2</f>
        <v/>
      </c>
      <c r="C1282">
        <f>Inputs!$B$3&gt;=100</f>
        <v/>
      </c>
      <c r="D1282" t="inlineStr"/>
      <c r="E1282" t="inlineStr"/>
      <c r="F1282">
        <f>T1284+Skills!N2</f>
        <v/>
      </c>
      <c r="G1282">
        <f>Calc!G2</f>
        <v/>
      </c>
      <c r="H1282">
        <f>Calc!H2</f>
        <v/>
      </c>
      <c r="I1282">
        <f>IF(Skills!T2&lt;&gt;"",1+(Skills!T2/10)*($Z$3/1000)/100,1)</f>
        <v/>
      </c>
      <c r="J1282">
        <f>((Inputs!$B$6*(1+Inputs!$B$7/100))+(((Inputs!$B$13*(1+Inputs!$B$14/100))-(Inputs!$B$13*(1+Inputs!$B$14/100)))+0.25*(Inputs!$B$15-Inputs!$B$15))*(1+Inputs!$B$7/100))*(F1282/100)</f>
        <v/>
      </c>
      <c r="K1282">
        <f>J1282*(1+(((Inputs!$B$13+IF(Inputs!$B$3&gt;=35,(10*INDEX(FactorTable!$B$2:$Y$301, MATCH(ROUND(MIN(300,MAX(1,Inputs!$B$3)),0), FactorTable!$A$2:$A$301,0), 23)/1000)/100*(Inputs!$B$8*(1+(Inputs!$B$9+B1318)/100)),0))*(1+Inputs!$B$14/100))*0.01+Inputs!$B$15*0.0025)/100)*(1+(Inputs!$B$16+B1312)/100)*(1+Inputs!$B$17/100)*(5000/(6000+Inputs!$B$43*(1-Inputs!$B$20/100)))*(1+Inputs!$B$25/100)*(1+IF(C1298=TRUE,F1298,0)/100)*(1+IF(C1300=TRUE,F1300,0)/100)*(1+IF(Skills!A2="TRIUMPH_FEATHER",IF(C1296=TRUE,F1296,0),0)/100)*(1+IF(C1307=TRUE,F1307,0)/100)^5*(1+(IF(Skills!A2="BIG_BANG",Inputs!$B$18,Inputs!$B$19))/100)*(B1309*I1282)</f>
        <v/>
      </c>
      <c r="L1282">
        <f>K1282*(MIN(Inputs!$B$23+(F1302-Calc!F22),Inputs!$B$24)/100+Inputs!$B$24/100)/2</f>
        <v/>
      </c>
      <c r="M1282">
        <f>L1282*(1+(Inputs!$B$11+B1313+(F1305-Calc!F25))/100)</f>
        <v/>
      </c>
      <c r="N1282">
        <f>L1282*(1-MIN(Inputs!$B$10+((F1304-Calc!F24)+(F1303-Calc!F23)),100)/100)+M1282*(MIN(Inputs!$B$10+((F1304-Calc!F24)+(F1303-Calc!F23)),100)/100)</f>
        <v/>
      </c>
      <c r="O1282">
        <f>(1-Summary!$B$48)*S1282+Summary!$B$48*U1282</f>
        <v/>
      </c>
      <c r="P1282">
        <f>IF(B1322=0,0,O1282/B1322)</f>
        <v/>
      </c>
      <c r="Q1282">
        <f>IFERROR(1/IF(Inputs!$B$39="pvp",15,MAX(0.1,Skills!D2-IF(Skills!E2=TRUE,1.0,0))),0)</f>
        <v/>
      </c>
      <c r="R1282" t="n">
        <v>0</v>
      </c>
      <c r="S1282">
        <f>IF(C1282,(Skills!F2*N1282*B1317)*IF(Inputs!$B$39="pvp",1,1+(Inputs!$B$21+Skills!O2+B1310)/100),0)</f>
        <v/>
      </c>
      <c r="T1282">
        <f>MAX(0,(Inputs!$B$3-100)*3)+Inputs!$B$29+Inputs!$B$30</f>
        <v/>
      </c>
      <c r="U1282">
        <f>IF(C1282,(Skills!F2*N1282*B1317)*IF(Inputs!$B$39="pvp",1,(1+(Inputs!$B$22+Skills!P2+B1311)/100)*(MIN((6+Inputs!$B$34),Inputs!$B$38))),0)</f>
        <v/>
      </c>
    </row>
    <row r="1283">
      <c r="A1283">
        <f>Skills!A3</f>
        <v/>
      </c>
      <c r="B1283">
        <f>Skills!B3</f>
        <v/>
      </c>
      <c r="C1283">
        <f>Inputs!$B$3&gt;=15</f>
        <v/>
      </c>
      <c r="D1283">
        <f>IF(Skills!C3=1,60+Inputs!$B$26+Inputs!$B$30,IF(Skills!C3=2,90+Inputs!$B$27+Inputs!$B$30,IF(Skills!C3=3,120+Inputs!$B$28+Inputs!$B$30,MAX(0,(Inputs!$B$3-100)*3)+Inputs!$B$29+Inputs!$B$30)))</f>
        <v/>
      </c>
      <c r="E1283">
        <f>INDEX(FactorTable!$B$2:$Y$301, MATCH(ROUND(MIN(300,MAX(1,D1283)),0), FactorTable!$A$2:$A$301,0), Skills!L3+1)</f>
        <v/>
      </c>
      <c r="F1283">
        <f>IF(Skills!M3=TRUE,(Skills!K3/10)*(E1283/1000),Skills!K3/10)+Skills!N3</f>
        <v/>
      </c>
      <c r="G1283">
        <f>Calc!G3</f>
        <v/>
      </c>
      <c r="H1283">
        <f>Calc!H3</f>
        <v/>
      </c>
      <c r="I1283">
        <f>IF(Skills!T3&lt;&gt;"",1+(Skills!T3/10)*($Z$3/1000)/100,1)</f>
        <v/>
      </c>
      <c r="J1283" t="inlineStr"/>
      <c r="K1283" t="inlineStr"/>
      <c r="L1283" t="inlineStr"/>
      <c r="M1283" t="inlineStr"/>
      <c r="N1283" t="inlineStr"/>
      <c r="O1283">
        <f>(1-Summary!$B$48)*S1283+Summary!$B$48*U1283</f>
        <v/>
      </c>
      <c r="P1283">
        <f>IF(B1322=0,0,O1283/B1322)</f>
        <v/>
      </c>
      <c r="Q1283">
        <f>IFERROR(1/IF(Inputs!$B$39="pvp",15,MAX(0.1,Skills!D3-IF(Skills!E3=TRUE,1.0,0))),0)</f>
        <v/>
      </c>
      <c r="R1283">
        <f>IF(AND(Inputs!$B$39&lt;&gt;"pvp",Inputs!$B$44&gt;0),IF(Inputs!$B$44&lt;=0,0,(INT(Inputs!$B$44/IF(Inputs!$B$39="pvp",15,MAX(0.1,Skills!D3-IF(Skills!E3=TRUE,1.0,0))))+1)),0)</f>
        <v/>
      </c>
      <c r="S1283" t="n">
        <v>0</v>
      </c>
      <c r="T1283">
        <f>INDEX(FactorTable!$B$2:$Y$301, MATCH(ROUND(MIN(300,MAX(1,T1282)),0), FactorTable!$A$2:$A$301,0), 22)</f>
        <v/>
      </c>
      <c r="U1283" t="n">
        <v>0</v>
      </c>
    </row>
    <row r="1284">
      <c r="A1284">
        <f>Skills!A4</f>
        <v/>
      </c>
      <c r="B1284">
        <f>Skills!B4</f>
        <v/>
      </c>
      <c r="C1284">
        <f>Inputs!$B$3&gt;=38</f>
        <v/>
      </c>
      <c r="D1284">
        <f>IF(Skills!C4=1,60+Inputs!$B$26+Inputs!$B$30,IF(Skills!C4=2,90+Inputs!$B$27+Inputs!$B$30,IF(Skills!C4=3,120+Inputs!$B$28+Inputs!$B$30,MAX(0,(Inputs!$B$3-100)*3)+Inputs!$B$29+Inputs!$B$30)))</f>
        <v/>
      </c>
      <c r="E1284">
        <f>INDEX(FactorTable!$B$2:$Y$301, MATCH(ROUND(MIN(300,MAX(1,D1284)),0), FactorTable!$A$2:$A$301,0), Skills!L4+1)</f>
        <v/>
      </c>
      <c r="F1284">
        <f>IF(Skills!M4=TRUE,(Skills!K4/10)*(E1284/1000),Skills!K4/10)+Skills!N4</f>
        <v/>
      </c>
      <c r="G1284">
        <f>Calc!G4</f>
        <v/>
      </c>
      <c r="H1284">
        <f>Calc!H4</f>
        <v/>
      </c>
      <c r="I1284">
        <f>IF(Skills!T4&lt;&gt;"",1+(Skills!T4/10)*($Z$3/1000)/100,1)</f>
        <v/>
      </c>
      <c r="J1284" t="inlineStr"/>
      <c r="K1284" t="inlineStr"/>
      <c r="L1284" t="inlineStr"/>
      <c r="M1284" t="inlineStr"/>
      <c r="N1284" t="inlineStr"/>
      <c r="O1284">
        <f>(1-Summary!$B$48)*S1284+Summary!$B$48*U1284</f>
        <v/>
      </c>
      <c r="P1284">
        <f>IF(B1322=0,0,O1284/B1322)</f>
        <v/>
      </c>
      <c r="Q1284">
        <f>IFERROR(1/IF(Inputs!$B$39="pvp",15,MAX(0.1,Skills!D4-IF(Skills!E4=TRUE,1.0,0))),0)</f>
        <v/>
      </c>
      <c r="R1284">
        <f>IF(AND(Inputs!$B$39&lt;&gt;"pvp",Inputs!$B$44&gt;0),IF(Inputs!$B$44&lt;=0,0,(INT(Inputs!$B$44/IF(Inputs!$B$39="pvp",15,MAX(0.1,Skills!D4-IF(Skills!E4=TRUE,1.0,0))))+1)),0)</f>
        <v/>
      </c>
      <c r="S1284" t="n">
        <v>0</v>
      </c>
      <c r="T1284">
        <f>290*T1283/1000</f>
        <v/>
      </c>
      <c r="U1284" t="n">
        <v>0</v>
      </c>
    </row>
    <row r="1285">
      <c r="A1285">
        <f>Skills!A5</f>
        <v/>
      </c>
      <c r="B1285">
        <f>Skills!B5</f>
        <v/>
      </c>
      <c r="C1285">
        <f>Inputs!$B$3&gt;=40</f>
        <v/>
      </c>
      <c r="D1285">
        <f>IF(Skills!C5=1,60+Inputs!$B$26+Inputs!$B$30,IF(Skills!C5=2,90+Inputs!$B$27+Inputs!$B$30,IF(Skills!C5=3,120+Inputs!$B$28+Inputs!$B$30,MAX(0,(Inputs!$B$3-100)*3)+Inputs!$B$29+Inputs!$B$30)))</f>
        <v/>
      </c>
      <c r="E1285">
        <f>INDEX(FactorTable!$B$2:$Y$301, MATCH(ROUND(MIN(300,MAX(1,D1285)),0), FactorTable!$A$2:$A$301,0), Skills!L5+1)</f>
        <v/>
      </c>
      <c r="F1285">
        <f>IF(Skills!M5=TRUE,(Skills!K5/10)*(E1285/1000),Skills!K5/10)+Skills!N5</f>
        <v/>
      </c>
      <c r="G1285">
        <f>Calc!G5</f>
        <v/>
      </c>
      <c r="H1285">
        <f>Calc!H5</f>
        <v/>
      </c>
      <c r="I1285">
        <f>IF(Skills!T5&lt;&gt;"",1+(Skills!T5/10)*($Z$3/1000)/100,1)</f>
        <v/>
      </c>
      <c r="J1285" t="inlineStr"/>
      <c r="K1285" t="inlineStr"/>
      <c r="L1285" t="inlineStr"/>
      <c r="M1285" t="inlineStr"/>
      <c r="N1285" t="inlineStr"/>
      <c r="O1285">
        <f>(1-Summary!$B$48)*S1285+Summary!$B$48*U1285</f>
        <v/>
      </c>
      <c r="P1285">
        <f>IF(B1322=0,0,O1285/B1322)</f>
        <v/>
      </c>
      <c r="Q1285">
        <f>IFERROR(1/IF(Inputs!$B$39="pvp",15,MAX(0.1,Skills!D5-IF(Skills!E5=TRUE,1.0,0))),0)</f>
        <v/>
      </c>
      <c r="R1285">
        <f>IF(AND(Inputs!$B$39&lt;&gt;"pvp",Inputs!$B$44&gt;0),IF(Inputs!$B$44&lt;=0,0,(INT(Inputs!$B$44/IF(Inputs!$B$39="pvp",15,MAX(0.1,Skills!D5-IF(Skills!E5=TRUE,1.0,0))))+1)),0)</f>
        <v/>
      </c>
      <c r="S1285" t="n">
        <v>0</v>
      </c>
      <c r="U1285" t="n">
        <v>0</v>
      </c>
    </row>
    <row r="1286">
      <c r="A1286">
        <f>Skills!A6</f>
        <v/>
      </c>
      <c r="B1286">
        <f>Skills!B6</f>
        <v/>
      </c>
      <c r="C1286">
        <f>Inputs!$B$3&gt;=103</f>
        <v/>
      </c>
      <c r="D1286">
        <f>IF(Skills!C6=1,60+Inputs!$B$26+Inputs!$B$30,IF(Skills!C6=2,90+Inputs!$B$27+Inputs!$B$30,IF(Skills!C6=3,120+Inputs!$B$28+Inputs!$B$30,MAX(0,(Inputs!$B$3-100)*3)+Inputs!$B$29+Inputs!$B$30)))</f>
        <v/>
      </c>
      <c r="E1286">
        <f>INDEX(FactorTable!$B$2:$Y$301, MATCH(ROUND(MIN(300,MAX(1,D1286)),0), FactorTable!$A$2:$A$301,0), Skills!L6+1)</f>
        <v/>
      </c>
      <c r="F1286">
        <f>IF(Skills!M6=TRUE,(Skills!K6/10)*(E1286/1000),Skills!K6/10)+Skills!N6</f>
        <v/>
      </c>
      <c r="G1286">
        <f>Calc!G6</f>
        <v/>
      </c>
      <c r="H1286">
        <f>Calc!H6</f>
        <v/>
      </c>
      <c r="I1286">
        <f>IF(Skills!T6&lt;&gt;"",1+(Skills!T6/10)*($Z$3/1000)/100,1)</f>
        <v/>
      </c>
      <c r="J1286">
        <f>((Inputs!$B$6*(1+Inputs!$B$7/100))+(((Inputs!$B$13*(1+Inputs!$B$14/100))-(Inputs!$B$13*(1+Inputs!$B$14/100)))+0.25*(Inputs!$B$15-Inputs!$B$15))*(1+Inputs!$B$7/100))*(F1286/100)</f>
        <v/>
      </c>
      <c r="K1286">
        <f>J1286*(1+(((Inputs!$B$13+IF(Inputs!$B$3&gt;=35,(10*INDEX(FactorTable!$B$2:$Y$301, MATCH(ROUND(MIN(300,MAX(1,Inputs!$B$3)),0), FactorTable!$A$2:$A$301,0), 23)/1000)/100*(Inputs!$B$8*(1+(Inputs!$B$9+B1318)/100)),0))*(1+Inputs!$B$14/100))*0.01+Inputs!$B$15*0.0025)/100)*(1+(Inputs!$B$16+B1312)/100)*(1+Inputs!$B$17/100)*(5000/(6000+Inputs!$B$43*(1-Inputs!$B$20/100)))*(1+Inputs!$B$25/100)*(1+IF(C1298=TRUE,F1298,0)/100)*(1+IF(C1300=TRUE,F1300,0)/100)*(1+IF(Skills!A6="TRIUMPH_FEATHER",IF(C1296=TRUE,F1296,0),0)/100)*(1+IF(C1307=TRUE,F1307,0)/100)^5*(1+(IF(Skills!A6="BIG_BANG",Inputs!$B$18,Inputs!$B$19))/100)*(B1309*I1286)</f>
        <v/>
      </c>
      <c r="L1286">
        <f>K1286*(MIN(Inputs!$B$23+(F1302-Calc!F22),Inputs!$B$24)/100+Inputs!$B$24/100)/2</f>
        <v/>
      </c>
      <c r="M1286">
        <f>L1286*(1+(Inputs!$B$11+B1313+(F1305-Calc!F25))/100)</f>
        <v/>
      </c>
      <c r="N1286">
        <f>L1286*(1-MIN(Inputs!$B$10+((F1304-Calc!F24)+(F1303-Calc!F23)),100)/100)+M1286*(MIN(Inputs!$B$10+((F1304-Calc!F24)+(F1303-Calc!F23)),100)/100)</f>
        <v/>
      </c>
      <c r="O1286">
        <f>(1-Summary!$B$48)*S1286+Summary!$B$48*U1286</f>
        <v/>
      </c>
      <c r="P1286">
        <f>IF(B1322=0,0,O1286/B1322)</f>
        <v/>
      </c>
      <c r="Q1286">
        <f>IFERROR(1/IF(Inputs!$B$39="pvp",15,MAX(0.1,Skills!D6-IF(Skills!E6=TRUE,1.0,0))),0)</f>
        <v/>
      </c>
      <c r="R1286">
        <f>IF(AND(Inputs!$B$39&lt;&gt;"pvp",Inputs!$B$44&gt;0),IF(MAX(0,Inputs!$B$44-B1319)&lt;=0,0,(INT(MAX(0,Inputs!$B$44-B1319)/IF(Inputs!$B$39="pvp",15,MAX(0.1,Skills!D6-IF(Skills!E6=TRUE,1.0,0))))+1)),0)</f>
        <v/>
      </c>
      <c r="S1286">
        <f>IF(C1286,(H1286*N1286*IF(AND(Inputs!$B$39&lt;&gt;"pvp",Inputs!$B$44&gt;0),((Skills!F6*((R1286-1)*IF(Skills!G6&gt;0,Skills!H6/Skills!G6,1)+IF(Skills!G6&gt;0,MIN(Skills!H6,MAX(0,MAX(0,Inputs!$B$44-B1319)-((R1286-1)*IF(Inputs!$B$39="pvp",15,MAX(0.1,Skills!D6-IF(Skills!E6=TRUE,1.0,0))))))/Skills!G6,1)))/Inputs!$B$44),G1286*Q1286))*IF(Inputs!$B$39="pvp",1,1+(Inputs!$B$21+Skills!O6+B1310)/100),0)</f>
        <v/>
      </c>
      <c r="U1286">
        <f>IF(C1286,(H1286*N1286*IF(AND(Inputs!$B$39&lt;&gt;"pvp",Inputs!$B$44&gt;0),((Skills!F6*((R1286-1)*IF(Skills!G6&gt;0,Skills!H6/Skills!G6,1)+IF(Skills!G6&gt;0,MIN(Skills!H6,MAX(0,MAX(0,Inputs!$B$44-B1319)-((R1286-1)*IF(Inputs!$B$39="pvp",15,MAX(0.1,Skills!D6-IF(Skills!E6=TRUE,1.0,0))))))/Skills!G6,1)))/Inputs!$B$44),G1286*Q1286))*IF(Inputs!$B$39="pvp",1,(1+(Inputs!$B$22+Skills!P6+B1311)/100)*(MIN(Skills!Q6,Inputs!$B$38))),0)</f>
        <v/>
      </c>
    </row>
    <row r="1287">
      <c r="A1287">
        <f>Skills!A7</f>
        <v/>
      </c>
      <c r="B1287">
        <f>Skills!B7</f>
        <v/>
      </c>
      <c r="C1287">
        <f>Inputs!$B$3&gt;=122</f>
        <v/>
      </c>
      <c r="D1287">
        <f>IF(Skills!C7=1,60+Inputs!$B$26+Inputs!$B$30,IF(Skills!C7=2,90+Inputs!$B$27+Inputs!$B$30,IF(Skills!C7=3,120+Inputs!$B$28+Inputs!$B$30,MAX(0,(Inputs!$B$3-100)*3)+Inputs!$B$29+Inputs!$B$30)))</f>
        <v/>
      </c>
      <c r="E1287">
        <f>INDEX(FactorTable!$B$2:$Y$301, MATCH(ROUND(MIN(300,MAX(1,D1287)),0), FactorTable!$A$2:$A$301,0), Skills!L7+1)</f>
        <v/>
      </c>
      <c r="F1287">
        <f>IF(Skills!M7=TRUE,(Skills!K7/10)*(E1287/1000),Skills!K7/10)+Skills!N7</f>
        <v/>
      </c>
      <c r="G1287">
        <f>Calc!G7</f>
        <v/>
      </c>
      <c r="H1287">
        <f>Calc!H7</f>
        <v/>
      </c>
      <c r="I1287">
        <f>IF(Skills!T7&lt;&gt;"",1+(Skills!T7/10)*($Z$3/1000)/100,1)</f>
        <v/>
      </c>
      <c r="J1287">
        <f>((Inputs!$B$6*(1+Inputs!$B$7/100))+(((Inputs!$B$13*(1+Inputs!$B$14/100))-(Inputs!$B$13*(1+Inputs!$B$14/100)))+0.25*(Inputs!$B$15-Inputs!$B$15))*(1+Inputs!$B$7/100))*(F1287/100)</f>
        <v/>
      </c>
      <c r="K1287">
        <f>J1287*(1+(((Inputs!$B$13+IF(Inputs!$B$3&gt;=35,(10*INDEX(FactorTable!$B$2:$Y$301, MATCH(ROUND(MIN(300,MAX(1,Inputs!$B$3)),0), FactorTable!$A$2:$A$301,0), 23)/1000)/100*(Inputs!$B$8*(1+(Inputs!$B$9+B1318)/100)),0))*(1+Inputs!$B$14/100))*0.01+Inputs!$B$15*0.0025)/100)*(1+(Inputs!$B$16+B1312)/100)*(1+Inputs!$B$17/100)*(5000/(6000+Inputs!$B$43*(1-Inputs!$B$20/100)))*(1+Inputs!$B$25/100)*(1+IF(C1298=TRUE,F1298,0)/100)*(1+IF(C1300=TRUE,F1300,0)/100)*(1+IF(Skills!A7="TRIUMPH_FEATHER",IF(C1296=TRUE,F1296,0),0)/100)*(1+IF(C1307=TRUE,F1307,0)/100)^5*(1+(IF(Skills!A7="BIG_BANG",Inputs!$B$18,Inputs!$B$19))/100)*(B1309*I1287)</f>
        <v/>
      </c>
      <c r="L1287">
        <f>K1287*(MIN(Inputs!$B$23+(F1302-Calc!F22),Inputs!$B$24)/100+Inputs!$B$24/100)/2</f>
        <v/>
      </c>
      <c r="M1287">
        <f>L1287*(1+(Inputs!$B$11+B1313+(F1305-Calc!F25))/100)</f>
        <v/>
      </c>
      <c r="N1287">
        <f>L1287*(1-MIN(Inputs!$B$10+((F1304-Calc!F24)+(F1303-Calc!F23)),100)/100)+M1287*(MIN(Inputs!$B$10+((F1304-Calc!F24)+(F1303-Calc!F23)),100)/100)</f>
        <v/>
      </c>
      <c r="O1287">
        <f>(1-Summary!$B$48)*S1287+Summary!$B$48*U1287</f>
        <v/>
      </c>
      <c r="P1287">
        <f>IF(B1322=0,0,O1287/B1322)</f>
        <v/>
      </c>
      <c r="Q1287">
        <f>IFERROR(1/IF(Inputs!$B$39="pvp",15,MAX(0.1,Skills!D7-IF(Skills!E6=TRUE,1.0,0))),0)</f>
        <v/>
      </c>
      <c r="R1287">
        <f>IF(AND(Inputs!$B$39&lt;&gt;"pvp",Inputs!$B$44&gt;0),IF(MAX(0,Inputs!$B$44-B1319)&lt;=0,0,(INT(MAX(0,Inputs!$B$44-B1319)/IF(Inputs!$B$39="pvp",15,MAX(0.1,Skills!D7-IF(Skills!E6=TRUE,1.0,0))))+1)),0)</f>
        <v/>
      </c>
      <c r="S1287">
        <f>IF(C1287,H1287*N1287*IF(AND(Inputs!$B$39&lt;&gt;"pvp",Inputs!$B$44&gt;0),((Skills!F7*((R1287-1)*IF(Skills!G7&gt;0,Skills!H7/Skills!G7,1)+IF(Skills!G7&gt;0,MIN(Skills!H7,MAX(0,MAX(0,Inputs!$B$44-B1319)-((R1287-1)*IF(Inputs!$B$39="pvp",15,MAX(0.1,Skills!D7-IF(Skills!E6=TRUE,1.0,0))))))/Skills!G7,1)))/Inputs!$B$44),G1287*Q1287)*IF(Inputs!$B$39="pvp",1,1+(Inputs!$B$21+Skills!O7+B1310)/100),0)</f>
        <v/>
      </c>
      <c r="U1287" t="n">
        <v>0</v>
      </c>
    </row>
    <row r="1288">
      <c r="A1288">
        <f>Skills!A8</f>
        <v/>
      </c>
      <c r="B1288">
        <f>Skills!B8</f>
        <v/>
      </c>
      <c r="C1288">
        <f>Inputs!$B$3&gt;=105</f>
        <v/>
      </c>
      <c r="D1288">
        <f>IF(Skills!C8=1,60+Inputs!$B$26+Inputs!$B$30,IF(Skills!C8=2,90+Inputs!$B$27+Inputs!$B$30,IF(Skills!C8=3,120+Inputs!$B$28+Inputs!$B$30,MAX(0,(Inputs!$B$3-100)*3)+Inputs!$B$29+Inputs!$B$30)))</f>
        <v/>
      </c>
      <c r="E1288">
        <f>INDEX(FactorTable!$B$2:$Y$301, MATCH(ROUND(MIN(300,MAX(1,D1288)),0), FactorTable!$A$2:$A$301,0), Skills!L8+1)</f>
        <v/>
      </c>
      <c r="F1288">
        <f>IF(Skills!M8=TRUE,(Skills!K8/10)*(E1288/1000),Skills!K8/10)+Skills!N8</f>
        <v/>
      </c>
      <c r="G1288">
        <f>Calc!G8</f>
        <v/>
      </c>
      <c r="H1288">
        <f>Calc!H8</f>
        <v/>
      </c>
      <c r="I1288">
        <f>IF(Skills!T8&lt;&gt;"",1+(Skills!T8/10)*($Z$3/1000)/100,1)</f>
        <v/>
      </c>
      <c r="J1288">
        <f>((Inputs!$B$6*(1+Inputs!$B$7/100))+(((Inputs!$B$13*(1+Inputs!$B$14/100))-(Inputs!$B$13*(1+Inputs!$B$14/100)))+0.25*(Inputs!$B$15-Inputs!$B$15))*(1+Inputs!$B$7/100))*(F1288/100)</f>
        <v/>
      </c>
      <c r="K1288">
        <f>J1288*(1+(((Inputs!$B$13+IF(Inputs!$B$3&gt;=35,(10*INDEX(FactorTable!$B$2:$Y$301, MATCH(ROUND(MIN(300,MAX(1,Inputs!$B$3)),0), FactorTable!$A$2:$A$301,0), 23)/1000)/100*(Inputs!$B$8*(1+(Inputs!$B$9+B1318)/100)),0))*(1+Inputs!$B$14/100))*0.01+Inputs!$B$15*0.0025)/100)*(1+(Inputs!$B$16+B1312)/100)*(1+Inputs!$B$17/100)*(5000/(6000+Inputs!$B$43*(1-Inputs!$B$20/100)))*(1+Inputs!$B$25/100)*(1+IF(C1298=TRUE,F1298,0)/100)*(1+IF(C1300=TRUE,F1300,0)/100)*(1+IF(Skills!A8="TRIUMPH_FEATHER",IF(C1296=TRUE,F1296,0),0)/100)*(1+IF(C1307=TRUE,F1307,0)/100)^5*(1+(IF(Skills!A8="BIG_BANG",Inputs!$B$18,Inputs!$B$19))/100)*(B1309*I1288)</f>
        <v/>
      </c>
      <c r="L1288">
        <f>K1288*(MIN(Inputs!$B$23+(F1302-Calc!F22),Inputs!$B$24)/100+Inputs!$B$24/100)/2</f>
        <v/>
      </c>
      <c r="M1288">
        <f>L1288*(1+(Inputs!$B$11+B1313+(F1305-Calc!F25))/100)</f>
        <v/>
      </c>
      <c r="N1288">
        <f>L1288*(1-MIN(Inputs!$B$10+((F1304-Calc!F24)+(F1303-Calc!F23)),100)/100)+M1288*(MIN(Inputs!$B$10+((F1304-Calc!F24)+(F1303-Calc!F23)),100)/100)</f>
        <v/>
      </c>
      <c r="O1288">
        <f>(1-Summary!$B$48)*S1288+Summary!$B$48*U1288</f>
        <v/>
      </c>
      <c r="P1288">
        <f>IF(B1322=0,0,O1288/B1322)</f>
        <v/>
      </c>
      <c r="Q1288">
        <f>IFERROR(1/IF(Inputs!$B$39="pvp",15,MAX(0.1,Skills!D8-IF(Skills!E8=TRUE,1.0,0))),0)</f>
        <v/>
      </c>
      <c r="R1288">
        <f>IF(AND(Inputs!$B$39&lt;&gt;"pvp",Inputs!$B$44&gt;0),IF(MAX(0,Inputs!$B$44-B1319)&lt;=0,0,(INT(MAX(0,Inputs!$B$44-B1319)/IF(Inputs!$B$39="pvp",15,MAX(0.1,Skills!D8-IF(Skills!E8=TRUE,1.0,0))))+1)),0)</f>
        <v/>
      </c>
      <c r="S1288">
        <f>IF(C1288,(H1288*N1288*IF(AND(Inputs!$B$39&lt;&gt;"pvp",Inputs!$B$44&gt;0),((Skills!F8*((R1288-1)*IF(Skills!G8&gt;0,Skills!H8/Skills!G8,1)+IF(Skills!G8&gt;0,MIN(Skills!H8,MAX(0,MAX(0,Inputs!$B$44-B1319)-((R1288-1)*IF(Inputs!$B$39="pvp",15,MAX(0.1,Skills!D8-IF(Skills!E8=TRUE,1.0,0))))))/Skills!G8,1)))/Inputs!$B$44),G1288*Q1288))*IF(Inputs!$B$39="pvp",1,1+(Inputs!$B$21+Skills!O8+B1310)/100),0)</f>
        <v/>
      </c>
      <c r="U1288">
        <f>IF(C1288,(H1288*N1288*IF(AND(Inputs!$B$39&lt;&gt;"pvp",Inputs!$B$44&gt;0),((Skills!F8*((R1288-1)*IF(Skills!G8&gt;0,Skills!H8/Skills!G8,1)+IF(Skills!G8&gt;0,MIN(Skills!H8,MAX(0,MAX(0,Inputs!$B$44-B1319)-((R1288-1)*IF(Inputs!$B$39="pvp",15,MAX(0.1,Skills!D8-IF(Skills!E8=TRUE,1.0,0))))))/Skills!G8,1)))/Inputs!$B$44),G1288*Q1288))*IF(Inputs!$B$39="pvp",1,(1+(Inputs!$B$22+Skills!P8+B1311)/100)*(MIN(Skills!Q8,Inputs!$B$38))),0)</f>
        <v/>
      </c>
    </row>
    <row r="1289">
      <c r="A1289">
        <f>Skills!A9</f>
        <v/>
      </c>
      <c r="B1289">
        <f>Skills!B9</f>
        <v/>
      </c>
      <c r="C1289">
        <f>Inputs!$B$3&gt;=115</f>
        <v/>
      </c>
      <c r="D1289">
        <f>IF(Skills!C9=1,60+Inputs!$B$26+Inputs!$B$30,IF(Skills!C9=2,90+Inputs!$B$27+Inputs!$B$30,IF(Skills!C9=3,120+Inputs!$B$28+Inputs!$B$30,MAX(0,(Inputs!$B$3-100)*3)+Inputs!$B$29+Inputs!$B$30)))</f>
        <v/>
      </c>
      <c r="E1289">
        <f>INDEX(FactorTable!$B$2:$Y$301, MATCH(ROUND(MIN(300,MAX(1,D1289)),0), FactorTable!$A$2:$A$301,0), Skills!L9+1)</f>
        <v/>
      </c>
      <c r="F1289">
        <f>IF(Skills!M9=TRUE,(Skills!K9/10)*(E1289/1000),Skills!K9/10)+Skills!N9</f>
        <v/>
      </c>
      <c r="G1289">
        <f>Calc!G9</f>
        <v/>
      </c>
      <c r="H1289">
        <f>Calc!H9</f>
        <v/>
      </c>
      <c r="I1289">
        <f>IF(Skills!T9&lt;&gt;"",1+(Skills!T9/10)*($Z$3/1000)/100,1)</f>
        <v/>
      </c>
      <c r="J1289">
        <f>((Inputs!$B$6*(1+Inputs!$B$7/100))+(((Inputs!$B$13*(1+Inputs!$B$14/100))-(Inputs!$B$13*(1+Inputs!$B$14/100)))+0.25*(Inputs!$B$15-Inputs!$B$15))*(1+Inputs!$B$7/100))*(F1289/100)</f>
        <v/>
      </c>
      <c r="K1289">
        <f>J1289*(1+(((Inputs!$B$13+IF(Inputs!$B$3&gt;=35,(10*INDEX(FactorTable!$B$2:$Y$301, MATCH(ROUND(MIN(300,MAX(1,Inputs!$B$3)),0), FactorTable!$A$2:$A$301,0), 23)/1000)/100*(Inputs!$B$8*(1+(Inputs!$B$9+B1318)/100)),0))*(1+Inputs!$B$14/100))*0.01+Inputs!$B$15*0.0025)/100)*(1+(Inputs!$B$16+B1312)/100)*(1+Inputs!$B$17/100)*(5000/(6000+Inputs!$B$43*(1-Inputs!$B$20/100)))*(1+Inputs!$B$25/100)*(1+IF(C1298=TRUE,F1298,0)/100)*(1+IF(C1300=TRUE,F1300,0)/100)*(1+IF(Skills!A9="TRIUMPH_FEATHER",IF(C1296=TRUE,F1296,0),0)/100)*(1+IF(C1307=TRUE,F1307,0)/100)^5*(1+(IF(Skills!A9="BIG_BANG",Inputs!$B$18,Inputs!$B$19))/100)*(B1309*I1289)</f>
        <v/>
      </c>
      <c r="L1289">
        <f>K1289*(MIN(Inputs!$B$23+(F1302-Calc!F22),Inputs!$B$24)/100+Inputs!$B$24/100)/2</f>
        <v/>
      </c>
      <c r="M1289">
        <f>L1289*(1+(Inputs!$B$11+B1313+(F1305-Calc!F25))/100)</f>
        <v/>
      </c>
      <c r="N1289">
        <f>L1289*(1-MIN(Inputs!$B$10+((F1304-Calc!F24)+(F1303-Calc!F23)),100)/100)+M1289*(MIN(Inputs!$B$10+((F1304-Calc!F24)+(F1303-Calc!F23)),100)/100)</f>
        <v/>
      </c>
      <c r="O1289">
        <f>(1-Summary!$B$48)*S1289+Summary!$B$48*U1289</f>
        <v/>
      </c>
      <c r="P1289">
        <f>IF(B1322=0,0,O1289/B1322)</f>
        <v/>
      </c>
      <c r="Q1289">
        <f>IFERROR(1/IF(Inputs!$B$39="pvp",15,MAX(0.1,Skills!D9-IF(Skills!E9=TRUE,1.0,0))),0)</f>
        <v/>
      </c>
      <c r="R1289">
        <f>IF(AND(Inputs!$B$39&lt;&gt;"pvp",Inputs!$B$44&gt;0),IF(MAX(0,Inputs!$B$44-B1319)&lt;=0,0,(INT(MAX(0,Inputs!$B$44-B1319)/IF(Inputs!$B$39="pvp",15,MAX(0.1,Skills!D9-IF(Skills!E9=TRUE,1.0,0))))+1)),0)</f>
        <v/>
      </c>
      <c r="S1289">
        <f>IF(C1289,(H1289*N1289*IF(AND(Inputs!$B$39&lt;&gt;"pvp",Inputs!$B$44&gt;0),((Skills!F9*((R1289-1)*IF(Skills!G9&gt;0,Skills!H9/Skills!G9,1)+IF(Skills!G9&gt;0,MIN(Skills!H9,MAX(0,MAX(0,Inputs!$B$44-B1319)-((R1289-1)*IF(Inputs!$B$39="pvp",15,MAX(0.1,Skills!D9-IF(Skills!E9=TRUE,1.0,0))))))/Skills!G9,1)))/Inputs!$B$44),G1289*Q1289))*IF(Inputs!$B$39="pvp",1,1+(Inputs!$B$21+Skills!O9+B1310)/100),0)</f>
        <v/>
      </c>
      <c r="U1289">
        <f>IF(C1289,(H1289*N1289*IF(AND(Inputs!$B$39&lt;&gt;"pvp",Inputs!$B$44&gt;0),((Skills!F9*((R1289-1)*IF(Skills!G9&gt;0,Skills!H9/Skills!G9,1)+IF(Skills!G9&gt;0,MIN(Skills!H9,MAX(0,MAX(0,Inputs!$B$44-B1319)-((R1289-1)*IF(Inputs!$B$39="pvp",15,MAX(0.1,Skills!D9-IF(Skills!E9=TRUE,1.0,0))))))/Skills!G9,1)))/Inputs!$B$44),G1289*Q1289))*IF(Inputs!$B$39="pvp",1,(1+(Inputs!$B$22+Skills!P9+B1311)/100)*(MIN(Skills!Q9,Inputs!$B$38))),0)</f>
        <v/>
      </c>
    </row>
    <row r="1290">
      <c r="A1290">
        <f>Skills!A10</f>
        <v/>
      </c>
      <c r="B1290">
        <f>Skills!B10</f>
        <v/>
      </c>
      <c r="C1290">
        <f>Inputs!$B$3&gt;=66</f>
        <v/>
      </c>
      <c r="D1290">
        <f>IF(Skills!C10=1,60+Inputs!$B$26+Inputs!$B$30,IF(Skills!C10=2,90+Inputs!$B$27+Inputs!$B$30,IF(Skills!C10=3,120+Inputs!$B$28+Inputs!$B$30,MAX(0,(Inputs!$B$3-100)*3)+Inputs!$B$29+Inputs!$B$30)))</f>
        <v/>
      </c>
      <c r="E1290">
        <f>INDEX(FactorTable!$B$2:$Y$301, MATCH(ROUND(MIN(300,MAX(1,D1290)),0), FactorTable!$A$2:$A$301,0), Skills!L10+1)</f>
        <v/>
      </c>
      <c r="F1290" t="n">
        <v>0</v>
      </c>
      <c r="G1290">
        <f>Calc!G10</f>
        <v/>
      </c>
      <c r="H1290">
        <f>Calc!H10</f>
        <v/>
      </c>
      <c r="I1290">
        <f>IF(Skills!T10&lt;&gt;"",1+(Skills!T10/10)*($Z$3/1000)/100,1)</f>
        <v/>
      </c>
      <c r="J1290" t="inlineStr"/>
      <c r="K1290" t="inlineStr"/>
      <c r="L1290" t="inlineStr"/>
      <c r="M1290" t="inlineStr"/>
      <c r="N1290" t="inlineStr"/>
      <c r="O1290">
        <f>(1-Summary!$B$48)*S1290+Summary!$B$48*U1290</f>
        <v/>
      </c>
      <c r="P1290">
        <f>IF(B1322=0,0,O1290/B1322)</f>
        <v/>
      </c>
      <c r="Q1290">
        <f>IFERROR(1/IF(Inputs!$B$39="pvp",15,MAX(0.1,Skills!D10-IF(Skills!E10=TRUE,1.0,0))),0)</f>
        <v/>
      </c>
      <c r="R1290">
        <f>IF(AND(Inputs!$B$39&lt;&gt;"pvp",Inputs!$B$44&gt;0),IF(MAX(0,Inputs!$B$44-B1319)&lt;=0,0,(INT(MAX(0,Inputs!$B$44-B1319)/IF(Inputs!$B$39="pvp",15,MAX(0.1,Skills!D10-IF(Skills!E10=TRUE,1.0,0))))+1)),0)</f>
        <v/>
      </c>
      <c r="S1290" t="n">
        <v>0</v>
      </c>
      <c r="U1290" t="n">
        <v>0</v>
      </c>
    </row>
    <row r="1291">
      <c r="A1291">
        <f>Skills!A11</f>
        <v/>
      </c>
      <c r="B1291">
        <f>Skills!B11</f>
        <v/>
      </c>
      <c r="C1291">
        <f>Inputs!$B$3&gt;=69</f>
        <v/>
      </c>
      <c r="D1291">
        <f>IF(Skills!C11=1,60+Inputs!$B$26+Inputs!$B$30,IF(Skills!C11=2,90+Inputs!$B$27+Inputs!$B$30,IF(Skills!C11=3,120+Inputs!$B$28+Inputs!$B$30,MAX(0,(Inputs!$B$3-100)*3)+Inputs!$B$29+Inputs!$B$30)))</f>
        <v/>
      </c>
      <c r="E1291">
        <f>INDEX(FactorTable!$B$2:$Y$301, MATCH(ROUND(MIN(300,MAX(1,D1291)),0), FactorTable!$A$2:$A$301,0), Skills!L11+1)</f>
        <v/>
      </c>
      <c r="F1291">
        <f>IF(Skills!M11=TRUE,(Skills!K11/10)*(E1291/1000),Skills!K11/10)+Skills!N11</f>
        <v/>
      </c>
      <c r="G1291">
        <f>Calc!G11</f>
        <v/>
      </c>
      <c r="H1291">
        <f>Calc!H11</f>
        <v/>
      </c>
      <c r="I1291">
        <f>IF(Skills!T11&lt;&gt;"",1+(Skills!T11/10)*($Z$3/1000)/100,1)</f>
        <v/>
      </c>
      <c r="J1291" t="inlineStr"/>
      <c r="K1291" t="inlineStr"/>
      <c r="L1291" t="inlineStr"/>
      <c r="M1291" t="inlineStr"/>
      <c r="N1291" t="inlineStr"/>
      <c r="O1291">
        <f>(1-Summary!$B$48)*S1291+Summary!$B$48*U1291</f>
        <v/>
      </c>
      <c r="P1291">
        <f>IF(B1322=0,0,O1291/B1322)</f>
        <v/>
      </c>
      <c r="Q1291">
        <f>IFERROR(1/IF(Inputs!$B$39="pvp",15,MAX(0.1,Skills!D11-IF(Skills!E11=TRUE,1.0,0))),0)</f>
        <v/>
      </c>
      <c r="R1291">
        <f>IF(AND(Inputs!$B$39&lt;&gt;"pvp",Inputs!$B$44&gt;0),IF(Inputs!$B$44&lt;=0,0,(INT(Inputs!$B$44/IF(Inputs!$B$39="pvp",15,MAX(0.1,Skills!D11-IF(Skills!E11=TRUE,1.0,0))))+1)),0)</f>
        <v/>
      </c>
      <c r="S1291" t="n">
        <v>0</v>
      </c>
      <c r="U1291" t="n">
        <v>0</v>
      </c>
    </row>
    <row r="1292">
      <c r="A1292">
        <f>Skills!A12</f>
        <v/>
      </c>
      <c r="B1292">
        <f>Skills!B12</f>
        <v/>
      </c>
      <c r="C1292">
        <f>Inputs!$B$3&gt;=72</f>
        <v/>
      </c>
      <c r="D1292">
        <f>IF(Skills!C12=1,60+Inputs!$B$26+Inputs!$B$30,IF(Skills!C12=2,90+Inputs!$B$27+Inputs!$B$30,IF(Skills!C12=3,120+Inputs!$B$28+Inputs!$B$30,MAX(0,(Inputs!$B$3-100)*3)+Inputs!$B$29+Inputs!$B$30)))</f>
        <v/>
      </c>
      <c r="E1292">
        <f>INDEX(FactorTable!$B$2:$Y$301, MATCH(ROUND(MIN(300,MAX(1,D1292)),0), FactorTable!$A$2:$A$301,0), Skills!L12+1)</f>
        <v/>
      </c>
      <c r="F1292">
        <f>IF(Skills!M12=TRUE,(Skills!K12/10)*(E1292/1000),Skills!K12/10)+Skills!N12</f>
        <v/>
      </c>
      <c r="G1292">
        <f>Calc!G12</f>
        <v/>
      </c>
      <c r="H1292">
        <f>Calc!H12</f>
        <v/>
      </c>
      <c r="I1292">
        <f>IF(Skills!T12&lt;&gt;"",1+(Skills!T12/10)*($Z$3/1000)/100,1)</f>
        <v/>
      </c>
      <c r="J1292" t="inlineStr"/>
      <c r="K1292" t="inlineStr"/>
      <c r="L1292" t="inlineStr"/>
      <c r="M1292" t="inlineStr"/>
      <c r="N1292" t="inlineStr"/>
      <c r="O1292">
        <f>(1-Summary!$B$48)*S1292+Summary!$B$48*U1292</f>
        <v/>
      </c>
      <c r="P1292">
        <f>IF(B1322=0,0,O1292/B1322)</f>
        <v/>
      </c>
      <c r="Q1292">
        <f>IFERROR(1/IF(Inputs!$B$39="pvp",15,MAX(0.1,Skills!D12-IF(Skills!E12=TRUE,1.0,0))),0)</f>
        <v/>
      </c>
      <c r="R1292">
        <f>IF(AND(Inputs!$B$39&lt;&gt;"pvp",Inputs!$B$44&gt;0),IF(MAX(0,Inputs!$B$44-B1319)&lt;=0,0,(INT(MAX(0,Inputs!$B$44-B1319)/IF(Inputs!$B$39="pvp",15,MAX(0.1,Skills!D12-IF(Skills!E12=TRUE,1.0,0))))+1)),0)</f>
        <v/>
      </c>
      <c r="S1292" t="n">
        <v>0</v>
      </c>
      <c r="U1292" t="n">
        <v>0</v>
      </c>
    </row>
    <row r="1293">
      <c r="A1293">
        <f>Skills!A13</f>
        <v/>
      </c>
      <c r="B1293">
        <f>Skills!B13</f>
        <v/>
      </c>
      <c r="C1293">
        <f>Inputs!$B$3&gt;=60</f>
        <v/>
      </c>
      <c r="D1293">
        <f>IF(Skills!C13=1,60+Inputs!$B$26+Inputs!$B$30,IF(Skills!C13=2,90+Inputs!$B$27+Inputs!$B$30,IF(Skills!C13=3,120+Inputs!$B$28+Inputs!$B$30,MAX(0,(Inputs!$B$3-100)*3)+Inputs!$B$29+Inputs!$B$30)))</f>
        <v/>
      </c>
      <c r="E1293">
        <f>INDEX(FactorTable!$B$2:$Y$301, MATCH(ROUND(MIN(300,MAX(1,D1293)),0), FactorTable!$A$2:$A$301,0), Skills!L13+1)</f>
        <v/>
      </c>
      <c r="F1293">
        <f>IF(Skills!M13=TRUE,(Skills!K13/10)*(E1293/1000),Skills!K13/10)+Skills!N13</f>
        <v/>
      </c>
      <c r="G1293">
        <f>Calc!G13</f>
        <v/>
      </c>
      <c r="H1293">
        <f>Calc!H13</f>
        <v/>
      </c>
      <c r="I1293">
        <f>IF(Skills!T13&lt;&gt;"",1+(Skills!T13/10)*($Z$3/1000)/100,1)</f>
        <v/>
      </c>
      <c r="J1293" t="inlineStr"/>
      <c r="K1293" t="inlineStr"/>
      <c r="L1293" t="inlineStr"/>
      <c r="M1293" t="inlineStr"/>
      <c r="N1293" t="inlineStr"/>
      <c r="O1293">
        <f>(1-Summary!$B$48)*S1293+Summary!$B$48*U1293</f>
        <v/>
      </c>
      <c r="P1293">
        <f>IF(B1322=0,0,O1293/B1322)</f>
        <v/>
      </c>
      <c r="Q1293">
        <f>IFERROR(1/IF(Inputs!$B$39="pvp",15,MAX(0.1,Skills!D13-IF(Skills!E13=TRUE,1.0,0))),0)</f>
        <v/>
      </c>
      <c r="R1293">
        <f>IF(AND(Inputs!$B$39&lt;&gt;"pvp",Inputs!$B$44&gt;0),IF(MAX(0,Inputs!$B$44-B1319)&lt;=0,0,(INT(MAX(0,Inputs!$B$44-B1319)/IF(Inputs!$B$39="pvp",15,MAX(0.1,Skills!D13-IF(Skills!E13=TRUE,1.0,0))))+1)),0)</f>
        <v/>
      </c>
      <c r="S1293" t="n">
        <v>0</v>
      </c>
      <c r="U1293" t="n">
        <v>0</v>
      </c>
    </row>
    <row r="1294">
      <c r="A1294">
        <f>Skills!A14</f>
        <v/>
      </c>
      <c r="B1294">
        <f>Skills!B14</f>
        <v/>
      </c>
      <c r="C1294">
        <f>Inputs!$B$3&gt;=107</f>
        <v/>
      </c>
      <c r="D1294">
        <f>IF(Skills!C14=1,60+Inputs!$B$26+Inputs!$B$30,IF(Skills!C14=2,90+Inputs!$B$27+Inputs!$B$30,IF(Skills!C14=3,120+Inputs!$B$28+Inputs!$B$30,MAX(0,(Inputs!$B$3-100)*3)+Inputs!$B$29+Inputs!$B$30)))</f>
        <v/>
      </c>
      <c r="E1294">
        <f>INDEX(FactorTable!$B$2:$Y$301, MATCH(ROUND(MIN(300,MAX(1,D1294)),0), FactorTable!$A$2:$A$301,0), Skills!L14+1)</f>
        <v/>
      </c>
      <c r="F1294">
        <f>IF(Skills!M14=TRUE,(Skills!K14/10)*(E1294/1000),Skills!K14/10)+Skills!N14</f>
        <v/>
      </c>
      <c r="G1294">
        <f>Calc!G14</f>
        <v/>
      </c>
      <c r="H1294">
        <f>Calc!H14</f>
        <v/>
      </c>
      <c r="I1294">
        <f>IF(Skills!T14&lt;&gt;"",1+(Skills!T14/10)*($Z$3/1000)/100,1)</f>
        <v/>
      </c>
      <c r="J1294" t="inlineStr"/>
      <c r="K1294" t="inlineStr"/>
      <c r="L1294" t="inlineStr"/>
      <c r="M1294" t="inlineStr"/>
      <c r="N1294" t="inlineStr"/>
      <c r="O1294">
        <f>(1-Summary!$B$48)*S1294+Summary!$B$48*U1294</f>
        <v/>
      </c>
      <c r="P1294">
        <f>IF(B1322=0,0,O1294/B1322)</f>
        <v/>
      </c>
      <c r="Q1294">
        <f>IFERROR(1/IF(Inputs!$B$39="pvp",15,MAX(0.1,Skills!D14-IF(Skills!E14=TRUE,1.0,0))),0)</f>
        <v/>
      </c>
      <c r="R1294">
        <f>IF(AND(Inputs!$B$39&lt;&gt;"pvp",Inputs!$B$44&gt;0),IF(Inputs!$B$44&lt;=0,0,(INT(Inputs!$B$44/IF(Inputs!$B$39="pvp",15,MAX(0.1,Skills!D14-IF(Skills!E14=TRUE,1.0,0))))+1)),0)</f>
        <v/>
      </c>
      <c r="S1294" t="n">
        <v>0</v>
      </c>
      <c r="U1294" t="n">
        <v>0</v>
      </c>
    </row>
    <row r="1295">
      <c r="A1295">
        <f>Skills!A15</f>
        <v/>
      </c>
      <c r="B1295">
        <f>Skills!B15</f>
        <v/>
      </c>
      <c r="C1295">
        <f>Inputs!$B$3&gt;=63</f>
        <v/>
      </c>
      <c r="D1295">
        <f>IF(Skills!C15=1,60+Inputs!$B$26+Inputs!$B$30,IF(Skills!C15=2,90+Inputs!$B$27+Inputs!$B$30,IF(Skills!C15=3,120+Inputs!$B$28+Inputs!$B$30,MAX(0,(Inputs!$B$3-100)*3)+Inputs!$B$29+Inputs!$B$30)))</f>
        <v/>
      </c>
      <c r="E1295">
        <f>INDEX(FactorTable!$B$2:$Y$301, MATCH(ROUND(MIN(300,MAX(1,D1295)),0), FactorTable!$A$2:$A$301,0), Skills!L15+1)</f>
        <v/>
      </c>
      <c r="F1295">
        <f>IF(Skills!M15=TRUE,(Skills!K15/10)*(E1295/1000),Skills!K15/10)+Skills!N15</f>
        <v/>
      </c>
      <c r="G1295">
        <f>Calc!G15</f>
        <v/>
      </c>
      <c r="H1295">
        <f>Calc!H15</f>
        <v/>
      </c>
      <c r="I1295">
        <f>IF(Skills!T15&lt;&gt;"",1+(Skills!T15/10)*($Z$3/1000)/100,1)</f>
        <v/>
      </c>
      <c r="J1295">
        <f>((Inputs!$B$6*(1+Inputs!$B$7/100))+(((Inputs!$B$13*(1+Inputs!$B$14/100))-(Inputs!$B$13*(1+Inputs!$B$14/100)))+0.25*(Inputs!$B$15-Inputs!$B$15))*(1+Inputs!$B$7/100))*(F1295/100)</f>
        <v/>
      </c>
      <c r="K1295">
        <f>J1295*(1+(((Inputs!$B$13+IF(Inputs!$B$3&gt;=35,(10*INDEX(FactorTable!$B$2:$Y$301, MATCH(ROUND(MIN(300,MAX(1,Inputs!$B$3)),0), FactorTable!$A$2:$A$301,0), 23)/1000)/100*(Inputs!$B$8*(1+(Inputs!$B$9+B1318)/100)),0))*(1+Inputs!$B$14/100))*0.01+Inputs!$B$15*0.0025)/100)*(1+(Inputs!$B$16+B1312)/100)*(1+Inputs!$B$17/100)*(5000/(6000+Inputs!$B$43*(1-Inputs!$B$20/100)))*(1+Inputs!$B$25/100)*(1+IF(C1298=TRUE,F1298,0)/100)*(1+IF(C1300=TRUE,F1300,0)/100)*(1+IF(Skills!A15="TRIUMPH_FEATHER",IF(C1296=TRUE,F1296,0),0)/100)*(1+IF(C1307=TRUE,F1307,0)/100)^5*(1+(IF(Skills!A15="BIG_BANG",Inputs!$B$18,Inputs!$B$19))/100)*(B1309*I1295)</f>
        <v/>
      </c>
      <c r="L1295">
        <f>K1295*(MIN(Inputs!$B$23+(F1302-Calc!F22),Inputs!$B$24)/100+Inputs!$B$24/100)/2</f>
        <v/>
      </c>
      <c r="M1295">
        <f>L1295*(1+(Inputs!$B$11+B1313+(F1305-Calc!F25))/100)</f>
        <v/>
      </c>
      <c r="N1295">
        <f>L1295*(1-MIN(Inputs!$B$10+((F1304-Calc!F24)+(F1303-Calc!F23)),100)/100)+M1295*(MIN(Inputs!$B$10+((F1304-Calc!F24)+(F1303-Calc!F23)),100)/100)</f>
        <v/>
      </c>
      <c r="O1295">
        <f>(1-Summary!$B$48)*S1295+Summary!$B$48*U1295</f>
        <v/>
      </c>
      <c r="P1295">
        <f>IF(B1322=0,0,O1295/B1322)</f>
        <v/>
      </c>
      <c r="Q1295">
        <f>IFERROR(1/IF(Inputs!$B$39="pvp",15,MAX(0.1,Skills!D15-IF(Skills!E15=TRUE,1.0,0))),0)</f>
        <v/>
      </c>
      <c r="R1295" t="n">
        <v>0</v>
      </c>
      <c r="S1295">
        <f>IF(C1295,(Skills!F15*N1295*((IF(Inputs!$B$3&gt;=78,25,15)/100*B1315*10)/(1+IF(Inputs!$B$3&gt;=78,25,15)/100*B1315*10))*(Skills!I15/100*B1315)/(1+Skills!G15*Skills!I15/100*B1315))*IF(Inputs!$B$39="pvp",1,1+(Inputs!$B$21+Skills!O15+B1310)/100),0)</f>
        <v/>
      </c>
      <c r="U1295">
        <f>IF(C1295,(Skills!F15*N1295*((IF(Inputs!$B$3&gt;=78,25,15)/100*B1315*10)/(1+IF(Inputs!$B$3&gt;=78,25,15)/100*B1315*10))*(Skills!I15/100*B1315)/(1+Skills!G15*Skills!I15/100*B1315))*IF(Inputs!$B$39="pvp",1,(1+(Inputs!$B$22+Skills!P15+B1311)/100)*(MIN(Skills!Q15,Inputs!$B$38))),0)</f>
        <v/>
      </c>
    </row>
    <row r="1296">
      <c r="A1296">
        <f>Skills!A16</f>
        <v/>
      </c>
      <c r="B1296">
        <f>Skills!B16</f>
        <v/>
      </c>
      <c r="C1296">
        <f>Inputs!$B$3&gt;=100</f>
        <v/>
      </c>
      <c r="D1296">
        <f>IF(Skills!C16=1,60+Inputs!$B$26+Inputs!$B$30,IF(Skills!C16=2,90+Inputs!$B$27+Inputs!$B$30,IF(Skills!C16=3,120+Inputs!$B$28+Inputs!$B$30,MAX(0,(Inputs!$B$3-100)*3)+Inputs!$B$29+Inputs!$B$30)))</f>
        <v/>
      </c>
      <c r="E1296">
        <f>INDEX(FactorTable!$B$2:$Y$301, MATCH(ROUND(MIN(300,MAX(1,D1296)),0), FactorTable!$A$2:$A$301,0), Skills!L16+1)</f>
        <v/>
      </c>
      <c r="F1296">
        <f>IF(Skills!M16=TRUE,(Skills!K16/10)*(E1296/1000),Skills!K16/10)+Skills!N16</f>
        <v/>
      </c>
      <c r="G1296">
        <f>Calc!G16</f>
        <v/>
      </c>
      <c r="H1296">
        <f>Calc!H16</f>
        <v/>
      </c>
      <c r="I1296">
        <f>IF(Skills!T16&lt;&gt;"",1+(Skills!T16/10)*($Z$3/1000)/100,1)</f>
        <v/>
      </c>
      <c r="J1296" t="inlineStr"/>
      <c r="K1296" t="inlineStr"/>
      <c r="L1296" t="inlineStr"/>
      <c r="M1296" t="inlineStr"/>
      <c r="N1296" t="inlineStr"/>
      <c r="O1296">
        <f>(1-Summary!$B$48)*S1296+Summary!$B$48*U1296</f>
        <v/>
      </c>
      <c r="P1296">
        <f>IF(B1322=0,0,O1296/B1322)</f>
        <v/>
      </c>
      <c r="Q1296">
        <f>IFERROR(1/IF(Inputs!$B$39="pvp",15,MAX(0.1,Skills!D16-IF(Skills!E16=TRUE,1.0,0))),0)</f>
        <v/>
      </c>
      <c r="R1296" t="n">
        <v>0</v>
      </c>
      <c r="S1296" t="n">
        <v>0</v>
      </c>
      <c r="U1296" t="n">
        <v>0</v>
      </c>
    </row>
    <row r="1297">
      <c r="A1297">
        <f>Skills!A17</f>
        <v/>
      </c>
      <c r="B1297">
        <f>Skills!B17</f>
        <v/>
      </c>
      <c r="C1297">
        <f>Inputs!$B$3&gt;=49</f>
        <v/>
      </c>
      <c r="D1297">
        <f>IF(Skills!C17=1,60+Inputs!$B$26+Inputs!$B$30,IF(Skills!C17=2,90+Inputs!$B$27+Inputs!$B$30,IF(Skills!C17=3,120+Inputs!$B$28+Inputs!$B$30,MAX(0,(Inputs!$B$3-100)*3)+Inputs!$B$29+Inputs!$B$30)))</f>
        <v/>
      </c>
      <c r="E1297">
        <f>INDEX(FactorTable!$B$2:$Y$301, MATCH(ROUND(MIN(300,MAX(1,D1297)),0), FactorTable!$A$2:$A$301,0), Skills!L17+1)</f>
        <v/>
      </c>
      <c r="F1297">
        <f>IF(Skills!M17=TRUE,(Skills!K17/10)*(E1297/1000),Skills!K17/10)+Skills!N17</f>
        <v/>
      </c>
      <c r="G1297">
        <f>Calc!G17</f>
        <v/>
      </c>
      <c r="H1297">
        <f>Calc!H17</f>
        <v/>
      </c>
      <c r="I1297">
        <f>IF(Skills!T17&lt;&gt;"",1+(Skills!T17/10)*($Z$3/1000)/100,1)</f>
        <v/>
      </c>
      <c r="J1297" t="inlineStr"/>
      <c r="K1297" t="inlineStr"/>
      <c r="L1297" t="inlineStr"/>
      <c r="M1297" t="inlineStr"/>
      <c r="N1297" t="inlineStr"/>
      <c r="O1297">
        <f>(1-Summary!$B$48)*S1297+Summary!$B$48*U1297</f>
        <v/>
      </c>
      <c r="P1297">
        <f>IF(B1322=0,0,O1297/B1322)</f>
        <v/>
      </c>
      <c r="Q1297">
        <f>IFERROR(1/IF(Inputs!$B$39="pvp",15,MAX(0.1,Skills!D17-IF(Skills!E17=TRUE,1.0,0))),0)</f>
        <v/>
      </c>
      <c r="R1297" t="n">
        <v>0</v>
      </c>
      <c r="S1297" t="n">
        <v>0</v>
      </c>
      <c r="U1297" t="n">
        <v>0</v>
      </c>
    </row>
    <row r="1298">
      <c r="A1298">
        <f>Skills!A18</f>
        <v/>
      </c>
      <c r="B1298">
        <f>Skills!B18</f>
        <v/>
      </c>
      <c r="C1298">
        <f>Inputs!$B$3&gt;=75</f>
        <v/>
      </c>
      <c r="D1298">
        <f>IF(Skills!C18=1,60+Inputs!$B$26+Inputs!$B$30,IF(Skills!C18=2,90+Inputs!$B$27+Inputs!$B$30,IF(Skills!C18=3,120+Inputs!$B$28+Inputs!$B$30,MAX(0,(Inputs!$B$3-100)*3)+Inputs!$B$29+Inputs!$B$30)))</f>
        <v/>
      </c>
      <c r="E1298">
        <f>INDEX(FactorTable!$B$2:$Y$301, MATCH(ROUND(MIN(300,MAX(1,D1298)),0), FactorTable!$A$2:$A$301,0), Skills!L18+1)</f>
        <v/>
      </c>
      <c r="F1298">
        <f>IF(Skills!M18=TRUE,(Skills!K18/10)*(E1298/1000),Skills!K18/10)+Skills!N18</f>
        <v/>
      </c>
      <c r="G1298">
        <f>Calc!G18</f>
        <v/>
      </c>
      <c r="H1298">
        <f>Calc!H18</f>
        <v/>
      </c>
      <c r="I1298">
        <f>IF(Skills!T18&lt;&gt;"",1+(Skills!T18/10)*($Z$3/1000)/100,1)</f>
        <v/>
      </c>
      <c r="J1298" t="inlineStr"/>
      <c r="K1298" t="inlineStr"/>
      <c r="L1298" t="inlineStr"/>
      <c r="M1298" t="inlineStr"/>
      <c r="N1298" t="inlineStr"/>
      <c r="O1298">
        <f>(1-Summary!$B$48)*S1298+Summary!$B$48*U1298</f>
        <v/>
      </c>
      <c r="P1298">
        <f>IF(B1322=0,0,O1298/B1322)</f>
        <v/>
      </c>
      <c r="Q1298">
        <f>IFERROR(1/IF(Inputs!$B$39="pvp",15,MAX(0.1,Skills!D18-IF(Skills!E18=TRUE,1.0,0))),0)</f>
        <v/>
      </c>
      <c r="R1298" t="n">
        <v>0</v>
      </c>
      <c r="S1298" t="n">
        <v>0</v>
      </c>
      <c r="U1298" t="n">
        <v>0</v>
      </c>
    </row>
    <row r="1299">
      <c r="A1299">
        <f>Skills!A19</f>
        <v/>
      </c>
      <c r="B1299">
        <f>Skills!B19</f>
        <v/>
      </c>
      <c r="C1299">
        <f>Inputs!$B$3&gt;=110</f>
        <v/>
      </c>
      <c r="D1299">
        <f>IF(Skills!C19=1,60+Inputs!$B$26+Inputs!$B$30,IF(Skills!C19=2,90+Inputs!$B$27+Inputs!$B$30,IF(Skills!C19=3,120+Inputs!$B$28+Inputs!$B$30,MAX(0,(Inputs!$B$3-100)*3)+Inputs!$B$29+Inputs!$B$30)))</f>
        <v/>
      </c>
      <c r="E1299">
        <f>INDEX(FactorTable!$B$2:$Y$301, MATCH(ROUND(MIN(300,MAX(1,D1299)),0), FactorTable!$A$2:$A$301,0), Skills!L19+1)</f>
        <v/>
      </c>
      <c r="F1299">
        <f>(Skills!K19/10)*(E1299/1000)*64/45+Skills!N19</f>
        <v/>
      </c>
      <c r="G1299">
        <f>Calc!G19</f>
        <v/>
      </c>
      <c r="H1299">
        <f>Calc!H19</f>
        <v/>
      </c>
      <c r="I1299">
        <f>IF(Skills!T19&lt;&gt;"",1+(Skills!T19/10)*($Z$3/1000)/100,1)</f>
        <v/>
      </c>
      <c r="J1299" t="inlineStr"/>
      <c r="K1299" t="inlineStr"/>
      <c r="L1299" t="inlineStr"/>
      <c r="M1299" t="inlineStr"/>
      <c r="N1299" t="inlineStr"/>
      <c r="O1299">
        <f>(1-Summary!$B$48)*S1299+Summary!$B$48*U1299</f>
        <v/>
      </c>
      <c r="P1299">
        <f>IF(B1322=0,0,O1299/B1322)</f>
        <v/>
      </c>
      <c r="Q1299">
        <f>IFERROR(1/IF(Inputs!$B$39="pvp",15,MAX(0.1,Skills!D19-IF(Skills!E19=TRUE,1.0,0))),0)</f>
        <v/>
      </c>
      <c r="R1299">
        <f>IF(AND(Inputs!$B$39&lt;&gt;"pvp",Inputs!$B$44&gt;0),IF(Inputs!$B$44&lt;=0,0,(INT(Inputs!$B$44/IF(Inputs!$B$39="pvp",15,MAX(0.1,Skills!D19-IF(Skills!E19=TRUE,1.0,0))))+1)),0)</f>
        <v/>
      </c>
      <c r="S1299" t="n">
        <v>0</v>
      </c>
      <c r="U1299" t="n">
        <v>0</v>
      </c>
    </row>
    <row r="1300">
      <c r="A1300">
        <f>Skills!A20</f>
        <v/>
      </c>
      <c r="B1300">
        <f>Skills!B20</f>
        <v/>
      </c>
      <c r="C1300">
        <f>Inputs!$B$3&gt;=125</f>
        <v/>
      </c>
      <c r="D1300">
        <f>IF(Skills!C20=1,60+Inputs!$B$26+Inputs!$B$30,IF(Skills!C20=2,90+Inputs!$B$27+Inputs!$B$30,IF(Skills!C20=3,120+Inputs!$B$28+Inputs!$B$30,MAX(0,(Inputs!$B$3-100)*3)+Inputs!$B$29+Inputs!$B$30)))</f>
        <v/>
      </c>
      <c r="E1300">
        <f>INDEX(FactorTable!$B$2:$Y$301, MATCH(ROUND(MIN(300,MAX(1,D1300)),0), FactorTable!$A$2:$A$301,0), Skills!L20+1)</f>
        <v/>
      </c>
      <c r="F1300">
        <f>IF(Skills!M20=TRUE,(Skills!K20/10)*(E1300/1000),Skills!K20/10)+Skills!N20</f>
        <v/>
      </c>
      <c r="G1300">
        <f>Calc!G20</f>
        <v/>
      </c>
      <c r="H1300">
        <f>Calc!H20</f>
        <v/>
      </c>
      <c r="I1300">
        <f>IF(Skills!T20&lt;&gt;"",1+(Skills!T20/10)*($Z$3/1000)/100,1)</f>
        <v/>
      </c>
      <c r="J1300" t="inlineStr"/>
      <c r="K1300" t="inlineStr"/>
      <c r="L1300" t="inlineStr"/>
      <c r="M1300" t="inlineStr"/>
      <c r="N1300" t="inlineStr"/>
      <c r="O1300">
        <f>(1-Summary!$B$48)*S1300+Summary!$B$48*U1300</f>
        <v/>
      </c>
      <c r="P1300">
        <f>IF(B1322=0,0,O1300/B1322)</f>
        <v/>
      </c>
      <c r="Q1300">
        <f>IFERROR(1/IF(Inputs!$B$39="pvp",15,MAX(0.1,Skills!D20-IF(Skills!E20=TRUE,1.0,0))),0)</f>
        <v/>
      </c>
      <c r="R1300" t="n">
        <v>0</v>
      </c>
      <c r="S1300" t="n">
        <v>0</v>
      </c>
      <c r="U1300" t="n">
        <v>0</v>
      </c>
    </row>
    <row r="1301">
      <c r="A1301">
        <f>Skills!A21</f>
        <v/>
      </c>
      <c r="B1301">
        <f>Skills!B21</f>
        <v/>
      </c>
      <c r="C1301">
        <f>Inputs!$B$3&gt;=33</f>
        <v/>
      </c>
      <c r="D1301">
        <f>IF(Skills!C21=1,60+Inputs!$B$26+Inputs!$B$30,IF(Skills!C21=2,90+Inputs!$B$27+Inputs!$B$30,IF(Skills!C21=3,120+Inputs!$B$28+Inputs!$B$30,MAX(0,(Inputs!$B$3-100)*3)+Inputs!$B$29+Inputs!$B$30)))</f>
        <v/>
      </c>
      <c r="E1301">
        <f>INDEX(FactorTable!$B$2:$Y$301, MATCH(ROUND(MIN(300,MAX(1,D1301)),0), FactorTable!$A$2:$A$301,0), Skills!L21+1)</f>
        <v/>
      </c>
      <c r="F1301">
        <f>IF(Skills!M21=TRUE,(Skills!K21/10)*(E1301/1000),Skills!K21/10)+Skills!N21</f>
        <v/>
      </c>
      <c r="G1301">
        <f>Calc!G21</f>
        <v/>
      </c>
      <c r="H1301">
        <f>Calc!H21</f>
        <v/>
      </c>
      <c r="I1301">
        <f>IF(Skills!T21&lt;&gt;"",1+(Skills!T21/10)*($Z$3/1000)/100,1)</f>
        <v/>
      </c>
      <c r="J1301" t="inlineStr"/>
      <c r="K1301" t="inlineStr"/>
      <c r="L1301" t="inlineStr"/>
      <c r="M1301" t="inlineStr"/>
      <c r="N1301" t="inlineStr"/>
      <c r="O1301">
        <f>(1-Summary!$B$48)*S1301+Summary!$B$48*U1301</f>
        <v/>
      </c>
      <c r="P1301">
        <f>IF(B1322=0,0,O1301/B1322)</f>
        <v/>
      </c>
      <c r="Q1301">
        <f>IFERROR(1/IF(Inputs!$B$39="pvp",15,MAX(0.1,Skills!D21-IF(Skills!E21=TRUE,1.0,0))),0)</f>
        <v/>
      </c>
      <c r="R1301" t="n">
        <v>0</v>
      </c>
      <c r="S1301" t="n">
        <v>0</v>
      </c>
      <c r="U1301" t="n">
        <v>0</v>
      </c>
    </row>
    <row r="1302">
      <c r="A1302">
        <f>Skills!A22</f>
        <v/>
      </c>
      <c r="B1302">
        <f>Skills!B22</f>
        <v/>
      </c>
      <c r="C1302">
        <f>Inputs!$B$3&gt;=43</f>
        <v/>
      </c>
      <c r="D1302">
        <f>IF(Skills!C22=1,60+Inputs!$B$26+Inputs!$B$30,IF(Skills!C22=2,90+Inputs!$B$27+Inputs!$B$30,IF(Skills!C22=3,120+Inputs!$B$28+Inputs!$B$30,MAX(0,(Inputs!$B$3-100)*3)+Inputs!$B$29+Inputs!$B$30)))</f>
        <v/>
      </c>
      <c r="E1302">
        <f>INDEX(FactorTable!$B$2:$Y$301, MATCH(ROUND(MIN(300,MAX(1,D1302)),0), FactorTable!$A$2:$A$301,0), Skills!L22+1)</f>
        <v/>
      </c>
      <c r="F1302">
        <f>IF(Skills!M22=TRUE,(Skills!K22/10)*(E1302/1000),Skills!K22/10)+Skills!N22</f>
        <v/>
      </c>
      <c r="G1302">
        <f>Calc!G22</f>
        <v/>
      </c>
      <c r="H1302">
        <f>Calc!H22</f>
        <v/>
      </c>
      <c r="I1302">
        <f>IF(Skills!T22&lt;&gt;"",1+(Skills!T22/10)*($Z$3/1000)/100,1)</f>
        <v/>
      </c>
      <c r="J1302" t="inlineStr"/>
      <c r="K1302" t="inlineStr"/>
      <c r="L1302" t="inlineStr"/>
      <c r="M1302" t="inlineStr"/>
      <c r="N1302" t="inlineStr"/>
      <c r="O1302">
        <f>(1-Summary!$B$48)*S1302+Summary!$B$48*U1302</f>
        <v/>
      </c>
      <c r="P1302">
        <f>IF(B1322=0,0,O1302/B1322)</f>
        <v/>
      </c>
      <c r="Q1302">
        <f>IFERROR(1/IF(Inputs!$B$39="pvp",15,MAX(0.1,Skills!D22-IF(Skills!E22=TRUE,1.0,0))),0)</f>
        <v/>
      </c>
      <c r="R1302" t="n">
        <v>0</v>
      </c>
      <c r="S1302" t="n">
        <v>0</v>
      </c>
      <c r="U1302" t="n">
        <v>0</v>
      </c>
    </row>
    <row r="1303">
      <c r="A1303">
        <f>Skills!A23</f>
        <v/>
      </c>
      <c r="B1303">
        <f>Skills!B23</f>
        <v/>
      </c>
      <c r="C1303">
        <f>Inputs!$B$3&gt;=50</f>
        <v/>
      </c>
      <c r="D1303">
        <f>IF(Skills!C23=1,60+Inputs!$B$26+Inputs!$B$30,IF(Skills!C23=2,90+Inputs!$B$27+Inputs!$B$30,IF(Skills!C23=3,120+Inputs!$B$28+Inputs!$B$30,MAX(0,(Inputs!$B$3-100)*3)+Inputs!$B$29+Inputs!$B$30)))</f>
        <v/>
      </c>
      <c r="E1303">
        <f>INDEX(FactorTable!$B$2:$Y$301, MATCH(ROUND(MIN(300,MAX(1,D1303)),0), FactorTable!$A$2:$A$301,0), Skills!L23+1)</f>
        <v/>
      </c>
      <c r="F1303">
        <f>IF(Skills!M23=TRUE,(Skills!K23/10)*(E1303/1000),Skills!K23/10)+Skills!N23</f>
        <v/>
      </c>
      <c r="G1303">
        <f>Calc!G23</f>
        <v/>
      </c>
      <c r="H1303">
        <f>Calc!H23</f>
        <v/>
      </c>
      <c r="I1303">
        <f>IF(Skills!T23&lt;&gt;"",1+(Skills!T23/10)*($Z$3/1000)/100,1)</f>
        <v/>
      </c>
      <c r="J1303" t="inlineStr"/>
      <c r="K1303" t="inlineStr"/>
      <c r="L1303" t="inlineStr"/>
      <c r="M1303" t="inlineStr"/>
      <c r="N1303" t="inlineStr"/>
      <c r="O1303">
        <f>(1-Summary!$B$48)*S1303+Summary!$B$48*U1303</f>
        <v/>
      </c>
      <c r="P1303">
        <f>IF(B1322=0,0,O1303/B1322)</f>
        <v/>
      </c>
      <c r="Q1303">
        <f>IFERROR(1/IF(Inputs!$B$39="pvp",15,MAX(0.1,Skills!D23-IF(Skills!E23=TRUE,1.0,0))),0)</f>
        <v/>
      </c>
      <c r="R1303" t="n">
        <v>0</v>
      </c>
      <c r="S1303" t="n">
        <v>0</v>
      </c>
      <c r="U1303" t="n">
        <v>0</v>
      </c>
    </row>
    <row r="1304">
      <c r="A1304">
        <f>Skills!A24</f>
        <v/>
      </c>
      <c r="B1304">
        <f>Skills!B24</f>
        <v/>
      </c>
      <c r="C1304">
        <f>Inputs!$B$3&gt;=74</f>
        <v/>
      </c>
      <c r="D1304">
        <f>IF(Skills!C24=1,60+Inputs!$B$26+Inputs!$B$30,IF(Skills!C24=2,90+Inputs!$B$27+Inputs!$B$30,IF(Skills!C24=3,120+Inputs!$B$28+Inputs!$B$30,MAX(0,(Inputs!$B$3-100)*3)+Inputs!$B$29+Inputs!$B$30)))</f>
        <v/>
      </c>
      <c r="E1304">
        <f>INDEX(FactorTable!$B$2:$Y$301, MATCH(ROUND(MIN(300,MAX(1,D1304)),0), FactorTable!$A$2:$A$301,0), Skills!L24+1)</f>
        <v/>
      </c>
      <c r="F1304">
        <f>IF(Skills!M24=TRUE,(Skills!K24/10)*(E1304/1000),Skills!K24/10)+Skills!N24</f>
        <v/>
      </c>
      <c r="G1304">
        <f>Calc!G24</f>
        <v/>
      </c>
      <c r="H1304">
        <f>Calc!H24</f>
        <v/>
      </c>
      <c r="I1304">
        <f>IF(Skills!T24&lt;&gt;"",1+(Skills!T24/10)*($Z$3/1000)/100,1)</f>
        <v/>
      </c>
      <c r="J1304" t="inlineStr"/>
      <c r="K1304" t="inlineStr"/>
      <c r="L1304" t="inlineStr"/>
      <c r="M1304" t="inlineStr"/>
      <c r="N1304" t="inlineStr"/>
      <c r="O1304">
        <f>(1-Summary!$B$48)*S1304+Summary!$B$48*U1304</f>
        <v/>
      </c>
      <c r="P1304">
        <f>IF(B1322=0,0,O1304/B1322)</f>
        <v/>
      </c>
      <c r="Q1304">
        <f>IFERROR(1/IF(Inputs!$B$39="pvp",15,MAX(0.1,Skills!D24-IF(Skills!E24=TRUE,1.0,0))),0)</f>
        <v/>
      </c>
      <c r="R1304" t="n">
        <v>0</v>
      </c>
      <c r="S1304" t="n">
        <v>0</v>
      </c>
      <c r="U1304" t="n">
        <v>0</v>
      </c>
    </row>
    <row r="1305">
      <c r="A1305">
        <f>Skills!A25</f>
        <v/>
      </c>
      <c r="B1305">
        <f>Skills!B25</f>
        <v/>
      </c>
      <c r="C1305">
        <f>Inputs!$B$3&gt;=74</f>
        <v/>
      </c>
      <c r="D1305">
        <f>IF(Skills!C25=1,60+Inputs!$B$26+Inputs!$B$30,IF(Skills!C25=2,90+Inputs!$B$27+Inputs!$B$30,IF(Skills!C25=3,120+Inputs!$B$28+Inputs!$B$30,MAX(0,(Inputs!$B$3-100)*3)+Inputs!$B$29+Inputs!$B$30)))</f>
        <v/>
      </c>
      <c r="E1305">
        <f>INDEX(FactorTable!$B$2:$Y$301, MATCH(ROUND(MIN(300,MAX(1,D1305)),0), FactorTable!$A$2:$A$301,0), Skills!L25+1)</f>
        <v/>
      </c>
      <c r="F1305">
        <f>IF(Skills!M25=TRUE,(Skills!K25/10)*(E1305/1000),Skills!K25/10)+Skills!N25</f>
        <v/>
      </c>
      <c r="G1305">
        <f>Calc!G25</f>
        <v/>
      </c>
      <c r="H1305">
        <f>Calc!H25</f>
        <v/>
      </c>
      <c r="I1305">
        <f>IF(Skills!T25&lt;&gt;"",1+(Skills!T25/10)*($Z$3/1000)/100,1)</f>
        <v/>
      </c>
      <c r="J1305" t="inlineStr"/>
      <c r="K1305" t="inlineStr"/>
      <c r="L1305" t="inlineStr"/>
      <c r="M1305" t="inlineStr"/>
      <c r="N1305" t="inlineStr"/>
      <c r="O1305">
        <f>(1-Summary!$B$48)*S1305+Summary!$B$48*U1305</f>
        <v/>
      </c>
      <c r="P1305">
        <f>IF(B1322=0,0,O1305/B1322)</f>
        <v/>
      </c>
      <c r="Q1305">
        <f>IFERROR(1/IF(Inputs!$B$39="pvp",15,MAX(0.1,Skills!D25-IF(Skills!E25=TRUE,1.0,0))),0)</f>
        <v/>
      </c>
      <c r="R1305" t="n">
        <v>0</v>
      </c>
      <c r="S1305" t="n">
        <v>0</v>
      </c>
      <c r="U1305" t="n">
        <v>0</v>
      </c>
    </row>
    <row r="1306">
      <c r="A1306">
        <f>Skills!A26</f>
        <v/>
      </c>
      <c r="B1306">
        <f>Skills!B26</f>
        <v/>
      </c>
      <c r="C1306">
        <f>Inputs!$B$3&gt;=117</f>
        <v/>
      </c>
      <c r="D1306">
        <f>IF(Skills!C26=1,60+Inputs!$B$26+Inputs!$B$30,IF(Skills!C26=2,90+Inputs!$B$27+Inputs!$B$30,IF(Skills!C26=3,120+Inputs!$B$28+Inputs!$B$30,MAX(0,(Inputs!$B$3-100)*3)+Inputs!$B$29+Inputs!$B$30)))</f>
        <v/>
      </c>
      <c r="E1306">
        <f>INDEX(FactorTable!$B$2:$Y$301, MATCH(ROUND(MIN(300,MAX(1,D1306)),0), FactorTable!$A$2:$A$301,0), Skills!L26+1)</f>
        <v/>
      </c>
      <c r="F1306">
        <f>IF(Skills!M26=TRUE,(Skills!K26/10)*(E1306/1000),Skills!K26/10)+Skills!N26</f>
        <v/>
      </c>
      <c r="G1306">
        <f>Calc!G26</f>
        <v/>
      </c>
      <c r="H1306">
        <f>Calc!H26</f>
        <v/>
      </c>
      <c r="I1306">
        <f>IF(Skills!T26&lt;&gt;"",1+(Skills!T26/10)*($Z$3/1000)/100,1)</f>
        <v/>
      </c>
      <c r="J1306" t="inlineStr"/>
      <c r="K1306" t="inlineStr"/>
      <c r="L1306" t="inlineStr"/>
      <c r="M1306" t="inlineStr"/>
      <c r="N1306" t="inlineStr"/>
      <c r="O1306">
        <f>(1-Summary!$B$48)*S1306+Summary!$B$48*U1306</f>
        <v/>
      </c>
      <c r="P1306">
        <f>IF(B1322=0,0,O1306/B1322)</f>
        <v/>
      </c>
      <c r="Q1306">
        <f>IFERROR(1/IF(Inputs!$B$39="pvp",15,MAX(0.1,Skills!D26-IF(Skills!E26=TRUE,1.0,0))),0)</f>
        <v/>
      </c>
      <c r="R1306" t="n">
        <v>0</v>
      </c>
      <c r="S1306" t="n">
        <v>0</v>
      </c>
      <c r="U1306" t="n">
        <v>0</v>
      </c>
    </row>
    <row r="1307">
      <c r="A1307">
        <f>Skills!A27</f>
        <v/>
      </c>
      <c r="B1307">
        <f>Skills!B27</f>
        <v/>
      </c>
      <c r="C1307">
        <f>Inputs!$B$3&gt;=120</f>
        <v/>
      </c>
      <c r="D1307">
        <f>IF(Skills!C27=1,60+Inputs!$B$26+Inputs!$B$30,IF(Skills!C27=2,90+Inputs!$B$27+Inputs!$B$30,IF(Skills!C27=3,120+Inputs!$B$28+Inputs!$B$30,MAX(0,(Inputs!$B$3-100)*3)+Inputs!$B$29+Inputs!$B$30)))</f>
        <v/>
      </c>
      <c r="E1307">
        <f>INDEX(FactorTable!$B$2:$Y$301, MATCH(ROUND(MIN(300,MAX(1,D1307)),0), FactorTable!$A$2:$A$301,0), Skills!L27+1)</f>
        <v/>
      </c>
      <c r="F1307">
        <f>IF(Skills!M27=TRUE,(Skills!K27/10)*(E1307/1000),Skills!K27/10)+Skills!N27</f>
        <v/>
      </c>
      <c r="G1307">
        <f>Calc!G27</f>
        <v/>
      </c>
      <c r="H1307">
        <f>Calc!H27</f>
        <v/>
      </c>
      <c r="I1307">
        <f>IF(Skills!T27&lt;&gt;"",1+(Skills!T27/10)*($Z$3/1000)/100,1)</f>
        <v/>
      </c>
      <c r="J1307" t="inlineStr"/>
      <c r="K1307" t="inlineStr"/>
      <c r="L1307" t="inlineStr"/>
      <c r="M1307" t="inlineStr"/>
      <c r="N1307" t="inlineStr"/>
      <c r="O1307">
        <f>(1-Summary!$B$48)*S1307+Summary!$B$48*U1307</f>
        <v/>
      </c>
      <c r="P1307">
        <f>IF(B1322=0,0,O1307/B1322)</f>
        <v/>
      </c>
      <c r="Q1307">
        <f>IFERROR(1/IF(Inputs!$B$39="pvp",15,MAX(0.1,Skills!D27-IF(Skills!E27=TRUE,1.0,0))),0)</f>
        <v/>
      </c>
      <c r="R1307" t="n">
        <v>0</v>
      </c>
      <c r="S1307" t="n">
        <v>0</v>
      </c>
      <c r="U1307" t="n">
        <v>0</v>
      </c>
    </row>
    <row r="1309">
      <c r="A1309" t="inlineStr">
        <is>
          <t>Average Buff Multiplier</t>
        </is>
      </c>
      <c r="B1309">
        <f>(1+(IF(C1283=TRUE,F1283*IF(AND(Inputs!$B$39&lt;&gt;"pvp",Inputs!$B$44&gt;0),(((R1283-1)*(Skills!S3*(1+(Inputs!$B$35+IF(Inputs!$B$3&gt;=117,F1306,0))/100))+MIN((Skills!S3*(1+(Inputs!$B$35+IF(Inputs!$B$3&gt;=117,F1306,0))/100)),MAX(0,Inputs!$B$44-((R1283-1)*Skills!D3))))/Inputs!$B$44),IF(Inputs!$B$39="pvp",MIN((Skills!S3*(1+(Inputs!$B$35+IF(Inputs!$B$3&gt;=117,F1306,0))/100)),15)/15,(Skills!S3*(1+(Inputs!$B$35+IF(Inputs!$B$3&gt;=117,F1306,0))/100))/Skills!D3)),0)+IF(C1284=TRUE,F1284*IF(AND(Inputs!$B$39&lt;&gt;"pvp",Inputs!$B$44&gt;0),(((R1284-1)*(Skills!S4*(1+(Inputs!$B$35+IF(Inputs!$B$3&gt;=117,F1306,0))/100))+MIN((Skills!S4*(1+(Inputs!$B$35+IF(Inputs!$B$3&gt;=117,F1306,0))/100)),MAX(0,Inputs!$B$44-((R1284-1)*Skills!D4))))/Inputs!$B$44),IF(Inputs!$B$39="pvp",MIN((Skills!S4*(1+(Inputs!$B$35+IF(Inputs!$B$3&gt;=117,F1306,0))/100)),15)/15,(Skills!S4*(1+(Inputs!$B$35+IF(Inputs!$B$3&gt;=117,F1306,0))/100))/Skills!D4)),0)+IF(C1285=TRUE,F1285*IF(AND(Inputs!$B$39&lt;&gt;"pvp",Inputs!$B$44&gt;0),(((R1285-1)*(Skills!S5*(1+(Inputs!$B$35+IF(Inputs!$B$3&gt;=117,F1306,0))/100))+MIN((Skills!S5*(1+(Inputs!$B$35+IF(Inputs!$B$3&gt;=117,F1306,0))/100)),MAX(0,Inputs!$B$44-((R1285-1)*Skills!D5))))/Inputs!$B$44),IF(Inputs!$B$39="pvp",MIN((Skills!S5*(1+(Inputs!$B$35+IF(Inputs!$B$3&gt;=117,F1306,0))/100)),15)/15,(Skills!S5*(1+(Inputs!$B$35+IF(Inputs!$B$3&gt;=117,F1306,0))/100))/Skills!D5)),0)+IF(C1291=TRUE,F1291*IF(AND(Inputs!$B$39&lt;&gt;"pvp",Inputs!$B$44&gt;0),(((R1291-1)*(Skills!S11*(1+(Inputs!$B$35+IF(Inputs!$B$3&gt;=117,F1306,0))/100))+MIN((Skills!S11*(1+(Inputs!$B$35+IF(Inputs!$B$3&gt;=117,F1306,0))/100)),MAX(0,Inputs!$B$44-((R1291-1)*Skills!D11))))/Inputs!$B$44),IF(Inputs!$B$39="pvp",MIN((Skills!S11*(1+(Inputs!$B$35+IF(Inputs!$B$3&gt;=117,F1306,0))/100)),15)/15,(Skills!S11*(1+(Inputs!$B$35+IF(Inputs!$B$3&gt;=117,F1306,0))/100))/Skills!D11)),0))/100)*IF(C1294=TRUE,(1+F1294*IF(AND(Inputs!$B$39&lt;&gt;"pvp",Inputs!$B$44&gt;0),(((R1294-1)*(Skills!S14*(1+(Inputs!$B$35+IF(Inputs!$B$3&gt;=117,F1306,0))/100))+MIN((Skills!S14*(1+(Inputs!$B$35+IF(Inputs!$B$3&gt;=117,F1306,0))/100)),MAX(0,Inputs!$B$44-((R1294-1)*Skills!D14))))/Inputs!$B$44),IF(Inputs!$B$39="pvp",MIN((Skills!S14*(1+(Inputs!$B$35+IF(Inputs!$B$3&gt;=117,F1306,0))/100)),15)/15,(Skills!S14*(1+(Inputs!$B$35+IF(Inputs!$B$3&gt;=117,F1306,0))/100))/Skills!D14))/100),1)*IF(C1299=TRUE,(1+F1299*IF(AND(Inputs!$B$39&lt;&gt;"pvp",Inputs!$B$44&gt;0),(((R1299-1)*(Skills!S19*(1+(Inputs!$B$35+IF(Inputs!$B$3&gt;=117,F1306,0))/100))+MIN((Skills!S19*(1+(Inputs!$B$35+IF(Inputs!$B$3&gt;=117,F1306,0))/100)),MAX(0,Inputs!$B$44-((R1299-1)*Skills!D19))))/Inputs!$B$44),IF(Inputs!$B$39="pvp",MIN((Skills!S19*(1+(Inputs!$B$35+IF(Inputs!$B$3&gt;=117,F1306,0))/100)),15)/15,(Skills!S19*(1+(Inputs!$B$35+IF(Inputs!$B$3&gt;=117,F1306,0))/100))/Skills!D19))/100),1)</f>
        <v/>
      </c>
    </row>
    <row r="1310">
      <c r="A1310" t="inlineStr">
        <is>
          <t>Monster Damage Taken Bonus % (Holy Fountain)</t>
        </is>
      </c>
      <c r="B1310">
        <f>IF(Inputs!$B$3&gt;=68,20*IF(Inputs!$B$39="pvp",MIN((15*(1+(Inputs!$B$35+IF(Inputs!$B$3&gt;=117,F1306,0))/100)),15)/15,(15*(1+(Inputs!$B$35+IF(Inputs!$B$3&gt;=117,F1306,0))/100))/Skills!D10),0)</f>
        <v/>
      </c>
    </row>
    <row r="1311">
      <c r="A1311" t="inlineStr">
        <is>
          <t>Normal Monster Damage Bonus % (Holy Symbol)</t>
        </is>
      </c>
      <c r="B1311">
        <f>IF(C1292=TRUE,F1292*IF(AND(Inputs!$B$39&lt;&gt;"pvp",Inputs!$B$44&gt;0),(((R1292-1)*(Skills!S12*(1+(Inputs!$B$35+IF(Inputs!$B$3&gt;=117,F1306,0))/100))+MIN((Skills!S12*(1+(Inputs!$B$35+IF(Inputs!$B$3&gt;=117,F1306,0))/100)),MAX(0,Inputs!$B$44-((R1292-1)*Skills!D12))))/Inputs!$B$44),IF(Inputs!$B$39="pvp",MIN((Skills!S12*(1+(Inputs!$B$35+IF(Inputs!$B$3&gt;=117,F1306,0))/100)),15)/15,(Skills!S12*(1+(Inputs!$B$35+IF(Inputs!$B$3&gt;=117,F1306,0))/100))/Skills!D12)),0)</f>
        <v/>
      </c>
    </row>
    <row r="1312">
      <c r="A1312" t="inlineStr">
        <is>
          <t>Damage % Bonus (Holy Symbol - Damage Boost)</t>
        </is>
      </c>
      <c r="B1312">
        <f>Skills!O12</f>
        <v/>
      </c>
    </row>
    <row r="1313">
      <c r="A1313" t="inlineStr">
        <is>
          <t>Crit Damage % Bonus (Blood of the Divine)</t>
        </is>
      </c>
      <c r="B1313">
        <f>4*IF(C1300=TRUE,F1300,0)</f>
        <v/>
      </c>
    </row>
    <row r="1314">
      <c r="A1314" t="inlineStr">
        <is>
          <t>Attack Speed Bonus %</t>
        </is>
      </c>
      <c r="B1314">
        <f>IF(C1297=TRUE,F1297+(F1301-Calc!F21),0)+IF(Inputs!$B$3&gt;=134,15,0)</f>
        <v/>
      </c>
    </row>
    <row r="1315">
      <c r="A1315" t="inlineStr">
        <is>
          <t>Actions Per Second</t>
        </is>
      </c>
      <c r="B1315">
        <f>1+MIN(150,150*(1-(1-Inputs!$B$12/150)*(1-B1314/150)))/100</f>
        <v/>
      </c>
    </row>
    <row r="1316">
      <c r="A1316" t="inlineStr">
        <is>
          <t>Skill + Buff Cast Rate</t>
        </is>
      </c>
      <c r="B1316">
        <f>IF(AND(Inputs!$B$39&lt;&gt;"pvp",Inputs!$B$44&gt;0),SUMPRODUCT((Skills!E2:E27=TRUE)*(C1282:C1307=TRUE)*R1282:R1307)/Inputs!$B$44,SUMPRODUCT((Skills!E2:E27=TRUE)*(C1282:C1307=TRUE)*Q1282:Q1307))</f>
        <v/>
      </c>
    </row>
    <row r="1317">
      <c r="A1317" t="inlineStr">
        <is>
          <t>Big Bang Casts Per Second</t>
        </is>
      </c>
      <c r="B1317">
        <f>MAX(0,B1315-B1316)</f>
        <v/>
      </c>
    </row>
    <row r="1318">
      <c r="A1318" t="inlineStr">
        <is>
          <t>Defense % Bonus (Divine Protection)</t>
        </is>
      </c>
      <c r="B1318">
        <f>IF(C1293=TRUE,F1293*IF(AND(Inputs!$B$39&lt;&gt;"pvp",Inputs!$B$44&gt;0),(((R1293-1)*(Skills!S13*(1+(Inputs!$B$35+IF(Inputs!$B$3&gt;=117,F1306,0))/100))+MIN((Skills!S13*(1+(Inputs!$B$35+IF(Inputs!$B$3&gt;=117,F1306,0))/100)),MAX(0,Inputs!$B$44-((R1293-1)*Skills!D13))))/Inputs!$B$44),IF(Inputs!$B$39="pvp",MIN((Skills!S13*(1+(Inputs!$B$35+IF(Inputs!$B$3&gt;=117,F1306,0))/100)),15)/15,(Skills!S13*(1+(Inputs!$B$35+IF(Inputs!$B$3&gt;=117,F1306,0))/100))/Skills!D13)),0)</f>
        <v/>
      </c>
    </row>
    <row r="1319">
      <c r="A1319" t="inlineStr">
        <is>
          <t>Buff-Casting Startup Delay (s, fixed-duration only)</t>
        </is>
      </c>
      <c r="B1319">
        <f>IF(AND(Inputs!$B$39&lt;&gt;"pvp",Inputs!$B$44&gt;0),SUMPRODUCT((Skills!S2:S27&gt;0)*(Skills!E2:E27=TRUE)*(C1282:C1307=TRUE))/B1315,0)</f>
        <v/>
      </c>
    </row>
    <row r="1320">
      <c r="A1320" t="inlineStr">
        <is>
          <t>Boss-Only Total DPS (this block's swept value)</t>
        </is>
      </c>
      <c r="B1320">
        <f>SUM(S1282:S1307)</f>
        <v/>
      </c>
    </row>
    <row r="1321">
      <c r="A1321" t="inlineStr">
        <is>
          <t>Normal-Only Total DPS (this block's swept value)</t>
        </is>
      </c>
      <c r="B1321">
        <f>SUM(U1282:U1307)</f>
        <v/>
      </c>
    </row>
    <row r="1322">
      <c r="A1322" s="5" t="inlineStr">
        <is>
          <t>TOTAL DPS</t>
        </is>
      </c>
      <c r="B1322" s="5">
        <f>SUM(O1282:O1307)</f>
        <v/>
      </c>
    </row>
    <row r="1324">
      <c r="A1324" s="5" t="inlineStr">
        <is>
          <t>Stat: CDR = 1.5s</t>
        </is>
      </c>
    </row>
    <row r="1325">
      <c r="A1325" s="9" t="inlineStr">
        <is>
          <t>Key</t>
        </is>
      </c>
      <c r="B1325" s="9" t="inlineStr">
        <is>
          <t>Name</t>
        </is>
      </c>
      <c r="C1325" s="9" t="inlineStr">
        <is>
          <t>Unlocked</t>
        </is>
      </c>
      <c r="D1325" s="9" t="inlineStr">
        <is>
          <t>InputLevel</t>
        </is>
      </c>
      <c r="E1325" s="9" t="inlineStr">
        <is>
          <t>Factor</t>
        </is>
      </c>
      <c r="F1325" s="9" t="inlineStr">
        <is>
          <t>CoefficientPercent</t>
        </is>
      </c>
      <c r="G1325" s="9" t="inlineStr">
        <is>
          <t>EffectiveHits</t>
        </is>
      </c>
      <c r="H1325" s="9" t="inlineStr">
        <is>
          <t>ProcProbability</t>
        </is>
      </c>
      <c r="I1325" s="9" t="inlineStr">
        <is>
          <t>MapleHeroMultiplier</t>
        </is>
      </c>
      <c r="J1325" s="9" t="inlineStr">
        <is>
          <t>BaseDamage</t>
        </is>
      </c>
      <c r="K1325" s="9" t="inlineStr">
        <is>
          <t>BaseHitDamage</t>
        </is>
      </c>
      <c r="L1325" s="9" t="inlineStr">
        <is>
          <t>NonCritAvg</t>
        </is>
      </c>
      <c r="M1325" s="9" t="inlineStr">
        <is>
          <t>CritAvg</t>
        </is>
      </c>
      <c r="N1325" s="9" t="inlineStr">
        <is>
          <t>ExpectedDamage(perHit)</t>
        </is>
      </c>
      <c r="O1325" s="9" t="inlineStr">
        <is>
          <t>DPS</t>
        </is>
      </c>
      <c r="P1325" s="9" t="inlineStr">
        <is>
          <t>% of Total</t>
        </is>
      </c>
      <c r="R1325" t="inlineStr">
        <is>
          <t>helpers</t>
        </is>
      </c>
    </row>
    <row r="1326">
      <c r="A1326">
        <f>Skills!A2</f>
        <v/>
      </c>
      <c r="B1326">
        <f>Skills!B2</f>
        <v/>
      </c>
      <c r="C1326">
        <f>Inputs!$B$3&gt;=100</f>
        <v/>
      </c>
      <c r="D1326" t="inlineStr"/>
      <c r="E1326" t="inlineStr"/>
      <c r="F1326">
        <f>T1328+Skills!N2</f>
        <v/>
      </c>
      <c r="G1326">
        <f>Calc!G2</f>
        <v/>
      </c>
      <c r="H1326">
        <f>Calc!H2</f>
        <v/>
      </c>
      <c r="I1326">
        <f>IF(Skills!T2&lt;&gt;"",1+(Skills!T2/10)*($Z$3/1000)/100,1)</f>
        <v/>
      </c>
      <c r="J1326">
        <f>((Inputs!$B$6*(1+Inputs!$B$7/100))+(((Inputs!$B$13*(1+Inputs!$B$14/100))-(Inputs!$B$13*(1+Inputs!$B$14/100)))+0.25*(Inputs!$B$15-Inputs!$B$15))*(1+Inputs!$B$7/100))*(F1326/100)</f>
        <v/>
      </c>
      <c r="K1326">
        <f>J1326*(1+(((Inputs!$B$13+IF(Inputs!$B$3&gt;=35,(10*INDEX(FactorTable!$B$2:$Y$301, MATCH(ROUND(MIN(300,MAX(1,Inputs!$B$3)),0), FactorTable!$A$2:$A$301,0), 23)/1000)/100*(Inputs!$B$8*(1+(Inputs!$B$9+B1362)/100)),0))*(1+Inputs!$B$14/100))*0.01+Inputs!$B$15*0.0025)/100)*(1+(Inputs!$B$16+B1356)/100)*(1+Inputs!$B$17/100)*(5000/(6000+Inputs!$B$43*(1-Inputs!$B$20/100)))*(1+Inputs!$B$25/100)*(1+IF(C1342=TRUE,F1342,0)/100)*(1+IF(C1344=TRUE,F1344,0)/100)*(1+IF(Skills!A2="TRIUMPH_FEATHER",IF(C1340=TRUE,F1340,0),0)/100)*(1+IF(C1351=TRUE,F1351,0)/100)^5*(1+(IF(Skills!A2="BIG_BANG",Inputs!$B$18,Inputs!$B$19))/100)*(B1353*I1326)</f>
        <v/>
      </c>
      <c r="L1326">
        <f>K1326*(MIN(Inputs!$B$23+(F1346-Calc!F22),Inputs!$B$24)/100+Inputs!$B$24/100)/2</f>
        <v/>
      </c>
      <c r="M1326">
        <f>L1326*(1+(Inputs!$B$11+B1357+(F1349-Calc!F25))/100)</f>
        <v/>
      </c>
      <c r="N1326">
        <f>L1326*(1-MIN(Inputs!$B$10+((F1348-Calc!F24)+(F1347-Calc!F23)),100)/100)+M1326*(MIN(Inputs!$B$10+((F1348-Calc!F24)+(F1347-Calc!F23)),100)/100)</f>
        <v/>
      </c>
      <c r="O1326">
        <f>(1-Summary!$B$48)*S1326+Summary!$B$48*U1326</f>
        <v/>
      </c>
      <c r="P1326">
        <f>IF(B1366=0,0,O1326/B1366)</f>
        <v/>
      </c>
      <c r="Q1326">
        <f>IFERROR(1/IF(Inputs!$B$39="pvp",15,MAX(0.1,Skills!D2-IF(Skills!E2=TRUE,1.5,0))),0)</f>
        <v/>
      </c>
      <c r="R1326" t="n">
        <v>0</v>
      </c>
      <c r="S1326">
        <f>IF(C1326,(Skills!F2*N1326*B1361)*IF(Inputs!$B$39="pvp",1,1+(Inputs!$B$21+Skills!O2+B1354)/100),0)</f>
        <v/>
      </c>
      <c r="T1326">
        <f>MAX(0,(Inputs!$B$3-100)*3)+Inputs!$B$29+Inputs!$B$30</f>
        <v/>
      </c>
      <c r="U1326">
        <f>IF(C1326,(Skills!F2*N1326*B1361)*IF(Inputs!$B$39="pvp",1,(1+(Inputs!$B$22+Skills!P2+B1355)/100)*(MIN((6+Inputs!$B$34),Inputs!$B$38))),0)</f>
        <v/>
      </c>
    </row>
    <row r="1327">
      <c r="A1327">
        <f>Skills!A3</f>
        <v/>
      </c>
      <c r="B1327">
        <f>Skills!B3</f>
        <v/>
      </c>
      <c r="C1327">
        <f>Inputs!$B$3&gt;=15</f>
        <v/>
      </c>
      <c r="D1327">
        <f>IF(Skills!C3=1,60+Inputs!$B$26+Inputs!$B$30,IF(Skills!C3=2,90+Inputs!$B$27+Inputs!$B$30,IF(Skills!C3=3,120+Inputs!$B$28+Inputs!$B$30,MAX(0,(Inputs!$B$3-100)*3)+Inputs!$B$29+Inputs!$B$30)))</f>
        <v/>
      </c>
      <c r="E1327">
        <f>INDEX(FactorTable!$B$2:$Y$301, MATCH(ROUND(MIN(300,MAX(1,D1327)),0), FactorTable!$A$2:$A$301,0), Skills!L3+1)</f>
        <v/>
      </c>
      <c r="F1327">
        <f>IF(Skills!M3=TRUE,(Skills!K3/10)*(E1327/1000),Skills!K3/10)+Skills!N3</f>
        <v/>
      </c>
      <c r="G1327">
        <f>Calc!G3</f>
        <v/>
      </c>
      <c r="H1327">
        <f>Calc!H3</f>
        <v/>
      </c>
      <c r="I1327">
        <f>IF(Skills!T3&lt;&gt;"",1+(Skills!T3/10)*($Z$3/1000)/100,1)</f>
        <v/>
      </c>
      <c r="J1327" t="inlineStr"/>
      <c r="K1327" t="inlineStr"/>
      <c r="L1327" t="inlineStr"/>
      <c r="M1327" t="inlineStr"/>
      <c r="N1327" t="inlineStr"/>
      <c r="O1327">
        <f>(1-Summary!$B$48)*S1327+Summary!$B$48*U1327</f>
        <v/>
      </c>
      <c r="P1327">
        <f>IF(B1366=0,0,O1327/B1366)</f>
        <v/>
      </c>
      <c r="Q1327">
        <f>IFERROR(1/IF(Inputs!$B$39="pvp",15,MAX(0.1,Skills!D3-IF(Skills!E3=TRUE,1.5,0))),0)</f>
        <v/>
      </c>
      <c r="R1327">
        <f>IF(AND(Inputs!$B$39&lt;&gt;"pvp",Inputs!$B$44&gt;0),IF(Inputs!$B$44&lt;=0,0,(INT(Inputs!$B$44/IF(Inputs!$B$39="pvp",15,MAX(0.1,Skills!D3-IF(Skills!E3=TRUE,1.5,0))))+1)),0)</f>
        <v/>
      </c>
      <c r="S1327" t="n">
        <v>0</v>
      </c>
      <c r="T1327">
        <f>INDEX(FactorTable!$B$2:$Y$301, MATCH(ROUND(MIN(300,MAX(1,T1326)),0), FactorTable!$A$2:$A$301,0), 22)</f>
        <v/>
      </c>
      <c r="U1327" t="n">
        <v>0</v>
      </c>
    </row>
    <row r="1328">
      <c r="A1328">
        <f>Skills!A4</f>
        <v/>
      </c>
      <c r="B1328">
        <f>Skills!B4</f>
        <v/>
      </c>
      <c r="C1328">
        <f>Inputs!$B$3&gt;=38</f>
        <v/>
      </c>
      <c r="D1328">
        <f>IF(Skills!C4=1,60+Inputs!$B$26+Inputs!$B$30,IF(Skills!C4=2,90+Inputs!$B$27+Inputs!$B$30,IF(Skills!C4=3,120+Inputs!$B$28+Inputs!$B$30,MAX(0,(Inputs!$B$3-100)*3)+Inputs!$B$29+Inputs!$B$30)))</f>
        <v/>
      </c>
      <c r="E1328">
        <f>INDEX(FactorTable!$B$2:$Y$301, MATCH(ROUND(MIN(300,MAX(1,D1328)),0), FactorTable!$A$2:$A$301,0), Skills!L4+1)</f>
        <v/>
      </c>
      <c r="F1328">
        <f>IF(Skills!M4=TRUE,(Skills!K4/10)*(E1328/1000),Skills!K4/10)+Skills!N4</f>
        <v/>
      </c>
      <c r="G1328">
        <f>Calc!G4</f>
        <v/>
      </c>
      <c r="H1328">
        <f>Calc!H4</f>
        <v/>
      </c>
      <c r="I1328">
        <f>IF(Skills!T4&lt;&gt;"",1+(Skills!T4/10)*($Z$3/1000)/100,1)</f>
        <v/>
      </c>
      <c r="J1328" t="inlineStr"/>
      <c r="K1328" t="inlineStr"/>
      <c r="L1328" t="inlineStr"/>
      <c r="M1328" t="inlineStr"/>
      <c r="N1328" t="inlineStr"/>
      <c r="O1328">
        <f>(1-Summary!$B$48)*S1328+Summary!$B$48*U1328</f>
        <v/>
      </c>
      <c r="P1328">
        <f>IF(B1366=0,0,O1328/B1366)</f>
        <v/>
      </c>
      <c r="Q1328">
        <f>IFERROR(1/IF(Inputs!$B$39="pvp",15,MAX(0.1,Skills!D4-IF(Skills!E4=TRUE,1.5,0))),0)</f>
        <v/>
      </c>
      <c r="R1328">
        <f>IF(AND(Inputs!$B$39&lt;&gt;"pvp",Inputs!$B$44&gt;0),IF(Inputs!$B$44&lt;=0,0,(INT(Inputs!$B$44/IF(Inputs!$B$39="pvp",15,MAX(0.1,Skills!D4-IF(Skills!E4=TRUE,1.5,0))))+1)),0)</f>
        <v/>
      </c>
      <c r="S1328" t="n">
        <v>0</v>
      </c>
      <c r="T1328">
        <f>290*T1327/1000</f>
        <v/>
      </c>
      <c r="U1328" t="n">
        <v>0</v>
      </c>
    </row>
    <row r="1329">
      <c r="A1329">
        <f>Skills!A5</f>
        <v/>
      </c>
      <c r="B1329">
        <f>Skills!B5</f>
        <v/>
      </c>
      <c r="C1329">
        <f>Inputs!$B$3&gt;=40</f>
        <v/>
      </c>
      <c r="D1329">
        <f>IF(Skills!C5=1,60+Inputs!$B$26+Inputs!$B$30,IF(Skills!C5=2,90+Inputs!$B$27+Inputs!$B$30,IF(Skills!C5=3,120+Inputs!$B$28+Inputs!$B$30,MAX(0,(Inputs!$B$3-100)*3)+Inputs!$B$29+Inputs!$B$30)))</f>
        <v/>
      </c>
      <c r="E1329">
        <f>INDEX(FactorTable!$B$2:$Y$301, MATCH(ROUND(MIN(300,MAX(1,D1329)),0), FactorTable!$A$2:$A$301,0), Skills!L5+1)</f>
        <v/>
      </c>
      <c r="F1329">
        <f>IF(Skills!M5=TRUE,(Skills!K5/10)*(E1329/1000),Skills!K5/10)+Skills!N5</f>
        <v/>
      </c>
      <c r="G1329">
        <f>Calc!G5</f>
        <v/>
      </c>
      <c r="H1329">
        <f>Calc!H5</f>
        <v/>
      </c>
      <c r="I1329">
        <f>IF(Skills!T5&lt;&gt;"",1+(Skills!T5/10)*($Z$3/1000)/100,1)</f>
        <v/>
      </c>
      <c r="J1329" t="inlineStr"/>
      <c r="K1329" t="inlineStr"/>
      <c r="L1329" t="inlineStr"/>
      <c r="M1329" t="inlineStr"/>
      <c r="N1329" t="inlineStr"/>
      <c r="O1329">
        <f>(1-Summary!$B$48)*S1329+Summary!$B$48*U1329</f>
        <v/>
      </c>
      <c r="P1329">
        <f>IF(B1366=0,0,O1329/B1366)</f>
        <v/>
      </c>
      <c r="Q1329">
        <f>IFERROR(1/IF(Inputs!$B$39="pvp",15,MAX(0.1,Skills!D5-IF(Skills!E5=TRUE,1.5,0))),0)</f>
        <v/>
      </c>
      <c r="R1329">
        <f>IF(AND(Inputs!$B$39&lt;&gt;"pvp",Inputs!$B$44&gt;0),IF(Inputs!$B$44&lt;=0,0,(INT(Inputs!$B$44/IF(Inputs!$B$39="pvp",15,MAX(0.1,Skills!D5-IF(Skills!E5=TRUE,1.5,0))))+1)),0)</f>
        <v/>
      </c>
      <c r="S1329" t="n">
        <v>0</v>
      </c>
      <c r="U1329" t="n">
        <v>0</v>
      </c>
    </row>
    <row r="1330">
      <c r="A1330">
        <f>Skills!A6</f>
        <v/>
      </c>
      <c r="B1330">
        <f>Skills!B6</f>
        <v/>
      </c>
      <c r="C1330">
        <f>Inputs!$B$3&gt;=103</f>
        <v/>
      </c>
      <c r="D1330">
        <f>IF(Skills!C6=1,60+Inputs!$B$26+Inputs!$B$30,IF(Skills!C6=2,90+Inputs!$B$27+Inputs!$B$30,IF(Skills!C6=3,120+Inputs!$B$28+Inputs!$B$30,MAX(0,(Inputs!$B$3-100)*3)+Inputs!$B$29+Inputs!$B$30)))</f>
        <v/>
      </c>
      <c r="E1330">
        <f>INDEX(FactorTable!$B$2:$Y$301, MATCH(ROUND(MIN(300,MAX(1,D1330)),0), FactorTable!$A$2:$A$301,0), Skills!L6+1)</f>
        <v/>
      </c>
      <c r="F1330">
        <f>IF(Skills!M6=TRUE,(Skills!K6/10)*(E1330/1000),Skills!K6/10)+Skills!N6</f>
        <v/>
      </c>
      <c r="G1330">
        <f>Calc!G6</f>
        <v/>
      </c>
      <c r="H1330">
        <f>Calc!H6</f>
        <v/>
      </c>
      <c r="I1330">
        <f>IF(Skills!T6&lt;&gt;"",1+(Skills!T6/10)*($Z$3/1000)/100,1)</f>
        <v/>
      </c>
      <c r="J1330">
        <f>((Inputs!$B$6*(1+Inputs!$B$7/100))+(((Inputs!$B$13*(1+Inputs!$B$14/100))-(Inputs!$B$13*(1+Inputs!$B$14/100)))+0.25*(Inputs!$B$15-Inputs!$B$15))*(1+Inputs!$B$7/100))*(F1330/100)</f>
        <v/>
      </c>
      <c r="K1330">
        <f>J1330*(1+(((Inputs!$B$13+IF(Inputs!$B$3&gt;=35,(10*INDEX(FactorTable!$B$2:$Y$301, MATCH(ROUND(MIN(300,MAX(1,Inputs!$B$3)),0), FactorTable!$A$2:$A$301,0), 23)/1000)/100*(Inputs!$B$8*(1+(Inputs!$B$9+B1362)/100)),0))*(1+Inputs!$B$14/100))*0.01+Inputs!$B$15*0.0025)/100)*(1+(Inputs!$B$16+B1356)/100)*(1+Inputs!$B$17/100)*(5000/(6000+Inputs!$B$43*(1-Inputs!$B$20/100)))*(1+Inputs!$B$25/100)*(1+IF(C1342=TRUE,F1342,0)/100)*(1+IF(C1344=TRUE,F1344,0)/100)*(1+IF(Skills!A6="TRIUMPH_FEATHER",IF(C1340=TRUE,F1340,0),0)/100)*(1+IF(C1351=TRUE,F1351,0)/100)^5*(1+(IF(Skills!A6="BIG_BANG",Inputs!$B$18,Inputs!$B$19))/100)*(B1353*I1330)</f>
        <v/>
      </c>
      <c r="L1330">
        <f>K1330*(MIN(Inputs!$B$23+(F1346-Calc!F22),Inputs!$B$24)/100+Inputs!$B$24/100)/2</f>
        <v/>
      </c>
      <c r="M1330">
        <f>L1330*(1+(Inputs!$B$11+B1357+(F1349-Calc!F25))/100)</f>
        <v/>
      </c>
      <c r="N1330">
        <f>L1330*(1-MIN(Inputs!$B$10+((F1348-Calc!F24)+(F1347-Calc!F23)),100)/100)+M1330*(MIN(Inputs!$B$10+((F1348-Calc!F24)+(F1347-Calc!F23)),100)/100)</f>
        <v/>
      </c>
      <c r="O1330">
        <f>(1-Summary!$B$48)*S1330+Summary!$B$48*U1330</f>
        <v/>
      </c>
      <c r="P1330">
        <f>IF(B1366=0,0,O1330/B1366)</f>
        <v/>
      </c>
      <c r="Q1330">
        <f>IFERROR(1/IF(Inputs!$B$39="pvp",15,MAX(0.1,Skills!D6-IF(Skills!E6=TRUE,1.5,0))),0)</f>
        <v/>
      </c>
      <c r="R1330">
        <f>IF(AND(Inputs!$B$39&lt;&gt;"pvp",Inputs!$B$44&gt;0),IF(MAX(0,Inputs!$B$44-B1363)&lt;=0,0,(INT(MAX(0,Inputs!$B$44-B1363)/IF(Inputs!$B$39="pvp",15,MAX(0.1,Skills!D6-IF(Skills!E6=TRUE,1.5,0))))+1)),0)</f>
        <v/>
      </c>
      <c r="S1330">
        <f>IF(C1330,(H1330*N1330*IF(AND(Inputs!$B$39&lt;&gt;"pvp",Inputs!$B$44&gt;0),((Skills!F6*((R1330-1)*IF(Skills!G6&gt;0,Skills!H6/Skills!G6,1)+IF(Skills!G6&gt;0,MIN(Skills!H6,MAX(0,MAX(0,Inputs!$B$44-B1363)-((R1330-1)*IF(Inputs!$B$39="pvp",15,MAX(0.1,Skills!D6-IF(Skills!E6=TRUE,1.5,0))))))/Skills!G6,1)))/Inputs!$B$44),G1330*Q1330))*IF(Inputs!$B$39="pvp",1,1+(Inputs!$B$21+Skills!O6+B1354)/100),0)</f>
        <v/>
      </c>
      <c r="U1330">
        <f>IF(C1330,(H1330*N1330*IF(AND(Inputs!$B$39&lt;&gt;"pvp",Inputs!$B$44&gt;0),((Skills!F6*((R1330-1)*IF(Skills!G6&gt;0,Skills!H6/Skills!G6,1)+IF(Skills!G6&gt;0,MIN(Skills!H6,MAX(0,MAX(0,Inputs!$B$44-B1363)-((R1330-1)*IF(Inputs!$B$39="pvp",15,MAX(0.1,Skills!D6-IF(Skills!E6=TRUE,1.5,0))))))/Skills!G6,1)))/Inputs!$B$44),G1330*Q1330))*IF(Inputs!$B$39="pvp",1,(1+(Inputs!$B$22+Skills!P6+B1355)/100)*(MIN(Skills!Q6,Inputs!$B$38))),0)</f>
        <v/>
      </c>
    </row>
    <row r="1331">
      <c r="A1331">
        <f>Skills!A7</f>
        <v/>
      </c>
      <c r="B1331">
        <f>Skills!B7</f>
        <v/>
      </c>
      <c r="C1331">
        <f>Inputs!$B$3&gt;=122</f>
        <v/>
      </c>
      <c r="D1331">
        <f>IF(Skills!C7=1,60+Inputs!$B$26+Inputs!$B$30,IF(Skills!C7=2,90+Inputs!$B$27+Inputs!$B$30,IF(Skills!C7=3,120+Inputs!$B$28+Inputs!$B$30,MAX(0,(Inputs!$B$3-100)*3)+Inputs!$B$29+Inputs!$B$30)))</f>
        <v/>
      </c>
      <c r="E1331">
        <f>INDEX(FactorTable!$B$2:$Y$301, MATCH(ROUND(MIN(300,MAX(1,D1331)),0), FactorTable!$A$2:$A$301,0), Skills!L7+1)</f>
        <v/>
      </c>
      <c r="F1331">
        <f>IF(Skills!M7=TRUE,(Skills!K7/10)*(E1331/1000),Skills!K7/10)+Skills!N7</f>
        <v/>
      </c>
      <c r="G1331">
        <f>Calc!G7</f>
        <v/>
      </c>
      <c r="H1331">
        <f>Calc!H7</f>
        <v/>
      </c>
      <c r="I1331">
        <f>IF(Skills!T7&lt;&gt;"",1+(Skills!T7/10)*($Z$3/1000)/100,1)</f>
        <v/>
      </c>
      <c r="J1331">
        <f>((Inputs!$B$6*(1+Inputs!$B$7/100))+(((Inputs!$B$13*(1+Inputs!$B$14/100))-(Inputs!$B$13*(1+Inputs!$B$14/100)))+0.25*(Inputs!$B$15-Inputs!$B$15))*(1+Inputs!$B$7/100))*(F1331/100)</f>
        <v/>
      </c>
      <c r="K1331">
        <f>J1331*(1+(((Inputs!$B$13+IF(Inputs!$B$3&gt;=35,(10*INDEX(FactorTable!$B$2:$Y$301, MATCH(ROUND(MIN(300,MAX(1,Inputs!$B$3)),0), FactorTable!$A$2:$A$301,0), 23)/1000)/100*(Inputs!$B$8*(1+(Inputs!$B$9+B1362)/100)),0))*(1+Inputs!$B$14/100))*0.01+Inputs!$B$15*0.0025)/100)*(1+(Inputs!$B$16+B1356)/100)*(1+Inputs!$B$17/100)*(5000/(6000+Inputs!$B$43*(1-Inputs!$B$20/100)))*(1+Inputs!$B$25/100)*(1+IF(C1342=TRUE,F1342,0)/100)*(1+IF(C1344=TRUE,F1344,0)/100)*(1+IF(Skills!A7="TRIUMPH_FEATHER",IF(C1340=TRUE,F1340,0),0)/100)*(1+IF(C1351=TRUE,F1351,0)/100)^5*(1+(IF(Skills!A7="BIG_BANG",Inputs!$B$18,Inputs!$B$19))/100)*(B1353*I1331)</f>
        <v/>
      </c>
      <c r="L1331">
        <f>K1331*(MIN(Inputs!$B$23+(F1346-Calc!F22),Inputs!$B$24)/100+Inputs!$B$24/100)/2</f>
        <v/>
      </c>
      <c r="M1331">
        <f>L1331*(1+(Inputs!$B$11+B1357+(F1349-Calc!F25))/100)</f>
        <v/>
      </c>
      <c r="N1331">
        <f>L1331*(1-MIN(Inputs!$B$10+((F1348-Calc!F24)+(F1347-Calc!F23)),100)/100)+M1331*(MIN(Inputs!$B$10+((F1348-Calc!F24)+(F1347-Calc!F23)),100)/100)</f>
        <v/>
      </c>
      <c r="O1331">
        <f>(1-Summary!$B$48)*S1331+Summary!$B$48*U1331</f>
        <v/>
      </c>
      <c r="P1331">
        <f>IF(B1366=0,0,O1331/B1366)</f>
        <v/>
      </c>
      <c r="Q1331">
        <f>IFERROR(1/IF(Inputs!$B$39="pvp",15,MAX(0.1,Skills!D7-IF(Skills!E6=TRUE,1.5,0))),0)</f>
        <v/>
      </c>
      <c r="R1331">
        <f>IF(AND(Inputs!$B$39&lt;&gt;"pvp",Inputs!$B$44&gt;0),IF(MAX(0,Inputs!$B$44-B1363)&lt;=0,0,(INT(MAX(0,Inputs!$B$44-B1363)/IF(Inputs!$B$39="pvp",15,MAX(0.1,Skills!D7-IF(Skills!E6=TRUE,1.5,0))))+1)),0)</f>
        <v/>
      </c>
      <c r="S1331">
        <f>IF(C1331,H1331*N1331*IF(AND(Inputs!$B$39&lt;&gt;"pvp",Inputs!$B$44&gt;0),((Skills!F7*((R1331-1)*IF(Skills!G7&gt;0,Skills!H7/Skills!G7,1)+IF(Skills!G7&gt;0,MIN(Skills!H7,MAX(0,MAX(0,Inputs!$B$44-B1363)-((R1331-1)*IF(Inputs!$B$39="pvp",15,MAX(0.1,Skills!D7-IF(Skills!E6=TRUE,1.5,0))))))/Skills!G7,1)))/Inputs!$B$44),G1331*Q1331)*IF(Inputs!$B$39="pvp",1,1+(Inputs!$B$21+Skills!O7+B1354)/100),0)</f>
        <v/>
      </c>
      <c r="U1331" t="n">
        <v>0</v>
      </c>
    </row>
    <row r="1332">
      <c r="A1332">
        <f>Skills!A8</f>
        <v/>
      </c>
      <c r="B1332">
        <f>Skills!B8</f>
        <v/>
      </c>
      <c r="C1332">
        <f>Inputs!$B$3&gt;=105</f>
        <v/>
      </c>
      <c r="D1332">
        <f>IF(Skills!C8=1,60+Inputs!$B$26+Inputs!$B$30,IF(Skills!C8=2,90+Inputs!$B$27+Inputs!$B$30,IF(Skills!C8=3,120+Inputs!$B$28+Inputs!$B$30,MAX(0,(Inputs!$B$3-100)*3)+Inputs!$B$29+Inputs!$B$30)))</f>
        <v/>
      </c>
      <c r="E1332">
        <f>INDEX(FactorTable!$B$2:$Y$301, MATCH(ROUND(MIN(300,MAX(1,D1332)),0), FactorTable!$A$2:$A$301,0), Skills!L8+1)</f>
        <v/>
      </c>
      <c r="F1332">
        <f>IF(Skills!M8=TRUE,(Skills!K8/10)*(E1332/1000),Skills!K8/10)+Skills!N8</f>
        <v/>
      </c>
      <c r="G1332">
        <f>Calc!G8</f>
        <v/>
      </c>
      <c r="H1332">
        <f>Calc!H8</f>
        <v/>
      </c>
      <c r="I1332">
        <f>IF(Skills!T8&lt;&gt;"",1+(Skills!T8/10)*($Z$3/1000)/100,1)</f>
        <v/>
      </c>
      <c r="J1332">
        <f>((Inputs!$B$6*(1+Inputs!$B$7/100))+(((Inputs!$B$13*(1+Inputs!$B$14/100))-(Inputs!$B$13*(1+Inputs!$B$14/100)))+0.25*(Inputs!$B$15-Inputs!$B$15))*(1+Inputs!$B$7/100))*(F1332/100)</f>
        <v/>
      </c>
      <c r="K1332">
        <f>J1332*(1+(((Inputs!$B$13+IF(Inputs!$B$3&gt;=35,(10*INDEX(FactorTable!$B$2:$Y$301, MATCH(ROUND(MIN(300,MAX(1,Inputs!$B$3)),0), FactorTable!$A$2:$A$301,0), 23)/1000)/100*(Inputs!$B$8*(1+(Inputs!$B$9+B1362)/100)),0))*(1+Inputs!$B$14/100))*0.01+Inputs!$B$15*0.0025)/100)*(1+(Inputs!$B$16+B1356)/100)*(1+Inputs!$B$17/100)*(5000/(6000+Inputs!$B$43*(1-Inputs!$B$20/100)))*(1+Inputs!$B$25/100)*(1+IF(C1342=TRUE,F1342,0)/100)*(1+IF(C1344=TRUE,F1344,0)/100)*(1+IF(Skills!A8="TRIUMPH_FEATHER",IF(C1340=TRUE,F1340,0),0)/100)*(1+IF(C1351=TRUE,F1351,0)/100)^5*(1+(IF(Skills!A8="BIG_BANG",Inputs!$B$18,Inputs!$B$19))/100)*(B1353*I1332)</f>
        <v/>
      </c>
      <c r="L1332">
        <f>K1332*(MIN(Inputs!$B$23+(F1346-Calc!F22),Inputs!$B$24)/100+Inputs!$B$24/100)/2</f>
        <v/>
      </c>
      <c r="M1332">
        <f>L1332*(1+(Inputs!$B$11+B1357+(F1349-Calc!F25))/100)</f>
        <v/>
      </c>
      <c r="N1332">
        <f>L1332*(1-MIN(Inputs!$B$10+((F1348-Calc!F24)+(F1347-Calc!F23)),100)/100)+M1332*(MIN(Inputs!$B$10+((F1348-Calc!F24)+(F1347-Calc!F23)),100)/100)</f>
        <v/>
      </c>
      <c r="O1332">
        <f>(1-Summary!$B$48)*S1332+Summary!$B$48*U1332</f>
        <v/>
      </c>
      <c r="P1332">
        <f>IF(B1366=0,0,O1332/B1366)</f>
        <v/>
      </c>
      <c r="Q1332">
        <f>IFERROR(1/IF(Inputs!$B$39="pvp",15,MAX(0.1,Skills!D8-IF(Skills!E8=TRUE,1.5,0))),0)</f>
        <v/>
      </c>
      <c r="R1332">
        <f>IF(AND(Inputs!$B$39&lt;&gt;"pvp",Inputs!$B$44&gt;0),IF(MAX(0,Inputs!$B$44-B1363)&lt;=0,0,(INT(MAX(0,Inputs!$B$44-B1363)/IF(Inputs!$B$39="pvp",15,MAX(0.1,Skills!D8-IF(Skills!E8=TRUE,1.5,0))))+1)),0)</f>
        <v/>
      </c>
      <c r="S1332">
        <f>IF(C1332,(H1332*N1332*IF(AND(Inputs!$B$39&lt;&gt;"pvp",Inputs!$B$44&gt;0),((Skills!F8*((R1332-1)*IF(Skills!G8&gt;0,Skills!H8/Skills!G8,1)+IF(Skills!G8&gt;0,MIN(Skills!H8,MAX(0,MAX(0,Inputs!$B$44-B1363)-((R1332-1)*IF(Inputs!$B$39="pvp",15,MAX(0.1,Skills!D8-IF(Skills!E8=TRUE,1.5,0))))))/Skills!G8,1)))/Inputs!$B$44),G1332*Q1332))*IF(Inputs!$B$39="pvp",1,1+(Inputs!$B$21+Skills!O8+B1354)/100),0)</f>
        <v/>
      </c>
      <c r="U1332">
        <f>IF(C1332,(H1332*N1332*IF(AND(Inputs!$B$39&lt;&gt;"pvp",Inputs!$B$44&gt;0),((Skills!F8*((R1332-1)*IF(Skills!G8&gt;0,Skills!H8/Skills!G8,1)+IF(Skills!G8&gt;0,MIN(Skills!H8,MAX(0,MAX(0,Inputs!$B$44-B1363)-((R1332-1)*IF(Inputs!$B$39="pvp",15,MAX(0.1,Skills!D8-IF(Skills!E8=TRUE,1.5,0))))))/Skills!G8,1)))/Inputs!$B$44),G1332*Q1332))*IF(Inputs!$B$39="pvp",1,(1+(Inputs!$B$22+Skills!P8+B1355)/100)*(MIN(Skills!Q8,Inputs!$B$38))),0)</f>
        <v/>
      </c>
    </row>
    <row r="1333">
      <c r="A1333">
        <f>Skills!A9</f>
        <v/>
      </c>
      <c r="B1333">
        <f>Skills!B9</f>
        <v/>
      </c>
      <c r="C1333">
        <f>Inputs!$B$3&gt;=115</f>
        <v/>
      </c>
      <c r="D1333">
        <f>IF(Skills!C9=1,60+Inputs!$B$26+Inputs!$B$30,IF(Skills!C9=2,90+Inputs!$B$27+Inputs!$B$30,IF(Skills!C9=3,120+Inputs!$B$28+Inputs!$B$30,MAX(0,(Inputs!$B$3-100)*3)+Inputs!$B$29+Inputs!$B$30)))</f>
        <v/>
      </c>
      <c r="E1333">
        <f>INDEX(FactorTable!$B$2:$Y$301, MATCH(ROUND(MIN(300,MAX(1,D1333)),0), FactorTable!$A$2:$A$301,0), Skills!L9+1)</f>
        <v/>
      </c>
      <c r="F1333">
        <f>IF(Skills!M9=TRUE,(Skills!K9/10)*(E1333/1000),Skills!K9/10)+Skills!N9</f>
        <v/>
      </c>
      <c r="G1333">
        <f>Calc!G9</f>
        <v/>
      </c>
      <c r="H1333">
        <f>Calc!H9</f>
        <v/>
      </c>
      <c r="I1333">
        <f>IF(Skills!T9&lt;&gt;"",1+(Skills!T9/10)*($Z$3/1000)/100,1)</f>
        <v/>
      </c>
      <c r="J1333">
        <f>((Inputs!$B$6*(1+Inputs!$B$7/100))+(((Inputs!$B$13*(1+Inputs!$B$14/100))-(Inputs!$B$13*(1+Inputs!$B$14/100)))+0.25*(Inputs!$B$15-Inputs!$B$15))*(1+Inputs!$B$7/100))*(F1333/100)</f>
        <v/>
      </c>
      <c r="K1333">
        <f>J1333*(1+(((Inputs!$B$13+IF(Inputs!$B$3&gt;=35,(10*INDEX(FactorTable!$B$2:$Y$301, MATCH(ROUND(MIN(300,MAX(1,Inputs!$B$3)),0), FactorTable!$A$2:$A$301,0), 23)/1000)/100*(Inputs!$B$8*(1+(Inputs!$B$9+B1362)/100)),0))*(1+Inputs!$B$14/100))*0.01+Inputs!$B$15*0.0025)/100)*(1+(Inputs!$B$16+B1356)/100)*(1+Inputs!$B$17/100)*(5000/(6000+Inputs!$B$43*(1-Inputs!$B$20/100)))*(1+Inputs!$B$25/100)*(1+IF(C1342=TRUE,F1342,0)/100)*(1+IF(C1344=TRUE,F1344,0)/100)*(1+IF(Skills!A9="TRIUMPH_FEATHER",IF(C1340=TRUE,F1340,0),0)/100)*(1+IF(C1351=TRUE,F1351,0)/100)^5*(1+(IF(Skills!A9="BIG_BANG",Inputs!$B$18,Inputs!$B$19))/100)*(B1353*I1333)</f>
        <v/>
      </c>
      <c r="L1333">
        <f>K1333*(MIN(Inputs!$B$23+(F1346-Calc!F22),Inputs!$B$24)/100+Inputs!$B$24/100)/2</f>
        <v/>
      </c>
      <c r="M1333">
        <f>L1333*(1+(Inputs!$B$11+B1357+(F1349-Calc!F25))/100)</f>
        <v/>
      </c>
      <c r="N1333">
        <f>L1333*(1-MIN(Inputs!$B$10+((F1348-Calc!F24)+(F1347-Calc!F23)),100)/100)+M1333*(MIN(Inputs!$B$10+((F1348-Calc!F24)+(F1347-Calc!F23)),100)/100)</f>
        <v/>
      </c>
      <c r="O1333">
        <f>(1-Summary!$B$48)*S1333+Summary!$B$48*U1333</f>
        <v/>
      </c>
      <c r="P1333">
        <f>IF(B1366=0,0,O1333/B1366)</f>
        <v/>
      </c>
      <c r="Q1333">
        <f>IFERROR(1/IF(Inputs!$B$39="pvp",15,MAX(0.1,Skills!D9-IF(Skills!E9=TRUE,1.5,0))),0)</f>
        <v/>
      </c>
      <c r="R1333">
        <f>IF(AND(Inputs!$B$39&lt;&gt;"pvp",Inputs!$B$44&gt;0),IF(MAX(0,Inputs!$B$44-B1363)&lt;=0,0,(INT(MAX(0,Inputs!$B$44-B1363)/IF(Inputs!$B$39="pvp",15,MAX(0.1,Skills!D9-IF(Skills!E9=TRUE,1.5,0))))+1)),0)</f>
        <v/>
      </c>
      <c r="S1333">
        <f>IF(C1333,(H1333*N1333*IF(AND(Inputs!$B$39&lt;&gt;"pvp",Inputs!$B$44&gt;0),((Skills!F9*((R1333-1)*IF(Skills!G9&gt;0,Skills!H9/Skills!G9,1)+IF(Skills!G9&gt;0,MIN(Skills!H9,MAX(0,MAX(0,Inputs!$B$44-B1363)-((R1333-1)*IF(Inputs!$B$39="pvp",15,MAX(0.1,Skills!D9-IF(Skills!E9=TRUE,1.5,0))))))/Skills!G9,1)))/Inputs!$B$44),G1333*Q1333))*IF(Inputs!$B$39="pvp",1,1+(Inputs!$B$21+Skills!O9+B1354)/100),0)</f>
        <v/>
      </c>
      <c r="U1333">
        <f>IF(C1333,(H1333*N1333*IF(AND(Inputs!$B$39&lt;&gt;"pvp",Inputs!$B$44&gt;0),((Skills!F9*((R1333-1)*IF(Skills!G9&gt;0,Skills!H9/Skills!G9,1)+IF(Skills!G9&gt;0,MIN(Skills!H9,MAX(0,MAX(0,Inputs!$B$44-B1363)-((R1333-1)*IF(Inputs!$B$39="pvp",15,MAX(0.1,Skills!D9-IF(Skills!E9=TRUE,1.5,0))))))/Skills!G9,1)))/Inputs!$B$44),G1333*Q1333))*IF(Inputs!$B$39="pvp",1,(1+(Inputs!$B$22+Skills!P9+B1355)/100)*(MIN(Skills!Q9,Inputs!$B$38))),0)</f>
        <v/>
      </c>
    </row>
    <row r="1334">
      <c r="A1334">
        <f>Skills!A10</f>
        <v/>
      </c>
      <c r="B1334">
        <f>Skills!B10</f>
        <v/>
      </c>
      <c r="C1334">
        <f>Inputs!$B$3&gt;=66</f>
        <v/>
      </c>
      <c r="D1334">
        <f>IF(Skills!C10=1,60+Inputs!$B$26+Inputs!$B$30,IF(Skills!C10=2,90+Inputs!$B$27+Inputs!$B$30,IF(Skills!C10=3,120+Inputs!$B$28+Inputs!$B$30,MAX(0,(Inputs!$B$3-100)*3)+Inputs!$B$29+Inputs!$B$30)))</f>
        <v/>
      </c>
      <c r="E1334">
        <f>INDEX(FactorTable!$B$2:$Y$301, MATCH(ROUND(MIN(300,MAX(1,D1334)),0), FactorTable!$A$2:$A$301,0), Skills!L10+1)</f>
        <v/>
      </c>
      <c r="F1334" t="n">
        <v>0</v>
      </c>
      <c r="G1334">
        <f>Calc!G10</f>
        <v/>
      </c>
      <c r="H1334">
        <f>Calc!H10</f>
        <v/>
      </c>
      <c r="I1334">
        <f>IF(Skills!T10&lt;&gt;"",1+(Skills!T10/10)*($Z$3/1000)/100,1)</f>
        <v/>
      </c>
      <c r="J1334" t="inlineStr"/>
      <c r="K1334" t="inlineStr"/>
      <c r="L1334" t="inlineStr"/>
      <c r="M1334" t="inlineStr"/>
      <c r="N1334" t="inlineStr"/>
      <c r="O1334">
        <f>(1-Summary!$B$48)*S1334+Summary!$B$48*U1334</f>
        <v/>
      </c>
      <c r="P1334">
        <f>IF(B1366=0,0,O1334/B1366)</f>
        <v/>
      </c>
      <c r="Q1334">
        <f>IFERROR(1/IF(Inputs!$B$39="pvp",15,MAX(0.1,Skills!D10-IF(Skills!E10=TRUE,1.5,0))),0)</f>
        <v/>
      </c>
      <c r="R1334">
        <f>IF(AND(Inputs!$B$39&lt;&gt;"pvp",Inputs!$B$44&gt;0),IF(MAX(0,Inputs!$B$44-B1363)&lt;=0,0,(INT(MAX(0,Inputs!$B$44-B1363)/IF(Inputs!$B$39="pvp",15,MAX(0.1,Skills!D10-IF(Skills!E10=TRUE,1.5,0))))+1)),0)</f>
        <v/>
      </c>
      <c r="S1334" t="n">
        <v>0</v>
      </c>
      <c r="U1334" t="n">
        <v>0</v>
      </c>
    </row>
    <row r="1335">
      <c r="A1335">
        <f>Skills!A11</f>
        <v/>
      </c>
      <c r="B1335">
        <f>Skills!B11</f>
        <v/>
      </c>
      <c r="C1335">
        <f>Inputs!$B$3&gt;=69</f>
        <v/>
      </c>
      <c r="D1335">
        <f>IF(Skills!C11=1,60+Inputs!$B$26+Inputs!$B$30,IF(Skills!C11=2,90+Inputs!$B$27+Inputs!$B$30,IF(Skills!C11=3,120+Inputs!$B$28+Inputs!$B$30,MAX(0,(Inputs!$B$3-100)*3)+Inputs!$B$29+Inputs!$B$30)))</f>
        <v/>
      </c>
      <c r="E1335">
        <f>INDEX(FactorTable!$B$2:$Y$301, MATCH(ROUND(MIN(300,MAX(1,D1335)),0), FactorTable!$A$2:$A$301,0), Skills!L11+1)</f>
        <v/>
      </c>
      <c r="F1335">
        <f>IF(Skills!M11=TRUE,(Skills!K11/10)*(E1335/1000),Skills!K11/10)+Skills!N11</f>
        <v/>
      </c>
      <c r="G1335">
        <f>Calc!G11</f>
        <v/>
      </c>
      <c r="H1335">
        <f>Calc!H11</f>
        <v/>
      </c>
      <c r="I1335">
        <f>IF(Skills!T11&lt;&gt;"",1+(Skills!T11/10)*($Z$3/1000)/100,1)</f>
        <v/>
      </c>
      <c r="J1335" t="inlineStr"/>
      <c r="K1335" t="inlineStr"/>
      <c r="L1335" t="inlineStr"/>
      <c r="M1335" t="inlineStr"/>
      <c r="N1335" t="inlineStr"/>
      <c r="O1335">
        <f>(1-Summary!$B$48)*S1335+Summary!$B$48*U1335</f>
        <v/>
      </c>
      <c r="P1335">
        <f>IF(B1366=0,0,O1335/B1366)</f>
        <v/>
      </c>
      <c r="Q1335">
        <f>IFERROR(1/IF(Inputs!$B$39="pvp",15,MAX(0.1,Skills!D11-IF(Skills!E11=TRUE,1.5,0))),0)</f>
        <v/>
      </c>
      <c r="R1335">
        <f>IF(AND(Inputs!$B$39&lt;&gt;"pvp",Inputs!$B$44&gt;0),IF(Inputs!$B$44&lt;=0,0,(INT(Inputs!$B$44/IF(Inputs!$B$39="pvp",15,MAX(0.1,Skills!D11-IF(Skills!E11=TRUE,1.5,0))))+1)),0)</f>
        <v/>
      </c>
      <c r="S1335" t="n">
        <v>0</v>
      </c>
      <c r="U1335" t="n">
        <v>0</v>
      </c>
    </row>
    <row r="1336">
      <c r="A1336">
        <f>Skills!A12</f>
        <v/>
      </c>
      <c r="B1336">
        <f>Skills!B12</f>
        <v/>
      </c>
      <c r="C1336">
        <f>Inputs!$B$3&gt;=72</f>
        <v/>
      </c>
      <c r="D1336">
        <f>IF(Skills!C12=1,60+Inputs!$B$26+Inputs!$B$30,IF(Skills!C12=2,90+Inputs!$B$27+Inputs!$B$30,IF(Skills!C12=3,120+Inputs!$B$28+Inputs!$B$30,MAX(0,(Inputs!$B$3-100)*3)+Inputs!$B$29+Inputs!$B$30)))</f>
        <v/>
      </c>
      <c r="E1336">
        <f>INDEX(FactorTable!$B$2:$Y$301, MATCH(ROUND(MIN(300,MAX(1,D1336)),0), FactorTable!$A$2:$A$301,0), Skills!L12+1)</f>
        <v/>
      </c>
      <c r="F1336">
        <f>IF(Skills!M12=TRUE,(Skills!K12/10)*(E1336/1000),Skills!K12/10)+Skills!N12</f>
        <v/>
      </c>
      <c r="G1336">
        <f>Calc!G12</f>
        <v/>
      </c>
      <c r="H1336">
        <f>Calc!H12</f>
        <v/>
      </c>
      <c r="I1336">
        <f>IF(Skills!T12&lt;&gt;"",1+(Skills!T12/10)*($Z$3/1000)/100,1)</f>
        <v/>
      </c>
      <c r="J1336" t="inlineStr"/>
      <c r="K1336" t="inlineStr"/>
      <c r="L1336" t="inlineStr"/>
      <c r="M1336" t="inlineStr"/>
      <c r="N1336" t="inlineStr"/>
      <c r="O1336">
        <f>(1-Summary!$B$48)*S1336+Summary!$B$48*U1336</f>
        <v/>
      </c>
      <c r="P1336">
        <f>IF(B1366=0,0,O1336/B1366)</f>
        <v/>
      </c>
      <c r="Q1336">
        <f>IFERROR(1/IF(Inputs!$B$39="pvp",15,MAX(0.1,Skills!D12-IF(Skills!E12=TRUE,1.5,0))),0)</f>
        <v/>
      </c>
      <c r="R1336">
        <f>IF(AND(Inputs!$B$39&lt;&gt;"pvp",Inputs!$B$44&gt;0),IF(MAX(0,Inputs!$B$44-B1363)&lt;=0,0,(INT(MAX(0,Inputs!$B$44-B1363)/IF(Inputs!$B$39="pvp",15,MAX(0.1,Skills!D12-IF(Skills!E12=TRUE,1.5,0))))+1)),0)</f>
        <v/>
      </c>
      <c r="S1336" t="n">
        <v>0</v>
      </c>
      <c r="U1336" t="n">
        <v>0</v>
      </c>
    </row>
    <row r="1337">
      <c r="A1337">
        <f>Skills!A13</f>
        <v/>
      </c>
      <c r="B1337">
        <f>Skills!B13</f>
        <v/>
      </c>
      <c r="C1337">
        <f>Inputs!$B$3&gt;=60</f>
        <v/>
      </c>
      <c r="D1337">
        <f>IF(Skills!C13=1,60+Inputs!$B$26+Inputs!$B$30,IF(Skills!C13=2,90+Inputs!$B$27+Inputs!$B$30,IF(Skills!C13=3,120+Inputs!$B$28+Inputs!$B$30,MAX(0,(Inputs!$B$3-100)*3)+Inputs!$B$29+Inputs!$B$30)))</f>
        <v/>
      </c>
      <c r="E1337">
        <f>INDEX(FactorTable!$B$2:$Y$301, MATCH(ROUND(MIN(300,MAX(1,D1337)),0), FactorTable!$A$2:$A$301,0), Skills!L13+1)</f>
        <v/>
      </c>
      <c r="F1337">
        <f>IF(Skills!M13=TRUE,(Skills!K13/10)*(E1337/1000),Skills!K13/10)+Skills!N13</f>
        <v/>
      </c>
      <c r="G1337">
        <f>Calc!G13</f>
        <v/>
      </c>
      <c r="H1337">
        <f>Calc!H13</f>
        <v/>
      </c>
      <c r="I1337">
        <f>IF(Skills!T13&lt;&gt;"",1+(Skills!T13/10)*($Z$3/1000)/100,1)</f>
        <v/>
      </c>
      <c r="J1337" t="inlineStr"/>
      <c r="K1337" t="inlineStr"/>
      <c r="L1337" t="inlineStr"/>
      <c r="M1337" t="inlineStr"/>
      <c r="N1337" t="inlineStr"/>
      <c r="O1337">
        <f>(1-Summary!$B$48)*S1337+Summary!$B$48*U1337</f>
        <v/>
      </c>
      <c r="P1337">
        <f>IF(B1366=0,0,O1337/B1366)</f>
        <v/>
      </c>
      <c r="Q1337">
        <f>IFERROR(1/IF(Inputs!$B$39="pvp",15,MAX(0.1,Skills!D13-IF(Skills!E13=TRUE,1.5,0))),0)</f>
        <v/>
      </c>
      <c r="R1337">
        <f>IF(AND(Inputs!$B$39&lt;&gt;"pvp",Inputs!$B$44&gt;0),IF(MAX(0,Inputs!$B$44-B1363)&lt;=0,0,(INT(MAX(0,Inputs!$B$44-B1363)/IF(Inputs!$B$39="pvp",15,MAX(0.1,Skills!D13-IF(Skills!E13=TRUE,1.5,0))))+1)),0)</f>
        <v/>
      </c>
      <c r="S1337" t="n">
        <v>0</v>
      </c>
      <c r="U1337" t="n">
        <v>0</v>
      </c>
    </row>
    <row r="1338">
      <c r="A1338">
        <f>Skills!A14</f>
        <v/>
      </c>
      <c r="B1338">
        <f>Skills!B14</f>
        <v/>
      </c>
      <c r="C1338">
        <f>Inputs!$B$3&gt;=107</f>
        <v/>
      </c>
      <c r="D1338">
        <f>IF(Skills!C14=1,60+Inputs!$B$26+Inputs!$B$30,IF(Skills!C14=2,90+Inputs!$B$27+Inputs!$B$30,IF(Skills!C14=3,120+Inputs!$B$28+Inputs!$B$30,MAX(0,(Inputs!$B$3-100)*3)+Inputs!$B$29+Inputs!$B$30)))</f>
        <v/>
      </c>
      <c r="E1338">
        <f>INDEX(FactorTable!$B$2:$Y$301, MATCH(ROUND(MIN(300,MAX(1,D1338)),0), FactorTable!$A$2:$A$301,0), Skills!L14+1)</f>
        <v/>
      </c>
      <c r="F1338">
        <f>IF(Skills!M14=TRUE,(Skills!K14/10)*(E1338/1000),Skills!K14/10)+Skills!N14</f>
        <v/>
      </c>
      <c r="G1338">
        <f>Calc!G14</f>
        <v/>
      </c>
      <c r="H1338">
        <f>Calc!H14</f>
        <v/>
      </c>
      <c r="I1338">
        <f>IF(Skills!T14&lt;&gt;"",1+(Skills!T14/10)*($Z$3/1000)/100,1)</f>
        <v/>
      </c>
      <c r="J1338" t="inlineStr"/>
      <c r="K1338" t="inlineStr"/>
      <c r="L1338" t="inlineStr"/>
      <c r="M1338" t="inlineStr"/>
      <c r="N1338" t="inlineStr"/>
      <c r="O1338">
        <f>(1-Summary!$B$48)*S1338+Summary!$B$48*U1338</f>
        <v/>
      </c>
      <c r="P1338">
        <f>IF(B1366=0,0,O1338/B1366)</f>
        <v/>
      </c>
      <c r="Q1338">
        <f>IFERROR(1/IF(Inputs!$B$39="pvp",15,MAX(0.1,Skills!D14-IF(Skills!E14=TRUE,1.5,0))),0)</f>
        <v/>
      </c>
      <c r="R1338">
        <f>IF(AND(Inputs!$B$39&lt;&gt;"pvp",Inputs!$B$44&gt;0),IF(Inputs!$B$44&lt;=0,0,(INT(Inputs!$B$44/IF(Inputs!$B$39="pvp",15,MAX(0.1,Skills!D14-IF(Skills!E14=TRUE,1.5,0))))+1)),0)</f>
        <v/>
      </c>
      <c r="S1338" t="n">
        <v>0</v>
      </c>
      <c r="U1338" t="n">
        <v>0</v>
      </c>
    </row>
    <row r="1339">
      <c r="A1339">
        <f>Skills!A15</f>
        <v/>
      </c>
      <c r="B1339">
        <f>Skills!B15</f>
        <v/>
      </c>
      <c r="C1339">
        <f>Inputs!$B$3&gt;=63</f>
        <v/>
      </c>
      <c r="D1339">
        <f>IF(Skills!C15=1,60+Inputs!$B$26+Inputs!$B$30,IF(Skills!C15=2,90+Inputs!$B$27+Inputs!$B$30,IF(Skills!C15=3,120+Inputs!$B$28+Inputs!$B$30,MAX(0,(Inputs!$B$3-100)*3)+Inputs!$B$29+Inputs!$B$30)))</f>
        <v/>
      </c>
      <c r="E1339">
        <f>INDEX(FactorTable!$B$2:$Y$301, MATCH(ROUND(MIN(300,MAX(1,D1339)),0), FactorTable!$A$2:$A$301,0), Skills!L15+1)</f>
        <v/>
      </c>
      <c r="F1339">
        <f>IF(Skills!M15=TRUE,(Skills!K15/10)*(E1339/1000),Skills!K15/10)+Skills!N15</f>
        <v/>
      </c>
      <c r="G1339">
        <f>Calc!G15</f>
        <v/>
      </c>
      <c r="H1339">
        <f>Calc!H15</f>
        <v/>
      </c>
      <c r="I1339">
        <f>IF(Skills!T15&lt;&gt;"",1+(Skills!T15/10)*($Z$3/1000)/100,1)</f>
        <v/>
      </c>
      <c r="J1339">
        <f>((Inputs!$B$6*(1+Inputs!$B$7/100))+(((Inputs!$B$13*(1+Inputs!$B$14/100))-(Inputs!$B$13*(1+Inputs!$B$14/100)))+0.25*(Inputs!$B$15-Inputs!$B$15))*(1+Inputs!$B$7/100))*(F1339/100)</f>
        <v/>
      </c>
      <c r="K1339">
        <f>J1339*(1+(((Inputs!$B$13+IF(Inputs!$B$3&gt;=35,(10*INDEX(FactorTable!$B$2:$Y$301, MATCH(ROUND(MIN(300,MAX(1,Inputs!$B$3)),0), FactorTable!$A$2:$A$301,0), 23)/1000)/100*(Inputs!$B$8*(1+(Inputs!$B$9+B1362)/100)),0))*(1+Inputs!$B$14/100))*0.01+Inputs!$B$15*0.0025)/100)*(1+(Inputs!$B$16+B1356)/100)*(1+Inputs!$B$17/100)*(5000/(6000+Inputs!$B$43*(1-Inputs!$B$20/100)))*(1+Inputs!$B$25/100)*(1+IF(C1342=TRUE,F1342,0)/100)*(1+IF(C1344=TRUE,F1344,0)/100)*(1+IF(Skills!A15="TRIUMPH_FEATHER",IF(C1340=TRUE,F1340,0),0)/100)*(1+IF(C1351=TRUE,F1351,0)/100)^5*(1+(IF(Skills!A15="BIG_BANG",Inputs!$B$18,Inputs!$B$19))/100)*(B1353*I1339)</f>
        <v/>
      </c>
      <c r="L1339">
        <f>K1339*(MIN(Inputs!$B$23+(F1346-Calc!F22),Inputs!$B$24)/100+Inputs!$B$24/100)/2</f>
        <v/>
      </c>
      <c r="M1339">
        <f>L1339*(1+(Inputs!$B$11+B1357+(F1349-Calc!F25))/100)</f>
        <v/>
      </c>
      <c r="N1339">
        <f>L1339*(1-MIN(Inputs!$B$10+((F1348-Calc!F24)+(F1347-Calc!F23)),100)/100)+M1339*(MIN(Inputs!$B$10+((F1348-Calc!F24)+(F1347-Calc!F23)),100)/100)</f>
        <v/>
      </c>
      <c r="O1339">
        <f>(1-Summary!$B$48)*S1339+Summary!$B$48*U1339</f>
        <v/>
      </c>
      <c r="P1339">
        <f>IF(B1366=0,0,O1339/B1366)</f>
        <v/>
      </c>
      <c r="Q1339">
        <f>IFERROR(1/IF(Inputs!$B$39="pvp",15,MAX(0.1,Skills!D15-IF(Skills!E15=TRUE,1.5,0))),0)</f>
        <v/>
      </c>
      <c r="R1339" t="n">
        <v>0</v>
      </c>
      <c r="S1339">
        <f>IF(C1339,(Skills!F15*N1339*((IF(Inputs!$B$3&gt;=78,25,15)/100*B1359*10)/(1+IF(Inputs!$B$3&gt;=78,25,15)/100*B1359*10))*(Skills!I15/100*B1359)/(1+Skills!G15*Skills!I15/100*B1359))*IF(Inputs!$B$39="pvp",1,1+(Inputs!$B$21+Skills!O15+B1354)/100),0)</f>
        <v/>
      </c>
      <c r="U1339">
        <f>IF(C1339,(Skills!F15*N1339*((IF(Inputs!$B$3&gt;=78,25,15)/100*B1359*10)/(1+IF(Inputs!$B$3&gt;=78,25,15)/100*B1359*10))*(Skills!I15/100*B1359)/(1+Skills!G15*Skills!I15/100*B1359))*IF(Inputs!$B$39="pvp",1,(1+(Inputs!$B$22+Skills!P15+B1355)/100)*(MIN(Skills!Q15,Inputs!$B$38))),0)</f>
        <v/>
      </c>
    </row>
    <row r="1340">
      <c r="A1340">
        <f>Skills!A16</f>
        <v/>
      </c>
      <c r="B1340">
        <f>Skills!B16</f>
        <v/>
      </c>
      <c r="C1340">
        <f>Inputs!$B$3&gt;=100</f>
        <v/>
      </c>
      <c r="D1340">
        <f>IF(Skills!C16=1,60+Inputs!$B$26+Inputs!$B$30,IF(Skills!C16=2,90+Inputs!$B$27+Inputs!$B$30,IF(Skills!C16=3,120+Inputs!$B$28+Inputs!$B$30,MAX(0,(Inputs!$B$3-100)*3)+Inputs!$B$29+Inputs!$B$30)))</f>
        <v/>
      </c>
      <c r="E1340">
        <f>INDEX(FactorTable!$B$2:$Y$301, MATCH(ROUND(MIN(300,MAX(1,D1340)),0), FactorTable!$A$2:$A$301,0), Skills!L16+1)</f>
        <v/>
      </c>
      <c r="F1340">
        <f>IF(Skills!M16=TRUE,(Skills!K16/10)*(E1340/1000),Skills!K16/10)+Skills!N16</f>
        <v/>
      </c>
      <c r="G1340">
        <f>Calc!G16</f>
        <v/>
      </c>
      <c r="H1340">
        <f>Calc!H16</f>
        <v/>
      </c>
      <c r="I1340">
        <f>IF(Skills!T16&lt;&gt;"",1+(Skills!T16/10)*($Z$3/1000)/100,1)</f>
        <v/>
      </c>
      <c r="J1340" t="inlineStr"/>
      <c r="K1340" t="inlineStr"/>
      <c r="L1340" t="inlineStr"/>
      <c r="M1340" t="inlineStr"/>
      <c r="N1340" t="inlineStr"/>
      <c r="O1340">
        <f>(1-Summary!$B$48)*S1340+Summary!$B$48*U1340</f>
        <v/>
      </c>
      <c r="P1340">
        <f>IF(B1366=0,0,O1340/B1366)</f>
        <v/>
      </c>
      <c r="Q1340">
        <f>IFERROR(1/IF(Inputs!$B$39="pvp",15,MAX(0.1,Skills!D16-IF(Skills!E16=TRUE,1.5,0))),0)</f>
        <v/>
      </c>
      <c r="R1340" t="n">
        <v>0</v>
      </c>
      <c r="S1340" t="n">
        <v>0</v>
      </c>
      <c r="U1340" t="n">
        <v>0</v>
      </c>
    </row>
    <row r="1341">
      <c r="A1341">
        <f>Skills!A17</f>
        <v/>
      </c>
      <c r="B1341">
        <f>Skills!B17</f>
        <v/>
      </c>
      <c r="C1341">
        <f>Inputs!$B$3&gt;=49</f>
        <v/>
      </c>
      <c r="D1341">
        <f>IF(Skills!C17=1,60+Inputs!$B$26+Inputs!$B$30,IF(Skills!C17=2,90+Inputs!$B$27+Inputs!$B$30,IF(Skills!C17=3,120+Inputs!$B$28+Inputs!$B$30,MAX(0,(Inputs!$B$3-100)*3)+Inputs!$B$29+Inputs!$B$30)))</f>
        <v/>
      </c>
      <c r="E1341">
        <f>INDEX(FactorTable!$B$2:$Y$301, MATCH(ROUND(MIN(300,MAX(1,D1341)),0), FactorTable!$A$2:$A$301,0), Skills!L17+1)</f>
        <v/>
      </c>
      <c r="F1341">
        <f>IF(Skills!M17=TRUE,(Skills!K17/10)*(E1341/1000),Skills!K17/10)+Skills!N17</f>
        <v/>
      </c>
      <c r="G1341">
        <f>Calc!G17</f>
        <v/>
      </c>
      <c r="H1341">
        <f>Calc!H17</f>
        <v/>
      </c>
      <c r="I1341">
        <f>IF(Skills!T17&lt;&gt;"",1+(Skills!T17/10)*($Z$3/1000)/100,1)</f>
        <v/>
      </c>
      <c r="J1341" t="inlineStr"/>
      <c r="K1341" t="inlineStr"/>
      <c r="L1341" t="inlineStr"/>
      <c r="M1341" t="inlineStr"/>
      <c r="N1341" t="inlineStr"/>
      <c r="O1341">
        <f>(1-Summary!$B$48)*S1341+Summary!$B$48*U1341</f>
        <v/>
      </c>
      <c r="P1341">
        <f>IF(B1366=0,0,O1341/B1366)</f>
        <v/>
      </c>
      <c r="Q1341">
        <f>IFERROR(1/IF(Inputs!$B$39="pvp",15,MAX(0.1,Skills!D17-IF(Skills!E17=TRUE,1.5,0))),0)</f>
        <v/>
      </c>
      <c r="R1341" t="n">
        <v>0</v>
      </c>
      <c r="S1341" t="n">
        <v>0</v>
      </c>
      <c r="U1341" t="n">
        <v>0</v>
      </c>
    </row>
    <row r="1342">
      <c r="A1342">
        <f>Skills!A18</f>
        <v/>
      </c>
      <c r="B1342">
        <f>Skills!B18</f>
        <v/>
      </c>
      <c r="C1342">
        <f>Inputs!$B$3&gt;=75</f>
        <v/>
      </c>
      <c r="D1342">
        <f>IF(Skills!C18=1,60+Inputs!$B$26+Inputs!$B$30,IF(Skills!C18=2,90+Inputs!$B$27+Inputs!$B$30,IF(Skills!C18=3,120+Inputs!$B$28+Inputs!$B$30,MAX(0,(Inputs!$B$3-100)*3)+Inputs!$B$29+Inputs!$B$30)))</f>
        <v/>
      </c>
      <c r="E1342">
        <f>INDEX(FactorTable!$B$2:$Y$301, MATCH(ROUND(MIN(300,MAX(1,D1342)),0), FactorTable!$A$2:$A$301,0), Skills!L18+1)</f>
        <v/>
      </c>
      <c r="F1342">
        <f>IF(Skills!M18=TRUE,(Skills!K18/10)*(E1342/1000),Skills!K18/10)+Skills!N18</f>
        <v/>
      </c>
      <c r="G1342">
        <f>Calc!G18</f>
        <v/>
      </c>
      <c r="H1342">
        <f>Calc!H18</f>
        <v/>
      </c>
      <c r="I1342">
        <f>IF(Skills!T18&lt;&gt;"",1+(Skills!T18/10)*($Z$3/1000)/100,1)</f>
        <v/>
      </c>
      <c r="J1342" t="inlineStr"/>
      <c r="K1342" t="inlineStr"/>
      <c r="L1342" t="inlineStr"/>
      <c r="M1342" t="inlineStr"/>
      <c r="N1342" t="inlineStr"/>
      <c r="O1342">
        <f>(1-Summary!$B$48)*S1342+Summary!$B$48*U1342</f>
        <v/>
      </c>
      <c r="P1342">
        <f>IF(B1366=0,0,O1342/B1366)</f>
        <v/>
      </c>
      <c r="Q1342">
        <f>IFERROR(1/IF(Inputs!$B$39="pvp",15,MAX(0.1,Skills!D18-IF(Skills!E18=TRUE,1.5,0))),0)</f>
        <v/>
      </c>
      <c r="R1342" t="n">
        <v>0</v>
      </c>
      <c r="S1342" t="n">
        <v>0</v>
      </c>
      <c r="U1342" t="n">
        <v>0</v>
      </c>
    </row>
    <row r="1343">
      <c r="A1343">
        <f>Skills!A19</f>
        <v/>
      </c>
      <c r="B1343">
        <f>Skills!B19</f>
        <v/>
      </c>
      <c r="C1343">
        <f>Inputs!$B$3&gt;=110</f>
        <v/>
      </c>
      <c r="D1343">
        <f>IF(Skills!C19=1,60+Inputs!$B$26+Inputs!$B$30,IF(Skills!C19=2,90+Inputs!$B$27+Inputs!$B$30,IF(Skills!C19=3,120+Inputs!$B$28+Inputs!$B$30,MAX(0,(Inputs!$B$3-100)*3)+Inputs!$B$29+Inputs!$B$30)))</f>
        <v/>
      </c>
      <c r="E1343">
        <f>INDEX(FactorTable!$B$2:$Y$301, MATCH(ROUND(MIN(300,MAX(1,D1343)),0), FactorTable!$A$2:$A$301,0), Skills!L19+1)</f>
        <v/>
      </c>
      <c r="F1343">
        <f>(Skills!K19/10)*(E1343/1000)*64/45+Skills!N19</f>
        <v/>
      </c>
      <c r="G1343">
        <f>Calc!G19</f>
        <v/>
      </c>
      <c r="H1343">
        <f>Calc!H19</f>
        <v/>
      </c>
      <c r="I1343">
        <f>IF(Skills!T19&lt;&gt;"",1+(Skills!T19/10)*($Z$3/1000)/100,1)</f>
        <v/>
      </c>
      <c r="J1343" t="inlineStr"/>
      <c r="K1343" t="inlineStr"/>
      <c r="L1343" t="inlineStr"/>
      <c r="M1343" t="inlineStr"/>
      <c r="N1343" t="inlineStr"/>
      <c r="O1343">
        <f>(1-Summary!$B$48)*S1343+Summary!$B$48*U1343</f>
        <v/>
      </c>
      <c r="P1343">
        <f>IF(B1366=0,0,O1343/B1366)</f>
        <v/>
      </c>
      <c r="Q1343">
        <f>IFERROR(1/IF(Inputs!$B$39="pvp",15,MAX(0.1,Skills!D19-IF(Skills!E19=TRUE,1.5,0))),0)</f>
        <v/>
      </c>
      <c r="R1343">
        <f>IF(AND(Inputs!$B$39&lt;&gt;"pvp",Inputs!$B$44&gt;0),IF(Inputs!$B$44&lt;=0,0,(INT(Inputs!$B$44/IF(Inputs!$B$39="pvp",15,MAX(0.1,Skills!D19-IF(Skills!E19=TRUE,1.5,0))))+1)),0)</f>
        <v/>
      </c>
      <c r="S1343" t="n">
        <v>0</v>
      </c>
      <c r="U1343" t="n">
        <v>0</v>
      </c>
    </row>
    <row r="1344">
      <c r="A1344">
        <f>Skills!A20</f>
        <v/>
      </c>
      <c r="B1344">
        <f>Skills!B20</f>
        <v/>
      </c>
      <c r="C1344">
        <f>Inputs!$B$3&gt;=125</f>
        <v/>
      </c>
      <c r="D1344">
        <f>IF(Skills!C20=1,60+Inputs!$B$26+Inputs!$B$30,IF(Skills!C20=2,90+Inputs!$B$27+Inputs!$B$30,IF(Skills!C20=3,120+Inputs!$B$28+Inputs!$B$30,MAX(0,(Inputs!$B$3-100)*3)+Inputs!$B$29+Inputs!$B$30)))</f>
        <v/>
      </c>
      <c r="E1344">
        <f>INDEX(FactorTable!$B$2:$Y$301, MATCH(ROUND(MIN(300,MAX(1,D1344)),0), FactorTable!$A$2:$A$301,0), Skills!L20+1)</f>
        <v/>
      </c>
      <c r="F1344">
        <f>IF(Skills!M20=TRUE,(Skills!K20/10)*(E1344/1000),Skills!K20/10)+Skills!N20</f>
        <v/>
      </c>
      <c r="G1344">
        <f>Calc!G20</f>
        <v/>
      </c>
      <c r="H1344">
        <f>Calc!H20</f>
        <v/>
      </c>
      <c r="I1344">
        <f>IF(Skills!T20&lt;&gt;"",1+(Skills!T20/10)*($Z$3/1000)/100,1)</f>
        <v/>
      </c>
      <c r="J1344" t="inlineStr"/>
      <c r="K1344" t="inlineStr"/>
      <c r="L1344" t="inlineStr"/>
      <c r="M1344" t="inlineStr"/>
      <c r="N1344" t="inlineStr"/>
      <c r="O1344">
        <f>(1-Summary!$B$48)*S1344+Summary!$B$48*U1344</f>
        <v/>
      </c>
      <c r="P1344">
        <f>IF(B1366=0,0,O1344/B1366)</f>
        <v/>
      </c>
      <c r="Q1344">
        <f>IFERROR(1/IF(Inputs!$B$39="pvp",15,MAX(0.1,Skills!D20-IF(Skills!E20=TRUE,1.5,0))),0)</f>
        <v/>
      </c>
      <c r="R1344" t="n">
        <v>0</v>
      </c>
      <c r="S1344" t="n">
        <v>0</v>
      </c>
      <c r="U1344" t="n">
        <v>0</v>
      </c>
    </row>
    <row r="1345">
      <c r="A1345">
        <f>Skills!A21</f>
        <v/>
      </c>
      <c r="B1345">
        <f>Skills!B21</f>
        <v/>
      </c>
      <c r="C1345">
        <f>Inputs!$B$3&gt;=33</f>
        <v/>
      </c>
      <c r="D1345">
        <f>IF(Skills!C21=1,60+Inputs!$B$26+Inputs!$B$30,IF(Skills!C21=2,90+Inputs!$B$27+Inputs!$B$30,IF(Skills!C21=3,120+Inputs!$B$28+Inputs!$B$30,MAX(0,(Inputs!$B$3-100)*3)+Inputs!$B$29+Inputs!$B$30)))</f>
        <v/>
      </c>
      <c r="E1345">
        <f>INDEX(FactorTable!$B$2:$Y$301, MATCH(ROUND(MIN(300,MAX(1,D1345)),0), FactorTable!$A$2:$A$301,0), Skills!L21+1)</f>
        <v/>
      </c>
      <c r="F1345">
        <f>IF(Skills!M21=TRUE,(Skills!K21/10)*(E1345/1000),Skills!K21/10)+Skills!N21</f>
        <v/>
      </c>
      <c r="G1345">
        <f>Calc!G21</f>
        <v/>
      </c>
      <c r="H1345">
        <f>Calc!H21</f>
        <v/>
      </c>
      <c r="I1345">
        <f>IF(Skills!T21&lt;&gt;"",1+(Skills!T21/10)*($Z$3/1000)/100,1)</f>
        <v/>
      </c>
      <c r="J1345" t="inlineStr"/>
      <c r="K1345" t="inlineStr"/>
      <c r="L1345" t="inlineStr"/>
      <c r="M1345" t="inlineStr"/>
      <c r="N1345" t="inlineStr"/>
      <c r="O1345">
        <f>(1-Summary!$B$48)*S1345+Summary!$B$48*U1345</f>
        <v/>
      </c>
      <c r="P1345">
        <f>IF(B1366=0,0,O1345/B1366)</f>
        <v/>
      </c>
      <c r="Q1345">
        <f>IFERROR(1/IF(Inputs!$B$39="pvp",15,MAX(0.1,Skills!D21-IF(Skills!E21=TRUE,1.5,0))),0)</f>
        <v/>
      </c>
      <c r="R1345" t="n">
        <v>0</v>
      </c>
      <c r="S1345" t="n">
        <v>0</v>
      </c>
      <c r="U1345" t="n">
        <v>0</v>
      </c>
    </row>
    <row r="1346">
      <c r="A1346">
        <f>Skills!A22</f>
        <v/>
      </c>
      <c r="B1346">
        <f>Skills!B22</f>
        <v/>
      </c>
      <c r="C1346">
        <f>Inputs!$B$3&gt;=43</f>
        <v/>
      </c>
      <c r="D1346">
        <f>IF(Skills!C22=1,60+Inputs!$B$26+Inputs!$B$30,IF(Skills!C22=2,90+Inputs!$B$27+Inputs!$B$30,IF(Skills!C22=3,120+Inputs!$B$28+Inputs!$B$30,MAX(0,(Inputs!$B$3-100)*3)+Inputs!$B$29+Inputs!$B$30)))</f>
        <v/>
      </c>
      <c r="E1346">
        <f>INDEX(FactorTable!$B$2:$Y$301, MATCH(ROUND(MIN(300,MAX(1,D1346)),0), FactorTable!$A$2:$A$301,0), Skills!L22+1)</f>
        <v/>
      </c>
      <c r="F1346">
        <f>IF(Skills!M22=TRUE,(Skills!K22/10)*(E1346/1000),Skills!K22/10)+Skills!N22</f>
        <v/>
      </c>
      <c r="G1346">
        <f>Calc!G22</f>
        <v/>
      </c>
      <c r="H1346">
        <f>Calc!H22</f>
        <v/>
      </c>
      <c r="I1346">
        <f>IF(Skills!T22&lt;&gt;"",1+(Skills!T22/10)*($Z$3/1000)/100,1)</f>
        <v/>
      </c>
      <c r="J1346" t="inlineStr"/>
      <c r="K1346" t="inlineStr"/>
      <c r="L1346" t="inlineStr"/>
      <c r="M1346" t="inlineStr"/>
      <c r="N1346" t="inlineStr"/>
      <c r="O1346">
        <f>(1-Summary!$B$48)*S1346+Summary!$B$48*U1346</f>
        <v/>
      </c>
      <c r="P1346">
        <f>IF(B1366=0,0,O1346/B1366)</f>
        <v/>
      </c>
      <c r="Q1346">
        <f>IFERROR(1/IF(Inputs!$B$39="pvp",15,MAX(0.1,Skills!D22-IF(Skills!E22=TRUE,1.5,0))),0)</f>
        <v/>
      </c>
      <c r="R1346" t="n">
        <v>0</v>
      </c>
      <c r="S1346" t="n">
        <v>0</v>
      </c>
      <c r="U1346" t="n">
        <v>0</v>
      </c>
    </row>
    <row r="1347">
      <c r="A1347">
        <f>Skills!A23</f>
        <v/>
      </c>
      <c r="B1347">
        <f>Skills!B23</f>
        <v/>
      </c>
      <c r="C1347">
        <f>Inputs!$B$3&gt;=50</f>
        <v/>
      </c>
      <c r="D1347">
        <f>IF(Skills!C23=1,60+Inputs!$B$26+Inputs!$B$30,IF(Skills!C23=2,90+Inputs!$B$27+Inputs!$B$30,IF(Skills!C23=3,120+Inputs!$B$28+Inputs!$B$30,MAX(0,(Inputs!$B$3-100)*3)+Inputs!$B$29+Inputs!$B$30)))</f>
        <v/>
      </c>
      <c r="E1347">
        <f>INDEX(FactorTable!$B$2:$Y$301, MATCH(ROUND(MIN(300,MAX(1,D1347)),0), FactorTable!$A$2:$A$301,0), Skills!L23+1)</f>
        <v/>
      </c>
      <c r="F1347">
        <f>IF(Skills!M23=TRUE,(Skills!K23/10)*(E1347/1000),Skills!K23/10)+Skills!N23</f>
        <v/>
      </c>
      <c r="G1347">
        <f>Calc!G23</f>
        <v/>
      </c>
      <c r="H1347">
        <f>Calc!H23</f>
        <v/>
      </c>
      <c r="I1347">
        <f>IF(Skills!T23&lt;&gt;"",1+(Skills!T23/10)*($Z$3/1000)/100,1)</f>
        <v/>
      </c>
      <c r="J1347" t="inlineStr"/>
      <c r="K1347" t="inlineStr"/>
      <c r="L1347" t="inlineStr"/>
      <c r="M1347" t="inlineStr"/>
      <c r="N1347" t="inlineStr"/>
      <c r="O1347">
        <f>(1-Summary!$B$48)*S1347+Summary!$B$48*U1347</f>
        <v/>
      </c>
      <c r="P1347">
        <f>IF(B1366=0,0,O1347/B1366)</f>
        <v/>
      </c>
      <c r="Q1347">
        <f>IFERROR(1/IF(Inputs!$B$39="pvp",15,MAX(0.1,Skills!D23-IF(Skills!E23=TRUE,1.5,0))),0)</f>
        <v/>
      </c>
      <c r="R1347" t="n">
        <v>0</v>
      </c>
      <c r="S1347" t="n">
        <v>0</v>
      </c>
      <c r="U1347" t="n">
        <v>0</v>
      </c>
    </row>
    <row r="1348">
      <c r="A1348">
        <f>Skills!A24</f>
        <v/>
      </c>
      <c r="B1348">
        <f>Skills!B24</f>
        <v/>
      </c>
      <c r="C1348">
        <f>Inputs!$B$3&gt;=74</f>
        <v/>
      </c>
      <c r="D1348">
        <f>IF(Skills!C24=1,60+Inputs!$B$26+Inputs!$B$30,IF(Skills!C24=2,90+Inputs!$B$27+Inputs!$B$30,IF(Skills!C24=3,120+Inputs!$B$28+Inputs!$B$30,MAX(0,(Inputs!$B$3-100)*3)+Inputs!$B$29+Inputs!$B$30)))</f>
        <v/>
      </c>
      <c r="E1348">
        <f>INDEX(FactorTable!$B$2:$Y$301, MATCH(ROUND(MIN(300,MAX(1,D1348)),0), FactorTable!$A$2:$A$301,0), Skills!L24+1)</f>
        <v/>
      </c>
      <c r="F1348">
        <f>IF(Skills!M24=TRUE,(Skills!K24/10)*(E1348/1000),Skills!K24/10)+Skills!N24</f>
        <v/>
      </c>
      <c r="G1348">
        <f>Calc!G24</f>
        <v/>
      </c>
      <c r="H1348">
        <f>Calc!H24</f>
        <v/>
      </c>
      <c r="I1348">
        <f>IF(Skills!T24&lt;&gt;"",1+(Skills!T24/10)*($Z$3/1000)/100,1)</f>
        <v/>
      </c>
      <c r="J1348" t="inlineStr"/>
      <c r="K1348" t="inlineStr"/>
      <c r="L1348" t="inlineStr"/>
      <c r="M1348" t="inlineStr"/>
      <c r="N1348" t="inlineStr"/>
      <c r="O1348">
        <f>(1-Summary!$B$48)*S1348+Summary!$B$48*U1348</f>
        <v/>
      </c>
      <c r="P1348">
        <f>IF(B1366=0,0,O1348/B1366)</f>
        <v/>
      </c>
      <c r="Q1348">
        <f>IFERROR(1/IF(Inputs!$B$39="pvp",15,MAX(0.1,Skills!D24-IF(Skills!E24=TRUE,1.5,0))),0)</f>
        <v/>
      </c>
      <c r="R1348" t="n">
        <v>0</v>
      </c>
      <c r="S1348" t="n">
        <v>0</v>
      </c>
      <c r="U1348" t="n">
        <v>0</v>
      </c>
    </row>
    <row r="1349">
      <c r="A1349">
        <f>Skills!A25</f>
        <v/>
      </c>
      <c r="B1349">
        <f>Skills!B25</f>
        <v/>
      </c>
      <c r="C1349">
        <f>Inputs!$B$3&gt;=74</f>
        <v/>
      </c>
      <c r="D1349">
        <f>IF(Skills!C25=1,60+Inputs!$B$26+Inputs!$B$30,IF(Skills!C25=2,90+Inputs!$B$27+Inputs!$B$30,IF(Skills!C25=3,120+Inputs!$B$28+Inputs!$B$30,MAX(0,(Inputs!$B$3-100)*3)+Inputs!$B$29+Inputs!$B$30)))</f>
        <v/>
      </c>
      <c r="E1349">
        <f>INDEX(FactorTable!$B$2:$Y$301, MATCH(ROUND(MIN(300,MAX(1,D1349)),0), FactorTable!$A$2:$A$301,0), Skills!L25+1)</f>
        <v/>
      </c>
      <c r="F1349">
        <f>IF(Skills!M25=TRUE,(Skills!K25/10)*(E1349/1000),Skills!K25/10)+Skills!N25</f>
        <v/>
      </c>
      <c r="G1349">
        <f>Calc!G25</f>
        <v/>
      </c>
      <c r="H1349">
        <f>Calc!H25</f>
        <v/>
      </c>
      <c r="I1349">
        <f>IF(Skills!T25&lt;&gt;"",1+(Skills!T25/10)*($Z$3/1000)/100,1)</f>
        <v/>
      </c>
      <c r="J1349" t="inlineStr"/>
      <c r="K1349" t="inlineStr"/>
      <c r="L1349" t="inlineStr"/>
      <c r="M1349" t="inlineStr"/>
      <c r="N1349" t="inlineStr"/>
      <c r="O1349">
        <f>(1-Summary!$B$48)*S1349+Summary!$B$48*U1349</f>
        <v/>
      </c>
      <c r="P1349">
        <f>IF(B1366=0,0,O1349/B1366)</f>
        <v/>
      </c>
      <c r="Q1349">
        <f>IFERROR(1/IF(Inputs!$B$39="pvp",15,MAX(0.1,Skills!D25-IF(Skills!E25=TRUE,1.5,0))),0)</f>
        <v/>
      </c>
      <c r="R1349" t="n">
        <v>0</v>
      </c>
      <c r="S1349" t="n">
        <v>0</v>
      </c>
      <c r="U1349" t="n">
        <v>0</v>
      </c>
    </row>
    <row r="1350">
      <c r="A1350">
        <f>Skills!A26</f>
        <v/>
      </c>
      <c r="B1350">
        <f>Skills!B26</f>
        <v/>
      </c>
      <c r="C1350">
        <f>Inputs!$B$3&gt;=117</f>
        <v/>
      </c>
      <c r="D1350">
        <f>IF(Skills!C26=1,60+Inputs!$B$26+Inputs!$B$30,IF(Skills!C26=2,90+Inputs!$B$27+Inputs!$B$30,IF(Skills!C26=3,120+Inputs!$B$28+Inputs!$B$30,MAX(0,(Inputs!$B$3-100)*3)+Inputs!$B$29+Inputs!$B$30)))</f>
        <v/>
      </c>
      <c r="E1350">
        <f>INDEX(FactorTable!$B$2:$Y$301, MATCH(ROUND(MIN(300,MAX(1,D1350)),0), FactorTable!$A$2:$A$301,0), Skills!L26+1)</f>
        <v/>
      </c>
      <c r="F1350">
        <f>IF(Skills!M26=TRUE,(Skills!K26/10)*(E1350/1000),Skills!K26/10)+Skills!N26</f>
        <v/>
      </c>
      <c r="G1350">
        <f>Calc!G26</f>
        <v/>
      </c>
      <c r="H1350">
        <f>Calc!H26</f>
        <v/>
      </c>
      <c r="I1350">
        <f>IF(Skills!T26&lt;&gt;"",1+(Skills!T26/10)*($Z$3/1000)/100,1)</f>
        <v/>
      </c>
      <c r="J1350" t="inlineStr"/>
      <c r="K1350" t="inlineStr"/>
      <c r="L1350" t="inlineStr"/>
      <c r="M1350" t="inlineStr"/>
      <c r="N1350" t="inlineStr"/>
      <c r="O1350">
        <f>(1-Summary!$B$48)*S1350+Summary!$B$48*U1350</f>
        <v/>
      </c>
      <c r="P1350">
        <f>IF(B1366=0,0,O1350/B1366)</f>
        <v/>
      </c>
      <c r="Q1350">
        <f>IFERROR(1/IF(Inputs!$B$39="pvp",15,MAX(0.1,Skills!D26-IF(Skills!E26=TRUE,1.5,0))),0)</f>
        <v/>
      </c>
      <c r="R1350" t="n">
        <v>0</v>
      </c>
      <c r="S1350" t="n">
        <v>0</v>
      </c>
      <c r="U1350" t="n">
        <v>0</v>
      </c>
    </row>
    <row r="1351">
      <c r="A1351">
        <f>Skills!A27</f>
        <v/>
      </c>
      <c r="B1351">
        <f>Skills!B27</f>
        <v/>
      </c>
      <c r="C1351">
        <f>Inputs!$B$3&gt;=120</f>
        <v/>
      </c>
      <c r="D1351">
        <f>IF(Skills!C27=1,60+Inputs!$B$26+Inputs!$B$30,IF(Skills!C27=2,90+Inputs!$B$27+Inputs!$B$30,IF(Skills!C27=3,120+Inputs!$B$28+Inputs!$B$30,MAX(0,(Inputs!$B$3-100)*3)+Inputs!$B$29+Inputs!$B$30)))</f>
        <v/>
      </c>
      <c r="E1351">
        <f>INDEX(FactorTable!$B$2:$Y$301, MATCH(ROUND(MIN(300,MAX(1,D1351)),0), FactorTable!$A$2:$A$301,0), Skills!L27+1)</f>
        <v/>
      </c>
      <c r="F1351">
        <f>IF(Skills!M27=TRUE,(Skills!K27/10)*(E1351/1000),Skills!K27/10)+Skills!N27</f>
        <v/>
      </c>
      <c r="G1351">
        <f>Calc!G27</f>
        <v/>
      </c>
      <c r="H1351">
        <f>Calc!H27</f>
        <v/>
      </c>
      <c r="I1351">
        <f>IF(Skills!T27&lt;&gt;"",1+(Skills!T27/10)*($Z$3/1000)/100,1)</f>
        <v/>
      </c>
      <c r="J1351" t="inlineStr"/>
      <c r="K1351" t="inlineStr"/>
      <c r="L1351" t="inlineStr"/>
      <c r="M1351" t="inlineStr"/>
      <c r="N1351" t="inlineStr"/>
      <c r="O1351">
        <f>(1-Summary!$B$48)*S1351+Summary!$B$48*U1351</f>
        <v/>
      </c>
      <c r="P1351">
        <f>IF(B1366=0,0,O1351/B1366)</f>
        <v/>
      </c>
      <c r="Q1351">
        <f>IFERROR(1/IF(Inputs!$B$39="pvp",15,MAX(0.1,Skills!D27-IF(Skills!E27=TRUE,1.5,0))),0)</f>
        <v/>
      </c>
      <c r="R1351" t="n">
        <v>0</v>
      </c>
      <c r="S1351" t="n">
        <v>0</v>
      </c>
      <c r="U1351" t="n">
        <v>0</v>
      </c>
    </row>
    <row r="1353">
      <c r="A1353" t="inlineStr">
        <is>
          <t>Average Buff Multiplier</t>
        </is>
      </c>
      <c r="B1353">
        <f>(1+(IF(C1327=TRUE,F1327*IF(AND(Inputs!$B$39&lt;&gt;"pvp",Inputs!$B$44&gt;0),(((R1327-1)*(Skills!S3*(1+(Inputs!$B$35+IF(Inputs!$B$3&gt;=117,F1350,0))/100))+MIN((Skills!S3*(1+(Inputs!$B$35+IF(Inputs!$B$3&gt;=117,F1350,0))/100)),MAX(0,Inputs!$B$44-((R1327-1)*Skills!D3))))/Inputs!$B$44),IF(Inputs!$B$39="pvp",MIN((Skills!S3*(1+(Inputs!$B$35+IF(Inputs!$B$3&gt;=117,F1350,0))/100)),15)/15,(Skills!S3*(1+(Inputs!$B$35+IF(Inputs!$B$3&gt;=117,F1350,0))/100))/Skills!D3)),0)+IF(C1328=TRUE,F1328*IF(AND(Inputs!$B$39&lt;&gt;"pvp",Inputs!$B$44&gt;0),(((R1328-1)*(Skills!S4*(1+(Inputs!$B$35+IF(Inputs!$B$3&gt;=117,F1350,0))/100))+MIN((Skills!S4*(1+(Inputs!$B$35+IF(Inputs!$B$3&gt;=117,F1350,0))/100)),MAX(0,Inputs!$B$44-((R1328-1)*Skills!D4))))/Inputs!$B$44),IF(Inputs!$B$39="pvp",MIN((Skills!S4*(1+(Inputs!$B$35+IF(Inputs!$B$3&gt;=117,F1350,0))/100)),15)/15,(Skills!S4*(1+(Inputs!$B$35+IF(Inputs!$B$3&gt;=117,F1350,0))/100))/Skills!D4)),0)+IF(C1329=TRUE,F1329*IF(AND(Inputs!$B$39&lt;&gt;"pvp",Inputs!$B$44&gt;0),(((R1329-1)*(Skills!S5*(1+(Inputs!$B$35+IF(Inputs!$B$3&gt;=117,F1350,0))/100))+MIN((Skills!S5*(1+(Inputs!$B$35+IF(Inputs!$B$3&gt;=117,F1350,0))/100)),MAX(0,Inputs!$B$44-((R1329-1)*Skills!D5))))/Inputs!$B$44),IF(Inputs!$B$39="pvp",MIN((Skills!S5*(1+(Inputs!$B$35+IF(Inputs!$B$3&gt;=117,F1350,0))/100)),15)/15,(Skills!S5*(1+(Inputs!$B$35+IF(Inputs!$B$3&gt;=117,F1350,0))/100))/Skills!D5)),0)+IF(C1335=TRUE,F1335*IF(AND(Inputs!$B$39&lt;&gt;"pvp",Inputs!$B$44&gt;0),(((R1335-1)*(Skills!S11*(1+(Inputs!$B$35+IF(Inputs!$B$3&gt;=117,F1350,0))/100))+MIN((Skills!S11*(1+(Inputs!$B$35+IF(Inputs!$B$3&gt;=117,F1350,0))/100)),MAX(0,Inputs!$B$44-((R1335-1)*Skills!D11))))/Inputs!$B$44),IF(Inputs!$B$39="pvp",MIN((Skills!S11*(1+(Inputs!$B$35+IF(Inputs!$B$3&gt;=117,F1350,0))/100)),15)/15,(Skills!S11*(1+(Inputs!$B$35+IF(Inputs!$B$3&gt;=117,F1350,0))/100))/Skills!D11)),0))/100)*IF(C1338=TRUE,(1+F1338*IF(AND(Inputs!$B$39&lt;&gt;"pvp",Inputs!$B$44&gt;0),(((R1338-1)*(Skills!S14*(1+(Inputs!$B$35+IF(Inputs!$B$3&gt;=117,F1350,0))/100))+MIN((Skills!S14*(1+(Inputs!$B$35+IF(Inputs!$B$3&gt;=117,F1350,0))/100)),MAX(0,Inputs!$B$44-((R1338-1)*Skills!D14))))/Inputs!$B$44),IF(Inputs!$B$39="pvp",MIN((Skills!S14*(1+(Inputs!$B$35+IF(Inputs!$B$3&gt;=117,F1350,0))/100)),15)/15,(Skills!S14*(1+(Inputs!$B$35+IF(Inputs!$B$3&gt;=117,F1350,0))/100))/Skills!D14))/100),1)*IF(C1343=TRUE,(1+F1343*IF(AND(Inputs!$B$39&lt;&gt;"pvp",Inputs!$B$44&gt;0),(((R1343-1)*(Skills!S19*(1+(Inputs!$B$35+IF(Inputs!$B$3&gt;=117,F1350,0))/100))+MIN((Skills!S19*(1+(Inputs!$B$35+IF(Inputs!$B$3&gt;=117,F1350,0))/100)),MAX(0,Inputs!$B$44-((R1343-1)*Skills!D19))))/Inputs!$B$44),IF(Inputs!$B$39="pvp",MIN((Skills!S19*(1+(Inputs!$B$35+IF(Inputs!$B$3&gt;=117,F1350,0))/100)),15)/15,(Skills!S19*(1+(Inputs!$B$35+IF(Inputs!$B$3&gt;=117,F1350,0))/100))/Skills!D19))/100),1)</f>
        <v/>
      </c>
    </row>
    <row r="1354">
      <c r="A1354" t="inlineStr">
        <is>
          <t>Monster Damage Taken Bonus % (Holy Fountain)</t>
        </is>
      </c>
      <c r="B1354">
        <f>IF(Inputs!$B$3&gt;=68,20*IF(Inputs!$B$39="pvp",MIN((15*(1+(Inputs!$B$35+IF(Inputs!$B$3&gt;=117,F1350,0))/100)),15)/15,(15*(1+(Inputs!$B$35+IF(Inputs!$B$3&gt;=117,F1350,0))/100))/Skills!D10),0)</f>
        <v/>
      </c>
    </row>
    <row r="1355">
      <c r="A1355" t="inlineStr">
        <is>
          <t>Normal Monster Damage Bonus % (Holy Symbol)</t>
        </is>
      </c>
      <c r="B1355">
        <f>IF(C1336=TRUE,F1336*IF(AND(Inputs!$B$39&lt;&gt;"pvp",Inputs!$B$44&gt;0),(((R1336-1)*(Skills!S12*(1+(Inputs!$B$35+IF(Inputs!$B$3&gt;=117,F1350,0))/100))+MIN((Skills!S12*(1+(Inputs!$B$35+IF(Inputs!$B$3&gt;=117,F1350,0))/100)),MAX(0,Inputs!$B$44-((R1336-1)*Skills!D12))))/Inputs!$B$44),IF(Inputs!$B$39="pvp",MIN((Skills!S12*(1+(Inputs!$B$35+IF(Inputs!$B$3&gt;=117,F1350,0))/100)),15)/15,(Skills!S12*(1+(Inputs!$B$35+IF(Inputs!$B$3&gt;=117,F1350,0))/100))/Skills!D12)),0)</f>
        <v/>
      </c>
    </row>
    <row r="1356">
      <c r="A1356" t="inlineStr">
        <is>
          <t>Damage % Bonus (Holy Symbol - Damage Boost)</t>
        </is>
      </c>
      <c r="B1356">
        <f>Skills!O12</f>
        <v/>
      </c>
    </row>
    <row r="1357">
      <c r="A1357" t="inlineStr">
        <is>
          <t>Crit Damage % Bonus (Blood of the Divine)</t>
        </is>
      </c>
      <c r="B1357">
        <f>4*IF(C1344=TRUE,F1344,0)</f>
        <v/>
      </c>
    </row>
    <row r="1358">
      <c r="A1358" t="inlineStr">
        <is>
          <t>Attack Speed Bonus %</t>
        </is>
      </c>
      <c r="B1358">
        <f>IF(C1341=TRUE,F1341+(F1345-Calc!F21),0)+IF(Inputs!$B$3&gt;=134,15,0)</f>
        <v/>
      </c>
    </row>
    <row r="1359">
      <c r="A1359" t="inlineStr">
        <is>
          <t>Actions Per Second</t>
        </is>
      </c>
      <c r="B1359">
        <f>1+MIN(150,150*(1-(1-Inputs!$B$12/150)*(1-B1358/150)))/100</f>
        <v/>
      </c>
    </row>
    <row r="1360">
      <c r="A1360" t="inlineStr">
        <is>
          <t>Skill + Buff Cast Rate</t>
        </is>
      </c>
      <c r="B1360">
        <f>IF(AND(Inputs!$B$39&lt;&gt;"pvp",Inputs!$B$44&gt;0),SUMPRODUCT((Skills!E2:E27=TRUE)*(C1326:C1351=TRUE)*R1326:R1351)/Inputs!$B$44,SUMPRODUCT((Skills!E2:E27=TRUE)*(C1326:C1351=TRUE)*Q1326:Q1351))</f>
        <v/>
      </c>
    </row>
    <row r="1361">
      <c r="A1361" t="inlineStr">
        <is>
          <t>Big Bang Casts Per Second</t>
        </is>
      </c>
      <c r="B1361">
        <f>MAX(0,B1359-B1360)</f>
        <v/>
      </c>
    </row>
    <row r="1362">
      <c r="A1362" t="inlineStr">
        <is>
          <t>Defense % Bonus (Divine Protection)</t>
        </is>
      </c>
      <c r="B1362">
        <f>IF(C1337=TRUE,F1337*IF(AND(Inputs!$B$39&lt;&gt;"pvp",Inputs!$B$44&gt;0),(((R1337-1)*(Skills!S13*(1+(Inputs!$B$35+IF(Inputs!$B$3&gt;=117,F1350,0))/100))+MIN((Skills!S13*(1+(Inputs!$B$35+IF(Inputs!$B$3&gt;=117,F1350,0))/100)),MAX(0,Inputs!$B$44-((R1337-1)*Skills!D13))))/Inputs!$B$44),IF(Inputs!$B$39="pvp",MIN((Skills!S13*(1+(Inputs!$B$35+IF(Inputs!$B$3&gt;=117,F1350,0))/100)),15)/15,(Skills!S13*(1+(Inputs!$B$35+IF(Inputs!$B$3&gt;=117,F1350,0))/100))/Skills!D13)),0)</f>
        <v/>
      </c>
    </row>
    <row r="1363">
      <c r="A1363" t="inlineStr">
        <is>
          <t>Buff-Casting Startup Delay (s, fixed-duration only)</t>
        </is>
      </c>
      <c r="B1363">
        <f>IF(AND(Inputs!$B$39&lt;&gt;"pvp",Inputs!$B$44&gt;0),SUMPRODUCT((Skills!S2:S27&gt;0)*(Skills!E2:E27=TRUE)*(C1326:C1351=TRUE))/B1359,0)</f>
        <v/>
      </c>
    </row>
    <row r="1364">
      <c r="A1364" t="inlineStr">
        <is>
          <t>Boss-Only Total DPS (this block's swept value)</t>
        </is>
      </c>
      <c r="B1364">
        <f>SUM(S1326:S1351)</f>
        <v/>
      </c>
    </row>
    <row r="1365">
      <c r="A1365" t="inlineStr">
        <is>
          <t>Normal-Only Total DPS (this block's swept value)</t>
        </is>
      </c>
      <c r="B1365">
        <f>SUM(U1326:U1351)</f>
        <v/>
      </c>
    </row>
    <row r="1366">
      <c r="A1366" s="5" t="inlineStr">
        <is>
          <t>TOTAL DPS</t>
        </is>
      </c>
      <c r="B1366" s="5">
        <f>SUM(O1326:O1351)</f>
        <v/>
      </c>
    </row>
    <row r="1368">
      <c r="A1368" s="5" t="inlineStr">
        <is>
          <t>Stat: CDR = 2.0s</t>
        </is>
      </c>
    </row>
    <row r="1369">
      <c r="A1369" s="9" t="inlineStr">
        <is>
          <t>Key</t>
        </is>
      </c>
      <c r="B1369" s="9" t="inlineStr">
        <is>
          <t>Name</t>
        </is>
      </c>
      <c r="C1369" s="9" t="inlineStr">
        <is>
          <t>Unlocked</t>
        </is>
      </c>
      <c r="D1369" s="9" t="inlineStr">
        <is>
          <t>InputLevel</t>
        </is>
      </c>
      <c r="E1369" s="9" t="inlineStr">
        <is>
          <t>Factor</t>
        </is>
      </c>
      <c r="F1369" s="9" t="inlineStr">
        <is>
          <t>CoefficientPercent</t>
        </is>
      </c>
      <c r="G1369" s="9" t="inlineStr">
        <is>
          <t>EffectiveHits</t>
        </is>
      </c>
      <c r="H1369" s="9" t="inlineStr">
        <is>
          <t>ProcProbability</t>
        </is>
      </c>
      <c r="I1369" s="9" t="inlineStr">
        <is>
          <t>MapleHeroMultiplier</t>
        </is>
      </c>
      <c r="J1369" s="9" t="inlineStr">
        <is>
          <t>BaseDamage</t>
        </is>
      </c>
      <c r="K1369" s="9" t="inlineStr">
        <is>
          <t>BaseHitDamage</t>
        </is>
      </c>
      <c r="L1369" s="9" t="inlineStr">
        <is>
          <t>NonCritAvg</t>
        </is>
      </c>
      <c r="M1369" s="9" t="inlineStr">
        <is>
          <t>CritAvg</t>
        </is>
      </c>
      <c r="N1369" s="9" t="inlineStr">
        <is>
          <t>ExpectedDamage(perHit)</t>
        </is>
      </c>
      <c r="O1369" s="9" t="inlineStr">
        <is>
          <t>DPS</t>
        </is>
      </c>
      <c r="P1369" s="9" t="inlineStr">
        <is>
          <t>% of Total</t>
        </is>
      </c>
      <c r="R1369" t="inlineStr">
        <is>
          <t>helpers</t>
        </is>
      </c>
    </row>
    <row r="1370">
      <c r="A1370">
        <f>Skills!A2</f>
        <v/>
      </c>
      <c r="B1370">
        <f>Skills!B2</f>
        <v/>
      </c>
      <c r="C1370">
        <f>Inputs!$B$3&gt;=100</f>
        <v/>
      </c>
      <c r="D1370" t="inlineStr"/>
      <c r="E1370" t="inlineStr"/>
      <c r="F1370">
        <f>T1372+Skills!N2</f>
        <v/>
      </c>
      <c r="G1370">
        <f>Calc!G2</f>
        <v/>
      </c>
      <c r="H1370">
        <f>Calc!H2</f>
        <v/>
      </c>
      <c r="I1370">
        <f>IF(Skills!T2&lt;&gt;"",1+(Skills!T2/10)*($Z$3/1000)/100,1)</f>
        <v/>
      </c>
      <c r="J1370">
        <f>((Inputs!$B$6*(1+Inputs!$B$7/100))+(((Inputs!$B$13*(1+Inputs!$B$14/100))-(Inputs!$B$13*(1+Inputs!$B$14/100)))+0.25*(Inputs!$B$15-Inputs!$B$15))*(1+Inputs!$B$7/100))*(F1370/100)</f>
        <v/>
      </c>
      <c r="K1370">
        <f>J1370*(1+(((Inputs!$B$13+IF(Inputs!$B$3&gt;=35,(10*INDEX(FactorTable!$B$2:$Y$301, MATCH(ROUND(MIN(300,MAX(1,Inputs!$B$3)),0), FactorTable!$A$2:$A$301,0), 23)/1000)/100*(Inputs!$B$8*(1+(Inputs!$B$9+B1406)/100)),0))*(1+Inputs!$B$14/100))*0.01+Inputs!$B$15*0.0025)/100)*(1+(Inputs!$B$16+B1400)/100)*(1+Inputs!$B$17/100)*(5000/(6000+Inputs!$B$43*(1-Inputs!$B$20/100)))*(1+Inputs!$B$25/100)*(1+IF(C1386=TRUE,F1386,0)/100)*(1+IF(C1388=TRUE,F1388,0)/100)*(1+IF(Skills!A2="TRIUMPH_FEATHER",IF(C1384=TRUE,F1384,0),0)/100)*(1+IF(C1395=TRUE,F1395,0)/100)^5*(1+(IF(Skills!A2="BIG_BANG",Inputs!$B$18,Inputs!$B$19))/100)*(B1397*I1370)</f>
        <v/>
      </c>
      <c r="L1370">
        <f>K1370*(MIN(Inputs!$B$23+(F1390-Calc!F22),Inputs!$B$24)/100+Inputs!$B$24/100)/2</f>
        <v/>
      </c>
      <c r="M1370">
        <f>L1370*(1+(Inputs!$B$11+B1401+(F1393-Calc!F25))/100)</f>
        <v/>
      </c>
      <c r="N1370">
        <f>L1370*(1-MIN(Inputs!$B$10+((F1392-Calc!F24)+(F1391-Calc!F23)),100)/100)+M1370*(MIN(Inputs!$B$10+((F1392-Calc!F24)+(F1391-Calc!F23)),100)/100)</f>
        <v/>
      </c>
      <c r="O1370">
        <f>(1-Summary!$B$48)*S1370+Summary!$B$48*U1370</f>
        <v/>
      </c>
      <c r="P1370">
        <f>IF(B1410=0,0,O1370/B1410)</f>
        <v/>
      </c>
      <c r="Q1370">
        <f>IFERROR(1/IF(Inputs!$B$39="pvp",15,MAX(0.1,Skills!D2-IF(Skills!E2=TRUE,2.0,0))),0)</f>
        <v/>
      </c>
      <c r="R1370" t="n">
        <v>0</v>
      </c>
      <c r="S1370">
        <f>IF(C1370,(Skills!F2*N1370*B1405)*IF(Inputs!$B$39="pvp",1,1+(Inputs!$B$21+Skills!O2+B1398)/100),0)</f>
        <v/>
      </c>
      <c r="T1370">
        <f>MAX(0,(Inputs!$B$3-100)*3)+Inputs!$B$29+Inputs!$B$30</f>
        <v/>
      </c>
      <c r="U1370">
        <f>IF(C1370,(Skills!F2*N1370*B1405)*IF(Inputs!$B$39="pvp",1,(1+(Inputs!$B$22+Skills!P2+B1399)/100)*(MIN((6+Inputs!$B$34),Inputs!$B$38))),0)</f>
        <v/>
      </c>
    </row>
    <row r="1371">
      <c r="A1371">
        <f>Skills!A3</f>
        <v/>
      </c>
      <c r="B1371">
        <f>Skills!B3</f>
        <v/>
      </c>
      <c r="C1371">
        <f>Inputs!$B$3&gt;=15</f>
        <v/>
      </c>
      <c r="D1371">
        <f>IF(Skills!C3=1,60+Inputs!$B$26+Inputs!$B$30,IF(Skills!C3=2,90+Inputs!$B$27+Inputs!$B$30,IF(Skills!C3=3,120+Inputs!$B$28+Inputs!$B$30,MAX(0,(Inputs!$B$3-100)*3)+Inputs!$B$29+Inputs!$B$30)))</f>
        <v/>
      </c>
      <c r="E1371">
        <f>INDEX(FactorTable!$B$2:$Y$301, MATCH(ROUND(MIN(300,MAX(1,D1371)),0), FactorTable!$A$2:$A$301,0), Skills!L3+1)</f>
        <v/>
      </c>
      <c r="F1371">
        <f>IF(Skills!M3=TRUE,(Skills!K3/10)*(E1371/1000),Skills!K3/10)+Skills!N3</f>
        <v/>
      </c>
      <c r="G1371">
        <f>Calc!G3</f>
        <v/>
      </c>
      <c r="H1371">
        <f>Calc!H3</f>
        <v/>
      </c>
      <c r="I1371">
        <f>IF(Skills!T3&lt;&gt;"",1+(Skills!T3/10)*($Z$3/1000)/100,1)</f>
        <v/>
      </c>
      <c r="J1371" t="inlineStr"/>
      <c r="K1371" t="inlineStr"/>
      <c r="L1371" t="inlineStr"/>
      <c r="M1371" t="inlineStr"/>
      <c r="N1371" t="inlineStr"/>
      <c r="O1371">
        <f>(1-Summary!$B$48)*S1371+Summary!$B$48*U1371</f>
        <v/>
      </c>
      <c r="P1371">
        <f>IF(B1410=0,0,O1371/B1410)</f>
        <v/>
      </c>
      <c r="Q1371">
        <f>IFERROR(1/IF(Inputs!$B$39="pvp",15,MAX(0.1,Skills!D3-IF(Skills!E3=TRUE,2.0,0))),0)</f>
        <v/>
      </c>
      <c r="R1371">
        <f>IF(AND(Inputs!$B$39&lt;&gt;"pvp",Inputs!$B$44&gt;0),IF(Inputs!$B$44&lt;=0,0,(INT(Inputs!$B$44/IF(Inputs!$B$39="pvp",15,MAX(0.1,Skills!D3-IF(Skills!E3=TRUE,2.0,0))))+1)),0)</f>
        <v/>
      </c>
      <c r="S1371" t="n">
        <v>0</v>
      </c>
      <c r="T1371">
        <f>INDEX(FactorTable!$B$2:$Y$301, MATCH(ROUND(MIN(300,MAX(1,T1370)),0), FactorTable!$A$2:$A$301,0), 22)</f>
        <v/>
      </c>
      <c r="U1371" t="n">
        <v>0</v>
      </c>
    </row>
    <row r="1372">
      <c r="A1372">
        <f>Skills!A4</f>
        <v/>
      </c>
      <c r="B1372">
        <f>Skills!B4</f>
        <v/>
      </c>
      <c r="C1372">
        <f>Inputs!$B$3&gt;=38</f>
        <v/>
      </c>
      <c r="D1372">
        <f>IF(Skills!C4=1,60+Inputs!$B$26+Inputs!$B$30,IF(Skills!C4=2,90+Inputs!$B$27+Inputs!$B$30,IF(Skills!C4=3,120+Inputs!$B$28+Inputs!$B$30,MAX(0,(Inputs!$B$3-100)*3)+Inputs!$B$29+Inputs!$B$30)))</f>
        <v/>
      </c>
      <c r="E1372">
        <f>INDEX(FactorTable!$B$2:$Y$301, MATCH(ROUND(MIN(300,MAX(1,D1372)),0), FactorTable!$A$2:$A$301,0), Skills!L4+1)</f>
        <v/>
      </c>
      <c r="F1372">
        <f>IF(Skills!M4=TRUE,(Skills!K4/10)*(E1372/1000),Skills!K4/10)+Skills!N4</f>
        <v/>
      </c>
      <c r="G1372">
        <f>Calc!G4</f>
        <v/>
      </c>
      <c r="H1372">
        <f>Calc!H4</f>
        <v/>
      </c>
      <c r="I1372">
        <f>IF(Skills!T4&lt;&gt;"",1+(Skills!T4/10)*($Z$3/1000)/100,1)</f>
        <v/>
      </c>
      <c r="J1372" t="inlineStr"/>
      <c r="K1372" t="inlineStr"/>
      <c r="L1372" t="inlineStr"/>
      <c r="M1372" t="inlineStr"/>
      <c r="N1372" t="inlineStr"/>
      <c r="O1372">
        <f>(1-Summary!$B$48)*S1372+Summary!$B$48*U1372</f>
        <v/>
      </c>
      <c r="P1372">
        <f>IF(B1410=0,0,O1372/B1410)</f>
        <v/>
      </c>
      <c r="Q1372">
        <f>IFERROR(1/IF(Inputs!$B$39="pvp",15,MAX(0.1,Skills!D4-IF(Skills!E4=TRUE,2.0,0))),0)</f>
        <v/>
      </c>
      <c r="R1372">
        <f>IF(AND(Inputs!$B$39&lt;&gt;"pvp",Inputs!$B$44&gt;0),IF(Inputs!$B$44&lt;=0,0,(INT(Inputs!$B$44/IF(Inputs!$B$39="pvp",15,MAX(0.1,Skills!D4-IF(Skills!E4=TRUE,2.0,0))))+1)),0)</f>
        <v/>
      </c>
      <c r="S1372" t="n">
        <v>0</v>
      </c>
      <c r="T1372">
        <f>290*T1371/1000</f>
        <v/>
      </c>
      <c r="U1372" t="n">
        <v>0</v>
      </c>
    </row>
    <row r="1373">
      <c r="A1373">
        <f>Skills!A5</f>
        <v/>
      </c>
      <c r="B1373">
        <f>Skills!B5</f>
        <v/>
      </c>
      <c r="C1373">
        <f>Inputs!$B$3&gt;=40</f>
        <v/>
      </c>
      <c r="D1373">
        <f>IF(Skills!C5=1,60+Inputs!$B$26+Inputs!$B$30,IF(Skills!C5=2,90+Inputs!$B$27+Inputs!$B$30,IF(Skills!C5=3,120+Inputs!$B$28+Inputs!$B$30,MAX(0,(Inputs!$B$3-100)*3)+Inputs!$B$29+Inputs!$B$30)))</f>
        <v/>
      </c>
      <c r="E1373">
        <f>INDEX(FactorTable!$B$2:$Y$301, MATCH(ROUND(MIN(300,MAX(1,D1373)),0), FactorTable!$A$2:$A$301,0), Skills!L5+1)</f>
        <v/>
      </c>
      <c r="F1373">
        <f>IF(Skills!M5=TRUE,(Skills!K5/10)*(E1373/1000),Skills!K5/10)+Skills!N5</f>
        <v/>
      </c>
      <c r="G1373">
        <f>Calc!G5</f>
        <v/>
      </c>
      <c r="H1373">
        <f>Calc!H5</f>
        <v/>
      </c>
      <c r="I1373">
        <f>IF(Skills!T5&lt;&gt;"",1+(Skills!T5/10)*($Z$3/1000)/100,1)</f>
        <v/>
      </c>
      <c r="J1373" t="inlineStr"/>
      <c r="K1373" t="inlineStr"/>
      <c r="L1373" t="inlineStr"/>
      <c r="M1373" t="inlineStr"/>
      <c r="N1373" t="inlineStr"/>
      <c r="O1373">
        <f>(1-Summary!$B$48)*S1373+Summary!$B$48*U1373</f>
        <v/>
      </c>
      <c r="P1373">
        <f>IF(B1410=0,0,O1373/B1410)</f>
        <v/>
      </c>
      <c r="Q1373">
        <f>IFERROR(1/IF(Inputs!$B$39="pvp",15,MAX(0.1,Skills!D5-IF(Skills!E5=TRUE,2.0,0))),0)</f>
        <v/>
      </c>
      <c r="R1373">
        <f>IF(AND(Inputs!$B$39&lt;&gt;"pvp",Inputs!$B$44&gt;0),IF(Inputs!$B$44&lt;=0,0,(INT(Inputs!$B$44/IF(Inputs!$B$39="pvp",15,MAX(0.1,Skills!D5-IF(Skills!E5=TRUE,2.0,0))))+1)),0)</f>
        <v/>
      </c>
      <c r="S1373" t="n">
        <v>0</v>
      </c>
      <c r="U1373" t="n">
        <v>0</v>
      </c>
    </row>
    <row r="1374">
      <c r="A1374">
        <f>Skills!A6</f>
        <v/>
      </c>
      <c r="B1374">
        <f>Skills!B6</f>
        <v/>
      </c>
      <c r="C1374">
        <f>Inputs!$B$3&gt;=103</f>
        <v/>
      </c>
      <c r="D1374">
        <f>IF(Skills!C6=1,60+Inputs!$B$26+Inputs!$B$30,IF(Skills!C6=2,90+Inputs!$B$27+Inputs!$B$30,IF(Skills!C6=3,120+Inputs!$B$28+Inputs!$B$30,MAX(0,(Inputs!$B$3-100)*3)+Inputs!$B$29+Inputs!$B$30)))</f>
        <v/>
      </c>
      <c r="E1374">
        <f>INDEX(FactorTable!$B$2:$Y$301, MATCH(ROUND(MIN(300,MAX(1,D1374)),0), FactorTable!$A$2:$A$301,0), Skills!L6+1)</f>
        <v/>
      </c>
      <c r="F1374">
        <f>IF(Skills!M6=TRUE,(Skills!K6/10)*(E1374/1000),Skills!K6/10)+Skills!N6</f>
        <v/>
      </c>
      <c r="G1374">
        <f>Calc!G6</f>
        <v/>
      </c>
      <c r="H1374">
        <f>Calc!H6</f>
        <v/>
      </c>
      <c r="I1374">
        <f>IF(Skills!T6&lt;&gt;"",1+(Skills!T6/10)*($Z$3/1000)/100,1)</f>
        <v/>
      </c>
      <c r="J1374">
        <f>((Inputs!$B$6*(1+Inputs!$B$7/100))+(((Inputs!$B$13*(1+Inputs!$B$14/100))-(Inputs!$B$13*(1+Inputs!$B$14/100)))+0.25*(Inputs!$B$15-Inputs!$B$15))*(1+Inputs!$B$7/100))*(F1374/100)</f>
        <v/>
      </c>
      <c r="K1374">
        <f>J1374*(1+(((Inputs!$B$13+IF(Inputs!$B$3&gt;=35,(10*INDEX(FactorTable!$B$2:$Y$301, MATCH(ROUND(MIN(300,MAX(1,Inputs!$B$3)),0), FactorTable!$A$2:$A$301,0), 23)/1000)/100*(Inputs!$B$8*(1+(Inputs!$B$9+B1406)/100)),0))*(1+Inputs!$B$14/100))*0.01+Inputs!$B$15*0.0025)/100)*(1+(Inputs!$B$16+B1400)/100)*(1+Inputs!$B$17/100)*(5000/(6000+Inputs!$B$43*(1-Inputs!$B$20/100)))*(1+Inputs!$B$25/100)*(1+IF(C1386=TRUE,F1386,0)/100)*(1+IF(C1388=TRUE,F1388,0)/100)*(1+IF(Skills!A6="TRIUMPH_FEATHER",IF(C1384=TRUE,F1384,0),0)/100)*(1+IF(C1395=TRUE,F1395,0)/100)^5*(1+(IF(Skills!A6="BIG_BANG",Inputs!$B$18,Inputs!$B$19))/100)*(B1397*I1374)</f>
        <v/>
      </c>
      <c r="L1374">
        <f>K1374*(MIN(Inputs!$B$23+(F1390-Calc!F22),Inputs!$B$24)/100+Inputs!$B$24/100)/2</f>
        <v/>
      </c>
      <c r="M1374">
        <f>L1374*(1+(Inputs!$B$11+B1401+(F1393-Calc!F25))/100)</f>
        <v/>
      </c>
      <c r="N1374">
        <f>L1374*(1-MIN(Inputs!$B$10+((F1392-Calc!F24)+(F1391-Calc!F23)),100)/100)+M1374*(MIN(Inputs!$B$10+((F1392-Calc!F24)+(F1391-Calc!F23)),100)/100)</f>
        <v/>
      </c>
      <c r="O1374">
        <f>(1-Summary!$B$48)*S1374+Summary!$B$48*U1374</f>
        <v/>
      </c>
      <c r="P1374">
        <f>IF(B1410=0,0,O1374/B1410)</f>
        <v/>
      </c>
      <c r="Q1374">
        <f>IFERROR(1/IF(Inputs!$B$39="pvp",15,MAX(0.1,Skills!D6-IF(Skills!E6=TRUE,2.0,0))),0)</f>
        <v/>
      </c>
      <c r="R1374">
        <f>IF(AND(Inputs!$B$39&lt;&gt;"pvp",Inputs!$B$44&gt;0),IF(MAX(0,Inputs!$B$44-B1407)&lt;=0,0,(INT(MAX(0,Inputs!$B$44-B1407)/IF(Inputs!$B$39="pvp",15,MAX(0.1,Skills!D6-IF(Skills!E6=TRUE,2.0,0))))+1)),0)</f>
        <v/>
      </c>
      <c r="S1374">
        <f>IF(C1374,(H1374*N1374*IF(AND(Inputs!$B$39&lt;&gt;"pvp",Inputs!$B$44&gt;0),((Skills!F6*((R1374-1)*IF(Skills!G6&gt;0,Skills!H6/Skills!G6,1)+IF(Skills!G6&gt;0,MIN(Skills!H6,MAX(0,MAX(0,Inputs!$B$44-B1407)-((R1374-1)*IF(Inputs!$B$39="pvp",15,MAX(0.1,Skills!D6-IF(Skills!E6=TRUE,2.0,0))))))/Skills!G6,1)))/Inputs!$B$44),G1374*Q1374))*IF(Inputs!$B$39="pvp",1,1+(Inputs!$B$21+Skills!O6+B1398)/100),0)</f>
        <v/>
      </c>
      <c r="U1374">
        <f>IF(C1374,(H1374*N1374*IF(AND(Inputs!$B$39&lt;&gt;"pvp",Inputs!$B$44&gt;0),((Skills!F6*((R1374-1)*IF(Skills!G6&gt;0,Skills!H6/Skills!G6,1)+IF(Skills!G6&gt;0,MIN(Skills!H6,MAX(0,MAX(0,Inputs!$B$44-B1407)-((R1374-1)*IF(Inputs!$B$39="pvp",15,MAX(0.1,Skills!D6-IF(Skills!E6=TRUE,2.0,0))))))/Skills!G6,1)))/Inputs!$B$44),G1374*Q1374))*IF(Inputs!$B$39="pvp",1,(1+(Inputs!$B$22+Skills!P6+B1399)/100)*(MIN(Skills!Q6,Inputs!$B$38))),0)</f>
        <v/>
      </c>
    </row>
    <row r="1375">
      <c r="A1375">
        <f>Skills!A7</f>
        <v/>
      </c>
      <c r="B1375">
        <f>Skills!B7</f>
        <v/>
      </c>
      <c r="C1375">
        <f>Inputs!$B$3&gt;=122</f>
        <v/>
      </c>
      <c r="D1375">
        <f>IF(Skills!C7=1,60+Inputs!$B$26+Inputs!$B$30,IF(Skills!C7=2,90+Inputs!$B$27+Inputs!$B$30,IF(Skills!C7=3,120+Inputs!$B$28+Inputs!$B$30,MAX(0,(Inputs!$B$3-100)*3)+Inputs!$B$29+Inputs!$B$30)))</f>
        <v/>
      </c>
      <c r="E1375">
        <f>INDEX(FactorTable!$B$2:$Y$301, MATCH(ROUND(MIN(300,MAX(1,D1375)),0), FactorTable!$A$2:$A$301,0), Skills!L7+1)</f>
        <v/>
      </c>
      <c r="F1375">
        <f>IF(Skills!M7=TRUE,(Skills!K7/10)*(E1375/1000),Skills!K7/10)+Skills!N7</f>
        <v/>
      </c>
      <c r="G1375">
        <f>Calc!G7</f>
        <v/>
      </c>
      <c r="H1375">
        <f>Calc!H7</f>
        <v/>
      </c>
      <c r="I1375">
        <f>IF(Skills!T7&lt;&gt;"",1+(Skills!T7/10)*($Z$3/1000)/100,1)</f>
        <v/>
      </c>
      <c r="J1375">
        <f>((Inputs!$B$6*(1+Inputs!$B$7/100))+(((Inputs!$B$13*(1+Inputs!$B$14/100))-(Inputs!$B$13*(1+Inputs!$B$14/100)))+0.25*(Inputs!$B$15-Inputs!$B$15))*(1+Inputs!$B$7/100))*(F1375/100)</f>
        <v/>
      </c>
      <c r="K1375">
        <f>J1375*(1+(((Inputs!$B$13+IF(Inputs!$B$3&gt;=35,(10*INDEX(FactorTable!$B$2:$Y$301, MATCH(ROUND(MIN(300,MAX(1,Inputs!$B$3)),0), FactorTable!$A$2:$A$301,0), 23)/1000)/100*(Inputs!$B$8*(1+(Inputs!$B$9+B1406)/100)),0))*(1+Inputs!$B$14/100))*0.01+Inputs!$B$15*0.0025)/100)*(1+(Inputs!$B$16+B1400)/100)*(1+Inputs!$B$17/100)*(5000/(6000+Inputs!$B$43*(1-Inputs!$B$20/100)))*(1+Inputs!$B$25/100)*(1+IF(C1386=TRUE,F1386,0)/100)*(1+IF(C1388=TRUE,F1388,0)/100)*(1+IF(Skills!A7="TRIUMPH_FEATHER",IF(C1384=TRUE,F1384,0),0)/100)*(1+IF(C1395=TRUE,F1395,0)/100)^5*(1+(IF(Skills!A7="BIG_BANG",Inputs!$B$18,Inputs!$B$19))/100)*(B1397*I1375)</f>
        <v/>
      </c>
      <c r="L1375">
        <f>K1375*(MIN(Inputs!$B$23+(F1390-Calc!F22),Inputs!$B$24)/100+Inputs!$B$24/100)/2</f>
        <v/>
      </c>
      <c r="M1375">
        <f>L1375*(1+(Inputs!$B$11+B1401+(F1393-Calc!F25))/100)</f>
        <v/>
      </c>
      <c r="N1375">
        <f>L1375*(1-MIN(Inputs!$B$10+((F1392-Calc!F24)+(F1391-Calc!F23)),100)/100)+M1375*(MIN(Inputs!$B$10+((F1392-Calc!F24)+(F1391-Calc!F23)),100)/100)</f>
        <v/>
      </c>
      <c r="O1375">
        <f>(1-Summary!$B$48)*S1375+Summary!$B$48*U1375</f>
        <v/>
      </c>
      <c r="P1375">
        <f>IF(B1410=0,0,O1375/B1410)</f>
        <v/>
      </c>
      <c r="Q1375">
        <f>IFERROR(1/IF(Inputs!$B$39="pvp",15,MAX(0.1,Skills!D7-IF(Skills!E6=TRUE,2.0,0))),0)</f>
        <v/>
      </c>
      <c r="R1375">
        <f>IF(AND(Inputs!$B$39&lt;&gt;"pvp",Inputs!$B$44&gt;0),IF(MAX(0,Inputs!$B$44-B1407)&lt;=0,0,(INT(MAX(0,Inputs!$B$44-B1407)/IF(Inputs!$B$39="pvp",15,MAX(0.1,Skills!D7-IF(Skills!E6=TRUE,2.0,0))))+1)),0)</f>
        <v/>
      </c>
      <c r="S1375">
        <f>IF(C1375,H1375*N1375*IF(AND(Inputs!$B$39&lt;&gt;"pvp",Inputs!$B$44&gt;0),((Skills!F7*((R1375-1)*IF(Skills!G7&gt;0,Skills!H7/Skills!G7,1)+IF(Skills!G7&gt;0,MIN(Skills!H7,MAX(0,MAX(0,Inputs!$B$44-B1407)-((R1375-1)*IF(Inputs!$B$39="pvp",15,MAX(0.1,Skills!D7-IF(Skills!E6=TRUE,2.0,0))))))/Skills!G7,1)))/Inputs!$B$44),G1375*Q1375)*IF(Inputs!$B$39="pvp",1,1+(Inputs!$B$21+Skills!O7+B1398)/100),0)</f>
        <v/>
      </c>
      <c r="U1375" t="n">
        <v>0</v>
      </c>
    </row>
    <row r="1376">
      <c r="A1376">
        <f>Skills!A8</f>
        <v/>
      </c>
      <c r="B1376">
        <f>Skills!B8</f>
        <v/>
      </c>
      <c r="C1376">
        <f>Inputs!$B$3&gt;=105</f>
        <v/>
      </c>
      <c r="D1376">
        <f>IF(Skills!C8=1,60+Inputs!$B$26+Inputs!$B$30,IF(Skills!C8=2,90+Inputs!$B$27+Inputs!$B$30,IF(Skills!C8=3,120+Inputs!$B$28+Inputs!$B$30,MAX(0,(Inputs!$B$3-100)*3)+Inputs!$B$29+Inputs!$B$30)))</f>
        <v/>
      </c>
      <c r="E1376">
        <f>INDEX(FactorTable!$B$2:$Y$301, MATCH(ROUND(MIN(300,MAX(1,D1376)),0), FactorTable!$A$2:$A$301,0), Skills!L8+1)</f>
        <v/>
      </c>
      <c r="F1376">
        <f>IF(Skills!M8=TRUE,(Skills!K8/10)*(E1376/1000),Skills!K8/10)+Skills!N8</f>
        <v/>
      </c>
      <c r="G1376">
        <f>Calc!G8</f>
        <v/>
      </c>
      <c r="H1376">
        <f>Calc!H8</f>
        <v/>
      </c>
      <c r="I1376">
        <f>IF(Skills!T8&lt;&gt;"",1+(Skills!T8/10)*($Z$3/1000)/100,1)</f>
        <v/>
      </c>
      <c r="J1376">
        <f>((Inputs!$B$6*(1+Inputs!$B$7/100))+(((Inputs!$B$13*(1+Inputs!$B$14/100))-(Inputs!$B$13*(1+Inputs!$B$14/100)))+0.25*(Inputs!$B$15-Inputs!$B$15))*(1+Inputs!$B$7/100))*(F1376/100)</f>
        <v/>
      </c>
      <c r="K1376">
        <f>J1376*(1+(((Inputs!$B$13+IF(Inputs!$B$3&gt;=35,(10*INDEX(FactorTable!$B$2:$Y$301, MATCH(ROUND(MIN(300,MAX(1,Inputs!$B$3)),0), FactorTable!$A$2:$A$301,0), 23)/1000)/100*(Inputs!$B$8*(1+(Inputs!$B$9+B1406)/100)),0))*(1+Inputs!$B$14/100))*0.01+Inputs!$B$15*0.0025)/100)*(1+(Inputs!$B$16+B1400)/100)*(1+Inputs!$B$17/100)*(5000/(6000+Inputs!$B$43*(1-Inputs!$B$20/100)))*(1+Inputs!$B$25/100)*(1+IF(C1386=TRUE,F1386,0)/100)*(1+IF(C1388=TRUE,F1388,0)/100)*(1+IF(Skills!A8="TRIUMPH_FEATHER",IF(C1384=TRUE,F1384,0),0)/100)*(1+IF(C1395=TRUE,F1395,0)/100)^5*(1+(IF(Skills!A8="BIG_BANG",Inputs!$B$18,Inputs!$B$19))/100)*(B1397*I1376)</f>
        <v/>
      </c>
      <c r="L1376">
        <f>K1376*(MIN(Inputs!$B$23+(F1390-Calc!F22),Inputs!$B$24)/100+Inputs!$B$24/100)/2</f>
        <v/>
      </c>
      <c r="M1376">
        <f>L1376*(1+(Inputs!$B$11+B1401+(F1393-Calc!F25))/100)</f>
        <v/>
      </c>
      <c r="N1376">
        <f>L1376*(1-MIN(Inputs!$B$10+((F1392-Calc!F24)+(F1391-Calc!F23)),100)/100)+M1376*(MIN(Inputs!$B$10+((F1392-Calc!F24)+(F1391-Calc!F23)),100)/100)</f>
        <v/>
      </c>
      <c r="O1376">
        <f>(1-Summary!$B$48)*S1376+Summary!$B$48*U1376</f>
        <v/>
      </c>
      <c r="P1376">
        <f>IF(B1410=0,0,O1376/B1410)</f>
        <v/>
      </c>
      <c r="Q1376">
        <f>IFERROR(1/IF(Inputs!$B$39="pvp",15,MAX(0.1,Skills!D8-IF(Skills!E8=TRUE,2.0,0))),0)</f>
        <v/>
      </c>
      <c r="R1376">
        <f>IF(AND(Inputs!$B$39&lt;&gt;"pvp",Inputs!$B$44&gt;0),IF(MAX(0,Inputs!$B$44-B1407)&lt;=0,0,(INT(MAX(0,Inputs!$B$44-B1407)/IF(Inputs!$B$39="pvp",15,MAX(0.1,Skills!D8-IF(Skills!E8=TRUE,2.0,0))))+1)),0)</f>
        <v/>
      </c>
      <c r="S1376">
        <f>IF(C1376,(H1376*N1376*IF(AND(Inputs!$B$39&lt;&gt;"pvp",Inputs!$B$44&gt;0),((Skills!F8*((R1376-1)*IF(Skills!G8&gt;0,Skills!H8/Skills!G8,1)+IF(Skills!G8&gt;0,MIN(Skills!H8,MAX(0,MAX(0,Inputs!$B$44-B1407)-((R1376-1)*IF(Inputs!$B$39="pvp",15,MAX(0.1,Skills!D8-IF(Skills!E8=TRUE,2.0,0))))))/Skills!G8,1)))/Inputs!$B$44),G1376*Q1376))*IF(Inputs!$B$39="pvp",1,1+(Inputs!$B$21+Skills!O8+B1398)/100),0)</f>
        <v/>
      </c>
      <c r="U1376">
        <f>IF(C1376,(H1376*N1376*IF(AND(Inputs!$B$39&lt;&gt;"pvp",Inputs!$B$44&gt;0),((Skills!F8*((R1376-1)*IF(Skills!G8&gt;0,Skills!H8/Skills!G8,1)+IF(Skills!G8&gt;0,MIN(Skills!H8,MAX(0,MAX(0,Inputs!$B$44-B1407)-((R1376-1)*IF(Inputs!$B$39="pvp",15,MAX(0.1,Skills!D8-IF(Skills!E8=TRUE,2.0,0))))))/Skills!G8,1)))/Inputs!$B$44),G1376*Q1376))*IF(Inputs!$B$39="pvp",1,(1+(Inputs!$B$22+Skills!P8+B1399)/100)*(MIN(Skills!Q8,Inputs!$B$38))),0)</f>
        <v/>
      </c>
    </row>
    <row r="1377">
      <c r="A1377">
        <f>Skills!A9</f>
        <v/>
      </c>
      <c r="B1377">
        <f>Skills!B9</f>
        <v/>
      </c>
      <c r="C1377">
        <f>Inputs!$B$3&gt;=115</f>
        <v/>
      </c>
      <c r="D1377">
        <f>IF(Skills!C9=1,60+Inputs!$B$26+Inputs!$B$30,IF(Skills!C9=2,90+Inputs!$B$27+Inputs!$B$30,IF(Skills!C9=3,120+Inputs!$B$28+Inputs!$B$30,MAX(0,(Inputs!$B$3-100)*3)+Inputs!$B$29+Inputs!$B$30)))</f>
        <v/>
      </c>
      <c r="E1377">
        <f>INDEX(FactorTable!$B$2:$Y$301, MATCH(ROUND(MIN(300,MAX(1,D1377)),0), FactorTable!$A$2:$A$301,0), Skills!L9+1)</f>
        <v/>
      </c>
      <c r="F1377">
        <f>IF(Skills!M9=TRUE,(Skills!K9/10)*(E1377/1000),Skills!K9/10)+Skills!N9</f>
        <v/>
      </c>
      <c r="G1377">
        <f>Calc!G9</f>
        <v/>
      </c>
      <c r="H1377">
        <f>Calc!H9</f>
        <v/>
      </c>
      <c r="I1377">
        <f>IF(Skills!T9&lt;&gt;"",1+(Skills!T9/10)*($Z$3/1000)/100,1)</f>
        <v/>
      </c>
      <c r="J1377">
        <f>((Inputs!$B$6*(1+Inputs!$B$7/100))+(((Inputs!$B$13*(1+Inputs!$B$14/100))-(Inputs!$B$13*(1+Inputs!$B$14/100)))+0.25*(Inputs!$B$15-Inputs!$B$15))*(1+Inputs!$B$7/100))*(F1377/100)</f>
        <v/>
      </c>
      <c r="K1377">
        <f>J1377*(1+(((Inputs!$B$13+IF(Inputs!$B$3&gt;=35,(10*INDEX(FactorTable!$B$2:$Y$301, MATCH(ROUND(MIN(300,MAX(1,Inputs!$B$3)),0), FactorTable!$A$2:$A$301,0), 23)/1000)/100*(Inputs!$B$8*(1+(Inputs!$B$9+B1406)/100)),0))*(1+Inputs!$B$14/100))*0.01+Inputs!$B$15*0.0025)/100)*(1+(Inputs!$B$16+B1400)/100)*(1+Inputs!$B$17/100)*(5000/(6000+Inputs!$B$43*(1-Inputs!$B$20/100)))*(1+Inputs!$B$25/100)*(1+IF(C1386=TRUE,F1386,0)/100)*(1+IF(C1388=TRUE,F1388,0)/100)*(1+IF(Skills!A9="TRIUMPH_FEATHER",IF(C1384=TRUE,F1384,0),0)/100)*(1+IF(C1395=TRUE,F1395,0)/100)^5*(1+(IF(Skills!A9="BIG_BANG",Inputs!$B$18,Inputs!$B$19))/100)*(B1397*I1377)</f>
        <v/>
      </c>
      <c r="L1377">
        <f>K1377*(MIN(Inputs!$B$23+(F1390-Calc!F22),Inputs!$B$24)/100+Inputs!$B$24/100)/2</f>
        <v/>
      </c>
      <c r="M1377">
        <f>L1377*(1+(Inputs!$B$11+B1401+(F1393-Calc!F25))/100)</f>
        <v/>
      </c>
      <c r="N1377">
        <f>L1377*(1-MIN(Inputs!$B$10+((F1392-Calc!F24)+(F1391-Calc!F23)),100)/100)+M1377*(MIN(Inputs!$B$10+((F1392-Calc!F24)+(F1391-Calc!F23)),100)/100)</f>
        <v/>
      </c>
      <c r="O1377">
        <f>(1-Summary!$B$48)*S1377+Summary!$B$48*U1377</f>
        <v/>
      </c>
      <c r="P1377">
        <f>IF(B1410=0,0,O1377/B1410)</f>
        <v/>
      </c>
      <c r="Q1377">
        <f>IFERROR(1/IF(Inputs!$B$39="pvp",15,MAX(0.1,Skills!D9-IF(Skills!E9=TRUE,2.0,0))),0)</f>
        <v/>
      </c>
      <c r="R1377">
        <f>IF(AND(Inputs!$B$39&lt;&gt;"pvp",Inputs!$B$44&gt;0),IF(MAX(0,Inputs!$B$44-B1407)&lt;=0,0,(INT(MAX(0,Inputs!$B$44-B1407)/IF(Inputs!$B$39="pvp",15,MAX(0.1,Skills!D9-IF(Skills!E9=TRUE,2.0,0))))+1)),0)</f>
        <v/>
      </c>
      <c r="S1377">
        <f>IF(C1377,(H1377*N1377*IF(AND(Inputs!$B$39&lt;&gt;"pvp",Inputs!$B$44&gt;0),((Skills!F9*((R1377-1)*IF(Skills!G9&gt;0,Skills!H9/Skills!G9,1)+IF(Skills!G9&gt;0,MIN(Skills!H9,MAX(0,MAX(0,Inputs!$B$44-B1407)-((R1377-1)*IF(Inputs!$B$39="pvp",15,MAX(0.1,Skills!D9-IF(Skills!E9=TRUE,2.0,0))))))/Skills!G9,1)))/Inputs!$B$44),G1377*Q1377))*IF(Inputs!$B$39="pvp",1,1+(Inputs!$B$21+Skills!O9+B1398)/100),0)</f>
        <v/>
      </c>
      <c r="U1377">
        <f>IF(C1377,(H1377*N1377*IF(AND(Inputs!$B$39&lt;&gt;"pvp",Inputs!$B$44&gt;0),((Skills!F9*((R1377-1)*IF(Skills!G9&gt;0,Skills!H9/Skills!G9,1)+IF(Skills!G9&gt;0,MIN(Skills!H9,MAX(0,MAX(0,Inputs!$B$44-B1407)-((R1377-1)*IF(Inputs!$B$39="pvp",15,MAX(0.1,Skills!D9-IF(Skills!E9=TRUE,2.0,0))))))/Skills!G9,1)))/Inputs!$B$44),G1377*Q1377))*IF(Inputs!$B$39="pvp",1,(1+(Inputs!$B$22+Skills!P9+B1399)/100)*(MIN(Skills!Q9,Inputs!$B$38))),0)</f>
        <v/>
      </c>
    </row>
    <row r="1378">
      <c r="A1378">
        <f>Skills!A10</f>
        <v/>
      </c>
      <c r="B1378">
        <f>Skills!B10</f>
        <v/>
      </c>
      <c r="C1378">
        <f>Inputs!$B$3&gt;=66</f>
        <v/>
      </c>
      <c r="D1378">
        <f>IF(Skills!C10=1,60+Inputs!$B$26+Inputs!$B$30,IF(Skills!C10=2,90+Inputs!$B$27+Inputs!$B$30,IF(Skills!C10=3,120+Inputs!$B$28+Inputs!$B$30,MAX(0,(Inputs!$B$3-100)*3)+Inputs!$B$29+Inputs!$B$30)))</f>
        <v/>
      </c>
      <c r="E1378">
        <f>INDEX(FactorTable!$B$2:$Y$301, MATCH(ROUND(MIN(300,MAX(1,D1378)),0), FactorTable!$A$2:$A$301,0), Skills!L10+1)</f>
        <v/>
      </c>
      <c r="F1378" t="n">
        <v>0</v>
      </c>
      <c r="G1378">
        <f>Calc!G10</f>
        <v/>
      </c>
      <c r="H1378">
        <f>Calc!H10</f>
        <v/>
      </c>
      <c r="I1378">
        <f>IF(Skills!T10&lt;&gt;"",1+(Skills!T10/10)*($Z$3/1000)/100,1)</f>
        <v/>
      </c>
      <c r="J1378" t="inlineStr"/>
      <c r="K1378" t="inlineStr"/>
      <c r="L1378" t="inlineStr"/>
      <c r="M1378" t="inlineStr"/>
      <c r="N1378" t="inlineStr"/>
      <c r="O1378">
        <f>(1-Summary!$B$48)*S1378+Summary!$B$48*U1378</f>
        <v/>
      </c>
      <c r="P1378">
        <f>IF(B1410=0,0,O1378/B1410)</f>
        <v/>
      </c>
      <c r="Q1378">
        <f>IFERROR(1/IF(Inputs!$B$39="pvp",15,MAX(0.1,Skills!D10-IF(Skills!E10=TRUE,2.0,0))),0)</f>
        <v/>
      </c>
      <c r="R1378">
        <f>IF(AND(Inputs!$B$39&lt;&gt;"pvp",Inputs!$B$44&gt;0),IF(MAX(0,Inputs!$B$44-B1407)&lt;=0,0,(INT(MAX(0,Inputs!$B$44-B1407)/IF(Inputs!$B$39="pvp",15,MAX(0.1,Skills!D10-IF(Skills!E10=TRUE,2.0,0))))+1)),0)</f>
        <v/>
      </c>
      <c r="S1378" t="n">
        <v>0</v>
      </c>
      <c r="U1378" t="n">
        <v>0</v>
      </c>
    </row>
    <row r="1379">
      <c r="A1379">
        <f>Skills!A11</f>
        <v/>
      </c>
      <c r="B1379">
        <f>Skills!B11</f>
        <v/>
      </c>
      <c r="C1379">
        <f>Inputs!$B$3&gt;=69</f>
        <v/>
      </c>
      <c r="D1379">
        <f>IF(Skills!C11=1,60+Inputs!$B$26+Inputs!$B$30,IF(Skills!C11=2,90+Inputs!$B$27+Inputs!$B$30,IF(Skills!C11=3,120+Inputs!$B$28+Inputs!$B$30,MAX(0,(Inputs!$B$3-100)*3)+Inputs!$B$29+Inputs!$B$30)))</f>
        <v/>
      </c>
      <c r="E1379">
        <f>INDEX(FactorTable!$B$2:$Y$301, MATCH(ROUND(MIN(300,MAX(1,D1379)),0), FactorTable!$A$2:$A$301,0), Skills!L11+1)</f>
        <v/>
      </c>
      <c r="F1379">
        <f>IF(Skills!M11=TRUE,(Skills!K11/10)*(E1379/1000),Skills!K11/10)+Skills!N11</f>
        <v/>
      </c>
      <c r="G1379">
        <f>Calc!G11</f>
        <v/>
      </c>
      <c r="H1379">
        <f>Calc!H11</f>
        <v/>
      </c>
      <c r="I1379">
        <f>IF(Skills!T11&lt;&gt;"",1+(Skills!T11/10)*($Z$3/1000)/100,1)</f>
        <v/>
      </c>
      <c r="J1379" t="inlineStr"/>
      <c r="K1379" t="inlineStr"/>
      <c r="L1379" t="inlineStr"/>
      <c r="M1379" t="inlineStr"/>
      <c r="N1379" t="inlineStr"/>
      <c r="O1379">
        <f>(1-Summary!$B$48)*S1379+Summary!$B$48*U1379</f>
        <v/>
      </c>
      <c r="P1379">
        <f>IF(B1410=0,0,O1379/B1410)</f>
        <v/>
      </c>
      <c r="Q1379">
        <f>IFERROR(1/IF(Inputs!$B$39="pvp",15,MAX(0.1,Skills!D11-IF(Skills!E11=TRUE,2.0,0))),0)</f>
        <v/>
      </c>
      <c r="R1379">
        <f>IF(AND(Inputs!$B$39&lt;&gt;"pvp",Inputs!$B$44&gt;0),IF(Inputs!$B$44&lt;=0,0,(INT(Inputs!$B$44/IF(Inputs!$B$39="pvp",15,MAX(0.1,Skills!D11-IF(Skills!E11=TRUE,2.0,0))))+1)),0)</f>
        <v/>
      </c>
      <c r="S1379" t="n">
        <v>0</v>
      </c>
      <c r="U1379" t="n">
        <v>0</v>
      </c>
    </row>
    <row r="1380">
      <c r="A1380">
        <f>Skills!A12</f>
        <v/>
      </c>
      <c r="B1380">
        <f>Skills!B12</f>
        <v/>
      </c>
      <c r="C1380">
        <f>Inputs!$B$3&gt;=72</f>
        <v/>
      </c>
      <c r="D1380">
        <f>IF(Skills!C12=1,60+Inputs!$B$26+Inputs!$B$30,IF(Skills!C12=2,90+Inputs!$B$27+Inputs!$B$30,IF(Skills!C12=3,120+Inputs!$B$28+Inputs!$B$30,MAX(0,(Inputs!$B$3-100)*3)+Inputs!$B$29+Inputs!$B$30)))</f>
        <v/>
      </c>
      <c r="E1380">
        <f>INDEX(FactorTable!$B$2:$Y$301, MATCH(ROUND(MIN(300,MAX(1,D1380)),0), FactorTable!$A$2:$A$301,0), Skills!L12+1)</f>
        <v/>
      </c>
      <c r="F1380">
        <f>IF(Skills!M12=TRUE,(Skills!K12/10)*(E1380/1000),Skills!K12/10)+Skills!N12</f>
        <v/>
      </c>
      <c r="G1380">
        <f>Calc!G12</f>
        <v/>
      </c>
      <c r="H1380">
        <f>Calc!H12</f>
        <v/>
      </c>
      <c r="I1380">
        <f>IF(Skills!T12&lt;&gt;"",1+(Skills!T12/10)*($Z$3/1000)/100,1)</f>
        <v/>
      </c>
      <c r="J1380" t="inlineStr"/>
      <c r="K1380" t="inlineStr"/>
      <c r="L1380" t="inlineStr"/>
      <c r="M1380" t="inlineStr"/>
      <c r="N1380" t="inlineStr"/>
      <c r="O1380">
        <f>(1-Summary!$B$48)*S1380+Summary!$B$48*U1380</f>
        <v/>
      </c>
      <c r="P1380">
        <f>IF(B1410=0,0,O1380/B1410)</f>
        <v/>
      </c>
      <c r="Q1380">
        <f>IFERROR(1/IF(Inputs!$B$39="pvp",15,MAX(0.1,Skills!D12-IF(Skills!E12=TRUE,2.0,0))),0)</f>
        <v/>
      </c>
      <c r="R1380">
        <f>IF(AND(Inputs!$B$39&lt;&gt;"pvp",Inputs!$B$44&gt;0),IF(MAX(0,Inputs!$B$44-B1407)&lt;=0,0,(INT(MAX(0,Inputs!$B$44-B1407)/IF(Inputs!$B$39="pvp",15,MAX(0.1,Skills!D12-IF(Skills!E12=TRUE,2.0,0))))+1)),0)</f>
        <v/>
      </c>
      <c r="S1380" t="n">
        <v>0</v>
      </c>
      <c r="U1380" t="n">
        <v>0</v>
      </c>
    </row>
    <row r="1381">
      <c r="A1381">
        <f>Skills!A13</f>
        <v/>
      </c>
      <c r="B1381">
        <f>Skills!B13</f>
        <v/>
      </c>
      <c r="C1381">
        <f>Inputs!$B$3&gt;=60</f>
        <v/>
      </c>
      <c r="D1381">
        <f>IF(Skills!C13=1,60+Inputs!$B$26+Inputs!$B$30,IF(Skills!C13=2,90+Inputs!$B$27+Inputs!$B$30,IF(Skills!C13=3,120+Inputs!$B$28+Inputs!$B$30,MAX(0,(Inputs!$B$3-100)*3)+Inputs!$B$29+Inputs!$B$30)))</f>
        <v/>
      </c>
      <c r="E1381">
        <f>INDEX(FactorTable!$B$2:$Y$301, MATCH(ROUND(MIN(300,MAX(1,D1381)),0), FactorTable!$A$2:$A$301,0), Skills!L13+1)</f>
        <v/>
      </c>
      <c r="F1381">
        <f>IF(Skills!M13=TRUE,(Skills!K13/10)*(E1381/1000),Skills!K13/10)+Skills!N13</f>
        <v/>
      </c>
      <c r="G1381">
        <f>Calc!G13</f>
        <v/>
      </c>
      <c r="H1381">
        <f>Calc!H13</f>
        <v/>
      </c>
      <c r="I1381">
        <f>IF(Skills!T13&lt;&gt;"",1+(Skills!T13/10)*($Z$3/1000)/100,1)</f>
        <v/>
      </c>
      <c r="J1381" t="inlineStr"/>
      <c r="K1381" t="inlineStr"/>
      <c r="L1381" t="inlineStr"/>
      <c r="M1381" t="inlineStr"/>
      <c r="N1381" t="inlineStr"/>
      <c r="O1381">
        <f>(1-Summary!$B$48)*S1381+Summary!$B$48*U1381</f>
        <v/>
      </c>
      <c r="P1381">
        <f>IF(B1410=0,0,O1381/B1410)</f>
        <v/>
      </c>
      <c r="Q1381">
        <f>IFERROR(1/IF(Inputs!$B$39="pvp",15,MAX(0.1,Skills!D13-IF(Skills!E13=TRUE,2.0,0))),0)</f>
        <v/>
      </c>
      <c r="R1381">
        <f>IF(AND(Inputs!$B$39&lt;&gt;"pvp",Inputs!$B$44&gt;0),IF(MAX(0,Inputs!$B$44-B1407)&lt;=0,0,(INT(MAX(0,Inputs!$B$44-B1407)/IF(Inputs!$B$39="pvp",15,MAX(0.1,Skills!D13-IF(Skills!E13=TRUE,2.0,0))))+1)),0)</f>
        <v/>
      </c>
      <c r="S1381" t="n">
        <v>0</v>
      </c>
      <c r="U1381" t="n">
        <v>0</v>
      </c>
    </row>
    <row r="1382">
      <c r="A1382">
        <f>Skills!A14</f>
        <v/>
      </c>
      <c r="B1382">
        <f>Skills!B14</f>
        <v/>
      </c>
      <c r="C1382">
        <f>Inputs!$B$3&gt;=107</f>
        <v/>
      </c>
      <c r="D1382">
        <f>IF(Skills!C14=1,60+Inputs!$B$26+Inputs!$B$30,IF(Skills!C14=2,90+Inputs!$B$27+Inputs!$B$30,IF(Skills!C14=3,120+Inputs!$B$28+Inputs!$B$30,MAX(0,(Inputs!$B$3-100)*3)+Inputs!$B$29+Inputs!$B$30)))</f>
        <v/>
      </c>
      <c r="E1382">
        <f>INDEX(FactorTable!$B$2:$Y$301, MATCH(ROUND(MIN(300,MAX(1,D1382)),0), FactorTable!$A$2:$A$301,0), Skills!L14+1)</f>
        <v/>
      </c>
      <c r="F1382">
        <f>IF(Skills!M14=TRUE,(Skills!K14/10)*(E1382/1000),Skills!K14/10)+Skills!N14</f>
        <v/>
      </c>
      <c r="G1382">
        <f>Calc!G14</f>
        <v/>
      </c>
      <c r="H1382">
        <f>Calc!H14</f>
        <v/>
      </c>
      <c r="I1382">
        <f>IF(Skills!T14&lt;&gt;"",1+(Skills!T14/10)*($Z$3/1000)/100,1)</f>
        <v/>
      </c>
      <c r="J1382" t="inlineStr"/>
      <c r="K1382" t="inlineStr"/>
      <c r="L1382" t="inlineStr"/>
      <c r="M1382" t="inlineStr"/>
      <c r="N1382" t="inlineStr"/>
      <c r="O1382">
        <f>(1-Summary!$B$48)*S1382+Summary!$B$48*U1382</f>
        <v/>
      </c>
      <c r="P1382">
        <f>IF(B1410=0,0,O1382/B1410)</f>
        <v/>
      </c>
      <c r="Q1382">
        <f>IFERROR(1/IF(Inputs!$B$39="pvp",15,MAX(0.1,Skills!D14-IF(Skills!E14=TRUE,2.0,0))),0)</f>
        <v/>
      </c>
      <c r="R1382">
        <f>IF(AND(Inputs!$B$39&lt;&gt;"pvp",Inputs!$B$44&gt;0),IF(Inputs!$B$44&lt;=0,0,(INT(Inputs!$B$44/IF(Inputs!$B$39="pvp",15,MAX(0.1,Skills!D14-IF(Skills!E14=TRUE,2.0,0))))+1)),0)</f>
        <v/>
      </c>
      <c r="S1382" t="n">
        <v>0</v>
      </c>
      <c r="U1382" t="n">
        <v>0</v>
      </c>
    </row>
    <row r="1383">
      <c r="A1383">
        <f>Skills!A15</f>
        <v/>
      </c>
      <c r="B1383">
        <f>Skills!B15</f>
        <v/>
      </c>
      <c r="C1383">
        <f>Inputs!$B$3&gt;=63</f>
        <v/>
      </c>
      <c r="D1383">
        <f>IF(Skills!C15=1,60+Inputs!$B$26+Inputs!$B$30,IF(Skills!C15=2,90+Inputs!$B$27+Inputs!$B$30,IF(Skills!C15=3,120+Inputs!$B$28+Inputs!$B$30,MAX(0,(Inputs!$B$3-100)*3)+Inputs!$B$29+Inputs!$B$30)))</f>
        <v/>
      </c>
      <c r="E1383">
        <f>INDEX(FactorTable!$B$2:$Y$301, MATCH(ROUND(MIN(300,MAX(1,D1383)),0), FactorTable!$A$2:$A$301,0), Skills!L15+1)</f>
        <v/>
      </c>
      <c r="F1383">
        <f>IF(Skills!M15=TRUE,(Skills!K15/10)*(E1383/1000),Skills!K15/10)+Skills!N15</f>
        <v/>
      </c>
      <c r="G1383">
        <f>Calc!G15</f>
        <v/>
      </c>
      <c r="H1383">
        <f>Calc!H15</f>
        <v/>
      </c>
      <c r="I1383">
        <f>IF(Skills!T15&lt;&gt;"",1+(Skills!T15/10)*($Z$3/1000)/100,1)</f>
        <v/>
      </c>
      <c r="J1383">
        <f>((Inputs!$B$6*(1+Inputs!$B$7/100))+(((Inputs!$B$13*(1+Inputs!$B$14/100))-(Inputs!$B$13*(1+Inputs!$B$14/100)))+0.25*(Inputs!$B$15-Inputs!$B$15))*(1+Inputs!$B$7/100))*(F1383/100)</f>
        <v/>
      </c>
      <c r="K1383">
        <f>J1383*(1+(((Inputs!$B$13+IF(Inputs!$B$3&gt;=35,(10*INDEX(FactorTable!$B$2:$Y$301, MATCH(ROUND(MIN(300,MAX(1,Inputs!$B$3)),0), FactorTable!$A$2:$A$301,0), 23)/1000)/100*(Inputs!$B$8*(1+(Inputs!$B$9+B1406)/100)),0))*(1+Inputs!$B$14/100))*0.01+Inputs!$B$15*0.0025)/100)*(1+(Inputs!$B$16+B1400)/100)*(1+Inputs!$B$17/100)*(5000/(6000+Inputs!$B$43*(1-Inputs!$B$20/100)))*(1+Inputs!$B$25/100)*(1+IF(C1386=TRUE,F1386,0)/100)*(1+IF(C1388=TRUE,F1388,0)/100)*(1+IF(Skills!A15="TRIUMPH_FEATHER",IF(C1384=TRUE,F1384,0),0)/100)*(1+IF(C1395=TRUE,F1395,0)/100)^5*(1+(IF(Skills!A15="BIG_BANG",Inputs!$B$18,Inputs!$B$19))/100)*(B1397*I1383)</f>
        <v/>
      </c>
      <c r="L1383">
        <f>K1383*(MIN(Inputs!$B$23+(F1390-Calc!F22),Inputs!$B$24)/100+Inputs!$B$24/100)/2</f>
        <v/>
      </c>
      <c r="M1383">
        <f>L1383*(1+(Inputs!$B$11+B1401+(F1393-Calc!F25))/100)</f>
        <v/>
      </c>
      <c r="N1383">
        <f>L1383*(1-MIN(Inputs!$B$10+((F1392-Calc!F24)+(F1391-Calc!F23)),100)/100)+M1383*(MIN(Inputs!$B$10+((F1392-Calc!F24)+(F1391-Calc!F23)),100)/100)</f>
        <v/>
      </c>
      <c r="O1383">
        <f>(1-Summary!$B$48)*S1383+Summary!$B$48*U1383</f>
        <v/>
      </c>
      <c r="P1383">
        <f>IF(B1410=0,0,O1383/B1410)</f>
        <v/>
      </c>
      <c r="Q1383">
        <f>IFERROR(1/IF(Inputs!$B$39="pvp",15,MAX(0.1,Skills!D15-IF(Skills!E15=TRUE,2.0,0))),0)</f>
        <v/>
      </c>
      <c r="R1383" t="n">
        <v>0</v>
      </c>
      <c r="S1383">
        <f>IF(C1383,(Skills!F15*N1383*((IF(Inputs!$B$3&gt;=78,25,15)/100*B1403*10)/(1+IF(Inputs!$B$3&gt;=78,25,15)/100*B1403*10))*(Skills!I15/100*B1403)/(1+Skills!G15*Skills!I15/100*B1403))*IF(Inputs!$B$39="pvp",1,1+(Inputs!$B$21+Skills!O15+B1398)/100),0)</f>
        <v/>
      </c>
      <c r="U1383">
        <f>IF(C1383,(Skills!F15*N1383*((IF(Inputs!$B$3&gt;=78,25,15)/100*B1403*10)/(1+IF(Inputs!$B$3&gt;=78,25,15)/100*B1403*10))*(Skills!I15/100*B1403)/(1+Skills!G15*Skills!I15/100*B1403))*IF(Inputs!$B$39="pvp",1,(1+(Inputs!$B$22+Skills!P15+B1399)/100)*(MIN(Skills!Q15,Inputs!$B$38))),0)</f>
        <v/>
      </c>
    </row>
    <row r="1384">
      <c r="A1384">
        <f>Skills!A16</f>
        <v/>
      </c>
      <c r="B1384">
        <f>Skills!B16</f>
        <v/>
      </c>
      <c r="C1384">
        <f>Inputs!$B$3&gt;=100</f>
        <v/>
      </c>
      <c r="D1384">
        <f>IF(Skills!C16=1,60+Inputs!$B$26+Inputs!$B$30,IF(Skills!C16=2,90+Inputs!$B$27+Inputs!$B$30,IF(Skills!C16=3,120+Inputs!$B$28+Inputs!$B$30,MAX(0,(Inputs!$B$3-100)*3)+Inputs!$B$29+Inputs!$B$30)))</f>
        <v/>
      </c>
      <c r="E1384">
        <f>INDEX(FactorTable!$B$2:$Y$301, MATCH(ROUND(MIN(300,MAX(1,D1384)),0), FactorTable!$A$2:$A$301,0), Skills!L16+1)</f>
        <v/>
      </c>
      <c r="F1384">
        <f>IF(Skills!M16=TRUE,(Skills!K16/10)*(E1384/1000),Skills!K16/10)+Skills!N16</f>
        <v/>
      </c>
      <c r="G1384">
        <f>Calc!G16</f>
        <v/>
      </c>
      <c r="H1384">
        <f>Calc!H16</f>
        <v/>
      </c>
      <c r="I1384">
        <f>IF(Skills!T16&lt;&gt;"",1+(Skills!T16/10)*($Z$3/1000)/100,1)</f>
        <v/>
      </c>
      <c r="J1384" t="inlineStr"/>
      <c r="K1384" t="inlineStr"/>
      <c r="L1384" t="inlineStr"/>
      <c r="M1384" t="inlineStr"/>
      <c r="N1384" t="inlineStr"/>
      <c r="O1384">
        <f>(1-Summary!$B$48)*S1384+Summary!$B$48*U1384</f>
        <v/>
      </c>
      <c r="P1384">
        <f>IF(B1410=0,0,O1384/B1410)</f>
        <v/>
      </c>
      <c r="Q1384">
        <f>IFERROR(1/IF(Inputs!$B$39="pvp",15,MAX(0.1,Skills!D16-IF(Skills!E16=TRUE,2.0,0))),0)</f>
        <v/>
      </c>
      <c r="R1384" t="n">
        <v>0</v>
      </c>
      <c r="S1384" t="n">
        <v>0</v>
      </c>
      <c r="U1384" t="n">
        <v>0</v>
      </c>
    </row>
    <row r="1385">
      <c r="A1385">
        <f>Skills!A17</f>
        <v/>
      </c>
      <c r="B1385">
        <f>Skills!B17</f>
        <v/>
      </c>
      <c r="C1385">
        <f>Inputs!$B$3&gt;=49</f>
        <v/>
      </c>
      <c r="D1385">
        <f>IF(Skills!C17=1,60+Inputs!$B$26+Inputs!$B$30,IF(Skills!C17=2,90+Inputs!$B$27+Inputs!$B$30,IF(Skills!C17=3,120+Inputs!$B$28+Inputs!$B$30,MAX(0,(Inputs!$B$3-100)*3)+Inputs!$B$29+Inputs!$B$30)))</f>
        <v/>
      </c>
      <c r="E1385">
        <f>INDEX(FactorTable!$B$2:$Y$301, MATCH(ROUND(MIN(300,MAX(1,D1385)),0), FactorTable!$A$2:$A$301,0), Skills!L17+1)</f>
        <v/>
      </c>
      <c r="F1385">
        <f>IF(Skills!M17=TRUE,(Skills!K17/10)*(E1385/1000),Skills!K17/10)+Skills!N17</f>
        <v/>
      </c>
      <c r="G1385">
        <f>Calc!G17</f>
        <v/>
      </c>
      <c r="H1385">
        <f>Calc!H17</f>
        <v/>
      </c>
      <c r="I1385">
        <f>IF(Skills!T17&lt;&gt;"",1+(Skills!T17/10)*($Z$3/1000)/100,1)</f>
        <v/>
      </c>
      <c r="J1385" t="inlineStr"/>
      <c r="K1385" t="inlineStr"/>
      <c r="L1385" t="inlineStr"/>
      <c r="M1385" t="inlineStr"/>
      <c r="N1385" t="inlineStr"/>
      <c r="O1385">
        <f>(1-Summary!$B$48)*S1385+Summary!$B$48*U1385</f>
        <v/>
      </c>
      <c r="P1385">
        <f>IF(B1410=0,0,O1385/B1410)</f>
        <v/>
      </c>
      <c r="Q1385">
        <f>IFERROR(1/IF(Inputs!$B$39="pvp",15,MAX(0.1,Skills!D17-IF(Skills!E17=TRUE,2.0,0))),0)</f>
        <v/>
      </c>
      <c r="R1385" t="n">
        <v>0</v>
      </c>
      <c r="S1385" t="n">
        <v>0</v>
      </c>
      <c r="U1385" t="n">
        <v>0</v>
      </c>
    </row>
    <row r="1386">
      <c r="A1386">
        <f>Skills!A18</f>
        <v/>
      </c>
      <c r="B1386">
        <f>Skills!B18</f>
        <v/>
      </c>
      <c r="C1386">
        <f>Inputs!$B$3&gt;=75</f>
        <v/>
      </c>
      <c r="D1386">
        <f>IF(Skills!C18=1,60+Inputs!$B$26+Inputs!$B$30,IF(Skills!C18=2,90+Inputs!$B$27+Inputs!$B$30,IF(Skills!C18=3,120+Inputs!$B$28+Inputs!$B$30,MAX(0,(Inputs!$B$3-100)*3)+Inputs!$B$29+Inputs!$B$30)))</f>
        <v/>
      </c>
      <c r="E1386">
        <f>INDEX(FactorTable!$B$2:$Y$301, MATCH(ROUND(MIN(300,MAX(1,D1386)),0), FactorTable!$A$2:$A$301,0), Skills!L18+1)</f>
        <v/>
      </c>
      <c r="F1386">
        <f>IF(Skills!M18=TRUE,(Skills!K18/10)*(E1386/1000),Skills!K18/10)+Skills!N18</f>
        <v/>
      </c>
      <c r="G1386">
        <f>Calc!G18</f>
        <v/>
      </c>
      <c r="H1386">
        <f>Calc!H18</f>
        <v/>
      </c>
      <c r="I1386">
        <f>IF(Skills!T18&lt;&gt;"",1+(Skills!T18/10)*($Z$3/1000)/100,1)</f>
        <v/>
      </c>
      <c r="J1386" t="inlineStr"/>
      <c r="K1386" t="inlineStr"/>
      <c r="L1386" t="inlineStr"/>
      <c r="M1386" t="inlineStr"/>
      <c r="N1386" t="inlineStr"/>
      <c r="O1386">
        <f>(1-Summary!$B$48)*S1386+Summary!$B$48*U1386</f>
        <v/>
      </c>
      <c r="P1386">
        <f>IF(B1410=0,0,O1386/B1410)</f>
        <v/>
      </c>
      <c r="Q1386">
        <f>IFERROR(1/IF(Inputs!$B$39="pvp",15,MAX(0.1,Skills!D18-IF(Skills!E18=TRUE,2.0,0))),0)</f>
        <v/>
      </c>
      <c r="R1386" t="n">
        <v>0</v>
      </c>
      <c r="S1386" t="n">
        <v>0</v>
      </c>
      <c r="U1386" t="n">
        <v>0</v>
      </c>
    </row>
    <row r="1387">
      <c r="A1387">
        <f>Skills!A19</f>
        <v/>
      </c>
      <c r="B1387">
        <f>Skills!B19</f>
        <v/>
      </c>
      <c r="C1387">
        <f>Inputs!$B$3&gt;=110</f>
        <v/>
      </c>
      <c r="D1387">
        <f>IF(Skills!C19=1,60+Inputs!$B$26+Inputs!$B$30,IF(Skills!C19=2,90+Inputs!$B$27+Inputs!$B$30,IF(Skills!C19=3,120+Inputs!$B$28+Inputs!$B$30,MAX(0,(Inputs!$B$3-100)*3)+Inputs!$B$29+Inputs!$B$30)))</f>
        <v/>
      </c>
      <c r="E1387">
        <f>INDEX(FactorTable!$B$2:$Y$301, MATCH(ROUND(MIN(300,MAX(1,D1387)),0), FactorTable!$A$2:$A$301,0), Skills!L19+1)</f>
        <v/>
      </c>
      <c r="F1387">
        <f>(Skills!K19/10)*(E1387/1000)*64/45+Skills!N19</f>
        <v/>
      </c>
      <c r="G1387">
        <f>Calc!G19</f>
        <v/>
      </c>
      <c r="H1387">
        <f>Calc!H19</f>
        <v/>
      </c>
      <c r="I1387">
        <f>IF(Skills!T19&lt;&gt;"",1+(Skills!T19/10)*($Z$3/1000)/100,1)</f>
        <v/>
      </c>
      <c r="J1387" t="inlineStr"/>
      <c r="K1387" t="inlineStr"/>
      <c r="L1387" t="inlineStr"/>
      <c r="M1387" t="inlineStr"/>
      <c r="N1387" t="inlineStr"/>
      <c r="O1387">
        <f>(1-Summary!$B$48)*S1387+Summary!$B$48*U1387</f>
        <v/>
      </c>
      <c r="P1387">
        <f>IF(B1410=0,0,O1387/B1410)</f>
        <v/>
      </c>
      <c r="Q1387">
        <f>IFERROR(1/IF(Inputs!$B$39="pvp",15,MAX(0.1,Skills!D19-IF(Skills!E19=TRUE,2.0,0))),0)</f>
        <v/>
      </c>
      <c r="R1387">
        <f>IF(AND(Inputs!$B$39&lt;&gt;"pvp",Inputs!$B$44&gt;0),IF(Inputs!$B$44&lt;=0,0,(INT(Inputs!$B$44/IF(Inputs!$B$39="pvp",15,MAX(0.1,Skills!D19-IF(Skills!E19=TRUE,2.0,0))))+1)),0)</f>
        <v/>
      </c>
      <c r="S1387" t="n">
        <v>0</v>
      </c>
      <c r="U1387" t="n">
        <v>0</v>
      </c>
    </row>
    <row r="1388">
      <c r="A1388">
        <f>Skills!A20</f>
        <v/>
      </c>
      <c r="B1388">
        <f>Skills!B20</f>
        <v/>
      </c>
      <c r="C1388">
        <f>Inputs!$B$3&gt;=125</f>
        <v/>
      </c>
      <c r="D1388">
        <f>IF(Skills!C20=1,60+Inputs!$B$26+Inputs!$B$30,IF(Skills!C20=2,90+Inputs!$B$27+Inputs!$B$30,IF(Skills!C20=3,120+Inputs!$B$28+Inputs!$B$30,MAX(0,(Inputs!$B$3-100)*3)+Inputs!$B$29+Inputs!$B$30)))</f>
        <v/>
      </c>
      <c r="E1388">
        <f>INDEX(FactorTable!$B$2:$Y$301, MATCH(ROUND(MIN(300,MAX(1,D1388)),0), FactorTable!$A$2:$A$301,0), Skills!L20+1)</f>
        <v/>
      </c>
      <c r="F1388">
        <f>IF(Skills!M20=TRUE,(Skills!K20/10)*(E1388/1000),Skills!K20/10)+Skills!N20</f>
        <v/>
      </c>
      <c r="G1388">
        <f>Calc!G20</f>
        <v/>
      </c>
      <c r="H1388">
        <f>Calc!H20</f>
        <v/>
      </c>
      <c r="I1388">
        <f>IF(Skills!T20&lt;&gt;"",1+(Skills!T20/10)*($Z$3/1000)/100,1)</f>
        <v/>
      </c>
      <c r="J1388" t="inlineStr"/>
      <c r="K1388" t="inlineStr"/>
      <c r="L1388" t="inlineStr"/>
      <c r="M1388" t="inlineStr"/>
      <c r="N1388" t="inlineStr"/>
      <c r="O1388">
        <f>(1-Summary!$B$48)*S1388+Summary!$B$48*U1388</f>
        <v/>
      </c>
      <c r="P1388">
        <f>IF(B1410=0,0,O1388/B1410)</f>
        <v/>
      </c>
      <c r="Q1388">
        <f>IFERROR(1/IF(Inputs!$B$39="pvp",15,MAX(0.1,Skills!D20-IF(Skills!E20=TRUE,2.0,0))),0)</f>
        <v/>
      </c>
      <c r="R1388" t="n">
        <v>0</v>
      </c>
      <c r="S1388" t="n">
        <v>0</v>
      </c>
      <c r="U1388" t="n">
        <v>0</v>
      </c>
    </row>
    <row r="1389">
      <c r="A1389">
        <f>Skills!A21</f>
        <v/>
      </c>
      <c r="B1389">
        <f>Skills!B21</f>
        <v/>
      </c>
      <c r="C1389">
        <f>Inputs!$B$3&gt;=33</f>
        <v/>
      </c>
      <c r="D1389">
        <f>IF(Skills!C21=1,60+Inputs!$B$26+Inputs!$B$30,IF(Skills!C21=2,90+Inputs!$B$27+Inputs!$B$30,IF(Skills!C21=3,120+Inputs!$B$28+Inputs!$B$30,MAX(0,(Inputs!$B$3-100)*3)+Inputs!$B$29+Inputs!$B$30)))</f>
        <v/>
      </c>
      <c r="E1389">
        <f>INDEX(FactorTable!$B$2:$Y$301, MATCH(ROUND(MIN(300,MAX(1,D1389)),0), FactorTable!$A$2:$A$301,0), Skills!L21+1)</f>
        <v/>
      </c>
      <c r="F1389">
        <f>IF(Skills!M21=TRUE,(Skills!K21/10)*(E1389/1000),Skills!K21/10)+Skills!N21</f>
        <v/>
      </c>
      <c r="G1389">
        <f>Calc!G21</f>
        <v/>
      </c>
      <c r="H1389">
        <f>Calc!H21</f>
        <v/>
      </c>
      <c r="I1389">
        <f>IF(Skills!T21&lt;&gt;"",1+(Skills!T21/10)*($Z$3/1000)/100,1)</f>
        <v/>
      </c>
      <c r="J1389" t="inlineStr"/>
      <c r="K1389" t="inlineStr"/>
      <c r="L1389" t="inlineStr"/>
      <c r="M1389" t="inlineStr"/>
      <c r="N1389" t="inlineStr"/>
      <c r="O1389">
        <f>(1-Summary!$B$48)*S1389+Summary!$B$48*U1389</f>
        <v/>
      </c>
      <c r="P1389">
        <f>IF(B1410=0,0,O1389/B1410)</f>
        <v/>
      </c>
      <c r="Q1389">
        <f>IFERROR(1/IF(Inputs!$B$39="pvp",15,MAX(0.1,Skills!D21-IF(Skills!E21=TRUE,2.0,0))),0)</f>
        <v/>
      </c>
      <c r="R1389" t="n">
        <v>0</v>
      </c>
      <c r="S1389" t="n">
        <v>0</v>
      </c>
      <c r="U1389" t="n">
        <v>0</v>
      </c>
    </row>
    <row r="1390">
      <c r="A1390">
        <f>Skills!A22</f>
        <v/>
      </c>
      <c r="B1390">
        <f>Skills!B22</f>
        <v/>
      </c>
      <c r="C1390">
        <f>Inputs!$B$3&gt;=43</f>
        <v/>
      </c>
      <c r="D1390">
        <f>IF(Skills!C22=1,60+Inputs!$B$26+Inputs!$B$30,IF(Skills!C22=2,90+Inputs!$B$27+Inputs!$B$30,IF(Skills!C22=3,120+Inputs!$B$28+Inputs!$B$30,MAX(0,(Inputs!$B$3-100)*3)+Inputs!$B$29+Inputs!$B$30)))</f>
        <v/>
      </c>
      <c r="E1390">
        <f>INDEX(FactorTable!$B$2:$Y$301, MATCH(ROUND(MIN(300,MAX(1,D1390)),0), FactorTable!$A$2:$A$301,0), Skills!L22+1)</f>
        <v/>
      </c>
      <c r="F1390">
        <f>IF(Skills!M22=TRUE,(Skills!K22/10)*(E1390/1000),Skills!K22/10)+Skills!N22</f>
        <v/>
      </c>
      <c r="G1390">
        <f>Calc!G22</f>
        <v/>
      </c>
      <c r="H1390">
        <f>Calc!H22</f>
        <v/>
      </c>
      <c r="I1390">
        <f>IF(Skills!T22&lt;&gt;"",1+(Skills!T22/10)*($Z$3/1000)/100,1)</f>
        <v/>
      </c>
      <c r="J1390" t="inlineStr"/>
      <c r="K1390" t="inlineStr"/>
      <c r="L1390" t="inlineStr"/>
      <c r="M1390" t="inlineStr"/>
      <c r="N1390" t="inlineStr"/>
      <c r="O1390">
        <f>(1-Summary!$B$48)*S1390+Summary!$B$48*U1390</f>
        <v/>
      </c>
      <c r="P1390">
        <f>IF(B1410=0,0,O1390/B1410)</f>
        <v/>
      </c>
      <c r="Q1390">
        <f>IFERROR(1/IF(Inputs!$B$39="pvp",15,MAX(0.1,Skills!D22-IF(Skills!E22=TRUE,2.0,0))),0)</f>
        <v/>
      </c>
      <c r="R1390" t="n">
        <v>0</v>
      </c>
      <c r="S1390" t="n">
        <v>0</v>
      </c>
      <c r="U1390" t="n">
        <v>0</v>
      </c>
    </row>
    <row r="1391">
      <c r="A1391">
        <f>Skills!A23</f>
        <v/>
      </c>
      <c r="B1391">
        <f>Skills!B23</f>
        <v/>
      </c>
      <c r="C1391">
        <f>Inputs!$B$3&gt;=50</f>
        <v/>
      </c>
      <c r="D1391">
        <f>IF(Skills!C23=1,60+Inputs!$B$26+Inputs!$B$30,IF(Skills!C23=2,90+Inputs!$B$27+Inputs!$B$30,IF(Skills!C23=3,120+Inputs!$B$28+Inputs!$B$30,MAX(0,(Inputs!$B$3-100)*3)+Inputs!$B$29+Inputs!$B$30)))</f>
        <v/>
      </c>
      <c r="E1391">
        <f>INDEX(FactorTable!$B$2:$Y$301, MATCH(ROUND(MIN(300,MAX(1,D1391)),0), FactorTable!$A$2:$A$301,0), Skills!L23+1)</f>
        <v/>
      </c>
      <c r="F1391">
        <f>IF(Skills!M23=TRUE,(Skills!K23/10)*(E1391/1000),Skills!K23/10)+Skills!N23</f>
        <v/>
      </c>
      <c r="G1391">
        <f>Calc!G23</f>
        <v/>
      </c>
      <c r="H1391">
        <f>Calc!H23</f>
        <v/>
      </c>
      <c r="I1391">
        <f>IF(Skills!T23&lt;&gt;"",1+(Skills!T23/10)*($Z$3/1000)/100,1)</f>
        <v/>
      </c>
      <c r="J1391" t="inlineStr"/>
      <c r="K1391" t="inlineStr"/>
      <c r="L1391" t="inlineStr"/>
      <c r="M1391" t="inlineStr"/>
      <c r="N1391" t="inlineStr"/>
      <c r="O1391">
        <f>(1-Summary!$B$48)*S1391+Summary!$B$48*U1391</f>
        <v/>
      </c>
      <c r="P1391">
        <f>IF(B1410=0,0,O1391/B1410)</f>
        <v/>
      </c>
      <c r="Q1391">
        <f>IFERROR(1/IF(Inputs!$B$39="pvp",15,MAX(0.1,Skills!D23-IF(Skills!E23=TRUE,2.0,0))),0)</f>
        <v/>
      </c>
      <c r="R1391" t="n">
        <v>0</v>
      </c>
      <c r="S1391" t="n">
        <v>0</v>
      </c>
      <c r="U1391" t="n">
        <v>0</v>
      </c>
    </row>
    <row r="1392">
      <c r="A1392">
        <f>Skills!A24</f>
        <v/>
      </c>
      <c r="B1392">
        <f>Skills!B24</f>
        <v/>
      </c>
      <c r="C1392">
        <f>Inputs!$B$3&gt;=74</f>
        <v/>
      </c>
      <c r="D1392">
        <f>IF(Skills!C24=1,60+Inputs!$B$26+Inputs!$B$30,IF(Skills!C24=2,90+Inputs!$B$27+Inputs!$B$30,IF(Skills!C24=3,120+Inputs!$B$28+Inputs!$B$30,MAX(0,(Inputs!$B$3-100)*3)+Inputs!$B$29+Inputs!$B$30)))</f>
        <v/>
      </c>
      <c r="E1392">
        <f>INDEX(FactorTable!$B$2:$Y$301, MATCH(ROUND(MIN(300,MAX(1,D1392)),0), FactorTable!$A$2:$A$301,0), Skills!L24+1)</f>
        <v/>
      </c>
      <c r="F1392">
        <f>IF(Skills!M24=TRUE,(Skills!K24/10)*(E1392/1000),Skills!K24/10)+Skills!N24</f>
        <v/>
      </c>
      <c r="G1392">
        <f>Calc!G24</f>
        <v/>
      </c>
      <c r="H1392">
        <f>Calc!H24</f>
        <v/>
      </c>
      <c r="I1392">
        <f>IF(Skills!T24&lt;&gt;"",1+(Skills!T24/10)*($Z$3/1000)/100,1)</f>
        <v/>
      </c>
      <c r="J1392" t="inlineStr"/>
      <c r="K1392" t="inlineStr"/>
      <c r="L1392" t="inlineStr"/>
      <c r="M1392" t="inlineStr"/>
      <c r="N1392" t="inlineStr"/>
      <c r="O1392">
        <f>(1-Summary!$B$48)*S1392+Summary!$B$48*U1392</f>
        <v/>
      </c>
      <c r="P1392">
        <f>IF(B1410=0,0,O1392/B1410)</f>
        <v/>
      </c>
      <c r="Q1392">
        <f>IFERROR(1/IF(Inputs!$B$39="pvp",15,MAX(0.1,Skills!D24-IF(Skills!E24=TRUE,2.0,0))),0)</f>
        <v/>
      </c>
      <c r="R1392" t="n">
        <v>0</v>
      </c>
      <c r="S1392" t="n">
        <v>0</v>
      </c>
      <c r="U1392" t="n">
        <v>0</v>
      </c>
    </row>
    <row r="1393">
      <c r="A1393">
        <f>Skills!A25</f>
        <v/>
      </c>
      <c r="B1393">
        <f>Skills!B25</f>
        <v/>
      </c>
      <c r="C1393">
        <f>Inputs!$B$3&gt;=74</f>
        <v/>
      </c>
      <c r="D1393">
        <f>IF(Skills!C25=1,60+Inputs!$B$26+Inputs!$B$30,IF(Skills!C25=2,90+Inputs!$B$27+Inputs!$B$30,IF(Skills!C25=3,120+Inputs!$B$28+Inputs!$B$30,MAX(0,(Inputs!$B$3-100)*3)+Inputs!$B$29+Inputs!$B$30)))</f>
        <v/>
      </c>
      <c r="E1393">
        <f>INDEX(FactorTable!$B$2:$Y$301, MATCH(ROUND(MIN(300,MAX(1,D1393)),0), FactorTable!$A$2:$A$301,0), Skills!L25+1)</f>
        <v/>
      </c>
      <c r="F1393">
        <f>IF(Skills!M25=TRUE,(Skills!K25/10)*(E1393/1000),Skills!K25/10)+Skills!N25</f>
        <v/>
      </c>
      <c r="G1393">
        <f>Calc!G25</f>
        <v/>
      </c>
      <c r="H1393">
        <f>Calc!H25</f>
        <v/>
      </c>
      <c r="I1393">
        <f>IF(Skills!T25&lt;&gt;"",1+(Skills!T25/10)*($Z$3/1000)/100,1)</f>
        <v/>
      </c>
      <c r="J1393" t="inlineStr"/>
      <c r="K1393" t="inlineStr"/>
      <c r="L1393" t="inlineStr"/>
      <c r="M1393" t="inlineStr"/>
      <c r="N1393" t="inlineStr"/>
      <c r="O1393">
        <f>(1-Summary!$B$48)*S1393+Summary!$B$48*U1393</f>
        <v/>
      </c>
      <c r="P1393">
        <f>IF(B1410=0,0,O1393/B1410)</f>
        <v/>
      </c>
      <c r="Q1393">
        <f>IFERROR(1/IF(Inputs!$B$39="pvp",15,MAX(0.1,Skills!D25-IF(Skills!E25=TRUE,2.0,0))),0)</f>
        <v/>
      </c>
      <c r="R1393" t="n">
        <v>0</v>
      </c>
      <c r="S1393" t="n">
        <v>0</v>
      </c>
      <c r="U1393" t="n">
        <v>0</v>
      </c>
    </row>
    <row r="1394">
      <c r="A1394">
        <f>Skills!A26</f>
        <v/>
      </c>
      <c r="B1394">
        <f>Skills!B26</f>
        <v/>
      </c>
      <c r="C1394">
        <f>Inputs!$B$3&gt;=117</f>
        <v/>
      </c>
      <c r="D1394">
        <f>IF(Skills!C26=1,60+Inputs!$B$26+Inputs!$B$30,IF(Skills!C26=2,90+Inputs!$B$27+Inputs!$B$30,IF(Skills!C26=3,120+Inputs!$B$28+Inputs!$B$30,MAX(0,(Inputs!$B$3-100)*3)+Inputs!$B$29+Inputs!$B$30)))</f>
        <v/>
      </c>
      <c r="E1394">
        <f>INDEX(FactorTable!$B$2:$Y$301, MATCH(ROUND(MIN(300,MAX(1,D1394)),0), FactorTable!$A$2:$A$301,0), Skills!L26+1)</f>
        <v/>
      </c>
      <c r="F1394">
        <f>IF(Skills!M26=TRUE,(Skills!K26/10)*(E1394/1000),Skills!K26/10)+Skills!N26</f>
        <v/>
      </c>
      <c r="G1394">
        <f>Calc!G26</f>
        <v/>
      </c>
      <c r="H1394">
        <f>Calc!H26</f>
        <v/>
      </c>
      <c r="I1394">
        <f>IF(Skills!T26&lt;&gt;"",1+(Skills!T26/10)*($Z$3/1000)/100,1)</f>
        <v/>
      </c>
      <c r="J1394" t="inlineStr"/>
      <c r="K1394" t="inlineStr"/>
      <c r="L1394" t="inlineStr"/>
      <c r="M1394" t="inlineStr"/>
      <c r="N1394" t="inlineStr"/>
      <c r="O1394">
        <f>(1-Summary!$B$48)*S1394+Summary!$B$48*U1394</f>
        <v/>
      </c>
      <c r="P1394">
        <f>IF(B1410=0,0,O1394/B1410)</f>
        <v/>
      </c>
      <c r="Q1394">
        <f>IFERROR(1/IF(Inputs!$B$39="pvp",15,MAX(0.1,Skills!D26-IF(Skills!E26=TRUE,2.0,0))),0)</f>
        <v/>
      </c>
      <c r="R1394" t="n">
        <v>0</v>
      </c>
      <c r="S1394" t="n">
        <v>0</v>
      </c>
      <c r="U1394" t="n">
        <v>0</v>
      </c>
    </row>
    <row r="1395">
      <c r="A1395">
        <f>Skills!A27</f>
        <v/>
      </c>
      <c r="B1395">
        <f>Skills!B27</f>
        <v/>
      </c>
      <c r="C1395">
        <f>Inputs!$B$3&gt;=120</f>
        <v/>
      </c>
      <c r="D1395">
        <f>IF(Skills!C27=1,60+Inputs!$B$26+Inputs!$B$30,IF(Skills!C27=2,90+Inputs!$B$27+Inputs!$B$30,IF(Skills!C27=3,120+Inputs!$B$28+Inputs!$B$30,MAX(0,(Inputs!$B$3-100)*3)+Inputs!$B$29+Inputs!$B$30)))</f>
        <v/>
      </c>
      <c r="E1395">
        <f>INDEX(FactorTable!$B$2:$Y$301, MATCH(ROUND(MIN(300,MAX(1,D1395)),0), FactorTable!$A$2:$A$301,0), Skills!L27+1)</f>
        <v/>
      </c>
      <c r="F1395">
        <f>IF(Skills!M27=TRUE,(Skills!K27/10)*(E1395/1000),Skills!K27/10)+Skills!N27</f>
        <v/>
      </c>
      <c r="G1395">
        <f>Calc!G27</f>
        <v/>
      </c>
      <c r="H1395">
        <f>Calc!H27</f>
        <v/>
      </c>
      <c r="I1395">
        <f>IF(Skills!T27&lt;&gt;"",1+(Skills!T27/10)*($Z$3/1000)/100,1)</f>
        <v/>
      </c>
      <c r="J1395" t="inlineStr"/>
      <c r="K1395" t="inlineStr"/>
      <c r="L1395" t="inlineStr"/>
      <c r="M1395" t="inlineStr"/>
      <c r="N1395" t="inlineStr"/>
      <c r="O1395">
        <f>(1-Summary!$B$48)*S1395+Summary!$B$48*U1395</f>
        <v/>
      </c>
      <c r="P1395">
        <f>IF(B1410=0,0,O1395/B1410)</f>
        <v/>
      </c>
      <c r="Q1395">
        <f>IFERROR(1/IF(Inputs!$B$39="pvp",15,MAX(0.1,Skills!D27-IF(Skills!E27=TRUE,2.0,0))),0)</f>
        <v/>
      </c>
      <c r="R1395" t="n">
        <v>0</v>
      </c>
      <c r="S1395" t="n">
        <v>0</v>
      </c>
      <c r="U1395" t="n">
        <v>0</v>
      </c>
    </row>
    <row r="1397">
      <c r="A1397" t="inlineStr">
        <is>
          <t>Average Buff Multiplier</t>
        </is>
      </c>
      <c r="B1397">
        <f>(1+(IF(C1371=TRUE,F1371*IF(AND(Inputs!$B$39&lt;&gt;"pvp",Inputs!$B$44&gt;0),(((R1371-1)*(Skills!S3*(1+(Inputs!$B$35+IF(Inputs!$B$3&gt;=117,F1394,0))/100))+MIN((Skills!S3*(1+(Inputs!$B$35+IF(Inputs!$B$3&gt;=117,F1394,0))/100)),MAX(0,Inputs!$B$44-((R1371-1)*Skills!D3))))/Inputs!$B$44),IF(Inputs!$B$39="pvp",MIN((Skills!S3*(1+(Inputs!$B$35+IF(Inputs!$B$3&gt;=117,F1394,0))/100)),15)/15,(Skills!S3*(1+(Inputs!$B$35+IF(Inputs!$B$3&gt;=117,F1394,0))/100))/Skills!D3)),0)+IF(C1372=TRUE,F1372*IF(AND(Inputs!$B$39&lt;&gt;"pvp",Inputs!$B$44&gt;0),(((R1372-1)*(Skills!S4*(1+(Inputs!$B$35+IF(Inputs!$B$3&gt;=117,F1394,0))/100))+MIN((Skills!S4*(1+(Inputs!$B$35+IF(Inputs!$B$3&gt;=117,F1394,0))/100)),MAX(0,Inputs!$B$44-((R1372-1)*Skills!D4))))/Inputs!$B$44),IF(Inputs!$B$39="pvp",MIN((Skills!S4*(1+(Inputs!$B$35+IF(Inputs!$B$3&gt;=117,F1394,0))/100)),15)/15,(Skills!S4*(1+(Inputs!$B$35+IF(Inputs!$B$3&gt;=117,F1394,0))/100))/Skills!D4)),0)+IF(C1373=TRUE,F1373*IF(AND(Inputs!$B$39&lt;&gt;"pvp",Inputs!$B$44&gt;0),(((R1373-1)*(Skills!S5*(1+(Inputs!$B$35+IF(Inputs!$B$3&gt;=117,F1394,0))/100))+MIN((Skills!S5*(1+(Inputs!$B$35+IF(Inputs!$B$3&gt;=117,F1394,0))/100)),MAX(0,Inputs!$B$44-((R1373-1)*Skills!D5))))/Inputs!$B$44),IF(Inputs!$B$39="pvp",MIN((Skills!S5*(1+(Inputs!$B$35+IF(Inputs!$B$3&gt;=117,F1394,0))/100)),15)/15,(Skills!S5*(1+(Inputs!$B$35+IF(Inputs!$B$3&gt;=117,F1394,0))/100))/Skills!D5)),0)+IF(C1379=TRUE,F1379*IF(AND(Inputs!$B$39&lt;&gt;"pvp",Inputs!$B$44&gt;0),(((R1379-1)*(Skills!S11*(1+(Inputs!$B$35+IF(Inputs!$B$3&gt;=117,F1394,0))/100))+MIN((Skills!S11*(1+(Inputs!$B$35+IF(Inputs!$B$3&gt;=117,F1394,0))/100)),MAX(0,Inputs!$B$44-((R1379-1)*Skills!D11))))/Inputs!$B$44),IF(Inputs!$B$39="pvp",MIN((Skills!S11*(1+(Inputs!$B$35+IF(Inputs!$B$3&gt;=117,F1394,0))/100)),15)/15,(Skills!S11*(1+(Inputs!$B$35+IF(Inputs!$B$3&gt;=117,F1394,0))/100))/Skills!D11)),0))/100)*IF(C1382=TRUE,(1+F1382*IF(AND(Inputs!$B$39&lt;&gt;"pvp",Inputs!$B$44&gt;0),(((R1382-1)*(Skills!S14*(1+(Inputs!$B$35+IF(Inputs!$B$3&gt;=117,F1394,0))/100))+MIN((Skills!S14*(1+(Inputs!$B$35+IF(Inputs!$B$3&gt;=117,F1394,0))/100)),MAX(0,Inputs!$B$44-((R1382-1)*Skills!D14))))/Inputs!$B$44),IF(Inputs!$B$39="pvp",MIN((Skills!S14*(1+(Inputs!$B$35+IF(Inputs!$B$3&gt;=117,F1394,0))/100)),15)/15,(Skills!S14*(1+(Inputs!$B$35+IF(Inputs!$B$3&gt;=117,F1394,0))/100))/Skills!D14))/100),1)*IF(C1387=TRUE,(1+F1387*IF(AND(Inputs!$B$39&lt;&gt;"pvp",Inputs!$B$44&gt;0),(((R1387-1)*(Skills!S19*(1+(Inputs!$B$35+IF(Inputs!$B$3&gt;=117,F1394,0))/100))+MIN((Skills!S19*(1+(Inputs!$B$35+IF(Inputs!$B$3&gt;=117,F1394,0))/100)),MAX(0,Inputs!$B$44-((R1387-1)*Skills!D19))))/Inputs!$B$44),IF(Inputs!$B$39="pvp",MIN((Skills!S19*(1+(Inputs!$B$35+IF(Inputs!$B$3&gt;=117,F1394,0))/100)),15)/15,(Skills!S19*(1+(Inputs!$B$35+IF(Inputs!$B$3&gt;=117,F1394,0))/100))/Skills!D19))/100),1)</f>
        <v/>
      </c>
    </row>
    <row r="1398">
      <c r="A1398" t="inlineStr">
        <is>
          <t>Monster Damage Taken Bonus % (Holy Fountain)</t>
        </is>
      </c>
      <c r="B1398">
        <f>IF(Inputs!$B$3&gt;=68,20*IF(Inputs!$B$39="pvp",MIN((15*(1+(Inputs!$B$35+IF(Inputs!$B$3&gt;=117,F1394,0))/100)),15)/15,(15*(1+(Inputs!$B$35+IF(Inputs!$B$3&gt;=117,F1394,0))/100))/Skills!D10),0)</f>
        <v/>
      </c>
    </row>
    <row r="1399">
      <c r="A1399" t="inlineStr">
        <is>
          <t>Normal Monster Damage Bonus % (Holy Symbol)</t>
        </is>
      </c>
      <c r="B1399">
        <f>IF(C1380=TRUE,F1380*IF(AND(Inputs!$B$39&lt;&gt;"pvp",Inputs!$B$44&gt;0),(((R1380-1)*(Skills!S12*(1+(Inputs!$B$35+IF(Inputs!$B$3&gt;=117,F1394,0))/100))+MIN((Skills!S12*(1+(Inputs!$B$35+IF(Inputs!$B$3&gt;=117,F1394,0))/100)),MAX(0,Inputs!$B$44-((R1380-1)*Skills!D12))))/Inputs!$B$44),IF(Inputs!$B$39="pvp",MIN((Skills!S12*(1+(Inputs!$B$35+IF(Inputs!$B$3&gt;=117,F1394,0))/100)),15)/15,(Skills!S12*(1+(Inputs!$B$35+IF(Inputs!$B$3&gt;=117,F1394,0))/100))/Skills!D12)),0)</f>
        <v/>
      </c>
    </row>
    <row r="1400">
      <c r="A1400" t="inlineStr">
        <is>
          <t>Damage % Bonus (Holy Symbol - Damage Boost)</t>
        </is>
      </c>
      <c r="B1400">
        <f>Skills!O12</f>
        <v/>
      </c>
    </row>
    <row r="1401">
      <c r="A1401" t="inlineStr">
        <is>
          <t>Crit Damage % Bonus (Blood of the Divine)</t>
        </is>
      </c>
      <c r="B1401">
        <f>4*IF(C1388=TRUE,F1388,0)</f>
        <v/>
      </c>
    </row>
    <row r="1402">
      <c r="A1402" t="inlineStr">
        <is>
          <t>Attack Speed Bonus %</t>
        </is>
      </c>
      <c r="B1402">
        <f>IF(C1385=TRUE,F1385+(F1389-Calc!F21),0)+IF(Inputs!$B$3&gt;=134,15,0)</f>
        <v/>
      </c>
    </row>
    <row r="1403">
      <c r="A1403" t="inlineStr">
        <is>
          <t>Actions Per Second</t>
        </is>
      </c>
      <c r="B1403">
        <f>1+MIN(150,150*(1-(1-Inputs!$B$12/150)*(1-B1402/150)))/100</f>
        <v/>
      </c>
    </row>
    <row r="1404">
      <c r="A1404" t="inlineStr">
        <is>
          <t>Skill + Buff Cast Rate</t>
        </is>
      </c>
      <c r="B1404">
        <f>IF(AND(Inputs!$B$39&lt;&gt;"pvp",Inputs!$B$44&gt;0),SUMPRODUCT((Skills!E2:E27=TRUE)*(C1370:C1395=TRUE)*R1370:R1395)/Inputs!$B$44,SUMPRODUCT((Skills!E2:E27=TRUE)*(C1370:C1395=TRUE)*Q1370:Q1395))</f>
        <v/>
      </c>
    </row>
    <row r="1405">
      <c r="A1405" t="inlineStr">
        <is>
          <t>Big Bang Casts Per Second</t>
        </is>
      </c>
      <c r="B1405">
        <f>MAX(0,B1403-B1404)</f>
        <v/>
      </c>
    </row>
    <row r="1406">
      <c r="A1406" t="inlineStr">
        <is>
          <t>Defense % Bonus (Divine Protection)</t>
        </is>
      </c>
      <c r="B1406">
        <f>IF(C1381=TRUE,F1381*IF(AND(Inputs!$B$39&lt;&gt;"pvp",Inputs!$B$44&gt;0),(((R1381-1)*(Skills!S13*(1+(Inputs!$B$35+IF(Inputs!$B$3&gt;=117,F1394,0))/100))+MIN((Skills!S13*(1+(Inputs!$B$35+IF(Inputs!$B$3&gt;=117,F1394,0))/100)),MAX(0,Inputs!$B$44-((R1381-1)*Skills!D13))))/Inputs!$B$44),IF(Inputs!$B$39="pvp",MIN((Skills!S13*(1+(Inputs!$B$35+IF(Inputs!$B$3&gt;=117,F1394,0))/100)),15)/15,(Skills!S13*(1+(Inputs!$B$35+IF(Inputs!$B$3&gt;=117,F1394,0))/100))/Skills!D13)),0)</f>
        <v/>
      </c>
    </row>
    <row r="1407">
      <c r="A1407" t="inlineStr">
        <is>
          <t>Buff-Casting Startup Delay (s, fixed-duration only)</t>
        </is>
      </c>
      <c r="B1407">
        <f>IF(AND(Inputs!$B$39&lt;&gt;"pvp",Inputs!$B$44&gt;0),SUMPRODUCT((Skills!S2:S27&gt;0)*(Skills!E2:E27=TRUE)*(C1370:C1395=TRUE))/B1403,0)</f>
        <v/>
      </c>
    </row>
    <row r="1408">
      <c r="A1408" t="inlineStr">
        <is>
          <t>Boss-Only Total DPS (this block's swept value)</t>
        </is>
      </c>
      <c r="B1408">
        <f>SUM(S1370:S1395)</f>
        <v/>
      </c>
    </row>
    <row r="1409">
      <c r="A1409" t="inlineStr">
        <is>
          <t>Normal-Only Total DPS (this block's swept value)</t>
        </is>
      </c>
      <c r="B1409">
        <f>SUM(U1370:U1395)</f>
        <v/>
      </c>
    </row>
    <row r="1410">
      <c r="A1410" s="5" t="inlineStr">
        <is>
          <t>TOTAL DPS</t>
        </is>
      </c>
      <c r="B1410" s="5">
        <f>SUM(O1370:O1395)</f>
        <v/>
      </c>
    </row>
    <row r="1412">
      <c r="A1412" s="5" t="inlineStr">
        <is>
          <t>Stat: CDR = 2.5s</t>
        </is>
      </c>
    </row>
    <row r="1413">
      <c r="A1413" s="9" t="inlineStr">
        <is>
          <t>Key</t>
        </is>
      </c>
      <c r="B1413" s="9" t="inlineStr">
        <is>
          <t>Name</t>
        </is>
      </c>
      <c r="C1413" s="9" t="inlineStr">
        <is>
          <t>Unlocked</t>
        </is>
      </c>
      <c r="D1413" s="9" t="inlineStr">
        <is>
          <t>InputLevel</t>
        </is>
      </c>
      <c r="E1413" s="9" t="inlineStr">
        <is>
          <t>Factor</t>
        </is>
      </c>
      <c r="F1413" s="9" t="inlineStr">
        <is>
          <t>CoefficientPercent</t>
        </is>
      </c>
      <c r="G1413" s="9" t="inlineStr">
        <is>
          <t>EffectiveHits</t>
        </is>
      </c>
      <c r="H1413" s="9" t="inlineStr">
        <is>
          <t>ProcProbability</t>
        </is>
      </c>
      <c r="I1413" s="9" t="inlineStr">
        <is>
          <t>MapleHeroMultiplier</t>
        </is>
      </c>
      <c r="J1413" s="9" t="inlineStr">
        <is>
          <t>BaseDamage</t>
        </is>
      </c>
      <c r="K1413" s="9" t="inlineStr">
        <is>
          <t>BaseHitDamage</t>
        </is>
      </c>
      <c r="L1413" s="9" t="inlineStr">
        <is>
          <t>NonCritAvg</t>
        </is>
      </c>
      <c r="M1413" s="9" t="inlineStr">
        <is>
          <t>CritAvg</t>
        </is>
      </c>
      <c r="N1413" s="9" t="inlineStr">
        <is>
          <t>ExpectedDamage(perHit)</t>
        </is>
      </c>
      <c r="O1413" s="9" t="inlineStr">
        <is>
          <t>DPS</t>
        </is>
      </c>
      <c r="P1413" s="9" t="inlineStr">
        <is>
          <t>% of Total</t>
        </is>
      </c>
      <c r="R1413" t="inlineStr">
        <is>
          <t>helpers</t>
        </is>
      </c>
    </row>
    <row r="1414">
      <c r="A1414">
        <f>Skills!A2</f>
        <v/>
      </c>
      <c r="B1414">
        <f>Skills!B2</f>
        <v/>
      </c>
      <c r="C1414">
        <f>Inputs!$B$3&gt;=100</f>
        <v/>
      </c>
      <c r="D1414" t="inlineStr"/>
      <c r="E1414" t="inlineStr"/>
      <c r="F1414">
        <f>T1416+Skills!N2</f>
        <v/>
      </c>
      <c r="G1414">
        <f>Calc!G2</f>
        <v/>
      </c>
      <c r="H1414">
        <f>Calc!H2</f>
        <v/>
      </c>
      <c r="I1414">
        <f>IF(Skills!T2&lt;&gt;"",1+(Skills!T2/10)*($Z$3/1000)/100,1)</f>
        <v/>
      </c>
      <c r="J1414">
        <f>((Inputs!$B$6*(1+Inputs!$B$7/100))+(((Inputs!$B$13*(1+Inputs!$B$14/100))-(Inputs!$B$13*(1+Inputs!$B$14/100)))+0.25*(Inputs!$B$15-Inputs!$B$15))*(1+Inputs!$B$7/100))*(F1414/100)</f>
        <v/>
      </c>
      <c r="K1414">
        <f>J1414*(1+(((Inputs!$B$13+IF(Inputs!$B$3&gt;=35,(10*INDEX(FactorTable!$B$2:$Y$301, MATCH(ROUND(MIN(300,MAX(1,Inputs!$B$3)),0), FactorTable!$A$2:$A$301,0), 23)/1000)/100*(Inputs!$B$8*(1+(Inputs!$B$9+B1450)/100)),0))*(1+Inputs!$B$14/100))*0.01+Inputs!$B$15*0.0025)/100)*(1+(Inputs!$B$16+B1444)/100)*(1+Inputs!$B$17/100)*(5000/(6000+Inputs!$B$43*(1-Inputs!$B$20/100)))*(1+Inputs!$B$25/100)*(1+IF(C1430=TRUE,F1430,0)/100)*(1+IF(C1432=TRUE,F1432,0)/100)*(1+IF(Skills!A2="TRIUMPH_FEATHER",IF(C1428=TRUE,F1428,0),0)/100)*(1+IF(C1439=TRUE,F1439,0)/100)^5*(1+(IF(Skills!A2="BIG_BANG",Inputs!$B$18,Inputs!$B$19))/100)*(B1441*I1414)</f>
        <v/>
      </c>
      <c r="L1414">
        <f>K1414*(MIN(Inputs!$B$23+(F1434-Calc!F22),Inputs!$B$24)/100+Inputs!$B$24/100)/2</f>
        <v/>
      </c>
      <c r="M1414">
        <f>L1414*(1+(Inputs!$B$11+B1445+(F1437-Calc!F25))/100)</f>
        <v/>
      </c>
      <c r="N1414">
        <f>L1414*(1-MIN(Inputs!$B$10+((F1436-Calc!F24)+(F1435-Calc!F23)),100)/100)+M1414*(MIN(Inputs!$B$10+((F1436-Calc!F24)+(F1435-Calc!F23)),100)/100)</f>
        <v/>
      </c>
      <c r="O1414">
        <f>(1-Summary!$B$48)*S1414+Summary!$B$48*U1414</f>
        <v/>
      </c>
      <c r="P1414">
        <f>IF(B1454=0,0,O1414/B1454)</f>
        <v/>
      </c>
      <c r="Q1414">
        <f>IFERROR(1/IF(Inputs!$B$39="pvp",15,MAX(0.1,Skills!D2-IF(Skills!E2=TRUE,2.5,0))),0)</f>
        <v/>
      </c>
      <c r="R1414" t="n">
        <v>0</v>
      </c>
      <c r="S1414">
        <f>IF(C1414,(Skills!F2*N1414*B1449)*IF(Inputs!$B$39="pvp",1,1+(Inputs!$B$21+Skills!O2+B1442)/100),0)</f>
        <v/>
      </c>
      <c r="T1414">
        <f>MAX(0,(Inputs!$B$3-100)*3)+Inputs!$B$29+Inputs!$B$30</f>
        <v/>
      </c>
      <c r="U1414">
        <f>IF(C1414,(Skills!F2*N1414*B1449)*IF(Inputs!$B$39="pvp",1,(1+(Inputs!$B$22+Skills!P2+B1443)/100)*(MIN((6+Inputs!$B$34),Inputs!$B$38))),0)</f>
        <v/>
      </c>
    </row>
    <row r="1415">
      <c r="A1415">
        <f>Skills!A3</f>
        <v/>
      </c>
      <c r="B1415">
        <f>Skills!B3</f>
        <v/>
      </c>
      <c r="C1415">
        <f>Inputs!$B$3&gt;=15</f>
        <v/>
      </c>
      <c r="D1415">
        <f>IF(Skills!C3=1,60+Inputs!$B$26+Inputs!$B$30,IF(Skills!C3=2,90+Inputs!$B$27+Inputs!$B$30,IF(Skills!C3=3,120+Inputs!$B$28+Inputs!$B$30,MAX(0,(Inputs!$B$3-100)*3)+Inputs!$B$29+Inputs!$B$30)))</f>
        <v/>
      </c>
      <c r="E1415">
        <f>INDEX(FactorTable!$B$2:$Y$301, MATCH(ROUND(MIN(300,MAX(1,D1415)),0), FactorTable!$A$2:$A$301,0), Skills!L3+1)</f>
        <v/>
      </c>
      <c r="F1415">
        <f>IF(Skills!M3=TRUE,(Skills!K3/10)*(E1415/1000),Skills!K3/10)+Skills!N3</f>
        <v/>
      </c>
      <c r="G1415">
        <f>Calc!G3</f>
        <v/>
      </c>
      <c r="H1415">
        <f>Calc!H3</f>
        <v/>
      </c>
      <c r="I1415">
        <f>IF(Skills!T3&lt;&gt;"",1+(Skills!T3/10)*($Z$3/1000)/100,1)</f>
        <v/>
      </c>
      <c r="J1415" t="inlineStr"/>
      <c r="K1415" t="inlineStr"/>
      <c r="L1415" t="inlineStr"/>
      <c r="M1415" t="inlineStr"/>
      <c r="N1415" t="inlineStr"/>
      <c r="O1415">
        <f>(1-Summary!$B$48)*S1415+Summary!$B$48*U1415</f>
        <v/>
      </c>
      <c r="P1415">
        <f>IF(B1454=0,0,O1415/B1454)</f>
        <v/>
      </c>
      <c r="Q1415">
        <f>IFERROR(1/IF(Inputs!$B$39="pvp",15,MAX(0.1,Skills!D3-IF(Skills!E3=TRUE,2.5,0))),0)</f>
        <v/>
      </c>
      <c r="R1415">
        <f>IF(AND(Inputs!$B$39&lt;&gt;"pvp",Inputs!$B$44&gt;0),IF(Inputs!$B$44&lt;=0,0,(INT(Inputs!$B$44/IF(Inputs!$B$39="pvp",15,MAX(0.1,Skills!D3-IF(Skills!E3=TRUE,2.5,0))))+1)),0)</f>
        <v/>
      </c>
      <c r="S1415" t="n">
        <v>0</v>
      </c>
      <c r="T1415">
        <f>INDEX(FactorTable!$B$2:$Y$301, MATCH(ROUND(MIN(300,MAX(1,T1414)),0), FactorTable!$A$2:$A$301,0), 22)</f>
        <v/>
      </c>
      <c r="U1415" t="n">
        <v>0</v>
      </c>
    </row>
    <row r="1416">
      <c r="A1416">
        <f>Skills!A4</f>
        <v/>
      </c>
      <c r="B1416">
        <f>Skills!B4</f>
        <v/>
      </c>
      <c r="C1416">
        <f>Inputs!$B$3&gt;=38</f>
        <v/>
      </c>
      <c r="D1416">
        <f>IF(Skills!C4=1,60+Inputs!$B$26+Inputs!$B$30,IF(Skills!C4=2,90+Inputs!$B$27+Inputs!$B$30,IF(Skills!C4=3,120+Inputs!$B$28+Inputs!$B$30,MAX(0,(Inputs!$B$3-100)*3)+Inputs!$B$29+Inputs!$B$30)))</f>
        <v/>
      </c>
      <c r="E1416">
        <f>INDEX(FactorTable!$B$2:$Y$301, MATCH(ROUND(MIN(300,MAX(1,D1416)),0), FactorTable!$A$2:$A$301,0), Skills!L4+1)</f>
        <v/>
      </c>
      <c r="F1416">
        <f>IF(Skills!M4=TRUE,(Skills!K4/10)*(E1416/1000),Skills!K4/10)+Skills!N4</f>
        <v/>
      </c>
      <c r="G1416">
        <f>Calc!G4</f>
        <v/>
      </c>
      <c r="H1416">
        <f>Calc!H4</f>
        <v/>
      </c>
      <c r="I1416">
        <f>IF(Skills!T4&lt;&gt;"",1+(Skills!T4/10)*($Z$3/1000)/100,1)</f>
        <v/>
      </c>
      <c r="J1416" t="inlineStr"/>
      <c r="K1416" t="inlineStr"/>
      <c r="L1416" t="inlineStr"/>
      <c r="M1416" t="inlineStr"/>
      <c r="N1416" t="inlineStr"/>
      <c r="O1416">
        <f>(1-Summary!$B$48)*S1416+Summary!$B$48*U1416</f>
        <v/>
      </c>
      <c r="P1416">
        <f>IF(B1454=0,0,O1416/B1454)</f>
        <v/>
      </c>
      <c r="Q1416">
        <f>IFERROR(1/IF(Inputs!$B$39="pvp",15,MAX(0.1,Skills!D4-IF(Skills!E4=TRUE,2.5,0))),0)</f>
        <v/>
      </c>
      <c r="R1416">
        <f>IF(AND(Inputs!$B$39&lt;&gt;"pvp",Inputs!$B$44&gt;0),IF(Inputs!$B$44&lt;=0,0,(INT(Inputs!$B$44/IF(Inputs!$B$39="pvp",15,MAX(0.1,Skills!D4-IF(Skills!E4=TRUE,2.5,0))))+1)),0)</f>
        <v/>
      </c>
      <c r="S1416" t="n">
        <v>0</v>
      </c>
      <c r="T1416">
        <f>290*T1415/1000</f>
        <v/>
      </c>
      <c r="U1416" t="n">
        <v>0</v>
      </c>
    </row>
    <row r="1417">
      <c r="A1417">
        <f>Skills!A5</f>
        <v/>
      </c>
      <c r="B1417">
        <f>Skills!B5</f>
        <v/>
      </c>
      <c r="C1417">
        <f>Inputs!$B$3&gt;=40</f>
        <v/>
      </c>
      <c r="D1417">
        <f>IF(Skills!C5=1,60+Inputs!$B$26+Inputs!$B$30,IF(Skills!C5=2,90+Inputs!$B$27+Inputs!$B$30,IF(Skills!C5=3,120+Inputs!$B$28+Inputs!$B$30,MAX(0,(Inputs!$B$3-100)*3)+Inputs!$B$29+Inputs!$B$30)))</f>
        <v/>
      </c>
      <c r="E1417">
        <f>INDEX(FactorTable!$B$2:$Y$301, MATCH(ROUND(MIN(300,MAX(1,D1417)),0), FactorTable!$A$2:$A$301,0), Skills!L5+1)</f>
        <v/>
      </c>
      <c r="F1417">
        <f>IF(Skills!M5=TRUE,(Skills!K5/10)*(E1417/1000),Skills!K5/10)+Skills!N5</f>
        <v/>
      </c>
      <c r="G1417">
        <f>Calc!G5</f>
        <v/>
      </c>
      <c r="H1417">
        <f>Calc!H5</f>
        <v/>
      </c>
      <c r="I1417">
        <f>IF(Skills!T5&lt;&gt;"",1+(Skills!T5/10)*($Z$3/1000)/100,1)</f>
        <v/>
      </c>
      <c r="J1417" t="inlineStr"/>
      <c r="K1417" t="inlineStr"/>
      <c r="L1417" t="inlineStr"/>
      <c r="M1417" t="inlineStr"/>
      <c r="N1417" t="inlineStr"/>
      <c r="O1417">
        <f>(1-Summary!$B$48)*S1417+Summary!$B$48*U1417</f>
        <v/>
      </c>
      <c r="P1417">
        <f>IF(B1454=0,0,O1417/B1454)</f>
        <v/>
      </c>
      <c r="Q1417">
        <f>IFERROR(1/IF(Inputs!$B$39="pvp",15,MAX(0.1,Skills!D5-IF(Skills!E5=TRUE,2.5,0))),0)</f>
        <v/>
      </c>
      <c r="R1417">
        <f>IF(AND(Inputs!$B$39&lt;&gt;"pvp",Inputs!$B$44&gt;0),IF(Inputs!$B$44&lt;=0,0,(INT(Inputs!$B$44/IF(Inputs!$B$39="pvp",15,MAX(0.1,Skills!D5-IF(Skills!E5=TRUE,2.5,0))))+1)),0)</f>
        <v/>
      </c>
      <c r="S1417" t="n">
        <v>0</v>
      </c>
      <c r="U1417" t="n">
        <v>0</v>
      </c>
    </row>
    <row r="1418">
      <c r="A1418">
        <f>Skills!A6</f>
        <v/>
      </c>
      <c r="B1418">
        <f>Skills!B6</f>
        <v/>
      </c>
      <c r="C1418">
        <f>Inputs!$B$3&gt;=103</f>
        <v/>
      </c>
      <c r="D1418">
        <f>IF(Skills!C6=1,60+Inputs!$B$26+Inputs!$B$30,IF(Skills!C6=2,90+Inputs!$B$27+Inputs!$B$30,IF(Skills!C6=3,120+Inputs!$B$28+Inputs!$B$30,MAX(0,(Inputs!$B$3-100)*3)+Inputs!$B$29+Inputs!$B$30)))</f>
        <v/>
      </c>
      <c r="E1418">
        <f>INDEX(FactorTable!$B$2:$Y$301, MATCH(ROUND(MIN(300,MAX(1,D1418)),0), FactorTable!$A$2:$A$301,0), Skills!L6+1)</f>
        <v/>
      </c>
      <c r="F1418">
        <f>IF(Skills!M6=TRUE,(Skills!K6/10)*(E1418/1000),Skills!K6/10)+Skills!N6</f>
        <v/>
      </c>
      <c r="G1418">
        <f>Calc!G6</f>
        <v/>
      </c>
      <c r="H1418">
        <f>Calc!H6</f>
        <v/>
      </c>
      <c r="I1418">
        <f>IF(Skills!T6&lt;&gt;"",1+(Skills!T6/10)*($Z$3/1000)/100,1)</f>
        <v/>
      </c>
      <c r="J1418">
        <f>((Inputs!$B$6*(1+Inputs!$B$7/100))+(((Inputs!$B$13*(1+Inputs!$B$14/100))-(Inputs!$B$13*(1+Inputs!$B$14/100)))+0.25*(Inputs!$B$15-Inputs!$B$15))*(1+Inputs!$B$7/100))*(F1418/100)</f>
        <v/>
      </c>
      <c r="K1418">
        <f>J1418*(1+(((Inputs!$B$13+IF(Inputs!$B$3&gt;=35,(10*INDEX(FactorTable!$B$2:$Y$301, MATCH(ROUND(MIN(300,MAX(1,Inputs!$B$3)),0), FactorTable!$A$2:$A$301,0), 23)/1000)/100*(Inputs!$B$8*(1+(Inputs!$B$9+B1450)/100)),0))*(1+Inputs!$B$14/100))*0.01+Inputs!$B$15*0.0025)/100)*(1+(Inputs!$B$16+B1444)/100)*(1+Inputs!$B$17/100)*(5000/(6000+Inputs!$B$43*(1-Inputs!$B$20/100)))*(1+Inputs!$B$25/100)*(1+IF(C1430=TRUE,F1430,0)/100)*(1+IF(C1432=TRUE,F1432,0)/100)*(1+IF(Skills!A6="TRIUMPH_FEATHER",IF(C1428=TRUE,F1428,0),0)/100)*(1+IF(C1439=TRUE,F1439,0)/100)^5*(1+(IF(Skills!A6="BIG_BANG",Inputs!$B$18,Inputs!$B$19))/100)*(B1441*I1418)</f>
        <v/>
      </c>
      <c r="L1418">
        <f>K1418*(MIN(Inputs!$B$23+(F1434-Calc!F22),Inputs!$B$24)/100+Inputs!$B$24/100)/2</f>
        <v/>
      </c>
      <c r="M1418">
        <f>L1418*(1+(Inputs!$B$11+B1445+(F1437-Calc!F25))/100)</f>
        <v/>
      </c>
      <c r="N1418">
        <f>L1418*(1-MIN(Inputs!$B$10+((F1436-Calc!F24)+(F1435-Calc!F23)),100)/100)+M1418*(MIN(Inputs!$B$10+((F1436-Calc!F24)+(F1435-Calc!F23)),100)/100)</f>
        <v/>
      </c>
      <c r="O1418">
        <f>(1-Summary!$B$48)*S1418+Summary!$B$48*U1418</f>
        <v/>
      </c>
      <c r="P1418">
        <f>IF(B1454=0,0,O1418/B1454)</f>
        <v/>
      </c>
      <c r="Q1418">
        <f>IFERROR(1/IF(Inputs!$B$39="pvp",15,MAX(0.1,Skills!D6-IF(Skills!E6=TRUE,2.5,0))),0)</f>
        <v/>
      </c>
      <c r="R1418">
        <f>IF(AND(Inputs!$B$39&lt;&gt;"pvp",Inputs!$B$44&gt;0),IF(MAX(0,Inputs!$B$44-B1451)&lt;=0,0,(INT(MAX(0,Inputs!$B$44-B1451)/IF(Inputs!$B$39="pvp",15,MAX(0.1,Skills!D6-IF(Skills!E6=TRUE,2.5,0))))+1)),0)</f>
        <v/>
      </c>
      <c r="S1418">
        <f>IF(C1418,(H1418*N1418*IF(AND(Inputs!$B$39&lt;&gt;"pvp",Inputs!$B$44&gt;0),((Skills!F6*((R1418-1)*IF(Skills!G6&gt;0,Skills!H6/Skills!G6,1)+IF(Skills!G6&gt;0,MIN(Skills!H6,MAX(0,MAX(0,Inputs!$B$44-B1451)-((R1418-1)*IF(Inputs!$B$39="pvp",15,MAX(0.1,Skills!D6-IF(Skills!E6=TRUE,2.5,0))))))/Skills!G6,1)))/Inputs!$B$44),G1418*Q1418))*IF(Inputs!$B$39="pvp",1,1+(Inputs!$B$21+Skills!O6+B1442)/100),0)</f>
        <v/>
      </c>
      <c r="U1418">
        <f>IF(C1418,(H1418*N1418*IF(AND(Inputs!$B$39&lt;&gt;"pvp",Inputs!$B$44&gt;0),((Skills!F6*((R1418-1)*IF(Skills!G6&gt;0,Skills!H6/Skills!G6,1)+IF(Skills!G6&gt;0,MIN(Skills!H6,MAX(0,MAX(0,Inputs!$B$44-B1451)-((R1418-1)*IF(Inputs!$B$39="pvp",15,MAX(0.1,Skills!D6-IF(Skills!E6=TRUE,2.5,0))))))/Skills!G6,1)))/Inputs!$B$44),G1418*Q1418))*IF(Inputs!$B$39="pvp",1,(1+(Inputs!$B$22+Skills!P6+B1443)/100)*(MIN(Skills!Q6,Inputs!$B$38))),0)</f>
        <v/>
      </c>
    </row>
    <row r="1419">
      <c r="A1419">
        <f>Skills!A7</f>
        <v/>
      </c>
      <c r="B1419">
        <f>Skills!B7</f>
        <v/>
      </c>
      <c r="C1419">
        <f>Inputs!$B$3&gt;=122</f>
        <v/>
      </c>
      <c r="D1419">
        <f>IF(Skills!C7=1,60+Inputs!$B$26+Inputs!$B$30,IF(Skills!C7=2,90+Inputs!$B$27+Inputs!$B$30,IF(Skills!C7=3,120+Inputs!$B$28+Inputs!$B$30,MAX(0,(Inputs!$B$3-100)*3)+Inputs!$B$29+Inputs!$B$30)))</f>
        <v/>
      </c>
      <c r="E1419">
        <f>INDEX(FactorTable!$B$2:$Y$301, MATCH(ROUND(MIN(300,MAX(1,D1419)),0), FactorTable!$A$2:$A$301,0), Skills!L7+1)</f>
        <v/>
      </c>
      <c r="F1419">
        <f>IF(Skills!M7=TRUE,(Skills!K7/10)*(E1419/1000),Skills!K7/10)+Skills!N7</f>
        <v/>
      </c>
      <c r="G1419">
        <f>Calc!G7</f>
        <v/>
      </c>
      <c r="H1419">
        <f>Calc!H7</f>
        <v/>
      </c>
      <c r="I1419">
        <f>IF(Skills!T7&lt;&gt;"",1+(Skills!T7/10)*($Z$3/1000)/100,1)</f>
        <v/>
      </c>
      <c r="J1419">
        <f>((Inputs!$B$6*(1+Inputs!$B$7/100))+(((Inputs!$B$13*(1+Inputs!$B$14/100))-(Inputs!$B$13*(1+Inputs!$B$14/100)))+0.25*(Inputs!$B$15-Inputs!$B$15))*(1+Inputs!$B$7/100))*(F1419/100)</f>
        <v/>
      </c>
      <c r="K1419">
        <f>J1419*(1+(((Inputs!$B$13+IF(Inputs!$B$3&gt;=35,(10*INDEX(FactorTable!$B$2:$Y$301, MATCH(ROUND(MIN(300,MAX(1,Inputs!$B$3)),0), FactorTable!$A$2:$A$301,0), 23)/1000)/100*(Inputs!$B$8*(1+(Inputs!$B$9+B1450)/100)),0))*(1+Inputs!$B$14/100))*0.01+Inputs!$B$15*0.0025)/100)*(1+(Inputs!$B$16+B1444)/100)*(1+Inputs!$B$17/100)*(5000/(6000+Inputs!$B$43*(1-Inputs!$B$20/100)))*(1+Inputs!$B$25/100)*(1+IF(C1430=TRUE,F1430,0)/100)*(1+IF(C1432=TRUE,F1432,0)/100)*(1+IF(Skills!A7="TRIUMPH_FEATHER",IF(C1428=TRUE,F1428,0),0)/100)*(1+IF(C1439=TRUE,F1439,0)/100)^5*(1+(IF(Skills!A7="BIG_BANG",Inputs!$B$18,Inputs!$B$19))/100)*(B1441*I1419)</f>
        <v/>
      </c>
      <c r="L1419">
        <f>K1419*(MIN(Inputs!$B$23+(F1434-Calc!F22),Inputs!$B$24)/100+Inputs!$B$24/100)/2</f>
        <v/>
      </c>
      <c r="M1419">
        <f>L1419*(1+(Inputs!$B$11+B1445+(F1437-Calc!F25))/100)</f>
        <v/>
      </c>
      <c r="N1419">
        <f>L1419*(1-MIN(Inputs!$B$10+((F1436-Calc!F24)+(F1435-Calc!F23)),100)/100)+M1419*(MIN(Inputs!$B$10+((F1436-Calc!F24)+(F1435-Calc!F23)),100)/100)</f>
        <v/>
      </c>
      <c r="O1419">
        <f>(1-Summary!$B$48)*S1419+Summary!$B$48*U1419</f>
        <v/>
      </c>
      <c r="P1419">
        <f>IF(B1454=0,0,O1419/B1454)</f>
        <v/>
      </c>
      <c r="Q1419">
        <f>IFERROR(1/IF(Inputs!$B$39="pvp",15,MAX(0.1,Skills!D7-IF(Skills!E6=TRUE,2.5,0))),0)</f>
        <v/>
      </c>
      <c r="R1419">
        <f>IF(AND(Inputs!$B$39&lt;&gt;"pvp",Inputs!$B$44&gt;0),IF(MAX(0,Inputs!$B$44-B1451)&lt;=0,0,(INT(MAX(0,Inputs!$B$44-B1451)/IF(Inputs!$B$39="pvp",15,MAX(0.1,Skills!D7-IF(Skills!E6=TRUE,2.5,0))))+1)),0)</f>
        <v/>
      </c>
      <c r="S1419">
        <f>IF(C1419,H1419*N1419*IF(AND(Inputs!$B$39&lt;&gt;"pvp",Inputs!$B$44&gt;0),((Skills!F7*((R1419-1)*IF(Skills!G7&gt;0,Skills!H7/Skills!G7,1)+IF(Skills!G7&gt;0,MIN(Skills!H7,MAX(0,MAX(0,Inputs!$B$44-B1451)-((R1419-1)*IF(Inputs!$B$39="pvp",15,MAX(0.1,Skills!D7-IF(Skills!E6=TRUE,2.5,0))))))/Skills!G7,1)))/Inputs!$B$44),G1419*Q1419)*IF(Inputs!$B$39="pvp",1,1+(Inputs!$B$21+Skills!O7+B1442)/100),0)</f>
        <v/>
      </c>
      <c r="U1419" t="n">
        <v>0</v>
      </c>
    </row>
    <row r="1420">
      <c r="A1420">
        <f>Skills!A8</f>
        <v/>
      </c>
      <c r="B1420">
        <f>Skills!B8</f>
        <v/>
      </c>
      <c r="C1420">
        <f>Inputs!$B$3&gt;=105</f>
        <v/>
      </c>
      <c r="D1420">
        <f>IF(Skills!C8=1,60+Inputs!$B$26+Inputs!$B$30,IF(Skills!C8=2,90+Inputs!$B$27+Inputs!$B$30,IF(Skills!C8=3,120+Inputs!$B$28+Inputs!$B$30,MAX(0,(Inputs!$B$3-100)*3)+Inputs!$B$29+Inputs!$B$30)))</f>
        <v/>
      </c>
      <c r="E1420">
        <f>INDEX(FactorTable!$B$2:$Y$301, MATCH(ROUND(MIN(300,MAX(1,D1420)),0), FactorTable!$A$2:$A$301,0), Skills!L8+1)</f>
        <v/>
      </c>
      <c r="F1420">
        <f>IF(Skills!M8=TRUE,(Skills!K8/10)*(E1420/1000),Skills!K8/10)+Skills!N8</f>
        <v/>
      </c>
      <c r="G1420">
        <f>Calc!G8</f>
        <v/>
      </c>
      <c r="H1420">
        <f>Calc!H8</f>
        <v/>
      </c>
      <c r="I1420">
        <f>IF(Skills!T8&lt;&gt;"",1+(Skills!T8/10)*($Z$3/1000)/100,1)</f>
        <v/>
      </c>
      <c r="J1420">
        <f>((Inputs!$B$6*(1+Inputs!$B$7/100))+(((Inputs!$B$13*(1+Inputs!$B$14/100))-(Inputs!$B$13*(1+Inputs!$B$14/100)))+0.25*(Inputs!$B$15-Inputs!$B$15))*(1+Inputs!$B$7/100))*(F1420/100)</f>
        <v/>
      </c>
      <c r="K1420">
        <f>J1420*(1+(((Inputs!$B$13+IF(Inputs!$B$3&gt;=35,(10*INDEX(FactorTable!$B$2:$Y$301, MATCH(ROUND(MIN(300,MAX(1,Inputs!$B$3)),0), FactorTable!$A$2:$A$301,0), 23)/1000)/100*(Inputs!$B$8*(1+(Inputs!$B$9+B1450)/100)),0))*(1+Inputs!$B$14/100))*0.01+Inputs!$B$15*0.0025)/100)*(1+(Inputs!$B$16+B1444)/100)*(1+Inputs!$B$17/100)*(5000/(6000+Inputs!$B$43*(1-Inputs!$B$20/100)))*(1+Inputs!$B$25/100)*(1+IF(C1430=TRUE,F1430,0)/100)*(1+IF(C1432=TRUE,F1432,0)/100)*(1+IF(Skills!A8="TRIUMPH_FEATHER",IF(C1428=TRUE,F1428,0),0)/100)*(1+IF(C1439=TRUE,F1439,0)/100)^5*(1+(IF(Skills!A8="BIG_BANG",Inputs!$B$18,Inputs!$B$19))/100)*(B1441*I1420)</f>
        <v/>
      </c>
      <c r="L1420">
        <f>K1420*(MIN(Inputs!$B$23+(F1434-Calc!F22),Inputs!$B$24)/100+Inputs!$B$24/100)/2</f>
        <v/>
      </c>
      <c r="M1420">
        <f>L1420*(1+(Inputs!$B$11+B1445+(F1437-Calc!F25))/100)</f>
        <v/>
      </c>
      <c r="N1420">
        <f>L1420*(1-MIN(Inputs!$B$10+((F1436-Calc!F24)+(F1435-Calc!F23)),100)/100)+M1420*(MIN(Inputs!$B$10+((F1436-Calc!F24)+(F1435-Calc!F23)),100)/100)</f>
        <v/>
      </c>
      <c r="O1420">
        <f>(1-Summary!$B$48)*S1420+Summary!$B$48*U1420</f>
        <v/>
      </c>
      <c r="P1420">
        <f>IF(B1454=0,0,O1420/B1454)</f>
        <v/>
      </c>
      <c r="Q1420">
        <f>IFERROR(1/IF(Inputs!$B$39="pvp",15,MAX(0.1,Skills!D8-IF(Skills!E8=TRUE,2.5,0))),0)</f>
        <v/>
      </c>
      <c r="R1420">
        <f>IF(AND(Inputs!$B$39&lt;&gt;"pvp",Inputs!$B$44&gt;0),IF(MAX(0,Inputs!$B$44-B1451)&lt;=0,0,(INT(MAX(0,Inputs!$B$44-B1451)/IF(Inputs!$B$39="pvp",15,MAX(0.1,Skills!D8-IF(Skills!E8=TRUE,2.5,0))))+1)),0)</f>
        <v/>
      </c>
      <c r="S1420">
        <f>IF(C1420,(H1420*N1420*IF(AND(Inputs!$B$39&lt;&gt;"pvp",Inputs!$B$44&gt;0),((Skills!F8*((R1420-1)*IF(Skills!G8&gt;0,Skills!H8/Skills!G8,1)+IF(Skills!G8&gt;0,MIN(Skills!H8,MAX(0,MAX(0,Inputs!$B$44-B1451)-((R1420-1)*IF(Inputs!$B$39="pvp",15,MAX(0.1,Skills!D8-IF(Skills!E8=TRUE,2.5,0))))))/Skills!G8,1)))/Inputs!$B$44),G1420*Q1420))*IF(Inputs!$B$39="pvp",1,1+(Inputs!$B$21+Skills!O8+B1442)/100),0)</f>
        <v/>
      </c>
      <c r="U1420">
        <f>IF(C1420,(H1420*N1420*IF(AND(Inputs!$B$39&lt;&gt;"pvp",Inputs!$B$44&gt;0),((Skills!F8*((R1420-1)*IF(Skills!G8&gt;0,Skills!H8/Skills!G8,1)+IF(Skills!G8&gt;0,MIN(Skills!H8,MAX(0,MAX(0,Inputs!$B$44-B1451)-((R1420-1)*IF(Inputs!$B$39="pvp",15,MAX(0.1,Skills!D8-IF(Skills!E8=TRUE,2.5,0))))))/Skills!G8,1)))/Inputs!$B$44),G1420*Q1420))*IF(Inputs!$B$39="pvp",1,(1+(Inputs!$B$22+Skills!P8+B1443)/100)*(MIN(Skills!Q8,Inputs!$B$38))),0)</f>
        <v/>
      </c>
    </row>
    <row r="1421">
      <c r="A1421">
        <f>Skills!A9</f>
        <v/>
      </c>
      <c r="B1421">
        <f>Skills!B9</f>
        <v/>
      </c>
      <c r="C1421">
        <f>Inputs!$B$3&gt;=115</f>
        <v/>
      </c>
      <c r="D1421">
        <f>IF(Skills!C9=1,60+Inputs!$B$26+Inputs!$B$30,IF(Skills!C9=2,90+Inputs!$B$27+Inputs!$B$30,IF(Skills!C9=3,120+Inputs!$B$28+Inputs!$B$30,MAX(0,(Inputs!$B$3-100)*3)+Inputs!$B$29+Inputs!$B$30)))</f>
        <v/>
      </c>
      <c r="E1421">
        <f>INDEX(FactorTable!$B$2:$Y$301, MATCH(ROUND(MIN(300,MAX(1,D1421)),0), FactorTable!$A$2:$A$301,0), Skills!L9+1)</f>
        <v/>
      </c>
      <c r="F1421">
        <f>IF(Skills!M9=TRUE,(Skills!K9/10)*(E1421/1000),Skills!K9/10)+Skills!N9</f>
        <v/>
      </c>
      <c r="G1421">
        <f>Calc!G9</f>
        <v/>
      </c>
      <c r="H1421">
        <f>Calc!H9</f>
        <v/>
      </c>
      <c r="I1421">
        <f>IF(Skills!T9&lt;&gt;"",1+(Skills!T9/10)*($Z$3/1000)/100,1)</f>
        <v/>
      </c>
      <c r="J1421">
        <f>((Inputs!$B$6*(1+Inputs!$B$7/100))+(((Inputs!$B$13*(1+Inputs!$B$14/100))-(Inputs!$B$13*(1+Inputs!$B$14/100)))+0.25*(Inputs!$B$15-Inputs!$B$15))*(1+Inputs!$B$7/100))*(F1421/100)</f>
        <v/>
      </c>
      <c r="K1421">
        <f>J1421*(1+(((Inputs!$B$13+IF(Inputs!$B$3&gt;=35,(10*INDEX(FactorTable!$B$2:$Y$301, MATCH(ROUND(MIN(300,MAX(1,Inputs!$B$3)),0), FactorTable!$A$2:$A$301,0), 23)/1000)/100*(Inputs!$B$8*(1+(Inputs!$B$9+B1450)/100)),0))*(1+Inputs!$B$14/100))*0.01+Inputs!$B$15*0.0025)/100)*(1+(Inputs!$B$16+B1444)/100)*(1+Inputs!$B$17/100)*(5000/(6000+Inputs!$B$43*(1-Inputs!$B$20/100)))*(1+Inputs!$B$25/100)*(1+IF(C1430=TRUE,F1430,0)/100)*(1+IF(C1432=TRUE,F1432,0)/100)*(1+IF(Skills!A9="TRIUMPH_FEATHER",IF(C1428=TRUE,F1428,0),0)/100)*(1+IF(C1439=TRUE,F1439,0)/100)^5*(1+(IF(Skills!A9="BIG_BANG",Inputs!$B$18,Inputs!$B$19))/100)*(B1441*I1421)</f>
        <v/>
      </c>
      <c r="L1421">
        <f>K1421*(MIN(Inputs!$B$23+(F1434-Calc!F22),Inputs!$B$24)/100+Inputs!$B$24/100)/2</f>
        <v/>
      </c>
      <c r="M1421">
        <f>L1421*(1+(Inputs!$B$11+B1445+(F1437-Calc!F25))/100)</f>
        <v/>
      </c>
      <c r="N1421">
        <f>L1421*(1-MIN(Inputs!$B$10+((F1436-Calc!F24)+(F1435-Calc!F23)),100)/100)+M1421*(MIN(Inputs!$B$10+((F1436-Calc!F24)+(F1435-Calc!F23)),100)/100)</f>
        <v/>
      </c>
      <c r="O1421">
        <f>(1-Summary!$B$48)*S1421+Summary!$B$48*U1421</f>
        <v/>
      </c>
      <c r="P1421">
        <f>IF(B1454=0,0,O1421/B1454)</f>
        <v/>
      </c>
      <c r="Q1421">
        <f>IFERROR(1/IF(Inputs!$B$39="pvp",15,MAX(0.1,Skills!D9-IF(Skills!E9=TRUE,2.5,0))),0)</f>
        <v/>
      </c>
      <c r="R1421">
        <f>IF(AND(Inputs!$B$39&lt;&gt;"pvp",Inputs!$B$44&gt;0),IF(MAX(0,Inputs!$B$44-B1451)&lt;=0,0,(INT(MAX(0,Inputs!$B$44-B1451)/IF(Inputs!$B$39="pvp",15,MAX(0.1,Skills!D9-IF(Skills!E9=TRUE,2.5,0))))+1)),0)</f>
        <v/>
      </c>
      <c r="S1421">
        <f>IF(C1421,(H1421*N1421*IF(AND(Inputs!$B$39&lt;&gt;"pvp",Inputs!$B$44&gt;0),((Skills!F9*((R1421-1)*IF(Skills!G9&gt;0,Skills!H9/Skills!G9,1)+IF(Skills!G9&gt;0,MIN(Skills!H9,MAX(0,MAX(0,Inputs!$B$44-B1451)-((R1421-1)*IF(Inputs!$B$39="pvp",15,MAX(0.1,Skills!D9-IF(Skills!E9=TRUE,2.5,0))))))/Skills!G9,1)))/Inputs!$B$44),G1421*Q1421))*IF(Inputs!$B$39="pvp",1,1+(Inputs!$B$21+Skills!O9+B1442)/100),0)</f>
        <v/>
      </c>
      <c r="U1421">
        <f>IF(C1421,(H1421*N1421*IF(AND(Inputs!$B$39&lt;&gt;"pvp",Inputs!$B$44&gt;0),((Skills!F9*((R1421-1)*IF(Skills!G9&gt;0,Skills!H9/Skills!G9,1)+IF(Skills!G9&gt;0,MIN(Skills!H9,MAX(0,MAX(0,Inputs!$B$44-B1451)-((R1421-1)*IF(Inputs!$B$39="pvp",15,MAX(0.1,Skills!D9-IF(Skills!E9=TRUE,2.5,0))))))/Skills!G9,1)))/Inputs!$B$44),G1421*Q1421))*IF(Inputs!$B$39="pvp",1,(1+(Inputs!$B$22+Skills!P9+B1443)/100)*(MIN(Skills!Q9,Inputs!$B$38))),0)</f>
        <v/>
      </c>
    </row>
    <row r="1422">
      <c r="A1422">
        <f>Skills!A10</f>
        <v/>
      </c>
      <c r="B1422">
        <f>Skills!B10</f>
        <v/>
      </c>
      <c r="C1422">
        <f>Inputs!$B$3&gt;=66</f>
        <v/>
      </c>
      <c r="D1422">
        <f>IF(Skills!C10=1,60+Inputs!$B$26+Inputs!$B$30,IF(Skills!C10=2,90+Inputs!$B$27+Inputs!$B$30,IF(Skills!C10=3,120+Inputs!$B$28+Inputs!$B$30,MAX(0,(Inputs!$B$3-100)*3)+Inputs!$B$29+Inputs!$B$30)))</f>
        <v/>
      </c>
      <c r="E1422">
        <f>INDEX(FactorTable!$B$2:$Y$301, MATCH(ROUND(MIN(300,MAX(1,D1422)),0), FactorTable!$A$2:$A$301,0), Skills!L10+1)</f>
        <v/>
      </c>
      <c r="F1422" t="n">
        <v>0</v>
      </c>
      <c r="G1422">
        <f>Calc!G10</f>
        <v/>
      </c>
      <c r="H1422">
        <f>Calc!H10</f>
        <v/>
      </c>
      <c r="I1422">
        <f>IF(Skills!T10&lt;&gt;"",1+(Skills!T10/10)*($Z$3/1000)/100,1)</f>
        <v/>
      </c>
      <c r="J1422" t="inlineStr"/>
      <c r="K1422" t="inlineStr"/>
      <c r="L1422" t="inlineStr"/>
      <c r="M1422" t="inlineStr"/>
      <c r="N1422" t="inlineStr"/>
      <c r="O1422">
        <f>(1-Summary!$B$48)*S1422+Summary!$B$48*U1422</f>
        <v/>
      </c>
      <c r="P1422">
        <f>IF(B1454=0,0,O1422/B1454)</f>
        <v/>
      </c>
      <c r="Q1422">
        <f>IFERROR(1/IF(Inputs!$B$39="pvp",15,MAX(0.1,Skills!D10-IF(Skills!E10=TRUE,2.5,0))),0)</f>
        <v/>
      </c>
      <c r="R1422">
        <f>IF(AND(Inputs!$B$39&lt;&gt;"pvp",Inputs!$B$44&gt;0),IF(MAX(0,Inputs!$B$44-B1451)&lt;=0,0,(INT(MAX(0,Inputs!$B$44-B1451)/IF(Inputs!$B$39="pvp",15,MAX(0.1,Skills!D10-IF(Skills!E10=TRUE,2.5,0))))+1)),0)</f>
        <v/>
      </c>
      <c r="S1422" t="n">
        <v>0</v>
      </c>
      <c r="U1422" t="n">
        <v>0</v>
      </c>
    </row>
    <row r="1423">
      <c r="A1423">
        <f>Skills!A11</f>
        <v/>
      </c>
      <c r="B1423">
        <f>Skills!B11</f>
        <v/>
      </c>
      <c r="C1423">
        <f>Inputs!$B$3&gt;=69</f>
        <v/>
      </c>
      <c r="D1423">
        <f>IF(Skills!C11=1,60+Inputs!$B$26+Inputs!$B$30,IF(Skills!C11=2,90+Inputs!$B$27+Inputs!$B$30,IF(Skills!C11=3,120+Inputs!$B$28+Inputs!$B$30,MAX(0,(Inputs!$B$3-100)*3)+Inputs!$B$29+Inputs!$B$30)))</f>
        <v/>
      </c>
      <c r="E1423">
        <f>INDEX(FactorTable!$B$2:$Y$301, MATCH(ROUND(MIN(300,MAX(1,D1423)),0), FactorTable!$A$2:$A$301,0), Skills!L11+1)</f>
        <v/>
      </c>
      <c r="F1423">
        <f>IF(Skills!M11=TRUE,(Skills!K11/10)*(E1423/1000),Skills!K11/10)+Skills!N11</f>
        <v/>
      </c>
      <c r="G1423">
        <f>Calc!G11</f>
        <v/>
      </c>
      <c r="H1423">
        <f>Calc!H11</f>
        <v/>
      </c>
      <c r="I1423">
        <f>IF(Skills!T11&lt;&gt;"",1+(Skills!T11/10)*($Z$3/1000)/100,1)</f>
        <v/>
      </c>
      <c r="J1423" t="inlineStr"/>
      <c r="K1423" t="inlineStr"/>
      <c r="L1423" t="inlineStr"/>
      <c r="M1423" t="inlineStr"/>
      <c r="N1423" t="inlineStr"/>
      <c r="O1423">
        <f>(1-Summary!$B$48)*S1423+Summary!$B$48*U1423</f>
        <v/>
      </c>
      <c r="P1423">
        <f>IF(B1454=0,0,O1423/B1454)</f>
        <v/>
      </c>
      <c r="Q1423">
        <f>IFERROR(1/IF(Inputs!$B$39="pvp",15,MAX(0.1,Skills!D11-IF(Skills!E11=TRUE,2.5,0))),0)</f>
        <v/>
      </c>
      <c r="R1423">
        <f>IF(AND(Inputs!$B$39&lt;&gt;"pvp",Inputs!$B$44&gt;0),IF(Inputs!$B$44&lt;=0,0,(INT(Inputs!$B$44/IF(Inputs!$B$39="pvp",15,MAX(0.1,Skills!D11-IF(Skills!E11=TRUE,2.5,0))))+1)),0)</f>
        <v/>
      </c>
      <c r="S1423" t="n">
        <v>0</v>
      </c>
      <c r="U1423" t="n">
        <v>0</v>
      </c>
    </row>
    <row r="1424">
      <c r="A1424">
        <f>Skills!A12</f>
        <v/>
      </c>
      <c r="B1424">
        <f>Skills!B12</f>
        <v/>
      </c>
      <c r="C1424">
        <f>Inputs!$B$3&gt;=72</f>
        <v/>
      </c>
      <c r="D1424">
        <f>IF(Skills!C12=1,60+Inputs!$B$26+Inputs!$B$30,IF(Skills!C12=2,90+Inputs!$B$27+Inputs!$B$30,IF(Skills!C12=3,120+Inputs!$B$28+Inputs!$B$30,MAX(0,(Inputs!$B$3-100)*3)+Inputs!$B$29+Inputs!$B$30)))</f>
        <v/>
      </c>
      <c r="E1424">
        <f>INDEX(FactorTable!$B$2:$Y$301, MATCH(ROUND(MIN(300,MAX(1,D1424)),0), FactorTable!$A$2:$A$301,0), Skills!L12+1)</f>
        <v/>
      </c>
      <c r="F1424">
        <f>IF(Skills!M12=TRUE,(Skills!K12/10)*(E1424/1000),Skills!K12/10)+Skills!N12</f>
        <v/>
      </c>
      <c r="G1424">
        <f>Calc!G12</f>
        <v/>
      </c>
      <c r="H1424">
        <f>Calc!H12</f>
        <v/>
      </c>
      <c r="I1424">
        <f>IF(Skills!T12&lt;&gt;"",1+(Skills!T12/10)*($Z$3/1000)/100,1)</f>
        <v/>
      </c>
      <c r="J1424" t="inlineStr"/>
      <c r="K1424" t="inlineStr"/>
      <c r="L1424" t="inlineStr"/>
      <c r="M1424" t="inlineStr"/>
      <c r="N1424" t="inlineStr"/>
      <c r="O1424">
        <f>(1-Summary!$B$48)*S1424+Summary!$B$48*U1424</f>
        <v/>
      </c>
      <c r="P1424">
        <f>IF(B1454=0,0,O1424/B1454)</f>
        <v/>
      </c>
      <c r="Q1424">
        <f>IFERROR(1/IF(Inputs!$B$39="pvp",15,MAX(0.1,Skills!D12-IF(Skills!E12=TRUE,2.5,0))),0)</f>
        <v/>
      </c>
      <c r="R1424">
        <f>IF(AND(Inputs!$B$39&lt;&gt;"pvp",Inputs!$B$44&gt;0),IF(MAX(0,Inputs!$B$44-B1451)&lt;=0,0,(INT(MAX(0,Inputs!$B$44-B1451)/IF(Inputs!$B$39="pvp",15,MAX(0.1,Skills!D12-IF(Skills!E12=TRUE,2.5,0))))+1)),0)</f>
        <v/>
      </c>
      <c r="S1424" t="n">
        <v>0</v>
      </c>
      <c r="U1424" t="n">
        <v>0</v>
      </c>
    </row>
    <row r="1425">
      <c r="A1425">
        <f>Skills!A13</f>
        <v/>
      </c>
      <c r="B1425">
        <f>Skills!B13</f>
        <v/>
      </c>
      <c r="C1425">
        <f>Inputs!$B$3&gt;=60</f>
        <v/>
      </c>
      <c r="D1425">
        <f>IF(Skills!C13=1,60+Inputs!$B$26+Inputs!$B$30,IF(Skills!C13=2,90+Inputs!$B$27+Inputs!$B$30,IF(Skills!C13=3,120+Inputs!$B$28+Inputs!$B$30,MAX(0,(Inputs!$B$3-100)*3)+Inputs!$B$29+Inputs!$B$30)))</f>
        <v/>
      </c>
      <c r="E1425">
        <f>INDEX(FactorTable!$B$2:$Y$301, MATCH(ROUND(MIN(300,MAX(1,D1425)),0), FactorTable!$A$2:$A$301,0), Skills!L13+1)</f>
        <v/>
      </c>
      <c r="F1425">
        <f>IF(Skills!M13=TRUE,(Skills!K13/10)*(E1425/1000),Skills!K13/10)+Skills!N13</f>
        <v/>
      </c>
      <c r="G1425">
        <f>Calc!G13</f>
        <v/>
      </c>
      <c r="H1425">
        <f>Calc!H13</f>
        <v/>
      </c>
      <c r="I1425">
        <f>IF(Skills!T13&lt;&gt;"",1+(Skills!T13/10)*($Z$3/1000)/100,1)</f>
        <v/>
      </c>
      <c r="J1425" t="inlineStr"/>
      <c r="K1425" t="inlineStr"/>
      <c r="L1425" t="inlineStr"/>
      <c r="M1425" t="inlineStr"/>
      <c r="N1425" t="inlineStr"/>
      <c r="O1425">
        <f>(1-Summary!$B$48)*S1425+Summary!$B$48*U1425</f>
        <v/>
      </c>
      <c r="P1425">
        <f>IF(B1454=0,0,O1425/B1454)</f>
        <v/>
      </c>
      <c r="Q1425">
        <f>IFERROR(1/IF(Inputs!$B$39="pvp",15,MAX(0.1,Skills!D13-IF(Skills!E13=TRUE,2.5,0))),0)</f>
        <v/>
      </c>
      <c r="R1425">
        <f>IF(AND(Inputs!$B$39&lt;&gt;"pvp",Inputs!$B$44&gt;0),IF(MAX(0,Inputs!$B$44-B1451)&lt;=0,0,(INT(MAX(0,Inputs!$B$44-B1451)/IF(Inputs!$B$39="pvp",15,MAX(0.1,Skills!D13-IF(Skills!E13=TRUE,2.5,0))))+1)),0)</f>
        <v/>
      </c>
      <c r="S1425" t="n">
        <v>0</v>
      </c>
      <c r="U1425" t="n">
        <v>0</v>
      </c>
    </row>
    <row r="1426">
      <c r="A1426">
        <f>Skills!A14</f>
        <v/>
      </c>
      <c r="B1426">
        <f>Skills!B14</f>
        <v/>
      </c>
      <c r="C1426">
        <f>Inputs!$B$3&gt;=107</f>
        <v/>
      </c>
      <c r="D1426">
        <f>IF(Skills!C14=1,60+Inputs!$B$26+Inputs!$B$30,IF(Skills!C14=2,90+Inputs!$B$27+Inputs!$B$30,IF(Skills!C14=3,120+Inputs!$B$28+Inputs!$B$30,MAX(0,(Inputs!$B$3-100)*3)+Inputs!$B$29+Inputs!$B$30)))</f>
        <v/>
      </c>
      <c r="E1426">
        <f>INDEX(FactorTable!$B$2:$Y$301, MATCH(ROUND(MIN(300,MAX(1,D1426)),0), FactorTable!$A$2:$A$301,0), Skills!L14+1)</f>
        <v/>
      </c>
      <c r="F1426">
        <f>IF(Skills!M14=TRUE,(Skills!K14/10)*(E1426/1000),Skills!K14/10)+Skills!N14</f>
        <v/>
      </c>
      <c r="G1426">
        <f>Calc!G14</f>
        <v/>
      </c>
      <c r="H1426">
        <f>Calc!H14</f>
        <v/>
      </c>
      <c r="I1426">
        <f>IF(Skills!T14&lt;&gt;"",1+(Skills!T14/10)*($Z$3/1000)/100,1)</f>
        <v/>
      </c>
      <c r="J1426" t="inlineStr"/>
      <c r="K1426" t="inlineStr"/>
      <c r="L1426" t="inlineStr"/>
      <c r="M1426" t="inlineStr"/>
      <c r="N1426" t="inlineStr"/>
      <c r="O1426">
        <f>(1-Summary!$B$48)*S1426+Summary!$B$48*U1426</f>
        <v/>
      </c>
      <c r="P1426">
        <f>IF(B1454=0,0,O1426/B1454)</f>
        <v/>
      </c>
      <c r="Q1426">
        <f>IFERROR(1/IF(Inputs!$B$39="pvp",15,MAX(0.1,Skills!D14-IF(Skills!E14=TRUE,2.5,0))),0)</f>
        <v/>
      </c>
      <c r="R1426">
        <f>IF(AND(Inputs!$B$39&lt;&gt;"pvp",Inputs!$B$44&gt;0),IF(Inputs!$B$44&lt;=0,0,(INT(Inputs!$B$44/IF(Inputs!$B$39="pvp",15,MAX(0.1,Skills!D14-IF(Skills!E14=TRUE,2.5,0))))+1)),0)</f>
        <v/>
      </c>
      <c r="S1426" t="n">
        <v>0</v>
      </c>
      <c r="U1426" t="n">
        <v>0</v>
      </c>
    </row>
    <row r="1427">
      <c r="A1427">
        <f>Skills!A15</f>
        <v/>
      </c>
      <c r="B1427">
        <f>Skills!B15</f>
        <v/>
      </c>
      <c r="C1427">
        <f>Inputs!$B$3&gt;=63</f>
        <v/>
      </c>
      <c r="D1427">
        <f>IF(Skills!C15=1,60+Inputs!$B$26+Inputs!$B$30,IF(Skills!C15=2,90+Inputs!$B$27+Inputs!$B$30,IF(Skills!C15=3,120+Inputs!$B$28+Inputs!$B$30,MAX(0,(Inputs!$B$3-100)*3)+Inputs!$B$29+Inputs!$B$30)))</f>
        <v/>
      </c>
      <c r="E1427">
        <f>INDEX(FactorTable!$B$2:$Y$301, MATCH(ROUND(MIN(300,MAX(1,D1427)),0), FactorTable!$A$2:$A$301,0), Skills!L15+1)</f>
        <v/>
      </c>
      <c r="F1427">
        <f>IF(Skills!M15=TRUE,(Skills!K15/10)*(E1427/1000),Skills!K15/10)+Skills!N15</f>
        <v/>
      </c>
      <c r="G1427">
        <f>Calc!G15</f>
        <v/>
      </c>
      <c r="H1427">
        <f>Calc!H15</f>
        <v/>
      </c>
      <c r="I1427">
        <f>IF(Skills!T15&lt;&gt;"",1+(Skills!T15/10)*($Z$3/1000)/100,1)</f>
        <v/>
      </c>
      <c r="J1427">
        <f>((Inputs!$B$6*(1+Inputs!$B$7/100))+(((Inputs!$B$13*(1+Inputs!$B$14/100))-(Inputs!$B$13*(1+Inputs!$B$14/100)))+0.25*(Inputs!$B$15-Inputs!$B$15))*(1+Inputs!$B$7/100))*(F1427/100)</f>
        <v/>
      </c>
      <c r="K1427">
        <f>J1427*(1+(((Inputs!$B$13+IF(Inputs!$B$3&gt;=35,(10*INDEX(FactorTable!$B$2:$Y$301, MATCH(ROUND(MIN(300,MAX(1,Inputs!$B$3)),0), FactorTable!$A$2:$A$301,0), 23)/1000)/100*(Inputs!$B$8*(1+(Inputs!$B$9+B1450)/100)),0))*(1+Inputs!$B$14/100))*0.01+Inputs!$B$15*0.0025)/100)*(1+(Inputs!$B$16+B1444)/100)*(1+Inputs!$B$17/100)*(5000/(6000+Inputs!$B$43*(1-Inputs!$B$20/100)))*(1+Inputs!$B$25/100)*(1+IF(C1430=TRUE,F1430,0)/100)*(1+IF(C1432=TRUE,F1432,0)/100)*(1+IF(Skills!A15="TRIUMPH_FEATHER",IF(C1428=TRUE,F1428,0),0)/100)*(1+IF(C1439=TRUE,F1439,0)/100)^5*(1+(IF(Skills!A15="BIG_BANG",Inputs!$B$18,Inputs!$B$19))/100)*(B1441*I1427)</f>
        <v/>
      </c>
      <c r="L1427">
        <f>K1427*(MIN(Inputs!$B$23+(F1434-Calc!F22),Inputs!$B$24)/100+Inputs!$B$24/100)/2</f>
        <v/>
      </c>
      <c r="M1427">
        <f>L1427*(1+(Inputs!$B$11+B1445+(F1437-Calc!F25))/100)</f>
        <v/>
      </c>
      <c r="N1427">
        <f>L1427*(1-MIN(Inputs!$B$10+((F1436-Calc!F24)+(F1435-Calc!F23)),100)/100)+M1427*(MIN(Inputs!$B$10+((F1436-Calc!F24)+(F1435-Calc!F23)),100)/100)</f>
        <v/>
      </c>
      <c r="O1427">
        <f>(1-Summary!$B$48)*S1427+Summary!$B$48*U1427</f>
        <v/>
      </c>
      <c r="P1427">
        <f>IF(B1454=0,0,O1427/B1454)</f>
        <v/>
      </c>
      <c r="Q1427">
        <f>IFERROR(1/IF(Inputs!$B$39="pvp",15,MAX(0.1,Skills!D15-IF(Skills!E15=TRUE,2.5,0))),0)</f>
        <v/>
      </c>
      <c r="R1427" t="n">
        <v>0</v>
      </c>
      <c r="S1427">
        <f>IF(C1427,(Skills!F15*N1427*((IF(Inputs!$B$3&gt;=78,25,15)/100*B1447*10)/(1+IF(Inputs!$B$3&gt;=78,25,15)/100*B1447*10))*(Skills!I15/100*B1447)/(1+Skills!G15*Skills!I15/100*B1447))*IF(Inputs!$B$39="pvp",1,1+(Inputs!$B$21+Skills!O15+B1442)/100),0)</f>
        <v/>
      </c>
      <c r="U1427">
        <f>IF(C1427,(Skills!F15*N1427*((IF(Inputs!$B$3&gt;=78,25,15)/100*B1447*10)/(1+IF(Inputs!$B$3&gt;=78,25,15)/100*B1447*10))*(Skills!I15/100*B1447)/(1+Skills!G15*Skills!I15/100*B1447))*IF(Inputs!$B$39="pvp",1,(1+(Inputs!$B$22+Skills!P15+B1443)/100)*(MIN(Skills!Q15,Inputs!$B$38))),0)</f>
        <v/>
      </c>
    </row>
    <row r="1428">
      <c r="A1428">
        <f>Skills!A16</f>
        <v/>
      </c>
      <c r="B1428">
        <f>Skills!B16</f>
        <v/>
      </c>
      <c r="C1428">
        <f>Inputs!$B$3&gt;=100</f>
        <v/>
      </c>
      <c r="D1428">
        <f>IF(Skills!C16=1,60+Inputs!$B$26+Inputs!$B$30,IF(Skills!C16=2,90+Inputs!$B$27+Inputs!$B$30,IF(Skills!C16=3,120+Inputs!$B$28+Inputs!$B$30,MAX(0,(Inputs!$B$3-100)*3)+Inputs!$B$29+Inputs!$B$30)))</f>
        <v/>
      </c>
      <c r="E1428">
        <f>INDEX(FactorTable!$B$2:$Y$301, MATCH(ROUND(MIN(300,MAX(1,D1428)),0), FactorTable!$A$2:$A$301,0), Skills!L16+1)</f>
        <v/>
      </c>
      <c r="F1428">
        <f>IF(Skills!M16=TRUE,(Skills!K16/10)*(E1428/1000),Skills!K16/10)+Skills!N16</f>
        <v/>
      </c>
      <c r="G1428">
        <f>Calc!G16</f>
        <v/>
      </c>
      <c r="H1428">
        <f>Calc!H16</f>
        <v/>
      </c>
      <c r="I1428">
        <f>IF(Skills!T16&lt;&gt;"",1+(Skills!T16/10)*($Z$3/1000)/100,1)</f>
        <v/>
      </c>
      <c r="J1428" t="inlineStr"/>
      <c r="K1428" t="inlineStr"/>
      <c r="L1428" t="inlineStr"/>
      <c r="M1428" t="inlineStr"/>
      <c r="N1428" t="inlineStr"/>
      <c r="O1428">
        <f>(1-Summary!$B$48)*S1428+Summary!$B$48*U1428</f>
        <v/>
      </c>
      <c r="P1428">
        <f>IF(B1454=0,0,O1428/B1454)</f>
        <v/>
      </c>
      <c r="Q1428">
        <f>IFERROR(1/IF(Inputs!$B$39="pvp",15,MAX(0.1,Skills!D16-IF(Skills!E16=TRUE,2.5,0))),0)</f>
        <v/>
      </c>
      <c r="R1428" t="n">
        <v>0</v>
      </c>
      <c r="S1428" t="n">
        <v>0</v>
      </c>
      <c r="U1428" t="n">
        <v>0</v>
      </c>
    </row>
    <row r="1429">
      <c r="A1429">
        <f>Skills!A17</f>
        <v/>
      </c>
      <c r="B1429">
        <f>Skills!B17</f>
        <v/>
      </c>
      <c r="C1429">
        <f>Inputs!$B$3&gt;=49</f>
        <v/>
      </c>
      <c r="D1429">
        <f>IF(Skills!C17=1,60+Inputs!$B$26+Inputs!$B$30,IF(Skills!C17=2,90+Inputs!$B$27+Inputs!$B$30,IF(Skills!C17=3,120+Inputs!$B$28+Inputs!$B$30,MAX(0,(Inputs!$B$3-100)*3)+Inputs!$B$29+Inputs!$B$30)))</f>
        <v/>
      </c>
      <c r="E1429">
        <f>INDEX(FactorTable!$B$2:$Y$301, MATCH(ROUND(MIN(300,MAX(1,D1429)),0), FactorTable!$A$2:$A$301,0), Skills!L17+1)</f>
        <v/>
      </c>
      <c r="F1429">
        <f>IF(Skills!M17=TRUE,(Skills!K17/10)*(E1429/1000),Skills!K17/10)+Skills!N17</f>
        <v/>
      </c>
      <c r="G1429">
        <f>Calc!G17</f>
        <v/>
      </c>
      <c r="H1429">
        <f>Calc!H17</f>
        <v/>
      </c>
      <c r="I1429">
        <f>IF(Skills!T17&lt;&gt;"",1+(Skills!T17/10)*($Z$3/1000)/100,1)</f>
        <v/>
      </c>
      <c r="J1429" t="inlineStr"/>
      <c r="K1429" t="inlineStr"/>
      <c r="L1429" t="inlineStr"/>
      <c r="M1429" t="inlineStr"/>
      <c r="N1429" t="inlineStr"/>
      <c r="O1429">
        <f>(1-Summary!$B$48)*S1429+Summary!$B$48*U1429</f>
        <v/>
      </c>
      <c r="P1429">
        <f>IF(B1454=0,0,O1429/B1454)</f>
        <v/>
      </c>
      <c r="Q1429">
        <f>IFERROR(1/IF(Inputs!$B$39="pvp",15,MAX(0.1,Skills!D17-IF(Skills!E17=TRUE,2.5,0))),0)</f>
        <v/>
      </c>
      <c r="R1429" t="n">
        <v>0</v>
      </c>
      <c r="S1429" t="n">
        <v>0</v>
      </c>
      <c r="U1429" t="n">
        <v>0</v>
      </c>
    </row>
    <row r="1430">
      <c r="A1430">
        <f>Skills!A18</f>
        <v/>
      </c>
      <c r="B1430">
        <f>Skills!B18</f>
        <v/>
      </c>
      <c r="C1430">
        <f>Inputs!$B$3&gt;=75</f>
        <v/>
      </c>
      <c r="D1430">
        <f>IF(Skills!C18=1,60+Inputs!$B$26+Inputs!$B$30,IF(Skills!C18=2,90+Inputs!$B$27+Inputs!$B$30,IF(Skills!C18=3,120+Inputs!$B$28+Inputs!$B$30,MAX(0,(Inputs!$B$3-100)*3)+Inputs!$B$29+Inputs!$B$30)))</f>
        <v/>
      </c>
      <c r="E1430">
        <f>INDEX(FactorTable!$B$2:$Y$301, MATCH(ROUND(MIN(300,MAX(1,D1430)),0), FactorTable!$A$2:$A$301,0), Skills!L18+1)</f>
        <v/>
      </c>
      <c r="F1430">
        <f>IF(Skills!M18=TRUE,(Skills!K18/10)*(E1430/1000),Skills!K18/10)+Skills!N18</f>
        <v/>
      </c>
      <c r="G1430">
        <f>Calc!G18</f>
        <v/>
      </c>
      <c r="H1430">
        <f>Calc!H18</f>
        <v/>
      </c>
      <c r="I1430">
        <f>IF(Skills!T18&lt;&gt;"",1+(Skills!T18/10)*($Z$3/1000)/100,1)</f>
        <v/>
      </c>
      <c r="J1430" t="inlineStr"/>
      <c r="K1430" t="inlineStr"/>
      <c r="L1430" t="inlineStr"/>
      <c r="M1430" t="inlineStr"/>
      <c r="N1430" t="inlineStr"/>
      <c r="O1430">
        <f>(1-Summary!$B$48)*S1430+Summary!$B$48*U1430</f>
        <v/>
      </c>
      <c r="P1430">
        <f>IF(B1454=0,0,O1430/B1454)</f>
        <v/>
      </c>
      <c r="Q1430">
        <f>IFERROR(1/IF(Inputs!$B$39="pvp",15,MAX(0.1,Skills!D18-IF(Skills!E18=TRUE,2.5,0))),0)</f>
        <v/>
      </c>
      <c r="R1430" t="n">
        <v>0</v>
      </c>
      <c r="S1430" t="n">
        <v>0</v>
      </c>
      <c r="U1430" t="n">
        <v>0</v>
      </c>
    </row>
    <row r="1431">
      <c r="A1431">
        <f>Skills!A19</f>
        <v/>
      </c>
      <c r="B1431">
        <f>Skills!B19</f>
        <v/>
      </c>
      <c r="C1431">
        <f>Inputs!$B$3&gt;=110</f>
        <v/>
      </c>
      <c r="D1431">
        <f>IF(Skills!C19=1,60+Inputs!$B$26+Inputs!$B$30,IF(Skills!C19=2,90+Inputs!$B$27+Inputs!$B$30,IF(Skills!C19=3,120+Inputs!$B$28+Inputs!$B$30,MAX(0,(Inputs!$B$3-100)*3)+Inputs!$B$29+Inputs!$B$30)))</f>
        <v/>
      </c>
      <c r="E1431">
        <f>INDEX(FactorTable!$B$2:$Y$301, MATCH(ROUND(MIN(300,MAX(1,D1431)),0), FactorTable!$A$2:$A$301,0), Skills!L19+1)</f>
        <v/>
      </c>
      <c r="F1431">
        <f>(Skills!K19/10)*(E1431/1000)*64/45+Skills!N19</f>
        <v/>
      </c>
      <c r="G1431">
        <f>Calc!G19</f>
        <v/>
      </c>
      <c r="H1431">
        <f>Calc!H19</f>
        <v/>
      </c>
      <c r="I1431">
        <f>IF(Skills!T19&lt;&gt;"",1+(Skills!T19/10)*($Z$3/1000)/100,1)</f>
        <v/>
      </c>
      <c r="J1431" t="inlineStr"/>
      <c r="K1431" t="inlineStr"/>
      <c r="L1431" t="inlineStr"/>
      <c r="M1431" t="inlineStr"/>
      <c r="N1431" t="inlineStr"/>
      <c r="O1431">
        <f>(1-Summary!$B$48)*S1431+Summary!$B$48*U1431</f>
        <v/>
      </c>
      <c r="P1431">
        <f>IF(B1454=0,0,O1431/B1454)</f>
        <v/>
      </c>
      <c r="Q1431">
        <f>IFERROR(1/IF(Inputs!$B$39="pvp",15,MAX(0.1,Skills!D19-IF(Skills!E19=TRUE,2.5,0))),0)</f>
        <v/>
      </c>
      <c r="R1431">
        <f>IF(AND(Inputs!$B$39&lt;&gt;"pvp",Inputs!$B$44&gt;0),IF(Inputs!$B$44&lt;=0,0,(INT(Inputs!$B$44/IF(Inputs!$B$39="pvp",15,MAX(0.1,Skills!D19-IF(Skills!E19=TRUE,2.5,0))))+1)),0)</f>
        <v/>
      </c>
      <c r="S1431" t="n">
        <v>0</v>
      </c>
      <c r="U1431" t="n">
        <v>0</v>
      </c>
    </row>
    <row r="1432">
      <c r="A1432">
        <f>Skills!A20</f>
        <v/>
      </c>
      <c r="B1432">
        <f>Skills!B20</f>
        <v/>
      </c>
      <c r="C1432">
        <f>Inputs!$B$3&gt;=125</f>
        <v/>
      </c>
      <c r="D1432">
        <f>IF(Skills!C20=1,60+Inputs!$B$26+Inputs!$B$30,IF(Skills!C20=2,90+Inputs!$B$27+Inputs!$B$30,IF(Skills!C20=3,120+Inputs!$B$28+Inputs!$B$30,MAX(0,(Inputs!$B$3-100)*3)+Inputs!$B$29+Inputs!$B$30)))</f>
        <v/>
      </c>
      <c r="E1432">
        <f>INDEX(FactorTable!$B$2:$Y$301, MATCH(ROUND(MIN(300,MAX(1,D1432)),0), FactorTable!$A$2:$A$301,0), Skills!L20+1)</f>
        <v/>
      </c>
      <c r="F1432">
        <f>IF(Skills!M20=TRUE,(Skills!K20/10)*(E1432/1000),Skills!K20/10)+Skills!N20</f>
        <v/>
      </c>
      <c r="G1432">
        <f>Calc!G20</f>
        <v/>
      </c>
      <c r="H1432">
        <f>Calc!H20</f>
        <v/>
      </c>
      <c r="I1432">
        <f>IF(Skills!T20&lt;&gt;"",1+(Skills!T20/10)*($Z$3/1000)/100,1)</f>
        <v/>
      </c>
      <c r="J1432" t="inlineStr"/>
      <c r="K1432" t="inlineStr"/>
      <c r="L1432" t="inlineStr"/>
      <c r="M1432" t="inlineStr"/>
      <c r="N1432" t="inlineStr"/>
      <c r="O1432">
        <f>(1-Summary!$B$48)*S1432+Summary!$B$48*U1432</f>
        <v/>
      </c>
      <c r="P1432">
        <f>IF(B1454=0,0,O1432/B1454)</f>
        <v/>
      </c>
      <c r="Q1432">
        <f>IFERROR(1/IF(Inputs!$B$39="pvp",15,MAX(0.1,Skills!D20-IF(Skills!E20=TRUE,2.5,0))),0)</f>
        <v/>
      </c>
      <c r="R1432" t="n">
        <v>0</v>
      </c>
      <c r="S1432" t="n">
        <v>0</v>
      </c>
      <c r="U1432" t="n">
        <v>0</v>
      </c>
    </row>
    <row r="1433">
      <c r="A1433">
        <f>Skills!A21</f>
        <v/>
      </c>
      <c r="B1433">
        <f>Skills!B21</f>
        <v/>
      </c>
      <c r="C1433">
        <f>Inputs!$B$3&gt;=33</f>
        <v/>
      </c>
      <c r="D1433">
        <f>IF(Skills!C21=1,60+Inputs!$B$26+Inputs!$B$30,IF(Skills!C21=2,90+Inputs!$B$27+Inputs!$B$30,IF(Skills!C21=3,120+Inputs!$B$28+Inputs!$B$30,MAX(0,(Inputs!$B$3-100)*3)+Inputs!$B$29+Inputs!$B$30)))</f>
        <v/>
      </c>
      <c r="E1433">
        <f>INDEX(FactorTable!$B$2:$Y$301, MATCH(ROUND(MIN(300,MAX(1,D1433)),0), FactorTable!$A$2:$A$301,0), Skills!L21+1)</f>
        <v/>
      </c>
      <c r="F1433">
        <f>IF(Skills!M21=TRUE,(Skills!K21/10)*(E1433/1000),Skills!K21/10)+Skills!N21</f>
        <v/>
      </c>
      <c r="G1433">
        <f>Calc!G21</f>
        <v/>
      </c>
      <c r="H1433">
        <f>Calc!H21</f>
        <v/>
      </c>
      <c r="I1433">
        <f>IF(Skills!T21&lt;&gt;"",1+(Skills!T21/10)*($Z$3/1000)/100,1)</f>
        <v/>
      </c>
      <c r="J1433" t="inlineStr"/>
      <c r="K1433" t="inlineStr"/>
      <c r="L1433" t="inlineStr"/>
      <c r="M1433" t="inlineStr"/>
      <c r="N1433" t="inlineStr"/>
      <c r="O1433">
        <f>(1-Summary!$B$48)*S1433+Summary!$B$48*U1433</f>
        <v/>
      </c>
      <c r="P1433">
        <f>IF(B1454=0,0,O1433/B1454)</f>
        <v/>
      </c>
      <c r="Q1433">
        <f>IFERROR(1/IF(Inputs!$B$39="pvp",15,MAX(0.1,Skills!D21-IF(Skills!E21=TRUE,2.5,0))),0)</f>
        <v/>
      </c>
      <c r="R1433" t="n">
        <v>0</v>
      </c>
      <c r="S1433" t="n">
        <v>0</v>
      </c>
      <c r="U1433" t="n">
        <v>0</v>
      </c>
    </row>
    <row r="1434">
      <c r="A1434">
        <f>Skills!A22</f>
        <v/>
      </c>
      <c r="B1434">
        <f>Skills!B22</f>
        <v/>
      </c>
      <c r="C1434">
        <f>Inputs!$B$3&gt;=43</f>
        <v/>
      </c>
      <c r="D1434">
        <f>IF(Skills!C22=1,60+Inputs!$B$26+Inputs!$B$30,IF(Skills!C22=2,90+Inputs!$B$27+Inputs!$B$30,IF(Skills!C22=3,120+Inputs!$B$28+Inputs!$B$30,MAX(0,(Inputs!$B$3-100)*3)+Inputs!$B$29+Inputs!$B$30)))</f>
        <v/>
      </c>
      <c r="E1434">
        <f>INDEX(FactorTable!$B$2:$Y$301, MATCH(ROUND(MIN(300,MAX(1,D1434)),0), FactorTable!$A$2:$A$301,0), Skills!L22+1)</f>
        <v/>
      </c>
      <c r="F1434">
        <f>IF(Skills!M22=TRUE,(Skills!K22/10)*(E1434/1000),Skills!K22/10)+Skills!N22</f>
        <v/>
      </c>
      <c r="G1434">
        <f>Calc!G22</f>
        <v/>
      </c>
      <c r="H1434">
        <f>Calc!H22</f>
        <v/>
      </c>
      <c r="I1434">
        <f>IF(Skills!T22&lt;&gt;"",1+(Skills!T22/10)*($Z$3/1000)/100,1)</f>
        <v/>
      </c>
      <c r="J1434" t="inlineStr"/>
      <c r="K1434" t="inlineStr"/>
      <c r="L1434" t="inlineStr"/>
      <c r="M1434" t="inlineStr"/>
      <c r="N1434" t="inlineStr"/>
      <c r="O1434">
        <f>(1-Summary!$B$48)*S1434+Summary!$B$48*U1434</f>
        <v/>
      </c>
      <c r="P1434">
        <f>IF(B1454=0,0,O1434/B1454)</f>
        <v/>
      </c>
      <c r="Q1434">
        <f>IFERROR(1/IF(Inputs!$B$39="pvp",15,MAX(0.1,Skills!D22-IF(Skills!E22=TRUE,2.5,0))),0)</f>
        <v/>
      </c>
      <c r="R1434" t="n">
        <v>0</v>
      </c>
      <c r="S1434" t="n">
        <v>0</v>
      </c>
      <c r="U1434" t="n">
        <v>0</v>
      </c>
    </row>
    <row r="1435">
      <c r="A1435">
        <f>Skills!A23</f>
        <v/>
      </c>
      <c r="B1435">
        <f>Skills!B23</f>
        <v/>
      </c>
      <c r="C1435">
        <f>Inputs!$B$3&gt;=50</f>
        <v/>
      </c>
      <c r="D1435">
        <f>IF(Skills!C23=1,60+Inputs!$B$26+Inputs!$B$30,IF(Skills!C23=2,90+Inputs!$B$27+Inputs!$B$30,IF(Skills!C23=3,120+Inputs!$B$28+Inputs!$B$30,MAX(0,(Inputs!$B$3-100)*3)+Inputs!$B$29+Inputs!$B$30)))</f>
        <v/>
      </c>
      <c r="E1435">
        <f>INDEX(FactorTable!$B$2:$Y$301, MATCH(ROUND(MIN(300,MAX(1,D1435)),0), FactorTable!$A$2:$A$301,0), Skills!L23+1)</f>
        <v/>
      </c>
      <c r="F1435">
        <f>IF(Skills!M23=TRUE,(Skills!K23/10)*(E1435/1000),Skills!K23/10)+Skills!N23</f>
        <v/>
      </c>
      <c r="G1435">
        <f>Calc!G23</f>
        <v/>
      </c>
      <c r="H1435">
        <f>Calc!H23</f>
        <v/>
      </c>
      <c r="I1435">
        <f>IF(Skills!T23&lt;&gt;"",1+(Skills!T23/10)*($Z$3/1000)/100,1)</f>
        <v/>
      </c>
      <c r="J1435" t="inlineStr"/>
      <c r="K1435" t="inlineStr"/>
      <c r="L1435" t="inlineStr"/>
      <c r="M1435" t="inlineStr"/>
      <c r="N1435" t="inlineStr"/>
      <c r="O1435">
        <f>(1-Summary!$B$48)*S1435+Summary!$B$48*U1435</f>
        <v/>
      </c>
      <c r="P1435">
        <f>IF(B1454=0,0,O1435/B1454)</f>
        <v/>
      </c>
      <c r="Q1435">
        <f>IFERROR(1/IF(Inputs!$B$39="pvp",15,MAX(0.1,Skills!D23-IF(Skills!E23=TRUE,2.5,0))),0)</f>
        <v/>
      </c>
      <c r="R1435" t="n">
        <v>0</v>
      </c>
      <c r="S1435" t="n">
        <v>0</v>
      </c>
      <c r="U1435" t="n">
        <v>0</v>
      </c>
    </row>
    <row r="1436">
      <c r="A1436">
        <f>Skills!A24</f>
        <v/>
      </c>
      <c r="B1436">
        <f>Skills!B24</f>
        <v/>
      </c>
      <c r="C1436">
        <f>Inputs!$B$3&gt;=74</f>
        <v/>
      </c>
      <c r="D1436">
        <f>IF(Skills!C24=1,60+Inputs!$B$26+Inputs!$B$30,IF(Skills!C24=2,90+Inputs!$B$27+Inputs!$B$30,IF(Skills!C24=3,120+Inputs!$B$28+Inputs!$B$30,MAX(0,(Inputs!$B$3-100)*3)+Inputs!$B$29+Inputs!$B$30)))</f>
        <v/>
      </c>
      <c r="E1436">
        <f>INDEX(FactorTable!$B$2:$Y$301, MATCH(ROUND(MIN(300,MAX(1,D1436)),0), FactorTable!$A$2:$A$301,0), Skills!L24+1)</f>
        <v/>
      </c>
      <c r="F1436">
        <f>IF(Skills!M24=TRUE,(Skills!K24/10)*(E1436/1000),Skills!K24/10)+Skills!N24</f>
        <v/>
      </c>
      <c r="G1436">
        <f>Calc!G24</f>
        <v/>
      </c>
      <c r="H1436">
        <f>Calc!H24</f>
        <v/>
      </c>
      <c r="I1436">
        <f>IF(Skills!T24&lt;&gt;"",1+(Skills!T24/10)*($Z$3/1000)/100,1)</f>
        <v/>
      </c>
      <c r="J1436" t="inlineStr"/>
      <c r="K1436" t="inlineStr"/>
      <c r="L1436" t="inlineStr"/>
      <c r="M1436" t="inlineStr"/>
      <c r="N1436" t="inlineStr"/>
      <c r="O1436">
        <f>(1-Summary!$B$48)*S1436+Summary!$B$48*U1436</f>
        <v/>
      </c>
      <c r="P1436">
        <f>IF(B1454=0,0,O1436/B1454)</f>
        <v/>
      </c>
      <c r="Q1436">
        <f>IFERROR(1/IF(Inputs!$B$39="pvp",15,MAX(0.1,Skills!D24-IF(Skills!E24=TRUE,2.5,0))),0)</f>
        <v/>
      </c>
      <c r="R1436" t="n">
        <v>0</v>
      </c>
      <c r="S1436" t="n">
        <v>0</v>
      </c>
      <c r="U1436" t="n">
        <v>0</v>
      </c>
    </row>
    <row r="1437">
      <c r="A1437">
        <f>Skills!A25</f>
        <v/>
      </c>
      <c r="B1437">
        <f>Skills!B25</f>
        <v/>
      </c>
      <c r="C1437">
        <f>Inputs!$B$3&gt;=74</f>
        <v/>
      </c>
      <c r="D1437">
        <f>IF(Skills!C25=1,60+Inputs!$B$26+Inputs!$B$30,IF(Skills!C25=2,90+Inputs!$B$27+Inputs!$B$30,IF(Skills!C25=3,120+Inputs!$B$28+Inputs!$B$30,MAX(0,(Inputs!$B$3-100)*3)+Inputs!$B$29+Inputs!$B$30)))</f>
        <v/>
      </c>
      <c r="E1437">
        <f>INDEX(FactorTable!$B$2:$Y$301, MATCH(ROUND(MIN(300,MAX(1,D1437)),0), FactorTable!$A$2:$A$301,0), Skills!L25+1)</f>
        <v/>
      </c>
      <c r="F1437">
        <f>IF(Skills!M25=TRUE,(Skills!K25/10)*(E1437/1000),Skills!K25/10)+Skills!N25</f>
        <v/>
      </c>
      <c r="G1437">
        <f>Calc!G25</f>
        <v/>
      </c>
      <c r="H1437">
        <f>Calc!H25</f>
        <v/>
      </c>
      <c r="I1437">
        <f>IF(Skills!T25&lt;&gt;"",1+(Skills!T25/10)*($Z$3/1000)/100,1)</f>
        <v/>
      </c>
      <c r="J1437" t="inlineStr"/>
      <c r="K1437" t="inlineStr"/>
      <c r="L1437" t="inlineStr"/>
      <c r="M1437" t="inlineStr"/>
      <c r="N1437" t="inlineStr"/>
      <c r="O1437">
        <f>(1-Summary!$B$48)*S1437+Summary!$B$48*U1437</f>
        <v/>
      </c>
      <c r="P1437">
        <f>IF(B1454=0,0,O1437/B1454)</f>
        <v/>
      </c>
      <c r="Q1437">
        <f>IFERROR(1/IF(Inputs!$B$39="pvp",15,MAX(0.1,Skills!D25-IF(Skills!E25=TRUE,2.5,0))),0)</f>
        <v/>
      </c>
      <c r="R1437" t="n">
        <v>0</v>
      </c>
      <c r="S1437" t="n">
        <v>0</v>
      </c>
      <c r="U1437" t="n">
        <v>0</v>
      </c>
    </row>
    <row r="1438">
      <c r="A1438">
        <f>Skills!A26</f>
        <v/>
      </c>
      <c r="B1438">
        <f>Skills!B26</f>
        <v/>
      </c>
      <c r="C1438">
        <f>Inputs!$B$3&gt;=117</f>
        <v/>
      </c>
      <c r="D1438">
        <f>IF(Skills!C26=1,60+Inputs!$B$26+Inputs!$B$30,IF(Skills!C26=2,90+Inputs!$B$27+Inputs!$B$30,IF(Skills!C26=3,120+Inputs!$B$28+Inputs!$B$30,MAX(0,(Inputs!$B$3-100)*3)+Inputs!$B$29+Inputs!$B$30)))</f>
        <v/>
      </c>
      <c r="E1438">
        <f>INDEX(FactorTable!$B$2:$Y$301, MATCH(ROUND(MIN(300,MAX(1,D1438)),0), FactorTable!$A$2:$A$301,0), Skills!L26+1)</f>
        <v/>
      </c>
      <c r="F1438">
        <f>IF(Skills!M26=TRUE,(Skills!K26/10)*(E1438/1000),Skills!K26/10)+Skills!N26</f>
        <v/>
      </c>
      <c r="G1438">
        <f>Calc!G26</f>
        <v/>
      </c>
      <c r="H1438">
        <f>Calc!H26</f>
        <v/>
      </c>
      <c r="I1438">
        <f>IF(Skills!T26&lt;&gt;"",1+(Skills!T26/10)*($Z$3/1000)/100,1)</f>
        <v/>
      </c>
      <c r="J1438" t="inlineStr"/>
      <c r="K1438" t="inlineStr"/>
      <c r="L1438" t="inlineStr"/>
      <c r="M1438" t="inlineStr"/>
      <c r="N1438" t="inlineStr"/>
      <c r="O1438">
        <f>(1-Summary!$B$48)*S1438+Summary!$B$48*U1438</f>
        <v/>
      </c>
      <c r="P1438">
        <f>IF(B1454=0,0,O1438/B1454)</f>
        <v/>
      </c>
      <c r="Q1438">
        <f>IFERROR(1/IF(Inputs!$B$39="pvp",15,MAX(0.1,Skills!D26-IF(Skills!E26=TRUE,2.5,0))),0)</f>
        <v/>
      </c>
      <c r="R1438" t="n">
        <v>0</v>
      </c>
      <c r="S1438" t="n">
        <v>0</v>
      </c>
      <c r="U1438" t="n">
        <v>0</v>
      </c>
    </row>
    <row r="1439">
      <c r="A1439">
        <f>Skills!A27</f>
        <v/>
      </c>
      <c r="B1439">
        <f>Skills!B27</f>
        <v/>
      </c>
      <c r="C1439">
        <f>Inputs!$B$3&gt;=120</f>
        <v/>
      </c>
      <c r="D1439">
        <f>IF(Skills!C27=1,60+Inputs!$B$26+Inputs!$B$30,IF(Skills!C27=2,90+Inputs!$B$27+Inputs!$B$30,IF(Skills!C27=3,120+Inputs!$B$28+Inputs!$B$30,MAX(0,(Inputs!$B$3-100)*3)+Inputs!$B$29+Inputs!$B$30)))</f>
        <v/>
      </c>
      <c r="E1439">
        <f>INDEX(FactorTable!$B$2:$Y$301, MATCH(ROUND(MIN(300,MAX(1,D1439)),0), FactorTable!$A$2:$A$301,0), Skills!L27+1)</f>
        <v/>
      </c>
      <c r="F1439">
        <f>IF(Skills!M27=TRUE,(Skills!K27/10)*(E1439/1000),Skills!K27/10)+Skills!N27</f>
        <v/>
      </c>
      <c r="G1439">
        <f>Calc!G27</f>
        <v/>
      </c>
      <c r="H1439">
        <f>Calc!H27</f>
        <v/>
      </c>
      <c r="I1439">
        <f>IF(Skills!T27&lt;&gt;"",1+(Skills!T27/10)*($Z$3/1000)/100,1)</f>
        <v/>
      </c>
      <c r="J1439" t="inlineStr"/>
      <c r="K1439" t="inlineStr"/>
      <c r="L1439" t="inlineStr"/>
      <c r="M1439" t="inlineStr"/>
      <c r="N1439" t="inlineStr"/>
      <c r="O1439">
        <f>(1-Summary!$B$48)*S1439+Summary!$B$48*U1439</f>
        <v/>
      </c>
      <c r="P1439">
        <f>IF(B1454=0,0,O1439/B1454)</f>
        <v/>
      </c>
      <c r="Q1439">
        <f>IFERROR(1/IF(Inputs!$B$39="pvp",15,MAX(0.1,Skills!D27-IF(Skills!E27=TRUE,2.5,0))),0)</f>
        <v/>
      </c>
      <c r="R1439" t="n">
        <v>0</v>
      </c>
      <c r="S1439" t="n">
        <v>0</v>
      </c>
      <c r="U1439" t="n">
        <v>0</v>
      </c>
    </row>
    <row r="1441">
      <c r="A1441" t="inlineStr">
        <is>
          <t>Average Buff Multiplier</t>
        </is>
      </c>
      <c r="B1441">
        <f>(1+(IF(C1415=TRUE,F1415*IF(AND(Inputs!$B$39&lt;&gt;"pvp",Inputs!$B$44&gt;0),(((R1415-1)*(Skills!S3*(1+(Inputs!$B$35+IF(Inputs!$B$3&gt;=117,F1438,0))/100))+MIN((Skills!S3*(1+(Inputs!$B$35+IF(Inputs!$B$3&gt;=117,F1438,0))/100)),MAX(0,Inputs!$B$44-((R1415-1)*Skills!D3))))/Inputs!$B$44),IF(Inputs!$B$39="pvp",MIN((Skills!S3*(1+(Inputs!$B$35+IF(Inputs!$B$3&gt;=117,F1438,0))/100)),15)/15,(Skills!S3*(1+(Inputs!$B$35+IF(Inputs!$B$3&gt;=117,F1438,0))/100))/Skills!D3)),0)+IF(C1416=TRUE,F1416*IF(AND(Inputs!$B$39&lt;&gt;"pvp",Inputs!$B$44&gt;0),(((R1416-1)*(Skills!S4*(1+(Inputs!$B$35+IF(Inputs!$B$3&gt;=117,F1438,0))/100))+MIN((Skills!S4*(1+(Inputs!$B$35+IF(Inputs!$B$3&gt;=117,F1438,0))/100)),MAX(0,Inputs!$B$44-((R1416-1)*Skills!D4))))/Inputs!$B$44),IF(Inputs!$B$39="pvp",MIN((Skills!S4*(1+(Inputs!$B$35+IF(Inputs!$B$3&gt;=117,F1438,0))/100)),15)/15,(Skills!S4*(1+(Inputs!$B$35+IF(Inputs!$B$3&gt;=117,F1438,0))/100))/Skills!D4)),0)+IF(C1417=TRUE,F1417*IF(AND(Inputs!$B$39&lt;&gt;"pvp",Inputs!$B$44&gt;0),(((R1417-1)*(Skills!S5*(1+(Inputs!$B$35+IF(Inputs!$B$3&gt;=117,F1438,0))/100))+MIN((Skills!S5*(1+(Inputs!$B$35+IF(Inputs!$B$3&gt;=117,F1438,0))/100)),MAX(0,Inputs!$B$44-((R1417-1)*Skills!D5))))/Inputs!$B$44),IF(Inputs!$B$39="pvp",MIN((Skills!S5*(1+(Inputs!$B$35+IF(Inputs!$B$3&gt;=117,F1438,0))/100)),15)/15,(Skills!S5*(1+(Inputs!$B$35+IF(Inputs!$B$3&gt;=117,F1438,0))/100))/Skills!D5)),0)+IF(C1423=TRUE,F1423*IF(AND(Inputs!$B$39&lt;&gt;"pvp",Inputs!$B$44&gt;0),(((R1423-1)*(Skills!S11*(1+(Inputs!$B$35+IF(Inputs!$B$3&gt;=117,F1438,0))/100))+MIN((Skills!S11*(1+(Inputs!$B$35+IF(Inputs!$B$3&gt;=117,F1438,0))/100)),MAX(0,Inputs!$B$44-((R1423-1)*Skills!D11))))/Inputs!$B$44),IF(Inputs!$B$39="pvp",MIN((Skills!S11*(1+(Inputs!$B$35+IF(Inputs!$B$3&gt;=117,F1438,0))/100)),15)/15,(Skills!S11*(1+(Inputs!$B$35+IF(Inputs!$B$3&gt;=117,F1438,0))/100))/Skills!D11)),0))/100)*IF(C1426=TRUE,(1+F1426*IF(AND(Inputs!$B$39&lt;&gt;"pvp",Inputs!$B$44&gt;0),(((R1426-1)*(Skills!S14*(1+(Inputs!$B$35+IF(Inputs!$B$3&gt;=117,F1438,0))/100))+MIN((Skills!S14*(1+(Inputs!$B$35+IF(Inputs!$B$3&gt;=117,F1438,0))/100)),MAX(0,Inputs!$B$44-((R1426-1)*Skills!D14))))/Inputs!$B$44),IF(Inputs!$B$39="pvp",MIN((Skills!S14*(1+(Inputs!$B$35+IF(Inputs!$B$3&gt;=117,F1438,0))/100)),15)/15,(Skills!S14*(1+(Inputs!$B$35+IF(Inputs!$B$3&gt;=117,F1438,0))/100))/Skills!D14))/100),1)*IF(C1431=TRUE,(1+F1431*IF(AND(Inputs!$B$39&lt;&gt;"pvp",Inputs!$B$44&gt;0),(((R1431-1)*(Skills!S19*(1+(Inputs!$B$35+IF(Inputs!$B$3&gt;=117,F1438,0))/100))+MIN((Skills!S19*(1+(Inputs!$B$35+IF(Inputs!$B$3&gt;=117,F1438,0))/100)),MAX(0,Inputs!$B$44-((R1431-1)*Skills!D19))))/Inputs!$B$44),IF(Inputs!$B$39="pvp",MIN((Skills!S19*(1+(Inputs!$B$35+IF(Inputs!$B$3&gt;=117,F1438,0))/100)),15)/15,(Skills!S19*(1+(Inputs!$B$35+IF(Inputs!$B$3&gt;=117,F1438,0))/100))/Skills!D19))/100),1)</f>
        <v/>
      </c>
    </row>
    <row r="1442">
      <c r="A1442" t="inlineStr">
        <is>
          <t>Monster Damage Taken Bonus % (Holy Fountain)</t>
        </is>
      </c>
      <c r="B1442">
        <f>IF(Inputs!$B$3&gt;=68,20*IF(Inputs!$B$39="pvp",MIN((15*(1+(Inputs!$B$35+IF(Inputs!$B$3&gt;=117,F1438,0))/100)),15)/15,(15*(1+(Inputs!$B$35+IF(Inputs!$B$3&gt;=117,F1438,0))/100))/Skills!D10),0)</f>
        <v/>
      </c>
    </row>
    <row r="1443">
      <c r="A1443" t="inlineStr">
        <is>
          <t>Normal Monster Damage Bonus % (Holy Symbol)</t>
        </is>
      </c>
      <c r="B1443">
        <f>IF(C1424=TRUE,F1424*IF(AND(Inputs!$B$39&lt;&gt;"pvp",Inputs!$B$44&gt;0),(((R1424-1)*(Skills!S12*(1+(Inputs!$B$35+IF(Inputs!$B$3&gt;=117,F1438,0))/100))+MIN((Skills!S12*(1+(Inputs!$B$35+IF(Inputs!$B$3&gt;=117,F1438,0))/100)),MAX(0,Inputs!$B$44-((R1424-1)*Skills!D12))))/Inputs!$B$44),IF(Inputs!$B$39="pvp",MIN((Skills!S12*(1+(Inputs!$B$35+IF(Inputs!$B$3&gt;=117,F1438,0))/100)),15)/15,(Skills!S12*(1+(Inputs!$B$35+IF(Inputs!$B$3&gt;=117,F1438,0))/100))/Skills!D12)),0)</f>
        <v/>
      </c>
    </row>
    <row r="1444">
      <c r="A1444" t="inlineStr">
        <is>
          <t>Damage % Bonus (Holy Symbol - Damage Boost)</t>
        </is>
      </c>
      <c r="B1444">
        <f>Skills!O12</f>
        <v/>
      </c>
    </row>
    <row r="1445">
      <c r="A1445" t="inlineStr">
        <is>
          <t>Crit Damage % Bonus (Blood of the Divine)</t>
        </is>
      </c>
      <c r="B1445">
        <f>4*IF(C1432=TRUE,F1432,0)</f>
        <v/>
      </c>
    </row>
    <row r="1446">
      <c r="A1446" t="inlineStr">
        <is>
          <t>Attack Speed Bonus %</t>
        </is>
      </c>
      <c r="B1446">
        <f>IF(C1429=TRUE,F1429+(F1433-Calc!F21),0)+IF(Inputs!$B$3&gt;=134,15,0)</f>
        <v/>
      </c>
    </row>
    <row r="1447">
      <c r="A1447" t="inlineStr">
        <is>
          <t>Actions Per Second</t>
        </is>
      </c>
      <c r="B1447">
        <f>1+MIN(150,150*(1-(1-Inputs!$B$12/150)*(1-B1446/150)))/100</f>
        <v/>
      </c>
    </row>
    <row r="1448">
      <c r="A1448" t="inlineStr">
        <is>
          <t>Skill + Buff Cast Rate</t>
        </is>
      </c>
      <c r="B1448">
        <f>IF(AND(Inputs!$B$39&lt;&gt;"pvp",Inputs!$B$44&gt;0),SUMPRODUCT((Skills!E2:E27=TRUE)*(C1414:C1439=TRUE)*R1414:R1439)/Inputs!$B$44,SUMPRODUCT((Skills!E2:E27=TRUE)*(C1414:C1439=TRUE)*Q1414:Q1439))</f>
        <v/>
      </c>
    </row>
    <row r="1449">
      <c r="A1449" t="inlineStr">
        <is>
          <t>Big Bang Casts Per Second</t>
        </is>
      </c>
      <c r="B1449">
        <f>MAX(0,B1447-B1448)</f>
        <v/>
      </c>
    </row>
    <row r="1450">
      <c r="A1450" t="inlineStr">
        <is>
          <t>Defense % Bonus (Divine Protection)</t>
        </is>
      </c>
      <c r="B1450">
        <f>IF(C1425=TRUE,F1425*IF(AND(Inputs!$B$39&lt;&gt;"pvp",Inputs!$B$44&gt;0),(((R1425-1)*(Skills!S13*(1+(Inputs!$B$35+IF(Inputs!$B$3&gt;=117,F1438,0))/100))+MIN((Skills!S13*(1+(Inputs!$B$35+IF(Inputs!$B$3&gt;=117,F1438,0))/100)),MAX(0,Inputs!$B$44-((R1425-1)*Skills!D13))))/Inputs!$B$44),IF(Inputs!$B$39="pvp",MIN((Skills!S13*(1+(Inputs!$B$35+IF(Inputs!$B$3&gt;=117,F1438,0))/100)),15)/15,(Skills!S13*(1+(Inputs!$B$35+IF(Inputs!$B$3&gt;=117,F1438,0))/100))/Skills!D13)),0)</f>
        <v/>
      </c>
    </row>
    <row r="1451">
      <c r="A1451" t="inlineStr">
        <is>
          <t>Buff-Casting Startup Delay (s, fixed-duration only)</t>
        </is>
      </c>
      <c r="B1451">
        <f>IF(AND(Inputs!$B$39&lt;&gt;"pvp",Inputs!$B$44&gt;0),SUMPRODUCT((Skills!S2:S27&gt;0)*(Skills!E2:E27=TRUE)*(C1414:C1439=TRUE))/B1447,0)</f>
        <v/>
      </c>
    </row>
    <row r="1452">
      <c r="A1452" t="inlineStr">
        <is>
          <t>Boss-Only Total DPS (this block's swept value)</t>
        </is>
      </c>
      <c r="B1452">
        <f>SUM(S1414:S1439)</f>
        <v/>
      </c>
    </row>
    <row r="1453">
      <c r="A1453" t="inlineStr">
        <is>
          <t>Normal-Only Total DPS (this block's swept value)</t>
        </is>
      </c>
      <c r="B1453">
        <f>SUM(U1414:U1439)</f>
        <v/>
      </c>
    </row>
    <row r="1454">
      <c r="A1454" s="5" t="inlineStr">
        <is>
          <t>TOTAL DPS</t>
        </is>
      </c>
      <c r="B1454" s="5">
        <f>SUM(O1414:O1439)</f>
        <v/>
      </c>
    </row>
    <row r="1456">
      <c r="A1456" s="5" t="inlineStr">
        <is>
          <t>Stat: CDR = 3.0s</t>
        </is>
      </c>
    </row>
    <row r="1457">
      <c r="A1457" s="9" t="inlineStr">
        <is>
          <t>Key</t>
        </is>
      </c>
      <c r="B1457" s="9" t="inlineStr">
        <is>
          <t>Name</t>
        </is>
      </c>
      <c r="C1457" s="9" t="inlineStr">
        <is>
          <t>Unlocked</t>
        </is>
      </c>
      <c r="D1457" s="9" t="inlineStr">
        <is>
          <t>InputLevel</t>
        </is>
      </c>
      <c r="E1457" s="9" t="inlineStr">
        <is>
          <t>Factor</t>
        </is>
      </c>
      <c r="F1457" s="9" t="inlineStr">
        <is>
          <t>CoefficientPercent</t>
        </is>
      </c>
      <c r="G1457" s="9" t="inlineStr">
        <is>
          <t>EffectiveHits</t>
        </is>
      </c>
      <c r="H1457" s="9" t="inlineStr">
        <is>
          <t>ProcProbability</t>
        </is>
      </c>
      <c r="I1457" s="9" t="inlineStr">
        <is>
          <t>MapleHeroMultiplier</t>
        </is>
      </c>
      <c r="J1457" s="9" t="inlineStr">
        <is>
          <t>BaseDamage</t>
        </is>
      </c>
      <c r="K1457" s="9" t="inlineStr">
        <is>
          <t>BaseHitDamage</t>
        </is>
      </c>
      <c r="L1457" s="9" t="inlineStr">
        <is>
          <t>NonCritAvg</t>
        </is>
      </c>
      <c r="M1457" s="9" t="inlineStr">
        <is>
          <t>CritAvg</t>
        </is>
      </c>
      <c r="N1457" s="9" t="inlineStr">
        <is>
          <t>ExpectedDamage(perHit)</t>
        </is>
      </c>
      <c r="O1457" s="9" t="inlineStr">
        <is>
          <t>DPS</t>
        </is>
      </c>
      <c r="P1457" s="9" t="inlineStr">
        <is>
          <t>% of Total</t>
        </is>
      </c>
      <c r="R1457" t="inlineStr">
        <is>
          <t>helpers</t>
        </is>
      </c>
    </row>
    <row r="1458">
      <c r="A1458">
        <f>Skills!A2</f>
        <v/>
      </c>
      <c r="B1458">
        <f>Skills!B2</f>
        <v/>
      </c>
      <c r="C1458">
        <f>Inputs!$B$3&gt;=100</f>
        <v/>
      </c>
      <c r="D1458" t="inlineStr"/>
      <c r="E1458" t="inlineStr"/>
      <c r="F1458">
        <f>T1460+Skills!N2</f>
        <v/>
      </c>
      <c r="G1458">
        <f>Calc!G2</f>
        <v/>
      </c>
      <c r="H1458">
        <f>Calc!H2</f>
        <v/>
      </c>
      <c r="I1458">
        <f>IF(Skills!T2&lt;&gt;"",1+(Skills!T2/10)*($Z$3/1000)/100,1)</f>
        <v/>
      </c>
      <c r="J1458">
        <f>((Inputs!$B$6*(1+Inputs!$B$7/100))+(((Inputs!$B$13*(1+Inputs!$B$14/100))-(Inputs!$B$13*(1+Inputs!$B$14/100)))+0.25*(Inputs!$B$15-Inputs!$B$15))*(1+Inputs!$B$7/100))*(F1458/100)</f>
        <v/>
      </c>
      <c r="K1458">
        <f>J1458*(1+(((Inputs!$B$13+IF(Inputs!$B$3&gt;=35,(10*INDEX(FactorTable!$B$2:$Y$301, MATCH(ROUND(MIN(300,MAX(1,Inputs!$B$3)),0), FactorTable!$A$2:$A$301,0), 23)/1000)/100*(Inputs!$B$8*(1+(Inputs!$B$9+B1494)/100)),0))*(1+Inputs!$B$14/100))*0.01+Inputs!$B$15*0.0025)/100)*(1+(Inputs!$B$16+B1488)/100)*(1+Inputs!$B$17/100)*(5000/(6000+Inputs!$B$43*(1-Inputs!$B$20/100)))*(1+Inputs!$B$25/100)*(1+IF(C1474=TRUE,F1474,0)/100)*(1+IF(C1476=TRUE,F1476,0)/100)*(1+IF(Skills!A2="TRIUMPH_FEATHER",IF(C1472=TRUE,F1472,0),0)/100)*(1+IF(C1483=TRUE,F1483,0)/100)^5*(1+(IF(Skills!A2="BIG_BANG",Inputs!$B$18,Inputs!$B$19))/100)*(B1485*I1458)</f>
        <v/>
      </c>
      <c r="L1458">
        <f>K1458*(MIN(Inputs!$B$23+(F1478-Calc!F22),Inputs!$B$24)/100+Inputs!$B$24/100)/2</f>
        <v/>
      </c>
      <c r="M1458">
        <f>L1458*(1+(Inputs!$B$11+B1489+(F1481-Calc!F25))/100)</f>
        <v/>
      </c>
      <c r="N1458">
        <f>L1458*(1-MIN(Inputs!$B$10+((F1480-Calc!F24)+(F1479-Calc!F23)),100)/100)+M1458*(MIN(Inputs!$B$10+((F1480-Calc!F24)+(F1479-Calc!F23)),100)/100)</f>
        <v/>
      </c>
      <c r="O1458">
        <f>(1-Summary!$B$48)*S1458+Summary!$B$48*U1458</f>
        <v/>
      </c>
      <c r="P1458">
        <f>IF(B1498=0,0,O1458/B1498)</f>
        <v/>
      </c>
      <c r="Q1458">
        <f>IFERROR(1/IF(Inputs!$B$39="pvp",15,MAX(0.1,Skills!D2-IF(Skills!E2=TRUE,3.0,0))),0)</f>
        <v/>
      </c>
      <c r="R1458" t="n">
        <v>0</v>
      </c>
      <c r="S1458">
        <f>IF(C1458,(Skills!F2*N1458*B1493)*IF(Inputs!$B$39="pvp",1,1+(Inputs!$B$21+Skills!O2+B1486)/100),0)</f>
        <v/>
      </c>
      <c r="T1458">
        <f>MAX(0,(Inputs!$B$3-100)*3)+Inputs!$B$29+Inputs!$B$30</f>
        <v/>
      </c>
      <c r="U1458">
        <f>IF(C1458,(Skills!F2*N1458*B1493)*IF(Inputs!$B$39="pvp",1,(1+(Inputs!$B$22+Skills!P2+B1487)/100)*(MIN((6+Inputs!$B$34),Inputs!$B$38))),0)</f>
        <v/>
      </c>
    </row>
    <row r="1459">
      <c r="A1459">
        <f>Skills!A3</f>
        <v/>
      </c>
      <c r="B1459">
        <f>Skills!B3</f>
        <v/>
      </c>
      <c r="C1459">
        <f>Inputs!$B$3&gt;=15</f>
        <v/>
      </c>
      <c r="D1459">
        <f>IF(Skills!C3=1,60+Inputs!$B$26+Inputs!$B$30,IF(Skills!C3=2,90+Inputs!$B$27+Inputs!$B$30,IF(Skills!C3=3,120+Inputs!$B$28+Inputs!$B$30,MAX(0,(Inputs!$B$3-100)*3)+Inputs!$B$29+Inputs!$B$30)))</f>
        <v/>
      </c>
      <c r="E1459">
        <f>INDEX(FactorTable!$B$2:$Y$301, MATCH(ROUND(MIN(300,MAX(1,D1459)),0), FactorTable!$A$2:$A$301,0), Skills!L3+1)</f>
        <v/>
      </c>
      <c r="F1459">
        <f>IF(Skills!M3=TRUE,(Skills!K3/10)*(E1459/1000),Skills!K3/10)+Skills!N3</f>
        <v/>
      </c>
      <c r="G1459">
        <f>Calc!G3</f>
        <v/>
      </c>
      <c r="H1459">
        <f>Calc!H3</f>
        <v/>
      </c>
      <c r="I1459">
        <f>IF(Skills!T3&lt;&gt;"",1+(Skills!T3/10)*($Z$3/1000)/100,1)</f>
        <v/>
      </c>
      <c r="J1459" t="inlineStr"/>
      <c r="K1459" t="inlineStr"/>
      <c r="L1459" t="inlineStr"/>
      <c r="M1459" t="inlineStr"/>
      <c r="N1459" t="inlineStr"/>
      <c r="O1459">
        <f>(1-Summary!$B$48)*S1459+Summary!$B$48*U1459</f>
        <v/>
      </c>
      <c r="P1459">
        <f>IF(B1498=0,0,O1459/B1498)</f>
        <v/>
      </c>
      <c r="Q1459">
        <f>IFERROR(1/IF(Inputs!$B$39="pvp",15,MAX(0.1,Skills!D3-IF(Skills!E3=TRUE,3.0,0))),0)</f>
        <v/>
      </c>
      <c r="R1459">
        <f>IF(AND(Inputs!$B$39&lt;&gt;"pvp",Inputs!$B$44&gt;0),IF(Inputs!$B$44&lt;=0,0,(INT(Inputs!$B$44/IF(Inputs!$B$39="pvp",15,MAX(0.1,Skills!D3-IF(Skills!E3=TRUE,3.0,0))))+1)),0)</f>
        <v/>
      </c>
      <c r="S1459" t="n">
        <v>0</v>
      </c>
      <c r="T1459">
        <f>INDEX(FactorTable!$B$2:$Y$301, MATCH(ROUND(MIN(300,MAX(1,T1458)),0), FactorTable!$A$2:$A$301,0), 22)</f>
        <v/>
      </c>
      <c r="U1459" t="n">
        <v>0</v>
      </c>
    </row>
    <row r="1460">
      <c r="A1460">
        <f>Skills!A4</f>
        <v/>
      </c>
      <c r="B1460">
        <f>Skills!B4</f>
        <v/>
      </c>
      <c r="C1460">
        <f>Inputs!$B$3&gt;=38</f>
        <v/>
      </c>
      <c r="D1460">
        <f>IF(Skills!C4=1,60+Inputs!$B$26+Inputs!$B$30,IF(Skills!C4=2,90+Inputs!$B$27+Inputs!$B$30,IF(Skills!C4=3,120+Inputs!$B$28+Inputs!$B$30,MAX(0,(Inputs!$B$3-100)*3)+Inputs!$B$29+Inputs!$B$30)))</f>
        <v/>
      </c>
      <c r="E1460">
        <f>INDEX(FactorTable!$B$2:$Y$301, MATCH(ROUND(MIN(300,MAX(1,D1460)),0), FactorTable!$A$2:$A$301,0), Skills!L4+1)</f>
        <v/>
      </c>
      <c r="F1460">
        <f>IF(Skills!M4=TRUE,(Skills!K4/10)*(E1460/1000),Skills!K4/10)+Skills!N4</f>
        <v/>
      </c>
      <c r="G1460">
        <f>Calc!G4</f>
        <v/>
      </c>
      <c r="H1460">
        <f>Calc!H4</f>
        <v/>
      </c>
      <c r="I1460">
        <f>IF(Skills!T4&lt;&gt;"",1+(Skills!T4/10)*($Z$3/1000)/100,1)</f>
        <v/>
      </c>
      <c r="J1460" t="inlineStr"/>
      <c r="K1460" t="inlineStr"/>
      <c r="L1460" t="inlineStr"/>
      <c r="M1460" t="inlineStr"/>
      <c r="N1460" t="inlineStr"/>
      <c r="O1460">
        <f>(1-Summary!$B$48)*S1460+Summary!$B$48*U1460</f>
        <v/>
      </c>
      <c r="P1460">
        <f>IF(B1498=0,0,O1460/B1498)</f>
        <v/>
      </c>
      <c r="Q1460">
        <f>IFERROR(1/IF(Inputs!$B$39="pvp",15,MAX(0.1,Skills!D4-IF(Skills!E4=TRUE,3.0,0))),0)</f>
        <v/>
      </c>
      <c r="R1460">
        <f>IF(AND(Inputs!$B$39&lt;&gt;"pvp",Inputs!$B$44&gt;0),IF(Inputs!$B$44&lt;=0,0,(INT(Inputs!$B$44/IF(Inputs!$B$39="pvp",15,MAX(0.1,Skills!D4-IF(Skills!E4=TRUE,3.0,0))))+1)),0)</f>
        <v/>
      </c>
      <c r="S1460" t="n">
        <v>0</v>
      </c>
      <c r="T1460">
        <f>290*T1459/1000</f>
        <v/>
      </c>
      <c r="U1460" t="n">
        <v>0</v>
      </c>
    </row>
    <row r="1461">
      <c r="A1461">
        <f>Skills!A5</f>
        <v/>
      </c>
      <c r="B1461">
        <f>Skills!B5</f>
        <v/>
      </c>
      <c r="C1461">
        <f>Inputs!$B$3&gt;=40</f>
        <v/>
      </c>
      <c r="D1461">
        <f>IF(Skills!C5=1,60+Inputs!$B$26+Inputs!$B$30,IF(Skills!C5=2,90+Inputs!$B$27+Inputs!$B$30,IF(Skills!C5=3,120+Inputs!$B$28+Inputs!$B$30,MAX(0,(Inputs!$B$3-100)*3)+Inputs!$B$29+Inputs!$B$30)))</f>
        <v/>
      </c>
      <c r="E1461">
        <f>INDEX(FactorTable!$B$2:$Y$301, MATCH(ROUND(MIN(300,MAX(1,D1461)),0), FactorTable!$A$2:$A$301,0), Skills!L5+1)</f>
        <v/>
      </c>
      <c r="F1461">
        <f>IF(Skills!M5=TRUE,(Skills!K5/10)*(E1461/1000),Skills!K5/10)+Skills!N5</f>
        <v/>
      </c>
      <c r="G1461">
        <f>Calc!G5</f>
        <v/>
      </c>
      <c r="H1461">
        <f>Calc!H5</f>
        <v/>
      </c>
      <c r="I1461">
        <f>IF(Skills!T5&lt;&gt;"",1+(Skills!T5/10)*($Z$3/1000)/100,1)</f>
        <v/>
      </c>
      <c r="J1461" t="inlineStr"/>
      <c r="K1461" t="inlineStr"/>
      <c r="L1461" t="inlineStr"/>
      <c r="M1461" t="inlineStr"/>
      <c r="N1461" t="inlineStr"/>
      <c r="O1461">
        <f>(1-Summary!$B$48)*S1461+Summary!$B$48*U1461</f>
        <v/>
      </c>
      <c r="P1461">
        <f>IF(B1498=0,0,O1461/B1498)</f>
        <v/>
      </c>
      <c r="Q1461">
        <f>IFERROR(1/IF(Inputs!$B$39="pvp",15,MAX(0.1,Skills!D5-IF(Skills!E5=TRUE,3.0,0))),0)</f>
        <v/>
      </c>
      <c r="R1461">
        <f>IF(AND(Inputs!$B$39&lt;&gt;"pvp",Inputs!$B$44&gt;0),IF(Inputs!$B$44&lt;=0,0,(INT(Inputs!$B$44/IF(Inputs!$B$39="pvp",15,MAX(0.1,Skills!D5-IF(Skills!E5=TRUE,3.0,0))))+1)),0)</f>
        <v/>
      </c>
      <c r="S1461" t="n">
        <v>0</v>
      </c>
      <c r="U1461" t="n">
        <v>0</v>
      </c>
    </row>
    <row r="1462">
      <c r="A1462">
        <f>Skills!A6</f>
        <v/>
      </c>
      <c r="B1462">
        <f>Skills!B6</f>
        <v/>
      </c>
      <c r="C1462">
        <f>Inputs!$B$3&gt;=103</f>
        <v/>
      </c>
      <c r="D1462">
        <f>IF(Skills!C6=1,60+Inputs!$B$26+Inputs!$B$30,IF(Skills!C6=2,90+Inputs!$B$27+Inputs!$B$30,IF(Skills!C6=3,120+Inputs!$B$28+Inputs!$B$30,MAX(0,(Inputs!$B$3-100)*3)+Inputs!$B$29+Inputs!$B$30)))</f>
        <v/>
      </c>
      <c r="E1462">
        <f>INDEX(FactorTable!$B$2:$Y$301, MATCH(ROUND(MIN(300,MAX(1,D1462)),0), FactorTable!$A$2:$A$301,0), Skills!L6+1)</f>
        <v/>
      </c>
      <c r="F1462">
        <f>IF(Skills!M6=TRUE,(Skills!K6/10)*(E1462/1000),Skills!K6/10)+Skills!N6</f>
        <v/>
      </c>
      <c r="G1462">
        <f>Calc!G6</f>
        <v/>
      </c>
      <c r="H1462">
        <f>Calc!H6</f>
        <v/>
      </c>
      <c r="I1462">
        <f>IF(Skills!T6&lt;&gt;"",1+(Skills!T6/10)*($Z$3/1000)/100,1)</f>
        <v/>
      </c>
      <c r="J1462">
        <f>((Inputs!$B$6*(1+Inputs!$B$7/100))+(((Inputs!$B$13*(1+Inputs!$B$14/100))-(Inputs!$B$13*(1+Inputs!$B$14/100)))+0.25*(Inputs!$B$15-Inputs!$B$15))*(1+Inputs!$B$7/100))*(F1462/100)</f>
        <v/>
      </c>
      <c r="K1462">
        <f>J1462*(1+(((Inputs!$B$13+IF(Inputs!$B$3&gt;=35,(10*INDEX(FactorTable!$B$2:$Y$301, MATCH(ROUND(MIN(300,MAX(1,Inputs!$B$3)),0), FactorTable!$A$2:$A$301,0), 23)/1000)/100*(Inputs!$B$8*(1+(Inputs!$B$9+B1494)/100)),0))*(1+Inputs!$B$14/100))*0.01+Inputs!$B$15*0.0025)/100)*(1+(Inputs!$B$16+B1488)/100)*(1+Inputs!$B$17/100)*(5000/(6000+Inputs!$B$43*(1-Inputs!$B$20/100)))*(1+Inputs!$B$25/100)*(1+IF(C1474=TRUE,F1474,0)/100)*(1+IF(C1476=TRUE,F1476,0)/100)*(1+IF(Skills!A6="TRIUMPH_FEATHER",IF(C1472=TRUE,F1472,0),0)/100)*(1+IF(C1483=TRUE,F1483,0)/100)^5*(1+(IF(Skills!A6="BIG_BANG",Inputs!$B$18,Inputs!$B$19))/100)*(B1485*I1462)</f>
        <v/>
      </c>
      <c r="L1462">
        <f>K1462*(MIN(Inputs!$B$23+(F1478-Calc!F22),Inputs!$B$24)/100+Inputs!$B$24/100)/2</f>
        <v/>
      </c>
      <c r="M1462">
        <f>L1462*(1+(Inputs!$B$11+B1489+(F1481-Calc!F25))/100)</f>
        <v/>
      </c>
      <c r="N1462">
        <f>L1462*(1-MIN(Inputs!$B$10+((F1480-Calc!F24)+(F1479-Calc!F23)),100)/100)+M1462*(MIN(Inputs!$B$10+((F1480-Calc!F24)+(F1479-Calc!F23)),100)/100)</f>
        <v/>
      </c>
      <c r="O1462">
        <f>(1-Summary!$B$48)*S1462+Summary!$B$48*U1462</f>
        <v/>
      </c>
      <c r="P1462">
        <f>IF(B1498=0,0,O1462/B1498)</f>
        <v/>
      </c>
      <c r="Q1462">
        <f>IFERROR(1/IF(Inputs!$B$39="pvp",15,MAX(0.1,Skills!D6-IF(Skills!E6=TRUE,3.0,0))),0)</f>
        <v/>
      </c>
      <c r="R1462">
        <f>IF(AND(Inputs!$B$39&lt;&gt;"pvp",Inputs!$B$44&gt;0),IF(MAX(0,Inputs!$B$44-B1495)&lt;=0,0,(INT(MAX(0,Inputs!$B$44-B1495)/IF(Inputs!$B$39="pvp",15,MAX(0.1,Skills!D6-IF(Skills!E6=TRUE,3.0,0))))+1)),0)</f>
        <v/>
      </c>
      <c r="S1462">
        <f>IF(C1462,(H1462*N1462*IF(AND(Inputs!$B$39&lt;&gt;"pvp",Inputs!$B$44&gt;0),((Skills!F6*((R1462-1)*IF(Skills!G6&gt;0,Skills!H6/Skills!G6,1)+IF(Skills!G6&gt;0,MIN(Skills!H6,MAX(0,MAX(0,Inputs!$B$44-B1495)-((R1462-1)*IF(Inputs!$B$39="pvp",15,MAX(0.1,Skills!D6-IF(Skills!E6=TRUE,3.0,0))))))/Skills!G6,1)))/Inputs!$B$44),G1462*Q1462))*IF(Inputs!$B$39="pvp",1,1+(Inputs!$B$21+Skills!O6+B1486)/100),0)</f>
        <v/>
      </c>
      <c r="U1462">
        <f>IF(C1462,(H1462*N1462*IF(AND(Inputs!$B$39&lt;&gt;"pvp",Inputs!$B$44&gt;0),((Skills!F6*((R1462-1)*IF(Skills!G6&gt;0,Skills!H6/Skills!G6,1)+IF(Skills!G6&gt;0,MIN(Skills!H6,MAX(0,MAX(0,Inputs!$B$44-B1495)-((R1462-1)*IF(Inputs!$B$39="pvp",15,MAX(0.1,Skills!D6-IF(Skills!E6=TRUE,3.0,0))))))/Skills!G6,1)))/Inputs!$B$44),G1462*Q1462))*IF(Inputs!$B$39="pvp",1,(1+(Inputs!$B$22+Skills!P6+B1487)/100)*(MIN(Skills!Q6,Inputs!$B$38))),0)</f>
        <v/>
      </c>
    </row>
    <row r="1463">
      <c r="A1463">
        <f>Skills!A7</f>
        <v/>
      </c>
      <c r="B1463">
        <f>Skills!B7</f>
        <v/>
      </c>
      <c r="C1463">
        <f>Inputs!$B$3&gt;=122</f>
        <v/>
      </c>
      <c r="D1463">
        <f>IF(Skills!C7=1,60+Inputs!$B$26+Inputs!$B$30,IF(Skills!C7=2,90+Inputs!$B$27+Inputs!$B$30,IF(Skills!C7=3,120+Inputs!$B$28+Inputs!$B$30,MAX(0,(Inputs!$B$3-100)*3)+Inputs!$B$29+Inputs!$B$30)))</f>
        <v/>
      </c>
      <c r="E1463">
        <f>INDEX(FactorTable!$B$2:$Y$301, MATCH(ROUND(MIN(300,MAX(1,D1463)),0), FactorTable!$A$2:$A$301,0), Skills!L7+1)</f>
        <v/>
      </c>
      <c r="F1463">
        <f>IF(Skills!M7=TRUE,(Skills!K7/10)*(E1463/1000),Skills!K7/10)+Skills!N7</f>
        <v/>
      </c>
      <c r="G1463">
        <f>Calc!G7</f>
        <v/>
      </c>
      <c r="H1463">
        <f>Calc!H7</f>
        <v/>
      </c>
      <c r="I1463">
        <f>IF(Skills!T7&lt;&gt;"",1+(Skills!T7/10)*($Z$3/1000)/100,1)</f>
        <v/>
      </c>
      <c r="J1463">
        <f>((Inputs!$B$6*(1+Inputs!$B$7/100))+(((Inputs!$B$13*(1+Inputs!$B$14/100))-(Inputs!$B$13*(1+Inputs!$B$14/100)))+0.25*(Inputs!$B$15-Inputs!$B$15))*(1+Inputs!$B$7/100))*(F1463/100)</f>
        <v/>
      </c>
      <c r="K1463">
        <f>J1463*(1+(((Inputs!$B$13+IF(Inputs!$B$3&gt;=35,(10*INDEX(FactorTable!$B$2:$Y$301, MATCH(ROUND(MIN(300,MAX(1,Inputs!$B$3)),0), FactorTable!$A$2:$A$301,0), 23)/1000)/100*(Inputs!$B$8*(1+(Inputs!$B$9+B1494)/100)),0))*(1+Inputs!$B$14/100))*0.01+Inputs!$B$15*0.0025)/100)*(1+(Inputs!$B$16+B1488)/100)*(1+Inputs!$B$17/100)*(5000/(6000+Inputs!$B$43*(1-Inputs!$B$20/100)))*(1+Inputs!$B$25/100)*(1+IF(C1474=TRUE,F1474,0)/100)*(1+IF(C1476=TRUE,F1476,0)/100)*(1+IF(Skills!A7="TRIUMPH_FEATHER",IF(C1472=TRUE,F1472,0),0)/100)*(1+IF(C1483=TRUE,F1483,0)/100)^5*(1+(IF(Skills!A7="BIG_BANG",Inputs!$B$18,Inputs!$B$19))/100)*(B1485*I1463)</f>
        <v/>
      </c>
      <c r="L1463">
        <f>K1463*(MIN(Inputs!$B$23+(F1478-Calc!F22),Inputs!$B$24)/100+Inputs!$B$24/100)/2</f>
        <v/>
      </c>
      <c r="M1463">
        <f>L1463*(1+(Inputs!$B$11+B1489+(F1481-Calc!F25))/100)</f>
        <v/>
      </c>
      <c r="N1463">
        <f>L1463*(1-MIN(Inputs!$B$10+((F1480-Calc!F24)+(F1479-Calc!F23)),100)/100)+M1463*(MIN(Inputs!$B$10+((F1480-Calc!F24)+(F1479-Calc!F23)),100)/100)</f>
        <v/>
      </c>
      <c r="O1463">
        <f>(1-Summary!$B$48)*S1463+Summary!$B$48*U1463</f>
        <v/>
      </c>
      <c r="P1463">
        <f>IF(B1498=0,0,O1463/B1498)</f>
        <v/>
      </c>
      <c r="Q1463">
        <f>IFERROR(1/IF(Inputs!$B$39="pvp",15,MAX(0.1,Skills!D7-IF(Skills!E6=TRUE,3.0,0))),0)</f>
        <v/>
      </c>
      <c r="R1463">
        <f>IF(AND(Inputs!$B$39&lt;&gt;"pvp",Inputs!$B$44&gt;0),IF(MAX(0,Inputs!$B$44-B1495)&lt;=0,0,(INT(MAX(0,Inputs!$B$44-B1495)/IF(Inputs!$B$39="pvp",15,MAX(0.1,Skills!D7-IF(Skills!E6=TRUE,3.0,0))))+1)),0)</f>
        <v/>
      </c>
      <c r="S1463">
        <f>IF(C1463,H1463*N1463*IF(AND(Inputs!$B$39&lt;&gt;"pvp",Inputs!$B$44&gt;0),((Skills!F7*((R1463-1)*IF(Skills!G7&gt;0,Skills!H7/Skills!G7,1)+IF(Skills!G7&gt;0,MIN(Skills!H7,MAX(0,MAX(0,Inputs!$B$44-B1495)-((R1463-1)*IF(Inputs!$B$39="pvp",15,MAX(0.1,Skills!D7-IF(Skills!E6=TRUE,3.0,0))))))/Skills!G7,1)))/Inputs!$B$44),G1463*Q1463)*IF(Inputs!$B$39="pvp",1,1+(Inputs!$B$21+Skills!O7+B1486)/100),0)</f>
        <v/>
      </c>
      <c r="U1463" t="n">
        <v>0</v>
      </c>
    </row>
    <row r="1464">
      <c r="A1464">
        <f>Skills!A8</f>
        <v/>
      </c>
      <c r="B1464">
        <f>Skills!B8</f>
        <v/>
      </c>
      <c r="C1464">
        <f>Inputs!$B$3&gt;=105</f>
        <v/>
      </c>
      <c r="D1464">
        <f>IF(Skills!C8=1,60+Inputs!$B$26+Inputs!$B$30,IF(Skills!C8=2,90+Inputs!$B$27+Inputs!$B$30,IF(Skills!C8=3,120+Inputs!$B$28+Inputs!$B$30,MAX(0,(Inputs!$B$3-100)*3)+Inputs!$B$29+Inputs!$B$30)))</f>
        <v/>
      </c>
      <c r="E1464">
        <f>INDEX(FactorTable!$B$2:$Y$301, MATCH(ROUND(MIN(300,MAX(1,D1464)),0), FactorTable!$A$2:$A$301,0), Skills!L8+1)</f>
        <v/>
      </c>
      <c r="F1464">
        <f>IF(Skills!M8=TRUE,(Skills!K8/10)*(E1464/1000),Skills!K8/10)+Skills!N8</f>
        <v/>
      </c>
      <c r="G1464">
        <f>Calc!G8</f>
        <v/>
      </c>
      <c r="H1464">
        <f>Calc!H8</f>
        <v/>
      </c>
      <c r="I1464">
        <f>IF(Skills!T8&lt;&gt;"",1+(Skills!T8/10)*($Z$3/1000)/100,1)</f>
        <v/>
      </c>
      <c r="J1464">
        <f>((Inputs!$B$6*(1+Inputs!$B$7/100))+(((Inputs!$B$13*(1+Inputs!$B$14/100))-(Inputs!$B$13*(1+Inputs!$B$14/100)))+0.25*(Inputs!$B$15-Inputs!$B$15))*(1+Inputs!$B$7/100))*(F1464/100)</f>
        <v/>
      </c>
      <c r="K1464">
        <f>J1464*(1+(((Inputs!$B$13+IF(Inputs!$B$3&gt;=35,(10*INDEX(FactorTable!$B$2:$Y$301, MATCH(ROUND(MIN(300,MAX(1,Inputs!$B$3)),0), FactorTable!$A$2:$A$301,0), 23)/1000)/100*(Inputs!$B$8*(1+(Inputs!$B$9+B1494)/100)),0))*(1+Inputs!$B$14/100))*0.01+Inputs!$B$15*0.0025)/100)*(1+(Inputs!$B$16+B1488)/100)*(1+Inputs!$B$17/100)*(5000/(6000+Inputs!$B$43*(1-Inputs!$B$20/100)))*(1+Inputs!$B$25/100)*(1+IF(C1474=TRUE,F1474,0)/100)*(1+IF(C1476=TRUE,F1476,0)/100)*(1+IF(Skills!A8="TRIUMPH_FEATHER",IF(C1472=TRUE,F1472,0),0)/100)*(1+IF(C1483=TRUE,F1483,0)/100)^5*(1+(IF(Skills!A8="BIG_BANG",Inputs!$B$18,Inputs!$B$19))/100)*(B1485*I1464)</f>
        <v/>
      </c>
      <c r="L1464">
        <f>K1464*(MIN(Inputs!$B$23+(F1478-Calc!F22),Inputs!$B$24)/100+Inputs!$B$24/100)/2</f>
        <v/>
      </c>
      <c r="M1464">
        <f>L1464*(1+(Inputs!$B$11+B1489+(F1481-Calc!F25))/100)</f>
        <v/>
      </c>
      <c r="N1464">
        <f>L1464*(1-MIN(Inputs!$B$10+((F1480-Calc!F24)+(F1479-Calc!F23)),100)/100)+M1464*(MIN(Inputs!$B$10+((F1480-Calc!F24)+(F1479-Calc!F23)),100)/100)</f>
        <v/>
      </c>
      <c r="O1464">
        <f>(1-Summary!$B$48)*S1464+Summary!$B$48*U1464</f>
        <v/>
      </c>
      <c r="P1464">
        <f>IF(B1498=0,0,O1464/B1498)</f>
        <v/>
      </c>
      <c r="Q1464">
        <f>IFERROR(1/IF(Inputs!$B$39="pvp",15,MAX(0.1,Skills!D8-IF(Skills!E8=TRUE,3.0,0))),0)</f>
        <v/>
      </c>
      <c r="R1464">
        <f>IF(AND(Inputs!$B$39&lt;&gt;"pvp",Inputs!$B$44&gt;0),IF(MAX(0,Inputs!$B$44-B1495)&lt;=0,0,(INT(MAX(0,Inputs!$B$44-B1495)/IF(Inputs!$B$39="pvp",15,MAX(0.1,Skills!D8-IF(Skills!E8=TRUE,3.0,0))))+1)),0)</f>
        <v/>
      </c>
      <c r="S1464">
        <f>IF(C1464,(H1464*N1464*IF(AND(Inputs!$B$39&lt;&gt;"pvp",Inputs!$B$44&gt;0),((Skills!F8*((R1464-1)*IF(Skills!G8&gt;0,Skills!H8/Skills!G8,1)+IF(Skills!G8&gt;0,MIN(Skills!H8,MAX(0,MAX(0,Inputs!$B$44-B1495)-((R1464-1)*IF(Inputs!$B$39="pvp",15,MAX(0.1,Skills!D8-IF(Skills!E8=TRUE,3.0,0))))))/Skills!G8,1)))/Inputs!$B$44),G1464*Q1464))*IF(Inputs!$B$39="pvp",1,1+(Inputs!$B$21+Skills!O8+B1486)/100),0)</f>
        <v/>
      </c>
      <c r="U1464">
        <f>IF(C1464,(H1464*N1464*IF(AND(Inputs!$B$39&lt;&gt;"pvp",Inputs!$B$44&gt;0),((Skills!F8*((R1464-1)*IF(Skills!G8&gt;0,Skills!H8/Skills!G8,1)+IF(Skills!G8&gt;0,MIN(Skills!H8,MAX(0,MAX(0,Inputs!$B$44-B1495)-((R1464-1)*IF(Inputs!$B$39="pvp",15,MAX(0.1,Skills!D8-IF(Skills!E8=TRUE,3.0,0))))))/Skills!G8,1)))/Inputs!$B$44),G1464*Q1464))*IF(Inputs!$B$39="pvp",1,(1+(Inputs!$B$22+Skills!P8+B1487)/100)*(MIN(Skills!Q8,Inputs!$B$38))),0)</f>
        <v/>
      </c>
    </row>
    <row r="1465">
      <c r="A1465">
        <f>Skills!A9</f>
        <v/>
      </c>
      <c r="B1465">
        <f>Skills!B9</f>
        <v/>
      </c>
      <c r="C1465">
        <f>Inputs!$B$3&gt;=115</f>
        <v/>
      </c>
      <c r="D1465">
        <f>IF(Skills!C9=1,60+Inputs!$B$26+Inputs!$B$30,IF(Skills!C9=2,90+Inputs!$B$27+Inputs!$B$30,IF(Skills!C9=3,120+Inputs!$B$28+Inputs!$B$30,MAX(0,(Inputs!$B$3-100)*3)+Inputs!$B$29+Inputs!$B$30)))</f>
        <v/>
      </c>
      <c r="E1465">
        <f>INDEX(FactorTable!$B$2:$Y$301, MATCH(ROUND(MIN(300,MAX(1,D1465)),0), FactorTable!$A$2:$A$301,0), Skills!L9+1)</f>
        <v/>
      </c>
      <c r="F1465">
        <f>IF(Skills!M9=TRUE,(Skills!K9/10)*(E1465/1000),Skills!K9/10)+Skills!N9</f>
        <v/>
      </c>
      <c r="G1465">
        <f>Calc!G9</f>
        <v/>
      </c>
      <c r="H1465">
        <f>Calc!H9</f>
        <v/>
      </c>
      <c r="I1465">
        <f>IF(Skills!T9&lt;&gt;"",1+(Skills!T9/10)*($Z$3/1000)/100,1)</f>
        <v/>
      </c>
      <c r="J1465">
        <f>((Inputs!$B$6*(1+Inputs!$B$7/100))+(((Inputs!$B$13*(1+Inputs!$B$14/100))-(Inputs!$B$13*(1+Inputs!$B$14/100)))+0.25*(Inputs!$B$15-Inputs!$B$15))*(1+Inputs!$B$7/100))*(F1465/100)</f>
        <v/>
      </c>
      <c r="K1465">
        <f>J1465*(1+(((Inputs!$B$13+IF(Inputs!$B$3&gt;=35,(10*INDEX(FactorTable!$B$2:$Y$301, MATCH(ROUND(MIN(300,MAX(1,Inputs!$B$3)),0), FactorTable!$A$2:$A$301,0), 23)/1000)/100*(Inputs!$B$8*(1+(Inputs!$B$9+B1494)/100)),0))*(1+Inputs!$B$14/100))*0.01+Inputs!$B$15*0.0025)/100)*(1+(Inputs!$B$16+B1488)/100)*(1+Inputs!$B$17/100)*(5000/(6000+Inputs!$B$43*(1-Inputs!$B$20/100)))*(1+Inputs!$B$25/100)*(1+IF(C1474=TRUE,F1474,0)/100)*(1+IF(C1476=TRUE,F1476,0)/100)*(1+IF(Skills!A9="TRIUMPH_FEATHER",IF(C1472=TRUE,F1472,0),0)/100)*(1+IF(C1483=TRUE,F1483,0)/100)^5*(1+(IF(Skills!A9="BIG_BANG",Inputs!$B$18,Inputs!$B$19))/100)*(B1485*I1465)</f>
        <v/>
      </c>
      <c r="L1465">
        <f>K1465*(MIN(Inputs!$B$23+(F1478-Calc!F22),Inputs!$B$24)/100+Inputs!$B$24/100)/2</f>
        <v/>
      </c>
      <c r="M1465">
        <f>L1465*(1+(Inputs!$B$11+B1489+(F1481-Calc!F25))/100)</f>
        <v/>
      </c>
      <c r="N1465">
        <f>L1465*(1-MIN(Inputs!$B$10+((F1480-Calc!F24)+(F1479-Calc!F23)),100)/100)+M1465*(MIN(Inputs!$B$10+((F1480-Calc!F24)+(F1479-Calc!F23)),100)/100)</f>
        <v/>
      </c>
      <c r="O1465">
        <f>(1-Summary!$B$48)*S1465+Summary!$B$48*U1465</f>
        <v/>
      </c>
      <c r="P1465">
        <f>IF(B1498=0,0,O1465/B1498)</f>
        <v/>
      </c>
      <c r="Q1465">
        <f>IFERROR(1/IF(Inputs!$B$39="pvp",15,MAX(0.1,Skills!D9-IF(Skills!E9=TRUE,3.0,0))),0)</f>
        <v/>
      </c>
      <c r="R1465">
        <f>IF(AND(Inputs!$B$39&lt;&gt;"pvp",Inputs!$B$44&gt;0),IF(MAX(0,Inputs!$B$44-B1495)&lt;=0,0,(INT(MAX(0,Inputs!$B$44-B1495)/IF(Inputs!$B$39="pvp",15,MAX(0.1,Skills!D9-IF(Skills!E9=TRUE,3.0,0))))+1)),0)</f>
        <v/>
      </c>
      <c r="S1465">
        <f>IF(C1465,(H1465*N1465*IF(AND(Inputs!$B$39&lt;&gt;"pvp",Inputs!$B$44&gt;0),((Skills!F9*((R1465-1)*IF(Skills!G9&gt;0,Skills!H9/Skills!G9,1)+IF(Skills!G9&gt;0,MIN(Skills!H9,MAX(0,MAX(0,Inputs!$B$44-B1495)-((R1465-1)*IF(Inputs!$B$39="pvp",15,MAX(0.1,Skills!D9-IF(Skills!E9=TRUE,3.0,0))))))/Skills!G9,1)))/Inputs!$B$44),G1465*Q1465))*IF(Inputs!$B$39="pvp",1,1+(Inputs!$B$21+Skills!O9+B1486)/100),0)</f>
        <v/>
      </c>
      <c r="U1465">
        <f>IF(C1465,(H1465*N1465*IF(AND(Inputs!$B$39&lt;&gt;"pvp",Inputs!$B$44&gt;0),((Skills!F9*((R1465-1)*IF(Skills!G9&gt;0,Skills!H9/Skills!G9,1)+IF(Skills!G9&gt;0,MIN(Skills!H9,MAX(0,MAX(0,Inputs!$B$44-B1495)-((R1465-1)*IF(Inputs!$B$39="pvp",15,MAX(0.1,Skills!D9-IF(Skills!E9=TRUE,3.0,0))))))/Skills!G9,1)))/Inputs!$B$44),G1465*Q1465))*IF(Inputs!$B$39="pvp",1,(1+(Inputs!$B$22+Skills!P9+B1487)/100)*(MIN(Skills!Q9,Inputs!$B$38))),0)</f>
        <v/>
      </c>
    </row>
    <row r="1466">
      <c r="A1466">
        <f>Skills!A10</f>
        <v/>
      </c>
      <c r="B1466">
        <f>Skills!B10</f>
        <v/>
      </c>
      <c r="C1466">
        <f>Inputs!$B$3&gt;=66</f>
        <v/>
      </c>
      <c r="D1466">
        <f>IF(Skills!C10=1,60+Inputs!$B$26+Inputs!$B$30,IF(Skills!C10=2,90+Inputs!$B$27+Inputs!$B$30,IF(Skills!C10=3,120+Inputs!$B$28+Inputs!$B$30,MAX(0,(Inputs!$B$3-100)*3)+Inputs!$B$29+Inputs!$B$30)))</f>
        <v/>
      </c>
      <c r="E1466">
        <f>INDEX(FactorTable!$B$2:$Y$301, MATCH(ROUND(MIN(300,MAX(1,D1466)),0), FactorTable!$A$2:$A$301,0), Skills!L10+1)</f>
        <v/>
      </c>
      <c r="F1466" t="n">
        <v>0</v>
      </c>
      <c r="G1466">
        <f>Calc!G10</f>
        <v/>
      </c>
      <c r="H1466">
        <f>Calc!H10</f>
        <v/>
      </c>
      <c r="I1466">
        <f>IF(Skills!T10&lt;&gt;"",1+(Skills!T10/10)*($Z$3/1000)/100,1)</f>
        <v/>
      </c>
      <c r="J1466" t="inlineStr"/>
      <c r="K1466" t="inlineStr"/>
      <c r="L1466" t="inlineStr"/>
      <c r="M1466" t="inlineStr"/>
      <c r="N1466" t="inlineStr"/>
      <c r="O1466">
        <f>(1-Summary!$B$48)*S1466+Summary!$B$48*U1466</f>
        <v/>
      </c>
      <c r="P1466">
        <f>IF(B1498=0,0,O1466/B1498)</f>
        <v/>
      </c>
      <c r="Q1466">
        <f>IFERROR(1/IF(Inputs!$B$39="pvp",15,MAX(0.1,Skills!D10-IF(Skills!E10=TRUE,3.0,0))),0)</f>
        <v/>
      </c>
      <c r="R1466">
        <f>IF(AND(Inputs!$B$39&lt;&gt;"pvp",Inputs!$B$44&gt;0),IF(MAX(0,Inputs!$B$44-B1495)&lt;=0,0,(INT(MAX(0,Inputs!$B$44-B1495)/IF(Inputs!$B$39="pvp",15,MAX(0.1,Skills!D10-IF(Skills!E10=TRUE,3.0,0))))+1)),0)</f>
        <v/>
      </c>
      <c r="S1466" t="n">
        <v>0</v>
      </c>
      <c r="U1466" t="n">
        <v>0</v>
      </c>
    </row>
    <row r="1467">
      <c r="A1467">
        <f>Skills!A11</f>
        <v/>
      </c>
      <c r="B1467">
        <f>Skills!B11</f>
        <v/>
      </c>
      <c r="C1467">
        <f>Inputs!$B$3&gt;=69</f>
        <v/>
      </c>
      <c r="D1467">
        <f>IF(Skills!C11=1,60+Inputs!$B$26+Inputs!$B$30,IF(Skills!C11=2,90+Inputs!$B$27+Inputs!$B$30,IF(Skills!C11=3,120+Inputs!$B$28+Inputs!$B$30,MAX(0,(Inputs!$B$3-100)*3)+Inputs!$B$29+Inputs!$B$30)))</f>
        <v/>
      </c>
      <c r="E1467">
        <f>INDEX(FactorTable!$B$2:$Y$301, MATCH(ROUND(MIN(300,MAX(1,D1467)),0), FactorTable!$A$2:$A$301,0), Skills!L11+1)</f>
        <v/>
      </c>
      <c r="F1467">
        <f>IF(Skills!M11=TRUE,(Skills!K11/10)*(E1467/1000),Skills!K11/10)+Skills!N11</f>
        <v/>
      </c>
      <c r="G1467">
        <f>Calc!G11</f>
        <v/>
      </c>
      <c r="H1467">
        <f>Calc!H11</f>
        <v/>
      </c>
      <c r="I1467">
        <f>IF(Skills!T11&lt;&gt;"",1+(Skills!T11/10)*($Z$3/1000)/100,1)</f>
        <v/>
      </c>
      <c r="J1467" t="inlineStr"/>
      <c r="K1467" t="inlineStr"/>
      <c r="L1467" t="inlineStr"/>
      <c r="M1467" t="inlineStr"/>
      <c r="N1467" t="inlineStr"/>
      <c r="O1467">
        <f>(1-Summary!$B$48)*S1467+Summary!$B$48*U1467</f>
        <v/>
      </c>
      <c r="P1467">
        <f>IF(B1498=0,0,O1467/B1498)</f>
        <v/>
      </c>
      <c r="Q1467">
        <f>IFERROR(1/IF(Inputs!$B$39="pvp",15,MAX(0.1,Skills!D11-IF(Skills!E11=TRUE,3.0,0))),0)</f>
        <v/>
      </c>
      <c r="R1467">
        <f>IF(AND(Inputs!$B$39&lt;&gt;"pvp",Inputs!$B$44&gt;0),IF(Inputs!$B$44&lt;=0,0,(INT(Inputs!$B$44/IF(Inputs!$B$39="pvp",15,MAX(0.1,Skills!D11-IF(Skills!E11=TRUE,3.0,0))))+1)),0)</f>
        <v/>
      </c>
      <c r="S1467" t="n">
        <v>0</v>
      </c>
      <c r="U1467" t="n">
        <v>0</v>
      </c>
    </row>
    <row r="1468">
      <c r="A1468">
        <f>Skills!A12</f>
        <v/>
      </c>
      <c r="B1468">
        <f>Skills!B12</f>
        <v/>
      </c>
      <c r="C1468">
        <f>Inputs!$B$3&gt;=72</f>
        <v/>
      </c>
      <c r="D1468">
        <f>IF(Skills!C12=1,60+Inputs!$B$26+Inputs!$B$30,IF(Skills!C12=2,90+Inputs!$B$27+Inputs!$B$30,IF(Skills!C12=3,120+Inputs!$B$28+Inputs!$B$30,MAX(0,(Inputs!$B$3-100)*3)+Inputs!$B$29+Inputs!$B$30)))</f>
        <v/>
      </c>
      <c r="E1468">
        <f>INDEX(FactorTable!$B$2:$Y$301, MATCH(ROUND(MIN(300,MAX(1,D1468)),0), FactorTable!$A$2:$A$301,0), Skills!L12+1)</f>
        <v/>
      </c>
      <c r="F1468">
        <f>IF(Skills!M12=TRUE,(Skills!K12/10)*(E1468/1000),Skills!K12/10)+Skills!N12</f>
        <v/>
      </c>
      <c r="G1468">
        <f>Calc!G12</f>
        <v/>
      </c>
      <c r="H1468">
        <f>Calc!H12</f>
        <v/>
      </c>
      <c r="I1468">
        <f>IF(Skills!T12&lt;&gt;"",1+(Skills!T12/10)*($Z$3/1000)/100,1)</f>
        <v/>
      </c>
      <c r="J1468" t="inlineStr"/>
      <c r="K1468" t="inlineStr"/>
      <c r="L1468" t="inlineStr"/>
      <c r="M1468" t="inlineStr"/>
      <c r="N1468" t="inlineStr"/>
      <c r="O1468">
        <f>(1-Summary!$B$48)*S1468+Summary!$B$48*U1468</f>
        <v/>
      </c>
      <c r="P1468">
        <f>IF(B1498=0,0,O1468/B1498)</f>
        <v/>
      </c>
      <c r="Q1468">
        <f>IFERROR(1/IF(Inputs!$B$39="pvp",15,MAX(0.1,Skills!D12-IF(Skills!E12=TRUE,3.0,0))),0)</f>
        <v/>
      </c>
      <c r="R1468">
        <f>IF(AND(Inputs!$B$39&lt;&gt;"pvp",Inputs!$B$44&gt;0),IF(MAX(0,Inputs!$B$44-B1495)&lt;=0,0,(INT(MAX(0,Inputs!$B$44-B1495)/IF(Inputs!$B$39="pvp",15,MAX(0.1,Skills!D12-IF(Skills!E12=TRUE,3.0,0))))+1)),0)</f>
        <v/>
      </c>
      <c r="S1468" t="n">
        <v>0</v>
      </c>
      <c r="U1468" t="n">
        <v>0</v>
      </c>
    </row>
    <row r="1469">
      <c r="A1469">
        <f>Skills!A13</f>
        <v/>
      </c>
      <c r="B1469">
        <f>Skills!B13</f>
        <v/>
      </c>
      <c r="C1469">
        <f>Inputs!$B$3&gt;=60</f>
        <v/>
      </c>
      <c r="D1469">
        <f>IF(Skills!C13=1,60+Inputs!$B$26+Inputs!$B$30,IF(Skills!C13=2,90+Inputs!$B$27+Inputs!$B$30,IF(Skills!C13=3,120+Inputs!$B$28+Inputs!$B$30,MAX(0,(Inputs!$B$3-100)*3)+Inputs!$B$29+Inputs!$B$30)))</f>
        <v/>
      </c>
      <c r="E1469">
        <f>INDEX(FactorTable!$B$2:$Y$301, MATCH(ROUND(MIN(300,MAX(1,D1469)),0), FactorTable!$A$2:$A$301,0), Skills!L13+1)</f>
        <v/>
      </c>
      <c r="F1469">
        <f>IF(Skills!M13=TRUE,(Skills!K13/10)*(E1469/1000),Skills!K13/10)+Skills!N13</f>
        <v/>
      </c>
      <c r="G1469">
        <f>Calc!G13</f>
        <v/>
      </c>
      <c r="H1469">
        <f>Calc!H13</f>
        <v/>
      </c>
      <c r="I1469">
        <f>IF(Skills!T13&lt;&gt;"",1+(Skills!T13/10)*($Z$3/1000)/100,1)</f>
        <v/>
      </c>
      <c r="J1469" t="inlineStr"/>
      <c r="K1469" t="inlineStr"/>
      <c r="L1469" t="inlineStr"/>
      <c r="M1469" t="inlineStr"/>
      <c r="N1469" t="inlineStr"/>
      <c r="O1469">
        <f>(1-Summary!$B$48)*S1469+Summary!$B$48*U1469</f>
        <v/>
      </c>
      <c r="P1469">
        <f>IF(B1498=0,0,O1469/B1498)</f>
        <v/>
      </c>
      <c r="Q1469">
        <f>IFERROR(1/IF(Inputs!$B$39="pvp",15,MAX(0.1,Skills!D13-IF(Skills!E13=TRUE,3.0,0))),0)</f>
        <v/>
      </c>
      <c r="R1469">
        <f>IF(AND(Inputs!$B$39&lt;&gt;"pvp",Inputs!$B$44&gt;0),IF(MAX(0,Inputs!$B$44-B1495)&lt;=0,0,(INT(MAX(0,Inputs!$B$44-B1495)/IF(Inputs!$B$39="pvp",15,MAX(0.1,Skills!D13-IF(Skills!E13=TRUE,3.0,0))))+1)),0)</f>
        <v/>
      </c>
      <c r="S1469" t="n">
        <v>0</v>
      </c>
      <c r="U1469" t="n">
        <v>0</v>
      </c>
    </row>
    <row r="1470">
      <c r="A1470">
        <f>Skills!A14</f>
        <v/>
      </c>
      <c r="B1470">
        <f>Skills!B14</f>
        <v/>
      </c>
      <c r="C1470">
        <f>Inputs!$B$3&gt;=107</f>
        <v/>
      </c>
      <c r="D1470">
        <f>IF(Skills!C14=1,60+Inputs!$B$26+Inputs!$B$30,IF(Skills!C14=2,90+Inputs!$B$27+Inputs!$B$30,IF(Skills!C14=3,120+Inputs!$B$28+Inputs!$B$30,MAX(0,(Inputs!$B$3-100)*3)+Inputs!$B$29+Inputs!$B$30)))</f>
        <v/>
      </c>
      <c r="E1470">
        <f>INDEX(FactorTable!$B$2:$Y$301, MATCH(ROUND(MIN(300,MAX(1,D1470)),0), FactorTable!$A$2:$A$301,0), Skills!L14+1)</f>
        <v/>
      </c>
      <c r="F1470">
        <f>IF(Skills!M14=TRUE,(Skills!K14/10)*(E1470/1000),Skills!K14/10)+Skills!N14</f>
        <v/>
      </c>
      <c r="G1470">
        <f>Calc!G14</f>
        <v/>
      </c>
      <c r="H1470">
        <f>Calc!H14</f>
        <v/>
      </c>
      <c r="I1470">
        <f>IF(Skills!T14&lt;&gt;"",1+(Skills!T14/10)*($Z$3/1000)/100,1)</f>
        <v/>
      </c>
      <c r="J1470" t="inlineStr"/>
      <c r="K1470" t="inlineStr"/>
      <c r="L1470" t="inlineStr"/>
      <c r="M1470" t="inlineStr"/>
      <c r="N1470" t="inlineStr"/>
      <c r="O1470">
        <f>(1-Summary!$B$48)*S1470+Summary!$B$48*U1470</f>
        <v/>
      </c>
      <c r="P1470">
        <f>IF(B1498=0,0,O1470/B1498)</f>
        <v/>
      </c>
      <c r="Q1470">
        <f>IFERROR(1/IF(Inputs!$B$39="pvp",15,MAX(0.1,Skills!D14-IF(Skills!E14=TRUE,3.0,0))),0)</f>
        <v/>
      </c>
      <c r="R1470">
        <f>IF(AND(Inputs!$B$39&lt;&gt;"pvp",Inputs!$B$44&gt;0),IF(Inputs!$B$44&lt;=0,0,(INT(Inputs!$B$44/IF(Inputs!$B$39="pvp",15,MAX(0.1,Skills!D14-IF(Skills!E14=TRUE,3.0,0))))+1)),0)</f>
        <v/>
      </c>
      <c r="S1470" t="n">
        <v>0</v>
      </c>
      <c r="U1470" t="n">
        <v>0</v>
      </c>
    </row>
    <row r="1471">
      <c r="A1471">
        <f>Skills!A15</f>
        <v/>
      </c>
      <c r="B1471">
        <f>Skills!B15</f>
        <v/>
      </c>
      <c r="C1471">
        <f>Inputs!$B$3&gt;=63</f>
        <v/>
      </c>
      <c r="D1471">
        <f>IF(Skills!C15=1,60+Inputs!$B$26+Inputs!$B$30,IF(Skills!C15=2,90+Inputs!$B$27+Inputs!$B$30,IF(Skills!C15=3,120+Inputs!$B$28+Inputs!$B$30,MAX(0,(Inputs!$B$3-100)*3)+Inputs!$B$29+Inputs!$B$30)))</f>
        <v/>
      </c>
      <c r="E1471">
        <f>INDEX(FactorTable!$B$2:$Y$301, MATCH(ROUND(MIN(300,MAX(1,D1471)),0), FactorTable!$A$2:$A$301,0), Skills!L15+1)</f>
        <v/>
      </c>
      <c r="F1471">
        <f>IF(Skills!M15=TRUE,(Skills!K15/10)*(E1471/1000),Skills!K15/10)+Skills!N15</f>
        <v/>
      </c>
      <c r="G1471">
        <f>Calc!G15</f>
        <v/>
      </c>
      <c r="H1471">
        <f>Calc!H15</f>
        <v/>
      </c>
      <c r="I1471">
        <f>IF(Skills!T15&lt;&gt;"",1+(Skills!T15/10)*($Z$3/1000)/100,1)</f>
        <v/>
      </c>
      <c r="J1471">
        <f>((Inputs!$B$6*(1+Inputs!$B$7/100))+(((Inputs!$B$13*(1+Inputs!$B$14/100))-(Inputs!$B$13*(1+Inputs!$B$14/100)))+0.25*(Inputs!$B$15-Inputs!$B$15))*(1+Inputs!$B$7/100))*(F1471/100)</f>
        <v/>
      </c>
      <c r="K1471">
        <f>J1471*(1+(((Inputs!$B$13+IF(Inputs!$B$3&gt;=35,(10*INDEX(FactorTable!$B$2:$Y$301, MATCH(ROUND(MIN(300,MAX(1,Inputs!$B$3)),0), FactorTable!$A$2:$A$301,0), 23)/1000)/100*(Inputs!$B$8*(1+(Inputs!$B$9+B1494)/100)),0))*(1+Inputs!$B$14/100))*0.01+Inputs!$B$15*0.0025)/100)*(1+(Inputs!$B$16+B1488)/100)*(1+Inputs!$B$17/100)*(5000/(6000+Inputs!$B$43*(1-Inputs!$B$20/100)))*(1+Inputs!$B$25/100)*(1+IF(C1474=TRUE,F1474,0)/100)*(1+IF(C1476=TRUE,F1476,0)/100)*(1+IF(Skills!A15="TRIUMPH_FEATHER",IF(C1472=TRUE,F1472,0),0)/100)*(1+IF(C1483=TRUE,F1483,0)/100)^5*(1+(IF(Skills!A15="BIG_BANG",Inputs!$B$18,Inputs!$B$19))/100)*(B1485*I1471)</f>
        <v/>
      </c>
      <c r="L1471">
        <f>K1471*(MIN(Inputs!$B$23+(F1478-Calc!F22),Inputs!$B$24)/100+Inputs!$B$24/100)/2</f>
        <v/>
      </c>
      <c r="M1471">
        <f>L1471*(1+(Inputs!$B$11+B1489+(F1481-Calc!F25))/100)</f>
        <v/>
      </c>
      <c r="N1471">
        <f>L1471*(1-MIN(Inputs!$B$10+((F1480-Calc!F24)+(F1479-Calc!F23)),100)/100)+M1471*(MIN(Inputs!$B$10+((F1480-Calc!F24)+(F1479-Calc!F23)),100)/100)</f>
        <v/>
      </c>
      <c r="O1471">
        <f>(1-Summary!$B$48)*S1471+Summary!$B$48*U1471</f>
        <v/>
      </c>
      <c r="P1471">
        <f>IF(B1498=0,0,O1471/B1498)</f>
        <v/>
      </c>
      <c r="Q1471">
        <f>IFERROR(1/IF(Inputs!$B$39="pvp",15,MAX(0.1,Skills!D15-IF(Skills!E15=TRUE,3.0,0))),0)</f>
        <v/>
      </c>
      <c r="R1471" t="n">
        <v>0</v>
      </c>
      <c r="S1471">
        <f>IF(C1471,(Skills!F15*N1471*((IF(Inputs!$B$3&gt;=78,25,15)/100*B1491*10)/(1+IF(Inputs!$B$3&gt;=78,25,15)/100*B1491*10))*(Skills!I15/100*B1491)/(1+Skills!G15*Skills!I15/100*B1491))*IF(Inputs!$B$39="pvp",1,1+(Inputs!$B$21+Skills!O15+B1486)/100),0)</f>
        <v/>
      </c>
      <c r="U1471">
        <f>IF(C1471,(Skills!F15*N1471*((IF(Inputs!$B$3&gt;=78,25,15)/100*B1491*10)/(1+IF(Inputs!$B$3&gt;=78,25,15)/100*B1491*10))*(Skills!I15/100*B1491)/(1+Skills!G15*Skills!I15/100*B1491))*IF(Inputs!$B$39="pvp",1,(1+(Inputs!$B$22+Skills!P15+B1487)/100)*(MIN(Skills!Q15,Inputs!$B$38))),0)</f>
        <v/>
      </c>
    </row>
    <row r="1472">
      <c r="A1472">
        <f>Skills!A16</f>
        <v/>
      </c>
      <c r="B1472">
        <f>Skills!B16</f>
        <v/>
      </c>
      <c r="C1472">
        <f>Inputs!$B$3&gt;=100</f>
        <v/>
      </c>
      <c r="D1472">
        <f>IF(Skills!C16=1,60+Inputs!$B$26+Inputs!$B$30,IF(Skills!C16=2,90+Inputs!$B$27+Inputs!$B$30,IF(Skills!C16=3,120+Inputs!$B$28+Inputs!$B$30,MAX(0,(Inputs!$B$3-100)*3)+Inputs!$B$29+Inputs!$B$30)))</f>
        <v/>
      </c>
      <c r="E1472">
        <f>INDEX(FactorTable!$B$2:$Y$301, MATCH(ROUND(MIN(300,MAX(1,D1472)),0), FactorTable!$A$2:$A$301,0), Skills!L16+1)</f>
        <v/>
      </c>
      <c r="F1472">
        <f>IF(Skills!M16=TRUE,(Skills!K16/10)*(E1472/1000),Skills!K16/10)+Skills!N16</f>
        <v/>
      </c>
      <c r="G1472">
        <f>Calc!G16</f>
        <v/>
      </c>
      <c r="H1472">
        <f>Calc!H16</f>
        <v/>
      </c>
      <c r="I1472">
        <f>IF(Skills!T16&lt;&gt;"",1+(Skills!T16/10)*($Z$3/1000)/100,1)</f>
        <v/>
      </c>
      <c r="J1472" t="inlineStr"/>
      <c r="K1472" t="inlineStr"/>
      <c r="L1472" t="inlineStr"/>
      <c r="M1472" t="inlineStr"/>
      <c r="N1472" t="inlineStr"/>
      <c r="O1472">
        <f>(1-Summary!$B$48)*S1472+Summary!$B$48*U1472</f>
        <v/>
      </c>
      <c r="P1472">
        <f>IF(B1498=0,0,O1472/B1498)</f>
        <v/>
      </c>
      <c r="Q1472">
        <f>IFERROR(1/IF(Inputs!$B$39="pvp",15,MAX(0.1,Skills!D16-IF(Skills!E16=TRUE,3.0,0))),0)</f>
        <v/>
      </c>
      <c r="R1472" t="n">
        <v>0</v>
      </c>
      <c r="S1472" t="n">
        <v>0</v>
      </c>
      <c r="U1472" t="n">
        <v>0</v>
      </c>
    </row>
    <row r="1473">
      <c r="A1473">
        <f>Skills!A17</f>
        <v/>
      </c>
      <c r="B1473">
        <f>Skills!B17</f>
        <v/>
      </c>
      <c r="C1473">
        <f>Inputs!$B$3&gt;=49</f>
        <v/>
      </c>
      <c r="D1473">
        <f>IF(Skills!C17=1,60+Inputs!$B$26+Inputs!$B$30,IF(Skills!C17=2,90+Inputs!$B$27+Inputs!$B$30,IF(Skills!C17=3,120+Inputs!$B$28+Inputs!$B$30,MAX(0,(Inputs!$B$3-100)*3)+Inputs!$B$29+Inputs!$B$30)))</f>
        <v/>
      </c>
      <c r="E1473">
        <f>INDEX(FactorTable!$B$2:$Y$301, MATCH(ROUND(MIN(300,MAX(1,D1473)),0), FactorTable!$A$2:$A$301,0), Skills!L17+1)</f>
        <v/>
      </c>
      <c r="F1473">
        <f>IF(Skills!M17=TRUE,(Skills!K17/10)*(E1473/1000),Skills!K17/10)+Skills!N17</f>
        <v/>
      </c>
      <c r="G1473">
        <f>Calc!G17</f>
        <v/>
      </c>
      <c r="H1473">
        <f>Calc!H17</f>
        <v/>
      </c>
      <c r="I1473">
        <f>IF(Skills!T17&lt;&gt;"",1+(Skills!T17/10)*($Z$3/1000)/100,1)</f>
        <v/>
      </c>
      <c r="J1473" t="inlineStr"/>
      <c r="K1473" t="inlineStr"/>
      <c r="L1473" t="inlineStr"/>
      <c r="M1473" t="inlineStr"/>
      <c r="N1473" t="inlineStr"/>
      <c r="O1473">
        <f>(1-Summary!$B$48)*S1473+Summary!$B$48*U1473</f>
        <v/>
      </c>
      <c r="P1473">
        <f>IF(B1498=0,0,O1473/B1498)</f>
        <v/>
      </c>
      <c r="Q1473">
        <f>IFERROR(1/IF(Inputs!$B$39="pvp",15,MAX(0.1,Skills!D17-IF(Skills!E17=TRUE,3.0,0))),0)</f>
        <v/>
      </c>
      <c r="R1473" t="n">
        <v>0</v>
      </c>
      <c r="S1473" t="n">
        <v>0</v>
      </c>
      <c r="U1473" t="n">
        <v>0</v>
      </c>
    </row>
    <row r="1474">
      <c r="A1474">
        <f>Skills!A18</f>
        <v/>
      </c>
      <c r="B1474">
        <f>Skills!B18</f>
        <v/>
      </c>
      <c r="C1474">
        <f>Inputs!$B$3&gt;=75</f>
        <v/>
      </c>
      <c r="D1474">
        <f>IF(Skills!C18=1,60+Inputs!$B$26+Inputs!$B$30,IF(Skills!C18=2,90+Inputs!$B$27+Inputs!$B$30,IF(Skills!C18=3,120+Inputs!$B$28+Inputs!$B$30,MAX(0,(Inputs!$B$3-100)*3)+Inputs!$B$29+Inputs!$B$30)))</f>
        <v/>
      </c>
      <c r="E1474">
        <f>INDEX(FactorTable!$B$2:$Y$301, MATCH(ROUND(MIN(300,MAX(1,D1474)),0), FactorTable!$A$2:$A$301,0), Skills!L18+1)</f>
        <v/>
      </c>
      <c r="F1474">
        <f>IF(Skills!M18=TRUE,(Skills!K18/10)*(E1474/1000),Skills!K18/10)+Skills!N18</f>
        <v/>
      </c>
      <c r="G1474">
        <f>Calc!G18</f>
        <v/>
      </c>
      <c r="H1474">
        <f>Calc!H18</f>
        <v/>
      </c>
      <c r="I1474">
        <f>IF(Skills!T18&lt;&gt;"",1+(Skills!T18/10)*($Z$3/1000)/100,1)</f>
        <v/>
      </c>
      <c r="J1474" t="inlineStr"/>
      <c r="K1474" t="inlineStr"/>
      <c r="L1474" t="inlineStr"/>
      <c r="M1474" t="inlineStr"/>
      <c r="N1474" t="inlineStr"/>
      <c r="O1474">
        <f>(1-Summary!$B$48)*S1474+Summary!$B$48*U1474</f>
        <v/>
      </c>
      <c r="P1474">
        <f>IF(B1498=0,0,O1474/B1498)</f>
        <v/>
      </c>
      <c r="Q1474">
        <f>IFERROR(1/IF(Inputs!$B$39="pvp",15,MAX(0.1,Skills!D18-IF(Skills!E18=TRUE,3.0,0))),0)</f>
        <v/>
      </c>
      <c r="R1474" t="n">
        <v>0</v>
      </c>
      <c r="S1474" t="n">
        <v>0</v>
      </c>
      <c r="U1474" t="n">
        <v>0</v>
      </c>
    </row>
    <row r="1475">
      <c r="A1475">
        <f>Skills!A19</f>
        <v/>
      </c>
      <c r="B1475">
        <f>Skills!B19</f>
        <v/>
      </c>
      <c r="C1475">
        <f>Inputs!$B$3&gt;=110</f>
        <v/>
      </c>
      <c r="D1475">
        <f>IF(Skills!C19=1,60+Inputs!$B$26+Inputs!$B$30,IF(Skills!C19=2,90+Inputs!$B$27+Inputs!$B$30,IF(Skills!C19=3,120+Inputs!$B$28+Inputs!$B$30,MAX(0,(Inputs!$B$3-100)*3)+Inputs!$B$29+Inputs!$B$30)))</f>
        <v/>
      </c>
      <c r="E1475">
        <f>INDEX(FactorTable!$B$2:$Y$301, MATCH(ROUND(MIN(300,MAX(1,D1475)),0), FactorTable!$A$2:$A$301,0), Skills!L19+1)</f>
        <v/>
      </c>
      <c r="F1475">
        <f>(Skills!K19/10)*(E1475/1000)*64/45+Skills!N19</f>
        <v/>
      </c>
      <c r="G1475">
        <f>Calc!G19</f>
        <v/>
      </c>
      <c r="H1475">
        <f>Calc!H19</f>
        <v/>
      </c>
      <c r="I1475">
        <f>IF(Skills!T19&lt;&gt;"",1+(Skills!T19/10)*($Z$3/1000)/100,1)</f>
        <v/>
      </c>
      <c r="J1475" t="inlineStr"/>
      <c r="K1475" t="inlineStr"/>
      <c r="L1475" t="inlineStr"/>
      <c r="M1475" t="inlineStr"/>
      <c r="N1475" t="inlineStr"/>
      <c r="O1475">
        <f>(1-Summary!$B$48)*S1475+Summary!$B$48*U1475</f>
        <v/>
      </c>
      <c r="P1475">
        <f>IF(B1498=0,0,O1475/B1498)</f>
        <v/>
      </c>
      <c r="Q1475">
        <f>IFERROR(1/IF(Inputs!$B$39="pvp",15,MAX(0.1,Skills!D19-IF(Skills!E19=TRUE,3.0,0))),0)</f>
        <v/>
      </c>
      <c r="R1475">
        <f>IF(AND(Inputs!$B$39&lt;&gt;"pvp",Inputs!$B$44&gt;0),IF(Inputs!$B$44&lt;=0,0,(INT(Inputs!$B$44/IF(Inputs!$B$39="pvp",15,MAX(0.1,Skills!D19-IF(Skills!E19=TRUE,3.0,0))))+1)),0)</f>
        <v/>
      </c>
      <c r="S1475" t="n">
        <v>0</v>
      </c>
      <c r="U1475" t="n">
        <v>0</v>
      </c>
    </row>
    <row r="1476">
      <c r="A1476">
        <f>Skills!A20</f>
        <v/>
      </c>
      <c r="B1476">
        <f>Skills!B20</f>
        <v/>
      </c>
      <c r="C1476">
        <f>Inputs!$B$3&gt;=125</f>
        <v/>
      </c>
      <c r="D1476">
        <f>IF(Skills!C20=1,60+Inputs!$B$26+Inputs!$B$30,IF(Skills!C20=2,90+Inputs!$B$27+Inputs!$B$30,IF(Skills!C20=3,120+Inputs!$B$28+Inputs!$B$30,MAX(0,(Inputs!$B$3-100)*3)+Inputs!$B$29+Inputs!$B$30)))</f>
        <v/>
      </c>
      <c r="E1476">
        <f>INDEX(FactorTable!$B$2:$Y$301, MATCH(ROUND(MIN(300,MAX(1,D1476)),0), FactorTable!$A$2:$A$301,0), Skills!L20+1)</f>
        <v/>
      </c>
      <c r="F1476">
        <f>IF(Skills!M20=TRUE,(Skills!K20/10)*(E1476/1000),Skills!K20/10)+Skills!N20</f>
        <v/>
      </c>
      <c r="G1476">
        <f>Calc!G20</f>
        <v/>
      </c>
      <c r="H1476">
        <f>Calc!H20</f>
        <v/>
      </c>
      <c r="I1476">
        <f>IF(Skills!T20&lt;&gt;"",1+(Skills!T20/10)*($Z$3/1000)/100,1)</f>
        <v/>
      </c>
      <c r="J1476" t="inlineStr"/>
      <c r="K1476" t="inlineStr"/>
      <c r="L1476" t="inlineStr"/>
      <c r="M1476" t="inlineStr"/>
      <c r="N1476" t="inlineStr"/>
      <c r="O1476">
        <f>(1-Summary!$B$48)*S1476+Summary!$B$48*U1476</f>
        <v/>
      </c>
      <c r="P1476">
        <f>IF(B1498=0,0,O1476/B1498)</f>
        <v/>
      </c>
      <c r="Q1476">
        <f>IFERROR(1/IF(Inputs!$B$39="pvp",15,MAX(0.1,Skills!D20-IF(Skills!E20=TRUE,3.0,0))),0)</f>
        <v/>
      </c>
      <c r="R1476" t="n">
        <v>0</v>
      </c>
      <c r="S1476" t="n">
        <v>0</v>
      </c>
      <c r="U1476" t="n">
        <v>0</v>
      </c>
    </row>
    <row r="1477">
      <c r="A1477">
        <f>Skills!A21</f>
        <v/>
      </c>
      <c r="B1477">
        <f>Skills!B21</f>
        <v/>
      </c>
      <c r="C1477">
        <f>Inputs!$B$3&gt;=33</f>
        <v/>
      </c>
      <c r="D1477">
        <f>IF(Skills!C21=1,60+Inputs!$B$26+Inputs!$B$30,IF(Skills!C21=2,90+Inputs!$B$27+Inputs!$B$30,IF(Skills!C21=3,120+Inputs!$B$28+Inputs!$B$30,MAX(0,(Inputs!$B$3-100)*3)+Inputs!$B$29+Inputs!$B$30)))</f>
        <v/>
      </c>
      <c r="E1477">
        <f>INDEX(FactorTable!$B$2:$Y$301, MATCH(ROUND(MIN(300,MAX(1,D1477)),0), FactorTable!$A$2:$A$301,0), Skills!L21+1)</f>
        <v/>
      </c>
      <c r="F1477">
        <f>IF(Skills!M21=TRUE,(Skills!K21/10)*(E1477/1000),Skills!K21/10)+Skills!N21</f>
        <v/>
      </c>
      <c r="G1477">
        <f>Calc!G21</f>
        <v/>
      </c>
      <c r="H1477">
        <f>Calc!H21</f>
        <v/>
      </c>
      <c r="I1477">
        <f>IF(Skills!T21&lt;&gt;"",1+(Skills!T21/10)*($Z$3/1000)/100,1)</f>
        <v/>
      </c>
      <c r="J1477" t="inlineStr"/>
      <c r="K1477" t="inlineStr"/>
      <c r="L1477" t="inlineStr"/>
      <c r="M1477" t="inlineStr"/>
      <c r="N1477" t="inlineStr"/>
      <c r="O1477">
        <f>(1-Summary!$B$48)*S1477+Summary!$B$48*U1477</f>
        <v/>
      </c>
      <c r="P1477">
        <f>IF(B1498=0,0,O1477/B1498)</f>
        <v/>
      </c>
      <c r="Q1477">
        <f>IFERROR(1/IF(Inputs!$B$39="pvp",15,MAX(0.1,Skills!D21-IF(Skills!E21=TRUE,3.0,0))),0)</f>
        <v/>
      </c>
      <c r="R1477" t="n">
        <v>0</v>
      </c>
      <c r="S1477" t="n">
        <v>0</v>
      </c>
      <c r="U1477" t="n">
        <v>0</v>
      </c>
    </row>
    <row r="1478">
      <c r="A1478">
        <f>Skills!A22</f>
        <v/>
      </c>
      <c r="B1478">
        <f>Skills!B22</f>
        <v/>
      </c>
      <c r="C1478">
        <f>Inputs!$B$3&gt;=43</f>
        <v/>
      </c>
      <c r="D1478">
        <f>IF(Skills!C22=1,60+Inputs!$B$26+Inputs!$B$30,IF(Skills!C22=2,90+Inputs!$B$27+Inputs!$B$30,IF(Skills!C22=3,120+Inputs!$B$28+Inputs!$B$30,MAX(0,(Inputs!$B$3-100)*3)+Inputs!$B$29+Inputs!$B$30)))</f>
        <v/>
      </c>
      <c r="E1478">
        <f>INDEX(FactorTable!$B$2:$Y$301, MATCH(ROUND(MIN(300,MAX(1,D1478)),0), FactorTable!$A$2:$A$301,0), Skills!L22+1)</f>
        <v/>
      </c>
      <c r="F1478">
        <f>IF(Skills!M22=TRUE,(Skills!K22/10)*(E1478/1000),Skills!K22/10)+Skills!N22</f>
        <v/>
      </c>
      <c r="G1478">
        <f>Calc!G22</f>
        <v/>
      </c>
      <c r="H1478">
        <f>Calc!H22</f>
        <v/>
      </c>
      <c r="I1478">
        <f>IF(Skills!T22&lt;&gt;"",1+(Skills!T22/10)*($Z$3/1000)/100,1)</f>
        <v/>
      </c>
      <c r="J1478" t="inlineStr"/>
      <c r="K1478" t="inlineStr"/>
      <c r="L1478" t="inlineStr"/>
      <c r="M1478" t="inlineStr"/>
      <c r="N1478" t="inlineStr"/>
      <c r="O1478">
        <f>(1-Summary!$B$48)*S1478+Summary!$B$48*U1478</f>
        <v/>
      </c>
      <c r="P1478">
        <f>IF(B1498=0,0,O1478/B1498)</f>
        <v/>
      </c>
      <c r="Q1478">
        <f>IFERROR(1/IF(Inputs!$B$39="pvp",15,MAX(0.1,Skills!D22-IF(Skills!E22=TRUE,3.0,0))),0)</f>
        <v/>
      </c>
      <c r="R1478" t="n">
        <v>0</v>
      </c>
      <c r="S1478" t="n">
        <v>0</v>
      </c>
      <c r="U1478" t="n">
        <v>0</v>
      </c>
    </row>
    <row r="1479">
      <c r="A1479">
        <f>Skills!A23</f>
        <v/>
      </c>
      <c r="B1479">
        <f>Skills!B23</f>
        <v/>
      </c>
      <c r="C1479">
        <f>Inputs!$B$3&gt;=50</f>
        <v/>
      </c>
      <c r="D1479">
        <f>IF(Skills!C23=1,60+Inputs!$B$26+Inputs!$B$30,IF(Skills!C23=2,90+Inputs!$B$27+Inputs!$B$30,IF(Skills!C23=3,120+Inputs!$B$28+Inputs!$B$30,MAX(0,(Inputs!$B$3-100)*3)+Inputs!$B$29+Inputs!$B$30)))</f>
        <v/>
      </c>
      <c r="E1479">
        <f>INDEX(FactorTable!$B$2:$Y$301, MATCH(ROUND(MIN(300,MAX(1,D1479)),0), FactorTable!$A$2:$A$301,0), Skills!L23+1)</f>
        <v/>
      </c>
      <c r="F1479">
        <f>IF(Skills!M23=TRUE,(Skills!K23/10)*(E1479/1000),Skills!K23/10)+Skills!N23</f>
        <v/>
      </c>
      <c r="G1479">
        <f>Calc!G23</f>
        <v/>
      </c>
      <c r="H1479">
        <f>Calc!H23</f>
        <v/>
      </c>
      <c r="I1479">
        <f>IF(Skills!T23&lt;&gt;"",1+(Skills!T23/10)*($Z$3/1000)/100,1)</f>
        <v/>
      </c>
      <c r="J1479" t="inlineStr"/>
      <c r="K1479" t="inlineStr"/>
      <c r="L1479" t="inlineStr"/>
      <c r="M1479" t="inlineStr"/>
      <c r="N1479" t="inlineStr"/>
      <c r="O1479">
        <f>(1-Summary!$B$48)*S1479+Summary!$B$48*U1479</f>
        <v/>
      </c>
      <c r="P1479">
        <f>IF(B1498=0,0,O1479/B1498)</f>
        <v/>
      </c>
      <c r="Q1479">
        <f>IFERROR(1/IF(Inputs!$B$39="pvp",15,MAX(0.1,Skills!D23-IF(Skills!E23=TRUE,3.0,0))),0)</f>
        <v/>
      </c>
      <c r="R1479" t="n">
        <v>0</v>
      </c>
      <c r="S1479" t="n">
        <v>0</v>
      </c>
      <c r="U1479" t="n">
        <v>0</v>
      </c>
    </row>
    <row r="1480">
      <c r="A1480">
        <f>Skills!A24</f>
        <v/>
      </c>
      <c r="B1480">
        <f>Skills!B24</f>
        <v/>
      </c>
      <c r="C1480">
        <f>Inputs!$B$3&gt;=74</f>
        <v/>
      </c>
      <c r="D1480">
        <f>IF(Skills!C24=1,60+Inputs!$B$26+Inputs!$B$30,IF(Skills!C24=2,90+Inputs!$B$27+Inputs!$B$30,IF(Skills!C24=3,120+Inputs!$B$28+Inputs!$B$30,MAX(0,(Inputs!$B$3-100)*3)+Inputs!$B$29+Inputs!$B$30)))</f>
        <v/>
      </c>
      <c r="E1480">
        <f>INDEX(FactorTable!$B$2:$Y$301, MATCH(ROUND(MIN(300,MAX(1,D1480)),0), FactorTable!$A$2:$A$301,0), Skills!L24+1)</f>
        <v/>
      </c>
      <c r="F1480">
        <f>IF(Skills!M24=TRUE,(Skills!K24/10)*(E1480/1000),Skills!K24/10)+Skills!N24</f>
        <v/>
      </c>
      <c r="G1480">
        <f>Calc!G24</f>
        <v/>
      </c>
      <c r="H1480">
        <f>Calc!H24</f>
        <v/>
      </c>
      <c r="I1480">
        <f>IF(Skills!T24&lt;&gt;"",1+(Skills!T24/10)*($Z$3/1000)/100,1)</f>
        <v/>
      </c>
      <c r="J1480" t="inlineStr"/>
      <c r="K1480" t="inlineStr"/>
      <c r="L1480" t="inlineStr"/>
      <c r="M1480" t="inlineStr"/>
      <c r="N1480" t="inlineStr"/>
      <c r="O1480">
        <f>(1-Summary!$B$48)*S1480+Summary!$B$48*U1480</f>
        <v/>
      </c>
      <c r="P1480">
        <f>IF(B1498=0,0,O1480/B1498)</f>
        <v/>
      </c>
      <c r="Q1480">
        <f>IFERROR(1/IF(Inputs!$B$39="pvp",15,MAX(0.1,Skills!D24-IF(Skills!E24=TRUE,3.0,0))),0)</f>
        <v/>
      </c>
      <c r="R1480" t="n">
        <v>0</v>
      </c>
      <c r="S1480" t="n">
        <v>0</v>
      </c>
      <c r="U1480" t="n">
        <v>0</v>
      </c>
    </row>
    <row r="1481">
      <c r="A1481">
        <f>Skills!A25</f>
        <v/>
      </c>
      <c r="B1481">
        <f>Skills!B25</f>
        <v/>
      </c>
      <c r="C1481">
        <f>Inputs!$B$3&gt;=74</f>
        <v/>
      </c>
      <c r="D1481">
        <f>IF(Skills!C25=1,60+Inputs!$B$26+Inputs!$B$30,IF(Skills!C25=2,90+Inputs!$B$27+Inputs!$B$30,IF(Skills!C25=3,120+Inputs!$B$28+Inputs!$B$30,MAX(0,(Inputs!$B$3-100)*3)+Inputs!$B$29+Inputs!$B$30)))</f>
        <v/>
      </c>
      <c r="E1481">
        <f>INDEX(FactorTable!$B$2:$Y$301, MATCH(ROUND(MIN(300,MAX(1,D1481)),0), FactorTable!$A$2:$A$301,0), Skills!L25+1)</f>
        <v/>
      </c>
      <c r="F1481">
        <f>IF(Skills!M25=TRUE,(Skills!K25/10)*(E1481/1000),Skills!K25/10)+Skills!N25</f>
        <v/>
      </c>
      <c r="G1481">
        <f>Calc!G25</f>
        <v/>
      </c>
      <c r="H1481">
        <f>Calc!H25</f>
        <v/>
      </c>
      <c r="I1481">
        <f>IF(Skills!T25&lt;&gt;"",1+(Skills!T25/10)*($Z$3/1000)/100,1)</f>
        <v/>
      </c>
      <c r="J1481" t="inlineStr"/>
      <c r="K1481" t="inlineStr"/>
      <c r="L1481" t="inlineStr"/>
      <c r="M1481" t="inlineStr"/>
      <c r="N1481" t="inlineStr"/>
      <c r="O1481">
        <f>(1-Summary!$B$48)*S1481+Summary!$B$48*U1481</f>
        <v/>
      </c>
      <c r="P1481">
        <f>IF(B1498=0,0,O1481/B1498)</f>
        <v/>
      </c>
      <c r="Q1481">
        <f>IFERROR(1/IF(Inputs!$B$39="pvp",15,MAX(0.1,Skills!D25-IF(Skills!E25=TRUE,3.0,0))),0)</f>
        <v/>
      </c>
      <c r="R1481" t="n">
        <v>0</v>
      </c>
      <c r="S1481" t="n">
        <v>0</v>
      </c>
      <c r="U1481" t="n">
        <v>0</v>
      </c>
    </row>
    <row r="1482">
      <c r="A1482">
        <f>Skills!A26</f>
        <v/>
      </c>
      <c r="B1482">
        <f>Skills!B26</f>
        <v/>
      </c>
      <c r="C1482">
        <f>Inputs!$B$3&gt;=117</f>
        <v/>
      </c>
      <c r="D1482">
        <f>IF(Skills!C26=1,60+Inputs!$B$26+Inputs!$B$30,IF(Skills!C26=2,90+Inputs!$B$27+Inputs!$B$30,IF(Skills!C26=3,120+Inputs!$B$28+Inputs!$B$30,MAX(0,(Inputs!$B$3-100)*3)+Inputs!$B$29+Inputs!$B$30)))</f>
        <v/>
      </c>
      <c r="E1482">
        <f>INDEX(FactorTable!$B$2:$Y$301, MATCH(ROUND(MIN(300,MAX(1,D1482)),0), FactorTable!$A$2:$A$301,0), Skills!L26+1)</f>
        <v/>
      </c>
      <c r="F1482">
        <f>IF(Skills!M26=TRUE,(Skills!K26/10)*(E1482/1000),Skills!K26/10)+Skills!N26</f>
        <v/>
      </c>
      <c r="G1482">
        <f>Calc!G26</f>
        <v/>
      </c>
      <c r="H1482">
        <f>Calc!H26</f>
        <v/>
      </c>
      <c r="I1482">
        <f>IF(Skills!T26&lt;&gt;"",1+(Skills!T26/10)*($Z$3/1000)/100,1)</f>
        <v/>
      </c>
      <c r="J1482" t="inlineStr"/>
      <c r="K1482" t="inlineStr"/>
      <c r="L1482" t="inlineStr"/>
      <c r="M1482" t="inlineStr"/>
      <c r="N1482" t="inlineStr"/>
      <c r="O1482">
        <f>(1-Summary!$B$48)*S1482+Summary!$B$48*U1482</f>
        <v/>
      </c>
      <c r="P1482">
        <f>IF(B1498=0,0,O1482/B1498)</f>
        <v/>
      </c>
      <c r="Q1482">
        <f>IFERROR(1/IF(Inputs!$B$39="pvp",15,MAX(0.1,Skills!D26-IF(Skills!E26=TRUE,3.0,0))),0)</f>
        <v/>
      </c>
      <c r="R1482" t="n">
        <v>0</v>
      </c>
      <c r="S1482" t="n">
        <v>0</v>
      </c>
      <c r="U1482" t="n">
        <v>0</v>
      </c>
    </row>
    <row r="1483">
      <c r="A1483">
        <f>Skills!A27</f>
        <v/>
      </c>
      <c r="B1483">
        <f>Skills!B27</f>
        <v/>
      </c>
      <c r="C1483">
        <f>Inputs!$B$3&gt;=120</f>
        <v/>
      </c>
      <c r="D1483">
        <f>IF(Skills!C27=1,60+Inputs!$B$26+Inputs!$B$30,IF(Skills!C27=2,90+Inputs!$B$27+Inputs!$B$30,IF(Skills!C27=3,120+Inputs!$B$28+Inputs!$B$30,MAX(0,(Inputs!$B$3-100)*3)+Inputs!$B$29+Inputs!$B$30)))</f>
        <v/>
      </c>
      <c r="E1483">
        <f>INDEX(FactorTable!$B$2:$Y$301, MATCH(ROUND(MIN(300,MAX(1,D1483)),0), FactorTable!$A$2:$A$301,0), Skills!L27+1)</f>
        <v/>
      </c>
      <c r="F1483">
        <f>IF(Skills!M27=TRUE,(Skills!K27/10)*(E1483/1000),Skills!K27/10)+Skills!N27</f>
        <v/>
      </c>
      <c r="G1483">
        <f>Calc!G27</f>
        <v/>
      </c>
      <c r="H1483">
        <f>Calc!H27</f>
        <v/>
      </c>
      <c r="I1483">
        <f>IF(Skills!T27&lt;&gt;"",1+(Skills!T27/10)*($Z$3/1000)/100,1)</f>
        <v/>
      </c>
      <c r="J1483" t="inlineStr"/>
      <c r="K1483" t="inlineStr"/>
      <c r="L1483" t="inlineStr"/>
      <c r="M1483" t="inlineStr"/>
      <c r="N1483" t="inlineStr"/>
      <c r="O1483">
        <f>(1-Summary!$B$48)*S1483+Summary!$B$48*U1483</f>
        <v/>
      </c>
      <c r="P1483">
        <f>IF(B1498=0,0,O1483/B1498)</f>
        <v/>
      </c>
      <c r="Q1483">
        <f>IFERROR(1/IF(Inputs!$B$39="pvp",15,MAX(0.1,Skills!D27-IF(Skills!E27=TRUE,3.0,0))),0)</f>
        <v/>
      </c>
      <c r="R1483" t="n">
        <v>0</v>
      </c>
      <c r="S1483" t="n">
        <v>0</v>
      </c>
      <c r="U1483" t="n">
        <v>0</v>
      </c>
    </row>
    <row r="1485">
      <c r="A1485" t="inlineStr">
        <is>
          <t>Average Buff Multiplier</t>
        </is>
      </c>
      <c r="B1485">
        <f>(1+(IF(C1459=TRUE,F1459*IF(AND(Inputs!$B$39&lt;&gt;"pvp",Inputs!$B$44&gt;0),(((R1459-1)*(Skills!S3*(1+(Inputs!$B$35+IF(Inputs!$B$3&gt;=117,F1482,0))/100))+MIN((Skills!S3*(1+(Inputs!$B$35+IF(Inputs!$B$3&gt;=117,F1482,0))/100)),MAX(0,Inputs!$B$44-((R1459-1)*Skills!D3))))/Inputs!$B$44),IF(Inputs!$B$39="pvp",MIN((Skills!S3*(1+(Inputs!$B$35+IF(Inputs!$B$3&gt;=117,F1482,0))/100)),15)/15,(Skills!S3*(1+(Inputs!$B$35+IF(Inputs!$B$3&gt;=117,F1482,0))/100))/Skills!D3)),0)+IF(C1460=TRUE,F1460*IF(AND(Inputs!$B$39&lt;&gt;"pvp",Inputs!$B$44&gt;0),(((R1460-1)*(Skills!S4*(1+(Inputs!$B$35+IF(Inputs!$B$3&gt;=117,F1482,0))/100))+MIN((Skills!S4*(1+(Inputs!$B$35+IF(Inputs!$B$3&gt;=117,F1482,0))/100)),MAX(0,Inputs!$B$44-((R1460-1)*Skills!D4))))/Inputs!$B$44),IF(Inputs!$B$39="pvp",MIN((Skills!S4*(1+(Inputs!$B$35+IF(Inputs!$B$3&gt;=117,F1482,0))/100)),15)/15,(Skills!S4*(1+(Inputs!$B$35+IF(Inputs!$B$3&gt;=117,F1482,0))/100))/Skills!D4)),0)+IF(C1461=TRUE,F1461*IF(AND(Inputs!$B$39&lt;&gt;"pvp",Inputs!$B$44&gt;0),(((R1461-1)*(Skills!S5*(1+(Inputs!$B$35+IF(Inputs!$B$3&gt;=117,F1482,0))/100))+MIN((Skills!S5*(1+(Inputs!$B$35+IF(Inputs!$B$3&gt;=117,F1482,0))/100)),MAX(0,Inputs!$B$44-((R1461-1)*Skills!D5))))/Inputs!$B$44),IF(Inputs!$B$39="pvp",MIN((Skills!S5*(1+(Inputs!$B$35+IF(Inputs!$B$3&gt;=117,F1482,0))/100)),15)/15,(Skills!S5*(1+(Inputs!$B$35+IF(Inputs!$B$3&gt;=117,F1482,0))/100))/Skills!D5)),0)+IF(C1467=TRUE,F1467*IF(AND(Inputs!$B$39&lt;&gt;"pvp",Inputs!$B$44&gt;0),(((R1467-1)*(Skills!S11*(1+(Inputs!$B$35+IF(Inputs!$B$3&gt;=117,F1482,0))/100))+MIN((Skills!S11*(1+(Inputs!$B$35+IF(Inputs!$B$3&gt;=117,F1482,0))/100)),MAX(0,Inputs!$B$44-((R1467-1)*Skills!D11))))/Inputs!$B$44),IF(Inputs!$B$39="pvp",MIN((Skills!S11*(1+(Inputs!$B$35+IF(Inputs!$B$3&gt;=117,F1482,0))/100)),15)/15,(Skills!S11*(1+(Inputs!$B$35+IF(Inputs!$B$3&gt;=117,F1482,0))/100))/Skills!D11)),0))/100)*IF(C1470=TRUE,(1+F1470*IF(AND(Inputs!$B$39&lt;&gt;"pvp",Inputs!$B$44&gt;0),(((R1470-1)*(Skills!S14*(1+(Inputs!$B$35+IF(Inputs!$B$3&gt;=117,F1482,0))/100))+MIN((Skills!S14*(1+(Inputs!$B$35+IF(Inputs!$B$3&gt;=117,F1482,0))/100)),MAX(0,Inputs!$B$44-((R1470-1)*Skills!D14))))/Inputs!$B$44),IF(Inputs!$B$39="pvp",MIN((Skills!S14*(1+(Inputs!$B$35+IF(Inputs!$B$3&gt;=117,F1482,0))/100)),15)/15,(Skills!S14*(1+(Inputs!$B$35+IF(Inputs!$B$3&gt;=117,F1482,0))/100))/Skills!D14))/100),1)*IF(C1475=TRUE,(1+F1475*IF(AND(Inputs!$B$39&lt;&gt;"pvp",Inputs!$B$44&gt;0),(((R1475-1)*(Skills!S19*(1+(Inputs!$B$35+IF(Inputs!$B$3&gt;=117,F1482,0))/100))+MIN((Skills!S19*(1+(Inputs!$B$35+IF(Inputs!$B$3&gt;=117,F1482,0))/100)),MAX(0,Inputs!$B$44-((R1475-1)*Skills!D19))))/Inputs!$B$44),IF(Inputs!$B$39="pvp",MIN((Skills!S19*(1+(Inputs!$B$35+IF(Inputs!$B$3&gt;=117,F1482,0))/100)),15)/15,(Skills!S19*(1+(Inputs!$B$35+IF(Inputs!$B$3&gt;=117,F1482,0))/100))/Skills!D19))/100),1)</f>
        <v/>
      </c>
    </row>
    <row r="1486">
      <c r="A1486" t="inlineStr">
        <is>
          <t>Monster Damage Taken Bonus % (Holy Fountain)</t>
        </is>
      </c>
      <c r="B1486">
        <f>IF(Inputs!$B$3&gt;=68,20*IF(Inputs!$B$39="pvp",MIN((15*(1+(Inputs!$B$35+IF(Inputs!$B$3&gt;=117,F1482,0))/100)),15)/15,(15*(1+(Inputs!$B$35+IF(Inputs!$B$3&gt;=117,F1482,0))/100))/Skills!D10),0)</f>
        <v/>
      </c>
    </row>
    <row r="1487">
      <c r="A1487" t="inlineStr">
        <is>
          <t>Normal Monster Damage Bonus % (Holy Symbol)</t>
        </is>
      </c>
      <c r="B1487">
        <f>IF(C1468=TRUE,F1468*IF(AND(Inputs!$B$39&lt;&gt;"pvp",Inputs!$B$44&gt;0),(((R1468-1)*(Skills!S12*(1+(Inputs!$B$35+IF(Inputs!$B$3&gt;=117,F1482,0))/100))+MIN((Skills!S12*(1+(Inputs!$B$35+IF(Inputs!$B$3&gt;=117,F1482,0))/100)),MAX(0,Inputs!$B$44-((R1468-1)*Skills!D12))))/Inputs!$B$44),IF(Inputs!$B$39="pvp",MIN((Skills!S12*(1+(Inputs!$B$35+IF(Inputs!$B$3&gt;=117,F1482,0))/100)),15)/15,(Skills!S12*(1+(Inputs!$B$35+IF(Inputs!$B$3&gt;=117,F1482,0))/100))/Skills!D12)),0)</f>
        <v/>
      </c>
    </row>
    <row r="1488">
      <c r="A1488" t="inlineStr">
        <is>
          <t>Damage % Bonus (Holy Symbol - Damage Boost)</t>
        </is>
      </c>
      <c r="B1488">
        <f>Skills!O12</f>
        <v/>
      </c>
    </row>
    <row r="1489">
      <c r="A1489" t="inlineStr">
        <is>
          <t>Crit Damage % Bonus (Blood of the Divine)</t>
        </is>
      </c>
      <c r="B1489">
        <f>4*IF(C1476=TRUE,F1476,0)</f>
        <v/>
      </c>
    </row>
    <row r="1490">
      <c r="A1490" t="inlineStr">
        <is>
          <t>Attack Speed Bonus %</t>
        </is>
      </c>
      <c r="B1490">
        <f>IF(C1473=TRUE,F1473+(F1477-Calc!F21),0)+IF(Inputs!$B$3&gt;=134,15,0)</f>
        <v/>
      </c>
    </row>
    <row r="1491">
      <c r="A1491" t="inlineStr">
        <is>
          <t>Actions Per Second</t>
        </is>
      </c>
      <c r="B1491">
        <f>1+MIN(150,150*(1-(1-Inputs!$B$12/150)*(1-B1490/150)))/100</f>
        <v/>
      </c>
    </row>
    <row r="1492">
      <c r="A1492" t="inlineStr">
        <is>
          <t>Skill + Buff Cast Rate</t>
        </is>
      </c>
      <c r="B1492">
        <f>IF(AND(Inputs!$B$39&lt;&gt;"pvp",Inputs!$B$44&gt;0),SUMPRODUCT((Skills!E2:E27=TRUE)*(C1458:C1483=TRUE)*R1458:R1483)/Inputs!$B$44,SUMPRODUCT((Skills!E2:E27=TRUE)*(C1458:C1483=TRUE)*Q1458:Q1483))</f>
        <v/>
      </c>
    </row>
    <row r="1493">
      <c r="A1493" t="inlineStr">
        <is>
          <t>Big Bang Casts Per Second</t>
        </is>
      </c>
      <c r="B1493">
        <f>MAX(0,B1491-B1492)</f>
        <v/>
      </c>
    </row>
    <row r="1494">
      <c r="A1494" t="inlineStr">
        <is>
          <t>Defense % Bonus (Divine Protection)</t>
        </is>
      </c>
      <c r="B1494">
        <f>IF(C1469=TRUE,F1469*IF(AND(Inputs!$B$39&lt;&gt;"pvp",Inputs!$B$44&gt;0),(((R1469-1)*(Skills!S13*(1+(Inputs!$B$35+IF(Inputs!$B$3&gt;=117,F1482,0))/100))+MIN((Skills!S13*(1+(Inputs!$B$35+IF(Inputs!$B$3&gt;=117,F1482,0))/100)),MAX(0,Inputs!$B$44-((R1469-1)*Skills!D13))))/Inputs!$B$44),IF(Inputs!$B$39="pvp",MIN((Skills!S13*(1+(Inputs!$B$35+IF(Inputs!$B$3&gt;=117,F1482,0))/100)),15)/15,(Skills!S13*(1+(Inputs!$B$35+IF(Inputs!$B$3&gt;=117,F1482,0))/100))/Skills!D13)),0)</f>
        <v/>
      </c>
    </row>
    <row r="1495">
      <c r="A1495" t="inlineStr">
        <is>
          <t>Buff-Casting Startup Delay (s, fixed-duration only)</t>
        </is>
      </c>
      <c r="B1495">
        <f>IF(AND(Inputs!$B$39&lt;&gt;"pvp",Inputs!$B$44&gt;0),SUMPRODUCT((Skills!S2:S27&gt;0)*(Skills!E2:E27=TRUE)*(C1458:C1483=TRUE))/B1491,0)</f>
        <v/>
      </c>
    </row>
    <row r="1496">
      <c r="A1496" t="inlineStr">
        <is>
          <t>Boss-Only Total DPS (this block's swept value)</t>
        </is>
      </c>
      <c r="B1496">
        <f>SUM(S1458:S1483)</f>
        <v/>
      </c>
    </row>
    <row r="1497">
      <c r="A1497" t="inlineStr">
        <is>
          <t>Normal-Only Total DPS (this block's swept value)</t>
        </is>
      </c>
      <c r="B1497">
        <f>SUM(U1458:U1483)</f>
        <v/>
      </c>
    </row>
    <row r="1498">
      <c r="A1498" s="5" t="inlineStr">
        <is>
          <t>TOTAL DPS</t>
        </is>
      </c>
      <c r="B1498" s="5">
        <f>SUM(O1458:O1483)</f>
        <v/>
      </c>
    </row>
    <row r="1500">
      <c r="A1500" s="5" t="inlineStr">
        <is>
          <t>Stat: CDR = 3.5s</t>
        </is>
      </c>
    </row>
    <row r="1501">
      <c r="A1501" s="9" t="inlineStr">
        <is>
          <t>Key</t>
        </is>
      </c>
      <c r="B1501" s="9" t="inlineStr">
        <is>
          <t>Name</t>
        </is>
      </c>
      <c r="C1501" s="9" t="inlineStr">
        <is>
          <t>Unlocked</t>
        </is>
      </c>
      <c r="D1501" s="9" t="inlineStr">
        <is>
          <t>InputLevel</t>
        </is>
      </c>
      <c r="E1501" s="9" t="inlineStr">
        <is>
          <t>Factor</t>
        </is>
      </c>
      <c r="F1501" s="9" t="inlineStr">
        <is>
          <t>CoefficientPercent</t>
        </is>
      </c>
      <c r="G1501" s="9" t="inlineStr">
        <is>
          <t>EffectiveHits</t>
        </is>
      </c>
      <c r="H1501" s="9" t="inlineStr">
        <is>
          <t>ProcProbability</t>
        </is>
      </c>
      <c r="I1501" s="9" t="inlineStr">
        <is>
          <t>MapleHeroMultiplier</t>
        </is>
      </c>
      <c r="J1501" s="9" t="inlineStr">
        <is>
          <t>BaseDamage</t>
        </is>
      </c>
      <c r="K1501" s="9" t="inlineStr">
        <is>
          <t>BaseHitDamage</t>
        </is>
      </c>
      <c r="L1501" s="9" t="inlineStr">
        <is>
          <t>NonCritAvg</t>
        </is>
      </c>
      <c r="M1501" s="9" t="inlineStr">
        <is>
          <t>CritAvg</t>
        </is>
      </c>
      <c r="N1501" s="9" t="inlineStr">
        <is>
          <t>ExpectedDamage(perHit)</t>
        </is>
      </c>
      <c r="O1501" s="9" t="inlineStr">
        <is>
          <t>DPS</t>
        </is>
      </c>
      <c r="P1501" s="9" t="inlineStr">
        <is>
          <t>% of Total</t>
        </is>
      </c>
      <c r="R1501" t="inlineStr">
        <is>
          <t>helpers</t>
        </is>
      </c>
    </row>
    <row r="1502">
      <c r="A1502">
        <f>Skills!A2</f>
        <v/>
      </c>
      <c r="B1502">
        <f>Skills!B2</f>
        <v/>
      </c>
      <c r="C1502">
        <f>Inputs!$B$3&gt;=100</f>
        <v/>
      </c>
      <c r="D1502" t="inlineStr"/>
      <c r="E1502" t="inlineStr"/>
      <c r="F1502">
        <f>T1504+Skills!N2</f>
        <v/>
      </c>
      <c r="G1502">
        <f>Calc!G2</f>
        <v/>
      </c>
      <c r="H1502">
        <f>Calc!H2</f>
        <v/>
      </c>
      <c r="I1502">
        <f>IF(Skills!T2&lt;&gt;"",1+(Skills!T2/10)*($Z$3/1000)/100,1)</f>
        <v/>
      </c>
      <c r="J1502">
        <f>((Inputs!$B$6*(1+Inputs!$B$7/100))+(((Inputs!$B$13*(1+Inputs!$B$14/100))-(Inputs!$B$13*(1+Inputs!$B$14/100)))+0.25*(Inputs!$B$15-Inputs!$B$15))*(1+Inputs!$B$7/100))*(F1502/100)</f>
        <v/>
      </c>
      <c r="K1502">
        <f>J1502*(1+(((Inputs!$B$13+IF(Inputs!$B$3&gt;=35,(10*INDEX(FactorTable!$B$2:$Y$301, MATCH(ROUND(MIN(300,MAX(1,Inputs!$B$3)),0), FactorTable!$A$2:$A$301,0), 23)/1000)/100*(Inputs!$B$8*(1+(Inputs!$B$9+B1538)/100)),0))*(1+Inputs!$B$14/100))*0.01+Inputs!$B$15*0.0025)/100)*(1+(Inputs!$B$16+B1532)/100)*(1+Inputs!$B$17/100)*(5000/(6000+Inputs!$B$43*(1-Inputs!$B$20/100)))*(1+Inputs!$B$25/100)*(1+IF(C1518=TRUE,F1518,0)/100)*(1+IF(C1520=TRUE,F1520,0)/100)*(1+IF(Skills!A2="TRIUMPH_FEATHER",IF(C1516=TRUE,F1516,0),0)/100)*(1+IF(C1527=TRUE,F1527,0)/100)^5*(1+(IF(Skills!A2="BIG_BANG",Inputs!$B$18,Inputs!$B$19))/100)*(B1529*I1502)</f>
        <v/>
      </c>
      <c r="L1502">
        <f>K1502*(MIN(Inputs!$B$23+(F1522-Calc!F22),Inputs!$B$24)/100+Inputs!$B$24/100)/2</f>
        <v/>
      </c>
      <c r="M1502">
        <f>L1502*(1+(Inputs!$B$11+B1533+(F1525-Calc!F25))/100)</f>
        <v/>
      </c>
      <c r="N1502">
        <f>L1502*(1-MIN(Inputs!$B$10+((F1524-Calc!F24)+(F1523-Calc!F23)),100)/100)+M1502*(MIN(Inputs!$B$10+((F1524-Calc!F24)+(F1523-Calc!F23)),100)/100)</f>
        <v/>
      </c>
      <c r="O1502">
        <f>(1-Summary!$B$48)*S1502+Summary!$B$48*U1502</f>
        <v/>
      </c>
      <c r="P1502">
        <f>IF(B1542=0,0,O1502/B1542)</f>
        <v/>
      </c>
      <c r="Q1502">
        <f>IFERROR(1/IF(Inputs!$B$39="pvp",15,MAX(0.1,Skills!D2-IF(Skills!E2=TRUE,3.5,0))),0)</f>
        <v/>
      </c>
      <c r="R1502" t="n">
        <v>0</v>
      </c>
      <c r="S1502">
        <f>IF(C1502,(Skills!F2*N1502*B1537)*IF(Inputs!$B$39="pvp",1,1+(Inputs!$B$21+Skills!O2+B1530)/100),0)</f>
        <v/>
      </c>
      <c r="T1502">
        <f>MAX(0,(Inputs!$B$3-100)*3)+Inputs!$B$29+Inputs!$B$30</f>
        <v/>
      </c>
      <c r="U1502">
        <f>IF(C1502,(Skills!F2*N1502*B1537)*IF(Inputs!$B$39="pvp",1,(1+(Inputs!$B$22+Skills!P2+B1531)/100)*(MIN((6+Inputs!$B$34),Inputs!$B$38))),0)</f>
        <v/>
      </c>
    </row>
    <row r="1503">
      <c r="A1503">
        <f>Skills!A3</f>
        <v/>
      </c>
      <c r="B1503">
        <f>Skills!B3</f>
        <v/>
      </c>
      <c r="C1503">
        <f>Inputs!$B$3&gt;=15</f>
        <v/>
      </c>
      <c r="D1503">
        <f>IF(Skills!C3=1,60+Inputs!$B$26+Inputs!$B$30,IF(Skills!C3=2,90+Inputs!$B$27+Inputs!$B$30,IF(Skills!C3=3,120+Inputs!$B$28+Inputs!$B$30,MAX(0,(Inputs!$B$3-100)*3)+Inputs!$B$29+Inputs!$B$30)))</f>
        <v/>
      </c>
      <c r="E1503">
        <f>INDEX(FactorTable!$B$2:$Y$301, MATCH(ROUND(MIN(300,MAX(1,D1503)),0), FactorTable!$A$2:$A$301,0), Skills!L3+1)</f>
        <v/>
      </c>
      <c r="F1503">
        <f>IF(Skills!M3=TRUE,(Skills!K3/10)*(E1503/1000),Skills!K3/10)+Skills!N3</f>
        <v/>
      </c>
      <c r="G1503">
        <f>Calc!G3</f>
        <v/>
      </c>
      <c r="H1503">
        <f>Calc!H3</f>
        <v/>
      </c>
      <c r="I1503">
        <f>IF(Skills!T3&lt;&gt;"",1+(Skills!T3/10)*($Z$3/1000)/100,1)</f>
        <v/>
      </c>
      <c r="J1503" t="inlineStr"/>
      <c r="K1503" t="inlineStr"/>
      <c r="L1503" t="inlineStr"/>
      <c r="M1503" t="inlineStr"/>
      <c r="N1503" t="inlineStr"/>
      <c r="O1503">
        <f>(1-Summary!$B$48)*S1503+Summary!$B$48*U1503</f>
        <v/>
      </c>
      <c r="P1503">
        <f>IF(B1542=0,0,O1503/B1542)</f>
        <v/>
      </c>
      <c r="Q1503">
        <f>IFERROR(1/IF(Inputs!$B$39="pvp",15,MAX(0.1,Skills!D3-IF(Skills!E3=TRUE,3.5,0))),0)</f>
        <v/>
      </c>
      <c r="R1503">
        <f>IF(AND(Inputs!$B$39&lt;&gt;"pvp",Inputs!$B$44&gt;0),IF(Inputs!$B$44&lt;=0,0,(INT(Inputs!$B$44/IF(Inputs!$B$39="pvp",15,MAX(0.1,Skills!D3-IF(Skills!E3=TRUE,3.5,0))))+1)),0)</f>
        <v/>
      </c>
      <c r="S1503" t="n">
        <v>0</v>
      </c>
      <c r="T1503">
        <f>INDEX(FactorTable!$B$2:$Y$301, MATCH(ROUND(MIN(300,MAX(1,T1502)),0), FactorTable!$A$2:$A$301,0), 22)</f>
        <v/>
      </c>
      <c r="U1503" t="n">
        <v>0</v>
      </c>
    </row>
    <row r="1504">
      <c r="A1504">
        <f>Skills!A4</f>
        <v/>
      </c>
      <c r="B1504">
        <f>Skills!B4</f>
        <v/>
      </c>
      <c r="C1504">
        <f>Inputs!$B$3&gt;=38</f>
        <v/>
      </c>
      <c r="D1504">
        <f>IF(Skills!C4=1,60+Inputs!$B$26+Inputs!$B$30,IF(Skills!C4=2,90+Inputs!$B$27+Inputs!$B$30,IF(Skills!C4=3,120+Inputs!$B$28+Inputs!$B$30,MAX(0,(Inputs!$B$3-100)*3)+Inputs!$B$29+Inputs!$B$30)))</f>
        <v/>
      </c>
      <c r="E1504">
        <f>INDEX(FactorTable!$B$2:$Y$301, MATCH(ROUND(MIN(300,MAX(1,D1504)),0), FactorTable!$A$2:$A$301,0), Skills!L4+1)</f>
        <v/>
      </c>
      <c r="F1504">
        <f>IF(Skills!M4=TRUE,(Skills!K4/10)*(E1504/1000),Skills!K4/10)+Skills!N4</f>
        <v/>
      </c>
      <c r="G1504">
        <f>Calc!G4</f>
        <v/>
      </c>
      <c r="H1504">
        <f>Calc!H4</f>
        <v/>
      </c>
      <c r="I1504">
        <f>IF(Skills!T4&lt;&gt;"",1+(Skills!T4/10)*($Z$3/1000)/100,1)</f>
        <v/>
      </c>
      <c r="J1504" t="inlineStr"/>
      <c r="K1504" t="inlineStr"/>
      <c r="L1504" t="inlineStr"/>
      <c r="M1504" t="inlineStr"/>
      <c r="N1504" t="inlineStr"/>
      <c r="O1504">
        <f>(1-Summary!$B$48)*S1504+Summary!$B$48*U1504</f>
        <v/>
      </c>
      <c r="P1504">
        <f>IF(B1542=0,0,O1504/B1542)</f>
        <v/>
      </c>
      <c r="Q1504">
        <f>IFERROR(1/IF(Inputs!$B$39="pvp",15,MAX(0.1,Skills!D4-IF(Skills!E4=TRUE,3.5,0))),0)</f>
        <v/>
      </c>
      <c r="R1504">
        <f>IF(AND(Inputs!$B$39&lt;&gt;"pvp",Inputs!$B$44&gt;0),IF(Inputs!$B$44&lt;=0,0,(INT(Inputs!$B$44/IF(Inputs!$B$39="pvp",15,MAX(0.1,Skills!D4-IF(Skills!E4=TRUE,3.5,0))))+1)),0)</f>
        <v/>
      </c>
      <c r="S1504" t="n">
        <v>0</v>
      </c>
      <c r="T1504">
        <f>290*T1503/1000</f>
        <v/>
      </c>
      <c r="U1504" t="n">
        <v>0</v>
      </c>
    </row>
    <row r="1505">
      <c r="A1505">
        <f>Skills!A5</f>
        <v/>
      </c>
      <c r="B1505">
        <f>Skills!B5</f>
        <v/>
      </c>
      <c r="C1505">
        <f>Inputs!$B$3&gt;=40</f>
        <v/>
      </c>
      <c r="D1505">
        <f>IF(Skills!C5=1,60+Inputs!$B$26+Inputs!$B$30,IF(Skills!C5=2,90+Inputs!$B$27+Inputs!$B$30,IF(Skills!C5=3,120+Inputs!$B$28+Inputs!$B$30,MAX(0,(Inputs!$B$3-100)*3)+Inputs!$B$29+Inputs!$B$30)))</f>
        <v/>
      </c>
      <c r="E1505">
        <f>INDEX(FactorTable!$B$2:$Y$301, MATCH(ROUND(MIN(300,MAX(1,D1505)),0), FactorTable!$A$2:$A$301,0), Skills!L5+1)</f>
        <v/>
      </c>
      <c r="F1505">
        <f>IF(Skills!M5=TRUE,(Skills!K5/10)*(E1505/1000),Skills!K5/10)+Skills!N5</f>
        <v/>
      </c>
      <c r="G1505">
        <f>Calc!G5</f>
        <v/>
      </c>
      <c r="H1505">
        <f>Calc!H5</f>
        <v/>
      </c>
      <c r="I1505">
        <f>IF(Skills!T5&lt;&gt;"",1+(Skills!T5/10)*($Z$3/1000)/100,1)</f>
        <v/>
      </c>
      <c r="J1505" t="inlineStr"/>
      <c r="K1505" t="inlineStr"/>
      <c r="L1505" t="inlineStr"/>
      <c r="M1505" t="inlineStr"/>
      <c r="N1505" t="inlineStr"/>
      <c r="O1505">
        <f>(1-Summary!$B$48)*S1505+Summary!$B$48*U1505</f>
        <v/>
      </c>
      <c r="P1505">
        <f>IF(B1542=0,0,O1505/B1542)</f>
        <v/>
      </c>
      <c r="Q1505">
        <f>IFERROR(1/IF(Inputs!$B$39="pvp",15,MAX(0.1,Skills!D5-IF(Skills!E5=TRUE,3.5,0))),0)</f>
        <v/>
      </c>
      <c r="R1505">
        <f>IF(AND(Inputs!$B$39&lt;&gt;"pvp",Inputs!$B$44&gt;0),IF(Inputs!$B$44&lt;=0,0,(INT(Inputs!$B$44/IF(Inputs!$B$39="pvp",15,MAX(0.1,Skills!D5-IF(Skills!E5=TRUE,3.5,0))))+1)),0)</f>
        <v/>
      </c>
      <c r="S1505" t="n">
        <v>0</v>
      </c>
      <c r="U1505" t="n">
        <v>0</v>
      </c>
    </row>
    <row r="1506">
      <c r="A1506">
        <f>Skills!A6</f>
        <v/>
      </c>
      <c r="B1506">
        <f>Skills!B6</f>
        <v/>
      </c>
      <c r="C1506">
        <f>Inputs!$B$3&gt;=103</f>
        <v/>
      </c>
      <c r="D1506">
        <f>IF(Skills!C6=1,60+Inputs!$B$26+Inputs!$B$30,IF(Skills!C6=2,90+Inputs!$B$27+Inputs!$B$30,IF(Skills!C6=3,120+Inputs!$B$28+Inputs!$B$30,MAX(0,(Inputs!$B$3-100)*3)+Inputs!$B$29+Inputs!$B$30)))</f>
        <v/>
      </c>
      <c r="E1506">
        <f>INDEX(FactorTable!$B$2:$Y$301, MATCH(ROUND(MIN(300,MAX(1,D1506)),0), FactorTable!$A$2:$A$301,0), Skills!L6+1)</f>
        <v/>
      </c>
      <c r="F1506">
        <f>IF(Skills!M6=TRUE,(Skills!K6/10)*(E1506/1000),Skills!K6/10)+Skills!N6</f>
        <v/>
      </c>
      <c r="G1506">
        <f>Calc!G6</f>
        <v/>
      </c>
      <c r="H1506">
        <f>Calc!H6</f>
        <v/>
      </c>
      <c r="I1506">
        <f>IF(Skills!T6&lt;&gt;"",1+(Skills!T6/10)*($Z$3/1000)/100,1)</f>
        <v/>
      </c>
      <c r="J1506">
        <f>((Inputs!$B$6*(1+Inputs!$B$7/100))+(((Inputs!$B$13*(1+Inputs!$B$14/100))-(Inputs!$B$13*(1+Inputs!$B$14/100)))+0.25*(Inputs!$B$15-Inputs!$B$15))*(1+Inputs!$B$7/100))*(F1506/100)</f>
        <v/>
      </c>
      <c r="K1506">
        <f>J1506*(1+(((Inputs!$B$13+IF(Inputs!$B$3&gt;=35,(10*INDEX(FactorTable!$B$2:$Y$301, MATCH(ROUND(MIN(300,MAX(1,Inputs!$B$3)),0), FactorTable!$A$2:$A$301,0), 23)/1000)/100*(Inputs!$B$8*(1+(Inputs!$B$9+B1538)/100)),0))*(1+Inputs!$B$14/100))*0.01+Inputs!$B$15*0.0025)/100)*(1+(Inputs!$B$16+B1532)/100)*(1+Inputs!$B$17/100)*(5000/(6000+Inputs!$B$43*(1-Inputs!$B$20/100)))*(1+Inputs!$B$25/100)*(1+IF(C1518=TRUE,F1518,0)/100)*(1+IF(C1520=TRUE,F1520,0)/100)*(1+IF(Skills!A6="TRIUMPH_FEATHER",IF(C1516=TRUE,F1516,0),0)/100)*(1+IF(C1527=TRUE,F1527,0)/100)^5*(1+(IF(Skills!A6="BIG_BANG",Inputs!$B$18,Inputs!$B$19))/100)*(B1529*I1506)</f>
        <v/>
      </c>
      <c r="L1506">
        <f>K1506*(MIN(Inputs!$B$23+(F1522-Calc!F22),Inputs!$B$24)/100+Inputs!$B$24/100)/2</f>
        <v/>
      </c>
      <c r="M1506">
        <f>L1506*(1+(Inputs!$B$11+B1533+(F1525-Calc!F25))/100)</f>
        <v/>
      </c>
      <c r="N1506">
        <f>L1506*(1-MIN(Inputs!$B$10+((F1524-Calc!F24)+(F1523-Calc!F23)),100)/100)+M1506*(MIN(Inputs!$B$10+((F1524-Calc!F24)+(F1523-Calc!F23)),100)/100)</f>
        <v/>
      </c>
      <c r="O1506">
        <f>(1-Summary!$B$48)*S1506+Summary!$B$48*U1506</f>
        <v/>
      </c>
      <c r="P1506">
        <f>IF(B1542=0,0,O1506/B1542)</f>
        <v/>
      </c>
      <c r="Q1506">
        <f>IFERROR(1/IF(Inputs!$B$39="pvp",15,MAX(0.1,Skills!D6-IF(Skills!E6=TRUE,3.5,0))),0)</f>
        <v/>
      </c>
      <c r="R1506">
        <f>IF(AND(Inputs!$B$39&lt;&gt;"pvp",Inputs!$B$44&gt;0),IF(MAX(0,Inputs!$B$44-B1539)&lt;=0,0,(INT(MAX(0,Inputs!$B$44-B1539)/IF(Inputs!$B$39="pvp",15,MAX(0.1,Skills!D6-IF(Skills!E6=TRUE,3.5,0))))+1)),0)</f>
        <v/>
      </c>
      <c r="S1506">
        <f>IF(C1506,(H1506*N1506*IF(AND(Inputs!$B$39&lt;&gt;"pvp",Inputs!$B$44&gt;0),((Skills!F6*((R1506-1)*IF(Skills!G6&gt;0,Skills!H6/Skills!G6,1)+IF(Skills!G6&gt;0,MIN(Skills!H6,MAX(0,MAX(0,Inputs!$B$44-B1539)-((R1506-1)*IF(Inputs!$B$39="pvp",15,MAX(0.1,Skills!D6-IF(Skills!E6=TRUE,3.5,0))))))/Skills!G6,1)))/Inputs!$B$44),G1506*Q1506))*IF(Inputs!$B$39="pvp",1,1+(Inputs!$B$21+Skills!O6+B1530)/100),0)</f>
        <v/>
      </c>
      <c r="U1506">
        <f>IF(C1506,(H1506*N1506*IF(AND(Inputs!$B$39&lt;&gt;"pvp",Inputs!$B$44&gt;0),((Skills!F6*((R1506-1)*IF(Skills!G6&gt;0,Skills!H6/Skills!G6,1)+IF(Skills!G6&gt;0,MIN(Skills!H6,MAX(0,MAX(0,Inputs!$B$44-B1539)-((R1506-1)*IF(Inputs!$B$39="pvp",15,MAX(0.1,Skills!D6-IF(Skills!E6=TRUE,3.5,0))))))/Skills!G6,1)))/Inputs!$B$44),G1506*Q1506))*IF(Inputs!$B$39="pvp",1,(1+(Inputs!$B$22+Skills!P6+B1531)/100)*(MIN(Skills!Q6,Inputs!$B$38))),0)</f>
        <v/>
      </c>
    </row>
    <row r="1507">
      <c r="A1507">
        <f>Skills!A7</f>
        <v/>
      </c>
      <c r="B1507">
        <f>Skills!B7</f>
        <v/>
      </c>
      <c r="C1507">
        <f>Inputs!$B$3&gt;=122</f>
        <v/>
      </c>
      <c r="D1507">
        <f>IF(Skills!C7=1,60+Inputs!$B$26+Inputs!$B$30,IF(Skills!C7=2,90+Inputs!$B$27+Inputs!$B$30,IF(Skills!C7=3,120+Inputs!$B$28+Inputs!$B$30,MAX(0,(Inputs!$B$3-100)*3)+Inputs!$B$29+Inputs!$B$30)))</f>
        <v/>
      </c>
      <c r="E1507">
        <f>INDEX(FactorTable!$B$2:$Y$301, MATCH(ROUND(MIN(300,MAX(1,D1507)),0), FactorTable!$A$2:$A$301,0), Skills!L7+1)</f>
        <v/>
      </c>
      <c r="F1507">
        <f>IF(Skills!M7=TRUE,(Skills!K7/10)*(E1507/1000),Skills!K7/10)+Skills!N7</f>
        <v/>
      </c>
      <c r="G1507">
        <f>Calc!G7</f>
        <v/>
      </c>
      <c r="H1507">
        <f>Calc!H7</f>
        <v/>
      </c>
      <c r="I1507">
        <f>IF(Skills!T7&lt;&gt;"",1+(Skills!T7/10)*($Z$3/1000)/100,1)</f>
        <v/>
      </c>
      <c r="J1507">
        <f>((Inputs!$B$6*(1+Inputs!$B$7/100))+(((Inputs!$B$13*(1+Inputs!$B$14/100))-(Inputs!$B$13*(1+Inputs!$B$14/100)))+0.25*(Inputs!$B$15-Inputs!$B$15))*(1+Inputs!$B$7/100))*(F1507/100)</f>
        <v/>
      </c>
      <c r="K1507">
        <f>J1507*(1+(((Inputs!$B$13+IF(Inputs!$B$3&gt;=35,(10*INDEX(FactorTable!$B$2:$Y$301, MATCH(ROUND(MIN(300,MAX(1,Inputs!$B$3)),0), FactorTable!$A$2:$A$301,0), 23)/1000)/100*(Inputs!$B$8*(1+(Inputs!$B$9+B1538)/100)),0))*(1+Inputs!$B$14/100))*0.01+Inputs!$B$15*0.0025)/100)*(1+(Inputs!$B$16+B1532)/100)*(1+Inputs!$B$17/100)*(5000/(6000+Inputs!$B$43*(1-Inputs!$B$20/100)))*(1+Inputs!$B$25/100)*(1+IF(C1518=TRUE,F1518,0)/100)*(1+IF(C1520=TRUE,F1520,0)/100)*(1+IF(Skills!A7="TRIUMPH_FEATHER",IF(C1516=TRUE,F1516,0),0)/100)*(1+IF(C1527=TRUE,F1527,0)/100)^5*(1+(IF(Skills!A7="BIG_BANG",Inputs!$B$18,Inputs!$B$19))/100)*(B1529*I1507)</f>
        <v/>
      </c>
      <c r="L1507">
        <f>K1507*(MIN(Inputs!$B$23+(F1522-Calc!F22),Inputs!$B$24)/100+Inputs!$B$24/100)/2</f>
        <v/>
      </c>
      <c r="M1507">
        <f>L1507*(1+(Inputs!$B$11+B1533+(F1525-Calc!F25))/100)</f>
        <v/>
      </c>
      <c r="N1507">
        <f>L1507*(1-MIN(Inputs!$B$10+((F1524-Calc!F24)+(F1523-Calc!F23)),100)/100)+M1507*(MIN(Inputs!$B$10+((F1524-Calc!F24)+(F1523-Calc!F23)),100)/100)</f>
        <v/>
      </c>
      <c r="O1507">
        <f>(1-Summary!$B$48)*S1507+Summary!$B$48*U1507</f>
        <v/>
      </c>
      <c r="P1507">
        <f>IF(B1542=0,0,O1507/B1542)</f>
        <v/>
      </c>
      <c r="Q1507">
        <f>IFERROR(1/IF(Inputs!$B$39="pvp",15,MAX(0.1,Skills!D7-IF(Skills!E6=TRUE,3.5,0))),0)</f>
        <v/>
      </c>
      <c r="R1507">
        <f>IF(AND(Inputs!$B$39&lt;&gt;"pvp",Inputs!$B$44&gt;0),IF(MAX(0,Inputs!$B$44-B1539)&lt;=0,0,(INT(MAX(0,Inputs!$B$44-B1539)/IF(Inputs!$B$39="pvp",15,MAX(0.1,Skills!D7-IF(Skills!E6=TRUE,3.5,0))))+1)),0)</f>
        <v/>
      </c>
      <c r="S1507">
        <f>IF(C1507,H1507*N1507*IF(AND(Inputs!$B$39&lt;&gt;"pvp",Inputs!$B$44&gt;0),((Skills!F7*((R1507-1)*IF(Skills!G7&gt;0,Skills!H7/Skills!G7,1)+IF(Skills!G7&gt;0,MIN(Skills!H7,MAX(0,MAX(0,Inputs!$B$44-B1539)-((R1507-1)*IF(Inputs!$B$39="pvp",15,MAX(0.1,Skills!D7-IF(Skills!E6=TRUE,3.5,0))))))/Skills!G7,1)))/Inputs!$B$44),G1507*Q1507)*IF(Inputs!$B$39="pvp",1,1+(Inputs!$B$21+Skills!O7+B1530)/100),0)</f>
        <v/>
      </c>
      <c r="U1507" t="n">
        <v>0</v>
      </c>
    </row>
    <row r="1508">
      <c r="A1508">
        <f>Skills!A8</f>
        <v/>
      </c>
      <c r="B1508">
        <f>Skills!B8</f>
        <v/>
      </c>
      <c r="C1508">
        <f>Inputs!$B$3&gt;=105</f>
        <v/>
      </c>
      <c r="D1508">
        <f>IF(Skills!C8=1,60+Inputs!$B$26+Inputs!$B$30,IF(Skills!C8=2,90+Inputs!$B$27+Inputs!$B$30,IF(Skills!C8=3,120+Inputs!$B$28+Inputs!$B$30,MAX(0,(Inputs!$B$3-100)*3)+Inputs!$B$29+Inputs!$B$30)))</f>
        <v/>
      </c>
      <c r="E1508">
        <f>INDEX(FactorTable!$B$2:$Y$301, MATCH(ROUND(MIN(300,MAX(1,D1508)),0), FactorTable!$A$2:$A$301,0), Skills!L8+1)</f>
        <v/>
      </c>
      <c r="F1508">
        <f>IF(Skills!M8=TRUE,(Skills!K8/10)*(E1508/1000),Skills!K8/10)+Skills!N8</f>
        <v/>
      </c>
      <c r="G1508">
        <f>Calc!G8</f>
        <v/>
      </c>
      <c r="H1508">
        <f>Calc!H8</f>
        <v/>
      </c>
      <c r="I1508">
        <f>IF(Skills!T8&lt;&gt;"",1+(Skills!T8/10)*($Z$3/1000)/100,1)</f>
        <v/>
      </c>
      <c r="J1508">
        <f>((Inputs!$B$6*(1+Inputs!$B$7/100))+(((Inputs!$B$13*(1+Inputs!$B$14/100))-(Inputs!$B$13*(1+Inputs!$B$14/100)))+0.25*(Inputs!$B$15-Inputs!$B$15))*(1+Inputs!$B$7/100))*(F1508/100)</f>
        <v/>
      </c>
      <c r="K1508">
        <f>J1508*(1+(((Inputs!$B$13+IF(Inputs!$B$3&gt;=35,(10*INDEX(FactorTable!$B$2:$Y$301, MATCH(ROUND(MIN(300,MAX(1,Inputs!$B$3)),0), FactorTable!$A$2:$A$301,0), 23)/1000)/100*(Inputs!$B$8*(1+(Inputs!$B$9+B1538)/100)),0))*(1+Inputs!$B$14/100))*0.01+Inputs!$B$15*0.0025)/100)*(1+(Inputs!$B$16+B1532)/100)*(1+Inputs!$B$17/100)*(5000/(6000+Inputs!$B$43*(1-Inputs!$B$20/100)))*(1+Inputs!$B$25/100)*(1+IF(C1518=TRUE,F1518,0)/100)*(1+IF(C1520=TRUE,F1520,0)/100)*(1+IF(Skills!A8="TRIUMPH_FEATHER",IF(C1516=TRUE,F1516,0),0)/100)*(1+IF(C1527=TRUE,F1527,0)/100)^5*(1+(IF(Skills!A8="BIG_BANG",Inputs!$B$18,Inputs!$B$19))/100)*(B1529*I1508)</f>
        <v/>
      </c>
      <c r="L1508">
        <f>K1508*(MIN(Inputs!$B$23+(F1522-Calc!F22),Inputs!$B$24)/100+Inputs!$B$24/100)/2</f>
        <v/>
      </c>
      <c r="M1508">
        <f>L1508*(1+(Inputs!$B$11+B1533+(F1525-Calc!F25))/100)</f>
        <v/>
      </c>
      <c r="N1508">
        <f>L1508*(1-MIN(Inputs!$B$10+((F1524-Calc!F24)+(F1523-Calc!F23)),100)/100)+M1508*(MIN(Inputs!$B$10+((F1524-Calc!F24)+(F1523-Calc!F23)),100)/100)</f>
        <v/>
      </c>
      <c r="O1508">
        <f>(1-Summary!$B$48)*S1508+Summary!$B$48*U1508</f>
        <v/>
      </c>
      <c r="P1508">
        <f>IF(B1542=0,0,O1508/B1542)</f>
        <v/>
      </c>
      <c r="Q1508">
        <f>IFERROR(1/IF(Inputs!$B$39="pvp",15,MAX(0.1,Skills!D8-IF(Skills!E8=TRUE,3.5,0))),0)</f>
        <v/>
      </c>
      <c r="R1508">
        <f>IF(AND(Inputs!$B$39&lt;&gt;"pvp",Inputs!$B$44&gt;0),IF(MAX(0,Inputs!$B$44-B1539)&lt;=0,0,(INT(MAX(0,Inputs!$B$44-B1539)/IF(Inputs!$B$39="pvp",15,MAX(0.1,Skills!D8-IF(Skills!E8=TRUE,3.5,0))))+1)),0)</f>
        <v/>
      </c>
      <c r="S1508">
        <f>IF(C1508,(H1508*N1508*IF(AND(Inputs!$B$39&lt;&gt;"pvp",Inputs!$B$44&gt;0),((Skills!F8*((R1508-1)*IF(Skills!G8&gt;0,Skills!H8/Skills!G8,1)+IF(Skills!G8&gt;0,MIN(Skills!H8,MAX(0,MAX(0,Inputs!$B$44-B1539)-((R1508-1)*IF(Inputs!$B$39="pvp",15,MAX(0.1,Skills!D8-IF(Skills!E8=TRUE,3.5,0))))))/Skills!G8,1)))/Inputs!$B$44),G1508*Q1508))*IF(Inputs!$B$39="pvp",1,1+(Inputs!$B$21+Skills!O8+B1530)/100),0)</f>
        <v/>
      </c>
      <c r="U1508">
        <f>IF(C1508,(H1508*N1508*IF(AND(Inputs!$B$39&lt;&gt;"pvp",Inputs!$B$44&gt;0),((Skills!F8*((R1508-1)*IF(Skills!G8&gt;0,Skills!H8/Skills!G8,1)+IF(Skills!G8&gt;0,MIN(Skills!H8,MAX(0,MAX(0,Inputs!$B$44-B1539)-((R1508-1)*IF(Inputs!$B$39="pvp",15,MAX(0.1,Skills!D8-IF(Skills!E8=TRUE,3.5,0))))))/Skills!G8,1)))/Inputs!$B$44),G1508*Q1508))*IF(Inputs!$B$39="pvp",1,(1+(Inputs!$B$22+Skills!P8+B1531)/100)*(MIN(Skills!Q8,Inputs!$B$38))),0)</f>
        <v/>
      </c>
    </row>
    <row r="1509">
      <c r="A1509">
        <f>Skills!A9</f>
        <v/>
      </c>
      <c r="B1509">
        <f>Skills!B9</f>
        <v/>
      </c>
      <c r="C1509">
        <f>Inputs!$B$3&gt;=115</f>
        <v/>
      </c>
      <c r="D1509">
        <f>IF(Skills!C9=1,60+Inputs!$B$26+Inputs!$B$30,IF(Skills!C9=2,90+Inputs!$B$27+Inputs!$B$30,IF(Skills!C9=3,120+Inputs!$B$28+Inputs!$B$30,MAX(0,(Inputs!$B$3-100)*3)+Inputs!$B$29+Inputs!$B$30)))</f>
        <v/>
      </c>
      <c r="E1509">
        <f>INDEX(FactorTable!$B$2:$Y$301, MATCH(ROUND(MIN(300,MAX(1,D1509)),0), FactorTable!$A$2:$A$301,0), Skills!L9+1)</f>
        <v/>
      </c>
      <c r="F1509">
        <f>IF(Skills!M9=TRUE,(Skills!K9/10)*(E1509/1000),Skills!K9/10)+Skills!N9</f>
        <v/>
      </c>
      <c r="G1509">
        <f>Calc!G9</f>
        <v/>
      </c>
      <c r="H1509">
        <f>Calc!H9</f>
        <v/>
      </c>
      <c r="I1509">
        <f>IF(Skills!T9&lt;&gt;"",1+(Skills!T9/10)*($Z$3/1000)/100,1)</f>
        <v/>
      </c>
      <c r="J1509">
        <f>((Inputs!$B$6*(1+Inputs!$B$7/100))+(((Inputs!$B$13*(1+Inputs!$B$14/100))-(Inputs!$B$13*(1+Inputs!$B$14/100)))+0.25*(Inputs!$B$15-Inputs!$B$15))*(1+Inputs!$B$7/100))*(F1509/100)</f>
        <v/>
      </c>
      <c r="K1509">
        <f>J1509*(1+(((Inputs!$B$13+IF(Inputs!$B$3&gt;=35,(10*INDEX(FactorTable!$B$2:$Y$301, MATCH(ROUND(MIN(300,MAX(1,Inputs!$B$3)),0), FactorTable!$A$2:$A$301,0), 23)/1000)/100*(Inputs!$B$8*(1+(Inputs!$B$9+B1538)/100)),0))*(1+Inputs!$B$14/100))*0.01+Inputs!$B$15*0.0025)/100)*(1+(Inputs!$B$16+B1532)/100)*(1+Inputs!$B$17/100)*(5000/(6000+Inputs!$B$43*(1-Inputs!$B$20/100)))*(1+Inputs!$B$25/100)*(1+IF(C1518=TRUE,F1518,0)/100)*(1+IF(C1520=TRUE,F1520,0)/100)*(1+IF(Skills!A9="TRIUMPH_FEATHER",IF(C1516=TRUE,F1516,0),0)/100)*(1+IF(C1527=TRUE,F1527,0)/100)^5*(1+(IF(Skills!A9="BIG_BANG",Inputs!$B$18,Inputs!$B$19))/100)*(B1529*I1509)</f>
        <v/>
      </c>
      <c r="L1509">
        <f>K1509*(MIN(Inputs!$B$23+(F1522-Calc!F22),Inputs!$B$24)/100+Inputs!$B$24/100)/2</f>
        <v/>
      </c>
      <c r="M1509">
        <f>L1509*(1+(Inputs!$B$11+B1533+(F1525-Calc!F25))/100)</f>
        <v/>
      </c>
      <c r="N1509">
        <f>L1509*(1-MIN(Inputs!$B$10+((F1524-Calc!F24)+(F1523-Calc!F23)),100)/100)+M1509*(MIN(Inputs!$B$10+((F1524-Calc!F24)+(F1523-Calc!F23)),100)/100)</f>
        <v/>
      </c>
      <c r="O1509">
        <f>(1-Summary!$B$48)*S1509+Summary!$B$48*U1509</f>
        <v/>
      </c>
      <c r="P1509">
        <f>IF(B1542=0,0,O1509/B1542)</f>
        <v/>
      </c>
      <c r="Q1509">
        <f>IFERROR(1/IF(Inputs!$B$39="pvp",15,MAX(0.1,Skills!D9-IF(Skills!E9=TRUE,3.5,0))),0)</f>
        <v/>
      </c>
      <c r="R1509">
        <f>IF(AND(Inputs!$B$39&lt;&gt;"pvp",Inputs!$B$44&gt;0),IF(MAX(0,Inputs!$B$44-B1539)&lt;=0,0,(INT(MAX(0,Inputs!$B$44-B1539)/IF(Inputs!$B$39="pvp",15,MAX(0.1,Skills!D9-IF(Skills!E9=TRUE,3.5,0))))+1)),0)</f>
        <v/>
      </c>
      <c r="S1509">
        <f>IF(C1509,(H1509*N1509*IF(AND(Inputs!$B$39&lt;&gt;"pvp",Inputs!$B$44&gt;0),((Skills!F9*((R1509-1)*IF(Skills!G9&gt;0,Skills!H9/Skills!G9,1)+IF(Skills!G9&gt;0,MIN(Skills!H9,MAX(0,MAX(0,Inputs!$B$44-B1539)-((R1509-1)*IF(Inputs!$B$39="pvp",15,MAX(0.1,Skills!D9-IF(Skills!E9=TRUE,3.5,0))))))/Skills!G9,1)))/Inputs!$B$44),G1509*Q1509))*IF(Inputs!$B$39="pvp",1,1+(Inputs!$B$21+Skills!O9+B1530)/100),0)</f>
        <v/>
      </c>
      <c r="U1509">
        <f>IF(C1509,(H1509*N1509*IF(AND(Inputs!$B$39&lt;&gt;"pvp",Inputs!$B$44&gt;0),((Skills!F9*((R1509-1)*IF(Skills!G9&gt;0,Skills!H9/Skills!G9,1)+IF(Skills!G9&gt;0,MIN(Skills!H9,MAX(0,MAX(0,Inputs!$B$44-B1539)-((R1509-1)*IF(Inputs!$B$39="pvp",15,MAX(0.1,Skills!D9-IF(Skills!E9=TRUE,3.5,0))))))/Skills!G9,1)))/Inputs!$B$44),G1509*Q1509))*IF(Inputs!$B$39="pvp",1,(1+(Inputs!$B$22+Skills!P9+B1531)/100)*(MIN(Skills!Q9,Inputs!$B$38))),0)</f>
        <v/>
      </c>
    </row>
    <row r="1510">
      <c r="A1510">
        <f>Skills!A10</f>
        <v/>
      </c>
      <c r="B1510">
        <f>Skills!B10</f>
        <v/>
      </c>
      <c r="C1510">
        <f>Inputs!$B$3&gt;=66</f>
        <v/>
      </c>
      <c r="D1510">
        <f>IF(Skills!C10=1,60+Inputs!$B$26+Inputs!$B$30,IF(Skills!C10=2,90+Inputs!$B$27+Inputs!$B$30,IF(Skills!C10=3,120+Inputs!$B$28+Inputs!$B$30,MAX(0,(Inputs!$B$3-100)*3)+Inputs!$B$29+Inputs!$B$30)))</f>
        <v/>
      </c>
      <c r="E1510">
        <f>INDEX(FactorTable!$B$2:$Y$301, MATCH(ROUND(MIN(300,MAX(1,D1510)),0), FactorTable!$A$2:$A$301,0), Skills!L10+1)</f>
        <v/>
      </c>
      <c r="F1510" t="n">
        <v>0</v>
      </c>
      <c r="G1510">
        <f>Calc!G10</f>
        <v/>
      </c>
      <c r="H1510">
        <f>Calc!H10</f>
        <v/>
      </c>
      <c r="I1510">
        <f>IF(Skills!T10&lt;&gt;"",1+(Skills!T10/10)*($Z$3/1000)/100,1)</f>
        <v/>
      </c>
      <c r="J1510" t="inlineStr"/>
      <c r="K1510" t="inlineStr"/>
      <c r="L1510" t="inlineStr"/>
      <c r="M1510" t="inlineStr"/>
      <c r="N1510" t="inlineStr"/>
      <c r="O1510">
        <f>(1-Summary!$B$48)*S1510+Summary!$B$48*U1510</f>
        <v/>
      </c>
      <c r="P1510">
        <f>IF(B1542=0,0,O1510/B1542)</f>
        <v/>
      </c>
      <c r="Q1510">
        <f>IFERROR(1/IF(Inputs!$B$39="pvp",15,MAX(0.1,Skills!D10-IF(Skills!E10=TRUE,3.5,0))),0)</f>
        <v/>
      </c>
      <c r="R1510">
        <f>IF(AND(Inputs!$B$39&lt;&gt;"pvp",Inputs!$B$44&gt;0),IF(MAX(0,Inputs!$B$44-B1539)&lt;=0,0,(INT(MAX(0,Inputs!$B$44-B1539)/IF(Inputs!$B$39="pvp",15,MAX(0.1,Skills!D10-IF(Skills!E10=TRUE,3.5,0))))+1)),0)</f>
        <v/>
      </c>
      <c r="S1510" t="n">
        <v>0</v>
      </c>
      <c r="U1510" t="n">
        <v>0</v>
      </c>
    </row>
    <row r="1511">
      <c r="A1511">
        <f>Skills!A11</f>
        <v/>
      </c>
      <c r="B1511">
        <f>Skills!B11</f>
        <v/>
      </c>
      <c r="C1511">
        <f>Inputs!$B$3&gt;=69</f>
        <v/>
      </c>
      <c r="D1511">
        <f>IF(Skills!C11=1,60+Inputs!$B$26+Inputs!$B$30,IF(Skills!C11=2,90+Inputs!$B$27+Inputs!$B$30,IF(Skills!C11=3,120+Inputs!$B$28+Inputs!$B$30,MAX(0,(Inputs!$B$3-100)*3)+Inputs!$B$29+Inputs!$B$30)))</f>
        <v/>
      </c>
      <c r="E1511">
        <f>INDEX(FactorTable!$B$2:$Y$301, MATCH(ROUND(MIN(300,MAX(1,D1511)),0), FactorTable!$A$2:$A$301,0), Skills!L11+1)</f>
        <v/>
      </c>
      <c r="F1511">
        <f>IF(Skills!M11=TRUE,(Skills!K11/10)*(E1511/1000),Skills!K11/10)+Skills!N11</f>
        <v/>
      </c>
      <c r="G1511">
        <f>Calc!G11</f>
        <v/>
      </c>
      <c r="H1511">
        <f>Calc!H11</f>
        <v/>
      </c>
      <c r="I1511">
        <f>IF(Skills!T11&lt;&gt;"",1+(Skills!T11/10)*($Z$3/1000)/100,1)</f>
        <v/>
      </c>
      <c r="J1511" t="inlineStr"/>
      <c r="K1511" t="inlineStr"/>
      <c r="L1511" t="inlineStr"/>
      <c r="M1511" t="inlineStr"/>
      <c r="N1511" t="inlineStr"/>
      <c r="O1511">
        <f>(1-Summary!$B$48)*S1511+Summary!$B$48*U1511</f>
        <v/>
      </c>
      <c r="P1511">
        <f>IF(B1542=0,0,O1511/B1542)</f>
        <v/>
      </c>
      <c r="Q1511">
        <f>IFERROR(1/IF(Inputs!$B$39="pvp",15,MAX(0.1,Skills!D11-IF(Skills!E11=TRUE,3.5,0))),0)</f>
        <v/>
      </c>
      <c r="R1511">
        <f>IF(AND(Inputs!$B$39&lt;&gt;"pvp",Inputs!$B$44&gt;0),IF(Inputs!$B$44&lt;=0,0,(INT(Inputs!$B$44/IF(Inputs!$B$39="pvp",15,MAX(0.1,Skills!D11-IF(Skills!E11=TRUE,3.5,0))))+1)),0)</f>
        <v/>
      </c>
      <c r="S1511" t="n">
        <v>0</v>
      </c>
      <c r="U1511" t="n">
        <v>0</v>
      </c>
    </row>
    <row r="1512">
      <c r="A1512">
        <f>Skills!A12</f>
        <v/>
      </c>
      <c r="B1512">
        <f>Skills!B12</f>
        <v/>
      </c>
      <c r="C1512">
        <f>Inputs!$B$3&gt;=72</f>
        <v/>
      </c>
      <c r="D1512">
        <f>IF(Skills!C12=1,60+Inputs!$B$26+Inputs!$B$30,IF(Skills!C12=2,90+Inputs!$B$27+Inputs!$B$30,IF(Skills!C12=3,120+Inputs!$B$28+Inputs!$B$30,MAX(0,(Inputs!$B$3-100)*3)+Inputs!$B$29+Inputs!$B$30)))</f>
        <v/>
      </c>
      <c r="E1512">
        <f>INDEX(FactorTable!$B$2:$Y$301, MATCH(ROUND(MIN(300,MAX(1,D1512)),0), FactorTable!$A$2:$A$301,0), Skills!L12+1)</f>
        <v/>
      </c>
      <c r="F1512">
        <f>IF(Skills!M12=TRUE,(Skills!K12/10)*(E1512/1000),Skills!K12/10)+Skills!N12</f>
        <v/>
      </c>
      <c r="G1512">
        <f>Calc!G12</f>
        <v/>
      </c>
      <c r="H1512">
        <f>Calc!H12</f>
        <v/>
      </c>
      <c r="I1512">
        <f>IF(Skills!T12&lt;&gt;"",1+(Skills!T12/10)*($Z$3/1000)/100,1)</f>
        <v/>
      </c>
      <c r="J1512" t="inlineStr"/>
      <c r="K1512" t="inlineStr"/>
      <c r="L1512" t="inlineStr"/>
      <c r="M1512" t="inlineStr"/>
      <c r="N1512" t="inlineStr"/>
      <c r="O1512">
        <f>(1-Summary!$B$48)*S1512+Summary!$B$48*U1512</f>
        <v/>
      </c>
      <c r="P1512">
        <f>IF(B1542=0,0,O1512/B1542)</f>
        <v/>
      </c>
      <c r="Q1512">
        <f>IFERROR(1/IF(Inputs!$B$39="pvp",15,MAX(0.1,Skills!D12-IF(Skills!E12=TRUE,3.5,0))),0)</f>
        <v/>
      </c>
      <c r="R1512">
        <f>IF(AND(Inputs!$B$39&lt;&gt;"pvp",Inputs!$B$44&gt;0),IF(MAX(0,Inputs!$B$44-B1539)&lt;=0,0,(INT(MAX(0,Inputs!$B$44-B1539)/IF(Inputs!$B$39="pvp",15,MAX(0.1,Skills!D12-IF(Skills!E12=TRUE,3.5,0))))+1)),0)</f>
        <v/>
      </c>
      <c r="S1512" t="n">
        <v>0</v>
      </c>
      <c r="U1512" t="n">
        <v>0</v>
      </c>
    </row>
    <row r="1513">
      <c r="A1513">
        <f>Skills!A13</f>
        <v/>
      </c>
      <c r="B1513">
        <f>Skills!B13</f>
        <v/>
      </c>
      <c r="C1513">
        <f>Inputs!$B$3&gt;=60</f>
        <v/>
      </c>
      <c r="D1513">
        <f>IF(Skills!C13=1,60+Inputs!$B$26+Inputs!$B$30,IF(Skills!C13=2,90+Inputs!$B$27+Inputs!$B$30,IF(Skills!C13=3,120+Inputs!$B$28+Inputs!$B$30,MAX(0,(Inputs!$B$3-100)*3)+Inputs!$B$29+Inputs!$B$30)))</f>
        <v/>
      </c>
      <c r="E1513">
        <f>INDEX(FactorTable!$B$2:$Y$301, MATCH(ROUND(MIN(300,MAX(1,D1513)),0), FactorTable!$A$2:$A$301,0), Skills!L13+1)</f>
        <v/>
      </c>
      <c r="F1513">
        <f>IF(Skills!M13=TRUE,(Skills!K13/10)*(E1513/1000),Skills!K13/10)+Skills!N13</f>
        <v/>
      </c>
      <c r="G1513">
        <f>Calc!G13</f>
        <v/>
      </c>
      <c r="H1513">
        <f>Calc!H13</f>
        <v/>
      </c>
      <c r="I1513">
        <f>IF(Skills!T13&lt;&gt;"",1+(Skills!T13/10)*($Z$3/1000)/100,1)</f>
        <v/>
      </c>
      <c r="J1513" t="inlineStr"/>
      <c r="K1513" t="inlineStr"/>
      <c r="L1513" t="inlineStr"/>
      <c r="M1513" t="inlineStr"/>
      <c r="N1513" t="inlineStr"/>
      <c r="O1513">
        <f>(1-Summary!$B$48)*S1513+Summary!$B$48*U1513</f>
        <v/>
      </c>
      <c r="P1513">
        <f>IF(B1542=0,0,O1513/B1542)</f>
        <v/>
      </c>
      <c r="Q1513">
        <f>IFERROR(1/IF(Inputs!$B$39="pvp",15,MAX(0.1,Skills!D13-IF(Skills!E13=TRUE,3.5,0))),0)</f>
        <v/>
      </c>
      <c r="R1513">
        <f>IF(AND(Inputs!$B$39&lt;&gt;"pvp",Inputs!$B$44&gt;0),IF(MAX(0,Inputs!$B$44-B1539)&lt;=0,0,(INT(MAX(0,Inputs!$B$44-B1539)/IF(Inputs!$B$39="pvp",15,MAX(0.1,Skills!D13-IF(Skills!E13=TRUE,3.5,0))))+1)),0)</f>
        <v/>
      </c>
      <c r="S1513" t="n">
        <v>0</v>
      </c>
      <c r="U1513" t="n">
        <v>0</v>
      </c>
    </row>
    <row r="1514">
      <c r="A1514">
        <f>Skills!A14</f>
        <v/>
      </c>
      <c r="B1514">
        <f>Skills!B14</f>
        <v/>
      </c>
      <c r="C1514">
        <f>Inputs!$B$3&gt;=107</f>
        <v/>
      </c>
      <c r="D1514">
        <f>IF(Skills!C14=1,60+Inputs!$B$26+Inputs!$B$30,IF(Skills!C14=2,90+Inputs!$B$27+Inputs!$B$30,IF(Skills!C14=3,120+Inputs!$B$28+Inputs!$B$30,MAX(0,(Inputs!$B$3-100)*3)+Inputs!$B$29+Inputs!$B$30)))</f>
        <v/>
      </c>
      <c r="E1514">
        <f>INDEX(FactorTable!$B$2:$Y$301, MATCH(ROUND(MIN(300,MAX(1,D1514)),0), FactorTable!$A$2:$A$301,0), Skills!L14+1)</f>
        <v/>
      </c>
      <c r="F1514">
        <f>IF(Skills!M14=TRUE,(Skills!K14/10)*(E1514/1000),Skills!K14/10)+Skills!N14</f>
        <v/>
      </c>
      <c r="G1514">
        <f>Calc!G14</f>
        <v/>
      </c>
      <c r="H1514">
        <f>Calc!H14</f>
        <v/>
      </c>
      <c r="I1514">
        <f>IF(Skills!T14&lt;&gt;"",1+(Skills!T14/10)*($Z$3/1000)/100,1)</f>
        <v/>
      </c>
      <c r="J1514" t="inlineStr"/>
      <c r="K1514" t="inlineStr"/>
      <c r="L1514" t="inlineStr"/>
      <c r="M1514" t="inlineStr"/>
      <c r="N1514" t="inlineStr"/>
      <c r="O1514">
        <f>(1-Summary!$B$48)*S1514+Summary!$B$48*U1514</f>
        <v/>
      </c>
      <c r="P1514">
        <f>IF(B1542=0,0,O1514/B1542)</f>
        <v/>
      </c>
      <c r="Q1514">
        <f>IFERROR(1/IF(Inputs!$B$39="pvp",15,MAX(0.1,Skills!D14-IF(Skills!E14=TRUE,3.5,0))),0)</f>
        <v/>
      </c>
      <c r="R1514">
        <f>IF(AND(Inputs!$B$39&lt;&gt;"pvp",Inputs!$B$44&gt;0),IF(Inputs!$B$44&lt;=0,0,(INT(Inputs!$B$44/IF(Inputs!$B$39="pvp",15,MAX(0.1,Skills!D14-IF(Skills!E14=TRUE,3.5,0))))+1)),0)</f>
        <v/>
      </c>
      <c r="S1514" t="n">
        <v>0</v>
      </c>
      <c r="U1514" t="n">
        <v>0</v>
      </c>
    </row>
    <row r="1515">
      <c r="A1515">
        <f>Skills!A15</f>
        <v/>
      </c>
      <c r="B1515">
        <f>Skills!B15</f>
        <v/>
      </c>
      <c r="C1515">
        <f>Inputs!$B$3&gt;=63</f>
        <v/>
      </c>
      <c r="D1515">
        <f>IF(Skills!C15=1,60+Inputs!$B$26+Inputs!$B$30,IF(Skills!C15=2,90+Inputs!$B$27+Inputs!$B$30,IF(Skills!C15=3,120+Inputs!$B$28+Inputs!$B$30,MAX(0,(Inputs!$B$3-100)*3)+Inputs!$B$29+Inputs!$B$30)))</f>
        <v/>
      </c>
      <c r="E1515">
        <f>INDEX(FactorTable!$B$2:$Y$301, MATCH(ROUND(MIN(300,MAX(1,D1515)),0), FactorTable!$A$2:$A$301,0), Skills!L15+1)</f>
        <v/>
      </c>
      <c r="F1515">
        <f>IF(Skills!M15=TRUE,(Skills!K15/10)*(E1515/1000),Skills!K15/10)+Skills!N15</f>
        <v/>
      </c>
      <c r="G1515">
        <f>Calc!G15</f>
        <v/>
      </c>
      <c r="H1515">
        <f>Calc!H15</f>
        <v/>
      </c>
      <c r="I1515">
        <f>IF(Skills!T15&lt;&gt;"",1+(Skills!T15/10)*($Z$3/1000)/100,1)</f>
        <v/>
      </c>
      <c r="J1515">
        <f>((Inputs!$B$6*(1+Inputs!$B$7/100))+(((Inputs!$B$13*(1+Inputs!$B$14/100))-(Inputs!$B$13*(1+Inputs!$B$14/100)))+0.25*(Inputs!$B$15-Inputs!$B$15))*(1+Inputs!$B$7/100))*(F1515/100)</f>
        <v/>
      </c>
      <c r="K1515">
        <f>J1515*(1+(((Inputs!$B$13+IF(Inputs!$B$3&gt;=35,(10*INDEX(FactorTable!$B$2:$Y$301, MATCH(ROUND(MIN(300,MAX(1,Inputs!$B$3)),0), FactorTable!$A$2:$A$301,0), 23)/1000)/100*(Inputs!$B$8*(1+(Inputs!$B$9+B1538)/100)),0))*(1+Inputs!$B$14/100))*0.01+Inputs!$B$15*0.0025)/100)*(1+(Inputs!$B$16+B1532)/100)*(1+Inputs!$B$17/100)*(5000/(6000+Inputs!$B$43*(1-Inputs!$B$20/100)))*(1+Inputs!$B$25/100)*(1+IF(C1518=TRUE,F1518,0)/100)*(1+IF(C1520=TRUE,F1520,0)/100)*(1+IF(Skills!A15="TRIUMPH_FEATHER",IF(C1516=TRUE,F1516,0),0)/100)*(1+IF(C1527=TRUE,F1527,0)/100)^5*(1+(IF(Skills!A15="BIG_BANG",Inputs!$B$18,Inputs!$B$19))/100)*(B1529*I1515)</f>
        <v/>
      </c>
      <c r="L1515">
        <f>K1515*(MIN(Inputs!$B$23+(F1522-Calc!F22),Inputs!$B$24)/100+Inputs!$B$24/100)/2</f>
        <v/>
      </c>
      <c r="M1515">
        <f>L1515*(1+(Inputs!$B$11+B1533+(F1525-Calc!F25))/100)</f>
        <v/>
      </c>
      <c r="N1515">
        <f>L1515*(1-MIN(Inputs!$B$10+((F1524-Calc!F24)+(F1523-Calc!F23)),100)/100)+M1515*(MIN(Inputs!$B$10+((F1524-Calc!F24)+(F1523-Calc!F23)),100)/100)</f>
        <v/>
      </c>
      <c r="O1515">
        <f>(1-Summary!$B$48)*S1515+Summary!$B$48*U1515</f>
        <v/>
      </c>
      <c r="P1515">
        <f>IF(B1542=0,0,O1515/B1542)</f>
        <v/>
      </c>
      <c r="Q1515">
        <f>IFERROR(1/IF(Inputs!$B$39="pvp",15,MAX(0.1,Skills!D15-IF(Skills!E15=TRUE,3.5,0))),0)</f>
        <v/>
      </c>
      <c r="R1515" t="n">
        <v>0</v>
      </c>
      <c r="S1515">
        <f>IF(C1515,(Skills!F15*N1515*((IF(Inputs!$B$3&gt;=78,25,15)/100*B1535*10)/(1+IF(Inputs!$B$3&gt;=78,25,15)/100*B1535*10))*(Skills!I15/100*B1535)/(1+Skills!G15*Skills!I15/100*B1535))*IF(Inputs!$B$39="pvp",1,1+(Inputs!$B$21+Skills!O15+B1530)/100),0)</f>
        <v/>
      </c>
      <c r="U1515">
        <f>IF(C1515,(Skills!F15*N1515*((IF(Inputs!$B$3&gt;=78,25,15)/100*B1535*10)/(1+IF(Inputs!$B$3&gt;=78,25,15)/100*B1535*10))*(Skills!I15/100*B1535)/(1+Skills!G15*Skills!I15/100*B1535))*IF(Inputs!$B$39="pvp",1,(1+(Inputs!$B$22+Skills!P15+B1531)/100)*(MIN(Skills!Q15,Inputs!$B$38))),0)</f>
        <v/>
      </c>
    </row>
    <row r="1516">
      <c r="A1516">
        <f>Skills!A16</f>
        <v/>
      </c>
      <c r="B1516">
        <f>Skills!B16</f>
        <v/>
      </c>
      <c r="C1516">
        <f>Inputs!$B$3&gt;=100</f>
        <v/>
      </c>
      <c r="D1516">
        <f>IF(Skills!C16=1,60+Inputs!$B$26+Inputs!$B$30,IF(Skills!C16=2,90+Inputs!$B$27+Inputs!$B$30,IF(Skills!C16=3,120+Inputs!$B$28+Inputs!$B$30,MAX(0,(Inputs!$B$3-100)*3)+Inputs!$B$29+Inputs!$B$30)))</f>
        <v/>
      </c>
      <c r="E1516">
        <f>INDEX(FactorTable!$B$2:$Y$301, MATCH(ROUND(MIN(300,MAX(1,D1516)),0), FactorTable!$A$2:$A$301,0), Skills!L16+1)</f>
        <v/>
      </c>
      <c r="F1516">
        <f>IF(Skills!M16=TRUE,(Skills!K16/10)*(E1516/1000),Skills!K16/10)+Skills!N16</f>
        <v/>
      </c>
      <c r="G1516">
        <f>Calc!G16</f>
        <v/>
      </c>
      <c r="H1516">
        <f>Calc!H16</f>
        <v/>
      </c>
      <c r="I1516">
        <f>IF(Skills!T16&lt;&gt;"",1+(Skills!T16/10)*($Z$3/1000)/100,1)</f>
        <v/>
      </c>
      <c r="J1516" t="inlineStr"/>
      <c r="K1516" t="inlineStr"/>
      <c r="L1516" t="inlineStr"/>
      <c r="M1516" t="inlineStr"/>
      <c r="N1516" t="inlineStr"/>
      <c r="O1516">
        <f>(1-Summary!$B$48)*S1516+Summary!$B$48*U1516</f>
        <v/>
      </c>
      <c r="P1516">
        <f>IF(B1542=0,0,O1516/B1542)</f>
        <v/>
      </c>
      <c r="Q1516">
        <f>IFERROR(1/IF(Inputs!$B$39="pvp",15,MAX(0.1,Skills!D16-IF(Skills!E16=TRUE,3.5,0))),0)</f>
        <v/>
      </c>
      <c r="R1516" t="n">
        <v>0</v>
      </c>
      <c r="S1516" t="n">
        <v>0</v>
      </c>
      <c r="U1516" t="n">
        <v>0</v>
      </c>
    </row>
    <row r="1517">
      <c r="A1517">
        <f>Skills!A17</f>
        <v/>
      </c>
      <c r="B1517">
        <f>Skills!B17</f>
        <v/>
      </c>
      <c r="C1517">
        <f>Inputs!$B$3&gt;=49</f>
        <v/>
      </c>
      <c r="D1517">
        <f>IF(Skills!C17=1,60+Inputs!$B$26+Inputs!$B$30,IF(Skills!C17=2,90+Inputs!$B$27+Inputs!$B$30,IF(Skills!C17=3,120+Inputs!$B$28+Inputs!$B$30,MAX(0,(Inputs!$B$3-100)*3)+Inputs!$B$29+Inputs!$B$30)))</f>
        <v/>
      </c>
      <c r="E1517">
        <f>INDEX(FactorTable!$B$2:$Y$301, MATCH(ROUND(MIN(300,MAX(1,D1517)),0), FactorTable!$A$2:$A$301,0), Skills!L17+1)</f>
        <v/>
      </c>
      <c r="F1517">
        <f>IF(Skills!M17=TRUE,(Skills!K17/10)*(E1517/1000),Skills!K17/10)+Skills!N17</f>
        <v/>
      </c>
      <c r="G1517">
        <f>Calc!G17</f>
        <v/>
      </c>
      <c r="H1517">
        <f>Calc!H17</f>
        <v/>
      </c>
      <c r="I1517">
        <f>IF(Skills!T17&lt;&gt;"",1+(Skills!T17/10)*($Z$3/1000)/100,1)</f>
        <v/>
      </c>
      <c r="J1517" t="inlineStr"/>
      <c r="K1517" t="inlineStr"/>
      <c r="L1517" t="inlineStr"/>
      <c r="M1517" t="inlineStr"/>
      <c r="N1517" t="inlineStr"/>
      <c r="O1517">
        <f>(1-Summary!$B$48)*S1517+Summary!$B$48*U1517</f>
        <v/>
      </c>
      <c r="P1517">
        <f>IF(B1542=0,0,O1517/B1542)</f>
        <v/>
      </c>
      <c r="Q1517">
        <f>IFERROR(1/IF(Inputs!$B$39="pvp",15,MAX(0.1,Skills!D17-IF(Skills!E17=TRUE,3.5,0))),0)</f>
        <v/>
      </c>
      <c r="R1517" t="n">
        <v>0</v>
      </c>
      <c r="S1517" t="n">
        <v>0</v>
      </c>
      <c r="U1517" t="n">
        <v>0</v>
      </c>
    </row>
    <row r="1518">
      <c r="A1518">
        <f>Skills!A18</f>
        <v/>
      </c>
      <c r="B1518">
        <f>Skills!B18</f>
        <v/>
      </c>
      <c r="C1518">
        <f>Inputs!$B$3&gt;=75</f>
        <v/>
      </c>
      <c r="D1518">
        <f>IF(Skills!C18=1,60+Inputs!$B$26+Inputs!$B$30,IF(Skills!C18=2,90+Inputs!$B$27+Inputs!$B$30,IF(Skills!C18=3,120+Inputs!$B$28+Inputs!$B$30,MAX(0,(Inputs!$B$3-100)*3)+Inputs!$B$29+Inputs!$B$30)))</f>
        <v/>
      </c>
      <c r="E1518">
        <f>INDEX(FactorTable!$B$2:$Y$301, MATCH(ROUND(MIN(300,MAX(1,D1518)),0), FactorTable!$A$2:$A$301,0), Skills!L18+1)</f>
        <v/>
      </c>
      <c r="F1518">
        <f>IF(Skills!M18=TRUE,(Skills!K18/10)*(E1518/1000),Skills!K18/10)+Skills!N18</f>
        <v/>
      </c>
      <c r="G1518">
        <f>Calc!G18</f>
        <v/>
      </c>
      <c r="H1518">
        <f>Calc!H18</f>
        <v/>
      </c>
      <c r="I1518">
        <f>IF(Skills!T18&lt;&gt;"",1+(Skills!T18/10)*($Z$3/1000)/100,1)</f>
        <v/>
      </c>
      <c r="J1518" t="inlineStr"/>
      <c r="K1518" t="inlineStr"/>
      <c r="L1518" t="inlineStr"/>
      <c r="M1518" t="inlineStr"/>
      <c r="N1518" t="inlineStr"/>
      <c r="O1518">
        <f>(1-Summary!$B$48)*S1518+Summary!$B$48*U1518</f>
        <v/>
      </c>
      <c r="P1518">
        <f>IF(B1542=0,0,O1518/B1542)</f>
        <v/>
      </c>
      <c r="Q1518">
        <f>IFERROR(1/IF(Inputs!$B$39="pvp",15,MAX(0.1,Skills!D18-IF(Skills!E18=TRUE,3.5,0))),0)</f>
        <v/>
      </c>
      <c r="R1518" t="n">
        <v>0</v>
      </c>
      <c r="S1518" t="n">
        <v>0</v>
      </c>
      <c r="U1518" t="n">
        <v>0</v>
      </c>
    </row>
    <row r="1519">
      <c r="A1519">
        <f>Skills!A19</f>
        <v/>
      </c>
      <c r="B1519">
        <f>Skills!B19</f>
        <v/>
      </c>
      <c r="C1519">
        <f>Inputs!$B$3&gt;=110</f>
        <v/>
      </c>
      <c r="D1519">
        <f>IF(Skills!C19=1,60+Inputs!$B$26+Inputs!$B$30,IF(Skills!C19=2,90+Inputs!$B$27+Inputs!$B$30,IF(Skills!C19=3,120+Inputs!$B$28+Inputs!$B$30,MAX(0,(Inputs!$B$3-100)*3)+Inputs!$B$29+Inputs!$B$30)))</f>
        <v/>
      </c>
      <c r="E1519">
        <f>INDEX(FactorTable!$B$2:$Y$301, MATCH(ROUND(MIN(300,MAX(1,D1519)),0), FactorTable!$A$2:$A$301,0), Skills!L19+1)</f>
        <v/>
      </c>
      <c r="F1519">
        <f>(Skills!K19/10)*(E1519/1000)*64/45+Skills!N19</f>
        <v/>
      </c>
      <c r="G1519">
        <f>Calc!G19</f>
        <v/>
      </c>
      <c r="H1519">
        <f>Calc!H19</f>
        <v/>
      </c>
      <c r="I1519">
        <f>IF(Skills!T19&lt;&gt;"",1+(Skills!T19/10)*($Z$3/1000)/100,1)</f>
        <v/>
      </c>
      <c r="J1519" t="inlineStr"/>
      <c r="K1519" t="inlineStr"/>
      <c r="L1519" t="inlineStr"/>
      <c r="M1519" t="inlineStr"/>
      <c r="N1519" t="inlineStr"/>
      <c r="O1519">
        <f>(1-Summary!$B$48)*S1519+Summary!$B$48*U1519</f>
        <v/>
      </c>
      <c r="P1519">
        <f>IF(B1542=0,0,O1519/B1542)</f>
        <v/>
      </c>
      <c r="Q1519">
        <f>IFERROR(1/IF(Inputs!$B$39="pvp",15,MAX(0.1,Skills!D19-IF(Skills!E19=TRUE,3.5,0))),0)</f>
        <v/>
      </c>
      <c r="R1519">
        <f>IF(AND(Inputs!$B$39&lt;&gt;"pvp",Inputs!$B$44&gt;0),IF(Inputs!$B$44&lt;=0,0,(INT(Inputs!$B$44/IF(Inputs!$B$39="pvp",15,MAX(0.1,Skills!D19-IF(Skills!E19=TRUE,3.5,0))))+1)),0)</f>
        <v/>
      </c>
      <c r="S1519" t="n">
        <v>0</v>
      </c>
      <c r="U1519" t="n">
        <v>0</v>
      </c>
    </row>
    <row r="1520">
      <c r="A1520">
        <f>Skills!A20</f>
        <v/>
      </c>
      <c r="B1520">
        <f>Skills!B20</f>
        <v/>
      </c>
      <c r="C1520">
        <f>Inputs!$B$3&gt;=125</f>
        <v/>
      </c>
      <c r="D1520">
        <f>IF(Skills!C20=1,60+Inputs!$B$26+Inputs!$B$30,IF(Skills!C20=2,90+Inputs!$B$27+Inputs!$B$30,IF(Skills!C20=3,120+Inputs!$B$28+Inputs!$B$30,MAX(0,(Inputs!$B$3-100)*3)+Inputs!$B$29+Inputs!$B$30)))</f>
        <v/>
      </c>
      <c r="E1520">
        <f>INDEX(FactorTable!$B$2:$Y$301, MATCH(ROUND(MIN(300,MAX(1,D1520)),0), FactorTable!$A$2:$A$301,0), Skills!L20+1)</f>
        <v/>
      </c>
      <c r="F1520">
        <f>IF(Skills!M20=TRUE,(Skills!K20/10)*(E1520/1000),Skills!K20/10)+Skills!N20</f>
        <v/>
      </c>
      <c r="G1520">
        <f>Calc!G20</f>
        <v/>
      </c>
      <c r="H1520">
        <f>Calc!H20</f>
        <v/>
      </c>
      <c r="I1520">
        <f>IF(Skills!T20&lt;&gt;"",1+(Skills!T20/10)*($Z$3/1000)/100,1)</f>
        <v/>
      </c>
      <c r="J1520" t="inlineStr"/>
      <c r="K1520" t="inlineStr"/>
      <c r="L1520" t="inlineStr"/>
      <c r="M1520" t="inlineStr"/>
      <c r="N1520" t="inlineStr"/>
      <c r="O1520">
        <f>(1-Summary!$B$48)*S1520+Summary!$B$48*U1520</f>
        <v/>
      </c>
      <c r="P1520">
        <f>IF(B1542=0,0,O1520/B1542)</f>
        <v/>
      </c>
      <c r="Q1520">
        <f>IFERROR(1/IF(Inputs!$B$39="pvp",15,MAX(0.1,Skills!D20-IF(Skills!E20=TRUE,3.5,0))),0)</f>
        <v/>
      </c>
      <c r="R1520" t="n">
        <v>0</v>
      </c>
      <c r="S1520" t="n">
        <v>0</v>
      </c>
      <c r="U1520" t="n">
        <v>0</v>
      </c>
    </row>
    <row r="1521">
      <c r="A1521">
        <f>Skills!A21</f>
        <v/>
      </c>
      <c r="B1521">
        <f>Skills!B21</f>
        <v/>
      </c>
      <c r="C1521">
        <f>Inputs!$B$3&gt;=33</f>
        <v/>
      </c>
      <c r="D1521">
        <f>IF(Skills!C21=1,60+Inputs!$B$26+Inputs!$B$30,IF(Skills!C21=2,90+Inputs!$B$27+Inputs!$B$30,IF(Skills!C21=3,120+Inputs!$B$28+Inputs!$B$30,MAX(0,(Inputs!$B$3-100)*3)+Inputs!$B$29+Inputs!$B$30)))</f>
        <v/>
      </c>
      <c r="E1521">
        <f>INDEX(FactorTable!$B$2:$Y$301, MATCH(ROUND(MIN(300,MAX(1,D1521)),0), FactorTable!$A$2:$A$301,0), Skills!L21+1)</f>
        <v/>
      </c>
      <c r="F1521">
        <f>IF(Skills!M21=TRUE,(Skills!K21/10)*(E1521/1000),Skills!K21/10)+Skills!N21</f>
        <v/>
      </c>
      <c r="G1521">
        <f>Calc!G21</f>
        <v/>
      </c>
      <c r="H1521">
        <f>Calc!H21</f>
        <v/>
      </c>
      <c r="I1521">
        <f>IF(Skills!T21&lt;&gt;"",1+(Skills!T21/10)*($Z$3/1000)/100,1)</f>
        <v/>
      </c>
      <c r="J1521" t="inlineStr"/>
      <c r="K1521" t="inlineStr"/>
      <c r="L1521" t="inlineStr"/>
      <c r="M1521" t="inlineStr"/>
      <c r="N1521" t="inlineStr"/>
      <c r="O1521">
        <f>(1-Summary!$B$48)*S1521+Summary!$B$48*U1521</f>
        <v/>
      </c>
      <c r="P1521">
        <f>IF(B1542=0,0,O1521/B1542)</f>
        <v/>
      </c>
      <c r="Q1521">
        <f>IFERROR(1/IF(Inputs!$B$39="pvp",15,MAX(0.1,Skills!D21-IF(Skills!E21=TRUE,3.5,0))),0)</f>
        <v/>
      </c>
      <c r="R1521" t="n">
        <v>0</v>
      </c>
      <c r="S1521" t="n">
        <v>0</v>
      </c>
      <c r="U1521" t="n">
        <v>0</v>
      </c>
    </row>
    <row r="1522">
      <c r="A1522">
        <f>Skills!A22</f>
        <v/>
      </c>
      <c r="B1522">
        <f>Skills!B22</f>
        <v/>
      </c>
      <c r="C1522">
        <f>Inputs!$B$3&gt;=43</f>
        <v/>
      </c>
      <c r="D1522">
        <f>IF(Skills!C22=1,60+Inputs!$B$26+Inputs!$B$30,IF(Skills!C22=2,90+Inputs!$B$27+Inputs!$B$30,IF(Skills!C22=3,120+Inputs!$B$28+Inputs!$B$30,MAX(0,(Inputs!$B$3-100)*3)+Inputs!$B$29+Inputs!$B$30)))</f>
        <v/>
      </c>
      <c r="E1522">
        <f>INDEX(FactorTable!$B$2:$Y$301, MATCH(ROUND(MIN(300,MAX(1,D1522)),0), FactorTable!$A$2:$A$301,0), Skills!L22+1)</f>
        <v/>
      </c>
      <c r="F1522">
        <f>IF(Skills!M22=TRUE,(Skills!K22/10)*(E1522/1000),Skills!K22/10)+Skills!N22</f>
        <v/>
      </c>
      <c r="G1522">
        <f>Calc!G22</f>
        <v/>
      </c>
      <c r="H1522">
        <f>Calc!H22</f>
        <v/>
      </c>
      <c r="I1522">
        <f>IF(Skills!T22&lt;&gt;"",1+(Skills!T22/10)*($Z$3/1000)/100,1)</f>
        <v/>
      </c>
      <c r="J1522" t="inlineStr"/>
      <c r="K1522" t="inlineStr"/>
      <c r="L1522" t="inlineStr"/>
      <c r="M1522" t="inlineStr"/>
      <c r="N1522" t="inlineStr"/>
      <c r="O1522">
        <f>(1-Summary!$B$48)*S1522+Summary!$B$48*U1522</f>
        <v/>
      </c>
      <c r="P1522">
        <f>IF(B1542=0,0,O1522/B1542)</f>
        <v/>
      </c>
      <c r="Q1522">
        <f>IFERROR(1/IF(Inputs!$B$39="pvp",15,MAX(0.1,Skills!D22-IF(Skills!E22=TRUE,3.5,0))),0)</f>
        <v/>
      </c>
      <c r="R1522" t="n">
        <v>0</v>
      </c>
      <c r="S1522" t="n">
        <v>0</v>
      </c>
      <c r="U1522" t="n">
        <v>0</v>
      </c>
    </row>
    <row r="1523">
      <c r="A1523">
        <f>Skills!A23</f>
        <v/>
      </c>
      <c r="B1523">
        <f>Skills!B23</f>
        <v/>
      </c>
      <c r="C1523">
        <f>Inputs!$B$3&gt;=50</f>
        <v/>
      </c>
      <c r="D1523">
        <f>IF(Skills!C23=1,60+Inputs!$B$26+Inputs!$B$30,IF(Skills!C23=2,90+Inputs!$B$27+Inputs!$B$30,IF(Skills!C23=3,120+Inputs!$B$28+Inputs!$B$30,MAX(0,(Inputs!$B$3-100)*3)+Inputs!$B$29+Inputs!$B$30)))</f>
        <v/>
      </c>
      <c r="E1523">
        <f>INDEX(FactorTable!$B$2:$Y$301, MATCH(ROUND(MIN(300,MAX(1,D1523)),0), FactorTable!$A$2:$A$301,0), Skills!L23+1)</f>
        <v/>
      </c>
      <c r="F1523">
        <f>IF(Skills!M23=TRUE,(Skills!K23/10)*(E1523/1000),Skills!K23/10)+Skills!N23</f>
        <v/>
      </c>
      <c r="G1523">
        <f>Calc!G23</f>
        <v/>
      </c>
      <c r="H1523">
        <f>Calc!H23</f>
        <v/>
      </c>
      <c r="I1523">
        <f>IF(Skills!T23&lt;&gt;"",1+(Skills!T23/10)*($Z$3/1000)/100,1)</f>
        <v/>
      </c>
      <c r="J1523" t="inlineStr"/>
      <c r="K1523" t="inlineStr"/>
      <c r="L1523" t="inlineStr"/>
      <c r="M1523" t="inlineStr"/>
      <c r="N1523" t="inlineStr"/>
      <c r="O1523">
        <f>(1-Summary!$B$48)*S1523+Summary!$B$48*U1523</f>
        <v/>
      </c>
      <c r="P1523">
        <f>IF(B1542=0,0,O1523/B1542)</f>
        <v/>
      </c>
      <c r="Q1523">
        <f>IFERROR(1/IF(Inputs!$B$39="pvp",15,MAX(0.1,Skills!D23-IF(Skills!E23=TRUE,3.5,0))),0)</f>
        <v/>
      </c>
      <c r="R1523" t="n">
        <v>0</v>
      </c>
      <c r="S1523" t="n">
        <v>0</v>
      </c>
      <c r="U1523" t="n">
        <v>0</v>
      </c>
    </row>
    <row r="1524">
      <c r="A1524">
        <f>Skills!A24</f>
        <v/>
      </c>
      <c r="B1524">
        <f>Skills!B24</f>
        <v/>
      </c>
      <c r="C1524">
        <f>Inputs!$B$3&gt;=74</f>
        <v/>
      </c>
      <c r="D1524">
        <f>IF(Skills!C24=1,60+Inputs!$B$26+Inputs!$B$30,IF(Skills!C24=2,90+Inputs!$B$27+Inputs!$B$30,IF(Skills!C24=3,120+Inputs!$B$28+Inputs!$B$30,MAX(0,(Inputs!$B$3-100)*3)+Inputs!$B$29+Inputs!$B$30)))</f>
        <v/>
      </c>
      <c r="E1524">
        <f>INDEX(FactorTable!$B$2:$Y$301, MATCH(ROUND(MIN(300,MAX(1,D1524)),0), FactorTable!$A$2:$A$301,0), Skills!L24+1)</f>
        <v/>
      </c>
      <c r="F1524">
        <f>IF(Skills!M24=TRUE,(Skills!K24/10)*(E1524/1000),Skills!K24/10)+Skills!N24</f>
        <v/>
      </c>
      <c r="G1524">
        <f>Calc!G24</f>
        <v/>
      </c>
      <c r="H1524">
        <f>Calc!H24</f>
        <v/>
      </c>
      <c r="I1524">
        <f>IF(Skills!T24&lt;&gt;"",1+(Skills!T24/10)*($Z$3/1000)/100,1)</f>
        <v/>
      </c>
      <c r="J1524" t="inlineStr"/>
      <c r="K1524" t="inlineStr"/>
      <c r="L1524" t="inlineStr"/>
      <c r="M1524" t="inlineStr"/>
      <c r="N1524" t="inlineStr"/>
      <c r="O1524">
        <f>(1-Summary!$B$48)*S1524+Summary!$B$48*U1524</f>
        <v/>
      </c>
      <c r="P1524">
        <f>IF(B1542=0,0,O1524/B1542)</f>
        <v/>
      </c>
      <c r="Q1524">
        <f>IFERROR(1/IF(Inputs!$B$39="pvp",15,MAX(0.1,Skills!D24-IF(Skills!E24=TRUE,3.5,0))),0)</f>
        <v/>
      </c>
      <c r="R1524" t="n">
        <v>0</v>
      </c>
      <c r="S1524" t="n">
        <v>0</v>
      </c>
      <c r="U1524" t="n">
        <v>0</v>
      </c>
    </row>
    <row r="1525">
      <c r="A1525">
        <f>Skills!A25</f>
        <v/>
      </c>
      <c r="B1525">
        <f>Skills!B25</f>
        <v/>
      </c>
      <c r="C1525">
        <f>Inputs!$B$3&gt;=74</f>
        <v/>
      </c>
      <c r="D1525">
        <f>IF(Skills!C25=1,60+Inputs!$B$26+Inputs!$B$30,IF(Skills!C25=2,90+Inputs!$B$27+Inputs!$B$30,IF(Skills!C25=3,120+Inputs!$B$28+Inputs!$B$30,MAX(0,(Inputs!$B$3-100)*3)+Inputs!$B$29+Inputs!$B$30)))</f>
        <v/>
      </c>
      <c r="E1525">
        <f>INDEX(FactorTable!$B$2:$Y$301, MATCH(ROUND(MIN(300,MAX(1,D1525)),0), FactorTable!$A$2:$A$301,0), Skills!L25+1)</f>
        <v/>
      </c>
      <c r="F1525">
        <f>IF(Skills!M25=TRUE,(Skills!K25/10)*(E1525/1000),Skills!K25/10)+Skills!N25</f>
        <v/>
      </c>
      <c r="G1525">
        <f>Calc!G25</f>
        <v/>
      </c>
      <c r="H1525">
        <f>Calc!H25</f>
        <v/>
      </c>
      <c r="I1525">
        <f>IF(Skills!T25&lt;&gt;"",1+(Skills!T25/10)*($Z$3/1000)/100,1)</f>
        <v/>
      </c>
      <c r="J1525" t="inlineStr"/>
      <c r="K1525" t="inlineStr"/>
      <c r="L1525" t="inlineStr"/>
      <c r="M1525" t="inlineStr"/>
      <c r="N1525" t="inlineStr"/>
      <c r="O1525">
        <f>(1-Summary!$B$48)*S1525+Summary!$B$48*U1525</f>
        <v/>
      </c>
      <c r="P1525">
        <f>IF(B1542=0,0,O1525/B1542)</f>
        <v/>
      </c>
      <c r="Q1525">
        <f>IFERROR(1/IF(Inputs!$B$39="pvp",15,MAX(0.1,Skills!D25-IF(Skills!E25=TRUE,3.5,0))),0)</f>
        <v/>
      </c>
      <c r="R1525" t="n">
        <v>0</v>
      </c>
      <c r="S1525" t="n">
        <v>0</v>
      </c>
      <c r="U1525" t="n">
        <v>0</v>
      </c>
    </row>
    <row r="1526">
      <c r="A1526">
        <f>Skills!A26</f>
        <v/>
      </c>
      <c r="B1526">
        <f>Skills!B26</f>
        <v/>
      </c>
      <c r="C1526">
        <f>Inputs!$B$3&gt;=117</f>
        <v/>
      </c>
      <c r="D1526">
        <f>IF(Skills!C26=1,60+Inputs!$B$26+Inputs!$B$30,IF(Skills!C26=2,90+Inputs!$B$27+Inputs!$B$30,IF(Skills!C26=3,120+Inputs!$B$28+Inputs!$B$30,MAX(0,(Inputs!$B$3-100)*3)+Inputs!$B$29+Inputs!$B$30)))</f>
        <v/>
      </c>
      <c r="E1526">
        <f>INDEX(FactorTable!$B$2:$Y$301, MATCH(ROUND(MIN(300,MAX(1,D1526)),0), FactorTable!$A$2:$A$301,0), Skills!L26+1)</f>
        <v/>
      </c>
      <c r="F1526">
        <f>IF(Skills!M26=TRUE,(Skills!K26/10)*(E1526/1000),Skills!K26/10)+Skills!N26</f>
        <v/>
      </c>
      <c r="G1526">
        <f>Calc!G26</f>
        <v/>
      </c>
      <c r="H1526">
        <f>Calc!H26</f>
        <v/>
      </c>
      <c r="I1526">
        <f>IF(Skills!T26&lt;&gt;"",1+(Skills!T26/10)*($Z$3/1000)/100,1)</f>
        <v/>
      </c>
      <c r="J1526" t="inlineStr"/>
      <c r="K1526" t="inlineStr"/>
      <c r="L1526" t="inlineStr"/>
      <c r="M1526" t="inlineStr"/>
      <c r="N1526" t="inlineStr"/>
      <c r="O1526">
        <f>(1-Summary!$B$48)*S1526+Summary!$B$48*U1526</f>
        <v/>
      </c>
      <c r="P1526">
        <f>IF(B1542=0,0,O1526/B1542)</f>
        <v/>
      </c>
      <c r="Q1526">
        <f>IFERROR(1/IF(Inputs!$B$39="pvp",15,MAX(0.1,Skills!D26-IF(Skills!E26=TRUE,3.5,0))),0)</f>
        <v/>
      </c>
      <c r="R1526" t="n">
        <v>0</v>
      </c>
      <c r="S1526" t="n">
        <v>0</v>
      </c>
      <c r="U1526" t="n">
        <v>0</v>
      </c>
    </row>
    <row r="1527">
      <c r="A1527">
        <f>Skills!A27</f>
        <v/>
      </c>
      <c r="B1527">
        <f>Skills!B27</f>
        <v/>
      </c>
      <c r="C1527">
        <f>Inputs!$B$3&gt;=120</f>
        <v/>
      </c>
      <c r="D1527">
        <f>IF(Skills!C27=1,60+Inputs!$B$26+Inputs!$B$30,IF(Skills!C27=2,90+Inputs!$B$27+Inputs!$B$30,IF(Skills!C27=3,120+Inputs!$B$28+Inputs!$B$30,MAX(0,(Inputs!$B$3-100)*3)+Inputs!$B$29+Inputs!$B$30)))</f>
        <v/>
      </c>
      <c r="E1527">
        <f>INDEX(FactorTable!$B$2:$Y$301, MATCH(ROUND(MIN(300,MAX(1,D1527)),0), FactorTable!$A$2:$A$301,0), Skills!L27+1)</f>
        <v/>
      </c>
      <c r="F1527">
        <f>IF(Skills!M27=TRUE,(Skills!K27/10)*(E1527/1000),Skills!K27/10)+Skills!N27</f>
        <v/>
      </c>
      <c r="G1527">
        <f>Calc!G27</f>
        <v/>
      </c>
      <c r="H1527">
        <f>Calc!H27</f>
        <v/>
      </c>
      <c r="I1527">
        <f>IF(Skills!T27&lt;&gt;"",1+(Skills!T27/10)*($Z$3/1000)/100,1)</f>
        <v/>
      </c>
      <c r="J1527" t="inlineStr"/>
      <c r="K1527" t="inlineStr"/>
      <c r="L1527" t="inlineStr"/>
      <c r="M1527" t="inlineStr"/>
      <c r="N1527" t="inlineStr"/>
      <c r="O1527">
        <f>(1-Summary!$B$48)*S1527+Summary!$B$48*U1527</f>
        <v/>
      </c>
      <c r="P1527">
        <f>IF(B1542=0,0,O1527/B1542)</f>
        <v/>
      </c>
      <c r="Q1527">
        <f>IFERROR(1/IF(Inputs!$B$39="pvp",15,MAX(0.1,Skills!D27-IF(Skills!E27=TRUE,3.5,0))),0)</f>
        <v/>
      </c>
      <c r="R1527" t="n">
        <v>0</v>
      </c>
      <c r="S1527" t="n">
        <v>0</v>
      </c>
      <c r="U1527" t="n">
        <v>0</v>
      </c>
    </row>
    <row r="1529">
      <c r="A1529" t="inlineStr">
        <is>
          <t>Average Buff Multiplier</t>
        </is>
      </c>
      <c r="B1529">
        <f>(1+(IF(C1503=TRUE,F1503*IF(AND(Inputs!$B$39&lt;&gt;"pvp",Inputs!$B$44&gt;0),(((R1503-1)*(Skills!S3*(1+(Inputs!$B$35+IF(Inputs!$B$3&gt;=117,F1526,0))/100))+MIN((Skills!S3*(1+(Inputs!$B$35+IF(Inputs!$B$3&gt;=117,F1526,0))/100)),MAX(0,Inputs!$B$44-((R1503-1)*Skills!D3))))/Inputs!$B$44),IF(Inputs!$B$39="pvp",MIN((Skills!S3*(1+(Inputs!$B$35+IF(Inputs!$B$3&gt;=117,F1526,0))/100)),15)/15,(Skills!S3*(1+(Inputs!$B$35+IF(Inputs!$B$3&gt;=117,F1526,0))/100))/Skills!D3)),0)+IF(C1504=TRUE,F1504*IF(AND(Inputs!$B$39&lt;&gt;"pvp",Inputs!$B$44&gt;0),(((R1504-1)*(Skills!S4*(1+(Inputs!$B$35+IF(Inputs!$B$3&gt;=117,F1526,0))/100))+MIN((Skills!S4*(1+(Inputs!$B$35+IF(Inputs!$B$3&gt;=117,F1526,0))/100)),MAX(0,Inputs!$B$44-((R1504-1)*Skills!D4))))/Inputs!$B$44),IF(Inputs!$B$39="pvp",MIN((Skills!S4*(1+(Inputs!$B$35+IF(Inputs!$B$3&gt;=117,F1526,0))/100)),15)/15,(Skills!S4*(1+(Inputs!$B$35+IF(Inputs!$B$3&gt;=117,F1526,0))/100))/Skills!D4)),0)+IF(C1505=TRUE,F1505*IF(AND(Inputs!$B$39&lt;&gt;"pvp",Inputs!$B$44&gt;0),(((R1505-1)*(Skills!S5*(1+(Inputs!$B$35+IF(Inputs!$B$3&gt;=117,F1526,0))/100))+MIN((Skills!S5*(1+(Inputs!$B$35+IF(Inputs!$B$3&gt;=117,F1526,0))/100)),MAX(0,Inputs!$B$44-((R1505-1)*Skills!D5))))/Inputs!$B$44),IF(Inputs!$B$39="pvp",MIN((Skills!S5*(1+(Inputs!$B$35+IF(Inputs!$B$3&gt;=117,F1526,0))/100)),15)/15,(Skills!S5*(1+(Inputs!$B$35+IF(Inputs!$B$3&gt;=117,F1526,0))/100))/Skills!D5)),0)+IF(C1511=TRUE,F1511*IF(AND(Inputs!$B$39&lt;&gt;"pvp",Inputs!$B$44&gt;0),(((R1511-1)*(Skills!S11*(1+(Inputs!$B$35+IF(Inputs!$B$3&gt;=117,F1526,0))/100))+MIN((Skills!S11*(1+(Inputs!$B$35+IF(Inputs!$B$3&gt;=117,F1526,0))/100)),MAX(0,Inputs!$B$44-((R1511-1)*Skills!D11))))/Inputs!$B$44),IF(Inputs!$B$39="pvp",MIN((Skills!S11*(1+(Inputs!$B$35+IF(Inputs!$B$3&gt;=117,F1526,0))/100)),15)/15,(Skills!S11*(1+(Inputs!$B$35+IF(Inputs!$B$3&gt;=117,F1526,0))/100))/Skills!D11)),0))/100)*IF(C1514=TRUE,(1+F1514*IF(AND(Inputs!$B$39&lt;&gt;"pvp",Inputs!$B$44&gt;0),(((R1514-1)*(Skills!S14*(1+(Inputs!$B$35+IF(Inputs!$B$3&gt;=117,F1526,0))/100))+MIN((Skills!S14*(1+(Inputs!$B$35+IF(Inputs!$B$3&gt;=117,F1526,0))/100)),MAX(0,Inputs!$B$44-((R1514-1)*Skills!D14))))/Inputs!$B$44),IF(Inputs!$B$39="pvp",MIN((Skills!S14*(1+(Inputs!$B$35+IF(Inputs!$B$3&gt;=117,F1526,0))/100)),15)/15,(Skills!S14*(1+(Inputs!$B$35+IF(Inputs!$B$3&gt;=117,F1526,0))/100))/Skills!D14))/100),1)*IF(C1519=TRUE,(1+F1519*IF(AND(Inputs!$B$39&lt;&gt;"pvp",Inputs!$B$44&gt;0),(((R1519-1)*(Skills!S19*(1+(Inputs!$B$35+IF(Inputs!$B$3&gt;=117,F1526,0))/100))+MIN((Skills!S19*(1+(Inputs!$B$35+IF(Inputs!$B$3&gt;=117,F1526,0))/100)),MAX(0,Inputs!$B$44-((R1519-1)*Skills!D19))))/Inputs!$B$44),IF(Inputs!$B$39="pvp",MIN((Skills!S19*(1+(Inputs!$B$35+IF(Inputs!$B$3&gt;=117,F1526,0))/100)),15)/15,(Skills!S19*(1+(Inputs!$B$35+IF(Inputs!$B$3&gt;=117,F1526,0))/100))/Skills!D19))/100),1)</f>
        <v/>
      </c>
    </row>
    <row r="1530">
      <c r="A1530" t="inlineStr">
        <is>
          <t>Monster Damage Taken Bonus % (Holy Fountain)</t>
        </is>
      </c>
      <c r="B1530">
        <f>IF(Inputs!$B$3&gt;=68,20*IF(Inputs!$B$39="pvp",MIN((15*(1+(Inputs!$B$35+IF(Inputs!$B$3&gt;=117,F1526,0))/100)),15)/15,(15*(1+(Inputs!$B$35+IF(Inputs!$B$3&gt;=117,F1526,0))/100))/Skills!D10),0)</f>
        <v/>
      </c>
    </row>
    <row r="1531">
      <c r="A1531" t="inlineStr">
        <is>
          <t>Normal Monster Damage Bonus % (Holy Symbol)</t>
        </is>
      </c>
      <c r="B1531">
        <f>IF(C1512=TRUE,F1512*IF(AND(Inputs!$B$39&lt;&gt;"pvp",Inputs!$B$44&gt;0),(((R1512-1)*(Skills!S12*(1+(Inputs!$B$35+IF(Inputs!$B$3&gt;=117,F1526,0))/100))+MIN((Skills!S12*(1+(Inputs!$B$35+IF(Inputs!$B$3&gt;=117,F1526,0))/100)),MAX(0,Inputs!$B$44-((R1512-1)*Skills!D12))))/Inputs!$B$44),IF(Inputs!$B$39="pvp",MIN((Skills!S12*(1+(Inputs!$B$35+IF(Inputs!$B$3&gt;=117,F1526,0))/100)),15)/15,(Skills!S12*(1+(Inputs!$B$35+IF(Inputs!$B$3&gt;=117,F1526,0))/100))/Skills!D12)),0)</f>
        <v/>
      </c>
    </row>
    <row r="1532">
      <c r="A1532" t="inlineStr">
        <is>
          <t>Damage % Bonus (Holy Symbol - Damage Boost)</t>
        </is>
      </c>
      <c r="B1532">
        <f>Skills!O12</f>
        <v/>
      </c>
    </row>
    <row r="1533">
      <c r="A1533" t="inlineStr">
        <is>
          <t>Crit Damage % Bonus (Blood of the Divine)</t>
        </is>
      </c>
      <c r="B1533">
        <f>4*IF(C1520=TRUE,F1520,0)</f>
        <v/>
      </c>
    </row>
    <row r="1534">
      <c r="A1534" t="inlineStr">
        <is>
          <t>Attack Speed Bonus %</t>
        </is>
      </c>
      <c r="B1534">
        <f>IF(C1517=TRUE,F1517+(F1521-Calc!F21),0)+IF(Inputs!$B$3&gt;=134,15,0)</f>
        <v/>
      </c>
    </row>
    <row r="1535">
      <c r="A1535" t="inlineStr">
        <is>
          <t>Actions Per Second</t>
        </is>
      </c>
      <c r="B1535">
        <f>1+MIN(150,150*(1-(1-Inputs!$B$12/150)*(1-B1534/150)))/100</f>
        <v/>
      </c>
    </row>
    <row r="1536">
      <c r="A1536" t="inlineStr">
        <is>
          <t>Skill + Buff Cast Rate</t>
        </is>
      </c>
      <c r="B1536">
        <f>IF(AND(Inputs!$B$39&lt;&gt;"pvp",Inputs!$B$44&gt;0),SUMPRODUCT((Skills!E2:E27=TRUE)*(C1502:C1527=TRUE)*R1502:R1527)/Inputs!$B$44,SUMPRODUCT((Skills!E2:E27=TRUE)*(C1502:C1527=TRUE)*Q1502:Q1527))</f>
        <v/>
      </c>
    </row>
    <row r="1537">
      <c r="A1537" t="inlineStr">
        <is>
          <t>Big Bang Casts Per Second</t>
        </is>
      </c>
      <c r="B1537">
        <f>MAX(0,B1535-B1536)</f>
        <v/>
      </c>
    </row>
    <row r="1538">
      <c r="A1538" t="inlineStr">
        <is>
          <t>Defense % Bonus (Divine Protection)</t>
        </is>
      </c>
      <c r="B1538">
        <f>IF(C1513=TRUE,F1513*IF(AND(Inputs!$B$39&lt;&gt;"pvp",Inputs!$B$44&gt;0),(((R1513-1)*(Skills!S13*(1+(Inputs!$B$35+IF(Inputs!$B$3&gt;=117,F1526,0))/100))+MIN((Skills!S13*(1+(Inputs!$B$35+IF(Inputs!$B$3&gt;=117,F1526,0))/100)),MAX(0,Inputs!$B$44-((R1513-1)*Skills!D13))))/Inputs!$B$44),IF(Inputs!$B$39="pvp",MIN((Skills!S13*(1+(Inputs!$B$35+IF(Inputs!$B$3&gt;=117,F1526,0))/100)),15)/15,(Skills!S13*(1+(Inputs!$B$35+IF(Inputs!$B$3&gt;=117,F1526,0))/100))/Skills!D13)),0)</f>
        <v/>
      </c>
    </row>
    <row r="1539">
      <c r="A1539" t="inlineStr">
        <is>
          <t>Buff-Casting Startup Delay (s, fixed-duration only)</t>
        </is>
      </c>
      <c r="B1539">
        <f>IF(AND(Inputs!$B$39&lt;&gt;"pvp",Inputs!$B$44&gt;0),SUMPRODUCT((Skills!S2:S27&gt;0)*(Skills!E2:E27=TRUE)*(C1502:C1527=TRUE))/B1535,0)</f>
        <v/>
      </c>
    </row>
    <row r="1540">
      <c r="A1540" t="inlineStr">
        <is>
          <t>Boss-Only Total DPS (this block's swept value)</t>
        </is>
      </c>
      <c r="B1540">
        <f>SUM(S1502:S1527)</f>
        <v/>
      </c>
    </row>
    <row r="1541">
      <c r="A1541" t="inlineStr">
        <is>
          <t>Normal-Only Total DPS (this block's swept value)</t>
        </is>
      </c>
      <c r="B1541">
        <f>SUM(U1502:U1527)</f>
        <v/>
      </c>
    </row>
    <row r="1542">
      <c r="A1542" s="5" t="inlineStr">
        <is>
          <t>TOTAL DPS</t>
        </is>
      </c>
      <c r="B1542" s="5">
        <f>SUM(O1502:O1527)</f>
        <v/>
      </c>
    </row>
    <row r="1544">
      <c r="A1544" s="5" t="inlineStr">
        <is>
          <t>Stat: CDR = 4.0s</t>
        </is>
      </c>
    </row>
    <row r="1545">
      <c r="A1545" s="9" t="inlineStr">
        <is>
          <t>Key</t>
        </is>
      </c>
      <c r="B1545" s="9" t="inlineStr">
        <is>
          <t>Name</t>
        </is>
      </c>
      <c r="C1545" s="9" t="inlineStr">
        <is>
          <t>Unlocked</t>
        </is>
      </c>
      <c r="D1545" s="9" t="inlineStr">
        <is>
          <t>InputLevel</t>
        </is>
      </c>
      <c r="E1545" s="9" t="inlineStr">
        <is>
          <t>Factor</t>
        </is>
      </c>
      <c r="F1545" s="9" t="inlineStr">
        <is>
          <t>CoefficientPercent</t>
        </is>
      </c>
      <c r="G1545" s="9" t="inlineStr">
        <is>
          <t>EffectiveHits</t>
        </is>
      </c>
      <c r="H1545" s="9" t="inlineStr">
        <is>
          <t>ProcProbability</t>
        </is>
      </c>
      <c r="I1545" s="9" t="inlineStr">
        <is>
          <t>MapleHeroMultiplier</t>
        </is>
      </c>
      <c r="J1545" s="9" t="inlineStr">
        <is>
          <t>BaseDamage</t>
        </is>
      </c>
      <c r="K1545" s="9" t="inlineStr">
        <is>
          <t>BaseHitDamage</t>
        </is>
      </c>
      <c r="L1545" s="9" t="inlineStr">
        <is>
          <t>NonCritAvg</t>
        </is>
      </c>
      <c r="M1545" s="9" t="inlineStr">
        <is>
          <t>CritAvg</t>
        </is>
      </c>
      <c r="N1545" s="9" t="inlineStr">
        <is>
          <t>ExpectedDamage(perHit)</t>
        </is>
      </c>
      <c r="O1545" s="9" t="inlineStr">
        <is>
          <t>DPS</t>
        </is>
      </c>
      <c r="P1545" s="9" t="inlineStr">
        <is>
          <t>% of Total</t>
        </is>
      </c>
      <c r="R1545" t="inlineStr">
        <is>
          <t>helpers</t>
        </is>
      </c>
    </row>
    <row r="1546">
      <c r="A1546">
        <f>Skills!A2</f>
        <v/>
      </c>
      <c r="B1546">
        <f>Skills!B2</f>
        <v/>
      </c>
      <c r="C1546">
        <f>Inputs!$B$3&gt;=100</f>
        <v/>
      </c>
      <c r="D1546" t="inlineStr"/>
      <c r="E1546" t="inlineStr"/>
      <c r="F1546">
        <f>T1548+Skills!N2</f>
        <v/>
      </c>
      <c r="G1546">
        <f>Calc!G2</f>
        <v/>
      </c>
      <c r="H1546">
        <f>Calc!H2</f>
        <v/>
      </c>
      <c r="I1546">
        <f>IF(Skills!T2&lt;&gt;"",1+(Skills!T2/10)*($Z$3/1000)/100,1)</f>
        <v/>
      </c>
      <c r="J1546">
        <f>((Inputs!$B$6*(1+Inputs!$B$7/100))+(((Inputs!$B$13*(1+Inputs!$B$14/100))-(Inputs!$B$13*(1+Inputs!$B$14/100)))+0.25*(Inputs!$B$15-Inputs!$B$15))*(1+Inputs!$B$7/100))*(F1546/100)</f>
        <v/>
      </c>
      <c r="K1546">
        <f>J1546*(1+(((Inputs!$B$13+IF(Inputs!$B$3&gt;=35,(10*INDEX(FactorTable!$B$2:$Y$301, MATCH(ROUND(MIN(300,MAX(1,Inputs!$B$3)),0), FactorTable!$A$2:$A$301,0), 23)/1000)/100*(Inputs!$B$8*(1+(Inputs!$B$9+B1582)/100)),0))*(1+Inputs!$B$14/100))*0.01+Inputs!$B$15*0.0025)/100)*(1+(Inputs!$B$16+B1576)/100)*(1+Inputs!$B$17/100)*(5000/(6000+Inputs!$B$43*(1-Inputs!$B$20/100)))*(1+Inputs!$B$25/100)*(1+IF(C1562=TRUE,F1562,0)/100)*(1+IF(C1564=TRUE,F1564,0)/100)*(1+IF(Skills!A2="TRIUMPH_FEATHER",IF(C1560=TRUE,F1560,0),0)/100)*(1+IF(C1571=TRUE,F1571,0)/100)^5*(1+(IF(Skills!A2="BIG_BANG",Inputs!$B$18,Inputs!$B$19))/100)*(B1573*I1546)</f>
        <v/>
      </c>
      <c r="L1546">
        <f>K1546*(MIN(Inputs!$B$23+(F1566-Calc!F22),Inputs!$B$24)/100+Inputs!$B$24/100)/2</f>
        <v/>
      </c>
      <c r="M1546">
        <f>L1546*(1+(Inputs!$B$11+B1577+(F1569-Calc!F25))/100)</f>
        <v/>
      </c>
      <c r="N1546">
        <f>L1546*(1-MIN(Inputs!$B$10+((F1568-Calc!F24)+(F1567-Calc!F23)),100)/100)+M1546*(MIN(Inputs!$B$10+((F1568-Calc!F24)+(F1567-Calc!F23)),100)/100)</f>
        <v/>
      </c>
      <c r="O1546">
        <f>(1-Summary!$B$48)*S1546+Summary!$B$48*U1546</f>
        <v/>
      </c>
      <c r="P1546">
        <f>IF(B1586=0,0,O1546/B1586)</f>
        <v/>
      </c>
      <c r="Q1546">
        <f>IFERROR(1/IF(Inputs!$B$39="pvp",15,MAX(0.1,Skills!D2-IF(Skills!E2=TRUE,4.0,0))),0)</f>
        <v/>
      </c>
      <c r="R1546" t="n">
        <v>0</v>
      </c>
      <c r="S1546">
        <f>IF(C1546,(Skills!F2*N1546*B1581)*IF(Inputs!$B$39="pvp",1,1+(Inputs!$B$21+Skills!O2+B1574)/100),0)</f>
        <v/>
      </c>
      <c r="T1546">
        <f>MAX(0,(Inputs!$B$3-100)*3)+Inputs!$B$29+Inputs!$B$30</f>
        <v/>
      </c>
      <c r="U1546">
        <f>IF(C1546,(Skills!F2*N1546*B1581)*IF(Inputs!$B$39="pvp",1,(1+(Inputs!$B$22+Skills!P2+B1575)/100)*(MIN((6+Inputs!$B$34),Inputs!$B$38))),0)</f>
        <v/>
      </c>
    </row>
    <row r="1547">
      <c r="A1547">
        <f>Skills!A3</f>
        <v/>
      </c>
      <c r="B1547">
        <f>Skills!B3</f>
        <v/>
      </c>
      <c r="C1547">
        <f>Inputs!$B$3&gt;=15</f>
        <v/>
      </c>
      <c r="D1547">
        <f>IF(Skills!C3=1,60+Inputs!$B$26+Inputs!$B$30,IF(Skills!C3=2,90+Inputs!$B$27+Inputs!$B$30,IF(Skills!C3=3,120+Inputs!$B$28+Inputs!$B$30,MAX(0,(Inputs!$B$3-100)*3)+Inputs!$B$29+Inputs!$B$30)))</f>
        <v/>
      </c>
      <c r="E1547">
        <f>INDEX(FactorTable!$B$2:$Y$301, MATCH(ROUND(MIN(300,MAX(1,D1547)),0), FactorTable!$A$2:$A$301,0), Skills!L3+1)</f>
        <v/>
      </c>
      <c r="F1547">
        <f>IF(Skills!M3=TRUE,(Skills!K3/10)*(E1547/1000),Skills!K3/10)+Skills!N3</f>
        <v/>
      </c>
      <c r="G1547">
        <f>Calc!G3</f>
        <v/>
      </c>
      <c r="H1547">
        <f>Calc!H3</f>
        <v/>
      </c>
      <c r="I1547">
        <f>IF(Skills!T3&lt;&gt;"",1+(Skills!T3/10)*($Z$3/1000)/100,1)</f>
        <v/>
      </c>
      <c r="J1547" t="inlineStr"/>
      <c r="K1547" t="inlineStr"/>
      <c r="L1547" t="inlineStr"/>
      <c r="M1547" t="inlineStr"/>
      <c r="N1547" t="inlineStr"/>
      <c r="O1547">
        <f>(1-Summary!$B$48)*S1547+Summary!$B$48*U1547</f>
        <v/>
      </c>
      <c r="P1547">
        <f>IF(B1586=0,0,O1547/B1586)</f>
        <v/>
      </c>
      <c r="Q1547">
        <f>IFERROR(1/IF(Inputs!$B$39="pvp",15,MAX(0.1,Skills!D3-IF(Skills!E3=TRUE,4.0,0))),0)</f>
        <v/>
      </c>
      <c r="R1547">
        <f>IF(AND(Inputs!$B$39&lt;&gt;"pvp",Inputs!$B$44&gt;0),IF(Inputs!$B$44&lt;=0,0,(INT(Inputs!$B$44/IF(Inputs!$B$39="pvp",15,MAX(0.1,Skills!D3-IF(Skills!E3=TRUE,4.0,0))))+1)),0)</f>
        <v/>
      </c>
      <c r="S1547" t="n">
        <v>0</v>
      </c>
      <c r="T1547">
        <f>INDEX(FactorTable!$B$2:$Y$301, MATCH(ROUND(MIN(300,MAX(1,T1546)),0), FactorTable!$A$2:$A$301,0), 22)</f>
        <v/>
      </c>
      <c r="U1547" t="n">
        <v>0</v>
      </c>
    </row>
    <row r="1548">
      <c r="A1548">
        <f>Skills!A4</f>
        <v/>
      </c>
      <c r="B1548">
        <f>Skills!B4</f>
        <v/>
      </c>
      <c r="C1548">
        <f>Inputs!$B$3&gt;=38</f>
        <v/>
      </c>
      <c r="D1548">
        <f>IF(Skills!C4=1,60+Inputs!$B$26+Inputs!$B$30,IF(Skills!C4=2,90+Inputs!$B$27+Inputs!$B$30,IF(Skills!C4=3,120+Inputs!$B$28+Inputs!$B$30,MAX(0,(Inputs!$B$3-100)*3)+Inputs!$B$29+Inputs!$B$30)))</f>
        <v/>
      </c>
      <c r="E1548">
        <f>INDEX(FactorTable!$B$2:$Y$301, MATCH(ROUND(MIN(300,MAX(1,D1548)),0), FactorTable!$A$2:$A$301,0), Skills!L4+1)</f>
        <v/>
      </c>
      <c r="F1548">
        <f>IF(Skills!M4=TRUE,(Skills!K4/10)*(E1548/1000),Skills!K4/10)+Skills!N4</f>
        <v/>
      </c>
      <c r="G1548">
        <f>Calc!G4</f>
        <v/>
      </c>
      <c r="H1548">
        <f>Calc!H4</f>
        <v/>
      </c>
      <c r="I1548">
        <f>IF(Skills!T4&lt;&gt;"",1+(Skills!T4/10)*($Z$3/1000)/100,1)</f>
        <v/>
      </c>
      <c r="J1548" t="inlineStr"/>
      <c r="K1548" t="inlineStr"/>
      <c r="L1548" t="inlineStr"/>
      <c r="M1548" t="inlineStr"/>
      <c r="N1548" t="inlineStr"/>
      <c r="O1548">
        <f>(1-Summary!$B$48)*S1548+Summary!$B$48*U1548</f>
        <v/>
      </c>
      <c r="P1548">
        <f>IF(B1586=0,0,O1548/B1586)</f>
        <v/>
      </c>
      <c r="Q1548">
        <f>IFERROR(1/IF(Inputs!$B$39="pvp",15,MAX(0.1,Skills!D4-IF(Skills!E4=TRUE,4.0,0))),0)</f>
        <v/>
      </c>
      <c r="R1548">
        <f>IF(AND(Inputs!$B$39&lt;&gt;"pvp",Inputs!$B$44&gt;0),IF(Inputs!$B$44&lt;=0,0,(INT(Inputs!$B$44/IF(Inputs!$B$39="pvp",15,MAX(0.1,Skills!D4-IF(Skills!E4=TRUE,4.0,0))))+1)),0)</f>
        <v/>
      </c>
      <c r="S1548" t="n">
        <v>0</v>
      </c>
      <c r="T1548">
        <f>290*T1547/1000</f>
        <v/>
      </c>
      <c r="U1548" t="n">
        <v>0</v>
      </c>
    </row>
    <row r="1549">
      <c r="A1549">
        <f>Skills!A5</f>
        <v/>
      </c>
      <c r="B1549">
        <f>Skills!B5</f>
        <v/>
      </c>
      <c r="C1549">
        <f>Inputs!$B$3&gt;=40</f>
        <v/>
      </c>
      <c r="D1549">
        <f>IF(Skills!C5=1,60+Inputs!$B$26+Inputs!$B$30,IF(Skills!C5=2,90+Inputs!$B$27+Inputs!$B$30,IF(Skills!C5=3,120+Inputs!$B$28+Inputs!$B$30,MAX(0,(Inputs!$B$3-100)*3)+Inputs!$B$29+Inputs!$B$30)))</f>
        <v/>
      </c>
      <c r="E1549">
        <f>INDEX(FactorTable!$B$2:$Y$301, MATCH(ROUND(MIN(300,MAX(1,D1549)),0), FactorTable!$A$2:$A$301,0), Skills!L5+1)</f>
        <v/>
      </c>
      <c r="F1549">
        <f>IF(Skills!M5=TRUE,(Skills!K5/10)*(E1549/1000),Skills!K5/10)+Skills!N5</f>
        <v/>
      </c>
      <c r="G1549">
        <f>Calc!G5</f>
        <v/>
      </c>
      <c r="H1549">
        <f>Calc!H5</f>
        <v/>
      </c>
      <c r="I1549">
        <f>IF(Skills!T5&lt;&gt;"",1+(Skills!T5/10)*($Z$3/1000)/100,1)</f>
        <v/>
      </c>
      <c r="J1549" t="inlineStr"/>
      <c r="K1549" t="inlineStr"/>
      <c r="L1549" t="inlineStr"/>
      <c r="M1549" t="inlineStr"/>
      <c r="N1549" t="inlineStr"/>
      <c r="O1549">
        <f>(1-Summary!$B$48)*S1549+Summary!$B$48*U1549</f>
        <v/>
      </c>
      <c r="P1549">
        <f>IF(B1586=0,0,O1549/B1586)</f>
        <v/>
      </c>
      <c r="Q1549">
        <f>IFERROR(1/IF(Inputs!$B$39="pvp",15,MAX(0.1,Skills!D5-IF(Skills!E5=TRUE,4.0,0))),0)</f>
        <v/>
      </c>
      <c r="R1549">
        <f>IF(AND(Inputs!$B$39&lt;&gt;"pvp",Inputs!$B$44&gt;0),IF(Inputs!$B$44&lt;=0,0,(INT(Inputs!$B$44/IF(Inputs!$B$39="pvp",15,MAX(0.1,Skills!D5-IF(Skills!E5=TRUE,4.0,0))))+1)),0)</f>
        <v/>
      </c>
      <c r="S1549" t="n">
        <v>0</v>
      </c>
      <c r="U1549" t="n">
        <v>0</v>
      </c>
    </row>
    <row r="1550">
      <c r="A1550">
        <f>Skills!A6</f>
        <v/>
      </c>
      <c r="B1550">
        <f>Skills!B6</f>
        <v/>
      </c>
      <c r="C1550">
        <f>Inputs!$B$3&gt;=103</f>
        <v/>
      </c>
      <c r="D1550">
        <f>IF(Skills!C6=1,60+Inputs!$B$26+Inputs!$B$30,IF(Skills!C6=2,90+Inputs!$B$27+Inputs!$B$30,IF(Skills!C6=3,120+Inputs!$B$28+Inputs!$B$30,MAX(0,(Inputs!$B$3-100)*3)+Inputs!$B$29+Inputs!$B$30)))</f>
        <v/>
      </c>
      <c r="E1550">
        <f>INDEX(FactorTable!$B$2:$Y$301, MATCH(ROUND(MIN(300,MAX(1,D1550)),0), FactorTable!$A$2:$A$301,0), Skills!L6+1)</f>
        <v/>
      </c>
      <c r="F1550">
        <f>IF(Skills!M6=TRUE,(Skills!K6/10)*(E1550/1000),Skills!K6/10)+Skills!N6</f>
        <v/>
      </c>
      <c r="G1550">
        <f>Calc!G6</f>
        <v/>
      </c>
      <c r="H1550">
        <f>Calc!H6</f>
        <v/>
      </c>
      <c r="I1550">
        <f>IF(Skills!T6&lt;&gt;"",1+(Skills!T6/10)*($Z$3/1000)/100,1)</f>
        <v/>
      </c>
      <c r="J1550">
        <f>((Inputs!$B$6*(1+Inputs!$B$7/100))+(((Inputs!$B$13*(1+Inputs!$B$14/100))-(Inputs!$B$13*(1+Inputs!$B$14/100)))+0.25*(Inputs!$B$15-Inputs!$B$15))*(1+Inputs!$B$7/100))*(F1550/100)</f>
        <v/>
      </c>
      <c r="K1550">
        <f>J1550*(1+(((Inputs!$B$13+IF(Inputs!$B$3&gt;=35,(10*INDEX(FactorTable!$B$2:$Y$301, MATCH(ROUND(MIN(300,MAX(1,Inputs!$B$3)),0), FactorTable!$A$2:$A$301,0), 23)/1000)/100*(Inputs!$B$8*(1+(Inputs!$B$9+B1582)/100)),0))*(1+Inputs!$B$14/100))*0.01+Inputs!$B$15*0.0025)/100)*(1+(Inputs!$B$16+B1576)/100)*(1+Inputs!$B$17/100)*(5000/(6000+Inputs!$B$43*(1-Inputs!$B$20/100)))*(1+Inputs!$B$25/100)*(1+IF(C1562=TRUE,F1562,0)/100)*(1+IF(C1564=TRUE,F1564,0)/100)*(1+IF(Skills!A6="TRIUMPH_FEATHER",IF(C1560=TRUE,F1560,0),0)/100)*(1+IF(C1571=TRUE,F1571,0)/100)^5*(1+(IF(Skills!A6="BIG_BANG",Inputs!$B$18,Inputs!$B$19))/100)*(B1573*I1550)</f>
        <v/>
      </c>
      <c r="L1550">
        <f>K1550*(MIN(Inputs!$B$23+(F1566-Calc!F22),Inputs!$B$24)/100+Inputs!$B$24/100)/2</f>
        <v/>
      </c>
      <c r="M1550">
        <f>L1550*(1+(Inputs!$B$11+B1577+(F1569-Calc!F25))/100)</f>
        <v/>
      </c>
      <c r="N1550">
        <f>L1550*(1-MIN(Inputs!$B$10+((F1568-Calc!F24)+(F1567-Calc!F23)),100)/100)+M1550*(MIN(Inputs!$B$10+((F1568-Calc!F24)+(F1567-Calc!F23)),100)/100)</f>
        <v/>
      </c>
      <c r="O1550">
        <f>(1-Summary!$B$48)*S1550+Summary!$B$48*U1550</f>
        <v/>
      </c>
      <c r="P1550">
        <f>IF(B1586=0,0,O1550/B1586)</f>
        <v/>
      </c>
      <c r="Q1550">
        <f>IFERROR(1/IF(Inputs!$B$39="pvp",15,MAX(0.1,Skills!D6-IF(Skills!E6=TRUE,4.0,0))),0)</f>
        <v/>
      </c>
      <c r="R1550">
        <f>IF(AND(Inputs!$B$39&lt;&gt;"pvp",Inputs!$B$44&gt;0),IF(MAX(0,Inputs!$B$44-B1583)&lt;=0,0,(INT(MAX(0,Inputs!$B$44-B1583)/IF(Inputs!$B$39="pvp",15,MAX(0.1,Skills!D6-IF(Skills!E6=TRUE,4.0,0))))+1)),0)</f>
        <v/>
      </c>
      <c r="S1550">
        <f>IF(C1550,(H1550*N1550*IF(AND(Inputs!$B$39&lt;&gt;"pvp",Inputs!$B$44&gt;0),((Skills!F6*((R1550-1)*IF(Skills!G6&gt;0,Skills!H6/Skills!G6,1)+IF(Skills!G6&gt;0,MIN(Skills!H6,MAX(0,MAX(0,Inputs!$B$44-B1583)-((R1550-1)*IF(Inputs!$B$39="pvp",15,MAX(0.1,Skills!D6-IF(Skills!E6=TRUE,4.0,0))))))/Skills!G6,1)))/Inputs!$B$44),G1550*Q1550))*IF(Inputs!$B$39="pvp",1,1+(Inputs!$B$21+Skills!O6+B1574)/100),0)</f>
        <v/>
      </c>
      <c r="U1550">
        <f>IF(C1550,(H1550*N1550*IF(AND(Inputs!$B$39&lt;&gt;"pvp",Inputs!$B$44&gt;0),((Skills!F6*((R1550-1)*IF(Skills!G6&gt;0,Skills!H6/Skills!G6,1)+IF(Skills!G6&gt;0,MIN(Skills!H6,MAX(0,MAX(0,Inputs!$B$44-B1583)-((R1550-1)*IF(Inputs!$B$39="pvp",15,MAX(0.1,Skills!D6-IF(Skills!E6=TRUE,4.0,0))))))/Skills!G6,1)))/Inputs!$B$44),G1550*Q1550))*IF(Inputs!$B$39="pvp",1,(1+(Inputs!$B$22+Skills!P6+B1575)/100)*(MIN(Skills!Q6,Inputs!$B$38))),0)</f>
        <v/>
      </c>
    </row>
    <row r="1551">
      <c r="A1551">
        <f>Skills!A7</f>
        <v/>
      </c>
      <c r="B1551">
        <f>Skills!B7</f>
        <v/>
      </c>
      <c r="C1551">
        <f>Inputs!$B$3&gt;=122</f>
        <v/>
      </c>
      <c r="D1551">
        <f>IF(Skills!C7=1,60+Inputs!$B$26+Inputs!$B$30,IF(Skills!C7=2,90+Inputs!$B$27+Inputs!$B$30,IF(Skills!C7=3,120+Inputs!$B$28+Inputs!$B$30,MAX(0,(Inputs!$B$3-100)*3)+Inputs!$B$29+Inputs!$B$30)))</f>
        <v/>
      </c>
      <c r="E1551">
        <f>INDEX(FactorTable!$B$2:$Y$301, MATCH(ROUND(MIN(300,MAX(1,D1551)),0), FactorTable!$A$2:$A$301,0), Skills!L7+1)</f>
        <v/>
      </c>
      <c r="F1551">
        <f>IF(Skills!M7=TRUE,(Skills!K7/10)*(E1551/1000),Skills!K7/10)+Skills!N7</f>
        <v/>
      </c>
      <c r="G1551">
        <f>Calc!G7</f>
        <v/>
      </c>
      <c r="H1551">
        <f>Calc!H7</f>
        <v/>
      </c>
      <c r="I1551">
        <f>IF(Skills!T7&lt;&gt;"",1+(Skills!T7/10)*($Z$3/1000)/100,1)</f>
        <v/>
      </c>
      <c r="J1551">
        <f>((Inputs!$B$6*(1+Inputs!$B$7/100))+(((Inputs!$B$13*(1+Inputs!$B$14/100))-(Inputs!$B$13*(1+Inputs!$B$14/100)))+0.25*(Inputs!$B$15-Inputs!$B$15))*(1+Inputs!$B$7/100))*(F1551/100)</f>
        <v/>
      </c>
      <c r="K1551">
        <f>J1551*(1+(((Inputs!$B$13+IF(Inputs!$B$3&gt;=35,(10*INDEX(FactorTable!$B$2:$Y$301, MATCH(ROUND(MIN(300,MAX(1,Inputs!$B$3)),0), FactorTable!$A$2:$A$301,0), 23)/1000)/100*(Inputs!$B$8*(1+(Inputs!$B$9+B1582)/100)),0))*(1+Inputs!$B$14/100))*0.01+Inputs!$B$15*0.0025)/100)*(1+(Inputs!$B$16+B1576)/100)*(1+Inputs!$B$17/100)*(5000/(6000+Inputs!$B$43*(1-Inputs!$B$20/100)))*(1+Inputs!$B$25/100)*(1+IF(C1562=TRUE,F1562,0)/100)*(1+IF(C1564=TRUE,F1564,0)/100)*(1+IF(Skills!A7="TRIUMPH_FEATHER",IF(C1560=TRUE,F1560,0),0)/100)*(1+IF(C1571=TRUE,F1571,0)/100)^5*(1+(IF(Skills!A7="BIG_BANG",Inputs!$B$18,Inputs!$B$19))/100)*(B1573*I1551)</f>
        <v/>
      </c>
      <c r="L1551">
        <f>K1551*(MIN(Inputs!$B$23+(F1566-Calc!F22),Inputs!$B$24)/100+Inputs!$B$24/100)/2</f>
        <v/>
      </c>
      <c r="M1551">
        <f>L1551*(1+(Inputs!$B$11+B1577+(F1569-Calc!F25))/100)</f>
        <v/>
      </c>
      <c r="N1551">
        <f>L1551*(1-MIN(Inputs!$B$10+((F1568-Calc!F24)+(F1567-Calc!F23)),100)/100)+M1551*(MIN(Inputs!$B$10+((F1568-Calc!F24)+(F1567-Calc!F23)),100)/100)</f>
        <v/>
      </c>
      <c r="O1551">
        <f>(1-Summary!$B$48)*S1551+Summary!$B$48*U1551</f>
        <v/>
      </c>
      <c r="P1551">
        <f>IF(B1586=0,0,O1551/B1586)</f>
        <v/>
      </c>
      <c r="Q1551">
        <f>IFERROR(1/IF(Inputs!$B$39="pvp",15,MAX(0.1,Skills!D7-IF(Skills!E6=TRUE,4.0,0))),0)</f>
        <v/>
      </c>
      <c r="R1551">
        <f>IF(AND(Inputs!$B$39&lt;&gt;"pvp",Inputs!$B$44&gt;0),IF(MAX(0,Inputs!$B$44-B1583)&lt;=0,0,(INT(MAX(0,Inputs!$B$44-B1583)/IF(Inputs!$B$39="pvp",15,MAX(0.1,Skills!D7-IF(Skills!E6=TRUE,4.0,0))))+1)),0)</f>
        <v/>
      </c>
      <c r="S1551">
        <f>IF(C1551,H1551*N1551*IF(AND(Inputs!$B$39&lt;&gt;"pvp",Inputs!$B$44&gt;0),((Skills!F7*((R1551-1)*IF(Skills!G7&gt;0,Skills!H7/Skills!G7,1)+IF(Skills!G7&gt;0,MIN(Skills!H7,MAX(0,MAX(0,Inputs!$B$44-B1583)-((R1551-1)*IF(Inputs!$B$39="pvp",15,MAX(0.1,Skills!D7-IF(Skills!E6=TRUE,4.0,0))))))/Skills!G7,1)))/Inputs!$B$44),G1551*Q1551)*IF(Inputs!$B$39="pvp",1,1+(Inputs!$B$21+Skills!O7+B1574)/100),0)</f>
        <v/>
      </c>
      <c r="U1551" t="n">
        <v>0</v>
      </c>
    </row>
    <row r="1552">
      <c r="A1552">
        <f>Skills!A8</f>
        <v/>
      </c>
      <c r="B1552">
        <f>Skills!B8</f>
        <v/>
      </c>
      <c r="C1552">
        <f>Inputs!$B$3&gt;=105</f>
        <v/>
      </c>
      <c r="D1552">
        <f>IF(Skills!C8=1,60+Inputs!$B$26+Inputs!$B$30,IF(Skills!C8=2,90+Inputs!$B$27+Inputs!$B$30,IF(Skills!C8=3,120+Inputs!$B$28+Inputs!$B$30,MAX(0,(Inputs!$B$3-100)*3)+Inputs!$B$29+Inputs!$B$30)))</f>
        <v/>
      </c>
      <c r="E1552">
        <f>INDEX(FactorTable!$B$2:$Y$301, MATCH(ROUND(MIN(300,MAX(1,D1552)),0), FactorTable!$A$2:$A$301,0), Skills!L8+1)</f>
        <v/>
      </c>
      <c r="F1552">
        <f>IF(Skills!M8=TRUE,(Skills!K8/10)*(E1552/1000),Skills!K8/10)+Skills!N8</f>
        <v/>
      </c>
      <c r="G1552">
        <f>Calc!G8</f>
        <v/>
      </c>
      <c r="H1552">
        <f>Calc!H8</f>
        <v/>
      </c>
      <c r="I1552">
        <f>IF(Skills!T8&lt;&gt;"",1+(Skills!T8/10)*($Z$3/1000)/100,1)</f>
        <v/>
      </c>
      <c r="J1552">
        <f>((Inputs!$B$6*(1+Inputs!$B$7/100))+(((Inputs!$B$13*(1+Inputs!$B$14/100))-(Inputs!$B$13*(1+Inputs!$B$14/100)))+0.25*(Inputs!$B$15-Inputs!$B$15))*(1+Inputs!$B$7/100))*(F1552/100)</f>
        <v/>
      </c>
      <c r="K1552">
        <f>J1552*(1+(((Inputs!$B$13+IF(Inputs!$B$3&gt;=35,(10*INDEX(FactorTable!$B$2:$Y$301, MATCH(ROUND(MIN(300,MAX(1,Inputs!$B$3)),0), FactorTable!$A$2:$A$301,0), 23)/1000)/100*(Inputs!$B$8*(1+(Inputs!$B$9+B1582)/100)),0))*(1+Inputs!$B$14/100))*0.01+Inputs!$B$15*0.0025)/100)*(1+(Inputs!$B$16+B1576)/100)*(1+Inputs!$B$17/100)*(5000/(6000+Inputs!$B$43*(1-Inputs!$B$20/100)))*(1+Inputs!$B$25/100)*(1+IF(C1562=TRUE,F1562,0)/100)*(1+IF(C1564=TRUE,F1564,0)/100)*(1+IF(Skills!A8="TRIUMPH_FEATHER",IF(C1560=TRUE,F1560,0),0)/100)*(1+IF(C1571=TRUE,F1571,0)/100)^5*(1+(IF(Skills!A8="BIG_BANG",Inputs!$B$18,Inputs!$B$19))/100)*(B1573*I1552)</f>
        <v/>
      </c>
      <c r="L1552">
        <f>K1552*(MIN(Inputs!$B$23+(F1566-Calc!F22),Inputs!$B$24)/100+Inputs!$B$24/100)/2</f>
        <v/>
      </c>
      <c r="M1552">
        <f>L1552*(1+(Inputs!$B$11+B1577+(F1569-Calc!F25))/100)</f>
        <v/>
      </c>
      <c r="N1552">
        <f>L1552*(1-MIN(Inputs!$B$10+((F1568-Calc!F24)+(F1567-Calc!F23)),100)/100)+M1552*(MIN(Inputs!$B$10+((F1568-Calc!F24)+(F1567-Calc!F23)),100)/100)</f>
        <v/>
      </c>
      <c r="O1552">
        <f>(1-Summary!$B$48)*S1552+Summary!$B$48*U1552</f>
        <v/>
      </c>
      <c r="P1552">
        <f>IF(B1586=0,0,O1552/B1586)</f>
        <v/>
      </c>
      <c r="Q1552">
        <f>IFERROR(1/IF(Inputs!$B$39="pvp",15,MAX(0.1,Skills!D8-IF(Skills!E8=TRUE,4.0,0))),0)</f>
        <v/>
      </c>
      <c r="R1552">
        <f>IF(AND(Inputs!$B$39&lt;&gt;"pvp",Inputs!$B$44&gt;0),IF(MAX(0,Inputs!$B$44-B1583)&lt;=0,0,(INT(MAX(0,Inputs!$B$44-B1583)/IF(Inputs!$B$39="pvp",15,MAX(0.1,Skills!D8-IF(Skills!E8=TRUE,4.0,0))))+1)),0)</f>
        <v/>
      </c>
      <c r="S1552">
        <f>IF(C1552,(H1552*N1552*IF(AND(Inputs!$B$39&lt;&gt;"pvp",Inputs!$B$44&gt;0),((Skills!F8*((R1552-1)*IF(Skills!G8&gt;0,Skills!H8/Skills!G8,1)+IF(Skills!G8&gt;0,MIN(Skills!H8,MAX(0,MAX(0,Inputs!$B$44-B1583)-((R1552-1)*IF(Inputs!$B$39="pvp",15,MAX(0.1,Skills!D8-IF(Skills!E8=TRUE,4.0,0))))))/Skills!G8,1)))/Inputs!$B$44),G1552*Q1552))*IF(Inputs!$B$39="pvp",1,1+(Inputs!$B$21+Skills!O8+B1574)/100),0)</f>
        <v/>
      </c>
      <c r="U1552">
        <f>IF(C1552,(H1552*N1552*IF(AND(Inputs!$B$39&lt;&gt;"pvp",Inputs!$B$44&gt;0),((Skills!F8*((R1552-1)*IF(Skills!G8&gt;0,Skills!H8/Skills!G8,1)+IF(Skills!G8&gt;0,MIN(Skills!H8,MAX(0,MAX(0,Inputs!$B$44-B1583)-((R1552-1)*IF(Inputs!$B$39="pvp",15,MAX(0.1,Skills!D8-IF(Skills!E8=TRUE,4.0,0))))))/Skills!G8,1)))/Inputs!$B$44),G1552*Q1552))*IF(Inputs!$B$39="pvp",1,(1+(Inputs!$B$22+Skills!P8+B1575)/100)*(MIN(Skills!Q8,Inputs!$B$38))),0)</f>
        <v/>
      </c>
    </row>
    <row r="1553">
      <c r="A1553">
        <f>Skills!A9</f>
        <v/>
      </c>
      <c r="B1553">
        <f>Skills!B9</f>
        <v/>
      </c>
      <c r="C1553">
        <f>Inputs!$B$3&gt;=115</f>
        <v/>
      </c>
      <c r="D1553">
        <f>IF(Skills!C9=1,60+Inputs!$B$26+Inputs!$B$30,IF(Skills!C9=2,90+Inputs!$B$27+Inputs!$B$30,IF(Skills!C9=3,120+Inputs!$B$28+Inputs!$B$30,MAX(0,(Inputs!$B$3-100)*3)+Inputs!$B$29+Inputs!$B$30)))</f>
        <v/>
      </c>
      <c r="E1553">
        <f>INDEX(FactorTable!$B$2:$Y$301, MATCH(ROUND(MIN(300,MAX(1,D1553)),0), FactorTable!$A$2:$A$301,0), Skills!L9+1)</f>
        <v/>
      </c>
      <c r="F1553">
        <f>IF(Skills!M9=TRUE,(Skills!K9/10)*(E1553/1000),Skills!K9/10)+Skills!N9</f>
        <v/>
      </c>
      <c r="G1553">
        <f>Calc!G9</f>
        <v/>
      </c>
      <c r="H1553">
        <f>Calc!H9</f>
        <v/>
      </c>
      <c r="I1553">
        <f>IF(Skills!T9&lt;&gt;"",1+(Skills!T9/10)*($Z$3/1000)/100,1)</f>
        <v/>
      </c>
      <c r="J1553">
        <f>((Inputs!$B$6*(1+Inputs!$B$7/100))+(((Inputs!$B$13*(1+Inputs!$B$14/100))-(Inputs!$B$13*(1+Inputs!$B$14/100)))+0.25*(Inputs!$B$15-Inputs!$B$15))*(1+Inputs!$B$7/100))*(F1553/100)</f>
        <v/>
      </c>
      <c r="K1553">
        <f>J1553*(1+(((Inputs!$B$13+IF(Inputs!$B$3&gt;=35,(10*INDEX(FactorTable!$B$2:$Y$301, MATCH(ROUND(MIN(300,MAX(1,Inputs!$B$3)),0), FactorTable!$A$2:$A$301,0), 23)/1000)/100*(Inputs!$B$8*(1+(Inputs!$B$9+B1582)/100)),0))*(1+Inputs!$B$14/100))*0.01+Inputs!$B$15*0.0025)/100)*(1+(Inputs!$B$16+B1576)/100)*(1+Inputs!$B$17/100)*(5000/(6000+Inputs!$B$43*(1-Inputs!$B$20/100)))*(1+Inputs!$B$25/100)*(1+IF(C1562=TRUE,F1562,0)/100)*(1+IF(C1564=TRUE,F1564,0)/100)*(1+IF(Skills!A9="TRIUMPH_FEATHER",IF(C1560=TRUE,F1560,0),0)/100)*(1+IF(C1571=TRUE,F1571,0)/100)^5*(1+(IF(Skills!A9="BIG_BANG",Inputs!$B$18,Inputs!$B$19))/100)*(B1573*I1553)</f>
        <v/>
      </c>
      <c r="L1553">
        <f>K1553*(MIN(Inputs!$B$23+(F1566-Calc!F22),Inputs!$B$24)/100+Inputs!$B$24/100)/2</f>
        <v/>
      </c>
      <c r="M1553">
        <f>L1553*(1+(Inputs!$B$11+B1577+(F1569-Calc!F25))/100)</f>
        <v/>
      </c>
      <c r="N1553">
        <f>L1553*(1-MIN(Inputs!$B$10+((F1568-Calc!F24)+(F1567-Calc!F23)),100)/100)+M1553*(MIN(Inputs!$B$10+((F1568-Calc!F24)+(F1567-Calc!F23)),100)/100)</f>
        <v/>
      </c>
      <c r="O1553">
        <f>(1-Summary!$B$48)*S1553+Summary!$B$48*U1553</f>
        <v/>
      </c>
      <c r="P1553">
        <f>IF(B1586=0,0,O1553/B1586)</f>
        <v/>
      </c>
      <c r="Q1553">
        <f>IFERROR(1/IF(Inputs!$B$39="pvp",15,MAX(0.1,Skills!D9-IF(Skills!E9=TRUE,4.0,0))),0)</f>
        <v/>
      </c>
      <c r="R1553">
        <f>IF(AND(Inputs!$B$39&lt;&gt;"pvp",Inputs!$B$44&gt;0),IF(MAX(0,Inputs!$B$44-B1583)&lt;=0,0,(INT(MAX(0,Inputs!$B$44-B1583)/IF(Inputs!$B$39="pvp",15,MAX(0.1,Skills!D9-IF(Skills!E9=TRUE,4.0,0))))+1)),0)</f>
        <v/>
      </c>
      <c r="S1553">
        <f>IF(C1553,(H1553*N1553*IF(AND(Inputs!$B$39&lt;&gt;"pvp",Inputs!$B$44&gt;0),((Skills!F9*((R1553-1)*IF(Skills!G9&gt;0,Skills!H9/Skills!G9,1)+IF(Skills!G9&gt;0,MIN(Skills!H9,MAX(0,MAX(0,Inputs!$B$44-B1583)-((R1553-1)*IF(Inputs!$B$39="pvp",15,MAX(0.1,Skills!D9-IF(Skills!E9=TRUE,4.0,0))))))/Skills!G9,1)))/Inputs!$B$44),G1553*Q1553))*IF(Inputs!$B$39="pvp",1,1+(Inputs!$B$21+Skills!O9+B1574)/100),0)</f>
        <v/>
      </c>
      <c r="U1553">
        <f>IF(C1553,(H1553*N1553*IF(AND(Inputs!$B$39&lt;&gt;"pvp",Inputs!$B$44&gt;0),((Skills!F9*((R1553-1)*IF(Skills!G9&gt;0,Skills!H9/Skills!G9,1)+IF(Skills!G9&gt;0,MIN(Skills!H9,MAX(0,MAX(0,Inputs!$B$44-B1583)-((R1553-1)*IF(Inputs!$B$39="pvp",15,MAX(0.1,Skills!D9-IF(Skills!E9=TRUE,4.0,0))))))/Skills!G9,1)))/Inputs!$B$44),G1553*Q1553))*IF(Inputs!$B$39="pvp",1,(1+(Inputs!$B$22+Skills!P9+B1575)/100)*(MIN(Skills!Q9,Inputs!$B$38))),0)</f>
        <v/>
      </c>
    </row>
    <row r="1554">
      <c r="A1554">
        <f>Skills!A10</f>
        <v/>
      </c>
      <c r="B1554">
        <f>Skills!B10</f>
        <v/>
      </c>
      <c r="C1554">
        <f>Inputs!$B$3&gt;=66</f>
        <v/>
      </c>
      <c r="D1554">
        <f>IF(Skills!C10=1,60+Inputs!$B$26+Inputs!$B$30,IF(Skills!C10=2,90+Inputs!$B$27+Inputs!$B$30,IF(Skills!C10=3,120+Inputs!$B$28+Inputs!$B$30,MAX(0,(Inputs!$B$3-100)*3)+Inputs!$B$29+Inputs!$B$30)))</f>
        <v/>
      </c>
      <c r="E1554">
        <f>INDEX(FactorTable!$B$2:$Y$301, MATCH(ROUND(MIN(300,MAX(1,D1554)),0), FactorTable!$A$2:$A$301,0), Skills!L10+1)</f>
        <v/>
      </c>
      <c r="F1554" t="n">
        <v>0</v>
      </c>
      <c r="G1554">
        <f>Calc!G10</f>
        <v/>
      </c>
      <c r="H1554">
        <f>Calc!H10</f>
        <v/>
      </c>
      <c r="I1554">
        <f>IF(Skills!T10&lt;&gt;"",1+(Skills!T10/10)*($Z$3/1000)/100,1)</f>
        <v/>
      </c>
      <c r="J1554" t="inlineStr"/>
      <c r="K1554" t="inlineStr"/>
      <c r="L1554" t="inlineStr"/>
      <c r="M1554" t="inlineStr"/>
      <c r="N1554" t="inlineStr"/>
      <c r="O1554">
        <f>(1-Summary!$B$48)*S1554+Summary!$B$48*U1554</f>
        <v/>
      </c>
      <c r="P1554">
        <f>IF(B1586=0,0,O1554/B1586)</f>
        <v/>
      </c>
      <c r="Q1554">
        <f>IFERROR(1/IF(Inputs!$B$39="pvp",15,MAX(0.1,Skills!D10-IF(Skills!E10=TRUE,4.0,0))),0)</f>
        <v/>
      </c>
      <c r="R1554">
        <f>IF(AND(Inputs!$B$39&lt;&gt;"pvp",Inputs!$B$44&gt;0),IF(MAX(0,Inputs!$B$44-B1583)&lt;=0,0,(INT(MAX(0,Inputs!$B$44-B1583)/IF(Inputs!$B$39="pvp",15,MAX(0.1,Skills!D10-IF(Skills!E10=TRUE,4.0,0))))+1)),0)</f>
        <v/>
      </c>
      <c r="S1554" t="n">
        <v>0</v>
      </c>
      <c r="U1554" t="n">
        <v>0</v>
      </c>
    </row>
    <row r="1555">
      <c r="A1555">
        <f>Skills!A11</f>
        <v/>
      </c>
      <c r="B1555">
        <f>Skills!B11</f>
        <v/>
      </c>
      <c r="C1555">
        <f>Inputs!$B$3&gt;=69</f>
        <v/>
      </c>
      <c r="D1555">
        <f>IF(Skills!C11=1,60+Inputs!$B$26+Inputs!$B$30,IF(Skills!C11=2,90+Inputs!$B$27+Inputs!$B$30,IF(Skills!C11=3,120+Inputs!$B$28+Inputs!$B$30,MAX(0,(Inputs!$B$3-100)*3)+Inputs!$B$29+Inputs!$B$30)))</f>
        <v/>
      </c>
      <c r="E1555">
        <f>INDEX(FactorTable!$B$2:$Y$301, MATCH(ROUND(MIN(300,MAX(1,D1555)),0), FactorTable!$A$2:$A$301,0), Skills!L11+1)</f>
        <v/>
      </c>
      <c r="F1555">
        <f>IF(Skills!M11=TRUE,(Skills!K11/10)*(E1555/1000),Skills!K11/10)+Skills!N11</f>
        <v/>
      </c>
      <c r="G1555">
        <f>Calc!G11</f>
        <v/>
      </c>
      <c r="H1555">
        <f>Calc!H11</f>
        <v/>
      </c>
      <c r="I1555">
        <f>IF(Skills!T11&lt;&gt;"",1+(Skills!T11/10)*($Z$3/1000)/100,1)</f>
        <v/>
      </c>
      <c r="J1555" t="inlineStr"/>
      <c r="K1555" t="inlineStr"/>
      <c r="L1555" t="inlineStr"/>
      <c r="M1555" t="inlineStr"/>
      <c r="N1555" t="inlineStr"/>
      <c r="O1555">
        <f>(1-Summary!$B$48)*S1555+Summary!$B$48*U1555</f>
        <v/>
      </c>
      <c r="P1555">
        <f>IF(B1586=0,0,O1555/B1586)</f>
        <v/>
      </c>
      <c r="Q1555">
        <f>IFERROR(1/IF(Inputs!$B$39="pvp",15,MAX(0.1,Skills!D11-IF(Skills!E11=TRUE,4.0,0))),0)</f>
        <v/>
      </c>
      <c r="R1555">
        <f>IF(AND(Inputs!$B$39&lt;&gt;"pvp",Inputs!$B$44&gt;0),IF(Inputs!$B$44&lt;=0,0,(INT(Inputs!$B$44/IF(Inputs!$B$39="pvp",15,MAX(0.1,Skills!D11-IF(Skills!E11=TRUE,4.0,0))))+1)),0)</f>
        <v/>
      </c>
      <c r="S1555" t="n">
        <v>0</v>
      </c>
      <c r="U1555" t="n">
        <v>0</v>
      </c>
    </row>
    <row r="1556">
      <c r="A1556">
        <f>Skills!A12</f>
        <v/>
      </c>
      <c r="B1556">
        <f>Skills!B12</f>
        <v/>
      </c>
      <c r="C1556">
        <f>Inputs!$B$3&gt;=72</f>
        <v/>
      </c>
      <c r="D1556">
        <f>IF(Skills!C12=1,60+Inputs!$B$26+Inputs!$B$30,IF(Skills!C12=2,90+Inputs!$B$27+Inputs!$B$30,IF(Skills!C12=3,120+Inputs!$B$28+Inputs!$B$30,MAX(0,(Inputs!$B$3-100)*3)+Inputs!$B$29+Inputs!$B$30)))</f>
        <v/>
      </c>
      <c r="E1556">
        <f>INDEX(FactorTable!$B$2:$Y$301, MATCH(ROUND(MIN(300,MAX(1,D1556)),0), FactorTable!$A$2:$A$301,0), Skills!L12+1)</f>
        <v/>
      </c>
      <c r="F1556">
        <f>IF(Skills!M12=TRUE,(Skills!K12/10)*(E1556/1000),Skills!K12/10)+Skills!N12</f>
        <v/>
      </c>
      <c r="G1556">
        <f>Calc!G12</f>
        <v/>
      </c>
      <c r="H1556">
        <f>Calc!H12</f>
        <v/>
      </c>
      <c r="I1556">
        <f>IF(Skills!T12&lt;&gt;"",1+(Skills!T12/10)*($Z$3/1000)/100,1)</f>
        <v/>
      </c>
      <c r="J1556" t="inlineStr"/>
      <c r="K1556" t="inlineStr"/>
      <c r="L1556" t="inlineStr"/>
      <c r="M1556" t="inlineStr"/>
      <c r="N1556" t="inlineStr"/>
      <c r="O1556">
        <f>(1-Summary!$B$48)*S1556+Summary!$B$48*U1556</f>
        <v/>
      </c>
      <c r="P1556">
        <f>IF(B1586=0,0,O1556/B1586)</f>
        <v/>
      </c>
      <c r="Q1556">
        <f>IFERROR(1/IF(Inputs!$B$39="pvp",15,MAX(0.1,Skills!D12-IF(Skills!E12=TRUE,4.0,0))),0)</f>
        <v/>
      </c>
      <c r="R1556">
        <f>IF(AND(Inputs!$B$39&lt;&gt;"pvp",Inputs!$B$44&gt;0),IF(MAX(0,Inputs!$B$44-B1583)&lt;=0,0,(INT(MAX(0,Inputs!$B$44-B1583)/IF(Inputs!$B$39="pvp",15,MAX(0.1,Skills!D12-IF(Skills!E12=TRUE,4.0,0))))+1)),0)</f>
        <v/>
      </c>
      <c r="S1556" t="n">
        <v>0</v>
      </c>
      <c r="U1556" t="n">
        <v>0</v>
      </c>
    </row>
    <row r="1557">
      <c r="A1557">
        <f>Skills!A13</f>
        <v/>
      </c>
      <c r="B1557">
        <f>Skills!B13</f>
        <v/>
      </c>
      <c r="C1557">
        <f>Inputs!$B$3&gt;=60</f>
        <v/>
      </c>
      <c r="D1557">
        <f>IF(Skills!C13=1,60+Inputs!$B$26+Inputs!$B$30,IF(Skills!C13=2,90+Inputs!$B$27+Inputs!$B$30,IF(Skills!C13=3,120+Inputs!$B$28+Inputs!$B$30,MAX(0,(Inputs!$B$3-100)*3)+Inputs!$B$29+Inputs!$B$30)))</f>
        <v/>
      </c>
      <c r="E1557">
        <f>INDEX(FactorTable!$B$2:$Y$301, MATCH(ROUND(MIN(300,MAX(1,D1557)),0), FactorTable!$A$2:$A$301,0), Skills!L13+1)</f>
        <v/>
      </c>
      <c r="F1557">
        <f>IF(Skills!M13=TRUE,(Skills!K13/10)*(E1557/1000),Skills!K13/10)+Skills!N13</f>
        <v/>
      </c>
      <c r="G1557">
        <f>Calc!G13</f>
        <v/>
      </c>
      <c r="H1557">
        <f>Calc!H13</f>
        <v/>
      </c>
      <c r="I1557">
        <f>IF(Skills!T13&lt;&gt;"",1+(Skills!T13/10)*($Z$3/1000)/100,1)</f>
        <v/>
      </c>
      <c r="J1557" t="inlineStr"/>
      <c r="K1557" t="inlineStr"/>
      <c r="L1557" t="inlineStr"/>
      <c r="M1557" t="inlineStr"/>
      <c r="N1557" t="inlineStr"/>
      <c r="O1557">
        <f>(1-Summary!$B$48)*S1557+Summary!$B$48*U1557</f>
        <v/>
      </c>
      <c r="P1557">
        <f>IF(B1586=0,0,O1557/B1586)</f>
        <v/>
      </c>
      <c r="Q1557">
        <f>IFERROR(1/IF(Inputs!$B$39="pvp",15,MAX(0.1,Skills!D13-IF(Skills!E13=TRUE,4.0,0))),0)</f>
        <v/>
      </c>
      <c r="R1557">
        <f>IF(AND(Inputs!$B$39&lt;&gt;"pvp",Inputs!$B$44&gt;0),IF(MAX(0,Inputs!$B$44-B1583)&lt;=0,0,(INT(MAX(0,Inputs!$B$44-B1583)/IF(Inputs!$B$39="pvp",15,MAX(0.1,Skills!D13-IF(Skills!E13=TRUE,4.0,0))))+1)),0)</f>
        <v/>
      </c>
      <c r="S1557" t="n">
        <v>0</v>
      </c>
      <c r="U1557" t="n">
        <v>0</v>
      </c>
    </row>
    <row r="1558">
      <c r="A1558">
        <f>Skills!A14</f>
        <v/>
      </c>
      <c r="B1558">
        <f>Skills!B14</f>
        <v/>
      </c>
      <c r="C1558">
        <f>Inputs!$B$3&gt;=107</f>
        <v/>
      </c>
      <c r="D1558">
        <f>IF(Skills!C14=1,60+Inputs!$B$26+Inputs!$B$30,IF(Skills!C14=2,90+Inputs!$B$27+Inputs!$B$30,IF(Skills!C14=3,120+Inputs!$B$28+Inputs!$B$30,MAX(0,(Inputs!$B$3-100)*3)+Inputs!$B$29+Inputs!$B$30)))</f>
        <v/>
      </c>
      <c r="E1558">
        <f>INDEX(FactorTable!$B$2:$Y$301, MATCH(ROUND(MIN(300,MAX(1,D1558)),0), FactorTable!$A$2:$A$301,0), Skills!L14+1)</f>
        <v/>
      </c>
      <c r="F1558">
        <f>IF(Skills!M14=TRUE,(Skills!K14/10)*(E1558/1000),Skills!K14/10)+Skills!N14</f>
        <v/>
      </c>
      <c r="G1558">
        <f>Calc!G14</f>
        <v/>
      </c>
      <c r="H1558">
        <f>Calc!H14</f>
        <v/>
      </c>
      <c r="I1558">
        <f>IF(Skills!T14&lt;&gt;"",1+(Skills!T14/10)*($Z$3/1000)/100,1)</f>
        <v/>
      </c>
      <c r="J1558" t="inlineStr"/>
      <c r="K1558" t="inlineStr"/>
      <c r="L1558" t="inlineStr"/>
      <c r="M1558" t="inlineStr"/>
      <c r="N1558" t="inlineStr"/>
      <c r="O1558">
        <f>(1-Summary!$B$48)*S1558+Summary!$B$48*U1558</f>
        <v/>
      </c>
      <c r="P1558">
        <f>IF(B1586=0,0,O1558/B1586)</f>
        <v/>
      </c>
      <c r="Q1558">
        <f>IFERROR(1/IF(Inputs!$B$39="pvp",15,MAX(0.1,Skills!D14-IF(Skills!E14=TRUE,4.0,0))),0)</f>
        <v/>
      </c>
      <c r="R1558">
        <f>IF(AND(Inputs!$B$39&lt;&gt;"pvp",Inputs!$B$44&gt;0),IF(Inputs!$B$44&lt;=0,0,(INT(Inputs!$B$44/IF(Inputs!$B$39="pvp",15,MAX(0.1,Skills!D14-IF(Skills!E14=TRUE,4.0,0))))+1)),0)</f>
        <v/>
      </c>
      <c r="S1558" t="n">
        <v>0</v>
      </c>
      <c r="U1558" t="n">
        <v>0</v>
      </c>
    </row>
    <row r="1559">
      <c r="A1559">
        <f>Skills!A15</f>
        <v/>
      </c>
      <c r="B1559">
        <f>Skills!B15</f>
        <v/>
      </c>
      <c r="C1559">
        <f>Inputs!$B$3&gt;=63</f>
        <v/>
      </c>
      <c r="D1559">
        <f>IF(Skills!C15=1,60+Inputs!$B$26+Inputs!$B$30,IF(Skills!C15=2,90+Inputs!$B$27+Inputs!$B$30,IF(Skills!C15=3,120+Inputs!$B$28+Inputs!$B$30,MAX(0,(Inputs!$B$3-100)*3)+Inputs!$B$29+Inputs!$B$30)))</f>
        <v/>
      </c>
      <c r="E1559">
        <f>INDEX(FactorTable!$B$2:$Y$301, MATCH(ROUND(MIN(300,MAX(1,D1559)),0), FactorTable!$A$2:$A$301,0), Skills!L15+1)</f>
        <v/>
      </c>
      <c r="F1559">
        <f>IF(Skills!M15=TRUE,(Skills!K15/10)*(E1559/1000),Skills!K15/10)+Skills!N15</f>
        <v/>
      </c>
      <c r="G1559">
        <f>Calc!G15</f>
        <v/>
      </c>
      <c r="H1559">
        <f>Calc!H15</f>
        <v/>
      </c>
      <c r="I1559">
        <f>IF(Skills!T15&lt;&gt;"",1+(Skills!T15/10)*($Z$3/1000)/100,1)</f>
        <v/>
      </c>
      <c r="J1559">
        <f>((Inputs!$B$6*(1+Inputs!$B$7/100))+(((Inputs!$B$13*(1+Inputs!$B$14/100))-(Inputs!$B$13*(1+Inputs!$B$14/100)))+0.25*(Inputs!$B$15-Inputs!$B$15))*(1+Inputs!$B$7/100))*(F1559/100)</f>
        <v/>
      </c>
      <c r="K1559">
        <f>J1559*(1+(((Inputs!$B$13+IF(Inputs!$B$3&gt;=35,(10*INDEX(FactorTable!$B$2:$Y$301, MATCH(ROUND(MIN(300,MAX(1,Inputs!$B$3)),0), FactorTable!$A$2:$A$301,0), 23)/1000)/100*(Inputs!$B$8*(1+(Inputs!$B$9+B1582)/100)),0))*(1+Inputs!$B$14/100))*0.01+Inputs!$B$15*0.0025)/100)*(1+(Inputs!$B$16+B1576)/100)*(1+Inputs!$B$17/100)*(5000/(6000+Inputs!$B$43*(1-Inputs!$B$20/100)))*(1+Inputs!$B$25/100)*(1+IF(C1562=TRUE,F1562,0)/100)*(1+IF(C1564=TRUE,F1564,0)/100)*(1+IF(Skills!A15="TRIUMPH_FEATHER",IF(C1560=TRUE,F1560,0),0)/100)*(1+IF(C1571=TRUE,F1571,0)/100)^5*(1+(IF(Skills!A15="BIG_BANG",Inputs!$B$18,Inputs!$B$19))/100)*(B1573*I1559)</f>
        <v/>
      </c>
      <c r="L1559">
        <f>K1559*(MIN(Inputs!$B$23+(F1566-Calc!F22),Inputs!$B$24)/100+Inputs!$B$24/100)/2</f>
        <v/>
      </c>
      <c r="M1559">
        <f>L1559*(1+(Inputs!$B$11+B1577+(F1569-Calc!F25))/100)</f>
        <v/>
      </c>
      <c r="N1559">
        <f>L1559*(1-MIN(Inputs!$B$10+((F1568-Calc!F24)+(F1567-Calc!F23)),100)/100)+M1559*(MIN(Inputs!$B$10+((F1568-Calc!F24)+(F1567-Calc!F23)),100)/100)</f>
        <v/>
      </c>
      <c r="O1559">
        <f>(1-Summary!$B$48)*S1559+Summary!$B$48*U1559</f>
        <v/>
      </c>
      <c r="P1559">
        <f>IF(B1586=0,0,O1559/B1586)</f>
        <v/>
      </c>
      <c r="Q1559">
        <f>IFERROR(1/IF(Inputs!$B$39="pvp",15,MAX(0.1,Skills!D15-IF(Skills!E15=TRUE,4.0,0))),0)</f>
        <v/>
      </c>
      <c r="R1559" t="n">
        <v>0</v>
      </c>
      <c r="S1559">
        <f>IF(C1559,(Skills!F15*N1559*((IF(Inputs!$B$3&gt;=78,25,15)/100*B1579*10)/(1+IF(Inputs!$B$3&gt;=78,25,15)/100*B1579*10))*(Skills!I15/100*B1579)/(1+Skills!G15*Skills!I15/100*B1579))*IF(Inputs!$B$39="pvp",1,1+(Inputs!$B$21+Skills!O15+B1574)/100),0)</f>
        <v/>
      </c>
      <c r="U1559">
        <f>IF(C1559,(Skills!F15*N1559*((IF(Inputs!$B$3&gt;=78,25,15)/100*B1579*10)/(1+IF(Inputs!$B$3&gt;=78,25,15)/100*B1579*10))*(Skills!I15/100*B1579)/(1+Skills!G15*Skills!I15/100*B1579))*IF(Inputs!$B$39="pvp",1,(1+(Inputs!$B$22+Skills!P15+B1575)/100)*(MIN(Skills!Q15,Inputs!$B$38))),0)</f>
        <v/>
      </c>
    </row>
    <row r="1560">
      <c r="A1560">
        <f>Skills!A16</f>
        <v/>
      </c>
      <c r="B1560">
        <f>Skills!B16</f>
        <v/>
      </c>
      <c r="C1560">
        <f>Inputs!$B$3&gt;=100</f>
        <v/>
      </c>
      <c r="D1560">
        <f>IF(Skills!C16=1,60+Inputs!$B$26+Inputs!$B$30,IF(Skills!C16=2,90+Inputs!$B$27+Inputs!$B$30,IF(Skills!C16=3,120+Inputs!$B$28+Inputs!$B$30,MAX(0,(Inputs!$B$3-100)*3)+Inputs!$B$29+Inputs!$B$30)))</f>
        <v/>
      </c>
      <c r="E1560">
        <f>INDEX(FactorTable!$B$2:$Y$301, MATCH(ROUND(MIN(300,MAX(1,D1560)),0), FactorTable!$A$2:$A$301,0), Skills!L16+1)</f>
        <v/>
      </c>
      <c r="F1560">
        <f>IF(Skills!M16=TRUE,(Skills!K16/10)*(E1560/1000),Skills!K16/10)+Skills!N16</f>
        <v/>
      </c>
      <c r="G1560">
        <f>Calc!G16</f>
        <v/>
      </c>
      <c r="H1560">
        <f>Calc!H16</f>
        <v/>
      </c>
      <c r="I1560">
        <f>IF(Skills!T16&lt;&gt;"",1+(Skills!T16/10)*($Z$3/1000)/100,1)</f>
        <v/>
      </c>
      <c r="J1560" t="inlineStr"/>
      <c r="K1560" t="inlineStr"/>
      <c r="L1560" t="inlineStr"/>
      <c r="M1560" t="inlineStr"/>
      <c r="N1560" t="inlineStr"/>
      <c r="O1560">
        <f>(1-Summary!$B$48)*S1560+Summary!$B$48*U1560</f>
        <v/>
      </c>
      <c r="P1560">
        <f>IF(B1586=0,0,O1560/B1586)</f>
        <v/>
      </c>
      <c r="Q1560">
        <f>IFERROR(1/IF(Inputs!$B$39="pvp",15,MAX(0.1,Skills!D16-IF(Skills!E16=TRUE,4.0,0))),0)</f>
        <v/>
      </c>
      <c r="R1560" t="n">
        <v>0</v>
      </c>
      <c r="S1560" t="n">
        <v>0</v>
      </c>
      <c r="U1560" t="n">
        <v>0</v>
      </c>
    </row>
    <row r="1561">
      <c r="A1561">
        <f>Skills!A17</f>
        <v/>
      </c>
      <c r="B1561">
        <f>Skills!B17</f>
        <v/>
      </c>
      <c r="C1561">
        <f>Inputs!$B$3&gt;=49</f>
        <v/>
      </c>
      <c r="D1561">
        <f>IF(Skills!C17=1,60+Inputs!$B$26+Inputs!$B$30,IF(Skills!C17=2,90+Inputs!$B$27+Inputs!$B$30,IF(Skills!C17=3,120+Inputs!$B$28+Inputs!$B$30,MAX(0,(Inputs!$B$3-100)*3)+Inputs!$B$29+Inputs!$B$30)))</f>
        <v/>
      </c>
      <c r="E1561">
        <f>INDEX(FactorTable!$B$2:$Y$301, MATCH(ROUND(MIN(300,MAX(1,D1561)),0), FactorTable!$A$2:$A$301,0), Skills!L17+1)</f>
        <v/>
      </c>
      <c r="F1561">
        <f>IF(Skills!M17=TRUE,(Skills!K17/10)*(E1561/1000),Skills!K17/10)+Skills!N17</f>
        <v/>
      </c>
      <c r="G1561">
        <f>Calc!G17</f>
        <v/>
      </c>
      <c r="H1561">
        <f>Calc!H17</f>
        <v/>
      </c>
      <c r="I1561">
        <f>IF(Skills!T17&lt;&gt;"",1+(Skills!T17/10)*($Z$3/1000)/100,1)</f>
        <v/>
      </c>
      <c r="J1561" t="inlineStr"/>
      <c r="K1561" t="inlineStr"/>
      <c r="L1561" t="inlineStr"/>
      <c r="M1561" t="inlineStr"/>
      <c r="N1561" t="inlineStr"/>
      <c r="O1561">
        <f>(1-Summary!$B$48)*S1561+Summary!$B$48*U1561</f>
        <v/>
      </c>
      <c r="P1561">
        <f>IF(B1586=0,0,O1561/B1586)</f>
        <v/>
      </c>
      <c r="Q1561">
        <f>IFERROR(1/IF(Inputs!$B$39="pvp",15,MAX(0.1,Skills!D17-IF(Skills!E17=TRUE,4.0,0))),0)</f>
        <v/>
      </c>
      <c r="R1561" t="n">
        <v>0</v>
      </c>
      <c r="S1561" t="n">
        <v>0</v>
      </c>
      <c r="U1561" t="n">
        <v>0</v>
      </c>
    </row>
    <row r="1562">
      <c r="A1562">
        <f>Skills!A18</f>
        <v/>
      </c>
      <c r="B1562">
        <f>Skills!B18</f>
        <v/>
      </c>
      <c r="C1562">
        <f>Inputs!$B$3&gt;=75</f>
        <v/>
      </c>
      <c r="D1562">
        <f>IF(Skills!C18=1,60+Inputs!$B$26+Inputs!$B$30,IF(Skills!C18=2,90+Inputs!$B$27+Inputs!$B$30,IF(Skills!C18=3,120+Inputs!$B$28+Inputs!$B$30,MAX(0,(Inputs!$B$3-100)*3)+Inputs!$B$29+Inputs!$B$30)))</f>
        <v/>
      </c>
      <c r="E1562">
        <f>INDEX(FactorTable!$B$2:$Y$301, MATCH(ROUND(MIN(300,MAX(1,D1562)),0), FactorTable!$A$2:$A$301,0), Skills!L18+1)</f>
        <v/>
      </c>
      <c r="F1562">
        <f>IF(Skills!M18=TRUE,(Skills!K18/10)*(E1562/1000),Skills!K18/10)+Skills!N18</f>
        <v/>
      </c>
      <c r="G1562">
        <f>Calc!G18</f>
        <v/>
      </c>
      <c r="H1562">
        <f>Calc!H18</f>
        <v/>
      </c>
      <c r="I1562">
        <f>IF(Skills!T18&lt;&gt;"",1+(Skills!T18/10)*($Z$3/1000)/100,1)</f>
        <v/>
      </c>
      <c r="J1562" t="inlineStr"/>
      <c r="K1562" t="inlineStr"/>
      <c r="L1562" t="inlineStr"/>
      <c r="M1562" t="inlineStr"/>
      <c r="N1562" t="inlineStr"/>
      <c r="O1562">
        <f>(1-Summary!$B$48)*S1562+Summary!$B$48*U1562</f>
        <v/>
      </c>
      <c r="P1562">
        <f>IF(B1586=0,0,O1562/B1586)</f>
        <v/>
      </c>
      <c r="Q1562">
        <f>IFERROR(1/IF(Inputs!$B$39="pvp",15,MAX(0.1,Skills!D18-IF(Skills!E18=TRUE,4.0,0))),0)</f>
        <v/>
      </c>
      <c r="R1562" t="n">
        <v>0</v>
      </c>
      <c r="S1562" t="n">
        <v>0</v>
      </c>
      <c r="U1562" t="n">
        <v>0</v>
      </c>
    </row>
    <row r="1563">
      <c r="A1563">
        <f>Skills!A19</f>
        <v/>
      </c>
      <c r="B1563">
        <f>Skills!B19</f>
        <v/>
      </c>
      <c r="C1563">
        <f>Inputs!$B$3&gt;=110</f>
        <v/>
      </c>
      <c r="D1563">
        <f>IF(Skills!C19=1,60+Inputs!$B$26+Inputs!$B$30,IF(Skills!C19=2,90+Inputs!$B$27+Inputs!$B$30,IF(Skills!C19=3,120+Inputs!$B$28+Inputs!$B$30,MAX(0,(Inputs!$B$3-100)*3)+Inputs!$B$29+Inputs!$B$30)))</f>
        <v/>
      </c>
      <c r="E1563">
        <f>INDEX(FactorTable!$B$2:$Y$301, MATCH(ROUND(MIN(300,MAX(1,D1563)),0), FactorTable!$A$2:$A$301,0), Skills!L19+1)</f>
        <v/>
      </c>
      <c r="F1563">
        <f>(Skills!K19/10)*(E1563/1000)*64/45+Skills!N19</f>
        <v/>
      </c>
      <c r="G1563">
        <f>Calc!G19</f>
        <v/>
      </c>
      <c r="H1563">
        <f>Calc!H19</f>
        <v/>
      </c>
      <c r="I1563">
        <f>IF(Skills!T19&lt;&gt;"",1+(Skills!T19/10)*($Z$3/1000)/100,1)</f>
        <v/>
      </c>
      <c r="J1563" t="inlineStr"/>
      <c r="K1563" t="inlineStr"/>
      <c r="L1563" t="inlineStr"/>
      <c r="M1563" t="inlineStr"/>
      <c r="N1563" t="inlineStr"/>
      <c r="O1563">
        <f>(1-Summary!$B$48)*S1563+Summary!$B$48*U1563</f>
        <v/>
      </c>
      <c r="P1563">
        <f>IF(B1586=0,0,O1563/B1586)</f>
        <v/>
      </c>
      <c r="Q1563">
        <f>IFERROR(1/IF(Inputs!$B$39="pvp",15,MAX(0.1,Skills!D19-IF(Skills!E19=TRUE,4.0,0))),0)</f>
        <v/>
      </c>
      <c r="R1563">
        <f>IF(AND(Inputs!$B$39&lt;&gt;"pvp",Inputs!$B$44&gt;0),IF(Inputs!$B$44&lt;=0,0,(INT(Inputs!$B$44/IF(Inputs!$B$39="pvp",15,MAX(0.1,Skills!D19-IF(Skills!E19=TRUE,4.0,0))))+1)),0)</f>
        <v/>
      </c>
      <c r="S1563" t="n">
        <v>0</v>
      </c>
      <c r="U1563" t="n">
        <v>0</v>
      </c>
    </row>
    <row r="1564">
      <c r="A1564">
        <f>Skills!A20</f>
        <v/>
      </c>
      <c r="B1564">
        <f>Skills!B20</f>
        <v/>
      </c>
      <c r="C1564">
        <f>Inputs!$B$3&gt;=125</f>
        <v/>
      </c>
      <c r="D1564">
        <f>IF(Skills!C20=1,60+Inputs!$B$26+Inputs!$B$30,IF(Skills!C20=2,90+Inputs!$B$27+Inputs!$B$30,IF(Skills!C20=3,120+Inputs!$B$28+Inputs!$B$30,MAX(0,(Inputs!$B$3-100)*3)+Inputs!$B$29+Inputs!$B$30)))</f>
        <v/>
      </c>
      <c r="E1564">
        <f>INDEX(FactorTable!$B$2:$Y$301, MATCH(ROUND(MIN(300,MAX(1,D1564)),0), FactorTable!$A$2:$A$301,0), Skills!L20+1)</f>
        <v/>
      </c>
      <c r="F1564">
        <f>IF(Skills!M20=TRUE,(Skills!K20/10)*(E1564/1000),Skills!K20/10)+Skills!N20</f>
        <v/>
      </c>
      <c r="G1564">
        <f>Calc!G20</f>
        <v/>
      </c>
      <c r="H1564">
        <f>Calc!H20</f>
        <v/>
      </c>
      <c r="I1564">
        <f>IF(Skills!T20&lt;&gt;"",1+(Skills!T20/10)*($Z$3/1000)/100,1)</f>
        <v/>
      </c>
      <c r="J1564" t="inlineStr"/>
      <c r="K1564" t="inlineStr"/>
      <c r="L1564" t="inlineStr"/>
      <c r="M1564" t="inlineStr"/>
      <c r="N1564" t="inlineStr"/>
      <c r="O1564">
        <f>(1-Summary!$B$48)*S1564+Summary!$B$48*U1564</f>
        <v/>
      </c>
      <c r="P1564">
        <f>IF(B1586=0,0,O1564/B1586)</f>
        <v/>
      </c>
      <c r="Q1564">
        <f>IFERROR(1/IF(Inputs!$B$39="pvp",15,MAX(0.1,Skills!D20-IF(Skills!E20=TRUE,4.0,0))),0)</f>
        <v/>
      </c>
      <c r="R1564" t="n">
        <v>0</v>
      </c>
      <c r="S1564" t="n">
        <v>0</v>
      </c>
      <c r="U1564" t="n">
        <v>0</v>
      </c>
    </row>
    <row r="1565">
      <c r="A1565">
        <f>Skills!A21</f>
        <v/>
      </c>
      <c r="B1565">
        <f>Skills!B21</f>
        <v/>
      </c>
      <c r="C1565">
        <f>Inputs!$B$3&gt;=33</f>
        <v/>
      </c>
      <c r="D1565">
        <f>IF(Skills!C21=1,60+Inputs!$B$26+Inputs!$B$30,IF(Skills!C21=2,90+Inputs!$B$27+Inputs!$B$30,IF(Skills!C21=3,120+Inputs!$B$28+Inputs!$B$30,MAX(0,(Inputs!$B$3-100)*3)+Inputs!$B$29+Inputs!$B$30)))</f>
        <v/>
      </c>
      <c r="E1565">
        <f>INDEX(FactorTable!$B$2:$Y$301, MATCH(ROUND(MIN(300,MAX(1,D1565)),0), FactorTable!$A$2:$A$301,0), Skills!L21+1)</f>
        <v/>
      </c>
      <c r="F1565">
        <f>IF(Skills!M21=TRUE,(Skills!K21/10)*(E1565/1000),Skills!K21/10)+Skills!N21</f>
        <v/>
      </c>
      <c r="G1565">
        <f>Calc!G21</f>
        <v/>
      </c>
      <c r="H1565">
        <f>Calc!H21</f>
        <v/>
      </c>
      <c r="I1565">
        <f>IF(Skills!T21&lt;&gt;"",1+(Skills!T21/10)*($Z$3/1000)/100,1)</f>
        <v/>
      </c>
      <c r="J1565" t="inlineStr"/>
      <c r="K1565" t="inlineStr"/>
      <c r="L1565" t="inlineStr"/>
      <c r="M1565" t="inlineStr"/>
      <c r="N1565" t="inlineStr"/>
      <c r="O1565">
        <f>(1-Summary!$B$48)*S1565+Summary!$B$48*U1565</f>
        <v/>
      </c>
      <c r="P1565">
        <f>IF(B1586=0,0,O1565/B1586)</f>
        <v/>
      </c>
      <c r="Q1565">
        <f>IFERROR(1/IF(Inputs!$B$39="pvp",15,MAX(0.1,Skills!D21-IF(Skills!E21=TRUE,4.0,0))),0)</f>
        <v/>
      </c>
      <c r="R1565" t="n">
        <v>0</v>
      </c>
      <c r="S1565" t="n">
        <v>0</v>
      </c>
      <c r="U1565" t="n">
        <v>0</v>
      </c>
    </row>
    <row r="1566">
      <c r="A1566">
        <f>Skills!A22</f>
        <v/>
      </c>
      <c r="B1566">
        <f>Skills!B22</f>
        <v/>
      </c>
      <c r="C1566">
        <f>Inputs!$B$3&gt;=43</f>
        <v/>
      </c>
      <c r="D1566">
        <f>IF(Skills!C22=1,60+Inputs!$B$26+Inputs!$B$30,IF(Skills!C22=2,90+Inputs!$B$27+Inputs!$B$30,IF(Skills!C22=3,120+Inputs!$B$28+Inputs!$B$30,MAX(0,(Inputs!$B$3-100)*3)+Inputs!$B$29+Inputs!$B$30)))</f>
        <v/>
      </c>
      <c r="E1566">
        <f>INDEX(FactorTable!$B$2:$Y$301, MATCH(ROUND(MIN(300,MAX(1,D1566)),0), FactorTable!$A$2:$A$301,0), Skills!L22+1)</f>
        <v/>
      </c>
      <c r="F1566">
        <f>IF(Skills!M22=TRUE,(Skills!K22/10)*(E1566/1000),Skills!K22/10)+Skills!N22</f>
        <v/>
      </c>
      <c r="G1566">
        <f>Calc!G22</f>
        <v/>
      </c>
      <c r="H1566">
        <f>Calc!H22</f>
        <v/>
      </c>
      <c r="I1566">
        <f>IF(Skills!T22&lt;&gt;"",1+(Skills!T22/10)*($Z$3/1000)/100,1)</f>
        <v/>
      </c>
      <c r="J1566" t="inlineStr"/>
      <c r="K1566" t="inlineStr"/>
      <c r="L1566" t="inlineStr"/>
      <c r="M1566" t="inlineStr"/>
      <c r="N1566" t="inlineStr"/>
      <c r="O1566">
        <f>(1-Summary!$B$48)*S1566+Summary!$B$48*U1566</f>
        <v/>
      </c>
      <c r="P1566">
        <f>IF(B1586=0,0,O1566/B1586)</f>
        <v/>
      </c>
      <c r="Q1566">
        <f>IFERROR(1/IF(Inputs!$B$39="pvp",15,MAX(0.1,Skills!D22-IF(Skills!E22=TRUE,4.0,0))),0)</f>
        <v/>
      </c>
      <c r="R1566" t="n">
        <v>0</v>
      </c>
      <c r="S1566" t="n">
        <v>0</v>
      </c>
      <c r="U1566" t="n">
        <v>0</v>
      </c>
    </row>
    <row r="1567">
      <c r="A1567">
        <f>Skills!A23</f>
        <v/>
      </c>
      <c r="B1567">
        <f>Skills!B23</f>
        <v/>
      </c>
      <c r="C1567">
        <f>Inputs!$B$3&gt;=50</f>
        <v/>
      </c>
      <c r="D1567">
        <f>IF(Skills!C23=1,60+Inputs!$B$26+Inputs!$B$30,IF(Skills!C23=2,90+Inputs!$B$27+Inputs!$B$30,IF(Skills!C23=3,120+Inputs!$B$28+Inputs!$B$30,MAX(0,(Inputs!$B$3-100)*3)+Inputs!$B$29+Inputs!$B$30)))</f>
        <v/>
      </c>
      <c r="E1567">
        <f>INDEX(FactorTable!$B$2:$Y$301, MATCH(ROUND(MIN(300,MAX(1,D1567)),0), FactorTable!$A$2:$A$301,0), Skills!L23+1)</f>
        <v/>
      </c>
      <c r="F1567">
        <f>IF(Skills!M23=TRUE,(Skills!K23/10)*(E1567/1000),Skills!K23/10)+Skills!N23</f>
        <v/>
      </c>
      <c r="G1567">
        <f>Calc!G23</f>
        <v/>
      </c>
      <c r="H1567">
        <f>Calc!H23</f>
        <v/>
      </c>
      <c r="I1567">
        <f>IF(Skills!T23&lt;&gt;"",1+(Skills!T23/10)*($Z$3/1000)/100,1)</f>
        <v/>
      </c>
      <c r="J1567" t="inlineStr"/>
      <c r="K1567" t="inlineStr"/>
      <c r="L1567" t="inlineStr"/>
      <c r="M1567" t="inlineStr"/>
      <c r="N1567" t="inlineStr"/>
      <c r="O1567">
        <f>(1-Summary!$B$48)*S1567+Summary!$B$48*U1567</f>
        <v/>
      </c>
      <c r="P1567">
        <f>IF(B1586=0,0,O1567/B1586)</f>
        <v/>
      </c>
      <c r="Q1567">
        <f>IFERROR(1/IF(Inputs!$B$39="pvp",15,MAX(0.1,Skills!D23-IF(Skills!E23=TRUE,4.0,0))),0)</f>
        <v/>
      </c>
      <c r="R1567" t="n">
        <v>0</v>
      </c>
      <c r="S1567" t="n">
        <v>0</v>
      </c>
      <c r="U1567" t="n">
        <v>0</v>
      </c>
    </row>
    <row r="1568">
      <c r="A1568">
        <f>Skills!A24</f>
        <v/>
      </c>
      <c r="B1568">
        <f>Skills!B24</f>
        <v/>
      </c>
      <c r="C1568">
        <f>Inputs!$B$3&gt;=74</f>
        <v/>
      </c>
      <c r="D1568">
        <f>IF(Skills!C24=1,60+Inputs!$B$26+Inputs!$B$30,IF(Skills!C24=2,90+Inputs!$B$27+Inputs!$B$30,IF(Skills!C24=3,120+Inputs!$B$28+Inputs!$B$30,MAX(0,(Inputs!$B$3-100)*3)+Inputs!$B$29+Inputs!$B$30)))</f>
        <v/>
      </c>
      <c r="E1568">
        <f>INDEX(FactorTable!$B$2:$Y$301, MATCH(ROUND(MIN(300,MAX(1,D1568)),0), FactorTable!$A$2:$A$301,0), Skills!L24+1)</f>
        <v/>
      </c>
      <c r="F1568">
        <f>IF(Skills!M24=TRUE,(Skills!K24/10)*(E1568/1000),Skills!K24/10)+Skills!N24</f>
        <v/>
      </c>
      <c r="G1568">
        <f>Calc!G24</f>
        <v/>
      </c>
      <c r="H1568">
        <f>Calc!H24</f>
        <v/>
      </c>
      <c r="I1568">
        <f>IF(Skills!T24&lt;&gt;"",1+(Skills!T24/10)*($Z$3/1000)/100,1)</f>
        <v/>
      </c>
      <c r="J1568" t="inlineStr"/>
      <c r="K1568" t="inlineStr"/>
      <c r="L1568" t="inlineStr"/>
      <c r="M1568" t="inlineStr"/>
      <c r="N1568" t="inlineStr"/>
      <c r="O1568">
        <f>(1-Summary!$B$48)*S1568+Summary!$B$48*U1568</f>
        <v/>
      </c>
      <c r="P1568">
        <f>IF(B1586=0,0,O1568/B1586)</f>
        <v/>
      </c>
      <c r="Q1568">
        <f>IFERROR(1/IF(Inputs!$B$39="pvp",15,MAX(0.1,Skills!D24-IF(Skills!E24=TRUE,4.0,0))),0)</f>
        <v/>
      </c>
      <c r="R1568" t="n">
        <v>0</v>
      </c>
      <c r="S1568" t="n">
        <v>0</v>
      </c>
      <c r="U1568" t="n">
        <v>0</v>
      </c>
    </row>
    <row r="1569">
      <c r="A1569">
        <f>Skills!A25</f>
        <v/>
      </c>
      <c r="B1569">
        <f>Skills!B25</f>
        <v/>
      </c>
      <c r="C1569">
        <f>Inputs!$B$3&gt;=74</f>
        <v/>
      </c>
      <c r="D1569">
        <f>IF(Skills!C25=1,60+Inputs!$B$26+Inputs!$B$30,IF(Skills!C25=2,90+Inputs!$B$27+Inputs!$B$30,IF(Skills!C25=3,120+Inputs!$B$28+Inputs!$B$30,MAX(0,(Inputs!$B$3-100)*3)+Inputs!$B$29+Inputs!$B$30)))</f>
        <v/>
      </c>
      <c r="E1569">
        <f>INDEX(FactorTable!$B$2:$Y$301, MATCH(ROUND(MIN(300,MAX(1,D1569)),0), FactorTable!$A$2:$A$301,0), Skills!L25+1)</f>
        <v/>
      </c>
      <c r="F1569">
        <f>IF(Skills!M25=TRUE,(Skills!K25/10)*(E1569/1000),Skills!K25/10)+Skills!N25</f>
        <v/>
      </c>
      <c r="G1569">
        <f>Calc!G25</f>
        <v/>
      </c>
      <c r="H1569">
        <f>Calc!H25</f>
        <v/>
      </c>
      <c r="I1569">
        <f>IF(Skills!T25&lt;&gt;"",1+(Skills!T25/10)*($Z$3/1000)/100,1)</f>
        <v/>
      </c>
      <c r="J1569" t="inlineStr"/>
      <c r="K1569" t="inlineStr"/>
      <c r="L1569" t="inlineStr"/>
      <c r="M1569" t="inlineStr"/>
      <c r="N1569" t="inlineStr"/>
      <c r="O1569">
        <f>(1-Summary!$B$48)*S1569+Summary!$B$48*U1569</f>
        <v/>
      </c>
      <c r="P1569">
        <f>IF(B1586=0,0,O1569/B1586)</f>
        <v/>
      </c>
      <c r="Q1569">
        <f>IFERROR(1/IF(Inputs!$B$39="pvp",15,MAX(0.1,Skills!D25-IF(Skills!E25=TRUE,4.0,0))),0)</f>
        <v/>
      </c>
      <c r="R1569" t="n">
        <v>0</v>
      </c>
      <c r="S1569" t="n">
        <v>0</v>
      </c>
      <c r="U1569" t="n">
        <v>0</v>
      </c>
    </row>
    <row r="1570">
      <c r="A1570">
        <f>Skills!A26</f>
        <v/>
      </c>
      <c r="B1570">
        <f>Skills!B26</f>
        <v/>
      </c>
      <c r="C1570">
        <f>Inputs!$B$3&gt;=117</f>
        <v/>
      </c>
      <c r="D1570">
        <f>IF(Skills!C26=1,60+Inputs!$B$26+Inputs!$B$30,IF(Skills!C26=2,90+Inputs!$B$27+Inputs!$B$30,IF(Skills!C26=3,120+Inputs!$B$28+Inputs!$B$30,MAX(0,(Inputs!$B$3-100)*3)+Inputs!$B$29+Inputs!$B$30)))</f>
        <v/>
      </c>
      <c r="E1570">
        <f>INDEX(FactorTable!$B$2:$Y$301, MATCH(ROUND(MIN(300,MAX(1,D1570)),0), FactorTable!$A$2:$A$301,0), Skills!L26+1)</f>
        <v/>
      </c>
      <c r="F1570">
        <f>IF(Skills!M26=TRUE,(Skills!K26/10)*(E1570/1000),Skills!K26/10)+Skills!N26</f>
        <v/>
      </c>
      <c r="G1570">
        <f>Calc!G26</f>
        <v/>
      </c>
      <c r="H1570">
        <f>Calc!H26</f>
        <v/>
      </c>
      <c r="I1570">
        <f>IF(Skills!T26&lt;&gt;"",1+(Skills!T26/10)*($Z$3/1000)/100,1)</f>
        <v/>
      </c>
      <c r="J1570" t="inlineStr"/>
      <c r="K1570" t="inlineStr"/>
      <c r="L1570" t="inlineStr"/>
      <c r="M1570" t="inlineStr"/>
      <c r="N1570" t="inlineStr"/>
      <c r="O1570">
        <f>(1-Summary!$B$48)*S1570+Summary!$B$48*U1570</f>
        <v/>
      </c>
      <c r="P1570">
        <f>IF(B1586=0,0,O1570/B1586)</f>
        <v/>
      </c>
      <c r="Q1570">
        <f>IFERROR(1/IF(Inputs!$B$39="pvp",15,MAX(0.1,Skills!D26-IF(Skills!E26=TRUE,4.0,0))),0)</f>
        <v/>
      </c>
      <c r="R1570" t="n">
        <v>0</v>
      </c>
      <c r="S1570" t="n">
        <v>0</v>
      </c>
      <c r="U1570" t="n">
        <v>0</v>
      </c>
    </row>
    <row r="1571">
      <c r="A1571">
        <f>Skills!A27</f>
        <v/>
      </c>
      <c r="B1571">
        <f>Skills!B27</f>
        <v/>
      </c>
      <c r="C1571">
        <f>Inputs!$B$3&gt;=120</f>
        <v/>
      </c>
      <c r="D1571">
        <f>IF(Skills!C27=1,60+Inputs!$B$26+Inputs!$B$30,IF(Skills!C27=2,90+Inputs!$B$27+Inputs!$B$30,IF(Skills!C27=3,120+Inputs!$B$28+Inputs!$B$30,MAX(0,(Inputs!$B$3-100)*3)+Inputs!$B$29+Inputs!$B$30)))</f>
        <v/>
      </c>
      <c r="E1571">
        <f>INDEX(FactorTable!$B$2:$Y$301, MATCH(ROUND(MIN(300,MAX(1,D1571)),0), FactorTable!$A$2:$A$301,0), Skills!L27+1)</f>
        <v/>
      </c>
      <c r="F1571">
        <f>IF(Skills!M27=TRUE,(Skills!K27/10)*(E1571/1000),Skills!K27/10)+Skills!N27</f>
        <v/>
      </c>
      <c r="G1571">
        <f>Calc!G27</f>
        <v/>
      </c>
      <c r="H1571">
        <f>Calc!H27</f>
        <v/>
      </c>
      <c r="I1571">
        <f>IF(Skills!T27&lt;&gt;"",1+(Skills!T27/10)*($Z$3/1000)/100,1)</f>
        <v/>
      </c>
      <c r="J1571" t="inlineStr"/>
      <c r="K1571" t="inlineStr"/>
      <c r="L1571" t="inlineStr"/>
      <c r="M1571" t="inlineStr"/>
      <c r="N1571" t="inlineStr"/>
      <c r="O1571">
        <f>(1-Summary!$B$48)*S1571+Summary!$B$48*U1571</f>
        <v/>
      </c>
      <c r="P1571">
        <f>IF(B1586=0,0,O1571/B1586)</f>
        <v/>
      </c>
      <c r="Q1571">
        <f>IFERROR(1/IF(Inputs!$B$39="pvp",15,MAX(0.1,Skills!D27-IF(Skills!E27=TRUE,4.0,0))),0)</f>
        <v/>
      </c>
      <c r="R1571" t="n">
        <v>0</v>
      </c>
      <c r="S1571" t="n">
        <v>0</v>
      </c>
      <c r="U1571" t="n">
        <v>0</v>
      </c>
    </row>
    <row r="1573">
      <c r="A1573" t="inlineStr">
        <is>
          <t>Average Buff Multiplier</t>
        </is>
      </c>
      <c r="B1573">
        <f>(1+(IF(C1547=TRUE,F1547*IF(AND(Inputs!$B$39&lt;&gt;"pvp",Inputs!$B$44&gt;0),(((R1547-1)*(Skills!S3*(1+(Inputs!$B$35+IF(Inputs!$B$3&gt;=117,F1570,0))/100))+MIN((Skills!S3*(1+(Inputs!$B$35+IF(Inputs!$B$3&gt;=117,F1570,0))/100)),MAX(0,Inputs!$B$44-((R1547-1)*Skills!D3))))/Inputs!$B$44),IF(Inputs!$B$39="pvp",MIN((Skills!S3*(1+(Inputs!$B$35+IF(Inputs!$B$3&gt;=117,F1570,0))/100)),15)/15,(Skills!S3*(1+(Inputs!$B$35+IF(Inputs!$B$3&gt;=117,F1570,0))/100))/Skills!D3)),0)+IF(C1548=TRUE,F1548*IF(AND(Inputs!$B$39&lt;&gt;"pvp",Inputs!$B$44&gt;0),(((R1548-1)*(Skills!S4*(1+(Inputs!$B$35+IF(Inputs!$B$3&gt;=117,F1570,0))/100))+MIN((Skills!S4*(1+(Inputs!$B$35+IF(Inputs!$B$3&gt;=117,F1570,0))/100)),MAX(0,Inputs!$B$44-((R1548-1)*Skills!D4))))/Inputs!$B$44),IF(Inputs!$B$39="pvp",MIN((Skills!S4*(1+(Inputs!$B$35+IF(Inputs!$B$3&gt;=117,F1570,0))/100)),15)/15,(Skills!S4*(1+(Inputs!$B$35+IF(Inputs!$B$3&gt;=117,F1570,0))/100))/Skills!D4)),0)+IF(C1549=TRUE,F1549*IF(AND(Inputs!$B$39&lt;&gt;"pvp",Inputs!$B$44&gt;0),(((R1549-1)*(Skills!S5*(1+(Inputs!$B$35+IF(Inputs!$B$3&gt;=117,F1570,0))/100))+MIN((Skills!S5*(1+(Inputs!$B$35+IF(Inputs!$B$3&gt;=117,F1570,0))/100)),MAX(0,Inputs!$B$44-((R1549-1)*Skills!D5))))/Inputs!$B$44),IF(Inputs!$B$39="pvp",MIN((Skills!S5*(1+(Inputs!$B$35+IF(Inputs!$B$3&gt;=117,F1570,0))/100)),15)/15,(Skills!S5*(1+(Inputs!$B$35+IF(Inputs!$B$3&gt;=117,F1570,0))/100))/Skills!D5)),0)+IF(C1555=TRUE,F1555*IF(AND(Inputs!$B$39&lt;&gt;"pvp",Inputs!$B$44&gt;0),(((R1555-1)*(Skills!S11*(1+(Inputs!$B$35+IF(Inputs!$B$3&gt;=117,F1570,0))/100))+MIN((Skills!S11*(1+(Inputs!$B$35+IF(Inputs!$B$3&gt;=117,F1570,0))/100)),MAX(0,Inputs!$B$44-((R1555-1)*Skills!D11))))/Inputs!$B$44),IF(Inputs!$B$39="pvp",MIN((Skills!S11*(1+(Inputs!$B$35+IF(Inputs!$B$3&gt;=117,F1570,0))/100)),15)/15,(Skills!S11*(1+(Inputs!$B$35+IF(Inputs!$B$3&gt;=117,F1570,0))/100))/Skills!D11)),0))/100)*IF(C1558=TRUE,(1+F1558*IF(AND(Inputs!$B$39&lt;&gt;"pvp",Inputs!$B$44&gt;0),(((R1558-1)*(Skills!S14*(1+(Inputs!$B$35+IF(Inputs!$B$3&gt;=117,F1570,0))/100))+MIN((Skills!S14*(1+(Inputs!$B$35+IF(Inputs!$B$3&gt;=117,F1570,0))/100)),MAX(0,Inputs!$B$44-((R1558-1)*Skills!D14))))/Inputs!$B$44),IF(Inputs!$B$39="pvp",MIN((Skills!S14*(1+(Inputs!$B$35+IF(Inputs!$B$3&gt;=117,F1570,0))/100)),15)/15,(Skills!S14*(1+(Inputs!$B$35+IF(Inputs!$B$3&gt;=117,F1570,0))/100))/Skills!D14))/100),1)*IF(C1563=TRUE,(1+F1563*IF(AND(Inputs!$B$39&lt;&gt;"pvp",Inputs!$B$44&gt;0),(((R1563-1)*(Skills!S19*(1+(Inputs!$B$35+IF(Inputs!$B$3&gt;=117,F1570,0))/100))+MIN((Skills!S19*(1+(Inputs!$B$35+IF(Inputs!$B$3&gt;=117,F1570,0))/100)),MAX(0,Inputs!$B$44-((R1563-1)*Skills!D19))))/Inputs!$B$44),IF(Inputs!$B$39="pvp",MIN((Skills!S19*(1+(Inputs!$B$35+IF(Inputs!$B$3&gt;=117,F1570,0))/100)),15)/15,(Skills!S19*(1+(Inputs!$B$35+IF(Inputs!$B$3&gt;=117,F1570,0))/100))/Skills!D19))/100),1)</f>
        <v/>
      </c>
    </row>
    <row r="1574">
      <c r="A1574" t="inlineStr">
        <is>
          <t>Monster Damage Taken Bonus % (Holy Fountain)</t>
        </is>
      </c>
      <c r="B1574">
        <f>IF(Inputs!$B$3&gt;=68,20*IF(Inputs!$B$39="pvp",MIN((15*(1+(Inputs!$B$35+IF(Inputs!$B$3&gt;=117,F1570,0))/100)),15)/15,(15*(1+(Inputs!$B$35+IF(Inputs!$B$3&gt;=117,F1570,0))/100))/Skills!D10),0)</f>
        <v/>
      </c>
    </row>
    <row r="1575">
      <c r="A1575" t="inlineStr">
        <is>
          <t>Normal Monster Damage Bonus % (Holy Symbol)</t>
        </is>
      </c>
      <c r="B1575">
        <f>IF(C1556=TRUE,F1556*IF(AND(Inputs!$B$39&lt;&gt;"pvp",Inputs!$B$44&gt;0),(((R1556-1)*(Skills!S12*(1+(Inputs!$B$35+IF(Inputs!$B$3&gt;=117,F1570,0))/100))+MIN((Skills!S12*(1+(Inputs!$B$35+IF(Inputs!$B$3&gt;=117,F1570,0))/100)),MAX(0,Inputs!$B$44-((R1556-1)*Skills!D12))))/Inputs!$B$44),IF(Inputs!$B$39="pvp",MIN((Skills!S12*(1+(Inputs!$B$35+IF(Inputs!$B$3&gt;=117,F1570,0))/100)),15)/15,(Skills!S12*(1+(Inputs!$B$35+IF(Inputs!$B$3&gt;=117,F1570,0))/100))/Skills!D12)),0)</f>
        <v/>
      </c>
    </row>
    <row r="1576">
      <c r="A1576" t="inlineStr">
        <is>
          <t>Damage % Bonus (Holy Symbol - Damage Boost)</t>
        </is>
      </c>
      <c r="B1576">
        <f>Skills!O12</f>
        <v/>
      </c>
    </row>
    <row r="1577">
      <c r="A1577" t="inlineStr">
        <is>
          <t>Crit Damage % Bonus (Blood of the Divine)</t>
        </is>
      </c>
      <c r="B1577">
        <f>4*IF(C1564=TRUE,F1564,0)</f>
        <v/>
      </c>
    </row>
    <row r="1578">
      <c r="A1578" t="inlineStr">
        <is>
          <t>Attack Speed Bonus %</t>
        </is>
      </c>
      <c r="B1578">
        <f>IF(C1561=TRUE,F1561+(F1565-Calc!F21),0)+IF(Inputs!$B$3&gt;=134,15,0)</f>
        <v/>
      </c>
    </row>
    <row r="1579">
      <c r="A1579" t="inlineStr">
        <is>
          <t>Actions Per Second</t>
        </is>
      </c>
      <c r="B1579">
        <f>1+MIN(150,150*(1-(1-Inputs!$B$12/150)*(1-B1578/150)))/100</f>
        <v/>
      </c>
    </row>
    <row r="1580">
      <c r="A1580" t="inlineStr">
        <is>
          <t>Skill + Buff Cast Rate</t>
        </is>
      </c>
      <c r="B1580">
        <f>IF(AND(Inputs!$B$39&lt;&gt;"pvp",Inputs!$B$44&gt;0),SUMPRODUCT((Skills!E2:E27=TRUE)*(C1546:C1571=TRUE)*R1546:R1571)/Inputs!$B$44,SUMPRODUCT((Skills!E2:E27=TRUE)*(C1546:C1571=TRUE)*Q1546:Q1571))</f>
        <v/>
      </c>
    </row>
    <row r="1581">
      <c r="A1581" t="inlineStr">
        <is>
          <t>Big Bang Casts Per Second</t>
        </is>
      </c>
      <c r="B1581">
        <f>MAX(0,B1579-B1580)</f>
        <v/>
      </c>
    </row>
    <row r="1582">
      <c r="A1582" t="inlineStr">
        <is>
          <t>Defense % Bonus (Divine Protection)</t>
        </is>
      </c>
      <c r="B1582">
        <f>IF(C1557=TRUE,F1557*IF(AND(Inputs!$B$39&lt;&gt;"pvp",Inputs!$B$44&gt;0),(((R1557-1)*(Skills!S13*(1+(Inputs!$B$35+IF(Inputs!$B$3&gt;=117,F1570,0))/100))+MIN((Skills!S13*(1+(Inputs!$B$35+IF(Inputs!$B$3&gt;=117,F1570,0))/100)),MAX(0,Inputs!$B$44-((R1557-1)*Skills!D13))))/Inputs!$B$44),IF(Inputs!$B$39="pvp",MIN((Skills!S13*(1+(Inputs!$B$35+IF(Inputs!$B$3&gt;=117,F1570,0))/100)),15)/15,(Skills!S13*(1+(Inputs!$B$35+IF(Inputs!$B$3&gt;=117,F1570,0))/100))/Skills!D13)),0)</f>
        <v/>
      </c>
    </row>
    <row r="1583">
      <c r="A1583" t="inlineStr">
        <is>
          <t>Buff-Casting Startup Delay (s, fixed-duration only)</t>
        </is>
      </c>
      <c r="B1583">
        <f>IF(AND(Inputs!$B$39&lt;&gt;"pvp",Inputs!$B$44&gt;0),SUMPRODUCT((Skills!S2:S27&gt;0)*(Skills!E2:E27=TRUE)*(C1546:C1571=TRUE))/B1579,0)</f>
        <v/>
      </c>
    </row>
    <row r="1584">
      <c r="A1584" t="inlineStr">
        <is>
          <t>Boss-Only Total DPS (this block's swept value)</t>
        </is>
      </c>
      <c r="B1584">
        <f>SUM(S1546:S1571)</f>
        <v/>
      </c>
    </row>
    <row r="1585">
      <c r="A1585" t="inlineStr">
        <is>
          <t>Normal-Only Total DPS (this block's swept value)</t>
        </is>
      </c>
      <c r="B1585">
        <f>SUM(U1546:U1571)</f>
        <v/>
      </c>
    </row>
    <row r="1586">
      <c r="A1586" s="5" t="inlineStr">
        <is>
          <t>TOTAL DPS</t>
        </is>
      </c>
      <c r="B1586" s="5">
        <f>SUM(O1546:O1571)</f>
        <v/>
      </c>
    </row>
    <row r="1588">
      <c r="A1588" s="5" t="inlineStr">
        <is>
          <t>Stat: CDR = 4.5s</t>
        </is>
      </c>
    </row>
    <row r="1589">
      <c r="A1589" s="9" t="inlineStr">
        <is>
          <t>Key</t>
        </is>
      </c>
      <c r="B1589" s="9" t="inlineStr">
        <is>
          <t>Name</t>
        </is>
      </c>
      <c r="C1589" s="9" t="inlineStr">
        <is>
          <t>Unlocked</t>
        </is>
      </c>
      <c r="D1589" s="9" t="inlineStr">
        <is>
          <t>InputLevel</t>
        </is>
      </c>
      <c r="E1589" s="9" t="inlineStr">
        <is>
          <t>Factor</t>
        </is>
      </c>
      <c r="F1589" s="9" t="inlineStr">
        <is>
          <t>CoefficientPercent</t>
        </is>
      </c>
      <c r="G1589" s="9" t="inlineStr">
        <is>
          <t>EffectiveHits</t>
        </is>
      </c>
      <c r="H1589" s="9" t="inlineStr">
        <is>
          <t>ProcProbability</t>
        </is>
      </c>
      <c r="I1589" s="9" t="inlineStr">
        <is>
          <t>MapleHeroMultiplier</t>
        </is>
      </c>
      <c r="J1589" s="9" t="inlineStr">
        <is>
          <t>BaseDamage</t>
        </is>
      </c>
      <c r="K1589" s="9" t="inlineStr">
        <is>
          <t>BaseHitDamage</t>
        </is>
      </c>
      <c r="L1589" s="9" t="inlineStr">
        <is>
          <t>NonCritAvg</t>
        </is>
      </c>
      <c r="M1589" s="9" t="inlineStr">
        <is>
          <t>CritAvg</t>
        </is>
      </c>
      <c r="N1589" s="9" t="inlineStr">
        <is>
          <t>ExpectedDamage(perHit)</t>
        </is>
      </c>
      <c r="O1589" s="9" t="inlineStr">
        <is>
          <t>DPS</t>
        </is>
      </c>
      <c r="P1589" s="9" t="inlineStr">
        <is>
          <t>% of Total</t>
        </is>
      </c>
      <c r="R1589" t="inlineStr">
        <is>
          <t>helpers</t>
        </is>
      </c>
    </row>
    <row r="1590">
      <c r="A1590">
        <f>Skills!A2</f>
        <v/>
      </c>
      <c r="B1590">
        <f>Skills!B2</f>
        <v/>
      </c>
      <c r="C1590">
        <f>Inputs!$B$3&gt;=100</f>
        <v/>
      </c>
      <c r="D1590" t="inlineStr"/>
      <c r="E1590" t="inlineStr"/>
      <c r="F1590">
        <f>T1592+Skills!N2</f>
        <v/>
      </c>
      <c r="G1590">
        <f>Calc!G2</f>
        <v/>
      </c>
      <c r="H1590">
        <f>Calc!H2</f>
        <v/>
      </c>
      <c r="I1590">
        <f>IF(Skills!T2&lt;&gt;"",1+(Skills!T2/10)*($Z$3/1000)/100,1)</f>
        <v/>
      </c>
      <c r="J1590">
        <f>((Inputs!$B$6*(1+Inputs!$B$7/100))+(((Inputs!$B$13*(1+Inputs!$B$14/100))-(Inputs!$B$13*(1+Inputs!$B$14/100)))+0.25*(Inputs!$B$15-Inputs!$B$15))*(1+Inputs!$B$7/100))*(F1590/100)</f>
        <v/>
      </c>
      <c r="K1590">
        <f>J1590*(1+(((Inputs!$B$13+IF(Inputs!$B$3&gt;=35,(10*INDEX(FactorTable!$B$2:$Y$301, MATCH(ROUND(MIN(300,MAX(1,Inputs!$B$3)),0), FactorTable!$A$2:$A$301,0), 23)/1000)/100*(Inputs!$B$8*(1+(Inputs!$B$9+B1626)/100)),0))*(1+Inputs!$B$14/100))*0.01+Inputs!$B$15*0.0025)/100)*(1+(Inputs!$B$16+B1620)/100)*(1+Inputs!$B$17/100)*(5000/(6000+Inputs!$B$43*(1-Inputs!$B$20/100)))*(1+Inputs!$B$25/100)*(1+IF(C1606=TRUE,F1606,0)/100)*(1+IF(C1608=TRUE,F1608,0)/100)*(1+IF(Skills!A2="TRIUMPH_FEATHER",IF(C1604=TRUE,F1604,0),0)/100)*(1+IF(C1615=TRUE,F1615,0)/100)^5*(1+(IF(Skills!A2="BIG_BANG",Inputs!$B$18,Inputs!$B$19))/100)*(B1617*I1590)</f>
        <v/>
      </c>
      <c r="L1590">
        <f>K1590*(MIN(Inputs!$B$23+(F1610-Calc!F22),Inputs!$B$24)/100+Inputs!$B$24/100)/2</f>
        <v/>
      </c>
      <c r="M1590">
        <f>L1590*(1+(Inputs!$B$11+B1621+(F1613-Calc!F25))/100)</f>
        <v/>
      </c>
      <c r="N1590">
        <f>L1590*(1-MIN(Inputs!$B$10+((F1612-Calc!F24)+(F1611-Calc!F23)),100)/100)+M1590*(MIN(Inputs!$B$10+((F1612-Calc!F24)+(F1611-Calc!F23)),100)/100)</f>
        <v/>
      </c>
      <c r="O1590">
        <f>(1-Summary!$B$48)*S1590+Summary!$B$48*U1590</f>
        <v/>
      </c>
      <c r="P1590">
        <f>IF(B1630=0,0,O1590/B1630)</f>
        <v/>
      </c>
      <c r="Q1590">
        <f>IFERROR(1/IF(Inputs!$B$39="pvp",15,MAX(0.1,Skills!D2-IF(Skills!E2=TRUE,4.5,0))),0)</f>
        <v/>
      </c>
      <c r="R1590" t="n">
        <v>0</v>
      </c>
      <c r="S1590">
        <f>IF(C1590,(Skills!F2*N1590*B1625)*IF(Inputs!$B$39="pvp",1,1+(Inputs!$B$21+Skills!O2+B1618)/100),0)</f>
        <v/>
      </c>
      <c r="T1590">
        <f>MAX(0,(Inputs!$B$3-100)*3)+Inputs!$B$29+Inputs!$B$30</f>
        <v/>
      </c>
      <c r="U1590">
        <f>IF(C1590,(Skills!F2*N1590*B1625)*IF(Inputs!$B$39="pvp",1,(1+(Inputs!$B$22+Skills!P2+B1619)/100)*(MIN((6+Inputs!$B$34),Inputs!$B$38))),0)</f>
        <v/>
      </c>
    </row>
    <row r="1591">
      <c r="A1591">
        <f>Skills!A3</f>
        <v/>
      </c>
      <c r="B1591">
        <f>Skills!B3</f>
        <v/>
      </c>
      <c r="C1591">
        <f>Inputs!$B$3&gt;=15</f>
        <v/>
      </c>
      <c r="D1591">
        <f>IF(Skills!C3=1,60+Inputs!$B$26+Inputs!$B$30,IF(Skills!C3=2,90+Inputs!$B$27+Inputs!$B$30,IF(Skills!C3=3,120+Inputs!$B$28+Inputs!$B$30,MAX(0,(Inputs!$B$3-100)*3)+Inputs!$B$29+Inputs!$B$30)))</f>
        <v/>
      </c>
      <c r="E1591">
        <f>INDEX(FactorTable!$B$2:$Y$301, MATCH(ROUND(MIN(300,MAX(1,D1591)),0), FactorTable!$A$2:$A$301,0), Skills!L3+1)</f>
        <v/>
      </c>
      <c r="F1591">
        <f>IF(Skills!M3=TRUE,(Skills!K3/10)*(E1591/1000),Skills!K3/10)+Skills!N3</f>
        <v/>
      </c>
      <c r="G1591">
        <f>Calc!G3</f>
        <v/>
      </c>
      <c r="H1591">
        <f>Calc!H3</f>
        <v/>
      </c>
      <c r="I1591">
        <f>IF(Skills!T3&lt;&gt;"",1+(Skills!T3/10)*($Z$3/1000)/100,1)</f>
        <v/>
      </c>
      <c r="J1591" t="inlineStr"/>
      <c r="K1591" t="inlineStr"/>
      <c r="L1591" t="inlineStr"/>
      <c r="M1591" t="inlineStr"/>
      <c r="N1591" t="inlineStr"/>
      <c r="O1591">
        <f>(1-Summary!$B$48)*S1591+Summary!$B$48*U1591</f>
        <v/>
      </c>
      <c r="P1591">
        <f>IF(B1630=0,0,O1591/B1630)</f>
        <v/>
      </c>
      <c r="Q1591">
        <f>IFERROR(1/IF(Inputs!$B$39="pvp",15,MAX(0.1,Skills!D3-IF(Skills!E3=TRUE,4.5,0))),0)</f>
        <v/>
      </c>
      <c r="R1591">
        <f>IF(AND(Inputs!$B$39&lt;&gt;"pvp",Inputs!$B$44&gt;0),IF(Inputs!$B$44&lt;=0,0,(INT(Inputs!$B$44/IF(Inputs!$B$39="pvp",15,MAX(0.1,Skills!D3-IF(Skills!E3=TRUE,4.5,0))))+1)),0)</f>
        <v/>
      </c>
      <c r="S1591" t="n">
        <v>0</v>
      </c>
      <c r="T1591">
        <f>INDEX(FactorTable!$B$2:$Y$301, MATCH(ROUND(MIN(300,MAX(1,T1590)),0), FactorTable!$A$2:$A$301,0), 22)</f>
        <v/>
      </c>
      <c r="U1591" t="n">
        <v>0</v>
      </c>
    </row>
    <row r="1592">
      <c r="A1592">
        <f>Skills!A4</f>
        <v/>
      </c>
      <c r="B1592">
        <f>Skills!B4</f>
        <v/>
      </c>
      <c r="C1592">
        <f>Inputs!$B$3&gt;=38</f>
        <v/>
      </c>
      <c r="D1592">
        <f>IF(Skills!C4=1,60+Inputs!$B$26+Inputs!$B$30,IF(Skills!C4=2,90+Inputs!$B$27+Inputs!$B$30,IF(Skills!C4=3,120+Inputs!$B$28+Inputs!$B$30,MAX(0,(Inputs!$B$3-100)*3)+Inputs!$B$29+Inputs!$B$30)))</f>
        <v/>
      </c>
      <c r="E1592">
        <f>INDEX(FactorTable!$B$2:$Y$301, MATCH(ROUND(MIN(300,MAX(1,D1592)),0), FactorTable!$A$2:$A$301,0), Skills!L4+1)</f>
        <v/>
      </c>
      <c r="F1592">
        <f>IF(Skills!M4=TRUE,(Skills!K4/10)*(E1592/1000),Skills!K4/10)+Skills!N4</f>
        <v/>
      </c>
      <c r="G1592">
        <f>Calc!G4</f>
        <v/>
      </c>
      <c r="H1592">
        <f>Calc!H4</f>
        <v/>
      </c>
      <c r="I1592">
        <f>IF(Skills!T4&lt;&gt;"",1+(Skills!T4/10)*($Z$3/1000)/100,1)</f>
        <v/>
      </c>
      <c r="J1592" t="inlineStr"/>
      <c r="K1592" t="inlineStr"/>
      <c r="L1592" t="inlineStr"/>
      <c r="M1592" t="inlineStr"/>
      <c r="N1592" t="inlineStr"/>
      <c r="O1592">
        <f>(1-Summary!$B$48)*S1592+Summary!$B$48*U1592</f>
        <v/>
      </c>
      <c r="P1592">
        <f>IF(B1630=0,0,O1592/B1630)</f>
        <v/>
      </c>
      <c r="Q1592">
        <f>IFERROR(1/IF(Inputs!$B$39="pvp",15,MAX(0.1,Skills!D4-IF(Skills!E4=TRUE,4.5,0))),0)</f>
        <v/>
      </c>
      <c r="R1592">
        <f>IF(AND(Inputs!$B$39&lt;&gt;"pvp",Inputs!$B$44&gt;0),IF(Inputs!$B$44&lt;=0,0,(INT(Inputs!$B$44/IF(Inputs!$B$39="pvp",15,MAX(0.1,Skills!D4-IF(Skills!E4=TRUE,4.5,0))))+1)),0)</f>
        <v/>
      </c>
      <c r="S1592" t="n">
        <v>0</v>
      </c>
      <c r="T1592">
        <f>290*T1591/1000</f>
        <v/>
      </c>
      <c r="U1592" t="n">
        <v>0</v>
      </c>
    </row>
    <row r="1593">
      <c r="A1593">
        <f>Skills!A5</f>
        <v/>
      </c>
      <c r="B1593">
        <f>Skills!B5</f>
        <v/>
      </c>
      <c r="C1593">
        <f>Inputs!$B$3&gt;=40</f>
        <v/>
      </c>
      <c r="D1593">
        <f>IF(Skills!C5=1,60+Inputs!$B$26+Inputs!$B$30,IF(Skills!C5=2,90+Inputs!$B$27+Inputs!$B$30,IF(Skills!C5=3,120+Inputs!$B$28+Inputs!$B$30,MAX(0,(Inputs!$B$3-100)*3)+Inputs!$B$29+Inputs!$B$30)))</f>
        <v/>
      </c>
      <c r="E1593">
        <f>INDEX(FactorTable!$B$2:$Y$301, MATCH(ROUND(MIN(300,MAX(1,D1593)),0), FactorTable!$A$2:$A$301,0), Skills!L5+1)</f>
        <v/>
      </c>
      <c r="F1593">
        <f>IF(Skills!M5=TRUE,(Skills!K5/10)*(E1593/1000),Skills!K5/10)+Skills!N5</f>
        <v/>
      </c>
      <c r="G1593">
        <f>Calc!G5</f>
        <v/>
      </c>
      <c r="H1593">
        <f>Calc!H5</f>
        <v/>
      </c>
      <c r="I1593">
        <f>IF(Skills!T5&lt;&gt;"",1+(Skills!T5/10)*($Z$3/1000)/100,1)</f>
        <v/>
      </c>
      <c r="J1593" t="inlineStr"/>
      <c r="K1593" t="inlineStr"/>
      <c r="L1593" t="inlineStr"/>
      <c r="M1593" t="inlineStr"/>
      <c r="N1593" t="inlineStr"/>
      <c r="O1593">
        <f>(1-Summary!$B$48)*S1593+Summary!$B$48*U1593</f>
        <v/>
      </c>
      <c r="P1593">
        <f>IF(B1630=0,0,O1593/B1630)</f>
        <v/>
      </c>
      <c r="Q1593">
        <f>IFERROR(1/IF(Inputs!$B$39="pvp",15,MAX(0.1,Skills!D5-IF(Skills!E5=TRUE,4.5,0))),0)</f>
        <v/>
      </c>
      <c r="R1593">
        <f>IF(AND(Inputs!$B$39&lt;&gt;"pvp",Inputs!$B$44&gt;0),IF(Inputs!$B$44&lt;=0,0,(INT(Inputs!$B$44/IF(Inputs!$B$39="pvp",15,MAX(0.1,Skills!D5-IF(Skills!E5=TRUE,4.5,0))))+1)),0)</f>
        <v/>
      </c>
      <c r="S1593" t="n">
        <v>0</v>
      </c>
      <c r="U1593" t="n">
        <v>0</v>
      </c>
    </row>
    <row r="1594">
      <c r="A1594">
        <f>Skills!A6</f>
        <v/>
      </c>
      <c r="B1594">
        <f>Skills!B6</f>
        <v/>
      </c>
      <c r="C1594">
        <f>Inputs!$B$3&gt;=103</f>
        <v/>
      </c>
      <c r="D1594">
        <f>IF(Skills!C6=1,60+Inputs!$B$26+Inputs!$B$30,IF(Skills!C6=2,90+Inputs!$B$27+Inputs!$B$30,IF(Skills!C6=3,120+Inputs!$B$28+Inputs!$B$30,MAX(0,(Inputs!$B$3-100)*3)+Inputs!$B$29+Inputs!$B$30)))</f>
        <v/>
      </c>
      <c r="E1594">
        <f>INDEX(FactorTable!$B$2:$Y$301, MATCH(ROUND(MIN(300,MAX(1,D1594)),0), FactorTable!$A$2:$A$301,0), Skills!L6+1)</f>
        <v/>
      </c>
      <c r="F1594">
        <f>IF(Skills!M6=TRUE,(Skills!K6/10)*(E1594/1000),Skills!K6/10)+Skills!N6</f>
        <v/>
      </c>
      <c r="G1594">
        <f>Calc!G6</f>
        <v/>
      </c>
      <c r="H1594">
        <f>Calc!H6</f>
        <v/>
      </c>
      <c r="I1594">
        <f>IF(Skills!T6&lt;&gt;"",1+(Skills!T6/10)*($Z$3/1000)/100,1)</f>
        <v/>
      </c>
      <c r="J1594">
        <f>((Inputs!$B$6*(1+Inputs!$B$7/100))+(((Inputs!$B$13*(1+Inputs!$B$14/100))-(Inputs!$B$13*(1+Inputs!$B$14/100)))+0.25*(Inputs!$B$15-Inputs!$B$15))*(1+Inputs!$B$7/100))*(F1594/100)</f>
        <v/>
      </c>
      <c r="K1594">
        <f>J1594*(1+(((Inputs!$B$13+IF(Inputs!$B$3&gt;=35,(10*INDEX(FactorTable!$B$2:$Y$301, MATCH(ROUND(MIN(300,MAX(1,Inputs!$B$3)),0), FactorTable!$A$2:$A$301,0), 23)/1000)/100*(Inputs!$B$8*(1+(Inputs!$B$9+B1626)/100)),0))*(1+Inputs!$B$14/100))*0.01+Inputs!$B$15*0.0025)/100)*(1+(Inputs!$B$16+B1620)/100)*(1+Inputs!$B$17/100)*(5000/(6000+Inputs!$B$43*(1-Inputs!$B$20/100)))*(1+Inputs!$B$25/100)*(1+IF(C1606=TRUE,F1606,0)/100)*(1+IF(C1608=TRUE,F1608,0)/100)*(1+IF(Skills!A6="TRIUMPH_FEATHER",IF(C1604=TRUE,F1604,0),0)/100)*(1+IF(C1615=TRUE,F1615,0)/100)^5*(1+(IF(Skills!A6="BIG_BANG",Inputs!$B$18,Inputs!$B$19))/100)*(B1617*I1594)</f>
        <v/>
      </c>
      <c r="L1594">
        <f>K1594*(MIN(Inputs!$B$23+(F1610-Calc!F22),Inputs!$B$24)/100+Inputs!$B$24/100)/2</f>
        <v/>
      </c>
      <c r="M1594">
        <f>L1594*(1+(Inputs!$B$11+B1621+(F1613-Calc!F25))/100)</f>
        <v/>
      </c>
      <c r="N1594">
        <f>L1594*(1-MIN(Inputs!$B$10+((F1612-Calc!F24)+(F1611-Calc!F23)),100)/100)+M1594*(MIN(Inputs!$B$10+((F1612-Calc!F24)+(F1611-Calc!F23)),100)/100)</f>
        <v/>
      </c>
      <c r="O1594">
        <f>(1-Summary!$B$48)*S1594+Summary!$B$48*U1594</f>
        <v/>
      </c>
      <c r="P1594">
        <f>IF(B1630=0,0,O1594/B1630)</f>
        <v/>
      </c>
      <c r="Q1594">
        <f>IFERROR(1/IF(Inputs!$B$39="pvp",15,MAX(0.1,Skills!D6-IF(Skills!E6=TRUE,4.5,0))),0)</f>
        <v/>
      </c>
      <c r="R1594">
        <f>IF(AND(Inputs!$B$39&lt;&gt;"pvp",Inputs!$B$44&gt;0),IF(MAX(0,Inputs!$B$44-B1627)&lt;=0,0,(INT(MAX(0,Inputs!$B$44-B1627)/IF(Inputs!$B$39="pvp",15,MAX(0.1,Skills!D6-IF(Skills!E6=TRUE,4.5,0))))+1)),0)</f>
        <v/>
      </c>
      <c r="S1594">
        <f>IF(C1594,(H1594*N1594*IF(AND(Inputs!$B$39&lt;&gt;"pvp",Inputs!$B$44&gt;0),((Skills!F6*((R1594-1)*IF(Skills!G6&gt;0,Skills!H6/Skills!G6,1)+IF(Skills!G6&gt;0,MIN(Skills!H6,MAX(0,MAX(0,Inputs!$B$44-B1627)-((R1594-1)*IF(Inputs!$B$39="pvp",15,MAX(0.1,Skills!D6-IF(Skills!E6=TRUE,4.5,0))))))/Skills!G6,1)))/Inputs!$B$44),G1594*Q1594))*IF(Inputs!$B$39="pvp",1,1+(Inputs!$B$21+Skills!O6+B1618)/100),0)</f>
        <v/>
      </c>
      <c r="U1594">
        <f>IF(C1594,(H1594*N1594*IF(AND(Inputs!$B$39&lt;&gt;"pvp",Inputs!$B$44&gt;0),((Skills!F6*((R1594-1)*IF(Skills!G6&gt;0,Skills!H6/Skills!G6,1)+IF(Skills!G6&gt;0,MIN(Skills!H6,MAX(0,MAX(0,Inputs!$B$44-B1627)-((R1594-1)*IF(Inputs!$B$39="pvp",15,MAX(0.1,Skills!D6-IF(Skills!E6=TRUE,4.5,0))))))/Skills!G6,1)))/Inputs!$B$44),G1594*Q1594))*IF(Inputs!$B$39="pvp",1,(1+(Inputs!$B$22+Skills!P6+B1619)/100)*(MIN(Skills!Q6,Inputs!$B$38))),0)</f>
        <v/>
      </c>
    </row>
    <row r="1595">
      <c r="A1595">
        <f>Skills!A7</f>
        <v/>
      </c>
      <c r="B1595">
        <f>Skills!B7</f>
        <v/>
      </c>
      <c r="C1595">
        <f>Inputs!$B$3&gt;=122</f>
        <v/>
      </c>
      <c r="D1595">
        <f>IF(Skills!C7=1,60+Inputs!$B$26+Inputs!$B$30,IF(Skills!C7=2,90+Inputs!$B$27+Inputs!$B$30,IF(Skills!C7=3,120+Inputs!$B$28+Inputs!$B$30,MAX(0,(Inputs!$B$3-100)*3)+Inputs!$B$29+Inputs!$B$30)))</f>
        <v/>
      </c>
      <c r="E1595">
        <f>INDEX(FactorTable!$B$2:$Y$301, MATCH(ROUND(MIN(300,MAX(1,D1595)),0), FactorTable!$A$2:$A$301,0), Skills!L7+1)</f>
        <v/>
      </c>
      <c r="F1595">
        <f>IF(Skills!M7=TRUE,(Skills!K7/10)*(E1595/1000),Skills!K7/10)+Skills!N7</f>
        <v/>
      </c>
      <c r="G1595">
        <f>Calc!G7</f>
        <v/>
      </c>
      <c r="H1595">
        <f>Calc!H7</f>
        <v/>
      </c>
      <c r="I1595">
        <f>IF(Skills!T7&lt;&gt;"",1+(Skills!T7/10)*($Z$3/1000)/100,1)</f>
        <v/>
      </c>
      <c r="J1595">
        <f>((Inputs!$B$6*(1+Inputs!$B$7/100))+(((Inputs!$B$13*(1+Inputs!$B$14/100))-(Inputs!$B$13*(1+Inputs!$B$14/100)))+0.25*(Inputs!$B$15-Inputs!$B$15))*(1+Inputs!$B$7/100))*(F1595/100)</f>
        <v/>
      </c>
      <c r="K1595">
        <f>J1595*(1+(((Inputs!$B$13+IF(Inputs!$B$3&gt;=35,(10*INDEX(FactorTable!$B$2:$Y$301, MATCH(ROUND(MIN(300,MAX(1,Inputs!$B$3)),0), FactorTable!$A$2:$A$301,0), 23)/1000)/100*(Inputs!$B$8*(1+(Inputs!$B$9+B1626)/100)),0))*(1+Inputs!$B$14/100))*0.01+Inputs!$B$15*0.0025)/100)*(1+(Inputs!$B$16+B1620)/100)*(1+Inputs!$B$17/100)*(5000/(6000+Inputs!$B$43*(1-Inputs!$B$20/100)))*(1+Inputs!$B$25/100)*(1+IF(C1606=TRUE,F1606,0)/100)*(1+IF(C1608=TRUE,F1608,0)/100)*(1+IF(Skills!A7="TRIUMPH_FEATHER",IF(C1604=TRUE,F1604,0),0)/100)*(1+IF(C1615=TRUE,F1615,0)/100)^5*(1+(IF(Skills!A7="BIG_BANG",Inputs!$B$18,Inputs!$B$19))/100)*(B1617*I1595)</f>
        <v/>
      </c>
      <c r="L1595">
        <f>K1595*(MIN(Inputs!$B$23+(F1610-Calc!F22),Inputs!$B$24)/100+Inputs!$B$24/100)/2</f>
        <v/>
      </c>
      <c r="M1595">
        <f>L1595*(1+(Inputs!$B$11+B1621+(F1613-Calc!F25))/100)</f>
        <v/>
      </c>
      <c r="N1595">
        <f>L1595*(1-MIN(Inputs!$B$10+((F1612-Calc!F24)+(F1611-Calc!F23)),100)/100)+M1595*(MIN(Inputs!$B$10+((F1612-Calc!F24)+(F1611-Calc!F23)),100)/100)</f>
        <v/>
      </c>
      <c r="O1595">
        <f>(1-Summary!$B$48)*S1595+Summary!$B$48*U1595</f>
        <v/>
      </c>
      <c r="P1595">
        <f>IF(B1630=0,0,O1595/B1630)</f>
        <v/>
      </c>
      <c r="Q1595">
        <f>IFERROR(1/IF(Inputs!$B$39="pvp",15,MAX(0.1,Skills!D7-IF(Skills!E6=TRUE,4.5,0))),0)</f>
        <v/>
      </c>
      <c r="R1595">
        <f>IF(AND(Inputs!$B$39&lt;&gt;"pvp",Inputs!$B$44&gt;0),IF(MAX(0,Inputs!$B$44-B1627)&lt;=0,0,(INT(MAX(0,Inputs!$B$44-B1627)/IF(Inputs!$B$39="pvp",15,MAX(0.1,Skills!D7-IF(Skills!E6=TRUE,4.5,0))))+1)),0)</f>
        <v/>
      </c>
      <c r="S1595">
        <f>IF(C1595,H1595*N1595*IF(AND(Inputs!$B$39&lt;&gt;"pvp",Inputs!$B$44&gt;0),((Skills!F7*((R1595-1)*IF(Skills!G7&gt;0,Skills!H7/Skills!G7,1)+IF(Skills!G7&gt;0,MIN(Skills!H7,MAX(0,MAX(0,Inputs!$B$44-B1627)-((R1595-1)*IF(Inputs!$B$39="pvp",15,MAX(0.1,Skills!D7-IF(Skills!E6=TRUE,4.5,0))))))/Skills!G7,1)))/Inputs!$B$44),G1595*Q1595)*IF(Inputs!$B$39="pvp",1,1+(Inputs!$B$21+Skills!O7+B1618)/100),0)</f>
        <v/>
      </c>
      <c r="U1595" t="n">
        <v>0</v>
      </c>
    </row>
    <row r="1596">
      <c r="A1596">
        <f>Skills!A8</f>
        <v/>
      </c>
      <c r="B1596">
        <f>Skills!B8</f>
        <v/>
      </c>
      <c r="C1596">
        <f>Inputs!$B$3&gt;=105</f>
        <v/>
      </c>
      <c r="D1596">
        <f>IF(Skills!C8=1,60+Inputs!$B$26+Inputs!$B$30,IF(Skills!C8=2,90+Inputs!$B$27+Inputs!$B$30,IF(Skills!C8=3,120+Inputs!$B$28+Inputs!$B$30,MAX(0,(Inputs!$B$3-100)*3)+Inputs!$B$29+Inputs!$B$30)))</f>
        <v/>
      </c>
      <c r="E1596">
        <f>INDEX(FactorTable!$B$2:$Y$301, MATCH(ROUND(MIN(300,MAX(1,D1596)),0), FactorTable!$A$2:$A$301,0), Skills!L8+1)</f>
        <v/>
      </c>
      <c r="F1596">
        <f>IF(Skills!M8=TRUE,(Skills!K8/10)*(E1596/1000),Skills!K8/10)+Skills!N8</f>
        <v/>
      </c>
      <c r="G1596">
        <f>Calc!G8</f>
        <v/>
      </c>
      <c r="H1596">
        <f>Calc!H8</f>
        <v/>
      </c>
      <c r="I1596">
        <f>IF(Skills!T8&lt;&gt;"",1+(Skills!T8/10)*($Z$3/1000)/100,1)</f>
        <v/>
      </c>
      <c r="J1596">
        <f>((Inputs!$B$6*(1+Inputs!$B$7/100))+(((Inputs!$B$13*(1+Inputs!$B$14/100))-(Inputs!$B$13*(1+Inputs!$B$14/100)))+0.25*(Inputs!$B$15-Inputs!$B$15))*(1+Inputs!$B$7/100))*(F1596/100)</f>
        <v/>
      </c>
      <c r="K1596">
        <f>J1596*(1+(((Inputs!$B$13+IF(Inputs!$B$3&gt;=35,(10*INDEX(FactorTable!$B$2:$Y$301, MATCH(ROUND(MIN(300,MAX(1,Inputs!$B$3)),0), FactorTable!$A$2:$A$301,0), 23)/1000)/100*(Inputs!$B$8*(1+(Inputs!$B$9+B1626)/100)),0))*(1+Inputs!$B$14/100))*0.01+Inputs!$B$15*0.0025)/100)*(1+(Inputs!$B$16+B1620)/100)*(1+Inputs!$B$17/100)*(5000/(6000+Inputs!$B$43*(1-Inputs!$B$20/100)))*(1+Inputs!$B$25/100)*(1+IF(C1606=TRUE,F1606,0)/100)*(1+IF(C1608=TRUE,F1608,0)/100)*(1+IF(Skills!A8="TRIUMPH_FEATHER",IF(C1604=TRUE,F1604,0),0)/100)*(1+IF(C1615=TRUE,F1615,0)/100)^5*(1+(IF(Skills!A8="BIG_BANG",Inputs!$B$18,Inputs!$B$19))/100)*(B1617*I1596)</f>
        <v/>
      </c>
      <c r="L1596">
        <f>K1596*(MIN(Inputs!$B$23+(F1610-Calc!F22),Inputs!$B$24)/100+Inputs!$B$24/100)/2</f>
        <v/>
      </c>
      <c r="M1596">
        <f>L1596*(1+(Inputs!$B$11+B1621+(F1613-Calc!F25))/100)</f>
        <v/>
      </c>
      <c r="N1596">
        <f>L1596*(1-MIN(Inputs!$B$10+((F1612-Calc!F24)+(F1611-Calc!F23)),100)/100)+M1596*(MIN(Inputs!$B$10+((F1612-Calc!F24)+(F1611-Calc!F23)),100)/100)</f>
        <v/>
      </c>
      <c r="O1596">
        <f>(1-Summary!$B$48)*S1596+Summary!$B$48*U1596</f>
        <v/>
      </c>
      <c r="P1596">
        <f>IF(B1630=0,0,O1596/B1630)</f>
        <v/>
      </c>
      <c r="Q1596">
        <f>IFERROR(1/IF(Inputs!$B$39="pvp",15,MAX(0.1,Skills!D8-IF(Skills!E8=TRUE,4.5,0))),0)</f>
        <v/>
      </c>
      <c r="R1596">
        <f>IF(AND(Inputs!$B$39&lt;&gt;"pvp",Inputs!$B$44&gt;0),IF(MAX(0,Inputs!$B$44-B1627)&lt;=0,0,(INT(MAX(0,Inputs!$B$44-B1627)/IF(Inputs!$B$39="pvp",15,MAX(0.1,Skills!D8-IF(Skills!E8=TRUE,4.5,0))))+1)),0)</f>
        <v/>
      </c>
      <c r="S1596">
        <f>IF(C1596,(H1596*N1596*IF(AND(Inputs!$B$39&lt;&gt;"pvp",Inputs!$B$44&gt;0),((Skills!F8*((R1596-1)*IF(Skills!G8&gt;0,Skills!H8/Skills!G8,1)+IF(Skills!G8&gt;0,MIN(Skills!H8,MAX(0,MAX(0,Inputs!$B$44-B1627)-((R1596-1)*IF(Inputs!$B$39="pvp",15,MAX(0.1,Skills!D8-IF(Skills!E8=TRUE,4.5,0))))))/Skills!G8,1)))/Inputs!$B$44),G1596*Q1596))*IF(Inputs!$B$39="pvp",1,1+(Inputs!$B$21+Skills!O8+B1618)/100),0)</f>
        <v/>
      </c>
      <c r="U1596">
        <f>IF(C1596,(H1596*N1596*IF(AND(Inputs!$B$39&lt;&gt;"pvp",Inputs!$B$44&gt;0),((Skills!F8*((R1596-1)*IF(Skills!G8&gt;0,Skills!H8/Skills!G8,1)+IF(Skills!G8&gt;0,MIN(Skills!H8,MAX(0,MAX(0,Inputs!$B$44-B1627)-((R1596-1)*IF(Inputs!$B$39="pvp",15,MAX(0.1,Skills!D8-IF(Skills!E8=TRUE,4.5,0))))))/Skills!G8,1)))/Inputs!$B$44),G1596*Q1596))*IF(Inputs!$B$39="pvp",1,(1+(Inputs!$B$22+Skills!P8+B1619)/100)*(MIN(Skills!Q8,Inputs!$B$38))),0)</f>
        <v/>
      </c>
    </row>
    <row r="1597">
      <c r="A1597">
        <f>Skills!A9</f>
        <v/>
      </c>
      <c r="B1597">
        <f>Skills!B9</f>
        <v/>
      </c>
      <c r="C1597">
        <f>Inputs!$B$3&gt;=115</f>
        <v/>
      </c>
      <c r="D1597">
        <f>IF(Skills!C9=1,60+Inputs!$B$26+Inputs!$B$30,IF(Skills!C9=2,90+Inputs!$B$27+Inputs!$B$30,IF(Skills!C9=3,120+Inputs!$B$28+Inputs!$B$30,MAX(0,(Inputs!$B$3-100)*3)+Inputs!$B$29+Inputs!$B$30)))</f>
        <v/>
      </c>
      <c r="E1597">
        <f>INDEX(FactorTable!$B$2:$Y$301, MATCH(ROUND(MIN(300,MAX(1,D1597)),0), FactorTable!$A$2:$A$301,0), Skills!L9+1)</f>
        <v/>
      </c>
      <c r="F1597">
        <f>IF(Skills!M9=TRUE,(Skills!K9/10)*(E1597/1000),Skills!K9/10)+Skills!N9</f>
        <v/>
      </c>
      <c r="G1597">
        <f>Calc!G9</f>
        <v/>
      </c>
      <c r="H1597">
        <f>Calc!H9</f>
        <v/>
      </c>
      <c r="I1597">
        <f>IF(Skills!T9&lt;&gt;"",1+(Skills!T9/10)*($Z$3/1000)/100,1)</f>
        <v/>
      </c>
      <c r="J1597">
        <f>((Inputs!$B$6*(1+Inputs!$B$7/100))+(((Inputs!$B$13*(1+Inputs!$B$14/100))-(Inputs!$B$13*(1+Inputs!$B$14/100)))+0.25*(Inputs!$B$15-Inputs!$B$15))*(1+Inputs!$B$7/100))*(F1597/100)</f>
        <v/>
      </c>
      <c r="K1597">
        <f>J1597*(1+(((Inputs!$B$13+IF(Inputs!$B$3&gt;=35,(10*INDEX(FactorTable!$B$2:$Y$301, MATCH(ROUND(MIN(300,MAX(1,Inputs!$B$3)),0), FactorTable!$A$2:$A$301,0), 23)/1000)/100*(Inputs!$B$8*(1+(Inputs!$B$9+B1626)/100)),0))*(1+Inputs!$B$14/100))*0.01+Inputs!$B$15*0.0025)/100)*(1+(Inputs!$B$16+B1620)/100)*(1+Inputs!$B$17/100)*(5000/(6000+Inputs!$B$43*(1-Inputs!$B$20/100)))*(1+Inputs!$B$25/100)*(1+IF(C1606=TRUE,F1606,0)/100)*(1+IF(C1608=TRUE,F1608,0)/100)*(1+IF(Skills!A9="TRIUMPH_FEATHER",IF(C1604=TRUE,F1604,0),0)/100)*(1+IF(C1615=TRUE,F1615,0)/100)^5*(1+(IF(Skills!A9="BIG_BANG",Inputs!$B$18,Inputs!$B$19))/100)*(B1617*I1597)</f>
        <v/>
      </c>
      <c r="L1597">
        <f>K1597*(MIN(Inputs!$B$23+(F1610-Calc!F22),Inputs!$B$24)/100+Inputs!$B$24/100)/2</f>
        <v/>
      </c>
      <c r="M1597">
        <f>L1597*(1+(Inputs!$B$11+B1621+(F1613-Calc!F25))/100)</f>
        <v/>
      </c>
      <c r="N1597">
        <f>L1597*(1-MIN(Inputs!$B$10+((F1612-Calc!F24)+(F1611-Calc!F23)),100)/100)+M1597*(MIN(Inputs!$B$10+((F1612-Calc!F24)+(F1611-Calc!F23)),100)/100)</f>
        <v/>
      </c>
      <c r="O1597">
        <f>(1-Summary!$B$48)*S1597+Summary!$B$48*U1597</f>
        <v/>
      </c>
      <c r="P1597">
        <f>IF(B1630=0,0,O1597/B1630)</f>
        <v/>
      </c>
      <c r="Q1597">
        <f>IFERROR(1/IF(Inputs!$B$39="pvp",15,MAX(0.1,Skills!D9-IF(Skills!E9=TRUE,4.5,0))),0)</f>
        <v/>
      </c>
      <c r="R1597">
        <f>IF(AND(Inputs!$B$39&lt;&gt;"pvp",Inputs!$B$44&gt;0),IF(MAX(0,Inputs!$B$44-B1627)&lt;=0,0,(INT(MAX(0,Inputs!$B$44-B1627)/IF(Inputs!$B$39="pvp",15,MAX(0.1,Skills!D9-IF(Skills!E9=TRUE,4.5,0))))+1)),0)</f>
        <v/>
      </c>
      <c r="S1597">
        <f>IF(C1597,(H1597*N1597*IF(AND(Inputs!$B$39&lt;&gt;"pvp",Inputs!$B$44&gt;0),((Skills!F9*((R1597-1)*IF(Skills!G9&gt;0,Skills!H9/Skills!G9,1)+IF(Skills!G9&gt;0,MIN(Skills!H9,MAX(0,MAX(0,Inputs!$B$44-B1627)-((R1597-1)*IF(Inputs!$B$39="pvp",15,MAX(0.1,Skills!D9-IF(Skills!E9=TRUE,4.5,0))))))/Skills!G9,1)))/Inputs!$B$44),G1597*Q1597))*IF(Inputs!$B$39="pvp",1,1+(Inputs!$B$21+Skills!O9+B1618)/100),0)</f>
        <v/>
      </c>
      <c r="U1597">
        <f>IF(C1597,(H1597*N1597*IF(AND(Inputs!$B$39&lt;&gt;"pvp",Inputs!$B$44&gt;0),((Skills!F9*((R1597-1)*IF(Skills!G9&gt;0,Skills!H9/Skills!G9,1)+IF(Skills!G9&gt;0,MIN(Skills!H9,MAX(0,MAX(0,Inputs!$B$44-B1627)-((R1597-1)*IF(Inputs!$B$39="pvp",15,MAX(0.1,Skills!D9-IF(Skills!E9=TRUE,4.5,0))))))/Skills!G9,1)))/Inputs!$B$44),G1597*Q1597))*IF(Inputs!$B$39="pvp",1,(1+(Inputs!$B$22+Skills!P9+B1619)/100)*(MIN(Skills!Q9,Inputs!$B$38))),0)</f>
        <v/>
      </c>
    </row>
    <row r="1598">
      <c r="A1598">
        <f>Skills!A10</f>
        <v/>
      </c>
      <c r="B1598">
        <f>Skills!B10</f>
        <v/>
      </c>
      <c r="C1598">
        <f>Inputs!$B$3&gt;=66</f>
        <v/>
      </c>
      <c r="D1598">
        <f>IF(Skills!C10=1,60+Inputs!$B$26+Inputs!$B$30,IF(Skills!C10=2,90+Inputs!$B$27+Inputs!$B$30,IF(Skills!C10=3,120+Inputs!$B$28+Inputs!$B$30,MAX(0,(Inputs!$B$3-100)*3)+Inputs!$B$29+Inputs!$B$30)))</f>
        <v/>
      </c>
      <c r="E1598">
        <f>INDEX(FactorTable!$B$2:$Y$301, MATCH(ROUND(MIN(300,MAX(1,D1598)),0), FactorTable!$A$2:$A$301,0), Skills!L10+1)</f>
        <v/>
      </c>
      <c r="F1598" t="n">
        <v>0</v>
      </c>
      <c r="G1598">
        <f>Calc!G10</f>
        <v/>
      </c>
      <c r="H1598">
        <f>Calc!H10</f>
        <v/>
      </c>
      <c r="I1598">
        <f>IF(Skills!T10&lt;&gt;"",1+(Skills!T10/10)*($Z$3/1000)/100,1)</f>
        <v/>
      </c>
      <c r="J1598" t="inlineStr"/>
      <c r="K1598" t="inlineStr"/>
      <c r="L1598" t="inlineStr"/>
      <c r="M1598" t="inlineStr"/>
      <c r="N1598" t="inlineStr"/>
      <c r="O1598">
        <f>(1-Summary!$B$48)*S1598+Summary!$B$48*U1598</f>
        <v/>
      </c>
      <c r="P1598">
        <f>IF(B1630=0,0,O1598/B1630)</f>
        <v/>
      </c>
      <c r="Q1598">
        <f>IFERROR(1/IF(Inputs!$B$39="pvp",15,MAX(0.1,Skills!D10-IF(Skills!E10=TRUE,4.5,0))),0)</f>
        <v/>
      </c>
      <c r="R1598">
        <f>IF(AND(Inputs!$B$39&lt;&gt;"pvp",Inputs!$B$44&gt;0),IF(MAX(0,Inputs!$B$44-B1627)&lt;=0,0,(INT(MAX(0,Inputs!$B$44-B1627)/IF(Inputs!$B$39="pvp",15,MAX(0.1,Skills!D10-IF(Skills!E10=TRUE,4.5,0))))+1)),0)</f>
        <v/>
      </c>
      <c r="S1598" t="n">
        <v>0</v>
      </c>
      <c r="U1598" t="n">
        <v>0</v>
      </c>
    </row>
    <row r="1599">
      <c r="A1599">
        <f>Skills!A11</f>
        <v/>
      </c>
      <c r="B1599">
        <f>Skills!B11</f>
        <v/>
      </c>
      <c r="C1599">
        <f>Inputs!$B$3&gt;=69</f>
        <v/>
      </c>
      <c r="D1599">
        <f>IF(Skills!C11=1,60+Inputs!$B$26+Inputs!$B$30,IF(Skills!C11=2,90+Inputs!$B$27+Inputs!$B$30,IF(Skills!C11=3,120+Inputs!$B$28+Inputs!$B$30,MAX(0,(Inputs!$B$3-100)*3)+Inputs!$B$29+Inputs!$B$30)))</f>
        <v/>
      </c>
      <c r="E1599">
        <f>INDEX(FactorTable!$B$2:$Y$301, MATCH(ROUND(MIN(300,MAX(1,D1599)),0), FactorTable!$A$2:$A$301,0), Skills!L11+1)</f>
        <v/>
      </c>
      <c r="F1599">
        <f>IF(Skills!M11=TRUE,(Skills!K11/10)*(E1599/1000),Skills!K11/10)+Skills!N11</f>
        <v/>
      </c>
      <c r="G1599">
        <f>Calc!G11</f>
        <v/>
      </c>
      <c r="H1599">
        <f>Calc!H11</f>
        <v/>
      </c>
      <c r="I1599">
        <f>IF(Skills!T11&lt;&gt;"",1+(Skills!T11/10)*($Z$3/1000)/100,1)</f>
        <v/>
      </c>
      <c r="J1599" t="inlineStr"/>
      <c r="K1599" t="inlineStr"/>
      <c r="L1599" t="inlineStr"/>
      <c r="M1599" t="inlineStr"/>
      <c r="N1599" t="inlineStr"/>
      <c r="O1599">
        <f>(1-Summary!$B$48)*S1599+Summary!$B$48*U1599</f>
        <v/>
      </c>
      <c r="P1599">
        <f>IF(B1630=0,0,O1599/B1630)</f>
        <v/>
      </c>
      <c r="Q1599">
        <f>IFERROR(1/IF(Inputs!$B$39="pvp",15,MAX(0.1,Skills!D11-IF(Skills!E11=TRUE,4.5,0))),0)</f>
        <v/>
      </c>
      <c r="R1599">
        <f>IF(AND(Inputs!$B$39&lt;&gt;"pvp",Inputs!$B$44&gt;0),IF(Inputs!$B$44&lt;=0,0,(INT(Inputs!$B$44/IF(Inputs!$B$39="pvp",15,MAX(0.1,Skills!D11-IF(Skills!E11=TRUE,4.5,0))))+1)),0)</f>
        <v/>
      </c>
      <c r="S1599" t="n">
        <v>0</v>
      </c>
      <c r="U1599" t="n">
        <v>0</v>
      </c>
    </row>
    <row r="1600">
      <c r="A1600">
        <f>Skills!A12</f>
        <v/>
      </c>
      <c r="B1600">
        <f>Skills!B12</f>
        <v/>
      </c>
      <c r="C1600">
        <f>Inputs!$B$3&gt;=72</f>
        <v/>
      </c>
      <c r="D1600">
        <f>IF(Skills!C12=1,60+Inputs!$B$26+Inputs!$B$30,IF(Skills!C12=2,90+Inputs!$B$27+Inputs!$B$30,IF(Skills!C12=3,120+Inputs!$B$28+Inputs!$B$30,MAX(0,(Inputs!$B$3-100)*3)+Inputs!$B$29+Inputs!$B$30)))</f>
        <v/>
      </c>
      <c r="E1600">
        <f>INDEX(FactorTable!$B$2:$Y$301, MATCH(ROUND(MIN(300,MAX(1,D1600)),0), FactorTable!$A$2:$A$301,0), Skills!L12+1)</f>
        <v/>
      </c>
      <c r="F1600">
        <f>IF(Skills!M12=TRUE,(Skills!K12/10)*(E1600/1000),Skills!K12/10)+Skills!N12</f>
        <v/>
      </c>
      <c r="G1600">
        <f>Calc!G12</f>
        <v/>
      </c>
      <c r="H1600">
        <f>Calc!H12</f>
        <v/>
      </c>
      <c r="I1600">
        <f>IF(Skills!T12&lt;&gt;"",1+(Skills!T12/10)*($Z$3/1000)/100,1)</f>
        <v/>
      </c>
      <c r="J1600" t="inlineStr"/>
      <c r="K1600" t="inlineStr"/>
      <c r="L1600" t="inlineStr"/>
      <c r="M1600" t="inlineStr"/>
      <c r="N1600" t="inlineStr"/>
      <c r="O1600">
        <f>(1-Summary!$B$48)*S1600+Summary!$B$48*U1600</f>
        <v/>
      </c>
      <c r="P1600">
        <f>IF(B1630=0,0,O1600/B1630)</f>
        <v/>
      </c>
      <c r="Q1600">
        <f>IFERROR(1/IF(Inputs!$B$39="pvp",15,MAX(0.1,Skills!D12-IF(Skills!E12=TRUE,4.5,0))),0)</f>
        <v/>
      </c>
      <c r="R1600">
        <f>IF(AND(Inputs!$B$39&lt;&gt;"pvp",Inputs!$B$44&gt;0),IF(MAX(0,Inputs!$B$44-B1627)&lt;=0,0,(INT(MAX(0,Inputs!$B$44-B1627)/IF(Inputs!$B$39="pvp",15,MAX(0.1,Skills!D12-IF(Skills!E12=TRUE,4.5,0))))+1)),0)</f>
        <v/>
      </c>
      <c r="S1600" t="n">
        <v>0</v>
      </c>
      <c r="U1600" t="n">
        <v>0</v>
      </c>
    </row>
    <row r="1601">
      <c r="A1601">
        <f>Skills!A13</f>
        <v/>
      </c>
      <c r="B1601">
        <f>Skills!B13</f>
        <v/>
      </c>
      <c r="C1601">
        <f>Inputs!$B$3&gt;=60</f>
        <v/>
      </c>
      <c r="D1601">
        <f>IF(Skills!C13=1,60+Inputs!$B$26+Inputs!$B$30,IF(Skills!C13=2,90+Inputs!$B$27+Inputs!$B$30,IF(Skills!C13=3,120+Inputs!$B$28+Inputs!$B$30,MAX(0,(Inputs!$B$3-100)*3)+Inputs!$B$29+Inputs!$B$30)))</f>
        <v/>
      </c>
      <c r="E1601">
        <f>INDEX(FactorTable!$B$2:$Y$301, MATCH(ROUND(MIN(300,MAX(1,D1601)),0), FactorTable!$A$2:$A$301,0), Skills!L13+1)</f>
        <v/>
      </c>
      <c r="F1601">
        <f>IF(Skills!M13=TRUE,(Skills!K13/10)*(E1601/1000),Skills!K13/10)+Skills!N13</f>
        <v/>
      </c>
      <c r="G1601">
        <f>Calc!G13</f>
        <v/>
      </c>
      <c r="H1601">
        <f>Calc!H13</f>
        <v/>
      </c>
      <c r="I1601">
        <f>IF(Skills!T13&lt;&gt;"",1+(Skills!T13/10)*($Z$3/1000)/100,1)</f>
        <v/>
      </c>
      <c r="J1601" t="inlineStr"/>
      <c r="K1601" t="inlineStr"/>
      <c r="L1601" t="inlineStr"/>
      <c r="M1601" t="inlineStr"/>
      <c r="N1601" t="inlineStr"/>
      <c r="O1601">
        <f>(1-Summary!$B$48)*S1601+Summary!$B$48*U1601</f>
        <v/>
      </c>
      <c r="P1601">
        <f>IF(B1630=0,0,O1601/B1630)</f>
        <v/>
      </c>
      <c r="Q1601">
        <f>IFERROR(1/IF(Inputs!$B$39="pvp",15,MAX(0.1,Skills!D13-IF(Skills!E13=TRUE,4.5,0))),0)</f>
        <v/>
      </c>
      <c r="R1601">
        <f>IF(AND(Inputs!$B$39&lt;&gt;"pvp",Inputs!$B$44&gt;0),IF(MAX(0,Inputs!$B$44-B1627)&lt;=0,0,(INT(MAX(0,Inputs!$B$44-B1627)/IF(Inputs!$B$39="pvp",15,MAX(0.1,Skills!D13-IF(Skills!E13=TRUE,4.5,0))))+1)),0)</f>
        <v/>
      </c>
      <c r="S1601" t="n">
        <v>0</v>
      </c>
      <c r="U1601" t="n">
        <v>0</v>
      </c>
    </row>
    <row r="1602">
      <c r="A1602">
        <f>Skills!A14</f>
        <v/>
      </c>
      <c r="B1602">
        <f>Skills!B14</f>
        <v/>
      </c>
      <c r="C1602">
        <f>Inputs!$B$3&gt;=107</f>
        <v/>
      </c>
      <c r="D1602">
        <f>IF(Skills!C14=1,60+Inputs!$B$26+Inputs!$B$30,IF(Skills!C14=2,90+Inputs!$B$27+Inputs!$B$30,IF(Skills!C14=3,120+Inputs!$B$28+Inputs!$B$30,MAX(0,(Inputs!$B$3-100)*3)+Inputs!$B$29+Inputs!$B$30)))</f>
        <v/>
      </c>
      <c r="E1602">
        <f>INDEX(FactorTable!$B$2:$Y$301, MATCH(ROUND(MIN(300,MAX(1,D1602)),0), FactorTable!$A$2:$A$301,0), Skills!L14+1)</f>
        <v/>
      </c>
      <c r="F1602">
        <f>IF(Skills!M14=TRUE,(Skills!K14/10)*(E1602/1000),Skills!K14/10)+Skills!N14</f>
        <v/>
      </c>
      <c r="G1602">
        <f>Calc!G14</f>
        <v/>
      </c>
      <c r="H1602">
        <f>Calc!H14</f>
        <v/>
      </c>
      <c r="I1602">
        <f>IF(Skills!T14&lt;&gt;"",1+(Skills!T14/10)*($Z$3/1000)/100,1)</f>
        <v/>
      </c>
      <c r="J1602" t="inlineStr"/>
      <c r="K1602" t="inlineStr"/>
      <c r="L1602" t="inlineStr"/>
      <c r="M1602" t="inlineStr"/>
      <c r="N1602" t="inlineStr"/>
      <c r="O1602">
        <f>(1-Summary!$B$48)*S1602+Summary!$B$48*U1602</f>
        <v/>
      </c>
      <c r="P1602">
        <f>IF(B1630=0,0,O1602/B1630)</f>
        <v/>
      </c>
      <c r="Q1602">
        <f>IFERROR(1/IF(Inputs!$B$39="pvp",15,MAX(0.1,Skills!D14-IF(Skills!E14=TRUE,4.5,0))),0)</f>
        <v/>
      </c>
      <c r="R1602">
        <f>IF(AND(Inputs!$B$39&lt;&gt;"pvp",Inputs!$B$44&gt;0),IF(Inputs!$B$44&lt;=0,0,(INT(Inputs!$B$44/IF(Inputs!$B$39="pvp",15,MAX(0.1,Skills!D14-IF(Skills!E14=TRUE,4.5,0))))+1)),0)</f>
        <v/>
      </c>
      <c r="S1602" t="n">
        <v>0</v>
      </c>
      <c r="U1602" t="n">
        <v>0</v>
      </c>
    </row>
    <row r="1603">
      <c r="A1603">
        <f>Skills!A15</f>
        <v/>
      </c>
      <c r="B1603">
        <f>Skills!B15</f>
        <v/>
      </c>
      <c r="C1603">
        <f>Inputs!$B$3&gt;=63</f>
        <v/>
      </c>
      <c r="D1603">
        <f>IF(Skills!C15=1,60+Inputs!$B$26+Inputs!$B$30,IF(Skills!C15=2,90+Inputs!$B$27+Inputs!$B$30,IF(Skills!C15=3,120+Inputs!$B$28+Inputs!$B$30,MAX(0,(Inputs!$B$3-100)*3)+Inputs!$B$29+Inputs!$B$30)))</f>
        <v/>
      </c>
      <c r="E1603">
        <f>INDEX(FactorTable!$B$2:$Y$301, MATCH(ROUND(MIN(300,MAX(1,D1603)),0), FactorTable!$A$2:$A$301,0), Skills!L15+1)</f>
        <v/>
      </c>
      <c r="F1603">
        <f>IF(Skills!M15=TRUE,(Skills!K15/10)*(E1603/1000),Skills!K15/10)+Skills!N15</f>
        <v/>
      </c>
      <c r="G1603">
        <f>Calc!G15</f>
        <v/>
      </c>
      <c r="H1603">
        <f>Calc!H15</f>
        <v/>
      </c>
      <c r="I1603">
        <f>IF(Skills!T15&lt;&gt;"",1+(Skills!T15/10)*($Z$3/1000)/100,1)</f>
        <v/>
      </c>
      <c r="J1603">
        <f>((Inputs!$B$6*(1+Inputs!$B$7/100))+(((Inputs!$B$13*(1+Inputs!$B$14/100))-(Inputs!$B$13*(1+Inputs!$B$14/100)))+0.25*(Inputs!$B$15-Inputs!$B$15))*(1+Inputs!$B$7/100))*(F1603/100)</f>
        <v/>
      </c>
      <c r="K1603">
        <f>J1603*(1+(((Inputs!$B$13+IF(Inputs!$B$3&gt;=35,(10*INDEX(FactorTable!$B$2:$Y$301, MATCH(ROUND(MIN(300,MAX(1,Inputs!$B$3)),0), FactorTable!$A$2:$A$301,0), 23)/1000)/100*(Inputs!$B$8*(1+(Inputs!$B$9+B1626)/100)),0))*(1+Inputs!$B$14/100))*0.01+Inputs!$B$15*0.0025)/100)*(1+(Inputs!$B$16+B1620)/100)*(1+Inputs!$B$17/100)*(5000/(6000+Inputs!$B$43*(1-Inputs!$B$20/100)))*(1+Inputs!$B$25/100)*(1+IF(C1606=TRUE,F1606,0)/100)*(1+IF(C1608=TRUE,F1608,0)/100)*(1+IF(Skills!A15="TRIUMPH_FEATHER",IF(C1604=TRUE,F1604,0),0)/100)*(1+IF(C1615=TRUE,F1615,0)/100)^5*(1+(IF(Skills!A15="BIG_BANG",Inputs!$B$18,Inputs!$B$19))/100)*(B1617*I1603)</f>
        <v/>
      </c>
      <c r="L1603">
        <f>K1603*(MIN(Inputs!$B$23+(F1610-Calc!F22),Inputs!$B$24)/100+Inputs!$B$24/100)/2</f>
        <v/>
      </c>
      <c r="M1603">
        <f>L1603*(1+(Inputs!$B$11+B1621+(F1613-Calc!F25))/100)</f>
        <v/>
      </c>
      <c r="N1603">
        <f>L1603*(1-MIN(Inputs!$B$10+((F1612-Calc!F24)+(F1611-Calc!F23)),100)/100)+M1603*(MIN(Inputs!$B$10+((F1612-Calc!F24)+(F1611-Calc!F23)),100)/100)</f>
        <v/>
      </c>
      <c r="O1603">
        <f>(1-Summary!$B$48)*S1603+Summary!$B$48*U1603</f>
        <v/>
      </c>
      <c r="P1603">
        <f>IF(B1630=0,0,O1603/B1630)</f>
        <v/>
      </c>
      <c r="Q1603">
        <f>IFERROR(1/IF(Inputs!$B$39="pvp",15,MAX(0.1,Skills!D15-IF(Skills!E15=TRUE,4.5,0))),0)</f>
        <v/>
      </c>
      <c r="R1603" t="n">
        <v>0</v>
      </c>
      <c r="S1603">
        <f>IF(C1603,(Skills!F15*N1603*((IF(Inputs!$B$3&gt;=78,25,15)/100*B1623*10)/(1+IF(Inputs!$B$3&gt;=78,25,15)/100*B1623*10))*(Skills!I15/100*B1623)/(1+Skills!G15*Skills!I15/100*B1623))*IF(Inputs!$B$39="pvp",1,1+(Inputs!$B$21+Skills!O15+B1618)/100),0)</f>
        <v/>
      </c>
      <c r="U1603">
        <f>IF(C1603,(Skills!F15*N1603*((IF(Inputs!$B$3&gt;=78,25,15)/100*B1623*10)/(1+IF(Inputs!$B$3&gt;=78,25,15)/100*B1623*10))*(Skills!I15/100*B1623)/(1+Skills!G15*Skills!I15/100*B1623))*IF(Inputs!$B$39="pvp",1,(1+(Inputs!$B$22+Skills!P15+B1619)/100)*(MIN(Skills!Q15,Inputs!$B$38))),0)</f>
        <v/>
      </c>
    </row>
    <row r="1604">
      <c r="A1604">
        <f>Skills!A16</f>
        <v/>
      </c>
      <c r="B1604">
        <f>Skills!B16</f>
        <v/>
      </c>
      <c r="C1604">
        <f>Inputs!$B$3&gt;=100</f>
        <v/>
      </c>
      <c r="D1604">
        <f>IF(Skills!C16=1,60+Inputs!$B$26+Inputs!$B$30,IF(Skills!C16=2,90+Inputs!$B$27+Inputs!$B$30,IF(Skills!C16=3,120+Inputs!$B$28+Inputs!$B$30,MAX(0,(Inputs!$B$3-100)*3)+Inputs!$B$29+Inputs!$B$30)))</f>
        <v/>
      </c>
      <c r="E1604">
        <f>INDEX(FactorTable!$B$2:$Y$301, MATCH(ROUND(MIN(300,MAX(1,D1604)),0), FactorTable!$A$2:$A$301,0), Skills!L16+1)</f>
        <v/>
      </c>
      <c r="F1604">
        <f>IF(Skills!M16=TRUE,(Skills!K16/10)*(E1604/1000),Skills!K16/10)+Skills!N16</f>
        <v/>
      </c>
      <c r="G1604">
        <f>Calc!G16</f>
        <v/>
      </c>
      <c r="H1604">
        <f>Calc!H16</f>
        <v/>
      </c>
      <c r="I1604">
        <f>IF(Skills!T16&lt;&gt;"",1+(Skills!T16/10)*($Z$3/1000)/100,1)</f>
        <v/>
      </c>
      <c r="J1604" t="inlineStr"/>
      <c r="K1604" t="inlineStr"/>
      <c r="L1604" t="inlineStr"/>
      <c r="M1604" t="inlineStr"/>
      <c r="N1604" t="inlineStr"/>
      <c r="O1604">
        <f>(1-Summary!$B$48)*S1604+Summary!$B$48*U1604</f>
        <v/>
      </c>
      <c r="P1604">
        <f>IF(B1630=0,0,O1604/B1630)</f>
        <v/>
      </c>
      <c r="Q1604">
        <f>IFERROR(1/IF(Inputs!$B$39="pvp",15,MAX(0.1,Skills!D16-IF(Skills!E16=TRUE,4.5,0))),0)</f>
        <v/>
      </c>
      <c r="R1604" t="n">
        <v>0</v>
      </c>
      <c r="S1604" t="n">
        <v>0</v>
      </c>
      <c r="U1604" t="n">
        <v>0</v>
      </c>
    </row>
    <row r="1605">
      <c r="A1605">
        <f>Skills!A17</f>
        <v/>
      </c>
      <c r="B1605">
        <f>Skills!B17</f>
        <v/>
      </c>
      <c r="C1605">
        <f>Inputs!$B$3&gt;=49</f>
        <v/>
      </c>
      <c r="D1605">
        <f>IF(Skills!C17=1,60+Inputs!$B$26+Inputs!$B$30,IF(Skills!C17=2,90+Inputs!$B$27+Inputs!$B$30,IF(Skills!C17=3,120+Inputs!$B$28+Inputs!$B$30,MAX(0,(Inputs!$B$3-100)*3)+Inputs!$B$29+Inputs!$B$30)))</f>
        <v/>
      </c>
      <c r="E1605">
        <f>INDEX(FactorTable!$B$2:$Y$301, MATCH(ROUND(MIN(300,MAX(1,D1605)),0), FactorTable!$A$2:$A$301,0), Skills!L17+1)</f>
        <v/>
      </c>
      <c r="F1605">
        <f>IF(Skills!M17=TRUE,(Skills!K17/10)*(E1605/1000),Skills!K17/10)+Skills!N17</f>
        <v/>
      </c>
      <c r="G1605">
        <f>Calc!G17</f>
        <v/>
      </c>
      <c r="H1605">
        <f>Calc!H17</f>
        <v/>
      </c>
      <c r="I1605">
        <f>IF(Skills!T17&lt;&gt;"",1+(Skills!T17/10)*($Z$3/1000)/100,1)</f>
        <v/>
      </c>
      <c r="J1605" t="inlineStr"/>
      <c r="K1605" t="inlineStr"/>
      <c r="L1605" t="inlineStr"/>
      <c r="M1605" t="inlineStr"/>
      <c r="N1605" t="inlineStr"/>
      <c r="O1605">
        <f>(1-Summary!$B$48)*S1605+Summary!$B$48*U1605</f>
        <v/>
      </c>
      <c r="P1605">
        <f>IF(B1630=0,0,O1605/B1630)</f>
        <v/>
      </c>
      <c r="Q1605">
        <f>IFERROR(1/IF(Inputs!$B$39="pvp",15,MAX(0.1,Skills!D17-IF(Skills!E17=TRUE,4.5,0))),0)</f>
        <v/>
      </c>
      <c r="R1605" t="n">
        <v>0</v>
      </c>
      <c r="S1605" t="n">
        <v>0</v>
      </c>
      <c r="U1605" t="n">
        <v>0</v>
      </c>
    </row>
    <row r="1606">
      <c r="A1606">
        <f>Skills!A18</f>
        <v/>
      </c>
      <c r="B1606">
        <f>Skills!B18</f>
        <v/>
      </c>
      <c r="C1606">
        <f>Inputs!$B$3&gt;=75</f>
        <v/>
      </c>
      <c r="D1606">
        <f>IF(Skills!C18=1,60+Inputs!$B$26+Inputs!$B$30,IF(Skills!C18=2,90+Inputs!$B$27+Inputs!$B$30,IF(Skills!C18=3,120+Inputs!$B$28+Inputs!$B$30,MAX(0,(Inputs!$B$3-100)*3)+Inputs!$B$29+Inputs!$B$30)))</f>
        <v/>
      </c>
      <c r="E1606">
        <f>INDEX(FactorTable!$B$2:$Y$301, MATCH(ROUND(MIN(300,MAX(1,D1606)),0), FactorTable!$A$2:$A$301,0), Skills!L18+1)</f>
        <v/>
      </c>
      <c r="F1606">
        <f>IF(Skills!M18=TRUE,(Skills!K18/10)*(E1606/1000),Skills!K18/10)+Skills!N18</f>
        <v/>
      </c>
      <c r="G1606">
        <f>Calc!G18</f>
        <v/>
      </c>
      <c r="H1606">
        <f>Calc!H18</f>
        <v/>
      </c>
      <c r="I1606">
        <f>IF(Skills!T18&lt;&gt;"",1+(Skills!T18/10)*($Z$3/1000)/100,1)</f>
        <v/>
      </c>
      <c r="J1606" t="inlineStr"/>
      <c r="K1606" t="inlineStr"/>
      <c r="L1606" t="inlineStr"/>
      <c r="M1606" t="inlineStr"/>
      <c r="N1606" t="inlineStr"/>
      <c r="O1606">
        <f>(1-Summary!$B$48)*S1606+Summary!$B$48*U1606</f>
        <v/>
      </c>
      <c r="P1606">
        <f>IF(B1630=0,0,O1606/B1630)</f>
        <v/>
      </c>
      <c r="Q1606">
        <f>IFERROR(1/IF(Inputs!$B$39="pvp",15,MAX(0.1,Skills!D18-IF(Skills!E18=TRUE,4.5,0))),0)</f>
        <v/>
      </c>
      <c r="R1606" t="n">
        <v>0</v>
      </c>
      <c r="S1606" t="n">
        <v>0</v>
      </c>
      <c r="U1606" t="n">
        <v>0</v>
      </c>
    </row>
    <row r="1607">
      <c r="A1607">
        <f>Skills!A19</f>
        <v/>
      </c>
      <c r="B1607">
        <f>Skills!B19</f>
        <v/>
      </c>
      <c r="C1607">
        <f>Inputs!$B$3&gt;=110</f>
        <v/>
      </c>
      <c r="D1607">
        <f>IF(Skills!C19=1,60+Inputs!$B$26+Inputs!$B$30,IF(Skills!C19=2,90+Inputs!$B$27+Inputs!$B$30,IF(Skills!C19=3,120+Inputs!$B$28+Inputs!$B$30,MAX(0,(Inputs!$B$3-100)*3)+Inputs!$B$29+Inputs!$B$30)))</f>
        <v/>
      </c>
      <c r="E1607">
        <f>INDEX(FactorTable!$B$2:$Y$301, MATCH(ROUND(MIN(300,MAX(1,D1607)),0), FactorTable!$A$2:$A$301,0), Skills!L19+1)</f>
        <v/>
      </c>
      <c r="F1607">
        <f>(Skills!K19/10)*(E1607/1000)*64/45+Skills!N19</f>
        <v/>
      </c>
      <c r="G1607">
        <f>Calc!G19</f>
        <v/>
      </c>
      <c r="H1607">
        <f>Calc!H19</f>
        <v/>
      </c>
      <c r="I1607">
        <f>IF(Skills!T19&lt;&gt;"",1+(Skills!T19/10)*($Z$3/1000)/100,1)</f>
        <v/>
      </c>
      <c r="J1607" t="inlineStr"/>
      <c r="K1607" t="inlineStr"/>
      <c r="L1607" t="inlineStr"/>
      <c r="M1607" t="inlineStr"/>
      <c r="N1607" t="inlineStr"/>
      <c r="O1607">
        <f>(1-Summary!$B$48)*S1607+Summary!$B$48*U1607</f>
        <v/>
      </c>
      <c r="P1607">
        <f>IF(B1630=0,0,O1607/B1630)</f>
        <v/>
      </c>
      <c r="Q1607">
        <f>IFERROR(1/IF(Inputs!$B$39="pvp",15,MAX(0.1,Skills!D19-IF(Skills!E19=TRUE,4.5,0))),0)</f>
        <v/>
      </c>
      <c r="R1607">
        <f>IF(AND(Inputs!$B$39&lt;&gt;"pvp",Inputs!$B$44&gt;0),IF(Inputs!$B$44&lt;=0,0,(INT(Inputs!$B$44/IF(Inputs!$B$39="pvp",15,MAX(0.1,Skills!D19-IF(Skills!E19=TRUE,4.5,0))))+1)),0)</f>
        <v/>
      </c>
      <c r="S1607" t="n">
        <v>0</v>
      </c>
      <c r="U1607" t="n">
        <v>0</v>
      </c>
    </row>
    <row r="1608">
      <c r="A1608">
        <f>Skills!A20</f>
        <v/>
      </c>
      <c r="B1608">
        <f>Skills!B20</f>
        <v/>
      </c>
      <c r="C1608">
        <f>Inputs!$B$3&gt;=125</f>
        <v/>
      </c>
      <c r="D1608">
        <f>IF(Skills!C20=1,60+Inputs!$B$26+Inputs!$B$30,IF(Skills!C20=2,90+Inputs!$B$27+Inputs!$B$30,IF(Skills!C20=3,120+Inputs!$B$28+Inputs!$B$30,MAX(0,(Inputs!$B$3-100)*3)+Inputs!$B$29+Inputs!$B$30)))</f>
        <v/>
      </c>
      <c r="E1608">
        <f>INDEX(FactorTable!$B$2:$Y$301, MATCH(ROUND(MIN(300,MAX(1,D1608)),0), FactorTable!$A$2:$A$301,0), Skills!L20+1)</f>
        <v/>
      </c>
      <c r="F1608">
        <f>IF(Skills!M20=TRUE,(Skills!K20/10)*(E1608/1000),Skills!K20/10)+Skills!N20</f>
        <v/>
      </c>
      <c r="G1608">
        <f>Calc!G20</f>
        <v/>
      </c>
      <c r="H1608">
        <f>Calc!H20</f>
        <v/>
      </c>
      <c r="I1608">
        <f>IF(Skills!T20&lt;&gt;"",1+(Skills!T20/10)*($Z$3/1000)/100,1)</f>
        <v/>
      </c>
      <c r="J1608" t="inlineStr"/>
      <c r="K1608" t="inlineStr"/>
      <c r="L1608" t="inlineStr"/>
      <c r="M1608" t="inlineStr"/>
      <c r="N1608" t="inlineStr"/>
      <c r="O1608">
        <f>(1-Summary!$B$48)*S1608+Summary!$B$48*U1608</f>
        <v/>
      </c>
      <c r="P1608">
        <f>IF(B1630=0,0,O1608/B1630)</f>
        <v/>
      </c>
      <c r="Q1608">
        <f>IFERROR(1/IF(Inputs!$B$39="pvp",15,MAX(0.1,Skills!D20-IF(Skills!E20=TRUE,4.5,0))),0)</f>
        <v/>
      </c>
      <c r="R1608" t="n">
        <v>0</v>
      </c>
      <c r="S1608" t="n">
        <v>0</v>
      </c>
      <c r="U1608" t="n">
        <v>0</v>
      </c>
    </row>
    <row r="1609">
      <c r="A1609">
        <f>Skills!A21</f>
        <v/>
      </c>
      <c r="B1609">
        <f>Skills!B21</f>
        <v/>
      </c>
      <c r="C1609">
        <f>Inputs!$B$3&gt;=33</f>
        <v/>
      </c>
      <c r="D1609">
        <f>IF(Skills!C21=1,60+Inputs!$B$26+Inputs!$B$30,IF(Skills!C21=2,90+Inputs!$B$27+Inputs!$B$30,IF(Skills!C21=3,120+Inputs!$B$28+Inputs!$B$30,MAX(0,(Inputs!$B$3-100)*3)+Inputs!$B$29+Inputs!$B$30)))</f>
        <v/>
      </c>
      <c r="E1609">
        <f>INDEX(FactorTable!$B$2:$Y$301, MATCH(ROUND(MIN(300,MAX(1,D1609)),0), FactorTable!$A$2:$A$301,0), Skills!L21+1)</f>
        <v/>
      </c>
      <c r="F1609">
        <f>IF(Skills!M21=TRUE,(Skills!K21/10)*(E1609/1000),Skills!K21/10)+Skills!N21</f>
        <v/>
      </c>
      <c r="G1609">
        <f>Calc!G21</f>
        <v/>
      </c>
      <c r="H1609">
        <f>Calc!H21</f>
        <v/>
      </c>
      <c r="I1609">
        <f>IF(Skills!T21&lt;&gt;"",1+(Skills!T21/10)*($Z$3/1000)/100,1)</f>
        <v/>
      </c>
      <c r="J1609" t="inlineStr"/>
      <c r="K1609" t="inlineStr"/>
      <c r="L1609" t="inlineStr"/>
      <c r="M1609" t="inlineStr"/>
      <c r="N1609" t="inlineStr"/>
      <c r="O1609">
        <f>(1-Summary!$B$48)*S1609+Summary!$B$48*U1609</f>
        <v/>
      </c>
      <c r="P1609">
        <f>IF(B1630=0,0,O1609/B1630)</f>
        <v/>
      </c>
      <c r="Q1609">
        <f>IFERROR(1/IF(Inputs!$B$39="pvp",15,MAX(0.1,Skills!D21-IF(Skills!E21=TRUE,4.5,0))),0)</f>
        <v/>
      </c>
      <c r="R1609" t="n">
        <v>0</v>
      </c>
      <c r="S1609" t="n">
        <v>0</v>
      </c>
      <c r="U1609" t="n">
        <v>0</v>
      </c>
    </row>
    <row r="1610">
      <c r="A1610">
        <f>Skills!A22</f>
        <v/>
      </c>
      <c r="B1610">
        <f>Skills!B22</f>
        <v/>
      </c>
      <c r="C1610">
        <f>Inputs!$B$3&gt;=43</f>
        <v/>
      </c>
      <c r="D1610">
        <f>IF(Skills!C22=1,60+Inputs!$B$26+Inputs!$B$30,IF(Skills!C22=2,90+Inputs!$B$27+Inputs!$B$30,IF(Skills!C22=3,120+Inputs!$B$28+Inputs!$B$30,MAX(0,(Inputs!$B$3-100)*3)+Inputs!$B$29+Inputs!$B$30)))</f>
        <v/>
      </c>
      <c r="E1610">
        <f>INDEX(FactorTable!$B$2:$Y$301, MATCH(ROUND(MIN(300,MAX(1,D1610)),0), FactorTable!$A$2:$A$301,0), Skills!L22+1)</f>
        <v/>
      </c>
      <c r="F1610">
        <f>IF(Skills!M22=TRUE,(Skills!K22/10)*(E1610/1000),Skills!K22/10)+Skills!N22</f>
        <v/>
      </c>
      <c r="G1610">
        <f>Calc!G22</f>
        <v/>
      </c>
      <c r="H1610">
        <f>Calc!H22</f>
        <v/>
      </c>
      <c r="I1610">
        <f>IF(Skills!T22&lt;&gt;"",1+(Skills!T22/10)*($Z$3/1000)/100,1)</f>
        <v/>
      </c>
      <c r="J1610" t="inlineStr"/>
      <c r="K1610" t="inlineStr"/>
      <c r="L1610" t="inlineStr"/>
      <c r="M1610" t="inlineStr"/>
      <c r="N1610" t="inlineStr"/>
      <c r="O1610">
        <f>(1-Summary!$B$48)*S1610+Summary!$B$48*U1610</f>
        <v/>
      </c>
      <c r="P1610">
        <f>IF(B1630=0,0,O1610/B1630)</f>
        <v/>
      </c>
      <c r="Q1610">
        <f>IFERROR(1/IF(Inputs!$B$39="pvp",15,MAX(0.1,Skills!D22-IF(Skills!E22=TRUE,4.5,0))),0)</f>
        <v/>
      </c>
      <c r="R1610" t="n">
        <v>0</v>
      </c>
      <c r="S1610" t="n">
        <v>0</v>
      </c>
      <c r="U1610" t="n">
        <v>0</v>
      </c>
    </row>
    <row r="1611">
      <c r="A1611">
        <f>Skills!A23</f>
        <v/>
      </c>
      <c r="B1611">
        <f>Skills!B23</f>
        <v/>
      </c>
      <c r="C1611">
        <f>Inputs!$B$3&gt;=50</f>
        <v/>
      </c>
      <c r="D1611">
        <f>IF(Skills!C23=1,60+Inputs!$B$26+Inputs!$B$30,IF(Skills!C23=2,90+Inputs!$B$27+Inputs!$B$30,IF(Skills!C23=3,120+Inputs!$B$28+Inputs!$B$30,MAX(0,(Inputs!$B$3-100)*3)+Inputs!$B$29+Inputs!$B$30)))</f>
        <v/>
      </c>
      <c r="E1611">
        <f>INDEX(FactorTable!$B$2:$Y$301, MATCH(ROUND(MIN(300,MAX(1,D1611)),0), FactorTable!$A$2:$A$301,0), Skills!L23+1)</f>
        <v/>
      </c>
      <c r="F1611">
        <f>IF(Skills!M23=TRUE,(Skills!K23/10)*(E1611/1000),Skills!K23/10)+Skills!N23</f>
        <v/>
      </c>
      <c r="G1611">
        <f>Calc!G23</f>
        <v/>
      </c>
      <c r="H1611">
        <f>Calc!H23</f>
        <v/>
      </c>
      <c r="I1611">
        <f>IF(Skills!T23&lt;&gt;"",1+(Skills!T23/10)*($Z$3/1000)/100,1)</f>
        <v/>
      </c>
      <c r="J1611" t="inlineStr"/>
      <c r="K1611" t="inlineStr"/>
      <c r="L1611" t="inlineStr"/>
      <c r="M1611" t="inlineStr"/>
      <c r="N1611" t="inlineStr"/>
      <c r="O1611">
        <f>(1-Summary!$B$48)*S1611+Summary!$B$48*U1611</f>
        <v/>
      </c>
      <c r="P1611">
        <f>IF(B1630=0,0,O1611/B1630)</f>
        <v/>
      </c>
      <c r="Q1611">
        <f>IFERROR(1/IF(Inputs!$B$39="pvp",15,MAX(0.1,Skills!D23-IF(Skills!E23=TRUE,4.5,0))),0)</f>
        <v/>
      </c>
      <c r="R1611" t="n">
        <v>0</v>
      </c>
      <c r="S1611" t="n">
        <v>0</v>
      </c>
      <c r="U1611" t="n">
        <v>0</v>
      </c>
    </row>
    <row r="1612">
      <c r="A1612">
        <f>Skills!A24</f>
        <v/>
      </c>
      <c r="B1612">
        <f>Skills!B24</f>
        <v/>
      </c>
      <c r="C1612">
        <f>Inputs!$B$3&gt;=74</f>
        <v/>
      </c>
      <c r="D1612">
        <f>IF(Skills!C24=1,60+Inputs!$B$26+Inputs!$B$30,IF(Skills!C24=2,90+Inputs!$B$27+Inputs!$B$30,IF(Skills!C24=3,120+Inputs!$B$28+Inputs!$B$30,MAX(0,(Inputs!$B$3-100)*3)+Inputs!$B$29+Inputs!$B$30)))</f>
        <v/>
      </c>
      <c r="E1612">
        <f>INDEX(FactorTable!$B$2:$Y$301, MATCH(ROUND(MIN(300,MAX(1,D1612)),0), FactorTable!$A$2:$A$301,0), Skills!L24+1)</f>
        <v/>
      </c>
      <c r="F1612">
        <f>IF(Skills!M24=TRUE,(Skills!K24/10)*(E1612/1000),Skills!K24/10)+Skills!N24</f>
        <v/>
      </c>
      <c r="G1612">
        <f>Calc!G24</f>
        <v/>
      </c>
      <c r="H1612">
        <f>Calc!H24</f>
        <v/>
      </c>
      <c r="I1612">
        <f>IF(Skills!T24&lt;&gt;"",1+(Skills!T24/10)*($Z$3/1000)/100,1)</f>
        <v/>
      </c>
      <c r="J1612" t="inlineStr"/>
      <c r="K1612" t="inlineStr"/>
      <c r="L1612" t="inlineStr"/>
      <c r="M1612" t="inlineStr"/>
      <c r="N1612" t="inlineStr"/>
      <c r="O1612">
        <f>(1-Summary!$B$48)*S1612+Summary!$B$48*U1612</f>
        <v/>
      </c>
      <c r="P1612">
        <f>IF(B1630=0,0,O1612/B1630)</f>
        <v/>
      </c>
      <c r="Q1612">
        <f>IFERROR(1/IF(Inputs!$B$39="pvp",15,MAX(0.1,Skills!D24-IF(Skills!E24=TRUE,4.5,0))),0)</f>
        <v/>
      </c>
      <c r="R1612" t="n">
        <v>0</v>
      </c>
      <c r="S1612" t="n">
        <v>0</v>
      </c>
      <c r="U1612" t="n">
        <v>0</v>
      </c>
    </row>
    <row r="1613">
      <c r="A1613">
        <f>Skills!A25</f>
        <v/>
      </c>
      <c r="B1613">
        <f>Skills!B25</f>
        <v/>
      </c>
      <c r="C1613">
        <f>Inputs!$B$3&gt;=74</f>
        <v/>
      </c>
      <c r="D1613">
        <f>IF(Skills!C25=1,60+Inputs!$B$26+Inputs!$B$30,IF(Skills!C25=2,90+Inputs!$B$27+Inputs!$B$30,IF(Skills!C25=3,120+Inputs!$B$28+Inputs!$B$30,MAX(0,(Inputs!$B$3-100)*3)+Inputs!$B$29+Inputs!$B$30)))</f>
        <v/>
      </c>
      <c r="E1613">
        <f>INDEX(FactorTable!$B$2:$Y$301, MATCH(ROUND(MIN(300,MAX(1,D1613)),0), FactorTable!$A$2:$A$301,0), Skills!L25+1)</f>
        <v/>
      </c>
      <c r="F1613">
        <f>IF(Skills!M25=TRUE,(Skills!K25/10)*(E1613/1000),Skills!K25/10)+Skills!N25</f>
        <v/>
      </c>
      <c r="G1613">
        <f>Calc!G25</f>
        <v/>
      </c>
      <c r="H1613">
        <f>Calc!H25</f>
        <v/>
      </c>
      <c r="I1613">
        <f>IF(Skills!T25&lt;&gt;"",1+(Skills!T25/10)*($Z$3/1000)/100,1)</f>
        <v/>
      </c>
      <c r="J1613" t="inlineStr"/>
      <c r="K1613" t="inlineStr"/>
      <c r="L1613" t="inlineStr"/>
      <c r="M1613" t="inlineStr"/>
      <c r="N1613" t="inlineStr"/>
      <c r="O1613">
        <f>(1-Summary!$B$48)*S1613+Summary!$B$48*U1613</f>
        <v/>
      </c>
      <c r="P1613">
        <f>IF(B1630=0,0,O1613/B1630)</f>
        <v/>
      </c>
      <c r="Q1613">
        <f>IFERROR(1/IF(Inputs!$B$39="pvp",15,MAX(0.1,Skills!D25-IF(Skills!E25=TRUE,4.5,0))),0)</f>
        <v/>
      </c>
      <c r="R1613" t="n">
        <v>0</v>
      </c>
      <c r="S1613" t="n">
        <v>0</v>
      </c>
      <c r="U1613" t="n">
        <v>0</v>
      </c>
    </row>
    <row r="1614">
      <c r="A1614">
        <f>Skills!A26</f>
        <v/>
      </c>
      <c r="B1614">
        <f>Skills!B26</f>
        <v/>
      </c>
      <c r="C1614">
        <f>Inputs!$B$3&gt;=117</f>
        <v/>
      </c>
      <c r="D1614">
        <f>IF(Skills!C26=1,60+Inputs!$B$26+Inputs!$B$30,IF(Skills!C26=2,90+Inputs!$B$27+Inputs!$B$30,IF(Skills!C26=3,120+Inputs!$B$28+Inputs!$B$30,MAX(0,(Inputs!$B$3-100)*3)+Inputs!$B$29+Inputs!$B$30)))</f>
        <v/>
      </c>
      <c r="E1614">
        <f>INDEX(FactorTable!$B$2:$Y$301, MATCH(ROUND(MIN(300,MAX(1,D1614)),0), FactorTable!$A$2:$A$301,0), Skills!L26+1)</f>
        <v/>
      </c>
      <c r="F1614">
        <f>IF(Skills!M26=TRUE,(Skills!K26/10)*(E1614/1000),Skills!K26/10)+Skills!N26</f>
        <v/>
      </c>
      <c r="G1614">
        <f>Calc!G26</f>
        <v/>
      </c>
      <c r="H1614">
        <f>Calc!H26</f>
        <v/>
      </c>
      <c r="I1614">
        <f>IF(Skills!T26&lt;&gt;"",1+(Skills!T26/10)*($Z$3/1000)/100,1)</f>
        <v/>
      </c>
      <c r="J1614" t="inlineStr"/>
      <c r="K1614" t="inlineStr"/>
      <c r="L1614" t="inlineStr"/>
      <c r="M1614" t="inlineStr"/>
      <c r="N1614" t="inlineStr"/>
      <c r="O1614">
        <f>(1-Summary!$B$48)*S1614+Summary!$B$48*U1614</f>
        <v/>
      </c>
      <c r="P1614">
        <f>IF(B1630=0,0,O1614/B1630)</f>
        <v/>
      </c>
      <c r="Q1614">
        <f>IFERROR(1/IF(Inputs!$B$39="pvp",15,MAX(0.1,Skills!D26-IF(Skills!E26=TRUE,4.5,0))),0)</f>
        <v/>
      </c>
      <c r="R1614" t="n">
        <v>0</v>
      </c>
      <c r="S1614" t="n">
        <v>0</v>
      </c>
      <c r="U1614" t="n">
        <v>0</v>
      </c>
    </row>
    <row r="1615">
      <c r="A1615">
        <f>Skills!A27</f>
        <v/>
      </c>
      <c r="B1615">
        <f>Skills!B27</f>
        <v/>
      </c>
      <c r="C1615">
        <f>Inputs!$B$3&gt;=120</f>
        <v/>
      </c>
      <c r="D1615">
        <f>IF(Skills!C27=1,60+Inputs!$B$26+Inputs!$B$30,IF(Skills!C27=2,90+Inputs!$B$27+Inputs!$B$30,IF(Skills!C27=3,120+Inputs!$B$28+Inputs!$B$30,MAX(0,(Inputs!$B$3-100)*3)+Inputs!$B$29+Inputs!$B$30)))</f>
        <v/>
      </c>
      <c r="E1615">
        <f>INDEX(FactorTable!$B$2:$Y$301, MATCH(ROUND(MIN(300,MAX(1,D1615)),0), FactorTable!$A$2:$A$301,0), Skills!L27+1)</f>
        <v/>
      </c>
      <c r="F1615">
        <f>IF(Skills!M27=TRUE,(Skills!K27/10)*(E1615/1000),Skills!K27/10)+Skills!N27</f>
        <v/>
      </c>
      <c r="G1615">
        <f>Calc!G27</f>
        <v/>
      </c>
      <c r="H1615">
        <f>Calc!H27</f>
        <v/>
      </c>
      <c r="I1615">
        <f>IF(Skills!T27&lt;&gt;"",1+(Skills!T27/10)*($Z$3/1000)/100,1)</f>
        <v/>
      </c>
      <c r="J1615" t="inlineStr"/>
      <c r="K1615" t="inlineStr"/>
      <c r="L1615" t="inlineStr"/>
      <c r="M1615" t="inlineStr"/>
      <c r="N1615" t="inlineStr"/>
      <c r="O1615">
        <f>(1-Summary!$B$48)*S1615+Summary!$B$48*U1615</f>
        <v/>
      </c>
      <c r="P1615">
        <f>IF(B1630=0,0,O1615/B1630)</f>
        <v/>
      </c>
      <c r="Q1615">
        <f>IFERROR(1/IF(Inputs!$B$39="pvp",15,MAX(0.1,Skills!D27-IF(Skills!E27=TRUE,4.5,0))),0)</f>
        <v/>
      </c>
      <c r="R1615" t="n">
        <v>0</v>
      </c>
      <c r="S1615" t="n">
        <v>0</v>
      </c>
      <c r="U1615" t="n">
        <v>0</v>
      </c>
    </row>
    <row r="1617">
      <c r="A1617" t="inlineStr">
        <is>
          <t>Average Buff Multiplier</t>
        </is>
      </c>
      <c r="B1617">
        <f>(1+(IF(C1591=TRUE,F1591*IF(AND(Inputs!$B$39&lt;&gt;"pvp",Inputs!$B$44&gt;0),(((R1591-1)*(Skills!S3*(1+(Inputs!$B$35+IF(Inputs!$B$3&gt;=117,F1614,0))/100))+MIN((Skills!S3*(1+(Inputs!$B$35+IF(Inputs!$B$3&gt;=117,F1614,0))/100)),MAX(0,Inputs!$B$44-((R1591-1)*Skills!D3))))/Inputs!$B$44),IF(Inputs!$B$39="pvp",MIN((Skills!S3*(1+(Inputs!$B$35+IF(Inputs!$B$3&gt;=117,F1614,0))/100)),15)/15,(Skills!S3*(1+(Inputs!$B$35+IF(Inputs!$B$3&gt;=117,F1614,0))/100))/Skills!D3)),0)+IF(C1592=TRUE,F1592*IF(AND(Inputs!$B$39&lt;&gt;"pvp",Inputs!$B$44&gt;0),(((R1592-1)*(Skills!S4*(1+(Inputs!$B$35+IF(Inputs!$B$3&gt;=117,F1614,0))/100))+MIN((Skills!S4*(1+(Inputs!$B$35+IF(Inputs!$B$3&gt;=117,F1614,0))/100)),MAX(0,Inputs!$B$44-((R1592-1)*Skills!D4))))/Inputs!$B$44),IF(Inputs!$B$39="pvp",MIN((Skills!S4*(1+(Inputs!$B$35+IF(Inputs!$B$3&gt;=117,F1614,0))/100)),15)/15,(Skills!S4*(1+(Inputs!$B$35+IF(Inputs!$B$3&gt;=117,F1614,0))/100))/Skills!D4)),0)+IF(C1593=TRUE,F1593*IF(AND(Inputs!$B$39&lt;&gt;"pvp",Inputs!$B$44&gt;0),(((R1593-1)*(Skills!S5*(1+(Inputs!$B$35+IF(Inputs!$B$3&gt;=117,F1614,0))/100))+MIN((Skills!S5*(1+(Inputs!$B$35+IF(Inputs!$B$3&gt;=117,F1614,0))/100)),MAX(0,Inputs!$B$44-((R1593-1)*Skills!D5))))/Inputs!$B$44),IF(Inputs!$B$39="pvp",MIN((Skills!S5*(1+(Inputs!$B$35+IF(Inputs!$B$3&gt;=117,F1614,0))/100)),15)/15,(Skills!S5*(1+(Inputs!$B$35+IF(Inputs!$B$3&gt;=117,F1614,0))/100))/Skills!D5)),0)+IF(C1599=TRUE,F1599*IF(AND(Inputs!$B$39&lt;&gt;"pvp",Inputs!$B$44&gt;0),(((R1599-1)*(Skills!S11*(1+(Inputs!$B$35+IF(Inputs!$B$3&gt;=117,F1614,0))/100))+MIN((Skills!S11*(1+(Inputs!$B$35+IF(Inputs!$B$3&gt;=117,F1614,0))/100)),MAX(0,Inputs!$B$44-((R1599-1)*Skills!D11))))/Inputs!$B$44),IF(Inputs!$B$39="pvp",MIN((Skills!S11*(1+(Inputs!$B$35+IF(Inputs!$B$3&gt;=117,F1614,0))/100)),15)/15,(Skills!S11*(1+(Inputs!$B$35+IF(Inputs!$B$3&gt;=117,F1614,0))/100))/Skills!D11)),0))/100)*IF(C1602=TRUE,(1+F1602*IF(AND(Inputs!$B$39&lt;&gt;"pvp",Inputs!$B$44&gt;0),(((R1602-1)*(Skills!S14*(1+(Inputs!$B$35+IF(Inputs!$B$3&gt;=117,F1614,0))/100))+MIN((Skills!S14*(1+(Inputs!$B$35+IF(Inputs!$B$3&gt;=117,F1614,0))/100)),MAX(0,Inputs!$B$44-((R1602-1)*Skills!D14))))/Inputs!$B$44),IF(Inputs!$B$39="pvp",MIN((Skills!S14*(1+(Inputs!$B$35+IF(Inputs!$B$3&gt;=117,F1614,0))/100)),15)/15,(Skills!S14*(1+(Inputs!$B$35+IF(Inputs!$B$3&gt;=117,F1614,0))/100))/Skills!D14))/100),1)*IF(C1607=TRUE,(1+F1607*IF(AND(Inputs!$B$39&lt;&gt;"pvp",Inputs!$B$44&gt;0),(((R1607-1)*(Skills!S19*(1+(Inputs!$B$35+IF(Inputs!$B$3&gt;=117,F1614,0))/100))+MIN((Skills!S19*(1+(Inputs!$B$35+IF(Inputs!$B$3&gt;=117,F1614,0))/100)),MAX(0,Inputs!$B$44-((R1607-1)*Skills!D19))))/Inputs!$B$44),IF(Inputs!$B$39="pvp",MIN((Skills!S19*(1+(Inputs!$B$35+IF(Inputs!$B$3&gt;=117,F1614,0))/100)),15)/15,(Skills!S19*(1+(Inputs!$B$35+IF(Inputs!$B$3&gt;=117,F1614,0))/100))/Skills!D19))/100),1)</f>
        <v/>
      </c>
    </row>
    <row r="1618">
      <c r="A1618" t="inlineStr">
        <is>
          <t>Monster Damage Taken Bonus % (Holy Fountain)</t>
        </is>
      </c>
      <c r="B1618">
        <f>IF(Inputs!$B$3&gt;=68,20*IF(Inputs!$B$39="pvp",MIN((15*(1+(Inputs!$B$35+IF(Inputs!$B$3&gt;=117,F1614,0))/100)),15)/15,(15*(1+(Inputs!$B$35+IF(Inputs!$B$3&gt;=117,F1614,0))/100))/Skills!D10),0)</f>
        <v/>
      </c>
    </row>
    <row r="1619">
      <c r="A1619" t="inlineStr">
        <is>
          <t>Normal Monster Damage Bonus % (Holy Symbol)</t>
        </is>
      </c>
      <c r="B1619">
        <f>IF(C1600=TRUE,F1600*IF(AND(Inputs!$B$39&lt;&gt;"pvp",Inputs!$B$44&gt;0),(((R1600-1)*(Skills!S12*(1+(Inputs!$B$35+IF(Inputs!$B$3&gt;=117,F1614,0))/100))+MIN((Skills!S12*(1+(Inputs!$B$35+IF(Inputs!$B$3&gt;=117,F1614,0))/100)),MAX(0,Inputs!$B$44-((R1600-1)*Skills!D12))))/Inputs!$B$44),IF(Inputs!$B$39="pvp",MIN((Skills!S12*(1+(Inputs!$B$35+IF(Inputs!$B$3&gt;=117,F1614,0))/100)),15)/15,(Skills!S12*(1+(Inputs!$B$35+IF(Inputs!$B$3&gt;=117,F1614,0))/100))/Skills!D12)),0)</f>
        <v/>
      </c>
    </row>
    <row r="1620">
      <c r="A1620" t="inlineStr">
        <is>
          <t>Damage % Bonus (Holy Symbol - Damage Boost)</t>
        </is>
      </c>
      <c r="B1620">
        <f>Skills!O12</f>
        <v/>
      </c>
    </row>
    <row r="1621">
      <c r="A1621" t="inlineStr">
        <is>
          <t>Crit Damage % Bonus (Blood of the Divine)</t>
        </is>
      </c>
      <c r="B1621">
        <f>4*IF(C1608=TRUE,F1608,0)</f>
        <v/>
      </c>
    </row>
    <row r="1622">
      <c r="A1622" t="inlineStr">
        <is>
          <t>Attack Speed Bonus %</t>
        </is>
      </c>
      <c r="B1622">
        <f>IF(C1605=TRUE,F1605+(F1609-Calc!F21),0)+IF(Inputs!$B$3&gt;=134,15,0)</f>
        <v/>
      </c>
    </row>
    <row r="1623">
      <c r="A1623" t="inlineStr">
        <is>
          <t>Actions Per Second</t>
        </is>
      </c>
      <c r="B1623">
        <f>1+MIN(150,150*(1-(1-Inputs!$B$12/150)*(1-B1622/150)))/100</f>
        <v/>
      </c>
    </row>
    <row r="1624">
      <c r="A1624" t="inlineStr">
        <is>
          <t>Skill + Buff Cast Rate</t>
        </is>
      </c>
      <c r="B1624">
        <f>IF(AND(Inputs!$B$39&lt;&gt;"pvp",Inputs!$B$44&gt;0),SUMPRODUCT((Skills!E2:E27=TRUE)*(C1590:C1615=TRUE)*R1590:R1615)/Inputs!$B$44,SUMPRODUCT((Skills!E2:E27=TRUE)*(C1590:C1615=TRUE)*Q1590:Q1615))</f>
        <v/>
      </c>
    </row>
    <row r="1625">
      <c r="A1625" t="inlineStr">
        <is>
          <t>Big Bang Casts Per Second</t>
        </is>
      </c>
      <c r="B1625">
        <f>MAX(0,B1623-B1624)</f>
        <v/>
      </c>
    </row>
    <row r="1626">
      <c r="A1626" t="inlineStr">
        <is>
          <t>Defense % Bonus (Divine Protection)</t>
        </is>
      </c>
      <c r="B1626">
        <f>IF(C1601=TRUE,F1601*IF(AND(Inputs!$B$39&lt;&gt;"pvp",Inputs!$B$44&gt;0),(((R1601-1)*(Skills!S13*(1+(Inputs!$B$35+IF(Inputs!$B$3&gt;=117,F1614,0))/100))+MIN((Skills!S13*(1+(Inputs!$B$35+IF(Inputs!$B$3&gt;=117,F1614,0))/100)),MAX(0,Inputs!$B$44-((R1601-1)*Skills!D13))))/Inputs!$B$44),IF(Inputs!$B$39="pvp",MIN((Skills!S13*(1+(Inputs!$B$35+IF(Inputs!$B$3&gt;=117,F1614,0))/100)),15)/15,(Skills!S13*(1+(Inputs!$B$35+IF(Inputs!$B$3&gt;=117,F1614,0))/100))/Skills!D13)),0)</f>
        <v/>
      </c>
    </row>
    <row r="1627">
      <c r="A1627" t="inlineStr">
        <is>
          <t>Buff-Casting Startup Delay (s, fixed-duration only)</t>
        </is>
      </c>
      <c r="B1627">
        <f>IF(AND(Inputs!$B$39&lt;&gt;"pvp",Inputs!$B$44&gt;0),SUMPRODUCT((Skills!S2:S27&gt;0)*(Skills!E2:E27=TRUE)*(C1590:C1615=TRUE))/B1623,0)</f>
        <v/>
      </c>
    </row>
    <row r="1628">
      <c r="A1628" t="inlineStr">
        <is>
          <t>Boss-Only Total DPS (this block's swept value)</t>
        </is>
      </c>
      <c r="B1628">
        <f>SUM(S1590:S1615)</f>
        <v/>
      </c>
    </row>
    <row r="1629">
      <c r="A1629" t="inlineStr">
        <is>
          <t>Normal-Only Total DPS (this block's swept value)</t>
        </is>
      </c>
      <c r="B1629">
        <f>SUM(U1590:U1615)</f>
        <v/>
      </c>
    </row>
    <row r="1630">
      <c r="A1630" s="5" t="inlineStr">
        <is>
          <t>TOTAL DPS</t>
        </is>
      </c>
      <c r="B1630" s="5">
        <f>SUM(O1590:O1615)</f>
        <v/>
      </c>
    </row>
    <row r="1632">
      <c r="A1632" s="5" t="inlineStr">
        <is>
          <t>Stat: CDR = 5.0s</t>
        </is>
      </c>
    </row>
    <row r="1633">
      <c r="A1633" s="9" t="inlineStr">
        <is>
          <t>Key</t>
        </is>
      </c>
      <c r="B1633" s="9" t="inlineStr">
        <is>
          <t>Name</t>
        </is>
      </c>
      <c r="C1633" s="9" t="inlineStr">
        <is>
          <t>Unlocked</t>
        </is>
      </c>
      <c r="D1633" s="9" t="inlineStr">
        <is>
          <t>InputLevel</t>
        </is>
      </c>
      <c r="E1633" s="9" t="inlineStr">
        <is>
          <t>Factor</t>
        </is>
      </c>
      <c r="F1633" s="9" t="inlineStr">
        <is>
          <t>CoefficientPercent</t>
        </is>
      </c>
      <c r="G1633" s="9" t="inlineStr">
        <is>
          <t>EffectiveHits</t>
        </is>
      </c>
      <c r="H1633" s="9" t="inlineStr">
        <is>
          <t>ProcProbability</t>
        </is>
      </c>
      <c r="I1633" s="9" t="inlineStr">
        <is>
          <t>MapleHeroMultiplier</t>
        </is>
      </c>
      <c r="J1633" s="9" t="inlineStr">
        <is>
          <t>BaseDamage</t>
        </is>
      </c>
      <c r="K1633" s="9" t="inlineStr">
        <is>
          <t>BaseHitDamage</t>
        </is>
      </c>
      <c r="L1633" s="9" t="inlineStr">
        <is>
          <t>NonCritAvg</t>
        </is>
      </c>
      <c r="M1633" s="9" t="inlineStr">
        <is>
          <t>CritAvg</t>
        </is>
      </c>
      <c r="N1633" s="9" t="inlineStr">
        <is>
          <t>ExpectedDamage(perHit)</t>
        </is>
      </c>
      <c r="O1633" s="9" t="inlineStr">
        <is>
          <t>DPS</t>
        </is>
      </c>
      <c r="P1633" s="9" t="inlineStr">
        <is>
          <t>% of Total</t>
        </is>
      </c>
      <c r="R1633" t="inlineStr">
        <is>
          <t>helpers</t>
        </is>
      </c>
    </row>
    <row r="1634">
      <c r="A1634">
        <f>Skills!A2</f>
        <v/>
      </c>
      <c r="B1634">
        <f>Skills!B2</f>
        <v/>
      </c>
      <c r="C1634">
        <f>Inputs!$B$3&gt;=100</f>
        <v/>
      </c>
      <c r="D1634" t="inlineStr"/>
      <c r="E1634" t="inlineStr"/>
      <c r="F1634">
        <f>T1636+Skills!N2</f>
        <v/>
      </c>
      <c r="G1634">
        <f>Calc!G2</f>
        <v/>
      </c>
      <c r="H1634">
        <f>Calc!H2</f>
        <v/>
      </c>
      <c r="I1634">
        <f>IF(Skills!T2&lt;&gt;"",1+(Skills!T2/10)*($Z$3/1000)/100,1)</f>
        <v/>
      </c>
      <c r="J1634">
        <f>((Inputs!$B$6*(1+Inputs!$B$7/100))+(((Inputs!$B$13*(1+Inputs!$B$14/100))-(Inputs!$B$13*(1+Inputs!$B$14/100)))+0.25*(Inputs!$B$15-Inputs!$B$15))*(1+Inputs!$B$7/100))*(F1634/100)</f>
        <v/>
      </c>
      <c r="K1634">
        <f>J1634*(1+(((Inputs!$B$13+IF(Inputs!$B$3&gt;=35,(10*INDEX(FactorTable!$B$2:$Y$301, MATCH(ROUND(MIN(300,MAX(1,Inputs!$B$3)),0), FactorTable!$A$2:$A$301,0), 23)/1000)/100*(Inputs!$B$8*(1+(Inputs!$B$9+B1670)/100)),0))*(1+Inputs!$B$14/100))*0.01+Inputs!$B$15*0.0025)/100)*(1+(Inputs!$B$16+B1664)/100)*(1+Inputs!$B$17/100)*(5000/(6000+Inputs!$B$43*(1-Inputs!$B$20/100)))*(1+Inputs!$B$25/100)*(1+IF(C1650=TRUE,F1650,0)/100)*(1+IF(C1652=TRUE,F1652,0)/100)*(1+IF(Skills!A2="TRIUMPH_FEATHER",IF(C1648=TRUE,F1648,0),0)/100)*(1+IF(C1659=TRUE,F1659,0)/100)^5*(1+(IF(Skills!A2="BIG_BANG",Inputs!$B$18,Inputs!$B$19))/100)*(B1661*I1634)</f>
        <v/>
      </c>
      <c r="L1634">
        <f>K1634*(MIN(Inputs!$B$23+(F1654-Calc!F22),Inputs!$B$24)/100+Inputs!$B$24/100)/2</f>
        <v/>
      </c>
      <c r="M1634">
        <f>L1634*(1+(Inputs!$B$11+B1665+(F1657-Calc!F25))/100)</f>
        <v/>
      </c>
      <c r="N1634">
        <f>L1634*(1-MIN(Inputs!$B$10+((F1656-Calc!F24)+(F1655-Calc!F23)),100)/100)+M1634*(MIN(Inputs!$B$10+((F1656-Calc!F24)+(F1655-Calc!F23)),100)/100)</f>
        <v/>
      </c>
      <c r="O1634">
        <f>(1-Summary!$B$48)*S1634+Summary!$B$48*U1634</f>
        <v/>
      </c>
      <c r="P1634">
        <f>IF(B1674=0,0,O1634/B1674)</f>
        <v/>
      </c>
      <c r="Q1634">
        <f>IFERROR(1/IF(Inputs!$B$39="pvp",15,MAX(0.1,Skills!D2-IF(Skills!E2=TRUE,5.0,0))),0)</f>
        <v/>
      </c>
      <c r="R1634" t="n">
        <v>0</v>
      </c>
      <c r="S1634">
        <f>IF(C1634,(Skills!F2*N1634*B1669)*IF(Inputs!$B$39="pvp",1,1+(Inputs!$B$21+Skills!O2+B1662)/100),0)</f>
        <v/>
      </c>
      <c r="T1634">
        <f>MAX(0,(Inputs!$B$3-100)*3)+Inputs!$B$29+Inputs!$B$30</f>
        <v/>
      </c>
      <c r="U1634">
        <f>IF(C1634,(Skills!F2*N1634*B1669)*IF(Inputs!$B$39="pvp",1,(1+(Inputs!$B$22+Skills!P2+B1663)/100)*(MIN((6+Inputs!$B$34),Inputs!$B$38))),0)</f>
        <v/>
      </c>
    </row>
    <row r="1635">
      <c r="A1635">
        <f>Skills!A3</f>
        <v/>
      </c>
      <c r="B1635">
        <f>Skills!B3</f>
        <v/>
      </c>
      <c r="C1635">
        <f>Inputs!$B$3&gt;=15</f>
        <v/>
      </c>
      <c r="D1635">
        <f>IF(Skills!C3=1,60+Inputs!$B$26+Inputs!$B$30,IF(Skills!C3=2,90+Inputs!$B$27+Inputs!$B$30,IF(Skills!C3=3,120+Inputs!$B$28+Inputs!$B$30,MAX(0,(Inputs!$B$3-100)*3)+Inputs!$B$29+Inputs!$B$30)))</f>
        <v/>
      </c>
      <c r="E1635">
        <f>INDEX(FactorTable!$B$2:$Y$301, MATCH(ROUND(MIN(300,MAX(1,D1635)),0), FactorTable!$A$2:$A$301,0), Skills!L3+1)</f>
        <v/>
      </c>
      <c r="F1635">
        <f>IF(Skills!M3=TRUE,(Skills!K3/10)*(E1635/1000),Skills!K3/10)+Skills!N3</f>
        <v/>
      </c>
      <c r="G1635">
        <f>Calc!G3</f>
        <v/>
      </c>
      <c r="H1635">
        <f>Calc!H3</f>
        <v/>
      </c>
      <c r="I1635">
        <f>IF(Skills!T3&lt;&gt;"",1+(Skills!T3/10)*($Z$3/1000)/100,1)</f>
        <v/>
      </c>
      <c r="J1635" t="inlineStr"/>
      <c r="K1635" t="inlineStr"/>
      <c r="L1635" t="inlineStr"/>
      <c r="M1635" t="inlineStr"/>
      <c r="N1635" t="inlineStr"/>
      <c r="O1635">
        <f>(1-Summary!$B$48)*S1635+Summary!$B$48*U1635</f>
        <v/>
      </c>
      <c r="P1635">
        <f>IF(B1674=0,0,O1635/B1674)</f>
        <v/>
      </c>
      <c r="Q1635">
        <f>IFERROR(1/IF(Inputs!$B$39="pvp",15,MAX(0.1,Skills!D3-IF(Skills!E3=TRUE,5.0,0))),0)</f>
        <v/>
      </c>
      <c r="R1635">
        <f>IF(AND(Inputs!$B$39&lt;&gt;"pvp",Inputs!$B$44&gt;0),IF(Inputs!$B$44&lt;=0,0,(INT(Inputs!$B$44/IF(Inputs!$B$39="pvp",15,MAX(0.1,Skills!D3-IF(Skills!E3=TRUE,5.0,0))))+1)),0)</f>
        <v/>
      </c>
      <c r="S1635" t="n">
        <v>0</v>
      </c>
      <c r="T1635">
        <f>INDEX(FactorTable!$B$2:$Y$301, MATCH(ROUND(MIN(300,MAX(1,T1634)),0), FactorTable!$A$2:$A$301,0), 22)</f>
        <v/>
      </c>
      <c r="U1635" t="n">
        <v>0</v>
      </c>
    </row>
    <row r="1636">
      <c r="A1636">
        <f>Skills!A4</f>
        <v/>
      </c>
      <c r="B1636">
        <f>Skills!B4</f>
        <v/>
      </c>
      <c r="C1636">
        <f>Inputs!$B$3&gt;=38</f>
        <v/>
      </c>
      <c r="D1636">
        <f>IF(Skills!C4=1,60+Inputs!$B$26+Inputs!$B$30,IF(Skills!C4=2,90+Inputs!$B$27+Inputs!$B$30,IF(Skills!C4=3,120+Inputs!$B$28+Inputs!$B$30,MAX(0,(Inputs!$B$3-100)*3)+Inputs!$B$29+Inputs!$B$30)))</f>
        <v/>
      </c>
      <c r="E1636">
        <f>INDEX(FactorTable!$B$2:$Y$301, MATCH(ROUND(MIN(300,MAX(1,D1636)),0), FactorTable!$A$2:$A$301,0), Skills!L4+1)</f>
        <v/>
      </c>
      <c r="F1636">
        <f>IF(Skills!M4=TRUE,(Skills!K4/10)*(E1636/1000),Skills!K4/10)+Skills!N4</f>
        <v/>
      </c>
      <c r="G1636">
        <f>Calc!G4</f>
        <v/>
      </c>
      <c r="H1636">
        <f>Calc!H4</f>
        <v/>
      </c>
      <c r="I1636">
        <f>IF(Skills!T4&lt;&gt;"",1+(Skills!T4/10)*($Z$3/1000)/100,1)</f>
        <v/>
      </c>
      <c r="J1636" t="inlineStr"/>
      <c r="K1636" t="inlineStr"/>
      <c r="L1636" t="inlineStr"/>
      <c r="M1636" t="inlineStr"/>
      <c r="N1636" t="inlineStr"/>
      <c r="O1636">
        <f>(1-Summary!$B$48)*S1636+Summary!$B$48*U1636</f>
        <v/>
      </c>
      <c r="P1636">
        <f>IF(B1674=0,0,O1636/B1674)</f>
        <v/>
      </c>
      <c r="Q1636">
        <f>IFERROR(1/IF(Inputs!$B$39="pvp",15,MAX(0.1,Skills!D4-IF(Skills!E4=TRUE,5.0,0))),0)</f>
        <v/>
      </c>
      <c r="R1636">
        <f>IF(AND(Inputs!$B$39&lt;&gt;"pvp",Inputs!$B$44&gt;0),IF(Inputs!$B$44&lt;=0,0,(INT(Inputs!$B$44/IF(Inputs!$B$39="pvp",15,MAX(0.1,Skills!D4-IF(Skills!E4=TRUE,5.0,0))))+1)),0)</f>
        <v/>
      </c>
      <c r="S1636" t="n">
        <v>0</v>
      </c>
      <c r="T1636">
        <f>290*T1635/1000</f>
        <v/>
      </c>
      <c r="U1636" t="n">
        <v>0</v>
      </c>
    </row>
    <row r="1637">
      <c r="A1637">
        <f>Skills!A5</f>
        <v/>
      </c>
      <c r="B1637">
        <f>Skills!B5</f>
        <v/>
      </c>
      <c r="C1637">
        <f>Inputs!$B$3&gt;=40</f>
        <v/>
      </c>
      <c r="D1637">
        <f>IF(Skills!C5=1,60+Inputs!$B$26+Inputs!$B$30,IF(Skills!C5=2,90+Inputs!$B$27+Inputs!$B$30,IF(Skills!C5=3,120+Inputs!$B$28+Inputs!$B$30,MAX(0,(Inputs!$B$3-100)*3)+Inputs!$B$29+Inputs!$B$30)))</f>
        <v/>
      </c>
      <c r="E1637">
        <f>INDEX(FactorTable!$B$2:$Y$301, MATCH(ROUND(MIN(300,MAX(1,D1637)),0), FactorTable!$A$2:$A$301,0), Skills!L5+1)</f>
        <v/>
      </c>
      <c r="F1637">
        <f>IF(Skills!M5=TRUE,(Skills!K5/10)*(E1637/1000),Skills!K5/10)+Skills!N5</f>
        <v/>
      </c>
      <c r="G1637">
        <f>Calc!G5</f>
        <v/>
      </c>
      <c r="H1637">
        <f>Calc!H5</f>
        <v/>
      </c>
      <c r="I1637">
        <f>IF(Skills!T5&lt;&gt;"",1+(Skills!T5/10)*($Z$3/1000)/100,1)</f>
        <v/>
      </c>
      <c r="J1637" t="inlineStr"/>
      <c r="K1637" t="inlineStr"/>
      <c r="L1637" t="inlineStr"/>
      <c r="M1637" t="inlineStr"/>
      <c r="N1637" t="inlineStr"/>
      <c r="O1637">
        <f>(1-Summary!$B$48)*S1637+Summary!$B$48*U1637</f>
        <v/>
      </c>
      <c r="P1637">
        <f>IF(B1674=0,0,O1637/B1674)</f>
        <v/>
      </c>
      <c r="Q1637">
        <f>IFERROR(1/IF(Inputs!$B$39="pvp",15,MAX(0.1,Skills!D5-IF(Skills!E5=TRUE,5.0,0))),0)</f>
        <v/>
      </c>
      <c r="R1637">
        <f>IF(AND(Inputs!$B$39&lt;&gt;"pvp",Inputs!$B$44&gt;0),IF(Inputs!$B$44&lt;=0,0,(INT(Inputs!$B$44/IF(Inputs!$B$39="pvp",15,MAX(0.1,Skills!D5-IF(Skills!E5=TRUE,5.0,0))))+1)),0)</f>
        <v/>
      </c>
      <c r="S1637" t="n">
        <v>0</v>
      </c>
      <c r="U1637" t="n">
        <v>0</v>
      </c>
    </row>
    <row r="1638">
      <c r="A1638">
        <f>Skills!A6</f>
        <v/>
      </c>
      <c r="B1638">
        <f>Skills!B6</f>
        <v/>
      </c>
      <c r="C1638">
        <f>Inputs!$B$3&gt;=103</f>
        <v/>
      </c>
      <c r="D1638">
        <f>IF(Skills!C6=1,60+Inputs!$B$26+Inputs!$B$30,IF(Skills!C6=2,90+Inputs!$B$27+Inputs!$B$30,IF(Skills!C6=3,120+Inputs!$B$28+Inputs!$B$30,MAX(0,(Inputs!$B$3-100)*3)+Inputs!$B$29+Inputs!$B$30)))</f>
        <v/>
      </c>
      <c r="E1638">
        <f>INDEX(FactorTable!$B$2:$Y$301, MATCH(ROUND(MIN(300,MAX(1,D1638)),0), FactorTable!$A$2:$A$301,0), Skills!L6+1)</f>
        <v/>
      </c>
      <c r="F1638">
        <f>IF(Skills!M6=TRUE,(Skills!K6/10)*(E1638/1000),Skills!K6/10)+Skills!N6</f>
        <v/>
      </c>
      <c r="G1638">
        <f>Calc!G6</f>
        <v/>
      </c>
      <c r="H1638">
        <f>Calc!H6</f>
        <v/>
      </c>
      <c r="I1638">
        <f>IF(Skills!T6&lt;&gt;"",1+(Skills!T6/10)*($Z$3/1000)/100,1)</f>
        <v/>
      </c>
      <c r="J1638">
        <f>((Inputs!$B$6*(1+Inputs!$B$7/100))+(((Inputs!$B$13*(1+Inputs!$B$14/100))-(Inputs!$B$13*(1+Inputs!$B$14/100)))+0.25*(Inputs!$B$15-Inputs!$B$15))*(1+Inputs!$B$7/100))*(F1638/100)</f>
        <v/>
      </c>
      <c r="K1638">
        <f>J1638*(1+(((Inputs!$B$13+IF(Inputs!$B$3&gt;=35,(10*INDEX(FactorTable!$B$2:$Y$301, MATCH(ROUND(MIN(300,MAX(1,Inputs!$B$3)),0), FactorTable!$A$2:$A$301,0), 23)/1000)/100*(Inputs!$B$8*(1+(Inputs!$B$9+B1670)/100)),0))*(1+Inputs!$B$14/100))*0.01+Inputs!$B$15*0.0025)/100)*(1+(Inputs!$B$16+B1664)/100)*(1+Inputs!$B$17/100)*(5000/(6000+Inputs!$B$43*(1-Inputs!$B$20/100)))*(1+Inputs!$B$25/100)*(1+IF(C1650=TRUE,F1650,0)/100)*(1+IF(C1652=TRUE,F1652,0)/100)*(1+IF(Skills!A6="TRIUMPH_FEATHER",IF(C1648=TRUE,F1648,0),0)/100)*(1+IF(C1659=TRUE,F1659,0)/100)^5*(1+(IF(Skills!A6="BIG_BANG",Inputs!$B$18,Inputs!$B$19))/100)*(B1661*I1638)</f>
        <v/>
      </c>
      <c r="L1638">
        <f>K1638*(MIN(Inputs!$B$23+(F1654-Calc!F22),Inputs!$B$24)/100+Inputs!$B$24/100)/2</f>
        <v/>
      </c>
      <c r="M1638">
        <f>L1638*(1+(Inputs!$B$11+B1665+(F1657-Calc!F25))/100)</f>
        <v/>
      </c>
      <c r="N1638">
        <f>L1638*(1-MIN(Inputs!$B$10+((F1656-Calc!F24)+(F1655-Calc!F23)),100)/100)+M1638*(MIN(Inputs!$B$10+((F1656-Calc!F24)+(F1655-Calc!F23)),100)/100)</f>
        <v/>
      </c>
      <c r="O1638">
        <f>(1-Summary!$B$48)*S1638+Summary!$B$48*U1638</f>
        <v/>
      </c>
      <c r="P1638">
        <f>IF(B1674=0,0,O1638/B1674)</f>
        <v/>
      </c>
      <c r="Q1638">
        <f>IFERROR(1/IF(Inputs!$B$39="pvp",15,MAX(0.1,Skills!D6-IF(Skills!E6=TRUE,5.0,0))),0)</f>
        <v/>
      </c>
      <c r="R1638">
        <f>IF(AND(Inputs!$B$39&lt;&gt;"pvp",Inputs!$B$44&gt;0),IF(MAX(0,Inputs!$B$44-B1671)&lt;=0,0,(INT(MAX(0,Inputs!$B$44-B1671)/IF(Inputs!$B$39="pvp",15,MAX(0.1,Skills!D6-IF(Skills!E6=TRUE,5.0,0))))+1)),0)</f>
        <v/>
      </c>
      <c r="S1638">
        <f>IF(C1638,(H1638*N1638*IF(AND(Inputs!$B$39&lt;&gt;"pvp",Inputs!$B$44&gt;0),((Skills!F6*((R1638-1)*IF(Skills!G6&gt;0,Skills!H6/Skills!G6,1)+IF(Skills!G6&gt;0,MIN(Skills!H6,MAX(0,MAX(0,Inputs!$B$44-B1671)-((R1638-1)*IF(Inputs!$B$39="pvp",15,MAX(0.1,Skills!D6-IF(Skills!E6=TRUE,5.0,0))))))/Skills!G6,1)))/Inputs!$B$44),G1638*Q1638))*IF(Inputs!$B$39="pvp",1,1+(Inputs!$B$21+Skills!O6+B1662)/100),0)</f>
        <v/>
      </c>
      <c r="U1638">
        <f>IF(C1638,(H1638*N1638*IF(AND(Inputs!$B$39&lt;&gt;"pvp",Inputs!$B$44&gt;0),((Skills!F6*((R1638-1)*IF(Skills!G6&gt;0,Skills!H6/Skills!G6,1)+IF(Skills!G6&gt;0,MIN(Skills!H6,MAX(0,MAX(0,Inputs!$B$44-B1671)-((R1638-1)*IF(Inputs!$B$39="pvp",15,MAX(0.1,Skills!D6-IF(Skills!E6=TRUE,5.0,0))))))/Skills!G6,1)))/Inputs!$B$44),G1638*Q1638))*IF(Inputs!$B$39="pvp",1,(1+(Inputs!$B$22+Skills!P6+B1663)/100)*(MIN(Skills!Q6,Inputs!$B$38))),0)</f>
        <v/>
      </c>
    </row>
    <row r="1639">
      <c r="A1639">
        <f>Skills!A7</f>
        <v/>
      </c>
      <c r="B1639">
        <f>Skills!B7</f>
        <v/>
      </c>
      <c r="C1639">
        <f>Inputs!$B$3&gt;=122</f>
        <v/>
      </c>
      <c r="D1639">
        <f>IF(Skills!C7=1,60+Inputs!$B$26+Inputs!$B$30,IF(Skills!C7=2,90+Inputs!$B$27+Inputs!$B$30,IF(Skills!C7=3,120+Inputs!$B$28+Inputs!$B$30,MAX(0,(Inputs!$B$3-100)*3)+Inputs!$B$29+Inputs!$B$30)))</f>
        <v/>
      </c>
      <c r="E1639">
        <f>INDEX(FactorTable!$B$2:$Y$301, MATCH(ROUND(MIN(300,MAX(1,D1639)),0), FactorTable!$A$2:$A$301,0), Skills!L7+1)</f>
        <v/>
      </c>
      <c r="F1639">
        <f>IF(Skills!M7=TRUE,(Skills!K7/10)*(E1639/1000),Skills!K7/10)+Skills!N7</f>
        <v/>
      </c>
      <c r="G1639">
        <f>Calc!G7</f>
        <v/>
      </c>
      <c r="H1639">
        <f>Calc!H7</f>
        <v/>
      </c>
      <c r="I1639">
        <f>IF(Skills!T7&lt;&gt;"",1+(Skills!T7/10)*($Z$3/1000)/100,1)</f>
        <v/>
      </c>
      <c r="J1639">
        <f>((Inputs!$B$6*(1+Inputs!$B$7/100))+(((Inputs!$B$13*(1+Inputs!$B$14/100))-(Inputs!$B$13*(1+Inputs!$B$14/100)))+0.25*(Inputs!$B$15-Inputs!$B$15))*(1+Inputs!$B$7/100))*(F1639/100)</f>
        <v/>
      </c>
      <c r="K1639">
        <f>J1639*(1+(((Inputs!$B$13+IF(Inputs!$B$3&gt;=35,(10*INDEX(FactorTable!$B$2:$Y$301, MATCH(ROUND(MIN(300,MAX(1,Inputs!$B$3)),0), FactorTable!$A$2:$A$301,0), 23)/1000)/100*(Inputs!$B$8*(1+(Inputs!$B$9+B1670)/100)),0))*(1+Inputs!$B$14/100))*0.01+Inputs!$B$15*0.0025)/100)*(1+(Inputs!$B$16+B1664)/100)*(1+Inputs!$B$17/100)*(5000/(6000+Inputs!$B$43*(1-Inputs!$B$20/100)))*(1+Inputs!$B$25/100)*(1+IF(C1650=TRUE,F1650,0)/100)*(1+IF(C1652=TRUE,F1652,0)/100)*(1+IF(Skills!A7="TRIUMPH_FEATHER",IF(C1648=TRUE,F1648,0),0)/100)*(1+IF(C1659=TRUE,F1659,0)/100)^5*(1+(IF(Skills!A7="BIG_BANG",Inputs!$B$18,Inputs!$B$19))/100)*(B1661*I1639)</f>
        <v/>
      </c>
      <c r="L1639">
        <f>K1639*(MIN(Inputs!$B$23+(F1654-Calc!F22),Inputs!$B$24)/100+Inputs!$B$24/100)/2</f>
        <v/>
      </c>
      <c r="M1639">
        <f>L1639*(1+(Inputs!$B$11+B1665+(F1657-Calc!F25))/100)</f>
        <v/>
      </c>
      <c r="N1639">
        <f>L1639*(1-MIN(Inputs!$B$10+((F1656-Calc!F24)+(F1655-Calc!F23)),100)/100)+M1639*(MIN(Inputs!$B$10+((F1656-Calc!F24)+(F1655-Calc!F23)),100)/100)</f>
        <v/>
      </c>
      <c r="O1639">
        <f>(1-Summary!$B$48)*S1639+Summary!$B$48*U1639</f>
        <v/>
      </c>
      <c r="P1639">
        <f>IF(B1674=0,0,O1639/B1674)</f>
        <v/>
      </c>
      <c r="Q1639">
        <f>IFERROR(1/IF(Inputs!$B$39="pvp",15,MAX(0.1,Skills!D7-IF(Skills!E6=TRUE,5.0,0))),0)</f>
        <v/>
      </c>
      <c r="R1639">
        <f>IF(AND(Inputs!$B$39&lt;&gt;"pvp",Inputs!$B$44&gt;0),IF(MAX(0,Inputs!$B$44-B1671)&lt;=0,0,(INT(MAX(0,Inputs!$B$44-B1671)/IF(Inputs!$B$39="pvp",15,MAX(0.1,Skills!D7-IF(Skills!E6=TRUE,5.0,0))))+1)),0)</f>
        <v/>
      </c>
      <c r="S1639">
        <f>IF(C1639,H1639*N1639*IF(AND(Inputs!$B$39&lt;&gt;"pvp",Inputs!$B$44&gt;0),((Skills!F7*((R1639-1)*IF(Skills!G7&gt;0,Skills!H7/Skills!G7,1)+IF(Skills!G7&gt;0,MIN(Skills!H7,MAX(0,MAX(0,Inputs!$B$44-B1671)-((R1639-1)*IF(Inputs!$B$39="pvp",15,MAX(0.1,Skills!D7-IF(Skills!E6=TRUE,5.0,0))))))/Skills!G7,1)))/Inputs!$B$44),G1639*Q1639)*IF(Inputs!$B$39="pvp",1,1+(Inputs!$B$21+Skills!O7+B1662)/100),0)</f>
        <v/>
      </c>
      <c r="U1639" t="n">
        <v>0</v>
      </c>
    </row>
    <row r="1640">
      <c r="A1640">
        <f>Skills!A8</f>
        <v/>
      </c>
      <c r="B1640">
        <f>Skills!B8</f>
        <v/>
      </c>
      <c r="C1640">
        <f>Inputs!$B$3&gt;=105</f>
        <v/>
      </c>
      <c r="D1640">
        <f>IF(Skills!C8=1,60+Inputs!$B$26+Inputs!$B$30,IF(Skills!C8=2,90+Inputs!$B$27+Inputs!$B$30,IF(Skills!C8=3,120+Inputs!$B$28+Inputs!$B$30,MAX(0,(Inputs!$B$3-100)*3)+Inputs!$B$29+Inputs!$B$30)))</f>
        <v/>
      </c>
      <c r="E1640">
        <f>INDEX(FactorTable!$B$2:$Y$301, MATCH(ROUND(MIN(300,MAX(1,D1640)),0), FactorTable!$A$2:$A$301,0), Skills!L8+1)</f>
        <v/>
      </c>
      <c r="F1640">
        <f>IF(Skills!M8=TRUE,(Skills!K8/10)*(E1640/1000),Skills!K8/10)+Skills!N8</f>
        <v/>
      </c>
      <c r="G1640">
        <f>Calc!G8</f>
        <v/>
      </c>
      <c r="H1640">
        <f>Calc!H8</f>
        <v/>
      </c>
      <c r="I1640">
        <f>IF(Skills!T8&lt;&gt;"",1+(Skills!T8/10)*($Z$3/1000)/100,1)</f>
        <v/>
      </c>
      <c r="J1640">
        <f>((Inputs!$B$6*(1+Inputs!$B$7/100))+(((Inputs!$B$13*(1+Inputs!$B$14/100))-(Inputs!$B$13*(1+Inputs!$B$14/100)))+0.25*(Inputs!$B$15-Inputs!$B$15))*(1+Inputs!$B$7/100))*(F1640/100)</f>
        <v/>
      </c>
      <c r="K1640">
        <f>J1640*(1+(((Inputs!$B$13+IF(Inputs!$B$3&gt;=35,(10*INDEX(FactorTable!$B$2:$Y$301, MATCH(ROUND(MIN(300,MAX(1,Inputs!$B$3)),0), FactorTable!$A$2:$A$301,0), 23)/1000)/100*(Inputs!$B$8*(1+(Inputs!$B$9+B1670)/100)),0))*(1+Inputs!$B$14/100))*0.01+Inputs!$B$15*0.0025)/100)*(1+(Inputs!$B$16+B1664)/100)*(1+Inputs!$B$17/100)*(5000/(6000+Inputs!$B$43*(1-Inputs!$B$20/100)))*(1+Inputs!$B$25/100)*(1+IF(C1650=TRUE,F1650,0)/100)*(1+IF(C1652=TRUE,F1652,0)/100)*(1+IF(Skills!A8="TRIUMPH_FEATHER",IF(C1648=TRUE,F1648,0),0)/100)*(1+IF(C1659=TRUE,F1659,0)/100)^5*(1+(IF(Skills!A8="BIG_BANG",Inputs!$B$18,Inputs!$B$19))/100)*(B1661*I1640)</f>
        <v/>
      </c>
      <c r="L1640">
        <f>K1640*(MIN(Inputs!$B$23+(F1654-Calc!F22),Inputs!$B$24)/100+Inputs!$B$24/100)/2</f>
        <v/>
      </c>
      <c r="M1640">
        <f>L1640*(1+(Inputs!$B$11+B1665+(F1657-Calc!F25))/100)</f>
        <v/>
      </c>
      <c r="N1640">
        <f>L1640*(1-MIN(Inputs!$B$10+((F1656-Calc!F24)+(F1655-Calc!F23)),100)/100)+M1640*(MIN(Inputs!$B$10+((F1656-Calc!F24)+(F1655-Calc!F23)),100)/100)</f>
        <v/>
      </c>
      <c r="O1640">
        <f>(1-Summary!$B$48)*S1640+Summary!$B$48*U1640</f>
        <v/>
      </c>
      <c r="P1640">
        <f>IF(B1674=0,0,O1640/B1674)</f>
        <v/>
      </c>
      <c r="Q1640">
        <f>IFERROR(1/IF(Inputs!$B$39="pvp",15,MAX(0.1,Skills!D8-IF(Skills!E8=TRUE,5.0,0))),0)</f>
        <v/>
      </c>
      <c r="R1640">
        <f>IF(AND(Inputs!$B$39&lt;&gt;"pvp",Inputs!$B$44&gt;0),IF(MAX(0,Inputs!$B$44-B1671)&lt;=0,0,(INT(MAX(0,Inputs!$B$44-B1671)/IF(Inputs!$B$39="pvp",15,MAX(0.1,Skills!D8-IF(Skills!E8=TRUE,5.0,0))))+1)),0)</f>
        <v/>
      </c>
      <c r="S1640">
        <f>IF(C1640,(H1640*N1640*IF(AND(Inputs!$B$39&lt;&gt;"pvp",Inputs!$B$44&gt;0),((Skills!F8*((R1640-1)*IF(Skills!G8&gt;0,Skills!H8/Skills!G8,1)+IF(Skills!G8&gt;0,MIN(Skills!H8,MAX(0,MAX(0,Inputs!$B$44-B1671)-((R1640-1)*IF(Inputs!$B$39="pvp",15,MAX(0.1,Skills!D8-IF(Skills!E8=TRUE,5.0,0))))))/Skills!G8,1)))/Inputs!$B$44),G1640*Q1640))*IF(Inputs!$B$39="pvp",1,1+(Inputs!$B$21+Skills!O8+B1662)/100),0)</f>
        <v/>
      </c>
      <c r="U1640">
        <f>IF(C1640,(H1640*N1640*IF(AND(Inputs!$B$39&lt;&gt;"pvp",Inputs!$B$44&gt;0),((Skills!F8*((R1640-1)*IF(Skills!G8&gt;0,Skills!H8/Skills!G8,1)+IF(Skills!G8&gt;0,MIN(Skills!H8,MAX(0,MAX(0,Inputs!$B$44-B1671)-((R1640-1)*IF(Inputs!$B$39="pvp",15,MAX(0.1,Skills!D8-IF(Skills!E8=TRUE,5.0,0))))))/Skills!G8,1)))/Inputs!$B$44),G1640*Q1640))*IF(Inputs!$B$39="pvp",1,(1+(Inputs!$B$22+Skills!P8+B1663)/100)*(MIN(Skills!Q8,Inputs!$B$38))),0)</f>
        <v/>
      </c>
    </row>
    <row r="1641">
      <c r="A1641">
        <f>Skills!A9</f>
        <v/>
      </c>
      <c r="B1641">
        <f>Skills!B9</f>
        <v/>
      </c>
      <c r="C1641">
        <f>Inputs!$B$3&gt;=115</f>
        <v/>
      </c>
      <c r="D1641">
        <f>IF(Skills!C9=1,60+Inputs!$B$26+Inputs!$B$30,IF(Skills!C9=2,90+Inputs!$B$27+Inputs!$B$30,IF(Skills!C9=3,120+Inputs!$B$28+Inputs!$B$30,MAX(0,(Inputs!$B$3-100)*3)+Inputs!$B$29+Inputs!$B$30)))</f>
        <v/>
      </c>
      <c r="E1641">
        <f>INDEX(FactorTable!$B$2:$Y$301, MATCH(ROUND(MIN(300,MAX(1,D1641)),0), FactorTable!$A$2:$A$301,0), Skills!L9+1)</f>
        <v/>
      </c>
      <c r="F1641">
        <f>IF(Skills!M9=TRUE,(Skills!K9/10)*(E1641/1000),Skills!K9/10)+Skills!N9</f>
        <v/>
      </c>
      <c r="G1641">
        <f>Calc!G9</f>
        <v/>
      </c>
      <c r="H1641">
        <f>Calc!H9</f>
        <v/>
      </c>
      <c r="I1641">
        <f>IF(Skills!T9&lt;&gt;"",1+(Skills!T9/10)*($Z$3/1000)/100,1)</f>
        <v/>
      </c>
      <c r="J1641">
        <f>((Inputs!$B$6*(1+Inputs!$B$7/100))+(((Inputs!$B$13*(1+Inputs!$B$14/100))-(Inputs!$B$13*(1+Inputs!$B$14/100)))+0.25*(Inputs!$B$15-Inputs!$B$15))*(1+Inputs!$B$7/100))*(F1641/100)</f>
        <v/>
      </c>
      <c r="K1641">
        <f>J1641*(1+(((Inputs!$B$13+IF(Inputs!$B$3&gt;=35,(10*INDEX(FactorTable!$B$2:$Y$301, MATCH(ROUND(MIN(300,MAX(1,Inputs!$B$3)),0), FactorTable!$A$2:$A$301,0), 23)/1000)/100*(Inputs!$B$8*(1+(Inputs!$B$9+B1670)/100)),0))*(1+Inputs!$B$14/100))*0.01+Inputs!$B$15*0.0025)/100)*(1+(Inputs!$B$16+B1664)/100)*(1+Inputs!$B$17/100)*(5000/(6000+Inputs!$B$43*(1-Inputs!$B$20/100)))*(1+Inputs!$B$25/100)*(1+IF(C1650=TRUE,F1650,0)/100)*(1+IF(C1652=TRUE,F1652,0)/100)*(1+IF(Skills!A9="TRIUMPH_FEATHER",IF(C1648=TRUE,F1648,0),0)/100)*(1+IF(C1659=TRUE,F1659,0)/100)^5*(1+(IF(Skills!A9="BIG_BANG",Inputs!$B$18,Inputs!$B$19))/100)*(B1661*I1641)</f>
        <v/>
      </c>
      <c r="L1641">
        <f>K1641*(MIN(Inputs!$B$23+(F1654-Calc!F22),Inputs!$B$24)/100+Inputs!$B$24/100)/2</f>
        <v/>
      </c>
      <c r="M1641">
        <f>L1641*(1+(Inputs!$B$11+B1665+(F1657-Calc!F25))/100)</f>
        <v/>
      </c>
      <c r="N1641">
        <f>L1641*(1-MIN(Inputs!$B$10+((F1656-Calc!F24)+(F1655-Calc!F23)),100)/100)+M1641*(MIN(Inputs!$B$10+((F1656-Calc!F24)+(F1655-Calc!F23)),100)/100)</f>
        <v/>
      </c>
      <c r="O1641">
        <f>(1-Summary!$B$48)*S1641+Summary!$B$48*U1641</f>
        <v/>
      </c>
      <c r="P1641">
        <f>IF(B1674=0,0,O1641/B1674)</f>
        <v/>
      </c>
      <c r="Q1641">
        <f>IFERROR(1/IF(Inputs!$B$39="pvp",15,MAX(0.1,Skills!D9-IF(Skills!E9=TRUE,5.0,0))),0)</f>
        <v/>
      </c>
      <c r="R1641">
        <f>IF(AND(Inputs!$B$39&lt;&gt;"pvp",Inputs!$B$44&gt;0),IF(MAX(0,Inputs!$B$44-B1671)&lt;=0,0,(INT(MAX(0,Inputs!$B$44-B1671)/IF(Inputs!$B$39="pvp",15,MAX(0.1,Skills!D9-IF(Skills!E9=TRUE,5.0,0))))+1)),0)</f>
        <v/>
      </c>
      <c r="S1641">
        <f>IF(C1641,(H1641*N1641*IF(AND(Inputs!$B$39&lt;&gt;"pvp",Inputs!$B$44&gt;0),((Skills!F9*((R1641-1)*IF(Skills!G9&gt;0,Skills!H9/Skills!G9,1)+IF(Skills!G9&gt;0,MIN(Skills!H9,MAX(0,MAX(0,Inputs!$B$44-B1671)-((R1641-1)*IF(Inputs!$B$39="pvp",15,MAX(0.1,Skills!D9-IF(Skills!E9=TRUE,5.0,0))))))/Skills!G9,1)))/Inputs!$B$44),G1641*Q1641))*IF(Inputs!$B$39="pvp",1,1+(Inputs!$B$21+Skills!O9+B1662)/100),0)</f>
        <v/>
      </c>
      <c r="U1641">
        <f>IF(C1641,(H1641*N1641*IF(AND(Inputs!$B$39&lt;&gt;"pvp",Inputs!$B$44&gt;0),((Skills!F9*((R1641-1)*IF(Skills!G9&gt;0,Skills!H9/Skills!G9,1)+IF(Skills!G9&gt;0,MIN(Skills!H9,MAX(0,MAX(0,Inputs!$B$44-B1671)-((R1641-1)*IF(Inputs!$B$39="pvp",15,MAX(0.1,Skills!D9-IF(Skills!E9=TRUE,5.0,0))))))/Skills!G9,1)))/Inputs!$B$44),G1641*Q1641))*IF(Inputs!$B$39="pvp",1,(1+(Inputs!$B$22+Skills!P9+B1663)/100)*(MIN(Skills!Q9,Inputs!$B$38))),0)</f>
        <v/>
      </c>
    </row>
    <row r="1642">
      <c r="A1642">
        <f>Skills!A10</f>
        <v/>
      </c>
      <c r="B1642">
        <f>Skills!B10</f>
        <v/>
      </c>
      <c r="C1642">
        <f>Inputs!$B$3&gt;=66</f>
        <v/>
      </c>
      <c r="D1642">
        <f>IF(Skills!C10=1,60+Inputs!$B$26+Inputs!$B$30,IF(Skills!C10=2,90+Inputs!$B$27+Inputs!$B$30,IF(Skills!C10=3,120+Inputs!$B$28+Inputs!$B$30,MAX(0,(Inputs!$B$3-100)*3)+Inputs!$B$29+Inputs!$B$30)))</f>
        <v/>
      </c>
      <c r="E1642">
        <f>INDEX(FactorTable!$B$2:$Y$301, MATCH(ROUND(MIN(300,MAX(1,D1642)),0), FactorTable!$A$2:$A$301,0), Skills!L10+1)</f>
        <v/>
      </c>
      <c r="F1642" t="n">
        <v>0</v>
      </c>
      <c r="G1642">
        <f>Calc!G10</f>
        <v/>
      </c>
      <c r="H1642">
        <f>Calc!H10</f>
        <v/>
      </c>
      <c r="I1642">
        <f>IF(Skills!T10&lt;&gt;"",1+(Skills!T10/10)*($Z$3/1000)/100,1)</f>
        <v/>
      </c>
      <c r="J1642" t="inlineStr"/>
      <c r="K1642" t="inlineStr"/>
      <c r="L1642" t="inlineStr"/>
      <c r="M1642" t="inlineStr"/>
      <c r="N1642" t="inlineStr"/>
      <c r="O1642">
        <f>(1-Summary!$B$48)*S1642+Summary!$B$48*U1642</f>
        <v/>
      </c>
      <c r="P1642">
        <f>IF(B1674=0,0,O1642/B1674)</f>
        <v/>
      </c>
      <c r="Q1642">
        <f>IFERROR(1/IF(Inputs!$B$39="pvp",15,MAX(0.1,Skills!D10-IF(Skills!E10=TRUE,5.0,0))),0)</f>
        <v/>
      </c>
      <c r="R1642">
        <f>IF(AND(Inputs!$B$39&lt;&gt;"pvp",Inputs!$B$44&gt;0),IF(MAX(0,Inputs!$B$44-B1671)&lt;=0,0,(INT(MAX(0,Inputs!$B$44-B1671)/IF(Inputs!$B$39="pvp",15,MAX(0.1,Skills!D10-IF(Skills!E10=TRUE,5.0,0))))+1)),0)</f>
        <v/>
      </c>
      <c r="S1642" t="n">
        <v>0</v>
      </c>
      <c r="U1642" t="n">
        <v>0</v>
      </c>
    </row>
    <row r="1643">
      <c r="A1643">
        <f>Skills!A11</f>
        <v/>
      </c>
      <c r="B1643">
        <f>Skills!B11</f>
        <v/>
      </c>
      <c r="C1643">
        <f>Inputs!$B$3&gt;=69</f>
        <v/>
      </c>
      <c r="D1643">
        <f>IF(Skills!C11=1,60+Inputs!$B$26+Inputs!$B$30,IF(Skills!C11=2,90+Inputs!$B$27+Inputs!$B$30,IF(Skills!C11=3,120+Inputs!$B$28+Inputs!$B$30,MAX(0,(Inputs!$B$3-100)*3)+Inputs!$B$29+Inputs!$B$30)))</f>
        <v/>
      </c>
      <c r="E1643">
        <f>INDEX(FactorTable!$B$2:$Y$301, MATCH(ROUND(MIN(300,MAX(1,D1643)),0), FactorTable!$A$2:$A$301,0), Skills!L11+1)</f>
        <v/>
      </c>
      <c r="F1643">
        <f>IF(Skills!M11=TRUE,(Skills!K11/10)*(E1643/1000),Skills!K11/10)+Skills!N11</f>
        <v/>
      </c>
      <c r="G1643">
        <f>Calc!G11</f>
        <v/>
      </c>
      <c r="H1643">
        <f>Calc!H11</f>
        <v/>
      </c>
      <c r="I1643">
        <f>IF(Skills!T11&lt;&gt;"",1+(Skills!T11/10)*($Z$3/1000)/100,1)</f>
        <v/>
      </c>
      <c r="J1643" t="inlineStr"/>
      <c r="K1643" t="inlineStr"/>
      <c r="L1643" t="inlineStr"/>
      <c r="M1643" t="inlineStr"/>
      <c r="N1643" t="inlineStr"/>
      <c r="O1643">
        <f>(1-Summary!$B$48)*S1643+Summary!$B$48*U1643</f>
        <v/>
      </c>
      <c r="P1643">
        <f>IF(B1674=0,0,O1643/B1674)</f>
        <v/>
      </c>
      <c r="Q1643">
        <f>IFERROR(1/IF(Inputs!$B$39="pvp",15,MAX(0.1,Skills!D11-IF(Skills!E11=TRUE,5.0,0))),0)</f>
        <v/>
      </c>
      <c r="R1643">
        <f>IF(AND(Inputs!$B$39&lt;&gt;"pvp",Inputs!$B$44&gt;0),IF(Inputs!$B$44&lt;=0,0,(INT(Inputs!$B$44/IF(Inputs!$B$39="pvp",15,MAX(0.1,Skills!D11-IF(Skills!E11=TRUE,5.0,0))))+1)),0)</f>
        <v/>
      </c>
      <c r="S1643" t="n">
        <v>0</v>
      </c>
      <c r="U1643" t="n">
        <v>0</v>
      </c>
    </row>
    <row r="1644">
      <c r="A1644">
        <f>Skills!A12</f>
        <v/>
      </c>
      <c r="B1644">
        <f>Skills!B12</f>
        <v/>
      </c>
      <c r="C1644">
        <f>Inputs!$B$3&gt;=72</f>
        <v/>
      </c>
      <c r="D1644">
        <f>IF(Skills!C12=1,60+Inputs!$B$26+Inputs!$B$30,IF(Skills!C12=2,90+Inputs!$B$27+Inputs!$B$30,IF(Skills!C12=3,120+Inputs!$B$28+Inputs!$B$30,MAX(0,(Inputs!$B$3-100)*3)+Inputs!$B$29+Inputs!$B$30)))</f>
        <v/>
      </c>
      <c r="E1644">
        <f>INDEX(FactorTable!$B$2:$Y$301, MATCH(ROUND(MIN(300,MAX(1,D1644)),0), FactorTable!$A$2:$A$301,0), Skills!L12+1)</f>
        <v/>
      </c>
      <c r="F1644">
        <f>IF(Skills!M12=TRUE,(Skills!K12/10)*(E1644/1000),Skills!K12/10)+Skills!N12</f>
        <v/>
      </c>
      <c r="G1644">
        <f>Calc!G12</f>
        <v/>
      </c>
      <c r="H1644">
        <f>Calc!H12</f>
        <v/>
      </c>
      <c r="I1644">
        <f>IF(Skills!T12&lt;&gt;"",1+(Skills!T12/10)*($Z$3/1000)/100,1)</f>
        <v/>
      </c>
      <c r="J1644" t="inlineStr"/>
      <c r="K1644" t="inlineStr"/>
      <c r="L1644" t="inlineStr"/>
      <c r="M1644" t="inlineStr"/>
      <c r="N1644" t="inlineStr"/>
      <c r="O1644">
        <f>(1-Summary!$B$48)*S1644+Summary!$B$48*U1644</f>
        <v/>
      </c>
      <c r="P1644">
        <f>IF(B1674=0,0,O1644/B1674)</f>
        <v/>
      </c>
      <c r="Q1644">
        <f>IFERROR(1/IF(Inputs!$B$39="pvp",15,MAX(0.1,Skills!D12-IF(Skills!E12=TRUE,5.0,0))),0)</f>
        <v/>
      </c>
      <c r="R1644">
        <f>IF(AND(Inputs!$B$39&lt;&gt;"pvp",Inputs!$B$44&gt;0),IF(MAX(0,Inputs!$B$44-B1671)&lt;=0,0,(INT(MAX(0,Inputs!$B$44-B1671)/IF(Inputs!$B$39="pvp",15,MAX(0.1,Skills!D12-IF(Skills!E12=TRUE,5.0,0))))+1)),0)</f>
        <v/>
      </c>
      <c r="S1644" t="n">
        <v>0</v>
      </c>
      <c r="U1644" t="n">
        <v>0</v>
      </c>
    </row>
    <row r="1645">
      <c r="A1645">
        <f>Skills!A13</f>
        <v/>
      </c>
      <c r="B1645">
        <f>Skills!B13</f>
        <v/>
      </c>
      <c r="C1645">
        <f>Inputs!$B$3&gt;=60</f>
        <v/>
      </c>
      <c r="D1645">
        <f>IF(Skills!C13=1,60+Inputs!$B$26+Inputs!$B$30,IF(Skills!C13=2,90+Inputs!$B$27+Inputs!$B$30,IF(Skills!C13=3,120+Inputs!$B$28+Inputs!$B$30,MAX(0,(Inputs!$B$3-100)*3)+Inputs!$B$29+Inputs!$B$30)))</f>
        <v/>
      </c>
      <c r="E1645">
        <f>INDEX(FactorTable!$B$2:$Y$301, MATCH(ROUND(MIN(300,MAX(1,D1645)),0), FactorTable!$A$2:$A$301,0), Skills!L13+1)</f>
        <v/>
      </c>
      <c r="F1645">
        <f>IF(Skills!M13=TRUE,(Skills!K13/10)*(E1645/1000),Skills!K13/10)+Skills!N13</f>
        <v/>
      </c>
      <c r="G1645">
        <f>Calc!G13</f>
        <v/>
      </c>
      <c r="H1645">
        <f>Calc!H13</f>
        <v/>
      </c>
      <c r="I1645">
        <f>IF(Skills!T13&lt;&gt;"",1+(Skills!T13/10)*($Z$3/1000)/100,1)</f>
        <v/>
      </c>
      <c r="J1645" t="inlineStr"/>
      <c r="K1645" t="inlineStr"/>
      <c r="L1645" t="inlineStr"/>
      <c r="M1645" t="inlineStr"/>
      <c r="N1645" t="inlineStr"/>
      <c r="O1645">
        <f>(1-Summary!$B$48)*S1645+Summary!$B$48*U1645</f>
        <v/>
      </c>
      <c r="P1645">
        <f>IF(B1674=0,0,O1645/B1674)</f>
        <v/>
      </c>
      <c r="Q1645">
        <f>IFERROR(1/IF(Inputs!$B$39="pvp",15,MAX(0.1,Skills!D13-IF(Skills!E13=TRUE,5.0,0))),0)</f>
        <v/>
      </c>
      <c r="R1645">
        <f>IF(AND(Inputs!$B$39&lt;&gt;"pvp",Inputs!$B$44&gt;0),IF(MAX(0,Inputs!$B$44-B1671)&lt;=0,0,(INT(MAX(0,Inputs!$B$44-B1671)/IF(Inputs!$B$39="pvp",15,MAX(0.1,Skills!D13-IF(Skills!E13=TRUE,5.0,0))))+1)),0)</f>
        <v/>
      </c>
      <c r="S1645" t="n">
        <v>0</v>
      </c>
      <c r="U1645" t="n">
        <v>0</v>
      </c>
    </row>
    <row r="1646">
      <c r="A1646">
        <f>Skills!A14</f>
        <v/>
      </c>
      <c r="B1646">
        <f>Skills!B14</f>
        <v/>
      </c>
      <c r="C1646">
        <f>Inputs!$B$3&gt;=107</f>
        <v/>
      </c>
      <c r="D1646">
        <f>IF(Skills!C14=1,60+Inputs!$B$26+Inputs!$B$30,IF(Skills!C14=2,90+Inputs!$B$27+Inputs!$B$30,IF(Skills!C14=3,120+Inputs!$B$28+Inputs!$B$30,MAX(0,(Inputs!$B$3-100)*3)+Inputs!$B$29+Inputs!$B$30)))</f>
        <v/>
      </c>
      <c r="E1646">
        <f>INDEX(FactorTable!$B$2:$Y$301, MATCH(ROUND(MIN(300,MAX(1,D1646)),0), FactorTable!$A$2:$A$301,0), Skills!L14+1)</f>
        <v/>
      </c>
      <c r="F1646">
        <f>IF(Skills!M14=TRUE,(Skills!K14/10)*(E1646/1000),Skills!K14/10)+Skills!N14</f>
        <v/>
      </c>
      <c r="G1646">
        <f>Calc!G14</f>
        <v/>
      </c>
      <c r="H1646">
        <f>Calc!H14</f>
        <v/>
      </c>
      <c r="I1646">
        <f>IF(Skills!T14&lt;&gt;"",1+(Skills!T14/10)*($Z$3/1000)/100,1)</f>
        <v/>
      </c>
      <c r="J1646" t="inlineStr"/>
      <c r="K1646" t="inlineStr"/>
      <c r="L1646" t="inlineStr"/>
      <c r="M1646" t="inlineStr"/>
      <c r="N1646" t="inlineStr"/>
      <c r="O1646">
        <f>(1-Summary!$B$48)*S1646+Summary!$B$48*U1646</f>
        <v/>
      </c>
      <c r="P1646">
        <f>IF(B1674=0,0,O1646/B1674)</f>
        <v/>
      </c>
      <c r="Q1646">
        <f>IFERROR(1/IF(Inputs!$B$39="pvp",15,MAX(0.1,Skills!D14-IF(Skills!E14=TRUE,5.0,0))),0)</f>
        <v/>
      </c>
      <c r="R1646">
        <f>IF(AND(Inputs!$B$39&lt;&gt;"pvp",Inputs!$B$44&gt;0),IF(Inputs!$B$44&lt;=0,0,(INT(Inputs!$B$44/IF(Inputs!$B$39="pvp",15,MAX(0.1,Skills!D14-IF(Skills!E14=TRUE,5.0,0))))+1)),0)</f>
        <v/>
      </c>
      <c r="S1646" t="n">
        <v>0</v>
      </c>
      <c r="U1646" t="n">
        <v>0</v>
      </c>
    </row>
    <row r="1647">
      <c r="A1647">
        <f>Skills!A15</f>
        <v/>
      </c>
      <c r="B1647">
        <f>Skills!B15</f>
        <v/>
      </c>
      <c r="C1647">
        <f>Inputs!$B$3&gt;=63</f>
        <v/>
      </c>
      <c r="D1647">
        <f>IF(Skills!C15=1,60+Inputs!$B$26+Inputs!$B$30,IF(Skills!C15=2,90+Inputs!$B$27+Inputs!$B$30,IF(Skills!C15=3,120+Inputs!$B$28+Inputs!$B$30,MAX(0,(Inputs!$B$3-100)*3)+Inputs!$B$29+Inputs!$B$30)))</f>
        <v/>
      </c>
      <c r="E1647">
        <f>INDEX(FactorTable!$B$2:$Y$301, MATCH(ROUND(MIN(300,MAX(1,D1647)),0), FactorTable!$A$2:$A$301,0), Skills!L15+1)</f>
        <v/>
      </c>
      <c r="F1647">
        <f>IF(Skills!M15=TRUE,(Skills!K15/10)*(E1647/1000),Skills!K15/10)+Skills!N15</f>
        <v/>
      </c>
      <c r="G1647">
        <f>Calc!G15</f>
        <v/>
      </c>
      <c r="H1647">
        <f>Calc!H15</f>
        <v/>
      </c>
      <c r="I1647">
        <f>IF(Skills!T15&lt;&gt;"",1+(Skills!T15/10)*($Z$3/1000)/100,1)</f>
        <v/>
      </c>
      <c r="J1647">
        <f>((Inputs!$B$6*(1+Inputs!$B$7/100))+(((Inputs!$B$13*(1+Inputs!$B$14/100))-(Inputs!$B$13*(1+Inputs!$B$14/100)))+0.25*(Inputs!$B$15-Inputs!$B$15))*(1+Inputs!$B$7/100))*(F1647/100)</f>
        <v/>
      </c>
      <c r="K1647">
        <f>J1647*(1+(((Inputs!$B$13+IF(Inputs!$B$3&gt;=35,(10*INDEX(FactorTable!$B$2:$Y$301, MATCH(ROUND(MIN(300,MAX(1,Inputs!$B$3)),0), FactorTable!$A$2:$A$301,0), 23)/1000)/100*(Inputs!$B$8*(1+(Inputs!$B$9+B1670)/100)),0))*(1+Inputs!$B$14/100))*0.01+Inputs!$B$15*0.0025)/100)*(1+(Inputs!$B$16+B1664)/100)*(1+Inputs!$B$17/100)*(5000/(6000+Inputs!$B$43*(1-Inputs!$B$20/100)))*(1+Inputs!$B$25/100)*(1+IF(C1650=TRUE,F1650,0)/100)*(1+IF(C1652=TRUE,F1652,0)/100)*(1+IF(Skills!A15="TRIUMPH_FEATHER",IF(C1648=TRUE,F1648,0),0)/100)*(1+IF(C1659=TRUE,F1659,0)/100)^5*(1+(IF(Skills!A15="BIG_BANG",Inputs!$B$18,Inputs!$B$19))/100)*(B1661*I1647)</f>
        <v/>
      </c>
      <c r="L1647">
        <f>K1647*(MIN(Inputs!$B$23+(F1654-Calc!F22),Inputs!$B$24)/100+Inputs!$B$24/100)/2</f>
        <v/>
      </c>
      <c r="M1647">
        <f>L1647*(1+(Inputs!$B$11+B1665+(F1657-Calc!F25))/100)</f>
        <v/>
      </c>
      <c r="N1647">
        <f>L1647*(1-MIN(Inputs!$B$10+((F1656-Calc!F24)+(F1655-Calc!F23)),100)/100)+M1647*(MIN(Inputs!$B$10+((F1656-Calc!F24)+(F1655-Calc!F23)),100)/100)</f>
        <v/>
      </c>
      <c r="O1647">
        <f>(1-Summary!$B$48)*S1647+Summary!$B$48*U1647</f>
        <v/>
      </c>
      <c r="P1647">
        <f>IF(B1674=0,0,O1647/B1674)</f>
        <v/>
      </c>
      <c r="Q1647">
        <f>IFERROR(1/IF(Inputs!$B$39="pvp",15,MAX(0.1,Skills!D15-IF(Skills!E15=TRUE,5.0,0))),0)</f>
        <v/>
      </c>
      <c r="R1647" t="n">
        <v>0</v>
      </c>
      <c r="S1647">
        <f>IF(C1647,(Skills!F15*N1647*((IF(Inputs!$B$3&gt;=78,25,15)/100*B1667*10)/(1+IF(Inputs!$B$3&gt;=78,25,15)/100*B1667*10))*(Skills!I15/100*B1667)/(1+Skills!G15*Skills!I15/100*B1667))*IF(Inputs!$B$39="pvp",1,1+(Inputs!$B$21+Skills!O15+B1662)/100),0)</f>
        <v/>
      </c>
      <c r="U1647">
        <f>IF(C1647,(Skills!F15*N1647*((IF(Inputs!$B$3&gt;=78,25,15)/100*B1667*10)/(1+IF(Inputs!$B$3&gt;=78,25,15)/100*B1667*10))*(Skills!I15/100*B1667)/(1+Skills!G15*Skills!I15/100*B1667))*IF(Inputs!$B$39="pvp",1,(1+(Inputs!$B$22+Skills!P15+B1663)/100)*(MIN(Skills!Q15,Inputs!$B$38))),0)</f>
        <v/>
      </c>
    </row>
    <row r="1648">
      <c r="A1648">
        <f>Skills!A16</f>
        <v/>
      </c>
      <c r="B1648">
        <f>Skills!B16</f>
        <v/>
      </c>
      <c r="C1648">
        <f>Inputs!$B$3&gt;=100</f>
        <v/>
      </c>
      <c r="D1648">
        <f>IF(Skills!C16=1,60+Inputs!$B$26+Inputs!$B$30,IF(Skills!C16=2,90+Inputs!$B$27+Inputs!$B$30,IF(Skills!C16=3,120+Inputs!$B$28+Inputs!$B$30,MAX(0,(Inputs!$B$3-100)*3)+Inputs!$B$29+Inputs!$B$30)))</f>
        <v/>
      </c>
      <c r="E1648">
        <f>INDEX(FactorTable!$B$2:$Y$301, MATCH(ROUND(MIN(300,MAX(1,D1648)),0), FactorTable!$A$2:$A$301,0), Skills!L16+1)</f>
        <v/>
      </c>
      <c r="F1648">
        <f>IF(Skills!M16=TRUE,(Skills!K16/10)*(E1648/1000),Skills!K16/10)+Skills!N16</f>
        <v/>
      </c>
      <c r="G1648">
        <f>Calc!G16</f>
        <v/>
      </c>
      <c r="H1648">
        <f>Calc!H16</f>
        <v/>
      </c>
      <c r="I1648">
        <f>IF(Skills!T16&lt;&gt;"",1+(Skills!T16/10)*($Z$3/1000)/100,1)</f>
        <v/>
      </c>
      <c r="J1648" t="inlineStr"/>
      <c r="K1648" t="inlineStr"/>
      <c r="L1648" t="inlineStr"/>
      <c r="M1648" t="inlineStr"/>
      <c r="N1648" t="inlineStr"/>
      <c r="O1648">
        <f>(1-Summary!$B$48)*S1648+Summary!$B$48*U1648</f>
        <v/>
      </c>
      <c r="P1648">
        <f>IF(B1674=0,0,O1648/B1674)</f>
        <v/>
      </c>
      <c r="Q1648">
        <f>IFERROR(1/IF(Inputs!$B$39="pvp",15,MAX(0.1,Skills!D16-IF(Skills!E16=TRUE,5.0,0))),0)</f>
        <v/>
      </c>
      <c r="R1648" t="n">
        <v>0</v>
      </c>
      <c r="S1648" t="n">
        <v>0</v>
      </c>
      <c r="U1648" t="n">
        <v>0</v>
      </c>
    </row>
    <row r="1649">
      <c r="A1649">
        <f>Skills!A17</f>
        <v/>
      </c>
      <c r="B1649">
        <f>Skills!B17</f>
        <v/>
      </c>
      <c r="C1649">
        <f>Inputs!$B$3&gt;=49</f>
        <v/>
      </c>
      <c r="D1649">
        <f>IF(Skills!C17=1,60+Inputs!$B$26+Inputs!$B$30,IF(Skills!C17=2,90+Inputs!$B$27+Inputs!$B$30,IF(Skills!C17=3,120+Inputs!$B$28+Inputs!$B$30,MAX(0,(Inputs!$B$3-100)*3)+Inputs!$B$29+Inputs!$B$30)))</f>
        <v/>
      </c>
      <c r="E1649">
        <f>INDEX(FactorTable!$B$2:$Y$301, MATCH(ROUND(MIN(300,MAX(1,D1649)),0), FactorTable!$A$2:$A$301,0), Skills!L17+1)</f>
        <v/>
      </c>
      <c r="F1649">
        <f>IF(Skills!M17=TRUE,(Skills!K17/10)*(E1649/1000),Skills!K17/10)+Skills!N17</f>
        <v/>
      </c>
      <c r="G1649">
        <f>Calc!G17</f>
        <v/>
      </c>
      <c r="H1649">
        <f>Calc!H17</f>
        <v/>
      </c>
      <c r="I1649">
        <f>IF(Skills!T17&lt;&gt;"",1+(Skills!T17/10)*($Z$3/1000)/100,1)</f>
        <v/>
      </c>
      <c r="J1649" t="inlineStr"/>
      <c r="K1649" t="inlineStr"/>
      <c r="L1649" t="inlineStr"/>
      <c r="M1649" t="inlineStr"/>
      <c r="N1649" t="inlineStr"/>
      <c r="O1649">
        <f>(1-Summary!$B$48)*S1649+Summary!$B$48*U1649</f>
        <v/>
      </c>
      <c r="P1649">
        <f>IF(B1674=0,0,O1649/B1674)</f>
        <v/>
      </c>
      <c r="Q1649">
        <f>IFERROR(1/IF(Inputs!$B$39="pvp",15,MAX(0.1,Skills!D17-IF(Skills!E17=TRUE,5.0,0))),0)</f>
        <v/>
      </c>
      <c r="R1649" t="n">
        <v>0</v>
      </c>
      <c r="S1649" t="n">
        <v>0</v>
      </c>
      <c r="U1649" t="n">
        <v>0</v>
      </c>
    </row>
    <row r="1650">
      <c r="A1650">
        <f>Skills!A18</f>
        <v/>
      </c>
      <c r="B1650">
        <f>Skills!B18</f>
        <v/>
      </c>
      <c r="C1650">
        <f>Inputs!$B$3&gt;=75</f>
        <v/>
      </c>
      <c r="D1650">
        <f>IF(Skills!C18=1,60+Inputs!$B$26+Inputs!$B$30,IF(Skills!C18=2,90+Inputs!$B$27+Inputs!$B$30,IF(Skills!C18=3,120+Inputs!$B$28+Inputs!$B$30,MAX(0,(Inputs!$B$3-100)*3)+Inputs!$B$29+Inputs!$B$30)))</f>
        <v/>
      </c>
      <c r="E1650">
        <f>INDEX(FactorTable!$B$2:$Y$301, MATCH(ROUND(MIN(300,MAX(1,D1650)),0), FactorTable!$A$2:$A$301,0), Skills!L18+1)</f>
        <v/>
      </c>
      <c r="F1650">
        <f>IF(Skills!M18=TRUE,(Skills!K18/10)*(E1650/1000),Skills!K18/10)+Skills!N18</f>
        <v/>
      </c>
      <c r="G1650">
        <f>Calc!G18</f>
        <v/>
      </c>
      <c r="H1650">
        <f>Calc!H18</f>
        <v/>
      </c>
      <c r="I1650">
        <f>IF(Skills!T18&lt;&gt;"",1+(Skills!T18/10)*($Z$3/1000)/100,1)</f>
        <v/>
      </c>
      <c r="J1650" t="inlineStr"/>
      <c r="K1650" t="inlineStr"/>
      <c r="L1650" t="inlineStr"/>
      <c r="M1650" t="inlineStr"/>
      <c r="N1650" t="inlineStr"/>
      <c r="O1650">
        <f>(1-Summary!$B$48)*S1650+Summary!$B$48*U1650</f>
        <v/>
      </c>
      <c r="P1650">
        <f>IF(B1674=0,0,O1650/B1674)</f>
        <v/>
      </c>
      <c r="Q1650">
        <f>IFERROR(1/IF(Inputs!$B$39="pvp",15,MAX(0.1,Skills!D18-IF(Skills!E18=TRUE,5.0,0))),0)</f>
        <v/>
      </c>
      <c r="R1650" t="n">
        <v>0</v>
      </c>
      <c r="S1650" t="n">
        <v>0</v>
      </c>
      <c r="U1650" t="n">
        <v>0</v>
      </c>
    </row>
    <row r="1651">
      <c r="A1651">
        <f>Skills!A19</f>
        <v/>
      </c>
      <c r="B1651">
        <f>Skills!B19</f>
        <v/>
      </c>
      <c r="C1651">
        <f>Inputs!$B$3&gt;=110</f>
        <v/>
      </c>
      <c r="D1651">
        <f>IF(Skills!C19=1,60+Inputs!$B$26+Inputs!$B$30,IF(Skills!C19=2,90+Inputs!$B$27+Inputs!$B$30,IF(Skills!C19=3,120+Inputs!$B$28+Inputs!$B$30,MAX(0,(Inputs!$B$3-100)*3)+Inputs!$B$29+Inputs!$B$30)))</f>
        <v/>
      </c>
      <c r="E1651">
        <f>INDEX(FactorTable!$B$2:$Y$301, MATCH(ROUND(MIN(300,MAX(1,D1651)),0), FactorTable!$A$2:$A$301,0), Skills!L19+1)</f>
        <v/>
      </c>
      <c r="F1651">
        <f>(Skills!K19/10)*(E1651/1000)*64/45+Skills!N19</f>
        <v/>
      </c>
      <c r="G1651">
        <f>Calc!G19</f>
        <v/>
      </c>
      <c r="H1651">
        <f>Calc!H19</f>
        <v/>
      </c>
      <c r="I1651">
        <f>IF(Skills!T19&lt;&gt;"",1+(Skills!T19/10)*($Z$3/1000)/100,1)</f>
        <v/>
      </c>
      <c r="J1651" t="inlineStr"/>
      <c r="K1651" t="inlineStr"/>
      <c r="L1651" t="inlineStr"/>
      <c r="M1651" t="inlineStr"/>
      <c r="N1651" t="inlineStr"/>
      <c r="O1651">
        <f>(1-Summary!$B$48)*S1651+Summary!$B$48*U1651</f>
        <v/>
      </c>
      <c r="P1651">
        <f>IF(B1674=0,0,O1651/B1674)</f>
        <v/>
      </c>
      <c r="Q1651">
        <f>IFERROR(1/IF(Inputs!$B$39="pvp",15,MAX(0.1,Skills!D19-IF(Skills!E19=TRUE,5.0,0))),0)</f>
        <v/>
      </c>
      <c r="R1651">
        <f>IF(AND(Inputs!$B$39&lt;&gt;"pvp",Inputs!$B$44&gt;0),IF(Inputs!$B$44&lt;=0,0,(INT(Inputs!$B$44/IF(Inputs!$B$39="pvp",15,MAX(0.1,Skills!D19-IF(Skills!E19=TRUE,5.0,0))))+1)),0)</f>
        <v/>
      </c>
      <c r="S1651" t="n">
        <v>0</v>
      </c>
      <c r="U1651" t="n">
        <v>0</v>
      </c>
    </row>
    <row r="1652">
      <c r="A1652">
        <f>Skills!A20</f>
        <v/>
      </c>
      <c r="B1652">
        <f>Skills!B20</f>
        <v/>
      </c>
      <c r="C1652">
        <f>Inputs!$B$3&gt;=125</f>
        <v/>
      </c>
      <c r="D1652">
        <f>IF(Skills!C20=1,60+Inputs!$B$26+Inputs!$B$30,IF(Skills!C20=2,90+Inputs!$B$27+Inputs!$B$30,IF(Skills!C20=3,120+Inputs!$B$28+Inputs!$B$30,MAX(0,(Inputs!$B$3-100)*3)+Inputs!$B$29+Inputs!$B$30)))</f>
        <v/>
      </c>
      <c r="E1652">
        <f>INDEX(FactorTable!$B$2:$Y$301, MATCH(ROUND(MIN(300,MAX(1,D1652)),0), FactorTable!$A$2:$A$301,0), Skills!L20+1)</f>
        <v/>
      </c>
      <c r="F1652">
        <f>IF(Skills!M20=TRUE,(Skills!K20/10)*(E1652/1000),Skills!K20/10)+Skills!N20</f>
        <v/>
      </c>
      <c r="G1652">
        <f>Calc!G20</f>
        <v/>
      </c>
      <c r="H1652">
        <f>Calc!H20</f>
        <v/>
      </c>
      <c r="I1652">
        <f>IF(Skills!T20&lt;&gt;"",1+(Skills!T20/10)*($Z$3/1000)/100,1)</f>
        <v/>
      </c>
      <c r="J1652" t="inlineStr"/>
      <c r="K1652" t="inlineStr"/>
      <c r="L1652" t="inlineStr"/>
      <c r="M1652" t="inlineStr"/>
      <c r="N1652" t="inlineStr"/>
      <c r="O1652">
        <f>(1-Summary!$B$48)*S1652+Summary!$B$48*U1652</f>
        <v/>
      </c>
      <c r="P1652">
        <f>IF(B1674=0,0,O1652/B1674)</f>
        <v/>
      </c>
      <c r="Q1652">
        <f>IFERROR(1/IF(Inputs!$B$39="pvp",15,MAX(0.1,Skills!D20-IF(Skills!E20=TRUE,5.0,0))),0)</f>
        <v/>
      </c>
      <c r="R1652" t="n">
        <v>0</v>
      </c>
      <c r="S1652" t="n">
        <v>0</v>
      </c>
      <c r="U1652" t="n">
        <v>0</v>
      </c>
    </row>
    <row r="1653">
      <c r="A1653">
        <f>Skills!A21</f>
        <v/>
      </c>
      <c r="B1653">
        <f>Skills!B21</f>
        <v/>
      </c>
      <c r="C1653">
        <f>Inputs!$B$3&gt;=33</f>
        <v/>
      </c>
      <c r="D1653">
        <f>IF(Skills!C21=1,60+Inputs!$B$26+Inputs!$B$30,IF(Skills!C21=2,90+Inputs!$B$27+Inputs!$B$30,IF(Skills!C21=3,120+Inputs!$B$28+Inputs!$B$30,MAX(0,(Inputs!$B$3-100)*3)+Inputs!$B$29+Inputs!$B$30)))</f>
        <v/>
      </c>
      <c r="E1653">
        <f>INDEX(FactorTable!$B$2:$Y$301, MATCH(ROUND(MIN(300,MAX(1,D1653)),0), FactorTable!$A$2:$A$301,0), Skills!L21+1)</f>
        <v/>
      </c>
      <c r="F1653">
        <f>IF(Skills!M21=TRUE,(Skills!K21/10)*(E1653/1000),Skills!K21/10)+Skills!N21</f>
        <v/>
      </c>
      <c r="G1653">
        <f>Calc!G21</f>
        <v/>
      </c>
      <c r="H1653">
        <f>Calc!H21</f>
        <v/>
      </c>
      <c r="I1653">
        <f>IF(Skills!T21&lt;&gt;"",1+(Skills!T21/10)*($Z$3/1000)/100,1)</f>
        <v/>
      </c>
      <c r="J1653" t="inlineStr"/>
      <c r="K1653" t="inlineStr"/>
      <c r="L1653" t="inlineStr"/>
      <c r="M1653" t="inlineStr"/>
      <c r="N1653" t="inlineStr"/>
      <c r="O1653">
        <f>(1-Summary!$B$48)*S1653+Summary!$B$48*U1653</f>
        <v/>
      </c>
      <c r="P1653">
        <f>IF(B1674=0,0,O1653/B1674)</f>
        <v/>
      </c>
      <c r="Q1653">
        <f>IFERROR(1/IF(Inputs!$B$39="pvp",15,MAX(0.1,Skills!D21-IF(Skills!E21=TRUE,5.0,0))),0)</f>
        <v/>
      </c>
      <c r="R1653" t="n">
        <v>0</v>
      </c>
      <c r="S1653" t="n">
        <v>0</v>
      </c>
      <c r="U1653" t="n">
        <v>0</v>
      </c>
    </row>
    <row r="1654">
      <c r="A1654">
        <f>Skills!A22</f>
        <v/>
      </c>
      <c r="B1654">
        <f>Skills!B22</f>
        <v/>
      </c>
      <c r="C1654">
        <f>Inputs!$B$3&gt;=43</f>
        <v/>
      </c>
      <c r="D1654">
        <f>IF(Skills!C22=1,60+Inputs!$B$26+Inputs!$B$30,IF(Skills!C22=2,90+Inputs!$B$27+Inputs!$B$30,IF(Skills!C22=3,120+Inputs!$B$28+Inputs!$B$30,MAX(0,(Inputs!$B$3-100)*3)+Inputs!$B$29+Inputs!$B$30)))</f>
        <v/>
      </c>
      <c r="E1654">
        <f>INDEX(FactorTable!$B$2:$Y$301, MATCH(ROUND(MIN(300,MAX(1,D1654)),0), FactorTable!$A$2:$A$301,0), Skills!L22+1)</f>
        <v/>
      </c>
      <c r="F1654">
        <f>IF(Skills!M22=TRUE,(Skills!K22/10)*(E1654/1000),Skills!K22/10)+Skills!N22</f>
        <v/>
      </c>
      <c r="G1654">
        <f>Calc!G22</f>
        <v/>
      </c>
      <c r="H1654">
        <f>Calc!H22</f>
        <v/>
      </c>
      <c r="I1654">
        <f>IF(Skills!T22&lt;&gt;"",1+(Skills!T22/10)*($Z$3/1000)/100,1)</f>
        <v/>
      </c>
      <c r="J1654" t="inlineStr"/>
      <c r="K1654" t="inlineStr"/>
      <c r="L1654" t="inlineStr"/>
      <c r="M1654" t="inlineStr"/>
      <c r="N1654" t="inlineStr"/>
      <c r="O1654">
        <f>(1-Summary!$B$48)*S1654+Summary!$B$48*U1654</f>
        <v/>
      </c>
      <c r="P1654">
        <f>IF(B1674=0,0,O1654/B1674)</f>
        <v/>
      </c>
      <c r="Q1654">
        <f>IFERROR(1/IF(Inputs!$B$39="pvp",15,MAX(0.1,Skills!D22-IF(Skills!E22=TRUE,5.0,0))),0)</f>
        <v/>
      </c>
      <c r="R1654" t="n">
        <v>0</v>
      </c>
      <c r="S1654" t="n">
        <v>0</v>
      </c>
      <c r="U1654" t="n">
        <v>0</v>
      </c>
    </row>
    <row r="1655">
      <c r="A1655">
        <f>Skills!A23</f>
        <v/>
      </c>
      <c r="B1655">
        <f>Skills!B23</f>
        <v/>
      </c>
      <c r="C1655">
        <f>Inputs!$B$3&gt;=50</f>
        <v/>
      </c>
      <c r="D1655">
        <f>IF(Skills!C23=1,60+Inputs!$B$26+Inputs!$B$30,IF(Skills!C23=2,90+Inputs!$B$27+Inputs!$B$30,IF(Skills!C23=3,120+Inputs!$B$28+Inputs!$B$30,MAX(0,(Inputs!$B$3-100)*3)+Inputs!$B$29+Inputs!$B$30)))</f>
        <v/>
      </c>
      <c r="E1655">
        <f>INDEX(FactorTable!$B$2:$Y$301, MATCH(ROUND(MIN(300,MAX(1,D1655)),0), FactorTable!$A$2:$A$301,0), Skills!L23+1)</f>
        <v/>
      </c>
      <c r="F1655">
        <f>IF(Skills!M23=TRUE,(Skills!K23/10)*(E1655/1000),Skills!K23/10)+Skills!N23</f>
        <v/>
      </c>
      <c r="G1655">
        <f>Calc!G23</f>
        <v/>
      </c>
      <c r="H1655">
        <f>Calc!H23</f>
        <v/>
      </c>
      <c r="I1655">
        <f>IF(Skills!T23&lt;&gt;"",1+(Skills!T23/10)*($Z$3/1000)/100,1)</f>
        <v/>
      </c>
      <c r="J1655" t="inlineStr"/>
      <c r="K1655" t="inlineStr"/>
      <c r="L1655" t="inlineStr"/>
      <c r="M1655" t="inlineStr"/>
      <c r="N1655" t="inlineStr"/>
      <c r="O1655">
        <f>(1-Summary!$B$48)*S1655+Summary!$B$48*U1655</f>
        <v/>
      </c>
      <c r="P1655">
        <f>IF(B1674=0,0,O1655/B1674)</f>
        <v/>
      </c>
      <c r="Q1655">
        <f>IFERROR(1/IF(Inputs!$B$39="pvp",15,MAX(0.1,Skills!D23-IF(Skills!E23=TRUE,5.0,0))),0)</f>
        <v/>
      </c>
      <c r="R1655" t="n">
        <v>0</v>
      </c>
      <c r="S1655" t="n">
        <v>0</v>
      </c>
      <c r="U1655" t="n">
        <v>0</v>
      </c>
    </row>
    <row r="1656">
      <c r="A1656">
        <f>Skills!A24</f>
        <v/>
      </c>
      <c r="B1656">
        <f>Skills!B24</f>
        <v/>
      </c>
      <c r="C1656">
        <f>Inputs!$B$3&gt;=74</f>
        <v/>
      </c>
      <c r="D1656">
        <f>IF(Skills!C24=1,60+Inputs!$B$26+Inputs!$B$30,IF(Skills!C24=2,90+Inputs!$B$27+Inputs!$B$30,IF(Skills!C24=3,120+Inputs!$B$28+Inputs!$B$30,MAX(0,(Inputs!$B$3-100)*3)+Inputs!$B$29+Inputs!$B$30)))</f>
        <v/>
      </c>
      <c r="E1656">
        <f>INDEX(FactorTable!$B$2:$Y$301, MATCH(ROUND(MIN(300,MAX(1,D1656)),0), FactorTable!$A$2:$A$301,0), Skills!L24+1)</f>
        <v/>
      </c>
      <c r="F1656">
        <f>IF(Skills!M24=TRUE,(Skills!K24/10)*(E1656/1000),Skills!K24/10)+Skills!N24</f>
        <v/>
      </c>
      <c r="G1656">
        <f>Calc!G24</f>
        <v/>
      </c>
      <c r="H1656">
        <f>Calc!H24</f>
        <v/>
      </c>
      <c r="I1656">
        <f>IF(Skills!T24&lt;&gt;"",1+(Skills!T24/10)*($Z$3/1000)/100,1)</f>
        <v/>
      </c>
      <c r="J1656" t="inlineStr"/>
      <c r="K1656" t="inlineStr"/>
      <c r="L1656" t="inlineStr"/>
      <c r="M1656" t="inlineStr"/>
      <c r="N1656" t="inlineStr"/>
      <c r="O1656">
        <f>(1-Summary!$B$48)*S1656+Summary!$B$48*U1656</f>
        <v/>
      </c>
      <c r="P1656">
        <f>IF(B1674=0,0,O1656/B1674)</f>
        <v/>
      </c>
      <c r="Q1656">
        <f>IFERROR(1/IF(Inputs!$B$39="pvp",15,MAX(0.1,Skills!D24-IF(Skills!E24=TRUE,5.0,0))),0)</f>
        <v/>
      </c>
      <c r="R1656" t="n">
        <v>0</v>
      </c>
      <c r="S1656" t="n">
        <v>0</v>
      </c>
      <c r="U1656" t="n">
        <v>0</v>
      </c>
    </row>
    <row r="1657">
      <c r="A1657">
        <f>Skills!A25</f>
        <v/>
      </c>
      <c r="B1657">
        <f>Skills!B25</f>
        <v/>
      </c>
      <c r="C1657">
        <f>Inputs!$B$3&gt;=74</f>
        <v/>
      </c>
      <c r="D1657">
        <f>IF(Skills!C25=1,60+Inputs!$B$26+Inputs!$B$30,IF(Skills!C25=2,90+Inputs!$B$27+Inputs!$B$30,IF(Skills!C25=3,120+Inputs!$B$28+Inputs!$B$30,MAX(0,(Inputs!$B$3-100)*3)+Inputs!$B$29+Inputs!$B$30)))</f>
        <v/>
      </c>
      <c r="E1657">
        <f>INDEX(FactorTable!$B$2:$Y$301, MATCH(ROUND(MIN(300,MAX(1,D1657)),0), FactorTable!$A$2:$A$301,0), Skills!L25+1)</f>
        <v/>
      </c>
      <c r="F1657">
        <f>IF(Skills!M25=TRUE,(Skills!K25/10)*(E1657/1000),Skills!K25/10)+Skills!N25</f>
        <v/>
      </c>
      <c r="G1657">
        <f>Calc!G25</f>
        <v/>
      </c>
      <c r="H1657">
        <f>Calc!H25</f>
        <v/>
      </c>
      <c r="I1657">
        <f>IF(Skills!T25&lt;&gt;"",1+(Skills!T25/10)*($Z$3/1000)/100,1)</f>
        <v/>
      </c>
      <c r="J1657" t="inlineStr"/>
      <c r="K1657" t="inlineStr"/>
      <c r="L1657" t="inlineStr"/>
      <c r="M1657" t="inlineStr"/>
      <c r="N1657" t="inlineStr"/>
      <c r="O1657">
        <f>(1-Summary!$B$48)*S1657+Summary!$B$48*U1657</f>
        <v/>
      </c>
      <c r="P1657">
        <f>IF(B1674=0,0,O1657/B1674)</f>
        <v/>
      </c>
      <c r="Q1657">
        <f>IFERROR(1/IF(Inputs!$B$39="pvp",15,MAX(0.1,Skills!D25-IF(Skills!E25=TRUE,5.0,0))),0)</f>
        <v/>
      </c>
      <c r="R1657" t="n">
        <v>0</v>
      </c>
      <c r="S1657" t="n">
        <v>0</v>
      </c>
      <c r="U1657" t="n">
        <v>0</v>
      </c>
    </row>
    <row r="1658">
      <c r="A1658">
        <f>Skills!A26</f>
        <v/>
      </c>
      <c r="B1658">
        <f>Skills!B26</f>
        <v/>
      </c>
      <c r="C1658">
        <f>Inputs!$B$3&gt;=117</f>
        <v/>
      </c>
      <c r="D1658">
        <f>IF(Skills!C26=1,60+Inputs!$B$26+Inputs!$B$30,IF(Skills!C26=2,90+Inputs!$B$27+Inputs!$B$30,IF(Skills!C26=3,120+Inputs!$B$28+Inputs!$B$30,MAX(0,(Inputs!$B$3-100)*3)+Inputs!$B$29+Inputs!$B$30)))</f>
        <v/>
      </c>
      <c r="E1658">
        <f>INDEX(FactorTable!$B$2:$Y$301, MATCH(ROUND(MIN(300,MAX(1,D1658)),0), FactorTable!$A$2:$A$301,0), Skills!L26+1)</f>
        <v/>
      </c>
      <c r="F1658">
        <f>IF(Skills!M26=TRUE,(Skills!K26/10)*(E1658/1000),Skills!K26/10)+Skills!N26</f>
        <v/>
      </c>
      <c r="G1658">
        <f>Calc!G26</f>
        <v/>
      </c>
      <c r="H1658">
        <f>Calc!H26</f>
        <v/>
      </c>
      <c r="I1658">
        <f>IF(Skills!T26&lt;&gt;"",1+(Skills!T26/10)*($Z$3/1000)/100,1)</f>
        <v/>
      </c>
      <c r="J1658" t="inlineStr"/>
      <c r="K1658" t="inlineStr"/>
      <c r="L1658" t="inlineStr"/>
      <c r="M1658" t="inlineStr"/>
      <c r="N1658" t="inlineStr"/>
      <c r="O1658">
        <f>(1-Summary!$B$48)*S1658+Summary!$B$48*U1658</f>
        <v/>
      </c>
      <c r="P1658">
        <f>IF(B1674=0,0,O1658/B1674)</f>
        <v/>
      </c>
      <c r="Q1658">
        <f>IFERROR(1/IF(Inputs!$B$39="pvp",15,MAX(0.1,Skills!D26-IF(Skills!E26=TRUE,5.0,0))),0)</f>
        <v/>
      </c>
      <c r="R1658" t="n">
        <v>0</v>
      </c>
      <c r="S1658" t="n">
        <v>0</v>
      </c>
      <c r="U1658" t="n">
        <v>0</v>
      </c>
    </row>
    <row r="1659">
      <c r="A1659">
        <f>Skills!A27</f>
        <v/>
      </c>
      <c r="B1659">
        <f>Skills!B27</f>
        <v/>
      </c>
      <c r="C1659">
        <f>Inputs!$B$3&gt;=120</f>
        <v/>
      </c>
      <c r="D1659">
        <f>IF(Skills!C27=1,60+Inputs!$B$26+Inputs!$B$30,IF(Skills!C27=2,90+Inputs!$B$27+Inputs!$B$30,IF(Skills!C27=3,120+Inputs!$B$28+Inputs!$B$30,MAX(0,(Inputs!$B$3-100)*3)+Inputs!$B$29+Inputs!$B$30)))</f>
        <v/>
      </c>
      <c r="E1659">
        <f>INDEX(FactorTable!$B$2:$Y$301, MATCH(ROUND(MIN(300,MAX(1,D1659)),0), FactorTable!$A$2:$A$301,0), Skills!L27+1)</f>
        <v/>
      </c>
      <c r="F1659">
        <f>IF(Skills!M27=TRUE,(Skills!K27/10)*(E1659/1000),Skills!K27/10)+Skills!N27</f>
        <v/>
      </c>
      <c r="G1659">
        <f>Calc!G27</f>
        <v/>
      </c>
      <c r="H1659">
        <f>Calc!H27</f>
        <v/>
      </c>
      <c r="I1659">
        <f>IF(Skills!T27&lt;&gt;"",1+(Skills!T27/10)*($Z$3/1000)/100,1)</f>
        <v/>
      </c>
      <c r="J1659" t="inlineStr"/>
      <c r="K1659" t="inlineStr"/>
      <c r="L1659" t="inlineStr"/>
      <c r="M1659" t="inlineStr"/>
      <c r="N1659" t="inlineStr"/>
      <c r="O1659">
        <f>(1-Summary!$B$48)*S1659+Summary!$B$48*U1659</f>
        <v/>
      </c>
      <c r="P1659">
        <f>IF(B1674=0,0,O1659/B1674)</f>
        <v/>
      </c>
      <c r="Q1659">
        <f>IFERROR(1/IF(Inputs!$B$39="pvp",15,MAX(0.1,Skills!D27-IF(Skills!E27=TRUE,5.0,0))),0)</f>
        <v/>
      </c>
      <c r="R1659" t="n">
        <v>0</v>
      </c>
      <c r="S1659" t="n">
        <v>0</v>
      </c>
      <c r="U1659" t="n">
        <v>0</v>
      </c>
    </row>
    <row r="1661">
      <c r="A1661" t="inlineStr">
        <is>
          <t>Average Buff Multiplier</t>
        </is>
      </c>
      <c r="B1661">
        <f>(1+(IF(C1635=TRUE,F1635*IF(AND(Inputs!$B$39&lt;&gt;"pvp",Inputs!$B$44&gt;0),(((R1635-1)*(Skills!S3*(1+(Inputs!$B$35+IF(Inputs!$B$3&gt;=117,F1658,0))/100))+MIN((Skills!S3*(1+(Inputs!$B$35+IF(Inputs!$B$3&gt;=117,F1658,0))/100)),MAX(0,Inputs!$B$44-((R1635-1)*Skills!D3))))/Inputs!$B$44),IF(Inputs!$B$39="pvp",MIN((Skills!S3*(1+(Inputs!$B$35+IF(Inputs!$B$3&gt;=117,F1658,0))/100)),15)/15,(Skills!S3*(1+(Inputs!$B$35+IF(Inputs!$B$3&gt;=117,F1658,0))/100))/Skills!D3)),0)+IF(C1636=TRUE,F1636*IF(AND(Inputs!$B$39&lt;&gt;"pvp",Inputs!$B$44&gt;0),(((R1636-1)*(Skills!S4*(1+(Inputs!$B$35+IF(Inputs!$B$3&gt;=117,F1658,0))/100))+MIN((Skills!S4*(1+(Inputs!$B$35+IF(Inputs!$B$3&gt;=117,F1658,0))/100)),MAX(0,Inputs!$B$44-((R1636-1)*Skills!D4))))/Inputs!$B$44),IF(Inputs!$B$39="pvp",MIN((Skills!S4*(1+(Inputs!$B$35+IF(Inputs!$B$3&gt;=117,F1658,0))/100)),15)/15,(Skills!S4*(1+(Inputs!$B$35+IF(Inputs!$B$3&gt;=117,F1658,0))/100))/Skills!D4)),0)+IF(C1637=TRUE,F1637*IF(AND(Inputs!$B$39&lt;&gt;"pvp",Inputs!$B$44&gt;0),(((R1637-1)*(Skills!S5*(1+(Inputs!$B$35+IF(Inputs!$B$3&gt;=117,F1658,0))/100))+MIN((Skills!S5*(1+(Inputs!$B$35+IF(Inputs!$B$3&gt;=117,F1658,0))/100)),MAX(0,Inputs!$B$44-((R1637-1)*Skills!D5))))/Inputs!$B$44),IF(Inputs!$B$39="pvp",MIN((Skills!S5*(1+(Inputs!$B$35+IF(Inputs!$B$3&gt;=117,F1658,0))/100)),15)/15,(Skills!S5*(1+(Inputs!$B$35+IF(Inputs!$B$3&gt;=117,F1658,0))/100))/Skills!D5)),0)+IF(C1643=TRUE,F1643*IF(AND(Inputs!$B$39&lt;&gt;"pvp",Inputs!$B$44&gt;0),(((R1643-1)*(Skills!S11*(1+(Inputs!$B$35+IF(Inputs!$B$3&gt;=117,F1658,0))/100))+MIN((Skills!S11*(1+(Inputs!$B$35+IF(Inputs!$B$3&gt;=117,F1658,0))/100)),MAX(0,Inputs!$B$44-((R1643-1)*Skills!D11))))/Inputs!$B$44),IF(Inputs!$B$39="pvp",MIN((Skills!S11*(1+(Inputs!$B$35+IF(Inputs!$B$3&gt;=117,F1658,0))/100)),15)/15,(Skills!S11*(1+(Inputs!$B$35+IF(Inputs!$B$3&gt;=117,F1658,0))/100))/Skills!D11)),0))/100)*IF(C1646=TRUE,(1+F1646*IF(AND(Inputs!$B$39&lt;&gt;"pvp",Inputs!$B$44&gt;0),(((R1646-1)*(Skills!S14*(1+(Inputs!$B$35+IF(Inputs!$B$3&gt;=117,F1658,0))/100))+MIN((Skills!S14*(1+(Inputs!$B$35+IF(Inputs!$B$3&gt;=117,F1658,0))/100)),MAX(0,Inputs!$B$44-((R1646-1)*Skills!D14))))/Inputs!$B$44),IF(Inputs!$B$39="pvp",MIN((Skills!S14*(1+(Inputs!$B$35+IF(Inputs!$B$3&gt;=117,F1658,0))/100)),15)/15,(Skills!S14*(1+(Inputs!$B$35+IF(Inputs!$B$3&gt;=117,F1658,0))/100))/Skills!D14))/100),1)*IF(C1651=TRUE,(1+F1651*IF(AND(Inputs!$B$39&lt;&gt;"pvp",Inputs!$B$44&gt;0),(((R1651-1)*(Skills!S19*(1+(Inputs!$B$35+IF(Inputs!$B$3&gt;=117,F1658,0))/100))+MIN((Skills!S19*(1+(Inputs!$B$35+IF(Inputs!$B$3&gt;=117,F1658,0))/100)),MAX(0,Inputs!$B$44-((R1651-1)*Skills!D19))))/Inputs!$B$44),IF(Inputs!$B$39="pvp",MIN((Skills!S19*(1+(Inputs!$B$35+IF(Inputs!$B$3&gt;=117,F1658,0))/100)),15)/15,(Skills!S19*(1+(Inputs!$B$35+IF(Inputs!$B$3&gt;=117,F1658,0))/100))/Skills!D19))/100),1)</f>
        <v/>
      </c>
    </row>
    <row r="1662">
      <c r="A1662" t="inlineStr">
        <is>
          <t>Monster Damage Taken Bonus % (Holy Fountain)</t>
        </is>
      </c>
      <c r="B1662">
        <f>IF(Inputs!$B$3&gt;=68,20*IF(Inputs!$B$39="pvp",MIN((15*(1+(Inputs!$B$35+IF(Inputs!$B$3&gt;=117,F1658,0))/100)),15)/15,(15*(1+(Inputs!$B$35+IF(Inputs!$B$3&gt;=117,F1658,0))/100))/Skills!D10),0)</f>
        <v/>
      </c>
    </row>
    <row r="1663">
      <c r="A1663" t="inlineStr">
        <is>
          <t>Normal Monster Damage Bonus % (Holy Symbol)</t>
        </is>
      </c>
      <c r="B1663">
        <f>IF(C1644=TRUE,F1644*IF(AND(Inputs!$B$39&lt;&gt;"pvp",Inputs!$B$44&gt;0),(((R1644-1)*(Skills!S12*(1+(Inputs!$B$35+IF(Inputs!$B$3&gt;=117,F1658,0))/100))+MIN((Skills!S12*(1+(Inputs!$B$35+IF(Inputs!$B$3&gt;=117,F1658,0))/100)),MAX(0,Inputs!$B$44-((R1644-1)*Skills!D12))))/Inputs!$B$44),IF(Inputs!$B$39="pvp",MIN((Skills!S12*(1+(Inputs!$B$35+IF(Inputs!$B$3&gt;=117,F1658,0))/100)),15)/15,(Skills!S12*(1+(Inputs!$B$35+IF(Inputs!$B$3&gt;=117,F1658,0))/100))/Skills!D12)),0)</f>
        <v/>
      </c>
    </row>
    <row r="1664">
      <c r="A1664" t="inlineStr">
        <is>
          <t>Damage % Bonus (Holy Symbol - Damage Boost)</t>
        </is>
      </c>
      <c r="B1664">
        <f>Skills!O12</f>
        <v/>
      </c>
    </row>
    <row r="1665">
      <c r="A1665" t="inlineStr">
        <is>
          <t>Crit Damage % Bonus (Blood of the Divine)</t>
        </is>
      </c>
      <c r="B1665">
        <f>4*IF(C1652=TRUE,F1652,0)</f>
        <v/>
      </c>
    </row>
    <row r="1666">
      <c r="A1666" t="inlineStr">
        <is>
          <t>Attack Speed Bonus %</t>
        </is>
      </c>
      <c r="B1666">
        <f>IF(C1649=TRUE,F1649+(F1653-Calc!F21),0)+IF(Inputs!$B$3&gt;=134,15,0)</f>
        <v/>
      </c>
    </row>
    <row r="1667">
      <c r="A1667" t="inlineStr">
        <is>
          <t>Actions Per Second</t>
        </is>
      </c>
      <c r="B1667">
        <f>1+MIN(150,150*(1-(1-Inputs!$B$12/150)*(1-B1666/150)))/100</f>
        <v/>
      </c>
    </row>
    <row r="1668">
      <c r="A1668" t="inlineStr">
        <is>
          <t>Skill + Buff Cast Rate</t>
        </is>
      </c>
      <c r="B1668">
        <f>IF(AND(Inputs!$B$39&lt;&gt;"pvp",Inputs!$B$44&gt;0),SUMPRODUCT((Skills!E2:E27=TRUE)*(C1634:C1659=TRUE)*R1634:R1659)/Inputs!$B$44,SUMPRODUCT((Skills!E2:E27=TRUE)*(C1634:C1659=TRUE)*Q1634:Q1659))</f>
        <v/>
      </c>
    </row>
    <row r="1669">
      <c r="A1669" t="inlineStr">
        <is>
          <t>Big Bang Casts Per Second</t>
        </is>
      </c>
      <c r="B1669">
        <f>MAX(0,B1667-B1668)</f>
        <v/>
      </c>
    </row>
    <row r="1670">
      <c r="A1670" t="inlineStr">
        <is>
          <t>Defense % Bonus (Divine Protection)</t>
        </is>
      </c>
      <c r="B1670">
        <f>IF(C1645=TRUE,F1645*IF(AND(Inputs!$B$39&lt;&gt;"pvp",Inputs!$B$44&gt;0),(((R1645-1)*(Skills!S13*(1+(Inputs!$B$35+IF(Inputs!$B$3&gt;=117,F1658,0))/100))+MIN((Skills!S13*(1+(Inputs!$B$35+IF(Inputs!$B$3&gt;=117,F1658,0))/100)),MAX(0,Inputs!$B$44-((R1645-1)*Skills!D13))))/Inputs!$B$44),IF(Inputs!$B$39="pvp",MIN((Skills!S13*(1+(Inputs!$B$35+IF(Inputs!$B$3&gt;=117,F1658,0))/100)),15)/15,(Skills!S13*(1+(Inputs!$B$35+IF(Inputs!$B$3&gt;=117,F1658,0))/100))/Skills!D13)),0)</f>
        <v/>
      </c>
    </row>
    <row r="1671">
      <c r="A1671" t="inlineStr">
        <is>
          <t>Buff-Casting Startup Delay (s, fixed-duration only)</t>
        </is>
      </c>
      <c r="B1671">
        <f>IF(AND(Inputs!$B$39&lt;&gt;"pvp",Inputs!$B$44&gt;0),SUMPRODUCT((Skills!S2:S27&gt;0)*(Skills!E2:E27=TRUE)*(C1634:C1659=TRUE))/B1667,0)</f>
        <v/>
      </c>
    </row>
    <row r="1672">
      <c r="A1672" t="inlineStr">
        <is>
          <t>Boss-Only Total DPS (this block's swept value)</t>
        </is>
      </c>
      <c r="B1672">
        <f>SUM(S1634:S1659)</f>
        <v/>
      </c>
    </row>
    <row r="1673">
      <c r="A1673" t="inlineStr">
        <is>
          <t>Normal-Only Total DPS (this block's swept value)</t>
        </is>
      </c>
      <c r="B1673">
        <f>SUM(U1634:U1659)</f>
        <v/>
      </c>
    </row>
    <row r="1674">
      <c r="A1674" s="5" t="inlineStr">
        <is>
          <t>TOTAL DPS</t>
        </is>
      </c>
      <c r="B1674" s="5">
        <f>SUM(O1634:O1659)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IF(Inputs!$B$10&gt;=100,Sensitivity!H17,Sensitivity!H16)</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Sensitivity!H18</f>
        <v/>
      </c>
      <c r="J3" t="inlineStr">
        <is>
          <t>All Skill Level</t>
        </is>
      </c>
      <c r="K3">
        <f>Sensitivity!H26</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Sensitivity!H9</f>
        <v/>
      </c>
      <c r="J4" t="inlineStr">
        <is>
          <t>Attack Speed %</t>
        </is>
      </c>
      <c r="K4">
        <f>Sensitivity!H18</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Sensitivity!H14</f>
        <v/>
      </c>
      <c r="J5" t="inlineStr">
        <is>
          <t>Basic Attack Damage %</t>
        </is>
      </c>
      <c r="K5">
        <f>Sensitivity!H20</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Sensitivity!H15</f>
        <v/>
      </c>
      <c r="J6" t="inlineStr">
        <is>
          <t>Basic Attack Target Increase</t>
        </is>
      </c>
      <c r="K6">
        <f>Sensitivity!H30</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Sensitivity!H31</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Sensitivity!H17</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Sensitivity!H17</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IF(Inputs!$B$10&gt;=100,Sensitivity!H17,Sensitivity!H16)</f>
        <v/>
      </c>
      <c r="Q10" t="inlineStr">
        <is>
          <t>ring</t>
        </is>
      </c>
    </row>
    <row r="11">
      <c r="A11" t="inlineStr">
        <is>
          <t>ALL</t>
        </is>
      </c>
      <c r="B11" t="inlineStr">
        <is>
          <t>normal</t>
        </is>
      </c>
      <c r="C11" t="n">
        <v>1</v>
      </c>
      <c r="D11" t="inlineStr">
        <is>
          <t>Defense %</t>
        </is>
      </c>
      <c r="E11" t="n">
        <v>3</v>
      </c>
      <c r="F11" t="n">
        <v>9</v>
      </c>
      <c r="G11" t="b">
        <v>0</v>
      </c>
      <c r="H11">
        <f>Sensitivity!H8</f>
        <v/>
      </c>
      <c r="J11" t="inlineStr">
        <is>
          <t>Damage %</t>
        </is>
      </c>
      <c r="K11">
        <f>Sensitivity!H9</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Sensitivity!H8</f>
        <v/>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Sensitivity!H19</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Sensitivity!H13</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IF(Inputs!$B$10&gt;=100,Sensitivity!H17,Sensitivity!H16)</f>
        <v/>
      </c>
      <c r="J18" t="inlineStr">
        <is>
          <t>Int %</t>
        </is>
      </c>
      <c r="K18">
        <f>Sensitivity!H6</f>
        <v/>
      </c>
    </row>
    <row r="19">
      <c r="A19" t="inlineStr">
        <is>
          <t>ALL</t>
        </is>
      </c>
      <c r="B19" t="inlineStr">
        <is>
          <t>normal</t>
        </is>
      </c>
      <c r="C19" t="n">
        <v>2</v>
      </c>
      <c r="D19" t="inlineStr">
        <is>
          <t>Attack Speed %</t>
        </is>
      </c>
      <c r="E19" t="n">
        <v>3</v>
      </c>
      <c r="F19" t="n">
        <v>2.5</v>
      </c>
      <c r="G19" t="b">
        <v>0</v>
      </c>
      <c r="H19">
        <f>Sensitivity!H18</f>
        <v/>
      </c>
      <c r="J19" t="inlineStr">
        <is>
          <t>Luk</t>
        </is>
      </c>
      <c r="K19" t="inlineStr">
        <is>
          <t>0</t>
        </is>
      </c>
    </row>
    <row r="20">
      <c r="A20" t="inlineStr">
        <is>
          <t>ALL</t>
        </is>
      </c>
      <c r="B20" t="inlineStr">
        <is>
          <t>normal</t>
        </is>
      </c>
      <c r="C20" t="n">
        <v>2</v>
      </c>
      <c r="D20" t="inlineStr">
        <is>
          <t>Damage %</t>
        </is>
      </c>
      <c r="E20" t="n">
        <v>5</v>
      </c>
      <c r="F20" t="n">
        <v>4</v>
      </c>
      <c r="G20" t="b">
        <v>0</v>
      </c>
      <c r="H20">
        <f>Sensitivity!H9</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Sensitivity!H14</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Sensitivity!H15</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Sensitivity!H15</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Sensitivity!H14</f>
        <v/>
      </c>
    </row>
    <row r="27">
      <c r="A27" t="inlineStr">
        <is>
          <t>ALL</t>
        </is>
      </c>
      <c r="B27" t="inlineStr">
        <is>
          <t>normal</t>
        </is>
      </c>
      <c r="C27" t="n">
        <v>2</v>
      </c>
      <c r="D27" t="inlineStr">
        <is>
          <t>Defense %</t>
        </is>
      </c>
      <c r="E27" t="n">
        <v>3</v>
      </c>
      <c r="F27" t="n">
        <v>9</v>
      </c>
      <c r="G27" t="b">
        <v>0</v>
      </c>
      <c r="H27">
        <f>Sensitivity!H8</f>
        <v/>
      </c>
      <c r="J27" t="inlineStr">
        <is>
          <t>Skill Cooldown Decrease (seconds)</t>
        </is>
      </c>
      <c r="K27">
        <f>Sensitivity!H29</f>
        <v/>
      </c>
    </row>
    <row r="28">
      <c r="A28" t="inlineStr">
        <is>
          <t>ALL</t>
        </is>
      </c>
      <c r="B28" t="inlineStr">
        <is>
          <t>normal</t>
        </is>
      </c>
      <c r="C28" t="n">
        <v>2</v>
      </c>
      <c r="D28" t="inlineStr">
        <is>
          <t>Max HP %</t>
        </is>
      </c>
      <c r="E28" t="n">
        <v>6</v>
      </c>
      <c r="F28" t="n">
        <v>9</v>
      </c>
      <c r="G28" t="b">
        <v>0</v>
      </c>
      <c r="H28" t="inlineStr">
        <is>
          <t>0</t>
        </is>
      </c>
      <c r="J28" t="inlineStr">
        <is>
          <t>Skill Damage %</t>
        </is>
      </c>
      <c r="K28">
        <f>Sensitivity!H21</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IF(Inputs!$B$10&gt;=100,Sensitivity!H17,Sensitivity!H16)</f>
        <v/>
      </c>
    </row>
    <row r="35">
      <c r="A35" t="inlineStr">
        <is>
          <t>ALL</t>
        </is>
      </c>
      <c r="B35" t="inlineStr">
        <is>
          <t>normal</t>
        </is>
      </c>
      <c r="C35" t="n">
        <v>3</v>
      </c>
      <c r="D35" t="inlineStr">
        <is>
          <t>Attack Speed %</t>
        </is>
      </c>
      <c r="E35" t="n">
        <v>3</v>
      </c>
      <c r="F35" t="n">
        <v>2.5</v>
      </c>
      <c r="G35" t="b">
        <v>0</v>
      </c>
      <c r="H35">
        <f>Sensitivity!H18</f>
        <v/>
      </c>
    </row>
    <row r="36">
      <c r="A36" t="inlineStr">
        <is>
          <t>ALL</t>
        </is>
      </c>
      <c r="B36" t="inlineStr">
        <is>
          <t>normal</t>
        </is>
      </c>
      <c r="C36" t="n">
        <v>3</v>
      </c>
      <c r="D36" t="inlineStr">
        <is>
          <t>Damage %</t>
        </is>
      </c>
      <c r="E36" t="n">
        <v>5</v>
      </c>
      <c r="F36" t="n">
        <v>4</v>
      </c>
      <c r="G36" t="b">
        <v>0</v>
      </c>
      <c r="H36">
        <f>Sensitivity!H9</f>
        <v/>
      </c>
    </row>
    <row r="37">
      <c r="A37" t="inlineStr">
        <is>
          <t>ALL</t>
        </is>
      </c>
      <c r="B37" t="inlineStr">
        <is>
          <t>normal</t>
        </is>
      </c>
      <c r="C37" t="n">
        <v>3</v>
      </c>
      <c r="D37" t="inlineStr">
        <is>
          <t>Min Damage Multiplier %</t>
        </is>
      </c>
      <c r="E37" t="n">
        <v>3</v>
      </c>
      <c r="F37" t="n">
        <v>4</v>
      </c>
      <c r="G37" t="b">
        <v>0</v>
      </c>
      <c r="H37">
        <f>Sensitivity!H14</f>
        <v/>
      </c>
    </row>
    <row r="38">
      <c r="A38" t="inlineStr">
        <is>
          <t>ALL</t>
        </is>
      </c>
      <c r="B38" t="inlineStr">
        <is>
          <t>normal</t>
        </is>
      </c>
      <c r="C38" t="n">
        <v>3</v>
      </c>
      <c r="D38" t="inlineStr">
        <is>
          <t>Max Damage Multiplier %</t>
        </is>
      </c>
      <c r="E38" t="n">
        <v>3</v>
      </c>
      <c r="F38" t="n">
        <v>4</v>
      </c>
      <c r="G38" t="b">
        <v>0</v>
      </c>
      <c r="H38">
        <f>Sensitivity!H15</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Sensitivity!H8</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IF(Inputs!$B$10&gt;=100,Sensitivity!H17,Sensitivity!H16)</f>
        <v/>
      </c>
    </row>
    <row r="51">
      <c r="A51" t="inlineStr">
        <is>
          <t>ALL</t>
        </is>
      </c>
      <c r="B51" t="inlineStr">
        <is>
          <t>rare</t>
        </is>
      </c>
      <c r="C51" t="n">
        <v>1</v>
      </c>
      <c r="D51" t="inlineStr">
        <is>
          <t>Attack Speed %</t>
        </is>
      </c>
      <c r="E51" t="n">
        <v>3.5</v>
      </c>
      <c r="F51" t="n">
        <v>2.5</v>
      </c>
      <c r="G51" t="b">
        <v>1</v>
      </c>
      <c r="H51">
        <f>Sensitivity!H18</f>
        <v/>
      </c>
    </row>
    <row r="52">
      <c r="A52" t="inlineStr">
        <is>
          <t>ALL</t>
        </is>
      </c>
      <c r="B52" t="inlineStr">
        <is>
          <t>rare</t>
        </is>
      </c>
      <c r="C52" t="n">
        <v>1</v>
      </c>
      <c r="D52" t="inlineStr">
        <is>
          <t>Damage %</t>
        </is>
      </c>
      <c r="E52" t="n">
        <v>8</v>
      </c>
      <c r="F52" t="n">
        <v>4</v>
      </c>
      <c r="G52" t="b">
        <v>1</v>
      </c>
      <c r="H52">
        <f>Sensitivity!H9</f>
        <v/>
      </c>
    </row>
    <row r="53">
      <c r="A53" t="inlineStr">
        <is>
          <t>ALL</t>
        </is>
      </c>
      <c r="B53" t="inlineStr">
        <is>
          <t>rare</t>
        </is>
      </c>
      <c r="C53" t="n">
        <v>1</v>
      </c>
      <c r="D53" t="inlineStr">
        <is>
          <t>Min Damage Multiplier %</t>
        </is>
      </c>
      <c r="E53" t="n">
        <v>6</v>
      </c>
      <c r="F53" t="n">
        <v>4</v>
      </c>
      <c r="G53" t="b">
        <v>1</v>
      </c>
      <c r="H53">
        <f>Sensitivity!H14</f>
        <v/>
      </c>
    </row>
    <row r="54">
      <c r="A54" t="inlineStr">
        <is>
          <t>ALL</t>
        </is>
      </c>
      <c r="B54" t="inlineStr">
        <is>
          <t>rare</t>
        </is>
      </c>
      <c r="C54" t="n">
        <v>1</v>
      </c>
      <c r="D54" t="inlineStr">
        <is>
          <t>Max Damage Multiplier %</t>
        </is>
      </c>
      <c r="E54" t="n">
        <v>6</v>
      </c>
      <c r="F54" t="n">
        <v>4</v>
      </c>
      <c r="G54" t="b">
        <v>1</v>
      </c>
      <c r="H54">
        <f>Sensitivity!H15</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Sensitivity!H8</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IF(Inputs!$B$10&gt;=100,Sensitivity!H17,Sensitivity!H16)</f>
        <v/>
      </c>
    </row>
    <row r="67">
      <c r="A67" t="inlineStr">
        <is>
          <t>ALL</t>
        </is>
      </c>
      <c r="B67" t="inlineStr">
        <is>
          <t>rare</t>
        </is>
      </c>
      <c r="C67" t="n">
        <v>2</v>
      </c>
      <c r="D67" t="inlineStr">
        <is>
          <t>Critical Rate %</t>
        </is>
      </c>
      <c r="E67" t="n">
        <v>4.5</v>
      </c>
      <c r="F67" t="n">
        <v>0.6</v>
      </c>
      <c r="G67" t="b">
        <v>1</v>
      </c>
      <c r="H67">
        <f>IF(Inputs!$B$10&gt;=100,Sensitivity!H17,Sensitivity!H16)</f>
        <v/>
      </c>
    </row>
    <row r="68">
      <c r="A68" t="inlineStr">
        <is>
          <t>ALL</t>
        </is>
      </c>
      <c r="B68" t="inlineStr">
        <is>
          <t>rare</t>
        </is>
      </c>
      <c r="C68" t="n">
        <v>2</v>
      </c>
      <c r="D68" t="inlineStr">
        <is>
          <t>Attack Speed %</t>
        </is>
      </c>
      <c r="E68" t="n">
        <v>3</v>
      </c>
      <c r="F68" t="n">
        <v>1.9</v>
      </c>
      <c r="G68" t="b">
        <v>0</v>
      </c>
      <c r="H68">
        <f>Sensitivity!H18</f>
        <v/>
      </c>
    </row>
    <row r="69">
      <c r="A69" t="inlineStr">
        <is>
          <t>ALL</t>
        </is>
      </c>
      <c r="B69" t="inlineStr">
        <is>
          <t>rare</t>
        </is>
      </c>
      <c r="C69" t="n">
        <v>2</v>
      </c>
      <c r="D69" t="inlineStr">
        <is>
          <t>Attack Speed %</t>
        </is>
      </c>
      <c r="E69" t="n">
        <v>3.5</v>
      </c>
      <c r="F69" t="n">
        <v>0.6</v>
      </c>
      <c r="G69" t="b">
        <v>1</v>
      </c>
      <c r="H69">
        <f>Sensitivity!H18</f>
        <v/>
      </c>
    </row>
    <row r="70">
      <c r="A70" t="inlineStr">
        <is>
          <t>ALL</t>
        </is>
      </c>
      <c r="B70" t="inlineStr">
        <is>
          <t>rare</t>
        </is>
      </c>
      <c r="C70" t="n">
        <v>2</v>
      </c>
      <c r="D70" t="inlineStr">
        <is>
          <t>Damage %</t>
        </is>
      </c>
      <c r="E70" t="n">
        <v>5</v>
      </c>
      <c r="F70" t="n">
        <v>3.04</v>
      </c>
      <c r="G70" t="b">
        <v>0</v>
      </c>
      <c r="H70">
        <f>Sensitivity!H9</f>
        <v/>
      </c>
    </row>
    <row r="71">
      <c r="A71" t="inlineStr">
        <is>
          <t>ALL</t>
        </is>
      </c>
      <c r="B71" t="inlineStr">
        <is>
          <t>rare</t>
        </is>
      </c>
      <c r="C71" t="n">
        <v>2</v>
      </c>
      <c r="D71" t="inlineStr">
        <is>
          <t>Damage %</t>
        </is>
      </c>
      <c r="E71" t="n">
        <v>8</v>
      </c>
      <c r="F71" t="n">
        <v>0.96</v>
      </c>
      <c r="G71" t="b">
        <v>1</v>
      </c>
      <c r="H71">
        <f>Sensitivity!H9</f>
        <v/>
      </c>
    </row>
    <row r="72">
      <c r="A72" t="inlineStr">
        <is>
          <t>ALL</t>
        </is>
      </c>
      <c r="B72" t="inlineStr">
        <is>
          <t>rare</t>
        </is>
      </c>
      <c r="C72" t="n">
        <v>2</v>
      </c>
      <c r="D72" t="inlineStr">
        <is>
          <t>Min Damage Multiplier %</t>
        </is>
      </c>
      <c r="E72" t="n">
        <v>3</v>
      </c>
      <c r="F72" t="n">
        <v>3.04</v>
      </c>
      <c r="G72" t="b">
        <v>0</v>
      </c>
      <c r="H72">
        <f>Sensitivity!H14</f>
        <v/>
      </c>
    </row>
    <row r="73">
      <c r="A73" t="inlineStr">
        <is>
          <t>ALL</t>
        </is>
      </c>
      <c r="B73" t="inlineStr">
        <is>
          <t>rare</t>
        </is>
      </c>
      <c r="C73" t="n">
        <v>2</v>
      </c>
      <c r="D73" t="inlineStr">
        <is>
          <t>Min Damage Multiplier %</t>
        </is>
      </c>
      <c r="E73" t="n">
        <v>6</v>
      </c>
      <c r="F73" t="n">
        <v>0.96</v>
      </c>
      <c r="G73" t="b">
        <v>1</v>
      </c>
      <c r="H73">
        <f>Sensitivity!H14</f>
        <v/>
      </c>
    </row>
    <row r="74">
      <c r="A74" t="inlineStr">
        <is>
          <t>ALL</t>
        </is>
      </c>
      <c r="B74" t="inlineStr">
        <is>
          <t>rare</t>
        </is>
      </c>
      <c r="C74" t="n">
        <v>2</v>
      </c>
      <c r="D74" t="inlineStr">
        <is>
          <t>Max Damage Multiplier %</t>
        </is>
      </c>
      <c r="E74" t="n">
        <v>3</v>
      </c>
      <c r="F74" t="n">
        <v>3.04</v>
      </c>
      <c r="G74" t="b">
        <v>0</v>
      </c>
      <c r="H74">
        <f>Sensitivity!H15</f>
        <v/>
      </c>
    </row>
    <row r="75">
      <c r="A75" t="inlineStr">
        <is>
          <t>ALL</t>
        </is>
      </c>
      <c r="B75" t="inlineStr">
        <is>
          <t>rare</t>
        </is>
      </c>
      <c r="C75" t="n">
        <v>2</v>
      </c>
      <c r="D75" t="inlineStr">
        <is>
          <t>Max Damage Multiplier %</t>
        </is>
      </c>
      <c r="E75" t="n">
        <v>6</v>
      </c>
      <c r="F75" t="n">
        <v>0.96</v>
      </c>
      <c r="G75" t="b">
        <v>1</v>
      </c>
      <c r="H75">
        <f>Sensitivity!H15</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Sensitivity!H8</f>
        <v/>
      </c>
    </row>
    <row r="85">
      <c r="A85" t="inlineStr">
        <is>
          <t>ALL</t>
        </is>
      </c>
      <c r="B85" t="inlineStr">
        <is>
          <t>rare</t>
        </is>
      </c>
      <c r="C85" t="n">
        <v>2</v>
      </c>
      <c r="D85" t="inlineStr">
        <is>
          <t>Defense %</t>
        </is>
      </c>
      <c r="E85" t="n">
        <v>4.5</v>
      </c>
      <c r="F85" t="n">
        <v>2.16</v>
      </c>
      <c r="G85" t="b">
        <v>1</v>
      </c>
      <c r="H85">
        <f>Sensitivity!H8</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IF(Inputs!$B$10&gt;=100,Sensitivity!H17,Sensitivity!H16)</f>
        <v/>
      </c>
    </row>
    <row r="99">
      <c r="A99" t="inlineStr">
        <is>
          <t>ALL</t>
        </is>
      </c>
      <c r="B99" t="inlineStr">
        <is>
          <t>rare</t>
        </is>
      </c>
      <c r="C99" t="n">
        <v>3</v>
      </c>
      <c r="D99" t="inlineStr">
        <is>
          <t>Critical Rate %</t>
        </is>
      </c>
      <c r="E99" t="n">
        <v>4.5</v>
      </c>
      <c r="F99" t="n">
        <v>0.2</v>
      </c>
      <c r="G99" t="b">
        <v>1</v>
      </c>
      <c r="H99">
        <f>IF(Inputs!$B$10&gt;=100,Sensitivity!H17,Sensitivity!H16)</f>
        <v/>
      </c>
    </row>
    <row r="100">
      <c r="A100" t="inlineStr">
        <is>
          <t>ALL</t>
        </is>
      </c>
      <c r="B100" t="inlineStr">
        <is>
          <t>rare</t>
        </is>
      </c>
      <c r="C100" t="n">
        <v>3</v>
      </c>
      <c r="D100" t="inlineStr">
        <is>
          <t>Attack Speed %</t>
        </is>
      </c>
      <c r="E100" t="n">
        <v>3</v>
      </c>
      <c r="F100" t="n">
        <v>2.3</v>
      </c>
      <c r="G100" t="b">
        <v>0</v>
      </c>
      <c r="H100">
        <f>Sensitivity!H18</f>
        <v/>
      </c>
    </row>
    <row r="101">
      <c r="A101" t="inlineStr">
        <is>
          <t>ALL</t>
        </is>
      </c>
      <c r="B101" t="inlineStr">
        <is>
          <t>rare</t>
        </is>
      </c>
      <c r="C101" t="n">
        <v>3</v>
      </c>
      <c r="D101" t="inlineStr">
        <is>
          <t>Attack Speed %</t>
        </is>
      </c>
      <c r="E101" t="n">
        <v>3.5</v>
      </c>
      <c r="F101" t="n">
        <v>0.2</v>
      </c>
      <c r="G101" t="b">
        <v>1</v>
      </c>
      <c r="H101">
        <f>Sensitivity!H18</f>
        <v/>
      </c>
    </row>
    <row r="102">
      <c r="A102" t="inlineStr">
        <is>
          <t>ALL</t>
        </is>
      </c>
      <c r="B102" t="inlineStr">
        <is>
          <t>rare</t>
        </is>
      </c>
      <c r="C102" t="n">
        <v>3</v>
      </c>
      <c r="D102" t="inlineStr">
        <is>
          <t>Damage %</t>
        </is>
      </c>
      <c r="E102" t="n">
        <v>5</v>
      </c>
      <c r="F102" t="n">
        <v>3.68</v>
      </c>
      <c r="G102" t="b">
        <v>0</v>
      </c>
      <c r="H102">
        <f>Sensitivity!H9</f>
        <v/>
      </c>
    </row>
    <row r="103">
      <c r="A103" t="inlineStr">
        <is>
          <t>ALL</t>
        </is>
      </c>
      <c r="B103" t="inlineStr">
        <is>
          <t>rare</t>
        </is>
      </c>
      <c r="C103" t="n">
        <v>3</v>
      </c>
      <c r="D103" t="inlineStr">
        <is>
          <t>Damage %</t>
        </is>
      </c>
      <c r="E103" t="n">
        <v>8</v>
      </c>
      <c r="F103" t="n">
        <v>0.32</v>
      </c>
      <c r="G103" t="b">
        <v>1</v>
      </c>
      <c r="H103">
        <f>Sensitivity!H9</f>
        <v/>
      </c>
    </row>
    <row r="104">
      <c r="A104" t="inlineStr">
        <is>
          <t>ALL</t>
        </is>
      </c>
      <c r="B104" t="inlineStr">
        <is>
          <t>rare</t>
        </is>
      </c>
      <c r="C104" t="n">
        <v>3</v>
      </c>
      <c r="D104" t="inlineStr">
        <is>
          <t>Min Damage Multiplier %</t>
        </is>
      </c>
      <c r="E104" t="n">
        <v>3</v>
      </c>
      <c r="F104" t="n">
        <v>3.68</v>
      </c>
      <c r="G104" t="b">
        <v>0</v>
      </c>
      <c r="H104">
        <f>Sensitivity!H14</f>
        <v/>
      </c>
    </row>
    <row r="105">
      <c r="A105" t="inlineStr">
        <is>
          <t>ALL</t>
        </is>
      </c>
      <c r="B105" t="inlineStr">
        <is>
          <t>rare</t>
        </is>
      </c>
      <c r="C105" t="n">
        <v>3</v>
      </c>
      <c r="D105" t="inlineStr">
        <is>
          <t>Min Damage Multiplier %</t>
        </is>
      </c>
      <c r="E105" t="n">
        <v>6</v>
      </c>
      <c r="F105" t="n">
        <v>0.32</v>
      </c>
      <c r="G105" t="b">
        <v>1</v>
      </c>
      <c r="H105">
        <f>Sensitivity!H14</f>
        <v/>
      </c>
    </row>
    <row r="106">
      <c r="A106" t="inlineStr">
        <is>
          <t>ALL</t>
        </is>
      </c>
      <c r="B106" t="inlineStr">
        <is>
          <t>rare</t>
        </is>
      </c>
      <c r="C106" t="n">
        <v>3</v>
      </c>
      <c r="D106" t="inlineStr">
        <is>
          <t>Max Damage Multiplier %</t>
        </is>
      </c>
      <c r="E106" t="n">
        <v>3</v>
      </c>
      <c r="F106" t="n">
        <v>3.68</v>
      </c>
      <c r="G106" t="b">
        <v>0</v>
      </c>
      <c r="H106">
        <f>Sensitivity!H15</f>
        <v/>
      </c>
    </row>
    <row r="107">
      <c r="A107" t="inlineStr">
        <is>
          <t>ALL</t>
        </is>
      </c>
      <c r="B107" t="inlineStr">
        <is>
          <t>rare</t>
        </is>
      </c>
      <c r="C107" t="n">
        <v>3</v>
      </c>
      <c r="D107" t="inlineStr">
        <is>
          <t>Max Damage Multiplier %</t>
        </is>
      </c>
      <c r="E107" t="n">
        <v>6</v>
      </c>
      <c r="F107" t="n">
        <v>0.32</v>
      </c>
      <c r="G107" t="b">
        <v>1</v>
      </c>
      <c r="H107">
        <f>Sensitivity!H15</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Sensitivity!H8</f>
        <v/>
      </c>
    </row>
    <row r="117">
      <c r="A117" t="inlineStr">
        <is>
          <t>ALL</t>
        </is>
      </c>
      <c r="B117" t="inlineStr">
        <is>
          <t>rare</t>
        </is>
      </c>
      <c r="C117" t="n">
        <v>3</v>
      </c>
      <c r="D117" t="inlineStr">
        <is>
          <t>Defense %</t>
        </is>
      </c>
      <c r="E117" t="n">
        <v>4.5</v>
      </c>
      <c r="F117" t="n">
        <v>0.72</v>
      </c>
      <c r="G117" t="b">
        <v>1</v>
      </c>
      <c r="H117">
        <f>Sensitivity!H8</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IF(Inputs!$B$10&gt;=100,Sensitivity!H17,Sensitivity!H16)</f>
        <v/>
      </c>
    </row>
    <row r="131">
      <c r="A131" t="inlineStr">
        <is>
          <t>ALL</t>
        </is>
      </c>
      <c r="B131" t="inlineStr">
        <is>
          <t>epic</t>
        </is>
      </c>
      <c r="C131" t="n">
        <v>1</v>
      </c>
      <c r="D131" t="inlineStr">
        <is>
          <t>Attack Speed %</t>
        </is>
      </c>
      <c r="E131" t="n">
        <v>4</v>
      </c>
      <c r="F131" t="n">
        <v>2.5</v>
      </c>
      <c r="G131" t="b">
        <v>1</v>
      </c>
      <c r="H131">
        <f>Sensitivity!H18</f>
        <v/>
      </c>
    </row>
    <row r="132">
      <c r="A132" t="inlineStr">
        <is>
          <t>ALL</t>
        </is>
      </c>
      <c r="B132" t="inlineStr">
        <is>
          <t>epic</t>
        </is>
      </c>
      <c r="C132" t="n">
        <v>1</v>
      </c>
      <c r="D132" t="inlineStr">
        <is>
          <t>Damage %</t>
        </is>
      </c>
      <c r="E132" t="n">
        <v>12</v>
      </c>
      <c r="F132" t="n">
        <v>4</v>
      </c>
      <c r="G132" t="b">
        <v>1</v>
      </c>
      <c r="H132">
        <f>Sensitivity!H9</f>
        <v/>
      </c>
    </row>
    <row r="133">
      <c r="A133" t="inlineStr">
        <is>
          <t>ALL</t>
        </is>
      </c>
      <c r="B133" t="inlineStr">
        <is>
          <t>epic</t>
        </is>
      </c>
      <c r="C133" t="n">
        <v>1</v>
      </c>
      <c r="D133" t="inlineStr">
        <is>
          <t>Min Damage Multiplier %</t>
        </is>
      </c>
      <c r="E133" t="n">
        <v>8</v>
      </c>
      <c r="F133" t="n">
        <v>4</v>
      </c>
      <c r="G133" t="b">
        <v>1</v>
      </c>
      <c r="H133">
        <f>Sensitivity!H14</f>
        <v/>
      </c>
    </row>
    <row r="134">
      <c r="A134" t="inlineStr">
        <is>
          <t>ALL</t>
        </is>
      </c>
      <c r="B134" t="inlineStr">
        <is>
          <t>epic</t>
        </is>
      </c>
      <c r="C134" t="n">
        <v>1</v>
      </c>
      <c r="D134" t="inlineStr">
        <is>
          <t>Max Damage Multiplier %</t>
        </is>
      </c>
      <c r="E134" t="n">
        <v>8</v>
      </c>
      <c r="F134" t="n">
        <v>4</v>
      </c>
      <c r="G134" t="b">
        <v>1</v>
      </c>
      <c r="H134">
        <f>Sensitivity!H15</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Sensitivity!H8</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IF(Inputs!$B$10&gt;=100,Sensitivity!H17,Sensitivity!H16)</f>
        <v/>
      </c>
    </row>
    <row r="147">
      <c r="A147" t="inlineStr">
        <is>
          <t>ALL</t>
        </is>
      </c>
      <c r="B147" t="inlineStr">
        <is>
          <t>epic</t>
        </is>
      </c>
      <c r="C147" t="n">
        <v>2</v>
      </c>
      <c r="D147" t="inlineStr">
        <is>
          <t>Critical Rate %</t>
        </is>
      </c>
      <c r="E147" t="n">
        <v>6</v>
      </c>
      <c r="F147" t="n">
        <v>0.6</v>
      </c>
      <c r="G147" t="b">
        <v>1</v>
      </c>
      <c r="H147">
        <f>IF(Inputs!$B$10&gt;=100,Sensitivity!H17,Sensitivity!H16)</f>
        <v/>
      </c>
    </row>
    <row r="148">
      <c r="A148" t="inlineStr">
        <is>
          <t>ALL</t>
        </is>
      </c>
      <c r="B148" t="inlineStr">
        <is>
          <t>epic</t>
        </is>
      </c>
      <c r="C148" t="n">
        <v>2</v>
      </c>
      <c r="D148" t="inlineStr">
        <is>
          <t>Attack Speed %</t>
        </is>
      </c>
      <c r="E148" t="n">
        <v>3.5</v>
      </c>
      <c r="F148" t="n">
        <v>1.9</v>
      </c>
      <c r="G148" t="b">
        <v>0</v>
      </c>
      <c r="H148">
        <f>Sensitivity!H18</f>
        <v/>
      </c>
    </row>
    <row r="149">
      <c r="A149" t="inlineStr">
        <is>
          <t>ALL</t>
        </is>
      </c>
      <c r="B149" t="inlineStr">
        <is>
          <t>epic</t>
        </is>
      </c>
      <c r="C149" t="n">
        <v>2</v>
      </c>
      <c r="D149" t="inlineStr">
        <is>
          <t>Attack Speed %</t>
        </is>
      </c>
      <c r="E149" t="n">
        <v>4</v>
      </c>
      <c r="F149" t="n">
        <v>0.6</v>
      </c>
      <c r="G149" t="b">
        <v>1</v>
      </c>
      <c r="H149">
        <f>Sensitivity!H18</f>
        <v/>
      </c>
    </row>
    <row r="150">
      <c r="A150" t="inlineStr">
        <is>
          <t>ALL</t>
        </is>
      </c>
      <c r="B150" t="inlineStr">
        <is>
          <t>epic</t>
        </is>
      </c>
      <c r="C150" t="n">
        <v>2</v>
      </c>
      <c r="D150" t="inlineStr">
        <is>
          <t>Damage %</t>
        </is>
      </c>
      <c r="E150" t="n">
        <v>8</v>
      </c>
      <c r="F150" t="n">
        <v>3.04</v>
      </c>
      <c r="G150" t="b">
        <v>0</v>
      </c>
      <c r="H150">
        <f>Sensitivity!H9</f>
        <v/>
      </c>
    </row>
    <row r="151">
      <c r="A151" t="inlineStr">
        <is>
          <t>ALL</t>
        </is>
      </c>
      <c r="B151" t="inlineStr">
        <is>
          <t>epic</t>
        </is>
      </c>
      <c r="C151" t="n">
        <v>2</v>
      </c>
      <c r="D151" t="inlineStr">
        <is>
          <t>Damage %</t>
        </is>
      </c>
      <c r="E151" t="n">
        <v>12</v>
      </c>
      <c r="F151" t="n">
        <v>0.96</v>
      </c>
      <c r="G151" t="b">
        <v>1</v>
      </c>
      <c r="H151">
        <f>Sensitivity!H9</f>
        <v/>
      </c>
    </row>
    <row r="152">
      <c r="A152" t="inlineStr">
        <is>
          <t>ALL</t>
        </is>
      </c>
      <c r="B152" t="inlineStr">
        <is>
          <t>epic</t>
        </is>
      </c>
      <c r="C152" t="n">
        <v>2</v>
      </c>
      <c r="D152" t="inlineStr">
        <is>
          <t>Min Damage Multiplier %</t>
        </is>
      </c>
      <c r="E152" t="n">
        <v>6</v>
      </c>
      <c r="F152" t="n">
        <v>3.04</v>
      </c>
      <c r="G152" t="b">
        <v>0</v>
      </c>
      <c r="H152">
        <f>Sensitivity!H14</f>
        <v/>
      </c>
    </row>
    <row r="153">
      <c r="A153" t="inlineStr">
        <is>
          <t>ALL</t>
        </is>
      </c>
      <c r="B153" t="inlineStr">
        <is>
          <t>epic</t>
        </is>
      </c>
      <c r="C153" t="n">
        <v>2</v>
      </c>
      <c r="D153" t="inlineStr">
        <is>
          <t>Min Damage Multiplier %</t>
        </is>
      </c>
      <c r="E153" t="n">
        <v>8</v>
      </c>
      <c r="F153" t="n">
        <v>0.96</v>
      </c>
      <c r="G153" t="b">
        <v>1</v>
      </c>
      <c r="H153">
        <f>Sensitivity!H14</f>
        <v/>
      </c>
    </row>
    <row r="154">
      <c r="A154" t="inlineStr">
        <is>
          <t>ALL</t>
        </is>
      </c>
      <c r="B154" t="inlineStr">
        <is>
          <t>epic</t>
        </is>
      </c>
      <c r="C154" t="n">
        <v>2</v>
      </c>
      <c r="D154" t="inlineStr">
        <is>
          <t>Max Damage Multiplier %</t>
        </is>
      </c>
      <c r="E154" t="n">
        <v>6</v>
      </c>
      <c r="F154" t="n">
        <v>3.04</v>
      </c>
      <c r="G154" t="b">
        <v>0</v>
      </c>
      <c r="H154">
        <f>Sensitivity!H15</f>
        <v/>
      </c>
    </row>
    <row r="155">
      <c r="A155" t="inlineStr">
        <is>
          <t>ALL</t>
        </is>
      </c>
      <c r="B155" t="inlineStr">
        <is>
          <t>epic</t>
        </is>
      </c>
      <c r="C155" t="n">
        <v>2</v>
      </c>
      <c r="D155" t="inlineStr">
        <is>
          <t>Max Damage Multiplier %</t>
        </is>
      </c>
      <c r="E155" t="n">
        <v>8</v>
      </c>
      <c r="F155" t="n">
        <v>0.96</v>
      </c>
      <c r="G155" t="b">
        <v>1</v>
      </c>
      <c r="H155">
        <f>Sensitivity!H15</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Sensitivity!H8</f>
        <v/>
      </c>
    </row>
    <row r="165">
      <c r="A165" t="inlineStr">
        <is>
          <t>ALL</t>
        </is>
      </c>
      <c r="B165" t="inlineStr">
        <is>
          <t>epic</t>
        </is>
      </c>
      <c r="C165" t="n">
        <v>2</v>
      </c>
      <c r="D165" t="inlineStr">
        <is>
          <t>Defense %</t>
        </is>
      </c>
      <c r="E165" t="n">
        <v>6</v>
      </c>
      <c r="F165" t="n">
        <v>2.16</v>
      </c>
      <c r="G165" t="b">
        <v>1</v>
      </c>
      <c r="H165">
        <f>Sensitivity!H8</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IF(Inputs!$B$10&gt;=100,Sensitivity!H17,Sensitivity!H16)</f>
        <v/>
      </c>
    </row>
    <row r="179">
      <c r="A179" t="inlineStr">
        <is>
          <t>ALL</t>
        </is>
      </c>
      <c r="B179" t="inlineStr">
        <is>
          <t>epic</t>
        </is>
      </c>
      <c r="C179" t="n">
        <v>3</v>
      </c>
      <c r="D179" t="inlineStr">
        <is>
          <t>Critical Rate %</t>
        </is>
      </c>
      <c r="E179" t="n">
        <v>6</v>
      </c>
      <c r="F179" t="n">
        <v>0.2</v>
      </c>
      <c r="G179" t="b">
        <v>1</v>
      </c>
      <c r="H179">
        <f>IF(Inputs!$B$10&gt;=100,Sensitivity!H17,Sensitivity!H16)</f>
        <v/>
      </c>
    </row>
    <row r="180">
      <c r="A180" t="inlineStr">
        <is>
          <t>ALL</t>
        </is>
      </c>
      <c r="B180" t="inlineStr">
        <is>
          <t>epic</t>
        </is>
      </c>
      <c r="C180" t="n">
        <v>3</v>
      </c>
      <c r="D180" t="inlineStr">
        <is>
          <t>Attack Speed %</t>
        </is>
      </c>
      <c r="E180" t="n">
        <v>3.5</v>
      </c>
      <c r="F180" t="n">
        <v>2.3</v>
      </c>
      <c r="G180" t="b">
        <v>0</v>
      </c>
      <c r="H180">
        <f>Sensitivity!H18</f>
        <v/>
      </c>
    </row>
    <row r="181">
      <c r="A181" t="inlineStr">
        <is>
          <t>ALL</t>
        </is>
      </c>
      <c r="B181" t="inlineStr">
        <is>
          <t>epic</t>
        </is>
      </c>
      <c r="C181" t="n">
        <v>3</v>
      </c>
      <c r="D181" t="inlineStr">
        <is>
          <t>Attack Speed %</t>
        </is>
      </c>
      <c r="E181" t="n">
        <v>4</v>
      </c>
      <c r="F181" t="n">
        <v>0.2</v>
      </c>
      <c r="G181" t="b">
        <v>1</v>
      </c>
      <c r="H181">
        <f>Sensitivity!H18</f>
        <v/>
      </c>
    </row>
    <row r="182">
      <c r="A182" t="inlineStr">
        <is>
          <t>ALL</t>
        </is>
      </c>
      <c r="B182" t="inlineStr">
        <is>
          <t>epic</t>
        </is>
      </c>
      <c r="C182" t="n">
        <v>3</v>
      </c>
      <c r="D182" t="inlineStr">
        <is>
          <t>Damage %</t>
        </is>
      </c>
      <c r="E182" t="n">
        <v>8</v>
      </c>
      <c r="F182" t="n">
        <v>3.68</v>
      </c>
      <c r="G182" t="b">
        <v>0</v>
      </c>
      <c r="H182">
        <f>Sensitivity!H9</f>
        <v/>
      </c>
    </row>
    <row r="183">
      <c r="A183" t="inlineStr">
        <is>
          <t>ALL</t>
        </is>
      </c>
      <c r="B183" t="inlineStr">
        <is>
          <t>epic</t>
        </is>
      </c>
      <c r="C183" t="n">
        <v>3</v>
      </c>
      <c r="D183" t="inlineStr">
        <is>
          <t>Damage %</t>
        </is>
      </c>
      <c r="E183" t="n">
        <v>12</v>
      </c>
      <c r="F183" t="n">
        <v>0.32</v>
      </c>
      <c r="G183" t="b">
        <v>1</v>
      </c>
      <c r="H183">
        <f>Sensitivity!H9</f>
        <v/>
      </c>
    </row>
    <row r="184">
      <c r="A184" t="inlineStr">
        <is>
          <t>ALL</t>
        </is>
      </c>
      <c r="B184" t="inlineStr">
        <is>
          <t>epic</t>
        </is>
      </c>
      <c r="C184" t="n">
        <v>3</v>
      </c>
      <c r="D184" t="inlineStr">
        <is>
          <t>Min Damage Multiplier %</t>
        </is>
      </c>
      <c r="E184" t="n">
        <v>6</v>
      </c>
      <c r="F184" t="n">
        <v>3.68</v>
      </c>
      <c r="G184" t="b">
        <v>0</v>
      </c>
      <c r="H184">
        <f>Sensitivity!H14</f>
        <v/>
      </c>
    </row>
    <row r="185">
      <c r="A185" t="inlineStr">
        <is>
          <t>ALL</t>
        </is>
      </c>
      <c r="B185" t="inlineStr">
        <is>
          <t>epic</t>
        </is>
      </c>
      <c r="C185" t="n">
        <v>3</v>
      </c>
      <c r="D185" t="inlineStr">
        <is>
          <t>Min Damage Multiplier %</t>
        </is>
      </c>
      <c r="E185" t="n">
        <v>8</v>
      </c>
      <c r="F185" t="n">
        <v>0.32</v>
      </c>
      <c r="G185" t="b">
        <v>1</v>
      </c>
      <c r="H185">
        <f>Sensitivity!H14</f>
        <v/>
      </c>
    </row>
    <row r="186">
      <c r="A186" t="inlineStr">
        <is>
          <t>ALL</t>
        </is>
      </c>
      <c r="B186" t="inlineStr">
        <is>
          <t>epic</t>
        </is>
      </c>
      <c r="C186" t="n">
        <v>3</v>
      </c>
      <c r="D186" t="inlineStr">
        <is>
          <t>Max Damage Multiplier %</t>
        </is>
      </c>
      <c r="E186" t="n">
        <v>6</v>
      </c>
      <c r="F186" t="n">
        <v>3.68</v>
      </c>
      <c r="G186" t="b">
        <v>0</v>
      </c>
      <c r="H186">
        <f>Sensitivity!H15</f>
        <v/>
      </c>
    </row>
    <row r="187">
      <c r="A187" t="inlineStr">
        <is>
          <t>ALL</t>
        </is>
      </c>
      <c r="B187" t="inlineStr">
        <is>
          <t>epic</t>
        </is>
      </c>
      <c r="C187" t="n">
        <v>3</v>
      </c>
      <c r="D187" t="inlineStr">
        <is>
          <t>Max Damage Multiplier %</t>
        </is>
      </c>
      <c r="E187" t="n">
        <v>8</v>
      </c>
      <c r="F187" t="n">
        <v>0.32</v>
      </c>
      <c r="G187" t="b">
        <v>1</v>
      </c>
      <c r="H187">
        <f>Sensitivity!H15</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Sensitivity!H8</f>
        <v/>
      </c>
    </row>
    <row r="197">
      <c r="A197" t="inlineStr">
        <is>
          <t>ALL</t>
        </is>
      </c>
      <c r="B197" t="inlineStr">
        <is>
          <t>epic</t>
        </is>
      </c>
      <c r="C197" t="n">
        <v>3</v>
      </c>
      <c r="D197" t="inlineStr">
        <is>
          <t>Defense %</t>
        </is>
      </c>
      <c r="E197" t="n">
        <v>6</v>
      </c>
      <c r="F197" t="n">
        <v>0.72</v>
      </c>
      <c r="G197" t="b">
        <v>1</v>
      </c>
      <c r="H197">
        <f>Sensitivity!H8</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IF(Inputs!$B$10&gt;=100,Sensitivity!H17,Sensitivity!H16)</f>
        <v/>
      </c>
    </row>
    <row r="211">
      <c r="A211" t="inlineStr">
        <is>
          <t>ALL</t>
        </is>
      </c>
      <c r="B211" t="inlineStr">
        <is>
          <t>unique</t>
        </is>
      </c>
      <c r="C211" t="n">
        <v>1</v>
      </c>
      <c r="D211" t="inlineStr">
        <is>
          <t>Attack Speed %</t>
        </is>
      </c>
      <c r="E211" t="n">
        <v>5</v>
      </c>
      <c r="F211" t="n">
        <v>2.5</v>
      </c>
      <c r="G211" t="b">
        <v>1</v>
      </c>
      <c r="H211">
        <f>Sensitivity!H18</f>
        <v/>
      </c>
    </row>
    <row r="212">
      <c r="A212" t="inlineStr">
        <is>
          <t>ALL</t>
        </is>
      </c>
      <c r="B212" t="inlineStr">
        <is>
          <t>unique</t>
        </is>
      </c>
      <c r="C212" t="n">
        <v>1</v>
      </c>
      <c r="D212" t="inlineStr">
        <is>
          <t>Damage %</t>
        </is>
      </c>
      <c r="E212" t="n">
        <v>18</v>
      </c>
      <c r="F212" t="n">
        <v>4</v>
      </c>
      <c r="G212" t="b">
        <v>1</v>
      </c>
      <c r="H212">
        <f>Sensitivity!H9</f>
        <v/>
      </c>
    </row>
    <row r="213">
      <c r="A213" t="inlineStr">
        <is>
          <t>ALL</t>
        </is>
      </c>
      <c r="B213" t="inlineStr">
        <is>
          <t>unique</t>
        </is>
      </c>
      <c r="C213" t="n">
        <v>1</v>
      </c>
      <c r="D213" t="inlineStr">
        <is>
          <t>Min Damage Multiplier %</t>
        </is>
      </c>
      <c r="E213" t="n">
        <v>10</v>
      </c>
      <c r="F213" t="n">
        <v>4</v>
      </c>
      <c r="G213" t="b">
        <v>1</v>
      </c>
      <c r="H213">
        <f>Sensitivity!H14</f>
        <v/>
      </c>
    </row>
    <row r="214">
      <c r="A214" t="inlineStr">
        <is>
          <t>ALL</t>
        </is>
      </c>
      <c r="B214" t="inlineStr">
        <is>
          <t>unique</t>
        </is>
      </c>
      <c r="C214" t="n">
        <v>1</v>
      </c>
      <c r="D214" t="inlineStr">
        <is>
          <t>Max Damage Multiplier %</t>
        </is>
      </c>
      <c r="E214" t="n">
        <v>10</v>
      </c>
      <c r="F214" t="n">
        <v>4</v>
      </c>
      <c r="G214" t="b">
        <v>1</v>
      </c>
      <c r="H214">
        <f>Sensitivity!H15</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Sensitivity!H8</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IF(Inputs!$B$10&gt;=100,Sensitivity!H17,Sensitivity!H16)</f>
        <v/>
      </c>
    </row>
    <row r="227">
      <c r="A227" t="inlineStr">
        <is>
          <t>ALL</t>
        </is>
      </c>
      <c r="B227" t="inlineStr">
        <is>
          <t>unique</t>
        </is>
      </c>
      <c r="C227" t="n">
        <v>2</v>
      </c>
      <c r="D227" t="inlineStr">
        <is>
          <t>Critical Rate %</t>
        </is>
      </c>
      <c r="E227" t="n">
        <v>9</v>
      </c>
      <c r="F227" t="n">
        <v>0.6</v>
      </c>
      <c r="G227" t="b">
        <v>1</v>
      </c>
      <c r="H227">
        <f>IF(Inputs!$B$10&gt;=100,Sensitivity!H17,Sensitivity!H16)</f>
        <v/>
      </c>
    </row>
    <row r="228">
      <c r="A228" t="inlineStr">
        <is>
          <t>ALL</t>
        </is>
      </c>
      <c r="B228" t="inlineStr">
        <is>
          <t>unique</t>
        </is>
      </c>
      <c r="C228" t="n">
        <v>2</v>
      </c>
      <c r="D228" t="inlineStr">
        <is>
          <t>Attack Speed %</t>
        </is>
      </c>
      <c r="E228" t="n">
        <v>4</v>
      </c>
      <c r="F228" t="n">
        <v>1.9</v>
      </c>
      <c r="G228" t="b">
        <v>0</v>
      </c>
      <c r="H228">
        <f>Sensitivity!H18</f>
        <v/>
      </c>
    </row>
    <row r="229">
      <c r="A229" t="inlineStr">
        <is>
          <t>ALL</t>
        </is>
      </c>
      <c r="B229" t="inlineStr">
        <is>
          <t>unique</t>
        </is>
      </c>
      <c r="C229" t="n">
        <v>2</v>
      </c>
      <c r="D229" t="inlineStr">
        <is>
          <t>Attack Speed %</t>
        </is>
      </c>
      <c r="E229" t="n">
        <v>5</v>
      </c>
      <c r="F229" t="n">
        <v>0.6</v>
      </c>
      <c r="G229" t="b">
        <v>1</v>
      </c>
      <c r="H229">
        <f>Sensitivity!H18</f>
        <v/>
      </c>
    </row>
    <row r="230">
      <c r="A230" t="inlineStr">
        <is>
          <t>ALL</t>
        </is>
      </c>
      <c r="B230" t="inlineStr">
        <is>
          <t>unique</t>
        </is>
      </c>
      <c r="C230" t="n">
        <v>2</v>
      </c>
      <c r="D230" t="inlineStr">
        <is>
          <t>Damage %</t>
        </is>
      </c>
      <c r="E230" t="n">
        <v>12</v>
      </c>
      <c r="F230" t="n">
        <v>3.04</v>
      </c>
      <c r="G230" t="b">
        <v>0</v>
      </c>
      <c r="H230">
        <f>Sensitivity!H9</f>
        <v/>
      </c>
    </row>
    <row r="231">
      <c r="A231" t="inlineStr">
        <is>
          <t>ALL</t>
        </is>
      </c>
      <c r="B231" t="inlineStr">
        <is>
          <t>unique</t>
        </is>
      </c>
      <c r="C231" t="n">
        <v>2</v>
      </c>
      <c r="D231" t="inlineStr">
        <is>
          <t>Damage %</t>
        </is>
      </c>
      <c r="E231" t="n">
        <v>18</v>
      </c>
      <c r="F231" t="n">
        <v>0.96</v>
      </c>
      <c r="G231" t="b">
        <v>1</v>
      </c>
      <c r="H231">
        <f>Sensitivity!H9</f>
        <v/>
      </c>
    </row>
    <row r="232">
      <c r="A232" t="inlineStr">
        <is>
          <t>ALL</t>
        </is>
      </c>
      <c r="B232" t="inlineStr">
        <is>
          <t>unique</t>
        </is>
      </c>
      <c r="C232" t="n">
        <v>2</v>
      </c>
      <c r="D232" t="inlineStr">
        <is>
          <t>Min Damage Multiplier %</t>
        </is>
      </c>
      <c r="E232" t="n">
        <v>8</v>
      </c>
      <c r="F232" t="n">
        <v>3.04</v>
      </c>
      <c r="G232" t="b">
        <v>0</v>
      </c>
      <c r="H232">
        <f>Sensitivity!H14</f>
        <v/>
      </c>
    </row>
    <row r="233">
      <c r="A233" t="inlineStr">
        <is>
          <t>ALL</t>
        </is>
      </c>
      <c r="B233" t="inlineStr">
        <is>
          <t>unique</t>
        </is>
      </c>
      <c r="C233" t="n">
        <v>2</v>
      </c>
      <c r="D233" t="inlineStr">
        <is>
          <t>Min Damage Multiplier %</t>
        </is>
      </c>
      <c r="E233" t="n">
        <v>10</v>
      </c>
      <c r="F233" t="n">
        <v>0.96</v>
      </c>
      <c r="G233" t="b">
        <v>1</v>
      </c>
      <c r="H233">
        <f>Sensitivity!H14</f>
        <v/>
      </c>
    </row>
    <row r="234">
      <c r="A234" t="inlineStr">
        <is>
          <t>ALL</t>
        </is>
      </c>
      <c r="B234" t="inlineStr">
        <is>
          <t>unique</t>
        </is>
      </c>
      <c r="C234" t="n">
        <v>2</v>
      </c>
      <c r="D234" t="inlineStr">
        <is>
          <t>Max Damage Multiplier %</t>
        </is>
      </c>
      <c r="E234" t="n">
        <v>8</v>
      </c>
      <c r="F234" t="n">
        <v>3.04</v>
      </c>
      <c r="G234" t="b">
        <v>0</v>
      </c>
      <c r="H234">
        <f>Sensitivity!H15</f>
        <v/>
      </c>
    </row>
    <row r="235">
      <c r="A235" t="inlineStr">
        <is>
          <t>ALL</t>
        </is>
      </c>
      <c r="B235" t="inlineStr">
        <is>
          <t>unique</t>
        </is>
      </c>
      <c r="C235" t="n">
        <v>2</v>
      </c>
      <c r="D235" t="inlineStr">
        <is>
          <t>Max Damage Multiplier %</t>
        </is>
      </c>
      <c r="E235" t="n">
        <v>10</v>
      </c>
      <c r="F235" t="n">
        <v>0.96</v>
      </c>
      <c r="G235" t="b">
        <v>1</v>
      </c>
      <c r="H235">
        <f>Sensitivity!H15</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Sensitivity!H8</f>
        <v/>
      </c>
    </row>
    <row r="245">
      <c r="A245" t="inlineStr">
        <is>
          <t>ALL</t>
        </is>
      </c>
      <c r="B245" t="inlineStr">
        <is>
          <t>unique</t>
        </is>
      </c>
      <c r="C245" t="n">
        <v>2</v>
      </c>
      <c r="D245" t="inlineStr">
        <is>
          <t>Defense %</t>
        </is>
      </c>
      <c r="E245" t="n">
        <v>9</v>
      </c>
      <c r="F245" t="n">
        <v>2.16</v>
      </c>
      <c r="G245" t="b">
        <v>1</v>
      </c>
      <c r="H245">
        <f>Sensitivity!H8</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IF(Inputs!$B$10&gt;=100,Sensitivity!H17,Sensitivity!H16)</f>
        <v/>
      </c>
    </row>
    <row r="259">
      <c r="A259" t="inlineStr">
        <is>
          <t>ALL</t>
        </is>
      </c>
      <c r="B259" t="inlineStr">
        <is>
          <t>unique</t>
        </is>
      </c>
      <c r="C259" t="n">
        <v>3</v>
      </c>
      <c r="D259" t="inlineStr">
        <is>
          <t>Critical Rate %</t>
        </is>
      </c>
      <c r="E259" t="n">
        <v>9</v>
      </c>
      <c r="F259" t="n">
        <v>0.2</v>
      </c>
      <c r="G259" t="b">
        <v>1</v>
      </c>
      <c r="H259">
        <f>IF(Inputs!$B$10&gt;=100,Sensitivity!H17,Sensitivity!H16)</f>
        <v/>
      </c>
    </row>
    <row r="260">
      <c r="A260" t="inlineStr">
        <is>
          <t>ALL</t>
        </is>
      </c>
      <c r="B260" t="inlineStr">
        <is>
          <t>unique</t>
        </is>
      </c>
      <c r="C260" t="n">
        <v>3</v>
      </c>
      <c r="D260" t="inlineStr">
        <is>
          <t>Attack Speed %</t>
        </is>
      </c>
      <c r="E260" t="n">
        <v>4</v>
      </c>
      <c r="F260" t="n">
        <v>2.3</v>
      </c>
      <c r="G260" t="b">
        <v>0</v>
      </c>
      <c r="H260">
        <f>Sensitivity!H18</f>
        <v/>
      </c>
    </row>
    <row r="261">
      <c r="A261" t="inlineStr">
        <is>
          <t>ALL</t>
        </is>
      </c>
      <c r="B261" t="inlineStr">
        <is>
          <t>unique</t>
        </is>
      </c>
      <c r="C261" t="n">
        <v>3</v>
      </c>
      <c r="D261" t="inlineStr">
        <is>
          <t>Attack Speed %</t>
        </is>
      </c>
      <c r="E261" t="n">
        <v>5</v>
      </c>
      <c r="F261" t="n">
        <v>0.2</v>
      </c>
      <c r="G261" t="b">
        <v>1</v>
      </c>
      <c r="H261">
        <f>Sensitivity!H18</f>
        <v/>
      </c>
    </row>
    <row r="262">
      <c r="A262" t="inlineStr">
        <is>
          <t>ALL</t>
        </is>
      </c>
      <c r="B262" t="inlineStr">
        <is>
          <t>unique</t>
        </is>
      </c>
      <c r="C262" t="n">
        <v>3</v>
      </c>
      <c r="D262" t="inlineStr">
        <is>
          <t>Damage %</t>
        </is>
      </c>
      <c r="E262" t="n">
        <v>12</v>
      </c>
      <c r="F262" t="n">
        <v>3.68</v>
      </c>
      <c r="G262" t="b">
        <v>0</v>
      </c>
      <c r="H262">
        <f>Sensitivity!H9</f>
        <v/>
      </c>
    </row>
    <row r="263">
      <c r="A263" t="inlineStr">
        <is>
          <t>ALL</t>
        </is>
      </c>
      <c r="B263" t="inlineStr">
        <is>
          <t>unique</t>
        </is>
      </c>
      <c r="C263" t="n">
        <v>3</v>
      </c>
      <c r="D263" t="inlineStr">
        <is>
          <t>Damage %</t>
        </is>
      </c>
      <c r="E263" t="n">
        <v>18</v>
      </c>
      <c r="F263" t="n">
        <v>0.32</v>
      </c>
      <c r="G263" t="b">
        <v>1</v>
      </c>
      <c r="H263">
        <f>Sensitivity!H9</f>
        <v/>
      </c>
    </row>
    <row r="264">
      <c r="A264" t="inlineStr">
        <is>
          <t>ALL</t>
        </is>
      </c>
      <c r="B264" t="inlineStr">
        <is>
          <t>unique</t>
        </is>
      </c>
      <c r="C264" t="n">
        <v>3</v>
      </c>
      <c r="D264" t="inlineStr">
        <is>
          <t>Min Damage Multiplier %</t>
        </is>
      </c>
      <c r="E264" t="n">
        <v>8</v>
      </c>
      <c r="F264" t="n">
        <v>3.68</v>
      </c>
      <c r="G264" t="b">
        <v>0</v>
      </c>
      <c r="H264">
        <f>Sensitivity!H14</f>
        <v/>
      </c>
    </row>
    <row r="265">
      <c r="A265" t="inlineStr">
        <is>
          <t>ALL</t>
        </is>
      </c>
      <c r="B265" t="inlineStr">
        <is>
          <t>unique</t>
        </is>
      </c>
      <c r="C265" t="n">
        <v>3</v>
      </c>
      <c r="D265" t="inlineStr">
        <is>
          <t>Min Damage Multiplier %</t>
        </is>
      </c>
      <c r="E265" t="n">
        <v>10</v>
      </c>
      <c r="F265" t="n">
        <v>0.32</v>
      </c>
      <c r="G265" t="b">
        <v>1</v>
      </c>
      <c r="H265">
        <f>Sensitivity!H14</f>
        <v/>
      </c>
    </row>
    <row r="266">
      <c r="A266" t="inlineStr">
        <is>
          <t>ALL</t>
        </is>
      </c>
      <c r="B266" t="inlineStr">
        <is>
          <t>unique</t>
        </is>
      </c>
      <c r="C266" t="n">
        <v>3</v>
      </c>
      <c r="D266" t="inlineStr">
        <is>
          <t>Max Damage Multiplier %</t>
        </is>
      </c>
      <c r="E266" t="n">
        <v>8</v>
      </c>
      <c r="F266" t="n">
        <v>3.68</v>
      </c>
      <c r="G266" t="b">
        <v>0</v>
      </c>
      <c r="H266">
        <f>Sensitivity!H15</f>
        <v/>
      </c>
    </row>
    <row r="267">
      <c r="A267" t="inlineStr">
        <is>
          <t>ALL</t>
        </is>
      </c>
      <c r="B267" t="inlineStr">
        <is>
          <t>unique</t>
        </is>
      </c>
      <c r="C267" t="n">
        <v>3</v>
      </c>
      <c r="D267" t="inlineStr">
        <is>
          <t>Max Damage Multiplier %</t>
        </is>
      </c>
      <c r="E267" t="n">
        <v>10</v>
      </c>
      <c r="F267" t="n">
        <v>0.32</v>
      </c>
      <c r="G267" t="b">
        <v>1</v>
      </c>
      <c r="H267">
        <f>Sensitivity!H15</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Sensitivity!H8</f>
        <v/>
      </c>
    </row>
    <row r="277">
      <c r="A277" t="inlineStr">
        <is>
          <t>ALL</t>
        </is>
      </c>
      <c r="B277" t="inlineStr">
        <is>
          <t>unique</t>
        </is>
      </c>
      <c r="C277" t="n">
        <v>3</v>
      </c>
      <c r="D277" t="inlineStr">
        <is>
          <t>Defense %</t>
        </is>
      </c>
      <c r="E277" t="n">
        <v>9</v>
      </c>
      <c r="F277" t="n">
        <v>0.72</v>
      </c>
      <c r="G277" t="b">
        <v>1</v>
      </c>
      <c r="H277">
        <f>Sensitivity!H8</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IF(Inputs!$B$10&gt;=100,Sensitivity!H17,Sensitivity!H16)</f>
        <v/>
      </c>
    </row>
    <row r="291">
      <c r="A291" t="inlineStr">
        <is>
          <t>ALL</t>
        </is>
      </c>
      <c r="B291" t="inlineStr">
        <is>
          <t>legendary</t>
        </is>
      </c>
      <c r="C291" t="n">
        <v>1</v>
      </c>
      <c r="D291" t="inlineStr">
        <is>
          <t>Attack Speed %</t>
        </is>
      </c>
      <c r="E291" t="n">
        <v>7</v>
      </c>
      <c r="F291" t="n">
        <v>2.5</v>
      </c>
      <c r="G291" t="b">
        <v>0</v>
      </c>
      <c r="H291">
        <f>Sensitivity!H18</f>
        <v/>
      </c>
    </row>
    <row r="292">
      <c r="A292" t="inlineStr">
        <is>
          <t>ALL</t>
        </is>
      </c>
      <c r="B292" t="inlineStr">
        <is>
          <t>legendary</t>
        </is>
      </c>
      <c r="C292" t="n">
        <v>1</v>
      </c>
      <c r="D292" t="inlineStr">
        <is>
          <t>Damage %</t>
        </is>
      </c>
      <c r="E292" t="n">
        <v>25</v>
      </c>
      <c r="F292" t="n">
        <v>4</v>
      </c>
      <c r="G292" t="b">
        <v>0</v>
      </c>
      <c r="H292">
        <f>Sensitivity!H9</f>
        <v/>
      </c>
    </row>
    <row r="293">
      <c r="A293" t="inlineStr">
        <is>
          <t>ALL</t>
        </is>
      </c>
      <c r="B293" t="inlineStr">
        <is>
          <t>legendary</t>
        </is>
      </c>
      <c r="C293" t="n">
        <v>1</v>
      </c>
      <c r="D293" t="inlineStr">
        <is>
          <t>Min Damage Multiplier %</t>
        </is>
      </c>
      <c r="E293" t="n">
        <v>15</v>
      </c>
      <c r="F293" t="n">
        <v>4</v>
      </c>
      <c r="G293" t="b">
        <v>0</v>
      </c>
      <c r="H293">
        <f>Sensitivity!H14</f>
        <v/>
      </c>
    </row>
    <row r="294">
      <c r="A294" t="inlineStr">
        <is>
          <t>ALL</t>
        </is>
      </c>
      <c r="B294" t="inlineStr">
        <is>
          <t>legendary</t>
        </is>
      </c>
      <c r="C294" t="n">
        <v>1</v>
      </c>
      <c r="D294" t="inlineStr">
        <is>
          <t>Max Damage Multiplier %</t>
        </is>
      </c>
      <c r="E294" t="n">
        <v>15</v>
      </c>
      <c r="F294" t="n">
        <v>4</v>
      </c>
      <c r="G294" t="b">
        <v>0</v>
      </c>
      <c r="H294">
        <f>Sensitivity!H15</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Sensitivity!H8</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IF(Inputs!$B$10&gt;=100,Sensitivity!H17,Sensitivity!H16)</f>
        <v/>
      </c>
    </row>
    <row r="307">
      <c r="A307" t="inlineStr">
        <is>
          <t>ALL</t>
        </is>
      </c>
      <c r="B307" t="inlineStr">
        <is>
          <t>legendary</t>
        </is>
      </c>
      <c r="C307" t="n">
        <v>2</v>
      </c>
      <c r="D307" t="inlineStr">
        <is>
          <t>Critical Rate %</t>
        </is>
      </c>
      <c r="E307" t="n">
        <v>12</v>
      </c>
      <c r="F307" t="n">
        <v>0.6</v>
      </c>
      <c r="G307" t="b">
        <v>1</v>
      </c>
      <c r="H307">
        <f>IF(Inputs!$B$10&gt;=100,Sensitivity!H17,Sensitivity!H16)</f>
        <v/>
      </c>
    </row>
    <row r="308">
      <c r="A308" t="inlineStr">
        <is>
          <t>ALL</t>
        </is>
      </c>
      <c r="B308" t="inlineStr">
        <is>
          <t>legendary</t>
        </is>
      </c>
      <c r="C308" t="n">
        <v>2</v>
      </c>
      <c r="D308" t="inlineStr">
        <is>
          <t>Attack Speed %</t>
        </is>
      </c>
      <c r="E308" t="n">
        <v>5</v>
      </c>
      <c r="F308" t="n">
        <v>1.9</v>
      </c>
      <c r="G308" t="b">
        <v>0</v>
      </c>
      <c r="H308">
        <f>Sensitivity!H18</f>
        <v/>
      </c>
    </row>
    <row r="309">
      <c r="A309" t="inlineStr">
        <is>
          <t>ALL</t>
        </is>
      </c>
      <c r="B309" t="inlineStr">
        <is>
          <t>legendary</t>
        </is>
      </c>
      <c r="C309" t="n">
        <v>2</v>
      </c>
      <c r="D309" t="inlineStr">
        <is>
          <t>Attack Speed %</t>
        </is>
      </c>
      <c r="E309" t="n">
        <v>7</v>
      </c>
      <c r="F309" t="n">
        <v>0.6</v>
      </c>
      <c r="G309" t="b">
        <v>1</v>
      </c>
      <c r="H309">
        <f>Sensitivity!H18</f>
        <v/>
      </c>
    </row>
    <row r="310">
      <c r="A310" t="inlineStr">
        <is>
          <t>ALL</t>
        </is>
      </c>
      <c r="B310" t="inlineStr">
        <is>
          <t>legendary</t>
        </is>
      </c>
      <c r="C310" t="n">
        <v>2</v>
      </c>
      <c r="D310" t="inlineStr">
        <is>
          <t>Damage %</t>
        </is>
      </c>
      <c r="E310" t="n">
        <v>18</v>
      </c>
      <c r="F310" t="n">
        <v>3.04</v>
      </c>
      <c r="G310" t="b">
        <v>0</v>
      </c>
      <c r="H310">
        <f>Sensitivity!H9</f>
        <v/>
      </c>
    </row>
    <row r="311">
      <c r="A311" t="inlineStr">
        <is>
          <t>ALL</t>
        </is>
      </c>
      <c r="B311" t="inlineStr">
        <is>
          <t>legendary</t>
        </is>
      </c>
      <c r="C311" t="n">
        <v>2</v>
      </c>
      <c r="D311" t="inlineStr">
        <is>
          <t>Damage %</t>
        </is>
      </c>
      <c r="E311" t="n">
        <v>25</v>
      </c>
      <c r="F311" t="n">
        <v>0.96</v>
      </c>
      <c r="G311" t="b">
        <v>1</v>
      </c>
      <c r="H311">
        <f>Sensitivity!H9</f>
        <v/>
      </c>
    </row>
    <row r="312">
      <c r="A312" t="inlineStr">
        <is>
          <t>ALL</t>
        </is>
      </c>
      <c r="B312" t="inlineStr">
        <is>
          <t>legendary</t>
        </is>
      </c>
      <c r="C312" t="n">
        <v>2</v>
      </c>
      <c r="D312" t="inlineStr">
        <is>
          <t>Min Damage Multiplier %</t>
        </is>
      </c>
      <c r="E312" t="n">
        <v>10</v>
      </c>
      <c r="F312" t="n">
        <v>3.04</v>
      </c>
      <c r="G312" t="b">
        <v>0</v>
      </c>
      <c r="H312">
        <f>Sensitivity!H14</f>
        <v/>
      </c>
    </row>
    <row r="313">
      <c r="A313" t="inlineStr">
        <is>
          <t>ALL</t>
        </is>
      </c>
      <c r="B313" t="inlineStr">
        <is>
          <t>legendary</t>
        </is>
      </c>
      <c r="C313" t="n">
        <v>2</v>
      </c>
      <c r="D313" t="inlineStr">
        <is>
          <t>Min Damage Multiplier %</t>
        </is>
      </c>
      <c r="E313" t="n">
        <v>15</v>
      </c>
      <c r="F313" t="n">
        <v>0.96</v>
      </c>
      <c r="G313" t="b">
        <v>1</v>
      </c>
      <c r="H313">
        <f>Sensitivity!H14</f>
        <v/>
      </c>
    </row>
    <row r="314">
      <c r="A314" t="inlineStr">
        <is>
          <t>ALL</t>
        </is>
      </c>
      <c r="B314" t="inlineStr">
        <is>
          <t>legendary</t>
        </is>
      </c>
      <c r="C314" t="n">
        <v>2</v>
      </c>
      <c r="D314" t="inlineStr">
        <is>
          <t>Max Damage Multiplier %</t>
        </is>
      </c>
      <c r="E314" t="n">
        <v>10</v>
      </c>
      <c r="F314" t="n">
        <v>3.04</v>
      </c>
      <c r="G314" t="b">
        <v>0</v>
      </c>
      <c r="H314">
        <f>Sensitivity!H15</f>
        <v/>
      </c>
    </row>
    <row r="315">
      <c r="A315" t="inlineStr">
        <is>
          <t>ALL</t>
        </is>
      </c>
      <c r="B315" t="inlineStr">
        <is>
          <t>legendary</t>
        </is>
      </c>
      <c r="C315" t="n">
        <v>2</v>
      </c>
      <c r="D315" t="inlineStr">
        <is>
          <t>Max Damage Multiplier %</t>
        </is>
      </c>
      <c r="E315" t="n">
        <v>15</v>
      </c>
      <c r="F315" t="n">
        <v>0.96</v>
      </c>
      <c r="G315" t="b">
        <v>1</v>
      </c>
      <c r="H315">
        <f>Sensitivity!H15</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Sensitivity!H8</f>
        <v/>
      </c>
    </row>
    <row r="325">
      <c r="A325" t="inlineStr">
        <is>
          <t>ALL</t>
        </is>
      </c>
      <c r="B325" t="inlineStr">
        <is>
          <t>legendary</t>
        </is>
      </c>
      <c r="C325" t="n">
        <v>2</v>
      </c>
      <c r="D325" t="inlineStr">
        <is>
          <t>Defense %</t>
        </is>
      </c>
      <c r="E325" t="n">
        <v>12</v>
      </c>
      <c r="F325" t="n">
        <v>2.16</v>
      </c>
      <c r="G325" t="b">
        <v>1</v>
      </c>
      <c r="H325">
        <f>Sensitivity!H8</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IF(Inputs!$B$10&gt;=100,Sensitivity!H17,Sensitivity!H16)</f>
        <v/>
      </c>
    </row>
    <row r="339">
      <c r="A339" t="inlineStr">
        <is>
          <t>ALL</t>
        </is>
      </c>
      <c r="B339" t="inlineStr">
        <is>
          <t>legendary</t>
        </is>
      </c>
      <c r="C339" t="n">
        <v>3</v>
      </c>
      <c r="D339" t="inlineStr">
        <is>
          <t>Critical Rate %</t>
        </is>
      </c>
      <c r="E339" t="n">
        <v>12</v>
      </c>
      <c r="F339" t="n">
        <v>0.2</v>
      </c>
      <c r="G339" t="b">
        <v>1</v>
      </c>
      <c r="H339">
        <f>IF(Inputs!$B$10&gt;=100,Sensitivity!H17,Sensitivity!H16)</f>
        <v/>
      </c>
    </row>
    <row r="340">
      <c r="A340" t="inlineStr">
        <is>
          <t>ALL</t>
        </is>
      </c>
      <c r="B340" t="inlineStr">
        <is>
          <t>legendary</t>
        </is>
      </c>
      <c r="C340" t="n">
        <v>3</v>
      </c>
      <c r="D340" t="inlineStr">
        <is>
          <t>Attack Speed %</t>
        </is>
      </c>
      <c r="E340" t="n">
        <v>5</v>
      </c>
      <c r="F340" t="n">
        <v>2.3</v>
      </c>
      <c r="G340" t="b">
        <v>0</v>
      </c>
      <c r="H340">
        <f>Sensitivity!H18</f>
        <v/>
      </c>
    </row>
    <row r="341">
      <c r="A341" t="inlineStr">
        <is>
          <t>ALL</t>
        </is>
      </c>
      <c r="B341" t="inlineStr">
        <is>
          <t>legendary</t>
        </is>
      </c>
      <c r="C341" t="n">
        <v>3</v>
      </c>
      <c r="D341" t="inlineStr">
        <is>
          <t>Attack Speed %</t>
        </is>
      </c>
      <c r="E341" t="n">
        <v>7</v>
      </c>
      <c r="F341" t="n">
        <v>0.2</v>
      </c>
      <c r="G341" t="b">
        <v>1</v>
      </c>
      <c r="H341">
        <f>Sensitivity!H18</f>
        <v/>
      </c>
    </row>
    <row r="342">
      <c r="A342" t="inlineStr">
        <is>
          <t>ALL</t>
        </is>
      </c>
      <c r="B342" t="inlineStr">
        <is>
          <t>legendary</t>
        </is>
      </c>
      <c r="C342" t="n">
        <v>3</v>
      </c>
      <c r="D342" t="inlineStr">
        <is>
          <t>Damage %</t>
        </is>
      </c>
      <c r="E342" t="n">
        <v>18</v>
      </c>
      <c r="F342" t="n">
        <v>3.68</v>
      </c>
      <c r="G342" t="b">
        <v>0</v>
      </c>
      <c r="H342">
        <f>Sensitivity!H9</f>
        <v/>
      </c>
    </row>
    <row r="343">
      <c r="A343" t="inlineStr">
        <is>
          <t>ALL</t>
        </is>
      </c>
      <c r="B343" t="inlineStr">
        <is>
          <t>legendary</t>
        </is>
      </c>
      <c r="C343" t="n">
        <v>3</v>
      </c>
      <c r="D343" t="inlineStr">
        <is>
          <t>Damage %</t>
        </is>
      </c>
      <c r="E343" t="n">
        <v>25</v>
      </c>
      <c r="F343" t="n">
        <v>0.32</v>
      </c>
      <c r="G343" t="b">
        <v>1</v>
      </c>
      <c r="H343">
        <f>Sensitivity!H9</f>
        <v/>
      </c>
    </row>
    <row r="344">
      <c r="A344" t="inlineStr">
        <is>
          <t>ALL</t>
        </is>
      </c>
      <c r="B344" t="inlineStr">
        <is>
          <t>legendary</t>
        </is>
      </c>
      <c r="C344" t="n">
        <v>3</v>
      </c>
      <c r="D344" t="inlineStr">
        <is>
          <t>Min Damage Multiplier %</t>
        </is>
      </c>
      <c r="E344" t="n">
        <v>10</v>
      </c>
      <c r="F344" t="n">
        <v>3.68</v>
      </c>
      <c r="G344" t="b">
        <v>0</v>
      </c>
      <c r="H344">
        <f>Sensitivity!H14</f>
        <v/>
      </c>
    </row>
    <row r="345">
      <c r="A345" t="inlineStr">
        <is>
          <t>ALL</t>
        </is>
      </c>
      <c r="B345" t="inlineStr">
        <is>
          <t>legendary</t>
        </is>
      </c>
      <c r="C345" t="n">
        <v>3</v>
      </c>
      <c r="D345" t="inlineStr">
        <is>
          <t>Min Damage Multiplier %</t>
        </is>
      </c>
      <c r="E345" t="n">
        <v>15</v>
      </c>
      <c r="F345" t="n">
        <v>0.32</v>
      </c>
      <c r="G345" t="b">
        <v>1</v>
      </c>
      <c r="H345">
        <f>Sensitivity!H14</f>
        <v/>
      </c>
    </row>
    <row r="346">
      <c r="A346" t="inlineStr">
        <is>
          <t>ALL</t>
        </is>
      </c>
      <c r="B346" t="inlineStr">
        <is>
          <t>legendary</t>
        </is>
      </c>
      <c r="C346" t="n">
        <v>3</v>
      </c>
      <c r="D346" t="inlineStr">
        <is>
          <t>Max Damage Multiplier %</t>
        </is>
      </c>
      <c r="E346" t="n">
        <v>10</v>
      </c>
      <c r="F346" t="n">
        <v>3.68</v>
      </c>
      <c r="G346" t="b">
        <v>0</v>
      </c>
      <c r="H346">
        <f>Sensitivity!H15</f>
        <v/>
      </c>
    </row>
    <row r="347">
      <c r="A347" t="inlineStr">
        <is>
          <t>ALL</t>
        </is>
      </c>
      <c r="B347" t="inlineStr">
        <is>
          <t>legendary</t>
        </is>
      </c>
      <c r="C347" t="n">
        <v>3</v>
      </c>
      <c r="D347" t="inlineStr">
        <is>
          <t>Max Damage Multiplier %</t>
        </is>
      </c>
      <c r="E347" t="n">
        <v>15</v>
      </c>
      <c r="F347" t="n">
        <v>0.32</v>
      </c>
      <c r="G347" t="b">
        <v>1</v>
      </c>
      <c r="H347">
        <f>Sensitivity!H15</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Sensitivity!H8</f>
        <v/>
      </c>
    </row>
    <row r="357">
      <c r="A357" t="inlineStr">
        <is>
          <t>ALL</t>
        </is>
      </c>
      <c r="B357" t="inlineStr">
        <is>
          <t>legendary</t>
        </is>
      </c>
      <c r="C357" t="n">
        <v>3</v>
      </c>
      <c r="D357" t="inlineStr">
        <is>
          <t>Defense %</t>
        </is>
      </c>
      <c r="E357" t="n">
        <v>12</v>
      </c>
      <c r="F357" t="n">
        <v>0.72</v>
      </c>
      <c r="G357" t="b">
        <v>1</v>
      </c>
      <c r="H357">
        <f>Sensitivity!H8</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IF(Inputs!$B$10&gt;=100,Sensitivity!H17,Sensitivity!H16)</f>
        <v/>
      </c>
    </row>
    <row r="371">
      <c r="A371" t="inlineStr">
        <is>
          <t>ALL</t>
        </is>
      </c>
      <c r="B371" t="inlineStr">
        <is>
          <t>mystic</t>
        </is>
      </c>
      <c r="C371" t="n">
        <v>1</v>
      </c>
      <c r="D371" t="inlineStr">
        <is>
          <t>Attack Speed %</t>
        </is>
      </c>
      <c r="E371" t="n">
        <v>10</v>
      </c>
      <c r="F371" t="n">
        <v>2.5</v>
      </c>
      <c r="G371" t="b">
        <v>0</v>
      </c>
      <c r="H371">
        <f>Sensitivity!H18</f>
        <v/>
      </c>
    </row>
    <row r="372">
      <c r="A372" t="inlineStr">
        <is>
          <t>ALL</t>
        </is>
      </c>
      <c r="B372" t="inlineStr">
        <is>
          <t>mystic</t>
        </is>
      </c>
      <c r="C372" t="n">
        <v>1</v>
      </c>
      <c r="D372" t="inlineStr">
        <is>
          <t>Damage %</t>
        </is>
      </c>
      <c r="E372" t="n">
        <v>35</v>
      </c>
      <c r="F372" t="n">
        <v>4</v>
      </c>
      <c r="G372" t="b">
        <v>0</v>
      </c>
      <c r="H372">
        <f>Sensitivity!H9</f>
        <v/>
      </c>
    </row>
    <row r="373">
      <c r="A373" t="inlineStr">
        <is>
          <t>ALL</t>
        </is>
      </c>
      <c r="B373" t="inlineStr">
        <is>
          <t>mystic</t>
        </is>
      </c>
      <c r="C373" t="n">
        <v>1</v>
      </c>
      <c r="D373" t="inlineStr">
        <is>
          <t>Min Damage Multiplier %</t>
        </is>
      </c>
      <c r="E373" t="n">
        <v>25</v>
      </c>
      <c r="F373" t="n">
        <v>4</v>
      </c>
      <c r="G373" t="b">
        <v>0</v>
      </c>
      <c r="H373">
        <f>Sensitivity!H14</f>
        <v/>
      </c>
    </row>
    <row r="374">
      <c r="A374" t="inlineStr">
        <is>
          <t>ALL</t>
        </is>
      </c>
      <c r="B374" t="inlineStr">
        <is>
          <t>mystic</t>
        </is>
      </c>
      <c r="C374" t="n">
        <v>1</v>
      </c>
      <c r="D374" t="inlineStr">
        <is>
          <t>Max Damage Multiplier %</t>
        </is>
      </c>
      <c r="E374" t="n">
        <v>25</v>
      </c>
      <c r="F374" t="n">
        <v>4</v>
      </c>
      <c r="G374" t="b">
        <v>0</v>
      </c>
      <c r="H374">
        <f>Sensitivity!H15</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Sensitivity!H8</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IF(Inputs!$B$10&gt;=100,Sensitivity!H17,Sensitivity!H16)</f>
        <v/>
      </c>
    </row>
    <row r="387">
      <c r="A387" t="inlineStr">
        <is>
          <t>ALL</t>
        </is>
      </c>
      <c r="B387" t="inlineStr">
        <is>
          <t>mystic</t>
        </is>
      </c>
      <c r="C387" t="n">
        <v>2</v>
      </c>
      <c r="D387" t="inlineStr">
        <is>
          <t>Critical Rate %</t>
        </is>
      </c>
      <c r="E387" t="n">
        <v>15</v>
      </c>
      <c r="F387" t="n">
        <v>0.6</v>
      </c>
      <c r="G387" t="b">
        <v>1</v>
      </c>
      <c r="H387">
        <f>IF(Inputs!$B$10&gt;=100,Sensitivity!H17,Sensitivity!H16)</f>
        <v/>
      </c>
    </row>
    <row r="388">
      <c r="A388" t="inlineStr">
        <is>
          <t>ALL</t>
        </is>
      </c>
      <c r="B388" t="inlineStr">
        <is>
          <t>mystic</t>
        </is>
      </c>
      <c r="C388" t="n">
        <v>2</v>
      </c>
      <c r="D388" t="inlineStr">
        <is>
          <t>Attack Speed %</t>
        </is>
      </c>
      <c r="E388" t="n">
        <v>7</v>
      </c>
      <c r="F388" t="n">
        <v>1.9</v>
      </c>
      <c r="G388" t="b">
        <v>0</v>
      </c>
      <c r="H388">
        <f>Sensitivity!H18</f>
        <v/>
      </c>
    </row>
    <row r="389">
      <c r="A389" t="inlineStr">
        <is>
          <t>ALL</t>
        </is>
      </c>
      <c r="B389" t="inlineStr">
        <is>
          <t>mystic</t>
        </is>
      </c>
      <c r="C389" t="n">
        <v>2</v>
      </c>
      <c r="D389" t="inlineStr">
        <is>
          <t>Attack Speed %</t>
        </is>
      </c>
      <c r="E389" t="n">
        <v>10</v>
      </c>
      <c r="F389" t="n">
        <v>0.6</v>
      </c>
      <c r="G389" t="b">
        <v>1</v>
      </c>
      <c r="H389">
        <f>Sensitivity!H18</f>
        <v/>
      </c>
    </row>
    <row r="390">
      <c r="A390" t="inlineStr">
        <is>
          <t>ALL</t>
        </is>
      </c>
      <c r="B390" t="inlineStr">
        <is>
          <t>mystic</t>
        </is>
      </c>
      <c r="C390" t="n">
        <v>2</v>
      </c>
      <c r="D390" t="inlineStr">
        <is>
          <t>Damage %</t>
        </is>
      </c>
      <c r="E390" t="n">
        <v>25</v>
      </c>
      <c r="F390" t="n">
        <v>3.04</v>
      </c>
      <c r="G390" t="b">
        <v>0</v>
      </c>
      <c r="H390">
        <f>Sensitivity!H9</f>
        <v/>
      </c>
    </row>
    <row r="391">
      <c r="A391" t="inlineStr">
        <is>
          <t>ALL</t>
        </is>
      </c>
      <c r="B391" t="inlineStr">
        <is>
          <t>mystic</t>
        </is>
      </c>
      <c r="C391" t="n">
        <v>2</v>
      </c>
      <c r="D391" t="inlineStr">
        <is>
          <t>Damage %</t>
        </is>
      </c>
      <c r="E391" t="n">
        <v>35</v>
      </c>
      <c r="F391" t="n">
        <v>0.96</v>
      </c>
      <c r="G391" t="b">
        <v>1</v>
      </c>
      <c r="H391">
        <f>Sensitivity!H9</f>
        <v/>
      </c>
    </row>
    <row r="392">
      <c r="A392" t="inlineStr">
        <is>
          <t>ALL</t>
        </is>
      </c>
      <c r="B392" t="inlineStr">
        <is>
          <t>mystic</t>
        </is>
      </c>
      <c r="C392" t="n">
        <v>2</v>
      </c>
      <c r="D392" t="inlineStr">
        <is>
          <t>Min Damage Multiplier %</t>
        </is>
      </c>
      <c r="E392" t="n">
        <v>15</v>
      </c>
      <c r="F392" t="n">
        <v>3.04</v>
      </c>
      <c r="G392" t="b">
        <v>0</v>
      </c>
      <c r="H392">
        <f>Sensitivity!H14</f>
        <v/>
      </c>
    </row>
    <row r="393">
      <c r="A393" t="inlineStr">
        <is>
          <t>ALL</t>
        </is>
      </c>
      <c r="B393" t="inlineStr">
        <is>
          <t>mystic</t>
        </is>
      </c>
      <c r="C393" t="n">
        <v>2</v>
      </c>
      <c r="D393" t="inlineStr">
        <is>
          <t>Min Damage Multiplier %</t>
        </is>
      </c>
      <c r="E393" t="n">
        <v>25</v>
      </c>
      <c r="F393" t="n">
        <v>0.96</v>
      </c>
      <c r="G393" t="b">
        <v>1</v>
      </c>
      <c r="H393">
        <f>Sensitivity!H14</f>
        <v/>
      </c>
    </row>
    <row r="394">
      <c r="A394" t="inlineStr">
        <is>
          <t>ALL</t>
        </is>
      </c>
      <c r="B394" t="inlineStr">
        <is>
          <t>mystic</t>
        </is>
      </c>
      <c r="C394" t="n">
        <v>2</v>
      </c>
      <c r="D394" t="inlineStr">
        <is>
          <t>Max Damage Multiplier %</t>
        </is>
      </c>
      <c r="E394" t="n">
        <v>15</v>
      </c>
      <c r="F394" t="n">
        <v>3.04</v>
      </c>
      <c r="G394" t="b">
        <v>0</v>
      </c>
      <c r="H394">
        <f>Sensitivity!H15</f>
        <v/>
      </c>
    </row>
    <row r="395">
      <c r="A395" t="inlineStr">
        <is>
          <t>ALL</t>
        </is>
      </c>
      <c r="B395" t="inlineStr">
        <is>
          <t>mystic</t>
        </is>
      </c>
      <c r="C395" t="n">
        <v>2</v>
      </c>
      <c r="D395" t="inlineStr">
        <is>
          <t>Max Damage Multiplier %</t>
        </is>
      </c>
      <c r="E395" t="n">
        <v>25</v>
      </c>
      <c r="F395" t="n">
        <v>0.96</v>
      </c>
      <c r="G395" t="b">
        <v>1</v>
      </c>
      <c r="H395">
        <f>Sensitivity!H15</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Sensitivity!H8</f>
        <v/>
      </c>
    </row>
    <row r="405">
      <c r="A405" t="inlineStr">
        <is>
          <t>ALL</t>
        </is>
      </c>
      <c r="B405" t="inlineStr">
        <is>
          <t>mystic</t>
        </is>
      </c>
      <c r="C405" t="n">
        <v>2</v>
      </c>
      <c r="D405" t="inlineStr">
        <is>
          <t>Defense %</t>
        </is>
      </c>
      <c r="E405" t="n">
        <v>15</v>
      </c>
      <c r="F405" t="n">
        <v>2.16</v>
      </c>
      <c r="G405" t="b">
        <v>1</v>
      </c>
      <c r="H405">
        <f>Sensitivity!H8</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IF(Inputs!$B$10&gt;=100,Sensitivity!H17,Sensitivity!H16)</f>
        <v/>
      </c>
    </row>
    <row r="419">
      <c r="A419" t="inlineStr">
        <is>
          <t>ALL</t>
        </is>
      </c>
      <c r="B419" t="inlineStr">
        <is>
          <t>mystic</t>
        </is>
      </c>
      <c r="C419" t="n">
        <v>3</v>
      </c>
      <c r="D419" t="inlineStr">
        <is>
          <t>Critical Rate %</t>
        </is>
      </c>
      <c r="E419" t="n">
        <v>15</v>
      </c>
      <c r="F419" t="n">
        <v>0.2</v>
      </c>
      <c r="G419" t="b">
        <v>1</v>
      </c>
      <c r="H419">
        <f>IF(Inputs!$B$10&gt;=100,Sensitivity!H17,Sensitivity!H16)</f>
        <v/>
      </c>
    </row>
    <row r="420">
      <c r="A420" t="inlineStr">
        <is>
          <t>ALL</t>
        </is>
      </c>
      <c r="B420" t="inlineStr">
        <is>
          <t>mystic</t>
        </is>
      </c>
      <c r="C420" t="n">
        <v>3</v>
      </c>
      <c r="D420" t="inlineStr">
        <is>
          <t>Attack Speed %</t>
        </is>
      </c>
      <c r="E420" t="n">
        <v>7</v>
      </c>
      <c r="F420" t="n">
        <v>2.3</v>
      </c>
      <c r="G420" t="b">
        <v>0</v>
      </c>
      <c r="H420">
        <f>Sensitivity!H18</f>
        <v/>
      </c>
    </row>
    <row r="421">
      <c r="A421" t="inlineStr">
        <is>
          <t>ALL</t>
        </is>
      </c>
      <c r="B421" t="inlineStr">
        <is>
          <t>mystic</t>
        </is>
      </c>
      <c r="C421" t="n">
        <v>3</v>
      </c>
      <c r="D421" t="inlineStr">
        <is>
          <t>Attack Speed %</t>
        </is>
      </c>
      <c r="E421" t="n">
        <v>10</v>
      </c>
      <c r="F421" t="n">
        <v>0.2</v>
      </c>
      <c r="G421" t="b">
        <v>1</v>
      </c>
      <c r="H421">
        <f>Sensitivity!H18</f>
        <v/>
      </c>
    </row>
    <row r="422">
      <c r="A422" t="inlineStr">
        <is>
          <t>ALL</t>
        </is>
      </c>
      <c r="B422" t="inlineStr">
        <is>
          <t>mystic</t>
        </is>
      </c>
      <c r="C422" t="n">
        <v>3</v>
      </c>
      <c r="D422" t="inlineStr">
        <is>
          <t>Damage %</t>
        </is>
      </c>
      <c r="E422" t="n">
        <v>25</v>
      </c>
      <c r="F422" t="n">
        <v>3.68</v>
      </c>
      <c r="G422" t="b">
        <v>0</v>
      </c>
      <c r="H422">
        <f>Sensitivity!H9</f>
        <v/>
      </c>
    </row>
    <row r="423">
      <c r="A423" t="inlineStr">
        <is>
          <t>ALL</t>
        </is>
      </c>
      <c r="B423" t="inlineStr">
        <is>
          <t>mystic</t>
        </is>
      </c>
      <c r="C423" t="n">
        <v>3</v>
      </c>
      <c r="D423" t="inlineStr">
        <is>
          <t>Damage %</t>
        </is>
      </c>
      <c r="E423" t="n">
        <v>35</v>
      </c>
      <c r="F423" t="n">
        <v>0.32</v>
      </c>
      <c r="G423" t="b">
        <v>1</v>
      </c>
      <c r="H423">
        <f>Sensitivity!H9</f>
        <v/>
      </c>
    </row>
    <row r="424">
      <c r="A424" t="inlineStr">
        <is>
          <t>ALL</t>
        </is>
      </c>
      <c r="B424" t="inlineStr">
        <is>
          <t>mystic</t>
        </is>
      </c>
      <c r="C424" t="n">
        <v>3</v>
      </c>
      <c r="D424" t="inlineStr">
        <is>
          <t>Min Damage Multiplier %</t>
        </is>
      </c>
      <c r="E424" t="n">
        <v>15</v>
      </c>
      <c r="F424" t="n">
        <v>3.68</v>
      </c>
      <c r="G424" t="b">
        <v>0</v>
      </c>
      <c r="H424">
        <f>Sensitivity!H14</f>
        <v/>
      </c>
    </row>
    <row r="425">
      <c r="A425" t="inlineStr">
        <is>
          <t>ALL</t>
        </is>
      </c>
      <c r="B425" t="inlineStr">
        <is>
          <t>mystic</t>
        </is>
      </c>
      <c r="C425" t="n">
        <v>3</v>
      </c>
      <c r="D425" t="inlineStr">
        <is>
          <t>Min Damage Multiplier %</t>
        </is>
      </c>
      <c r="E425" t="n">
        <v>25</v>
      </c>
      <c r="F425" t="n">
        <v>0.32</v>
      </c>
      <c r="G425" t="b">
        <v>1</v>
      </c>
      <c r="H425">
        <f>Sensitivity!H14</f>
        <v/>
      </c>
    </row>
    <row r="426">
      <c r="A426" t="inlineStr">
        <is>
          <t>ALL</t>
        </is>
      </c>
      <c r="B426" t="inlineStr">
        <is>
          <t>mystic</t>
        </is>
      </c>
      <c r="C426" t="n">
        <v>3</v>
      </c>
      <c r="D426" t="inlineStr">
        <is>
          <t>Max Damage Multiplier %</t>
        </is>
      </c>
      <c r="E426" t="n">
        <v>15</v>
      </c>
      <c r="F426" t="n">
        <v>3.68</v>
      </c>
      <c r="G426" t="b">
        <v>0</v>
      </c>
      <c r="H426">
        <f>Sensitivity!H15</f>
        <v/>
      </c>
    </row>
    <row r="427">
      <c r="A427" t="inlineStr">
        <is>
          <t>ALL</t>
        </is>
      </c>
      <c r="B427" t="inlineStr">
        <is>
          <t>mystic</t>
        </is>
      </c>
      <c r="C427" t="n">
        <v>3</v>
      </c>
      <c r="D427" t="inlineStr">
        <is>
          <t>Max Damage Multiplier %</t>
        </is>
      </c>
      <c r="E427" t="n">
        <v>25</v>
      </c>
      <c r="F427" t="n">
        <v>0.32</v>
      </c>
      <c r="G427" t="b">
        <v>1</v>
      </c>
      <c r="H427">
        <f>Sensitivity!H15</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Sensitivity!H8</f>
        <v/>
      </c>
    </row>
    <row r="437">
      <c r="A437" t="inlineStr">
        <is>
          <t>ALL</t>
        </is>
      </c>
      <c r="B437" t="inlineStr">
        <is>
          <t>mystic</t>
        </is>
      </c>
      <c r="C437" t="n">
        <v>3</v>
      </c>
      <c r="D437" t="inlineStr">
        <is>
          <t>Defense %</t>
        </is>
      </c>
      <c r="E437" t="n">
        <v>15</v>
      </c>
      <c r="F437" t="n">
        <v>0.72</v>
      </c>
      <c r="G437" t="b">
        <v>1</v>
      </c>
      <c r="H437">
        <f>Sensitivity!H8</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Sensitivity!H29</f>
        <v/>
      </c>
    </row>
    <row r="451">
      <c r="A451" t="inlineStr">
        <is>
          <t>head</t>
        </is>
      </c>
      <c r="B451" t="inlineStr">
        <is>
          <t>epic</t>
        </is>
      </c>
      <c r="C451" t="n">
        <v>2</v>
      </c>
      <c r="D451" t="inlineStr">
        <is>
          <t>Skill Cooldown Decrease (seconds)</t>
        </is>
      </c>
      <c r="E451" t="n">
        <v>0.5</v>
      </c>
      <c r="F451" t="n">
        <v>0.24</v>
      </c>
      <c r="G451" t="b">
        <v>1</v>
      </c>
      <c r="H451">
        <f>Sensitivity!H29</f>
        <v/>
      </c>
    </row>
    <row r="452">
      <c r="A452" t="inlineStr">
        <is>
          <t>head</t>
        </is>
      </c>
      <c r="B452" t="inlineStr">
        <is>
          <t>epic</t>
        </is>
      </c>
      <c r="C452" t="n">
        <v>3</v>
      </c>
      <c r="D452" t="inlineStr">
        <is>
          <t>Skill Cooldown Decrease (seconds)</t>
        </is>
      </c>
      <c r="E452" t="n">
        <v>0.5</v>
      </c>
      <c r="F452" t="n">
        <v>0.08</v>
      </c>
      <c r="G452" t="b">
        <v>1</v>
      </c>
      <c r="H452">
        <f>Sensitivity!H29</f>
        <v/>
      </c>
    </row>
    <row r="453">
      <c r="A453" t="inlineStr">
        <is>
          <t>head</t>
        </is>
      </c>
      <c r="B453" t="inlineStr">
        <is>
          <t>unique</t>
        </is>
      </c>
      <c r="C453" t="n">
        <v>1</v>
      </c>
      <c r="D453" t="inlineStr">
        <is>
          <t>Skill Cooldown Decrease (seconds)</t>
        </is>
      </c>
      <c r="E453" t="n">
        <v>1</v>
      </c>
      <c r="F453" t="n">
        <v>1</v>
      </c>
      <c r="G453" t="b">
        <v>1</v>
      </c>
      <c r="H453">
        <f>Sensitivity!H29</f>
        <v/>
      </c>
    </row>
    <row r="454">
      <c r="A454" t="inlineStr">
        <is>
          <t>head</t>
        </is>
      </c>
      <c r="B454" t="inlineStr">
        <is>
          <t>unique</t>
        </is>
      </c>
      <c r="C454" t="n">
        <v>2</v>
      </c>
      <c r="D454" t="inlineStr">
        <is>
          <t>Skill Cooldown Decrease (seconds)</t>
        </is>
      </c>
      <c r="E454" t="n">
        <v>1</v>
      </c>
      <c r="F454" t="n">
        <v>0.24</v>
      </c>
      <c r="G454" t="b">
        <v>1</v>
      </c>
      <c r="H454">
        <f>Sensitivity!H29</f>
        <v/>
      </c>
    </row>
    <row r="455">
      <c r="A455" t="inlineStr">
        <is>
          <t>head</t>
        </is>
      </c>
      <c r="B455" t="inlineStr">
        <is>
          <t>unique</t>
        </is>
      </c>
      <c r="C455" t="n">
        <v>2</v>
      </c>
      <c r="D455" t="inlineStr">
        <is>
          <t>Skill Cooldown Decrease (seconds)</t>
        </is>
      </c>
      <c r="E455" t="n">
        <v>0.5</v>
      </c>
      <c r="F455" t="n">
        <v>0.76</v>
      </c>
      <c r="G455" t="b">
        <v>0</v>
      </c>
      <c r="H455">
        <f>Sensitivity!H29</f>
        <v/>
      </c>
    </row>
    <row r="456">
      <c r="A456" t="inlineStr">
        <is>
          <t>head</t>
        </is>
      </c>
      <c r="B456" t="inlineStr">
        <is>
          <t>unique</t>
        </is>
      </c>
      <c r="C456" t="n">
        <v>3</v>
      </c>
      <c r="D456" t="inlineStr">
        <is>
          <t>Skill Cooldown Decrease (seconds)</t>
        </is>
      </c>
      <c r="E456" t="n">
        <v>1</v>
      </c>
      <c r="F456" t="n">
        <v>0.08</v>
      </c>
      <c r="G456" t="b">
        <v>1</v>
      </c>
      <c r="H456">
        <f>Sensitivity!H29</f>
        <v/>
      </c>
    </row>
    <row r="457">
      <c r="A457" t="inlineStr">
        <is>
          <t>head</t>
        </is>
      </c>
      <c r="B457" t="inlineStr">
        <is>
          <t>unique</t>
        </is>
      </c>
      <c r="C457" t="n">
        <v>3</v>
      </c>
      <c r="D457" t="inlineStr">
        <is>
          <t>Skill Cooldown Decrease (seconds)</t>
        </is>
      </c>
      <c r="E457" t="n">
        <v>0.5</v>
      </c>
      <c r="F457" t="n">
        <v>0.92</v>
      </c>
      <c r="G457" t="b">
        <v>0</v>
      </c>
      <c r="H457">
        <f>Sensitivity!H29</f>
        <v/>
      </c>
    </row>
    <row r="458">
      <c r="A458" t="inlineStr">
        <is>
          <t>head</t>
        </is>
      </c>
      <c r="B458" t="inlineStr">
        <is>
          <t>legendary</t>
        </is>
      </c>
      <c r="C458" t="n">
        <v>1</v>
      </c>
      <c r="D458" t="inlineStr">
        <is>
          <t>Skill Cooldown Decrease (seconds)</t>
        </is>
      </c>
      <c r="E458" t="n">
        <v>1.5</v>
      </c>
      <c r="F458" t="n">
        <v>1</v>
      </c>
      <c r="G458" t="b">
        <v>1</v>
      </c>
      <c r="H458">
        <f>Sensitivity!H29</f>
        <v/>
      </c>
    </row>
    <row r="459">
      <c r="A459" t="inlineStr">
        <is>
          <t>head</t>
        </is>
      </c>
      <c r="B459" t="inlineStr">
        <is>
          <t>legendary</t>
        </is>
      </c>
      <c r="C459" t="n">
        <v>2</v>
      </c>
      <c r="D459" t="inlineStr">
        <is>
          <t>Skill Cooldown Decrease (seconds)</t>
        </is>
      </c>
      <c r="E459" t="n">
        <v>1.5</v>
      </c>
      <c r="F459" t="n">
        <v>0.24</v>
      </c>
      <c r="G459" t="b">
        <v>1</v>
      </c>
      <c r="H459">
        <f>Sensitivity!H29</f>
        <v/>
      </c>
    </row>
    <row r="460">
      <c r="A460" t="inlineStr">
        <is>
          <t>head</t>
        </is>
      </c>
      <c r="B460" t="inlineStr">
        <is>
          <t>legendary</t>
        </is>
      </c>
      <c r="C460" t="n">
        <v>2</v>
      </c>
      <c r="D460" t="inlineStr">
        <is>
          <t>Skill Cooldown Decrease (seconds)</t>
        </is>
      </c>
      <c r="E460" t="n">
        <v>1</v>
      </c>
      <c r="F460" t="n">
        <v>0.76</v>
      </c>
      <c r="G460" t="b">
        <v>0</v>
      </c>
      <c r="H460">
        <f>Sensitivity!H29</f>
        <v/>
      </c>
    </row>
    <row r="461">
      <c r="A461" t="inlineStr">
        <is>
          <t>head</t>
        </is>
      </c>
      <c r="B461" t="inlineStr">
        <is>
          <t>legendary</t>
        </is>
      </c>
      <c r="C461" t="n">
        <v>3</v>
      </c>
      <c r="D461" t="inlineStr">
        <is>
          <t>Skill Cooldown Decrease (seconds)</t>
        </is>
      </c>
      <c r="E461" t="n">
        <v>1.5</v>
      </c>
      <c r="F461" t="n">
        <v>0.08</v>
      </c>
      <c r="G461" t="b">
        <v>1</v>
      </c>
      <c r="H461">
        <f>Sensitivity!H29</f>
        <v/>
      </c>
    </row>
    <row r="462">
      <c r="A462" t="inlineStr">
        <is>
          <t>head</t>
        </is>
      </c>
      <c r="B462" t="inlineStr">
        <is>
          <t>legendary</t>
        </is>
      </c>
      <c r="C462" t="n">
        <v>3</v>
      </c>
      <c r="D462" t="inlineStr">
        <is>
          <t>Skill Cooldown Decrease (seconds)</t>
        </is>
      </c>
      <c r="E462" t="n">
        <v>1</v>
      </c>
      <c r="F462" t="n">
        <v>0.92</v>
      </c>
      <c r="G462" t="b">
        <v>0</v>
      </c>
      <c r="H462">
        <f>Sensitivity!H29</f>
        <v/>
      </c>
    </row>
    <row r="463">
      <c r="A463" t="inlineStr">
        <is>
          <t>head</t>
        </is>
      </c>
      <c r="B463" t="inlineStr">
        <is>
          <t>mystic</t>
        </is>
      </c>
      <c r="C463" t="n">
        <v>1</v>
      </c>
      <c r="D463" t="inlineStr">
        <is>
          <t>Skill Cooldown Decrease (seconds)</t>
        </is>
      </c>
      <c r="E463" t="n">
        <v>2</v>
      </c>
      <c r="F463" t="n">
        <v>1</v>
      </c>
      <c r="G463" t="b">
        <v>1</v>
      </c>
      <c r="H463">
        <f>Sensitivity!H29</f>
        <v/>
      </c>
    </row>
    <row r="464">
      <c r="A464" t="inlineStr">
        <is>
          <t>head</t>
        </is>
      </c>
      <c r="B464" t="inlineStr">
        <is>
          <t>mystic</t>
        </is>
      </c>
      <c r="C464" t="n">
        <v>2</v>
      </c>
      <c r="D464" t="inlineStr">
        <is>
          <t>Skill Cooldown Decrease (seconds)</t>
        </is>
      </c>
      <c r="E464" t="n">
        <v>2</v>
      </c>
      <c r="F464" t="n">
        <v>0.24</v>
      </c>
      <c r="G464" t="b">
        <v>1</v>
      </c>
      <c r="H464">
        <f>Sensitivity!H29</f>
        <v/>
      </c>
    </row>
    <row r="465">
      <c r="A465" t="inlineStr">
        <is>
          <t>head</t>
        </is>
      </c>
      <c r="B465" t="inlineStr">
        <is>
          <t>mystic</t>
        </is>
      </c>
      <c r="C465" t="n">
        <v>2</v>
      </c>
      <c r="D465" t="inlineStr">
        <is>
          <t>Skill Cooldown Decrease (seconds)</t>
        </is>
      </c>
      <c r="E465" t="n">
        <v>1.5</v>
      </c>
      <c r="F465" t="n">
        <v>0.76</v>
      </c>
      <c r="G465" t="b">
        <v>0</v>
      </c>
      <c r="H465">
        <f>Sensitivity!H29</f>
        <v/>
      </c>
    </row>
    <row r="466">
      <c r="A466" t="inlineStr">
        <is>
          <t>head</t>
        </is>
      </c>
      <c r="B466" t="inlineStr">
        <is>
          <t>mystic</t>
        </is>
      </c>
      <c r="C466" t="n">
        <v>3</v>
      </c>
      <c r="D466" t="inlineStr">
        <is>
          <t>Skill Cooldown Decrease (seconds)</t>
        </is>
      </c>
      <c r="E466" t="n">
        <v>2</v>
      </c>
      <c r="F466" t="n">
        <v>0.08</v>
      </c>
      <c r="G466" t="b">
        <v>1</v>
      </c>
      <c r="H466">
        <f>Sensitivity!H29</f>
        <v/>
      </c>
    </row>
    <row r="467">
      <c r="A467" t="inlineStr">
        <is>
          <t>head</t>
        </is>
      </c>
      <c r="B467" t="inlineStr">
        <is>
          <t>mystic</t>
        </is>
      </c>
      <c r="C467" t="n">
        <v>3</v>
      </c>
      <c r="D467" t="inlineStr">
        <is>
          <t>Skill Cooldown Decrease (seconds)</t>
        </is>
      </c>
      <c r="E467" t="n">
        <v>1.5</v>
      </c>
      <c r="F467" t="n">
        <v>0.92</v>
      </c>
      <c r="G467" t="b">
        <v>0</v>
      </c>
      <c r="H467">
        <f>Sensitivity!H29</f>
        <v/>
      </c>
    </row>
    <row r="468">
      <c r="A468" t="inlineStr">
        <is>
          <t>cape</t>
        </is>
      </c>
      <c r="B468" t="inlineStr">
        <is>
          <t>epic</t>
        </is>
      </c>
      <c r="C468" t="n">
        <v>1</v>
      </c>
      <c r="D468" t="inlineStr">
        <is>
          <t>Final Damage %</t>
        </is>
      </c>
      <c r="E468" t="n">
        <v>3</v>
      </c>
      <c r="F468" t="n">
        <v>1</v>
      </c>
      <c r="G468" t="b">
        <v>1</v>
      </c>
      <c r="H468">
        <f>Sensitivity!H13</f>
        <v/>
      </c>
    </row>
    <row r="469">
      <c r="A469" t="inlineStr">
        <is>
          <t>cape</t>
        </is>
      </c>
      <c r="B469" t="inlineStr">
        <is>
          <t>epic</t>
        </is>
      </c>
      <c r="C469" t="n">
        <v>2</v>
      </c>
      <c r="D469" t="inlineStr">
        <is>
          <t>Final Damage %</t>
        </is>
      </c>
      <c r="E469" t="n">
        <v>3</v>
      </c>
      <c r="F469" t="n">
        <v>0.24</v>
      </c>
      <c r="G469" t="b">
        <v>1</v>
      </c>
      <c r="H469">
        <f>Sensitivity!H13</f>
        <v/>
      </c>
    </row>
    <row r="470">
      <c r="A470" t="inlineStr">
        <is>
          <t>cape</t>
        </is>
      </c>
      <c r="B470" t="inlineStr">
        <is>
          <t>epic</t>
        </is>
      </c>
      <c r="C470" t="n">
        <v>3</v>
      </c>
      <c r="D470" t="inlineStr">
        <is>
          <t>Final Damage %</t>
        </is>
      </c>
      <c r="E470" t="n">
        <v>3</v>
      </c>
      <c r="F470" t="n">
        <v>0.08</v>
      </c>
      <c r="G470" t="b">
        <v>1</v>
      </c>
      <c r="H470">
        <f>Sensitivity!H13</f>
        <v/>
      </c>
    </row>
    <row r="471">
      <c r="A471" t="inlineStr">
        <is>
          <t>cape</t>
        </is>
      </c>
      <c r="B471" t="inlineStr">
        <is>
          <t>unique</t>
        </is>
      </c>
      <c r="C471" t="n">
        <v>1</v>
      </c>
      <c r="D471" t="inlineStr">
        <is>
          <t>Final Damage %</t>
        </is>
      </c>
      <c r="E471" t="n">
        <v>5</v>
      </c>
      <c r="F471" t="n">
        <v>1</v>
      </c>
      <c r="G471" t="b">
        <v>1</v>
      </c>
      <c r="H471">
        <f>Sensitivity!H13</f>
        <v/>
      </c>
    </row>
    <row r="472">
      <c r="A472" t="inlineStr">
        <is>
          <t>cape</t>
        </is>
      </c>
      <c r="B472" t="inlineStr">
        <is>
          <t>unique</t>
        </is>
      </c>
      <c r="C472" t="n">
        <v>2</v>
      </c>
      <c r="D472" t="inlineStr">
        <is>
          <t>Final Damage %</t>
        </is>
      </c>
      <c r="E472" t="n">
        <v>5</v>
      </c>
      <c r="F472" t="n">
        <v>0.24</v>
      </c>
      <c r="G472" t="b">
        <v>1</v>
      </c>
      <c r="H472">
        <f>Sensitivity!H13</f>
        <v/>
      </c>
    </row>
    <row r="473">
      <c r="A473" t="inlineStr">
        <is>
          <t>cape</t>
        </is>
      </c>
      <c r="B473" t="inlineStr">
        <is>
          <t>unique</t>
        </is>
      </c>
      <c r="C473" t="n">
        <v>2</v>
      </c>
      <c r="D473" t="inlineStr">
        <is>
          <t>Final Damage %</t>
        </is>
      </c>
      <c r="E473" t="n">
        <v>3</v>
      </c>
      <c r="F473" t="n">
        <v>0.76</v>
      </c>
      <c r="G473" t="b">
        <v>0</v>
      </c>
      <c r="H473">
        <f>Sensitivity!H13</f>
        <v/>
      </c>
    </row>
    <row r="474">
      <c r="A474" t="inlineStr">
        <is>
          <t>cape</t>
        </is>
      </c>
      <c r="B474" t="inlineStr">
        <is>
          <t>unique</t>
        </is>
      </c>
      <c r="C474" t="n">
        <v>3</v>
      </c>
      <c r="D474" t="inlineStr">
        <is>
          <t>Final Damage %</t>
        </is>
      </c>
      <c r="E474" t="n">
        <v>5</v>
      </c>
      <c r="F474" t="n">
        <v>0.08</v>
      </c>
      <c r="G474" t="b">
        <v>1</v>
      </c>
      <c r="H474">
        <f>Sensitivity!H13</f>
        <v/>
      </c>
    </row>
    <row r="475">
      <c r="A475" t="inlineStr">
        <is>
          <t>cape</t>
        </is>
      </c>
      <c r="B475" t="inlineStr">
        <is>
          <t>unique</t>
        </is>
      </c>
      <c r="C475" t="n">
        <v>3</v>
      </c>
      <c r="D475" t="inlineStr">
        <is>
          <t>Final Damage %</t>
        </is>
      </c>
      <c r="E475" t="n">
        <v>3</v>
      </c>
      <c r="F475" t="n">
        <v>0.92</v>
      </c>
      <c r="G475" t="b">
        <v>0</v>
      </c>
      <c r="H475">
        <f>Sensitivity!H13</f>
        <v/>
      </c>
    </row>
    <row r="476">
      <c r="A476" t="inlineStr">
        <is>
          <t>cape</t>
        </is>
      </c>
      <c r="B476" t="inlineStr">
        <is>
          <t>legendary</t>
        </is>
      </c>
      <c r="C476" t="n">
        <v>1</v>
      </c>
      <c r="D476" t="inlineStr">
        <is>
          <t>Final Damage %</t>
        </is>
      </c>
      <c r="E476" t="n">
        <v>8</v>
      </c>
      <c r="F476" t="n">
        <v>1</v>
      </c>
      <c r="G476" t="b">
        <v>1</v>
      </c>
      <c r="H476">
        <f>Sensitivity!H13</f>
        <v/>
      </c>
    </row>
    <row r="477">
      <c r="A477" t="inlineStr">
        <is>
          <t>cape</t>
        </is>
      </c>
      <c r="B477" t="inlineStr">
        <is>
          <t>legendary</t>
        </is>
      </c>
      <c r="C477" t="n">
        <v>2</v>
      </c>
      <c r="D477" t="inlineStr">
        <is>
          <t>Final Damage %</t>
        </is>
      </c>
      <c r="E477" t="n">
        <v>8</v>
      </c>
      <c r="F477" t="n">
        <v>0.24</v>
      </c>
      <c r="G477" t="b">
        <v>1</v>
      </c>
      <c r="H477">
        <f>Sensitivity!H13</f>
        <v/>
      </c>
    </row>
    <row r="478">
      <c r="A478" t="inlineStr">
        <is>
          <t>cape</t>
        </is>
      </c>
      <c r="B478" t="inlineStr">
        <is>
          <t>legendary</t>
        </is>
      </c>
      <c r="C478" t="n">
        <v>2</v>
      </c>
      <c r="D478" t="inlineStr">
        <is>
          <t>Final Damage %</t>
        </is>
      </c>
      <c r="E478" t="n">
        <v>5</v>
      </c>
      <c r="F478" t="n">
        <v>0.76</v>
      </c>
      <c r="G478" t="b">
        <v>0</v>
      </c>
      <c r="H478">
        <f>Sensitivity!H13</f>
        <v/>
      </c>
    </row>
    <row r="479">
      <c r="A479" t="inlineStr">
        <is>
          <t>cape</t>
        </is>
      </c>
      <c r="B479" t="inlineStr">
        <is>
          <t>legendary</t>
        </is>
      </c>
      <c r="C479" t="n">
        <v>3</v>
      </c>
      <c r="D479" t="inlineStr">
        <is>
          <t>Final Damage %</t>
        </is>
      </c>
      <c r="E479" t="n">
        <v>8</v>
      </c>
      <c r="F479" t="n">
        <v>0.08</v>
      </c>
      <c r="G479" t="b">
        <v>1</v>
      </c>
      <c r="H479">
        <f>Sensitivity!H13</f>
        <v/>
      </c>
    </row>
    <row r="480">
      <c r="A480" t="inlineStr">
        <is>
          <t>cape</t>
        </is>
      </c>
      <c r="B480" t="inlineStr">
        <is>
          <t>legendary</t>
        </is>
      </c>
      <c r="C480" t="n">
        <v>3</v>
      </c>
      <c r="D480" t="inlineStr">
        <is>
          <t>Final Damage %</t>
        </is>
      </c>
      <c r="E480" t="n">
        <v>5</v>
      </c>
      <c r="F480" t="n">
        <v>0.92</v>
      </c>
      <c r="G480" t="b">
        <v>0</v>
      </c>
      <c r="H480">
        <f>Sensitivity!H13</f>
        <v/>
      </c>
    </row>
    <row r="481">
      <c r="A481" t="inlineStr">
        <is>
          <t>cape</t>
        </is>
      </c>
      <c r="B481" t="inlineStr">
        <is>
          <t>mystic</t>
        </is>
      </c>
      <c r="C481" t="n">
        <v>1</v>
      </c>
      <c r="D481" t="inlineStr">
        <is>
          <t>Final Damage %</t>
        </is>
      </c>
      <c r="E481" t="n">
        <v>12</v>
      </c>
      <c r="F481" t="n">
        <v>1</v>
      </c>
      <c r="G481" t="b">
        <v>1</v>
      </c>
      <c r="H481">
        <f>Sensitivity!H13</f>
        <v/>
      </c>
    </row>
    <row r="482">
      <c r="A482" t="inlineStr">
        <is>
          <t>cape</t>
        </is>
      </c>
      <c r="B482" t="inlineStr">
        <is>
          <t>mystic</t>
        </is>
      </c>
      <c r="C482" t="n">
        <v>2</v>
      </c>
      <c r="D482" t="inlineStr">
        <is>
          <t>Final Damage %</t>
        </is>
      </c>
      <c r="E482" t="n">
        <v>12</v>
      </c>
      <c r="F482" t="n">
        <v>0.24</v>
      </c>
      <c r="G482" t="b">
        <v>1</v>
      </c>
      <c r="H482">
        <f>Sensitivity!H13</f>
        <v/>
      </c>
    </row>
    <row r="483">
      <c r="A483" t="inlineStr">
        <is>
          <t>cape</t>
        </is>
      </c>
      <c r="B483" t="inlineStr">
        <is>
          <t>mystic</t>
        </is>
      </c>
      <c r="C483" t="n">
        <v>2</v>
      </c>
      <c r="D483" t="inlineStr">
        <is>
          <t>Final Damage %</t>
        </is>
      </c>
      <c r="E483" t="n">
        <v>8</v>
      </c>
      <c r="F483" t="n">
        <v>0.76</v>
      </c>
      <c r="G483" t="b">
        <v>0</v>
      </c>
      <c r="H483">
        <f>Sensitivity!H13</f>
        <v/>
      </c>
    </row>
    <row r="484">
      <c r="A484" t="inlineStr">
        <is>
          <t>cape</t>
        </is>
      </c>
      <c r="B484" t="inlineStr">
        <is>
          <t>mystic</t>
        </is>
      </c>
      <c r="C484" t="n">
        <v>3</v>
      </c>
      <c r="D484" t="inlineStr">
        <is>
          <t>Final Damage %</t>
        </is>
      </c>
      <c r="E484" t="n">
        <v>12</v>
      </c>
      <c r="F484" t="n">
        <v>0.08</v>
      </c>
      <c r="G484" t="b">
        <v>1</v>
      </c>
      <c r="H484">
        <f>Sensitivity!H13</f>
        <v/>
      </c>
    </row>
    <row r="485">
      <c r="A485" t="inlineStr">
        <is>
          <t>cape</t>
        </is>
      </c>
      <c r="B485" t="inlineStr">
        <is>
          <t>mystic</t>
        </is>
      </c>
      <c r="C485" t="n">
        <v>3</v>
      </c>
      <c r="D485" t="inlineStr">
        <is>
          <t>Final Damage %</t>
        </is>
      </c>
      <c r="E485" t="n">
        <v>8</v>
      </c>
      <c r="F485" t="n">
        <v>0.92</v>
      </c>
      <c r="G485" t="b">
        <v>0</v>
      </c>
      <c r="H485">
        <f>Sensitivity!H13</f>
        <v/>
      </c>
    </row>
    <row r="486">
      <c r="A486" t="inlineStr">
        <is>
          <t>chest</t>
        </is>
      </c>
      <c r="B486" t="inlineStr">
        <is>
          <t>unique</t>
        </is>
      </c>
      <c r="C486" t="n">
        <v>1</v>
      </c>
      <c r="D486" t="inlineStr">
        <is>
          <t>Basic Attack Target Increase</t>
        </is>
      </c>
      <c r="E486" t="n">
        <v>1</v>
      </c>
      <c r="F486" t="n">
        <v>1</v>
      </c>
      <c r="G486" t="b">
        <v>1</v>
      </c>
      <c r="H486">
        <f>Sensitivity!H30</f>
        <v/>
      </c>
    </row>
    <row r="487">
      <c r="A487" t="inlineStr">
        <is>
          <t>chest</t>
        </is>
      </c>
      <c r="B487" t="inlineStr">
        <is>
          <t>unique</t>
        </is>
      </c>
      <c r="C487" t="n">
        <v>2</v>
      </c>
      <c r="D487" t="inlineStr">
        <is>
          <t>Basic Attack Target Increase</t>
        </is>
      </c>
      <c r="E487" t="n">
        <v>1</v>
      </c>
      <c r="F487" t="n">
        <v>0.24</v>
      </c>
      <c r="G487" t="b">
        <v>1</v>
      </c>
      <c r="H487">
        <f>Sensitivity!H30</f>
        <v/>
      </c>
    </row>
    <row r="488">
      <c r="A488" t="inlineStr">
        <is>
          <t>chest</t>
        </is>
      </c>
      <c r="B488" t="inlineStr">
        <is>
          <t>unique</t>
        </is>
      </c>
      <c r="C488" t="n">
        <v>3</v>
      </c>
      <c r="D488" t="inlineStr">
        <is>
          <t>Basic Attack Target Increase</t>
        </is>
      </c>
      <c r="E488" t="n">
        <v>1</v>
      </c>
      <c r="F488" t="n">
        <v>0.08</v>
      </c>
      <c r="G488" t="b">
        <v>1</v>
      </c>
      <c r="H488">
        <f>Sensitivity!H30</f>
        <v/>
      </c>
    </row>
    <row r="489">
      <c r="A489" t="inlineStr">
        <is>
          <t>chest</t>
        </is>
      </c>
      <c r="B489" t="inlineStr">
        <is>
          <t>legendary</t>
        </is>
      </c>
      <c r="C489" t="n">
        <v>1</v>
      </c>
      <c r="D489" t="inlineStr">
        <is>
          <t>Basic Attack Target Increase</t>
        </is>
      </c>
      <c r="E489" t="n">
        <v>2</v>
      </c>
      <c r="F489" t="n">
        <v>1</v>
      </c>
      <c r="G489" t="b">
        <v>1</v>
      </c>
      <c r="H489">
        <f>Sensitivity!H30</f>
        <v/>
      </c>
    </row>
    <row r="490">
      <c r="A490" t="inlineStr">
        <is>
          <t>chest</t>
        </is>
      </c>
      <c r="B490" t="inlineStr">
        <is>
          <t>legendary</t>
        </is>
      </c>
      <c r="C490" t="n">
        <v>2</v>
      </c>
      <c r="D490" t="inlineStr">
        <is>
          <t>Basic Attack Target Increase</t>
        </is>
      </c>
      <c r="E490" t="n">
        <v>2</v>
      </c>
      <c r="F490" t="n">
        <v>0.24</v>
      </c>
      <c r="G490" t="b">
        <v>1</v>
      </c>
      <c r="H490">
        <f>Sensitivity!H30</f>
        <v/>
      </c>
    </row>
    <row r="491">
      <c r="A491" t="inlineStr">
        <is>
          <t>chest</t>
        </is>
      </c>
      <c r="B491" t="inlineStr">
        <is>
          <t>legendary</t>
        </is>
      </c>
      <c r="C491" t="n">
        <v>2</v>
      </c>
      <c r="D491" t="inlineStr">
        <is>
          <t>Basic Attack Target Increase</t>
        </is>
      </c>
      <c r="E491" t="n">
        <v>1</v>
      </c>
      <c r="F491" t="n">
        <v>0.76</v>
      </c>
      <c r="G491" t="b">
        <v>0</v>
      </c>
      <c r="H491">
        <f>Sensitivity!H30</f>
        <v/>
      </c>
    </row>
    <row r="492">
      <c r="A492" t="inlineStr">
        <is>
          <t>chest</t>
        </is>
      </c>
      <c r="B492" t="inlineStr">
        <is>
          <t>legendary</t>
        </is>
      </c>
      <c r="C492" t="n">
        <v>3</v>
      </c>
      <c r="D492" t="inlineStr">
        <is>
          <t>Basic Attack Target Increase</t>
        </is>
      </c>
      <c r="E492" t="n">
        <v>2</v>
      </c>
      <c r="F492" t="n">
        <v>0.08</v>
      </c>
      <c r="G492" t="b">
        <v>1</v>
      </c>
      <c r="H492">
        <f>Sensitivity!H30</f>
        <v/>
      </c>
    </row>
    <row r="493">
      <c r="A493" t="inlineStr">
        <is>
          <t>chest</t>
        </is>
      </c>
      <c r="B493" t="inlineStr">
        <is>
          <t>legendary</t>
        </is>
      </c>
      <c r="C493" t="n">
        <v>3</v>
      </c>
      <c r="D493" t="inlineStr">
        <is>
          <t>Basic Attack Target Increase</t>
        </is>
      </c>
      <c r="E493" t="n">
        <v>1</v>
      </c>
      <c r="F493" t="n">
        <v>0.92</v>
      </c>
      <c r="G493" t="b">
        <v>0</v>
      </c>
      <c r="H493">
        <f>Sensitivity!H30</f>
        <v/>
      </c>
    </row>
    <row r="494">
      <c r="A494" t="inlineStr">
        <is>
          <t>chest</t>
        </is>
      </c>
      <c r="B494" t="inlineStr">
        <is>
          <t>mystic</t>
        </is>
      </c>
      <c r="C494" t="n">
        <v>1</v>
      </c>
      <c r="D494" t="inlineStr">
        <is>
          <t>Basic Attack Target Increase</t>
        </is>
      </c>
      <c r="E494" t="n">
        <v>3</v>
      </c>
      <c r="F494" t="n">
        <v>1</v>
      </c>
      <c r="G494" t="b">
        <v>1</v>
      </c>
      <c r="H494">
        <f>Sensitivity!H30</f>
        <v/>
      </c>
    </row>
    <row r="495">
      <c r="A495" t="inlineStr">
        <is>
          <t>chest</t>
        </is>
      </c>
      <c r="B495" t="inlineStr">
        <is>
          <t>mystic</t>
        </is>
      </c>
      <c r="C495" t="n">
        <v>2</v>
      </c>
      <c r="D495" t="inlineStr">
        <is>
          <t>Basic Attack Target Increase</t>
        </is>
      </c>
      <c r="E495" t="n">
        <v>3</v>
      </c>
      <c r="F495" t="n">
        <v>0.24</v>
      </c>
      <c r="G495" t="b">
        <v>1</v>
      </c>
      <c r="H495">
        <f>Sensitivity!H30</f>
        <v/>
      </c>
    </row>
    <row r="496">
      <c r="A496" t="inlineStr">
        <is>
          <t>chest</t>
        </is>
      </c>
      <c r="B496" t="inlineStr">
        <is>
          <t>mystic</t>
        </is>
      </c>
      <c r="C496" t="n">
        <v>2</v>
      </c>
      <c r="D496" t="inlineStr">
        <is>
          <t>Basic Attack Target Increase</t>
        </is>
      </c>
      <c r="E496" t="n">
        <v>2</v>
      </c>
      <c r="F496" t="n">
        <v>0.76</v>
      </c>
      <c r="G496" t="b">
        <v>0</v>
      </c>
      <c r="H496">
        <f>Sensitivity!H30</f>
        <v/>
      </c>
    </row>
    <row r="497">
      <c r="A497" t="inlineStr">
        <is>
          <t>chest</t>
        </is>
      </c>
      <c r="B497" t="inlineStr">
        <is>
          <t>mystic</t>
        </is>
      </c>
      <c r="C497" t="n">
        <v>3</v>
      </c>
      <c r="D497" t="inlineStr">
        <is>
          <t>Basic Attack Target Increase</t>
        </is>
      </c>
      <c r="E497" t="n">
        <v>3</v>
      </c>
      <c r="F497" t="n">
        <v>0.08</v>
      </c>
      <c r="G497" t="b">
        <v>1</v>
      </c>
      <c r="H497">
        <f>Sensitivity!H30</f>
        <v/>
      </c>
    </row>
    <row r="498">
      <c r="A498" t="inlineStr">
        <is>
          <t>chest</t>
        </is>
      </c>
      <c r="B498" t="inlineStr">
        <is>
          <t>mystic</t>
        </is>
      </c>
      <c r="C498" t="n">
        <v>3</v>
      </c>
      <c r="D498" t="inlineStr">
        <is>
          <t>Basic Attack Target Increase</t>
        </is>
      </c>
      <c r="E498" t="n">
        <v>2</v>
      </c>
      <c r="F498" t="n">
        <v>0.92</v>
      </c>
      <c r="G498" t="b">
        <v>0</v>
      </c>
      <c r="H498">
        <f>Sensitivity!H30</f>
        <v/>
      </c>
    </row>
    <row r="499">
      <c r="A499" t="inlineStr">
        <is>
          <t>shoulders</t>
        </is>
      </c>
      <c r="B499" t="inlineStr">
        <is>
          <t>unique</t>
        </is>
      </c>
      <c r="C499" t="n">
        <v>1</v>
      </c>
      <c r="D499" t="inlineStr">
        <is>
          <t>Defense Penetration</t>
        </is>
      </c>
      <c r="E499" t="n">
        <v>8</v>
      </c>
      <c r="F499" t="n">
        <v>1</v>
      </c>
      <c r="G499" t="b">
        <v>1</v>
      </c>
      <c r="H499">
        <f>Sensitivity!H19</f>
        <v/>
      </c>
    </row>
    <row r="500">
      <c r="A500" t="inlineStr">
        <is>
          <t>shoulders</t>
        </is>
      </c>
      <c r="B500" t="inlineStr">
        <is>
          <t>unique</t>
        </is>
      </c>
      <c r="C500" t="n">
        <v>2</v>
      </c>
      <c r="D500" t="inlineStr">
        <is>
          <t>Defense Penetration</t>
        </is>
      </c>
      <c r="E500" t="n">
        <v>8</v>
      </c>
      <c r="F500" t="n">
        <v>0.24</v>
      </c>
      <c r="G500" t="b">
        <v>1</v>
      </c>
      <c r="H500">
        <f>Sensitivity!H19</f>
        <v/>
      </c>
    </row>
    <row r="501">
      <c r="A501" t="inlineStr">
        <is>
          <t>shoulders</t>
        </is>
      </c>
      <c r="B501" t="inlineStr">
        <is>
          <t>unique</t>
        </is>
      </c>
      <c r="C501" t="n">
        <v>3</v>
      </c>
      <c r="D501" t="inlineStr">
        <is>
          <t>Defense Penetration</t>
        </is>
      </c>
      <c r="E501" t="n">
        <v>8</v>
      </c>
      <c r="F501" t="n">
        <v>0.08</v>
      </c>
      <c r="G501" t="b">
        <v>1</v>
      </c>
      <c r="H501">
        <f>Sensitivity!H19</f>
        <v/>
      </c>
    </row>
    <row r="502">
      <c r="A502" t="inlineStr">
        <is>
          <t>shoulders</t>
        </is>
      </c>
      <c r="B502" t="inlineStr">
        <is>
          <t>legendary</t>
        </is>
      </c>
      <c r="C502" t="n">
        <v>1</v>
      </c>
      <c r="D502" t="inlineStr">
        <is>
          <t>Defense Penetration</t>
        </is>
      </c>
      <c r="E502" t="n">
        <v>12</v>
      </c>
      <c r="F502" t="n">
        <v>1</v>
      </c>
      <c r="G502" t="b">
        <v>1</v>
      </c>
      <c r="H502">
        <f>Sensitivity!H19</f>
        <v/>
      </c>
    </row>
    <row r="503">
      <c r="A503" t="inlineStr">
        <is>
          <t>shoulders</t>
        </is>
      </c>
      <c r="B503" t="inlineStr">
        <is>
          <t>legendary</t>
        </is>
      </c>
      <c r="C503" t="n">
        <v>2</v>
      </c>
      <c r="D503" t="inlineStr">
        <is>
          <t>Defense Penetration</t>
        </is>
      </c>
      <c r="E503" t="n">
        <v>12</v>
      </c>
      <c r="F503" t="n">
        <v>0.24</v>
      </c>
      <c r="G503" t="b">
        <v>1</v>
      </c>
      <c r="H503">
        <f>Sensitivity!H19</f>
        <v/>
      </c>
    </row>
    <row r="504">
      <c r="A504" t="inlineStr">
        <is>
          <t>shoulders</t>
        </is>
      </c>
      <c r="B504" t="inlineStr">
        <is>
          <t>legendary</t>
        </is>
      </c>
      <c r="C504" t="n">
        <v>2</v>
      </c>
      <c r="D504" t="inlineStr">
        <is>
          <t>Defense Penetration</t>
        </is>
      </c>
      <c r="E504" t="n">
        <v>8</v>
      </c>
      <c r="F504" t="n">
        <v>0.76</v>
      </c>
      <c r="G504" t="b">
        <v>0</v>
      </c>
      <c r="H504">
        <f>Sensitivity!H19</f>
        <v/>
      </c>
    </row>
    <row r="505">
      <c r="A505" t="inlineStr">
        <is>
          <t>shoulders</t>
        </is>
      </c>
      <c r="B505" t="inlineStr">
        <is>
          <t>legendary</t>
        </is>
      </c>
      <c r="C505" t="n">
        <v>3</v>
      </c>
      <c r="D505" t="inlineStr">
        <is>
          <t>Defense Penetration</t>
        </is>
      </c>
      <c r="E505" t="n">
        <v>12</v>
      </c>
      <c r="F505" t="n">
        <v>0.08</v>
      </c>
      <c r="G505" t="b">
        <v>1</v>
      </c>
      <c r="H505">
        <f>Sensitivity!H19</f>
        <v/>
      </c>
    </row>
    <row r="506">
      <c r="A506" t="inlineStr">
        <is>
          <t>shoulders</t>
        </is>
      </c>
      <c r="B506" t="inlineStr">
        <is>
          <t>legendary</t>
        </is>
      </c>
      <c r="C506" t="n">
        <v>3</v>
      </c>
      <c r="D506" t="inlineStr">
        <is>
          <t>Defense Penetration</t>
        </is>
      </c>
      <c r="E506" t="n">
        <v>8</v>
      </c>
      <c r="F506" t="n">
        <v>0.92</v>
      </c>
      <c r="G506" t="b">
        <v>0</v>
      </c>
      <c r="H506">
        <f>Sensitivity!H19</f>
        <v/>
      </c>
    </row>
    <row r="507">
      <c r="A507" t="inlineStr">
        <is>
          <t>shoulders</t>
        </is>
      </c>
      <c r="B507" t="inlineStr">
        <is>
          <t>mystic</t>
        </is>
      </c>
      <c r="C507" t="n">
        <v>1</v>
      </c>
      <c r="D507" t="inlineStr">
        <is>
          <t>Defense Penetration</t>
        </is>
      </c>
      <c r="E507" t="n">
        <v>20</v>
      </c>
      <c r="F507" t="n">
        <v>1</v>
      </c>
      <c r="G507" t="b">
        <v>1</v>
      </c>
      <c r="H507">
        <f>Sensitivity!H19</f>
        <v/>
      </c>
    </row>
    <row r="508">
      <c r="A508" t="inlineStr">
        <is>
          <t>shoulders</t>
        </is>
      </c>
      <c r="B508" t="inlineStr">
        <is>
          <t>mystic</t>
        </is>
      </c>
      <c r="C508" t="n">
        <v>2</v>
      </c>
      <c r="D508" t="inlineStr">
        <is>
          <t>Defense Penetration</t>
        </is>
      </c>
      <c r="E508" t="n">
        <v>20</v>
      </c>
      <c r="F508" t="n">
        <v>0.24</v>
      </c>
      <c r="G508" t="b">
        <v>1</v>
      </c>
      <c r="H508">
        <f>Sensitivity!H19</f>
        <v/>
      </c>
    </row>
    <row r="509">
      <c r="A509" t="inlineStr">
        <is>
          <t>shoulders</t>
        </is>
      </c>
      <c r="B509" t="inlineStr">
        <is>
          <t>mystic</t>
        </is>
      </c>
      <c r="C509" t="n">
        <v>2</v>
      </c>
      <c r="D509" t="inlineStr">
        <is>
          <t>Defense Penetration</t>
        </is>
      </c>
      <c r="E509" t="n">
        <v>12</v>
      </c>
      <c r="F509" t="n">
        <v>0.76</v>
      </c>
      <c r="G509" t="b">
        <v>0</v>
      </c>
      <c r="H509">
        <f>Sensitivity!H19</f>
        <v/>
      </c>
    </row>
    <row r="510">
      <c r="A510" t="inlineStr">
        <is>
          <t>shoulders</t>
        </is>
      </c>
      <c r="B510" t="inlineStr">
        <is>
          <t>mystic</t>
        </is>
      </c>
      <c r="C510" t="n">
        <v>3</v>
      </c>
      <c r="D510" t="inlineStr">
        <is>
          <t>Defense Penetration</t>
        </is>
      </c>
      <c r="E510" t="n">
        <v>20</v>
      </c>
      <c r="F510" t="n">
        <v>0.08</v>
      </c>
      <c r="G510" t="b">
        <v>1</v>
      </c>
      <c r="H510">
        <f>Sensitivity!H19</f>
        <v/>
      </c>
    </row>
    <row r="511">
      <c r="A511" t="inlineStr">
        <is>
          <t>shoulders</t>
        </is>
      </c>
      <c r="B511" t="inlineStr">
        <is>
          <t>mystic</t>
        </is>
      </c>
      <c r="C511" t="n">
        <v>3</v>
      </c>
      <c r="D511" t="inlineStr">
        <is>
          <t>Defense Penetration</t>
        </is>
      </c>
      <c r="E511" t="n">
        <v>12</v>
      </c>
      <c r="F511" t="n">
        <v>0.92</v>
      </c>
      <c r="G511" t="b">
        <v>0</v>
      </c>
      <c r="H511">
        <f>Sensitivity!H19</f>
        <v/>
      </c>
    </row>
    <row r="512">
      <c r="A512" t="inlineStr">
        <is>
          <t>legs</t>
        </is>
      </c>
      <c r="B512" t="inlineStr">
        <is>
          <t>epic</t>
        </is>
      </c>
      <c r="C512" t="n">
        <v>1</v>
      </c>
      <c r="D512" t="inlineStr">
        <is>
          <t>Final Damage %</t>
        </is>
      </c>
      <c r="E512" t="n">
        <v>3</v>
      </c>
      <c r="F512" t="n">
        <v>1</v>
      </c>
      <c r="G512" t="b">
        <v>1</v>
      </c>
      <c r="H512">
        <f>Sensitivity!H13</f>
        <v/>
      </c>
    </row>
    <row r="513">
      <c r="A513" t="inlineStr">
        <is>
          <t>legs</t>
        </is>
      </c>
      <c r="B513" t="inlineStr">
        <is>
          <t>epic</t>
        </is>
      </c>
      <c r="C513" t="n">
        <v>2</v>
      </c>
      <c r="D513" t="inlineStr">
        <is>
          <t>Final Damage %</t>
        </is>
      </c>
      <c r="E513" t="n">
        <v>3</v>
      </c>
      <c r="F513" t="n">
        <v>0.24</v>
      </c>
      <c r="G513" t="b">
        <v>1</v>
      </c>
      <c r="H513">
        <f>Sensitivity!H13</f>
        <v/>
      </c>
    </row>
    <row r="514">
      <c r="A514" t="inlineStr">
        <is>
          <t>legs</t>
        </is>
      </c>
      <c r="B514" t="inlineStr">
        <is>
          <t>epic</t>
        </is>
      </c>
      <c r="C514" t="n">
        <v>3</v>
      </c>
      <c r="D514" t="inlineStr">
        <is>
          <t>Final Damage %</t>
        </is>
      </c>
      <c r="E514" t="n">
        <v>3</v>
      </c>
      <c r="F514" t="n">
        <v>0.08</v>
      </c>
      <c r="G514" t="b">
        <v>1</v>
      </c>
      <c r="H514">
        <f>Sensitivity!H13</f>
        <v/>
      </c>
    </row>
    <row r="515">
      <c r="A515" t="inlineStr">
        <is>
          <t>legs</t>
        </is>
      </c>
      <c r="B515" t="inlineStr">
        <is>
          <t>unique</t>
        </is>
      </c>
      <c r="C515" t="n">
        <v>1</v>
      </c>
      <c r="D515" t="inlineStr">
        <is>
          <t>Final Damage %</t>
        </is>
      </c>
      <c r="E515" t="n">
        <v>5</v>
      </c>
      <c r="F515" t="n">
        <v>1</v>
      </c>
      <c r="G515" t="b">
        <v>1</v>
      </c>
      <c r="H515">
        <f>Sensitivity!H13</f>
        <v/>
      </c>
    </row>
    <row r="516">
      <c r="A516" t="inlineStr">
        <is>
          <t>legs</t>
        </is>
      </c>
      <c r="B516" t="inlineStr">
        <is>
          <t>unique</t>
        </is>
      </c>
      <c r="C516" t="n">
        <v>2</v>
      </c>
      <c r="D516" t="inlineStr">
        <is>
          <t>Final Damage %</t>
        </is>
      </c>
      <c r="E516" t="n">
        <v>5</v>
      </c>
      <c r="F516" t="n">
        <v>0.24</v>
      </c>
      <c r="G516" t="b">
        <v>1</v>
      </c>
      <c r="H516">
        <f>Sensitivity!H13</f>
        <v/>
      </c>
    </row>
    <row r="517">
      <c r="A517" t="inlineStr">
        <is>
          <t>legs</t>
        </is>
      </c>
      <c r="B517" t="inlineStr">
        <is>
          <t>unique</t>
        </is>
      </c>
      <c r="C517" t="n">
        <v>2</v>
      </c>
      <c r="D517" t="inlineStr">
        <is>
          <t>Final Damage %</t>
        </is>
      </c>
      <c r="E517" t="n">
        <v>3</v>
      </c>
      <c r="F517" t="n">
        <v>0.76</v>
      </c>
      <c r="G517" t="b">
        <v>0</v>
      </c>
      <c r="H517">
        <f>Sensitivity!H13</f>
        <v/>
      </c>
    </row>
    <row r="518">
      <c r="A518" t="inlineStr">
        <is>
          <t>legs</t>
        </is>
      </c>
      <c r="B518" t="inlineStr">
        <is>
          <t>unique</t>
        </is>
      </c>
      <c r="C518" t="n">
        <v>3</v>
      </c>
      <c r="D518" t="inlineStr">
        <is>
          <t>Final Damage %</t>
        </is>
      </c>
      <c r="E518" t="n">
        <v>5</v>
      </c>
      <c r="F518" t="n">
        <v>0.08</v>
      </c>
      <c r="G518" t="b">
        <v>1</v>
      </c>
      <c r="H518">
        <f>Sensitivity!H13</f>
        <v/>
      </c>
    </row>
    <row r="519">
      <c r="A519" t="inlineStr">
        <is>
          <t>legs</t>
        </is>
      </c>
      <c r="B519" t="inlineStr">
        <is>
          <t>unique</t>
        </is>
      </c>
      <c r="C519" t="n">
        <v>3</v>
      </c>
      <c r="D519" t="inlineStr">
        <is>
          <t>Final Damage %</t>
        </is>
      </c>
      <c r="E519" t="n">
        <v>3</v>
      </c>
      <c r="F519" t="n">
        <v>0.92</v>
      </c>
      <c r="G519" t="b">
        <v>0</v>
      </c>
      <c r="H519">
        <f>Sensitivity!H13</f>
        <v/>
      </c>
    </row>
    <row r="520">
      <c r="A520" t="inlineStr">
        <is>
          <t>legs</t>
        </is>
      </c>
      <c r="B520" t="inlineStr">
        <is>
          <t>legendary</t>
        </is>
      </c>
      <c r="C520" t="n">
        <v>1</v>
      </c>
      <c r="D520" t="inlineStr">
        <is>
          <t>Final Damage %</t>
        </is>
      </c>
      <c r="E520" t="n">
        <v>8</v>
      </c>
      <c r="F520" t="n">
        <v>1</v>
      </c>
      <c r="G520" t="b">
        <v>1</v>
      </c>
      <c r="H520">
        <f>Sensitivity!H13</f>
        <v/>
      </c>
    </row>
    <row r="521">
      <c r="A521" t="inlineStr">
        <is>
          <t>legs</t>
        </is>
      </c>
      <c r="B521" t="inlineStr">
        <is>
          <t>legendary</t>
        </is>
      </c>
      <c r="C521" t="n">
        <v>2</v>
      </c>
      <c r="D521" t="inlineStr">
        <is>
          <t>Final Damage %</t>
        </is>
      </c>
      <c r="E521" t="n">
        <v>8</v>
      </c>
      <c r="F521" t="n">
        <v>0.24</v>
      </c>
      <c r="G521" t="b">
        <v>1</v>
      </c>
      <c r="H521">
        <f>Sensitivity!H13</f>
        <v/>
      </c>
    </row>
    <row r="522">
      <c r="A522" t="inlineStr">
        <is>
          <t>legs</t>
        </is>
      </c>
      <c r="B522" t="inlineStr">
        <is>
          <t>legendary</t>
        </is>
      </c>
      <c r="C522" t="n">
        <v>2</v>
      </c>
      <c r="D522" t="inlineStr">
        <is>
          <t>Final Damage %</t>
        </is>
      </c>
      <c r="E522" t="n">
        <v>5</v>
      </c>
      <c r="F522" t="n">
        <v>0.76</v>
      </c>
      <c r="G522" t="b">
        <v>0</v>
      </c>
      <c r="H522">
        <f>Sensitivity!H13</f>
        <v/>
      </c>
    </row>
    <row r="523">
      <c r="A523" t="inlineStr">
        <is>
          <t>legs</t>
        </is>
      </c>
      <c r="B523" t="inlineStr">
        <is>
          <t>legendary</t>
        </is>
      </c>
      <c r="C523" t="n">
        <v>3</v>
      </c>
      <c r="D523" t="inlineStr">
        <is>
          <t>Final Damage %</t>
        </is>
      </c>
      <c r="E523" t="n">
        <v>8</v>
      </c>
      <c r="F523" t="n">
        <v>0.08</v>
      </c>
      <c r="G523" t="b">
        <v>1</v>
      </c>
      <c r="H523">
        <f>Sensitivity!H13</f>
        <v/>
      </c>
    </row>
    <row r="524">
      <c r="A524" t="inlineStr">
        <is>
          <t>legs</t>
        </is>
      </c>
      <c r="B524" t="inlineStr">
        <is>
          <t>legendary</t>
        </is>
      </c>
      <c r="C524" t="n">
        <v>3</v>
      </c>
      <c r="D524" t="inlineStr">
        <is>
          <t>Final Damage %</t>
        </is>
      </c>
      <c r="E524" t="n">
        <v>5</v>
      </c>
      <c r="F524" t="n">
        <v>0.92</v>
      </c>
      <c r="G524" t="b">
        <v>0</v>
      </c>
      <c r="H524">
        <f>Sensitivity!H13</f>
        <v/>
      </c>
    </row>
    <row r="525">
      <c r="A525" t="inlineStr">
        <is>
          <t>legs</t>
        </is>
      </c>
      <c r="B525" t="inlineStr">
        <is>
          <t>mystic</t>
        </is>
      </c>
      <c r="C525" t="n">
        <v>1</v>
      </c>
      <c r="D525" t="inlineStr">
        <is>
          <t>Final Damage %</t>
        </is>
      </c>
      <c r="E525" t="n">
        <v>12</v>
      </c>
      <c r="F525" t="n">
        <v>1</v>
      </c>
      <c r="G525" t="b">
        <v>1</v>
      </c>
      <c r="H525">
        <f>Sensitivity!H13</f>
        <v/>
      </c>
    </row>
    <row r="526">
      <c r="A526" t="inlineStr">
        <is>
          <t>legs</t>
        </is>
      </c>
      <c r="B526" t="inlineStr">
        <is>
          <t>mystic</t>
        </is>
      </c>
      <c r="C526" t="n">
        <v>2</v>
      </c>
      <c r="D526" t="inlineStr">
        <is>
          <t>Final Damage %</t>
        </is>
      </c>
      <c r="E526" t="n">
        <v>12</v>
      </c>
      <c r="F526" t="n">
        <v>0.24</v>
      </c>
      <c r="G526" t="b">
        <v>1</v>
      </c>
      <c r="H526">
        <f>Sensitivity!H13</f>
        <v/>
      </c>
    </row>
    <row r="527">
      <c r="A527" t="inlineStr">
        <is>
          <t>legs</t>
        </is>
      </c>
      <c r="B527" t="inlineStr">
        <is>
          <t>mystic</t>
        </is>
      </c>
      <c r="C527" t="n">
        <v>2</v>
      </c>
      <c r="D527" t="inlineStr">
        <is>
          <t>Final Damage %</t>
        </is>
      </c>
      <c r="E527" t="n">
        <v>8</v>
      </c>
      <c r="F527" t="n">
        <v>0.76</v>
      </c>
      <c r="G527" t="b">
        <v>0</v>
      </c>
      <c r="H527">
        <f>Sensitivity!H13</f>
        <v/>
      </c>
    </row>
    <row r="528">
      <c r="A528" t="inlineStr">
        <is>
          <t>legs</t>
        </is>
      </c>
      <c r="B528" t="inlineStr">
        <is>
          <t>mystic</t>
        </is>
      </c>
      <c r="C528" t="n">
        <v>3</v>
      </c>
      <c r="D528" t="inlineStr">
        <is>
          <t>Final Damage %</t>
        </is>
      </c>
      <c r="E528" t="n">
        <v>12</v>
      </c>
      <c r="F528" t="n">
        <v>0.08</v>
      </c>
      <c r="G528" t="b">
        <v>1</v>
      </c>
      <c r="H528">
        <f>Sensitivity!H13</f>
        <v/>
      </c>
    </row>
    <row r="529">
      <c r="A529" t="inlineStr">
        <is>
          <t>legs</t>
        </is>
      </c>
      <c r="B529" t="inlineStr">
        <is>
          <t>mystic</t>
        </is>
      </c>
      <c r="C529" t="n">
        <v>3</v>
      </c>
      <c r="D529" t="inlineStr">
        <is>
          <t>Final Damage %</t>
        </is>
      </c>
      <c r="E529" t="n">
        <v>8</v>
      </c>
      <c r="F529" t="n">
        <v>0.92</v>
      </c>
      <c r="G529" t="b">
        <v>0</v>
      </c>
      <c r="H529">
        <f>Sensitivity!H13</f>
        <v/>
      </c>
    </row>
    <row r="530">
      <c r="A530" t="inlineStr">
        <is>
          <t>belt</t>
        </is>
      </c>
      <c r="B530" t="inlineStr">
        <is>
          <t>epic</t>
        </is>
      </c>
      <c r="C530" t="n">
        <v>1</v>
      </c>
      <c r="D530" t="inlineStr">
        <is>
          <t>Buff Duration Increase %</t>
        </is>
      </c>
      <c r="E530" t="n">
        <v>5</v>
      </c>
      <c r="F530" t="n">
        <v>1</v>
      </c>
      <c r="G530" t="b">
        <v>1</v>
      </c>
      <c r="H530">
        <f>Sensitivity!H31</f>
        <v/>
      </c>
    </row>
    <row r="531">
      <c r="A531" t="inlineStr">
        <is>
          <t>belt</t>
        </is>
      </c>
      <c r="B531" t="inlineStr">
        <is>
          <t>epic</t>
        </is>
      </c>
      <c r="C531" t="n">
        <v>2</v>
      </c>
      <c r="D531" t="inlineStr">
        <is>
          <t>Buff Duration Increase %</t>
        </is>
      </c>
      <c r="E531" t="n">
        <v>5</v>
      </c>
      <c r="F531" t="n">
        <v>0.24</v>
      </c>
      <c r="G531" t="b">
        <v>1</v>
      </c>
      <c r="H531">
        <f>Sensitivity!H31</f>
        <v/>
      </c>
    </row>
    <row r="532">
      <c r="A532" t="inlineStr">
        <is>
          <t>belt</t>
        </is>
      </c>
      <c r="B532" t="inlineStr">
        <is>
          <t>epic</t>
        </is>
      </c>
      <c r="C532" t="n">
        <v>3</v>
      </c>
      <c r="D532" t="inlineStr">
        <is>
          <t>Buff Duration Increase %</t>
        </is>
      </c>
      <c r="E532" t="n">
        <v>5</v>
      </c>
      <c r="F532" t="n">
        <v>0.08</v>
      </c>
      <c r="G532" t="b">
        <v>1</v>
      </c>
      <c r="H532">
        <f>Sensitivity!H31</f>
        <v/>
      </c>
    </row>
    <row r="533">
      <c r="A533" t="inlineStr">
        <is>
          <t>belt</t>
        </is>
      </c>
      <c r="B533" t="inlineStr">
        <is>
          <t>unique</t>
        </is>
      </c>
      <c r="C533" t="n">
        <v>1</v>
      </c>
      <c r="D533" t="inlineStr">
        <is>
          <t>Buff Duration Increase %</t>
        </is>
      </c>
      <c r="E533" t="n">
        <v>8</v>
      </c>
      <c r="F533" t="n">
        <v>1</v>
      </c>
      <c r="G533" t="b">
        <v>1</v>
      </c>
      <c r="H533">
        <f>Sensitivity!H31</f>
        <v/>
      </c>
    </row>
    <row r="534">
      <c r="A534" t="inlineStr">
        <is>
          <t>belt</t>
        </is>
      </c>
      <c r="B534" t="inlineStr">
        <is>
          <t>unique</t>
        </is>
      </c>
      <c r="C534" t="n">
        <v>2</v>
      </c>
      <c r="D534" t="inlineStr">
        <is>
          <t>Buff Duration Increase %</t>
        </is>
      </c>
      <c r="E534" t="n">
        <v>8</v>
      </c>
      <c r="F534" t="n">
        <v>0.24</v>
      </c>
      <c r="G534" t="b">
        <v>1</v>
      </c>
      <c r="H534">
        <f>Sensitivity!H31</f>
        <v/>
      </c>
    </row>
    <row r="535">
      <c r="A535" t="inlineStr">
        <is>
          <t>belt</t>
        </is>
      </c>
      <c r="B535" t="inlineStr">
        <is>
          <t>unique</t>
        </is>
      </c>
      <c r="C535" t="n">
        <v>2</v>
      </c>
      <c r="D535" t="inlineStr">
        <is>
          <t>Buff Duration Increase %</t>
        </is>
      </c>
      <c r="E535" t="n">
        <v>5</v>
      </c>
      <c r="F535" t="n">
        <v>0.76</v>
      </c>
      <c r="G535" t="b">
        <v>0</v>
      </c>
      <c r="H535">
        <f>Sensitivity!H31</f>
        <v/>
      </c>
    </row>
    <row r="536">
      <c r="A536" t="inlineStr">
        <is>
          <t>belt</t>
        </is>
      </c>
      <c r="B536" t="inlineStr">
        <is>
          <t>unique</t>
        </is>
      </c>
      <c r="C536" t="n">
        <v>3</v>
      </c>
      <c r="D536" t="inlineStr">
        <is>
          <t>Buff Duration Increase %</t>
        </is>
      </c>
      <c r="E536" t="n">
        <v>8</v>
      </c>
      <c r="F536" t="n">
        <v>0.08</v>
      </c>
      <c r="G536" t="b">
        <v>1</v>
      </c>
      <c r="H536">
        <f>Sensitivity!H31</f>
        <v/>
      </c>
    </row>
    <row r="537">
      <c r="A537" t="inlineStr">
        <is>
          <t>belt</t>
        </is>
      </c>
      <c r="B537" t="inlineStr">
        <is>
          <t>unique</t>
        </is>
      </c>
      <c r="C537" t="n">
        <v>3</v>
      </c>
      <c r="D537" t="inlineStr">
        <is>
          <t>Buff Duration Increase %</t>
        </is>
      </c>
      <c r="E537" t="n">
        <v>5</v>
      </c>
      <c r="F537" t="n">
        <v>0.92</v>
      </c>
      <c r="G537" t="b">
        <v>0</v>
      </c>
      <c r="H537">
        <f>Sensitivity!H31</f>
        <v/>
      </c>
    </row>
    <row r="538">
      <c r="A538" t="inlineStr">
        <is>
          <t>belt</t>
        </is>
      </c>
      <c r="B538" t="inlineStr">
        <is>
          <t>legendary</t>
        </is>
      </c>
      <c r="C538" t="n">
        <v>1</v>
      </c>
      <c r="D538" t="inlineStr">
        <is>
          <t>Buff Duration Increase %</t>
        </is>
      </c>
      <c r="E538" t="n">
        <v>12</v>
      </c>
      <c r="F538" t="n">
        <v>1</v>
      </c>
      <c r="G538" t="b">
        <v>1</v>
      </c>
      <c r="H538">
        <f>Sensitivity!H31</f>
        <v/>
      </c>
    </row>
    <row r="539">
      <c r="A539" t="inlineStr">
        <is>
          <t>belt</t>
        </is>
      </c>
      <c r="B539" t="inlineStr">
        <is>
          <t>legendary</t>
        </is>
      </c>
      <c r="C539" t="n">
        <v>2</v>
      </c>
      <c r="D539" t="inlineStr">
        <is>
          <t>Buff Duration Increase %</t>
        </is>
      </c>
      <c r="E539" t="n">
        <v>12</v>
      </c>
      <c r="F539" t="n">
        <v>0.24</v>
      </c>
      <c r="G539" t="b">
        <v>1</v>
      </c>
      <c r="H539">
        <f>Sensitivity!H31</f>
        <v/>
      </c>
    </row>
    <row r="540">
      <c r="A540" t="inlineStr">
        <is>
          <t>belt</t>
        </is>
      </c>
      <c r="B540" t="inlineStr">
        <is>
          <t>legendary</t>
        </is>
      </c>
      <c r="C540" t="n">
        <v>2</v>
      </c>
      <c r="D540" t="inlineStr">
        <is>
          <t>Buff Duration Increase %</t>
        </is>
      </c>
      <c r="E540" t="n">
        <v>8</v>
      </c>
      <c r="F540" t="n">
        <v>0.76</v>
      </c>
      <c r="G540" t="b">
        <v>0</v>
      </c>
      <c r="H540">
        <f>Sensitivity!H31</f>
        <v/>
      </c>
    </row>
    <row r="541">
      <c r="A541" t="inlineStr">
        <is>
          <t>belt</t>
        </is>
      </c>
      <c r="B541" t="inlineStr">
        <is>
          <t>legendary</t>
        </is>
      </c>
      <c r="C541" t="n">
        <v>3</v>
      </c>
      <c r="D541" t="inlineStr">
        <is>
          <t>Buff Duration Increase %</t>
        </is>
      </c>
      <c r="E541" t="n">
        <v>12</v>
      </c>
      <c r="F541" t="n">
        <v>0.08</v>
      </c>
      <c r="G541" t="b">
        <v>1</v>
      </c>
      <c r="H541">
        <f>Sensitivity!H31</f>
        <v/>
      </c>
    </row>
    <row r="542">
      <c r="A542" t="inlineStr">
        <is>
          <t>belt</t>
        </is>
      </c>
      <c r="B542" t="inlineStr">
        <is>
          <t>legendary</t>
        </is>
      </c>
      <c r="C542" t="n">
        <v>3</v>
      </c>
      <c r="D542" t="inlineStr">
        <is>
          <t>Buff Duration Increase %</t>
        </is>
      </c>
      <c r="E542" t="n">
        <v>8</v>
      </c>
      <c r="F542" t="n">
        <v>0.92</v>
      </c>
      <c r="G542" t="b">
        <v>0</v>
      </c>
      <c r="H542">
        <f>Sensitivity!H31</f>
        <v/>
      </c>
    </row>
    <row r="543">
      <c r="A543" t="inlineStr">
        <is>
          <t>belt</t>
        </is>
      </c>
      <c r="B543" t="inlineStr">
        <is>
          <t>mystic</t>
        </is>
      </c>
      <c r="C543" t="n">
        <v>1</v>
      </c>
      <c r="D543" t="inlineStr">
        <is>
          <t>Buff Duration Increase %</t>
        </is>
      </c>
      <c r="E543" t="n">
        <v>20</v>
      </c>
      <c r="F543" t="n">
        <v>1</v>
      </c>
      <c r="G543" t="b">
        <v>1</v>
      </c>
      <c r="H543">
        <f>Sensitivity!H31</f>
        <v/>
      </c>
    </row>
    <row r="544">
      <c r="A544" t="inlineStr">
        <is>
          <t>belt</t>
        </is>
      </c>
      <c r="B544" t="inlineStr">
        <is>
          <t>mystic</t>
        </is>
      </c>
      <c r="C544" t="n">
        <v>2</v>
      </c>
      <c r="D544" t="inlineStr">
        <is>
          <t>Buff Duration Increase %</t>
        </is>
      </c>
      <c r="E544" t="n">
        <v>20</v>
      </c>
      <c r="F544" t="n">
        <v>0.24</v>
      </c>
      <c r="G544" t="b">
        <v>1</v>
      </c>
      <c r="H544">
        <f>Sensitivity!H31</f>
        <v/>
      </c>
    </row>
    <row r="545">
      <c r="A545" t="inlineStr">
        <is>
          <t>belt</t>
        </is>
      </c>
      <c r="B545" t="inlineStr">
        <is>
          <t>mystic</t>
        </is>
      </c>
      <c r="C545" t="n">
        <v>2</v>
      </c>
      <c r="D545" t="inlineStr">
        <is>
          <t>Buff Duration Increase %</t>
        </is>
      </c>
      <c r="E545" t="n">
        <v>12</v>
      </c>
      <c r="F545" t="n">
        <v>0.76</v>
      </c>
      <c r="G545" t="b">
        <v>0</v>
      </c>
      <c r="H545">
        <f>Sensitivity!H31</f>
        <v/>
      </c>
    </row>
    <row r="546">
      <c r="A546" t="inlineStr">
        <is>
          <t>belt</t>
        </is>
      </c>
      <c r="B546" t="inlineStr">
        <is>
          <t>mystic</t>
        </is>
      </c>
      <c r="C546" t="n">
        <v>3</v>
      </c>
      <c r="D546" t="inlineStr">
        <is>
          <t>Buff Duration Increase %</t>
        </is>
      </c>
      <c r="E546" t="n">
        <v>20</v>
      </c>
      <c r="F546" t="n">
        <v>0.08</v>
      </c>
      <c r="G546" t="b">
        <v>1</v>
      </c>
      <c r="H546">
        <f>Sensitivity!H31</f>
        <v/>
      </c>
    </row>
    <row r="547">
      <c r="A547" t="inlineStr">
        <is>
          <t>belt</t>
        </is>
      </c>
      <c r="B547" t="inlineStr">
        <is>
          <t>mystic</t>
        </is>
      </c>
      <c r="C547" t="n">
        <v>3</v>
      </c>
      <c r="D547" t="inlineStr">
        <is>
          <t>Buff Duration Increase %</t>
        </is>
      </c>
      <c r="E547" t="n">
        <v>12</v>
      </c>
      <c r="F547" t="n">
        <v>0.92</v>
      </c>
      <c r="G547" t="b">
        <v>0</v>
      </c>
      <c r="H547">
        <f>Sensitivity!H31</f>
        <v/>
      </c>
    </row>
    <row r="548">
      <c r="A548" t="inlineStr">
        <is>
          <t>gloves</t>
        </is>
      </c>
      <c r="B548" t="inlineStr">
        <is>
          <t>epic</t>
        </is>
      </c>
      <c r="C548" t="n">
        <v>1</v>
      </c>
      <c r="D548" t="inlineStr">
        <is>
          <t>Critical Damage %</t>
        </is>
      </c>
      <c r="E548" t="n">
        <v>10</v>
      </c>
      <c r="F548" t="n">
        <v>1</v>
      </c>
      <c r="G548" t="b">
        <v>1</v>
      </c>
      <c r="H548">
        <f>Sensitivity!H17</f>
        <v/>
      </c>
    </row>
    <row r="549">
      <c r="A549" t="inlineStr">
        <is>
          <t>gloves</t>
        </is>
      </c>
      <c r="B549" t="inlineStr">
        <is>
          <t>epic</t>
        </is>
      </c>
      <c r="C549" t="n">
        <v>2</v>
      </c>
      <c r="D549" t="inlineStr">
        <is>
          <t>Critical Damage %</t>
        </is>
      </c>
      <c r="E549" t="n">
        <v>10</v>
      </c>
      <c r="F549" t="n">
        <v>0.24</v>
      </c>
      <c r="G549" t="b">
        <v>1</v>
      </c>
      <c r="H549">
        <f>Sensitivity!H17</f>
        <v/>
      </c>
    </row>
    <row r="550">
      <c r="A550" t="inlineStr">
        <is>
          <t>gloves</t>
        </is>
      </c>
      <c r="B550" t="inlineStr">
        <is>
          <t>epic</t>
        </is>
      </c>
      <c r="C550" t="n">
        <v>3</v>
      </c>
      <c r="D550" t="inlineStr">
        <is>
          <t>Critical Damage %</t>
        </is>
      </c>
      <c r="E550" t="n">
        <v>10</v>
      </c>
      <c r="F550" t="n">
        <v>0.08</v>
      </c>
      <c r="G550" t="b">
        <v>1</v>
      </c>
      <c r="H550">
        <f>Sensitivity!H17</f>
        <v/>
      </c>
    </row>
    <row r="551">
      <c r="A551" t="inlineStr">
        <is>
          <t>gloves</t>
        </is>
      </c>
      <c r="B551" t="inlineStr">
        <is>
          <t>unique</t>
        </is>
      </c>
      <c r="C551" t="n">
        <v>1</v>
      </c>
      <c r="D551" t="inlineStr">
        <is>
          <t>Critical Damage %</t>
        </is>
      </c>
      <c r="E551" t="n">
        <v>20</v>
      </c>
      <c r="F551" t="n">
        <v>1</v>
      </c>
      <c r="G551" t="b">
        <v>1</v>
      </c>
      <c r="H551">
        <f>Sensitivity!H17</f>
        <v/>
      </c>
    </row>
    <row r="552">
      <c r="A552" t="inlineStr">
        <is>
          <t>gloves</t>
        </is>
      </c>
      <c r="B552" t="inlineStr">
        <is>
          <t>unique</t>
        </is>
      </c>
      <c r="C552" t="n">
        <v>2</v>
      </c>
      <c r="D552" t="inlineStr">
        <is>
          <t>Critical Damage %</t>
        </is>
      </c>
      <c r="E552" t="n">
        <v>20</v>
      </c>
      <c r="F552" t="n">
        <v>0.24</v>
      </c>
      <c r="G552" t="b">
        <v>1</v>
      </c>
      <c r="H552">
        <f>Sensitivity!H17</f>
        <v/>
      </c>
    </row>
    <row r="553">
      <c r="A553" t="inlineStr">
        <is>
          <t>gloves</t>
        </is>
      </c>
      <c r="B553" t="inlineStr">
        <is>
          <t>unique</t>
        </is>
      </c>
      <c r="C553" t="n">
        <v>2</v>
      </c>
      <c r="D553" t="inlineStr">
        <is>
          <t>Critical Damage %</t>
        </is>
      </c>
      <c r="E553" t="n">
        <v>10</v>
      </c>
      <c r="F553" t="n">
        <v>0.76</v>
      </c>
      <c r="G553" t="b">
        <v>0</v>
      </c>
      <c r="H553">
        <f>Sensitivity!H17</f>
        <v/>
      </c>
    </row>
    <row r="554">
      <c r="A554" t="inlineStr">
        <is>
          <t>gloves</t>
        </is>
      </c>
      <c r="B554" t="inlineStr">
        <is>
          <t>unique</t>
        </is>
      </c>
      <c r="C554" t="n">
        <v>3</v>
      </c>
      <c r="D554" t="inlineStr">
        <is>
          <t>Critical Damage %</t>
        </is>
      </c>
      <c r="E554" t="n">
        <v>20</v>
      </c>
      <c r="F554" t="n">
        <v>0.08</v>
      </c>
      <c r="G554" t="b">
        <v>1</v>
      </c>
      <c r="H554">
        <f>Sensitivity!H17</f>
        <v/>
      </c>
    </row>
    <row r="555">
      <c r="A555" t="inlineStr">
        <is>
          <t>gloves</t>
        </is>
      </c>
      <c r="B555" t="inlineStr">
        <is>
          <t>unique</t>
        </is>
      </c>
      <c r="C555" t="n">
        <v>3</v>
      </c>
      <c r="D555" t="inlineStr">
        <is>
          <t>Critical Damage %</t>
        </is>
      </c>
      <c r="E555" t="n">
        <v>10</v>
      </c>
      <c r="F555" t="n">
        <v>0.92</v>
      </c>
      <c r="G555" t="b">
        <v>0</v>
      </c>
      <c r="H555">
        <f>Sensitivity!H17</f>
        <v/>
      </c>
    </row>
    <row r="556">
      <c r="A556" t="inlineStr">
        <is>
          <t>gloves</t>
        </is>
      </c>
      <c r="B556" t="inlineStr">
        <is>
          <t>legendary</t>
        </is>
      </c>
      <c r="C556" t="n">
        <v>1</v>
      </c>
      <c r="D556" t="inlineStr">
        <is>
          <t>Critical Damage %</t>
        </is>
      </c>
      <c r="E556" t="n">
        <v>30</v>
      </c>
      <c r="F556" t="n">
        <v>1</v>
      </c>
      <c r="G556" t="b">
        <v>1</v>
      </c>
      <c r="H556">
        <f>Sensitivity!H17</f>
        <v/>
      </c>
    </row>
    <row r="557">
      <c r="A557" t="inlineStr">
        <is>
          <t>gloves</t>
        </is>
      </c>
      <c r="B557" t="inlineStr">
        <is>
          <t>legendary</t>
        </is>
      </c>
      <c r="C557" t="n">
        <v>2</v>
      </c>
      <c r="D557" t="inlineStr">
        <is>
          <t>Critical Damage %</t>
        </is>
      </c>
      <c r="E557" t="n">
        <v>30</v>
      </c>
      <c r="F557" t="n">
        <v>0.24</v>
      </c>
      <c r="G557" t="b">
        <v>1</v>
      </c>
      <c r="H557">
        <f>Sensitivity!H17</f>
        <v/>
      </c>
    </row>
    <row r="558">
      <c r="A558" t="inlineStr">
        <is>
          <t>gloves</t>
        </is>
      </c>
      <c r="B558" t="inlineStr">
        <is>
          <t>legendary</t>
        </is>
      </c>
      <c r="C558" t="n">
        <v>2</v>
      </c>
      <c r="D558" t="inlineStr">
        <is>
          <t>Critical Damage %</t>
        </is>
      </c>
      <c r="E558" t="n">
        <v>20</v>
      </c>
      <c r="F558" t="n">
        <v>0.76</v>
      </c>
      <c r="G558" t="b">
        <v>0</v>
      </c>
      <c r="H558">
        <f>Sensitivity!H17</f>
        <v/>
      </c>
    </row>
    <row r="559">
      <c r="A559" t="inlineStr">
        <is>
          <t>gloves</t>
        </is>
      </c>
      <c r="B559" t="inlineStr">
        <is>
          <t>legendary</t>
        </is>
      </c>
      <c r="C559" t="n">
        <v>3</v>
      </c>
      <c r="D559" t="inlineStr">
        <is>
          <t>Critical Damage %</t>
        </is>
      </c>
      <c r="E559" t="n">
        <v>30</v>
      </c>
      <c r="F559" t="n">
        <v>0.08</v>
      </c>
      <c r="G559" t="b">
        <v>1</v>
      </c>
      <c r="H559">
        <f>Sensitivity!H17</f>
        <v/>
      </c>
    </row>
    <row r="560">
      <c r="A560" t="inlineStr">
        <is>
          <t>gloves</t>
        </is>
      </c>
      <c r="B560" t="inlineStr">
        <is>
          <t>legendary</t>
        </is>
      </c>
      <c r="C560" t="n">
        <v>3</v>
      </c>
      <c r="D560" t="inlineStr">
        <is>
          <t>Critical Damage %</t>
        </is>
      </c>
      <c r="E560" t="n">
        <v>20</v>
      </c>
      <c r="F560" t="n">
        <v>0.92</v>
      </c>
      <c r="G560" t="b">
        <v>0</v>
      </c>
      <c r="H560">
        <f>Sensitivity!H17</f>
        <v/>
      </c>
    </row>
    <row r="561">
      <c r="A561" t="inlineStr">
        <is>
          <t>gloves</t>
        </is>
      </c>
      <c r="B561" t="inlineStr">
        <is>
          <t>mystic</t>
        </is>
      </c>
      <c r="C561" t="n">
        <v>1</v>
      </c>
      <c r="D561" t="inlineStr">
        <is>
          <t>Critical Damage %</t>
        </is>
      </c>
      <c r="E561" t="n">
        <v>50</v>
      </c>
      <c r="F561" t="n">
        <v>1</v>
      </c>
      <c r="G561" t="b">
        <v>1</v>
      </c>
      <c r="H561">
        <f>Sensitivity!H17</f>
        <v/>
      </c>
    </row>
    <row r="562">
      <c r="A562" t="inlineStr">
        <is>
          <t>gloves</t>
        </is>
      </c>
      <c r="B562" t="inlineStr">
        <is>
          <t>mystic</t>
        </is>
      </c>
      <c r="C562" t="n">
        <v>2</v>
      </c>
      <c r="D562" t="inlineStr">
        <is>
          <t>Critical Damage %</t>
        </is>
      </c>
      <c r="E562" t="n">
        <v>50</v>
      </c>
      <c r="F562" t="n">
        <v>0.24</v>
      </c>
      <c r="G562" t="b">
        <v>1</v>
      </c>
      <c r="H562">
        <f>Sensitivity!H17</f>
        <v/>
      </c>
    </row>
    <row r="563">
      <c r="A563" t="inlineStr">
        <is>
          <t>gloves</t>
        </is>
      </c>
      <c r="B563" t="inlineStr">
        <is>
          <t>mystic</t>
        </is>
      </c>
      <c r="C563" t="n">
        <v>2</v>
      </c>
      <c r="D563" t="inlineStr">
        <is>
          <t>Critical Damage %</t>
        </is>
      </c>
      <c r="E563" t="n">
        <v>30</v>
      </c>
      <c r="F563" t="n">
        <v>0.76</v>
      </c>
      <c r="G563" t="b">
        <v>0</v>
      </c>
      <c r="H563">
        <f>Sensitivity!H17</f>
        <v/>
      </c>
    </row>
    <row r="564">
      <c r="A564" t="inlineStr">
        <is>
          <t>gloves</t>
        </is>
      </c>
      <c r="B564" t="inlineStr">
        <is>
          <t>mystic</t>
        </is>
      </c>
      <c r="C564" t="n">
        <v>3</v>
      </c>
      <c r="D564" t="inlineStr">
        <is>
          <t>Critical Damage %</t>
        </is>
      </c>
      <c r="E564" t="n">
        <v>50</v>
      </c>
      <c r="F564" t="n">
        <v>0.08</v>
      </c>
      <c r="G564" t="b">
        <v>1</v>
      </c>
      <c r="H564">
        <f>Sensitivity!H17</f>
        <v/>
      </c>
    </row>
    <row r="565">
      <c r="A565" t="inlineStr">
        <is>
          <t>gloves</t>
        </is>
      </c>
      <c r="B565" t="inlineStr">
        <is>
          <t>mystic</t>
        </is>
      </c>
      <c r="C565" t="n">
        <v>3</v>
      </c>
      <c r="D565" t="inlineStr">
        <is>
          <t>Critical Damage %</t>
        </is>
      </c>
      <c r="E565" t="n">
        <v>30</v>
      </c>
      <c r="F565" t="n">
        <v>0.92</v>
      </c>
      <c r="G565" t="b">
        <v>0</v>
      </c>
      <c r="H565">
        <f>Sensitivity!H17</f>
        <v/>
      </c>
    </row>
    <row r="566">
      <c r="A566" t="inlineStr">
        <is>
          <t>boots</t>
        </is>
      </c>
      <c r="B566" t="inlineStr">
        <is>
          <t>epic</t>
        </is>
      </c>
      <c r="C566" t="n">
        <v>1</v>
      </c>
      <c r="D566" t="inlineStr">
        <is>
          <t>Companion Summoning Time Increase %</t>
        </is>
      </c>
      <c r="E566" t="n">
        <v>5</v>
      </c>
      <c r="F566" t="n">
        <v>1</v>
      </c>
      <c r="G566" t="b">
        <v>1</v>
      </c>
      <c r="H566">
        <f>Sensitivity!H17</f>
        <v/>
      </c>
    </row>
    <row r="567">
      <c r="A567" t="inlineStr">
        <is>
          <t>boots</t>
        </is>
      </c>
      <c r="B567" t="inlineStr">
        <is>
          <t>epic</t>
        </is>
      </c>
      <c r="C567" t="n">
        <v>2</v>
      </c>
      <c r="D567" t="inlineStr">
        <is>
          <t>Companion Summoning Time Increase %</t>
        </is>
      </c>
      <c r="E567" t="n">
        <v>5</v>
      </c>
      <c r="F567" t="n">
        <v>0.24</v>
      </c>
      <c r="G567" t="b">
        <v>1</v>
      </c>
      <c r="H567">
        <f>Sensitivity!H17</f>
        <v/>
      </c>
    </row>
    <row r="568">
      <c r="A568" t="inlineStr">
        <is>
          <t>boots</t>
        </is>
      </c>
      <c r="B568" t="inlineStr">
        <is>
          <t>epic</t>
        </is>
      </c>
      <c r="C568" t="n">
        <v>3</v>
      </c>
      <c r="D568" t="inlineStr">
        <is>
          <t>Companion Summoning Time Increase %</t>
        </is>
      </c>
      <c r="E568" t="n">
        <v>5</v>
      </c>
      <c r="F568" t="n">
        <v>0.08</v>
      </c>
      <c r="G568" t="b">
        <v>1</v>
      </c>
      <c r="H568">
        <f>Sensitivity!H17</f>
        <v/>
      </c>
    </row>
    <row r="569">
      <c r="A569" t="inlineStr">
        <is>
          <t>boots</t>
        </is>
      </c>
      <c r="B569" t="inlineStr">
        <is>
          <t>unique</t>
        </is>
      </c>
      <c r="C569" t="n">
        <v>1</v>
      </c>
      <c r="D569" t="inlineStr">
        <is>
          <t>Companion Summoning Time Increase %</t>
        </is>
      </c>
      <c r="E569" t="n">
        <v>8</v>
      </c>
      <c r="F569" t="n">
        <v>1</v>
      </c>
      <c r="G569" t="b">
        <v>1</v>
      </c>
      <c r="H569">
        <f>Sensitivity!H17</f>
        <v/>
      </c>
    </row>
    <row r="570">
      <c r="A570" t="inlineStr">
        <is>
          <t>boots</t>
        </is>
      </c>
      <c r="B570" t="inlineStr">
        <is>
          <t>unique</t>
        </is>
      </c>
      <c r="C570" t="n">
        <v>2</v>
      </c>
      <c r="D570" t="inlineStr">
        <is>
          <t>Companion Summoning Time Increase %</t>
        </is>
      </c>
      <c r="E570" t="n">
        <v>8</v>
      </c>
      <c r="F570" t="n">
        <v>0.24</v>
      </c>
      <c r="G570" t="b">
        <v>1</v>
      </c>
      <c r="H570">
        <f>Sensitivity!H17</f>
        <v/>
      </c>
    </row>
    <row r="571">
      <c r="A571" t="inlineStr">
        <is>
          <t>boots</t>
        </is>
      </c>
      <c r="B571" t="inlineStr">
        <is>
          <t>unique</t>
        </is>
      </c>
      <c r="C571" t="n">
        <v>2</v>
      </c>
      <c r="D571" t="inlineStr">
        <is>
          <t>Companion Summoning Time Increase %</t>
        </is>
      </c>
      <c r="E571" t="n">
        <v>5</v>
      </c>
      <c r="F571" t="n">
        <v>0.76</v>
      </c>
      <c r="G571" t="b">
        <v>0</v>
      </c>
      <c r="H571">
        <f>Sensitivity!H17</f>
        <v/>
      </c>
    </row>
    <row r="572">
      <c r="A572" t="inlineStr">
        <is>
          <t>boots</t>
        </is>
      </c>
      <c r="B572" t="inlineStr">
        <is>
          <t>unique</t>
        </is>
      </c>
      <c r="C572" t="n">
        <v>3</v>
      </c>
      <c r="D572" t="inlineStr">
        <is>
          <t>Companion Summoning Time Increase %</t>
        </is>
      </c>
      <c r="E572" t="n">
        <v>8</v>
      </c>
      <c r="F572" t="n">
        <v>0.08</v>
      </c>
      <c r="G572" t="b">
        <v>1</v>
      </c>
      <c r="H572">
        <f>Sensitivity!H17</f>
        <v/>
      </c>
    </row>
    <row r="573">
      <c r="A573" t="inlineStr">
        <is>
          <t>boots</t>
        </is>
      </c>
      <c r="B573" t="inlineStr">
        <is>
          <t>unique</t>
        </is>
      </c>
      <c r="C573" t="n">
        <v>3</v>
      </c>
      <c r="D573" t="inlineStr">
        <is>
          <t>Companion Summoning Time Increase %</t>
        </is>
      </c>
      <c r="E573" t="n">
        <v>5</v>
      </c>
      <c r="F573" t="n">
        <v>0.92</v>
      </c>
      <c r="G573" t="b">
        <v>0</v>
      </c>
      <c r="H573">
        <f>Sensitivity!H17</f>
        <v/>
      </c>
    </row>
    <row r="574">
      <c r="A574" t="inlineStr">
        <is>
          <t>boots</t>
        </is>
      </c>
      <c r="B574" t="inlineStr">
        <is>
          <t>legendary</t>
        </is>
      </c>
      <c r="C574" t="n">
        <v>1</v>
      </c>
      <c r="D574" t="inlineStr">
        <is>
          <t>Companion Summoning Time Increase %</t>
        </is>
      </c>
      <c r="E574" t="n">
        <v>12</v>
      </c>
      <c r="F574" t="n">
        <v>1</v>
      </c>
      <c r="G574" t="b">
        <v>1</v>
      </c>
      <c r="H574">
        <f>Sensitivity!H17</f>
        <v/>
      </c>
    </row>
    <row r="575">
      <c r="A575" t="inlineStr">
        <is>
          <t>boots</t>
        </is>
      </c>
      <c r="B575" t="inlineStr">
        <is>
          <t>legendary</t>
        </is>
      </c>
      <c r="C575" t="n">
        <v>2</v>
      </c>
      <c r="D575" t="inlineStr">
        <is>
          <t>Companion Summoning Time Increase %</t>
        </is>
      </c>
      <c r="E575" t="n">
        <v>12</v>
      </c>
      <c r="F575" t="n">
        <v>0.24</v>
      </c>
      <c r="G575" t="b">
        <v>1</v>
      </c>
      <c r="H575">
        <f>Sensitivity!H17</f>
        <v/>
      </c>
    </row>
    <row r="576">
      <c r="A576" t="inlineStr">
        <is>
          <t>boots</t>
        </is>
      </c>
      <c r="B576" t="inlineStr">
        <is>
          <t>legendary</t>
        </is>
      </c>
      <c r="C576" t="n">
        <v>2</v>
      </c>
      <c r="D576" t="inlineStr">
        <is>
          <t>Companion Summoning Time Increase %</t>
        </is>
      </c>
      <c r="E576" t="n">
        <v>8</v>
      </c>
      <c r="F576" t="n">
        <v>0.76</v>
      </c>
      <c r="G576" t="b">
        <v>0</v>
      </c>
      <c r="H576">
        <f>Sensitivity!H17</f>
        <v/>
      </c>
    </row>
    <row r="577">
      <c r="A577" t="inlineStr">
        <is>
          <t>boots</t>
        </is>
      </c>
      <c r="B577" t="inlineStr">
        <is>
          <t>legendary</t>
        </is>
      </c>
      <c r="C577" t="n">
        <v>3</v>
      </c>
      <c r="D577" t="inlineStr">
        <is>
          <t>Companion Summoning Time Increase %</t>
        </is>
      </c>
      <c r="E577" t="n">
        <v>12</v>
      </c>
      <c r="F577" t="n">
        <v>0.08</v>
      </c>
      <c r="G577" t="b">
        <v>1</v>
      </c>
      <c r="H577">
        <f>Sensitivity!H17</f>
        <v/>
      </c>
    </row>
    <row r="578">
      <c r="A578" t="inlineStr">
        <is>
          <t>boots</t>
        </is>
      </c>
      <c r="B578" t="inlineStr">
        <is>
          <t>legendary</t>
        </is>
      </c>
      <c r="C578" t="n">
        <v>3</v>
      </c>
      <c r="D578" t="inlineStr">
        <is>
          <t>Companion Summoning Time Increase %</t>
        </is>
      </c>
      <c r="E578" t="n">
        <v>8</v>
      </c>
      <c r="F578" t="n">
        <v>0.92</v>
      </c>
      <c r="G578" t="b">
        <v>0</v>
      </c>
      <c r="H578">
        <f>Sensitivity!H17</f>
        <v/>
      </c>
    </row>
    <row r="579">
      <c r="A579" t="inlineStr">
        <is>
          <t>boots</t>
        </is>
      </c>
      <c r="B579" t="inlineStr">
        <is>
          <t>mystic</t>
        </is>
      </c>
      <c r="C579" t="n">
        <v>1</v>
      </c>
      <c r="D579" t="inlineStr">
        <is>
          <t>Companion Summoning Time Increase %</t>
        </is>
      </c>
      <c r="E579" t="n">
        <v>20</v>
      </c>
      <c r="F579" t="n">
        <v>1</v>
      </c>
      <c r="G579" t="b">
        <v>1</v>
      </c>
      <c r="H579">
        <f>Sensitivity!H17</f>
        <v/>
      </c>
    </row>
    <row r="580">
      <c r="A580" t="inlineStr">
        <is>
          <t>boots</t>
        </is>
      </c>
      <c r="B580" t="inlineStr">
        <is>
          <t>mystic</t>
        </is>
      </c>
      <c r="C580" t="n">
        <v>2</v>
      </c>
      <c r="D580" t="inlineStr">
        <is>
          <t>Companion Summoning Time Increase %</t>
        </is>
      </c>
      <c r="E580" t="n">
        <v>20</v>
      </c>
      <c r="F580" t="n">
        <v>0.24</v>
      </c>
      <c r="G580" t="b">
        <v>1</v>
      </c>
      <c r="H580">
        <f>Sensitivity!H17</f>
        <v/>
      </c>
    </row>
    <row r="581">
      <c r="A581" t="inlineStr">
        <is>
          <t>boots</t>
        </is>
      </c>
      <c r="B581" t="inlineStr">
        <is>
          <t>mystic</t>
        </is>
      </c>
      <c r="C581" t="n">
        <v>2</v>
      </c>
      <c r="D581" t="inlineStr">
        <is>
          <t>Companion Summoning Time Increase %</t>
        </is>
      </c>
      <c r="E581" t="n">
        <v>12</v>
      </c>
      <c r="F581" t="n">
        <v>0.76</v>
      </c>
      <c r="G581" t="b">
        <v>0</v>
      </c>
      <c r="H581">
        <f>Sensitivity!H17</f>
        <v/>
      </c>
    </row>
    <row r="582">
      <c r="A582" t="inlineStr">
        <is>
          <t>boots</t>
        </is>
      </c>
      <c r="B582" t="inlineStr">
        <is>
          <t>mystic</t>
        </is>
      </c>
      <c r="C582" t="n">
        <v>3</v>
      </c>
      <c r="D582" t="inlineStr">
        <is>
          <t>Companion Summoning Time Increase %</t>
        </is>
      </c>
      <c r="E582" t="n">
        <v>20</v>
      </c>
      <c r="F582" t="n">
        <v>0.08</v>
      </c>
      <c r="G582" t="b">
        <v>1</v>
      </c>
      <c r="H582">
        <f>Sensitivity!H17</f>
        <v/>
      </c>
    </row>
    <row r="583">
      <c r="A583" t="inlineStr">
        <is>
          <t>boots</t>
        </is>
      </c>
      <c r="B583" t="inlineStr">
        <is>
          <t>mystic</t>
        </is>
      </c>
      <c r="C583" t="n">
        <v>3</v>
      </c>
      <c r="D583" t="inlineStr">
        <is>
          <t>Companion Summoning Time Increase %</t>
        </is>
      </c>
      <c r="E583" t="n">
        <v>12</v>
      </c>
      <c r="F583" t="n">
        <v>0.92</v>
      </c>
      <c r="G583" t="b">
        <v>0</v>
      </c>
      <c r="H583">
        <f>Sensitivity!H17</f>
        <v/>
      </c>
    </row>
    <row r="584">
      <c r="A584" t="inlineStr">
        <is>
          <t>ring</t>
        </is>
      </c>
      <c r="B584" t="inlineStr">
        <is>
          <t>epic</t>
        </is>
      </c>
      <c r="C584" t="n">
        <v>1</v>
      </c>
      <c r="D584" t="inlineStr">
        <is>
          <t>All Skill Level</t>
        </is>
      </c>
      <c r="E584" t="n">
        <v>5</v>
      </c>
      <c r="F584" t="n">
        <v>1</v>
      </c>
      <c r="G584" t="b">
        <v>1</v>
      </c>
      <c r="H584">
        <f>Sensitivity!H26</f>
        <v/>
      </c>
    </row>
    <row r="585">
      <c r="A585" t="inlineStr">
        <is>
          <t>ring</t>
        </is>
      </c>
      <c r="B585" t="inlineStr">
        <is>
          <t>epic</t>
        </is>
      </c>
      <c r="C585" t="n">
        <v>2</v>
      </c>
      <c r="D585" t="inlineStr">
        <is>
          <t>All Skill Level</t>
        </is>
      </c>
      <c r="E585" t="n">
        <v>5</v>
      </c>
      <c r="F585" t="n">
        <v>0.24</v>
      </c>
      <c r="G585" t="b">
        <v>1</v>
      </c>
      <c r="H585">
        <f>Sensitivity!H26</f>
        <v/>
      </c>
    </row>
    <row r="586">
      <c r="A586" t="inlineStr">
        <is>
          <t>ring</t>
        </is>
      </c>
      <c r="B586" t="inlineStr">
        <is>
          <t>epic</t>
        </is>
      </c>
      <c r="C586" t="n">
        <v>3</v>
      </c>
      <c r="D586" t="inlineStr">
        <is>
          <t>All Skill Level</t>
        </is>
      </c>
      <c r="E586" t="n">
        <v>5</v>
      </c>
      <c r="F586" t="n">
        <v>0.08</v>
      </c>
      <c r="G586" t="b">
        <v>1</v>
      </c>
      <c r="H586">
        <f>Sensitivity!H26</f>
        <v/>
      </c>
    </row>
    <row r="587">
      <c r="A587" t="inlineStr">
        <is>
          <t>ring</t>
        </is>
      </c>
      <c r="B587" t="inlineStr">
        <is>
          <t>unique</t>
        </is>
      </c>
      <c r="C587" t="n">
        <v>1</v>
      </c>
      <c r="D587" t="inlineStr">
        <is>
          <t>All Skill Level</t>
        </is>
      </c>
      <c r="E587" t="n">
        <v>8</v>
      </c>
      <c r="F587" t="n">
        <v>1</v>
      </c>
      <c r="G587" t="b">
        <v>1</v>
      </c>
      <c r="H587">
        <f>Sensitivity!H26</f>
        <v/>
      </c>
    </row>
    <row r="588">
      <c r="A588" t="inlineStr">
        <is>
          <t>ring</t>
        </is>
      </c>
      <c r="B588" t="inlineStr">
        <is>
          <t>unique</t>
        </is>
      </c>
      <c r="C588" t="n">
        <v>2</v>
      </c>
      <c r="D588" t="inlineStr">
        <is>
          <t>All Skill Level</t>
        </is>
      </c>
      <c r="E588" t="n">
        <v>8</v>
      </c>
      <c r="F588" t="n">
        <v>0.24</v>
      </c>
      <c r="G588" t="b">
        <v>1</v>
      </c>
      <c r="H588">
        <f>Sensitivity!H26</f>
        <v/>
      </c>
    </row>
    <row r="589">
      <c r="A589" t="inlineStr">
        <is>
          <t>ring</t>
        </is>
      </c>
      <c r="B589" t="inlineStr">
        <is>
          <t>unique</t>
        </is>
      </c>
      <c r="C589" t="n">
        <v>2</v>
      </c>
      <c r="D589" t="inlineStr">
        <is>
          <t>All Skill Level</t>
        </is>
      </c>
      <c r="E589" t="n">
        <v>5</v>
      </c>
      <c r="F589" t="n">
        <v>0.76</v>
      </c>
      <c r="G589" t="b">
        <v>0</v>
      </c>
      <c r="H589">
        <f>Sensitivity!H26</f>
        <v/>
      </c>
    </row>
    <row r="590">
      <c r="A590" t="inlineStr">
        <is>
          <t>ring</t>
        </is>
      </c>
      <c r="B590" t="inlineStr">
        <is>
          <t>unique</t>
        </is>
      </c>
      <c r="C590" t="n">
        <v>3</v>
      </c>
      <c r="D590" t="inlineStr">
        <is>
          <t>All Skill Level</t>
        </is>
      </c>
      <c r="E590" t="n">
        <v>8</v>
      </c>
      <c r="F590" t="n">
        <v>0.08</v>
      </c>
      <c r="G590" t="b">
        <v>1</v>
      </c>
      <c r="H590">
        <f>Sensitivity!H26</f>
        <v/>
      </c>
    </row>
    <row r="591">
      <c r="A591" t="inlineStr">
        <is>
          <t>ring</t>
        </is>
      </c>
      <c r="B591" t="inlineStr">
        <is>
          <t>unique</t>
        </is>
      </c>
      <c r="C591" t="n">
        <v>3</v>
      </c>
      <c r="D591" t="inlineStr">
        <is>
          <t>All Skill Level</t>
        </is>
      </c>
      <c r="E591" t="n">
        <v>5</v>
      </c>
      <c r="F591" t="n">
        <v>0.92</v>
      </c>
      <c r="G591" t="b">
        <v>0</v>
      </c>
      <c r="H591">
        <f>Sensitivity!H26</f>
        <v/>
      </c>
    </row>
    <row r="592">
      <c r="A592" t="inlineStr">
        <is>
          <t>ring</t>
        </is>
      </c>
      <c r="B592" t="inlineStr">
        <is>
          <t>legendary</t>
        </is>
      </c>
      <c r="C592" t="n">
        <v>1</v>
      </c>
      <c r="D592" t="inlineStr">
        <is>
          <t>All Skill Level</t>
        </is>
      </c>
      <c r="E592" t="n">
        <v>12</v>
      </c>
      <c r="F592" t="n">
        <v>1</v>
      </c>
      <c r="G592" t="b">
        <v>1</v>
      </c>
      <c r="H592">
        <f>Sensitivity!H26</f>
        <v/>
      </c>
    </row>
    <row r="593">
      <c r="A593" t="inlineStr">
        <is>
          <t>ring</t>
        </is>
      </c>
      <c r="B593" t="inlineStr">
        <is>
          <t>legendary</t>
        </is>
      </c>
      <c r="C593" t="n">
        <v>2</v>
      </c>
      <c r="D593" t="inlineStr">
        <is>
          <t>All Skill Level</t>
        </is>
      </c>
      <c r="E593" t="n">
        <v>12</v>
      </c>
      <c r="F593" t="n">
        <v>0.24</v>
      </c>
      <c r="G593" t="b">
        <v>1</v>
      </c>
      <c r="H593">
        <f>Sensitivity!H26</f>
        <v/>
      </c>
    </row>
    <row r="594">
      <c r="A594" t="inlineStr">
        <is>
          <t>ring</t>
        </is>
      </c>
      <c r="B594" t="inlineStr">
        <is>
          <t>legendary</t>
        </is>
      </c>
      <c r="C594" t="n">
        <v>2</v>
      </c>
      <c r="D594" t="inlineStr">
        <is>
          <t>All Skill Level</t>
        </is>
      </c>
      <c r="E594" t="n">
        <v>8</v>
      </c>
      <c r="F594" t="n">
        <v>0.76</v>
      </c>
      <c r="G594" t="b">
        <v>0</v>
      </c>
      <c r="H594">
        <f>Sensitivity!H26</f>
        <v/>
      </c>
    </row>
    <row r="595">
      <c r="A595" t="inlineStr">
        <is>
          <t>ring</t>
        </is>
      </c>
      <c r="B595" t="inlineStr">
        <is>
          <t>legendary</t>
        </is>
      </c>
      <c r="C595" t="n">
        <v>3</v>
      </c>
      <c r="D595" t="inlineStr">
        <is>
          <t>All Skill Level</t>
        </is>
      </c>
      <c r="E595" t="n">
        <v>12</v>
      </c>
      <c r="F595" t="n">
        <v>0.08</v>
      </c>
      <c r="G595" t="b">
        <v>1</v>
      </c>
      <c r="H595">
        <f>Sensitivity!H26</f>
        <v/>
      </c>
    </row>
    <row r="596">
      <c r="A596" t="inlineStr">
        <is>
          <t>ring</t>
        </is>
      </c>
      <c r="B596" t="inlineStr">
        <is>
          <t>legendary</t>
        </is>
      </c>
      <c r="C596" t="n">
        <v>3</v>
      </c>
      <c r="D596" t="inlineStr">
        <is>
          <t>All Skill Level</t>
        </is>
      </c>
      <c r="E596" t="n">
        <v>8</v>
      </c>
      <c r="F596" t="n">
        <v>0.92</v>
      </c>
      <c r="G596" t="b">
        <v>0</v>
      </c>
      <c r="H596">
        <f>Sensitivity!H26</f>
        <v/>
      </c>
    </row>
    <row r="597">
      <c r="A597" t="inlineStr">
        <is>
          <t>ring</t>
        </is>
      </c>
      <c r="B597" t="inlineStr">
        <is>
          <t>mystic</t>
        </is>
      </c>
      <c r="C597" t="n">
        <v>1</v>
      </c>
      <c r="D597" t="inlineStr">
        <is>
          <t>All Skill Level</t>
        </is>
      </c>
      <c r="E597" t="n">
        <v>16</v>
      </c>
      <c r="F597" t="n">
        <v>1</v>
      </c>
      <c r="G597" t="b">
        <v>1</v>
      </c>
      <c r="H597">
        <f>Sensitivity!H26</f>
        <v/>
      </c>
    </row>
    <row r="598">
      <c r="A598" t="inlineStr">
        <is>
          <t>ring</t>
        </is>
      </c>
      <c r="B598" t="inlineStr">
        <is>
          <t>mystic</t>
        </is>
      </c>
      <c r="C598" t="n">
        <v>2</v>
      </c>
      <c r="D598" t="inlineStr">
        <is>
          <t>All Skill Level</t>
        </is>
      </c>
      <c r="E598" t="n">
        <v>16</v>
      </c>
      <c r="F598" t="n">
        <v>0.24</v>
      </c>
      <c r="G598" t="b">
        <v>1</v>
      </c>
      <c r="H598">
        <f>Sensitivity!H26</f>
        <v/>
      </c>
    </row>
    <row r="599">
      <c r="A599" t="inlineStr">
        <is>
          <t>ring</t>
        </is>
      </c>
      <c r="B599" t="inlineStr">
        <is>
          <t>mystic</t>
        </is>
      </c>
      <c r="C599" t="n">
        <v>2</v>
      </c>
      <c r="D599" t="inlineStr">
        <is>
          <t>All Skill Level</t>
        </is>
      </c>
      <c r="E599" t="n">
        <v>12</v>
      </c>
      <c r="F599" t="n">
        <v>0.76</v>
      </c>
      <c r="G599" t="b">
        <v>0</v>
      </c>
      <c r="H599">
        <f>Sensitivity!H26</f>
        <v/>
      </c>
    </row>
    <row r="600">
      <c r="A600" t="inlineStr">
        <is>
          <t>ring</t>
        </is>
      </c>
      <c r="B600" t="inlineStr">
        <is>
          <t>mystic</t>
        </is>
      </c>
      <c r="C600" t="n">
        <v>3</v>
      </c>
      <c r="D600" t="inlineStr">
        <is>
          <t>All Skill Level</t>
        </is>
      </c>
      <c r="E600" t="n">
        <v>16</v>
      </c>
      <c r="F600" t="n">
        <v>0.08</v>
      </c>
      <c r="G600" t="b">
        <v>1</v>
      </c>
      <c r="H600">
        <f>Sensitivity!H26</f>
        <v/>
      </c>
    </row>
    <row r="601">
      <c r="A601" t="inlineStr">
        <is>
          <t>ring</t>
        </is>
      </c>
      <c r="B601" t="inlineStr">
        <is>
          <t>mystic</t>
        </is>
      </c>
      <c r="C601" t="n">
        <v>3</v>
      </c>
      <c r="D601" t="inlineStr">
        <is>
          <t>All Skill Level</t>
        </is>
      </c>
      <c r="E601" t="n">
        <v>12</v>
      </c>
      <c r="F601" t="n">
        <v>0.92</v>
      </c>
      <c r="G601" t="b">
        <v>0</v>
      </c>
      <c r="H601">
        <f>Sensitivity!H26</f>
        <v/>
      </c>
    </row>
    <row r="602">
      <c r="A602" t="inlineStr">
        <is>
          <t>neck</t>
        </is>
      </c>
      <c r="B602" t="inlineStr">
        <is>
          <t>epic</t>
        </is>
      </c>
      <c r="C602" t="n">
        <v>1</v>
      </c>
      <c r="D602" t="inlineStr">
        <is>
          <t>All Skill Level</t>
        </is>
      </c>
      <c r="E602" t="n">
        <v>5</v>
      </c>
      <c r="F602" t="n">
        <v>1</v>
      </c>
      <c r="G602" t="b">
        <v>1</v>
      </c>
      <c r="H602">
        <f>Sensitivity!H26</f>
        <v/>
      </c>
    </row>
    <row r="603">
      <c r="A603" t="inlineStr">
        <is>
          <t>neck</t>
        </is>
      </c>
      <c r="B603" t="inlineStr">
        <is>
          <t>epic</t>
        </is>
      </c>
      <c r="C603" t="n">
        <v>2</v>
      </c>
      <c r="D603" t="inlineStr">
        <is>
          <t>All Skill Level</t>
        </is>
      </c>
      <c r="E603" t="n">
        <v>5</v>
      </c>
      <c r="F603" t="n">
        <v>0.24</v>
      </c>
      <c r="G603" t="b">
        <v>1</v>
      </c>
      <c r="H603">
        <f>Sensitivity!H26</f>
        <v/>
      </c>
    </row>
    <row r="604">
      <c r="A604" t="inlineStr">
        <is>
          <t>neck</t>
        </is>
      </c>
      <c r="B604" t="inlineStr">
        <is>
          <t>epic</t>
        </is>
      </c>
      <c r="C604" t="n">
        <v>3</v>
      </c>
      <c r="D604" t="inlineStr">
        <is>
          <t>All Skill Level</t>
        </is>
      </c>
      <c r="E604" t="n">
        <v>5</v>
      </c>
      <c r="F604" t="n">
        <v>0.08</v>
      </c>
      <c r="G604" t="b">
        <v>1</v>
      </c>
      <c r="H604">
        <f>Sensitivity!H26</f>
        <v/>
      </c>
    </row>
    <row r="605">
      <c r="A605" t="inlineStr">
        <is>
          <t>neck</t>
        </is>
      </c>
      <c r="B605" t="inlineStr">
        <is>
          <t>unique</t>
        </is>
      </c>
      <c r="C605" t="n">
        <v>1</v>
      </c>
      <c r="D605" t="inlineStr">
        <is>
          <t>All Skill Level</t>
        </is>
      </c>
      <c r="E605" t="n">
        <v>8</v>
      </c>
      <c r="F605" t="n">
        <v>1</v>
      </c>
      <c r="G605" t="b">
        <v>1</v>
      </c>
      <c r="H605">
        <f>Sensitivity!H26</f>
        <v/>
      </c>
    </row>
    <row r="606">
      <c r="A606" t="inlineStr">
        <is>
          <t>neck</t>
        </is>
      </c>
      <c r="B606" t="inlineStr">
        <is>
          <t>unique</t>
        </is>
      </c>
      <c r="C606" t="n">
        <v>2</v>
      </c>
      <c r="D606" t="inlineStr">
        <is>
          <t>All Skill Level</t>
        </is>
      </c>
      <c r="E606" t="n">
        <v>8</v>
      </c>
      <c r="F606" t="n">
        <v>0.24</v>
      </c>
      <c r="G606" t="b">
        <v>1</v>
      </c>
      <c r="H606">
        <f>Sensitivity!H26</f>
        <v/>
      </c>
    </row>
    <row r="607">
      <c r="A607" t="inlineStr">
        <is>
          <t>neck</t>
        </is>
      </c>
      <c r="B607" t="inlineStr">
        <is>
          <t>unique</t>
        </is>
      </c>
      <c r="C607" t="n">
        <v>2</v>
      </c>
      <c r="D607" t="inlineStr">
        <is>
          <t>All Skill Level</t>
        </is>
      </c>
      <c r="E607" t="n">
        <v>5</v>
      </c>
      <c r="F607" t="n">
        <v>0.76</v>
      </c>
      <c r="G607" t="b">
        <v>0</v>
      </c>
      <c r="H607">
        <f>Sensitivity!H26</f>
        <v/>
      </c>
    </row>
    <row r="608">
      <c r="A608" t="inlineStr">
        <is>
          <t>neck</t>
        </is>
      </c>
      <c r="B608" t="inlineStr">
        <is>
          <t>unique</t>
        </is>
      </c>
      <c r="C608" t="n">
        <v>3</v>
      </c>
      <c r="D608" t="inlineStr">
        <is>
          <t>All Skill Level</t>
        </is>
      </c>
      <c r="E608" t="n">
        <v>8</v>
      </c>
      <c r="F608" t="n">
        <v>0.08</v>
      </c>
      <c r="G608" t="b">
        <v>1</v>
      </c>
      <c r="H608">
        <f>Sensitivity!H26</f>
        <v/>
      </c>
    </row>
    <row r="609">
      <c r="A609" t="inlineStr">
        <is>
          <t>neck</t>
        </is>
      </c>
      <c r="B609" t="inlineStr">
        <is>
          <t>unique</t>
        </is>
      </c>
      <c r="C609" t="n">
        <v>3</v>
      </c>
      <c r="D609" t="inlineStr">
        <is>
          <t>All Skill Level</t>
        </is>
      </c>
      <c r="E609" t="n">
        <v>5</v>
      </c>
      <c r="F609" t="n">
        <v>0.92</v>
      </c>
      <c r="G609" t="b">
        <v>0</v>
      </c>
      <c r="H609">
        <f>Sensitivity!H26</f>
        <v/>
      </c>
    </row>
    <row r="610">
      <c r="A610" t="inlineStr">
        <is>
          <t>neck</t>
        </is>
      </c>
      <c r="B610" t="inlineStr">
        <is>
          <t>legendary</t>
        </is>
      </c>
      <c r="C610" t="n">
        <v>1</v>
      </c>
      <c r="D610" t="inlineStr">
        <is>
          <t>All Skill Level</t>
        </is>
      </c>
      <c r="E610" t="n">
        <v>12</v>
      </c>
      <c r="F610" t="n">
        <v>1</v>
      </c>
      <c r="G610" t="b">
        <v>1</v>
      </c>
      <c r="H610">
        <f>Sensitivity!H26</f>
        <v/>
      </c>
    </row>
    <row r="611">
      <c r="A611" t="inlineStr">
        <is>
          <t>neck</t>
        </is>
      </c>
      <c r="B611" t="inlineStr">
        <is>
          <t>legendary</t>
        </is>
      </c>
      <c r="C611" t="n">
        <v>2</v>
      </c>
      <c r="D611" t="inlineStr">
        <is>
          <t>All Skill Level</t>
        </is>
      </c>
      <c r="E611" t="n">
        <v>12</v>
      </c>
      <c r="F611" t="n">
        <v>0.24</v>
      </c>
      <c r="G611" t="b">
        <v>1</v>
      </c>
      <c r="H611">
        <f>Sensitivity!H26</f>
        <v/>
      </c>
    </row>
    <row r="612">
      <c r="A612" t="inlineStr">
        <is>
          <t>neck</t>
        </is>
      </c>
      <c r="B612" t="inlineStr">
        <is>
          <t>legendary</t>
        </is>
      </c>
      <c r="C612" t="n">
        <v>2</v>
      </c>
      <c r="D612" t="inlineStr">
        <is>
          <t>All Skill Level</t>
        </is>
      </c>
      <c r="E612" t="n">
        <v>8</v>
      </c>
      <c r="F612" t="n">
        <v>0.76</v>
      </c>
      <c r="G612" t="b">
        <v>0</v>
      </c>
      <c r="H612">
        <f>Sensitivity!H26</f>
        <v/>
      </c>
    </row>
    <row r="613">
      <c r="A613" t="inlineStr">
        <is>
          <t>neck</t>
        </is>
      </c>
      <c r="B613" t="inlineStr">
        <is>
          <t>legendary</t>
        </is>
      </c>
      <c r="C613" t="n">
        <v>3</v>
      </c>
      <c r="D613" t="inlineStr">
        <is>
          <t>All Skill Level</t>
        </is>
      </c>
      <c r="E613" t="n">
        <v>12</v>
      </c>
      <c r="F613" t="n">
        <v>0.08</v>
      </c>
      <c r="G613" t="b">
        <v>1</v>
      </c>
      <c r="H613">
        <f>Sensitivity!H26</f>
        <v/>
      </c>
    </row>
    <row r="614">
      <c r="A614" t="inlineStr">
        <is>
          <t>neck</t>
        </is>
      </c>
      <c r="B614" t="inlineStr">
        <is>
          <t>legendary</t>
        </is>
      </c>
      <c r="C614" t="n">
        <v>3</v>
      </c>
      <c r="D614" t="inlineStr">
        <is>
          <t>All Skill Level</t>
        </is>
      </c>
      <c r="E614" t="n">
        <v>8</v>
      </c>
      <c r="F614" t="n">
        <v>0.92</v>
      </c>
      <c r="G614" t="b">
        <v>0</v>
      </c>
      <c r="H614">
        <f>Sensitivity!H26</f>
        <v/>
      </c>
    </row>
    <row r="615">
      <c r="A615" t="inlineStr">
        <is>
          <t>neck</t>
        </is>
      </c>
      <c r="B615" t="inlineStr">
        <is>
          <t>mystic</t>
        </is>
      </c>
      <c r="C615" t="n">
        <v>1</v>
      </c>
      <c r="D615" t="inlineStr">
        <is>
          <t>All Skill Level</t>
        </is>
      </c>
      <c r="E615" t="n">
        <v>16</v>
      </c>
      <c r="F615" t="n">
        <v>1</v>
      </c>
      <c r="G615" t="b">
        <v>1</v>
      </c>
      <c r="H615">
        <f>Sensitivity!H26</f>
        <v/>
      </c>
    </row>
    <row r="616">
      <c r="A616" t="inlineStr">
        <is>
          <t>neck</t>
        </is>
      </c>
      <c r="B616" t="inlineStr">
        <is>
          <t>mystic</t>
        </is>
      </c>
      <c r="C616" t="n">
        <v>2</v>
      </c>
      <c r="D616" t="inlineStr">
        <is>
          <t>All Skill Level</t>
        </is>
      </c>
      <c r="E616" t="n">
        <v>16</v>
      </c>
      <c r="F616" t="n">
        <v>0.24</v>
      </c>
      <c r="G616" t="b">
        <v>1</v>
      </c>
      <c r="H616">
        <f>Sensitivity!H26</f>
        <v/>
      </c>
    </row>
    <row r="617">
      <c r="A617" t="inlineStr">
        <is>
          <t>neck</t>
        </is>
      </c>
      <c r="B617" t="inlineStr">
        <is>
          <t>mystic</t>
        </is>
      </c>
      <c r="C617" t="n">
        <v>2</v>
      </c>
      <c r="D617" t="inlineStr">
        <is>
          <t>All Skill Level</t>
        </is>
      </c>
      <c r="E617" t="n">
        <v>12</v>
      </c>
      <c r="F617" t="n">
        <v>0.76</v>
      </c>
      <c r="G617" t="b">
        <v>0</v>
      </c>
      <c r="H617">
        <f>Sensitivity!H26</f>
        <v/>
      </c>
    </row>
    <row r="618">
      <c r="A618" t="inlineStr">
        <is>
          <t>neck</t>
        </is>
      </c>
      <c r="B618" t="inlineStr">
        <is>
          <t>mystic</t>
        </is>
      </c>
      <c r="C618" t="n">
        <v>3</v>
      </c>
      <c r="D618" t="inlineStr">
        <is>
          <t>All Skill Level</t>
        </is>
      </c>
      <c r="E618" t="n">
        <v>16</v>
      </c>
      <c r="F618" t="n">
        <v>0.08</v>
      </c>
      <c r="G618" t="b">
        <v>1</v>
      </c>
      <c r="H618">
        <f>Sensitivity!H26</f>
        <v/>
      </c>
    </row>
    <row r="619">
      <c r="A619" t="inlineStr">
        <is>
          <t>neck</t>
        </is>
      </c>
      <c r="B619" t="inlineStr">
        <is>
          <t>mystic</t>
        </is>
      </c>
      <c r="C619" t="n">
        <v>3</v>
      </c>
      <c r="D619" t="inlineStr">
        <is>
          <t>All Skill Level</t>
        </is>
      </c>
      <c r="E619" t="n">
        <v>12</v>
      </c>
      <c r="F619" t="n">
        <v>0.92</v>
      </c>
      <c r="G619" t="b">
        <v>0</v>
      </c>
      <c r="H619">
        <f>Sensitivity!H26</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Sensitivity!H20</f>
        <v/>
      </c>
    </row>
    <row r="639">
      <c r="A639" t="inlineStr">
        <is>
          <t>ring2</t>
        </is>
      </c>
      <c r="B639" t="inlineStr">
        <is>
          <t>epic</t>
        </is>
      </c>
      <c r="C639" t="n">
        <v>2</v>
      </c>
      <c r="D639" t="inlineStr">
        <is>
          <t>Basic Attack Damage %</t>
        </is>
      </c>
      <c r="E639" t="n">
        <v>8</v>
      </c>
      <c r="F639" t="n">
        <v>0.24</v>
      </c>
      <c r="G639" t="b">
        <v>1</v>
      </c>
      <c r="H639">
        <f>Sensitivity!H20</f>
        <v/>
      </c>
    </row>
    <row r="640">
      <c r="A640" t="inlineStr">
        <is>
          <t>ring2</t>
        </is>
      </c>
      <c r="B640" t="inlineStr">
        <is>
          <t>epic</t>
        </is>
      </c>
      <c r="C640" t="n">
        <v>3</v>
      </c>
      <c r="D640" t="inlineStr">
        <is>
          <t>Basic Attack Damage %</t>
        </is>
      </c>
      <c r="E640" t="n">
        <v>8</v>
      </c>
      <c r="F640" t="n">
        <v>0.08</v>
      </c>
      <c r="G640" t="b">
        <v>1</v>
      </c>
      <c r="H640">
        <f>Sensitivity!H20</f>
        <v/>
      </c>
    </row>
    <row r="641">
      <c r="A641" t="inlineStr">
        <is>
          <t>ring2</t>
        </is>
      </c>
      <c r="B641" t="inlineStr">
        <is>
          <t>unique</t>
        </is>
      </c>
      <c r="C641" t="n">
        <v>1</v>
      </c>
      <c r="D641" t="inlineStr">
        <is>
          <t>Basic Attack Damage %</t>
        </is>
      </c>
      <c r="E641" t="n">
        <v>14</v>
      </c>
      <c r="F641" t="n">
        <v>1</v>
      </c>
      <c r="G641" t="b">
        <v>1</v>
      </c>
      <c r="H641">
        <f>Sensitivity!H20</f>
        <v/>
      </c>
    </row>
    <row r="642">
      <c r="A642" t="inlineStr">
        <is>
          <t>ring2</t>
        </is>
      </c>
      <c r="B642" t="inlineStr">
        <is>
          <t>unique</t>
        </is>
      </c>
      <c r="C642" t="n">
        <v>2</v>
      </c>
      <c r="D642" t="inlineStr">
        <is>
          <t>Basic Attack Damage %</t>
        </is>
      </c>
      <c r="E642" t="n">
        <v>14</v>
      </c>
      <c r="F642" t="n">
        <v>0.24</v>
      </c>
      <c r="G642" t="b">
        <v>1</v>
      </c>
      <c r="H642">
        <f>Sensitivity!H20</f>
        <v/>
      </c>
    </row>
    <row r="643">
      <c r="A643" t="inlineStr">
        <is>
          <t>ring2</t>
        </is>
      </c>
      <c r="B643" t="inlineStr">
        <is>
          <t>unique</t>
        </is>
      </c>
      <c r="C643" t="n">
        <v>2</v>
      </c>
      <c r="D643" t="inlineStr">
        <is>
          <t>Basic Attack Damage %</t>
        </is>
      </c>
      <c r="E643" t="n">
        <v>8</v>
      </c>
      <c r="F643" t="n">
        <v>0.76</v>
      </c>
      <c r="G643" t="b">
        <v>0</v>
      </c>
      <c r="H643">
        <f>Sensitivity!H20</f>
        <v/>
      </c>
    </row>
    <row r="644">
      <c r="A644" t="inlineStr">
        <is>
          <t>ring2</t>
        </is>
      </c>
      <c r="B644" t="inlineStr">
        <is>
          <t>unique</t>
        </is>
      </c>
      <c r="C644" t="n">
        <v>3</v>
      </c>
      <c r="D644" t="inlineStr">
        <is>
          <t>Basic Attack Damage %</t>
        </is>
      </c>
      <c r="E644" t="n">
        <v>14</v>
      </c>
      <c r="F644" t="n">
        <v>0.08</v>
      </c>
      <c r="G644" t="b">
        <v>1</v>
      </c>
      <c r="H644">
        <f>Sensitivity!H20</f>
        <v/>
      </c>
    </row>
    <row r="645">
      <c r="A645" t="inlineStr">
        <is>
          <t>ring2</t>
        </is>
      </c>
      <c r="B645" t="inlineStr">
        <is>
          <t>unique</t>
        </is>
      </c>
      <c r="C645" t="n">
        <v>3</v>
      </c>
      <c r="D645" t="inlineStr">
        <is>
          <t>Basic Attack Damage %</t>
        </is>
      </c>
      <c r="E645" t="n">
        <v>8</v>
      </c>
      <c r="F645" t="n">
        <v>0.92</v>
      </c>
      <c r="G645" t="b">
        <v>0</v>
      </c>
      <c r="H645">
        <f>Sensitivity!H20</f>
        <v/>
      </c>
    </row>
    <row r="646">
      <c r="A646" t="inlineStr">
        <is>
          <t>ring2</t>
        </is>
      </c>
      <c r="B646" t="inlineStr">
        <is>
          <t>legendary</t>
        </is>
      </c>
      <c r="C646" t="n">
        <v>1</v>
      </c>
      <c r="D646" t="inlineStr">
        <is>
          <t>Basic Attack Damage %</t>
        </is>
      </c>
      <c r="E646" t="n">
        <v>21</v>
      </c>
      <c r="F646" t="n">
        <v>1</v>
      </c>
      <c r="G646" t="b">
        <v>1</v>
      </c>
      <c r="H646">
        <f>Sensitivity!H20</f>
        <v/>
      </c>
    </row>
    <row r="647">
      <c r="A647" t="inlineStr">
        <is>
          <t>ring2</t>
        </is>
      </c>
      <c r="B647" t="inlineStr">
        <is>
          <t>legendary</t>
        </is>
      </c>
      <c r="C647" t="n">
        <v>2</v>
      </c>
      <c r="D647" t="inlineStr">
        <is>
          <t>Basic Attack Damage %</t>
        </is>
      </c>
      <c r="E647" t="n">
        <v>21</v>
      </c>
      <c r="F647" t="n">
        <v>0.24</v>
      </c>
      <c r="G647" t="b">
        <v>1</v>
      </c>
      <c r="H647">
        <f>Sensitivity!H20</f>
        <v/>
      </c>
    </row>
    <row r="648">
      <c r="A648" t="inlineStr">
        <is>
          <t>ring2</t>
        </is>
      </c>
      <c r="B648" t="inlineStr">
        <is>
          <t>legendary</t>
        </is>
      </c>
      <c r="C648" t="n">
        <v>2</v>
      </c>
      <c r="D648" t="inlineStr">
        <is>
          <t>Basic Attack Damage %</t>
        </is>
      </c>
      <c r="E648" t="n">
        <v>14</v>
      </c>
      <c r="F648" t="n">
        <v>0.76</v>
      </c>
      <c r="G648" t="b">
        <v>0</v>
      </c>
      <c r="H648">
        <f>Sensitivity!H20</f>
        <v/>
      </c>
    </row>
    <row r="649">
      <c r="A649" t="inlineStr">
        <is>
          <t>ring2</t>
        </is>
      </c>
      <c r="B649" t="inlineStr">
        <is>
          <t>legendary</t>
        </is>
      </c>
      <c r="C649" t="n">
        <v>3</v>
      </c>
      <c r="D649" t="inlineStr">
        <is>
          <t>Basic Attack Damage %</t>
        </is>
      </c>
      <c r="E649" t="n">
        <v>21</v>
      </c>
      <c r="F649" t="n">
        <v>0.08</v>
      </c>
      <c r="G649" t="b">
        <v>1</v>
      </c>
      <c r="H649">
        <f>Sensitivity!H20</f>
        <v/>
      </c>
    </row>
    <row r="650">
      <c r="A650" t="inlineStr">
        <is>
          <t>ring2</t>
        </is>
      </c>
      <c r="B650" t="inlineStr">
        <is>
          <t>legendary</t>
        </is>
      </c>
      <c r="C650" t="n">
        <v>3</v>
      </c>
      <c r="D650" t="inlineStr">
        <is>
          <t>Basic Attack Damage %</t>
        </is>
      </c>
      <c r="E650" t="n">
        <v>14</v>
      </c>
      <c r="F650" t="n">
        <v>0.92</v>
      </c>
      <c r="G650" t="b">
        <v>0</v>
      </c>
      <c r="H650">
        <f>Sensitivity!H20</f>
        <v/>
      </c>
    </row>
    <row r="651">
      <c r="A651" t="inlineStr">
        <is>
          <t>ring2</t>
        </is>
      </c>
      <c r="B651" t="inlineStr">
        <is>
          <t>mystic</t>
        </is>
      </c>
      <c r="C651" t="n">
        <v>1</v>
      </c>
      <c r="D651" t="inlineStr">
        <is>
          <t>Basic Attack Damage %</t>
        </is>
      </c>
      <c r="E651" t="n">
        <v>30</v>
      </c>
      <c r="F651" t="n">
        <v>1</v>
      </c>
      <c r="G651" t="b">
        <v>1</v>
      </c>
      <c r="H651">
        <f>Sensitivity!H20</f>
        <v/>
      </c>
    </row>
    <row r="652">
      <c r="A652" t="inlineStr">
        <is>
          <t>ring2</t>
        </is>
      </c>
      <c r="B652" t="inlineStr">
        <is>
          <t>mystic</t>
        </is>
      </c>
      <c r="C652" t="n">
        <v>2</v>
      </c>
      <c r="D652" t="inlineStr">
        <is>
          <t>Basic Attack Damage %</t>
        </is>
      </c>
      <c r="E652" t="n">
        <v>30</v>
      </c>
      <c r="F652" t="n">
        <v>0.24</v>
      </c>
      <c r="G652" t="b">
        <v>1</v>
      </c>
      <c r="H652">
        <f>Sensitivity!H20</f>
        <v/>
      </c>
    </row>
    <row r="653">
      <c r="A653" t="inlineStr">
        <is>
          <t>ring2</t>
        </is>
      </c>
      <c r="B653" t="inlineStr">
        <is>
          <t>mystic</t>
        </is>
      </c>
      <c r="C653" t="n">
        <v>2</v>
      </c>
      <c r="D653" t="inlineStr">
        <is>
          <t>Basic Attack Damage %</t>
        </is>
      </c>
      <c r="E653" t="n">
        <v>21</v>
      </c>
      <c r="F653" t="n">
        <v>0.76</v>
      </c>
      <c r="G653" t="b">
        <v>0</v>
      </c>
      <c r="H653">
        <f>Sensitivity!H20</f>
        <v/>
      </c>
    </row>
    <row r="654">
      <c r="A654" t="inlineStr">
        <is>
          <t>ring2</t>
        </is>
      </c>
      <c r="B654" t="inlineStr">
        <is>
          <t>mystic</t>
        </is>
      </c>
      <c r="C654" t="n">
        <v>3</v>
      </c>
      <c r="D654" t="inlineStr">
        <is>
          <t>Basic Attack Damage %</t>
        </is>
      </c>
      <c r="E654" t="n">
        <v>30</v>
      </c>
      <c r="F654" t="n">
        <v>0.08</v>
      </c>
      <c r="G654" t="b">
        <v>1</v>
      </c>
      <c r="H654">
        <f>Sensitivity!H20</f>
        <v/>
      </c>
    </row>
    <row r="655">
      <c r="A655" t="inlineStr">
        <is>
          <t>ring2</t>
        </is>
      </c>
      <c r="B655" t="inlineStr">
        <is>
          <t>mystic</t>
        </is>
      </c>
      <c r="C655" t="n">
        <v>3</v>
      </c>
      <c r="D655" t="inlineStr">
        <is>
          <t>Basic Attack Damage %</t>
        </is>
      </c>
      <c r="E655" t="n">
        <v>21</v>
      </c>
      <c r="F655" t="n">
        <v>0.92</v>
      </c>
      <c r="G655" t="b">
        <v>0</v>
      </c>
      <c r="H655">
        <f>Sensitivity!H20</f>
        <v/>
      </c>
    </row>
    <row r="656">
      <c r="A656" t="inlineStr">
        <is>
          <t>face</t>
        </is>
      </c>
      <c r="B656" t="inlineStr">
        <is>
          <t>epic</t>
        </is>
      </c>
      <c r="C656" t="n">
        <v>1</v>
      </c>
      <c r="D656" t="inlineStr">
        <is>
          <t>Final Damage %</t>
        </is>
      </c>
      <c r="E656" t="n">
        <v>3</v>
      </c>
      <c r="F656" t="n">
        <v>1</v>
      </c>
      <c r="G656" t="b">
        <v>1</v>
      </c>
      <c r="H656">
        <f>Sensitivity!H13</f>
        <v/>
      </c>
    </row>
    <row r="657">
      <c r="A657" t="inlineStr">
        <is>
          <t>face</t>
        </is>
      </c>
      <c r="B657" t="inlineStr">
        <is>
          <t>epic</t>
        </is>
      </c>
      <c r="C657" t="n">
        <v>2</v>
      </c>
      <c r="D657" t="inlineStr">
        <is>
          <t>Final Damage %</t>
        </is>
      </c>
      <c r="E657" t="n">
        <v>3</v>
      </c>
      <c r="F657" t="n">
        <v>0.24</v>
      </c>
      <c r="G657" t="b">
        <v>1</v>
      </c>
      <c r="H657">
        <f>Sensitivity!H13</f>
        <v/>
      </c>
    </row>
    <row r="658">
      <c r="A658" t="inlineStr">
        <is>
          <t>face</t>
        </is>
      </c>
      <c r="B658" t="inlineStr">
        <is>
          <t>epic</t>
        </is>
      </c>
      <c r="C658" t="n">
        <v>3</v>
      </c>
      <c r="D658" t="inlineStr">
        <is>
          <t>Final Damage %</t>
        </is>
      </c>
      <c r="E658" t="n">
        <v>3</v>
      </c>
      <c r="F658" t="n">
        <v>0.08</v>
      </c>
      <c r="G658" t="b">
        <v>1</v>
      </c>
      <c r="H658">
        <f>Sensitivity!H13</f>
        <v/>
      </c>
    </row>
    <row r="659">
      <c r="A659" t="inlineStr">
        <is>
          <t>face</t>
        </is>
      </c>
      <c r="B659" t="inlineStr">
        <is>
          <t>unique</t>
        </is>
      </c>
      <c r="C659" t="n">
        <v>1</v>
      </c>
      <c r="D659" t="inlineStr">
        <is>
          <t>Final Damage %</t>
        </is>
      </c>
      <c r="E659" t="n">
        <v>5</v>
      </c>
      <c r="F659" t="n">
        <v>1</v>
      </c>
      <c r="G659" t="b">
        <v>1</v>
      </c>
      <c r="H659">
        <f>Sensitivity!H13</f>
        <v/>
      </c>
    </row>
    <row r="660">
      <c r="A660" t="inlineStr">
        <is>
          <t>face</t>
        </is>
      </c>
      <c r="B660" t="inlineStr">
        <is>
          <t>unique</t>
        </is>
      </c>
      <c r="C660" t="n">
        <v>2</v>
      </c>
      <c r="D660" t="inlineStr">
        <is>
          <t>Final Damage %</t>
        </is>
      </c>
      <c r="E660" t="n">
        <v>5</v>
      </c>
      <c r="F660" t="n">
        <v>0.24</v>
      </c>
      <c r="G660" t="b">
        <v>1</v>
      </c>
      <c r="H660">
        <f>Sensitivity!H13</f>
        <v/>
      </c>
    </row>
    <row r="661">
      <c r="A661" t="inlineStr">
        <is>
          <t>face</t>
        </is>
      </c>
      <c r="B661" t="inlineStr">
        <is>
          <t>unique</t>
        </is>
      </c>
      <c r="C661" t="n">
        <v>2</v>
      </c>
      <c r="D661" t="inlineStr">
        <is>
          <t>Final Damage %</t>
        </is>
      </c>
      <c r="E661" t="n">
        <v>3</v>
      </c>
      <c r="F661" t="n">
        <v>0.76</v>
      </c>
      <c r="G661" t="b">
        <v>0</v>
      </c>
      <c r="H661">
        <f>Sensitivity!H13</f>
        <v/>
      </c>
    </row>
    <row r="662">
      <c r="A662" t="inlineStr">
        <is>
          <t>face</t>
        </is>
      </c>
      <c r="B662" t="inlineStr">
        <is>
          <t>unique</t>
        </is>
      </c>
      <c r="C662" t="n">
        <v>3</v>
      </c>
      <c r="D662" t="inlineStr">
        <is>
          <t>Final Damage %</t>
        </is>
      </c>
      <c r="E662" t="n">
        <v>5</v>
      </c>
      <c r="F662" t="n">
        <v>0.08</v>
      </c>
      <c r="G662" t="b">
        <v>1</v>
      </c>
      <c r="H662">
        <f>Sensitivity!H13</f>
        <v/>
      </c>
    </row>
    <row r="663">
      <c r="A663" t="inlineStr">
        <is>
          <t>face</t>
        </is>
      </c>
      <c r="B663" t="inlineStr">
        <is>
          <t>unique</t>
        </is>
      </c>
      <c r="C663" t="n">
        <v>3</v>
      </c>
      <c r="D663" t="inlineStr">
        <is>
          <t>Final Damage %</t>
        </is>
      </c>
      <c r="E663" t="n">
        <v>3</v>
      </c>
      <c r="F663" t="n">
        <v>0.92</v>
      </c>
      <c r="G663" t="b">
        <v>0</v>
      </c>
      <c r="H663">
        <f>Sensitivity!H13</f>
        <v/>
      </c>
    </row>
    <row r="664">
      <c r="A664" t="inlineStr">
        <is>
          <t>face</t>
        </is>
      </c>
      <c r="B664" t="inlineStr">
        <is>
          <t>legendary</t>
        </is>
      </c>
      <c r="C664" t="n">
        <v>1</v>
      </c>
      <c r="D664" t="inlineStr">
        <is>
          <t>Final Damage %</t>
        </is>
      </c>
      <c r="E664" t="n">
        <v>8</v>
      </c>
      <c r="F664" t="n">
        <v>1</v>
      </c>
      <c r="G664" t="b">
        <v>1</v>
      </c>
      <c r="H664">
        <f>Sensitivity!H13</f>
        <v/>
      </c>
    </row>
    <row r="665">
      <c r="A665" t="inlineStr">
        <is>
          <t>face</t>
        </is>
      </c>
      <c r="B665" t="inlineStr">
        <is>
          <t>legendary</t>
        </is>
      </c>
      <c r="C665" t="n">
        <v>2</v>
      </c>
      <c r="D665" t="inlineStr">
        <is>
          <t>Final Damage %</t>
        </is>
      </c>
      <c r="E665" t="n">
        <v>8</v>
      </c>
      <c r="F665" t="n">
        <v>0.24</v>
      </c>
      <c r="G665" t="b">
        <v>1</v>
      </c>
      <c r="H665">
        <f>Sensitivity!H13</f>
        <v/>
      </c>
    </row>
    <row r="666">
      <c r="A666" t="inlineStr">
        <is>
          <t>face</t>
        </is>
      </c>
      <c r="B666" t="inlineStr">
        <is>
          <t>legendary</t>
        </is>
      </c>
      <c r="C666" t="n">
        <v>2</v>
      </c>
      <c r="D666" t="inlineStr">
        <is>
          <t>Final Damage %</t>
        </is>
      </c>
      <c r="E666" t="n">
        <v>5</v>
      </c>
      <c r="F666" t="n">
        <v>0.76</v>
      </c>
      <c r="G666" t="b">
        <v>0</v>
      </c>
      <c r="H666">
        <f>Sensitivity!H13</f>
        <v/>
      </c>
    </row>
    <row r="667">
      <c r="A667" t="inlineStr">
        <is>
          <t>face</t>
        </is>
      </c>
      <c r="B667" t="inlineStr">
        <is>
          <t>legendary</t>
        </is>
      </c>
      <c r="C667" t="n">
        <v>3</v>
      </c>
      <c r="D667" t="inlineStr">
        <is>
          <t>Final Damage %</t>
        </is>
      </c>
      <c r="E667" t="n">
        <v>8</v>
      </c>
      <c r="F667" t="n">
        <v>0.08</v>
      </c>
      <c r="G667" t="b">
        <v>1</v>
      </c>
      <c r="H667">
        <f>Sensitivity!H13</f>
        <v/>
      </c>
    </row>
    <row r="668">
      <c r="A668" t="inlineStr">
        <is>
          <t>face</t>
        </is>
      </c>
      <c r="B668" t="inlineStr">
        <is>
          <t>legendary</t>
        </is>
      </c>
      <c r="C668" t="n">
        <v>3</v>
      </c>
      <c r="D668" t="inlineStr">
        <is>
          <t>Final Damage %</t>
        </is>
      </c>
      <c r="E668" t="n">
        <v>5</v>
      </c>
      <c r="F668" t="n">
        <v>0.92</v>
      </c>
      <c r="G668" t="b">
        <v>0</v>
      </c>
      <c r="H668">
        <f>Sensitivity!H13</f>
        <v/>
      </c>
    </row>
    <row r="669">
      <c r="A669" t="inlineStr">
        <is>
          <t>face</t>
        </is>
      </c>
      <c r="B669" t="inlineStr">
        <is>
          <t>mystic</t>
        </is>
      </c>
      <c r="C669" t="n">
        <v>1</v>
      </c>
      <c r="D669" t="inlineStr">
        <is>
          <t>Final Damage %</t>
        </is>
      </c>
      <c r="E669" t="n">
        <v>12</v>
      </c>
      <c r="F669" t="n">
        <v>1</v>
      </c>
      <c r="G669" t="b">
        <v>1</v>
      </c>
      <c r="H669">
        <f>Sensitivity!H13</f>
        <v/>
      </c>
    </row>
    <row r="670">
      <c r="A670" t="inlineStr">
        <is>
          <t>face</t>
        </is>
      </c>
      <c r="B670" t="inlineStr">
        <is>
          <t>mystic</t>
        </is>
      </c>
      <c r="C670" t="n">
        <v>2</v>
      </c>
      <c r="D670" t="inlineStr">
        <is>
          <t>Final Damage %</t>
        </is>
      </c>
      <c r="E670" t="n">
        <v>12</v>
      </c>
      <c r="F670" t="n">
        <v>0.24</v>
      </c>
      <c r="G670" t="b">
        <v>1</v>
      </c>
      <c r="H670">
        <f>Sensitivity!H13</f>
        <v/>
      </c>
    </row>
    <row r="671">
      <c r="A671" t="inlineStr">
        <is>
          <t>face</t>
        </is>
      </c>
      <c r="B671" t="inlineStr">
        <is>
          <t>mystic</t>
        </is>
      </c>
      <c r="C671" t="n">
        <v>2</v>
      </c>
      <c r="D671" t="inlineStr">
        <is>
          <t>Final Damage %</t>
        </is>
      </c>
      <c r="E671" t="n">
        <v>8</v>
      </c>
      <c r="F671" t="n">
        <v>0.76</v>
      </c>
      <c r="G671" t="b">
        <v>0</v>
      </c>
      <c r="H671">
        <f>Sensitivity!H13</f>
        <v/>
      </c>
    </row>
    <row r="672">
      <c r="A672" t="inlineStr">
        <is>
          <t>face</t>
        </is>
      </c>
      <c r="B672" t="inlineStr">
        <is>
          <t>mystic</t>
        </is>
      </c>
      <c r="C672" t="n">
        <v>3</v>
      </c>
      <c r="D672" t="inlineStr">
        <is>
          <t>Final Damage %</t>
        </is>
      </c>
      <c r="E672" t="n">
        <v>12</v>
      </c>
      <c r="F672" t="n">
        <v>0.08</v>
      </c>
      <c r="G672" t="b">
        <v>1</v>
      </c>
      <c r="H672">
        <f>Sensitivity!H13</f>
        <v/>
      </c>
    </row>
    <row r="673">
      <c r="A673" t="inlineStr">
        <is>
          <t>face</t>
        </is>
      </c>
      <c r="B673" t="inlineStr">
        <is>
          <t>mystic</t>
        </is>
      </c>
      <c r="C673" t="n">
        <v>3</v>
      </c>
      <c r="D673" t="inlineStr">
        <is>
          <t>Final Damage %</t>
        </is>
      </c>
      <c r="E673" t="n">
        <v>8</v>
      </c>
      <c r="F673" t="n">
        <v>0.92</v>
      </c>
      <c r="G673" t="b">
        <v>0</v>
      </c>
      <c r="H673">
        <f>Sensitivity!H13</f>
        <v/>
      </c>
    </row>
    <row r="674">
      <c r="A674" t="inlineStr">
        <is>
          <t>earrings</t>
        </is>
      </c>
      <c r="B674" t="inlineStr">
        <is>
          <t>epic</t>
        </is>
      </c>
      <c r="C674" t="n">
        <v>1</v>
      </c>
      <c r="D674" t="inlineStr">
        <is>
          <t>Skill Damage %</t>
        </is>
      </c>
      <c r="E674" t="n">
        <v>8</v>
      </c>
      <c r="F674" t="n">
        <v>1</v>
      </c>
      <c r="G674" t="b">
        <v>1</v>
      </c>
      <c r="H674">
        <f>Sensitivity!H21</f>
        <v/>
      </c>
    </row>
    <row r="675">
      <c r="A675" t="inlineStr">
        <is>
          <t>earrings</t>
        </is>
      </c>
      <c r="B675" t="inlineStr">
        <is>
          <t>epic</t>
        </is>
      </c>
      <c r="C675" t="n">
        <v>2</v>
      </c>
      <c r="D675" t="inlineStr">
        <is>
          <t>Skill Damage %</t>
        </is>
      </c>
      <c r="E675" t="n">
        <v>8</v>
      </c>
      <c r="F675" t="n">
        <v>0.24</v>
      </c>
      <c r="G675" t="b">
        <v>1</v>
      </c>
      <c r="H675">
        <f>Sensitivity!H21</f>
        <v/>
      </c>
    </row>
    <row r="676">
      <c r="A676" t="inlineStr">
        <is>
          <t>earrings</t>
        </is>
      </c>
      <c r="B676" t="inlineStr">
        <is>
          <t>epic</t>
        </is>
      </c>
      <c r="C676" t="n">
        <v>3</v>
      </c>
      <c r="D676" t="inlineStr">
        <is>
          <t>Skill Damage %</t>
        </is>
      </c>
      <c r="E676" t="n">
        <v>8</v>
      </c>
      <c r="F676" t="n">
        <v>0.08</v>
      </c>
      <c r="G676" t="b">
        <v>1</v>
      </c>
      <c r="H676">
        <f>Sensitivity!H21</f>
        <v/>
      </c>
    </row>
    <row r="677">
      <c r="A677" t="inlineStr">
        <is>
          <t>earrings</t>
        </is>
      </c>
      <c r="B677" t="inlineStr">
        <is>
          <t>unique</t>
        </is>
      </c>
      <c r="C677" t="n">
        <v>1</v>
      </c>
      <c r="D677" t="inlineStr">
        <is>
          <t>Skill Damage %</t>
        </is>
      </c>
      <c r="E677" t="n">
        <v>14</v>
      </c>
      <c r="F677" t="n">
        <v>1</v>
      </c>
      <c r="G677" t="b">
        <v>1</v>
      </c>
      <c r="H677">
        <f>Sensitivity!H21</f>
        <v/>
      </c>
    </row>
    <row r="678">
      <c r="A678" t="inlineStr">
        <is>
          <t>earrings</t>
        </is>
      </c>
      <c r="B678" t="inlineStr">
        <is>
          <t>unique</t>
        </is>
      </c>
      <c r="C678" t="n">
        <v>2</v>
      </c>
      <c r="D678" t="inlineStr">
        <is>
          <t>Skill Damage %</t>
        </is>
      </c>
      <c r="E678" t="n">
        <v>14</v>
      </c>
      <c r="F678" t="n">
        <v>0.24</v>
      </c>
      <c r="G678" t="b">
        <v>1</v>
      </c>
      <c r="H678">
        <f>Sensitivity!H21</f>
        <v/>
      </c>
    </row>
    <row r="679">
      <c r="A679" t="inlineStr">
        <is>
          <t>earrings</t>
        </is>
      </c>
      <c r="B679" t="inlineStr">
        <is>
          <t>unique</t>
        </is>
      </c>
      <c r="C679" t="n">
        <v>2</v>
      </c>
      <c r="D679" t="inlineStr">
        <is>
          <t>Skill Damage %</t>
        </is>
      </c>
      <c r="E679" t="n">
        <v>8</v>
      </c>
      <c r="F679" t="n">
        <v>0.76</v>
      </c>
      <c r="G679" t="b">
        <v>0</v>
      </c>
      <c r="H679">
        <f>Sensitivity!H21</f>
        <v/>
      </c>
    </row>
    <row r="680">
      <c r="A680" t="inlineStr">
        <is>
          <t>earrings</t>
        </is>
      </c>
      <c r="B680" t="inlineStr">
        <is>
          <t>unique</t>
        </is>
      </c>
      <c r="C680" t="n">
        <v>3</v>
      </c>
      <c r="D680" t="inlineStr">
        <is>
          <t>Skill Damage %</t>
        </is>
      </c>
      <c r="E680" t="n">
        <v>14</v>
      </c>
      <c r="F680" t="n">
        <v>0.08</v>
      </c>
      <c r="G680" t="b">
        <v>1</v>
      </c>
      <c r="H680">
        <f>Sensitivity!H21</f>
        <v/>
      </c>
    </row>
    <row r="681">
      <c r="A681" t="inlineStr">
        <is>
          <t>earrings</t>
        </is>
      </c>
      <c r="B681" t="inlineStr">
        <is>
          <t>unique</t>
        </is>
      </c>
      <c r="C681" t="n">
        <v>3</v>
      </c>
      <c r="D681" t="inlineStr">
        <is>
          <t>Skill Damage %</t>
        </is>
      </c>
      <c r="E681" t="n">
        <v>8</v>
      </c>
      <c r="F681" t="n">
        <v>0.92</v>
      </c>
      <c r="G681" t="b">
        <v>0</v>
      </c>
      <c r="H681">
        <f>Sensitivity!H21</f>
        <v/>
      </c>
    </row>
    <row r="682">
      <c r="A682" t="inlineStr">
        <is>
          <t>earrings</t>
        </is>
      </c>
      <c r="B682" t="inlineStr">
        <is>
          <t>legendary</t>
        </is>
      </c>
      <c r="C682" t="n">
        <v>1</v>
      </c>
      <c r="D682" t="inlineStr">
        <is>
          <t>Skill Damage %</t>
        </is>
      </c>
      <c r="E682" t="n">
        <v>21</v>
      </c>
      <c r="F682" t="n">
        <v>1</v>
      </c>
      <c r="G682" t="b">
        <v>1</v>
      </c>
      <c r="H682">
        <f>Sensitivity!H21</f>
        <v/>
      </c>
    </row>
    <row r="683">
      <c r="A683" t="inlineStr">
        <is>
          <t>earrings</t>
        </is>
      </c>
      <c r="B683" t="inlineStr">
        <is>
          <t>legendary</t>
        </is>
      </c>
      <c r="C683" t="n">
        <v>2</v>
      </c>
      <c r="D683" t="inlineStr">
        <is>
          <t>Skill Damage %</t>
        </is>
      </c>
      <c r="E683" t="n">
        <v>21</v>
      </c>
      <c r="F683" t="n">
        <v>0.24</v>
      </c>
      <c r="G683" t="b">
        <v>1</v>
      </c>
      <c r="H683">
        <f>Sensitivity!H21</f>
        <v/>
      </c>
    </row>
    <row r="684">
      <c r="A684" t="inlineStr">
        <is>
          <t>earrings</t>
        </is>
      </c>
      <c r="B684" t="inlineStr">
        <is>
          <t>legendary</t>
        </is>
      </c>
      <c r="C684" t="n">
        <v>2</v>
      </c>
      <c r="D684" t="inlineStr">
        <is>
          <t>Skill Damage %</t>
        </is>
      </c>
      <c r="E684" t="n">
        <v>14</v>
      </c>
      <c r="F684" t="n">
        <v>0.76</v>
      </c>
      <c r="G684" t="b">
        <v>0</v>
      </c>
      <c r="H684">
        <f>Sensitivity!H21</f>
        <v/>
      </c>
    </row>
    <row r="685">
      <c r="A685" t="inlineStr">
        <is>
          <t>earrings</t>
        </is>
      </c>
      <c r="B685" t="inlineStr">
        <is>
          <t>legendary</t>
        </is>
      </c>
      <c r="C685" t="n">
        <v>3</v>
      </c>
      <c r="D685" t="inlineStr">
        <is>
          <t>Skill Damage %</t>
        </is>
      </c>
      <c r="E685" t="n">
        <v>21</v>
      </c>
      <c r="F685" t="n">
        <v>0.08</v>
      </c>
      <c r="G685" t="b">
        <v>1</v>
      </c>
      <c r="H685">
        <f>Sensitivity!H21</f>
        <v/>
      </c>
    </row>
    <row r="686">
      <c r="A686" t="inlineStr">
        <is>
          <t>earrings</t>
        </is>
      </c>
      <c r="B686" t="inlineStr">
        <is>
          <t>legendary</t>
        </is>
      </c>
      <c r="C686" t="n">
        <v>3</v>
      </c>
      <c r="D686" t="inlineStr">
        <is>
          <t>Skill Damage %</t>
        </is>
      </c>
      <c r="E686" t="n">
        <v>14</v>
      </c>
      <c r="F686" t="n">
        <v>0.92</v>
      </c>
      <c r="G686" t="b">
        <v>0</v>
      </c>
      <c r="H686">
        <f>Sensitivity!H21</f>
        <v/>
      </c>
    </row>
    <row r="687">
      <c r="A687" t="inlineStr">
        <is>
          <t>earrings</t>
        </is>
      </c>
      <c r="B687" t="inlineStr">
        <is>
          <t>mystic</t>
        </is>
      </c>
      <c r="C687" t="n">
        <v>1</v>
      </c>
      <c r="D687" t="inlineStr">
        <is>
          <t>Skill Damage %</t>
        </is>
      </c>
      <c r="E687" t="n">
        <v>30</v>
      </c>
      <c r="F687" t="n">
        <v>1</v>
      </c>
      <c r="G687" t="b">
        <v>1</v>
      </c>
      <c r="H687">
        <f>Sensitivity!H21</f>
        <v/>
      </c>
    </row>
    <row r="688">
      <c r="A688" t="inlineStr">
        <is>
          <t>earrings</t>
        </is>
      </c>
      <c r="B688" t="inlineStr">
        <is>
          <t>mystic</t>
        </is>
      </c>
      <c r="C688" t="n">
        <v>2</v>
      </c>
      <c r="D688" t="inlineStr">
        <is>
          <t>Skill Damage %</t>
        </is>
      </c>
      <c r="E688" t="n">
        <v>30</v>
      </c>
      <c r="F688" t="n">
        <v>0.24</v>
      </c>
      <c r="G688" t="b">
        <v>1</v>
      </c>
      <c r="H688">
        <f>Sensitivity!H21</f>
        <v/>
      </c>
    </row>
    <row r="689">
      <c r="A689" t="inlineStr">
        <is>
          <t>earrings</t>
        </is>
      </c>
      <c r="B689" t="inlineStr">
        <is>
          <t>mystic</t>
        </is>
      </c>
      <c r="C689" t="n">
        <v>2</v>
      </c>
      <c r="D689" t="inlineStr">
        <is>
          <t>Skill Damage %</t>
        </is>
      </c>
      <c r="E689" t="n">
        <v>21</v>
      </c>
      <c r="F689" t="n">
        <v>0.76</v>
      </c>
      <c r="G689" t="b">
        <v>0</v>
      </c>
      <c r="H689">
        <f>Sensitivity!H21</f>
        <v/>
      </c>
    </row>
    <row r="690">
      <c r="A690" t="inlineStr">
        <is>
          <t>earrings</t>
        </is>
      </c>
      <c r="B690" t="inlineStr">
        <is>
          <t>mystic</t>
        </is>
      </c>
      <c r="C690" t="n">
        <v>3</v>
      </c>
      <c r="D690" t="inlineStr">
        <is>
          <t>Skill Damage %</t>
        </is>
      </c>
      <c r="E690" t="n">
        <v>30</v>
      </c>
      <c r="F690" t="n">
        <v>0.08</v>
      </c>
      <c r="G690" t="b">
        <v>1</v>
      </c>
      <c r="H690">
        <f>Sensitivity!H21</f>
        <v/>
      </c>
    </row>
    <row r="691">
      <c r="A691" t="inlineStr">
        <is>
          <t>earrings</t>
        </is>
      </c>
      <c r="B691" t="inlineStr">
        <is>
          <t>mystic</t>
        </is>
      </c>
      <c r="C691" t="n">
        <v>3</v>
      </c>
      <c r="D691" t="inlineStr">
        <is>
          <t>Skill Damage %</t>
        </is>
      </c>
      <c r="E691" t="n">
        <v>21</v>
      </c>
      <c r="F691" t="n">
        <v>0.92</v>
      </c>
      <c r="G691" t="b">
        <v>0</v>
      </c>
      <c r="H691">
        <f>Sensitivity!H21</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2026-09-20T09:03:54Z</dcterms:created>
  <dcterms:modified xsi:type="dcterms:W3CDTF">2026-09-20T09:03:54Z</dcterms:modified>
</cp:coreProperties>
</file>