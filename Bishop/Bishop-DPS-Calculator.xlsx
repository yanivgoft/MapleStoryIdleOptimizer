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applies to every cooldown — skills, buffs and passives)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SUMPRODUCT((Inputs!$B$3&gt;={102,106,116,120,128,132})*{10,11,12,13,14,15})</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every tier is its own add-on (user-confirmed 2026-10-21: raw +10/+11/+12/+13/+14/+15 = 75% at max).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18s cooldown per the game table — user-confirmed 2026-10-21, so the on-fraction is p1*R*10/(1+p1*R*18) —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w/ FP-Mage/Ice-Lightning-Mage: already included in Inputs!buff_duration_increase_pct (confirmed by the user), so NOT added again — informational row only.</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Inputs!$B$39&lt;&gt;"pvp",Inputs!$B$44=0),1,IF(IF(Inputs!$B$39="pvp",15,Inputs!$B$44)-(Summary!$B$24)&lt;=0,1,MAX(0,IF(Inputs!$B$39="pvp",15,Inputs!$B$44)-MAX(5,Summary!$B$24))/(IF(Inputs!$B$39="pvp",15,Inputs!$B$44)-(Summary!$B$24))))*IF(AND(ArtifactsInput!$M$42,B4&lt;100),CHOOSE(ArtifactsInput!$N$42+1,30,36,42,48,54,60),0)</f>
        <v/>
      </c>
    </row>
    <row r="6">
      <c r="A6" t="inlineStr">
        <is>
          <t>Ring of Cycles — Skill Damage (if threshold &gt;= 100%)</t>
        </is>
      </c>
      <c r="B6">
        <f>IF(AND(Inputs!$B$39&lt;&gt;"pvp",Inputs!$B$44=0),1,IF(IF(Inputs!$B$39="pvp",15,Inputs!$B$44)-(Summary!$B$24)&lt;=0,1,MAX(0,IF(Inputs!$B$39="pvp",15,Inputs!$B$44)-MAX(5,Summary!$B$24))/(IF(Inputs!$B$39="pvp",15,Inputs!$B$44)-(Summary!$B$24))))*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$24)&lt;=0,1,MAX(0,IF(Inputs!$B$39="pvp",15,Inputs!$B$44)-MAX(5,Summary!$B$24))/(IF(Inputs!$B$39="pvp",15,Inputs!$B$44)-(Summary!$B$24))))*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Skills!F2*IF(Skills!G2&gt;0,INT(IF(Inputs!$B$39="pvp",MIN(Skills!H2,15),Skills!H2)/Skills!G2+0.000000001),1)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IFERROR(1/(IF(Inputs!$B$39="pvp",15,MAX(0.1,Skills!D2-IF(TRUE=TRUE,Inputs!$B$33,0)))*(1-IF(AND(ArtifactsInput!$M$27,Inputs!$B$4="Chapter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Skills!F3*IF(Skills!G3&gt;0,INT(IF(Inputs!$B$39="pvp",MIN(Skills!H3,15),Skills!H3)/Skills!G3+0.000000001),1)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IFERROR(1/(IF(Inputs!$B$39="pvp",15,MAX(0.1,Skills!D3-IF(TRUE=TRUE,Inputs!$B$33,0)))*(1-IF(AND(ArtifactsInput!$M$27,Inputs!$B$4="Chapter Hunt"),CHOOSE(ArtifactsInput!$N$27+1,20,24,28,32,36,40),0)/100)),0)</f>
        <v/>
      </c>
      <c r="R3">
        <f>IF(AND(Inputs!$B$39&lt;&gt;"pvp",Inputs!$B$44&gt;0),IF(Inputs!$B$44&lt;=0,0,(INT(Inputs!$B$44/(IF(Inputs!$B$39="pvp",15,MAX(0.1,Skills!D3-IF(TRUE=TRUE,Inputs!$B$33,0)))*(1-IF(AND(ArtifactsInput!$M$27,Inputs!$B$4="Chapter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Skills!F4*IF(Skills!G4&gt;0,INT(IF(Inputs!$B$39="pvp",MIN(Skills!H4,15),Skills!H4)/Skills!G4+0.000000001),1)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IFERROR(1/(IF(Inputs!$B$39="pvp",15,MAX(0.1,Skills!D4-IF(TRUE=TRUE,Inputs!$B$33,0)))*(1-IF(AND(ArtifactsInput!$M$27,Inputs!$B$4="Chapter Hunt"),CHOOSE(ArtifactsInput!$N$27+1,20,24,28,32,36,40),0)/100)),0)</f>
        <v/>
      </c>
      <c r="R4">
        <f>IF(AND(Inputs!$B$39&lt;&gt;"pvp",Inputs!$B$44&gt;0),IF(Inputs!$B$44&lt;=0,0,(INT(Inputs!$B$44/(IF(Inputs!$B$39="pvp",15,MAX(0.1,Skills!D4-IF(TRUE=TRUE,Inputs!$B$33,0)))*(1-IF(AND(ArtifactsInput!$M$27,Inputs!$B$4="Chapter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Skills!F5*IF(Skills!G5&gt;0,INT(IF(Inputs!$B$39="pvp",MIN(Skills!H5,15),Skills!H5)/Skills!G5+0.000000001),1)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IFERROR(1/(IF(Inputs!$B$39="pvp",15,MAX(0.1,Skills!D5-IF(TRUE=TRUE,Inputs!$B$33,0)))*(1-IF(AND(ArtifactsInput!$M$27,Inputs!$B$4="Chapter Hunt"),CHOOSE(ArtifactsInput!$N$27+1,20,24,28,32,36,40),0)/100)),0)</f>
        <v/>
      </c>
      <c r="R5">
        <f>IF(AND(Inputs!$B$39&lt;&gt;"pvp",Inputs!$B$44&gt;0),IF(Inputs!$B$44&lt;=0,0,(INT(Inputs!$B$44/(IF(Inputs!$B$39="pvp",15,MAX(0.1,Skills!D5-IF(TRUE=TRUE,Inputs!$B$33,0)))*(1-IF(AND(ArtifactsInput!$M$27,Inputs!$B$4="Chapter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Skills!F6*IF(Skills!G6&gt;0,INT(IF(Inputs!$B$39="pvp",MIN(Skills!H6,15),Skills!H6)/Skills!G6+0.000000001),1)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IFERROR(1/(IF(Inputs!$B$39="pvp",15,MAX(0.1,Skills!D6-IF(TRUE=TRUE,Inputs!$B$33,0)))*(1-IF(AND(ArtifactsInput!$M$27,Inputs!$B$4="Chapter Hunt"),CHOOSE(ArtifactsInput!$N$27+1,20,24,28,32,36,40),0)/100)),0)</f>
        <v/>
      </c>
      <c r="R6">
        <f>IF(AND(Inputs!$B$39&lt;&gt;"pvp",Inputs!$B$44&gt;0),IF(MAX(0,Inputs!$B$44-Summary!$B$24)&lt;=0,0,(INT(MAX(0,Inputs!$B$44-Summary!$B$24)/(IF(Inputs!$B$39="pvp",15,MAX(0.1,Skills!D6-IF(TRUE=TRUE,Inputs!$B$33,0)))*(1-IF(AND(ArtifactsInput!$M$27,Inputs!$B$4="Chapter Hunt"),CHOOSE(ArtifactsInput!$N$27+1,20,24,28,32,36,40),0)/100)))+1)),0)</f>
        <v/>
      </c>
      <c r="S6">
        <f>IF(C6,(H6*N6*IF(AND(Inputs!$B$39&lt;&gt;"pvp",Inputs!$B$44&gt;0),((Skills!F6*((R6-1)*IF(Skills!G6&gt;0,INT(Skills!H6/Skills!G6+0.000000001),1)+IF(Skills!G6&gt;0,INT(MIN(Skills!H6,MAX(0,MAX(0,Inputs!$B$44-Summary!$B$24)-((R6-1)*(IF(Inputs!$B$39="pvp",15,MAX(0.1,Skills!D6-IF(TRUE=TRUE,Inputs!$B$33,0)))*(1-IF(AND(ArtifactsInput!$M$27,Inputs!$B$4="Chapter Hunt"),CHOOSE(ArtifactsInput!$N$27+1,20,24,28,32,36,40),0)/100)))))/Skills!G6+0.000000001),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INT(Skills!H6/Skills!G6+0.000000001),1)+IF(Skills!G6&gt;0,INT(MIN(Skills!H6,MAX(0,MAX(0,Inputs!$B$44-Summary!$B$24)-((R6-1)*(IF(Inputs!$B$39="pvp",15,MAX(0.1,Skills!D6-IF(TRUE=TRUE,Inputs!$B$33,0)))*(1-IF(AND(ArtifactsInput!$M$27,Inputs!$B$4="Chapter Hunt"),CHOOSE(ArtifactsInput!$N$27+1,20,24,28,32,36,40),0)/100)))))/Skills!G6+0.000000001),1)))/Inputs!$B$44),G6*Q6))*IF(Inputs!$B$39="pvp",1,(1+(Inputs!$B$22+Skills!P6+Summary!$B$15+Artifacts!$B$80)/100)*(MIN(Skills!Q6,Inputs!$B$38)))*((1+Artifacts!$B$53/100)),0)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Skills!F7*IF(Skills!G7&gt;0,INT(IF(Inputs!$B$39="pvp",MIN(Skills!H7,15),Skills!H7)/Skills!G7+0.000000001),1)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IFERROR(1/(IF(Inputs!$B$39="pvp",15,MAX(0.1,Skills!D7-IF(TRUE=TRUE,Inputs!$B$33,0)))*(1-IF(AND(ArtifactsInput!$M$27,Inputs!$B$4="Chapter Hunt"),CHOOSE(ArtifactsInput!$N$27+1,20,24,28,32,36,40),0)/100)),0)</f>
        <v/>
      </c>
      <c r="R7">
        <f>IF(AND(Inputs!$B$39&lt;&gt;"pvp",Inputs!$B$44&gt;0),IF(MAX(0,Inputs!$B$44-Summary!$B$24)&lt;=0,0,(INT(MAX(0,Inputs!$B$44-Summary!$B$24)/(IF(Inputs!$B$39="pvp",15,MAX(0.1,Skills!D7-IF(TRUE=TRUE,Inputs!$B$33,0)))*(1-IF(AND(ArtifactsInput!$M$27,Inputs!$B$4="Chapter Hunt"),CHOOSE(ArtifactsInput!$N$27+1,20,24,28,32,36,40),0)/100)))+1)),0)</f>
        <v/>
      </c>
      <c r="S7">
        <f>IF(C7,H7*N7*IF(AND(Inputs!$B$39&lt;&gt;"pvp",Inputs!$B$44&gt;0),((Skills!F7*((R7-1)*IF(Skills!G7&gt;0,INT(Skills!H7/Skills!G7+0.000000001),1)+IF(Skills!G7&gt;0,INT(MIN(Skills!H7,MAX(0,MAX(0,Inputs!$B$44-Summary!$B$24)-((R7-1)*(IF(Inputs!$B$39="pvp",15,MAX(0.1,Skills!D7-IF(TRUE=TRUE,Inputs!$B$33,0)))*(1-IF(AND(ArtifactsInput!$M$27,Inputs!$B$4="Chapter Hunt"),CHOOSE(ArtifactsInput!$N$27+1,20,24,28,32,36,40),0)/100)))))/Skills!G7+0.000000001),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Skills!F8*IF(Skills!G8&gt;0,INT(IF(Inputs!$B$39="pvp",MIN(Skills!H8,15),Skills!H8)/Skills!G8+0.000000001),1)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IFERROR(1/(IF(Inputs!$B$39="pvp",15,MAX(0.1,Skills!D8-IF(TRUE=TRUE,Inputs!$B$33,0)))*(1-IF(AND(ArtifactsInput!$M$27,Inputs!$B$4="Chapter Hunt"),CHOOSE(ArtifactsInput!$N$27+1,20,24,28,32,36,40),0)/100)),0)</f>
        <v/>
      </c>
      <c r="R8">
        <f>IF(AND(Inputs!$B$39&lt;&gt;"pvp",Inputs!$B$44&gt;0),IF(MAX(0,Inputs!$B$44-Summary!$B$24)&lt;=0,0,(INT(MAX(0,Inputs!$B$44-Summary!$B$24)/(IF(Inputs!$B$39="pvp",15,MAX(0.1,Skills!D8-IF(TRUE=TRUE,Inputs!$B$33,0)))*(1-IF(AND(ArtifactsInput!$M$27,Inputs!$B$4="Chapter Hunt"),CHOOSE(ArtifactsInput!$N$27+1,20,24,28,32,36,40),0)/100)))+1)),0)</f>
        <v/>
      </c>
      <c r="S8">
        <f>IF(C8,(H8*N8*IF(AND(Inputs!$B$39&lt;&gt;"pvp",Inputs!$B$44&gt;0),((Skills!F8*((R8-1)*IF(Skills!G8&gt;0,INT(Skills!H8/Skills!G8+0.000000001),1)+IF(Skills!G8&gt;0,INT(MIN(Skills!H8,MAX(0,MAX(0,Inputs!$B$44-Summary!$B$24)-((R8-1)*(IF(Inputs!$B$39="pvp",15,MAX(0.1,Skills!D8-IF(TRUE=TRUE,Inputs!$B$33,0)))*(1-IF(AND(ArtifactsInput!$M$27,Inputs!$B$4="Chapter Hunt"),CHOOSE(ArtifactsInput!$N$27+1,20,24,28,32,36,40),0)/100)))))/Skills!G8+0.000000001),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INT(Skills!H8/Skills!G8+0.000000001),1)+IF(Skills!G8&gt;0,INT(MIN(Skills!H8,MAX(0,MAX(0,Inputs!$B$44-Summary!$B$24)-((R8-1)*(IF(Inputs!$B$39="pvp",15,MAX(0.1,Skills!D8-IF(TRUE=TRUE,Inputs!$B$33,0)))*(1-IF(AND(ArtifactsInput!$M$27,Inputs!$B$4="Chapter Hunt"),CHOOSE(ArtifactsInput!$N$27+1,20,24,28,32,36,40),0)/100)))))/Skills!G8+0.000000001),1)))/Inputs!$B$44),G8*Q8))*IF(Inputs!$B$39="pvp",1,(1+(Inputs!$B$22+Skills!P8+Summary!$B$15+Artifacts!$B$80)/100)*(MIN(Skills!Q8,Inputs!$B$38)))*((1+Artifacts!$B$53/100)),0)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Skills!F9*IF(Skills!G9&gt;0,INT(IF(Inputs!$B$39="pvp",MIN(Skills!H9,15),Skills!H9)/Skills!G9+0.000000001),1)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IFERROR(1/(IF(Inputs!$B$39="pvp",15,MAX(0.1,Skills!D9-IF(TRUE=TRUE,Inputs!$B$33,0)))*(1-IF(AND(ArtifactsInput!$M$27,Inputs!$B$4="Chapter Hunt"),CHOOSE(ArtifactsInput!$N$27+1,20,24,28,32,36,40),0)/100)),0)</f>
        <v/>
      </c>
      <c r="R9">
        <f>IF(AND(Inputs!$B$39&lt;&gt;"pvp",Inputs!$B$44&gt;0),IF(MAX(0,Inputs!$B$44-Summary!$B$24)&lt;=0,0,(INT(MAX(0,Inputs!$B$44-Summary!$B$24)/(IF(Inputs!$B$39="pvp",15,MAX(0.1,Skills!D9-IF(TRUE=TRUE,Inputs!$B$33,0)))*(1-IF(AND(ArtifactsInput!$M$27,Inputs!$B$4="Chapter Hunt"),CHOOSE(ArtifactsInput!$N$27+1,20,24,28,32,36,40),0)/100)))+1)),0)</f>
        <v/>
      </c>
      <c r="S9">
        <f>IF(C9,(H9*N9*IF(AND(Inputs!$B$39&lt;&gt;"pvp",Inputs!$B$44&gt;0),((Skills!F9*((R9-1)*IF(Skills!G9&gt;0,INT(Skills!H9/Skills!G9+0.000000001),1)+IF(Skills!G9&gt;0,INT(MIN(Skills!H9,MAX(0,MAX(0,Inputs!$B$44-Summary!$B$24)-((R9-1)*(IF(Inputs!$B$39="pvp",15,MAX(0.1,Skills!D9-IF(TRUE=TRUE,Inputs!$B$33,0)))*(1-IF(AND(ArtifactsInput!$M$27,Inputs!$B$4="Chapter Hunt"),CHOOSE(ArtifactsInput!$N$27+1,20,24,28,32,36,40),0)/100)))))/Skills!G9+0.000000001),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INT(Skills!H9/Skills!G9+0.000000001),1)+IF(Skills!G9&gt;0,INT(MIN(Skills!H9,MAX(0,MAX(0,Inputs!$B$44-Summary!$B$24)-((R9-1)*(IF(Inputs!$B$39="pvp",15,MAX(0.1,Skills!D9-IF(TRUE=TRUE,Inputs!$B$33,0)))*(1-IF(AND(ArtifactsInput!$M$27,Inputs!$B$4="Chapter Hunt"),CHOOSE(ArtifactsInput!$N$27+1,20,24,28,32,36,40),0)/100)))))/Skills!G9+0.000000001),1)))/Inputs!$B$44),G9*Q9))*IF(Inputs!$B$39="pvp",1,(1+(Inputs!$B$22+Skills!P9+Summary!$B$15+Artifacts!$B$80)/100)*(MIN(Skills!Q9,Inputs!$B$38)))*((1+Artifacts!$B$53/100)),0)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Skills!F10*IF(Skills!G10&gt;0,INT(IF(Inputs!$B$39="pvp",MIN(Skills!H10,15),Skills!H10)/Skills!G10+0.000000001),1)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IFERROR(1/(IF(Inputs!$B$39="pvp",15,MAX(0.1,Skills!D10-IF(TRUE=TRUE,Inputs!$B$33,0)))*(1-IF(AND(ArtifactsInput!$M$27,Inputs!$B$4="Chapter Hunt"),CHOOSE(ArtifactsInput!$N$27+1,20,24,28,32,36,40),0)/100)),0)</f>
        <v/>
      </c>
      <c r="R10">
        <f>IF(AND(Inputs!$B$39&lt;&gt;"pvp",Inputs!$B$44&gt;0),IF(MAX(0,Inputs!$B$44-Summary!$B$24)&lt;=0,0,(INT(MAX(0,Inputs!$B$44-Summary!$B$24)/(IF(Inputs!$B$39="pvp",15,MAX(0.1,Skills!D10-IF(TRUE=TRUE,Inputs!$B$33,0)))*(1-IF(AND(ArtifactsInput!$M$27,Inputs!$B$4="Chapter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Skills!F11*IF(Skills!G11&gt;0,INT(IF(Inputs!$B$39="pvp",MIN(Skills!H11,15),Skills!H11)/Skills!G11+0.000000001),1)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IFERROR(1/(IF(Inputs!$B$39="pvp",15,MAX(0.1,Skills!D11-IF(TRUE=TRUE,Inputs!$B$33,0)))*(1-IF(AND(ArtifactsInput!$M$27,Inputs!$B$4="Chapter Hunt"),CHOOSE(ArtifactsInput!$N$27+1,20,24,28,32,36,40),0)/100)),0)</f>
        <v/>
      </c>
      <c r="R11">
        <f>IF(AND(Inputs!$B$39&lt;&gt;"pvp",Inputs!$B$44&gt;0),IF(Inputs!$B$44&lt;=0,0,(INT(Inputs!$B$44/(IF(Inputs!$B$39="pvp",15,MAX(0.1,Skills!D11-IF(TRUE=TRUE,Inputs!$B$33,0)))*(1-IF(AND(ArtifactsInput!$M$27,Inputs!$B$4="Chapter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Skills!F12*IF(Skills!G12&gt;0,INT(IF(Inputs!$B$39="pvp",MIN(Skills!H12,15),Skills!H12)/Skills!G12+0.000000001),1)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IFERROR(1/(IF(Inputs!$B$39="pvp",15,MAX(0.1,Skills!D12-IF(TRUE=TRUE,Inputs!$B$33,0)))*(1-IF(AND(ArtifactsInput!$M$27,Inputs!$B$4="Chapter Hunt"),CHOOSE(ArtifactsInput!$N$27+1,20,24,28,32,36,40),0)/100)),0)</f>
        <v/>
      </c>
      <c r="R12">
        <f>IF(AND(Inputs!$B$39&lt;&gt;"pvp",Inputs!$B$44&gt;0),IF(MAX(0,Inputs!$B$44-Summary!$B$24)&lt;=0,0,(INT(MAX(0,Inputs!$B$44-Summary!$B$24)/(IF(Inputs!$B$39="pvp",15,MAX(0.1,Skills!D12-IF(TRUE=TRUE,Inputs!$B$33,0)))*(1-IF(AND(ArtifactsInput!$M$27,Inputs!$B$4="Chapter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Skills!F13*IF(Skills!G13&gt;0,INT(IF(Inputs!$B$39="pvp",MIN(Skills!H13,15),Skills!H13)/Skills!G13+0.000000001),1)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IFERROR(1/(IF(Inputs!$B$39="pvp",15,MAX(0.1,Skills!D13-IF(TRUE=TRUE,Inputs!$B$33,0)))*(1-IF(AND(ArtifactsInput!$M$27,Inputs!$B$4="Chapter Hunt"),CHOOSE(ArtifactsInput!$N$27+1,20,24,28,32,36,40),0)/100)),0)</f>
        <v/>
      </c>
      <c r="R13">
        <f>IF(AND(Inputs!$B$39&lt;&gt;"pvp",Inputs!$B$44&gt;0),IF(MAX(0,Inputs!$B$44-Summary!$B$24)&lt;=0,0,(INT(MAX(0,Inputs!$B$44-Summary!$B$24)/(IF(Inputs!$B$39="pvp",15,MAX(0.1,Skills!D13-IF(TRUE=TRUE,Inputs!$B$33,0)))*(1-IF(AND(ArtifactsInput!$M$27,Inputs!$B$4="Chapter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Skills!F14*IF(Skills!G14&gt;0,INT(IF(Inputs!$B$39="pvp",MIN(Skills!H14,15),Skills!H14)/Skills!G14+0.000000001),1)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IFERROR(1/(IF(Inputs!$B$39="pvp",15,MAX(0.1,Skills!D14-IF(TRUE=TRUE,Inputs!$B$33,0)))*(1-IF(AND(ArtifactsInput!$M$27,Inputs!$B$4="Chapter Hunt"),CHOOSE(ArtifactsInput!$N$27+1,20,24,28,32,36,40),0)/100)),0)</f>
        <v/>
      </c>
      <c r="R14">
        <f>IF(AND(Inputs!$B$39&lt;&gt;"pvp",Inputs!$B$44&gt;0),IF(Inputs!$B$44&lt;=0,0,(INT(Inputs!$B$44/(IF(Inputs!$B$39="pvp",15,MAX(0.1,Skills!D14-IF(TRUE=TRUE,Inputs!$B$33,0)))*(1-IF(AND(ArtifactsInput!$M$27,Inputs!$B$4="Chapter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Skills!F15*IF(Skills!G15&gt;0,INT(IF(Inputs!$B$39="pvp",MIN(Skills!H15,15),Skills!H15)/Skills!G15+0.000000001),1)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IFERROR(1/(IF(Inputs!$B$39="pvp",15,MAX(0.1,Skills!D15-IF(TRUE=TRUE,Inputs!$B$33,0)))*(1-IF(AND(ArtifactsInput!$M$27,Inputs!$B$4="Chapter Hunt"),CHOOSE(ArtifactsInput!$N$27+1,20,24,28,32,36,40),0)/100)),0)</f>
        <v/>
      </c>
      <c r="R15" t="n">
        <v>0</v>
      </c>
      <c r="S15">
        <f>IF(C15,(Skills!F15*N15*((IF(Inputs!$B$3&gt;=78,25,15)/100*Summary!$B$19*10)/(1+IF(Inputs!$B$3&gt;=78,25,15)/100*Summary!$B$19*IF(Inputs!$B$39="pvp",15,MAX(0.1,18-IF(TRUE=TRUE,Inputs!$B$33,0)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IF(Inputs!$B$39="pvp",15,MAX(0.1,18-IF(TRUE=TRUE,Inputs!$B$33,0)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Skills!F16*IF(Skills!G16&gt;0,INT(IF(Inputs!$B$39="pvp",MIN(Skills!H16,15),Skills!H16)/Skills!G16+0.000000001),1)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IFERROR(1/(IF(Inputs!$B$39="pvp",15,MAX(0.1,Skills!D16-IF(TRUE=TRUE,Inputs!$B$33,0)))*(1-IF(AND(ArtifactsInput!$M$27,Inputs!$B$4="Chapter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Skills!F17*IF(Skills!G17&gt;0,INT(IF(Inputs!$B$39="pvp",MIN(Skills!H17,15),Skills!H17)/Skills!G17+0.000000001),1)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IFERROR(1/(IF(Inputs!$B$39="pvp",15,MAX(0.1,Skills!D17-IF(TRUE=TRUE,Inputs!$B$33,0)))*(1-IF(AND(ArtifactsInput!$M$27,Inputs!$B$4="Chapter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Skills!F18*IF(Skills!G18&gt;0,INT(IF(Inputs!$B$39="pvp",MIN(Skills!H18,15),Skills!H18)/Skills!G18+0.000000001),1)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IFERROR(1/(IF(Inputs!$B$39="pvp",15,MAX(0.1,Skills!D18-IF(TRUE=TRUE,Inputs!$B$33,0)))*(1-IF(AND(ArtifactsInput!$M$27,Inputs!$B$4="Chapter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Skills!F19*IF(Skills!G19&gt;0,INT(IF(Inputs!$B$39="pvp",MIN(Skills!H19,15),Skills!H19)/Skills!G19+0.000000001),1)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IFERROR(1/(IF(Inputs!$B$39="pvp",15,MAX(0.1,Skills!D19-IF(TRUE=TRUE,Inputs!$B$33,0)))*(1-IF(AND(ArtifactsInput!$M$27,Inputs!$B$4="Chapter Hunt"),CHOOSE(ArtifactsInput!$N$27+1,20,24,28,32,36,40),0)/100)),0)</f>
        <v/>
      </c>
      <c r="R19">
        <f>IF(AND(Inputs!$B$39&lt;&gt;"pvp",Inputs!$B$44&gt;0),IF(Inputs!$B$44&lt;=0,0,(INT(Inputs!$B$44/(IF(Inputs!$B$39="pvp",15,MAX(0.1,Skills!D19-IF(TRUE=TRUE,Inputs!$B$33,0)))*(1-IF(AND(ArtifactsInput!$M$27,Inputs!$B$4="Chapter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Skills!F20*IF(Skills!G20&gt;0,INT(IF(Inputs!$B$39="pvp",MIN(Skills!H20,15),Skills!H20)/Skills!G20+0.000000001),1)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IFERROR(1/(IF(Inputs!$B$39="pvp",15,MAX(0.1,Skills!D20-IF(TRUE=TRUE,Inputs!$B$33,0)))*(1-IF(AND(ArtifactsInput!$M$27,Inputs!$B$4="Chapter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Skills!F21*IF(Skills!G21&gt;0,INT(IF(Inputs!$B$39="pvp",MIN(Skills!H21,15),Skills!H21)/Skills!G21+0.000000001),1)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IFERROR(1/(IF(Inputs!$B$39="pvp",15,MAX(0.1,Skills!D21-IF(TRUE=TRUE,Inputs!$B$33,0)))*(1-IF(AND(ArtifactsInput!$M$27,Inputs!$B$4="Chapter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Skills!F22*IF(Skills!G22&gt;0,INT(IF(Inputs!$B$39="pvp",MIN(Skills!H22,15),Skills!H22)/Skills!G22+0.000000001),1)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IFERROR(1/(IF(Inputs!$B$39="pvp",15,MAX(0.1,Skills!D22-IF(TRUE=TRUE,Inputs!$B$33,0)))*(1-IF(AND(ArtifactsInput!$M$27,Inputs!$B$4="Chapter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Skills!F23*IF(Skills!G23&gt;0,INT(IF(Inputs!$B$39="pvp",MIN(Skills!H23,15),Skills!H23)/Skills!G23+0.000000001),1)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IFERROR(1/(IF(Inputs!$B$39="pvp",15,MAX(0.1,Skills!D23-IF(TRUE=TRUE,Inputs!$B$33,0)))*(1-IF(AND(ArtifactsInput!$M$27,Inputs!$B$4="Chapter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Skills!F24*IF(Skills!G24&gt;0,INT(IF(Inputs!$B$39="pvp",MIN(Skills!H24,15),Skills!H24)/Skills!G24+0.000000001),1)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IFERROR(1/(IF(Inputs!$B$39="pvp",15,MAX(0.1,Skills!D24-IF(TRUE=TRUE,Inputs!$B$33,0)))*(1-IF(AND(ArtifactsInput!$M$27,Inputs!$B$4="Chapter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Skills!F25*IF(Skills!G25&gt;0,INT(IF(Inputs!$B$39="pvp",MIN(Skills!H25,15),Skills!H25)/Skills!G25+0.000000001),1)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IFERROR(1/(IF(Inputs!$B$39="pvp",15,MAX(0.1,Skills!D25-IF(TRUE=TRUE,Inputs!$B$33,0)))*(1-IF(AND(ArtifactsInput!$M$27,Inputs!$B$4="Chapter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Skills!F26*IF(Skills!G26&gt;0,INT(IF(Inputs!$B$39="pvp",MIN(Skills!H26,15),Skills!H26)/Skills!G26+0.000000001),1)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IFERROR(1/(IF(Inputs!$B$39="pvp",15,MAX(0.1,Skills!D26-IF(TRUE=TRUE,Inputs!$B$33,0)))*(1-IF(AND(ArtifactsInput!$M$27,Inputs!$B$4="Chapter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Skills!F27*IF(Skills!G27&gt;0,INT(IF(Inputs!$B$39="pvp",MIN(Skills!H27,15),Skills!H27)/Skills!G27+0.000000001),1)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IFERROR(1/(IF(Inputs!$B$39="pvp",15,MAX(0.1,Skills!D27-IF(TRUE=TRUE,Inputs!$B$33,0)))*(1-IF(AND(ArtifactsInput!$M$27,Inputs!$B$4="Chapter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Skills!F28*IF(Skills!G28&gt;0,INT(IF(Inputs!$B$39="pvp",MIN(Skills!H28,15),Skills!H28)/Skills!G28+0.000000001),1)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IFERROR(1/(IF(Inputs!$B$39="pvp",15,MAX(0.1,Skills!D28-IF(TRUE=TRUE,Inputs!$B$33,0)))*(1-IF(AND(ArtifactsInput!$M$27,Inputs!$B$4="Chapter Hunt"),CHOOSE(ArtifactsInput!$N$27+1,20,24,28,32,36,40),0)/100)),0)</f>
        <v/>
      </c>
      <c r="R28">
        <f>IF(AND(Inputs!$B$39&lt;&gt;"pvp",Inputs!$B$44&gt;0),IF(Inputs!$B$44&lt;=0,0,(INT(Inputs!$B$44/(IF(Inputs!$B$39="pvp",15,MAX(0.1,Skills!D28-IF(TRUE=TRUE,Inputs!$B$33,0)))*(1-IF(AND(ArtifactsInput!$M$27,Inputs!$B$4="Chapter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MIN((Skills!S3*(1+(Inputs!$B$35)/100)),(1/Calc!Q3))+MIN((Skills!S3*(1+(Inputs!$B$35)/100)),MAX(0,Inputs!$B$44-((Calc!R3-1)*(1/Calc!Q3)))))/Inputs!$B$44),IF(Inputs!$B$39="pvp",MIN((Skills!S3*(1+(Inputs!$B$35)/100)),15)/15,MIN(1,(Skills!S3*(1+(Inputs!$B$35)/100))/(1/Calc!Q3)))),0)+IF(Calc!C4=TRUE,Calc!F4*IF(AND(Inputs!$B$39&lt;&gt;"pvp",Inputs!$B$44&gt;0),(((Calc!R4-1)*MIN((Skills!S4*(1+(Inputs!$B$35)/100)),(1/Calc!Q4))+MIN((Skills!S4*(1+(Inputs!$B$35)/100)),MAX(0,Inputs!$B$44-((Calc!R4-1)*(1/Calc!Q4)))))/Inputs!$B$44),IF(Inputs!$B$39="pvp",MIN((Skills!S4*(1+(Inputs!$B$35)/100)),15)/15,MIN(1,(Skills!S4*(1+(Inputs!$B$35)/100))/(1/Calc!Q4)))),0)+IF(Calc!C5=TRUE,Calc!F5*IF(AND(Inputs!$B$39&lt;&gt;"pvp",Inputs!$B$44&gt;0),(((Calc!R5-1)*MIN((Skills!S5*(1+(Inputs!$B$35)/100)),(1/Calc!Q5))+MIN((Skills!S5*(1+(Inputs!$B$35)/100)),MAX(0,Inputs!$B$44-((Calc!R5-1)*(1/Calc!Q5)))))/Inputs!$B$44),IF(Inputs!$B$39="pvp",MIN((Skills!S5*(1+(Inputs!$B$35)/100)),15)/15,MIN(1,(Skills!S5*(1+(Inputs!$B$35)/100))/(1/Calc!Q5)))),0)+IF(Calc!C11=TRUE,Calc!F11*IF(AND(Inputs!$B$39&lt;&gt;"pvp",Inputs!$B$44&gt;0),(((Calc!R11-1)*MIN((Skills!S11*(1+(Inputs!$B$35)/100)),(1/Calc!Q11))+MIN((Skills!S11*(1+(Inputs!$B$35)/100)),MAX(0,Inputs!$B$44-((Calc!R11-1)*(1/Calc!Q11)))))/Inputs!$B$44),IF(Inputs!$B$39="pvp",MIN((Skills!S11*(1+(Inputs!$B$35)/100)),15)/15,MIN(1,(Skills!S11*(1+(Inputs!$B$35)/100))/(1/Calc!Q11)))),0)+Artifacts!$B$52)/100)*IF(Calc!C14=TRUE,(1+Calc!F14*IF(AND(Inputs!$B$39&lt;&gt;"pvp",Inputs!$B$44&gt;0),(((Calc!R14-1)*MIN((Skills!S14*(1+(Inputs!$B$35)/100)),(1/Calc!Q14))+MIN((Skills!S14*(1+(Inputs!$B$35)/100)),MAX(0,Inputs!$B$44-((Calc!R14-1)*(1/Calc!Q14)))))/Inputs!$B$44),IF(Inputs!$B$39="pvp",MIN((Skills!S14*(1+(Inputs!$B$35)/100)),15)/15,MIN(1,(Skills!S14*(1+(Inputs!$B$35)/100))/(1/Calc!Q14))))/100),1)*IF(Calc!C19=TRUE,(1+Calc!F19*IF(AND(Inputs!$B$39&lt;&gt;"pvp",Inputs!$B$44&gt;0),(((Calc!R19-1)*MIN((Skills!S19*(1+(Inputs!$B$35)/100)),(1/Calc!Q19))+MIN((Skills!S19*(1+(Inputs!$B$35)/100)),MAX(0,Inputs!$B$44-((Calc!R19-1)*(1/Calc!Q19)))))/Inputs!$B$44),IF(Inputs!$B$39="pvp",MIN((Skills!S19*(1+(Inputs!$B$35)/100)),15)/15,MIN(1,(Skills!S19*(1+(Inputs!$B$35)/100))/(1/Calc!Q19))))/100),1)</f>
        <v/>
      </c>
    </row>
    <row r="14">
      <c r="A14" t="inlineStr">
        <is>
          <t>Monster Damage Taken Bonus % (Holy Fountain - Boss Monster Damage, averaged)</t>
        </is>
      </c>
      <c r="B14">
        <f>IF(Inputs!$B$3&gt;=68,20*IF(Inputs!$B$39="pvp",MIN((15*(1+(Inputs!$B$35)/100)),15)/15,MIN(1,(15*(1+(Inputs!$B$35)/100))/(1/Calc!Q10))),0)</f>
        <v/>
      </c>
    </row>
    <row r="15">
      <c r="A15" t="inlineStr">
        <is>
          <t>Normal Monster Damage Bonus % (Holy Symbol, averaged)</t>
        </is>
      </c>
      <c r="B15">
        <f>IF(Calc!C12=TRUE,Calc!F12*IF(AND(Inputs!$B$39&lt;&gt;"pvp",Inputs!$B$44&gt;0),(((Calc!R12-1)*MIN((Skills!S12*(1+(Inputs!$B$35)/100)),(1/Calc!Q12))+MIN((Skills!S12*(1+(Inputs!$B$35)/100)),MAX(0,Inputs!$B$44-((Calc!R12-1)*(1/Calc!Q12)))))/Inputs!$B$44),IF(Inputs!$B$39="pvp",MIN((Skills!S12*(1+(Inputs!$B$35)/100)),15)/15,MIN(1,(Skills!S12*(1+(Inputs!$B$35)/100))/(1/Calc!Q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MIN((Skills!S28*(1+(Inputs!$B$35)/100)),(1/Calc!Q28))+MIN((Skills!S28*(1+(Inputs!$B$35)/100)),MAX(0,Inputs!$B$44-((Calc!R28-1)*(1/Calc!Q28)))))/Inputs!$B$44),IF(Inputs!$B$39="pvp",MIN((Skills!S28*(1+(Inputs!$B$35)/100)),15)/15,MIN(1,(Skills!S28*(1+(Inputs!$B$35)/100))/(1/Calc!Q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MIN((Skills!S13*(1+(Inputs!$B$35)/100)),(1/Calc!Q13))+MIN((Skills!S13*(1+(Inputs!$B$35)/100)),MAX(0,Inputs!$B$44-((Calc!R13-1)*(1/Calc!Q13)))))/Inputs!$B$44),IF(Inputs!$B$39="pvp",MIN((Skills!S13*(1+(Inputs!$B$35)/100)),15)/15,MIN(1,(Skills!S13*(1+(Inputs!$B$35)/100))/(1/Calc!Q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IFERROR(1/(IF(Inputs!$B$39="pvp",15,MAX(0.1,Skills!D2-IF(TRUE=TRUE,Inputs!$B$33,0)))*(1-IF(AND(ArtifactsInput!$M$27,Inputs!$B$4="Chapter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IFERROR(1/(IF(Inputs!$B$39="pvp",15,MAX(0.1,Skills!D3-IF(TRUE=TRUE,Inputs!$B$33,0)))*(1-IF(AND(ArtifactsInput!$M$27,Inputs!$B$4="Chapter Hunt"),CHOOSE(ArtifactsInput!$N$27+1,20,24,28,32,36,40),0)/100)),0)</f>
        <v/>
      </c>
      <c r="R75">
        <f>IF(AND(Inputs!$B$39&lt;&gt;"pvp",Inputs!$B$44&gt;0),IF(Inputs!$B$44&lt;=0,0,(INT(Inputs!$B$44/(IF(Inputs!$B$39="pvp",15,MAX(0.1,Skills!D3-IF(TRUE=TRUE,Inputs!$B$33,0)))*(1-IF(AND(ArtifactsInput!$M$27,Inputs!$B$4="Chapter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IFERROR(1/(IF(Inputs!$B$39="pvp",15,MAX(0.1,Skills!D4-IF(TRUE=TRUE,Inputs!$B$33,0)))*(1-IF(AND(ArtifactsInput!$M$27,Inputs!$B$4="Chapter Hunt"),CHOOSE(ArtifactsInput!$N$27+1,20,24,28,32,36,40),0)/100)),0)</f>
        <v/>
      </c>
      <c r="R76">
        <f>IF(AND(Inputs!$B$39&lt;&gt;"pvp",Inputs!$B$44&gt;0),IF(Inputs!$B$44&lt;=0,0,(INT(Inputs!$B$44/(IF(Inputs!$B$39="pvp",15,MAX(0.1,Skills!D4-IF(TRUE=TRUE,Inputs!$B$33,0)))*(1-IF(AND(ArtifactsInput!$M$27,Inputs!$B$4="Chapter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IFERROR(1/(IF(Inputs!$B$39="pvp",15,MAX(0.1,Skills!D5-IF(TRUE=TRUE,Inputs!$B$33,0)))*(1-IF(AND(ArtifactsInput!$M$27,Inputs!$B$4="Chapter Hunt"),CHOOSE(ArtifactsInput!$N$27+1,20,24,28,32,36,40),0)/100)),0)</f>
        <v/>
      </c>
      <c r="R77">
        <f>IF(AND(Inputs!$B$39&lt;&gt;"pvp",Inputs!$B$44&gt;0),IF(Inputs!$B$44&lt;=0,0,(INT(Inputs!$B$44/(IF(Inputs!$B$39="pvp",15,MAX(0.1,Skills!D5-IF(TRUE=TRUE,Inputs!$B$33,0)))*(1-IF(AND(ArtifactsInput!$M$27,Inputs!$B$4="Chapter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IFERROR(1/(IF(Inputs!$B$39="pvp",15,MAX(0.1,Skills!D6-IF(TRUE=TRUE,Inputs!$B$33,0)))*(1-IF(AND(ArtifactsInput!$M$27,Inputs!$B$4="Chapter Hunt"),CHOOSE(ArtifactsInput!$N$27+1,20,24,28,32,36,40),0)/100)),0)</f>
        <v/>
      </c>
      <c r="R78">
        <f>IF(AND(Inputs!$B$39&lt;&gt;"pvp",Inputs!$B$44&gt;0),IF(MAX(0,Inputs!$B$44-B112)&lt;=0,0,(INT(MAX(0,Inputs!$B$44-B112)/(IF(Inputs!$B$39="pvp",15,MAX(0.1,Skills!D6-IF(TRUE=TRUE,Inputs!$B$33,0)))*(1-IF(AND(ArtifactsInput!$M$27,Inputs!$B$4="Chapter Hunt"),CHOOSE(ArtifactsInput!$N$27+1,20,24,28,32,36,40),0)/100)))+1)),0)</f>
        <v/>
      </c>
      <c r="S78">
        <f>IF(C78,(H78*N78*IF(AND(Inputs!$B$39&lt;&gt;"pvp",Inputs!$B$44&gt;0),((Skills!F6*((R78-1)*IF(Skills!G6&gt;0,INT(Skills!H6/Skills!G6+0.000000001),1)+IF(Skills!G6&gt;0,INT(MIN(Skills!H6,MAX(0,MAX(0,Inputs!$B$44-B112)-((R78-1)*(IF(Inputs!$B$39="pvp",15,MAX(0.1,Skills!D6-IF(TRUE=TRUE,Inputs!$B$33,0)))*(1-IF(AND(ArtifactsInput!$M$27,Inputs!$B$4="Chapter Hunt"),CHOOSE(ArtifactsInput!$N$27+1,20,24,28,32,36,40),0)/100)))))/Skills!G6+0.000000001),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INT(Skills!H6/Skills!G6+0.000000001),1)+IF(Skills!G6&gt;0,INT(MIN(Skills!H6,MAX(0,MAX(0,Inputs!$B$44-B112)-((R78-1)*(IF(Inputs!$B$39="pvp",15,MAX(0.1,Skills!D6-IF(TRUE=TRUE,Inputs!$B$33,0)))*(1-IF(AND(ArtifactsInput!$M$27,Inputs!$B$4="Chapter Hunt"),CHOOSE(ArtifactsInput!$N$27+1,20,24,28,32,36,40),0)/100)))))/Skills!G6+0.000000001),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IFERROR(1/(IF(Inputs!$B$39="pvp",15,MAX(0.1,Skills!D7-IF(TRUE=TRUE,Inputs!$B$33,0)))*(1-IF(AND(ArtifactsInput!$M$27,Inputs!$B$4="Chapter Hunt"),CHOOSE(ArtifactsInput!$N$27+1,20,24,28,32,36,40),0)/100)),0)</f>
        <v/>
      </c>
      <c r="R79">
        <f>IF(AND(Inputs!$B$39&lt;&gt;"pvp",Inputs!$B$44&gt;0),IF(MAX(0,Inputs!$B$44-B112)&lt;=0,0,(INT(MAX(0,Inputs!$B$44-B112)/(IF(Inputs!$B$39="pvp",15,MAX(0.1,Skills!D7-IF(TRUE=TRUE,Inputs!$B$33,0)))*(1-IF(AND(ArtifactsInput!$M$27,Inputs!$B$4="Chapter Hunt"),CHOOSE(ArtifactsInput!$N$27+1,20,24,28,32,36,40),0)/100)))+1)),0)</f>
        <v/>
      </c>
      <c r="S79">
        <f>IF(C79,H79*N79*IF(AND(Inputs!$B$39&lt;&gt;"pvp",Inputs!$B$44&gt;0),((Skills!F7*((R79-1)*IF(Skills!G7&gt;0,INT(Skills!H7/Skills!G7+0.000000001),1)+IF(Skills!G7&gt;0,INT(MIN(Skills!H7,MAX(0,MAX(0,Inputs!$B$44-B112)-((R79-1)*(IF(Inputs!$B$39="pvp",15,MAX(0.1,Skills!D7-IF(TRUE=TRUE,Inputs!$B$33,0)))*(1-IF(AND(ArtifactsInput!$M$27,Inputs!$B$4="Chapter Hunt"),CHOOSE(ArtifactsInput!$N$27+1,20,24,28,32,36,40),0)/100)))))/Skills!G7+0.000000001),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IFERROR(1/(IF(Inputs!$B$39="pvp",15,MAX(0.1,Skills!D8-IF(TRUE=TRUE,Inputs!$B$33,0)))*(1-IF(AND(ArtifactsInput!$M$27,Inputs!$B$4="Chapter Hunt"),CHOOSE(ArtifactsInput!$N$27+1,20,24,28,32,36,40),0)/100)),0)</f>
        <v/>
      </c>
      <c r="R80">
        <f>IF(AND(Inputs!$B$39&lt;&gt;"pvp",Inputs!$B$44&gt;0),IF(MAX(0,Inputs!$B$44-B112)&lt;=0,0,(INT(MAX(0,Inputs!$B$44-B112)/(IF(Inputs!$B$39="pvp",15,MAX(0.1,Skills!D8-IF(TRUE=TRUE,Inputs!$B$33,0)))*(1-IF(AND(ArtifactsInput!$M$27,Inputs!$B$4="Chapter Hunt"),CHOOSE(ArtifactsInput!$N$27+1,20,24,28,32,36,40),0)/100)))+1)),0)</f>
        <v/>
      </c>
      <c r="S80">
        <f>IF(C80,(H80*N80*IF(AND(Inputs!$B$39&lt;&gt;"pvp",Inputs!$B$44&gt;0),((Skills!F8*((R80-1)*IF(Skills!G8&gt;0,INT(Skills!H8/Skills!G8+0.000000001),1)+IF(Skills!G8&gt;0,INT(MIN(Skills!H8,MAX(0,MAX(0,Inputs!$B$44-B112)-((R80-1)*(IF(Inputs!$B$39="pvp",15,MAX(0.1,Skills!D8-IF(TRUE=TRUE,Inputs!$B$33,0)))*(1-IF(AND(ArtifactsInput!$M$27,Inputs!$B$4="Chapter Hunt"),CHOOSE(ArtifactsInput!$N$27+1,20,24,28,32,36,40),0)/100)))))/Skills!G8+0.000000001),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INT(Skills!H8/Skills!G8+0.000000001),1)+IF(Skills!G8&gt;0,INT(MIN(Skills!H8,MAX(0,MAX(0,Inputs!$B$44-B112)-((R80-1)*(IF(Inputs!$B$39="pvp",15,MAX(0.1,Skills!D8-IF(TRUE=TRUE,Inputs!$B$33,0)))*(1-IF(AND(ArtifactsInput!$M$27,Inputs!$B$4="Chapter Hunt"),CHOOSE(ArtifactsInput!$N$27+1,20,24,28,32,36,40),0)/100)))))/Skills!G8+0.000000001),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IFERROR(1/(IF(Inputs!$B$39="pvp",15,MAX(0.1,Skills!D9-IF(TRUE=TRUE,Inputs!$B$33,0)))*(1-IF(AND(ArtifactsInput!$M$27,Inputs!$B$4="Chapter Hunt"),CHOOSE(ArtifactsInput!$N$27+1,20,24,28,32,36,40),0)/100)),0)</f>
        <v/>
      </c>
      <c r="R81">
        <f>IF(AND(Inputs!$B$39&lt;&gt;"pvp",Inputs!$B$44&gt;0),IF(MAX(0,Inputs!$B$44-B112)&lt;=0,0,(INT(MAX(0,Inputs!$B$44-B112)/(IF(Inputs!$B$39="pvp",15,MAX(0.1,Skills!D9-IF(TRUE=TRUE,Inputs!$B$33,0)))*(1-IF(AND(ArtifactsInput!$M$27,Inputs!$B$4="Chapter Hunt"),CHOOSE(ArtifactsInput!$N$27+1,20,24,28,32,36,40),0)/100)))+1)),0)</f>
        <v/>
      </c>
      <c r="S81">
        <f>IF(C81,(H81*N81*IF(AND(Inputs!$B$39&lt;&gt;"pvp",Inputs!$B$44&gt;0),((Skills!F9*((R81-1)*IF(Skills!G9&gt;0,INT(Skills!H9/Skills!G9+0.000000001),1)+IF(Skills!G9&gt;0,INT(MIN(Skills!H9,MAX(0,MAX(0,Inputs!$B$44-B112)-((R81-1)*(IF(Inputs!$B$39="pvp",15,MAX(0.1,Skills!D9-IF(TRUE=TRUE,Inputs!$B$33,0)))*(1-IF(AND(ArtifactsInput!$M$27,Inputs!$B$4="Chapter Hunt"),CHOOSE(ArtifactsInput!$N$27+1,20,24,28,32,36,40),0)/100)))))/Skills!G9+0.000000001),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INT(Skills!H9/Skills!G9+0.000000001),1)+IF(Skills!G9&gt;0,INT(MIN(Skills!H9,MAX(0,MAX(0,Inputs!$B$44-B112)-((R81-1)*(IF(Inputs!$B$39="pvp",15,MAX(0.1,Skills!D9-IF(TRUE=TRUE,Inputs!$B$33,0)))*(1-IF(AND(ArtifactsInput!$M$27,Inputs!$B$4="Chapter Hunt"),CHOOSE(ArtifactsInput!$N$27+1,20,24,28,32,36,40),0)/100)))))/Skills!G9+0.000000001),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IFERROR(1/(IF(Inputs!$B$39="pvp",15,MAX(0.1,Skills!D10-IF(TRUE=TRUE,Inputs!$B$33,0)))*(1-IF(AND(ArtifactsInput!$M$27,Inputs!$B$4="Chapter Hunt"),CHOOSE(ArtifactsInput!$N$27+1,20,24,28,32,36,40),0)/100)),0)</f>
        <v/>
      </c>
      <c r="R82">
        <f>IF(AND(Inputs!$B$39&lt;&gt;"pvp",Inputs!$B$44&gt;0),IF(MAX(0,Inputs!$B$44-B112)&lt;=0,0,(INT(MAX(0,Inputs!$B$44-B112)/(IF(Inputs!$B$39="pvp",15,MAX(0.1,Skills!D10-IF(TRUE=TRUE,Inputs!$B$33,0)))*(1-IF(AND(ArtifactsInput!$M$27,Inputs!$B$4="Chapter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IFERROR(1/(IF(Inputs!$B$39="pvp",15,MAX(0.1,Skills!D11-IF(TRUE=TRUE,Inputs!$B$33,0)))*(1-IF(AND(ArtifactsInput!$M$27,Inputs!$B$4="Chapter Hunt"),CHOOSE(ArtifactsInput!$N$27+1,20,24,28,32,36,40),0)/100)),0)</f>
        <v/>
      </c>
      <c r="R83">
        <f>IF(AND(Inputs!$B$39&lt;&gt;"pvp",Inputs!$B$44&gt;0),IF(Inputs!$B$44&lt;=0,0,(INT(Inputs!$B$44/(IF(Inputs!$B$39="pvp",15,MAX(0.1,Skills!D11-IF(TRUE=TRUE,Inputs!$B$33,0)))*(1-IF(AND(ArtifactsInput!$M$27,Inputs!$B$4="Chapter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IFERROR(1/(IF(Inputs!$B$39="pvp",15,MAX(0.1,Skills!D12-IF(TRUE=TRUE,Inputs!$B$33,0)))*(1-IF(AND(ArtifactsInput!$M$27,Inputs!$B$4="Chapter Hunt"),CHOOSE(ArtifactsInput!$N$27+1,20,24,28,32,36,40),0)/100)),0)</f>
        <v/>
      </c>
      <c r="R84">
        <f>IF(AND(Inputs!$B$39&lt;&gt;"pvp",Inputs!$B$44&gt;0),IF(MAX(0,Inputs!$B$44-B112)&lt;=0,0,(INT(MAX(0,Inputs!$B$44-B112)/(IF(Inputs!$B$39="pvp",15,MAX(0.1,Skills!D12-IF(TRUE=TRUE,Inputs!$B$33,0)))*(1-IF(AND(ArtifactsInput!$M$27,Inputs!$B$4="Chapter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IFERROR(1/(IF(Inputs!$B$39="pvp",15,MAX(0.1,Skills!D13-IF(TRUE=TRUE,Inputs!$B$33,0)))*(1-IF(AND(ArtifactsInput!$M$27,Inputs!$B$4="Chapter Hunt"),CHOOSE(ArtifactsInput!$N$27+1,20,24,28,32,36,40),0)/100)),0)</f>
        <v/>
      </c>
      <c r="R85">
        <f>IF(AND(Inputs!$B$39&lt;&gt;"pvp",Inputs!$B$44&gt;0),IF(MAX(0,Inputs!$B$44-B112)&lt;=0,0,(INT(MAX(0,Inputs!$B$44-B112)/(IF(Inputs!$B$39="pvp",15,MAX(0.1,Skills!D13-IF(TRUE=TRUE,Inputs!$B$33,0)))*(1-IF(AND(ArtifactsInput!$M$27,Inputs!$B$4="Chapter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IFERROR(1/(IF(Inputs!$B$39="pvp",15,MAX(0.1,Skills!D14-IF(TRUE=TRUE,Inputs!$B$33,0)))*(1-IF(AND(ArtifactsInput!$M$27,Inputs!$B$4="Chapter Hunt"),CHOOSE(ArtifactsInput!$N$27+1,20,24,28,32,36,40),0)/100)),0)</f>
        <v/>
      </c>
      <c r="R86">
        <f>IF(AND(Inputs!$B$39&lt;&gt;"pvp",Inputs!$B$44&gt;0),IF(Inputs!$B$44&lt;=0,0,(INT(Inputs!$B$44/(IF(Inputs!$B$39="pvp",15,MAX(0.1,Skills!D14-IF(TRUE=TRUE,Inputs!$B$33,0)))*(1-IF(AND(ArtifactsInput!$M$27,Inputs!$B$4="Chapter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IFERROR(1/(IF(Inputs!$B$39="pvp",15,MAX(0.1,Skills!D15-IF(TRUE=TRUE,Inputs!$B$33,0)))*(1-IF(AND(ArtifactsInput!$M$27,Inputs!$B$4="Chapter Hunt"),CHOOSE(ArtifactsInput!$N$27+1,20,24,28,32,36,40),0)/100)),0)</f>
        <v/>
      </c>
      <c r="R87" t="n">
        <v>0</v>
      </c>
      <c r="S87">
        <f>IF(C87,(Skills!F15*N87*((IF(Inputs!$B$3&gt;=78,25,15)/100*B108*10)/(1+IF(Inputs!$B$3&gt;=78,25,15)/100*B108*IF(Inputs!$B$39="pvp",15,MAX(0.1,18-IF(TRUE=TRUE,Inputs!$B$33,0)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IF(Inputs!$B$39="pvp",15,MAX(0.1,18-IF(TRUE=TRUE,Inputs!$B$33,0)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IFERROR(1/(IF(Inputs!$B$39="pvp",15,MAX(0.1,Skills!D16-IF(TRUE=TRUE,Inputs!$B$33,0)))*(1-IF(AND(ArtifactsInput!$M$27,Inputs!$B$4="Chapter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IFERROR(1/(IF(Inputs!$B$39="pvp",15,MAX(0.1,Skills!D17-IF(TRUE=TRUE,Inputs!$B$33,0)))*(1-IF(AND(ArtifactsInput!$M$27,Inputs!$B$4="Chapter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IFERROR(1/(IF(Inputs!$B$39="pvp",15,MAX(0.1,Skills!D18-IF(TRUE=TRUE,Inputs!$B$33,0)))*(1-IF(AND(ArtifactsInput!$M$27,Inputs!$B$4="Chapter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IFERROR(1/(IF(Inputs!$B$39="pvp",15,MAX(0.1,Skills!D19-IF(TRUE=TRUE,Inputs!$B$33,0)))*(1-IF(AND(ArtifactsInput!$M$27,Inputs!$B$4="Chapter Hunt"),CHOOSE(ArtifactsInput!$N$27+1,20,24,28,32,36,40),0)/100)),0)</f>
        <v/>
      </c>
      <c r="R91">
        <f>IF(AND(Inputs!$B$39&lt;&gt;"pvp",Inputs!$B$44&gt;0),IF(Inputs!$B$44&lt;=0,0,(INT(Inputs!$B$44/(IF(Inputs!$B$39="pvp",15,MAX(0.1,Skills!D19-IF(TRUE=TRUE,Inputs!$B$33,0)))*(1-IF(AND(ArtifactsInput!$M$27,Inputs!$B$4="Chapter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IFERROR(1/(IF(Inputs!$B$39="pvp",15,MAX(0.1,Skills!D20-IF(TRUE=TRUE,Inputs!$B$33,0)))*(1-IF(AND(ArtifactsInput!$M$27,Inputs!$B$4="Chapter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IFERROR(1/(IF(Inputs!$B$39="pvp",15,MAX(0.1,Skills!D21-IF(TRUE=TRUE,Inputs!$B$33,0)))*(1-IF(AND(ArtifactsInput!$M$27,Inputs!$B$4="Chapter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IFERROR(1/(IF(Inputs!$B$39="pvp",15,MAX(0.1,Skills!D22-IF(TRUE=TRUE,Inputs!$B$33,0)))*(1-IF(AND(ArtifactsInput!$M$27,Inputs!$B$4="Chapter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IFERROR(1/(IF(Inputs!$B$39="pvp",15,MAX(0.1,Skills!D23-IF(TRUE=TRUE,Inputs!$B$33,0)))*(1-IF(AND(ArtifactsInput!$M$27,Inputs!$B$4="Chapter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IFERROR(1/(IF(Inputs!$B$39="pvp",15,MAX(0.1,Skills!D24-IF(TRUE=TRUE,Inputs!$B$33,0)))*(1-IF(AND(ArtifactsInput!$M$27,Inputs!$B$4="Chapter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IFERROR(1/(IF(Inputs!$B$39="pvp",15,MAX(0.1,Skills!D25-IF(TRUE=TRUE,Inputs!$B$33,0)))*(1-IF(AND(ArtifactsInput!$M$27,Inputs!$B$4="Chapter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IFERROR(1/(IF(Inputs!$B$39="pvp",15,MAX(0.1,Skills!D26-IF(TRUE=TRUE,Inputs!$B$33,0)))*(1-IF(AND(ArtifactsInput!$M$27,Inputs!$B$4="Chapter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IFERROR(1/(IF(Inputs!$B$39="pvp",15,MAX(0.1,Skills!D27-IF(TRUE=TRUE,Inputs!$B$33,0)))*(1-IF(AND(ArtifactsInput!$M$27,Inputs!$B$4="Chapter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IFERROR(1/(IF(Inputs!$B$39="pvp",15,MAX(0.1,Skills!D28-IF(TRUE=TRUE,Inputs!$B$33,0)))*(1-IF(AND(ArtifactsInput!$M$27,Inputs!$B$4="Chapter Hunt"),CHOOSE(ArtifactsInput!$N$27+1,20,24,28,32,36,40),0)/100)),0)</f>
        <v/>
      </c>
      <c r="R100">
        <f>IF(AND(Inputs!$B$39&lt;&gt;"pvp",Inputs!$B$44&gt;0),IF(Inputs!$B$44&lt;=0,0,(INT(Inputs!$B$44/(IF(Inputs!$B$39="pvp",15,MAX(0.1,Skills!D28-IF(TRUE=TRUE,Inputs!$B$33,0)))*(1-IF(AND(ArtifactsInput!$M$27,Inputs!$B$4="Chapter Hunt"),CHOOSE(ArtifactsInput!$N$27+1,20,24,28,32,36,40),0)/100)))+1)),0)</f>
        <v/>
      </c>
      <c r="S100" t="n">
        <v>0</v>
      </c>
      <c r="U100" t="n">
        <v>0</v>
      </c>
    </row>
    <row r="102">
      <c r="A102" t="inlineStr">
        <is>
          <t>Average Buff Multiplier</t>
        </is>
      </c>
      <c r="B102">
        <f>(1+(IF(C75=TRUE,F75*IF(AND(Inputs!$B$39&lt;&gt;"pvp",Inputs!$B$44&gt;0),(((R75-1)*MIN((Skills!S3*(1+((Inputs!$B$35+(ArtifactsInput!$M$7-ArtifactsInput!$M$7)*CHOOSE(ArtifactsInput!$N$7+1,6,7.2,8.4,9.6,10.8,12)))/100)),(1/Q75))+MIN((Skills!S3*(1+((Inputs!$B$35+(ArtifactsInput!$M$7-ArtifactsInput!$M$7)*CHOOSE(ArtifactsInput!$N$7+1,6,7.2,8.4,9.6,10.8,12)))/100)),MAX(0,Inputs!$B$44-((R75-1)*(1/Q75)))))/Inputs!$B$44),IF(Inputs!$B$39="pvp",MIN((Skills!S3*(1+((Inputs!$B$35+(ArtifactsInput!$M$7-ArtifactsInput!$M$7)*CHOOSE(ArtifactsInput!$N$7+1,6,7.2,8.4,9.6,10.8,12)))/100)),15)/15,MIN(1,(Skills!S3*(1+((Inputs!$B$35+(ArtifactsInput!$M$7-ArtifactsInput!$M$7)*CHOOSE(ArtifactsInput!$N$7+1,6,7.2,8.4,9.6,10.8,12)))/100))/(1/Q75)))),0)+IF(C76=TRUE,F76*IF(AND(Inputs!$B$39&lt;&gt;"pvp",Inputs!$B$44&gt;0),(((R76-1)*MIN((Skills!S4*(1+((Inputs!$B$35+(ArtifactsInput!$M$7-ArtifactsInput!$M$7)*CHOOSE(ArtifactsInput!$N$7+1,6,7.2,8.4,9.6,10.8,12)))/100)),(1/Q76))+MIN((Skills!S4*(1+((Inputs!$B$35+(ArtifactsInput!$M$7-ArtifactsInput!$M$7)*CHOOSE(ArtifactsInput!$N$7+1,6,7.2,8.4,9.6,10.8,12)))/100)),MAX(0,Inputs!$B$44-((R76-1)*(1/Q76)))))/Inputs!$B$44),IF(Inputs!$B$39="pvp",MIN((Skills!S4*(1+((Inputs!$B$35+(ArtifactsInput!$M$7-ArtifactsInput!$M$7)*CHOOSE(ArtifactsInput!$N$7+1,6,7.2,8.4,9.6,10.8,12)))/100)),15)/15,MIN(1,(Skills!S4*(1+((Inputs!$B$35+(ArtifactsInput!$M$7-ArtifactsInput!$M$7)*CHOOSE(ArtifactsInput!$N$7+1,6,7.2,8.4,9.6,10.8,12)))/100))/(1/Q76)))),0)+IF(C77=TRUE,F77*IF(AND(Inputs!$B$39&lt;&gt;"pvp",Inputs!$B$44&gt;0),(((R77-1)*MIN((Skills!S5*(1+((Inputs!$B$35+(ArtifactsInput!$M$7-ArtifactsInput!$M$7)*CHOOSE(ArtifactsInput!$N$7+1,6,7.2,8.4,9.6,10.8,12)))/100)),(1/Q77))+MIN((Skills!S5*(1+((Inputs!$B$35+(ArtifactsInput!$M$7-ArtifactsInput!$M$7)*CHOOSE(ArtifactsInput!$N$7+1,6,7.2,8.4,9.6,10.8,12)))/100)),MAX(0,Inputs!$B$44-((R77-1)*(1/Q77)))))/Inputs!$B$44),IF(Inputs!$B$39="pvp",MIN((Skills!S5*(1+((Inputs!$B$35+(ArtifactsInput!$M$7-ArtifactsInput!$M$7)*CHOOSE(ArtifactsInput!$N$7+1,6,7.2,8.4,9.6,10.8,12)))/100)),15)/15,MIN(1,(Skills!S5*(1+((Inputs!$B$35+(ArtifactsInput!$M$7-ArtifactsInput!$M$7)*CHOOSE(ArtifactsInput!$N$7+1,6,7.2,8.4,9.6,10.8,12)))/100))/(1/Q77)))),0)+IF(C83=TRUE,F83*IF(AND(Inputs!$B$39&lt;&gt;"pvp",Inputs!$B$44&gt;0),(((R83-1)*MIN((Skills!S11*(1+((Inputs!$B$35+(ArtifactsInput!$M$7-ArtifactsInput!$M$7)*CHOOSE(ArtifactsInput!$N$7+1,6,7.2,8.4,9.6,10.8,12)))/100)),(1/Q83))+MIN((Skills!S11*(1+((Inputs!$B$35+(ArtifactsInput!$M$7-ArtifactsInput!$M$7)*CHOOSE(ArtifactsInput!$N$7+1,6,7.2,8.4,9.6,10.8,12)))/100)),MAX(0,Inputs!$B$44-((R83-1)*(1/Q83)))))/Inputs!$B$44),IF(Inputs!$B$39="pvp",MIN((Skills!S11*(1+((Inputs!$B$35+(ArtifactsInput!$M$7-ArtifactsInput!$M$7)*CHOOSE(ArtifactsInput!$N$7+1,6,7.2,8.4,9.6,10.8,12)))/100)),15)/15,MIN(1,(Skills!S11*(1+((Inputs!$B$35+(ArtifactsInput!$M$7-ArtifactsInput!$M$7)*CHOOSE(ArtifactsInput!$N$7+1,6,7.2,8.4,9.6,10.8,12)))/100))/(1/Q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MIN((Skills!S14*(1+((Inputs!$B$35+(ArtifactsInput!$M$7-ArtifactsInput!$M$7)*CHOOSE(ArtifactsInput!$N$7+1,6,7.2,8.4,9.6,10.8,12)))/100)),(1/Q86))+MIN((Skills!S14*(1+((Inputs!$B$35+(ArtifactsInput!$M$7-ArtifactsInput!$M$7)*CHOOSE(ArtifactsInput!$N$7+1,6,7.2,8.4,9.6,10.8,12)))/100)),MAX(0,Inputs!$B$44-((R86-1)*(1/Q86)))))/Inputs!$B$44),IF(Inputs!$B$39="pvp",MIN((Skills!S14*(1+((Inputs!$B$35+(ArtifactsInput!$M$7-ArtifactsInput!$M$7)*CHOOSE(ArtifactsInput!$N$7+1,6,7.2,8.4,9.6,10.8,12)))/100)),15)/15,MIN(1,(Skills!S14*(1+((Inputs!$B$35+(ArtifactsInput!$M$7-ArtifactsInput!$M$7)*CHOOSE(ArtifactsInput!$N$7+1,6,7.2,8.4,9.6,10.8,12)))/100))/(1/Q86))))/100),1)*IF(C91=TRUE,(1+F91*IF(AND(Inputs!$B$39&lt;&gt;"pvp",Inputs!$B$44&gt;0),(((R91-1)*MIN((Skills!S19*(1+((Inputs!$B$35+(ArtifactsInput!$M$7-ArtifactsInput!$M$7)*CHOOSE(ArtifactsInput!$N$7+1,6,7.2,8.4,9.6,10.8,12)))/100)),(1/Q91))+MIN((Skills!S19*(1+((Inputs!$B$35+(ArtifactsInput!$M$7-ArtifactsInput!$M$7)*CHOOSE(ArtifactsInput!$N$7+1,6,7.2,8.4,9.6,10.8,12)))/100)),MAX(0,Inputs!$B$44-((R91-1)*(1/Q91)))))/Inputs!$B$44),IF(Inputs!$B$39="pvp",MIN((Skills!S19*(1+((Inputs!$B$35+(ArtifactsInput!$M$7-ArtifactsInput!$M$7)*CHOOSE(ArtifactsInput!$N$7+1,6,7.2,8.4,9.6,10.8,12)))/100)),15)/15,MIN(1,(Skills!S19*(1+((Inputs!$B$35+(ArtifactsInput!$M$7-ArtifactsInput!$M$7)*CHOOSE(ArtifactsInput!$N$7+1,6,7.2,8.4,9.6,10.8,12)))/100))/(1/Q91))))/100),1)</f>
        <v/>
      </c>
    </row>
    <row r="103">
      <c r="A103" t="inlineStr">
        <is>
          <t>Monster Damage Taken Bonus % (Holy Fountain)</t>
        </is>
      </c>
      <c r="B103">
        <f>IF(Inputs!$B$3&gt;=68,20*IF(Inputs!$B$39="pvp",MIN((15*(1+((Inputs!$B$35+(ArtifactsInput!$M$7-ArtifactsInput!$M$7)*CHOOSE(ArtifactsInput!$N$7+1,6,7.2,8.4,9.6,10.8,12)))/100)),15)/15,MIN(1,(15*(1+((Inputs!$B$35+(ArtifactsInput!$M$7-ArtifactsInput!$M$7)*CHOOSE(ArtifactsInput!$N$7+1,6,7.2,8.4,9.6,10.8,12)))/100))/(1/Q82))),0)</f>
        <v/>
      </c>
    </row>
    <row r="104">
      <c r="A104" t="inlineStr">
        <is>
          <t>Normal Monster Damage Bonus % (Holy Symbol)</t>
        </is>
      </c>
      <c r="B104">
        <f>IF(C84=TRUE,F84*IF(AND(Inputs!$B$39&lt;&gt;"pvp",Inputs!$B$44&gt;0),(((R84-1)*MIN((Skills!S12*(1+((Inputs!$B$35+(ArtifactsInput!$M$7-ArtifactsInput!$M$7)*CHOOSE(ArtifactsInput!$N$7+1,6,7.2,8.4,9.6,10.8,12)))/100)),(1/Q84))+MIN((Skills!S12*(1+((Inputs!$B$35+(ArtifactsInput!$M$7-ArtifactsInput!$M$7)*CHOOSE(ArtifactsInput!$N$7+1,6,7.2,8.4,9.6,10.8,12)))/100)),MAX(0,Inputs!$B$44-((R84-1)*(1/Q84)))))/Inputs!$B$44),IF(Inputs!$B$39="pvp",MIN((Skills!S12*(1+((Inputs!$B$35+(ArtifactsInput!$M$7-ArtifactsInput!$M$7)*CHOOSE(ArtifactsInput!$N$7+1,6,7.2,8.4,9.6,10.8,12)))/100)),15)/15,MIN(1,(Skills!S12*(1+((Inputs!$B$35+(ArtifactsInput!$M$7-ArtifactsInput!$M$7)*CHOOSE(ArtifactsInput!$N$7+1,6,7.2,8.4,9.6,10.8,12)))/100))/(1/Q84)))),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MIN((Skills!S28*(1+((Inputs!$B$35+(ArtifactsInput!$M$7-ArtifactsInput!$M$7)*CHOOSE(ArtifactsInput!$N$7+1,6,7.2,8.4,9.6,10.8,12)))/100)),(1/Q100))+MIN((Skills!S28*(1+((Inputs!$B$35+(ArtifactsInput!$M$7-ArtifactsInput!$M$7)*CHOOSE(ArtifactsInput!$N$7+1,6,7.2,8.4,9.6,10.8,12)))/100)),MAX(0,Inputs!$B$44-((R100-1)*(1/Q100)))))/Inputs!$B$44),IF(Inputs!$B$39="pvp",MIN((Skills!S28*(1+((Inputs!$B$35+(ArtifactsInput!$M$7-ArtifactsInput!$M$7)*CHOOSE(ArtifactsInput!$N$7+1,6,7.2,8.4,9.6,10.8,12)))/100)),15)/15,MIN(1,(Skills!S28*(1+((Inputs!$B$35+(ArtifactsInput!$M$7-ArtifactsInput!$M$7)*CHOOSE(ArtifactsInput!$N$7+1,6,7.2,8.4,9.6,10.8,12)))/100))/(1/Q100)))))</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MIN((Skills!S13*(1+((Inputs!$B$35+(ArtifactsInput!$M$7-ArtifactsInput!$M$7)*CHOOSE(ArtifactsInput!$N$7+1,6,7.2,8.4,9.6,10.8,12)))/100)),(1/Q85))+MIN((Skills!S13*(1+((Inputs!$B$35+(ArtifactsInput!$M$7-ArtifactsInput!$M$7)*CHOOSE(ArtifactsInput!$N$7+1,6,7.2,8.4,9.6,10.8,12)))/100)),MAX(0,Inputs!$B$44-((R85-1)*(1/Q85)))))/Inputs!$B$44),IF(Inputs!$B$39="pvp",MIN((Skills!S13*(1+((Inputs!$B$35+(ArtifactsInput!$M$7-ArtifactsInput!$M$7)*CHOOSE(ArtifactsInput!$N$7+1,6,7.2,8.4,9.6,10.8,12)))/100)),15)/15,MIN(1,(Skills!S13*(1+((Inputs!$B$35+(ArtifactsInput!$M$7-ArtifactsInput!$M$7)*CHOOSE(ArtifactsInput!$N$7+1,6,7.2,8.4,9.6,10.8,12)))/100))/(1/Q85)))),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IFERROR(1/(IF(Inputs!$B$39="pvp",15,MAX(0.1,Skills!D2-IF(TRUE=TRUE,Inputs!$B$33,0)))*(1-IF(AND(ArtifactsInput!$M$27,Inputs!$B$4="Chapter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IFERROR(1/(IF(Inputs!$B$39="pvp",15,MAX(0.1,Skills!D3-IF(TRUE=TRUE,Inputs!$B$33,0)))*(1-IF(AND(ArtifactsInput!$M$27,Inputs!$B$4="Chapter Hunt"),CHOOSE(ArtifactsInput!$N$27+1,20,24,28,32,36,40),0)/100)),0)</f>
        <v/>
      </c>
      <c r="R120">
        <f>IF(AND(Inputs!$B$39&lt;&gt;"pvp",Inputs!$B$44&gt;0),IF(Inputs!$B$44&lt;=0,0,(INT(Inputs!$B$44/(IF(Inputs!$B$39="pvp",15,MAX(0.1,Skills!D3-IF(TRUE=TRUE,Inputs!$B$33,0)))*(1-IF(AND(ArtifactsInput!$M$27,Inputs!$B$4="Chapter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IFERROR(1/(IF(Inputs!$B$39="pvp",15,MAX(0.1,Skills!D4-IF(TRUE=TRUE,Inputs!$B$33,0)))*(1-IF(AND(ArtifactsInput!$M$27,Inputs!$B$4="Chapter Hunt"),CHOOSE(ArtifactsInput!$N$27+1,20,24,28,32,36,40),0)/100)),0)</f>
        <v/>
      </c>
      <c r="R121">
        <f>IF(AND(Inputs!$B$39&lt;&gt;"pvp",Inputs!$B$44&gt;0),IF(Inputs!$B$44&lt;=0,0,(INT(Inputs!$B$44/(IF(Inputs!$B$39="pvp",15,MAX(0.1,Skills!D4-IF(TRUE=TRUE,Inputs!$B$33,0)))*(1-IF(AND(ArtifactsInput!$M$27,Inputs!$B$4="Chapter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IFERROR(1/(IF(Inputs!$B$39="pvp",15,MAX(0.1,Skills!D5-IF(TRUE=TRUE,Inputs!$B$33,0)))*(1-IF(AND(ArtifactsInput!$M$27,Inputs!$B$4="Chapter Hunt"),CHOOSE(ArtifactsInput!$N$27+1,20,24,28,32,36,40),0)/100)),0)</f>
        <v/>
      </c>
      <c r="R122">
        <f>IF(AND(Inputs!$B$39&lt;&gt;"pvp",Inputs!$B$44&gt;0),IF(Inputs!$B$44&lt;=0,0,(INT(Inputs!$B$44/(IF(Inputs!$B$39="pvp",15,MAX(0.1,Skills!D5-IF(TRUE=TRUE,Inputs!$B$33,0)))*(1-IF(AND(ArtifactsInput!$M$27,Inputs!$B$4="Chapter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IFERROR(1/(IF(Inputs!$B$39="pvp",15,MAX(0.1,Skills!D6-IF(TRUE=TRUE,Inputs!$B$33,0)))*(1-IF(AND(ArtifactsInput!$M$27,Inputs!$B$4="Chapter Hunt"),CHOOSE(ArtifactsInput!$N$27+1,20,24,28,32,36,40),0)/100)),0)</f>
        <v/>
      </c>
      <c r="R123">
        <f>IF(AND(Inputs!$B$39&lt;&gt;"pvp",Inputs!$B$44&gt;0),IF(MAX(0,Inputs!$B$44-B157)&lt;=0,0,(INT(MAX(0,Inputs!$B$44-B157)/(IF(Inputs!$B$39="pvp",15,MAX(0.1,Skills!D6-IF(TRUE=TRUE,Inputs!$B$33,0)))*(1-IF(AND(ArtifactsInput!$M$27,Inputs!$B$4="Chapter Hunt"),CHOOSE(ArtifactsInput!$N$27+1,20,24,28,32,36,40),0)/100)))+1)),0)</f>
        <v/>
      </c>
      <c r="S123">
        <f>IF(C123,(H123*N123*IF(AND(Inputs!$B$39&lt;&gt;"pvp",Inputs!$B$44&gt;0),((Skills!F6*((R123-1)*IF(Skills!G6&gt;0,INT(Skills!H6/Skills!G6+0.000000001),1)+IF(Skills!G6&gt;0,INT(MIN(Skills!H6,MAX(0,MAX(0,Inputs!$B$44-B157)-((R123-1)*(IF(Inputs!$B$39="pvp",15,MAX(0.1,Skills!D6-IF(TRUE=TRUE,Inputs!$B$33,0)))*(1-IF(AND(ArtifactsInput!$M$27,Inputs!$B$4="Chapter Hunt"),CHOOSE(ArtifactsInput!$N$27+1,20,24,28,32,36,40),0)/100)))))/Skills!G6+0.000000001),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INT(Skills!H6/Skills!G6+0.000000001),1)+IF(Skills!G6&gt;0,INT(MIN(Skills!H6,MAX(0,MAX(0,Inputs!$B$44-B157)-((R123-1)*(IF(Inputs!$B$39="pvp",15,MAX(0.1,Skills!D6-IF(TRUE=TRUE,Inputs!$B$33,0)))*(1-IF(AND(ArtifactsInput!$M$27,Inputs!$B$4="Chapter Hunt"),CHOOSE(ArtifactsInput!$N$27+1,20,24,28,32,36,40),0)/100)))))/Skills!G6+0.000000001),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IFERROR(1/(IF(Inputs!$B$39="pvp",15,MAX(0.1,Skills!D7-IF(TRUE=TRUE,Inputs!$B$33,0)))*(1-IF(AND(ArtifactsInput!$M$27,Inputs!$B$4="Chapter Hunt"),CHOOSE(ArtifactsInput!$N$27+1,20,24,28,32,36,40),0)/100)),0)</f>
        <v/>
      </c>
      <c r="R124">
        <f>IF(AND(Inputs!$B$39&lt;&gt;"pvp",Inputs!$B$44&gt;0),IF(MAX(0,Inputs!$B$44-B157)&lt;=0,0,(INT(MAX(0,Inputs!$B$44-B157)/(IF(Inputs!$B$39="pvp",15,MAX(0.1,Skills!D7-IF(TRUE=TRUE,Inputs!$B$33,0)))*(1-IF(AND(ArtifactsInput!$M$27,Inputs!$B$4="Chapter Hunt"),CHOOSE(ArtifactsInput!$N$27+1,20,24,28,32,36,40),0)/100)))+1)),0)</f>
        <v/>
      </c>
      <c r="S124">
        <f>IF(C124,H124*N124*IF(AND(Inputs!$B$39&lt;&gt;"pvp",Inputs!$B$44&gt;0),((Skills!F7*((R124-1)*IF(Skills!G7&gt;0,INT(Skills!H7/Skills!G7+0.000000001),1)+IF(Skills!G7&gt;0,INT(MIN(Skills!H7,MAX(0,MAX(0,Inputs!$B$44-B157)-((R124-1)*(IF(Inputs!$B$39="pvp",15,MAX(0.1,Skills!D7-IF(TRUE=TRUE,Inputs!$B$33,0)))*(1-IF(AND(ArtifactsInput!$M$27,Inputs!$B$4="Chapter Hunt"),CHOOSE(ArtifactsInput!$N$27+1,20,24,28,32,36,40),0)/100)))))/Skills!G7+0.000000001),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IFERROR(1/(IF(Inputs!$B$39="pvp",15,MAX(0.1,Skills!D8-IF(TRUE=TRUE,Inputs!$B$33,0)))*(1-IF(AND(ArtifactsInput!$M$27,Inputs!$B$4="Chapter Hunt"),CHOOSE(ArtifactsInput!$N$27+1,20,24,28,32,36,40),0)/100)),0)</f>
        <v/>
      </c>
      <c r="R125">
        <f>IF(AND(Inputs!$B$39&lt;&gt;"pvp",Inputs!$B$44&gt;0),IF(MAX(0,Inputs!$B$44-B157)&lt;=0,0,(INT(MAX(0,Inputs!$B$44-B157)/(IF(Inputs!$B$39="pvp",15,MAX(0.1,Skills!D8-IF(TRUE=TRUE,Inputs!$B$33,0)))*(1-IF(AND(ArtifactsInput!$M$27,Inputs!$B$4="Chapter Hunt"),CHOOSE(ArtifactsInput!$N$27+1,20,24,28,32,36,40),0)/100)))+1)),0)</f>
        <v/>
      </c>
      <c r="S125">
        <f>IF(C125,(H125*N125*IF(AND(Inputs!$B$39&lt;&gt;"pvp",Inputs!$B$44&gt;0),((Skills!F8*((R125-1)*IF(Skills!G8&gt;0,INT(Skills!H8/Skills!G8+0.000000001),1)+IF(Skills!G8&gt;0,INT(MIN(Skills!H8,MAX(0,MAX(0,Inputs!$B$44-B157)-((R125-1)*(IF(Inputs!$B$39="pvp",15,MAX(0.1,Skills!D8-IF(TRUE=TRUE,Inputs!$B$33,0)))*(1-IF(AND(ArtifactsInput!$M$27,Inputs!$B$4="Chapter Hunt"),CHOOSE(ArtifactsInput!$N$27+1,20,24,28,32,36,40),0)/100)))))/Skills!G8+0.000000001),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INT(Skills!H8/Skills!G8+0.000000001),1)+IF(Skills!G8&gt;0,INT(MIN(Skills!H8,MAX(0,MAX(0,Inputs!$B$44-B157)-((R125-1)*(IF(Inputs!$B$39="pvp",15,MAX(0.1,Skills!D8-IF(TRUE=TRUE,Inputs!$B$33,0)))*(1-IF(AND(ArtifactsInput!$M$27,Inputs!$B$4="Chapter Hunt"),CHOOSE(ArtifactsInput!$N$27+1,20,24,28,32,36,40),0)/100)))))/Skills!G8+0.000000001),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IFERROR(1/(IF(Inputs!$B$39="pvp",15,MAX(0.1,Skills!D9-IF(TRUE=TRUE,Inputs!$B$33,0)))*(1-IF(AND(ArtifactsInput!$M$27,Inputs!$B$4="Chapter Hunt"),CHOOSE(ArtifactsInput!$N$27+1,20,24,28,32,36,40),0)/100)),0)</f>
        <v/>
      </c>
      <c r="R126">
        <f>IF(AND(Inputs!$B$39&lt;&gt;"pvp",Inputs!$B$44&gt;0),IF(MAX(0,Inputs!$B$44-B157)&lt;=0,0,(INT(MAX(0,Inputs!$B$44-B157)/(IF(Inputs!$B$39="pvp",15,MAX(0.1,Skills!D9-IF(TRUE=TRUE,Inputs!$B$33,0)))*(1-IF(AND(ArtifactsInput!$M$27,Inputs!$B$4="Chapter Hunt"),CHOOSE(ArtifactsInput!$N$27+1,20,24,28,32,36,40),0)/100)))+1)),0)</f>
        <v/>
      </c>
      <c r="S126">
        <f>IF(C126,(H126*N126*IF(AND(Inputs!$B$39&lt;&gt;"pvp",Inputs!$B$44&gt;0),((Skills!F9*((R126-1)*IF(Skills!G9&gt;0,INT(Skills!H9/Skills!G9+0.000000001),1)+IF(Skills!G9&gt;0,INT(MIN(Skills!H9,MAX(0,MAX(0,Inputs!$B$44-B157)-((R126-1)*(IF(Inputs!$B$39="pvp",15,MAX(0.1,Skills!D9-IF(TRUE=TRUE,Inputs!$B$33,0)))*(1-IF(AND(ArtifactsInput!$M$27,Inputs!$B$4="Chapter Hunt"),CHOOSE(ArtifactsInput!$N$27+1,20,24,28,32,36,40),0)/100)))))/Skills!G9+0.000000001),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INT(Skills!H9/Skills!G9+0.000000001),1)+IF(Skills!G9&gt;0,INT(MIN(Skills!H9,MAX(0,MAX(0,Inputs!$B$44-B157)-((R126-1)*(IF(Inputs!$B$39="pvp",15,MAX(0.1,Skills!D9-IF(TRUE=TRUE,Inputs!$B$33,0)))*(1-IF(AND(ArtifactsInput!$M$27,Inputs!$B$4="Chapter Hunt"),CHOOSE(ArtifactsInput!$N$27+1,20,24,28,32,36,40),0)/100)))))/Skills!G9+0.000000001),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IFERROR(1/(IF(Inputs!$B$39="pvp",15,MAX(0.1,Skills!D10-IF(TRUE=TRUE,Inputs!$B$33,0)))*(1-IF(AND(ArtifactsInput!$M$27,Inputs!$B$4="Chapter Hunt"),CHOOSE(ArtifactsInput!$N$27+1,20,24,28,32,36,40),0)/100)),0)</f>
        <v/>
      </c>
      <c r="R127">
        <f>IF(AND(Inputs!$B$39&lt;&gt;"pvp",Inputs!$B$44&gt;0),IF(MAX(0,Inputs!$B$44-B157)&lt;=0,0,(INT(MAX(0,Inputs!$B$44-B157)/(IF(Inputs!$B$39="pvp",15,MAX(0.1,Skills!D10-IF(TRUE=TRUE,Inputs!$B$33,0)))*(1-IF(AND(ArtifactsInput!$M$27,Inputs!$B$4="Chapter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IFERROR(1/(IF(Inputs!$B$39="pvp",15,MAX(0.1,Skills!D11-IF(TRUE=TRUE,Inputs!$B$33,0)))*(1-IF(AND(ArtifactsInput!$M$27,Inputs!$B$4="Chapter Hunt"),CHOOSE(ArtifactsInput!$N$27+1,20,24,28,32,36,40),0)/100)),0)</f>
        <v/>
      </c>
      <c r="R128">
        <f>IF(AND(Inputs!$B$39&lt;&gt;"pvp",Inputs!$B$44&gt;0),IF(Inputs!$B$44&lt;=0,0,(INT(Inputs!$B$44/(IF(Inputs!$B$39="pvp",15,MAX(0.1,Skills!D11-IF(TRUE=TRUE,Inputs!$B$33,0)))*(1-IF(AND(ArtifactsInput!$M$27,Inputs!$B$4="Chapter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IFERROR(1/(IF(Inputs!$B$39="pvp",15,MAX(0.1,Skills!D12-IF(TRUE=TRUE,Inputs!$B$33,0)))*(1-IF(AND(ArtifactsInput!$M$27,Inputs!$B$4="Chapter Hunt"),CHOOSE(ArtifactsInput!$N$27+1,20,24,28,32,36,40),0)/100)),0)</f>
        <v/>
      </c>
      <c r="R129">
        <f>IF(AND(Inputs!$B$39&lt;&gt;"pvp",Inputs!$B$44&gt;0),IF(MAX(0,Inputs!$B$44-B157)&lt;=0,0,(INT(MAX(0,Inputs!$B$44-B157)/(IF(Inputs!$B$39="pvp",15,MAX(0.1,Skills!D12-IF(TRUE=TRUE,Inputs!$B$33,0)))*(1-IF(AND(ArtifactsInput!$M$27,Inputs!$B$4="Chapter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IFERROR(1/(IF(Inputs!$B$39="pvp",15,MAX(0.1,Skills!D13-IF(TRUE=TRUE,Inputs!$B$33,0)))*(1-IF(AND(ArtifactsInput!$M$27,Inputs!$B$4="Chapter Hunt"),CHOOSE(ArtifactsInput!$N$27+1,20,24,28,32,36,40),0)/100)),0)</f>
        <v/>
      </c>
      <c r="R130">
        <f>IF(AND(Inputs!$B$39&lt;&gt;"pvp",Inputs!$B$44&gt;0),IF(MAX(0,Inputs!$B$44-B157)&lt;=0,0,(INT(MAX(0,Inputs!$B$44-B157)/(IF(Inputs!$B$39="pvp",15,MAX(0.1,Skills!D13-IF(TRUE=TRUE,Inputs!$B$33,0)))*(1-IF(AND(ArtifactsInput!$M$27,Inputs!$B$4="Chapter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IFERROR(1/(IF(Inputs!$B$39="pvp",15,MAX(0.1,Skills!D14-IF(TRUE=TRUE,Inputs!$B$33,0)))*(1-IF(AND(ArtifactsInput!$M$27,Inputs!$B$4="Chapter Hunt"),CHOOSE(ArtifactsInput!$N$27+1,20,24,28,32,36,40),0)/100)),0)</f>
        <v/>
      </c>
      <c r="R131">
        <f>IF(AND(Inputs!$B$39&lt;&gt;"pvp",Inputs!$B$44&gt;0),IF(Inputs!$B$44&lt;=0,0,(INT(Inputs!$B$44/(IF(Inputs!$B$39="pvp",15,MAX(0.1,Skills!D14-IF(TRUE=TRUE,Inputs!$B$33,0)))*(1-IF(AND(ArtifactsInput!$M$27,Inputs!$B$4="Chapter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IFERROR(1/(IF(Inputs!$B$39="pvp",15,MAX(0.1,Skills!D15-IF(TRUE=TRUE,Inputs!$B$33,0)))*(1-IF(AND(ArtifactsInput!$M$27,Inputs!$B$4="Chapter Hunt"),CHOOSE(ArtifactsInput!$N$27+1,20,24,28,32,36,40),0)/100)),0)</f>
        <v/>
      </c>
      <c r="R132" t="n">
        <v>0</v>
      </c>
      <c r="S132">
        <f>IF(C132,(Skills!F15*N132*((IF(Inputs!$B$3&gt;=78,25,15)/100*B153*10)/(1+IF(Inputs!$B$3&gt;=78,25,15)/100*B153*IF(Inputs!$B$39="pvp",15,MAX(0.1,18-IF(TRUE=TRUE,Inputs!$B$33,0)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IF(Inputs!$B$39="pvp",15,MAX(0.1,18-IF(TRUE=TRUE,Inputs!$B$33,0)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IFERROR(1/(IF(Inputs!$B$39="pvp",15,MAX(0.1,Skills!D16-IF(TRUE=TRUE,Inputs!$B$33,0)))*(1-IF(AND(ArtifactsInput!$M$27,Inputs!$B$4="Chapter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IFERROR(1/(IF(Inputs!$B$39="pvp",15,MAX(0.1,Skills!D17-IF(TRUE=TRUE,Inputs!$B$33,0)))*(1-IF(AND(ArtifactsInput!$M$27,Inputs!$B$4="Chapter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IFERROR(1/(IF(Inputs!$B$39="pvp",15,MAX(0.1,Skills!D18-IF(TRUE=TRUE,Inputs!$B$33,0)))*(1-IF(AND(ArtifactsInput!$M$27,Inputs!$B$4="Chapter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IFERROR(1/(IF(Inputs!$B$39="pvp",15,MAX(0.1,Skills!D19-IF(TRUE=TRUE,Inputs!$B$33,0)))*(1-IF(AND(ArtifactsInput!$M$27,Inputs!$B$4="Chapter Hunt"),CHOOSE(ArtifactsInput!$N$27+1,20,24,28,32,36,40),0)/100)),0)</f>
        <v/>
      </c>
      <c r="R136">
        <f>IF(AND(Inputs!$B$39&lt;&gt;"pvp",Inputs!$B$44&gt;0),IF(Inputs!$B$44&lt;=0,0,(INT(Inputs!$B$44/(IF(Inputs!$B$39="pvp",15,MAX(0.1,Skills!D19-IF(TRUE=TRUE,Inputs!$B$33,0)))*(1-IF(AND(ArtifactsInput!$M$27,Inputs!$B$4="Chapter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IFERROR(1/(IF(Inputs!$B$39="pvp",15,MAX(0.1,Skills!D20-IF(TRUE=TRUE,Inputs!$B$33,0)))*(1-IF(AND(ArtifactsInput!$M$27,Inputs!$B$4="Chapter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IFERROR(1/(IF(Inputs!$B$39="pvp",15,MAX(0.1,Skills!D21-IF(TRUE=TRUE,Inputs!$B$33,0)))*(1-IF(AND(ArtifactsInput!$M$27,Inputs!$B$4="Chapter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IFERROR(1/(IF(Inputs!$B$39="pvp",15,MAX(0.1,Skills!D22-IF(TRUE=TRUE,Inputs!$B$33,0)))*(1-IF(AND(ArtifactsInput!$M$27,Inputs!$B$4="Chapter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IFERROR(1/(IF(Inputs!$B$39="pvp",15,MAX(0.1,Skills!D23-IF(TRUE=TRUE,Inputs!$B$33,0)))*(1-IF(AND(ArtifactsInput!$M$27,Inputs!$B$4="Chapter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IFERROR(1/(IF(Inputs!$B$39="pvp",15,MAX(0.1,Skills!D24-IF(TRUE=TRUE,Inputs!$B$33,0)))*(1-IF(AND(ArtifactsInput!$M$27,Inputs!$B$4="Chapter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IFERROR(1/(IF(Inputs!$B$39="pvp",15,MAX(0.1,Skills!D25-IF(TRUE=TRUE,Inputs!$B$33,0)))*(1-IF(AND(ArtifactsInput!$M$27,Inputs!$B$4="Chapter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IFERROR(1/(IF(Inputs!$B$39="pvp",15,MAX(0.1,Skills!D26-IF(TRUE=TRUE,Inputs!$B$33,0)))*(1-IF(AND(ArtifactsInput!$M$27,Inputs!$B$4="Chapter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IFERROR(1/(IF(Inputs!$B$39="pvp",15,MAX(0.1,Skills!D27-IF(TRUE=TRUE,Inputs!$B$33,0)))*(1-IF(AND(ArtifactsInput!$M$27,Inputs!$B$4="Chapter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IFERROR(1/(IF(Inputs!$B$39="pvp",15,MAX(0.1,Skills!D28-IF(TRUE=TRUE,Inputs!$B$33,0)))*(1-IF(AND(ArtifactsInput!$M$27,Inputs!$B$4="Chapter Hunt"),CHOOSE(ArtifactsInput!$N$27+1,20,24,28,32,36,40),0)/100)),0)</f>
        <v/>
      </c>
      <c r="R145">
        <f>IF(AND(Inputs!$B$39&lt;&gt;"pvp",Inputs!$B$44&gt;0),IF(Inputs!$B$44&lt;=0,0,(INT(Inputs!$B$44/(IF(Inputs!$B$39="pvp",15,MAX(0.1,Skills!D28-IF(TRUE=TRUE,Inputs!$B$33,0)))*(1-IF(AND(ArtifactsInput!$M$27,Inputs!$B$4="Chapter Hunt"),CHOOSE(ArtifactsInput!$N$27+1,20,24,28,32,36,40),0)/100)))+1)),0)</f>
        <v/>
      </c>
      <c r="S145" t="n">
        <v>0</v>
      </c>
      <c r="U145" t="n">
        <v>0</v>
      </c>
    </row>
    <row r="147">
      <c r="A147" t="inlineStr">
        <is>
          <t>Average Buff Multiplier</t>
        </is>
      </c>
      <c r="B147">
        <f>(1+(IF(C120=TRUE,F120*IF(AND(Inputs!$B$39&lt;&gt;"pvp",Inputs!$B$44&gt;0),(((R120-1)*MIN((Skills!S3*(1+((Inputs!$B$35+(ArtifactsInput!$M$7-ArtifactsInput!$M$7)*CHOOSE(ArtifactsInput!$N$7+1,6,7.2,8.4,9.6,10.8,12)))/100)),(1/Q120))+MIN((Skills!S3*(1+((Inputs!$B$35+(ArtifactsInput!$M$7-ArtifactsInput!$M$7)*CHOOSE(ArtifactsInput!$N$7+1,6,7.2,8.4,9.6,10.8,12)))/100)),MAX(0,Inputs!$B$44-((R120-1)*(1/Q120)))))/Inputs!$B$44),IF(Inputs!$B$39="pvp",MIN((Skills!S3*(1+((Inputs!$B$35+(ArtifactsInput!$M$7-ArtifactsInput!$M$7)*CHOOSE(ArtifactsInput!$N$7+1,6,7.2,8.4,9.6,10.8,12)))/100)),15)/15,MIN(1,(Skills!S3*(1+((Inputs!$B$35+(ArtifactsInput!$M$7-ArtifactsInput!$M$7)*CHOOSE(ArtifactsInput!$N$7+1,6,7.2,8.4,9.6,10.8,12)))/100))/(1/Q120)))),0)+IF(C121=TRUE,F121*IF(AND(Inputs!$B$39&lt;&gt;"pvp",Inputs!$B$44&gt;0),(((R121-1)*MIN((Skills!S4*(1+((Inputs!$B$35+(ArtifactsInput!$M$7-ArtifactsInput!$M$7)*CHOOSE(ArtifactsInput!$N$7+1,6,7.2,8.4,9.6,10.8,12)))/100)),(1/Q121))+MIN((Skills!S4*(1+((Inputs!$B$35+(ArtifactsInput!$M$7-ArtifactsInput!$M$7)*CHOOSE(ArtifactsInput!$N$7+1,6,7.2,8.4,9.6,10.8,12)))/100)),MAX(0,Inputs!$B$44-((R121-1)*(1/Q121)))))/Inputs!$B$44),IF(Inputs!$B$39="pvp",MIN((Skills!S4*(1+((Inputs!$B$35+(ArtifactsInput!$M$7-ArtifactsInput!$M$7)*CHOOSE(ArtifactsInput!$N$7+1,6,7.2,8.4,9.6,10.8,12)))/100)),15)/15,MIN(1,(Skills!S4*(1+((Inputs!$B$35+(ArtifactsInput!$M$7-ArtifactsInput!$M$7)*CHOOSE(ArtifactsInput!$N$7+1,6,7.2,8.4,9.6,10.8,12)))/100))/(1/Q121)))),0)+IF(C122=TRUE,F122*IF(AND(Inputs!$B$39&lt;&gt;"pvp",Inputs!$B$44&gt;0),(((R122-1)*MIN((Skills!S5*(1+((Inputs!$B$35+(ArtifactsInput!$M$7-ArtifactsInput!$M$7)*CHOOSE(ArtifactsInput!$N$7+1,6,7.2,8.4,9.6,10.8,12)))/100)),(1/Q122))+MIN((Skills!S5*(1+((Inputs!$B$35+(ArtifactsInput!$M$7-ArtifactsInput!$M$7)*CHOOSE(ArtifactsInput!$N$7+1,6,7.2,8.4,9.6,10.8,12)))/100)),MAX(0,Inputs!$B$44-((R122-1)*(1/Q122)))))/Inputs!$B$44),IF(Inputs!$B$39="pvp",MIN((Skills!S5*(1+((Inputs!$B$35+(ArtifactsInput!$M$7-ArtifactsInput!$M$7)*CHOOSE(ArtifactsInput!$N$7+1,6,7.2,8.4,9.6,10.8,12)))/100)),15)/15,MIN(1,(Skills!S5*(1+((Inputs!$B$35+(ArtifactsInput!$M$7-ArtifactsInput!$M$7)*CHOOSE(ArtifactsInput!$N$7+1,6,7.2,8.4,9.6,10.8,12)))/100))/(1/Q122)))),0)+IF(C128=TRUE,F128*IF(AND(Inputs!$B$39&lt;&gt;"pvp",Inputs!$B$44&gt;0),(((R128-1)*MIN((Skills!S11*(1+((Inputs!$B$35+(ArtifactsInput!$M$7-ArtifactsInput!$M$7)*CHOOSE(ArtifactsInput!$N$7+1,6,7.2,8.4,9.6,10.8,12)))/100)),(1/Q128))+MIN((Skills!S11*(1+((Inputs!$B$35+(ArtifactsInput!$M$7-ArtifactsInput!$M$7)*CHOOSE(ArtifactsInput!$N$7+1,6,7.2,8.4,9.6,10.8,12)))/100)),MAX(0,Inputs!$B$44-((R128-1)*(1/Q128)))))/Inputs!$B$44),IF(Inputs!$B$39="pvp",MIN((Skills!S11*(1+((Inputs!$B$35+(ArtifactsInput!$M$7-ArtifactsInput!$M$7)*CHOOSE(ArtifactsInput!$N$7+1,6,7.2,8.4,9.6,10.8,12)))/100)),15)/15,MIN(1,(Skills!S11*(1+((Inputs!$B$35+(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MIN((Skills!S14*(1+((Inputs!$B$35+(ArtifactsInput!$M$7-ArtifactsInput!$M$7)*CHOOSE(ArtifactsInput!$N$7+1,6,7.2,8.4,9.6,10.8,12)))/100)),(1/Q131))+MIN((Skills!S14*(1+((Inputs!$B$35+(ArtifactsInput!$M$7-ArtifactsInput!$M$7)*CHOOSE(ArtifactsInput!$N$7+1,6,7.2,8.4,9.6,10.8,12)))/100)),MAX(0,Inputs!$B$44-((R131-1)*(1/Q131)))))/Inputs!$B$44),IF(Inputs!$B$39="pvp",MIN((Skills!S14*(1+((Inputs!$B$35+(ArtifactsInput!$M$7-ArtifactsInput!$M$7)*CHOOSE(ArtifactsInput!$N$7+1,6,7.2,8.4,9.6,10.8,12)))/100)),15)/15,MIN(1,(Skills!S14*(1+((Inputs!$B$35+(ArtifactsInput!$M$7-ArtifactsInput!$M$7)*CHOOSE(ArtifactsInput!$N$7+1,6,7.2,8.4,9.6,10.8,12)))/100))/(1/Q131))))/100),1)*IF(C136=TRUE,(1+F136*IF(AND(Inputs!$B$39&lt;&gt;"pvp",Inputs!$B$44&gt;0),(((R136-1)*MIN((Skills!S19*(1+((Inputs!$B$35+(ArtifactsInput!$M$7-ArtifactsInput!$M$7)*CHOOSE(ArtifactsInput!$N$7+1,6,7.2,8.4,9.6,10.8,12)))/100)),(1/Q136))+MIN((Skills!S19*(1+((Inputs!$B$35+(ArtifactsInput!$M$7-ArtifactsInput!$M$7)*CHOOSE(ArtifactsInput!$N$7+1,6,7.2,8.4,9.6,10.8,12)))/100)),MAX(0,Inputs!$B$44-((R136-1)*(1/Q136)))))/Inputs!$B$44),IF(Inputs!$B$39="pvp",MIN((Skills!S19*(1+((Inputs!$B$35+(ArtifactsInput!$M$7-ArtifactsInput!$M$7)*CHOOSE(ArtifactsInput!$N$7+1,6,7.2,8.4,9.6,10.8,12)))/100)),15)/15,MIN(1,(Skills!S19*(1+((Inputs!$B$35+(ArtifactsInput!$M$7-ArtifactsInput!$M$7)*CHOOSE(ArtifactsInput!$N$7+1,6,7.2,8.4,9.6,10.8,12)))/100))/(1/Q136))))/100),1)</f>
        <v/>
      </c>
    </row>
    <row r="148">
      <c r="A148" t="inlineStr">
        <is>
          <t>Monster Damage Taken Bonus % (Holy Fountain)</t>
        </is>
      </c>
      <c r="B148">
        <f>IF(Inputs!$B$3&gt;=68,20*IF(Inputs!$B$39="pvp",MIN((15*(1+((Inputs!$B$35+(ArtifactsInput!$M$7-ArtifactsInput!$M$7)*CHOOSE(ArtifactsInput!$N$7+1,6,7.2,8.4,9.6,10.8,12)))/100)),15)/15,MIN(1,(15*(1+((Inputs!$B$35+(ArtifactsInput!$M$7-ArtifactsInput!$M$7)*CHOOSE(ArtifactsInput!$N$7+1,6,7.2,8.4,9.6,10.8,12)))/100))/(1/Q127))),0)</f>
        <v/>
      </c>
    </row>
    <row r="149">
      <c r="A149" t="inlineStr">
        <is>
          <t>Normal Monster Damage Bonus % (Holy Symbol)</t>
        </is>
      </c>
      <c r="B149">
        <f>IF(C129=TRUE,F129*IF(AND(Inputs!$B$39&lt;&gt;"pvp",Inputs!$B$44&gt;0),(((R129-1)*MIN((Skills!S12*(1+((Inputs!$B$35+(ArtifactsInput!$M$7-ArtifactsInput!$M$7)*CHOOSE(ArtifactsInput!$N$7+1,6,7.2,8.4,9.6,10.8,12)))/100)),(1/Q129))+MIN((Skills!S12*(1+((Inputs!$B$35+(ArtifactsInput!$M$7-ArtifactsInput!$M$7)*CHOOSE(ArtifactsInput!$N$7+1,6,7.2,8.4,9.6,10.8,12)))/100)),MAX(0,Inputs!$B$44-((R129-1)*(1/Q129)))))/Inputs!$B$44),IF(Inputs!$B$39="pvp",MIN((Skills!S12*(1+((Inputs!$B$35+(ArtifactsInput!$M$7-ArtifactsInput!$M$7)*CHOOSE(ArtifactsInput!$N$7+1,6,7.2,8.4,9.6,10.8,12)))/100)),15)/15,MIN(1,(Skills!S12*(1+((Inputs!$B$35+(ArtifactsInput!$M$7-ArtifactsInput!$M$7)*CHOOSE(ArtifactsInput!$N$7+1,6,7.2,8.4,9.6,10.8,12)))/100))/(1/Q129)))),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MIN((Skills!S28*(1+((Inputs!$B$35+(ArtifactsInput!$M$7-ArtifactsInput!$M$7)*CHOOSE(ArtifactsInput!$N$7+1,6,7.2,8.4,9.6,10.8,12)))/100)),(1/Q145))+MIN((Skills!S28*(1+((Inputs!$B$35+(ArtifactsInput!$M$7-ArtifactsInput!$M$7)*CHOOSE(ArtifactsInput!$N$7+1,6,7.2,8.4,9.6,10.8,12)))/100)),MAX(0,Inputs!$B$44-((R145-1)*(1/Q145)))))/Inputs!$B$44),IF(Inputs!$B$39="pvp",MIN((Skills!S28*(1+((Inputs!$B$35+(ArtifactsInput!$M$7-ArtifactsInput!$M$7)*CHOOSE(ArtifactsInput!$N$7+1,6,7.2,8.4,9.6,10.8,12)))/100)),15)/15,MIN(1,(Skills!S28*(1+((Inputs!$B$35+(ArtifactsInput!$M$7-ArtifactsInput!$M$7)*CHOOSE(ArtifactsInput!$N$7+1,6,7.2,8.4,9.6,10.8,12)))/100))/(1/Q145)))))</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MIN((Skills!S13*(1+((Inputs!$B$35+(ArtifactsInput!$M$7-ArtifactsInput!$M$7)*CHOOSE(ArtifactsInput!$N$7+1,6,7.2,8.4,9.6,10.8,12)))/100)),(1/Q130))+MIN((Skills!S13*(1+((Inputs!$B$35+(ArtifactsInput!$M$7-ArtifactsInput!$M$7)*CHOOSE(ArtifactsInput!$N$7+1,6,7.2,8.4,9.6,10.8,12)))/100)),MAX(0,Inputs!$B$44-((R130-1)*(1/Q130)))))/Inputs!$B$44),IF(Inputs!$B$39="pvp",MIN((Skills!S13*(1+((Inputs!$B$35+(ArtifactsInput!$M$7-ArtifactsInput!$M$7)*CHOOSE(ArtifactsInput!$N$7+1,6,7.2,8.4,9.6,10.8,12)))/100)),15)/15,MIN(1,(Skills!S13*(1+((Inputs!$B$35+(ArtifactsInput!$M$7-ArtifactsInput!$M$7)*CHOOSE(ArtifactsInput!$N$7+1,6,7.2,8.4,9.6,10.8,12)))/100))/(1/Q130)))),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IFERROR(1/(IF(Inputs!$B$39="pvp",15,MAX(0.1,Skills!D2-IF(TRUE=TRUE,Inputs!$B$33,0)))*(1-IF(AND(ArtifactsInput!$M$27,Inputs!$B$4="Chapter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IFERROR(1/(IF(Inputs!$B$39="pvp",15,MAX(0.1,Skills!D3-IF(TRUE=TRUE,Inputs!$B$33,0)))*(1-IF(AND(ArtifactsInput!$M$27,Inputs!$B$4="Chapter Hunt"),CHOOSE(ArtifactsInput!$N$27+1,20,24,28,32,36,40),0)/100)),0)</f>
        <v/>
      </c>
      <c r="R165">
        <f>IF(AND(Inputs!$B$39&lt;&gt;"pvp",Inputs!$B$44&gt;0),IF(Inputs!$B$44&lt;=0,0,(INT(Inputs!$B$44/(IF(Inputs!$B$39="pvp",15,MAX(0.1,Skills!D3-IF(TRUE=TRUE,Inputs!$B$33,0)))*(1-IF(AND(ArtifactsInput!$M$27,Inputs!$B$4="Chapter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IFERROR(1/(IF(Inputs!$B$39="pvp",15,MAX(0.1,Skills!D4-IF(TRUE=TRUE,Inputs!$B$33,0)))*(1-IF(AND(ArtifactsInput!$M$27,Inputs!$B$4="Chapter Hunt"),CHOOSE(ArtifactsInput!$N$27+1,20,24,28,32,36,40),0)/100)),0)</f>
        <v/>
      </c>
      <c r="R166">
        <f>IF(AND(Inputs!$B$39&lt;&gt;"pvp",Inputs!$B$44&gt;0),IF(Inputs!$B$44&lt;=0,0,(INT(Inputs!$B$44/(IF(Inputs!$B$39="pvp",15,MAX(0.1,Skills!D4-IF(TRUE=TRUE,Inputs!$B$33,0)))*(1-IF(AND(ArtifactsInput!$M$27,Inputs!$B$4="Chapter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IFERROR(1/(IF(Inputs!$B$39="pvp",15,MAX(0.1,Skills!D5-IF(TRUE=TRUE,Inputs!$B$33,0)))*(1-IF(AND(ArtifactsInput!$M$27,Inputs!$B$4="Chapter Hunt"),CHOOSE(ArtifactsInput!$N$27+1,20,24,28,32,36,40),0)/100)),0)</f>
        <v/>
      </c>
      <c r="R167">
        <f>IF(AND(Inputs!$B$39&lt;&gt;"pvp",Inputs!$B$44&gt;0),IF(Inputs!$B$44&lt;=0,0,(INT(Inputs!$B$44/(IF(Inputs!$B$39="pvp",15,MAX(0.1,Skills!D5-IF(TRUE=TRUE,Inputs!$B$33,0)))*(1-IF(AND(ArtifactsInput!$M$27,Inputs!$B$4="Chapter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IFERROR(1/(IF(Inputs!$B$39="pvp",15,MAX(0.1,Skills!D6-IF(TRUE=TRUE,Inputs!$B$33,0)))*(1-IF(AND(ArtifactsInput!$M$27,Inputs!$B$4="Chapter Hunt"),CHOOSE(ArtifactsInput!$N$27+1,20,24,28,32,36,40),0)/100)),0)</f>
        <v/>
      </c>
      <c r="R168">
        <f>IF(AND(Inputs!$B$39&lt;&gt;"pvp",Inputs!$B$44&gt;0),IF(MAX(0,Inputs!$B$44-B202)&lt;=0,0,(INT(MAX(0,Inputs!$B$44-B202)/(IF(Inputs!$B$39="pvp",15,MAX(0.1,Skills!D6-IF(TRUE=TRUE,Inputs!$B$33,0)))*(1-IF(AND(ArtifactsInput!$M$27,Inputs!$B$4="Chapter Hunt"),CHOOSE(ArtifactsInput!$N$27+1,20,24,28,32,36,40),0)/100)))+1)),0)</f>
        <v/>
      </c>
      <c r="S168">
        <f>IF(C168,(H168*N168*IF(AND(Inputs!$B$39&lt;&gt;"pvp",Inputs!$B$44&gt;0),((Skills!F6*((R168-1)*IF(Skills!G6&gt;0,INT(Skills!H6/Skills!G6+0.000000001),1)+IF(Skills!G6&gt;0,INT(MIN(Skills!H6,MAX(0,MAX(0,Inputs!$B$44-B202)-((R168-1)*(IF(Inputs!$B$39="pvp",15,MAX(0.1,Skills!D6-IF(TRUE=TRUE,Inputs!$B$33,0)))*(1-IF(AND(ArtifactsInput!$M$27,Inputs!$B$4="Chapter Hunt"),CHOOSE(ArtifactsInput!$N$27+1,20,24,28,32,36,40),0)/100)))))/Skills!G6+0.000000001),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INT(Skills!H6/Skills!G6+0.000000001),1)+IF(Skills!G6&gt;0,INT(MIN(Skills!H6,MAX(0,MAX(0,Inputs!$B$44-B202)-((R168-1)*(IF(Inputs!$B$39="pvp",15,MAX(0.1,Skills!D6-IF(TRUE=TRUE,Inputs!$B$33,0)))*(1-IF(AND(ArtifactsInput!$M$27,Inputs!$B$4="Chapter Hunt"),CHOOSE(ArtifactsInput!$N$27+1,20,24,28,32,36,40),0)/100)))))/Skills!G6+0.000000001),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IFERROR(1/(IF(Inputs!$B$39="pvp",15,MAX(0.1,Skills!D7-IF(TRUE=TRUE,Inputs!$B$33,0)))*(1-IF(AND(ArtifactsInput!$M$27,Inputs!$B$4="Chapter Hunt"),CHOOSE(ArtifactsInput!$N$27+1,20,24,28,32,36,40),0)/100)),0)</f>
        <v/>
      </c>
      <c r="R169">
        <f>IF(AND(Inputs!$B$39&lt;&gt;"pvp",Inputs!$B$44&gt;0),IF(MAX(0,Inputs!$B$44-B202)&lt;=0,0,(INT(MAX(0,Inputs!$B$44-B202)/(IF(Inputs!$B$39="pvp",15,MAX(0.1,Skills!D7-IF(TRUE=TRUE,Inputs!$B$33,0)))*(1-IF(AND(ArtifactsInput!$M$27,Inputs!$B$4="Chapter Hunt"),CHOOSE(ArtifactsInput!$N$27+1,20,24,28,32,36,40),0)/100)))+1)),0)</f>
        <v/>
      </c>
      <c r="S169">
        <f>IF(C169,H169*N169*IF(AND(Inputs!$B$39&lt;&gt;"pvp",Inputs!$B$44&gt;0),((Skills!F7*((R169-1)*IF(Skills!G7&gt;0,INT(Skills!H7/Skills!G7+0.000000001),1)+IF(Skills!G7&gt;0,INT(MIN(Skills!H7,MAX(0,MAX(0,Inputs!$B$44-B202)-((R169-1)*(IF(Inputs!$B$39="pvp",15,MAX(0.1,Skills!D7-IF(TRUE=TRUE,Inputs!$B$33,0)))*(1-IF(AND(ArtifactsInput!$M$27,Inputs!$B$4="Chapter Hunt"),CHOOSE(ArtifactsInput!$N$27+1,20,24,28,32,36,40),0)/100)))))/Skills!G7+0.000000001),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IFERROR(1/(IF(Inputs!$B$39="pvp",15,MAX(0.1,Skills!D8-IF(TRUE=TRUE,Inputs!$B$33,0)))*(1-IF(AND(ArtifactsInput!$M$27,Inputs!$B$4="Chapter Hunt"),CHOOSE(ArtifactsInput!$N$27+1,20,24,28,32,36,40),0)/100)),0)</f>
        <v/>
      </c>
      <c r="R170">
        <f>IF(AND(Inputs!$B$39&lt;&gt;"pvp",Inputs!$B$44&gt;0),IF(MAX(0,Inputs!$B$44-B202)&lt;=0,0,(INT(MAX(0,Inputs!$B$44-B202)/(IF(Inputs!$B$39="pvp",15,MAX(0.1,Skills!D8-IF(TRUE=TRUE,Inputs!$B$33,0)))*(1-IF(AND(ArtifactsInput!$M$27,Inputs!$B$4="Chapter Hunt"),CHOOSE(ArtifactsInput!$N$27+1,20,24,28,32,36,40),0)/100)))+1)),0)</f>
        <v/>
      </c>
      <c r="S170">
        <f>IF(C170,(H170*N170*IF(AND(Inputs!$B$39&lt;&gt;"pvp",Inputs!$B$44&gt;0),((Skills!F8*((R170-1)*IF(Skills!G8&gt;0,INT(Skills!H8/Skills!G8+0.000000001),1)+IF(Skills!G8&gt;0,INT(MIN(Skills!H8,MAX(0,MAX(0,Inputs!$B$44-B202)-((R170-1)*(IF(Inputs!$B$39="pvp",15,MAX(0.1,Skills!D8-IF(TRUE=TRUE,Inputs!$B$33,0)))*(1-IF(AND(ArtifactsInput!$M$27,Inputs!$B$4="Chapter Hunt"),CHOOSE(ArtifactsInput!$N$27+1,20,24,28,32,36,40),0)/100)))))/Skills!G8+0.000000001),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INT(Skills!H8/Skills!G8+0.000000001),1)+IF(Skills!G8&gt;0,INT(MIN(Skills!H8,MAX(0,MAX(0,Inputs!$B$44-B202)-((R170-1)*(IF(Inputs!$B$39="pvp",15,MAX(0.1,Skills!D8-IF(TRUE=TRUE,Inputs!$B$33,0)))*(1-IF(AND(ArtifactsInput!$M$27,Inputs!$B$4="Chapter Hunt"),CHOOSE(ArtifactsInput!$N$27+1,20,24,28,32,36,40),0)/100)))))/Skills!G8+0.000000001),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IFERROR(1/(IF(Inputs!$B$39="pvp",15,MAX(0.1,Skills!D9-IF(TRUE=TRUE,Inputs!$B$33,0)))*(1-IF(AND(ArtifactsInput!$M$27,Inputs!$B$4="Chapter Hunt"),CHOOSE(ArtifactsInput!$N$27+1,20,24,28,32,36,40),0)/100)),0)</f>
        <v/>
      </c>
      <c r="R171">
        <f>IF(AND(Inputs!$B$39&lt;&gt;"pvp",Inputs!$B$44&gt;0),IF(MAX(0,Inputs!$B$44-B202)&lt;=0,0,(INT(MAX(0,Inputs!$B$44-B202)/(IF(Inputs!$B$39="pvp",15,MAX(0.1,Skills!D9-IF(TRUE=TRUE,Inputs!$B$33,0)))*(1-IF(AND(ArtifactsInput!$M$27,Inputs!$B$4="Chapter Hunt"),CHOOSE(ArtifactsInput!$N$27+1,20,24,28,32,36,40),0)/100)))+1)),0)</f>
        <v/>
      </c>
      <c r="S171">
        <f>IF(C171,(H171*N171*IF(AND(Inputs!$B$39&lt;&gt;"pvp",Inputs!$B$44&gt;0),((Skills!F9*((R171-1)*IF(Skills!G9&gt;0,INT(Skills!H9/Skills!G9+0.000000001),1)+IF(Skills!G9&gt;0,INT(MIN(Skills!H9,MAX(0,MAX(0,Inputs!$B$44-B202)-((R171-1)*(IF(Inputs!$B$39="pvp",15,MAX(0.1,Skills!D9-IF(TRUE=TRUE,Inputs!$B$33,0)))*(1-IF(AND(ArtifactsInput!$M$27,Inputs!$B$4="Chapter Hunt"),CHOOSE(ArtifactsInput!$N$27+1,20,24,28,32,36,40),0)/100)))))/Skills!G9+0.000000001),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INT(Skills!H9/Skills!G9+0.000000001),1)+IF(Skills!G9&gt;0,INT(MIN(Skills!H9,MAX(0,MAX(0,Inputs!$B$44-B202)-((R171-1)*(IF(Inputs!$B$39="pvp",15,MAX(0.1,Skills!D9-IF(TRUE=TRUE,Inputs!$B$33,0)))*(1-IF(AND(ArtifactsInput!$M$27,Inputs!$B$4="Chapter Hunt"),CHOOSE(ArtifactsInput!$N$27+1,20,24,28,32,36,40),0)/100)))))/Skills!G9+0.000000001),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IFERROR(1/(IF(Inputs!$B$39="pvp",15,MAX(0.1,Skills!D10-IF(TRUE=TRUE,Inputs!$B$33,0)))*(1-IF(AND(ArtifactsInput!$M$27,Inputs!$B$4="Chapter Hunt"),CHOOSE(ArtifactsInput!$N$27+1,20,24,28,32,36,40),0)/100)),0)</f>
        <v/>
      </c>
      <c r="R172">
        <f>IF(AND(Inputs!$B$39&lt;&gt;"pvp",Inputs!$B$44&gt;0),IF(MAX(0,Inputs!$B$44-B202)&lt;=0,0,(INT(MAX(0,Inputs!$B$44-B202)/(IF(Inputs!$B$39="pvp",15,MAX(0.1,Skills!D10-IF(TRUE=TRUE,Inputs!$B$33,0)))*(1-IF(AND(ArtifactsInput!$M$27,Inputs!$B$4="Chapter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IFERROR(1/(IF(Inputs!$B$39="pvp",15,MAX(0.1,Skills!D11-IF(TRUE=TRUE,Inputs!$B$33,0)))*(1-IF(AND(ArtifactsInput!$M$27,Inputs!$B$4="Chapter Hunt"),CHOOSE(ArtifactsInput!$N$27+1,20,24,28,32,36,40),0)/100)),0)</f>
        <v/>
      </c>
      <c r="R173">
        <f>IF(AND(Inputs!$B$39&lt;&gt;"pvp",Inputs!$B$44&gt;0),IF(Inputs!$B$44&lt;=0,0,(INT(Inputs!$B$44/(IF(Inputs!$B$39="pvp",15,MAX(0.1,Skills!D11-IF(TRUE=TRUE,Inputs!$B$33,0)))*(1-IF(AND(ArtifactsInput!$M$27,Inputs!$B$4="Chapter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IFERROR(1/(IF(Inputs!$B$39="pvp",15,MAX(0.1,Skills!D12-IF(TRUE=TRUE,Inputs!$B$33,0)))*(1-IF(AND(ArtifactsInput!$M$27,Inputs!$B$4="Chapter Hunt"),CHOOSE(ArtifactsInput!$N$27+1,20,24,28,32,36,40),0)/100)),0)</f>
        <v/>
      </c>
      <c r="R174">
        <f>IF(AND(Inputs!$B$39&lt;&gt;"pvp",Inputs!$B$44&gt;0),IF(MAX(0,Inputs!$B$44-B202)&lt;=0,0,(INT(MAX(0,Inputs!$B$44-B202)/(IF(Inputs!$B$39="pvp",15,MAX(0.1,Skills!D12-IF(TRUE=TRUE,Inputs!$B$33,0)))*(1-IF(AND(ArtifactsInput!$M$27,Inputs!$B$4="Chapter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IFERROR(1/(IF(Inputs!$B$39="pvp",15,MAX(0.1,Skills!D13-IF(TRUE=TRUE,Inputs!$B$33,0)))*(1-IF(AND(ArtifactsInput!$M$27,Inputs!$B$4="Chapter Hunt"),CHOOSE(ArtifactsInput!$N$27+1,20,24,28,32,36,40),0)/100)),0)</f>
        <v/>
      </c>
      <c r="R175">
        <f>IF(AND(Inputs!$B$39&lt;&gt;"pvp",Inputs!$B$44&gt;0),IF(MAX(0,Inputs!$B$44-B202)&lt;=0,0,(INT(MAX(0,Inputs!$B$44-B202)/(IF(Inputs!$B$39="pvp",15,MAX(0.1,Skills!D13-IF(TRUE=TRUE,Inputs!$B$33,0)))*(1-IF(AND(ArtifactsInput!$M$27,Inputs!$B$4="Chapter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IFERROR(1/(IF(Inputs!$B$39="pvp",15,MAX(0.1,Skills!D14-IF(TRUE=TRUE,Inputs!$B$33,0)))*(1-IF(AND(ArtifactsInput!$M$27,Inputs!$B$4="Chapter Hunt"),CHOOSE(ArtifactsInput!$N$27+1,20,24,28,32,36,40),0)/100)),0)</f>
        <v/>
      </c>
      <c r="R176">
        <f>IF(AND(Inputs!$B$39&lt;&gt;"pvp",Inputs!$B$44&gt;0),IF(Inputs!$B$44&lt;=0,0,(INT(Inputs!$B$44/(IF(Inputs!$B$39="pvp",15,MAX(0.1,Skills!D14-IF(TRUE=TRUE,Inputs!$B$33,0)))*(1-IF(AND(ArtifactsInput!$M$27,Inputs!$B$4="Chapter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IFERROR(1/(IF(Inputs!$B$39="pvp",15,MAX(0.1,Skills!D15-IF(TRUE=TRUE,Inputs!$B$33,0)))*(1-IF(AND(ArtifactsInput!$M$27,Inputs!$B$4="Chapter Hunt"),CHOOSE(ArtifactsInput!$N$27+1,20,24,28,32,36,40),0)/100)),0)</f>
        <v/>
      </c>
      <c r="R177" t="n">
        <v>0</v>
      </c>
      <c r="S177">
        <f>IF(C177,(Skills!F15*N177*((IF(Inputs!$B$3&gt;=78,25,15)/100*B198*10)/(1+IF(Inputs!$B$3&gt;=78,25,15)/100*B198*IF(Inputs!$B$39="pvp",15,MAX(0.1,18-IF(TRUE=TRUE,Inputs!$B$33,0)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IF(Inputs!$B$39="pvp",15,MAX(0.1,18-IF(TRUE=TRUE,Inputs!$B$33,0)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IFERROR(1/(IF(Inputs!$B$39="pvp",15,MAX(0.1,Skills!D16-IF(TRUE=TRUE,Inputs!$B$33,0)))*(1-IF(AND(ArtifactsInput!$M$27,Inputs!$B$4="Chapter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IFERROR(1/(IF(Inputs!$B$39="pvp",15,MAX(0.1,Skills!D17-IF(TRUE=TRUE,Inputs!$B$33,0)))*(1-IF(AND(ArtifactsInput!$M$27,Inputs!$B$4="Chapter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IFERROR(1/(IF(Inputs!$B$39="pvp",15,MAX(0.1,Skills!D18-IF(TRUE=TRUE,Inputs!$B$33,0)))*(1-IF(AND(ArtifactsInput!$M$27,Inputs!$B$4="Chapter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IFERROR(1/(IF(Inputs!$B$39="pvp",15,MAX(0.1,Skills!D19-IF(TRUE=TRUE,Inputs!$B$33,0)))*(1-IF(AND(ArtifactsInput!$M$27,Inputs!$B$4="Chapter Hunt"),CHOOSE(ArtifactsInput!$N$27+1,20,24,28,32,36,40),0)/100)),0)</f>
        <v/>
      </c>
      <c r="R181">
        <f>IF(AND(Inputs!$B$39&lt;&gt;"pvp",Inputs!$B$44&gt;0),IF(Inputs!$B$44&lt;=0,0,(INT(Inputs!$B$44/(IF(Inputs!$B$39="pvp",15,MAX(0.1,Skills!D19-IF(TRUE=TRUE,Inputs!$B$33,0)))*(1-IF(AND(ArtifactsInput!$M$27,Inputs!$B$4="Chapter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IFERROR(1/(IF(Inputs!$B$39="pvp",15,MAX(0.1,Skills!D20-IF(TRUE=TRUE,Inputs!$B$33,0)))*(1-IF(AND(ArtifactsInput!$M$27,Inputs!$B$4="Chapter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IFERROR(1/(IF(Inputs!$B$39="pvp",15,MAX(0.1,Skills!D21-IF(TRUE=TRUE,Inputs!$B$33,0)))*(1-IF(AND(ArtifactsInput!$M$27,Inputs!$B$4="Chapter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IFERROR(1/(IF(Inputs!$B$39="pvp",15,MAX(0.1,Skills!D22-IF(TRUE=TRUE,Inputs!$B$33,0)))*(1-IF(AND(ArtifactsInput!$M$27,Inputs!$B$4="Chapter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IFERROR(1/(IF(Inputs!$B$39="pvp",15,MAX(0.1,Skills!D23-IF(TRUE=TRUE,Inputs!$B$33,0)))*(1-IF(AND(ArtifactsInput!$M$27,Inputs!$B$4="Chapter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IFERROR(1/(IF(Inputs!$B$39="pvp",15,MAX(0.1,Skills!D24-IF(TRUE=TRUE,Inputs!$B$33,0)))*(1-IF(AND(ArtifactsInput!$M$27,Inputs!$B$4="Chapter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IFERROR(1/(IF(Inputs!$B$39="pvp",15,MAX(0.1,Skills!D25-IF(TRUE=TRUE,Inputs!$B$33,0)))*(1-IF(AND(ArtifactsInput!$M$27,Inputs!$B$4="Chapter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IFERROR(1/(IF(Inputs!$B$39="pvp",15,MAX(0.1,Skills!D26-IF(TRUE=TRUE,Inputs!$B$33,0)))*(1-IF(AND(ArtifactsInput!$M$27,Inputs!$B$4="Chapter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IFERROR(1/(IF(Inputs!$B$39="pvp",15,MAX(0.1,Skills!D27-IF(TRUE=TRUE,Inputs!$B$33,0)))*(1-IF(AND(ArtifactsInput!$M$27,Inputs!$B$4="Chapter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IFERROR(1/(IF(Inputs!$B$39="pvp",15,MAX(0.1,Skills!D28-IF(TRUE=TRUE,Inputs!$B$33,0)))*(1-IF(AND(ArtifactsInput!$M$27,Inputs!$B$4="Chapter Hunt"),CHOOSE(ArtifactsInput!$N$27+1,20,24,28,32,36,40),0)/100)),0)</f>
        <v/>
      </c>
      <c r="R190">
        <f>IF(AND(Inputs!$B$39&lt;&gt;"pvp",Inputs!$B$44&gt;0),IF(Inputs!$B$44&lt;=0,0,(INT(Inputs!$B$44/(IF(Inputs!$B$39="pvp",15,MAX(0.1,Skills!D28-IF(TRUE=TRUE,Inputs!$B$33,0)))*(1-IF(AND(ArtifactsInput!$M$27,Inputs!$B$4="Chapter Hunt"),CHOOSE(ArtifactsInput!$N$27+1,20,24,28,32,36,40),0)/100)))+1)),0)</f>
        <v/>
      </c>
      <c r="S190" t="n">
        <v>0</v>
      </c>
      <c r="U190" t="n">
        <v>0</v>
      </c>
    </row>
    <row r="192">
      <c r="A192" t="inlineStr">
        <is>
          <t>Average Buff Multiplier</t>
        </is>
      </c>
      <c r="B192">
        <f>(1+(IF(C165=TRUE,F165*IF(AND(Inputs!$B$39&lt;&gt;"pvp",Inputs!$B$44&gt;0),(((R165-1)*MIN((Skills!S3*(1+((Inputs!$B$35+(ArtifactsInput!$M$7-ArtifactsInput!$M$7)*CHOOSE(ArtifactsInput!$N$7+1,6,7.2,8.4,9.6,10.8,12)))/100)),(1/Q165))+MIN((Skills!S3*(1+((Inputs!$B$35+(ArtifactsInput!$M$7-ArtifactsInput!$M$7)*CHOOSE(ArtifactsInput!$N$7+1,6,7.2,8.4,9.6,10.8,12)))/100)),MAX(0,Inputs!$B$44-((R165-1)*(1/Q165)))))/Inputs!$B$44),IF(Inputs!$B$39="pvp",MIN((Skills!S3*(1+((Inputs!$B$35+(ArtifactsInput!$M$7-ArtifactsInput!$M$7)*CHOOSE(ArtifactsInput!$N$7+1,6,7.2,8.4,9.6,10.8,12)))/100)),15)/15,MIN(1,(Skills!S3*(1+((Inputs!$B$35+(ArtifactsInput!$M$7-ArtifactsInput!$M$7)*CHOOSE(ArtifactsInput!$N$7+1,6,7.2,8.4,9.6,10.8,12)))/100))/(1/Q165)))),0)+IF(C166=TRUE,F166*IF(AND(Inputs!$B$39&lt;&gt;"pvp",Inputs!$B$44&gt;0),(((R166-1)*MIN((Skills!S4*(1+((Inputs!$B$35+(ArtifactsInput!$M$7-ArtifactsInput!$M$7)*CHOOSE(ArtifactsInput!$N$7+1,6,7.2,8.4,9.6,10.8,12)))/100)),(1/Q166))+MIN((Skills!S4*(1+((Inputs!$B$35+(ArtifactsInput!$M$7-ArtifactsInput!$M$7)*CHOOSE(ArtifactsInput!$N$7+1,6,7.2,8.4,9.6,10.8,12)))/100)),MAX(0,Inputs!$B$44-((R166-1)*(1/Q166)))))/Inputs!$B$44),IF(Inputs!$B$39="pvp",MIN((Skills!S4*(1+((Inputs!$B$35+(ArtifactsInput!$M$7-ArtifactsInput!$M$7)*CHOOSE(ArtifactsInput!$N$7+1,6,7.2,8.4,9.6,10.8,12)))/100)),15)/15,MIN(1,(Skills!S4*(1+((Inputs!$B$35+(ArtifactsInput!$M$7-ArtifactsInput!$M$7)*CHOOSE(ArtifactsInput!$N$7+1,6,7.2,8.4,9.6,10.8,12)))/100))/(1/Q166)))),0)+IF(C167=TRUE,F167*IF(AND(Inputs!$B$39&lt;&gt;"pvp",Inputs!$B$44&gt;0),(((R167-1)*MIN((Skills!S5*(1+((Inputs!$B$35+(ArtifactsInput!$M$7-ArtifactsInput!$M$7)*CHOOSE(ArtifactsInput!$N$7+1,6,7.2,8.4,9.6,10.8,12)))/100)),(1/Q167))+MIN((Skills!S5*(1+((Inputs!$B$35+(ArtifactsInput!$M$7-ArtifactsInput!$M$7)*CHOOSE(ArtifactsInput!$N$7+1,6,7.2,8.4,9.6,10.8,12)))/100)),MAX(0,Inputs!$B$44-((R167-1)*(1/Q167)))))/Inputs!$B$44),IF(Inputs!$B$39="pvp",MIN((Skills!S5*(1+((Inputs!$B$35+(ArtifactsInput!$M$7-ArtifactsInput!$M$7)*CHOOSE(ArtifactsInput!$N$7+1,6,7.2,8.4,9.6,10.8,12)))/100)),15)/15,MIN(1,(Skills!S5*(1+((Inputs!$B$35+(ArtifactsInput!$M$7-ArtifactsInput!$M$7)*CHOOSE(ArtifactsInput!$N$7+1,6,7.2,8.4,9.6,10.8,12)))/100))/(1/Q167)))),0)+IF(C173=TRUE,F173*IF(AND(Inputs!$B$39&lt;&gt;"pvp",Inputs!$B$44&gt;0),(((R173-1)*MIN((Skills!S11*(1+((Inputs!$B$35+(ArtifactsInput!$M$7-ArtifactsInput!$M$7)*CHOOSE(ArtifactsInput!$N$7+1,6,7.2,8.4,9.6,10.8,12)))/100)),(1/Q173))+MIN((Skills!S11*(1+((Inputs!$B$35+(ArtifactsInput!$M$7-ArtifactsInput!$M$7)*CHOOSE(ArtifactsInput!$N$7+1,6,7.2,8.4,9.6,10.8,12)))/100)),MAX(0,Inputs!$B$44-((R173-1)*(1/Q173)))))/Inputs!$B$44),IF(Inputs!$B$39="pvp",MIN((Skills!S11*(1+((Inputs!$B$35+(ArtifactsInput!$M$7-ArtifactsInput!$M$7)*CHOOSE(ArtifactsInput!$N$7+1,6,7.2,8.4,9.6,10.8,12)))/100)),15)/15,MIN(1,(Skills!S11*(1+((Inputs!$B$35+(ArtifactsInput!$M$7-ArtifactsInput!$M$7)*CHOOSE(ArtifactsInput!$N$7+1,6,7.2,8.4,9.6,10.8,12)))/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MIN((Skills!S14*(1+((Inputs!$B$35+(ArtifactsInput!$M$7-ArtifactsInput!$M$7)*CHOOSE(ArtifactsInput!$N$7+1,6,7.2,8.4,9.6,10.8,12)))/100)),(1/Q176))+MIN((Skills!S14*(1+((Inputs!$B$35+(ArtifactsInput!$M$7-ArtifactsInput!$M$7)*CHOOSE(ArtifactsInput!$N$7+1,6,7.2,8.4,9.6,10.8,12)))/100)),MAX(0,Inputs!$B$44-((R176-1)*(1/Q176)))))/Inputs!$B$44),IF(Inputs!$B$39="pvp",MIN((Skills!S14*(1+((Inputs!$B$35+(ArtifactsInput!$M$7-ArtifactsInput!$M$7)*CHOOSE(ArtifactsInput!$N$7+1,6,7.2,8.4,9.6,10.8,12)))/100)),15)/15,MIN(1,(Skills!S14*(1+((Inputs!$B$35+(ArtifactsInput!$M$7-ArtifactsInput!$M$7)*CHOOSE(ArtifactsInput!$N$7+1,6,7.2,8.4,9.6,10.8,12)))/100))/(1/Q176))))/100),1)*IF(C181=TRUE,(1+F181*IF(AND(Inputs!$B$39&lt;&gt;"pvp",Inputs!$B$44&gt;0),(((R181-1)*MIN((Skills!S19*(1+((Inputs!$B$35+(ArtifactsInput!$M$7-ArtifactsInput!$M$7)*CHOOSE(ArtifactsInput!$N$7+1,6,7.2,8.4,9.6,10.8,12)))/100)),(1/Q181))+MIN((Skills!S19*(1+((Inputs!$B$35+(ArtifactsInput!$M$7-ArtifactsInput!$M$7)*CHOOSE(ArtifactsInput!$N$7+1,6,7.2,8.4,9.6,10.8,12)))/100)),MAX(0,Inputs!$B$44-((R181-1)*(1/Q181)))))/Inputs!$B$44),IF(Inputs!$B$39="pvp",MIN((Skills!S19*(1+((Inputs!$B$35+(ArtifactsInput!$M$7-ArtifactsInput!$M$7)*CHOOSE(ArtifactsInput!$N$7+1,6,7.2,8.4,9.6,10.8,12)))/100)),15)/15,MIN(1,(Skills!S19*(1+((Inputs!$B$35+(ArtifactsInput!$M$7-ArtifactsInput!$M$7)*CHOOSE(ArtifactsInput!$N$7+1,6,7.2,8.4,9.6,10.8,12)))/100))/(1/Q181))))/100),1)</f>
        <v/>
      </c>
    </row>
    <row r="193">
      <c r="A193" t="inlineStr">
        <is>
          <t>Monster Damage Taken Bonus % (Holy Fountain)</t>
        </is>
      </c>
      <c r="B193">
        <f>IF(Inputs!$B$3&gt;=68,20*IF(Inputs!$B$39="pvp",MIN((15*(1+((Inputs!$B$35+(ArtifactsInput!$M$7-ArtifactsInput!$M$7)*CHOOSE(ArtifactsInput!$N$7+1,6,7.2,8.4,9.6,10.8,12)))/100)),15)/15,MIN(1,(15*(1+((Inputs!$B$35+(ArtifactsInput!$M$7-ArtifactsInput!$M$7)*CHOOSE(ArtifactsInput!$N$7+1,6,7.2,8.4,9.6,10.8,12)))/100))/(1/Q172))),0)</f>
        <v/>
      </c>
    </row>
    <row r="194">
      <c r="A194" t="inlineStr">
        <is>
          <t>Normal Monster Damage Bonus % (Holy Symbol)</t>
        </is>
      </c>
      <c r="B194">
        <f>IF(C174=TRUE,F174*IF(AND(Inputs!$B$39&lt;&gt;"pvp",Inputs!$B$44&gt;0),(((R174-1)*MIN((Skills!S12*(1+((Inputs!$B$35+(ArtifactsInput!$M$7-ArtifactsInput!$M$7)*CHOOSE(ArtifactsInput!$N$7+1,6,7.2,8.4,9.6,10.8,12)))/100)),(1/Q174))+MIN((Skills!S12*(1+((Inputs!$B$35+(ArtifactsInput!$M$7-ArtifactsInput!$M$7)*CHOOSE(ArtifactsInput!$N$7+1,6,7.2,8.4,9.6,10.8,12)))/100)),MAX(0,Inputs!$B$44-((R174-1)*(1/Q174)))))/Inputs!$B$44),IF(Inputs!$B$39="pvp",MIN((Skills!S12*(1+((Inputs!$B$35+(ArtifactsInput!$M$7-ArtifactsInput!$M$7)*CHOOSE(ArtifactsInput!$N$7+1,6,7.2,8.4,9.6,10.8,12)))/100)),15)/15,MIN(1,(Skills!S12*(1+((Inputs!$B$35+(ArtifactsInput!$M$7-ArtifactsInput!$M$7)*CHOOSE(ArtifactsInput!$N$7+1,6,7.2,8.4,9.6,10.8,12)))/100))/(1/Q174)))),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MIN((Skills!S28*(1+((Inputs!$B$35+(ArtifactsInput!$M$7-ArtifactsInput!$M$7)*CHOOSE(ArtifactsInput!$N$7+1,6,7.2,8.4,9.6,10.8,12)))/100)),(1/Q190))+MIN((Skills!S28*(1+((Inputs!$B$35+(ArtifactsInput!$M$7-ArtifactsInput!$M$7)*CHOOSE(ArtifactsInput!$N$7+1,6,7.2,8.4,9.6,10.8,12)))/100)),MAX(0,Inputs!$B$44-((R190-1)*(1/Q190)))))/Inputs!$B$44),IF(Inputs!$B$39="pvp",MIN((Skills!S28*(1+((Inputs!$B$35+(ArtifactsInput!$M$7-ArtifactsInput!$M$7)*CHOOSE(ArtifactsInput!$N$7+1,6,7.2,8.4,9.6,10.8,12)))/100)),15)/15,MIN(1,(Skills!S28*(1+((Inputs!$B$35+(ArtifactsInput!$M$7-ArtifactsInput!$M$7)*CHOOSE(ArtifactsInput!$N$7+1,6,7.2,8.4,9.6,10.8,12)))/100))/(1/Q190)))))</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MIN((Skills!S13*(1+((Inputs!$B$35+(ArtifactsInput!$M$7-ArtifactsInput!$M$7)*CHOOSE(ArtifactsInput!$N$7+1,6,7.2,8.4,9.6,10.8,12)))/100)),(1/Q175))+MIN((Skills!S13*(1+((Inputs!$B$35+(ArtifactsInput!$M$7-ArtifactsInput!$M$7)*CHOOSE(ArtifactsInput!$N$7+1,6,7.2,8.4,9.6,10.8,12)))/100)),MAX(0,Inputs!$B$44-((R175-1)*(1/Q175)))))/Inputs!$B$44),IF(Inputs!$B$39="pvp",MIN((Skills!S13*(1+((Inputs!$B$35+(ArtifactsInput!$M$7-ArtifactsInput!$M$7)*CHOOSE(ArtifactsInput!$N$7+1,6,7.2,8.4,9.6,10.8,12)))/100)),15)/15,MIN(1,(Skills!S13*(1+((Inputs!$B$35+(ArtifactsInput!$M$7-ArtifactsInput!$M$7)*CHOOSE(ArtifactsInput!$N$7+1,6,7.2,8.4,9.6,10.8,12)))/100))/(1/Q175)))),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IFERROR(1/(IF(Inputs!$B$39="pvp",15,MAX(0.1,Skills!D2-IF(TRUE=TRUE,Inputs!$B$33,0)))*(1-IF(AND(ArtifactsInput!$M$27,Inputs!$B$4="Chapter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IFERROR(1/(IF(Inputs!$B$39="pvp",15,MAX(0.1,Skills!D3-IF(TRUE=TRUE,Inputs!$B$33,0)))*(1-IF(AND(ArtifactsInput!$M$27,Inputs!$B$4="Chapter Hunt"),CHOOSE(ArtifactsInput!$N$27+1,20,24,28,32,36,40),0)/100)),0)</f>
        <v/>
      </c>
      <c r="R210">
        <f>IF(AND(Inputs!$B$39&lt;&gt;"pvp",Inputs!$B$44&gt;0),IF(Inputs!$B$44&lt;=0,0,(INT(Inputs!$B$44/(IF(Inputs!$B$39="pvp",15,MAX(0.1,Skills!D3-IF(TRUE=TRUE,Inputs!$B$33,0)))*(1-IF(AND(ArtifactsInput!$M$27,Inputs!$B$4="Chapter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IFERROR(1/(IF(Inputs!$B$39="pvp",15,MAX(0.1,Skills!D4-IF(TRUE=TRUE,Inputs!$B$33,0)))*(1-IF(AND(ArtifactsInput!$M$27,Inputs!$B$4="Chapter Hunt"),CHOOSE(ArtifactsInput!$N$27+1,20,24,28,32,36,40),0)/100)),0)</f>
        <v/>
      </c>
      <c r="R211">
        <f>IF(AND(Inputs!$B$39&lt;&gt;"pvp",Inputs!$B$44&gt;0),IF(Inputs!$B$44&lt;=0,0,(INT(Inputs!$B$44/(IF(Inputs!$B$39="pvp",15,MAX(0.1,Skills!D4-IF(TRUE=TRUE,Inputs!$B$33,0)))*(1-IF(AND(ArtifactsInput!$M$27,Inputs!$B$4="Chapter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IFERROR(1/(IF(Inputs!$B$39="pvp",15,MAX(0.1,Skills!D5-IF(TRUE=TRUE,Inputs!$B$33,0)))*(1-IF(AND(ArtifactsInput!$M$27,Inputs!$B$4="Chapter Hunt"),CHOOSE(ArtifactsInput!$N$27+1,20,24,28,32,36,40),0)/100)),0)</f>
        <v/>
      </c>
      <c r="R212">
        <f>IF(AND(Inputs!$B$39&lt;&gt;"pvp",Inputs!$B$44&gt;0),IF(Inputs!$B$44&lt;=0,0,(INT(Inputs!$B$44/(IF(Inputs!$B$39="pvp",15,MAX(0.1,Skills!D5-IF(TRUE=TRUE,Inputs!$B$33,0)))*(1-IF(AND(ArtifactsInput!$M$27,Inputs!$B$4="Chapter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IFERROR(1/(IF(Inputs!$B$39="pvp",15,MAX(0.1,Skills!D6-IF(TRUE=TRUE,Inputs!$B$33,0)))*(1-IF(AND(ArtifactsInput!$M$27,Inputs!$B$4="Chapter Hunt"),CHOOSE(ArtifactsInput!$N$27+1,20,24,28,32,36,40),0)/100)),0)</f>
        <v/>
      </c>
      <c r="R213">
        <f>IF(AND(Inputs!$B$39&lt;&gt;"pvp",Inputs!$B$44&gt;0),IF(MAX(0,Inputs!$B$44-B247)&lt;=0,0,(INT(MAX(0,Inputs!$B$44-B247)/(IF(Inputs!$B$39="pvp",15,MAX(0.1,Skills!D6-IF(TRUE=TRUE,Inputs!$B$33,0)))*(1-IF(AND(ArtifactsInput!$M$27,Inputs!$B$4="Chapter Hunt"),CHOOSE(ArtifactsInput!$N$27+1,20,24,28,32,36,40),0)/100)))+1)),0)</f>
        <v/>
      </c>
      <c r="S213">
        <f>IF(C213,(H213*N213*IF(AND(Inputs!$B$39&lt;&gt;"pvp",Inputs!$B$44&gt;0),((Skills!F6*((R213-1)*IF(Skills!G6&gt;0,INT(Skills!H6/Skills!G6+0.000000001),1)+IF(Skills!G6&gt;0,INT(MIN(Skills!H6,MAX(0,MAX(0,Inputs!$B$44-B247)-((R213-1)*(IF(Inputs!$B$39="pvp",15,MAX(0.1,Skills!D6-IF(TRUE=TRUE,Inputs!$B$33,0)))*(1-IF(AND(ArtifactsInput!$M$27,Inputs!$B$4="Chapter Hunt"),CHOOSE(ArtifactsInput!$N$27+1,20,24,28,32,36,40),0)/100)))))/Skills!G6+0.000000001),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INT(Skills!H6/Skills!G6+0.000000001),1)+IF(Skills!G6&gt;0,INT(MIN(Skills!H6,MAX(0,MAX(0,Inputs!$B$44-B247)-((R213-1)*(IF(Inputs!$B$39="pvp",15,MAX(0.1,Skills!D6-IF(TRUE=TRUE,Inputs!$B$33,0)))*(1-IF(AND(ArtifactsInput!$M$27,Inputs!$B$4="Chapter Hunt"),CHOOSE(ArtifactsInput!$N$27+1,20,24,28,32,36,40),0)/100)))))/Skills!G6+0.000000001),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IFERROR(1/(IF(Inputs!$B$39="pvp",15,MAX(0.1,Skills!D7-IF(TRUE=TRUE,Inputs!$B$33,0)))*(1-IF(AND(ArtifactsInput!$M$27,Inputs!$B$4="Chapter Hunt"),CHOOSE(ArtifactsInput!$N$27+1,20,24,28,32,36,40),0)/100)),0)</f>
        <v/>
      </c>
      <c r="R214">
        <f>IF(AND(Inputs!$B$39&lt;&gt;"pvp",Inputs!$B$44&gt;0),IF(MAX(0,Inputs!$B$44-B247)&lt;=0,0,(INT(MAX(0,Inputs!$B$44-B247)/(IF(Inputs!$B$39="pvp",15,MAX(0.1,Skills!D7-IF(TRUE=TRUE,Inputs!$B$33,0)))*(1-IF(AND(ArtifactsInput!$M$27,Inputs!$B$4="Chapter Hunt"),CHOOSE(ArtifactsInput!$N$27+1,20,24,28,32,36,40),0)/100)))+1)),0)</f>
        <v/>
      </c>
      <c r="S214">
        <f>IF(C214,H214*N214*IF(AND(Inputs!$B$39&lt;&gt;"pvp",Inputs!$B$44&gt;0),((Skills!F7*((R214-1)*IF(Skills!G7&gt;0,INT(Skills!H7/Skills!G7+0.000000001),1)+IF(Skills!G7&gt;0,INT(MIN(Skills!H7,MAX(0,MAX(0,Inputs!$B$44-B247)-((R214-1)*(IF(Inputs!$B$39="pvp",15,MAX(0.1,Skills!D7-IF(TRUE=TRUE,Inputs!$B$33,0)))*(1-IF(AND(ArtifactsInput!$M$27,Inputs!$B$4="Chapter Hunt"),CHOOSE(ArtifactsInput!$N$27+1,20,24,28,32,36,40),0)/100)))))/Skills!G7+0.000000001),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IFERROR(1/(IF(Inputs!$B$39="pvp",15,MAX(0.1,Skills!D8-IF(TRUE=TRUE,Inputs!$B$33,0)))*(1-IF(AND(ArtifactsInput!$M$27,Inputs!$B$4="Chapter Hunt"),CHOOSE(ArtifactsInput!$N$27+1,20,24,28,32,36,40),0)/100)),0)</f>
        <v/>
      </c>
      <c r="R215">
        <f>IF(AND(Inputs!$B$39&lt;&gt;"pvp",Inputs!$B$44&gt;0),IF(MAX(0,Inputs!$B$44-B247)&lt;=0,0,(INT(MAX(0,Inputs!$B$44-B247)/(IF(Inputs!$B$39="pvp",15,MAX(0.1,Skills!D8-IF(TRUE=TRUE,Inputs!$B$33,0)))*(1-IF(AND(ArtifactsInput!$M$27,Inputs!$B$4="Chapter Hunt"),CHOOSE(ArtifactsInput!$N$27+1,20,24,28,32,36,40),0)/100)))+1)),0)</f>
        <v/>
      </c>
      <c r="S215">
        <f>IF(C215,(H215*N215*IF(AND(Inputs!$B$39&lt;&gt;"pvp",Inputs!$B$44&gt;0),((Skills!F8*((R215-1)*IF(Skills!G8&gt;0,INT(Skills!H8/Skills!G8+0.000000001),1)+IF(Skills!G8&gt;0,INT(MIN(Skills!H8,MAX(0,MAX(0,Inputs!$B$44-B247)-((R215-1)*(IF(Inputs!$B$39="pvp",15,MAX(0.1,Skills!D8-IF(TRUE=TRUE,Inputs!$B$33,0)))*(1-IF(AND(ArtifactsInput!$M$27,Inputs!$B$4="Chapter Hunt"),CHOOSE(ArtifactsInput!$N$27+1,20,24,28,32,36,40),0)/100)))))/Skills!G8+0.000000001),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INT(Skills!H8/Skills!G8+0.000000001),1)+IF(Skills!G8&gt;0,INT(MIN(Skills!H8,MAX(0,MAX(0,Inputs!$B$44-B247)-((R215-1)*(IF(Inputs!$B$39="pvp",15,MAX(0.1,Skills!D8-IF(TRUE=TRUE,Inputs!$B$33,0)))*(1-IF(AND(ArtifactsInput!$M$27,Inputs!$B$4="Chapter Hunt"),CHOOSE(ArtifactsInput!$N$27+1,20,24,28,32,36,40),0)/100)))))/Skills!G8+0.000000001),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IFERROR(1/(IF(Inputs!$B$39="pvp",15,MAX(0.1,Skills!D9-IF(TRUE=TRUE,Inputs!$B$33,0)))*(1-IF(AND(ArtifactsInput!$M$27,Inputs!$B$4="Chapter Hunt"),CHOOSE(ArtifactsInput!$N$27+1,20,24,28,32,36,40),0)/100)),0)</f>
        <v/>
      </c>
      <c r="R216">
        <f>IF(AND(Inputs!$B$39&lt;&gt;"pvp",Inputs!$B$44&gt;0),IF(MAX(0,Inputs!$B$44-B247)&lt;=0,0,(INT(MAX(0,Inputs!$B$44-B247)/(IF(Inputs!$B$39="pvp",15,MAX(0.1,Skills!D9-IF(TRUE=TRUE,Inputs!$B$33,0)))*(1-IF(AND(ArtifactsInput!$M$27,Inputs!$B$4="Chapter Hunt"),CHOOSE(ArtifactsInput!$N$27+1,20,24,28,32,36,40),0)/100)))+1)),0)</f>
        <v/>
      </c>
      <c r="S216">
        <f>IF(C216,(H216*N216*IF(AND(Inputs!$B$39&lt;&gt;"pvp",Inputs!$B$44&gt;0),((Skills!F9*((R216-1)*IF(Skills!G9&gt;0,INT(Skills!H9/Skills!G9+0.000000001),1)+IF(Skills!G9&gt;0,INT(MIN(Skills!H9,MAX(0,MAX(0,Inputs!$B$44-B247)-((R216-1)*(IF(Inputs!$B$39="pvp",15,MAX(0.1,Skills!D9-IF(TRUE=TRUE,Inputs!$B$33,0)))*(1-IF(AND(ArtifactsInput!$M$27,Inputs!$B$4="Chapter Hunt"),CHOOSE(ArtifactsInput!$N$27+1,20,24,28,32,36,40),0)/100)))))/Skills!G9+0.000000001),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INT(Skills!H9/Skills!G9+0.000000001),1)+IF(Skills!G9&gt;0,INT(MIN(Skills!H9,MAX(0,MAX(0,Inputs!$B$44-B247)-((R216-1)*(IF(Inputs!$B$39="pvp",15,MAX(0.1,Skills!D9-IF(TRUE=TRUE,Inputs!$B$33,0)))*(1-IF(AND(ArtifactsInput!$M$27,Inputs!$B$4="Chapter Hunt"),CHOOSE(ArtifactsInput!$N$27+1,20,24,28,32,36,40),0)/100)))))/Skills!G9+0.000000001),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IFERROR(1/(IF(Inputs!$B$39="pvp",15,MAX(0.1,Skills!D10-IF(TRUE=TRUE,Inputs!$B$33,0)))*(1-IF(AND(ArtifactsInput!$M$27,Inputs!$B$4="Chapter Hunt"),CHOOSE(ArtifactsInput!$N$27+1,20,24,28,32,36,40),0)/100)),0)</f>
        <v/>
      </c>
      <c r="R217">
        <f>IF(AND(Inputs!$B$39&lt;&gt;"pvp",Inputs!$B$44&gt;0),IF(MAX(0,Inputs!$B$44-B247)&lt;=0,0,(INT(MAX(0,Inputs!$B$44-B247)/(IF(Inputs!$B$39="pvp",15,MAX(0.1,Skills!D10-IF(TRUE=TRUE,Inputs!$B$33,0)))*(1-IF(AND(ArtifactsInput!$M$27,Inputs!$B$4="Chapter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IFERROR(1/(IF(Inputs!$B$39="pvp",15,MAX(0.1,Skills!D11-IF(TRUE=TRUE,Inputs!$B$33,0)))*(1-IF(AND(ArtifactsInput!$M$27,Inputs!$B$4="Chapter Hunt"),CHOOSE(ArtifactsInput!$N$27+1,20,24,28,32,36,40),0)/100)),0)</f>
        <v/>
      </c>
      <c r="R218">
        <f>IF(AND(Inputs!$B$39&lt;&gt;"pvp",Inputs!$B$44&gt;0),IF(Inputs!$B$44&lt;=0,0,(INT(Inputs!$B$44/(IF(Inputs!$B$39="pvp",15,MAX(0.1,Skills!D11-IF(TRUE=TRUE,Inputs!$B$33,0)))*(1-IF(AND(ArtifactsInput!$M$27,Inputs!$B$4="Chapter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IFERROR(1/(IF(Inputs!$B$39="pvp",15,MAX(0.1,Skills!D12-IF(TRUE=TRUE,Inputs!$B$33,0)))*(1-IF(AND(ArtifactsInput!$M$27,Inputs!$B$4="Chapter Hunt"),CHOOSE(ArtifactsInput!$N$27+1,20,24,28,32,36,40),0)/100)),0)</f>
        <v/>
      </c>
      <c r="R219">
        <f>IF(AND(Inputs!$B$39&lt;&gt;"pvp",Inputs!$B$44&gt;0),IF(MAX(0,Inputs!$B$44-B247)&lt;=0,0,(INT(MAX(0,Inputs!$B$44-B247)/(IF(Inputs!$B$39="pvp",15,MAX(0.1,Skills!D12-IF(TRUE=TRUE,Inputs!$B$33,0)))*(1-IF(AND(ArtifactsInput!$M$27,Inputs!$B$4="Chapter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IFERROR(1/(IF(Inputs!$B$39="pvp",15,MAX(0.1,Skills!D13-IF(TRUE=TRUE,Inputs!$B$33,0)))*(1-IF(AND(ArtifactsInput!$M$27,Inputs!$B$4="Chapter Hunt"),CHOOSE(ArtifactsInput!$N$27+1,20,24,28,32,36,40),0)/100)),0)</f>
        <v/>
      </c>
      <c r="R220">
        <f>IF(AND(Inputs!$B$39&lt;&gt;"pvp",Inputs!$B$44&gt;0),IF(MAX(0,Inputs!$B$44-B247)&lt;=0,0,(INT(MAX(0,Inputs!$B$44-B247)/(IF(Inputs!$B$39="pvp",15,MAX(0.1,Skills!D13-IF(TRUE=TRUE,Inputs!$B$33,0)))*(1-IF(AND(ArtifactsInput!$M$27,Inputs!$B$4="Chapter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IFERROR(1/(IF(Inputs!$B$39="pvp",15,MAX(0.1,Skills!D14-IF(TRUE=TRUE,Inputs!$B$33,0)))*(1-IF(AND(ArtifactsInput!$M$27,Inputs!$B$4="Chapter Hunt"),CHOOSE(ArtifactsInput!$N$27+1,20,24,28,32,36,40),0)/100)),0)</f>
        <v/>
      </c>
      <c r="R221">
        <f>IF(AND(Inputs!$B$39&lt;&gt;"pvp",Inputs!$B$44&gt;0),IF(Inputs!$B$44&lt;=0,0,(INT(Inputs!$B$44/(IF(Inputs!$B$39="pvp",15,MAX(0.1,Skills!D14-IF(TRUE=TRUE,Inputs!$B$33,0)))*(1-IF(AND(ArtifactsInput!$M$27,Inputs!$B$4="Chapter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IFERROR(1/(IF(Inputs!$B$39="pvp",15,MAX(0.1,Skills!D15-IF(TRUE=TRUE,Inputs!$B$33,0)))*(1-IF(AND(ArtifactsInput!$M$27,Inputs!$B$4="Chapter Hunt"),CHOOSE(ArtifactsInput!$N$27+1,20,24,28,32,36,40),0)/100)),0)</f>
        <v/>
      </c>
      <c r="R222" t="n">
        <v>0</v>
      </c>
      <c r="S222">
        <f>IF(C222,(Skills!F15*N222*((IF(Inputs!$B$3&gt;=78,25,15)/100*B243*10)/(1+IF(Inputs!$B$3&gt;=78,25,15)/100*B243*IF(Inputs!$B$39="pvp",15,MAX(0.1,18-IF(TRUE=TRUE,Inputs!$B$33,0)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IF(Inputs!$B$39="pvp",15,MAX(0.1,18-IF(TRUE=TRUE,Inputs!$B$33,0)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IFERROR(1/(IF(Inputs!$B$39="pvp",15,MAX(0.1,Skills!D16-IF(TRUE=TRUE,Inputs!$B$33,0)))*(1-IF(AND(ArtifactsInput!$M$27,Inputs!$B$4="Chapter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IFERROR(1/(IF(Inputs!$B$39="pvp",15,MAX(0.1,Skills!D17-IF(TRUE=TRUE,Inputs!$B$33,0)))*(1-IF(AND(ArtifactsInput!$M$27,Inputs!$B$4="Chapter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IFERROR(1/(IF(Inputs!$B$39="pvp",15,MAX(0.1,Skills!D18-IF(TRUE=TRUE,Inputs!$B$33,0)))*(1-IF(AND(ArtifactsInput!$M$27,Inputs!$B$4="Chapter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IFERROR(1/(IF(Inputs!$B$39="pvp",15,MAX(0.1,Skills!D19-IF(TRUE=TRUE,Inputs!$B$33,0)))*(1-IF(AND(ArtifactsInput!$M$27,Inputs!$B$4="Chapter Hunt"),CHOOSE(ArtifactsInput!$N$27+1,20,24,28,32,36,40),0)/100)),0)</f>
        <v/>
      </c>
      <c r="R226">
        <f>IF(AND(Inputs!$B$39&lt;&gt;"pvp",Inputs!$B$44&gt;0),IF(Inputs!$B$44&lt;=0,0,(INT(Inputs!$B$44/(IF(Inputs!$B$39="pvp",15,MAX(0.1,Skills!D19-IF(TRUE=TRUE,Inputs!$B$33,0)))*(1-IF(AND(ArtifactsInput!$M$27,Inputs!$B$4="Chapter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IFERROR(1/(IF(Inputs!$B$39="pvp",15,MAX(0.1,Skills!D20-IF(TRUE=TRUE,Inputs!$B$33,0)))*(1-IF(AND(ArtifactsInput!$M$27,Inputs!$B$4="Chapter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IFERROR(1/(IF(Inputs!$B$39="pvp",15,MAX(0.1,Skills!D21-IF(TRUE=TRUE,Inputs!$B$33,0)))*(1-IF(AND(ArtifactsInput!$M$27,Inputs!$B$4="Chapter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IFERROR(1/(IF(Inputs!$B$39="pvp",15,MAX(0.1,Skills!D22-IF(TRUE=TRUE,Inputs!$B$33,0)))*(1-IF(AND(ArtifactsInput!$M$27,Inputs!$B$4="Chapter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IFERROR(1/(IF(Inputs!$B$39="pvp",15,MAX(0.1,Skills!D23-IF(TRUE=TRUE,Inputs!$B$33,0)))*(1-IF(AND(ArtifactsInput!$M$27,Inputs!$B$4="Chapter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IFERROR(1/(IF(Inputs!$B$39="pvp",15,MAX(0.1,Skills!D24-IF(TRUE=TRUE,Inputs!$B$33,0)))*(1-IF(AND(ArtifactsInput!$M$27,Inputs!$B$4="Chapter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IFERROR(1/(IF(Inputs!$B$39="pvp",15,MAX(0.1,Skills!D25-IF(TRUE=TRUE,Inputs!$B$33,0)))*(1-IF(AND(ArtifactsInput!$M$27,Inputs!$B$4="Chapter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IFERROR(1/(IF(Inputs!$B$39="pvp",15,MAX(0.1,Skills!D26-IF(TRUE=TRUE,Inputs!$B$33,0)))*(1-IF(AND(ArtifactsInput!$M$27,Inputs!$B$4="Chapter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IFERROR(1/(IF(Inputs!$B$39="pvp",15,MAX(0.1,Skills!D27-IF(TRUE=TRUE,Inputs!$B$33,0)))*(1-IF(AND(ArtifactsInput!$M$27,Inputs!$B$4="Chapter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IFERROR(1/(IF(Inputs!$B$39="pvp",15,MAX(0.1,Skills!D28-IF(TRUE=TRUE,Inputs!$B$33,0)))*(1-IF(AND(ArtifactsInput!$M$27,Inputs!$B$4="Chapter Hunt"),CHOOSE(ArtifactsInput!$N$27+1,20,24,28,32,36,40),0)/100)),0)</f>
        <v/>
      </c>
      <c r="R235">
        <f>IF(AND(Inputs!$B$39&lt;&gt;"pvp",Inputs!$B$44&gt;0),IF(Inputs!$B$44&lt;=0,0,(INT(Inputs!$B$44/(IF(Inputs!$B$39="pvp",15,MAX(0.1,Skills!D28-IF(TRUE=TRUE,Inputs!$B$33,0)))*(1-IF(AND(ArtifactsInput!$M$27,Inputs!$B$4="Chapter Hunt"),CHOOSE(ArtifactsInput!$N$27+1,20,24,28,32,36,40),0)/100)))+1)),0)</f>
        <v/>
      </c>
      <c r="S235" t="n">
        <v>0</v>
      </c>
      <c r="U235" t="n">
        <v>0</v>
      </c>
    </row>
    <row r="237">
      <c r="A237" t="inlineStr">
        <is>
          <t>Average Buff Multiplier</t>
        </is>
      </c>
      <c r="B237">
        <f>(1+(IF(C210=TRUE,F210*IF(AND(Inputs!$B$39&lt;&gt;"pvp",Inputs!$B$44&gt;0),(((R210-1)*MIN((Skills!S3*(1+((Inputs!$B$35+(ArtifactsInput!$M$7-ArtifactsInput!$M$7)*CHOOSE(ArtifactsInput!$N$7+1,6,7.2,8.4,9.6,10.8,12)))/100)),(1/Q210))+MIN((Skills!S3*(1+((Inputs!$B$35+(ArtifactsInput!$M$7-ArtifactsInput!$M$7)*CHOOSE(ArtifactsInput!$N$7+1,6,7.2,8.4,9.6,10.8,12)))/100)),MAX(0,Inputs!$B$44-((R210-1)*(1/Q210)))))/Inputs!$B$44),IF(Inputs!$B$39="pvp",MIN((Skills!S3*(1+((Inputs!$B$35+(ArtifactsInput!$M$7-ArtifactsInput!$M$7)*CHOOSE(ArtifactsInput!$N$7+1,6,7.2,8.4,9.6,10.8,12)))/100)),15)/15,MIN(1,(Skills!S3*(1+((Inputs!$B$35+(ArtifactsInput!$M$7-ArtifactsInput!$M$7)*CHOOSE(ArtifactsInput!$N$7+1,6,7.2,8.4,9.6,10.8,12)))/100))/(1/Q210)))),0)+IF(C211=TRUE,F211*IF(AND(Inputs!$B$39&lt;&gt;"pvp",Inputs!$B$44&gt;0),(((R211-1)*MIN((Skills!S4*(1+((Inputs!$B$35+(ArtifactsInput!$M$7-ArtifactsInput!$M$7)*CHOOSE(ArtifactsInput!$N$7+1,6,7.2,8.4,9.6,10.8,12)))/100)),(1/Q211))+MIN((Skills!S4*(1+((Inputs!$B$35+(ArtifactsInput!$M$7-ArtifactsInput!$M$7)*CHOOSE(ArtifactsInput!$N$7+1,6,7.2,8.4,9.6,10.8,12)))/100)),MAX(0,Inputs!$B$44-((R211-1)*(1/Q211)))))/Inputs!$B$44),IF(Inputs!$B$39="pvp",MIN((Skills!S4*(1+((Inputs!$B$35+(ArtifactsInput!$M$7-ArtifactsInput!$M$7)*CHOOSE(ArtifactsInput!$N$7+1,6,7.2,8.4,9.6,10.8,12)))/100)),15)/15,MIN(1,(Skills!S4*(1+((Inputs!$B$35+(ArtifactsInput!$M$7-ArtifactsInput!$M$7)*CHOOSE(ArtifactsInput!$N$7+1,6,7.2,8.4,9.6,10.8,12)))/100))/(1/Q211)))),0)+IF(C212=TRUE,F212*IF(AND(Inputs!$B$39&lt;&gt;"pvp",Inputs!$B$44&gt;0),(((R212-1)*MIN((Skills!S5*(1+((Inputs!$B$35+(ArtifactsInput!$M$7-ArtifactsInput!$M$7)*CHOOSE(ArtifactsInput!$N$7+1,6,7.2,8.4,9.6,10.8,12)))/100)),(1/Q212))+MIN((Skills!S5*(1+((Inputs!$B$35+(ArtifactsInput!$M$7-ArtifactsInput!$M$7)*CHOOSE(ArtifactsInput!$N$7+1,6,7.2,8.4,9.6,10.8,12)))/100)),MAX(0,Inputs!$B$44-((R212-1)*(1/Q212)))))/Inputs!$B$44),IF(Inputs!$B$39="pvp",MIN((Skills!S5*(1+((Inputs!$B$35+(ArtifactsInput!$M$7-ArtifactsInput!$M$7)*CHOOSE(ArtifactsInput!$N$7+1,6,7.2,8.4,9.6,10.8,12)))/100)),15)/15,MIN(1,(Skills!S5*(1+((Inputs!$B$35+(ArtifactsInput!$M$7-ArtifactsInput!$M$7)*CHOOSE(ArtifactsInput!$N$7+1,6,7.2,8.4,9.6,10.8,12)))/100))/(1/Q212)))),0)+IF(C218=TRUE,F218*IF(AND(Inputs!$B$39&lt;&gt;"pvp",Inputs!$B$44&gt;0),(((R218-1)*MIN((Skills!S11*(1+((Inputs!$B$35+(ArtifactsInput!$M$7-ArtifactsInput!$M$7)*CHOOSE(ArtifactsInput!$N$7+1,6,7.2,8.4,9.6,10.8,12)))/100)),(1/Q218))+MIN((Skills!S11*(1+((Inputs!$B$35+(ArtifactsInput!$M$7-ArtifactsInput!$M$7)*CHOOSE(ArtifactsInput!$N$7+1,6,7.2,8.4,9.6,10.8,12)))/100)),MAX(0,Inputs!$B$44-((R218-1)*(1/Q218)))))/Inputs!$B$44),IF(Inputs!$B$39="pvp",MIN((Skills!S11*(1+((Inputs!$B$35+(ArtifactsInput!$M$7-ArtifactsInput!$M$7)*CHOOSE(ArtifactsInput!$N$7+1,6,7.2,8.4,9.6,10.8,12)))/100)),15)/15,MIN(1,(Skills!S11*(1+((Inputs!$B$35+(ArtifactsInput!$M$7-ArtifactsInput!$M$7)*CHOOSE(ArtifactsInput!$N$7+1,6,7.2,8.4,9.6,10.8,12)))/100))/(1/Q218)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MIN((Skills!S14*(1+((Inputs!$B$35+(ArtifactsInput!$M$7-ArtifactsInput!$M$7)*CHOOSE(ArtifactsInput!$N$7+1,6,7.2,8.4,9.6,10.8,12)))/100)),(1/Q221))+MIN((Skills!S14*(1+((Inputs!$B$35+(ArtifactsInput!$M$7-ArtifactsInput!$M$7)*CHOOSE(ArtifactsInput!$N$7+1,6,7.2,8.4,9.6,10.8,12)))/100)),MAX(0,Inputs!$B$44-((R221-1)*(1/Q221)))))/Inputs!$B$44),IF(Inputs!$B$39="pvp",MIN((Skills!S14*(1+((Inputs!$B$35+(ArtifactsInput!$M$7-ArtifactsInput!$M$7)*CHOOSE(ArtifactsInput!$N$7+1,6,7.2,8.4,9.6,10.8,12)))/100)),15)/15,MIN(1,(Skills!S14*(1+((Inputs!$B$35+(ArtifactsInput!$M$7-ArtifactsInput!$M$7)*CHOOSE(ArtifactsInput!$N$7+1,6,7.2,8.4,9.6,10.8,12)))/100))/(1/Q221))))/100),1)*IF(C226=TRUE,(1+F226*IF(AND(Inputs!$B$39&lt;&gt;"pvp",Inputs!$B$44&gt;0),(((R226-1)*MIN((Skills!S19*(1+((Inputs!$B$35+(ArtifactsInput!$M$7-ArtifactsInput!$M$7)*CHOOSE(ArtifactsInput!$N$7+1,6,7.2,8.4,9.6,10.8,12)))/100)),(1/Q226))+MIN((Skills!S19*(1+((Inputs!$B$35+(ArtifactsInput!$M$7-ArtifactsInput!$M$7)*CHOOSE(ArtifactsInput!$N$7+1,6,7.2,8.4,9.6,10.8,12)))/100)),MAX(0,Inputs!$B$44-((R226-1)*(1/Q226)))))/Inputs!$B$44),IF(Inputs!$B$39="pvp",MIN((Skills!S19*(1+((Inputs!$B$35+(ArtifactsInput!$M$7-ArtifactsInput!$M$7)*CHOOSE(ArtifactsInput!$N$7+1,6,7.2,8.4,9.6,10.8,12)))/100)),15)/15,MIN(1,(Skills!S19*(1+((Inputs!$B$35+(ArtifactsInput!$M$7-ArtifactsInput!$M$7)*CHOOSE(ArtifactsInput!$N$7+1,6,7.2,8.4,9.6,10.8,12)))/100))/(1/Q226))))/100),1)</f>
        <v/>
      </c>
    </row>
    <row r="238">
      <c r="A238" t="inlineStr">
        <is>
          <t>Monster Damage Taken Bonus % (Holy Fountain)</t>
        </is>
      </c>
      <c r="B238">
        <f>IF(Inputs!$B$3&gt;=68,20*IF(Inputs!$B$39="pvp",MIN((15*(1+((Inputs!$B$35+(ArtifactsInput!$M$7-ArtifactsInput!$M$7)*CHOOSE(ArtifactsInput!$N$7+1,6,7.2,8.4,9.6,10.8,12)))/100)),15)/15,MIN(1,(15*(1+((Inputs!$B$35+(ArtifactsInput!$M$7-ArtifactsInput!$M$7)*CHOOSE(ArtifactsInput!$N$7+1,6,7.2,8.4,9.6,10.8,12)))/100))/(1/Q217))),0)</f>
        <v/>
      </c>
    </row>
    <row r="239">
      <c r="A239" t="inlineStr">
        <is>
          <t>Normal Monster Damage Bonus % (Holy Symbol)</t>
        </is>
      </c>
      <c r="B239">
        <f>IF(C219=TRUE,F219*IF(AND(Inputs!$B$39&lt;&gt;"pvp",Inputs!$B$44&gt;0),(((R219-1)*MIN((Skills!S12*(1+((Inputs!$B$35+(ArtifactsInput!$M$7-ArtifactsInput!$M$7)*CHOOSE(ArtifactsInput!$N$7+1,6,7.2,8.4,9.6,10.8,12)))/100)),(1/Q219))+MIN((Skills!S12*(1+((Inputs!$B$35+(ArtifactsInput!$M$7-ArtifactsInput!$M$7)*CHOOSE(ArtifactsInput!$N$7+1,6,7.2,8.4,9.6,10.8,12)))/100)),MAX(0,Inputs!$B$44-((R219-1)*(1/Q219)))))/Inputs!$B$44),IF(Inputs!$B$39="pvp",MIN((Skills!S12*(1+((Inputs!$B$35+(ArtifactsInput!$M$7-ArtifactsInput!$M$7)*CHOOSE(ArtifactsInput!$N$7+1,6,7.2,8.4,9.6,10.8,12)))/100)),15)/15,MIN(1,(Skills!S12*(1+((Inputs!$B$35+(ArtifactsInput!$M$7-ArtifactsInput!$M$7)*CHOOSE(ArtifactsInput!$N$7+1,6,7.2,8.4,9.6,10.8,12)))/100))/(1/Q219)))),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MIN((Skills!S28*(1+((Inputs!$B$35+(ArtifactsInput!$M$7-ArtifactsInput!$M$7)*CHOOSE(ArtifactsInput!$N$7+1,6,7.2,8.4,9.6,10.8,12)))/100)),(1/Q235))+MIN((Skills!S28*(1+((Inputs!$B$35+(ArtifactsInput!$M$7-ArtifactsInput!$M$7)*CHOOSE(ArtifactsInput!$N$7+1,6,7.2,8.4,9.6,10.8,12)))/100)),MAX(0,Inputs!$B$44-((R235-1)*(1/Q235)))))/Inputs!$B$44),IF(Inputs!$B$39="pvp",MIN((Skills!S28*(1+((Inputs!$B$35+(ArtifactsInput!$M$7-ArtifactsInput!$M$7)*CHOOSE(ArtifactsInput!$N$7+1,6,7.2,8.4,9.6,10.8,12)))/100)),15)/15,MIN(1,(Skills!S28*(1+((Inputs!$B$35+(ArtifactsInput!$M$7-ArtifactsInput!$M$7)*CHOOSE(ArtifactsInput!$N$7+1,6,7.2,8.4,9.6,10.8,12)))/100))/(1/Q235)))))</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MIN((Skills!S13*(1+((Inputs!$B$35+(ArtifactsInput!$M$7-ArtifactsInput!$M$7)*CHOOSE(ArtifactsInput!$N$7+1,6,7.2,8.4,9.6,10.8,12)))/100)),(1/Q220))+MIN((Skills!S13*(1+((Inputs!$B$35+(ArtifactsInput!$M$7-ArtifactsInput!$M$7)*CHOOSE(ArtifactsInput!$N$7+1,6,7.2,8.4,9.6,10.8,12)))/100)),MAX(0,Inputs!$B$44-((R220-1)*(1/Q220)))))/Inputs!$B$44),IF(Inputs!$B$39="pvp",MIN((Skills!S13*(1+((Inputs!$B$35+(ArtifactsInput!$M$7-ArtifactsInput!$M$7)*CHOOSE(ArtifactsInput!$N$7+1,6,7.2,8.4,9.6,10.8,12)))/100)),15)/15,MIN(1,(Skills!S13*(1+((Inputs!$B$35+(ArtifactsInput!$M$7-ArtifactsInput!$M$7)*CHOOSE(ArtifactsInput!$N$7+1,6,7.2,8.4,9.6,10.8,12)))/100))/(1/Q220)))),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IFERROR(1/(IF(Inputs!$B$39="pvp",15,MAX(0.1,Skills!D2-IF(TRUE=TRUE,Inputs!$B$33,0)))*(1-IF(AND(ArtifactsInput!$M$27,Inputs!$B$4="Chapter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IFERROR(1/(IF(Inputs!$B$39="pvp",15,MAX(0.1,Skills!D3-IF(TRUE=TRUE,Inputs!$B$33,0)))*(1-IF(AND(ArtifactsInput!$M$27,Inputs!$B$4="Chapter Hunt"),CHOOSE(ArtifactsInput!$N$27+1,20,24,28,32,36,40),0)/100)),0)</f>
        <v/>
      </c>
      <c r="R255">
        <f>IF(AND(Inputs!$B$39&lt;&gt;"pvp",Inputs!$B$44&gt;0),IF(Inputs!$B$44&lt;=0,0,(INT(Inputs!$B$44/(IF(Inputs!$B$39="pvp",15,MAX(0.1,Skills!D3-IF(TRUE=TRUE,Inputs!$B$33,0)))*(1-IF(AND(ArtifactsInput!$M$27,Inputs!$B$4="Chapter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IFERROR(1/(IF(Inputs!$B$39="pvp",15,MAX(0.1,Skills!D4-IF(TRUE=TRUE,Inputs!$B$33,0)))*(1-IF(AND(ArtifactsInput!$M$27,Inputs!$B$4="Chapter Hunt"),CHOOSE(ArtifactsInput!$N$27+1,20,24,28,32,36,40),0)/100)),0)</f>
        <v/>
      </c>
      <c r="R256">
        <f>IF(AND(Inputs!$B$39&lt;&gt;"pvp",Inputs!$B$44&gt;0),IF(Inputs!$B$44&lt;=0,0,(INT(Inputs!$B$44/(IF(Inputs!$B$39="pvp",15,MAX(0.1,Skills!D4-IF(TRUE=TRUE,Inputs!$B$33,0)))*(1-IF(AND(ArtifactsInput!$M$27,Inputs!$B$4="Chapter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IFERROR(1/(IF(Inputs!$B$39="pvp",15,MAX(0.1,Skills!D5-IF(TRUE=TRUE,Inputs!$B$33,0)))*(1-IF(AND(ArtifactsInput!$M$27,Inputs!$B$4="Chapter Hunt"),CHOOSE(ArtifactsInput!$N$27+1,20,24,28,32,36,40),0)/100)),0)</f>
        <v/>
      </c>
      <c r="R257">
        <f>IF(AND(Inputs!$B$39&lt;&gt;"pvp",Inputs!$B$44&gt;0),IF(Inputs!$B$44&lt;=0,0,(INT(Inputs!$B$44/(IF(Inputs!$B$39="pvp",15,MAX(0.1,Skills!D5-IF(TRUE=TRUE,Inputs!$B$33,0)))*(1-IF(AND(ArtifactsInput!$M$27,Inputs!$B$4="Chapter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IFERROR(1/(IF(Inputs!$B$39="pvp",15,MAX(0.1,Skills!D6-IF(TRUE=TRUE,Inputs!$B$33,0)))*(1-IF(AND(ArtifactsInput!$M$27,Inputs!$B$4="Chapter Hunt"),CHOOSE(ArtifactsInput!$N$27+1,20,24,28,32,36,40),0)/100)),0)</f>
        <v/>
      </c>
      <c r="R258">
        <f>IF(AND(Inputs!$B$39&lt;&gt;"pvp",Inputs!$B$44&gt;0),IF(MAX(0,Inputs!$B$44-B292)&lt;=0,0,(INT(MAX(0,Inputs!$B$44-B292)/(IF(Inputs!$B$39="pvp",15,MAX(0.1,Skills!D6-IF(TRUE=TRUE,Inputs!$B$33,0)))*(1-IF(AND(ArtifactsInput!$M$27,Inputs!$B$4="Chapter Hunt"),CHOOSE(ArtifactsInput!$N$27+1,20,24,28,32,36,40),0)/100)))+1)),0)</f>
        <v/>
      </c>
      <c r="S258">
        <f>IF(C258,(H258*N258*IF(AND(Inputs!$B$39&lt;&gt;"pvp",Inputs!$B$44&gt;0),((Skills!F6*((R258-1)*IF(Skills!G6&gt;0,INT(Skills!H6/Skills!G6+0.000000001),1)+IF(Skills!G6&gt;0,INT(MIN(Skills!H6,MAX(0,MAX(0,Inputs!$B$44-B292)-((R258-1)*(IF(Inputs!$B$39="pvp",15,MAX(0.1,Skills!D6-IF(TRUE=TRUE,Inputs!$B$33,0)))*(1-IF(AND(ArtifactsInput!$M$27,Inputs!$B$4="Chapter Hunt"),CHOOSE(ArtifactsInput!$N$27+1,20,24,28,32,36,40),0)/100)))))/Skills!G6+0.000000001),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INT(Skills!H6/Skills!G6+0.000000001),1)+IF(Skills!G6&gt;0,INT(MIN(Skills!H6,MAX(0,MAX(0,Inputs!$B$44-B292)-((R258-1)*(IF(Inputs!$B$39="pvp",15,MAX(0.1,Skills!D6-IF(TRUE=TRUE,Inputs!$B$33,0)))*(1-IF(AND(ArtifactsInput!$M$27,Inputs!$B$4="Chapter Hunt"),CHOOSE(ArtifactsInput!$N$27+1,20,24,28,32,36,40),0)/100)))))/Skills!G6+0.000000001),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IFERROR(1/(IF(Inputs!$B$39="pvp",15,MAX(0.1,Skills!D7-IF(TRUE=TRUE,Inputs!$B$33,0)))*(1-IF(AND(ArtifactsInput!$M$27,Inputs!$B$4="Chapter Hunt"),CHOOSE(ArtifactsInput!$N$27+1,20,24,28,32,36,40),0)/100)),0)</f>
        <v/>
      </c>
      <c r="R259">
        <f>IF(AND(Inputs!$B$39&lt;&gt;"pvp",Inputs!$B$44&gt;0),IF(MAX(0,Inputs!$B$44-B292)&lt;=0,0,(INT(MAX(0,Inputs!$B$44-B292)/(IF(Inputs!$B$39="pvp",15,MAX(0.1,Skills!D7-IF(TRUE=TRUE,Inputs!$B$33,0)))*(1-IF(AND(ArtifactsInput!$M$27,Inputs!$B$4="Chapter Hunt"),CHOOSE(ArtifactsInput!$N$27+1,20,24,28,32,36,40),0)/100)))+1)),0)</f>
        <v/>
      </c>
      <c r="S259">
        <f>IF(C259,H259*N259*IF(AND(Inputs!$B$39&lt;&gt;"pvp",Inputs!$B$44&gt;0),((Skills!F7*((R259-1)*IF(Skills!G7&gt;0,INT(Skills!H7/Skills!G7+0.000000001),1)+IF(Skills!G7&gt;0,INT(MIN(Skills!H7,MAX(0,MAX(0,Inputs!$B$44-B292)-((R259-1)*(IF(Inputs!$B$39="pvp",15,MAX(0.1,Skills!D7-IF(TRUE=TRUE,Inputs!$B$33,0)))*(1-IF(AND(ArtifactsInput!$M$27,Inputs!$B$4="Chapter Hunt"),CHOOSE(ArtifactsInput!$N$27+1,20,24,28,32,36,40),0)/100)))))/Skills!G7+0.000000001),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IFERROR(1/(IF(Inputs!$B$39="pvp",15,MAX(0.1,Skills!D8-IF(TRUE=TRUE,Inputs!$B$33,0)))*(1-IF(AND(ArtifactsInput!$M$27,Inputs!$B$4="Chapter Hunt"),CHOOSE(ArtifactsInput!$N$27+1,20,24,28,32,36,40),0)/100)),0)</f>
        <v/>
      </c>
      <c r="R260">
        <f>IF(AND(Inputs!$B$39&lt;&gt;"pvp",Inputs!$B$44&gt;0),IF(MAX(0,Inputs!$B$44-B292)&lt;=0,0,(INT(MAX(0,Inputs!$B$44-B292)/(IF(Inputs!$B$39="pvp",15,MAX(0.1,Skills!D8-IF(TRUE=TRUE,Inputs!$B$33,0)))*(1-IF(AND(ArtifactsInput!$M$27,Inputs!$B$4="Chapter Hunt"),CHOOSE(ArtifactsInput!$N$27+1,20,24,28,32,36,40),0)/100)))+1)),0)</f>
        <v/>
      </c>
      <c r="S260">
        <f>IF(C260,(H260*N260*IF(AND(Inputs!$B$39&lt;&gt;"pvp",Inputs!$B$44&gt;0),((Skills!F8*((R260-1)*IF(Skills!G8&gt;0,INT(Skills!H8/Skills!G8+0.000000001),1)+IF(Skills!G8&gt;0,INT(MIN(Skills!H8,MAX(0,MAX(0,Inputs!$B$44-B292)-((R260-1)*(IF(Inputs!$B$39="pvp",15,MAX(0.1,Skills!D8-IF(TRUE=TRUE,Inputs!$B$33,0)))*(1-IF(AND(ArtifactsInput!$M$27,Inputs!$B$4="Chapter Hunt"),CHOOSE(ArtifactsInput!$N$27+1,20,24,28,32,36,40),0)/100)))))/Skills!G8+0.000000001),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INT(Skills!H8/Skills!G8+0.000000001),1)+IF(Skills!G8&gt;0,INT(MIN(Skills!H8,MAX(0,MAX(0,Inputs!$B$44-B292)-((R260-1)*(IF(Inputs!$B$39="pvp",15,MAX(0.1,Skills!D8-IF(TRUE=TRUE,Inputs!$B$33,0)))*(1-IF(AND(ArtifactsInput!$M$27,Inputs!$B$4="Chapter Hunt"),CHOOSE(ArtifactsInput!$N$27+1,20,24,28,32,36,40),0)/100)))))/Skills!G8+0.000000001),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IFERROR(1/(IF(Inputs!$B$39="pvp",15,MAX(0.1,Skills!D9-IF(TRUE=TRUE,Inputs!$B$33,0)))*(1-IF(AND(ArtifactsInput!$M$27,Inputs!$B$4="Chapter Hunt"),CHOOSE(ArtifactsInput!$N$27+1,20,24,28,32,36,40),0)/100)),0)</f>
        <v/>
      </c>
      <c r="R261">
        <f>IF(AND(Inputs!$B$39&lt;&gt;"pvp",Inputs!$B$44&gt;0),IF(MAX(0,Inputs!$B$44-B292)&lt;=0,0,(INT(MAX(0,Inputs!$B$44-B292)/(IF(Inputs!$B$39="pvp",15,MAX(0.1,Skills!D9-IF(TRUE=TRUE,Inputs!$B$33,0)))*(1-IF(AND(ArtifactsInput!$M$27,Inputs!$B$4="Chapter Hunt"),CHOOSE(ArtifactsInput!$N$27+1,20,24,28,32,36,40),0)/100)))+1)),0)</f>
        <v/>
      </c>
      <c r="S261">
        <f>IF(C261,(H261*N261*IF(AND(Inputs!$B$39&lt;&gt;"pvp",Inputs!$B$44&gt;0),((Skills!F9*((R261-1)*IF(Skills!G9&gt;0,INT(Skills!H9/Skills!G9+0.000000001),1)+IF(Skills!G9&gt;0,INT(MIN(Skills!H9,MAX(0,MAX(0,Inputs!$B$44-B292)-((R261-1)*(IF(Inputs!$B$39="pvp",15,MAX(0.1,Skills!D9-IF(TRUE=TRUE,Inputs!$B$33,0)))*(1-IF(AND(ArtifactsInput!$M$27,Inputs!$B$4="Chapter Hunt"),CHOOSE(ArtifactsInput!$N$27+1,20,24,28,32,36,40),0)/100)))))/Skills!G9+0.000000001),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INT(Skills!H9/Skills!G9+0.000000001),1)+IF(Skills!G9&gt;0,INT(MIN(Skills!H9,MAX(0,MAX(0,Inputs!$B$44-B292)-((R261-1)*(IF(Inputs!$B$39="pvp",15,MAX(0.1,Skills!D9-IF(TRUE=TRUE,Inputs!$B$33,0)))*(1-IF(AND(ArtifactsInput!$M$27,Inputs!$B$4="Chapter Hunt"),CHOOSE(ArtifactsInput!$N$27+1,20,24,28,32,36,40),0)/100)))))/Skills!G9+0.000000001),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IFERROR(1/(IF(Inputs!$B$39="pvp",15,MAX(0.1,Skills!D10-IF(TRUE=TRUE,Inputs!$B$33,0)))*(1-IF(AND(ArtifactsInput!$M$27,Inputs!$B$4="Chapter Hunt"),CHOOSE(ArtifactsInput!$N$27+1,20,24,28,32,36,40),0)/100)),0)</f>
        <v/>
      </c>
      <c r="R262">
        <f>IF(AND(Inputs!$B$39&lt;&gt;"pvp",Inputs!$B$44&gt;0),IF(MAX(0,Inputs!$B$44-B292)&lt;=0,0,(INT(MAX(0,Inputs!$B$44-B292)/(IF(Inputs!$B$39="pvp",15,MAX(0.1,Skills!D10-IF(TRUE=TRUE,Inputs!$B$33,0)))*(1-IF(AND(ArtifactsInput!$M$27,Inputs!$B$4="Chapter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IFERROR(1/(IF(Inputs!$B$39="pvp",15,MAX(0.1,Skills!D11-IF(TRUE=TRUE,Inputs!$B$33,0)))*(1-IF(AND(ArtifactsInput!$M$27,Inputs!$B$4="Chapter Hunt"),CHOOSE(ArtifactsInput!$N$27+1,20,24,28,32,36,40),0)/100)),0)</f>
        <v/>
      </c>
      <c r="R263">
        <f>IF(AND(Inputs!$B$39&lt;&gt;"pvp",Inputs!$B$44&gt;0),IF(Inputs!$B$44&lt;=0,0,(INT(Inputs!$B$44/(IF(Inputs!$B$39="pvp",15,MAX(0.1,Skills!D11-IF(TRUE=TRUE,Inputs!$B$33,0)))*(1-IF(AND(ArtifactsInput!$M$27,Inputs!$B$4="Chapter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IFERROR(1/(IF(Inputs!$B$39="pvp",15,MAX(0.1,Skills!D12-IF(TRUE=TRUE,Inputs!$B$33,0)))*(1-IF(AND(ArtifactsInput!$M$27,Inputs!$B$4="Chapter Hunt"),CHOOSE(ArtifactsInput!$N$27+1,20,24,28,32,36,40),0)/100)),0)</f>
        <v/>
      </c>
      <c r="R264">
        <f>IF(AND(Inputs!$B$39&lt;&gt;"pvp",Inputs!$B$44&gt;0),IF(MAX(0,Inputs!$B$44-B292)&lt;=0,0,(INT(MAX(0,Inputs!$B$44-B292)/(IF(Inputs!$B$39="pvp",15,MAX(0.1,Skills!D12-IF(TRUE=TRUE,Inputs!$B$33,0)))*(1-IF(AND(ArtifactsInput!$M$27,Inputs!$B$4="Chapter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IFERROR(1/(IF(Inputs!$B$39="pvp",15,MAX(0.1,Skills!D13-IF(TRUE=TRUE,Inputs!$B$33,0)))*(1-IF(AND(ArtifactsInput!$M$27,Inputs!$B$4="Chapter Hunt"),CHOOSE(ArtifactsInput!$N$27+1,20,24,28,32,36,40),0)/100)),0)</f>
        <v/>
      </c>
      <c r="R265">
        <f>IF(AND(Inputs!$B$39&lt;&gt;"pvp",Inputs!$B$44&gt;0),IF(MAX(0,Inputs!$B$44-B292)&lt;=0,0,(INT(MAX(0,Inputs!$B$44-B292)/(IF(Inputs!$B$39="pvp",15,MAX(0.1,Skills!D13-IF(TRUE=TRUE,Inputs!$B$33,0)))*(1-IF(AND(ArtifactsInput!$M$27,Inputs!$B$4="Chapter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IFERROR(1/(IF(Inputs!$B$39="pvp",15,MAX(0.1,Skills!D14-IF(TRUE=TRUE,Inputs!$B$33,0)))*(1-IF(AND(ArtifactsInput!$M$27,Inputs!$B$4="Chapter Hunt"),CHOOSE(ArtifactsInput!$N$27+1,20,24,28,32,36,40),0)/100)),0)</f>
        <v/>
      </c>
      <c r="R266">
        <f>IF(AND(Inputs!$B$39&lt;&gt;"pvp",Inputs!$B$44&gt;0),IF(Inputs!$B$44&lt;=0,0,(INT(Inputs!$B$44/(IF(Inputs!$B$39="pvp",15,MAX(0.1,Skills!D14-IF(TRUE=TRUE,Inputs!$B$33,0)))*(1-IF(AND(ArtifactsInput!$M$27,Inputs!$B$4="Chapter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IFERROR(1/(IF(Inputs!$B$39="pvp",15,MAX(0.1,Skills!D15-IF(TRUE=TRUE,Inputs!$B$33,0)))*(1-IF(AND(ArtifactsInput!$M$27,Inputs!$B$4="Chapter Hunt"),CHOOSE(ArtifactsInput!$N$27+1,20,24,28,32,36,40),0)/100)),0)</f>
        <v/>
      </c>
      <c r="R267" t="n">
        <v>0</v>
      </c>
      <c r="S267">
        <f>IF(C267,(Skills!F15*N267*((IF(Inputs!$B$3&gt;=78,25,15)/100*B288*10)/(1+IF(Inputs!$B$3&gt;=78,25,15)/100*B288*IF(Inputs!$B$39="pvp",15,MAX(0.1,18-IF(TRUE=TRUE,Inputs!$B$33,0)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IF(Inputs!$B$39="pvp",15,MAX(0.1,18-IF(TRUE=TRUE,Inputs!$B$33,0)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IFERROR(1/(IF(Inputs!$B$39="pvp",15,MAX(0.1,Skills!D16-IF(TRUE=TRUE,Inputs!$B$33,0)))*(1-IF(AND(ArtifactsInput!$M$27,Inputs!$B$4="Chapter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IFERROR(1/(IF(Inputs!$B$39="pvp",15,MAX(0.1,Skills!D17-IF(TRUE=TRUE,Inputs!$B$33,0)))*(1-IF(AND(ArtifactsInput!$M$27,Inputs!$B$4="Chapter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IFERROR(1/(IF(Inputs!$B$39="pvp",15,MAX(0.1,Skills!D18-IF(TRUE=TRUE,Inputs!$B$33,0)))*(1-IF(AND(ArtifactsInput!$M$27,Inputs!$B$4="Chapter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IFERROR(1/(IF(Inputs!$B$39="pvp",15,MAX(0.1,Skills!D19-IF(TRUE=TRUE,Inputs!$B$33,0)))*(1-IF(AND(ArtifactsInput!$M$27,Inputs!$B$4="Chapter Hunt"),CHOOSE(ArtifactsInput!$N$27+1,20,24,28,32,36,40),0)/100)),0)</f>
        <v/>
      </c>
      <c r="R271">
        <f>IF(AND(Inputs!$B$39&lt;&gt;"pvp",Inputs!$B$44&gt;0),IF(Inputs!$B$44&lt;=0,0,(INT(Inputs!$B$44/(IF(Inputs!$B$39="pvp",15,MAX(0.1,Skills!D19-IF(TRUE=TRUE,Inputs!$B$33,0)))*(1-IF(AND(ArtifactsInput!$M$27,Inputs!$B$4="Chapter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IFERROR(1/(IF(Inputs!$B$39="pvp",15,MAX(0.1,Skills!D20-IF(TRUE=TRUE,Inputs!$B$33,0)))*(1-IF(AND(ArtifactsInput!$M$27,Inputs!$B$4="Chapter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IFERROR(1/(IF(Inputs!$B$39="pvp",15,MAX(0.1,Skills!D21-IF(TRUE=TRUE,Inputs!$B$33,0)))*(1-IF(AND(ArtifactsInput!$M$27,Inputs!$B$4="Chapter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IFERROR(1/(IF(Inputs!$B$39="pvp",15,MAX(0.1,Skills!D22-IF(TRUE=TRUE,Inputs!$B$33,0)))*(1-IF(AND(ArtifactsInput!$M$27,Inputs!$B$4="Chapter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IFERROR(1/(IF(Inputs!$B$39="pvp",15,MAX(0.1,Skills!D23-IF(TRUE=TRUE,Inputs!$B$33,0)))*(1-IF(AND(ArtifactsInput!$M$27,Inputs!$B$4="Chapter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IFERROR(1/(IF(Inputs!$B$39="pvp",15,MAX(0.1,Skills!D24-IF(TRUE=TRUE,Inputs!$B$33,0)))*(1-IF(AND(ArtifactsInput!$M$27,Inputs!$B$4="Chapter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IFERROR(1/(IF(Inputs!$B$39="pvp",15,MAX(0.1,Skills!D25-IF(TRUE=TRUE,Inputs!$B$33,0)))*(1-IF(AND(ArtifactsInput!$M$27,Inputs!$B$4="Chapter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IFERROR(1/(IF(Inputs!$B$39="pvp",15,MAX(0.1,Skills!D26-IF(TRUE=TRUE,Inputs!$B$33,0)))*(1-IF(AND(ArtifactsInput!$M$27,Inputs!$B$4="Chapter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IFERROR(1/(IF(Inputs!$B$39="pvp",15,MAX(0.1,Skills!D27-IF(TRUE=TRUE,Inputs!$B$33,0)))*(1-IF(AND(ArtifactsInput!$M$27,Inputs!$B$4="Chapter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IFERROR(1/(IF(Inputs!$B$39="pvp",15,MAX(0.1,Skills!D28-IF(TRUE=TRUE,Inputs!$B$33,0)))*(1-IF(AND(ArtifactsInput!$M$27,Inputs!$B$4="Chapter Hunt"),CHOOSE(ArtifactsInput!$N$27+1,20,24,28,32,36,40),0)/100)),0)</f>
        <v/>
      </c>
      <c r="R280">
        <f>IF(AND(Inputs!$B$39&lt;&gt;"pvp",Inputs!$B$44&gt;0),IF(Inputs!$B$44&lt;=0,0,(INT(Inputs!$B$44/(IF(Inputs!$B$39="pvp",15,MAX(0.1,Skills!D28-IF(TRUE=TRUE,Inputs!$B$33,0)))*(1-IF(AND(ArtifactsInput!$M$27,Inputs!$B$4="Chapter Hunt"),CHOOSE(ArtifactsInput!$N$27+1,20,24,28,32,36,40),0)/100)))+1)),0)</f>
        <v/>
      </c>
      <c r="S280" t="n">
        <v>0</v>
      </c>
      <c r="U280" t="n">
        <v>0</v>
      </c>
    </row>
    <row r="282">
      <c r="A282" t="inlineStr">
        <is>
          <t>Average Buff Multiplier</t>
        </is>
      </c>
      <c r="B282">
        <f>(1+(IF(C255=TRUE,F255*IF(AND(Inputs!$B$39&lt;&gt;"pvp",Inputs!$B$44&gt;0),(((R255-1)*MIN((Skills!S3*(1+((Inputs!$B$35+(ArtifactsInput!$M$7-ArtifactsInput!$M$7)*CHOOSE(ArtifactsInput!$N$7+1,6,7.2,8.4,9.6,10.8,12)))/100)),(1/Q255))+MIN((Skills!S3*(1+((Inputs!$B$35+(ArtifactsInput!$M$7-ArtifactsInput!$M$7)*CHOOSE(ArtifactsInput!$N$7+1,6,7.2,8.4,9.6,10.8,12)))/100)),MAX(0,Inputs!$B$44-((R255-1)*(1/Q255)))))/Inputs!$B$44),IF(Inputs!$B$39="pvp",MIN((Skills!S3*(1+((Inputs!$B$35+(ArtifactsInput!$M$7-ArtifactsInput!$M$7)*CHOOSE(ArtifactsInput!$N$7+1,6,7.2,8.4,9.6,10.8,12)))/100)),15)/15,MIN(1,(Skills!S3*(1+((Inputs!$B$35+(ArtifactsInput!$M$7-ArtifactsInput!$M$7)*CHOOSE(ArtifactsInput!$N$7+1,6,7.2,8.4,9.6,10.8,12)))/100))/(1/Q255)))),0)+IF(C256=TRUE,F256*IF(AND(Inputs!$B$39&lt;&gt;"pvp",Inputs!$B$44&gt;0),(((R256-1)*MIN((Skills!S4*(1+((Inputs!$B$35+(ArtifactsInput!$M$7-ArtifactsInput!$M$7)*CHOOSE(ArtifactsInput!$N$7+1,6,7.2,8.4,9.6,10.8,12)))/100)),(1/Q256))+MIN((Skills!S4*(1+((Inputs!$B$35+(ArtifactsInput!$M$7-ArtifactsInput!$M$7)*CHOOSE(ArtifactsInput!$N$7+1,6,7.2,8.4,9.6,10.8,12)))/100)),MAX(0,Inputs!$B$44-((R256-1)*(1/Q256)))))/Inputs!$B$44),IF(Inputs!$B$39="pvp",MIN((Skills!S4*(1+((Inputs!$B$35+(ArtifactsInput!$M$7-ArtifactsInput!$M$7)*CHOOSE(ArtifactsInput!$N$7+1,6,7.2,8.4,9.6,10.8,12)))/100)),15)/15,MIN(1,(Skills!S4*(1+((Inputs!$B$35+(ArtifactsInput!$M$7-ArtifactsInput!$M$7)*CHOOSE(ArtifactsInput!$N$7+1,6,7.2,8.4,9.6,10.8,12)))/100))/(1/Q256)))),0)+IF(C257=TRUE,F257*IF(AND(Inputs!$B$39&lt;&gt;"pvp",Inputs!$B$44&gt;0),(((R257-1)*MIN((Skills!S5*(1+((Inputs!$B$35+(ArtifactsInput!$M$7-ArtifactsInput!$M$7)*CHOOSE(ArtifactsInput!$N$7+1,6,7.2,8.4,9.6,10.8,12)))/100)),(1/Q257))+MIN((Skills!S5*(1+((Inputs!$B$35+(ArtifactsInput!$M$7-ArtifactsInput!$M$7)*CHOOSE(ArtifactsInput!$N$7+1,6,7.2,8.4,9.6,10.8,12)))/100)),MAX(0,Inputs!$B$44-((R257-1)*(1/Q257)))))/Inputs!$B$44),IF(Inputs!$B$39="pvp",MIN((Skills!S5*(1+((Inputs!$B$35+(ArtifactsInput!$M$7-ArtifactsInput!$M$7)*CHOOSE(ArtifactsInput!$N$7+1,6,7.2,8.4,9.6,10.8,12)))/100)),15)/15,MIN(1,(Skills!S5*(1+((Inputs!$B$35+(ArtifactsInput!$M$7-ArtifactsInput!$M$7)*CHOOSE(ArtifactsInput!$N$7+1,6,7.2,8.4,9.6,10.8,12)))/100))/(1/Q257)))),0)+IF(C263=TRUE,F263*IF(AND(Inputs!$B$39&lt;&gt;"pvp",Inputs!$B$44&gt;0),(((R263-1)*MIN((Skills!S11*(1+((Inputs!$B$35+(ArtifactsInput!$M$7-ArtifactsInput!$M$7)*CHOOSE(ArtifactsInput!$N$7+1,6,7.2,8.4,9.6,10.8,12)))/100)),(1/Q263))+MIN((Skills!S11*(1+((Inputs!$B$35+(ArtifactsInput!$M$7-ArtifactsInput!$M$7)*CHOOSE(ArtifactsInput!$N$7+1,6,7.2,8.4,9.6,10.8,12)))/100)),MAX(0,Inputs!$B$44-((R263-1)*(1/Q263)))))/Inputs!$B$44),IF(Inputs!$B$39="pvp",MIN((Skills!S11*(1+((Inputs!$B$35+(ArtifactsInput!$M$7-ArtifactsInput!$M$7)*CHOOSE(ArtifactsInput!$N$7+1,6,7.2,8.4,9.6,10.8,12)))/100)),15)/15,MIN(1,(Skills!S11*(1+((Inputs!$B$35+(ArtifactsInput!$M$7-ArtifactsInput!$M$7)*CHOOSE(ArtifactsInput!$N$7+1,6,7.2,8.4,9.6,10.8,12)))/100))/(1/Q263)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MIN((Skills!S14*(1+((Inputs!$B$35+(ArtifactsInput!$M$7-ArtifactsInput!$M$7)*CHOOSE(ArtifactsInput!$N$7+1,6,7.2,8.4,9.6,10.8,12)))/100)),(1/Q266))+MIN((Skills!S14*(1+((Inputs!$B$35+(ArtifactsInput!$M$7-ArtifactsInput!$M$7)*CHOOSE(ArtifactsInput!$N$7+1,6,7.2,8.4,9.6,10.8,12)))/100)),MAX(0,Inputs!$B$44-((R266-1)*(1/Q266)))))/Inputs!$B$44),IF(Inputs!$B$39="pvp",MIN((Skills!S14*(1+((Inputs!$B$35+(ArtifactsInput!$M$7-ArtifactsInput!$M$7)*CHOOSE(ArtifactsInput!$N$7+1,6,7.2,8.4,9.6,10.8,12)))/100)),15)/15,MIN(1,(Skills!S14*(1+((Inputs!$B$35+(ArtifactsInput!$M$7-ArtifactsInput!$M$7)*CHOOSE(ArtifactsInput!$N$7+1,6,7.2,8.4,9.6,10.8,12)))/100))/(1/Q266))))/100),1)*IF(C271=TRUE,(1+F271*IF(AND(Inputs!$B$39&lt;&gt;"pvp",Inputs!$B$44&gt;0),(((R271-1)*MIN((Skills!S19*(1+((Inputs!$B$35+(ArtifactsInput!$M$7-ArtifactsInput!$M$7)*CHOOSE(ArtifactsInput!$N$7+1,6,7.2,8.4,9.6,10.8,12)))/100)),(1/Q271))+MIN((Skills!S19*(1+((Inputs!$B$35+(ArtifactsInput!$M$7-ArtifactsInput!$M$7)*CHOOSE(ArtifactsInput!$N$7+1,6,7.2,8.4,9.6,10.8,12)))/100)),MAX(0,Inputs!$B$44-((R271-1)*(1/Q271)))))/Inputs!$B$44),IF(Inputs!$B$39="pvp",MIN((Skills!S19*(1+((Inputs!$B$35+(ArtifactsInput!$M$7-ArtifactsInput!$M$7)*CHOOSE(ArtifactsInput!$N$7+1,6,7.2,8.4,9.6,10.8,12)))/100)),15)/15,MIN(1,(Skills!S19*(1+((Inputs!$B$35+(ArtifactsInput!$M$7-ArtifactsInput!$M$7)*CHOOSE(ArtifactsInput!$N$7+1,6,7.2,8.4,9.6,10.8,12)))/100))/(1/Q271))))/100),1)</f>
        <v/>
      </c>
    </row>
    <row r="283">
      <c r="A283" t="inlineStr">
        <is>
          <t>Monster Damage Taken Bonus % (Holy Fountain)</t>
        </is>
      </c>
      <c r="B283">
        <f>IF(Inputs!$B$3&gt;=68,20*IF(Inputs!$B$39="pvp",MIN((15*(1+((Inputs!$B$35+(ArtifactsInput!$M$7-ArtifactsInput!$M$7)*CHOOSE(ArtifactsInput!$N$7+1,6,7.2,8.4,9.6,10.8,12)))/100)),15)/15,MIN(1,(15*(1+((Inputs!$B$35+(ArtifactsInput!$M$7-ArtifactsInput!$M$7)*CHOOSE(ArtifactsInput!$N$7+1,6,7.2,8.4,9.6,10.8,12)))/100))/(1/Q262))),0)</f>
        <v/>
      </c>
    </row>
    <row r="284">
      <c r="A284" t="inlineStr">
        <is>
          <t>Normal Monster Damage Bonus % (Holy Symbol)</t>
        </is>
      </c>
      <c r="B284">
        <f>IF(C264=TRUE,F264*IF(AND(Inputs!$B$39&lt;&gt;"pvp",Inputs!$B$44&gt;0),(((R264-1)*MIN((Skills!S12*(1+((Inputs!$B$35+(ArtifactsInput!$M$7-ArtifactsInput!$M$7)*CHOOSE(ArtifactsInput!$N$7+1,6,7.2,8.4,9.6,10.8,12)))/100)),(1/Q264))+MIN((Skills!S12*(1+((Inputs!$B$35+(ArtifactsInput!$M$7-ArtifactsInput!$M$7)*CHOOSE(ArtifactsInput!$N$7+1,6,7.2,8.4,9.6,10.8,12)))/100)),MAX(0,Inputs!$B$44-((R264-1)*(1/Q264)))))/Inputs!$B$44),IF(Inputs!$B$39="pvp",MIN((Skills!S12*(1+((Inputs!$B$35+(ArtifactsInput!$M$7-ArtifactsInput!$M$7)*CHOOSE(ArtifactsInput!$N$7+1,6,7.2,8.4,9.6,10.8,12)))/100)),15)/15,MIN(1,(Skills!S12*(1+((Inputs!$B$35+(ArtifactsInput!$M$7-ArtifactsInput!$M$7)*CHOOSE(ArtifactsInput!$N$7+1,6,7.2,8.4,9.6,10.8,12)))/100))/(1/Q264)))),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MIN((Skills!S28*(1+((Inputs!$B$35+(ArtifactsInput!$M$7-ArtifactsInput!$M$7)*CHOOSE(ArtifactsInput!$N$7+1,6,7.2,8.4,9.6,10.8,12)))/100)),(1/Q280))+MIN((Skills!S28*(1+((Inputs!$B$35+(ArtifactsInput!$M$7-ArtifactsInput!$M$7)*CHOOSE(ArtifactsInput!$N$7+1,6,7.2,8.4,9.6,10.8,12)))/100)),MAX(0,Inputs!$B$44-((R280-1)*(1/Q280)))))/Inputs!$B$44),IF(Inputs!$B$39="pvp",MIN((Skills!S28*(1+((Inputs!$B$35+(ArtifactsInput!$M$7-ArtifactsInput!$M$7)*CHOOSE(ArtifactsInput!$N$7+1,6,7.2,8.4,9.6,10.8,12)))/100)),15)/15,MIN(1,(Skills!S28*(1+((Inputs!$B$35+(ArtifactsInput!$M$7-ArtifactsInput!$M$7)*CHOOSE(ArtifactsInput!$N$7+1,6,7.2,8.4,9.6,10.8,12)))/100))/(1/Q280)))))</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MIN((Skills!S13*(1+((Inputs!$B$35+(ArtifactsInput!$M$7-ArtifactsInput!$M$7)*CHOOSE(ArtifactsInput!$N$7+1,6,7.2,8.4,9.6,10.8,12)))/100)),(1/Q265))+MIN((Skills!S13*(1+((Inputs!$B$35+(ArtifactsInput!$M$7-ArtifactsInput!$M$7)*CHOOSE(ArtifactsInput!$N$7+1,6,7.2,8.4,9.6,10.8,12)))/100)),MAX(0,Inputs!$B$44-((R265-1)*(1/Q265)))))/Inputs!$B$44),IF(Inputs!$B$39="pvp",MIN((Skills!S13*(1+((Inputs!$B$35+(ArtifactsInput!$M$7-ArtifactsInput!$M$7)*CHOOSE(ArtifactsInput!$N$7+1,6,7.2,8.4,9.6,10.8,12)))/100)),15)/15,MIN(1,(Skills!S13*(1+((Inputs!$B$35+(ArtifactsInput!$M$7-ArtifactsInput!$M$7)*CHOOSE(ArtifactsInput!$N$7+1,6,7.2,8.4,9.6,10.8,12)))/100))/(1/Q265)))),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IFERROR(1/(IF(Inputs!$B$39="pvp",15,MAX(0.1,Skills!D2-IF(TRUE=TRUE,Inputs!$B$33,0)))*(1-IF(AND(ArtifactsInput!$M$27,Inputs!$B$4="Chapter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IFERROR(1/(IF(Inputs!$B$39="pvp",15,MAX(0.1,Skills!D3-IF(TRUE=TRUE,Inputs!$B$33,0)))*(1-IF(AND(ArtifactsInput!$M$27,Inputs!$B$4="Chapter Hunt"),CHOOSE(ArtifactsInput!$N$27+1,20,24,28,32,36,40),0)/100)),0)</f>
        <v/>
      </c>
      <c r="R300">
        <f>IF(AND(Inputs!$B$39&lt;&gt;"pvp",Inputs!$B$44&gt;0),IF(Inputs!$B$44&lt;=0,0,(INT(Inputs!$B$44/(IF(Inputs!$B$39="pvp",15,MAX(0.1,Skills!D3-IF(TRUE=TRUE,Inputs!$B$33,0)))*(1-IF(AND(ArtifactsInput!$M$27,Inputs!$B$4="Chapter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IFERROR(1/(IF(Inputs!$B$39="pvp",15,MAX(0.1,Skills!D4-IF(TRUE=TRUE,Inputs!$B$33,0)))*(1-IF(AND(ArtifactsInput!$M$27,Inputs!$B$4="Chapter Hunt"),CHOOSE(ArtifactsInput!$N$27+1,20,24,28,32,36,40),0)/100)),0)</f>
        <v/>
      </c>
      <c r="R301">
        <f>IF(AND(Inputs!$B$39&lt;&gt;"pvp",Inputs!$B$44&gt;0),IF(Inputs!$B$44&lt;=0,0,(INT(Inputs!$B$44/(IF(Inputs!$B$39="pvp",15,MAX(0.1,Skills!D4-IF(TRUE=TRUE,Inputs!$B$33,0)))*(1-IF(AND(ArtifactsInput!$M$27,Inputs!$B$4="Chapter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IFERROR(1/(IF(Inputs!$B$39="pvp",15,MAX(0.1,Skills!D5-IF(TRUE=TRUE,Inputs!$B$33,0)))*(1-IF(AND(ArtifactsInput!$M$27,Inputs!$B$4="Chapter Hunt"),CHOOSE(ArtifactsInput!$N$27+1,20,24,28,32,36,40),0)/100)),0)</f>
        <v/>
      </c>
      <c r="R302">
        <f>IF(AND(Inputs!$B$39&lt;&gt;"pvp",Inputs!$B$44&gt;0),IF(Inputs!$B$44&lt;=0,0,(INT(Inputs!$B$44/(IF(Inputs!$B$39="pvp",15,MAX(0.1,Skills!D5-IF(TRUE=TRUE,Inputs!$B$33,0)))*(1-IF(AND(ArtifactsInput!$M$27,Inputs!$B$4="Chapter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IFERROR(1/(IF(Inputs!$B$39="pvp",15,MAX(0.1,Skills!D6-IF(TRUE=TRUE,Inputs!$B$33,0)))*(1-IF(AND(ArtifactsInput!$M$27,Inputs!$B$4="Chapter Hunt"),CHOOSE(ArtifactsInput!$N$27+1,20,24,28,32,36,40),0)/100)),0)</f>
        <v/>
      </c>
      <c r="R303">
        <f>IF(AND(Inputs!$B$39&lt;&gt;"pvp",Inputs!$B$44&gt;0),IF(MAX(0,Inputs!$B$44-B337)&lt;=0,0,(INT(MAX(0,Inputs!$B$44-B337)/(IF(Inputs!$B$39="pvp",15,MAX(0.1,Skills!D6-IF(TRUE=TRUE,Inputs!$B$33,0)))*(1-IF(AND(ArtifactsInput!$M$27,Inputs!$B$4="Chapter Hunt"),CHOOSE(ArtifactsInput!$N$27+1,20,24,28,32,36,40),0)/100)))+1)),0)</f>
        <v/>
      </c>
      <c r="S303">
        <f>IF(C303,(H303*N303*IF(AND(Inputs!$B$39&lt;&gt;"pvp",Inputs!$B$44&gt;0),((Skills!F6*((R303-1)*IF(Skills!G6&gt;0,INT(Skills!H6/Skills!G6+0.000000001),1)+IF(Skills!G6&gt;0,INT(MIN(Skills!H6,MAX(0,MAX(0,Inputs!$B$44-B337)-((R303-1)*(IF(Inputs!$B$39="pvp",15,MAX(0.1,Skills!D6-IF(TRUE=TRUE,Inputs!$B$33,0)))*(1-IF(AND(ArtifactsInput!$M$27,Inputs!$B$4="Chapter Hunt"),CHOOSE(ArtifactsInput!$N$27+1,20,24,28,32,36,40),0)/100)))))/Skills!G6+0.000000001),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INT(Skills!H6/Skills!G6+0.000000001),1)+IF(Skills!G6&gt;0,INT(MIN(Skills!H6,MAX(0,MAX(0,Inputs!$B$44-B337)-((R303-1)*(IF(Inputs!$B$39="pvp",15,MAX(0.1,Skills!D6-IF(TRUE=TRUE,Inputs!$B$33,0)))*(1-IF(AND(ArtifactsInput!$M$27,Inputs!$B$4="Chapter Hunt"),CHOOSE(ArtifactsInput!$N$27+1,20,24,28,32,36,40),0)/100)))))/Skills!G6+0.000000001),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IFERROR(1/(IF(Inputs!$B$39="pvp",15,MAX(0.1,Skills!D7-IF(TRUE=TRUE,Inputs!$B$33,0)))*(1-IF(AND(ArtifactsInput!$M$27,Inputs!$B$4="Chapter Hunt"),CHOOSE(ArtifactsInput!$N$27+1,20,24,28,32,36,40),0)/100)),0)</f>
        <v/>
      </c>
      <c r="R304">
        <f>IF(AND(Inputs!$B$39&lt;&gt;"pvp",Inputs!$B$44&gt;0),IF(MAX(0,Inputs!$B$44-B337)&lt;=0,0,(INT(MAX(0,Inputs!$B$44-B337)/(IF(Inputs!$B$39="pvp",15,MAX(0.1,Skills!D7-IF(TRUE=TRUE,Inputs!$B$33,0)))*(1-IF(AND(ArtifactsInput!$M$27,Inputs!$B$4="Chapter Hunt"),CHOOSE(ArtifactsInput!$N$27+1,20,24,28,32,36,40),0)/100)))+1)),0)</f>
        <v/>
      </c>
      <c r="S304">
        <f>IF(C304,H304*N304*IF(AND(Inputs!$B$39&lt;&gt;"pvp",Inputs!$B$44&gt;0),((Skills!F7*((R304-1)*IF(Skills!G7&gt;0,INT(Skills!H7/Skills!G7+0.000000001),1)+IF(Skills!G7&gt;0,INT(MIN(Skills!H7,MAX(0,MAX(0,Inputs!$B$44-B337)-((R304-1)*(IF(Inputs!$B$39="pvp",15,MAX(0.1,Skills!D7-IF(TRUE=TRUE,Inputs!$B$33,0)))*(1-IF(AND(ArtifactsInput!$M$27,Inputs!$B$4="Chapter Hunt"),CHOOSE(ArtifactsInput!$N$27+1,20,24,28,32,36,40),0)/100)))))/Skills!G7+0.000000001),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IFERROR(1/(IF(Inputs!$B$39="pvp",15,MAX(0.1,Skills!D8-IF(TRUE=TRUE,Inputs!$B$33,0)))*(1-IF(AND(ArtifactsInput!$M$27,Inputs!$B$4="Chapter Hunt"),CHOOSE(ArtifactsInput!$N$27+1,20,24,28,32,36,40),0)/100)),0)</f>
        <v/>
      </c>
      <c r="R305">
        <f>IF(AND(Inputs!$B$39&lt;&gt;"pvp",Inputs!$B$44&gt;0),IF(MAX(0,Inputs!$B$44-B337)&lt;=0,0,(INT(MAX(0,Inputs!$B$44-B337)/(IF(Inputs!$B$39="pvp",15,MAX(0.1,Skills!D8-IF(TRUE=TRUE,Inputs!$B$33,0)))*(1-IF(AND(ArtifactsInput!$M$27,Inputs!$B$4="Chapter Hunt"),CHOOSE(ArtifactsInput!$N$27+1,20,24,28,32,36,40),0)/100)))+1)),0)</f>
        <v/>
      </c>
      <c r="S305">
        <f>IF(C305,(H305*N305*IF(AND(Inputs!$B$39&lt;&gt;"pvp",Inputs!$B$44&gt;0),((Skills!F8*((R305-1)*IF(Skills!G8&gt;0,INT(Skills!H8/Skills!G8+0.000000001),1)+IF(Skills!G8&gt;0,INT(MIN(Skills!H8,MAX(0,MAX(0,Inputs!$B$44-B337)-((R305-1)*(IF(Inputs!$B$39="pvp",15,MAX(0.1,Skills!D8-IF(TRUE=TRUE,Inputs!$B$33,0)))*(1-IF(AND(ArtifactsInput!$M$27,Inputs!$B$4="Chapter Hunt"),CHOOSE(ArtifactsInput!$N$27+1,20,24,28,32,36,40),0)/100)))))/Skills!G8+0.000000001),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INT(Skills!H8/Skills!G8+0.000000001),1)+IF(Skills!G8&gt;0,INT(MIN(Skills!H8,MAX(0,MAX(0,Inputs!$B$44-B337)-((R305-1)*(IF(Inputs!$B$39="pvp",15,MAX(0.1,Skills!D8-IF(TRUE=TRUE,Inputs!$B$33,0)))*(1-IF(AND(ArtifactsInput!$M$27,Inputs!$B$4="Chapter Hunt"),CHOOSE(ArtifactsInput!$N$27+1,20,24,28,32,36,40),0)/100)))))/Skills!G8+0.000000001),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IFERROR(1/(IF(Inputs!$B$39="pvp",15,MAX(0.1,Skills!D9-IF(TRUE=TRUE,Inputs!$B$33,0)))*(1-IF(AND(ArtifactsInput!$M$27,Inputs!$B$4="Chapter Hunt"),CHOOSE(ArtifactsInput!$N$27+1,20,24,28,32,36,40),0)/100)),0)</f>
        <v/>
      </c>
      <c r="R306">
        <f>IF(AND(Inputs!$B$39&lt;&gt;"pvp",Inputs!$B$44&gt;0),IF(MAX(0,Inputs!$B$44-B337)&lt;=0,0,(INT(MAX(0,Inputs!$B$44-B337)/(IF(Inputs!$B$39="pvp",15,MAX(0.1,Skills!D9-IF(TRUE=TRUE,Inputs!$B$33,0)))*(1-IF(AND(ArtifactsInput!$M$27,Inputs!$B$4="Chapter Hunt"),CHOOSE(ArtifactsInput!$N$27+1,20,24,28,32,36,40),0)/100)))+1)),0)</f>
        <v/>
      </c>
      <c r="S306">
        <f>IF(C306,(H306*N306*IF(AND(Inputs!$B$39&lt;&gt;"pvp",Inputs!$B$44&gt;0),((Skills!F9*((R306-1)*IF(Skills!G9&gt;0,INT(Skills!H9/Skills!G9+0.000000001),1)+IF(Skills!G9&gt;0,INT(MIN(Skills!H9,MAX(0,MAX(0,Inputs!$B$44-B337)-((R306-1)*(IF(Inputs!$B$39="pvp",15,MAX(0.1,Skills!D9-IF(TRUE=TRUE,Inputs!$B$33,0)))*(1-IF(AND(ArtifactsInput!$M$27,Inputs!$B$4="Chapter Hunt"),CHOOSE(ArtifactsInput!$N$27+1,20,24,28,32,36,40),0)/100)))))/Skills!G9+0.000000001),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INT(Skills!H9/Skills!G9+0.000000001),1)+IF(Skills!G9&gt;0,INT(MIN(Skills!H9,MAX(0,MAX(0,Inputs!$B$44-B337)-((R306-1)*(IF(Inputs!$B$39="pvp",15,MAX(0.1,Skills!D9-IF(TRUE=TRUE,Inputs!$B$33,0)))*(1-IF(AND(ArtifactsInput!$M$27,Inputs!$B$4="Chapter Hunt"),CHOOSE(ArtifactsInput!$N$27+1,20,24,28,32,36,40),0)/100)))))/Skills!G9+0.000000001),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IFERROR(1/(IF(Inputs!$B$39="pvp",15,MAX(0.1,Skills!D10-IF(TRUE=TRUE,Inputs!$B$33,0)))*(1-IF(AND(ArtifactsInput!$M$27,Inputs!$B$4="Chapter Hunt"),CHOOSE(ArtifactsInput!$N$27+1,20,24,28,32,36,40),0)/100)),0)</f>
        <v/>
      </c>
      <c r="R307">
        <f>IF(AND(Inputs!$B$39&lt;&gt;"pvp",Inputs!$B$44&gt;0),IF(MAX(0,Inputs!$B$44-B337)&lt;=0,0,(INT(MAX(0,Inputs!$B$44-B337)/(IF(Inputs!$B$39="pvp",15,MAX(0.1,Skills!D10-IF(TRUE=TRUE,Inputs!$B$33,0)))*(1-IF(AND(ArtifactsInput!$M$27,Inputs!$B$4="Chapter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IFERROR(1/(IF(Inputs!$B$39="pvp",15,MAX(0.1,Skills!D11-IF(TRUE=TRUE,Inputs!$B$33,0)))*(1-IF(AND(ArtifactsInput!$M$27,Inputs!$B$4="Chapter Hunt"),CHOOSE(ArtifactsInput!$N$27+1,20,24,28,32,36,40),0)/100)),0)</f>
        <v/>
      </c>
      <c r="R308">
        <f>IF(AND(Inputs!$B$39&lt;&gt;"pvp",Inputs!$B$44&gt;0),IF(Inputs!$B$44&lt;=0,0,(INT(Inputs!$B$44/(IF(Inputs!$B$39="pvp",15,MAX(0.1,Skills!D11-IF(TRUE=TRUE,Inputs!$B$33,0)))*(1-IF(AND(ArtifactsInput!$M$27,Inputs!$B$4="Chapter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IFERROR(1/(IF(Inputs!$B$39="pvp",15,MAX(0.1,Skills!D12-IF(TRUE=TRUE,Inputs!$B$33,0)))*(1-IF(AND(ArtifactsInput!$M$27,Inputs!$B$4="Chapter Hunt"),CHOOSE(ArtifactsInput!$N$27+1,20,24,28,32,36,40),0)/100)),0)</f>
        <v/>
      </c>
      <c r="R309">
        <f>IF(AND(Inputs!$B$39&lt;&gt;"pvp",Inputs!$B$44&gt;0),IF(MAX(0,Inputs!$B$44-B337)&lt;=0,0,(INT(MAX(0,Inputs!$B$44-B337)/(IF(Inputs!$B$39="pvp",15,MAX(0.1,Skills!D12-IF(TRUE=TRUE,Inputs!$B$33,0)))*(1-IF(AND(ArtifactsInput!$M$27,Inputs!$B$4="Chapter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IFERROR(1/(IF(Inputs!$B$39="pvp",15,MAX(0.1,Skills!D13-IF(TRUE=TRUE,Inputs!$B$33,0)))*(1-IF(AND(ArtifactsInput!$M$27,Inputs!$B$4="Chapter Hunt"),CHOOSE(ArtifactsInput!$N$27+1,20,24,28,32,36,40),0)/100)),0)</f>
        <v/>
      </c>
      <c r="R310">
        <f>IF(AND(Inputs!$B$39&lt;&gt;"pvp",Inputs!$B$44&gt;0),IF(MAX(0,Inputs!$B$44-B337)&lt;=0,0,(INT(MAX(0,Inputs!$B$44-B337)/(IF(Inputs!$B$39="pvp",15,MAX(0.1,Skills!D13-IF(TRUE=TRUE,Inputs!$B$33,0)))*(1-IF(AND(ArtifactsInput!$M$27,Inputs!$B$4="Chapter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IFERROR(1/(IF(Inputs!$B$39="pvp",15,MAX(0.1,Skills!D14-IF(TRUE=TRUE,Inputs!$B$33,0)))*(1-IF(AND(ArtifactsInput!$M$27,Inputs!$B$4="Chapter Hunt"),CHOOSE(ArtifactsInput!$N$27+1,20,24,28,32,36,40),0)/100)),0)</f>
        <v/>
      </c>
      <c r="R311">
        <f>IF(AND(Inputs!$B$39&lt;&gt;"pvp",Inputs!$B$44&gt;0),IF(Inputs!$B$44&lt;=0,0,(INT(Inputs!$B$44/(IF(Inputs!$B$39="pvp",15,MAX(0.1,Skills!D14-IF(TRUE=TRUE,Inputs!$B$33,0)))*(1-IF(AND(ArtifactsInput!$M$27,Inputs!$B$4="Chapter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IFERROR(1/(IF(Inputs!$B$39="pvp",15,MAX(0.1,Skills!D15-IF(TRUE=TRUE,Inputs!$B$33,0)))*(1-IF(AND(ArtifactsInput!$M$27,Inputs!$B$4="Chapter Hunt"),CHOOSE(ArtifactsInput!$N$27+1,20,24,28,32,36,40),0)/100)),0)</f>
        <v/>
      </c>
      <c r="R312" t="n">
        <v>0</v>
      </c>
      <c r="S312">
        <f>IF(C312,(Skills!F15*N312*((IF(Inputs!$B$3&gt;=78,25,15)/100*B333*10)/(1+IF(Inputs!$B$3&gt;=78,25,15)/100*B333*IF(Inputs!$B$39="pvp",15,MAX(0.1,18-IF(TRUE=TRUE,Inputs!$B$33,0)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IF(Inputs!$B$39="pvp",15,MAX(0.1,18-IF(TRUE=TRUE,Inputs!$B$33,0)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IFERROR(1/(IF(Inputs!$B$39="pvp",15,MAX(0.1,Skills!D16-IF(TRUE=TRUE,Inputs!$B$33,0)))*(1-IF(AND(ArtifactsInput!$M$27,Inputs!$B$4="Chapter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IFERROR(1/(IF(Inputs!$B$39="pvp",15,MAX(0.1,Skills!D17-IF(TRUE=TRUE,Inputs!$B$33,0)))*(1-IF(AND(ArtifactsInput!$M$27,Inputs!$B$4="Chapter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IFERROR(1/(IF(Inputs!$B$39="pvp",15,MAX(0.1,Skills!D18-IF(TRUE=TRUE,Inputs!$B$33,0)))*(1-IF(AND(ArtifactsInput!$M$27,Inputs!$B$4="Chapter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IFERROR(1/(IF(Inputs!$B$39="pvp",15,MAX(0.1,Skills!D19-IF(TRUE=TRUE,Inputs!$B$33,0)))*(1-IF(AND(ArtifactsInput!$M$27,Inputs!$B$4="Chapter Hunt"),CHOOSE(ArtifactsInput!$N$27+1,20,24,28,32,36,40),0)/100)),0)</f>
        <v/>
      </c>
      <c r="R316">
        <f>IF(AND(Inputs!$B$39&lt;&gt;"pvp",Inputs!$B$44&gt;0),IF(Inputs!$B$44&lt;=0,0,(INT(Inputs!$B$44/(IF(Inputs!$B$39="pvp",15,MAX(0.1,Skills!D19-IF(TRUE=TRUE,Inputs!$B$33,0)))*(1-IF(AND(ArtifactsInput!$M$27,Inputs!$B$4="Chapter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IFERROR(1/(IF(Inputs!$B$39="pvp",15,MAX(0.1,Skills!D20-IF(TRUE=TRUE,Inputs!$B$33,0)))*(1-IF(AND(ArtifactsInput!$M$27,Inputs!$B$4="Chapter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IFERROR(1/(IF(Inputs!$B$39="pvp",15,MAX(0.1,Skills!D21-IF(TRUE=TRUE,Inputs!$B$33,0)))*(1-IF(AND(ArtifactsInput!$M$27,Inputs!$B$4="Chapter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IFERROR(1/(IF(Inputs!$B$39="pvp",15,MAX(0.1,Skills!D22-IF(TRUE=TRUE,Inputs!$B$33,0)))*(1-IF(AND(ArtifactsInput!$M$27,Inputs!$B$4="Chapter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IFERROR(1/(IF(Inputs!$B$39="pvp",15,MAX(0.1,Skills!D23-IF(TRUE=TRUE,Inputs!$B$33,0)))*(1-IF(AND(ArtifactsInput!$M$27,Inputs!$B$4="Chapter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IFERROR(1/(IF(Inputs!$B$39="pvp",15,MAX(0.1,Skills!D24-IF(TRUE=TRUE,Inputs!$B$33,0)))*(1-IF(AND(ArtifactsInput!$M$27,Inputs!$B$4="Chapter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IFERROR(1/(IF(Inputs!$B$39="pvp",15,MAX(0.1,Skills!D25-IF(TRUE=TRUE,Inputs!$B$33,0)))*(1-IF(AND(ArtifactsInput!$M$27,Inputs!$B$4="Chapter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IFERROR(1/(IF(Inputs!$B$39="pvp",15,MAX(0.1,Skills!D26-IF(TRUE=TRUE,Inputs!$B$33,0)))*(1-IF(AND(ArtifactsInput!$M$27,Inputs!$B$4="Chapter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IFERROR(1/(IF(Inputs!$B$39="pvp",15,MAX(0.1,Skills!D27-IF(TRUE=TRUE,Inputs!$B$33,0)))*(1-IF(AND(ArtifactsInput!$M$27,Inputs!$B$4="Chapter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IFERROR(1/(IF(Inputs!$B$39="pvp",15,MAX(0.1,Skills!D28-IF(TRUE=TRUE,Inputs!$B$33,0)))*(1-IF(AND(ArtifactsInput!$M$27,Inputs!$B$4="Chapter Hunt"),CHOOSE(ArtifactsInput!$N$27+1,20,24,28,32,36,40),0)/100)),0)</f>
        <v/>
      </c>
      <c r="R325">
        <f>IF(AND(Inputs!$B$39&lt;&gt;"pvp",Inputs!$B$44&gt;0),IF(Inputs!$B$44&lt;=0,0,(INT(Inputs!$B$44/(IF(Inputs!$B$39="pvp",15,MAX(0.1,Skills!D28-IF(TRUE=TRUE,Inputs!$B$33,0)))*(1-IF(AND(ArtifactsInput!$M$27,Inputs!$B$4="Chapter Hunt"),CHOOSE(ArtifactsInput!$N$27+1,20,24,28,32,36,40),0)/100)))+1)),0)</f>
        <v/>
      </c>
      <c r="S325" t="n">
        <v>0</v>
      </c>
      <c r="U325" t="n">
        <v>0</v>
      </c>
    </row>
    <row r="327">
      <c r="A327" t="inlineStr">
        <is>
          <t>Average Buff Multiplier</t>
        </is>
      </c>
      <c r="B327">
        <f>(1+(IF(C300=TRUE,F300*IF(AND(Inputs!$B$39&lt;&gt;"pvp",Inputs!$B$44&gt;0),(((R300-1)*MIN((Skills!S3*(1+((Inputs!$B$35+(ArtifactsInput!$M$7-ArtifactsInput!$M$7)*CHOOSE(ArtifactsInput!$N$7+1,6,7.2,8.4,9.6,10.8,12)))/100)),(1/Q300))+MIN((Skills!S3*(1+((Inputs!$B$35+(ArtifactsInput!$M$7-ArtifactsInput!$M$7)*CHOOSE(ArtifactsInput!$N$7+1,6,7.2,8.4,9.6,10.8,12)))/100)),MAX(0,Inputs!$B$44-((R300-1)*(1/Q300)))))/Inputs!$B$44),IF(Inputs!$B$39="pvp",MIN((Skills!S3*(1+((Inputs!$B$35+(ArtifactsInput!$M$7-ArtifactsInput!$M$7)*CHOOSE(ArtifactsInput!$N$7+1,6,7.2,8.4,9.6,10.8,12)))/100)),15)/15,MIN(1,(Skills!S3*(1+((Inputs!$B$35+(ArtifactsInput!$M$7-ArtifactsInput!$M$7)*CHOOSE(ArtifactsInput!$N$7+1,6,7.2,8.4,9.6,10.8,12)))/100))/(1/Q300)))),0)+IF(C301=TRUE,F301*IF(AND(Inputs!$B$39&lt;&gt;"pvp",Inputs!$B$44&gt;0),(((R301-1)*MIN((Skills!S4*(1+((Inputs!$B$35+(ArtifactsInput!$M$7-ArtifactsInput!$M$7)*CHOOSE(ArtifactsInput!$N$7+1,6,7.2,8.4,9.6,10.8,12)))/100)),(1/Q301))+MIN((Skills!S4*(1+((Inputs!$B$35+(ArtifactsInput!$M$7-ArtifactsInput!$M$7)*CHOOSE(ArtifactsInput!$N$7+1,6,7.2,8.4,9.6,10.8,12)))/100)),MAX(0,Inputs!$B$44-((R301-1)*(1/Q301)))))/Inputs!$B$44),IF(Inputs!$B$39="pvp",MIN((Skills!S4*(1+((Inputs!$B$35+(ArtifactsInput!$M$7-ArtifactsInput!$M$7)*CHOOSE(ArtifactsInput!$N$7+1,6,7.2,8.4,9.6,10.8,12)))/100)),15)/15,MIN(1,(Skills!S4*(1+((Inputs!$B$35+(ArtifactsInput!$M$7-ArtifactsInput!$M$7)*CHOOSE(ArtifactsInput!$N$7+1,6,7.2,8.4,9.6,10.8,12)))/100))/(1/Q301)))),0)+IF(C302=TRUE,F302*IF(AND(Inputs!$B$39&lt;&gt;"pvp",Inputs!$B$44&gt;0),(((R302-1)*MIN((Skills!S5*(1+((Inputs!$B$35+(ArtifactsInput!$M$7-ArtifactsInput!$M$7)*CHOOSE(ArtifactsInput!$N$7+1,6,7.2,8.4,9.6,10.8,12)))/100)),(1/Q302))+MIN((Skills!S5*(1+((Inputs!$B$35+(ArtifactsInput!$M$7-ArtifactsInput!$M$7)*CHOOSE(ArtifactsInput!$N$7+1,6,7.2,8.4,9.6,10.8,12)))/100)),MAX(0,Inputs!$B$44-((R302-1)*(1/Q302)))))/Inputs!$B$44),IF(Inputs!$B$39="pvp",MIN((Skills!S5*(1+((Inputs!$B$35+(ArtifactsInput!$M$7-ArtifactsInput!$M$7)*CHOOSE(ArtifactsInput!$N$7+1,6,7.2,8.4,9.6,10.8,12)))/100)),15)/15,MIN(1,(Skills!S5*(1+((Inputs!$B$35+(ArtifactsInput!$M$7-ArtifactsInput!$M$7)*CHOOSE(ArtifactsInput!$N$7+1,6,7.2,8.4,9.6,10.8,12)))/100))/(1/Q302)))),0)+IF(C308=TRUE,F308*IF(AND(Inputs!$B$39&lt;&gt;"pvp",Inputs!$B$44&gt;0),(((R308-1)*MIN((Skills!S11*(1+((Inputs!$B$35+(ArtifactsInput!$M$7-ArtifactsInput!$M$7)*CHOOSE(ArtifactsInput!$N$7+1,6,7.2,8.4,9.6,10.8,12)))/100)),(1/Q308))+MIN((Skills!S11*(1+((Inputs!$B$35+(ArtifactsInput!$M$7-ArtifactsInput!$M$7)*CHOOSE(ArtifactsInput!$N$7+1,6,7.2,8.4,9.6,10.8,12)))/100)),MAX(0,Inputs!$B$44-((R308-1)*(1/Q308)))))/Inputs!$B$44),IF(Inputs!$B$39="pvp",MIN((Skills!S11*(1+((Inputs!$B$35+(ArtifactsInput!$M$7-ArtifactsInput!$M$7)*CHOOSE(ArtifactsInput!$N$7+1,6,7.2,8.4,9.6,10.8,12)))/100)),15)/15,MIN(1,(Skills!S11*(1+((Inputs!$B$35+(ArtifactsInput!$M$7-ArtifactsInput!$M$7)*CHOOSE(ArtifactsInput!$N$7+1,6,7.2,8.4,9.6,10.8,12)))/100))/(1/Q308)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MIN((Skills!S14*(1+((Inputs!$B$35+(ArtifactsInput!$M$7-ArtifactsInput!$M$7)*CHOOSE(ArtifactsInput!$N$7+1,6,7.2,8.4,9.6,10.8,12)))/100)),(1/Q311))+MIN((Skills!S14*(1+((Inputs!$B$35+(ArtifactsInput!$M$7-ArtifactsInput!$M$7)*CHOOSE(ArtifactsInput!$N$7+1,6,7.2,8.4,9.6,10.8,12)))/100)),MAX(0,Inputs!$B$44-((R311-1)*(1/Q311)))))/Inputs!$B$44),IF(Inputs!$B$39="pvp",MIN((Skills!S14*(1+((Inputs!$B$35+(ArtifactsInput!$M$7-ArtifactsInput!$M$7)*CHOOSE(ArtifactsInput!$N$7+1,6,7.2,8.4,9.6,10.8,12)))/100)),15)/15,MIN(1,(Skills!S14*(1+((Inputs!$B$35+(ArtifactsInput!$M$7-ArtifactsInput!$M$7)*CHOOSE(ArtifactsInput!$N$7+1,6,7.2,8.4,9.6,10.8,12)))/100))/(1/Q311))))/100),1)*IF(C316=TRUE,(1+F316*IF(AND(Inputs!$B$39&lt;&gt;"pvp",Inputs!$B$44&gt;0),(((R316-1)*MIN((Skills!S19*(1+((Inputs!$B$35+(ArtifactsInput!$M$7-ArtifactsInput!$M$7)*CHOOSE(ArtifactsInput!$N$7+1,6,7.2,8.4,9.6,10.8,12)))/100)),(1/Q316))+MIN((Skills!S19*(1+((Inputs!$B$35+(ArtifactsInput!$M$7-ArtifactsInput!$M$7)*CHOOSE(ArtifactsInput!$N$7+1,6,7.2,8.4,9.6,10.8,12)))/100)),MAX(0,Inputs!$B$44-((R316-1)*(1/Q316)))))/Inputs!$B$44),IF(Inputs!$B$39="pvp",MIN((Skills!S19*(1+((Inputs!$B$35+(ArtifactsInput!$M$7-ArtifactsInput!$M$7)*CHOOSE(ArtifactsInput!$N$7+1,6,7.2,8.4,9.6,10.8,12)))/100)),15)/15,MIN(1,(Skills!S19*(1+((Inputs!$B$35+(ArtifactsInput!$M$7-ArtifactsInput!$M$7)*CHOOSE(ArtifactsInput!$N$7+1,6,7.2,8.4,9.6,10.8,12)))/100))/(1/Q316))))/100),1)</f>
        <v/>
      </c>
    </row>
    <row r="328">
      <c r="A328" t="inlineStr">
        <is>
          <t>Monster Damage Taken Bonus % (Holy Fountain)</t>
        </is>
      </c>
      <c r="B328">
        <f>IF(Inputs!$B$3&gt;=68,20*IF(Inputs!$B$39="pvp",MIN((15*(1+((Inputs!$B$35+(ArtifactsInput!$M$7-ArtifactsInput!$M$7)*CHOOSE(ArtifactsInput!$N$7+1,6,7.2,8.4,9.6,10.8,12)))/100)),15)/15,MIN(1,(15*(1+((Inputs!$B$35+(ArtifactsInput!$M$7-ArtifactsInput!$M$7)*CHOOSE(ArtifactsInput!$N$7+1,6,7.2,8.4,9.6,10.8,12)))/100))/(1/Q307))),0)</f>
        <v/>
      </c>
    </row>
    <row r="329">
      <c r="A329" t="inlineStr">
        <is>
          <t>Normal Monster Damage Bonus % (Holy Symbol)</t>
        </is>
      </c>
      <c r="B329">
        <f>IF(C309=TRUE,F309*IF(AND(Inputs!$B$39&lt;&gt;"pvp",Inputs!$B$44&gt;0),(((R309-1)*MIN((Skills!S12*(1+((Inputs!$B$35+(ArtifactsInput!$M$7-ArtifactsInput!$M$7)*CHOOSE(ArtifactsInput!$N$7+1,6,7.2,8.4,9.6,10.8,12)))/100)),(1/Q309))+MIN((Skills!S12*(1+((Inputs!$B$35+(ArtifactsInput!$M$7-ArtifactsInput!$M$7)*CHOOSE(ArtifactsInput!$N$7+1,6,7.2,8.4,9.6,10.8,12)))/100)),MAX(0,Inputs!$B$44-((R309-1)*(1/Q309)))))/Inputs!$B$44),IF(Inputs!$B$39="pvp",MIN((Skills!S12*(1+((Inputs!$B$35+(ArtifactsInput!$M$7-ArtifactsInput!$M$7)*CHOOSE(ArtifactsInput!$N$7+1,6,7.2,8.4,9.6,10.8,12)))/100)),15)/15,MIN(1,(Skills!S12*(1+((Inputs!$B$35+(ArtifactsInput!$M$7-ArtifactsInput!$M$7)*CHOOSE(ArtifactsInput!$N$7+1,6,7.2,8.4,9.6,10.8,12)))/100))/(1/Q309)))),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MIN((Skills!S28*(1+((Inputs!$B$35+(ArtifactsInput!$M$7-ArtifactsInput!$M$7)*CHOOSE(ArtifactsInput!$N$7+1,6,7.2,8.4,9.6,10.8,12)))/100)),(1/Q325))+MIN((Skills!S28*(1+((Inputs!$B$35+(ArtifactsInput!$M$7-ArtifactsInput!$M$7)*CHOOSE(ArtifactsInput!$N$7+1,6,7.2,8.4,9.6,10.8,12)))/100)),MAX(0,Inputs!$B$44-((R325-1)*(1/Q325)))))/Inputs!$B$44),IF(Inputs!$B$39="pvp",MIN((Skills!S28*(1+((Inputs!$B$35+(ArtifactsInput!$M$7-ArtifactsInput!$M$7)*CHOOSE(ArtifactsInput!$N$7+1,6,7.2,8.4,9.6,10.8,12)))/100)),15)/15,MIN(1,(Skills!S28*(1+((Inputs!$B$35+(ArtifactsInput!$M$7-ArtifactsInput!$M$7)*CHOOSE(ArtifactsInput!$N$7+1,6,7.2,8.4,9.6,10.8,12)))/100))/(1/Q325)))))</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MIN((Skills!S13*(1+((Inputs!$B$35+(ArtifactsInput!$M$7-ArtifactsInput!$M$7)*CHOOSE(ArtifactsInput!$N$7+1,6,7.2,8.4,9.6,10.8,12)))/100)),(1/Q310))+MIN((Skills!S13*(1+((Inputs!$B$35+(ArtifactsInput!$M$7-ArtifactsInput!$M$7)*CHOOSE(ArtifactsInput!$N$7+1,6,7.2,8.4,9.6,10.8,12)))/100)),MAX(0,Inputs!$B$44-((R310-1)*(1/Q310)))))/Inputs!$B$44),IF(Inputs!$B$39="pvp",MIN((Skills!S13*(1+((Inputs!$B$35+(ArtifactsInput!$M$7-ArtifactsInput!$M$7)*CHOOSE(ArtifactsInput!$N$7+1,6,7.2,8.4,9.6,10.8,12)))/100)),15)/15,MIN(1,(Skills!S13*(1+((Inputs!$B$35+(ArtifactsInput!$M$7-ArtifactsInput!$M$7)*CHOOSE(ArtifactsInput!$N$7+1,6,7.2,8.4,9.6,10.8,12)))/100))/(1/Q310)))),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IFERROR(1/(IF(Inputs!$B$39="pvp",15,MAX(0.1,Skills!D2-IF(TRUE=TRUE,Inputs!$B$33,0)))*(1-IF(AND(ArtifactsInput!$M$27,Inputs!$B$4="Chapter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IFERROR(1/(IF(Inputs!$B$39="pvp",15,MAX(0.1,Skills!D3-IF(TRUE=TRUE,Inputs!$B$33,0)))*(1-IF(AND(ArtifactsInput!$M$27,Inputs!$B$4="Chapter Hunt"),CHOOSE(ArtifactsInput!$N$27+1,20,24,28,32,36,40),0)/100)),0)</f>
        <v/>
      </c>
      <c r="R345">
        <f>IF(AND(Inputs!$B$39&lt;&gt;"pvp",Inputs!$B$44&gt;0),IF(Inputs!$B$44&lt;=0,0,(INT(Inputs!$B$44/(IF(Inputs!$B$39="pvp",15,MAX(0.1,Skills!D3-IF(TRUE=TRUE,Inputs!$B$33,0)))*(1-IF(AND(ArtifactsInput!$M$27,Inputs!$B$4="Chapter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IFERROR(1/(IF(Inputs!$B$39="pvp",15,MAX(0.1,Skills!D4-IF(TRUE=TRUE,Inputs!$B$33,0)))*(1-IF(AND(ArtifactsInput!$M$27,Inputs!$B$4="Chapter Hunt"),CHOOSE(ArtifactsInput!$N$27+1,20,24,28,32,36,40),0)/100)),0)</f>
        <v/>
      </c>
      <c r="R346">
        <f>IF(AND(Inputs!$B$39&lt;&gt;"pvp",Inputs!$B$44&gt;0),IF(Inputs!$B$44&lt;=0,0,(INT(Inputs!$B$44/(IF(Inputs!$B$39="pvp",15,MAX(0.1,Skills!D4-IF(TRUE=TRUE,Inputs!$B$33,0)))*(1-IF(AND(ArtifactsInput!$M$27,Inputs!$B$4="Chapter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IFERROR(1/(IF(Inputs!$B$39="pvp",15,MAX(0.1,Skills!D5-IF(TRUE=TRUE,Inputs!$B$33,0)))*(1-IF(AND(ArtifactsInput!$M$27,Inputs!$B$4="Chapter Hunt"),CHOOSE(ArtifactsInput!$N$27+1,20,24,28,32,36,40),0)/100)),0)</f>
        <v/>
      </c>
      <c r="R347">
        <f>IF(AND(Inputs!$B$39&lt;&gt;"pvp",Inputs!$B$44&gt;0),IF(Inputs!$B$44&lt;=0,0,(INT(Inputs!$B$44/(IF(Inputs!$B$39="pvp",15,MAX(0.1,Skills!D5-IF(TRUE=TRUE,Inputs!$B$33,0)))*(1-IF(AND(ArtifactsInput!$M$27,Inputs!$B$4="Chapter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IFERROR(1/(IF(Inputs!$B$39="pvp",15,MAX(0.1,Skills!D6-IF(TRUE=TRUE,Inputs!$B$33,0)))*(1-IF(AND(ArtifactsInput!$M$27,Inputs!$B$4="Chapter Hunt"),CHOOSE(ArtifactsInput!$N$27+1,20,24,28,32,36,40),0)/100)),0)</f>
        <v/>
      </c>
      <c r="R348">
        <f>IF(AND(Inputs!$B$39&lt;&gt;"pvp",Inputs!$B$44&gt;0),IF(MAX(0,Inputs!$B$44-B382)&lt;=0,0,(INT(MAX(0,Inputs!$B$44-B382)/(IF(Inputs!$B$39="pvp",15,MAX(0.1,Skills!D6-IF(TRUE=TRUE,Inputs!$B$33,0)))*(1-IF(AND(ArtifactsInput!$M$27,Inputs!$B$4="Chapter Hunt"),CHOOSE(ArtifactsInput!$N$27+1,20,24,28,32,36,40),0)/100)))+1)),0)</f>
        <v/>
      </c>
      <c r="S348">
        <f>IF(C348,(H348*N348*IF(AND(Inputs!$B$39&lt;&gt;"pvp",Inputs!$B$44&gt;0),((Skills!F6*((R348-1)*IF(Skills!G6&gt;0,INT(Skills!H6/Skills!G6+0.000000001),1)+IF(Skills!G6&gt;0,INT(MIN(Skills!H6,MAX(0,MAX(0,Inputs!$B$44-B382)-((R348-1)*(IF(Inputs!$B$39="pvp",15,MAX(0.1,Skills!D6-IF(TRUE=TRUE,Inputs!$B$33,0)))*(1-IF(AND(ArtifactsInput!$M$27,Inputs!$B$4="Chapter Hunt"),CHOOSE(ArtifactsInput!$N$27+1,20,24,28,32,36,40),0)/100)))))/Skills!G6+0.000000001),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INT(Skills!H6/Skills!G6+0.000000001),1)+IF(Skills!G6&gt;0,INT(MIN(Skills!H6,MAX(0,MAX(0,Inputs!$B$44-B382)-((R348-1)*(IF(Inputs!$B$39="pvp",15,MAX(0.1,Skills!D6-IF(TRUE=TRUE,Inputs!$B$33,0)))*(1-IF(AND(ArtifactsInput!$M$27,Inputs!$B$4="Chapter Hunt"),CHOOSE(ArtifactsInput!$N$27+1,20,24,28,32,36,40),0)/100)))))/Skills!G6+0.000000001),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IFERROR(1/(IF(Inputs!$B$39="pvp",15,MAX(0.1,Skills!D7-IF(TRUE=TRUE,Inputs!$B$33,0)))*(1-IF(AND(ArtifactsInput!$M$27,Inputs!$B$4="Chapter Hunt"),CHOOSE(ArtifactsInput!$N$27+1,20,24,28,32,36,40),0)/100)),0)</f>
        <v/>
      </c>
      <c r="R349">
        <f>IF(AND(Inputs!$B$39&lt;&gt;"pvp",Inputs!$B$44&gt;0),IF(MAX(0,Inputs!$B$44-B382)&lt;=0,0,(INT(MAX(0,Inputs!$B$44-B382)/(IF(Inputs!$B$39="pvp",15,MAX(0.1,Skills!D7-IF(TRUE=TRUE,Inputs!$B$33,0)))*(1-IF(AND(ArtifactsInput!$M$27,Inputs!$B$4="Chapter Hunt"),CHOOSE(ArtifactsInput!$N$27+1,20,24,28,32,36,40),0)/100)))+1)),0)</f>
        <v/>
      </c>
      <c r="S349">
        <f>IF(C349,H349*N349*IF(AND(Inputs!$B$39&lt;&gt;"pvp",Inputs!$B$44&gt;0),((Skills!F7*((R349-1)*IF(Skills!G7&gt;0,INT(Skills!H7/Skills!G7+0.000000001),1)+IF(Skills!G7&gt;0,INT(MIN(Skills!H7,MAX(0,MAX(0,Inputs!$B$44-B382)-((R349-1)*(IF(Inputs!$B$39="pvp",15,MAX(0.1,Skills!D7-IF(TRUE=TRUE,Inputs!$B$33,0)))*(1-IF(AND(ArtifactsInput!$M$27,Inputs!$B$4="Chapter Hunt"),CHOOSE(ArtifactsInput!$N$27+1,20,24,28,32,36,40),0)/100)))))/Skills!G7+0.000000001),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IFERROR(1/(IF(Inputs!$B$39="pvp",15,MAX(0.1,Skills!D8-IF(TRUE=TRUE,Inputs!$B$33,0)))*(1-IF(AND(ArtifactsInput!$M$27,Inputs!$B$4="Chapter Hunt"),CHOOSE(ArtifactsInput!$N$27+1,20,24,28,32,36,40),0)/100)),0)</f>
        <v/>
      </c>
      <c r="R350">
        <f>IF(AND(Inputs!$B$39&lt;&gt;"pvp",Inputs!$B$44&gt;0),IF(MAX(0,Inputs!$B$44-B382)&lt;=0,0,(INT(MAX(0,Inputs!$B$44-B382)/(IF(Inputs!$B$39="pvp",15,MAX(0.1,Skills!D8-IF(TRUE=TRUE,Inputs!$B$33,0)))*(1-IF(AND(ArtifactsInput!$M$27,Inputs!$B$4="Chapter Hunt"),CHOOSE(ArtifactsInput!$N$27+1,20,24,28,32,36,40),0)/100)))+1)),0)</f>
        <v/>
      </c>
      <c r="S350">
        <f>IF(C350,(H350*N350*IF(AND(Inputs!$B$39&lt;&gt;"pvp",Inputs!$B$44&gt;0),((Skills!F8*((R350-1)*IF(Skills!G8&gt;0,INT(Skills!H8/Skills!G8+0.000000001),1)+IF(Skills!G8&gt;0,INT(MIN(Skills!H8,MAX(0,MAX(0,Inputs!$B$44-B382)-((R350-1)*(IF(Inputs!$B$39="pvp",15,MAX(0.1,Skills!D8-IF(TRUE=TRUE,Inputs!$B$33,0)))*(1-IF(AND(ArtifactsInput!$M$27,Inputs!$B$4="Chapter Hunt"),CHOOSE(ArtifactsInput!$N$27+1,20,24,28,32,36,40),0)/100)))))/Skills!G8+0.000000001),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INT(Skills!H8/Skills!G8+0.000000001),1)+IF(Skills!G8&gt;0,INT(MIN(Skills!H8,MAX(0,MAX(0,Inputs!$B$44-B382)-((R350-1)*(IF(Inputs!$B$39="pvp",15,MAX(0.1,Skills!D8-IF(TRUE=TRUE,Inputs!$B$33,0)))*(1-IF(AND(ArtifactsInput!$M$27,Inputs!$B$4="Chapter Hunt"),CHOOSE(ArtifactsInput!$N$27+1,20,24,28,32,36,40),0)/100)))))/Skills!G8+0.000000001),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IFERROR(1/(IF(Inputs!$B$39="pvp",15,MAX(0.1,Skills!D9-IF(TRUE=TRUE,Inputs!$B$33,0)))*(1-IF(AND(ArtifactsInput!$M$27,Inputs!$B$4="Chapter Hunt"),CHOOSE(ArtifactsInput!$N$27+1,20,24,28,32,36,40),0)/100)),0)</f>
        <v/>
      </c>
      <c r="R351">
        <f>IF(AND(Inputs!$B$39&lt;&gt;"pvp",Inputs!$B$44&gt;0),IF(MAX(0,Inputs!$B$44-B382)&lt;=0,0,(INT(MAX(0,Inputs!$B$44-B382)/(IF(Inputs!$B$39="pvp",15,MAX(0.1,Skills!D9-IF(TRUE=TRUE,Inputs!$B$33,0)))*(1-IF(AND(ArtifactsInput!$M$27,Inputs!$B$4="Chapter Hunt"),CHOOSE(ArtifactsInput!$N$27+1,20,24,28,32,36,40),0)/100)))+1)),0)</f>
        <v/>
      </c>
      <c r="S351">
        <f>IF(C351,(H351*N351*IF(AND(Inputs!$B$39&lt;&gt;"pvp",Inputs!$B$44&gt;0),((Skills!F9*((R351-1)*IF(Skills!G9&gt;0,INT(Skills!H9/Skills!G9+0.000000001),1)+IF(Skills!G9&gt;0,INT(MIN(Skills!H9,MAX(0,MAX(0,Inputs!$B$44-B382)-((R351-1)*(IF(Inputs!$B$39="pvp",15,MAX(0.1,Skills!D9-IF(TRUE=TRUE,Inputs!$B$33,0)))*(1-IF(AND(ArtifactsInput!$M$27,Inputs!$B$4="Chapter Hunt"),CHOOSE(ArtifactsInput!$N$27+1,20,24,28,32,36,40),0)/100)))))/Skills!G9+0.000000001),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INT(Skills!H9/Skills!G9+0.000000001),1)+IF(Skills!G9&gt;0,INT(MIN(Skills!H9,MAX(0,MAX(0,Inputs!$B$44-B382)-((R351-1)*(IF(Inputs!$B$39="pvp",15,MAX(0.1,Skills!D9-IF(TRUE=TRUE,Inputs!$B$33,0)))*(1-IF(AND(ArtifactsInput!$M$27,Inputs!$B$4="Chapter Hunt"),CHOOSE(ArtifactsInput!$N$27+1,20,24,28,32,36,40),0)/100)))))/Skills!G9+0.000000001),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IFERROR(1/(IF(Inputs!$B$39="pvp",15,MAX(0.1,Skills!D10-IF(TRUE=TRUE,Inputs!$B$33,0)))*(1-IF(AND(ArtifactsInput!$M$27,Inputs!$B$4="Chapter Hunt"),CHOOSE(ArtifactsInput!$N$27+1,20,24,28,32,36,40),0)/100)),0)</f>
        <v/>
      </c>
      <c r="R352">
        <f>IF(AND(Inputs!$B$39&lt;&gt;"pvp",Inputs!$B$44&gt;0),IF(MAX(0,Inputs!$B$44-B382)&lt;=0,0,(INT(MAX(0,Inputs!$B$44-B382)/(IF(Inputs!$B$39="pvp",15,MAX(0.1,Skills!D10-IF(TRUE=TRUE,Inputs!$B$33,0)))*(1-IF(AND(ArtifactsInput!$M$27,Inputs!$B$4="Chapter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IFERROR(1/(IF(Inputs!$B$39="pvp",15,MAX(0.1,Skills!D11-IF(TRUE=TRUE,Inputs!$B$33,0)))*(1-IF(AND(ArtifactsInput!$M$27,Inputs!$B$4="Chapter Hunt"),CHOOSE(ArtifactsInput!$N$27+1,20,24,28,32,36,40),0)/100)),0)</f>
        <v/>
      </c>
      <c r="R353">
        <f>IF(AND(Inputs!$B$39&lt;&gt;"pvp",Inputs!$B$44&gt;0),IF(Inputs!$B$44&lt;=0,0,(INT(Inputs!$B$44/(IF(Inputs!$B$39="pvp",15,MAX(0.1,Skills!D11-IF(TRUE=TRUE,Inputs!$B$33,0)))*(1-IF(AND(ArtifactsInput!$M$27,Inputs!$B$4="Chapter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IFERROR(1/(IF(Inputs!$B$39="pvp",15,MAX(0.1,Skills!D12-IF(TRUE=TRUE,Inputs!$B$33,0)))*(1-IF(AND(ArtifactsInput!$M$27,Inputs!$B$4="Chapter Hunt"),CHOOSE(ArtifactsInput!$N$27+1,20,24,28,32,36,40),0)/100)),0)</f>
        <v/>
      </c>
      <c r="R354">
        <f>IF(AND(Inputs!$B$39&lt;&gt;"pvp",Inputs!$B$44&gt;0),IF(MAX(0,Inputs!$B$44-B382)&lt;=0,0,(INT(MAX(0,Inputs!$B$44-B382)/(IF(Inputs!$B$39="pvp",15,MAX(0.1,Skills!D12-IF(TRUE=TRUE,Inputs!$B$33,0)))*(1-IF(AND(ArtifactsInput!$M$27,Inputs!$B$4="Chapter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IFERROR(1/(IF(Inputs!$B$39="pvp",15,MAX(0.1,Skills!D13-IF(TRUE=TRUE,Inputs!$B$33,0)))*(1-IF(AND(ArtifactsInput!$M$27,Inputs!$B$4="Chapter Hunt"),CHOOSE(ArtifactsInput!$N$27+1,20,24,28,32,36,40),0)/100)),0)</f>
        <v/>
      </c>
      <c r="R355">
        <f>IF(AND(Inputs!$B$39&lt;&gt;"pvp",Inputs!$B$44&gt;0),IF(MAX(0,Inputs!$B$44-B382)&lt;=0,0,(INT(MAX(0,Inputs!$B$44-B382)/(IF(Inputs!$B$39="pvp",15,MAX(0.1,Skills!D13-IF(TRUE=TRUE,Inputs!$B$33,0)))*(1-IF(AND(ArtifactsInput!$M$27,Inputs!$B$4="Chapter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IFERROR(1/(IF(Inputs!$B$39="pvp",15,MAX(0.1,Skills!D14-IF(TRUE=TRUE,Inputs!$B$33,0)))*(1-IF(AND(ArtifactsInput!$M$27,Inputs!$B$4="Chapter Hunt"),CHOOSE(ArtifactsInput!$N$27+1,20,24,28,32,36,40),0)/100)),0)</f>
        <v/>
      </c>
      <c r="R356">
        <f>IF(AND(Inputs!$B$39&lt;&gt;"pvp",Inputs!$B$44&gt;0),IF(Inputs!$B$44&lt;=0,0,(INT(Inputs!$B$44/(IF(Inputs!$B$39="pvp",15,MAX(0.1,Skills!D14-IF(TRUE=TRUE,Inputs!$B$33,0)))*(1-IF(AND(ArtifactsInput!$M$27,Inputs!$B$4="Chapter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IFERROR(1/(IF(Inputs!$B$39="pvp",15,MAX(0.1,Skills!D15-IF(TRUE=TRUE,Inputs!$B$33,0)))*(1-IF(AND(ArtifactsInput!$M$27,Inputs!$B$4="Chapter Hunt"),CHOOSE(ArtifactsInput!$N$27+1,20,24,28,32,36,40),0)/100)),0)</f>
        <v/>
      </c>
      <c r="R357" t="n">
        <v>0</v>
      </c>
      <c r="S357">
        <f>IF(C357,(Skills!F15*N357*((IF(Inputs!$B$3&gt;=78,25,15)/100*B378*10)/(1+IF(Inputs!$B$3&gt;=78,25,15)/100*B378*IF(Inputs!$B$39="pvp",15,MAX(0.1,18-IF(TRUE=TRUE,Inputs!$B$33,0)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IF(Inputs!$B$39="pvp",15,MAX(0.1,18-IF(TRUE=TRUE,Inputs!$B$33,0)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IFERROR(1/(IF(Inputs!$B$39="pvp",15,MAX(0.1,Skills!D16-IF(TRUE=TRUE,Inputs!$B$33,0)))*(1-IF(AND(ArtifactsInput!$M$27,Inputs!$B$4="Chapter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IFERROR(1/(IF(Inputs!$B$39="pvp",15,MAX(0.1,Skills!D17-IF(TRUE=TRUE,Inputs!$B$33,0)))*(1-IF(AND(ArtifactsInput!$M$27,Inputs!$B$4="Chapter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IFERROR(1/(IF(Inputs!$B$39="pvp",15,MAX(0.1,Skills!D18-IF(TRUE=TRUE,Inputs!$B$33,0)))*(1-IF(AND(ArtifactsInput!$M$27,Inputs!$B$4="Chapter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IFERROR(1/(IF(Inputs!$B$39="pvp",15,MAX(0.1,Skills!D19-IF(TRUE=TRUE,Inputs!$B$33,0)))*(1-IF(AND(ArtifactsInput!$M$27,Inputs!$B$4="Chapter Hunt"),CHOOSE(ArtifactsInput!$N$27+1,20,24,28,32,36,40),0)/100)),0)</f>
        <v/>
      </c>
      <c r="R361">
        <f>IF(AND(Inputs!$B$39&lt;&gt;"pvp",Inputs!$B$44&gt;0),IF(Inputs!$B$44&lt;=0,0,(INT(Inputs!$B$44/(IF(Inputs!$B$39="pvp",15,MAX(0.1,Skills!D19-IF(TRUE=TRUE,Inputs!$B$33,0)))*(1-IF(AND(ArtifactsInput!$M$27,Inputs!$B$4="Chapter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IFERROR(1/(IF(Inputs!$B$39="pvp",15,MAX(0.1,Skills!D20-IF(TRUE=TRUE,Inputs!$B$33,0)))*(1-IF(AND(ArtifactsInput!$M$27,Inputs!$B$4="Chapter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IFERROR(1/(IF(Inputs!$B$39="pvp",15,MAX(0.1,Skills!D21-IF(TRUE=TRUE,Inputs!$B$33,0)))*(1-IF(AND(ArtifactsInput!$M$27,Inputs!$B$4="Chapter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IFERROR(1/(IF(Inputs!$B$39="pvp",15,MAX(0.1,Skills!D22-IF(TRUE=TRUE,Inputs!$B$33,0)))*(1-IF(AND(ArtifactsInput!$M$27,Inputs!$B$4="Chapter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IFERROR(1/(IF(Inputs!$B$39="pvp",15,MAX(0.1,Skills!D23-IF(TRUE=TRUE,Inputs!$B$33,0)))*(1-IF(AND(ArtifactsInput!$M$27,Inputs!$B$4="Chapter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IFERROR(1/(IF(Inputs!$B$39="pvp",15,MAX(0.1,Skills!D24-IF(TRUE=TRUE,Inputs!$B$33,0)))*(1-IF(AND(ArtifactsInput!$M$27,Inputs!$B$4="Chapter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IFERROR(1/(IF(Inputs!$B$39="pvp",15,MAX(0.1,Skills!D25-IF(TRUE=TRUE,Inputs!$B$33,0)))*(1-IF(AND(ArtifactsInput!$M$27,Inputs!$B$4="Chapter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IFERROR(1/(IF(Inputs!$B$39="pvp",15,MAX(0.1,Skills!D26-IF(TRUE=TRUE,Inputs!$B$33,0)))*(1-IF(AND(ArtifactsInput!$M$27,Inputs!$B$4="Chapter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IFERROR(1/(IF(Inputs!$B$39="pvp",15,MAX(0.1,Skills!D27-IF(TRUE=TRUE,Inputs!$B$33,0)))*(1-IF(AND(ArtifactsInput!$M$27,Inputs!$B$4="Chapter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IFERROR(1/(IF(Inputs!$B$39="pvp",15,MAX(0.1,Skills!D28-IF(TRUE=TRUE,Inputs!$B$33,0)))*(1-IF(AND(ArtifactsInput!$M$27,Inputs!$B$4="Chapter Hunt"),CHOOSE(ArtifactsInput!$N$27+1,20,24,28,32,36,40),0)/100)),0)</f>
        <v/>
      </c>
      <c r="R370">
        <f>IF(AND(Inputs!$B$39&lt;&gt;"pvp",Inputs!$B$44&gt;0),IF(Inputs!$B$44&lt;=0,0,(INT(Inputs!$B$44/(IF(Inputs!$B$39="pvp",15,MAX(0.1,Skills!D28-IF(TRUE=TRUE,Inputs!$B$33,0)))*(1-IF(AND(ArtifactsInput!$M$27,Inputs!$B$4="Chapter Hunt"),CHOOSE(ArtifactsInput!$N$27+1,20,24,28,32,36,40),0)/100)))+1)),0)</f>
        <v/>
      </c>
      <c r="S370" t="n">
        <v>0</v>
      </c>
      <c r="U370" t="n">
        <v>0</v>
      </c>
    </row>
    <row r="372">
      <c r="A372" t="inlineStr">
        <is>
          <t>Average Buff Multiplier</t>
        </is>
      </c>
      <c r="B372">
        <f>(1+(IF(C345=TRUE,F345*IF(AND(Inputs!$B$39&lt;&gt;"pvp",Inputs!$B$44&gt;0),(((R345-1)*MIN((Skills!S3*(1+((Inputs!$B$35+(ArtifactsInput!$M$7-ArtifactsInput!$M$7)*CHOOSE(ArtifactsInput!$N$7+1,6,7.2,8.4,9.6,10.8,12)))/100)),(1/Q345))+MIN((Skills!S3*(1+((Inputs!$B$35+(ArtifactsInput!$M$7-ArtifactsInput!$M$7)*CHOOSE(ArtifactsInput!$N$7+1,6,7.2,8.4,9.6,10.8,12)))/100)),MAX(0,Inputs!$B$44-((R345-1)*(1/Q345)))))/Inputs!$B$44),IF(Inputs!$B$39="pvp",MIN((Skills!S3*(1+((Inputs!$B$35+(ArtifactsInput!$M$7-ArtifactsInput!$M$7)*CHOOSE(ArtifactsInput!$N$7+1,6,7.2,8.4,9.6,10.8,12)))/100)),15)/15,MIN(1,(Skills!S3*(1+((Inputs!$B$35+(ArtifactsInput!$M$7-ArtifactsInput!$M$7)*CHOOSE(ArtifactsInput!$N$7+1,6,7.2,8.4,9.6,10.8,12)))/100))/(1/Q345)))),0)+IF(C346=TRUE,F346*IF(AND(Inputs!$B$39&lt;&gt;"pvp",Inputs!$B$44&gt;0),(((R346-1)*MIN((Skills!S4*(1+((Inputs!$B$35+(ArtifactsInput!$M$7-ArtifactsInput!$M$7)*CHOOSE(ArtifactsInput!$N$7+1,6,7.2,8.4,9.6,10.8,12)))/100)),(1/Q346))+MIN((Skills!S4*(1+((Inputs!$B$35+(ArtifactsInput!$M$7-ArtifactsInput!$M$7)*CHOOSE(ArtifactsInput!$N$7+1,6,7.2,8.4,9.6,10.8,12)))/100)),MAX(0,Inputs!$B$44-((R346-1)*(1/Q346)))))/Inputs!$B$44),IF(Inputs!$B$39="pvp",MIN((Skills!S4*(1+((Inputs!$B$35+(ArtifactsInput!$M$7-ArtifactsInput!$M$7)*CHOOSE(ArtifactsInput!$N$7+1,6,7.2,8.4,9.6,10.8,12)))/100)),15)/15,MIN(1,(Skills!S4*(1+((Inputs!$B$35+(ArtifactsInput!$M$7-ArtifactsInput!$M$7)*CHOOSE(ArtifactsInput!$N$7+1,6,7.2,8.4,9.6,10.8,12)))/100))/(1/Q346)))),0)+IF(C347=TRUE,F347*IF(AND(Inputs!$B$39&lt;&gt;"pvp",Inputs!$B$44&gt;0),(((R347-1)*MIN((Skills!S5*(1+((Inputs!$B$35+(ArtifactsInput!$M$7-ArtifactsInput!$M$7)*CHOOSE(ArtifactsInput!$N$7+1,6,7.2,8.4,9.6,10.8,12)))/100)),(1/Q347))+MIN((Skills!S5*(1+((Inputs!$B$35+(ArtifactsInput!$M$7-ArtifactsInput!$M$7)*CHOOSE(ArtifactsInput!$N$7+1,6,7.2,8.4,9.6,10.8,12)))/100)),MAX(0,Inputs!$B$44-((R347-1)*(1/Q347)))))/Inputs!$B$44),IF(Inputs!$B$39="pvp",MIN((Skills!S5*(1+((Inputs!$B$35+(ArtifactsInput!$M$7-ArtifactsInput!$M$7)*CHOOSE(ArtifactsInput!$N$7+1,6,7.2,8.4,9.6,10.8,12)))/100)),15)/15,MIN(1,(Skills!S5*(1+((Inputs!$B$35+(ArtifactsInput!$M$7-ArtifactsInput!$M$7)*CHOOSE(ArtifactsInput!$N$7+1,6,7.2,8.4,9.6,10.8,12)))/100))/(1/Q347)))),0)+IF(C353=TRUE,F353*IF(AND(Inputs!$B$39&lt;&gt;"pvp",Inputs!$B$44&gt;0),(((R353-1)*MIN((Skills!S11*(1+((Inputs!$B$35+(ArtifactsInput!$M$7-ArtifactsInput!$M$7)*CHOOSE(ArtifactsInput!$N$7+1,6,7.2,8.4,9.6,10.8,12)))/100)),(1/Q353))+MIN((Skills!S11*(1+((Inputs!$B$35+(ArtifactsInput!$M$7-ArtifactsInput!$M$7)*CHOOSE(ArtifactsInput!$N$7+1,6,7.2,8.4,9.6,10.8,12)))/100)),MAX(0,Inputs!$B$44-((R353-1)*(1/Q353)))))/Inputs!$B$44),IF(Inputs!$B$39="pvp",MIN((Skills!S11*(1+((Inputs!$B$35+(ArtifactsInput!$M$7-ArtifactsInput!$M$7)*CHOOSE(ArtifactsInput!$N$7+1,6,7.2,8.4,9.6,10.8,12)))/100)),15)/15,MIN(1,(Skills!S11*(1+((Inputs!$B$35+(ArtifactsInput!$M$7-ArtifactsInput!$M$7)*CHOOSE(ArtifactsInput!$N$7+1,6,7.2,8.4,9.6,10.8,12)))/100))/(1/Q353)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MIN((Skills!S14*(1+((Inputs!$B$35+(ArtifactsInput!$M$7-ArtifactsInput!$M$7)*CHOOSE(ArtifactsInput!$N$7+1,6,7.2,8.4,9.6,10.8,12)))/100)),(1/Q356))+MIN((Skills!S14*(1+((Inputs!$B$35+(ArtifactsInput!$M$7-ArtifactsInput!$M$7)*CHOOSE(ArtifactsInput!$N$7+1,6,7.2,8.4,9.6,10.8,12)))/100)),MAX(0,Inputs!$B$44-((R356-1)*(1/Q356)))))/Inputs!$B$44),IF(Inputs!$B$39="pvp",MIN((Skills!S14*(1+((Inputs!$B$35+(ArtifactsInput!$M$7-ArtifactsInput!$M$7)*CHOOSE(ArtifactsInput!$N$7+1,6,7.2,8.4,9.6,10.8,12)))/100)),15)/15,MIN(1,(Skills!S14*(1+((Inputs!$B$35+(ArtifactsInput!$M$7-ArtifactsInput!$M$7)*CHOOSE(ArtifactsInput!$N$7+1,6,7.2,8.4,9.6,10.8,12)))/100))/(1/Q356))))/100),1)*IF(C361=TRUE,(1+F361*IF(AND(Inputs!$B$39&lt;&gt;"pvp",Inputs!$B$44&gt;0),(((R361-1)*MIN((Skills!S19*(1+((Inputs!$B$35+(ArtifactsInput!$M$7-ArtifactsInput!$M$7)*CHOOSE(ArtifactsInput!$N$7+1,6,7.2,8.4,9.6,10.8,12)))/100)),(1/Q361))+MIN((Skills!S19*(1+((Inputs!$B$35+(ArtifactsInput!$M$7-ArtifactsInput!$M$7)*CHOOSE(ArtifactsInput!$N$7+1,6,7.2,8.4,9.6,10.8,12)))/100)),MAX(0,Inputs!$B$44-((R361-1)*(1/Q361)))))/Inputs!$B$44),IF(Inputs!$B$39="pvp",MIN((Skills!S19*(1+((Inputs!$B$35+(ArtifactsInput!$M$7-ArtifactsInput!$M$7)*CHOOSE(ArtifactsInput!$N$7+1,6,7.2,8.4,9.6,10.8,12)))/100)),15)/15,MIN(1,(Skills!S19*(1+((Inputs!$B$35+(ArtifactsInput!$M$7-ArtifactsInput!$M$7)*CHOOSE(ArtifactsInput!$N$7+1,6,7.2,8.4,9.6,10.8,12)))/100))/(1/Q361))))/100),1)</f>
        <v/>
      </c>
    </row>
    <row r="373">
      <c r="A373" t="inlineStr">
        <is>
          <t>Monster Damage Taken Bonus % (Holy Fountain)</t>
        </is>
      </c>
      <c r="B373">
        <f>IF(Inputs!$B$3&gt;=68,20*IF(Inputs!$B$39="pvp",MIN((15*(1+((Inputs!$B$35+(ArtifactsInput!$M$7-ArtifactsInput!$M$7)*CHOOSE(ArtifactsInput!$N$7+1,6,7.2,8.4,9.6,10.8,12)))/100)),15)/15,MIN(1,(15*(1+((Inputs!$B$35+(ArtifactsInput!$M$7-ArtifactsInput!$M$7)*CHOOSE(ArtifactsInput!$N$7+1,6,7.2,8.4,9.6,10.8,12)))/100))/(1/Q352))),0)</f>
        <v/>
      </c>
    </row>
    <row r="374">
      <c r="A374" t="inlineStr">
        <is>
          <t>Normal Monster Damage Bonus % (Holy Symbol)</t>
        </is>
      </c>
      <c r="B374">
        <f>IF(C354=TRUE,F354*IF(AND(Inputs!$B$39&lt;&gt;"pvp",Inputs!$B$44&gt;0),(((R354-1)*MIN((Skills!S12*(1+((Inputs!$B$35+(ArtifactsInput!$M$7-ArtifactsInput!$M$7)*CHOOSE(ArtifactsInput!$N$7+1,6,7.2,8.4,9.6,10.8,12)))/100)),(1/Q354))+MIN((Skills!S12*(1+((Inputs!$B$35+(ArtifactsInput!$M$7-ArtifactsInput!$M$7)*CHOOSE(ArtifactsInput!$N$7+1,6,7.2,8.4,9.6,10.8,12)))/100)),MAX(0,Inputs!$B$44-((R354-1)*(1/Q354)))))/Inputs!$B$44),IF(Inputs!$B$39="pvp",MIN((Skills!S12*(1+((Inputs!$B$35+(ArtifactsInput!$M$7-ArtifactsInput!$M$7)*CHOOSE(ArtifactsInput!$N$7+1,6,7.2,8.4,9.6,10.8,12)))/100)),15)/15,MIN(1,(Skills!S12*(1+((Inputs!$B$35+(ArtifactsInput!$M$7-ArtifactsInput!$M$7)*CHOOSE(ArtifactsInput!$N$7+1,6,7.2,8.4,9.6,10.8,12)))/100))/(1/Q354)))),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MIN((Skills!S28*(1+((Inputs!$B$35+(ArtifactsInput!$M$7-ArtifactsInput!$M$7)*CHOOSE(ArtifactsInput!$N$7+1,6,7.2,8.4,9.6,10.8,12)))/100)),(1/Q370))+MIN((Skills!S28*(1+((Inputs!$B$35+(ArtifactsInput!$M$7-ArtifactsInput!$M$7)*CHOOSE(ArtifactsInput!$N$7+1,6,7.2,8.4,9.6,10.8,12)))/100)),MAX(0,Inputs!$B$44-((R370-1)*(1/Q370)))))/Inputs!$B$44),IF(Inputs!$B$39="pvp",MIN((Skills!S28*(1+((Inputs!$B$35+(ArtifactsInput!$M$7-ArtifactsInput!$M$7)*CHOOSE(ArtifactsInput!$N$7+1,6,7.2,8.4,9.6,10.8,12)))/100)),15)/15,MIN(1,(Skills!S28*(1+((Inputs!$B$35+(ArtifactsInput!$M$7-ArtifactsInput!$M$7)*CHOOSE(ArtifactsInput!$N$7+1,6,7.2,8.4,9.6,10.8,12)))/100))/(1/Q370)))))</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MIN((Skills!S13*(1+((Inputs!$B$35+(ArtifactsInput!$M$7-ArtifactsInput!$M$7)*CHOOSE(ArtifactsInput!$N$7+1,6,7.2,8.4,9.6,10.8,12)))/100)),(1/Q355))+MIN((Skills!S13*(1+((Inputs!$B$35+(ArtifactsInput!$M$7-ArtifactsInput!$M$7)*CHOOSE(ArtifactsInput!$N$7+1,6,7.2,8.4,9.6,10.8,12)))/100)),MAX(0,Inputs!$B$44-((R355-1)*(1/Q355)))))/Inputs!$B$44),IF(Inputs!$B$39="pvp",MIN((Skills!S13*(1+((Inputs!$B$35+(ArtifactsInput!$M$7-ArtifactsInput!$M$7)*CHOOSE(ArtifactsInput!$N$7+1,6,7.2,8.4,9.6,10.8,12)))/100)),15)/15,MIN(1,(Skills!S13*(1+((Inputs!$B$35+(ArtifactsInput!$M$7-ArtifactsInput!$M$7)*CHOOSE(ArtifactsInput!$N$7+1,6,7.2,8.4,9.6,10.8,12)))/100))/(1/Q355)))),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IFERROR(1/(IF(Inputs!$B$39="pvp",15,MAX(0.1,Skills!D2-IF(TRUE=TRUE,Inputs!$B$33,0)))*(1-IF(AND(ArtifactsInput!$M$27,Inputs!$B$4="Chapter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IFERROR(1/(IF(Inputs!$B$39="pvp",15,MAX(0.1,Skills!D3-IF(TRUE=TRUE,Inputs!$B$33,0)))*(1-IF(AND(ArtifactsInput!$M$27,Inputs!$B$4="Chapter Hunt"),CHOOSE(ArtifactsInput!$N$27+1,20,24,28,32,36,40),0)/100)),0)</f>
        <v/>
      </c>
      <c r="R390">
        <f>IF(AND(Inputs!$B$39&lt;&gt;"pvp",Inputs!$B$44&gt;0),IF(Inputs!$B$44&lt;=0,0,(INT(Inputs!$B$44/(IF(Inputs!$B$39="pvp",15,MAX(0.1,Skills!D3-IF(TRUE=TRUE,Inputs!$B$33,0)))*(1-IF(AND(ArtifactsInput!$M$27,Inputs!$B$4="Chapter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IFERROR(1/(IF(Inputs!$B$39="pvp",15,MAX(0.1,Skills!D4-IF(TRUE=TRUE,Inputs!$B$33,0)))*(1-IF(AND(ArtifactsInput!$M$27,Inputs!$B$4="Chapter Hunt"),CHOOSE(ArtifactsInput!$N$27+1,20,24,28,32,36,40),0)/100)),0)</f>
        <v/>
      </c>
      <c r="R391">
        <f>IF(AND(Inputs!$B$39&lt;&gt;"pvp",Inputs!$B$44&gt;0),IF(Inputs!$B$44&lt;=0,0,(INT(Inputs!$B$44/(IF(Inputs!$B$39="pvp",15,MAX(0.1,Skills!D4-IF(TRUE=TRUE,Inputs!$B$33,0)))*(1-IF(AND(ArtifactsInput!$M$27,Inputs!$B$4="Chapter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IFERROR(1/(IF(Inputs!$B$39="pvp",15,MAX(0.1,Skills!D5-IF(TRUE=TRUE,Inputs!$B$33,0)))*(1-IF(AND(ArtifactsInput!$M$27,Inputs!$B$4="Chapter Hunt"),CHOOSE(ArtifactsInput!$N$27+1,20,24,28,32,36,40),0)/100)),0)</f>
        <v/>
      </c>
      <c r="R392">
        <f>IF(AND(Inputs!$B$39&lt;&gt;"pvp",Inputs!$B$44&gt;0),IF(Inputs!$B$44&lt;=0,0,(INT(Inputs!$B$44/(IF(Inputs!$B$39="pvp",15,MAX(0.1,Skills!D5-IF(TRUE=TRUE,Inputs!$B$33,0)))*(1-IF(AND(ArtifactsInput!$M$27,Inputs!$B$4="Chapter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IFERROR(1/(IF(Inputs!$B$39="pvp",15,MAX(0.1,Skills!D6-IF(TRUE=TRUE,Inputs!$B$33,0)))*(1-IF(AND(ArtifactsInput!$M$27,Inputs!$B$4="Chapter Hunt"),CHOOSE(ArtifactsInput!$N$27+1,20,24,28,32,36,40),0)/100)),0)</f>
        <v/>
      </c>
      <c r="R393">
        <f>IF(AND(Inputs!$B$39&lt;&gt;"pvp",Inputs!$B$44&gt;0),IF(MAX(0,Inputs!$B$44-B427)&lt;=0,0,(INT(MAX(0,Inputs!$B$44-B427)/(IF(Inputs!$B$39="pvp",15,MAX(0.1,Skills!D6-IF(TRUE=TRUE,Inputs!$B$33,0)))*(1-IF(AND(ArtifactsInput!$M$27,Inputs!$B$4="Chapter Hunt"),CHOOSE(ArtifactsInput!$N$27+1,20,24,28,32,36,40),0)/100)))+1)),0)</f>
        <v/>
      </c>
      <c r="S393">
        <f>IF(C393,(H393*N393*IF(AND(Inputs!$B$39&lt;&gt;"pvp",Inputs!$B$44&gt;0),((Skills!F6*((R393-1)*IF(Skills!G6&gt;0,INT(Skills!H6/Skills!G6+0.000000001),1)+IF(Skills!G6&gt;0,INT(MIN(Skills!H6,MAX(0,MAX(0,Inputs!$B$44-B427)-((R393-1)*(IF(Inputs!$B$39="pvp",15,MAX(0.1,Skills!D6-IF(TRUE=TRUE,Inputs!$B$33,0)))*(1-IF(AND(ArtifactsInput!$M$27,Inputs!$B$4="Chapter Hunt"),CHOOSE(ArtifactsInput!$N$27+1,20,24,28,32,36,40),0)/100)))))/Skills!G6+0.000000001),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INT(Skills!H6/Skills!G6+0.000000001),1)+IF(Skills!G6&gt;0,INT(MIN(Skills!H6,MAX(0,MAX(0,Inputs!$B$44-B427)-((R393-1)*(IF(Inputs!$B$39="pvp",15,MAX(0.1,Skills!D6-IF(TRUE=TRUE,Inputs!$B$33,0)))*(1-IF(AND(ArtifactsInput!$M$27,Inputs!$B$4="Chapter Hunt"),CHOOSE(ArtifactsInput!$N$27+1,20,24,28,32,36,40),0)/100)))))/Skills!G6+0.000000001),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IFERROR(1/(IF(Inputs!$B$39="pvp",15,MAX(0.1,Skills!D7-IF(TRUE=TRUE,Inputs!$B$33,0)))*(1-IF(AND(ArtifactsInput!$M$27,Inputs!$B$4="Chapter Hunt"),CHOOSE(ArtifactsInput!$N$27+1,20,24,28,32,36,40),0)/100)),0)</f>
        <v/>
      </c>
      <c r="R394">
        <f>IF(AND(Inputs!$B$39&lt;&gt;"pvp",Inputs!$B$44&gt;0),IF(MAX(0,Inputs!$B$44-B427)&lt;=0,0,(INT(MAX(0,Inputs!$B$44-B427)/(IF(Inputs!$B$39="pvp",15,MAX(0.1,Skills!D7-IF(TRUE=TRUE,Inputs!$B$33,0)))*(1-IF(AND(ArtifactsInput!$M$27,Inputs!$B$4="Chapter Hunt"),CHOOSE(ArtifactsInput!$N$27+1,20,24,28,32,36,40),0)/100)))+1)),0)</f>
        <v/>
      </c>
      <c r="S394">
        <f>IF(C394,H394*N394*IF(AND(Inputs!$B$39&lt;&gt;"pvp",Inputs!$B$44&gt;0),((Skills!F7*((R394-1)*IF(Skills!G7&gt;0,INT(Skills!H7/Skills!G7+0.000000001),1)+IF(Skills!G7&gt;0,INT(MIN(Skills!H7,MAX(0,MAX(0,Inputs!$B$44-B427)-((R394-1)*(IF(Inputs!$B$39="pvp",15,MAX(0.1,Skills!D7-IF(TRUE=TRUE,Inputs!$B$33,0)))*(1-IF(AND(ArtifactsInput!$M$27,Inputs!$B$4="Chapter Hunt"),CHOOSE(ArtifactsInput!$N$27+1,20,24,28,32,36,40),0)/100)))))/Skills!G7+0.000000001),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IFERROR(1/(IF(Inputs!$B$39="pvp",15,MAX(0.1,Skills!D8-IF(TRUE=TRUE,Inputs!$B$33,0)))*(1-IF(AND(ArtifactsInput!$M$27,Inputs!$B$4="Chapter Hunt"),CHOOSE(ArtifactsInput!$N$27+1,20,24,28,32,36,40),0)/100)),0)</f>
        <v/>
      </c>
      <c r="R395">
        <f>IF(AND(Inputs!$B$39&lt;&gt;"pvp",Inputs!$B$44&gt;0),IF(MAX(0,Inputs!$B$44-B427)&lt;=0,0,(INT(MAX(0,Inputs!$B$44-B427)/(IF(Inputs!$B$39="pvp",15,MAX(0.1,Skills!D8-IF(TRUE=TRUE,Inputs!$B$33,0)))*(1-IF(AND(ArtifactsInput!$M$27,Inputs!$B$4="Chapter Hunt"),CHOOSE(ArtifactsInput!$N$27+1,20,24,28,32,36,40),0)/100)))+1)),0)</f>
        <v/>
      </c>
      <c r="S395">
        <f>IF(C395,(H395*N395*IF(AND(Inputs!$B$39&lt;&gt;"pvp",Inputs!$B$44&gt;0),((Skills!F8*((R395-1)*IF(Skills!G8&gt;0,INT(Skills!H8/Skills!G8+0.000000001),1)+IF(Skills!G8&gt;0,INT(MIN(Skills!H8,MAX(0,MAX(0,Inputs!$B$44-B427)-((R395-1)*(IF(Inputs!$B$39="pvp",15,MAX(0.1,Skills!D8-IF(TRUE=TRUE,Inputs!$B$33,0)))*(1-IF(AND(ArtifactsInput!$M$27,Inputs!$B$4="Chapter Hunt"),CHOOSE(ArtifactsInput!$N$27+1,20,24,28,32,36,40),0)/100)))))/Skills!G8+0.000000001),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INT(Skills!H8/Skills!G8+0.000000001),1)+IF(Skills!G8&gt;0,INT(MIN(Skills!H8,MAX(0,MAX(0,Inputs!$B$44-B427)-((R395-1)*(IF(Inputs!$B$39="pvp",15,MAX(0.1,Skills!D8-IF(TRUE=TRUE,Inputs!$B$33,0)))*(1-IF(AND(ArtifactsInput!$M$27,Inputs!$B$4="Chapter Hunt"),CHOOSE(ArtifactsInput!$N$27+1,20,24,28,32,36,40),0)/100)))))/Skills!G8+0.000000001),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IFERROR(1/(IF(Inputs!$B$39="pvp",15,MAX(0.1,Skills!D9-IF(TRUE=TRUE,Inputs!$B$33,0)))*(1-IF(AND(ArtifactsInput!$M$27,Inputs!$B$4="Chapter Hunt"),CHOOSE(ArtifactsInput!$N$27+1,20,24,28,32,36,40),0)/100)),0)</f>
        <v/>
      </c>
      <c r="R396">
        <f>IF(AND(Inputs!$B$39&lt;&gt;"pvp",Inputs!$B$44&gt;0),IF(MAX(0,Inputs!$B$44-B427)&lt;=0,0,(INT(MAX(0,Inputs!$B$44-B427)/(IF(Inputs!$B$39="pvp",15,MAX(0.1,Skills!D9-IF(TRUE=TRUE,Inputs!$B$33,0)))*(1-IF(AND(ArtifactsInput!$M$27,Inputs!$B$4="Chapter Hunt"),CHOOSE(ArtifactsInput!$N$27+1,20,24,28,32,36,40),0)/100)))+1)),0)</f>
        <v/>
      </c>
      <c r="S396">
        <f>IF(C396,(H396*N396*IF(AND(Inputs!$B$39&lt;&gt;"pvp",Inputs!$B$44&gt;0),((Skills!F9*((R396-1)*IF(Skills!G9&gt;0,INT(Skills!H9/Skills!G9+0.000000001),1)+IF(Skills!G9&gt;0,INT(MIN(Skills!H9,MAX(0,MAX(0,Inputs!$B$44-B427)-((R396-1)*(IF(Inputs!$B$39="pvp",15,MAX(0.1,Skills!D9-IF(TRUE=TRUE,Inputs!$B$33,0)))*(1-IF(AND(ArtifactsInput!$M$27,Inputs!$B$4="Chapter Hunt"),CHOOSE(ArtifactsInput!$N$27+1,20,24,28,32,36,40),0)/100)))))/Skills!G9+0.000000001),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INT(Skills!H9/Skills!G9+0.000000001),1)+IF(Skills!G9&gt;0,INT(MIN(Skills!H9,MAX(0,MAX(0,Inputs!$B$44-B427)-((R396-1)*(IF(Inputs!$B$39="pvp",15,MAX(0.1,Skills!D9-IF(TRUE=TRUE,Inputs!$B$33,0)))*(1-IF(AND(ArtifactsInput!$M$27,Inputs!$B$4="Chapter Hunt"),CHOOSE(ArtifactsInput!$N$27+1,20,24,28,32,36,40),0)/100)))))/Skills!G9+0.000000001),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IFERROR(1/(IF(Inputs!$B$39="pvp",15,MAX(0.1,Skills!D10-IF(TRUE=TRUE,Inputs!$B$33,0)))*(1-IF(AND(ArtifactsInput!$M$27,Inputs!$B$4="Chapter Hunt"),CHOOSE(ArtifactsInput!$N$27+1,20,24,28,32,36,40),0)/100)),0)</f>
        <v/>
      </c>
      <c r="R397">
        <f>IF(AND(Inputs!$B$39&lt;&gt;"pvp",Inputs!$B$44&gt;0),IF(MAX(0,Inputs!$B$44-B427)&lt;=0,0,(INT(MAX(0,Inputs!$B$44-B427)/(IF(Inputs!$B$39="pvp",15,MAX(0.1,Skills!D10-IF(TRUE=TRUE,Inputs!$B$33,0)))*(1-IF(AND(ArtifactsInput!$M$27,Inputs!$B$4="Chapter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IFERROR(1/(IF(Inputs!$B$39="pvp",15,MAX(0.1,Skills!D11-IF(TRUE=TRUE,Inputs!$B$33,0)))*(1-IF(AND(ArtifactsInput!$M$27,Inputs!$B$4="Chapter Hunt"),CHOOSE(ArtifactsInput!$N$27+1,20,24,28,32,36,40),0)/100)),0)</f>
        <v/>
      </c>
      <c r="R398">
        <f>IF(AND(Inputs!$B$39&lt;&gt;"pvp",Inputs!$B$44&gt;0),IF(Inputs!$B$44&lt;=0,0,(INT(Inputs!$B$44/(IF(Inputs!$B$39="pvp",15,MAX(0.1,Skills!D11-IF(TRUE=TRUE,Inputs!$B$33,0)))*(1-IF(AND(ArtifactsInput!$M$27,Inputs!$B$4="Chapter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IFERROR(1/(IF(Inputs!$B$39="pvp",15,MAX(0.1,Skills!D12-IF(TRUE=TRUE,Inputs!$B$33,0)))*(1-IF(AND(ArtifactsInput!$M$27,Inputs!$B$4="Chapter Hunt"),CHOOSE(ArtifactsInput!$N$27+1,20,24,28,32,36,40),0)/100)),0)</f>
        <v/>
      </c>
      <c r="R399">
        <f>IF(AND(Inputs!$B$39&lt;&gt;"pvp",Inputs!$B$44&gt;0),IF(MAX(0,Inputs!$B$44-B427)&lt;=0,0,(INT(MAX(0,Inputs!$B$44-B427)/(IF(Inputs!$B$39="pvp",15,MAX(0.1,Skills!D12-IF(TRUE=TRUE,Inputs!$B$33,0)))*(1-IF(AND(ArtifactsInput!$M$27,Inputs!$B$4="Chapter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IFERROR(1/(IF(Inputs!$B$39="pvp",15,MAX(0.1,Skills!D13-IF(TRUE=TRUE,Inputs!$B$33,0)))*(1-IF(AND(ArtifactsInput!$M$27,Inputs!$B$4="Chapter Hunt"),CHOOSE(ArtifactsInput!$N$27+1,20,24,28,32,36,40),0)/100)),0)</f>
        <v/>
      </c>
      <c r="R400">
        <f>IF(AND(Inputs!$B$39&lt;&gt;"pvp",Inputs!$B$44&gt;0),IF(MAX(0,Inputs!$B$44-B427)&lt;=0,0,(INT(MAX(0,Inputs!$B$44-B427)/(IF(Inputs!$B$39="pvp",15,MAX(0.1,Skills!D13-IF(TRUE=TRUE,Inputs!$B$33,0)))*(1-IF(AND(ArtifactsInput!$M$27,Inputs!$B$4="Chapter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IFERROR(1/(IF(Inputs!$B$39="pvp",15,MAX(0.1,Skills!D14-IF(TRUE=TRUE,Inputs!$B$33,0)))*(1-IF(AND(ArtifactsInput!$M$27,Inputs!$B$4="Chapter Hunt"),CHOOSE(ArtifactsInput!$N$27+1,20,24,28,32,36,40),0)/100)),0)</f>
        <v/>
      </c>
      <c r="R401">
        <f>IF(AND(Inputs!$B$39&lt;&gt;"pvp",Inputs!$B$44&gt;0),IF(Inputs!$B$44&lt;=0,0,(INT(Inputs!$B$44/(IF(Inputs!$B$39="pvp",15,MAX(0.1,Skills!D14-IF(TRUE=TRUE,Inputs!$B$33,0)))*(1-IF(AND(ArtifactsInput!$M$27,Inputs!$B$4="Chapter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IFERROR(1/(IF(Inputs!$B$39="pvp",15,MAX(0.1,Skills!D15-IF(TRUE=TRUE,Inputs!$B$33,0)))*(1-IF(AND(ArtifactsInput!$M$27,Inputs!$B$4="Chapter Hunt"),CHOOSE(ArtifactsInput!$N$27+1,20,24,28,32,36,40),0)/100)),0)</f>
        <v/>
      </c>
      <c r="R402" t="n">
        <v>0</v>
      </c>
      <c r="S402">
        <f>IF(C402,(Skills!F15*N402*((IF(Inputs!$B$3&gt;=78,25,15)/100*B423*10)/(1+IF(Inputs!$B$3&gt;=78,25,15)/100*B423*IF(Inputs!$B$39="pvp",15,MAX(0.1,18-IF(TRUE=TRUE,Inputs!$B$33,0)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IF(Inputs!$B$39="pvp",15,MAX(0.1,18-IF(TRUE=TRUE,Inputs!$B$33,0)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IFERROR(1/(IF(Inputs!$B$39="pvp",15,MAX(0.1,Skills!D16-IF(TRUE=TRUE,Inputs!$B$33,0)))*(1-IF(AND(ArtifactsInput!$M$27,Inputs!$B$4="Chapter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IFERROR(1/(IF(Inputs!$B$39="pvp",15,MAX(0.1,Skills!D17-IF(TRUE=TRUE,Inputs!$B$33,0)))*(1-IF(AND(ArtifactsInput!$M$27,Inputs!$B$4="Chapter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IFERROR(1/(IF(Inputs!$B$39="pvp",15,MAX(0.1,Skills!D18-IF(TRUE=TRUE,Inputs!$B$33,0)))*(1-IF(AND(ArtifactsInput!$M$27,Inputs!$B$4="Chapter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IFERROR(1/(IF(Inputs!$B$39="pvp",15,MAX(0.1,Skills!D19-IF(TRUE=TRUE,Inputs!$B$33,0)))*(1-IF(AND(ArtifactsInput!$M$27,Inputs!$B$4="Chapter Hunt"),CHOOSE(ArtifactsInput!$N$27+1,20,24,28,32,36,40),0)/100)),0)</f>
        <v/>
      </c>
      <c r="R406">
        <f>IF(AND(Inputs!$B$39&lt;&gt;"pvp",Inputs!$B$44&gt;0),IF(Inputs!$B$44&lt;=0,0,(INT(Inputs!$B$44/(IF(Inputs!$B$39="pvp",15,MAX(0.1,Skills!D19-IF(TRUE=TRUE,Inputs!$B$33,0)))*(1-IF(AND(ArtifactsInput!$M$27,Inputs!$B$4="Chapter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IFERROR(1/(IF(Inputs!$B$39="pvp",15,MAX(0.1,Skills!D20-IF(TRUE=TRUE,Inputs!$B$33,0)))*(1-IF(AND(ArtifactsInput!$M$27,Inputs!$B$4="Chapter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IFERROR(1/(IF(Inputs!$B$39="pvp",15,MAX(0.1,Skills!D21-IF(TRUE=TRUE,Inputs!$B$33,0)))*(1-IF(AND(ArtifactsInput!$M$27,Inputs!$B$4="Chapter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IFERROR(1/(IF(Inputs!$B$39="pvp",15,MAX(0.1,Skills!D22-IF(TRUE=TRUE,Inputs!$B$33,0)))*(1-IF(AND(ArtifactsInput!$M$27,Inputs!$B$4="Chapter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IFERROR(1/(IF(Inputs!$B$39="pvp",15,MAX(0.1,Skills!D23-IF(TRUE=TRUE,Inputs!$B$33,0)))*(1-IF(AND(ArtifactsInput!$M$27,Inputs!$B$4="Chapter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IFERROR(1/(IF(Inputs!$B$39="pvp",15,MAX(0.1,Skills!D24-IF(TRUE=TRUE,Inputs!$B$33,0)))*(1-IF(AND(ArtifactsInput!$M$27,Inputs!$B$4="Chapter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IFERROR(1/(IF(Inputs!$B$39="pvp",15,MAX(0.1,Skills!D25-IF(TRUE=TRUE,Inputs!$B$33,0)))*(1-IF(AND(ArtifactsInput!$M$27,Inputs!$B$4="Chapter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IFERROR(1/(IF(Inputs!$B$39="pvp",15,MAX(0.1,Skills!D26-IF(TRUE=TRUE,Inputs!$B$33,0)))*(1-IF(AND(ArtifactsInput!$M$27,Inputs!$B$4="Chapter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IFERROR(1/(IF(Inputs!$B$39="pvp",15,MAX(0.1,Skills!D27-IF(TRUE=TRUE,Inputs!$B$33,0)))*(1-IF(AND(ArtifactsInput!$M$27,Inputs!$B$4="Chapter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IFERROR(1/(IF(Inputs!$B$39="pvp",15,MAX(0.1,Skills!D28-IF(TRUE=TRUE,Inputs!$B$33,0)))*(1-IF(AND(ArtifactsInput!$M$27,Inputs!$B$4="Chapter Hunt"),CHOOSE(ArtifactsInput!$N$27+1,20,24,28,32,36,40),0)/100)),0)</f>
        <v/>
      </c>
      <c r="R415">
        <f>IF(AND(Inputs!$B$39&lt;&gt;"pvp",Inputs!$B$44&gt;0),IF(Inputs!$B$44&lt;=0,0,(INT(Inputs!$B$44/(IF(Inputs!$B$39="pvp",15,MAX(0.1,Skills!D28-IF(TRUE=TRUE,Inputs!$B$33,0)))*(1-IF(AND(ArtifactsInput!$M$27,Inputs!$B$4="Chapter Hunt"),CHOOSE(ArtifactsInput!$N$27+1,20,24,28,32,36,40),0)/100)))+1)),0)</f>
        <v/>
      </c>
      <c r="S415" t="n">
        <v>0</v>
      </c>
      <c r="U415" t="n">
        <v>0</v>
      </c>
    </row>
    <row r="417">
      <c r="A417" t="inlineStr">
        <is>
          <t>Average Buff Multiplier</t>
        </is>
      </c>
      <c r="B417">
        <f>(1+(IF(C390=TRUE,F390*IF(AND(Inputs!$B$39&lt;&gt;"pvp",Inputs!$B$44&gt;0),(((R390-1)*MIN((Skills!S3*(1+((Inputs!$B$35+(ArtifactsInput!$M$7-ArtifactsInput!$M$7)*CHOOSE(ArtifactsInput!$N$7+1,6,7.2,8.4,9.6,10.8,12)))/100)),(1/Q390))+MIN((Skills!S3*(1+((Inputs!$B$35+(ArtifactsInput!$M$7-ArtifactsInput!$M$7)*CHOOSE(ArtifactsInput!$N$7+1,6,7.2,8.4,9.6,10.8,12)))/100)),MAX(0,Inputs!$B$44-((R390-1)*(1/Q390)))))/Inputs!$B$44),IF(Inputs!$B$39="pvp",MIN((Skills!S3*(1+((Inputs!$B$35+(ArtifactsInput!$M$7-ArtifactsInput!$M$7)*CHOOSE(ArtifactsInput!$N$7+1,6,7.2,8.4,9.6,10.8,12)))/100)),15)/15,MIN(1,(Skills!S3*(1+((Inputs!$B$35+(ArtifactsInput!$M$7-ArtifactsInput!$M$7)*CHOOSE(ArtifactsInput!$N$7+1,6,7.2,8.4,9.6,10.8,12)))/100))/(1/Q390)))),0)+IF(C391=TRUE,F391*IF(AND(Inputs!$B$39&lt;&gt;"pvp",Inputs!$B$44&gt;0),(((R391-1)*MIN((Skills!S4*(1+((Inputs!$B$35+(ArtifactsInput!$M$7-ArtifactsInput!$M$7)*CHOOSE(ArtifactsInput!$N$7+1,6,7.2,8.4,9.6,10.8,12)))/100)),(1/Q391))+MIN((Skills!S4*(1+((Inputs!$B$35+(ArtifactsInput!$M$7-ArtifactsInput!$M$7)*CHOOSE(ArtifactsInput!$N$7+1,6,7.2,8.4,9.6,10.8,12)))/100)),MAX(0,Inputs!$B$44-((R391-1)*(1/Q391)))))/Inputs!$B$44),IF(Inputs!$B$39="pvp",MIN((Skills!S4*(1+((Inputs!$B$35+(ArtifactsInput!$M$7-ArtifactsInput!$M$7)*CHOOSE(ArtifactsInput!$N$7+1,6,7.2,8.4,9.6,10.8,12)))/100)),15)/15,MIN(1,(Skills!S4*(1+((Inputs!$B$35+(ArtifactsInput!$M$7-ArtifactsInput!$M$7)*CHOOSE(ArtifactsInput!$N$7+1,6,7.2,8.4,9.6,10.8,12)))/100))/(1/Q391)))),0)+IF(C392=TRUE,F392*IF(AND(Inputs!$B$39&lt;&gt;"pvp",Inputs!$B$44&gt;0),(((R392-1)*MIN((Skills!S5*(1+((Inputs!$B$35+(ArtifactsInput!$M$7-ArtifactsInput!$M$7)*CHOOSE(ArtifactsInput!$N$7+1,6,7.2,8.4,9.6,10.8,12)))/100)),(1/Q392))+MIN((Skills!S5*(1+((Inputs!$B$35+(ArtifactsInput!$M$7-ArtifactsInput!$M$7)*CHOOSE(ArtifactsInput!$N$7+1,6,7.2,8.4,9.6,10.8,12)))/100)),MAX(0,Inputs!$B$44-((R392-1)*(1/Q392)))))/Inputs!$B$44),IF(Inputs!$B$39="pvp",MIN((Skills!S5*(1+((Inputs!$B$35+(ArtifactsInput!$M$7-ArtifactsInput!$M$7)*CHOOSE(ArtifactsInput!$N$7+1,6,7.2,8.4,9.6,10.8,12)))/100)),15)/15,MIN(1,(Skills!S5*(1+((Inputs!$B$35+(ArtifactsInput!$M$7-ArtifactsInput!$M$7)*CHOOSE(ArtifactsInput!$N$7+1,6,7.2,8.4,9.6,10.8,12)))/100))/(1/Q392)))),0)+IF(C398=TRUE,F398*IF(AND(Inputs!$B$39&lt;&gt;"pvp",Inputs!$B$44&gt;0),(((R398-1)*MIN((Skills!S11*(1+((Inputs!$B$35+(ArtifactsInput!$M$7-ArtifactsInput!$M$7)*CHOOSE(ArtifactsInput!$N$7+1,6,7.2,8.4,9.6,10.8,12)))/100)),(1/Q398))+MIN((Skills!S11*(1+((Inputs!$B$35+(ArtifactsInput!$M$7-ArtifactsInput!$M$7)*CHOOSE(ArtifactsInput!$N$7+1,6,7.2,8.4,9.6,10.8,12)))/100)),MAX(0,Inputs!$B$44-((R398-1)*(1/Q398)))))/Inputs!$B$44),IF(Inputs!$B$39="pvp",MIN((Skills!S11*(1+((Inputs!$B$35+(ArtifactsInput!$M$7-ArtifactsInput!$M$7)*CHOOSE(ArtifactsInput!$N$7+1,6,7.2,8.4,9.6,10.8,12)))/100)),15)/15,MIN(1,(Skills!S11*(1+((Inputs!$B$35+(ArtifactsInput!$M$7-ArtifactsInput!$M$7)*CHOOSE(ArtifactsInput!$N$7+1,6,7.2,8.4,9.6,10.8,12)))/100))/(1/Q398)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MIN((Skills!S14*(1+((Inputs!$B$35+(ArtifactsInput!$M$7-ArtifactsInput!$M$7)*CHOOSE(ArtifactsInput!$N$7+1,6,7.2,8.4,9.6,10.8,12)))/100)),(1/Q401))+MIN((Skills!S14*(1+((Inputs!$B$35+(ArtifactsInput!$M$7-ArtifactsInput!$M$7)*CHOOSE(ArtifactsInput!$N$7+1,6,7.2,8.4,9.6,10.8,12)))/100)),MAX(0,Inputs!$B$44-((R401-1)*(1/Q401)))))/Inputs!$B$44),IF(Inputs!$B$39="pvp",MIN((Skills!S14*(1+((Inputs!$B$35+(ArtifactsInput!$M$7-ArtifactsInput!$M$7)*CHOOSE(ArtifactsInput!$N$7+1,6,7.2,8.4,9.6,10.8,12)))/100)),15)/15,MIN(1,(Skills!S14*(1+((Inputs!$B$35+(ArtifactsInput!$M$7-ArtifactsInput!$M$7)*CHOOSE(ArtifactsInput!$N$7+1,6,7.2,8.4,9.6,10.8,12)))/100))/(1/Q401))))/100),1)*IF(C406=TRUE,(1+F406*IF(AND(Inputs!$B$39&lt;&gt;"pvp",Inputs!$B$44&gt;0),(((R406-1)*MIN((Skills!S19*(1+((Inputs!$B$35+(ArtifactsInput!$M$7-ArtifactsInput!$M$7)*CHOOSE(ArtifactsInput!$N$7+1,6,7.2,8.4,9.6,10.8,12)))/100)),(1/Q406))+MIN((Skills!S19*(1+((Inputs!$B$35+(ArtifactsInput!$M$7-ArtifactsInput!$M$7)*CHOOSE(ArtifactsInput!$N$7+1,6,7.2,8.4,9.6,10.8,12)))/100)),MAX(0,Inputs!$B$44-((R406-1)*(1/Q406)))))/Inputs!$B$44),IF(Inputs!$B$39="pvp",MIN((Skills!S19*(1+((Inputs!$B$35+(ArtifactsInput!$M$7-ArtifactsInput!$M$7)*CHOOSE(ArtifactsInput!$N$7+1,6,7.2,8.4,9.6,10.8,12)))/100)),15)/15,MIN(1,(Skills!S19*(1+((Inputs!$B$35+(ArtifactsInput!$M$7-ArtifactsInput!$M$7)*CHOOSE(ArtifactsInput!$N$7+1,6,7.2,8.4,9.6,10.8,12)))/100))/(1/Q406))))/100),1)</f>
        <v/>
      </c>
    </row>
    <row r="418">
      <c r="A418" t="inlineStr">
        <is>
          <t>Monster Damage Taken Bonus % (Holy Fountain)</t>
        </is>
      </c>
      <c r="B418">
        <f>IF(Inputs!$B$3&gt;=68,20*IF(Inputs!$B$39="pvp",MIN((15*(1+((Inputs!$B$35+(ArtifactsInput!$M$7-ArtifactsInput!$M$7)*CHOOSE(ArtifactsInput!$N$7+1,6,7.2,8.4,9.6,10.8,12)))/100)),15)/15,MIN(1,(15*(1+((Inputs!$B$35+(ArtifactsInput!$M$7-ArtifactsInput!$M$7)*CHOOSE(ArtifactsInput!$N$7+1,6,7.2,8.4,9.6,10.8,12)))/100))/(1/Q397))),0)</f>
        <v/>
      </c>
    </row>
    <row r="419">
      <c r="A419" t="inlineStr">
        <is>
          <t>Normal Monster Damage Bonus % (Holy Symbol)</t>
        </is>
      </c>
      <c r="B419">
        <f>IF(C399=TRUE,F399*IF(AND(Inputs!$B$39&lt;&gt;"pvp",Inputs!$B$44&gt;0),(((R399-1)*MIN((Skills!S12*(1+((Inputs!$B$35+(ArtifactsInput!$M$7-ArtifactsInput!$M$7)*CHOOSE(ArtifactsInput!$N$7+1,6,7.2,8.4,9.6,10.8,12)))/100)),(1/Q399))+MIN((Skills!S12*(1+((Inputs!$B$35+(ArtifactsInput!$M$7-ArtifactsInput!$M$7)*CHOOSE(ArtifactsInput!$N$7+1,6,7.2,8.4,9.6,10.8,12)))/100)),MAX(0,Inputs!$B$44-((R399-1)*(1/Q399)))))/Inputs!$B$44),IF(Inputs!$B$39="pvp",MIN((Skills!S12*(1+((Inputs!$B$35+(ArtifactsInput!$M$7-ArtifactsInput!$M$7)*CHOOSE(ArtifactsInput!$N$7+1,6,7.2,8.4,9.6,10.8,12)))/100)),15)/15,MIN(1,(Skills!S12*(1+((Inputs!$B$35+(ArtifactsInput!$M$7-ArtifactsInput!$M$7)*CHOOSE(ArtifactsInput!$N$7+1,6,7.2,8.4,9.6,10.8,12)))/100))/(1/Q399)))),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MIN((Skills!S28*(1+((Inputs!$B$35+(ArtifactsInput!$M$7-ArtifactsInput!$M$7)*CHOOSE(ArtifactsInput!$N$7+1,6,7.2,8.4,9.6,10.8,12)))/100)),(1/Q415))+MIN((Skills!S28*(1+((Inputs!$B$35+(ArtifactsInput!$M$7-ArtifactsInput!$M$7)*CHOOSE(ArtifactsInput!$N$7+1,6,7.2,8.4,9.6,10.8,12)))/100)),MAX(0,Inputs!$B$44-((R415-1)*(1/Q415)))))/Inputs!$B$44),IF(Inputs!$B$39="pvp",MIN((Skills!S28*(1+((Inputs!$B$35+(ArtifactsInput!$M$7-ArtifactsInput!$M$7)*CHOOSE(ArtifactsInput!$N$7+1,6,7.2,8.4,9.6,10.8,12)))/100)),15)/15,MIN(1,(Skills!S28*(1+((Inputs!$B$35+(ArtifactsInput!$M$7-ArtifactsInput!$M$7)*CHOOSE(ArtifactsInput!$N$7+1,6,7.2,8.4,9.6,10.8,12)))/100))/(1/Q415)))))</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MIN((Skills!S13*(1+((Inputs!$B$35+(ArtifactsInput!$M$7-ArtifactsInput!$M$7)*CHOOSE(ArtifactsInput!$N$7+1,6,7.2,8.4,9.6,10.8,12)))/100)),(1/Q400))+MIN((Skills!S13*(1+((Inputs!$B$35+(ArtifactsInput!$M$7-ArtifactsInput!$M$7)*CHOOSE(ArtifactsInput!$N$7+1,6,7.2,8.4,9.6,10.8,12)))/100)),MAX(0,Inputs!$B$44-((R400-1)*(1/Q400)))))/Inputs!$B$44),IF(Inputs!$B$39="pvp",MIN((Skills!S13*(1+((Inputs!$B$35+(ArtifactsInput!$M$7-ArtifactsInput!$M$7)*CHOOSE(ArtifactsInput!$N$7+1,6,7.2,8.4,9.6,10.8,12)))/100)),15)/15,MIN(1,(Skills!S13*(1+((Inputs!$B$35+(ArtifactsInput!$M$7-ArtifactsInput!$M$7)*CHOOSE(ArtifactsInput!$N$7+1,6,7.2,8.4,9.6,10.8,12)))/100))/(1/Q400)))),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IFERROR(1/(IF(Inputs!$B$39="pvp",15,MAX(0.1,Skills!D2-IF(TRUE=TRUE,Inputs!$B$33,0)))*(1-IF(AND(ArtifactsInput!$M$27,Inputs!$B$4="Chapter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IFERROR(1/(IF(Inputs!$B$39="pvp",15,MAX(0.1,Skills!D3-IF(TRUE=TRUE,Inputs!$B$33,0)))*(1-IF(AND(ArtifactsInput!$M$27,Inputs!$B$4="Chapter Hunt"),CHOOSE(ArtifactsInput!$N$27+1,20,24,28,32,36,40),0)/100)),0)</f>
        <v/>
      </c>
      <c r="R435">
        <f>IF(AND(Inputs!$B$39&lt;&gt;"pvp",Inputs!$B$44&gt;0),IF(Inputs!$B$44&lt;=0,0,(INT(Inputs!$B$44/(IF(Inputs!$B$39="pvp",15,MAX(0.1,Skills!D3-IF(TRUE=TRUE,Inputs!$B$33,0)))*(1-IF(AND(ArtifactsInput!$M$27,Inputs!$B$4="Chapter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IFERROR(1/(IF(Inputs!$B$39="pvp",15,MAX(0.1,Skills!D4-IF(TRUE=TRUE,Inputs!$B$33,0)))*(1-IF(AND(ArtifactsInput!$M$27,Inputs!$B$4="Chapter Hunt"),CHOOSE(ArtifactsInput!$N$27+1,20,24,28,32,36,40),0)/100)),0)</f>
        <v/>
      </c>
      <c r="R436">
        <f>IF(AND(Inputs!$B$39&lt;&gt;"pvp",Inputs!$B$44&gt;0),IF(Inputs!$B$44&lt;=0,0,(INT(Inputs!$B$44/(IF(Inputs!$B$39="pvp",15,MAX(0.1,Skills!D4-IF(TRUE=TRUE,Inputs!$B$33,0)))*(1-IF(AND(ArtifactsInput!$M$27,Inputs!$B$4="Chapter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IFERROR(1/(IF(Inputs!$B$39="pvp",15,MAX(0.1,Skills!D5-IF(TRUE=TRUE,Inputs!$B$33,0)))*(1-IF(AND(ArtifactsInput!$M$27,Inputs!$B$4="Chapter Hunt"),CHOOSE(ArtifactsInput!$N$27+1,20,24,28,32,36,40),0)/100)),0)</f>
        <v/>
      </c>
      <c r="R437">
        <f>IF(AND(Inputs!$B$39&lt;&gt;"pvp",Inputs!$B$44&gt;0),IF(Inputs!$B$44&lt;=0,0,(INT(Inputs!$B$44/(IF(Inputs!$B$39="pvp",15,MAX(0.1,Skills!D5-IF(TRUE=TRUE,Inputs!$B$33,0)))*(1-IF(AND(ArtifactsInput!$M$27,Inputs!$B$4="Chapter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IFERROR(1/(IF(Inputs!$B$39="pvp",15,MAX(0.1,Skills!D6-IF(TRUE=TRUE,Inputs!$B$33,0)))*(1-IF(AND(ArtifactsInput!$M$27,Inputs!$B$4="Chapter Hunt"),CHOOSE(ArtifactsInput!$N$27+1,20,24,28,32,36,40),0)/100)),0)</f>
        <v/>
      </c>
      <c r="R438">
        <f>IF(AND(Inputs!$B$39&lt;&gt;"pvp",Inputs!$B$44&gt;0),IF(MAX(0,Inputs!$B$44-B472)&lt;=0,0,(INT(MAX(0,Inputs!$B$44-B472)/(IF(Inputs!$B$39="pvp",15,MAX(0.1,Skills!D6-IF(TRUE=TRUE,Inputs!$B$33,0)))*(1-IF(AND(ArtifactsInput!$M$27,Inputs!$B$4="Chapter Hunt"),CHOOSE(ArtifactsInput!$N$27+1,20,24,28,32,36,40),0)/100)))+1)),0)</f>
        <v/>
      </c>
      <c r="S438">
        <f>IF(C438,(H438*N438*IF(AND(Inputs!$B$39&lt;&gt;"pvp",Inputs!$B$44&gt;0),((Skills!F6*((R438-1)*IF(Skills!G6&gt;0,INT(Skills!H6/Skills!G6+0.000000001),1)+IF(Skills!G6&gt;0,INT(MIN(Skills!H6,MAX(0,MAX(0,Inputs!$B$44-B472)-((R438-1)*(IF(Inputs!$B$39="pvp",15,MAX(0.1,Skills!D6-IF(TRUE=TRUE,Inputs!$B$33,0)))*(1-IF(AND(ArtifactsInput!$M$27,Inputs!$B$4="Chapter Hunt"),CHOOSE(ArtifactsInput!$N$27+1,20,24,28,32,36,40),0)/100)))))/Skills!G6+0.000000001),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INT(Skills!H6/Skills!G6+0.000000001),1)+IF(Skills!G6&gt;0,INT(MIN(Skills!H6,MAX(0,MAX(0,Inputs!$B$44-B472)-((R438-1)*(IF(Inputs!$B$39="pvp",15,MAX(0.1,Skills!D6-IF(TRUE=TRUE,Inputs!$B$33,0)))*(1-IF(AND(ArtifactsInput!$M$27,Inputs!$B$4="Chapter Hunt"),CHOOSE(ArtifactsInput!$N$27+1,20,24,28,32,36,40),0)/100)))))/Skills!G6+0.000000001),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IFERROR(1/(IF(Inputs!$B$39="pvp",15,MAX(0.1,Skills!D7-IF(TRUE=TRUE,Inputs!$B$33,0)))*(1-IF(AND(ArtifactsInput!$M$27,Inputs!$B$4="Chapter Hunt"),CHOOSE(ArtifactsInput!$N$27+1,20,24,28,32,36,40),0)/100)),0)</f>
        <v/>
      </c>
      <c r="R439">
        <f>IF(AND(Inputs!$B$39&lt;&gt;"pvp",Inputs!$B$44&gt;0),IF(MAX(0,Inputs!$B$44-B472)&lt;=0,0,(INT(MAX(0,Inputs!$B$44-B472)/(IF(Inputs!$B$39="pvp",15,MAX(0.1,Skills!D7-IF(TRUE=TRUE,Inputs!$B$33,0)))*(1-IF(AND(ArtifactsInput!$M$27,Inputs!$B$4="Chapter Hunt"),CHOOSE(ArtifactsInput!$N$27+1,20,24,28,32,36,40),0)/100)))+1)),0)</f>
        <v/>
      </c>
      <c r="S439">
        <f>IF(C439,H439*N439*IF(AND(Inputs!$B$39&lt;&gt;"pvp",Inputs!$B$44&gt;0),((Skills!F7*((R439-1)*IF(Skills!G7&gt;0,INT(Skills!H7/Skills!G7+0.000000001),1)+IF(Skills!G7&gt;0,INT(MIN(Skills!H7,MAX(0,MAX(0,Inputs!$B$44-B472)-((R439-1)*(IF(Inputs!$B$39="pvp",15,MAX(0.1,Skills!D7-IF(TRUE=TRUE,Inputs!$B$33,0)))*(1-IF(AND(ArtifactsInput!$M$27,Inputs!$B$4="Chapter Hunt"),CHOOSE(ArtifactsInput!$N$27+1,20,24,28,32,36,40),0)/100)))))/Skills!G7+0.000000001),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IFERROR(1/(IF(Inputs!$B$39="pvp",15,MAX(0.1,Skills!D8-IF(TRUE=TRUE,Inputs!$B$33,0)))*(1-IF(AND(ArtifactsInput!$M$27,Inputs!$B$4="Chapter Hunt"),CHOOSE(ArtifactsInput!$N$27+1,20,24,28,32,36,40),0)/100)),0)</f>
        <v/>
      </c>
      <c r="R440">
        <f>IF(AND(Inputs!$B$39&lt;&gt;"pvp",Inputs!$B$44&gt;0),IF(MAX(0,Inputs!$B$44-B472)&lt;=0,0,(INT(MAX(0,Inputs!$B$44-B472)/(IF(Inputs!$B$39="pvp",15,MAX(0.1,Skills!D8-IF(TRUE=TRUE,Inputs!$B$33,0)))*(1-IF(AND(ArtifactsInput!$M$27,Inputs!$B$4="Chapter Hunt"),CHOOSE(ArtifactsInput!$N$27+1,20,24,28,32,36,40),0)/100)))+1)),0)</f>
        <v/>
      </c>
      <c r="S440">
        <f>IF(C440,(H440*N440*IF(AND(Inputs!$B$39&lt;&gt;"pvp",Inputs!$B$44&gt;0),((Skills!F8*((R440-1)*IF(Skills!G8&gt;0,INT(Skills!H8/Skills!G8+0.000000001),1)+IF(Skills!G8&gt;0,INT(MIN(Skills!H8,MAX(0,MAX(0,Inputs!$B$44-B472)-((R440-1)*(IF(Inputs!$B$39="pvp",15,MAX(0.1,Skills!D8-IF(TRUE=TRUE,Inputs!$B$33,0)))*(1-IF(AND(ArtifactsInput!$M$27,Inputs!$B$4="Chapter Hunt"),CHOOSE(ArtifactsInput!$N$27+1,20,24,28,32,36,40),0)/100)))))/Skills!G8+0.000000001),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INT(Skills!H8/Skills!G8+0.000000001),1)+IF(Skills!G8&gt;0,INT(MIN(Skills!H8,MAX(0,MAX(0,Inputs!$B$44-B472)-((R440-1)*(IF(Inputs!$B$39="pvp",15,MAX(0.1,Skills!D8-IF(TRUE=TRUE,Inputs!$B$33,0)))*(1-IF(AND(ArtifactsInput!$M$27,Inputs!$B$4="Chapter Hunt"),CHOOSE(ArtifactsInput!$N$27+1,20,24,28,32,36,40),0)/100)))))/Skills!G8+0.000000001),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IFERROR(1/(IF(Inputs!$B$39="pvp",15,MAX(0.1,Skills!D9-IF(TRUE=TRUE,Inputs!$B$33,0)))*(1-IF(AND(ArtifactsInput!$M$27,Inputs!$B$4="Chapter Hunt"),CHOOSE(ArtifactsInput!$N$27+1,20,24,28,32,36,40),0)/100)),0)</f>
        <v/>
      </c>
      <c r="R441">
        <f>IF(AND(Inputs!$B$39&lt;&gt;"pvp",Inputs!$B$44&gt;0),IF(MAX(0,Inputs!$B$44-B472)&lt;=0,0,(INT(MAX(0,Inputs!$B$44-B472)/(IF(Inputs!$B$39="pvp",15,MAX(0.1,Skills!D9-IF(TRUE=TRUE,Inputs!$B$33,0)))*(1-IF(AND(ArtifactsInput!$M$27,Inputs!$B$4="Chapter Hunt"),CHOOSE(ArtifactsInput!$N$27+1,20,24,28,32,36,40),0)/100)))+1)),0)</f>
        <v/>
      </c>
      <c r="S441">
        <f>IF(C441,(H441*N441*IF(AND(Inputs!$B$39&lt;&gt;"pvp",Inputs!$B$44&gt;0),((Skills!F9*((R441-1)*IF(Skills!G9&gt;0,INT(Skills!H9/Skills!G9+0.000000001),1)+IF(Skills!G9&gt;0,INT(MIN(Skills!H9,MAX(0,MAX(0,Inputs!$B$44-B472)-((R441-1)*(IF(Inputs!$B$39="pvp",15,MAX(0.1,Skills!D9-IF(TRUE=TRUE,Inputs!$B$33,0)))*(1-IF(AND(ArtifactsInput!$M$27,Inputs!$B$4="Chapter Hunt"),CHOOSE(ArtifactsInput!$N$27+1,20,24,28,32,36,40),0)/100)))))/Skills!G9+0.000000001),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INT(Skills!H9/Skills!G9+0.000000001),1)+IF(Skills!G9&gt;0,INT(MIN(Skills!H9,MAX(0,MAX(0,Inputs!$B$44-B472)-((R441-1)*(IF(Inputs!$B$39="pvp",15,MAX(0.1,Skills!D9-IF(TRUE=TRUE,Inputs!$B$33,0)))*(1-IF(AND(ArtifactsInput!$M$27,Inputs!$B$4="Chapter Hunt"),CHOOSE(ArtifactsInput!$N$27+1,20,24,28,32,36,40),0)/100)))))/Skills!G9+0.000000001),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IFERROR(1/(IF(Inputs!$B$39="pvp",15,MAX(0.1,Skills!D10-IF(TRUE=TRUE,Inputs!$B$33,0)))*(1-IF(AND(ArtifactsInput!$M$27,Inputs!$B$4="Chapter Hunt"),CHOOSE(ArtifactsInput!$N$27+1,20,24,28,32,36,40),0)/100)),0)</f>
        <v/>
      </c>
      <c r="R442">
        <f>IF(AND(Inputs!$B$39&lt;&gt;"pvp",Inputs!$B$44&gt;0),IF(MAX(0,Inputs!$B$44-B472)&lt;=0,0,(INT(MAX(0,Inputs!$B$44-B472)/(IF(Inputs!$B$39="pvp",15,MAX(0.1,Skills!D10-IF(TRUE=TRUE,Inputs!$B$33,0)))*(1-IF(AND(ArtifactsInput!$M$27,Inputs!$B$4="Chapter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IFERROR(1/(IF(Inputs!$B$39="pvp",15,MAX(0.1,Skills!D11-IF(TRUE=TRUE,Inputs!$B$33,0)))*(1-IF(AND(ArtifactsInput!$M$27,Inputs!$B$4="Chapter Hunt"),CHOOSE(ArtifactsInput!$N$27+1,20,24,28,32,36,40),0)/100)),0)</f>
        <v/>
      </c>
      <c r="R443">
        <f>IF(AND(Inputs!$B$39&lt;&gt;"pvp",Inputs!$B$44&gt;0),IF(Inputs!$B$44&lt;=0,0,(INT(Inputs!$B$44/(IF(Inputs!$B$39="pvp",15,MAX(0.1,Skills!D11-IF(TRUE=TRUE,Inputs!$B$33,0)))*(1-IF(AND(ArtifactsInput!$M$27,Inputs!$B$4="Chapter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IFERROR(1/(IF(Inputs!$B$39="pvp",15,MAX(0.1,Skills!D12-IF(TRUE=TRUE,Inputs!$B$33,0)))*(1-IF(AND(ArtifactsInput!$M$27,Inputs!$B$4="Chapter Hunt"),CHOOSE(ArtifactsInput!$N$27+1,20,24,28,32,36,40),0)/100)),0)</f>
        <v/>
      </c>
      <c r="R444">
        <f>IF(AND(Inputs!$B$39&lt;&gt;"pvp",Inputs!$B$44&gt;0),IF(MAX(0,Inputs!$B$44-B472)&lt;=0,0,(INT(MAX(0,Inputs!$B$44-B472)/(IF(Inputs!$B$39="pvp",15,MAX(0.1,Skills!D12-IF(TRUE=TRUE,Inputs!$B$33,0)))*(1-IF(AND(ArtifactsInput!$M$27,Inputs!$B$4="Chapter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IFERROR(1/(IF(Inputs!$B$39="pvp",15,MAX(0.1,Skills!D13-IF(TRUE=TRUE,Inputs!$B$33,0)))*(1-IF(AND(ArtifactsInput!$M$27,Inputs!$B$4="Chapter Hunt"),CHOOSE(ArtifactsInput!$N$27+1,20,24,28,32,36,40),0)/100)),0)</f>
        <v/>
      </c>
      <c r="R445">
        <f>IF(AND(Inputs!$B$39&lt;&gt;"pvp",Inputs!$B$44&gt;0),IF(MAX(0,Inputs!$B$44-B472)&lt;=0,0,(INT(MAX(0,Inputs!$B$44-B472)/(IF(Inputs!$B$39="pvp",15,MAX(0.1,Skills!D13-IF(TRUE=TRUE,Inputs!$B$33,0)))*(1-IF(AND(ArtifactsInput!$M$27,Inputs!$B$4="Chapter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IFERROR(1/(IF(Inputs!$B$39="pvp",15,MAX(0.1,Skills!D14-IF(TRUE=TRUE,Inputs!$B$33,0)))*(1-IF(AND(ArtifactsInput!$M$27,Inputs!$B$4="Chapter Hunt"),CHOOSE(ArtifactsInput!$N$27+1,20,24,28,32,36,40),0)/100)),0)</f>
        <v/>
      </c>
      <c r="R446">
        <f>IF(AND(Inputs!$B$39&lt;&gt;"pvp",Inputs!$B$44&gt;0),IF(Inputs!$B$44&lt;=0,0,(INT(Inputs!$B$44/(IF(Inputs!$B$39="pvp",15,MAX(0.1,Skills!D14-IF(TRUE=TRUE,Inputs!$B$33,0)))*(1-IF(AND(ArtifactsInput!$M$27,Inputs!$B$4="Chapter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IFERROR(1/(IF(Inputs!$B$39="pvp",15,MAX(0.1,Skills!D15-IF(TRUE=TRUE,Inputs!$B$33,0)))*(1-IF(AND(ArtifactsInput!$M$27,Inputs!$B$4="Chapter Hunt"),CHOOSE(ArtifactsInput!$N$27+1,20,24,28,32,36,40),0)/100)),0)</f>
        <v/>
      </c>
      <c r="R447" t="n">
        <v>0</v>
      </c>
      <c r="S447">
        <f>IF(C447,(Skills!F15*N447*((IF(Inputs!$B$3&gt;=78,25,15)/100*B468*10)/(1+IF(Inputs!$B$3&gt;=78,25,15)/100*B468*IF(Inputs!$B$39="pvp",15,MAX(0.1,18-IF(TRUE=TRUE,Inputs!$B$33,0)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IF(Inputs!$B$39="pvp",15,MAX(0.1,18-IF(TRUE=TRUE,Inputs!$B$33,0)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IFERROR(1/(IF(Inputs!$B$39="pvp",15,MAX(0.1,Skills!D16-IF(TRUE=TRUE,Inputs!$B$33,0)))*(1-IF(AND(ArtifactsInput!$M$27,Inputs!$B$4="Chapter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IFERROR(1/(IF(Inputs!$B$39="pvp",15,MAX(0.1,Skills!D17-IF(TRUE=TRUE,Inputs!$B$33,0)))*(1-IF(AND(ArtifactsInput!$M$27,Inputs!$B$4="Chapter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IFERROR(1/(IF(Inputs!$B$39="pvp",15,MAX(0.1,Skills!D18-IF(TRUE=TRUE,Inputs!$B$33,0)))*(1-IF(AND(ArtifactsInput!$M$27,Inputs!$B$4="Chapter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IFERROR(1/(IF(Inputs!$B$39="pvp",15,MAX(0.1,Skills!D19-IF(TRUE=TRUE,Inputs!$B$33,0)))*(1-IF(AND(ArtifactsInput!$M$27,Inputs!$B$4="Chapter Hunt"),CHOOSE(ArtifactsInput!$N$27+1,20,24,28,32,36,40),0)/100)),0)</f>
        <v/>
      </c>
      <c r="R451">
        <f>IF(AND(Inputs!$B$39&lt;&gt;"pvp",Inputs!$B$44&gt;0),IF(Inputs!$B$44&lt;=0,0,(INT(Inputs!$B$44/(IF(Inputs!$B$39="pvp",15,MAX(0.1,Skills!D19-IF(TRUE=TRUE,Inputs!$B$33,0)))*(1-IF(AND(ArtifactsInput!$M$27,Inputs!$B$4="Chapter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IFERROR(1/(IF(Inputs!$B$39="pvp",15,MAX(0.1,Skills!D20-IF(TRUE=TRUE,Inputs!$B$33,0)))*(1-IF(AND(ArtifactsInput!$M$27,Inputs!$B$4="Chapter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IFERROR(1/(IF(Inputs!$B$39="pvp",15,MAX(0.1,Skills!D21-IF(TRUE=TRUE,Inputs!$B$33,0)))*(1-IF(AND(ArtifactsInput!$M$27,Inputs!$B$4="Chapter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IFERROR(1/(IF(Inputs!$B$39="pvp",15,MAX(0.1,Skills!D22-IF(TRUE=TRUE,Inputs!$B$33,0)))*(1-IF(AND(ArtifactsInput!$M$27,Inputs!$B$4="Chapter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IFERROR(1/(IF(Inputs!$B$39="pvp",15,MAX(0.1,Skills!D23-IF(TRUE=TRUE,Inputs!$B$33,0)))*(1-IF(AND(ArtifactsInput!$M$27,Inputs!$B$4="Chapter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IFERROR(1/(IF(Inputs!$B$39="pvp",15,MAX(0.1,Skills!D24-IF(TRUE=TRUE,Inputs!$B$33,0)))*(1-IF(AND(ArtifactsInput!$M$27,Inputs!$B$4="Chapter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IFERROR(1/(IF(Inputs!$B$39="pvp",15,MAX(0.1,Skills!D25-IF(TRUE=TRUE,Inputs!$B$33,0)))*(1-IF(AND(ArtifactsInput!$M$27,Inputs!$B$4="Chapter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IFERROR(1/(IF(Inputs!$B$39="pvp",15,MAX(0.1,Skills!D26-IF(TRUE=TRUE,Inputs!$B$33,0)))*(1-IF(AND(ArtifactsInput!$M$27,Inputs!$B$4="Chapter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IFERROR(1/(IF(Inputs!$B$39="pvp",15,MAX(0.1,Skills!D27-IF(TRUE=TRUE,Inputs!$B$33,0)))*(1-IF(AND(ArtifactsInput!$M$27,Inputs!$B$4="Chapter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IFERROR(1/(IF(Inputs!$B$39="pvp",15,MAX(0.1,Skills!D28-IF(TRUE=TRUE,Inputs!$B$33,0)))*(1-IF(AND(ArtifactsInput!$M$27,Inputs!$B$4="Chapter Hunt"),CHOOSE(ArtifactsInput!$N$27+1,20,24,28,32,36,40),0)/100)),0)</f>
        <v/>
      </c>
      <c r="R460">
        <f>IF(AND(Inputs!$B$39&lt;&gt;"pvp",Inputs!$B$44&gt;0),IF(Inputs!$B$44&lt;=0,0,(INT(Inputs!$B$44/(IF(Inputs!$B$39="pvp",15,MAX(0.1,Skills!D28-IF(TRUE=TRUE,Inputs!$B$33,0)))*(1-IF(AND(ArtifactsInput!$M$27,Inputs!$B$4="Chapter Hunt"),CHOOSE(ArtifactsInput!$N$27+1,20,24,28,32,36,40),0)/100)))+1)),0)</f>
        <v/>
      </c>
      <c r="S460" t="n">
        <v>0</v>
      </c>
      <c r="U460" t="n">
        <v>0</v>
      </c>
    </row>
    <row r="462">
      <c r="A462" t="inlineStr">
        <is>
          <t>Average Buff Multiplier</t>
        </is>
      </c>
      <c r="B462">
        <f>(1+(IF(C435=TRUE,F435*IF(AND(Inputs!$B$39&lt;&gt;"pvp",Inputs!$B$44&gt;0),(((R435-1)*MIN((Skills!S3*(1+((Inputs!$B$35+(ArtifactsInput!$M$7-ArtifactsInput!$M$7)*CHOOSE(ArtifactsInput!$N$7+1,6,7.2,8.4,9.6,10.8,12)))/100)),(1/Q435))+MIN((Skills!S3*(1+((Inputs!$B$35+(ArtifactsInput!$M$7-ArtifactsInput!$M$7)*CHOOSE(ArtifactsInput!$N$7+1,6,7.2,8.4,9.6,10.8,12)))/100)),MAX(0,Inputs!$B$44-((R435-1)*(1/Q435)))))/Inputs!$B$44),IF(Inputs!$B$39="pvp",MIN((Skills!S3*(1+((Inputs!$B$35+(ArtifactsInput!$M$7-ArtifactsInput!$M$7)*CHOOSE(ArtifactsInput!$N$7+1,6,7.2,8.4,9.6,10.8,12)))/100)),15)/15,MIN(1,(Skills!S3*(1+((Inputs!$B$35+(ArtifactsInput!$M$7-ArtifactsInput!$M$7)*CHOOSE(ArtifactsInput!$N$7+1,6,7.2,8.4,9.6,10.8,12)))/100))/(1/Q435)))),0)+IF(C436=TRUE,F436*IF(AND(Inputs!$B$39&lt;&gt;"pvp",Inputs!$B$44&gt;0),(((R436-1)*MIN((Skills!S4*(1+((Inputs!$B$35+(ArtifactsInput!$M$7-ArtifactsInput!$M$7)*CHOOSE(ArtifactsInput!$N$7+1,6,7.2,8.4,9.6,10.8,12)))/100)),(1/Q436))+MIN((Skills!S4*(1+((Inputs!$B$35+(ArtifactsInput!$M$7-ArtifactsInput!$M$7)*CHOOSE(ArtifactsInput!$N$7+1,6,7.2,8.4,9.6,10.8,12)))/100)),MAX(0,Inputs!$B$44-((R436-1)*(1/Q436)))))/Inputs!$B$44),IF(Inputs!$B$39="pvp",MIN((Skills!S4*(1+((Inputs!$B$35+(ArtifactsInput!$M$7-ArtifactsInput!$M$7)*CHOOSE(ArtifactsInput!$N$7+1,6,7.2,8.4,9.6,10.8,12)))/100)),15)/15,MIN(1,(Skills!S4*(1+((Inputs!$B$35+(ArtifactsInput!$M$7-ArtifactsInput!$M$7)*CHOOSE(ArtifactsInput!$N$7+1,6,7.2,8.4,9.6,10.8,12)))/100))/(1/Q436)))),0)+IF(C437=TRUE,F437*IF(AND(Inputs!$B$39&lt;&gt;"pvp",Inputs!$B$44&gt;0),(((R437-1)*MIN((Skills!S5*(1+((Inputs!$B$35+(ArtifactsInput!$M$7-ArtifactsInput!$M$7)*CHOOSE(ArtifactsInput!$N$7+1,6,7.2,8.4,9.6,10.8,12)))/100)),(1/Q437))+MIN((Skills!S5*(1+((Inputs!$B$35+(ArtifactsInput!$M$7-ArtifactsInput!$M$7)*CHOOSE(ArtifactsInput!$N$7+1,6,7.2,8.4,9.6,10.8,12)))/100)),MAX(0,Inputs!$B$44-((R437-1)*(1/Q437)))))/Inputs!$B$44),IF(Inputs!$B$39="pvp",MIN((Skills!S5*(1+((Inputs!$B$35+(ArtifactsInput!$M$7-ArtifactsInput!$M$7)*CHOOSE(ArtifactsInput!$N$7+1,6,7.2,8.4,9.6,10.8,12)))/100)),15)/15,MIN(1,(Skills!S5*(1+((Inputs!$B$35+(ArtifactsInput!$M$7-ArtifactsInput!$M$7)*CHOOSE(ArtifactsInput!$N$7+1,6,7.2,8.4,9.6,10.8,12)))/100))/(1/Q437)))),0)+IF(C443=TRUE,F443*IF(AND(Inputs!$B$39&lt;&gt;"pvp",Inputs!$B$44&gt;0),(((R443-1)*MIN((Skills!S11*(1+((Inputs!$B$35+(ArtifactsInput!$M$7-ArtifactsInput!$M$7)*CHOOSE(ArtifactsInput!$N$7+1,6,7.2,8.4,9.6,10.8,12)))/100)),(1/Q443))+MIN((Skills!S11*(1+((Inputs!$B$35+(ArtifactsInput!$M$7-ArtifactsInput!$M$7)*CHOOSE(ArtifactsInput!$N$7+1,6,7.2,8.4,9.6,10.8,12)))/100)),MAX(0,Inputs!$B$44-((R443-1)*(1/Q443)))))/Inputs!$B$44),IF(Inputs!$B$39="pvp",MIN((Skills!S11*(1+((Inputs!$B$35+(ArtifactsInput!$M$7-ArtifactsInput!$M$7)*CHOOSE(ArtifactsInput!$N$7+1,6,7.2,8.4,9.6,10.8,12)))/100)),15)/15,MIN(1,(Skills!S11*(1+((Inputs!$B$35+(ArtifactsInput!$M$7-ArtifactsInput!$M$7)*CHOOSE(ArtifactsInput!$N$7+1,6,7.2,8.4,9.6,10.8,12)))/100))/(1/Q443)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MIN((Skills!S14*(1+((Inputs!$B$35+(ArtifactsInput!$M$7-ArtifactsInput!$M$7)*CHOOSE(ArtifactsInput!$N$7+1,6,7.2,8.4,9.6,10.8,12)))/100)),(1/Q446))+MIN((Skills!S14*(1+((Inputs!$B$35+(ArtifactsInput!$M$7-ArtifactsInput!$M$7)*CHOOSE(ArtifactsInput!$N$7+1,6,7.2,8.4,9.6,10.8,12)))/100)),MAX(0,Inputs!$B$44-((R446-1)*(1/Q446)))))/Inputs!$B$44),IF(Inputs!$B$39="pvp",MIN((Skills!S14*(1+((Inputs!$B$35+(ArtifactsInput!$M$7-ArtifactsInput!$M$7)*CHOOSE(ArtifactsInput!$N$7+1,6,7.2,8.4,9.6,10.8,12)))/100)),15)/15,MIN(1,(Skills!S14*(1+((Inputs!$B$35+(ArtifactsInput!$M$7-ArtifactsInput!$M$7)*CHOOSE(ArtifactsInput!$N$7+1,6,7.2,8.4,9.6,10.8,12)))/100))/(1/Q446))))/100),1)*IF(C451=TRUE,(1+F451*IF(AND(Inputs!$B$39&lt;&gt;"pvp",Inputs!$B$44&gt;0),(((R451-1)*MIN((Skills!S19*(1+((Inputs!$B$35+(ArtifactsInput!$M$7-ArtifactsInput!$M$7)*CHOOSE(ArtifactsInput!$N$7+1,6,7.2,8.4,9.6,10.8,12)))/100)),(1/Q451))+MIN((Skills!S19*(1+((Inputs!$B$35+(ArtifactsInput!$M$7-ArtifactsInput!$M$7)*CHOOSE(ArtifactsInput!$N$7+1,6,7.2,8.4,9.6,10.8,12)))/100)),MAX(0,Inputs!$B$44-((R451-1)*(1/Q451)))))/Inputs!$B$44),IF(Inputs!$B$39="pvp",MIN((Skills!S19*(1+((Inputs!$B$35+(ArtifactsInput!$M$7-ArtifactsInput!$M$7)*CHOOSE(ArtifactsInput!$N$7+1,6,7.2,8.4,9.6,10.8,12)))/100)),15)/15,MIN(1,(Skills!S19*(1+((Inputs!$B$35+(ArtifactsInput!$M$7-ArtifactsInput!$M$7)*CHOOSE(ArtifactsInput!$N$7+1,6,7.2,8.4,9.6,10.8,12)))/100))/(1/Q451))))/100),1)</f>
        <v/>
      </c>
    </row>
    <row r="463">
      <c r="A463" t="inlineStr">
        <is>
          <t>Monster Damage Taken Bonus % (Holy Fountain)</t>
        </is>
      </c>
      <c r="B463">
        <f>IF(Inputs!$B$3&gt;=68,20*IF(Inputs!$B$39="pvp",MIN((15*(1+((Inputs!$B$35+(ArtifactsInput!$M$7-ArtifactsInput!$M$7)*CHOOSE(ArtifactsInput!$N$7+1,6,7.2,8.4,9.6,10.8,12)))/100)),15)/15,MIN(1,(15*(1+((Inputs!$B$35+(ArtifactsInput!$M$7-ArtifactsInput!$M$7)*CHOOSE(ArtifactsInput!$N$7+1,6,7.2,8.4,9.6,10.8,12)))/100))/(1/Q442))),0)</f>
        <v/>
      </c>
    </row>
    <row r="464">
      <c r="A464" t="inlineStr">
        <is>
          <t>Normal Monster Damage Bonus % (Holy Symbol)</t>
        </is>
      </c>
      <c r="B464">
        <f>IF(C444=TRUE,F444*IF(AND(Inputs!$B$39&lt;&gt;"pvp",Inputs!$B$44&gt;0),(((R444-1)*MIN((Skills!S12*(1+((Inputs!$B$35+(ArtifactsInput!$M$7-ArtifactsInput!$M$7)*CHOOSE(ArtifactsInput!$N$7+1,6,7.2,8.4,9.6,10.8,12)))/100)),(1/Q444))+MIN((Skills!S12*(1+((Inputs!$B$35+(ArtifactsInput!$M$7-ArtifactsInput!$M$7)*CHOOSE(ArtifactsInput!$N$7+1,6,7.2,8.4,9.6,10.8,12)))/100)),MAX(0,Inputs!$B$44-((R444-1)*(1/Q444)))))/Inputs!$B$44),IF(Inputs!$B$39="pvp",MIN((Skills!S12*(1+((Inputs!$B$35+(ArtifactsInput!$M$7-ArtifactsInput!$M$7)*CHOOSE(ArtifactsInput!$N$7+1,6,7.2,8.4,9.6,10.8,12)))/100)),15)/15,MIN(1,(Skills!S12*(1+((Inputs!$B$35+(ArtifactsInput!$M$7-ArtifactsInput!$M$7)*CHOOSE(ArtifactsInput!$N$7+1,6,7.2,8.4,9.6,10.8,12)))/100))/(1/Q444)))),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MIN((Skills!S28*(1+((Inputs!$B$35+(ArtifactsInput!$M$7-ArtifactsInput!$M$7)*CHOOSE(ArtifactsInput!$N$7+1,6,7.2,8.4,9.6,10.8,12)))/100)),(1/Q460))+MIN((Skills!S28*(1+((Inputs!$B$35+(ArtifactsInput!$M$7-ArtifactsInput!$M$7)*CHOOSE(ArtifactsInput!$N$7+1,6,7.2,8.4,9.6,10.8,12)))/100)),MAX(0,Inputs!$B$44-((R460-1)*(1/Q460)))))/Inputs!$B$44),IF(Inputs!$B$39="pvp",MIN((Skills!S28*(1+((Inputs!$B$35+(ArtifactsInput!$M$7-ArtifactsInput!$M$7)*CHOOSE(ArtifactsInput!$N$7+1,6,7.2,8.4,9.6,10.8,12)))/100)),15)/15,MIN(1,(Skills!S28*(1+((Inputs!$B$35+(ArtifactsInput!$M$7-ArtifactsInput!$M$7)*CHOOSE(ArtifactsInput!$N$7+1,6,7.2,8.4,9.6,10.8,12)))/100))/(1/Q460)))))</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MIN((Skills!S13*(1+((Inputs!$B$35+(ArtifactsInput!$M$7-ArtifactsInput!$M$7)*CHOOSE(ArtifactsInput!$N$7+1,6,7.2,8.4,9.6,10.8,12)))/100)),(1/Q445))+MIN((Skills!S13*(1+((Inputs!$B$35+(ArtifactsInput!$M$7-ArtifactsInput!$M$7)*CHOOSE(ArtifactsInput!$N$7+1,6,7.2,8.4,9.6,10.8,12)))/100)),MAX(0,Inputs!$B$44-((R445-1)*(1/Q445)))))/Inputs!$B$44),IF(Inputs!$B$39="pvp",MIN((Skills!S13*(1+((Inputs!$B$35+(ArtifactsInput!$M$7-ArtifactsInput!$M$7)*CHOOSE(ArtifactsInput!$N$7+1,6,7.2,8.4,9.6,10.8,12)))/100)),15)/15,MIN(1,(Skills!S13*(1+((Inputs!$B$35+(ArtifactsInput!$M$7-ArtifactsInput!$M$7)*CHOOSE(ArtifactsInput!$N$7+1,6,7.2,8.4,9.6,10.8,12)))/100))/(1/Q445)))),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IFERROR(1/(IF(Inputs!$B$39="pvp",15,MAX(0.1,Skills!D2-IF(TRUE=TRUE,Inputs!$B$33,0)))*(1-IF(AND(ArtifactsInput!$M$27,Inputs!$B$4="Chapter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IFERROR(1/(IF(Inputs!$B$39="pvp",15,MAX(0.1,Skills!D3-IF(TRUE=TRUE,Inputs!$B$33,0)))*(1-IF(AND(ArtifactsInput!$M$27,Inputs!$B$4="Chapter Hunt"),CHOOSE(ArtifactsInput!$N$27+1,20,24,28,32,36,40),0)/100)),0)</f>
        <v/>
      </c>
      <c r="R480">
        <f>IF(AND(Inputs!$B$39&lt;&gt;"pvp",Inputs!$B$44&gt;0),IF(Inputs!$B$44&lt;=0,0,(INT(Inputs!$B$44/(IF(Inputs!$B$39="pvp",15,MAX(0.1,Skills!D3-IF(TRUE=TRUE,Inputs!$B$33,0)))*(1-IF(AND(ArtifactsInput!$M$27,Inputs!$B$4="Chapter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IFERROR(1/(IF(Inputs!$B$39="pvp",15,MAX(0.1,Skills!D4-IF(TRUE=TRUE,Inputs!$B$33,0)))*(1-IF(AND(ArtifactsInput!$M$27,Inputs!$B$4="Chapter Hunt"),CHOOSE(ArtifactsInput!$N$27+1,20,24,28,32,36,40),0)/100)),0)</f>
        <v/>
      </c>
      <c r="R481">
        <f>IF(AND(Inputs!$B$39&lt;&gt;"pvp",Inputs!$B$44&gt;0),IF(Inputs!$B$44&lt;=0,0,(INT(Inputs!$B$44/(IF(Inputs!$B$39="pvp",15,MAX(0.1,Skills!D4-IF(TRUE=TRUE,Inputs!$B$33,0)))*(1-IF(AND(ArtifactsInput!$M$27,Inputs!$B$4="Chapter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IFERROR(1/(IF(Inputs!$B$39="pvp",15,MAX(0.1,Skills!D5-IF(TRUE=TRUE,Inputs!$B$33,0)))*(1-IF(AND(ArtifactsInput!$M$27,Inputs!$B$4="Chapter Hunt"),CHOOSE(ArtifactsInput!$N$27+1,20,24,28,32,36,40),0)/100)),0)</f>
        <v/>
      </c>
      <c r="R482">
        <f>IF(AND(Inputs!$B$39&lt;&gt;"pvp",Inputs!$B$44&gt;0),IF(Inputs!$B$44&lt;=0,0,(INT(Inputs!$B$44/(IF(Inputs!$B$39="pvp",15,MAX(0.1,Skills!D5-IF(TRUE=TRUE,Inputs!$B$33,0)))*(1-IF(AND(ArtifactsInput!$M$27,Inputs!$B$4="Chapter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IFERROR(1/(IF(Inputs!$B$39="pvp",15,MAX(0.1,Skills!D6-IF(TRUE=TRUE,Inputs!$B$33,0)))*(1-IF(AND(ArtifactsInput!$M$27,Inputs!$B$4="Chapter Hunt"),CHOOSE(ArtifactsInput!$N$27+1,20,24,28,32,36,40),0)/100)),0)</f>
        <v/>
      </c>
      <c r="R483">
        <f>IF(AND(Inputs!$B$39&lt;&gt;"pvp",Inputs!$B$44&gt;0),IF(MAX(0,Inputs!$B$44-B517)&lt;=0,0,(INT(MAX(0,Inputs!$B$44-B517)/(IF(Inputs!$B$39="pvp",15,MAX(0.1,Skills!D6-IF(TRUE=TRUE,Inputs!$B$33,0)))*(1-IF(AND(ArtifactsInput!$M$27,Inputs!$B$4="Chapter Hunt"),CHOOSE(ArtifactsInput!$N$27+1,20,24,28,32,36,40),0)/100)))+1)),0)</f>
        <v/>
      </c>
      <c r="S483">
        <f>IF(C483,(H483*N483*IF(AND(Inputs!$B$39&lt;&gt;"pvp",Inputs!$B$44&gt;0),((Skills!F6*((R483-1)*IF(Skills!G6&gt;0,INT(Skills!H6/Skills!G6+0.000000001),1)+IF(Skills!G6&gt;0,INT(MIN(Skills!H6,MAX(0,MAX(0,Inputs!$B$44-B517)-((R483-1)*(IF(Inputs!$B$39="pvp",15,MAX(0.1,Skills!D6-IF(TRUE=TRUE,Inputs!$B$33,0)))*(1-IF(AND(ArtifactsInput!$M$27,Inputs!$B$4="Chapter Hunt"),CHOOSE(ArtifactsInput!$N$27+1,20,24,28,32,36,40),0)/100)))))/Skills!G6+0.000000001),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INT(Skills!H6/Skills!G6+0.000000001),1)+IF(Skills!G6&gt;0,INT(MIN(Skills!H6,MAX(0,MAX(0,Inputs!$B$44-B517)-((R483-1)*(IF(Inputs!$B$39="pvp",15,MAX(0.1,Skills!D6-IF(TRUE=TRUE,Inputs!$B$33,0)))*(1-IF(AND(ArtifactsInput!$M$27,Inputs!$B$4="Chapter Hunt"),CHOOSE(ArtifactsInput!$N$27+1,20,24,28,32,36,40),0)/100)))))/Skills!G6+0.000000001),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IFERROR(1/(IF(Inputs!$B$39="pvp",15,MAX(0.1,Skills!D7-IF(TRUE=TRUE,Inputs!$B$33,0)))*(1-IF(AND(ArtifactsInput!$M$27,Inputs!$B$4="Chapter Hunt"),CHOOSE(ArtifactsInput!$N$27+1,20,24,28,32,36,40),0)/100)),0)</f>
        <v/>
      </c>
      <c r="R484">
        <f>IF(AND(Inputs!$B$39&lt;&gt;"pvp",Inputs!$B$44&gt;0),IF(MAX(0,Inputs!$B$44-B517)&lt;=0,0,(INT(MAX(0,Inputs!$B$44-B517)/(IF(Inputs!$B$39="pvp",15,MAX(0.1,Skills!D7-IF(TRUE=TRUE,Inputs!$B$33,0)))*(1-IF(AND(ArtifactsInput!$M$27,Inputs!$B$4="Chapter Hunt"),CHOOSE(ArtifactsInput!$N$27+1,20,24,28,32,36,40),0)/100)))+1)),0)</f>
        <v/>
      </c>
      <c r="S484">
        <f>IF(C484,H484*N484*IF(AND(Inputs!$B$39&lt;&gt;"pvp",Inputs!$B$44&gt;0),((Skills!F7*((R484-1)*IF(Skills!G7&gt;0,INT(Skills!H7/Skills!G7+0.000000001),1)+IF(Skills!G7&gt;0,INT(MIN(Skills!H7,MAX(0,MAX(0,Inputs!$B$44-B517)-((R484-1)*(IF(Inputs!$B$39="pvp",15,MAX(0.1,Skills!D7-IF(TRUE=TRUE,Inputs!$B$33,0)))*(1-IF(AND(ArtifactsInput!$M$27,Inputs!$B$4="Chapter Hunt"),CHOOSE(ArtifactsInput!$N$27+1,20,24,28,32,36,40),0)/100)))))/Skills!G7+0.000000001),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IFERROR(1/(IF(Inputs!$B$39="pvp",15,MAX(0.1,Skills!D8-IF(TRUE=TRUE,Inputs!$B$33,0)))*(1-IF(AND(ArtifactsInput!$M$27,Inputs!$B$4="Chapter Hunt"),CHOOSE(ArtifactsInput!$N$27+1,20,24,28,32,36,40),0)/100)),0)</f>
        <v/>
      </c>
      <c r="R485">
        <f>IF(AND(Inputs!$B$39&lt;&gt;"pvp",Inputs!$B$44&gt;0),IF(MAX(0,Inputs!$B$44-B517)&lt;=0,0,(INT(MAX(0,Inputs!$B$44-B517)/(IF(Inputs!$B$39="pvp",15,MAX(0.1,Skills!D8-IF(TRUE=TRUE,Inputs!$B$33,0)))*(1-IF(AND(ArtifactsInput!$M$27,Inputs!$B$4="Chapter Hunt"),CHOOSE(ArtifactsInput!$N$27+1,20,24,28,32,36,40),0)/100)))+1)),0)</f>
        <v/>
      </c>
      <c r="S485">
        <f>IF(C485,(H485*N485*IF(AND(Inputs!$B$39&lt;&gt;"pvp",Inputs!$B$44&gt;0),((Skills!F8*((R485-1)*IF(Skills!G8&gt;0,INT(Skills!H8/Skills!G8+0.000000001),1)+IF(Skills!G8&gt;0,INT(MIN(Skills!H8,MAX(0,MAX(0,Inputs!$B$44-B517)-((R485-1)*(IF(Inputs!$B$39="pvp",15,MAX(0.1,Skills!D8-IF(TRUE=TRUE,Inputs!$B$33,0)))*(1-IF(AND(ArtifactsInput!$M$27,Inputs!$B$4="Chapter Hunt"),CHOOSE(ArtifactsInput!$N$27+1,20,24,28,32,36,40),0)/100)))))/Skills!G8+0.000000001),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INT(Skills!H8/Skills!G8+0.000000001),1)+IF(Skills!G8&gt;0,INT(MIN(Skills!H8,MAX(0,MAX(0,Inputs!$B$44-B517)-((R485-1)*(IF(Inputs!$B$39="pvp",15,MAX(0.1,Skills!D8-IF(TRUE=TRUE,Inputs!$B$33,0)))*(1-IF(AND(ArtifactsInput!$M$27,Inputs!$B$4="Chapter Hunt"),CHOOSE(ArtifactsInput!$N$27+1,20,24,28,32,36,40),0)/100)))))/Skills!G8+0.000000001),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IFERROR(1/(IF(Inputs!$B$39="pvp",15,MAX(0.1,Skills!D9-IF(TRUE=TRUE,Inputs!$B$33,0)))*(1-IF(AND(ArtifactsInput!$M$27,Inputs!$B$4="Chapter Hunt"),CHOOSE(ArtifactsInput!$N$27+1,20,24,28,32,36,40),0)/100)),0)</f>
        <v/>
      </c>
      <c r="R486">
        <f>IF(AND(Inputs!$B$39&lt;&gt;"pvp",Inputs!$B$44&gt;0),IF(MAX(0,Inputs!$B$44-B517)&lt;=0,0,(INT(MAX(0,Inputs!$B$44-B517)/(IF(Inputs!$B$39="pvp",15,MAX(0.1,Skills!D9-IF(TRUE=TRUE,Inputs!$B$33,0)))*(1-IF(AND(ArtifactsInput!$M$27,Inputs!$B$4="Chapter Hunt"),CHOOSE(ArtifactsInput!$N$27+1,20,24,28,32,36,40),0)/100)))+1)),0)</f>
        <v/>
      </c>
      <c r="S486">
        <f>IF(C486,(H486*N486*IF(AND(Inputs!$B$39&lt;&gt;"pvp",Inputs!$B$44&gt;0),((Skills!F9*((R486-1)*IF(Skills!G9&gt;0,INT(Skills!H9/Skills!G9+0.000000001),1)+IF(Skills!G9&gt;0,INT(MIN(Skills!H9,MAX(0,MAX(0,Inputs!$B$44-B517)-((R486-1)*(IF(Inputs!$B$39="pvp",15,MAX(0.1,Skills!D9-IF(TRUE=TRUE,Inputs!$B$33,0)))*(1-IF(AND(ArtifactsInput!$M$27,Inputs!$B$4="Chapter Hunt"),CHOOSE(ArtifactsInput!$N$27+1,20,24,28,32,36,40),0)/100)))))/Skills!G9+0.000000001),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INT(Skills!H9/Skills!G9+0.000000001),1)+IF(Skills!G9&gt;0,INT(MIN(Skills!H9,MAX(0,MAX(0,Inputs!$B$44-B517)-((R486-1)*(IF(Inputs!$B$39="pvp",15,MAX(0.1,Skills!D9-IF(TRUE=TRUE,Inputs!$B$33,0)))*(1-IF(AND(ArtifactsInput!$M$27,Inputs!$B$4="Chapter Hunt"),CHOOSE(ArtifactsInput!$N$27+1,20,24,28,32,36,40),0)/100)))))/Skills!G9+0.000000001),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IFERROR(1/(IF(Inputs!$B$39="pvp",15,MAX(0.1,Skills!D10-IF(TRUE=TRUE,Inputs!$B$33,0)))*(1-IF(AND(ArtifactsInput!$M$27,Inputs!$B$4="Chapter Hunt"),CHOOSE(ArtifactsInput!$N$27+1,20,24,28,32,36,40),0)/100)),0)</f>
        <v/>
      </c>
      <c r="R487">
        <f>IF(AND(Inputs!$B$39&lt;&gt;"pvp",Inputs!$B$44&gt;0),IF(MAX(0,Inputs!$B$44-B517)&lt;=0,0,(INT(MAX(0,Inputs!$B$44-B517)/(IF(Inputs!$B$39="pvp",15,MAX(0.1,Skills!D10-IF(TRUE=TRUE,Inputs!$B$33,0)))*(1-IF(AND(ArtifactsInput!$M$27,Inputs!$B$4="Chapter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IFERROR(1/(IF(Inputs!$B$39="pvp",15,MAX(0.1,Skills!D11-IF(TRUE=TRUE,Inputs!$B$33,0)))*(1-IF(AND(ArtifactsInput!$M$27,Inputs!$B$4="Chapter Hunt"),CHOOSE(ArtifactsInput!$N$27+1,20,24,28,32,36,40),0)/100)),0)</f>
        <v/>
      </c>
      <c r="R488">
        <f>IF(AND(Inputs!$B$39&lt;&gt;"pvp",Inputs!$B$44&gt;0),IF(Inputs!$B$44&lt;=0,0,(INT(Inputs!$B$44/(IF(Inputs!$B$39="pvp",15,MAX(0.1,Skills!D11-IF(TRUE=TRUE,Inputs!$B$33,0)))*(1-IF(AND(ArtifactsInput!$M$27,Inputs!$B$4="Chapter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IFERROR(1/(IF(Inputs!$B$39="pvp",15,MAX(0.1,Skills!D12-IF(TRUE=TRUE,Inputs!$B$33,0)))*(1-IF(AND(ArtifactsInput!$M$27,Inputs!$B$4="Chapter Hunt"),CHOOSE(ArtifactsInput!$N$27+1,20,24,28,32,36,40),0)/100)),0)</f>
        <v/>
      </c>
      <c r="R489">
        <f>IF(AND(Inputs!$B$39&lt;&gt;"pvp",Inputs!$B$44&gt;0),IF(MAX(0,Inputs!$B$44-B517)&lt;=0,0,(INT(MAX(0,Inputs!$B$44-B517)/(IF(Inputs!$B$39="pvp",15,MAX(0.1,Skills!D12-IF(TRUE=TRUE,Inputs!$B$33,0)))*(1-IF(AND(ArtifactsInput!$M$27,Inputs!$B$4="Chapter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IFERROR(1/(IF(Inputs!$B$39="pvp",15,MAX(0.1,Skills!D13-IF(TRUE=TRUE,Inputs!$B$33,0)))*(1-IF(AND(ArtifactsInput!$M$27,Inputs!$B$4="Chapter Hunt"),CHOOSE(ArtifactsInput!$N$27+1,20,24,28,32,36,40),0)/100)),0)</f>
        <v/>
      </c>
      <c r="R490">
        <f>IF(AND(Inputs!$B$39&lt;&gt;"pvp",Inputs!$B$44&gt;0),IF(MAX(0,Inputs!$B$44-B517)&lt;=0,0,(INT(MAX(0,Inputs!$B$44-B517)/(IF(Inputs!$B$39="pvp",15,MAX(0.1,Skills!D13-IF(TRUE=TRUE,Inputs!$B$33,0)))*(1-IF(AND(ArtifactsInput!$M$27,Inputs!$B$4="Chapter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IFERROR(1/(IF(Inputs!$B$39="pvp",15,MAX(0.1,Skills!D14-IF(TRUE=TRUE,Inputs!$B$33,0)))*(1-IF(AND(ArtifactsInput!$M$27,Inputs!$B$4="Chapter Hunt"),CHOOSE(ArtifactsInput!$N$27+1,20,24,28,32,36,40),0)/100)),0)</f>
        <v/>
      </c>
      <c r="R491">
        <f>IF(AND(Inputs!$B$39&lt;&gt;"pvp",Inputs!$B$44&gt;0),IF(Inputs!$B$44&lt;=0,0,(INT(Inputs!$B$44/(IF(Inputs!$B$39="pvp",15,MAX(0.1,Skills!D14-IF(TRUE=TRUE,Inputs!$B$33,0)))*(1-IF(AND(ArtifactsInput!$M$27,Inputs!$B$4="Chapter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IFERROR(1/(IF(Inputs!$B$39="pvp",15,MAX(0.1,Skills!D15-IF(TRUE=TRUE,Inputs!$B$33,0)))*(1-IF(AND(ArtifactsInput!$M$27,Inputs!$B$4="Chapter Hunt"),CHOOSE(ArtifactsInput!$N$27+1,20,24,28,32,36,40),0)/100)),0)</f>
        <v/>
      </c>
      <c r="R492" t="n">
        <v>0</v>
      </c>
      <c r="S492">
        <f>IF(C492,(Skills!F15*N492*((IF(Inputs!$B$3&gt;=78,25,15)/100*B513*10)/(1+IF(Inputs!$B$3&gt;=78,25,15)/100*B513*IF(Inputs!$B$39="pvp",15,MAX(0.1,18-IF(TRUE=TRUE,Inputs!$B$33,0)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IF(Inputs!$B$39="pvp",15,MAX(0.1,18-IF(TRUE=TRUE,Inputs!$B$33,0)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IFERROR(1/(IF(Inputs!$B$39="pvp",15,MAX(0.1,Skills!D16-IF(TRUE=TRUE,Inputs!$B$33,0)))*(1-IF(AND(ArtifactsInput!$M$27,Inputs!$B$4="Chapter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IFERROR(1/(IF(Inputs!$B$39="pvp",15,MAX(0.1,Skills!D17-IF(TRUE=TRUE,Inputs!$B$33,0)))*(1-IF(AND(ArtifactsInput!$M$27,Inputs!$B$4="Chapter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IFERROR(1/(IF(Inputs!$B$39="pvp",15,MAX(0.1,Skills!D18-IF(TRUE=TRUE,Inputs!$B$33,0)))*(1-IF(AND(ArtifactsInput!$M$27,Inputs!$B$4="Chapter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IFERROR(1/(IF(Inputs!$B$39="pvp",15,MAX(0.1,Skills!D19-IF(TRUE=TRUE,Inputs!$B$33,0)))*(1-IF(AND(ArtifactsInput!$M$27,Inputs!$B$4="Chapter Hunt"),CHOOSE(ArtifactsInput!$N$27+1,20,24,28,32,36,40),0)/100)),0)</f>
        <v/>
      </c>
      <c r="R496">
        <f>IF(AND(Inputs!$B$39&lt;&gt;"pvp",Inputs!$B$44&gt;0),IF(Inputs!$B$44&lt;=0,0,(INT(Inputs!$B$44/(IF(Inputs!$B$39="pvp",15,MAX(0.1,Skills!D19-IF(TRUE=TRUE,Inputs!$B$33,0)))*(1-IF(AND(ArtifactsInput!$M$27,Inputs!$B$4="Chapter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IFERROR(1/(IF(Inputs!$B$39="pvp",15,MAX(0.1,Skills!D20-IF(TRUE=TRUE,Inputs!$B$33,0)))*(1-IF(AND(ArtifactsInput!$M$27,Inputs!$B$4="Chapter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IFERROR(1/(IF(Inputs!$B$39="pvp",15,MAX(0.1,Skills!D21-IF(TRUE=TRUE,Inputs!$B$33,0)))*(1-IF(AND(ArtifactsInput!$M$27,Inputs!$B$4="Chapter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IFERROR(1/(IF(Inputs!$B$39="pvp",15,MAX(0.1,Skills!D22-IF(TRUE=TRUE,Inputs!$B$33,0)))*(1-IF(AND(ArtifactsInput!$M$27,Inputs!$B$4="Chapter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IFERROR(1/(IF(Inputs!$B$39="pvp",15,MAX(0.1,Skills!D23-IF(TRUE=TRUE,Inputs!$B$33,0)))*(1-IF(AND(ArtifactsInput!$M$27,Inputs!$B$4="Chapter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IFERROR(1/(IF(Inputs!$B$39="pvp",15,MAX(0.1,Skills!D24-IF(TRUE=TRUE,Inputs!$B$33,0)))*(1-IF(AND(ArtifactsInput!$M$27,Inputs!$B$4="Chapter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IFERROR(1/(IF(Inputs!$B$39="pvp",15,MAX(0.1,Skills!D25-IF(TRUE=TRUE,Inputs!$B$33,0)))*(1-IF(AND(ArtifactsInput!$M$27,Inputs!$B$4="Chapter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IFERROR(1/(IF(Inputs!$B$39="pvp",15,MAX(0.1,Skills!D26-IF(TRUE=TRUE,Inputs!$B$33,0)))*(1-IF(AND(ArtifactsInput!$M$27,Inputs!$B$4="Chapter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IFERROR(1/(IF(Inputs!$B$39="pvp",15,MAX(0.1,Skills!D27-IF(TRUE=TRUE,Inputs!$B$33,0)))*(1-IF(AND(ArtifactsInput!$M$27,Inputs!$B$4="Chapter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IFERROR(1/(IF(Inputs!$B$39="pvp",15,MAX(0.1,Skills!D28-IF(TRUE=TRUE,Inputs!$B$33,0)))*(1-IF(AND(ArtifactsInput!$M$27,Inputs!$B$4="Chapter Hunt"),CHOOSE(ArtifactsInput!$N$27+1,20,24,28,32,36,40),0)/100)),0)</f>
        <v/>
      </c>
      <c r="R505">
        <f>IF(AND(Inputs!$B$39&lt;&gt;"pvp",Inputs!$B$44&gt;0),IF(Inputs!$B$44&lt;=0,0,(INT(Inputs!$B$44/(IF(Inputs!$B$39="pvp",15,MAX(0.1,Skills!D28-IF(TRUE=TRUE,Inputs!$B$33,0)))*(1-IF(AND(ArtifactsInput!$M$27,Inputs!$B$4="Chapter Hunt"),CHOOSE(ArtifactsInput!$N$27+1,20,24,28,32,36,40),0)/100)))+1)),0)</f>
        <v/>
      </c>
      <c r="S505" t="n">
        <v>0</v>
      </c>
      <c r="U505" t="n">
        <v>0</v>
      </c>
    </row>
    <row r="507">
      <c r="A507" t="inlineStr">
        <is>
          <t>Average Buff Multiplier</t>
        </is>
      </c>
      <c r="B507">
        <f>(1+(IF(C480=TRUE,F480*IF(AND(Inputs!$B$39&lt;&gt;"pvp",Inputs!$B$44&gt;0),(((R480-1)*MIN((Skills!S3*(1+((Inputs!$B$35+(ArtifactsInput!$M$7-ArtifactsInput!$M$7)*CHOOSE(ArtifactsInput!$N$7+1,6,7.2,8.4,9.6,10.8,12)))/100)),(1/Q480))+MIN((Skills!S3*(1+((Inputs!$B$35+(ArtifactsInput!$M$7-ArtifactsInput!$M$7)*CHOOSE(ArtifactsInput!$N$7+1,6,7.2,8.4,9.6,10.8,12)))/100)),MAX(0,Inputs!$B$44-((R480-1)*(1/Q480)))))/Inputs!$B$44),IF(Inputs!$B$39="pvp",MIN((Skills!S3*(1+((Inputs!$B$35+(ArtifactsInput!$M$7-ArtifactsInput!$M$7)*CHOOSE(ArtifactsInput!$N$7+1,6,7.2,8.4,9.6,10.8,12)))/100)),15)/15,MIN(1,(Skills!S3*(1+((Inputs!$B$35+(ArtifactsInput!$M$7-ArtifactsInput!$M$7)*CHOOSE(ArtifactsInput!$N$7+1,6,7.2,8.4,9.6,10.8,12)))/100))/(1/Q480)))),0)+IF(C481=TRUE,F481*IF(AND(Inputs!$B$39&lt;&gt;"pvp",Inputs!$B$44&gt;0),(((R481-1)*MIN((Skills!S4*(1+((Inputs!$B$35+(ArtifactsInput!$M$7-ArtifactsInput!$M$7)*CHOOSE(ArtifactsInput!$N$7+1,6,7.2,8.4,9.6,10.8,12)))/100)),(1/Q481))+MIN((Skills!S4*(1+((Inputs!$B$35+(ArtifactsInput!$M$7-ArtifactsInput!$M$7)*CHOOSE(ArtifactsInput!$N$7+1,6,7.2,8.4,9.6,10.8,12)))/100)),MAX(0,Inputs!$B$44-((R481-1)*(1/Q481)))))/Inputs!$B$44),IF(Inputs!$B$39="pvp",MIN((Skills!S4*(1+((Inputs!$B$35+(ArtifactsInput!$M$7-ArtifactsInput!$M$7)*CHOOSE(ArtifactsInput!$N$7+1,6,7.2,8.4,9.6,10.8,12)))/100)),15)/15,MIN(1,(Skills!S4*(1+((Inputs!$B$35+(ArtifactsInput!$M$7-ArtifactsInput!$M$7)*CHOOSE(ArtifactsInput!$N$7+1,6,7.2,8.4,9.6,10.8,12)))/100))/(1/Q481)))),0)+IF(C482=TRUE,F482*IF(AND(Inputs!$B$39&lt;&gt;"pvp",Inputs!$B$44&gt;0),(((R482-1)*MIN((Skills!S5*(1+((Inputs!$B$35+(ArtifactsInput!$M$7-ArtifactsInput!$M$7)*CHOOSE(ArtifactsInput!$N$7+1,6,7.2,8.4,9.6,10.8,12)))/100)),(1/Q482))+MIN((Skills!S5*(1+((Inputs!$B$35+(ArtifactsInput!$M$7-ArtifactsInput!$M$7)*CHOOSE(ArtifactsInput!$N$7+1,6,7.2,8.4,9.6,10.8,12)))/100)),MAX(0,Inputs!$B$44-((R482-1)*(1/Q482)))))/Inputs!$B$44),IF(Inputs!$B$39="pvp",MIN((Skills!S5*(1+((Inputs!$B$35+(ArtifactsInput!$M$7-ArtifactsInput!$M$7)*CHOOSE(ArtifactsInput!$N$7+1,6,7.2,8.4,9.6,10.8,12)))/100)),15)/15,MIN(1,(Skills!S5*(1+((Inputs!$B$35+(ArtifactsInput!$M$7-ArtifactsInput!$M$7)*CHOOSE(ArtifactsInput!$N$7+1,6,7.2,8.4,9.6,10.8,12)))/100))/(1/Q482)))),0)+IF(C488=TRUE,F488*IF(AND(Inputs!$B$39&lt;&gt;"pvp",Inputs!$B$44&gt;0),(((R488-1)*MIN((Skills!S11*(1+((Inputs!$B$35+(ArtifactsInput!$M$7-ArtifactsInput!$M$7)*CHOOSE(ArtifactsInput!$N$7+1,6,7.2,8.4,9.6,10.8,12)))/100)),(1/Q488))+MIN((Skills!S11*(1+((Inputs!$B$35+(ArtifactsInput!$M$7-ArtifactsInput!$M$7)*CHOOSE(ArtifactsInput!$N$7+1,6,7.2,8.4,9.6,10.8,12)))/100)),MAX(0,Inputs!$B$44-((R488-1)*(1/Q488)))))/Inputs!$B$44),IF(Inputs!$B$39="pvp",MIN((Skills!S11*(1+((Inputs!$B$35+(ArtifactsInput!$M$7-ArtifactsInput!$M$7)*CHOOSE(ArtifactsInput!$N$7+1,6,7.2,8.4,9.6,10.8,12)))/100)),15)/15,MIN(1,(Skills!S11*(1+((Inputs!$B$35+(ArtifactsInput!$M$7-ArtifactsInput!$M$7)*CHOOSE(ArtifactsInput!$N$7+1,6,7.2,8.4,9.6,10.8,12)))/100))/(1/Q488)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MIN((Skills!S14*(1+((Inputs!$B$35+(ArtifactsInput!$M$7-ArtifactsInput!$M$7)*CHOOSE(ArtifactsInput!$N$7+1,6,7.2,8.4,9.6,10.8,12)))/100)),(1/Q491))+MIN((Skills!S14*(1+((Inputs!$B$35+(ArtifactsInput!$M$7-ArtifactsInput!$M$7)*CHOOSE(ArtifactsInput!$N$7+1,6,7.2,8.4,9.6,10.8,12)))/100)),MAX(0,Inputs!$B$44-((R491-1)*(1/Q491)))))/Inputs!$B$44),IF(Inputs!$B$39="pvp",MIN((Skills!S14*(1+((Inputs!$B$35+(ArtifactsInput!$M$7-ArtifactsInput!$M$7)*CHOOSE(ArtifactsInput!$N$7+1,6,7.2,8.4,9.6,10.8,12)))/100)),15)/15,MIN(1,(Skills!S14*(1+((Inputs!$B$35+(ArtifactsInput!$M$7-ArtifactsInput!$M$7)*CHOOSE(ArtifactsInput!$N$7+1,6,7.2,8.4,9.6,10.8,12)))/100))/(1/Q491))))/100),1)*IF(C496=TRUE,(1+F496*IF(AND(Inputs!$B$39&lt;&gt;"pvp",Inputs!$B$44&gt;0),(((R496-1)*MIN((Skills!S19*(1+((Inputs!$B$35+(ArtifactsInput!$M$7-ArtifactsInput!$M$7)*CHOOSE(ArtifactsInput!$N$7+1,6,7.2,8.4,9.6,10.8,12)))/100)),(1/Q496))+MIN((Skills!S19*(1+((Inputs!$B$35+(ArtifactsInput!$M$7-ArtifactsInput!$M$7)*CHOOSE(ArtifactsInput!$N$7+1,6,7.2,8.4,9.6,10.8,12)))/100)),MAX(0,Inputs!$B$44-((R496-1)*(1/Q496)))))/Inputs!$B$44),IF(Inputs!$B$39="pvp",MIN((Skills!S19*(1+((Inputs!$B$35+(ArtifactsInput!$M$7-ArtifactsInput!$M$7)*CHOOSE(ArtifactsInput!$N$7+1,6,7.2,8.4,9.6,10.8,12)))/100)),15)/15,MIN(1,(Skills!S19*(1+((Inputs!$B$35+(ArtifactsInput!$M$7-ArtifactsInput!$M$7)*CHOOSE(ArtifactsInput!$N$7+1,6,7.2,8.4,9.6,10.8,12)))/100))/(1/Q496))))/100),1)</f>
        <v/>
      </c>
    </row>
    <row r="508">
      <c r="A508" t="inlineStr">
        <is>
          <t>Monster Damage Taken Bonus % (Holy Fountain)</t>
        </is>
      </c>
      <c r="B508">
        <f>IF(Inputs!$B$3&gt;=68,20*IF(Inputs!$B$39="pvp",MIN((15*(1+((Inputs!$B$35+(ArtifactsInput!$M$7-ArtifactsInput!$M$7)*CHOOSE(ArtifactsInput!$N$7+1,6,7.2,8.4,9.6,10.8,12)))/100)),15)/15,MIN(1,(15*(1+((Inputs!$B$35+(ArtifactsInput!$M$7-ArtifactsInput!$M$7)*CHOOSE(ArtifactsInput!$N$7+1,6,7.2,8.4,9.6,10.8,12)))/100))/(1/Q487))),0)</f>
        <v/>
      </c>
    </row>
    <row r="509">
      <c r="A509" t="inlineStr">
        <is>
          <t>Normal Monster Damage Bonus % (Holy Symbol)</t>
        </is>
      </c>
      <c r="B509">
        <f>IF(C489=TRUE,F489*IF(AND(Inputs!$B$39&lt;&gt;"pvp",Inputs!$B$44&gt;0),(((R489-1)*MIN((Skills!S12*(1+((Inputs!$B$35+(ArtifactsInput!$M$7-ArtifactsInput!$M$7)*CHOOSE(ArtifactsInput!$N$7+1,6,7.2,8.4,9.6,10.8,12)))/100)),(1/Q489))+MIN((Skills!S12*(1+((Inputs!$B$35+(ArtifactsInput!$M$7-ArtifactsInput!$M$7)*CHOOSE(ArtifactsInput!$N$7+1,6,7.2,8.4,9.6,10.8,12)))/100)),MAX(0,Inputs!$B$44-((R489-1)*(1/Q489)))))/Inputs!$B$44),IF(Inputs!$B$39="pvp",MIN((Skills!S12*(1+((Inputs!$B$35+(ArtifactsInput!$M$7-ArtifactsInput!$M$7)*CHOOSE(ArtifactsInput!$N$7+1,6,7.2,8.4,9.6,10.8,12)))/100)),15)/15,MIN(1,(Skills!S12*(1+((Inputs!$B$35+(ArtifactsInput!$M$7-ArtifactsInput!$M$7)*CHOOSE(ArtifactsInput!$N$7+1,6,7.2,8.4,9.6,10.8,12)))/100))/(1/Q489)))),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MIN((Skills!S28*(1+((Inputs!$B$35+(ArtifactsInput!$M$7-ArtifactsInput!$M$7)*CHOOSE(ArtifactsInput!$N$7+1,6,7.2,8.4,9.6,10.8,12)))/100)),(1/Q505))+MIN((Skills!S28*(1+((Inputs!$B$35+(ArtifactsInput!$M$7-ArtifactsInput!$M$7)*CHOOSE(ArtifactsInput!$N$7+1,6,7.2,8.4,9.6,10.8,12)))/100)),MAX(0,Inputs!$B$44-((R505-1)*(1/Q505)))))/Inputs!$B$44),IF(Inputs!$B$39="pvp",MIN((Skills!S28*(1+((Inputs!$B$35+(ArtifactsInput!$M$7-ArtifactsInput!$M$7)*CHOOSE(ArtifactsInput!$N$7+1,6,7.2,8.4,9.6,10.8,12)))/100)),15)/15,MIN(1,(Skills!S28*(1+((Inputs!$B$35+(ArtifactsInput!$M$7-ArtifactsInput!$M$7)*CHOOSE(ArtifactsInput!$N$7+1,6,7.2,8.4,9.6,10.8,12)))/100))/(1/Q505)))))</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MIN((Skills!S13*(1+((Inputs!$B$35+(ArtifactsInput!$M$7-ArtifactsInput!$M$7)*CHOOSE(ArtifactsInput!$N$7+1,6,7.2,8.4,9.6,10.8,12)))/100)),(1/Q490))+MIN((Skills!S13*(1+((Inputs!$B$35+(ArtifactsInput!$M$7-ArtifactsInput!$M$7)*CHOOSE(ArtifactsInput!$N$7+1,6,7.2,8.4,9.6,10.8,12)))/100)),MAX(0,Inputs!$B$44-((R490-1)*(1/Q490)))))/Inputs!$B$44),IF(Inputs!$B$39="pvp",MIN((Skills!S13*(1+((Inputs!$B$35+(ArtifactsInput!$M$7-ArtifactsInput!$M$7)*CHOOSE(ArtifactsInput!$N$7+1,6,7.2,8.4,9.6,10.8,12)))/100)),15)/15,MIN(1,(Skills!S13*(1+((Inputs!$B$35+(ArtifactsInput!$M$7-ArtifactsInput!$M$7)*CHOOSE(ArtifactsInput!$N$7+1,6,7.2,8.4,9.6,10.8,12)))/100))/(1/Q490)))),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IFERROR(1/(IF(Inputs!$B$39="pvp",15,MAX(0.1,Skills!D2-IF(TRUE=TRUE,Inputs!$B$33,0)))*(1-IF(AND(ArtifactsInput!$M$27,Inputs!$B$4="Chapter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IFERROR(1/(IF(Inputs!$B$39="pvp",15,MAX(0.1,Skills!D3-IF(TRUE=TRUE,Inputs!$B$33,0)))*(1-IF(AND(ArtifactsInput!$M$27,Inputs!$B$4="Chapter Hunt"),CHOOSE(ArtifactsInput!$N$27+1,20,24,28,32,36,40),0)/100)),0)</f>
        <v/>
      </c>
      <c r="R525">
        <f>IF(AND(Inputs!$B$39&lt;&gt;"pvp",Inputs!$B$44&gt;0),IF(Inputs!$B$44&lt;=0,0,(INT(Inputs!$B$44/(IF(Inputs!$B$39="pvp",15,MAX(0.1,Skills!D3-IF(TRUE=TRUE,Inputs!$B$33,0)))*(1-IF(AND(ArtifactsInput!$M$27,Inputs!$B$4="Chapter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IFERROR(1/(IF(Inputs!$B$39="pvp",15,MAX(0.1,Skills!D4-IF(TRUE=TRUE,Inputs!$B$33,0)))*(1-IF(AND(ArtifactsInput!$M$27,Inputs!$B$4="Chapter Hunt"),CHOOSE(ArtifactsInput!$N$27+1,20,24,28,32,36,40),0)/100)),0)</f>
        <v/>
      </c>
      <c r="R526">
        <f>IF(AND(Inputs!$B$39&lt;&gt;"pvp",Inputs!$B$44&gt;0),IF(Inputs!$B$44&lt;=0,0,(INT(Inputs!$B$44/(IF(Inputs!$B$39="pvp",15,MAX(0.1,Skills!D4-IF(TRUE=TRUE,Inputs!$B$33,0)))*(1-IF(AND(ArtifactsInput!$M$27,Inputs!$B$4="Chapter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IFERROR(1/(IF(Inputs!$B$39="pvp",15,MAX(0.1,Skills!D5-IF(TRUE=TRUE,Inputs!$B$33,0)))*(1-IF(AND(ArtifactsInput!$M$27,Inputs!$B$4="Chapter Hunt"),CHOOSE(ArtifactsInput!$N$27+1,20,24,28,32,36,40),0)/100)),0)</f>
        <v/>
      </c>
      <c r="R527">
        <f>IF(AND(Inputs!$B$39&lt;&gt;"pvp",Inputs!$B$44&gt;0),IF(Inputs!$B$44&lt;=0,0,(INT(Inputs!$B$44/(IF(Inputs!$B$39="pvp",15,MAX(0.1,Skills!D5-IF(TRUE=TRUE,Inputs!$B$33,0)))*(1-IF(AND(ArtifactsInput!$M$27,Inputs!$B$4="Chapter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IFERROR(1/(IF(Inputs!$B$39="pvp",15,MAX(0.1,Skills!D6-IF(TRUE=TRUE,Inputs!$B$33,0)))*(1-IF(AND(ArtifactsInput!$M$27,Inputs!$B$4="Chapter Hunt"),CHOOSE(ArtifactsInput!$N$27+1,20,24,28,32,36,40),0)/100)),0)</f>
        <v/>
      </c>
      <c r="R528">
        <f>IF(AND(Inputs!$B$39&lt;&gt;"pvp",Inputs!$B$44&gt;0),IF(MAX(0,Inputs!$B$44-B562)&lt;=0,0,(INT(MAX(0,Inputs!$B$44-B562)/(IF(Inputs!$B$39="pvp",15,MAX(0.1,Skills!D6-IF(TRUE=TRUE,Inputs!$B$33,0)))*(1-IF(AND(ArtifactsInput!$M$27,Inputs!$B$4="Chapter Hunt"),CHOOSE(ArtifactsInput!$N$27+1,20,24,28,32,36,40),0)/100)))+1)),0)</f>
        <v/>
      </c>
      <c r="S528">
        <f>IF(C528,(H528*N528*IF(AND(Inputs!$B$39&lt;&gt;"pvp",Inputs!$B$44&gt;0),((Skills!F6*((R528-1)*IF(Skills!G6&gt;0,INT(Skills!H6/Skills!G6+0.000000001),1)+IF(Skills!G6&gt;0,INT(MIN(Skills!H6,MAX(0,MAX(0,Inputs!$B$44-B562)-((R528-1)*(IF(Inputs!$B$39="pvp",15,MAX(0.1,Skills!D6-IF(TRUE=TRUE,Inputs!$B$33,0)))*(1-IF(AND(ArtifactsInput!$M$27,Inputs!$B$4="Chapter Hunt"),CHOOSE(ArtifactsInput!$N$27+1,20,24,28,32,36,40),0)/100)))))/Skills!G6+0.000000001),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INT(Skills!H6/Skills!G6+0.000000001),1)+IF(Skills!G6&gt;0,INT(MIN(Skills!H6,MAX(0,MAX(0,Inputs!$B$44-B562)-((R528-1)*(IF(Inputs!$B$39="pvp",15,MAX(0.1,Skills!D6-IF(TRUE=TRUE,Inputs!$B$33,0)))*(1-IF(AND(ArtifactsInput!$M$27,Inputs!$B$4="Chapter Hunt"),CHOOSE(ArtifactsInput!$N$27+1,20,24,28,32,36,40),0)/100)))))/Skills!G6+0.000000001),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IFERROR(1/(IF(Inputs!$B$39="pvp",15,MAX(0.1,Skills!D7-IF(TRUE=TRUE,Inputs!$B$33,0)))*(1-IF(AND(ArtifactsInput!$M$27,Inputs!$B$4="Chapter Hunt"),CHOOSE(ArtifactsInput!$N$27+1,20,24,28,32,36,40),0)/100)),0)</f>
        <v/>
      </c>
      <c r="R529">
        <f>IF(AND(Inputs!$B$39&lt;&gt;"pvp",Inputs!$B$44&gt;0),IF(MAX(0,Inputs!$B$44-B562)&lt;=0,0,(INT(MAX(0,Inputs!$B$44-B562)/(IF(Inputs!$B$39="pvp",15,MAX(0.1,Skills!D7-IF(TRUE=TRUE,Inputs!$B$33,0)))*(1-IF(AND(ArtifactsInput!$M$27,Inputs!$B$4="Chapter Hunt"),CHOOSE(ArtifactsInput!$N$27+1,20,24,28,32,36,40),0)/100)))+1)),0)</f>
        <v/>
      </c>
      <c r="S529">
        <f>IF(C529,H529*N529*IF(AND(Inputs!$B$39&lt;&gt;"pvp",Inputs!$B$44&gt;0),((Skills!F7*((R529-1)*IF(Skills!G7&gt;0,INT(Skills!H7/Skills!G7+0.000000001),1)+IF(Skills!G7&gt;0,INT(MIN(Skills!H7,MAX(0,MAX(0,Inputs!$B$44-B562)-((R529-1)*(IF(Inputs!$B$39="pvp",15,MAX(0.1,Skills!D7-IF(TRUE=TRUE,Inputs!$B$33,0)))*(1-IF(AND(ArtifactsInput!$M$27,Inputs!$B$4="Chapter Hunt"),CHOOSE(ArtifactsInput!$N$27+1,20,24,28,32,36,40),0)/100)))))/Skills!G7+0.000000001),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IFERROR(1/(IF(Inputs!$B$39="pvp",15,MAX(0.1,Skills!D8-IF(TRUE=TRUE,Inputs!$B$33,0)))*(1-IF(AND(ArtifactsInput!$M$27,Inputs!$B$4="Chapter Hunt"),CHOOSE(ArtifactsInput!$N$27+1,20,24,28,32,36,40),0)/100)),0)</f>
        <v/>
      </c>
      <c r="R530">
        <f>IF(AND(Inputs!$B$39&lt;&gt;"pvp",Inputs!$B$44&gt;0),IF(MAX(0,Inputs!$B$44-B562)&lt;=0,0,(INT(MAX(0,Inputs!$B$44-B562)/(IF(Inputs!$B$39="pvp",15,MAX(0.1,Skills!D8-IF(TRUE=TRUE,Inputs!$B$33,0)))*(1-IF(AND(ArtifactsInput!$M$27,Inputs!$B$4="Chapter Hunt"),CHOOSE(ArtifactsInput!$N$27+1,20,24,28,32,36,40),0)/100)))+1)),0)</f>
        <v/>
      </c>
      <c r="S530">
        <f>IF(C530,(H530*N530*IF(AND(Inputs!$B$39&lt;&gt;"pvp",Inputs!$B$44&gt;0),((Skills!F8*((R530-1)*IF(Skills!G8&gt;0,INT(Skills!H8/Skills!G8+0.000000001),1)+IF(Skills!G8&gt;0,INT(MIN(Skills!H8,MAX(0,MAX(0,Inputs!$B$44-B562)-((R530-1)*(IF(Inputs!$B$39="pvp",15,MAX(0.1,Skills!D8-IF(TRUE=TRUE,Inputs!$B$33,0)))*(1-IF(AND(ArtifactsInput!$M$27,Inputs!$B$4="Chapter Hunt"),CHOOSE(ArtifactsInput!$N$27+1,20,24,28,32,36,40),0)/100)))))/Skills!G8+0.000000001),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INT(Skills!H8/Skills!G8+0.000000001),1)+IF(Skills!G8&gt;0,INT(MIN(Skills!H8,MAX(0,MAX(0,Inputs!$B$44-B562)-((R530-1)*(IF(Inputs!$B$39="pvp",15,MAX(0.1,Skills!D8-IF(TRUE=TRUE,Inputs!$B$33,0)))*(1-IF(AND(ArtifactsInput!$M$27,Inputs!$B$4="Chapter Hunt"),CHOOSE(ArtifactsInput!$N$27+1,20,24,28,32,36,40),0)/100)))))/Skills!G8+0.000000001),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IFERROR(1/(IF(Inputs!$B$39="pvp",15,MAX(0.1,Skills!D9-IF(TRUE=TRUE,Inputs!$B$33,0)))*(1-IF(AND(ArtifactsInput!$M$27,Inputs!$B$4="Chapter Hunt"),CHOOSE(ArtifactsInput!$N$27+1,20,24,28,32,36,40),0)/100)),0)</f>
        <v/>
      </c>
      <c r="R531">
        <f>IF(AND(Inputs!$B$39&lt;&gt;"pvp",Inputs!$B$44&gt;0),IF(MAX(0,Inputs!$B$44-B562)&lt;=0,0,(INT(MAX(0,Inputs!$B$44-B562)/(IF(Inputs!$B$39="pvp",15,MAX(0.1,Skills!D9-IF(TRUE=TRUE,Inputs!$B$33,0)))*(1-IF(AND(ArtifactsInput!$M$27,Inputs!$B$4="Chapter Hunt"),CHOOSE(ArtifactsInput!$N$27+1,20,24,28,32,36,40),0)/100)))+1)),0)</f>
        <v/>
      </c>
      <c r="S531">
        <f>IF(C531,(H531*N531*IF(AND(Inputs!$B$39&lt;&gt;"pvp",Inputs!$B$44&gt;0),((Skills!F9*((R531-1)*IF(Skills!G9&gt;0,INT(Skills!H9/Skills!G9+0.000000001),1)+IF(Skills!G9&gt;0,INT(MIN(Skills!H9,MAX(0,MAX(0,Inputs!$B$44-B562)-((R531-1)*(IF(Inputs!$B$39="pvp",15,MAX(0.1,Skills!D9-IF(TRUE=TRUE,Inputs!$B$33,0)))*(1-IF(AND(ArtifactsInput!$M$27,Inputs!$B$4="Chapter Hunt"),CHOOSE(ArtifactsInput!$N$27+1,20,24,28,32,36,40),0)/100)))))/Skills!G9+0.000000001),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INT(Skills!H9/Skills!G9+0.000000001),1)+IF(Skills!G9&gt;0,INT(MIN(Skills!H9,MAX(0,MAX(0,Inputs!$B$44-B562)-((R531-1)*(IF(Inputs!$B$39="pvp",15,MAX(0.1,Skills!D9-IF(TRUE=TRUE,Inputs!$B$33,0)))*(1-IF(AND(ArtifactsInput!$M$27,Inputs!$B$4="Chapter Hunt"),CHOOSE(ArtifactsInput!$N$27+1,20,24,28,32,36,40),0)/100)))))/Skills!G9+0.000000001),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IFERROR(1/(IF(Inputs!$B$39="pvp",15,MAX(0.1,Skills!D10-IF(TRUE=TRUE,Inputs!$B$33,0)))*(1-IF(AND(ArtifactsInput!$M$27,Inputs!$B$4="Chapter Hunt"),CHOOSE(ArtifactsInput!$N$27+1,20,24,28,32,36,40),0)/100)),0)</f>
        <v/>
      </c>
      <c r="R532">
        <f>IF(AND(Inputs!$B$39&lt;&gt;"pvp",Inputs!$B$44&gt;0),IF(MAX(0,Inputs!$B$44-B562)&lt;=0,0,(INT(MAX(0,Inputs!$B$44-B562)/(IF(Inputs!$B$39="pvp",15,MAX(0.1,Skills!D10-IF(TRUE=TRUE,Inputs!$B$33,0)))*(1-IF(AND(ArtifactsInput!$M$27,Inputs!$B$4="Chapter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IFERROR(1/(IF(Inputs!$B$39="pvp",15,MAX(0.1,Skills!D11-IF(TRUE=TRUE,Inputs!$B$33,0)))*(1-IF(AND(ArtifactsInput!$M$27,Inputs!$B$4="Chapter Hunt"),CHOOSE(ArtifactsInput!$N$27+1,20,24,28,32,36,40),0)/100)),0)</f>
        <v/>
      </c>
      <c r="R533">
        <f>IF(AND(Inputs!$B$39&lt;&gt;"pvp",Inputs!$B$44&gt;0),IF(Inputs!$B$44&lt;=0,0,(INT(Inputs!$B$44/(IF(Inputs!$B$39="pvp",15,MAX(0.1,Skills!D11-IF(TRUE=TRUE,Inputs!$B$33,0)))*(1-IF(AND(ArtifactsInput!$M$27,Inputs!$B$4="Chapter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IFERROR(1/(IF(Inputs!$B$39="pvp",15,MAX(0.1,Skills!D12-IF(TRUE=TRUE,Inputs!$B$33,0)))*(1-IF(AND(ArtifactsInput!$M$27,Inputs!$B$4="Chapter Hunt"),CHOOSE(ArtifactsInput!$N$27+1,20,24,28,32,36,40),0)/100)),0)</f>
        <v/>
      </c>
      <c r="R534">
        <f>IF(AND(Inputs!$B$39&lt;&gt;"pvp",Inputs!$B$44&gt;0),IF(MAX(0,Inputs!$B$44-B562)&lt;=0,0,(INT(MAX(0,Inputs!$B$44-B562)/(IF(Inputs!$B$39="pvp",15,MAX(0.1,Skills!D12-IF(TRUE=TRUE,Inputs!$B$33,0)))*(1-IF(AND(ArtifactsInput!$M$27,Inputs!$B$4="Chapter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IFERROR(1/(IF(Inputs!$B$39="pvp",15,MAX(0.1,Skills!D13-IF(TRUE=TRUE,Inputs!$B$33,0)))*(1-IF(AND(ArtifactsInput!$M$27,Inputs!$B$4="Chapter Hunt"),CHOOSE(ArtifactsInput!$N$27+1,20,24,28,32,36,40),0)/100)),0)</f>
        <v/>
      </c>
      <c r="R535">
        <f>IF(AND(Inputs!$B$39&lt;&gt;"pvp",Inputs!$B$44&gt;0),IF(MAX(0,Inputs!$B$44-B562)&lt;=0,0,(INT(MAX(0,Inputs!$B$44-B562)/(IF(Inputs!$B$39="pvp",15,MAX(0.1,Skills!D13-IF(TRUE=TRUE,Inputs!$B$33,0)))*(1-IF(AND(ArtifactsInput!$M$27,Inputs!$B$4="Chapter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IFERROR(1/(IF(Inputs!$B$39="pvp",15,MAX(0.1,Skills!D14-IF(TRUE=TRUE,Inputs!$B$33,0)))*(1-IF(AND(ArtifactsInput!$M$27,Inputs!$B$4="Chapter Hunt"),CHOOSE(ArtifactsInput!$N$27+1,20,24,28,32,36,40),0)/100)),0)</f>
        <v/>
      </c>
      <c r="R536">
        <f>IF(AND(Inputs!$B$39&lt;&gt;"pvp",Inputs!$B$44&gt;0),IF(Inputs!$B$44&lt;=0,0,(INT(Inputs!$B$44/(IF(Inputs!$B$39="pvp",15,MAX(0.1,Skills!D14-IF(TRUE=TRUE,Inputs!$B$33,0)))*(1-IF(AND(ArtifactsInput!$M$27,Inputs!$B$4="Chapter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IFERROR(1/(IF(Inputs!$B$39="pvp",15,MAX(0.1,Skills!D15-IF(TRUE=TRUE,Inputs!$B$33,0)))*(1-IF(AND(ArtifactsInput!$M$27,Inputs!$B$4="Chapter Hunt"),CHOOSE(ArtifactsInput!$N$27+1,20,24,28,32,36,40),0)/100)),0)</f>
        <v/>
      </c>
      <c r="R537" t="n">
        <v>0</v>
      </c>
      <c r="S537">
        <f>IF(C537,(Skills!F15*N537*((IF(Inputs!$B$3&gt;=78,25,15)/100*B558*10)/(1+IF(Inputs!$B$3&gt;=78,25,15)/100*B558*IF(Inputs!$B$39="pvp",15,MAX(0.1,18-IF(TRUE=TRUE,Inputs!$B$33,0)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IF(Inputs!$B$39="pvp",15,MAX(0.1,18-IF(TRUE=TRUE,Inputs!$B$33,0)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IFERROR(1/(IF(Inputs!$B$39="pvp",15,MAX(0.1,Skills!D16-IF(TRUE=TRUE,Inputs!$B$33,0)))*(1-IF(AND(ArtifactsInput!$M$27,Inputs!$B$4="Chapter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IFERROR(1/(IF(Inputs!$B$39="pvp",15,MAX(0.1,Skills!D17-IF(TRUE=TRUE,Inputs!$B$33,0)))*(1-IF(AND(ArtifactsInput!$M$27,Inputs!$B$4="Chapter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IFERROR(1/(IF(Inputs!$B$39="pvp",15,MAX(0.1,Skills!D18-IF(TRUE=TRUE,Inputs!$B$33,0)))*(1-IF(AND(ArtifactsInput!$M$27,Inputs!$B$4="Chapter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IFERROR(1/(IF(Inputs!$B$39="pvp",15,MAX(0.1,Skills!D19-IF(TRUE=TRUE,Inputs!$B$33,0)))*(1-IF(AND(ArtifactsInput!$M$27,Inputs!$B$4="Chapter Hunt"),CHOOSE(ArtifactsInput!$N$27+1,20,24,28,32,36,40),0)/100)),0)</f>
        <v/>
      </c>
      <c r="R541">
        <f>IF(AND(Inputs!$B$39&lt;&gt;"pvp",Inputs!$B$44&gt;0),IF(Inputs!$B$44&lt;=0,0,(INT(Inputs!$B$44/(IF(Inputs!$B$39="pvp",15,MAX(0.1,Skills!D19-IF(TRUE=TRUE,Inputs!$B$33,0)))*(1-IF(AND(ArtifactsInput!$M$27,Inputs!$B$4="Chapter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IFERROR(1/(IF(Inputs!$B$39="pvp",15,MAX(0.1,Skills!D20-IF(TRUE=TRUE,Inputs!$B$33,0)))*(1-IF(AND(ArtifactsInput!$M$27,Inputs!$B$4="Chapter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IFERROR(1/(IF(Inputs!$B$39="pvp",15,MAX(0.1,Skills!D21-IF(TRUE=TRUE,Inputs!$B$33,0)))*(1-IF(AND(ArtifactsInput!$M$27,Inputs!$B$4="Chapter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IFERROR(1/(IF(Inputs!$B$39="pvp",15,MAX(0.1,Skills!D22-IF(TRUE=TRUE,Inputs!$B$33,0)))*(1-IF(AND(ArtifactsInput!$M$27,Inputs!$B$4="Chapter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IFERROR(1/(IF(Inputs!$B$39="pvp",15,MAX(0.1,Skills!D23-IF(TRUE=TRUE,Inputs!$B$33,0)))*(1-IF(AND(ArtifactsInput!$M$27,Inputs!$B$4="Chapter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IFERROR(1/(IF(Inputs!$B$39="pvp",15,MAX(0.1,Skills!D24-IF(TRUE=TRUE,Inputs!$B$33,0)))*(1-IF(AND(ArtifactsInput!$M$27,Inputs!$B$4="Chapter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IFERROR(1/(IF(Inputs!$B$39="pvp",15,MAX(0.1,Skills!D25-IF(TRUE=TRUE,Inputs!$B$33,0)))*(1-IF(AND(ArtifactsInput!$M$27,Inputs!$B$4="Chapter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IFERROR(1/(IF(Inputs!$B$39="pvp",15,MAX(0.1,Skills!D26-IF(TRUE=TRUE,Inputs!$B$33,0)))*(1-IF(AND(ArtifactsInput!$M$27,Inputs!$B$4="Chapter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IFERROR(1/(IF(Inputs!$B$39="pvp",15,MAX(0.1,Skills!D27-IF(TRUE=TRUE,Inputs!$B$33,0)))*(1-IF(AND(ArtifactsInput!$M$27,Inputs!$B$4="Chapter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IFERROR(1/(IF(Inputs!$B$39="pvp",15,MAX(0.1,Skills!D28-IF(TRUE=TRUE,Inputs!$B$33,0)))*(1-IF(AND(ArtifactsInput!$M$27,Inputs!$B$4="Chapter Hunt"),CHOOSE(ArtifactsInput!$N$27+1,20,24,28,32,36,40),0)/100)),0)</f>
        <v/>
      </c>
      <c r="R550">
        <f>IF(AND(Inputs!$B$39&lt;&gt;"pvp",Inputs!$B$44&gt;0),IF(Inputs!$B$44&lt;=0,0,(INT(Inputs!$B$44/(IF(Inputs!$B$39="pvp",15,MAX(0.1,Skills!D28-IF(TRUE=TRUE,Inputs!$B$33,0)))*(1-IF(AND(ArtifactsInput!$M$27,Inputs!$B$4="Chapter Hunt"),CHOOSE(ArtifactsInput!$N$27+1,20,24,28,32,36,40),0)/100)))+1)),0)</f>
        <v/>
      </c>
      <c r="S550" t="n">
        <v>0</v>
      </c>
      <c r="U550" t="n">
        <v>0</v>
      </c>
    </row>
    <row r="552">
      <c r="A552" t="inlineStr">
        <is>
          <t>Average Buff Multiplier</t>
        </is>
      </c>
      <c r="B552">
        <f>(1+(IF(C525=TRUE,F525*IF(AND(Inputs!$B$39&lt;&gt;"pvp",Inputs!$B$44&gt;0),(((R525-1)*MIN((Skills!S3*(1+((Inputs!$B$35+(ArtifactsInput!$M$7-ArtifactsInput!$M$7)*CHOOSE(ArtifactsInput!$N$7+1,6,7.2,8.4,9.6,10.8,12)))/100)),(1/Q525))+MIN((Skills!S3*(1+((Inputs!$B$35+(ArtifactsInput!$M$7-ArtifactsInput!$M$7)*CHOOSE(ArtifactsInput!$N$7+1,6,7.2,8.4,9.6,10.8,12)))/100)),MAX(0,Inputs!$B$44-((R525-1)*(1/Q525)))))/Inputs!$B$44),IF(Inputs!$B$39="pvp",MIN((Skills!S3*(1+((Inputs!$B$35+(ArtifactsInput!$M$7-ArtifactsInput!$M$7)*CHOOSE(ArtifactsInput!$N$7+1,6,7.2,8.4,9.6,10.8,12)))/100)),15)/15,MIN(1,(Skills!S3*(1+((Inputs!$B$35+(ArtifactsInput!$M$7-ArtifactsInput!$M$7)*CHOOSE(ArtifactsInput!$N$7+1,6,7.2,8.4,9.6,10.8,12)))/100))/(1/Q525)))),0)+IF(C526=TRUE,F526*IF(AND(Inputs!$B$39&lt;&gt;"pvp",Inputs!$B$44&gt;0),(((R526-1)*MIN((Skills!S4*(1+((Inputs!$B$35+(ArtifactsInput!$M$7-ArtifactsInput!$M$7)*CHOOSE(ArtifactsInput!$N$7+1,6,7.2,8.4,9.6,10.8,12)))/100)),(1/Q526))+MIN((Skills!S4*(1+((Inputs!$B$35+(ArtifactsInput!$M$7-ArtifactsInput!$M$7)*CHOOSE(ArtifactsInput!$N$7+1,6,7.2,8.4,9.6,10.8,12)))/100)),MAX(0,Inputs!$B$44-((R526-1)*(1/Q526)))))/Inputs!$B$44),IF(Inputs!$B$39="pvp",MIN((Skills!S4*(1+((Inputs!$B$35+(ArtifactsInput!$M$7-ArtifactsInput!$M$7)*CHOOSE(ArtifactsInput!$N$7+1,6,7.2,8.4,9.6,10.8,12)))/100)),15)/15,MIN(1,(Skills!S4*(1+((Inputs!$B$35+(ArtifactsInput!$M$7-ArtifactsInput!$M$7)*CHOOSE(ArtifactsInput!$N$7+1,6,7.2,8.4,9.6,10.8,12)))/100))/(1/Q526)))),0)+IF(C527=TRUE,F527*IF(AND(Inputs!$B$39&lt;&gt;"pvp",Inputs!$B$44&gt;0),(((R527-1)*MIN((Skills!S5*(1+((Inputs!$B$35+(ArtifactsInput!$M$7-ArtifactsInput!$M$7)*CHOOSE(ArtifactsInput!$N$7+1,6,7.2,8.4,9.6,10.8,12)))/100)),(1/Q527))+MIN((Skills!S5*(1+((Inputs!$B$35+(ArtifactsInput!$M$7-ArtifactsInput!$M$7)*CHOOSE(ArtifactsInput!$N$7+1,6,7.2,8.4,9.6,10.8,12)))/100)),MAX(0,Inputs!$B$44-((R527-1)*(1/Q527)))))/Inputs!$B$44),IF(Inputs!$B$39="pvp",MIN((Skills!S5*(1+((Inputs!$B$35+(ArtifactsInput!$M$7-ArtifactsInput!$M$7)*CHOOSE(ArtifactsInput!$N$7+1,6,7.2,8.4,9.6,10.8,12)))/100)),15)/15,MIN(1,(Skills!S5*(1+((Inputs!$B$35+(ArtifactsInput!$M$7-ArtifactsInput!$M$7)*CHOOSE(ArtifactsInput!$N$7+1,6,7.2,8.4,9.6,10.8,12)))/100))/(1/Q527)))),0)+IF(C533=TRUE,F533*IF(AND(Inputs!$B$39&lt;&gt;"pvp",Inputs!$B$44&gt;0),(((R533-1)*MIN((Skills!S11*(1+((Inputs!$B$35+(ArtifactsInput!$M$7-ArtifactsInput!$M$7)*CHOOSE(ArtifactsInput!$N$7+1,6,7.2,8.4,9.6,10.8,12)))/100)),(1/Q533))+MIN((Skills!S11*(1+((Inputs!$B$35+(ArtifactsInput!$M$7-ArtifactsInput!$M$7)*CHOOSE(ArtifactsInput!$N$7+1,6,7.2,8.4,9.6,10.8,12)))/100)),MAX(0,Inputs!$B$44-((R533-1)*(1/Q533)))))/Inputs!$B$44),IF(Inputs!$B$39="pvp",MIN((Skills!S11*(1+((Inputs!$B$35+(ArtifactsInput!$M$7-ArtifactsInput!$M$7)*CHOOSE(ArtifactsInput!$N$7+1,6,7.2,8.4,9.6,10.8,12)))/100)),15)/15,MIN(1,(Skills!S11*(1+((Inputs!$B$35+(ArtifactsInput!$M$7-ArtifactsInput!$M$7)*CHOOSE(ArtifactsInput!$N$7+1,6,7.2,8.4,9.6,10.8,12)))/100))/(1/Q533)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MIN((Skills!S14*(1+((Inputs!$B$35+(ArtifactsInput!$M$7-ArtifactsInput!$M$7)*CHOOSE(ArtifactsInput!$N$7+1,6,7.2,8.4,9.6,10.8,12)))/100)),(1/Q536))+MIN((Skills!S14*(1+((Inputs!$B$35+(ArtifactsInput!$M$7-ArtifactsInput!$M$7)*CHOOSE(ArtifactsInput!$N$7+1,6,7.2,8.4,9.6,10.8,12)))/100)),MAX(0,Inputs!$B$44-((R536-1)*(1/Q536)))))/Inputs!$B$44),IF(Inputs!$B$39="pvp",MIN((Skills!S14*(1+((Inputs!$B$35+(ArtifactsInput!$M$7-ArtifactsInput!$M$7)*CHOOSE(ArtifactsInput!$N$7+1,6,7.2,8.4,9.6,10.8,12)))/100)),15)/15,MIN(1,(Skills!S14*(1+((Inputs!$B$35+(ArtifactsInput!$M$7-ArtifactsInput!$M$7)*CHOOSE(ArtifactsInput!$N$7+1,6,7.2,8.4,9.6,10.8,12)))/100))/(1/Q536))))/100),1)*IF(C541=TRUE,(1+F541*IF(AND(Inputs!$B$39&lt;&gt;"pvp",Inputs!$B$44&gt;0),(((R541-1)*MIN((Skills!S19*(1+((Inputs!$B$35+(ArtifactsInput!$M$7-ArtifactsInput!$M$7)*CHOOSE(ArtifactsInput!$N$7+1,6,7.2,8.4,9.6,10.8,12)))/100)),(1/Q541))+MIN((Skills!S19*(1+((Inputs!$B$35+(ArtifactsInput!$M$7-ArtifactsInput!$M$7)*CHOOSE(ArtifactsInput!$N$7+1,6,7.2,8.4,9.6,10.8,12)))/100)),MAX(0,Inputs!$B$44-((R541-1)*(1/Q541)))))/Inputs!$B$44),IF(Inputs!$B$39="pvp",MIN((Skills!S19*(1+((Inputs!$B$35+(ArtifactsInput!$M$7-ArtifactsInput!$M$7)*CHOOSE(ArtifactsInput!$N$7+1,6,7.2,8.4,9.6,10.8,12)))/100)),15)/15,MIN(1,(Skills!S19*(1+((Inputs!$B$35+(ArtifactsInput!$M$7-ArtifactsInput!$M$7)*CHOOSE(ArtifactsInput!$N$7+1,6,7.2,8.4,9.6,10.8,12)))/100))/(1/Q541))))/100),1)</f>
        <v/>
      </c>
    </row>
    <row r="553">
      <c r="A553" t="inlineStr">
        <is>
          <t>Monster Damage Taken Bonus % (Holy Fountain)</t>
        </is>
      </c>
      <c r="B553">
        <f>IF(Inputs!$B$3&gt;=68,20*IF(Inputs!$B$39="pvp",MIN((15*(1+((Inputs!$B$35+(ArtifactsInput!$M$7-ArtifactsInput!$M$7)*CHOOSE(ArtifactsInput!$N$7+1,6,7.2,8.4,9.6,10.8,12)))/100)),15)/15,MIN(1,(15*(1+((Inputs!$B$35+(ArtifactsInput!$M$7-ArtifactsInput!$M$7)*CHOOSE(ArtifactsInput!$N$7+1,6,7.2,8.4,9.6,10.8,12)))/100))/(1/Q532))),0)</f>
        <v/>
      </c>
    </row>
    <row r="554">
      <c r="A554" t="inlineStr">
        <is>
          <t>Normal Monster Damage Bonus % (Holy Symbol)</t>
        </is>
      </c>
      <c r="B554">
        <f>IF(C534=TRUE,F534*IF(AND(Inputs!$B$39&lt;&gt;"pvp",Inputs!$B$44&gt;0),(((R534-1)*MIN((Skills!S12*(1+((Inputs!$B$35+(ArtifactsInput!$M$7-ArtifactsInput!$M$7)*CHOOSE(ArtifactsInput!$N$7+1,6,7.2,8.4,9.6,10.8,12)))/100)),(1/Q534))+MIN((Skills!S12*(1+((Inputs!$B$35+(ArtifactsInput!$M$7-ArtifactsInput!$M$7)*CHOOSE(ArtifactsInput!$N$7+1,6,7.2,8.4,9.6,10.8,12)))/100)),MAX(0,Inputs!$B$44-((R534-1)*(1/Q534)))))/Inputs!$B$44),IF(Inputs!$B$39="pvp",MIN((Skills!S12*(1+((Inputs!$B$35+(ArtifactsInput!$M$7-ArtifactsInput!$M$7)*CHOOSE(ArtifactsInput!$N$7+1,6,7.2,8.4,9.6,10.8,12)))/100)),15)/15,MIN(1,(Skills!S12*(1+((Inputs!$B$35+(ArtifactsInput!$M$7-ArtifactsInput!$M$7)*CHOOSE(ArtifactsInput!$N$7+1,6,7.2,8.4,9.6,10.8,12)))/100))/(1/Q534)))),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MIN((Skills!S28*(1+((Inputs!$B$35+(ArtifactsInput!$M$7-ArtifactsInput!$M$7)*CHOOSE(ArtifactsInput!$N$7+1,6,7.2,8.4,9.6,10.8,12)))/100)),(1/Q550))+MIN((Skills!S28*(1+((Inputs!$B$35+(ArtifactsInput!$M$7-ArtifactsInput!$M$7)*CHOOSE(ArtifactsInput!$N$7+1,6,7.2,8.4,9.6,10.8,12)))/100)),MAX(0,Inputs!$B$44-((R550-1)*(1/Q550)))))/Inputs!$B$44),IF(Inputs!$B$39="pvp",MIN((Skills!S28*(1+((Inputs!$B$35+(ArtifactsInput!$M$7-ArtifactsInput!$M$7)*CHOOSE(ArtifactsInput!$N$7+1,6,7.2,8.4,9.6,10.8,12)))/100)),15)/15,MIN(1,(Skills!S28*(1+((Inputs!$B$35+(ArtifactsInput!$M$7-ArtifactsInput!$M$7)*CHOOSE(ArtifactsInput!$N$7+1,6,7.2,8.4,9.6,10.8,12)))/100))/(1/Q550)))))</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MIN((Skills!S13*(1+((Inputs!$B$35+(ArtifactsInput!$M$7-ArtifactsInput!$M$7)*CHOOSE(ArtifactsInput!$N$7+1,6,7.2,8.4,9.6,10.8,12)))/100)),(1/Q535))+MIN((Skills!S13*(1+((Inputs!$B$35+(ArtifactsInput!$M$7-ArtifactsInput!$M$7)*CHOOSE(ArtifactsInput!$N$7+1,6,7.2,8.4,9.6,10.8,12)))/100)),MAX(0,Inputs!$B$44-((R535-1)*(1/Q535)))))/Inputs!$B$44),IF(Inputs!$B$39="pvp",MIN((Skills!S13*(1+((Inputs!$B$35+(ArtifactsInput!$M$7-ArtifactsInput!$M$7)*CHOOSE(ArtifactsInput!$N$7+1,6,7.2,8.4,9.6,10.8,12)))/100)),15)/15,MIN(1,(Skills!S13*(1+((Inputs!$B$35+(ArtifactsInput!$M$7-ArtifactsInput!$M$7)*CHOOSE(ArtifactsInput!$N$7+1,6,7.2,8.4,9.6,10.8,12)))/100))/(1/Q535)))),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IFERROR(1/(IF(Inputs!$B$39="pvp",15,MAX(0.1,Skills!D2-IF(TRUE=TRUE,Inputs!$B$33,0)))*(1-IF(AND(ArtifactsInput!$M$27,Inputs!$B$4="Chapter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IFERROR(1/(IF(Inputs!$B$39="pvp",15,MAX(0.1,Skills!D3-IF(TRUE=TRUE,Inputs!$B$33,0)))*(1-IF(AND(ArtifactsInput!$M$27,Inputs!$B$4="Chapter Hunt"),CHOOSE(ArtifactsInput!$N$27+1,20,24,28,32,36,40),0)/100)),0)</f>
        <v/>
      </c>
      <c r="R570">
        <f>IF(AND(Inputs!$B$39&lt;&gt;"pvp",Inputs!$B$44&gt;0),IF(Inputs!$B$44&lt;=0,0,(INT(Inputs!$B$44/(IF(Inputs!$B$39="pvp",15,MAX(0.1,Skills!D3-IF(TRUE=TRUE,Inputs!$B$33,0)))*(1-IF(AND(ArtifactsInput!$M$27,Inputs!$B$4="Chapter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IFERROR(1/(IF(Inputs!$B$39="pvp",15,MAX(0.1,Skills!D4-IF(TRUE=TRUE,Inputs!$B$33,0)))*(1-IF(AND(ArtifactsInput!$M$27,Inputs!$B$4="Chapter Hunt"),CHOOSE(ArtifactsInput!$N$27+1,20,24,28,32,36,40),0)/100)),0)</f>
        <v/>
      </c>
      <c r="R571">
        <f>IF(AND(Inputs!$B$39&lt;&gt;"pvp",Inputs!$B$44&gt;0),IF(Inputs!$B$44&lt;=0,0,(INT(Inputs!$B$44/(IF(Inputs!$B$39="pvp",15,MAX(0.1,Skills!D4-IF(TRUE=TRUE,Inputs!$B$33,0)))*(1-IF(AND(ArtifactsInput!$M$27,Inputs!$B$4="Chapter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IFERROR(1/(IF(Inputs!$B$39="pvp",15,MAX(0.1,Skills!D5-IF(TRUE=TRUE,Inputs!$B$33,0)))*(1-IF(AND(ArtifactsInput!$M$27,Inputs!$B$4="Chapter Hunt"),CHOOSE(ArtifactsInput!$N$27+1,20,24,28,32,36,40),0)/100)),0)</f>
        <v/>
      </c>
      <c r="R572">
        <f>IF(AND(Inputs!$B$39&lt;&gt;"pvp",Inputs!$B$44&gt;0),IF(Inputs!$B$44&lt;=0,0,(INT(Inputs!$B$44/(IF(Inputs!$B$39="pvp",15,MAX(0.1,Skills!D5-IF(TRUE=TRUE,Inputs!$B$33,0)))*(1-IF(AND(ArtifactsInput!$M$27,Inputs!$B$4="Chapter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IFERROR(1/(IF(Inputs!$B$39="pvp",15,MAX(0.1,Skills!D6-IF(TRUE=TRUE,Inputs!$B$33,0)))*(1-IF(AND(ArtifactsInput!$M$27,Inputs!$B$4="Chapter Hunt"),CHOOSE(ArtifactsInput!$N$27+1,20,24,28,32,36,40),0)/100)),0)</f>
        <v/>
      </c>
      <c r="R573">
        <f>IF(AND(Inputs!$B$39&lt;&gt;"pvp",Inputs!$B$44&gt;0),IF(MAX(0,Inputs!$B$44-B607)&lt;=0,0,(INT(MAX(0,Inputs!$B$44-B607)/(IF(Inputs!$B$39="pvp",15,MAX(0.1,Skills!D6-IF(TRUE=TRUE,Inputs!$B$33,0)))*(1-IF(AND(ArtifactsInput!$M$27,Inputs!$B$4="Chapter Hunt"),CHOOSE(ArtifactsInput!$N$27+1,20,24,28,32,36,40),0)/100)))+1)),0)</f>
        <v/>
      </c>
      <c r="S573">
        <f>IF(C573,(H573*N573*IF(AND(Inputs!$B$39&lt;&gt;"pvp",Inputs!$B$44&gt;0),((Skills!F6*((R573-1)*IF(Skills!G6&gt;0,INT(Skills!H6/Skills!G6+0.000000001),1)+IF(Skills!G6&gt;0,INT(MIN(Skills!H6,MAX(0,MAX(0,Inputs!$B$44-B607)-((R573-1)*(IF(Inputs!$B$39="pvp",15,MAX(0.1,Skills!D6-IF(TRUE=TRUE,Inputs!$B$33,0)))*(1-IF(AND(ArtifactsInput!$M$27,Inputs!$B$4="Chapter Hunt"),CHOOSE(ArtifactsInput!$N$27+1,20,24,28,32,36,40),0)/100)))))/Skills!G6+0.000000001),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INT(Skills!H6/Skills!G6+0.000000001),1)+IF(Skills!G6&gt;0,INT(MIN(Skills!H6,MAX(0,MAX(0,Inputs!$B$44-B607)-((R573-1)*(IF(Inputs!$B$39="pvp",15,MAX(0.1,Skills!D6-IF(TRUE=TRUE,Inputs!$B$33,0)))*(1-IF(AND(ArtifactsInput!$M$27,Inputs!$B$4="Chapter Hunt"),CHOOSE(ArtifactsInput!$N$27+1,20,24,28,32,36,40),0)/100)))))/Skills!G6+0.000000001),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IFERROR(1/(IF(Inputs!$B$39="pvp",15,MAX(0.1,Skills!D7-IF(TRUE=TRUE,Inputs!$B$33,0)))*(1-IF(AND(ArtifactsInput!$M$27,Inputs!$B$4="Chapter Hunt"),CHOOSE(ArtifactsInput!$N$27+1,20,24,28,32,36,40),0)/100)),0)</f>
        <v/>
      </c>
      <c r="R574">
        <f>IF(AND(Inputs!$B$39&lt;&gt;"pvp",Inputs!$B$44&gt;0),IF(MAX(0,Inputs!$B$44-B607)&lt;=0,0,(INT(MAX(0,Inputs!$B$44-B607)/(IF(Inputs!$B$39="pvp",15,MAX(0.1,Skills!D7-IF(TRUE=TRUE,Inputs!$B$33,0)))*(1-IF(AND(ArtifactsInput!$M$27,Inputs!$B$4="Chapter Hunt"),CHOOSE(ArtifactsInput!$N$27+1,20,24,28,32,36,40),0)/100)))+1)),0)</f>
        <v/>
      </c>
      <c r="S574">
        <f>IF(C574,H574*N574*IF(AND(Inputs!$B$39&lt;&gt;"pvp",Inputs!$B$44&gt;0),((Skills!F7*((R574-1)*IF(Skills!G7&gt;0,INT(Skills!H7/Skills!G7+0.000000001),1)+IF(Skills!G7&gt;0,INT(MIN(Skills!H7,MAX(0,MAX(0,Inputs!$B$44-B607)-((R574-1)*(IF(Inputs!$B$39="pvp",15,MAX(0.1,Skills!D7-IF(TRUE=TRUE,Inputs!$B$33,0)))*(1-IF(AND(ArtifactsInput!$M$27,Inputs!$B$4="Chapter Hunt"),CHOOSE(ArtifactsInput!$N$27+1,20,24,28,32,36,40),0)/100)))))/Skills!G7+0.000000001),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IFERROR(1/(IF(Inputs!$B$39="pvp",15,MAX(0.1,Skills!D8-IF(TRUE=TRUE,Inputs!$B$33,0)))*(1-IF(AND(ArtifactsInput!$M$27,Inputs!$B$4="Chapter Hunt"),CHOOSE(ArtifactsInput!$N$27+1,20,24,28,32,36,40),0)/100)),0)</f>
        <v/>
      </c>
      <c r="R575">
        <f>IF(AND(Inputs!$B$39&lt;&gt;"pvp",Inputs!$B$44&gt;0),IF(MAX(0,Inputs!$B$44-B607)&lt;=0,0,(INT(MAX(0,Inputs!$B$44-B607)/(IF(Inputs!$B$39="pvp",15,MAX(0.1,Skills!D8-IF(TRUE=TRUE,Inputs!$B$33,0)))*(1-IF(AND(ArtifactsInput!$M$27,Inputs!$B$4="Chapter Hunt"),CHOOSE(ArtifactsInput!$N$27+1,20,24,28,32,36,40),0)/100)))+1)),0)</f>
        <v/>
      </c>
      <c r="S575">
        <f>IF(C575,(H575*N575*IF(AND(Inputs!$B$39&lt;&gt;"pvp",Inputs!$B$44&gt;0),((Skills!F8*((R575-1)*IF(Skills!G8&gt;0,INT(Skills!H8/Skills!G8+0.000000001),1)+IF(Skills!G8&gt;0,INT(MIN(Skills!H8,MAX(0,MAX(0,Inputs!$B$44-B607)-((R575-1)*(IF(Inputs!$B$39="pvp",15,MAX(0.1,Skills!D8-IF(TRUE=TRUE,Inputs!$B$33,0)))*(1-IF(AND(ArtifactsInput!$M$27,Inputs!$B$4="Chapter Hunt"),CHOOSE(ArtifactsInput!$N$27+1,20,24,28,32,36,40),0)/100)))))/Skills!G8+0.000000001),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INT(Skills!H8/Skills!G8+0.000000001),1)+IF(Skills!G8&gt;0,INT(MIN(Skills!H8,MAX(0,MAX(0,Inputs!$B$44-B607)-((R575-1)*(IF(Inputs!$B$39="pvp",15,MAX(0.1,Skills!D8-IF(TRUE=TRUE,Inputs!$B$33,0)))*(1-IF(AND(ArtifactsInput!$M$27,Inputs!$B$4="Chapter Hunt"),CHOOSE(ArtifactsInput!$N$27+1,20,24,28,32,36,40),0)/100)))))/Skills!G8+0.000000001),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IFERROR(1/(IF(Inputs!$B$39="pvp",15,MAX(0.1,Skills!D9-IF(TRUE=TRUE,Inputs!$B$33,0)))*(1-IF(AND(ArtifactsInput!$M$27,Inputs!$B$4="Chapter Hunt"),CHOOSE(ArtifactsInput!$N$27+1,20,24,28,32,36,40),0)/100)),0)</f>
        <v/>
      </c>
      <c r="R576">
        <f>IF(AND(Inputs!$B$39&lt;&gt;"pvp",Inputs!$B$44&gt;0),IF(MAX(0,Inputs!$B$44-B607)&lt;=0,0,(INT(MAX(0,Inputs!$B$44-B607)/(IF(Inputs!$B$39="pvp",15,MAX(0.1,Skills!D9-IF(TRUE=TRUE,Inputs!$B$33,0)))*(1-IF(AND(ArtifactsInput!$M$27,Inputs!$B$4="Chapter Hunt"),CHOOSE(ArtifactsInput!$N$27+1,20,24,28,32,36,40),0)/100)))+1)),0)</f>
        <v/>
      </c>
      <c r="S576">
        <f>IF(C576,(H576*N576*IF(AND(Inputs!$B$39&lt;&gt;"pvp",Inputs!$B$44&gt;0),((Skills!F9*((R576-1)*IF(Skills!G9&gt;0,INT(Skills!H9/Skills!G9+0.000000001),1)+IF(Skills!G9&gt;0,INT(MIN(Skills!H9,MAX(0,MAX(0,Inputs!$B$44-B607)-((R576-1)*(IF(Inputs!$B$39="pvp",15,MAX(0.1,Skills!D9-IF(TRUE=TRUE,Inputs!$B$33,0)))*(1-IF(AND(ArtifactsInput!$M$27,Inputs!$B$4="Chapter Hunt"),CHOOSE(ArtifactsInput!$N$27+1,20,24,28,32,36,40),0)/100)))))/Skills!G9+0.000000001),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INT(Skills!H9/Skills!G9+0.000000001),1)+IF(Skills!G9&gt;0,INT(MIN(Skills!H9,MAX(0,MAX(0,Inputs!$B$44-B607)-((R576-1)*(IF(Inputs!$B$39="pvp",15,MAX(0.1,Skills!D9-IF(TRUE=TRUE,Inputs!$B$33,0)))*(1-IF(AND(ArtifactsInput!$M$27,Inputs!$B$4="Chapter Hunt"),CHOOSE(ArtifactsInput!$N$27+1,20,24,28,32,36,40),0)/100)))))/Skills!G9+0.000000001),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IFERROR(1/(IF(Inputs!$B$39="pvp",15,MAX(0.1,Skills!D10-IF(TRUE=TRUE,Inputs!$B$33,0)))*(1-IF(AND(ArtifactsInput!$M$27,Inputs!$B$4="Chapter Hunt"),CHOOSE(ArtifactsInput!$N$27+1,20,24,28,32,36,40),0)/100)),0)</f>
        <v/>
      </c>
      <c r="R577">
        <f>IF(AND(Inputs!$B$39&lt;&gt;"pvp",Inputs!$B$44&gt;0),IF(MAX(0,Inputs!$B$44-B607)&lt;=0,0,(INT(MAX(0,Inputs!$B$44-B607)/(IF(Inputs!$B$39="pvp",15,MAX(0.1,Skills!D10-IF(TRUE=TRUE,Inputs!$B$33,0)))*(1-IF(AND(ArtifactsInput!$M$27,Inputs!$B$4="Chapter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IFERROR(1/(IF(Inputs!$B$39="pvp",15,MAX(0.1,Skills!D11-IF(TRUE=TRUE,Inputs!$B$33,0)))*(1-IF(AND(ArtifactsInput!$M$27,Inputs!$B$4="Chapter Hunt"),CHOOSE(ArtifactsInput!$N$27+1,20,24,28,32,36,40),0)/100)),0)</f>
        <v/>
      </c>
      <c r="R578">
        <f>IF(AND(Inputs!$B$39&lt;&gt;"pvp",Inputs!$B$44&gt;0),IF(Inputs!$B$44&lt;=0,0,(INT(Inputs!$B$44/(IF(Inputs!$B$39="pvp",15,MAX(0.1,Skills!D11-IF(TRUE=TRUE,Inputs!$B$33,0)))*(1-IF(AND(ArtifactsInput!$M$27,Inputs!$B$4="Chapter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IFERROR(1/(IF(Inputs!$B$39="pvp",15,MAX(0.1,Skills!D12-IF(TRUE=TRUE,Inputs!$B$33,0)))*(1-IF(AND(ArtifactsInput!$M$27,Inputs!$B$4="Chapter Hunt"),CHOOSE(ArtifactsInput!$N$27+1,20,24,28,32,36,40),0)/100)),0)</f>
        <v/>
      </c>
      <c r="R579">
        <f>IF(AND(Inputs!$B$39&lt;&gt;"pvp",Inputs!$B$44&gt;0),IF(MAX(0,Inputs!$B$44-B607)&lt;=0,0,(INT(MAX(0,Inputs!$B$44-B607)/(IF(Inputs!$B$39="pvp",15,MAX(0.1,Skills!D12-IF(TRUE=TRUE,Inputs!$B$33,0)))*(1-IF(AND(ArtifactsInput!$M$27,Inputs!$B$4="Chapter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IFERROR(1/(IF(Inputs!$B$39="pvp",15,MAX(0.1,Skills!D13-IF(TRUE=TRUE,Inputs!$B$33,0)))*(1-IF(AND(ArtifactsInput!$M$27,Inputs!$B$4="Chapter Hunt"),CHOOSE(ArtifactsInput!$N$27+1,20,24,28,32,36,40),0)/100)),0)</f>
        <v/>
      </c>
      <c r="R580">
        <f>IF(AND(Inputs!$B$39&lt;&gt;"pvp",Inputs!$B$44&gt;0),IF(MAX(0,Inputs!$B$44-B607)&lt;=0,0,(INT(MAX(0,Inputs!$B$44-B607)/(IF(Inputs!$B$39="pvp",15,MAX(0.1,Skills!D13-IF(TRUE=TRUE,Inputs!$B$33,0)))*(1-IF(AND(ArtifactsInput!$M$27,Inputs!$B$4="Chapter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IFERROR(1/(IF(Inputs!$B$39="pvp",15,MAX(0.1,Skills!D14-IF(TRUE=TRUE,Inputs!$B$33,0)))*(1-IF(AND(ArtifactsInput!$M$27,Inputs!$B$4="Chapter Hunt"),CHOOSE(ArtifactsInput!$N$27+1,20,24,28,32,36,40),0)/100)),0)</f>
        <v/>
      </c>
      <c r="R581">
        <f>IF(AND(Inputs!$B$39&lt;&gt;"pvp",Inputs!$B$44&gt;0),IF(Inputs!$B$44&lt;=0,0,(INT(Inputs!$B$44/(IF(Inputs!$B$39="pvp",15,MAX(0.1,Skills!D14-IF(TRUE=TRUE,Inputs!$B$33,0)))*(1-IF(AND(ArtifactsInput!$M$27,Inputs!$B$4="Chapter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IFERROR(1/(IF(Inputs!$B$39="pvp",15,MAX(0.1,Skills!D15-IF(TRUE=TRUE,Inputs!$B$33,0)))*(1-IF(AND(ArtifactsInput!$M$27,Inputs!$B$4="Chapter Hunt"),CHOOSE(ArtifactsInput!$N$27+1,20,24,28,32,36,40),0)/100)),0)</f>
        <v/>
      </c>
      <c r="R582" t="n">
        <v>0</v>
      </c>
      <c r="S582">
        <f>IF(C582,(Skills!F15*N582*((IF(Inputs!$B$3&gt;=78,25,15)/100*B603*10)/(1+IF(Inputs!$B$3&gt;=78,25,15)/100*B603*IF(Inputs!$B$39="pvp",15,MAX(0.1,18-IF(TRUE=TRUE,Inputs!$B$33,0)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IF(Inputs!$B$39="pvp",15,MAX(0.1,18-IF(TRUE=TRUE,Inputs!$B$33,0)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IFERROR(1/(IF(Inputs!$B$39="pvp",15,MAX(0.1,Skills!D16-IF(TRUE=TRUE,Inputs!$B$33,0)))*(1-IF(AND(ArtifactsInput!$M$27,Inputs!$B$4="Chapter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IFERROR(1/(IF(Inputs!$B$39="pvp",15,MAX(0.1,Skills!D17-IF(TRUE=TRUE,Inputs!$B$33,0)))*(1-IF(AND(ArtifactsInput!$M$27,Inputs!$B$4="Chapter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IFERROR(1/(IF(Inputs!$B$39="pvp",15,MAX(0.1,Skills!D18-IF(TRUE=TRUE,Inputs!$B$33,0)))*(1-IF(AND(ArtifactsInput!$M$27,Inputs!$B$4="Chapter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IFERROR(1/(IF(Inputs!$B$39="pvp",15,MAX(0.1,Skills!D19-IF(TRUE=TRUE,Inputs!$B$33,0)))*(1-IF(AND(ArtifactsInput!$M$27,Inputs!$B$4="Chapter Hunt"),CHOOSE(ArtifactsInput!$N$27+1,20,24,28,32,36,40),0)/100)),0)</f>
        <v/>
      </c>
      <c r="R586">
        <f>IF(AND(Inputs!$B$39&lt;&gt;"pvp",Inputs!$B$44&gt;0),IF(Inputs!$B$44&lt;=0,0,(INT(Inputs!$B$44/(IF(Inputs!$B$39="pvp",15,MAX(0.1,Skills!D19-IF(TRUE=TRUE,Inputs!$B$33,0)))*(1-IF(AND(ArtifactsInput!$M$27,Inputs!$B$4="Chapter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IFERROR(1/(IF(Inputs!$B$39="pvp",15,MAX(0.1,Skills!D20-IF(TRUE=TRUE,Inputs!$B$33,0)))*(1-IF(AND(ArtifactsInput!$M$27,Inputs!$B$4="Chapter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IFERROR(1/(IF(Inputs!$B$39="pvp",15,MAX(0.1,Skills!D21-IF(TRUE=TRUE,Inputs!$B$33,0)))*(1-IF(AND(ArtifactsInput!$M$27,Inputs!$B$4="Chapter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IFERROR(1/(IF(Inputs!$B$39="pvp",15,MAX(0.1,Skills!D22-IF(TRUE=TRUE,Inputs!$B$33,0)))*(1-IF(AND(ArtifactsInput!$M$27,Inputs!$B$4="Chapter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IFERROR(1/(IF(Inputs!$B$39="pvp",15,MAX(0.1,Skills!D23-IF(TRUE=TRUE,Inputs!$B$33,0)))*(1-IF(AND(ArtifactsInput!$M$27,Inputs!$B$4="Chapter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IFERROR(1/(IF(Inputs!$B$39="pvp",15,MAX(0.1,Skills!D24-IF(TRUE=TRUE,Inputs!$B$33,0)))*(1-IF(AND(ArtifactsInput!$M$27,Inputs!$B$4="Chapter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IFERROR(1/(IF(Inputs!$B$39="pvp",15,MAX(0.1,Skills!D25-IF(TRUE=TRUE,Inputs!$B$33,0)))*(1-IF(AND(ArtifactsInput!$M$27,Inputs!$B$4="Chapter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IFERROR(1/(IF(Inputs!$B$39="pvp",15,MAX(0.1,Skills!D26-IF(TRUE=TRUE,Inputs!$B$33,0)))*(1-IF(AND(ArtifactsInput!$M$27,Inputs!$B$4="Chapter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IFERROR(1/(IF(Inputs!$B$39="pvp",15,MAX(0.1,Skills!D27-IF(TRUE=TRUE,Inputs!$B$33,0)))*(1-IF(AND(ArtifactsInput!$M$27,Inputs!$B$4="Chapter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IFERROR(1/(IF(Inputs!$B$39="pvp",15,MAX(0.1,Skills!D28-IF(TRUE=TRUE,Inputs!$B$33,0)))*(1-IF(AND(ArtifactsInput!$M$27,Inputs!$B$4="Chapter Hunt"),CHOOSE(ArtifactsInput!$N$27+1,20,24,28,32,36,40),0)/100)),0)</f>
        <v/>
      </c>
      <c r="R595">
        <f>IF(AND(Inputs!$B$39&lt;&gt;"pvp",Inputs!$B$44&gt;0),IF(Inputs!$B$44&lt;=0,0,(INT(Inputs!$B$44/(IF(Inputs!$B$39="pvp",15,MAX(0.1,Skills!D28-IF(TRUE=TRUE,Inputs!$B$33,0)))*(1-IF(AND(ArtifactsInput!$M$27,Inputs!$B$4="Chapter Hunt"),CHOOSE(ArtifactsInput!$N$27+1,20,24,28,32,36,40),0)/100)))+1)),0)</f>
        <v/>
      </c>
      <c r="S595" t="n">
        <v>0</v>
      </c>
      <c r="U595" t="n">
        <v>0</v>
      </c>
    </row>
    <row r="597">
      <c r="A597" t="inlineStr">
        <is>
          <t>Average Buff Multiplier</t>
        </is>
      </c>
      <c r="B597">
        <f>(1+(IF(C570=TRUE,F570*IF(AND(Inputs!$B$39&lt;&gt;"pvp",Inputs!$B$44&gt;0),(((R570-1)*MIN((Skills!S3*(1+((Inputs!$B$35+(ArtifactsInput!$M$7-ArtifactsInput!$M$7)*CHOOSE(ArtifactsInput!$N$7+1,6,7.2,8.4,9.6,10.8,12)))/100)),(1/Q570))+MIN((Skills!S3*(1+((Inputs!$B$35+(ArtifactsInput!$M$7-ArtifactsInput!$M$7)*CHOOSE(ArtifactsInput!$N$7+1,6,7.2,8.4,9.6,10.8,12)))/100)),MAX(0,Inputs!$B$44-((R570-1)*(1/Q570)))))/Inputs!$B$44),IF(Inputs!$B$39="pvp",MIN((Skills!S3*(1+((Inputs!$B$35+(ArtifactsInput!$M$7-ArtifactsInput!$M$7)*CHOOSE(ArtifactsInput!$N$7+1,6,7.2,8.4,9.6,10.8,12)))/100)),15)/15,MIN(1,(Skills!S3*(1+((Inputs!$B$35+(ArtifactsInput!$M$7-ArtifactsInput!$M$7)*CHOOSE(ArtifactsInput!$N$7+1,6,7.2,8.4,9.6,10.8,12)))/100))/(1/Q570)))),0)+IF(C571=TRUE,F571*IF(AND(Inputs!$B$39&lt;&gt;"pvp",Inputs!$B$44&gt;0),(((R571-1)*MIN((Skills!S4*(1+((Inputs!$B$35+(ArtifactsInput!$M$7-ArtifactsInput!$M$7)*CHOOSE(ArtifactsInput!$N$7+1,6,7.2,8.4,9.6,10.8,12)))/100)),(1/Q571))+MIN((Skills!S4*(1+((Inputs!$B$35+(ArtifactsInput!$M$7-ArtifactsInput!$M$7)*CHOOSE(ArtifactsInput!$N$7+1,6,7.2,8.4,9.6,10.8,12)))/100)),MAX(0,Inputs!$B$44-((R571-1)*(1/Q571)))))/Inputs!$B$44),IF(Inputs!$B$39="pvp",MIN((Skills!S4*(1+((Inputs!$B$35+(ArtifactsInput!$M$7-ArtifactsInput!$M$7)*CHOOSE(ArtifactsInput!$N$7+1,6,7.2,8.4,9.6,10.8,12)))/100)),15)/15,MIN(1,(Skills!S4*(1+((Inputs!$B$35+(ArtifactsInput!$M$7-ArtifactsInput!$M$7)*CHOOSE(ArtifactsInput!$N$7+1,6,7.2,8.4,9.6,10.8,12)))/100))/(1/Q571)))),0)+IF(C572=TRUE,F572*IF(AND(Inputs!$B$39&lt;&gt;"pvp",Inputs!$B$44&gt;0),(((R572-1)*MIN((Skills!S5*(1+((Inputs!$B$35+(ArtifactsInput!$M$7-ArtifactsInput!$M$7)*CHOOSE(ArtifactsInput!$N$7+1,6,7.2,8.4,9.6,10.8,12)))/100)),(1/Q572))+MIN((Skills!S5*(1+((Inputs!$B$35+(ArtifactsInput!$M$7-ArtifactsInput!$M$7)*CHOOSE(ArtifactsInput!$N$7+1,6,7.2,8.4,9.6,10.8,12)))/100)),MAX(0,Inputs!$B$44-((R572-1)*(1/Q572)))))/Inputs!$B$44),IF(Inputs!$B$39="pvp",MIN((Skills!S5*(1+((Inputs!$B$35+(ArtifactsInput!$M$7-ArtifactsInput!$M$7)*CHOOSE(ArtifactsInput!$N$7+1,6,7.2,8.4,9.6,10.8,12)))/100)),15)/15,MIN(1,(Skills!S5*(1+((Inputs!$B$35+(ArtifactsInput!$M$7-ArtifactsInput!$M$7)*CHOOSE(ArtifactsInput!$N$7+1,6,7.2,8.4,9.6,10.8,12)))/100))/(1/Q572)))),0)+IF(C578=TRUE,F578*IF(AND(Inputs!$B$39&lt;&gt;"pvp",Inputs!$B$44&gt;0),(((R578-1)*MIN((Skills!S11*(1+((Inputs!$B$35+(ArtifactsInput!$M$7-ArtifactsInput!$M$7)*CHOOSE(ArtifactsInput!$N$7+1,6,7.2,8.4,9.6,10.8,12)))/100)),(1/Q578))+MIN((Skills!S11*(1+((Inputs!$B$35+(ArtifactsInput!$M$7-ArtifactsInput!$M$7)*CHOOSE(ArtifactsInput!$N$7+1,6,7.2,8.4,9.6,10.8,12)))/100)),MAX(0,Inputs!$B$44-((R578-1)*(1/Q578)))))/Inputs!$B$44),IF(Inputs!$B$39="pvp",MIN((Skills!S11*(1+((Inputs!$B$35+(ArtifactsInput!$M$7-ArtifactsInput!$M$7)*CHOOSE(ArtifactsInput!$N$7+1,6,7.2,8.4,9.6,10.8,12)))/100)),15)/15,MIN(1,(Skills!S11*(1+((Inputs!$B$35+(ArtifactsInput!$M$7-ArtifactsInput!$M$7)*CHOOSE(ArtifactsInput!$N$7+1,6,7.2,8.4,9.6,10.8,12)))/100))/(1/Q578)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MIN((Skills!S14*(1+((Inputs!$B$35+(ArtifactsInput!$M$7-ArtifactsInput!$M$7)*CHOOSE(ArtifactsInput!$N$7+1,6,7.2,8.4,9.6,10.8,12)))/100)),(1/Q581))+MIN((Skills!S14*(1+((Inputs!$B$35+(ArtifactsInput!$M$7-ArtifactsInput!$M$7)*CHOOSE(ArtifactsInput!$N$7+1,6,7.2,8.4,9.6,10.8,12)))/100)),MAX(0,Inputs!$B$44-((R581-1)*(1/Q581)))))/Inputs!$B$44),IF(Inputs!$B$39="pvp",MIN((Skills!S14*(1+((Inputs!$B$35+(ArtifactsInput!$M$7-ArtifactsInput!$M$7)*CHOOSE(ArtifactsInput!$N$7+1,6,7.2,8.4,9.6,10.8,12)))/100)),15)/15,MIN(1,(Skills!S14*(1+((Inputs!$B$35+(ArtifactsInput!$M$7-ArtifactsInput!$M$7)*CHOOSE(ArtifactsInput!$N$7+1,6,7.2,8.4,9.6,10.8,12)))/100))/(1/Q581))))/100),1)*IF(C586=TRUE,(1+F586*IF(AND(Inputs!$B$39&lt;&gt;"pvp",Inputs!$B$44&gt;0),(((R586-1)*MIN((Skills!S19*(1+((Inputs!$B$35+(ArtifactsInput!$M$7-ArtifactsInput!$M$7)*CHOOSE(ArtifactsInput!$N$7+1,6,7.2,8.4,9.6,10.8,12)))/100)),(1/Q586))+MIN((Skills!S19*(1+((Inputs!$B$35+(ArtifactsInput!$M$7-ArtifactsInput!$M$7)*CHOOSE(ArtifactsInput!$N$7+1,6,7.2,8.4,9.6,10.8,12)))/100)),MAX(0,Inputs!$B$44-((R586-1)*(1/Q586)))))/Inputs!$B$44),IF(Inputs!$B$39="pvp",MIN((Skills!S19*(1+((Inputs!$B$35+(ArtifactsInput!$M$7-ArtifactsInput!$M$7)*CHOOSE(ArtifactsInput!$N$7+1,6,7.2,8.4,9.6,10.8,12)))/100)),15)/15,MIN(1,(Skills!S19*(1+((Inputs!$B$35+(ArtifactsInput!$M$7-ArtifactsInput!$M$7)*CHOOSE(ArtifactsInput!$N$7+1,6,7.2,8.4,9.6,10.8,12)))/100))/(1/Q586))))/100),1)</f>
        <v/>
      </c>
    </row>
    <row r="598">
      <c r="A598" t="inlineStr">
        <is>
          <t>Monster Damage Taken Bonus % (Holy Fountain)</t>
        </is>
      </c>
      <c r="B598">
        <f>IF(Inputs!$B$3&gt;=68,20*IF(Inputs!$B$39="pvp",MIN((15*(1+((Inputs!$B$35+(ArtifactsInput!$M$7-ArtifactsInput!$M$7)*CHOOSE(ArtifactsInput!$N$7+1,6,7.2,8.4,9.6,10.8,12)))/100)),15)/15,MIN(1,(15*(1+((Inputs!$B$35+(ArtifactsInput!$M$7-ArtifactsInput!$M$7)*CHOOSE(ArtifactsInput!$N$7+1,6,7.2,8.4,9.6,10.8,12)))/100))/(1/Q577))),0)</f>
        <v/>
      </c>
    </row>
    <row r="599">
      <c r="A599" t="inlineStr">
        <is>
          <t>Normal Monster Damage Bonus % (Holy Symbol)</t>
        </is>
      </c>
      <c r="B599">
        <f>IF(C579=TRUE,F579*IF(AND(Inputs!$B$39&lt;&gt;"pvp",Inputs!$B$44&gt;0),(((R579-1)*MIN((Skills!S12*(1+((Inputs!$B$35+(ArtifactsInput!$M$7-ArtifactsInput!$M$7)*CHOOSE(ArtifactsInput!$N$7+1,6,7.2,8.4,9.6,10.8,12)))/100)),(1/Q579))+MIN((Skills!S12*(1+((Inputs!$B$35+(ArtifactsInput!$M$7-ArtifactsInput!$M$7)*CHOOSE(ArtifactsInput!$N$7+1,6,7.2,8.4,9.6,10.8,12)))/100)),MAX(0,Inputs!$B$44-((R579-1)*(1/Q579)))))/Inputs!$B$44),IF(Inputs!$B$39="pvp",MIN((Skills!S12*(1+((Inputs!$B$35+(ArtifactsInput!$M$7-ArtifactsInput!$M$7)*CHOOSE(ArtifactsInput!$N$7+1,6,7.2,8.4,9.6,10.8,12)))/100)),15)/15,MIN(1,(Skills!S12*(1+((Inputs!$B$35+(ArtifactsInput!$M$7-ArtifactsInput!$M$7)*CHOOSE(ArtifactsInput!$N$7+1,6,7.2,8.4,9.6,10.8,12)))/100))/(1/Q579)))),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MIN((Skills!S28*(1+((Inputs!$B$35+(ArtifactsInput!$M$7-ArtifactsInput!$M$7)*CHOOSE(ArtifactsInput!$N$7+1,6,7.2,8.4,9.6,10.8,12)))/100)),(1/Q595))+MIN((Skills!S28*(1+((Inputs!$B$35+(ArtifactsInput!$M$7-ArtifactsInput!$M$7)*CHOOSE(ArtifactsInput!$N$7+1,6,7.2,8.4,9.6,10.8,12)))/100)),MAX(0,Inputs!$B$44-((R595-1)*(1/Q595)))))/Inputs!$B$44),IF(Inputs!$B$39="pvp",MIN((Skills!S28*(1+((Inputs!$B$35+(ArtifactsInput!$M$7-ArtifactsInput!$M$7)*CHOOSE(ArtifactsInput!$N$7+1,6,7.2,8.4,9.6,10.8,12)))/100)),15)/15,MIN(1,(Skills!S28*(1+((Inputs!$B$35+(ArtifactsInput!$M$7-ArtifactsInput!$M$7)*CHOOSE(ArtifactsInput!$N$7+1,6,7.2,8.4,9.6,10.8,12)))/100))/(1/Q595)))))</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MIN((Skills!S13*(1+((Inputs!$B$35+(ArtifactsInput!$M$7-ArtifactsInput!$M$7)*CHOOSE(ArtifactsInput!$N$7+1,6,7.2,8.4,9.6,10.8,12)))/100)),(1/Q580))+MIN((Skills!S13*(1+((Inputs!$B$35+(ArtifactsInput!$M$7-ArtifactsInput!$M$7)*CHOOSE(ArtifactsInput!$N$7+1,6,7.2,8.4,9.6,10.8,12)))/100)),MAX(0,Inputs!$B$44-((R580-1)*(1/Q580)))))/Inputs!$B$44),IF(Inputs!$B$39="pvp",MIN((Skills!S13*(1+((Inputs!$B$35+(ArtifactsInput!$M$7-ArtifactsInput!$M$7)*CHOOSE(ArtifactsInput!$N$7+1,6,7.2,8.4,9.6,10.8,12)))/100)),15)/15,MIN(1,(Skills!S13*(1+((Inputs!$B$35+(ArtifactsInput!$M$7-ArtifactsInput!$M$7)*CHOOSE(ArtifactsInput!$N$7+1,6,7.2,8.4,9.6,10.8,12)))/100))/(1/Q580)))),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IFERROR(1/(IF(Inputs!$B$39="pvp",15,MAX(0.1,Skills!D2-IF(TRUE=TRUE,Inputs!$B$33,0)))*(1-IF(AND(ArtifactsInput!$M$27,Inputs!$B$4="Chapter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IFERROR(1/(IF(Inputs!$B$39="pvp",15,MAX(0.1,Skills!D3-IF(TRUE=TRUE,Inputs!$B$33,0)))*(1-IF(AND(ArtifactsInput!$M$27,Inputs!$B$4="Chapter Hunt"),CHOOSE(ArtifactsInput!$N$27+1,20,24,28,32,36,40),0)/100)),0)</f>
        <v/>
      </c>
      <c r="R615">
        <f>IF(AND(Inputs!$B$39&lt;&gt;"pvp",Inputs!$B$44&gt;0),IF(Inputs!$B$44&lt;=0,0,(INT(Inputs!$B$44/(IF(Inputs!$B$39="pvp",15,MAX(0.1,Skills!D3-IF(TRUE=TRUE,Inputs!$B$33,0)))*(1-IF(AND(ArtifactsInput!$M$27,Inputs!$B$4="Chapter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IFERROR(1/(IF(Inputs!$B$39="pvp",15,MAX(0.1,Skills!D4-IF(TRUE=TRUE,Inputs!$B$33,0)))*(1-IF(AND(ArtifactsInput!$M$27,Inputs!$B$4="Chapter Hunt"),CHOOSE(ArtifactsInput!$N$27+1,20,24,28,32,36,40),0)/100)),0)</f>
        <v/>
      </c>
      <c r="R616">
        <f>IF(AND(Inputs!$B$39&lt;&gt;"pvp",Inputs!$B$44&gt;0),IF(Inputs!$B$44&lt;=0,0,(INT(Inputs!$B$44/(IF(Inputs!$B$39="pvp",15,MAX(0.1,Skills!D4-IF(TRUE=TRUE,Inputs!$B$33,0)))*(1-IF(AND(ArtifactsInput!$M$27,Inputs!$B$4="Chapter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IFERROR(1/(IF(Inputs!$B$39="pvp",15,MAX(0.1,Skills!D5-IF(TRUE=TRUE,Inputs!$B$33,0)))*(1-IF(AND(ArtifactsInput!$M$27,Inputs!$B$4="Chapter Hunt"),CHOOSE(ArtifactsInput!$N$27+1,20,24,28,32,36,40),0)/100)),0)</f>
        <v/>
      </c>
      <c r="R617">
        <f>IF(AND(Inputs!$B$39&lt;&gt;"pvp",Inputs!$B$44&gt;0),IF(Inputs!$B$44&lt;=0,0,(INT(Inputs!$B$44/(IF(Inputs!$B$39="pvp",15,MAX(0.1,Skills!D5-IF(TRUE=TRUE,Inputs!$B$33,0)))*(1-IF(AND(ArtifactsInput!$M$27,Inputs!$B$4="Chapter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IFERROR(1/(IF(Inputs!$B$39="pvp",15,MAX(0.1,Skills!D6-IF(TRUE=TRUE,Inputs!$B$33,0)))*(1-IF(AND(ArtifactsInput!$M$27,Inputs!$B$4="Chapter Hunt"),CHOOSE(ArtifactsInput!$N$27+1,20,24,28,32,36,40),0)/100)),0)</f>
        <v/>
      </c>
      <c r="R618">
        <f>IF(AND(Inputs!$B$39&lt;&gt;"pvp",Inputs!$B$44&gt;0),IF(MAX(0,Inputs!$B$44-B652)&lt;=0,0,(INT(MAX(0,Inputs!$B$44-B652)/(IF(Inputs!$B$39="pvp",15,MAX(0.1,Skills!D6-IF(TRUE=TRUE,Inputs!$B$33,0)))*(1-IF(AND(ArtifactsInput!$M$27,Inputs!$B$4="Chapter Hunt"),CHOOSE(ArtifactsInput!$N$27+1,20,24,28,32,36,40),0)/100)))+1)),0)</f>
        <v/>
      </c>
      <c r="S618">
        <f>IF(C618,(H618*N618*IF(AND(Inputs!$B$39&lt;&gt;"pvp",Inputs!$B$44&gt;0),((Skills!F6*((R618-1)*IF(Skills!G6&gt;0,INT(Skills!H6/Skills!G6+0.000000001),1)+IF(Skills!G6&gt;0,INT(MIN(Skills!H6,MAX(0,MAX(0,Inputs!$B$44-B652)-((R618-1)*(IF(Inputs!$B$39="pvp",15,MAX(0.1,Skills!D6-IF(TRUE=TRUE,Inputs!$B$33,0)))*(1-IF(AND(ArtifactsInput!$M$27,Inputs!$B$4="Chapter Hunt"),CHOOSE(ArtifactsInput!$N$27+1,20,24,28,32,36,40),0)/100)))))/Skills!G6+0.000000001),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INT(Skills!H6/Skills!G6+0.000000001),1)+IF(Skills!G6&gt;0,INT(MIN(Skills!H6,MAX(0,MAX(0,Inputs!$B$44-B652)-((R618-1)*(IF(Inputs!$B$39="pvp",15,MAX(0.1,Skills!D6-IF(TRUE=TRUE,Inputs!$B$33,0)))*(1-IF(AND(ArtifactsInput!$M$27,Inputs!$B$4="Chapter Hunt"),CHOOSE(ArtifactsInput!$N$27+1,20,24,28,32,36,40),0)/100)))))/Skills!G6+0.000000001),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IFERROR(1/(IF(Inputs!$B$39="pvp",15,MAX(0.1,Skills!D7-IF(TRUE=TRUE,Inputs!$B$33,0)))*(1-IF(AND(ArtifactsInput!$M$27,Inputs!$B$4="Chapter Hunt"),CHOOSE(ArtifactsInput!$N$27+1,20,24,28,32,36,40),0)/100)),0)</f>
        <v/>
      </c>
      <c r="R619">
        <f>IF(AND(Inputs!$B$39&lt;&gt;"pvp",Inputs!$B$44&gt;0),IF(MAX(0,Inputs!$B$44-B652)&lt;=0,0,(INT(MAX(0,Inputs!$B$44-B652)/(IF(Inputs!$B$39="pvp",15,MAX(0.1,Skills!D7-IF(TRUE=TRUE,Inputs!$B$33,0)))*(1-IF(AND(ArtifactsInput!$M$27,Inputs!$B$4="Chapter Hunt"),CHOOSE(ArtifactsInput!$N$27+1,20,24,28,32,36,40),0)/100)))+1)),0)</f>
        <v/>
      </c>
      <c r="S619">
        <f>IF(C619,H619*N619*IF(AND(Inputs!$B$39&lt;&gt;"pvp",Inputs!$B$44&gt;0),((Skills!F7*((R619-1)*IF(Skills!G7&gt;0,INT(Skills!H7/Skills!G7+0.000000001),1)+IF(Skills!G7&gt;0,INT(MIN(Skills!H7,MAX(0,MAX(0,Inputs!$B$44-B652)-((R619-1)*(IF(Inputs!$B$39="pvp",15,MAX(0.1,Skills!D7-IF(TRUE=TRUE,Inputs!$B$33,0)))*(1-IF(AND(ArtifactsInput!$M$27,Inputs!$B$4="Chapter Hunt"),CHOOSE(ArtifactsInput!$N$27+1,20,24,28,32,36,40),0)/100)))))/Skills!G7+0.000000001),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IFERROR(1/(IF(Inputs!$B$39="pvp",15,MAX(0.1,Skills!D8-IF(TRUE=TRUE,Inputs!$B$33,0)))*(1-IF(AND(ArtifactsInput!$M$27,Inputs!$B$4="Chapter Hunt"),CHOOSE(ArtifactsInput!$N$27+1,20,24,28,32,36,40),0)/100)),0)</f>
        <v/>
      </c>
      <c r="R620">
        <f>IF(AND(Inputs!$B$39&lt;&gt;"pvp",Inputs!$B$44&gt;0),IF(MAX(0,Inputs!$B$44-B652)&lt;=0,0,(INT(MAX(0,Inputs!$B$44-B652)/(IF(Inputs!$B$39="pvp",15,MAX(0.1,Skills!D8-IF(TRUE=TRUE,Inputs!$B$33,0)))*(1-IF(AND(ArtifactsInput!$M$27,Inputs!$B$4="Chapter Hunt"),CHOOSE(ArtifactsInput!$N$27+1,20,24,28,32,36,40),0)/100)))+1)),0)</f>
        <v/>
      </c>
      <c r="S620">
        <f>IF(C620,(H620*N620*IF(AND(Inputs!$B$39&lt;&gt;"pvp",Inputs!$B$44&gt;0),((Skills!F8*((R620-1)*IF(Skills!G8&gt;0,INT(Skills!H8/Skills!G8+0.000000001),1)+IF(Skills!G8&gt;0,INT(MIN(Skills!H8,MAX(0,MAX(0,Inputs!$B$44-B652)-((R620-1)*(IF(Inputs!$B$39="pvp",15,MAX(0.1,Skills!D8-IF(TRUE=TRUE,Inputs!$B$33,0)))*(1-IF(AND(ArtifactsInput!$M$27,Inputs!$B$4="Chapter Hunt"),CHOOSE(ArtifactsInput!$N$27+1,20,24,28,32,36,40),0)/100)))))/Skills!G8+0.000000001),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INT(Skills!H8/Skills!G8+0.000000001),1)+IF(Skills!G8&gt;0,INT(MIN(Skills!H8,MAX(0,MAX(0,Inputs!$B$44-B652)-((R620-1)*(IF(Inputs!$B$39="pvp",15,MAX(0.1,Skills!D8-IF(TRUE=TRUE,Inputs!$B$33,0)))*(1-IF(AND(ArtifactsInput!$M$27,Inputs!$B$4="Chapter Hunt"),CHOOSE(ArtifactsInput!$N$27+1,20,24,28,32,36,40),0)/100)))))/Skills!G8+0.000000001),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IFERROR(1/(IF(Inputs!$B$39="pvp",15,MAX(0.1,Skills!D9-IF(TRUE=TRUE,Inputs!$B$33,0)))*(1-IF(AND(ArtifactsInput!$M$27,Inputs!$B$4="Chapter Hunt"),CHOOSE(ArtifactsInput!$N$27+1,20,24,28,32,36,40),0)/100)),0)</f>
        <v/>
      </c>
      <c r="R621">
        <f>IF(AND(Inputs!$B$39&lt;&gt;"pvp",Inputs!$B$44&gt;0),IF(MAX(0,Inputs!$B$44-B652)&lt;=0,0,(INT(MAX(0,Inputs!$B$44-B652)/(IF(Inputs!$B$39="pvp",15,MAX(0.1,Skills!D9-IF(TRUE=TRUE,Inputs!$B$33,0)))*(1-IF(AND(ArtifactsInput!$M$27,Inputs!$B$4="Chapter Hunt"),CHOOSE(ArtifactsInput!$N$27+1,20,24,28,32,36,40),0)/100)))+1)),0)</f>
        <v/>
      </c>
      <c r="S621">
        <f>IF(C621,(H621*N621*IF(AND(Inputs!$B$39&lt;&gt;"pvp",Inputs!$B$44&gt;0),((Skills!F9*((R621-1)*IF(Skills!G9&gt;0,INT(Skills!H9/Skills!G9+0.000000001),1)+IF(Skills!G9&gt;0,INT(MIN(Skills!H9,MAX(0,MAX(0,Inputs!$B$44-B652)-((R621-1)*(IF(Inputs!$B$39="pvp",15,MAX(0.1,Skills!D9-IF(TRUE=TRUE,Inputs!$B$33,0)))*(1-IF(AND(ArtifactsInput!$M$27,Inputs!$B$4="Chapter Hunt"),CHOOSE(ArtifactsInput!$N$27+1,20,24,28,32,36,40),0)/100)))))/Skills!G9+0.000000001),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INT(Skills!H9/Skills!G9+0.000000001),1)+IF(Skills!G9&gt;0,INT(MIN(Skills!H9,MAX(0,MAX(0,Inputs!$B$44-B652)-((R621-1)*(IF(Inputs!$B$39="pvp",15,MAX(0.1,Skills!D9-IF(TRUE=TRUE,Inputs!$B$33,0)))*(1-IF(AND(ArtifactsInput!$M$27,Inputs!$B$4="Chapter Hunt"),CHOOSE(ArtifactsInput!$N$27+1,20,24,28,32,36,40),0)/100)))))/Skills!G9+0.000000001),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IFERROR(1/(IF(Inputs!$B$39="pvp",15,MAX(0.1,Skills!D10-IF(TRUE=TRUE,Inputs!$B$33,0)))*(1-IF(AND(ArtifactsInput!$M$27,Inputs!$B$4="Chapter Hunt"),CHOOSE(ArtifactsInput!$N$27+1,20,24,28,32,36,40),0)/100)),0)</f>
        <v/>
      </c>
      <c r="R622">
        <f>IF(AND(Inputs!$B$39&lt;&gt;"pvp",Inputs!$B$44&gt;0),IF(MAX(0,Inputs!$B$44-B652)&lt;=0,0,(INT(MAX(0,Inputs!$B$44-B652)/(IF(Inputs!$B$39="pvp",15,MAX(0.1,Skills!D10-IF(TRUE=TRUE,Inputs!$B$33,0)))*(1-IF(AND(ArtifactsInput!$M$27,Inputs!$B$4="Chapter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IFERROR(1/(IF(Inputs!$B$39="pvp",15,MAX(0.1,Skills!D11-IF(TRUE=TRUE,Inputs!$B$33,0)))*(1-IF(AND(ArtifactsInput!$M$27,Inputs!$B$4="Chapter Hunt"),CHOOSE(ArtifactsInput!$N$27+1,20,24,28,32,36,40),0)/100)),0)</f>
        <v/>
      </c>
      <c r="R623">
        <f>IF(AND(Inputs!$B$39&lt;&gt;"pvp",Inputs!$B$44&gt;0),IF(Inputs!$B$44&lt;=0,0,(INT(Inputs!$B$44/(IF(Inputs!$B$39="pvp",15,MAX(0.1,Skills!D11-IF(TRUE=TRUE,Inputs!$B$33,0)))*(1-IF(AND(ArtifactsInput!$M$27,Inputs!$B$4="Chapter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IFERROR(1/(IF(Inputs!$B$39="pvp",15,MAX(0.1,Skills!D12-IF(TRUE=TRUE,Inputs!$B$33,0)))*(1-IF(AND(ArtifactsInput!$M$27,Inputs!$B$4="Chapter Hunt"),CHOOSE(ArtifactsInput!$N$27+1,20,24,28,32,36,40),0)/100)),0)</f>
        <v/>
      </c>
      <c r="R624">
        <f>IF(AND(Inputs!$B$39&lt;&gt;"pvp",Inputs!$B$44&gt;0),IF(MAX(0,Inputs!$B$44-B652)&lt;=0,0,(INT(MAX(0,Inputs!$B$44-B652)/(IF(Inputs!$B$39="pvp",15,MAX(0.1,Skills!D12-IF(TRUE=TRUE,Inputs!$B$33,0)))*(1-IF(AND(ArtifactsInput!$M$27,Inputs!$B$4="Chapter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IFERROR(1/(IF(Inputs!$B$39="pvp",15,MAX(0.1,Skills!D13-IF(TRUE=TRUE,Inputs!$B$33,0)))*(1-IF(AND(ArtifactsInput!$M$27,Inputs!$B$4="Chapter Hunt"),CHOOSE(ArtifactsInput!$N$27+1,20,24,28,32,36,40),0)/100)),0)</f>
        <v/>
      </c>
      <c r="R625">
        <f>IF(AND(Inputs!$B$39&lt;&gt;"pvp",Inputs!$B$44&gt;0),IF(MAX(0,Inputs!$B$44-B652)&lt;=0,0,(INT(MAX(0,Inputs!$B$44-B652)/(IF(Inputs!$B$39="pvp",15,MAX(0.1,Skills!D13-IF(TRUE=TRUE,Inputs!$B$33,0)))*(1-IF(AND(ArtifactsInput!$M$27,Inputs!$B$4="Chapter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IFERROR(1/(IF(Inputs!$B$39="pvp",15,MAX(0.1,Skills!D14-IF(TRUE=TRUE,Inputs!$B$33,0)))*(1-IF(AND(ArtifactsInput!$M$27,Inputs!$B$4="Chapter Hunt"),CHOOSE(ArtifactsInput!$N$27+1,20,24,28,32,36,40),0)/100)),0)</f>
        <v/>
      </c>
      <c r="R626">
        <f>IF(AND(Inputs!$B$39&lt;&gt;"pvp",Inputs!$B$44&gt;0),IF(Inputs!$B$44&lt;=0,0,(INT(Inputs!$B$44/(IF(Inputs!$B$39="pvp",15,MAX(0.1,Skills!D14-IF(TRUE=TRUE,Inputs!$B$33,0)))*(1-IF(AND(ArtifactsInput!$M$27,Inputs!$B$4="Chapter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IFERROR(1/(IF(Inputs!$B$39="pvp",15,MAX(0.1,Skills!D15-IF(TRUE=TRUE,Inputs!$B$33,0)))*(1-IF(AND(ArtifactsInput!$M$27,Inputs!$B$4="Chapter Hunt"),CHOOSE(ArtifactsInput!$N$27+1,20,24,28,32,36,40),0)/100)),0)</f>
        <v/>
      </c>
      <c r="R627" t="n">
        <v>0</v>
      </c>
      <c r="S627">
        <f>IF(C627,(Skills!F15*N627*((IF(Inputs!$B$3&gt;=78,25,15)/100*B648*10)/(1+IF(Inputs!$B$3&gt;=78,25,15)/100*B648*IF(Inputs!$B$39="pvp",15,MAX(0.1,18-IF(TRUE=TRUE,Inputs!$B$33,0)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IF(Inputs!$B$39="pvp",15,MAX(0.1,18-IF(TRUE=TRUE,Inputs!$B$33,0)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IFERROR(1/(IF(Inputs!$B$39="pvp",15,MAX(0.1,Skills!D16-IF(TRUE=TRUE,Inputs!$B$33,0)))*(1-IF(AND(ArtifactsInput!$M$27,Inputs!$B$4="Chapter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IFERROR(1/(IF(Inputs!$B$39="pvp",15,MAX(0.1,Skills!D17-IF(TRUE=TRUE,Inputs!$B$33,0)))*(1-IF(AND(ArtifactsInput!$M$27,Inputs!$B$4="Chapter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IFERROR(1/(IF(Inputs!$B$39="pvp",15,MAX(0.1,Skills!D18-IF(TRUE=TRUE,Inputs!$B$33,0)))*(1-IF(AND(ArtifactsInput!$M$27,Inputs!$B$4="Chapter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IFERROR(1/(IF(Inputs!$B$39="pvp",15,MAX(0.1,Skills!D19-IF(TRUE=TRUE,Inputs!$B$33,0)))*(1-IF(AND(ArtifactsInput!$M$27,Inputs!$B$4="Chapter Hunt"),CHOOSE(ArtifactsInput!$N$27+1,20,24,28,32,36,40),0)/100)),0)</f>
        <v/>
      </c>
      <c r="R631">
        <f>IF(AND(Inputs!$B$39&lt;&gt;"pvp",Inputs!$B$44&gt;0),IF(Inputs!$B$44&lt;=0,0,(INT(Inputs!$B$44/(IF(Inputs!$B$39="pvp",15,MAX(0.1,Skills!D19-IF(TRUE=TRUE,Inputs!$B$33,0)))*(1-IF(AND(ArtifactsInput!$M$27,Inputs!$B$4="Chapter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IFERROR(1/(IF(Inputs!$B$39="pvp",15,MAX(0.1,Skills!D20-IF(TRUE=TRUE,Inputs!$B$33,0)))*(1-IF(AND(ArtifactsInput!$M$27,Inputs!$B$4="Chapter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IFERROR(1/(IF(Inputs!$B$39="pvp",15,MAX(0.1,Skills!D21-IF(TRUE=TRUE,Inputs!$B$33,0)))*(1-IF(AND(ArtifactsInput!$M$27,Inputs!$B$4="Chapter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IFERROR(1/(IF(Inputs!$B$39="pvp",15,MAX(0.1,Skills!D22-IF(TRUE=TRUE,Inputs!$B$33,0)))*(1-IF(AND(ArtifactsInput!$M$27,Inputs!$B$4="Chapter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IFERROR(1/(IF(Inputs!$B$39="pvp",15,MAX(0.1,Skills!D23-IF(TRUE=TRUE,Inputs!$B$33,0)))*(1-IF(AND(ArtifactsInput!$M$27,Inputs!$B$4="Chapter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IFERROR(1/(IF(Inputs!$B$39="pvp",15,MAX(0.1,Skills!D24-IF(TRUE=TRUE,Inputs!$B$33,0)))*(1-IF(AND(ArtifactsInput!$M$27,Inputs!$B$4="Chapter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IFERROR(1/(IF(Inputs!$B$39="pvp",15,MAX(0.1,Skills!D25-IF(TRUE=TRUE,Inputs!$B$33,0)))*(1-IF(AND(ArtifactsInput!$M$27,Inputs!$B$4="Chapter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IFERROR(1/(IF(Inputs!$B$39="pvp",15,MAX(0.1,Skills!D26-IF(TRUE=TRUE,Inputs!$B$33,0)))*(1-IF(AND(ArtifactsInput!$M$27,Inputs!$B$4="Chapter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IFERROR(1/(IF(Inputs!$B$39="pvp",15,MAX(0.1,Skills!D27-IF(TRUE=TRUE,Inputs!$B$33,0)))*(1-IF(AND(ArtifactsInput!$M$27,Inputs!$B$4="Chapter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IFERROR(1/(IF(Inputs!$B$39="pvp",15,MAX(0.1,Skills!D28-IF(TRUE=TRUE,Inputs!$B$33,0)))*(1-IF(AND(ArtifactsInput!$M$27,Inputs!$B$4="Chapter Hunt"),CHOOSE(ArtifactsInput!$N$27+1,20,24,28,32,36,40),0)/100)),0)</f>
        <v/>
      </c>
      <c r="R640">
        <f>IF(AND(Inputs!$B$39&lt;&gt;"pvp",Inputs!$B$44&gt;0),IF(Inputs!$B$44&lt;=0,0,(INT(Inputs!$B$44/(IF(Inputs!$B$39="pvp",15,MAX(0.1,Skills!D28-IF(TRUE=TRUE,Inputs!$B$33,0)))*(1-IF(AND(ArtifactsInput!$M$27,Inputs!$B$4="Chapter Hunt"),CHOOSE(ArtifactsInput!$N$27+1,20,24,28,32,36,40),0)/100)))+1)),0)</f>
        <v/>
      </c>
      <c r="S640" t="n">
        <v>0</v>
      </c>
      <c r="U640" t="n">
        <v>0</v>
      </c>
    </row>
    <row r="642">
      <c r="A642" t="inlineStr">
        <is>
          <t>Average Buff Multiplier</t>
        </is>
      </c>
      <c r="B642">
        <f>(1+(IF(C615=TRUE,F615*IF(AND(Inputs!$B$39&lt;&gt;"pvp",Inputs!$B$44&gt;0),(((R615-1)*MIN((Skills!S3*(1+((Inputs!$B$35+(ArtifactsInput!$M$7-ArtifactsInput!$M$7)*CHOOSE(ArtifactsInput!$N$7+1,6,7.2,8.4,9.6,10.8,12)))/100)),(1/Q615))+MIN((Skills!S3*(1+((Inputs!$B$35+(ArtifactsInput!$M$7-ArtifactsInput!$M$7)*CHOOSE(ArtifactsInput!$N$7+1,6,7.2,8.4,9.6,10.8,12)))/100)),MAX(0,Inputs!$B$44-((R615-1)*(1/Q615)))))/Inputs!$B$44),IF(Inputs!$B$39="pvp",MIN((Skills!S3*(1+((Inputs!$B$35+(ArtifactsInput!$M$7-ArtifactsInput!$M$7)*CHOOSE(ArtifactsInput!$N$7+1,6,7.2,8.4,9.6,10.8,12)))/100)),15)/15,MIN(1,(Skills!S3*(1+((Inputs!$B$35+(ArtifactsInput!$M$7-ArtifactsInput!$M$7)*CHOOSE(ArtifactsInput!$N$7+1,6,7.2,8.4,9.6,10.8,12)))/100))/(1/Q615)))),0)+IF(C616=TRUE,F616*IF(AND(Inputs!$B$39&lt;&gt;"pvp",Inputs!$B$44&gt;0),(((R616-1)*MIN((Skills!S4*(1+((Inputs!$B$35+(ArtifactsInput!$M$7-ArtifactsInput!$M$7)*CHOOSE(ArtifactsInput!$N$7+1,6,7.2,8.4,9.6,10.8,12)))/100)),(1/Q616))+MIN((Skills!S4*(1+((Inputs!$B$35+(ArtifactsInput!$M$7-ArtifactsInput!$M$7)*CHOOSE(ArtifactsInput!$N$7+1,6,7.2,8.4,9.6,10.8,12)))/100)),MAX(0,Inputs!$B$44-((R616-1)*(1/Q616)))))/Inputs!$B$44),IF(Inputs!$B$39="pvp",MIN((Skills!S4*(1+((Inputs!$B$35+(ArtifactsInput!$M$7-ArtifactsInput!$M$7)*CHOOSE(ArtifactsInput!$N$7+1,6,7.2,8.4,9.6,10.8,12)))/100)),15)/15,MIN(1,(Skills!S4*(1+((Inputs!$B$35+(ArtifactsInput!$M$7-ArtifactsInput!$M$7)*CHOOSE(ArtifactsInput!$N$7+1,6,7.2,8.4,9.6,10.8,12)))/100))/(1/Q616)))),0)+IF(C617=TRUE,F617*IF(AND(Inputs!$B$39&lt;&gt;"pvp",Inputs!$B$44&gt;0),(((R617-1)*MIN((Skills!S5*(1+((Inputs!$B$35+(ArtifactsInput!$M$7-ArtifactsInput!$M$7)*CHOOSE(ArtifactsInput!$N$7+1,6,7.2,8.4,9.6,10.8,12)))/100)),(1/Q617))+MIN((Skills!S5*(1+((Inputs!$B$35+(ArtifactsInput!$M$7-ArtifactsInput!$M$7)*CHOOSE(ArtifactsInput!$N$7+1,6,7.2,8.4,9.6,10.8,12)))/100)),MAX(0,Inputs!$B$44-((R617-1)*(1/Q617)))))/Inputs!$B$44),IF(Inputs!$B$39="pvp",MIN((Skills!S5*(1+((Inputs!$B$35+(ArtifactsInput!$M$7-ArtifactsInput!$M$7)*CHOOSE(ArtifactsInput!$N$7+1,6,7.2,8.4,9.6,10.8,12)))/100)),15)/15,MIN(1,(Skills!S5*(1+((Inputs!$B$35+(ArtifactsInput!$M$7-ArtifactsInput!$M$7)*CHOOSE(ArtifactsInput!$N$7+1,6,7.2,8.4,9.6,10.8,12)))/100))/(1/Q617)))),0)+IF(C623=TRUE,F623*IF(AND(Inputs!$B$39&lt;&gt;"pvp",Inputs!$B$44&gt;0),(((R623-1)*MIN((Skills!S11*(1+((Inputs!$B$35+(ArtifactsInput!$M$7-ArtifactsInput!$M$7)*CHOOSE(ArtifactsInput!$N$7+1,6,7.2,8.4,9.6,10.8,12)))/100)),(1/Q623))+MIN((Skills!S11*(1+((Inputs!$B$35+(ArtifactsInput!$M$7-ArtifactsInput!$M$7)*CHOOSE(ArtifactsInput!$N$7+1,6,7.2,8.4,9.6,10.8,12)))/100)),MAX(0,Inputs!$B$44-((R623-1)*(1/Q623)))))/Inputs!$B$44),IF(Inputs!$B$39="pvp",MIN((Skills!S11*(1+((Inputs!$B$35+(ArtifactsInput!$M$7-ArtifactsInput!$M$7)*CHOOSE(ArtifactsInput!$N$7+1,6,7.2,8.4,9.6,10.8,12)))/100)),15)/15,MIN(1,(Skills!S11*(1+((Inputs!$B$35+(ArtifactsInput!$M$7-ArtifactsInput!$M$7)*CHOOSE(ArtifactsInput!$N$7+1,6,7.2,8.4,9.6,10.8,12)))/100))/(1/Q623)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MIN((Skills!S14*(1+((Inputs!$B$35+(ArtifactsInput!$M$7-ArtifactsInput!$M$7)*CHOOSE(ArtifactsInput!$N$7+1,6,7.2,8.4,9.6,10.8,12)))/100)),(1/Q626))+MIN((Skills!S14*(1+((Inputs!$B$35+(ArtifactsInput!$M$7-ArtifactsInput!$M$7)*CHOOSE(ArtifactsInput!$N$7+1,6,7.2,8.4,9.6,10.8,12)))/100)),MAX(0,Inputs!$B$44-((R626-1)*(1/Q626)))))/Inputs!$B$44),IF(Inputs!$B$39="pvp",MIN((Skills!S14*(1+((Inputs!$B$35+(ArtifactsInput!$M$7-ArtifactsInput!$M$7)*CHOOSE(ArtifactsInput!$N$7+1,6,7.2,8.4,9.6,10.8,12)))/100)),15)/15,MIN(1,(Skills!S14*(1+((Inputs!$B$35+(ArtifactsInput!$M$7-ArtifactsInput!$M$7)*CHOOSE(ArtifactsInput!$N$7+1,6,7.2,8.4,9.6,10.8,12)))/100))/(1/Q626))))/100),1)*IF(C631=TRUE,(1+F631*IF(AND(Inputs!$B$39&lt;&gt;"pvp",Inputs!$B$44&gt;0),(((R631-1)*MIN((Skills!S19*(1+((Inputs!$B$35+(ArtifactsInput!$M$7-ArtifactsInput!$M$7)*CHOOSE(ArtifactsInput!$N$7+1,6,7.2,8.4,9.6,10.8,12)))/100)),(1/Q631))+MIN((Skills!S19*(1+((Inputs!$B$35+(ArtifactsInput!$M$7-ArtifactsInput!$M$7)*CHOOSE(ArtifactsInput!$N$7+1,6,7.2,8.4,9.6,10.8,12)))/100)),MAX(0,Inputs!$B$44-((R631-1)*(1/Q631)))))/Inputs!$B$44),IF(Inputs!$B$39="pvp",MIN((Skills!S19*(1+((Inputs!$B$35+(ArtifactsInput!$M$7-ArtifactsInput!$M$7)*CHOOSE(ArtifactsInput!$N$7+1,6,7.2,8.4,9.6,10.8,12)))/100)),15)/15,MIN(1,(Skills!S19*(1+((Inputs!$B$35+(ArtifactsInput!$M$7-ArtifactsInput!$M$7)*CHOOSE(ArtifactsInput!$N$7+1,6,7.2,8.4,9.6,10.8,12)))/100))/(1/Q631))))/100),1)</f>
        <v/>
      </c>
    </row>
    <row r="643">
      <c r="A643" t="inlineStr">
        <is>
          <t>Monster Damage Taken Bonus % (Holy Fountain)</t>
        </is>
      </c>
      <c r="B643">
        <f>IF(Inputs!$B$3&gt;=68,20*IF(Inputs!$B$39="pvp",MIN((15*(1+((Inputs!$B$35+(ArtifactsInput!$M$7-ArtifactsInput!$M$7)*CHOOSE(ArtifactsInput!$N$7+1,6,7.2,8.4,9.6,10.8,12)))/100)),15)/15,MIN(1,(15*(1+((Inputs!$B$35+(ArtifactsInput!$M$7-ArtifactsInput!$M$7)*CHOOSE(ArtifactsInput!$N$7+1,6,7.2,8.4,9.6,10.8,12)))/100))/(1/Q622))),0)</f>
        <v/>
      </c>
    </row>
    <row r="644">
      <c r="A644" t="inlineStr">
        <is>
          <t>Normal Monster Damage Bonus % (Holy Symbol)</t>
        </is>
      </c>
      <c r="B644">
        <f>IF(C624=TRUE,F624*IF(AND(Inputs!$B$39&lt;&gt;"pvp",Inputs!$B$44&gt;0),(((R624-1)*MIN((Skills!S12*(1+((Inputs!$B$35+(ArtifactsInput!$M$7-ArtifactsInput!$M$7)*CHOOSE(ArtifactsInput!$N$7+1,6,7.2,8.4,9.6,10.8,12)))/100)),(1/Q624))+MIN((Skills!S12*(1+((Inputs!$B$35+(ArtifactsInput!$M$7-ArtifactsInput!$M$7)*CHOOSE(ArtifactsInput!$N$7+1,6,7.2,8.4,9.6,10.8,12)))/100)),MAX(0,Inputs!$B$44-((R624-1)*(1/Q624)))))/Inputs!$B$44),IF(Inputs!$B$39="pvp",MIN((Skills!S12*(1+((Inputs!$B$35+(ArtifactsInput!$M$7-ArtifactsInput!$M$7)*CHOOSE(ArtifactsInput!$N$7+1,6,7.2,8.4,9.6,10.8,12)))/100)),15)/15,MIN(1,(Skills!S12*(1+((Inputs!$B$35+(ArtifactsInput!$M$7-ArtifactsInput!$M$7)*CHOOSE(ArtifactsInput!$N$7+1,6,7.2,8.4,9.6,10.8,12)))/100))/(1/Q624)))),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MIN((Skills!S28*(1+((Inputs!$B$35+(ArtifactsInput!$M$7-ArtifactsInput!$M$7)*CHOOSE(ArtifactsInput!$N$7+1,6,7.2,8.4,9.6,10.8,12)))/100)),(1/Q640))+MIN((Skills!S28*(1+((Inputs!$B$35+(ArtifactsInput!$M$7-ArtifactsInput!$M$7)*CHOOSE(ArtifactsInput!$N$7+1,6,7.2,8.4,9.6,10.8,12)))/100)),MAX(0,Inputs!$B$44-((R640-1)*(1/Q640)))))/Inputs!$B$44),IF(Inputs!$B$39="pvp",MIN((Skills!S28*(1+((Inputs!$B$35+(ArtifactsInput!$M$7-ArtifactsInput!$M$7)*CHOOSE(ArtifactsInput!$N$7+1,6,7.2,8.4,9.6,10.8,12)))/100)),15)/15,MIN(1,(Skills!S28*(1+((Inputs!$B$35+(ArtifactsInput!$M$7-ArtifactsInput!$M$7)*CHOOSE(ArtifactsInput!$N$7+1,6,7.2,8.4,9.6,10.8,12)))/100))/(1/Q640)))))</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MIN((Skills!S13*(1+((Inputs!$B$35+(ArtifactsInput!$M$7-ArtifactsInput!$M$7)*CHOOSE(ArtifactsInput!$N$7+1,6,7.2,8.4,9.6,10.8,12)))/100)),(1/Q625))+MIN((Skills!S13*(1+((Inputs!$B$35+(ArtifactsInput!$M$7-ArtifactsInput!$M$7)*CHOOSE(ArtifactsInput!$N$7+1,6,7.2,8.4,9.6,10.8,12)))/100)),MAX(0,Inputs!$B$44-((R625-1)*(1/Q625)))))/Inputs!$B$44),IF(Inputs!$B$39="pvp",MIN((Skills!S13*(1+((Inputs!$B$35+(ArtifactsInput!$M$7-ArtifactsInput!$M$7)*CHOOSE(ArtifactsInput!$N$7+1,6,7.2,8.4,9.6,10.8,12)))/100)),15)/15,MIN(1,(Skills!S13*(1+((Inputs!$B$35+(ArtifactsInput!$M$7-ArtifactsInput!$M$7)*CHOOSE(ArtifactsInput!$N$7+1,6,7.2,8.4,9.6,10.8,12)))/100))/(1/Q625)))),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IFERROR(1/(IF(Inputs!$B$39="pvp",15,MAX(0.1,Skills!D2-IF(TRUE=TRUE,Inputs!$B$33,0)))*(1-IF(AND(ArtifactsInput!$M$27,Inputs!$B$4="Chapter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IFERROR(1/(IF(Inputs!$B$39="pvp",15,MAX(0.1,Skills!D3-IF(TRUE=TRUE,Inputs!$B$33,0)))*(1-IF(AND(ArtifactsInput!$M$27,Inputs!$B$4="Chapter Hunt"),CHOOSE(ArtifactsInput!$N$27+1,20,24,28,32,36,40),0)/100)),0)</f>
        <v/>
      </c>
      <c r="R660">
        <f>IF(AND(Inputs!$B$39&lt;&gt;"pvp",Inputs!$B$44&gt;0),IF(Inputs!$B$44&lt;=0,0,(INT(Inputs!$B$44/(IF(Inputs!$B$39="pvp",15,MAX(0.1,Skills!D3-IF(TRUE=TRUE,Inputs!$B$33,0)))*(1-IF(AND(ArtifactsInput!$M$27,Inputs!$B$4="Chapter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IFERROR(1/(IF(Inputs!$B$39="pvp",15,MAX(0.1,Skills!D4-IF(TRUE=TRUE,Inputs!$B$33,0)))*(1-IF(AND(ArtifactsInput!$M$27,Inputs!$B$4="Chapter Hunt"),CHOOSE(ArtifactsInput!$N$27+1,20,24,28,32,36,40),0)/100)),0)</f>
        <v/>
      </c>
      <c r="R661">
        <f>IF(AND(Inputs!$B$39&lt;&gt;"pvp",Inputs!$B$44&gt;0),IF(Inputs!$B$44&lt;=0,0,(INT(Inputs!$B$44/(IF(Inputs!$B$39="pvp",15,MAX(0.1,Skills!D4-IF(TRUE=TRUE,Inputs!$B$33,0)))*(1-IF(AND(ArtifactsInput!$M$27,Inputs!$B$4="Chapter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IFERROR(1/(IF(Inputs!$B$39="pvp",15,MAX(0.1,Skills!D5-IF(TRUE=TRUE,Inputs!$B$33,0)))*(1-IF(AND(ArtifactsInput!$M$27,Inputs!$B$4="Chapter Hunt"),CHOOSE(ArtifactsInput!$N$27+1,20,24,28,32,36,40),0)/100)),0)</f>
        <v/>
      </c>
      <c r="R662">
        <f>IF(AND(Inputs!$B$39&lt;&gt;"pvp",Inputs!$B$44&gt;0),IF(Inputs!$B$44&lt;=0,0,(INT(Inputs!$B$44/(IF(Inputs!$B$39="pvp",15,MAX(0.1,Skills!D5-IF(TRUE=TRUE,Inputs!$B$33,0)))*(1-IF(AND(ArtifactsInput!$M$27,Inputs!$B$4="Chapter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IFERROR(1/(IF(Inputs!$B$39="pvp",15,MAX(0.1,Skills!D6-IF(TRUE=TRUE,Inputs!$B$33,0)))*(1-IF(AND(ArtifactsInput!$M$27,Inputs!$B$4="Chapter Hunt"),CHOOSE(ArtifactsInput!$N$27+1,20,24,28,32,36,40),0)/100)),0)</f>
        <v/>
      </c>
      <c r="R663">
        <f>IF(AND(Inputs!$B$39&lt;&gt;"pvp",Inputs!$B$44&gt;0),IF(MAX(0,Inputs!$B$44-B697)&lt;=0,0,(INT(MAX(0,Inputs!$B$44-B697)/(IF(Inputs!$B$39="pvp",15,MAX(0.1,Skills!D6-IF(TRUE=TRUE,Inputs!$B$33,0)))*(1-IF(AND(ArtifactsInput!$M$27,Inputs!$B$4="Chapter Hunt"),CHOOSE(ArtifactsInput!$N$27+1,20,24,28,32,36,40),0)/100)))+1)),0)</f>
        <v/>
      </c>
      <c r="S663">
        <f>IF(C663,(H663*N663*IF(AND(Inputs!$B$39&lt;&gt;"pvp",Inputs!$B$44&gt;0),((Skills!F6*((R663-1)*IF(Skills!G6&gt;0,INT(Skills!H6/Skills!G6+0.000000001),1)+IF(Skills!G6&gt;0,INT(MIN(Skills!H6,MAX(0,MAX(0,Inputs!$B$44-B697)-((R663-1)*(IF(Inputs!$B$39="pvp",15,MAX(0.1,Skills!D6-IF(TRUE=TRUE,Inputs!$B$33,0)))*(1-IF(AND(ArtifactsInput!$M$27,Inputs!$B$4="Chapter Hunt"),CHOOSE(ArtifactsInput!$N$27+1,20,24,28,32,36,40),0)/100)))))/Skills!G6+0.000000001),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INT(Skills!H6/Skills!G6+0.000000001),1)+IF(Skills!G6&gt;0,INT(MIN(Skills!H6,MAX(0,MAX(0,Inputs!$B$44-B697)-((R663-1)*(IF(Inputs!$B$39="pvp",15,MAX(0.1,Skills!D6-IF(TRUE=TRUE,Inputs!$B$33,0)))*(1-IF(AND(ArtifactsInput!$M$27,Inputs!$B$4="Chapter Hunt"),CHOOSE(ArtifactsInput!$N$27+1,20,24,28,32,36,40),0)/100)))))/Skills!G6+0.000000001),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IFERROR(1/(IF(Inputs!$B$39="pvp",15,MAX(0.1,Skills!D7-IF(TRUE=TRUE,Inputs!$B$33,0)))*(1-IF(AND(ArtifactsInput!$M$27,Inputs!$B$4="Chapter Hunt"),CHOOSE(ArtifactsInput!$N$27+1,20,24,28,32,36,40),0)/100)),0)</f>
        <v/>
      </c>
      <c r="R664">
        <f>IF(AND(Inputs!$B$39&lt;&gt;"pvp",Inputs!$B$44&gt;0),IF(MAX(0,Inputs!$B$44-B697)&lt;=0,0,(INT(MAX(0,Inputs!$B$44-B697)/(IF(Inputs!$B$39="pvp",15,MAX(0.1,Skills!D7-IF(TRUE=TRUE,Inputs!$B$33,0)))*(1-IF(AND(ArtifactsInput!$M$27,Inputs!$B$4="Chapter Hunt"),CHOOSE(ArtifactsInput!$N$27+1,20,24,28,32,36,40),0)/100)))+1)),0)</f>
        <v/>
      </c>
      <c r="S664">
        <f>IF(C664,H664*N664*IF(AND(Inputs!$B$39&lt;&gt;"pvp",Inputs!$B$44&gt;0),((Skills!F7*((R664-1)*IF(Skills!G7&gt;0,INT(Skills!H7/Skills!G7+0.000000001),1)+IF(Skills!G7&gt;0,INT(MIN(Skills!H7,MAX(0,MAX(0,Inputs!$B$44-B697)-((R664-1)*(IF(Inputs!$B$39="pvp",15,MAX(0.1,Skills!D7-IF(TRUE=TRUE,Inputs!$B$33,0)))*(1-IF(AND(ArtifactsInput!$M$27,Inputs!$B$4="Chapter Hunt"),CHOOSE(ArtifactsInput!$N$27+1,20,24,28,32,36,40),0)/100)))))/Skills!G7+0.000000001),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IFERROR(1/(IF(Inputs!$B$39="pvp",15,MAX(0.1,Skills!D8-IF(TRUE=TRUE,Inputs!$B$33,0)))*(1-IF(AND(ArtifactsInput!$M$27,Inputs!$B$4="Chapter Hunt"),CHOOSE(ArtifactsInput!$N$27+1,20,24,28,32,36,40),0)/100)),0)</f>
        <v/>
      </c>
      <c r="R665">
        <f>IF(AND(Inputs!$B$39&lt;&gt;"pvp",Inputs!$B$44&gt;0),IF(MAX(0,Inputs!$B$44-B697)&lt;=0,0,(INT(MAX(0,Inputs!$B$44-B697)/(IF(Inputs!$B$39="pvp",15,MAX(0.1,Skills!D8-IF(TRUE=TRUE,Inputs!$B$33,0)))*(1-IF(AND(ArtifactsInput!$M$27,Inputs!$B$4="Chapter Hunt"),CHOOSE(ArtifactsInput!$N$27+1,20,24,28,32,36,40),0)/100)))+1)),0)</f>
        <v/>
      </c>
      <c r="S665">
        <f>IF(C665,(H665*N665*IF(AND(Inputs!$B$39&lt;&gt;"pvp",Inputs!$B$44&gt;0),((Skills!F8*((R665-1)*IF(Skills!G8&gt;0,INT(Skills!H8/Skills!G8+0.000000001),1)+IF(Skills!G8&gt;0,INT(MIN(Skills!H8,MAX(0,MAX(0,Inputs!$B$44-B697)-((R665-1)*(IF(Inputs!$B$39="pvp",15,MAX(0.1,Skills!D8-IF(TRUE=TRUE,Inputs!$B$33,0)))*(1-IF(AND(ArtifactsInput!$M$27,Inputs!$B$4="Chapter Hunt"),CHOOSE(ArtifactsInput!$N$27+1,20,24,28,32,36,40),0)/100)))))/Skills!G8+0.000000001),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INT(Skills!H8/Skills!G8+0.000000001),1)+IF(Skills!G8&gt;0,INT(MIN(Skills!H8,MAX(0,MAX(0,Inputs!$B$44-B697)-((R665-1)*(IF(Inputs!$B$39="pvp",15,MAX(0.1,Skills!D8-IF(TRUE=TRUE,Inputs!$B$33,0)))*(1-IF(AND(ArtifactsInput!$M$27,Inputs!$B$4="Chapter Hunt"),CHOOSE(ArtifactsInput!$N$27+1,20,24,28,32,36,40),0)/100)))))/Skills!G8+0.000000001),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IFERROR(1/(IF(Inputs!$B$39="pvp",15,MAX(0.1,Skills!D9-IF(TRUE=TRUE,Inputs!$B$33,0)))*(1-IF(AND(ArtifactsInput!$M$27,Inputs!$B$4="Chapter Hunt"),CHOOSE(ArtifactsInput!$N$27+1,20,24,28,32,36,40),0)/100)),0)</f>
        <v/>
      </c>
      <c r="R666">
        <f>IF(AND(Inputs!$B$39&lt;&gt;"pvp",Inputs!$B$44&gt;0),IF(MAX(0,Inputs!$B$44-B697)&lt;=0,0,(INT(MAX(0,Inputs!$B$44-B697)/(IF(Inputs!$B$39="pvp",15,MAX(0.1,Skills!D9-IF(TRUE=TRUE,Inputs!$B$33,0)))*(1-IF(AND(ArtifactsInput!$M$27,Inputs!$B$4="Chapter Hunt"),CHOOSE(ArtifactsInput!$N$27+1,20,24,28,32,36,40),0)/100)))+1)),0)</f>
        <v/>
      </c>
      <c r="S666">
        <f>IF(C666,(H666*N666*IF(AND(Inputs!$B$39&lt;&gt;"pvp",Inputs!$B$44&gt;0),((Skills!F9*((R666-1)*IF(Skills!G9&gt;0,INT(Skills!H9/Skills!G9+0.000000001),1)+IF(Skills!G9&gt;0,INT(MIN(Skills!H9,MAX(0,MAX(0,Inputs!$B$44-B697)-((R666-1)*(IF(Inputs!$B$39="pvp",15,MAX(0.1,Skills!D9-IF(TRUE=TRUE,Inputs!$B$33,0)))*(1-IF(AND(ArtifactsInput!$M$27,Inputs!$B$4="Chapter Hunt"),CHOOSE(ArtifactsInput!$N$27+1,20,24,28,32,36,40),0)/100)))))/Skills!G9+0.000000001),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INT(Skills!H9/Skills!G9+0.000000001),1)+IF(Skills!G9&gt;0,INT(MIN(Skills!H9,MAX(0,MAX(0,Inputs!$B$44-B697)-((R666-1)*(IF(Inputs!$B$39="pvp",15,MAX(0.1,Skills!D9-IF(TRUE=TRUE,Inputs!$B$33,0)))*(1-IF(AND(ArtifactsInput!$M$27,Inputs!$B$4="Chapter Hunt"),CHOOSE(ArtifactsInput!$N$27+1,20,24,28,32,36,40),0)/100)))))/Skills!G9+0.000000001),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IFERROR(1/(IF(Inputs!$B$39="pvp",15,MAX(0.1,Skills!D10-IF(TRUE=TRUE,Inputs!$B$33,0)))*(1-IF(AND(ArtifactsInput!$M$27,Inputs!$B$4="Chapter Hunt"),CHOOSE(ArtifactsInput!$N$27+1,20,24,28,32,36,40),0)/100)),0)</f>
        <v/>
      </c>
      <c r="R667">
        <f>IF(AND(Inputs!$B$39&lt;&gt;"pvp",Inputs!$B$44&gt;0),IF(MAX(0,Inputs!$B$44-B697)&lt;=0,0,(INT(MAX(0,Inputs!$B$44-B697)/(IF(Inputs!$B$39="pvp",15,MAX(0.1,Skills!D10-IF(TRUE=TRUE,Inputs!$B$33,0)))*(1-IF(AND(ArtifactsInput!$M$27,Inputs!$B$4="Chapter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IFERROR(1/(IF(Inputs!$B$39="pvp",15,MAX(0.1,Skills!D11-IF(TRUE=TRUE,Inputs!$B$33,0)))*(1-IF(AND(ArtifactsInput!$M$27,Inputs!$B$4="Chapter Hunt"),CHOOSE(ArtifactsInput!$N$27+1,20,24,28,32,36,40),0)/100)),0)</f>
        <v/>
      </c>
      <c r="R668">
        <f>IF(AND(Inputs!$B$39&lt;&gt;"pvp",Inputs!$B$44&gt;0),IF(Inputs!$B$44&lt;=0,0,(INT(Inputs!$B$44/(IF(Inputs!$B$39="pvp",15,MAX(0.1,Skills!D11-IF(TRUE=TRUE,Inputs!$B$33,0)))*(1-IF(AND(ArtifactsInput!$M$27,Inputs!$B$4="Chapter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IFERROR(1/(IF(Inputs!$B$39="pvp",15,MAX(0.1,Skills!D12-IF(TRUE=TRUE,Inputs!$B$33,0)))*(1-IF(AND(ArtifactsInput!$M$27,Inputs!$B$4="Chapter Hunt"),CHOOSE(ArtifactsInput!$N$27+1,20,24,28,32,36,40),0)/100)),0)</f>
        <v/>
      </c>
      <c r="R669">
        <f>IF(AND(Inputs!$B$39&lt;&gt;"pvp",Inputs!$B$44&gt;0),IF(MAX(0,Inputs!$B$44-B697)&lt;=0,0,(INT(MAX(0,Inputs!$B$44-B697)/(IF(Inputs!$B$39="pvp",15,MAX(0.1,Skills!D12-IF(TRUE=TRUE,Inputs!$B$33,0)))*(1-IF(AND(ArtifactsInput!$M$27,Inputs!$B$4="Chapter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IFERROR(1/(IF(Inputs!$B$39="pvp",15,MAX(0.1,Skills!D13-IF(TRUE=TRUE,Inputs!$B$33,0)))*(1-IF(AND(ArtifactsInput!$M$27,Inputs!$B$4="Chapter Hunt"),CHOOSE(ArtifactsInput!$N$27+1,20,24,28,32,36,40),0)/100)),0)</f>
        <v/>
      </c>
      <c r="R670">
        <f>IF(AND(Inputs!$B$39&lt;&gt;"pvp",Inputs!$B$44&gt;0),IF(MAX(0,Inputs!$B$44-B697)&lt;=0,0,(INT(MAX(0,Inputs!$B$44-B697)/(IF(Inputs!$B$39="pvp",15,MAX(0.1,Skills!D13-IF(TRUE=TRUE,Inputs!$B$33,0)))*(1-IF(AND(ArtifactsInput!$M$27,Inputs!$B$4="Chapter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IFERROR(1/(IF(Inputs!$B$39="pvp",15,MAX(0.1,Skills!D14-IF(TRUE=TRUE,Inputs!$B$33,0)))*(1-IF(AND(ArtifactsInput!$M$27,Inputs!$B$4="Chapter Hunt"),CHOOSE(ArtifactsInput!$N$27+1,20,24,28,32,36,40),0)/100)),0)</f>
        <v/>
      </c>
      <c r="R671">
        <f>IF(AND(Inputs!$B$39&lt;&gt;"pvp",Inputs!$B$44&gt;0),IF(Inputs!$B$44&lt;=0,0,(INT(Inputs!$B$44/(IF(Inputs!$B$39="pvp",15,MAX(0.1,Skills!D14-IF(TRUE=TRUE,Inputs!$B$33,0)))*(1-IF(AND(ArtifactsInput!$M$27,Inputs!$B$4="Chapter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IFERROR(1/(IF(Inputs!$B$39="pvp",15,MAX(0.1,Skills!D15-IF(TRUE=TRUE,Inputs!$B$33,0)))*(1-IF(AND(ArtifactsInput!$M$27,Inputs!$B$4="Chapter Hunt"),CHOOSE(ArtifactsInput!$N$27+1,20,24,28,32,36,40),0)/100)),0)</f>
        <v/>
      </c>
      <c r="R672" t="n">
        <v>0</v>
      </c>
      <c r="S672">
        <f>IF(C672,(Skills!F15*N672*((IF(Inputs!$B$3&gt;=78,25,15)/100*B693*10)/(1+IF(Inputs!$B$3&gt;=78,25,15)/100*B693*IF(Inputs!$B$39="pvp",15,MAX(0.1,18-IF(TRUE=TRUE,Inputs!$B$33,0)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IF(Inputs!$B$39="pvp",15,MAX(0.1,18-IF(TRUE=TRUE,Inputs!$B$33,0)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IFERROR(1/(IF(Inputs!$B$39="pvp",15,MAX(0.1,Skills!D16-IF(TRUE=TRUE,Inputs!$B$33,0)))*(1-IF(AND(ArtifactsInput!$M$27,Inputs!$B$4="Chapter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IFERROR(1/(IF(Inputs!$B$39="pvp",15,MAX(0.1,Skills!D17-IF(TRUE=TRUE,Inputs!$B$33,0)))*(1-IF(AND(ArtifactsInput!$M$27,Inputs!$B$4="Chapter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IFERROR(1/(IF(Inputs!$B$39="pvp",15,MAX(0.1,Skills!D18-IF(TRUE=TRUE,Inputs!$B$33,0)))*(1-IF(AND(ArtifactsInput!$M$27,Inputs!$B$4="Chapter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IFERROR(1/(IF(Inputs!$B$39="pvp",15,MAX(0.1,Skills!D19-IF(TRUE=TRUE,Inputs!$B$33,0)))*(1-IF(AND(ArtifactsInput!$M$27,Inputs!$B$4="Chapter Hunt"),CHOOSE(ArtifactsInput!$N$27+1,20,24,28,32,36,40),0)/100)),0)</f>
        <v/>
      </c>
      <c r="R676">
        <f>IF(AND(Inputs!$B$39&lt;&gt;"pvp",Inputs!$B$44&gt;0),IF(Inputs!$B$44&lt;=0,0,(INT(Inputs!$B$44/(IF(Inputs!$B$39="pvp",15,MAX(0.1,Skills!D19-IF(TRUE=TRUE,Inputs!$B$33,0)))*(1-IF(AND(ArtifactsInput!$M$27,Inputs!$B$4="Chapter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IFERROR(1/(IF(Inputs!$B$39="pvp",15,MAX(0.1,Skills!D20-IF(TRUE=TRUE,Inputs!$B$33,0)))*(1-IF(AND(ArtifactsInput!$M$27,Inputs!$B$4="Chapter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IFERROR(1/(IF(Inputs!$B$39="pvp",15,MAX(0.1,Skills!D21-IF(TRUE=TRUE,Inputs!$B$33,0)))*(1-IF(AND(ArtifactsInput!$M$27,Inputs!$B$4="Chapter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IFERROR(1/(IF(Inputs!$B$39="pvp",15,MAX(0.1,Skills!D22-IF(TRUE=TRUE,Inputs!$B$33,0)))*(1-IF(AND(ArtifactsInput!$M$27,Inputs!$B$4="Chapter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IFERROR(1/(IF(Inputs!$B$39="pvp",15,MAX(0.1,Skills!D23-IF(TRUE=TRUE,Inputs!$B$33,0)))*(1-IF(AND(ArtifactsInput!$M$27,Inputs!$B$4="Chapter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IFERROR(1/(IF(Inputs!$B$39="pvp",15,MAX(0.1,Skills!D24-IF(TRUE=TRUE,Inputs!$B$33,0)))*(1-IF(AND(ArtifactsInput!$M$27,Inputs!$B$4="Chapter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IFERROR(1/(IF(Inputs!$B$39="pvp",15,MAX(0.1,Skills!D25-IF(TRUE=TRUE,Inputs!$B$33,0)))*(1-IF(AND(ArtifactsInput!$M$27,Inputs!$B$4="Chapter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IFERROR(1/(IF(Inputs!$B$39="pvp",15,MAX(0.1,Skills!D26-IF(TRUE=TRUE,Inputs!$B$33,0)))*(1-IF(AND(ArtifactsInput!$M$27,Inputs!$B$4="Chapter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IFERROR(1/(IF(Inputs!$B$39="pvp",15,MAX(0.1,Skills!D27-IF(TRUE=TRUE,Inputs!$B$33,0)))*(1-IF(AND(ArtifactsInput!$M$27,Inputs!$B$4="Chapter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IFERROR(1/(IF(Inputs!$B$39="pvp",15,MAX(0.1,Skills!D28-IF(TRUE=TRUE,Inputs!$B$33,0)))*(1-IF(AND(ArtifactsInput!$M$27,Inputs!$B$4="Chapter Hunt"),CHOOSE(ArtifactsInput!$N$27+1,20,24,28,32,36,40),0)/100)),0)</f>
        <v/>
      </c>
      <c r="R685">
        <f>IF(AND(Inputs!$B$39&lt;&gt;"pvp",Inputs!$B$44&gt;0),IF(Inputs!$B$44&lt;=0,0,(INT(Inputs!$B$44/(IF(Inputs!$B$39="pvp",15,MAX(0.1,Skills!D28-IF(TRUE=TRUE,Inputs!$B$33,0)))*(1-IF(AND(ArtifactsInput!$M$27,Inputs!$B$4="Chapter Hunt"),CHOOSE(ArtifactsInput!$N$27+1,20,24,28,32,36,40),0)/100)))+1)),0)</f>
        <v/>
      </c>
      <c r="S685" t="n">
        <v>0</v>
      </c>
      <c r="U685" t="n">
        <v>0</v>
      </c>
    </row>
    <row r="687">
      <c r="A687" t="inlineStr">
        <is>
          <t>Average Buff Multiplier</t>
        </is>
      </c>
      <c r="B687">
        <f>(1+(IF(C660=TRUE,F660*IF(AND(Inputs!$B$39&lt;&gt;"pvp",Inputs!$B$44&gt;0),(((R660-1)*MIN((Skills!S3*(1+((Inputs!$B$35+(ArtifactsInput!$M$7-ArtifactsInput!$M$7)*CHOOSE(ArtifactsInput!$N$7+1,6,7.2,8.4,9.6,10.8,12)))/100)),(1/Q660))+MIN((Skills!S3*(1+((Inputs!$B$35+(ArtifactsInput!$M$7-ArtifactsInput!$M$7)*CHOOSE(ArtifactsInput!$N$7+1,6,7.2,8.4,9.6,10.8,12)))/100)),MAX(0,Inputs!$B$44-((R660-1)*(1/Q660)))))/Inputs!$B$44),IF(Inputs!$B$39="pvp",MIN((Skills!S3*(1+((Inputs!$B$35+(ArtifactsInput!$M$7-ArtifactsInput!$M$7)*CHOOSE(ArtifactsInput!$N$7+1,6,7.2,8.4,9.6,10.8,12)))/100)),15)/15,MIN(1,(Skills!S3*(1+((Inputs!$B$35+(ArtifactsInput!$M$7-ArtifactsInput!$M$7)*CHOOSE(ArtifactsInput!$N$7+1,6,7.2,8.4,9.6,10.8,12)))/100))/(1/Q660)))),0)+IF(C661=TRUE,F661*IF(AND(Inputs!$B$39&lt;&gt;"pvp",Inputs!$B$44&gt;0),(((R661-1)*MIN((Skills!S4*(1+((Inputs!$B$35+(ArtifactsInput!$M$7-ArtifactsInput!$M$7)*CHOOSE(ArtifactsInput!$N$7+1,6,7.2,8.4,9.6,10.8,12)))/100)),(1/Q661))+MIN((Skills!S4*(1+((Inputs!$B$35+(ArtifactsInput!$M$7-ArtifactsInput!$M$7)*CHOOSE(ArtifactsInput!$N$7+1,6,7.2,8.4,9.6,10.8,12)))/100)),MAX(0,Inputs!$B$44-((R661-1)*(1/Q661)))))/Inputs!$B$44),IF(Inputs!$B$39="pvp",MIN((Skills!S4*(1+((Inputs!$B$35+(ArtifactsInput!$M$7-ArtifactsInput!$M$7)*CHOOSE(ArtifactsInput!$N$7+1,6,7.2,8.4,9.6,10.8,12)))/100)),15)/15,MIN(1,(Skills!S4*(1+((Inputs!$B$35+(ArtifactsInput!$M$7-ArtifactsInput!$M$7)*CHOOSE(ArtifactsInput!$N$7+1,6,7.2,8.4,9.6,10.8,12)))/100))/(1/Q661)))),0)+IF(C662=TRUE,F662*IF(AND(Inputs!$B$39&lt;&gt;"pvp",Inputs!$B$44&gt;0),(((R662-1)*MIN((Skills!S5*(1+((Inputs!$B$35+(ArtifactsInput!$M$7-ArtifactsInput!$M$7)*CHOOSE(ArtifactsInput!$N$7+1,6,7.2,8.4,9.6,10.8,12)))/100)),(1/Q662))+MIN((Skills!S5*(1+((Inputs!$B$35+(ArtifactsInput!$M$7-ArtifactsInput!$M$7)*CHOOSE(ArtifactsInput!$N$7+1,6,7.2,8.4,9.6,10.8,12)))/100)),MAX(0,Inputs!$B$44-((R662-1)*(1/Q662)))))/Inputs!$B$44),IF(Inputs!$B$39="pvp",MIN((Skills!S5*(1+((Inputs!$B$35+(ArtifactsInput!$M$7-ArtifactsInput!$M$7)*CHOOSE(ArtifactsInput!$N$7+1,6,7.2,8.4,9.6,10.8,12)))/100)),15)/15,MIN(1,(Skills!S5*(1+((Inputs!$B$35+(ArtifactsInput!$M$7-ArtifactsInput!$M$7)*CHOOSE(ArtifactsInput!$N$7+1,6,7.2,8.4,9.6,10.8,12)))/100))/(1/Q662)))),0)+IF(C668=TRUE,F668*IF(AND(Inputs!$B$39&lt;&gt;"pvp",Inputs!$B$44&gt;0),(((R668-1)*MIN((Skills!S11*(1+((Inputs!$B$35+(ArtifactsInput!$M$7-ArtifactsInput!$M$7)*CHOOSE(ArtifactsInput!$N$7+1,6,7.2,8.4,9.6,10.8,12)))/100)),(1/Q668))+MIN((Skills!S11*(1+((Inputs!$B$35+(ArtifactsInput!$M$7-ArtifactsInput!$M$7)*CHOOSE(ArtifactsInput!$N$7+1,6,7.2,8.4,9.6,10.8,12)))/100)),MAX(0,Inputs!$B$44-((R668-1)*(1/Q668)))))/Inputs!$B$44),IF(Inputs!$B$39="pvp",MIN((Skills!S11*(1+((Inputs!$B$35+(ArtifactsInput!$M$7-ArtifactsInput!$M$7)*CHOOSE(ArtifactsInput!$N$7+1,6,7.2,8.4,9.6,10.8,12)))/100)),15)/15,MIN(1,(Skills!S11*(1+((Inputs!$B$35+(ArtifactsInput!$M$7-ArtifactsInput!$M$7)*CHOOSE(ArtifactsInput!$N$7+1,6,7.2,8.4,9.6,10.8,12)))/100))/(1/Q668)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MIN((Skills!S14*(1+((Inputs!$B$35+(ArtifactsInput!$M$7-ArtifactsInput!$M$7)*CHOOSE(ArtifactsInput!$N$7+1,6,7.2,8.4,9.6,10.8,12)))/100)),(1/Q671))+MIN((Skills!S14*(1+((Inputs!$B$35+(ArtifactsInput!$M$7-ArtifactsInput!$M$7)*CHOOSE(ArtifactsInput!$N$7+1,6,7.2,8.4,9.6,10.8,12)))/100)),MAX(0,Inputs!$B$44-((R671-1)*(1/Q671)))))/Inputs!$B$44),IF(Inputs!$B$39="pvp",MIN((Skills!S14*(1+((Inputs!$B$35+(ArtifactsInput!$M$7-ArtifactsInput!$M$7)*CHOOSE(ArtifactsInput!$N$7+1,6,7.2,8.4,9.6,10.8,12)))/100)),15)/15,MIN(1,(Skills!S14*(1+((Inputs!$B$35+(ArtifactsInput!$M$7-ArtifactsInput!$M$7)*CHOOSE(ArtifactsInput!$N$7+1,6,7.2,8.4,9.6,10.8,12)))/100))/(1/Q671))))/100),1)*IF(C676=TRUE,(1+F676*IF(AND(Inputs!$B$39&lt;&gt;"pvp",Inputs!$B$44&gt;0),(((R676-1)*MIN((Skills!S19*(1+((Inputs!$B$35+(ArtifactsInput!$M$7-ArtifactsInput!$M$7)*CHOOSE(ArtifactsInput!$N$7+1,6,7.2,8.4,9.6,10.8,12)))/100)),(1/Q676))+MIN((Skills!S19*(1+((Inputs!$B$35+(ArtifactsInput!$M$7-ArtifactsInput!$M$7)*CHOOSE(ArtifactsInput!$N$7+1,6,7.2,8.4,9.6,10.8,12)))/100)),MAX(0,Inputs!$B$44-((R676-1)*(1/Q676)))))/Inputs!$B$44),IF(Inputs!$B$39="pvp",MIN((Skills!S19*(1+((Inputs!$B$35+(ArtifactsInput!$M$7-ArtifactsInput!$M$7)*CHOOSE(ArtifactsInput!$N$7+1,6,7.2,8.4,9.6,10.8,12)))/100)),15)/15,MIN(1,(Skills!S19*(1+((Inputs!$B$35+(ArtifactsInput!$M$7-ArtifactsInput!$M$7)*CHOOSE(ArtifactsInput!$N$7+1,6,7.2,8.4,9.6,10.8,12)))/100))/(1/Q676))))/100),1)</f>
        <v/>
      </c>
    </row>
    <row r="688">
      <c r="A688" t="inlineStr">
        <is>
          <t>Monster Damage Taken Bonus % (Holy Fountain)</t>
        </is>
      </c>
      <c r="B688">
        <f>IF(Inputs!$B$3&gt;=68,20*IF(Inputs!$B$39="pvp",MIN((15*(1+((Inputs!$B$35+(ArtifactsInput!$M$7-ArtifactsInput!$M$7)*CHOOSE(ArtifactsInput!$N$7+1,6,7.2,8.4,9.6,10.8,12)))/100)),15)/15,MIN(1,(15*(1+((Inputs!$B$35+(ArtifactsInput!$M$7-ArtifactsInput!$M$7)*CHOOSE(ArtifactsInput!$N$7+1,6,7.2,8.4,9.6,10.8,12)))/100))/(1/Q667))),0)</f>
        <v/>
      </c>
    </row>
    <row r="689">
      <c r="A689" t="inlineStr">
        <is>
          <t>Normal Monster Damage Bonus % (Holy Symbol)</t>
        </is>
      </c>
      <c r="B689">
        <f>IF(C669=TRUE,F669*IF(AND(Inputs!$B$39&lt;&gt;"pvp",Inputs!$B$44&gt;0),(((R669-1)*MIN((Skills!S12*(1+((Inputs!$B$35+(ArtifactsInput!$M$7-ArtifactsInput!$M$7)*CHOOSE(ArtifactsInput!$N$7+1,6,7.2,8.4,9.6,10.8,12)))/100)),(1/Q669))+MIN((Skills!S12*(1+((Inputs!$B$35+(ArtifactsInput!$M$7-ArtifactsInput!$M$7)*CHOOSE(ArtifactsInput!$N$7+1,6,7.2,8.4,9.6,10.8,12)))/100)),MAX(0,Inputs!$B$44-((R669-1)*(1/Q669)))))/Inputs!$B$44),IF(Inputs!$B$39="pvp",MIN((Skills!S12*(1+((Inputs!$B$35+(ArtifactsInput!$M$7-ArtifactsInput!$M$7)*CHOOSE(ArtifactsInput!$N$7+1,6,7.2,8.4,9.6,10.8,12)))/100)),15)/15,MIN(1,(Skills!S12*(1+((Inputs!$B$35+(ArtifactsInput!$M$7-ArtifactsInput!$M$7)*CHOOSE(ArtifactsInput!$N$7+1,6,7.2,8.4,9.6,10.8,12)))/100))/(1/Q669)))),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MIN((Skills!S28*(1+((Inputs!$B$35+(ArtifactsInput!$M$7-ArtifactsInput!$M$7)*CHOOSE(ArtifactsInput!$N$7+1,6,7.2,8.4,9.6,10.8,12)))/100)),(1/Q685))+MIN((Skills!S28*(1+((Inputs!$B$35+(ArtifactsInput!$M$7-ArtifactsInput!$M$7)*CHOOSE(ArtifactsInput!$N$7+1,6,7.2,8.4,9.6,10.8,12)))/100)),MAX(0,Inputs!$B$44-((R685-1)*(1/Q685)))))/Inputs!$B$44),IF(Inputs!$B$39="pvp",MIN((Skills!S28*(1+((Inputs!$B$35+(ArtifactsInput!$M$7-ArtifactsInput!$M$7)*CHOOSE(ArtifactsInput!$N$7+1,6,7.2,8.4,9.6,10.8,12)))/100)),15)/15,MIN(1,(Skills!S28*(1+((Inputs!$B$35+(ArtifactsInput!$M$7-ArtifactsInput!$M$7)*CHOOSE(ArtifactsInput!$N$7+1,6,7.2,8.4,9.6,10.8,12)))/100))/(1/Q685)))))</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MIN((Skills!S13*(1+((Inputs!$B$35+(ArtifactsInput!$M$7-ArtifactsInput!$M$7)*CHOOSE(ArtifactsInput!$N$7+1,6,7.2,8.4,9.6,10.8,12)))/100)),(1/Q670))+MIN((Skills!S13*(1+((Inputs!$B$35+(ArtifactsInput!$M$7-ArtifactsInput!$M$7)*CHOOSE(ArtifactsInput!$N$7+1,6,7.2,8.4,9.6,10.8,12)))/100)),MAX(0,Inputs!$B$44-((R670-1)*(1/Q670)))))/Inputs!$B$44),IF(Inputs!$B$39="pvp",MIN((Skills!S13*(1+((Inputs!$B$35+(ArtifactsInput!$M$7-ArtifactsInput!$M$7)*CHOOSE(ArtifactsInput!$N$7+1,6,7.2,8.4,9.6,10.8,12)))/100)),15)/15,MIN(1,(Skills!S13*(1+((Inputs!$B$35+(ArtifactsInput!$M$7-ArtifactsInput!$M$7)*CHOOSE(ArtifactsInput!$N$7+1,6,7.2,8.4,9.6,10.8,12)))/100))/(1/Q670)))),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IFERROR(1/(IF(Inputs!$B$39="pvp",15,MAX(0.1,Skills!D2-IF(TRUE=TRUE,Inputs!$B$33,0)))*(1-IF(AND(ArtifactsInput!$M$27,Inputs!$B$4="Chapter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IFERROR(1/(IF(Inputs!$B$39="pvp",15,MAX(0.1,Skills!D3-IF(TRUE=TRUE,Inputs!$B$33,0)))*(1-IF(AND(ArtifactsInput!$M$27,Inputs!$B$4="Chapter Hunt"),CHOOSE(ArtifactsInput!$N$27+1,20,24,28,32,36,40),0)/100)),0)</f>
        <v/>
      </c>
      <c r="R705">
        <f>IF(AND(Inputs!$B$39&lt;&gt;"pvp",Inputs!$B$44&gt;0),IF(Inputs!$B$44&lt;=0,0,(INT(Inputs!$B$44/(IF(Inputs!$B$39="pvp",15,MAX(0.1,Skills!D3-IF(TRUE=TRUE,Inputs!$B$33,0)))*(1-IF(AND(ArtifactsInput!$M$27,Inputs!$B$4="Chapter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IFERROR(1/(IF(Inputs!$B$39="pvp",15,MAX(0.1,Skills!D4-IF(TRUE=TRUE,Inputs!$B$33,0)))*(1-IF(AND(ArtifactsInput!$M$27,Inputs!$B$4="Chapter Hunt"),CHOOSE(ArtifactsInput!$N$27+1,20,24,28,32,36,40),0)/100)),0)</f>
        <v/>
      </c>
      <c r="R706">
        <f>IF(AND(Inputs!$B$39&lt;&gt;"pvp",Inputs!$B$44&gt;0),IF(Inputs!$B$44&lt;=0,0,(INT(Inputs!$B$44/(IF(Inputs!$B$39="pvp",15,MAX(0.1,Skills!D4-IF(TRUE=TRUE,Inputs!$B$33,0)))*(1-IF(AND(ArtifactsInput!$M$27,Inputs!$B$4="Chapter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IFERROR(1/(IF(Inputs!$B$39="pvp",15,MAX(0.1,Skills!D5-IF(TRUE=TRUE,Inputs!$B$33,0)))*(1-IF(AND(ArtifactsInput!$M$27,Inputs!$B$4="Chapter Hunt"),CHOOSE(ArtifactsInput!$N$27+1,20,24,28,32,36,40),0)/100)),0)</f>
        <v/>
      </c>
      <c r="R707">
        <f>IF(AND(Inputs!$B$39&lt;&gt;"pvp",Inputs!$B$44&gt;0),IF(Inputs!$B$44&lt;=0,0,(INT(Inputs!$B$44/(IF(Inputs!$B$39="pvp",15,MAX(0.1,Skills!D5-IF(TRUE=TRUE,Inputs!$B$33,0)))*(1-IF(AND(ArtifactsInput!$M$27,Inputs!$B$4="Chapter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IFERROR(1/(IF(Inputs!$B$39="pvp",15,MAX(0.1,Skills!D6-IF(TRUE=TRUE,Inputs!$B$33,0)))*(1-IF(AND(ArtifactsInput!$M$27,Inputs!$B$4="Chapter Hunt"),CHOOSE(ArtifactsInput!$N$27+1,20,24,28,32,36,40),0)/100)),0)</f>
        <v/>
      </c>
      <c r="R708">
        <f>IF(AND(Inputs!$B$39&lt;&gt;"pvp",Inputs!$B$44&gt;0),IF(MAX(0,Inputs!$B$44-B742)&lt;=0,0,(INT(MAX(0,Inputs!$B$44-B742)/(IF(Inputs!$B$39="pvp",15,MAX(0.1,Skills!D6-IF(TRUE=TRUE,Inputs!$B$33,0)))*(1-IF(AND(ArtifactsInput!$M$27,Inputs!$B$4="Chapter Hunt"),CHOOSE(ArtifactsInput!$N$27+1,20,24,28,32,36,40),0)/100)))+1)),0)</f>
        <v/>
      </c>
      <c r="S708">
        <f>IF(C708,(H708*N708*IF(AND(Inputs!$B$39&lt;&gt;"pvp",Inputs!$B$44&gt;0),((Skills!F6*((R708-1)*IF(Skills!G6&gt;0,INT(Skills!H6/Skills!G6+0.000000001),1)+IF(Skills!G6&gt;0,INT(MIN(Skills!H6,MAX(0,MAX(0,Inputs!$B$44-B742)-((R708-1)*(IF(Inputs!$B$39="pvp",15,MAX(0.1,Skills!D6-IF(TRUE=TRUE,Inputs!$B$33,0)))*(1-IF(AND(ArtifactsInput!$M$27,Inputs!$B$4="Chapter Hunt"),CHOOSE(ArtifactsInput!$N$27+1,20,24,28,32,36,40),0)/100)))))/Skills!G6+0.000000001),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INT(Skills!H6/Skills!G6+0.000000001),1)+IF(Skills!G6&gt;0,INT(MIN(Skills!H6,MAX(0,MAX(0,Inputs!$B$44-B742)-((R708-1)*(IF(Inputs!$B$39="pvp",15,MAX(0.1,Skills!D6-IF(TRUE=TRUE,Inputs!$B$33,0)))*(1-IF(AND(ArtifactsInput!$M$27,Inputs!$B$4="Chapter Hunt"),CHOOSE(ArtifactsInput!$N$27+1,20,24,28,32,36,40),0)/100)))))/Skills!G6+0.000000001),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IFERROR(1/(IF(Inputs!$B$39="pvp",15,MAX(0.1,Skills!D7-IF(TRUE=TRUE,Inputs!$B$33,0)))*(1-IF(AND(ArtifactsInput!$M$27,Inputs!$B$4="Chapter Hunt"),CHOOSE(ArtifactsInput!$N$27+1,20,24,28,32,36,40),0)/100)),0)</f>
        <v/>
      </c>
      <c r="R709">
        <f>IF(AND(Inputs!$B$39&lt;&gt;"pvp",Inputs!$B$44&gt;0),IF(MAX(0,Inputs!$B$44-B742)&lt;=0,0,(INT(MAX(0,Inputs!$B$44-B742)/(IF(Inputs!$B$39="pvp",15,MAX(0.1,Skills!D7-IF(TRUE=TRUE,Inputs!$B$33,0)))*(1-IF(AND(ArtifactsInput!$M$27,Inputs!$B$4="Chapter Hunt"),CHOOSE(ArtifactsInput!$N$27+1,20,24,28,32,36,40),0)/100)))+1)),0)</f>
        <v/>
      </c>
      <c r="S709">
        <f>IF(C709,H709*N709*IF(AND(Inputs!$B$39&lt;&gt;"pvp",Inputs!$B$44&gt;0),((Skills!F7*((R709-1)*IF(Skills!G7&gt;0,INT(Skills!H7/Skills!G7+0.000000001),1)+IF(Skills!G7&gt;0,INT(MIN(Skills!H7,MAX(0,MAX(0,Inputs!$B$44-B742)-((R709-1)*(IF(Inputs!$B$39="pvp",15,MAX(0.1,Skills!D7-IF(TRUE=TRUE,Inputs!$B$33,0)))*(1-IF(AND(ArtifactsInput!$M$27,Inputs!$B$4="Chapter Hunt"),CHOOSE(ArtifactsInput!$N$27+1,20,24,28,32,36,40),0)/100)))))/Skills!G7+0.000000001),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IFERROR(1/(IF(Inputs!$B$39="pvp",15,MAX(0.1,Skills!D8-IF(TRUE=TRUE,Inputs!$B$33,0)))*(1-IF(AND(ArtifactsInput!$M$27,Inputs!$B$4="Chapter Hunt"),CHOOSE(ArtifactsInput!$N$27+1,20,24,28,32,36,40),0)/100)),0)</f>
        <v/>
      </c>
      <c r="R710">
        <f>IF(AND(Inputs!$B$39&lt;&gt;"pvp",Inputs!$B$44&gt;0),IF(MAX(0,Inputs!$B$44-B742)&lt;=0,0,(INT(MAX(0,Inputs!$B$44-B742)/(IF(Inputs!$B$39="pvp",15,MAX(0.1,Skills!D8-IF(TRUE=TRUE,Inputs!$B$33,0)))*(1-IF(AND(ArtifactsInput!$M$27,Inputs!$B$4="Chapter Hunt"),CHOOSE(ArtifactsInput!$N$27+1,20,24,28,32,36,40),0)/100)))+1)),0)</f>
        <v/>
      </c>
      <c r="S710">
        <f>IF(C710,(H710*N710*IF(AND(Inputs!$B$39&lt;&gt;"pvp",Inputs!$B$44&gt;0),((Skills!F8*((R710-1)*IF(Skills!G8&gt;0,INT(Skills!H8/Skills!G8+0.000000001),1)+IF(Skills!G8&gt;0,INT(MIN(Skills!H8,MAX(0,MAX(0,Inputs!$B$44-B742)-((R710-1)*(IF(Inputs!$B$39="pvp",15,MAX(0.1,Skills!D8-IF(TRUE=TRUE,Inputs!$B$33,0)))*(1-IF(AND(ArtifactsInput!$M$27,Inputs!$B$4="Chapter Hunt"),CHOOSE(ArtifactsInput!$N$27+1,20,24,28,32,36,40),0)/100)))))/Skills!G8+0.000000001),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INT(Skills!H8/Skills!G8+0.000000001),1)+IF(Skills!G8&gt;0,INT(MIN(Skills!H8,MAX(0,MAX(0,Inputs!$B$44-B742)-((R710-1)*(IF(Inputs!$B$39="pvp",15,MAX(0.1,Skills!D8-IF(TRUE=TRUE,Inputs!$B$33,0)))*(1-IF(AND(ArtifactsInput!$M$27,Inputs!$B$4="Chapter Hunt"),CHOOSE(ArtifactsInput!$N$27+1,20,24,28,32,36,40),0)/100)))))/Skills!G8+0.000000001),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IFERROR(1/(IF(Inputs!$B$39="pvp",15,MAX(0.1,Skills!D9-IF(TRUE=TRUE,Inputs!$B$33,0)))*(1-IF(AND(ArtifactsInput!$M$27,Inputs!$B$4="Chapter Hunt"),CHOOSE(ArtifactsInput!$N$27+1,20,24,28,32,36,40),0)/100)),0)</f>
        <v/>
      </c>
      <c r="R711">
        <f>IF(AND(Inputs!$B$39&lt;&gt;"pvp",Inputs!$B$44&gt;0),IF(MAX(0,Inputs!$B$44-B742)&lt;=0,0,(INT(MAX(0,Inputs!$B$44-B742)/(IF(Inputs!$B$39="pvp",15,MAX(0.1,Skills!D9-IF(TRUE=TRUE,Inputs!$B$33,0)))*(1-IF(AND(ArtifactsInput!$M$27,Inputs!$B$4="Chapter Hunt"),CHOOSE(ArtifactsInput!$N$27+1,20,24,28,32,36,40),0)/100)))+1)),0)</f>
        <v/>
      </c>
      <c r="S711">
        <f>IF(C711,(H711*N711*IF(AND(Inputs!$B$39&lt;&gt;"pvp",Inputs!$B$44&gt;0),((Skills!F9*((R711-1)*IF(Skills!G9&gt;0,INT(Skills!H9/Skills!G9+0.000000001),1)+IF(Skills!G9&gt;0,INT(MIN(Skills!H9,MAX(0,MAX(0,Inputs!$B$44-B742)-((R711-1)*(IF(Inputs!$B$39="pvp",15,MAX(0.1,Skills!D9-IF(TRUE=TRUE,Inputs!$B$33,0)))*(1-IF(AND(ArtifactsInput!$M$27,Inputs!$B$4="Chapter Hunt"),CHOOSE(ArtifactsInput!$N$27+1,20,24,28,32,36,40),0)/100)))))/Skills!G9+0.000000001),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INT(Skills!H9/Skills!G9+0.000000001),1)+IF(Skills!G9&gt;0,INT(MIN(Skills!H9,MAX(0,MAX(0,Inputs!$B$44-B742)-((R711-1)*(IF(Inputs!$B$39="pvp",15,MAX(0.1,Skills!D9-IF(TRUE=TRUE,Inputs!$B$33,0)))*(1-IF(AND(ArtifactsInput!$M$27,Inputs!$B$4="Chapter Hunt"),CHOOSE(ArtifactsInput!$N$27+1,20,24,28,32,36,40),0)/100)))))/Skills!G9+0.000000001),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IFERROR(1/(IF(Inputs!$B$39="pvp",15,MAX(0.1,Skills!D10-IF(TRUE=TRUE,Inputs!$B$33,0)))*(1-IF(AND(ArtifactsInput!$M$27,Inputs!$B$4="Chapter Hunt"),CHOOSE(ArtifactsInput!$N$27+1,20,24,28,32,36,40),0)/100)),0)</f>
        <v/>
      </c>
      <c r="R712">
        <f>IF(AND(Inputs!$B$39&lt;&gt;"pvp",Inputs!$B$44&gt;0),IF(MAX(0,Inputs!$B$44-B742)&lt;=0,0,(INT(MAX(0,Inputs!$B$44-B742)/(IF(Inputs!$B$39="pvp",15,MAX(0.1,Skills!D10-IF(TRUE=TRUE,Inputs!$B$33,0)))*(1-IF(AND(ArtifactsInput!$M$27,Inputs!$B$4="Chapter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IFERROR(1/(IF(Inputs!$B$39="pvp",15,MAX(0.1,Skills!D11-IF(TRUE=TRUE,Inputs!$B$33,0)))*(1-IF(AND(ArtifactsInput!$M$27,Inputs!$B$4="Chapter Hunt"),CHOOSE(ArtifactsInput!$N$27+1,20,24,28,32,36,40),0)/100)),0)</f>
        <v/>
      </c>
      <c r="R713">
        <f>IF(AND(Inputs!$B$39&lt;&gt;"pvp",Inputs!$B$44&gt;0),IF(Inputs!$B$44&lt;=0,0,(INT(Inputs!$B$44/(IF(Inputs!$B$39="pvp",15,MAX(0.1,Skills!D11-IF(TRUE=TRUE,Inputs!$B$33,0)))*(1-IF(AND(ArtifactsInput!$M$27,Inputs!$B$4="Chapter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IFERROR(1/(IF(Inputs!$B$39="pvp",15,MAX(0.1,Skills!D12-IF(TRUE=TRUE,Inputs!$B$33,0)))*(1-IF(AND(ArtifactsInput!$M$27,Inputs!$B$4="Chapter Hunt"),CHOOSE(ArtifactsInput!$N$27+1,20,24,28,32,36,40),0)/100)),0)</f>
        <v/>
      </c>
      <c r="R714">
        <f>IF(AND(Inputs!$B$39&lt;&gt;"pvp",Inputs!$B$44&gt;0),IF(MAX(0,Inputs!$B$44-B742)&lt;=0,0,(INT(MAX(0,Inputs!$B$44-B742)/(IF(Inputs!$B$39="pvp",15,MAX(0.1,Skills!D12-IF(TRUE=TRUE,Inputs!$B$33,0)))*(1-IF(AND(ArtifactsInput!$M$27,Inputs!$B$4="Chapter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IFERROR(1/(IF(Inputs!$B$39="pvp",15,MAX(0.1,Skills!D13-IF(TRUE=TRUE,Inputs!$B$33,0)))*(1-IF(AND(ArtifactsInput!$M$27,Inputs!$B$4="Chapter Hunt"),CHOOSE(ArtifactsInput!$N$27+1,20,24,28,32,36,40),0)/100)),0)</f>
        <v/>
      </c>
      <c r="R715">
        <f>IF(AND(Inputs!$B$39&lt;&gt;"pvp",Inputs!$B$44&gt;0),IF(MAX(0,Inputs!$B$44-B742)&lt;=0,0,(INT(MAX(0,Inputs!$B$44-B742)/(IF(Inputs!$B$39="pvp",15,MAX(0.1,Skills!D13-IF(TRUE=TRUE,Inputs!$B$33,0)))*(1-IF(AND(ArtifactsInput!$M$27,Inputs!$B$4="Chapter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IFERROR(1/(IF(Inputs!$B$39="pvp",15,MAX(0.1,Skills!D14-IF(TRUE=TRUE,Inputs!$B$33,0)))*(1-IF(AND(ArtifactsInput!$M$27,Inputs!$B$4="Chapter Hunt"),CHOOSE(ArtifactsInput!$N$27+1,20,24,28,32,36,40),0)/100)),0)</f>
        <v/>
      </c>
      <c r="R716">
        <f>IF(AND(Inputs!$B$39&lt;&gt;"pvp",Inputs!$B$44&gt;0),IF(Inputs!$B$44&lt;=0,0,(INT(Inputs!$B$44/(IF(Inputs!$B$39="pvp",15,MAX(0.1,Skills!D14-IF(TRUE=TRUE,Inputs!$B$33,0)))*(1-IF(AND(ArtifactsInput!$M$27,Inputs!$B$4="Chapter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IFERROR(1/(IF(Inputs!$B$39="pvp",15,MAX(0.1,Skills!D15-IF(TRUE=TRUE,Inputs!$B$33,0)))*(1-IF(AND(ArtifactsInput!$M$27,Inputs!$B$4="Chapter Hunt"),CHOOSE(ArtifactsInput!$N$27+1,20,24,28,32,36,40),0)/100)),0)</f>
        <v/>
      </c>
      <c r="R717" t="n">
        <v>0</v>
      </c>
      <c r="S717">
        <f>IF(C717,(Skills!F15*N717*((IF(Inputs!$B$3&gt;=78,25,15)/100*B738*10)/(1+IF(Inputs!$B$3&gt;=78,25,15)/100*B738*IF(Inputs!$B$39="pvp",15,MAX(0.1,18-IF(TRUE=TRUE,Inputs!$B$33,0)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IF(Inputs!$B$39="pvp",15,MAX(0.1,18-IF(TRUE=TRUE,Inputs!$B$33,0)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IFERROR(1/(IF(Inputs!$B$39="pvp",15,MAX(0.1,Skills!D16-IF(TRUE=TRUE,Inputs!$B$33,0)))*(1-IF(AND(ArtifactsInput!$M$27,Inputs!$B$4="Chapter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IFERROR(1/(IF(Inputs!$B$39="pvp",15,MAX(0.1,Skills!D17-IF(TRUE=TRUE,Inputs!$B$33,0)))*(1-IF(AND(ArtifactsInput!$M$27,Inputs!$B$4="Chapter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IFERROR(1/(IF(Inputs!$B$39="pvp",15,MAX(0.1,Skills!D18-IF(TRUE=TRUE,Inputs!$B$33,0)))*(1-IF(AND(ArtifactsInput!$M$27,Inputs!$B$4="Chapter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IFERROR(1/(IF(Inputs!$B$39="pvp",15,MAX(0.1,Skills!D19-IF(TRUE=TRUE,Inputs!$B$33,0)))*(1-IF(AND(ArtifactsInput!$M$27,Inputs!$B$4="Chapter Hunt"),CHOOSE(ArtifactsInput!$N$27+1,20,24,28,32,36,40),0)/100)),0)</f>
        <v/>
      </c>
      <c r="R721">
        <f>IF(AND(Inputs!$B$39&lt;&gt;"pvp",Inputs!$B$44&gt;0),IF(Inputs!$B$44&lt;=0,0,(INT(Inputs!$B$44/(IF(Inputs!$B$39="pvp",15,MAX(0.1,Skills!D19-IF(TRUE=TRUE,Inputs!$B$33,0)))*(1-IF(AND(ArtifactsInput!$M$27,Inputs!$B$4="Chapter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IFERROR(1/(IF(Inputs!$B$39="pvp",15,MAX(0.1,Skills!D20-IF(TRUE=TRUE,Inputs!$B$33,0)))*(1-IF(AND(ArtifactsInput!$M$27,Inputs!$B$4="Chapter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IFERROR(1/(IF(Inputs!$B$39="pvp",15,MAX(0.1,Skills!D21-IF(TRUE=TRUE,Inputs!$B$33,0)))*(1-IF(AND(ArtifactsInput!$M$27,Inputs!$B$4="Chapter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IFERROR(1/(IF(Inputs!$B$39="pvp",15,MAX(0.1,Skills!D22-IF(TRUE=TRUE,Inputs!$B$33,0)))*(1-IF(AND(ArtifactsInput!$M$27,Inputs!$B$4="Chapter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IFERROR(1/(IF(Inputs!$B$39="pvp",15,MAX(0.1,Skills!D23-IF(TRUE=TRUE,Inputs!$B$33,0)))*(1-IF(AND(ArtifactsInput!$M$27,Inputs!$B$4="Chapter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IFERROR(1/(IF(Inputs!$B$39="pvp",15,MAX(0.1,Skills!D24-IF(TRUE=TRUE,Inputs!$B$33,0)))*(1-IF(AND(ArtifactsInput!$M$27,Inputs!$B$4="Chapter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IFERROR(1/(IF(Inputs!$B$39="pvp",15,MAX(0.1,Skills!D25-IF(TRUE=TRUE,Inputs!$B$33,0)))*(1-IF(AND(ArtifactsInput!$M$27,Inputs!$B$4="Chapter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IFERROR(1/(IF(Inputs!$B$39="pvp",15,MAX(0.1,Skills!D26-IF(TRUE=TRUE,Inputs!$B$33,0)))*(1-IF(AND(ArtifactsInput!$M$27,Inputs!$B$4="Chapter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IFERROR(1/(IF(Inputs!$B$39="pvp",15,MAX(0.1,Skills!D27-IF(TRUE=TRUE,Inputs!$B$33,0)))*(1-IF(AND(ArtifactsInput!$M$27,Inputs!$B$4="Chapter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IFERROR(1/(IF(Inputs!$B$39="pvp",15,MAX(0.1,Skills!D28-IF(TRUE=TRUE,Inputs!$B$33,0)))*(1-IF(AND(ArtifactsInput!$M$27,Inputs!$B$4="Chapter Hunt"),CHOOSE(ArtifactsInput!$N$27+1,20,24,28,32,36,40),0)/100)),0)</f>
        <v/>
      </c>
      <c r="R730">
        <f>IF(AND(Inputs!$B$39&lt;&gt;"pvp",Inputs!$B$44&gt;0),IF(Inputs!$B$44&lt;=0,0,(INT(Inputs!$B$44/(IF(Inputs!$B$39="pvp",15,MAX(0.1,Skills!D28-IF(TRUE=TRUE,Inputs!$B$33,0)))*(1-IF(AND(ArtifactsInput!$M$27,Inputs!$B$4="Chapter Hunt"),CHOOSE(ArtifactsInput!$N$27+1,20,24,28,32,36,40),0)/100)))+1)),0)</f>
        <v/>
      </c>
      <c r="S730" t="n">
        <v>0</v>
      </c>
      <c r="U730" t="n">
        <v>0</v>
      </c>
    </row>
    <row r="732">
      <c r="A732" t="inlineStr">
        <is>
          <t>Average Buff Multiplier</t>
        </is>
      </c>
      <c r="B732">
        <f>(1+(IF(C705=TRUE,F705*IF(AND(Inputs!$B$39&lt;&gt;"pvp",Inputs!$B$44&gt;0),(((R705-1)*MIN((Skills!S3*(1+((Inputs!$B$35+(ArtifactsInput!$M$7-ArtifactsInput!$M$7)*CHOOSE(ArtifactsInput!$N$7+1,6,7.2,8.4,9.6,10.8,12)))/100)),(1/Q705))+MIN((Skills!S3*(1+((Inputs!$B$35+(ArtifactsInput!$M$7-ArtifactsInput!$M$7)*CHOOSE(ArtifactsInput!$N$7+1,6,7.2,8.4,9.6,10.8,12)))/100)),MAX(0,Inputs!$B$44-((R705-1)*(1/Q705)))))/Inputs!$B$44),IF(Inputs!$B$39="pvp",MIN((Skills!S3*(1+((Inputs!$B$35+(ArtifactsInput!$M$7-ArtifactsInput!$M$7)*CHOOSE(ArtifactsInput!$N$7+1,6,7.2,8.4,9.6,10.8,12)))/100)),15)/15,MIN(1,(Skills!S3*(1+((Inputs!$B$35+(ArtifactsInput!$M$7-ArtifactsInput!$M$7)*CHOOSE(ArtifactsInput!$N$7+1,6,7.2,8.4,9.6,10.8,12)))/100))/(1/Q705)))),0)+IF(C706=TRUE,F706*IF(AND(Inputs!$B$39&lt;&gt;"pvp",Inputs!$B$44&gt;0),(((R706-1)*MIN((Skills!S4*(1+((Inputs!$B$35+(ArtifactsInput!$M$7-ArtifactsInput!$M$7)*CHOOSE(ArtifactsInput!$N$7+1,6,7.2,8.4,9.6,10.8,12)))/100)),(1/Q706))+MIN((Skills!S4*(1+((Inputs!$B$35+(ArtifactsInput!$M$7-ArtifactsInput!$M$7)*CHOOSE(ArtifactsInput!$N$7+1,6,7.2,8.4,9.6,10.8,12)))/100)),MAX(0,Inputs!$B$44-((R706-1)*(1/Q706)))))/Inputs!$B$44),IF(Inputs!$B$39="pvp",MIN((Skills!S4*(1+((Inputs!$B$35+(ArtifactsInput!$M$7-ArtifactsInput!$M$7)*CHOOSE(ArtifactsInput!$N$7+1,6,7.2,8.4,9.6,10.8,12)))/100)),15)/15,MIN(1,(Skills!S4*(1+((Inputs!$B$35+(ArtifactsInput!$M$7-ArtifactsInput!$M$7)*CHOOSE(ArtifactsInput!$N$7+1,6,7.2,8.4,9.6,10.8,12)))/100))/(1/Q706)))),0)+IF(C707=TRUE,F707*IF(AND(Inputs!$B$39&lt;&gt;"pvp",Inputs!$B$44&gt;0),(((R707-1)*MIN((Skills!S5*(1+((Inputs!$B$35+(ArtifactsInput!$M$7-ArtifactsInput!$M$7)*CHOOSE(ArtifactsInput!$N$7+1,6,7.2,8.4,9.6,10.8,12)))/100)),(1/Q707))+MIN((Skills!S5*(1+((Inputs!$B$35+(ArtifactsInput!$M$7-ArtifactsInput!$M$7)*CHOOSE(ArtifactsInput!$N$7+1,6,7.2,8.4,9.6,10.8,12)))/100)),MAX(0,Inputs!$B$44-((R707-1)*(1/Q707)))))/Inputs!$B$44),IF(Inputs!$B$39="pvp",MIN((Skills!S5*(1+((Inputs!$B$35+(ArtifactsInput!$M$7-ArtifactsInput!$M$7)*CHOOSE(ArtifactsInput!$N$7+1,6,7.2,8.4,9.6,10.8,12)))/100)),15)/15,MIN(1,(Skills!S5*(1+((Inputs!$B$35+(ArtifactsInput!$M$7-ArtifactsInput!$M$7)*CHOOSE(ArtifactsInput!$N$7+1,6,7.2,8.4,9.6,10.8,12)))/100))/(1/Q707)))),0)+IF(C713=TRUE,F713*IF(AND(Inputs!$B$39&lt;&gt;"pvp",Inputs!$B$44&gt;0),(((R713-1)*MIN((Skills!S11*(1+((Inputs!$B$35+(ArtifactsInput!$M$7-ArtifactsInput!$M$7)*CHOOSE(ArtifactsInput!$N$7+1,6,7.2,8.4,9.6,10.8,12)))/100)),(1/Q713))+MIN((Skills!S11*(1+((Inputs!$B$35+(ArtifactsInput!$M$7-ArtifactsInput!$M$7)*CHOOSE(ArtifactsInput!$N$7+1,6,7.2,8.4,9.6,10.8,12)))/100)),MAX(0,Inputs!$B$44-((R713-1)*(1/Q713)))))/Inputs!$B$44),IF(Inputs!$B$39="pvp",MIN((Skills!S11*(1+((Inputs!$B$35+(ArtifactsInput!$M$7-ArtifactsInput!$M$7)*CHOOSE(ArtifactsInput!$N$7+1,6,7.2,8.4,9.6,10.8,12)))/100)),15)/15,MIN(1,(Skills!S11*(1+((Inputs!$B$35+(ArtifactsInput!$M$7-ArtifactsInput!$M$7)*CHOOSE(ArtifactsInput!$N$7+1,6,7.2,8.4,9.6,10.8,12)))/100))/(1/Q713)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MIN((Skills!S14*(1+((Inputs!$B$35+(ArtifactsInput!$M$7-ArtifactsInput!$M$7)*CHOOSE(ArtifactsInput!$N$7+1,6,7.2,8.4,9.6,10.8,12)))/100)),(1/Q716))+MIN((Skills!S14*(1+((Inputs!$B$35+(ArtifactsInput!$M$7-ArtifactsInput!$M$7)*CHOOSE(ArtifactsInput!$N$7+1,6,7.2,8.4,9.6,10.8,12)))/100)),MAX(0,Inputs!$B$44-((R716-1)*(1/Q716)))))/Inputs!$B$44),IF(Inputs!$B$39="pvp",MIN((Skills!S14*(1+((Inputs!$B$35+(ArtifactsInput!$M$7-ArtifactsInput!$M$7)*CHOOSE(ArtifactsInput!$N$7+1,6,7.2,8.4,9.6,10.8,12)))/100)),15)/15,MIN(1,(Skills!S14*(1+((Inputs!$B$35+(ArtifactsInput!$M$7-ArtifactsInput!$M$7)*CHOOSE(ArtifactsInput!$N$7+1,6,7.2,8.4,9.6,10.8,12)))/100))/(1/Q716))))/100),1)*IF(C721=TRUE,(1+F721*IF(AND(Inputs!$B$39&lt;&gt;"pvp",Inputs!$B$44&gt;0),(((R721-1)*MIN((Skills!S19*(1+((Inputs!$B$35+(ArtifactsInput!$M$7-ArtifactsInput!$M$7)*CHOOSE(ArtifactsInput!$N$7+1,6,7.2,8.4,9.6,10.8,12)))/100)),(1/Q721))+MIN((Skills!S19*(1+((Inputs!$B$35+(ArtifactsInput!$M$7-ArtifactsInput!$M$7)*CHOOSE(ArtifactsInput!$N$7+1,6,7.2,8.4,9.6,10.8,12)))/100)),MAX(0,Inputs!$B$44-((R721-1)*(1/Q721)))))/Inputs!$B$44),IF(Inputs!$B$39="pvp",MIN((Skills!S19*(1+((Inputs!$B$35+(ArtifactsInput!$M$7-ArtifactsInput!$M$7)*CHOOSE(ArtifactsInput!$N$7+1,6,7.2,8.4,9.6,10.8,12)))/100)),15)/15,MIN(1,(Skills!S19*(1+((Inputs!$B$35+(ArtifactsInput!$M$7-ArtifactsInput!$M$7)*CHOOSE(ArtifactsInput!$N$7+1,6,7.2,8.4,9.6,10.8,12)))/100))/(1/Q721))))/100),1)</f>
        <v/>
      </c>
    </row>
    <row r="733">
      <c r="A733" t="inlineStr">
        <is>
          <t>Monster Damage Taken Bonus % (Holy Fountain)</t>
        </is>
      </c>
      <c r="B733">
        <f>IF(Inputs!$B$3&gt;=68,20*IF(Inputs!$B$39="pvp",MIN((15*(1+((Inputs!$B$35+(ArtifactsInput!$M$7-ArtifactsInput!$M$7)*CHOOSE(ArtifactsInput!$N$7+1,6,7.2,8.4,9.6,10.8,12)))/100)),15)/15,MIN(1,(15*(1+((Inputs!$B$35+(ArtifactsInput!$M$7-ArtifactsInput!$M$7)*CHOOSE(ArtifactsInput!$N$7+1,6,7.2,8.4,9.6,10.8,12)))/100))/(1/Q712))),0)</f>
        <v/>
      </c>
    </row>
    <row r="734">
      <c r="A734" t="inlineStr">
        <is>
          <t>Normal Monster Damage Bonus % (Holy Symbol)</t>
        </is>
      </c>
      <c r="B734">
        <f>IF(C714=TRUE,F714*IF(AND(Inputs!$B$39&lt;&gt;"pvp",Inputs!$B$44&gt;0),(((R714-1)*MIN((Skills!S12*(1+((Inputs!$B$35+(ArtifactsInput!$M$7-ArtifactsInput!$M$7)*CHOOSE(ArtifactsInput!$N$7+1,6,7.2,8.4,9.6,10.8,12)))/100)),(1/Q714))+MIN((Skills!S12*(1+((Inputs!$B$35+(ArtifactsInput!$M$7-ArtifactsInput!$M$7)*CHOOSE(ArtifactsInput!$N$7+1,6,7.2,8.4,9.6,10.8,12)))/100)),MAX(0,Inputs!$B$44-((R714-1)*(1/Q714)))))/Inputs!$B$44),IF(Inputs!$B$39="pvp",MIN((Skills!S12*(1+((Inputs!$B$35+(ArtifactsInput!$M$7-ArtifactsInput!$M$7)*CHOOSE(ArtifactsInput!$N$7+1,6,7.2,8.4,9.6,10.8,12)))/100)),15)/15,MIN(1,(Skills!S12*(1+((Inputs!$B$35+(ArtifactsInput!$M$7-ArtifactsInput!$M$7)*CHOOSE(ArtifactsInput!$N$7+1,6,7.2,8.4,9.6,10.8,12)))/100))/(1/Q714)))),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MIN((Skills!S28*(1+((Inputs!$B$35+(ArtifactsInput!$M$7-ArtifactsInput!$M$7)*CHOOSE(ArtifactsInput!$N$7+1,6,7.2,8.4,9.6,10.8,12)))/100)),(1/Q730))+MIN((Skills!S28*(1+((Inputs!$B$35+(ArtifactsInput!$M$7-ArtifactsInput!$M$7)*CHOOSE(ArtifactsInput!$N$7+1,6,7.2,8.4,9.6,10.8,12)))/100)),MAX(0,Inputs!$B$44-((R730-1)*(1/Q730)))))/Inputs!$B$44),IF(Inputs!$B$39="pvp",MIN((Skills!S28*(1+((Inputs!$B$35+(ArtifactsInput!$M$7-ArtifactsInput!$M$7)*CHOOSE(ArtifactsInput!$N$7+1,6,7.2,8.4,9.6,10.8,12)))/100)),15)/15,MIN(1,(Skills!S28*(1+((Inputs!$B$35+(ArtifactsInput!$M$7-ArtifactsInput!$M$7)*CHOOSE(ArtifactsInput!$N$7+1,6,7.2,8.4,9.6,10.8,12)))/100))/(1/Q730)))))</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MIN((Skills!S13*(1+((Inputs!$B$35+(ArtifactsInput!$M$7-ArtifactsInput!$M$7)*CHOOSE(ArtifactsInput!$N$7+1,6,7.2,8.4,9.6,10.8,12)))/100)),(1/Q715))+MIN((Skills!S13*(1+((Inputs!$B$35+(ArtifactsInput!$M$7-ArtifactsInput!$M$7)*CHOOSE(ArtifactsInput!$N$7+1,6,7.2,8.4,9.6,10.8,12)))/100)),MAX(0,Inputs!$B$44-((R715-1)*(1/Q715)))))/Inputs!$B$44),IF(Inputs!$B$39="pvp",MIN((Skills!S13*(1+((Inputs!$B$35+(ArtifactsInput!$M$7-ArtifactsInput!$M$7)*CHOOSE(ArtifactsInput!$N$7+1,6,7.2,8.4,9.6,10.8,12)))/100)),15)/15,MIN(1,(Skills!S13*(1+((Inputs!$B$35+(ArtifactsInput!$M$7-ArtifactsInput!$M$7)*CHOOSE(ArtifactsInput!$N$7+1,6,7.2,8.4,9.6,10.8,12)))/100))/(1/Q715)))),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IFERROR(1/(IF(Inputs!$B$39="pvp",15,MAX(0.1,Skills!D2-IF(TRUE=TRUE,Inputs!$B$33,0)))*(1-IF(AND(ArtifactsInput!$M$27,Inputs!$B$4="Chapter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IFERROR(1/(IF(Inputs!$B$39="pvp",15,MAX(0.1,Skills!D3-IF(TRUE=TRUE,Inputs!$B$33,0)))*(1-IF(AND(ArtifactsInput!$M$27,Inputs!$B$4="Chapter Hunt"),CHOOSE(ArtifactsInput!$N$27+1,20,24,28,32,36,40),0)/100)),0)</f>
        <v/>
      </c>
      <c r="R750">
        <f>IF(AND(Inputs!$B$39&lt;&gt;"pvp",Inputs!$B$44&gt;0),IF(Inputs!$B$44&lt;=0,0,(INT(Inputs!$B$44/(IF(Inputs!$B$39="pvp",15,MAX(0.1,Skills!D3-IF(TRUE=TRUE,Inputs!$B$33,0)))*(1-IF(AND(ArtifactsInput!$M$27,Inputs!$B$4="Chapter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IFERROR(1/(IF(Inputs!$B$39="pvp",15,MAX(0.1,Skills!D4-IF(TRUE=TRUE,Inputs!$B$33,0)))*(1-IF(AND(ArtifactsInput!$M$27,Inputs!$B$4="Chapter Hunt"),CHOOSE(ArtifactsInput!$N$27+1,20,24,28,32,36,40),0)/100)),0)</f>
        <v/>
      </c>
      <c r="R751">
        <f>IF(AND(Inputs!$B$39&lt;&gt;"pvp",Inputs!$B$44&gt;0),IF(Inputs!$B$44&lt;=0,0,(INT(Inputs!$B$44/(IF(Inputs!$B$39="pvp",15,MAX(0.1,Skills!D4-IF(TRUE=TRUE,Inputs!$B$33,0)))*(1-IF(AND(ArtifactsInput!$M$27,Inputs!$B$4="Chapter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IFERROR(1/(IF(Inputs!$B$39="pvp",15,MAX(0.1,Skills!D5-IF(TRUE=TRUE,Inputs!$B$33,0)))*(1-IF(AND(ArtifactsInput!$M$27,Inputs!$B$4="Chapter Hunt"),CHOOSE(ArtifactsInput!$N$27+1,20,24,28,32,36,40),0)/100)),0)</f>
        <v/>
      </c>
      <c r="R752">
        <f>IF(AND(Inputs!$B$39&lt;&gt;"pvp",Inputs!$B$44&gt;0),IF(Inputs!$B$44&lt;=0,0,(INT(Inputs!$B$44/(IF(Inputs!$B$39="pvp",15,MAX(0.1,Skills!D5-IF(TRUE=TRUE,Inputs!$B$33,0)))*(1-IF(AND(ArtifactsInput!$M$27,Inputs!$B$4="Chapter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IFERROR(1/(IF(Inputs!$B$39="pvp",15,MAX(0.1,Skills!D6-IF(TRUE=TRUE,Inputs!$B$33,0)))*(1-IF(AND(ArtifactsInput!$M$27,Inputs!$B$4="Chapter Hunt"),CHOOSE(ArtifactsInput!$N$27+1,20,24,28,32,36,40),0)/100)),0)</f>
        <v/>
      </c>
      <c r="R753">
        <f>IF(AND(Inputs!$B$39&lt;&gt;"pvp",Inputs!$B$44&gt;0),IF(MAX(0,Inputs!$B$44-B787)&lt;=0,0,(INT(MAX(0,Inputs!$B$44-B787)/(IF(Inputs!$B$39="pvp",15,MAX(0.1,Skills!D6-IF(TRUE=TRUE,Inputs!$B$33,0)))*(1-IF(AND(ArtifactsInput!$M$27,Inputs!$B$4="Chapter Hunt"),CHOOSE(ArtifactsInput!$N$27+1,20,24,28,32,36,40),0)/100)))+1)),0)</f>
        <v/>
      </c>
      <c r="S753">
        <f>IF(C753,(H753*N753*IF(AND(Inputs!$B$39&lt;&gt;"pvp",Inputs!$B$44&gt;0),((Skills!F6*((R753-1)*IF(Skills!G6&gt;0,INT(Skills!H6/Skills!G6+0.000000001),1)+IF(Skills!G6&gt;0,INT(MIN(Skills!H6,MAX(0,MAX(0,Inputs!$B$44-B787)-((R753-1)*(IF(Inputs!$B$39="pvp",15,MAX(0.1,Skills!D6-IF(TRUE=TRUE,Inputs!$B$33,0)))*(1-IF(AND(ArtifactsInput!$M$27,Inputs!$B$4="Chapter Hunt"),CHOOSE(ArtifactsInput!$N$27+1,20,24,28,32,36,40),0)/100)))))/Skills!G6+0.000000001),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INT(Skills!H6/Skills!G6+0.000000001),1)+IF(Skills!G6&gt;0,INT(MIN(Skills!H6,MAX(0,MAX(0,Inputs!$B$44-B787)-((R753-1)*(IF(Inputs!$B$39="pvp",15,MAX(0.1,Skills!D6-IF(TRUE=TRUE,Inputs!$B$33,0)))*(1-IF(AND(ArtifactsInput!$M$27,Inputs!$B$4="Chapter Hunt"),CHOOSE(ArtifactsInput!$N$27+1,20,24,28,32,36,40),0)/100)))))/Skills!G6+0.000000001),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IFERROR(1/(IF(Inputs!$B$39="pvp",15,MAX(0.1,Skills!D7-IF(TRUE=TRUE,Inputs!$B$33,0)))*(1-IF(AND(ArtifactsInput!$M$27,Inputs!$B$4="Chapter Hunt"),CHOOSE(ArtifactsInput!$N$27+1,20,24,28,32,36,40),0)/100)),0)</f>
        <v/>
      </c>
      <c r="R754">
        <f>IF(AND(Inputs!$B$39&lt;&gt;"pvp",Inputs!$B$44&gt;0),IF(MAX(0,Inputs!$B$44-B787)&lt;=0,0,(INT(MAX(0,Inputs!$B$44-B787)/(IF(Inputs!$B$39="pvp",15,MAX(0.1,Skills!D7-IF(TRUE=TRUE,Inputs!$B$33,0)))*(1-IF(AND(ArtifactsInput!$M$27,Inputs!$B$4="Chapter Hunt"),CHOOSE(ArtifactsInput!$N$27+1,20,24,28,32,36,40),0)/100)))+1)),0)</f>
        <v/>
      </c>
      <c r="S754">
        <f>IF(C754,H754*N754*IF(AND(Inputs!$B$39&lt;&gt;"pvp",Inputs!$B$44&gt;0),((Skills!F7*((R754-1)*IF(Skills!G7&gt;0,INT(Skills!H7/Skills!G7+0.000000001),1)+IF(Skills!G7&gt;0,INT(MIN(Skills!H7,MAX(0,MAX(0,Inputs!$B$44-B787)-((R754-1)*(IF(Inputs!$B$39="pvp",15,MAX(0.1,Skills!D7-IF(TRUE=TRUE,Inputs!$B$33,0)))*(1-IF(AND(ArtifactsInput!$M$27,Inputs!$B$4="Chapter Hunt"),CHOOSE(ArtifactsInput!$N$27+1,20,24,28,32,36,40),0)/100)))))/Skills!G7+0.000000001),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IFERROR(1/(IF(Inputs!$B$39="pvp",15,MAX(0.1,Skills!D8-IF(TRUE=TRUE,Inputs!$B$33,0)))*(1-IF(AND(ArtifactsInput!$M$27,Inputs!$B$4="Chapter Hunt"),CHOOSE(ArtifactsInput!$N$27+1,20,24,28,32,36,40),0)/100)),0)</f>
        <v/>
      </c>
      <c r="R755">
        <f>IF(AND(Inputs!$B$39&lt;&gt;"pvp",Inputs!$B$44&gt;0),IF(MAX(0,Inputs!$B$44-B787)&lt;=0,0,(INT(MAX(0,Inputs!$B$44-B787)/(IF(Inputs!$B$39="pvp",15,MAX(0.1,Skills!D8-IF(TRUE=TRUE,Inputs!$B$33,0)))*(1-IF(AND(ArtifactsInput!$M$27,Inputs!$B$4="Chapter Hunt"),CHOOSE(ArtifactsInput!$N$27+1,20,24,28,32,36,40),0)/100)))+1)),0)</f>
        <v/>
      </c>
      <c r="S755">
        <f>IF(C755,(H755*N755*IF(AND(Inputs!$B$39&lt;&gt;"pvp",Inputs!$B$44&gt;0),((Skills!F8*((R755-1)*IF(Skills!G8&gt;0,INT(Skills!H8/Skills!G8+0.000000001),1)+IF(Skills!G8&gt;0,INT(MIN(Skills!H8,MAX(0,MAX(0,Inputs!$B$44-B787)-((R755-1)*(IF(Inputs!$B$39="pvp",15,MAX(0.1,Skills!D8-IF(TRUE=TRUE,Inputs!$B$33,0)))*(1-IF(AND(ArtifactsInput!$M$27,Inputs!$B$4="Chapter Hunt"),CHOOSE(ArtifactsInput!$N$27+1,20,24,28,32,36,40),0)/100)))))/Skills!G8+0.000000001),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INT(Skills!H8/Skills!G8+0.000000001),1)+IF(Skills!G8&gt;0,INT(MIN(Skills!H8,MAX(0,MAX(0,Inputs!$B$44-B787)-((R755-1)*(IF(Inputs!$B$39="pvp",15,MAX(0.1,Skills!D8-IF(TRUE=TRUE,Inputs!$B$33,0)))*(1-IF(AND(ArtifactsInput!$M$27,Inputs!$B$4="Chapter Hunt"),CHOOSE(ArtifactsInput!$N$27+1,20,24,28,32,36,40),0)/100)))))/Skills!G8+0.000000001),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IFERROR(1/(IF(Inputs!$B$39="pvp",15,MAX(0.1,Skills!D9-IF(TRUE=TRUE,Inputs!$B$33,0)))*(1-IF(AND(ArtifactsInput!$M$27,Inputs!$B$4="Chapter Hunt"),CHOOSE(ArtifactsInput!$N$27+1,20,24,28,32,36,40),0)/100)),0)</f>
        <v/>
      </c>
      <c r="R756">
        <f>IF(AND(Inputs!$B$39&lt;&gt;"pvp",Inputs!$B$44&gt;0),IF(MAX(0,Inputs!$B$44-B787)&lt;=0,0,(INT(MAX(0,Inputs!$B$44-B787)/(IF(Inputs!$B$39="pvp",15,MAX(0.1,Skills!D9-IF(TRUE=TRUE,Inputs!$B$33,0)))*(1-IF(AND(ArtifactsInput!$M$27,Inputs!$B$4="Chapter Hunt"),CHOOSE(ArtifactsInput!$N$27+1,20,24,28,32,36,40),0)/100)))+1)),0)</f>
        <v/>
      </c>
      <c r="S756">
        <f>IF(C756,(H756*N756*IF(AND(Inputs!$B$39&lt;&gt;"pvp",Inputs!$B$44&gt;0),((Skills!F9*((R756-1)*IF(Skills!G9&gt;0,INT(Skills!H9/Skills!G9+0.000000001),1)+IF(Skills!G9&gt;0,INT(MIN(Skills!H9,MAX(0,MAX(0,Inputs!$B$44-B787)-((R756-1)*(IF(Inputs!$B$39="pvp",15,MAX(0.1,Skills!D9-IF(TRUE=TRUE,Inputs!$B$33,0)))*(1-IF(AND(ArtifactsInput!$M$27,Inputs!$B$4="Chapter Hunt"),CHOOSE(ArtifactsInput!$N$27+1,20,24,28,32,36,40),0)/100)))))/Skills!G9+0.000000001),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INT(Skills!H9/Skills!G9+0.000000001),1)+IF(Skills!G9&gt;0,INT(MIN(Skills!H9,MAX(0,MAX(0,Inputs!$B$44-B787)-((R756-1)*(IF(Inputs!$B$39="pvp",15,MAX(0.1,Skills!D9-IF(TRUE=TRUE,Inputs!$B$33,0)))*(1-IF(AND(ArtifactsInput!$M$27,Inputs!$B$4="Chapter Hunt"),CHOOSE(ArtifactsInput!$N$27+1,20,24,28,32,36,40),0)/100)))))/Skills!G9+0.000000001),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IFERROR(1/(IF(Inputs!$B$39="pvp",15,MAX(0.1,Skills!D10-IF(TRUE=TRUE,Inputs!$B$33,0)))*(1-IF(AND(ArtifactsInput!$M$27,Inputs!$B$4="Chapter Hunt"),CHOOSE(ArtifactsInput!$N$27+1,20,24,28,32,36,40),0)/100)),0)</f>
        <v/>
      </c>
      <c r="R757">
        <f>IF(AND(Inputs!$B$39&lt;&gt;"pvp",Inputs!$B$44&gt;0),IF(MAX(0,Inputs!$B$44-B787)&lt;=0,0,(INT(MAX(0,Inputs!$B$44-B787)/(IF(Inputs!$B$39="pvp",15,MAX(0.1,Skills!D10-IF(TRUE=TRUE,Inputs!$B$33,0)))*(1-IF(AND(ArtifactsInput!$M$27,Inputs!$B$4="Chapter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IFERROR(1/(IF(Inputs!$B$39="pvp",15,MAX(0.1,Skills!D11-IF(TRUE=TRUE,Inputs!$B$33,0)))*(1-IF(AND(ArtifactsInput!$M$27,Inputs!$B$4="Chapter Hunt"),CHOOSE(ArtifactsInput!$N$27+1,20,24,28,32,36,40),0)/100)),0)</f>
        <v/>
      </c>
      <c r="R758">
        <f>IF(AND(Inputs!$B$39&lt;&gt;"pvp",Inputs!$B$44&gt;0),IF(Inputs!$B$44&lt;=0,0,(INT(Inputs!$B$44/(IF(Inputs!$B$39="pvp",15,MAX(0.1,Skills!D11-IF(TRUE=TRUE,Inputs!$B$33,0)))*(1-IF(AND(ArtifactsInput!$M$27,Inputs!$B$4="Chapter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IFERROR(1/(IF(Inputs!$B$39="pvp",15,MAX(0.1,Skills!D12-IF(TRUE=TRUE,Inputs!$B$33,0)))*(1-IF(AND(ArtifactsInput!$M$27,Inputs!$B$4="Chapter Hunt"),CHOOSE(ArtifactsInput!$N$27+1,20,24,28,32,36,40),0)/100)),0)</f>
        <v/>
      </c>
      <c r="R759">
        <f>IF(AND(Inputs!$B$39&lt;&gt;"pvp",Inputs!$B$44&gt;0),IF(MAX(0,Inputs!$B$44-B787)&lt;=0,0,(INT(MAX(0,Inputs!$B$44-B787)/(IF(Inputs!$B$39="pvp",15,MAX(0.1,Skills!D12-IF(TRUE=TRUE,Inputs!$B$33,0)))*(1-IF(AND(ArtifactsInput!$M$27,Inputs!$B$4="Chapter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IFERROR(1/(IF(Inputs!$B$39="pvp",15,MAX(0.1,Skills!D13-IF(TRUE=TRUE,Inputs!$B$33,0)))*(1-IF(AND(ArtifactsInput!$M$27,Inputs!$B$4="Chapter Hunt"),CHOOSE(ArtifactsInput!$N$27+1,20,24,28,32,36,40),0)/100)),0)</f>
        <v/>
      </c>
      <c r="R760">
        <f>IF(AND(Inputs!$B$39&lt;&gt;"pvp",Inputs!$B$44&gt;0),IF(MAX(0,Inputs!$B$44-B787)&lt;=0,0,(INT(MAX(0,Inputs!$B$44-B787)/(IF(Inputs!$B$39="pvp",15,MAX(0.1,Skills!D13-IF(TRUE=TRUE,Inputs!$B$33,0)))*(1-IF(AND(ArtifactsInput!$M$27,Inputs!$B$4="Chapter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IFERROR(1/(IF(Inputs!$B$39="pvp",15,MAX(0.1,Skills!D14-IF(TRUE=TRUE,Inputs!$B$33,0)))*(1-IF(AND(ArtifactsInput!$M$27,Inputs!$B$4="Chapter Hunt"),CHOOSE(ArtifactsInput!$N$27+1,20,24,28,32,36,40),0)/100)),0)</f>
        <v/>
      </c>
      <c r="R761">
        <f>IF(AND(Inputs!$B$39&lt;&gt;"pvp",Inputs!$B$44&gt;0),IF(Inputs!$B$44&lt;=0,0,(INT(Inputs!$B$44/(IF(Inputs!$B$39="pvp",15,MAX(0.1,Skills!D14-IF(TRUE=TRUE,Inputs!$B$33,0)))*(1-IF(AND(ArtifactsInput!$M$27,Inputs!$B$4="Chapter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IFERROR(1/(IF(Inputs!$B$39="pvp",15,MAX(0.1,Skills!D15-IF(TRUE=TRUE,Inputs!$B$33,0)))*(1-IF(AND(ArtifactsInput!$M$27,Inputs!$B$4="Chapter Hunt"),CHOOSE(ArtifactsInput!$N$27+1,20,24,28,32,36,40),0)/100)),0)</f>
        <v/>
      </c>
      <c r="R762" t="n">
        <v>0</v>
      </c>
      <c r="S762">
        <f>IF(C762,(Skills!F15*N762*((IF(Inputs!$B$3&gt;=78,25,15)/100*B783*10)/(1+IF(Inputs!$B$3&gt;=78,25,15)/100*B783*IF(Inputs!$B$39="pvp",15,MAX(0.1,18-IF(TRUE=TRUE,Inputs!$B$33,0)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IF(Inputs!$B$39="pvp",15,MAX(0.1,18-IF(TRUE=TRUE,Inputs!$B$33,0)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IFERROR(1/(IF(Inputs!$B$39="pvp",15,MAX(0.1,Skills!D16-IF(TRUE=TRUE,Inputs!$B$33,0)))*(1-IF(AND(ArtifactsInput!$M$27,Inputs!$B$4="Chapter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IFERROR(1/(IF(Inputs!$B$39="pvp",15,MAX(0.1,Skills!D17-IF(TRUE=TRUE,Inputs!$B$33,0)))*(1-IF(AND(ArtifactsInput!$M$27,Inputs!$B$4="Chapter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IFERROR(1/(IF(Inputs!$B$39="pvp",15,MAX(0.1,Skills!D18-IF(TRUE=TRUE,Inputs!$B$33,0)))*(1-IF(AND(ArtifactsInput!$M$27,Inputs!$B$4="Chapter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IFERROR(1/(IF(Inputs!$B$39="pvp",15,MAX(0.1,Skills!D19-IF(TRUE=TRUE,Inputs!$B$33,0)))*(1-IF(AND(ArtifactsInput!$M$27,Inputs!$B$4="Chapter Hunt"),CHOOSE(ArtifactsInput!$N$27+1,20,24,28,32,36,40),0)/100)),0)</f>
        <v/>
      </c>
      <c r="R766">
        <f>IF(AND(Inputs!$B$39&lt;&gt;"pvp",Inputs!$B$44&gt;0),IF(Inputs!$B$44&lt;=0,0,(INT(Inputs!$B$44/(IF(Inputs!$B$39="pvp",15,MAX(0.1,Skills!D19-IF(TRUE=TRUE,Inputs!$B$33,0)))*(1-IF(AND(ArtifactsInput!$M$27,Inputs!$B$4="Chapter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IFERROR(1/(IF(Inputs!$B$39="pvp",15,MAX(0.1,Skills!D20-IF(TRUE=TRUE,Inputs!$B$33,0)))*(1-IF(AND(ArtifactsInput!$M$27,Inputs!$B$4="Chapter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IFERROR(1/(IF(Inputs!$B$39="pvp",15,MAX(0.1,Skills!D21-IF(TRUE=TRUE,Inputs!$B$33,0)))*(1-IF(AND(ArtifactsInput!$M$27,Inputs!$B$4="Chapter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IFERROR(1/(IF(Inputs!$B$39="pvp",15,MAX(0.1,Skills!D22-IF(TRUE=TRUE,Inputs!$B$33,0)))*(1-IF(AND(ArtifactsInput!$M$27,Inputs!$B$4="Chapter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IFERROR(1/(IF(Inputs!$B$39="pvp",15,MAX(0.1,Skills!D23-IF(TRUE=TRUE,Inputs!$B$33,0)))*(1-IF(AND(ArtifactsInput!$M$27,Inputs!$B$4="Chapter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IFERROR(1/(IF(Inputs!$B$39="pvp",15,MAX(0.1,Skills!D24-IF(TRUE=TRUE,Inputs!$B$33,0)))*(1-IF(AND(ArtifactsInput!$M$27,Inputs!$B$4="Chapter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IFERROR(1/(IF(Inputs!$B$39="pvp",15,MAX(0.1,Skills!D25-IF(TRUE=TRUE,Inputs!$B$33,0)))*(1-IF(AND(ArtifactsInput!$M$27,Inputs!$B$4="Chapter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IFERROR(1/(IF(Inputs!$B$39="pvp",15,MAX(0.1,Skills!D26-IF(TRUE=TRUE,Inputs!$B$33,0)))*(1-IF(AND(ArtifactsInput!$M$27,Inputs!$B$4="Chapter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IFERROR(1/(IF(Inputs!$B$39="pvp",15,MAX(0.1,Skills!D27-IF(TRUE=TRUE,Inputs!$B$33,0)))*(1-IF(AND(ArtifactsInput!$M$27,Inputs!$B$4="Chapter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IFERROR(1/(IF(Inputs!$B$39="pvp",15,MAX(0.1,Skills!D28-IF(TRUE=TRUE,Inputs!$B$33,0)))*(1-IF(AND(ArtifactsInput!$M$27,Inputs!$B$4="Chapter Hunt"),CHOOSE(ArtifactsInput!$N$27+1,20,24,28,32,36,40),0)/100)),0)</f>
        <v/>
      </c>
      <c r="R775">
        <f>IF(AND(Inputs!$B$39&lt;&gt;"pvp",Inputs!$B$44&gt;0),IF(Inputs!$B$44&lt;=0,0,(INT(Inputs!$B$44/(IF(Inputs!$B$39="pvp",15,MAX(0.1,Skills!D28-IF(TRUE=TRUE,Inputs!$B$33,0)))*(1-IF(AND(ArtifactsInput!$M$27,Inputs!$B$4="Chapter Hunt"),CHOOSE(ArtifactsInput!$N$27+1,20,24,28,32,36,40),0)/100)))+1)),0)</f>
        <v/>
      </c>
      <c r="S775" t="n">
        <v>0</v>
      </c>
      <c r="U775" t="n">
        <v>0</v>
      </c>
    </row>
    <row r="777">
      <c r="A777" t="inlineStr">
        <is>
          <t>Average Buff Multiplier</t>
        </is>
      </c>
      <c r="B777">
        <f>(1+(IF(C750=TRUE,F750*IF(AND(Inputs!$B$39&lt;&gt;"pvp",Inputs!$B$44&gt;0),(((R750-1)*MIN((Skills!S3*(1+((Inputs!$B$35+(ArtifactsInput!$M$7-ArtifactsInput!$M$7)*CHOOSE(ArtifactsInput!$N$7+1,6,7.2,8.4,9.6,10.8,12)))/100)),(1/Q750))+MIN((Skills!S3*(1+((Inputs!$B$35+(ArtifactsInput!$M$7-ArtifactsInput!$M$7)*CHOOSE(ArtifactsInput!$N$7+1,6,7.2,8.4,9.6,10.8,12)))/100)),MAX(0,Inputs!$B$44-((R750-1)*(1/Q750)))))/Inputs!$B$44),IF(Inputs!$B$39="pvp",MIN((Skills!S3*(1+((Inputs!$B$35+(ArtifactsInput!$M$7-ArtifactsInput!$M$7)*CHOOSE(ArtifactsInput!$N$7+1,6,7.2,8.4,9.6,10.8,12)))/100)),15)/15,MIN(1,(Skills!S3*(1+((Inputs!$B$35+(ArtifactsInput!$M$7-ArtifactsInput!$M$7)*CHOOSE(ArtifactsInput!$N$7+1,6,7.2,8.4,9.6,10.8,12)))/100))/(1/Q750)))),0)+IF(C751=TRUE,F751*IF(AND(Inputs!$B$39&lt;&gt;"pvp",Inputs!$B$44&gt;0),(((R751-1)*MIN((Skills!S4*(1+((Inputs!$B$35+(ArtifactsInput!$M$7-ArtifactsInput!$M$7)*CHOOSE(ArtifactsInput!$N$7+1,6,7.2,8.4,9.6,10.8,12)))/100)),(1/Q751))+MIN((Skills!S4*(1+((Inputs!$B$35+(ArtifactsInput!$M$7-ArtifactsInput!$M$7)*CHOOSE(ArtifactsInput!$N$7+1,6,7.2,8.4,9.6,10.8,12)))/100)),MAX(0,Inputs!$B$44-((R751-1)*(1/Q751)))))/Inputs!$B$44),IF(Inputs!$B$39="pvp",MIN((Skills!S4*(1+((Inputs!$B$35+(ArtifactsInput!$M$7-ArtifactsInput!$M$7)*CHOOSE(ArtifactsInput!$N$7+1,6,7.2,8.4,9.6,10.8,12)))/100)),15)/15,MIN(1,(Skills!S4*(1+((Inputs!$B$35+(ArtifactsInput!$M$7-ArtifactsInput!$M$7)*CHOOSE(ArtifactsInput!$N$7+1,6,7.2,8.4,9.6,10.8,12)))/100))/(1/Q751)))),0)+IF(C752=TRUE,F752*IF(AND(Inputs!$B$39&lt;&gt;"pvp",Inputs!$B$44&gt;0),(((R752-1)*MIN((Skills!S5*(1+((Inputs!$B$35+(ArtifactsInput!$M$7-ArtifactsInput!$M$7)*CHOOSE(ArtifactsInput!$N$7+1,6,7.2,8.4,9.6,10.8,12)))/100)),(1/Q752))+MIN((Skills!S5*(1+((Inputs!$B$35+(ArtifactsInput!$M$7-ArtifactsInput!$M$7)*CHOOSE(ArtifactsInput!$N$7+1,6,7.2,8.4,9.6,10.8,12)))/100)),MAX(0,Inputs!$B$44-((R752-1)*(1/Q752)))))/Inputs!$B$44),IF(Inputs!$B$39="pvp",MIN((Skills!S5*(1+((Inputs!$B$35+(ArtifactsInput!$M$7-ArtifactsInput!$M$7)*CHOOSE(ArtifactsInput!$N$7+1,6,7.2,8.4,9.6,10.8,12)))/100)),15)/15,MIN(1,(Skills!S5*(1+((Inputs!$B$35+(ArtifactsInput!$M$7-ArtifactsInput!$M$7)*CHOOSE(ArtifactsInput!$N$7+1,6,7.2,8.4,9.6,10.8,12)))/100))/(1/Q752)))),0)+IF(C758=TRUE,F758*IF(AND(Inputs!$B$39&lt;&gt;"pvp",Inputs!$B$44&gt;0),(((R758-1)*MIN((Skills!S11*(1+((Inputs!$B$35+(ArtifactsInput!$M$7-ArtifactsInput!$M$7)*CHOOSE(ArtifactsInput!$N$7+1,6,7.2,8.4,9.6,10.8,12)))/100)),(1/Q758))+MIN((Skills!S11*(1+((Inputs!$B$35+(ArtifactsInput!$M$7-ArtifactsInput!$M$7)*CHOOSE(ArtifactsInput!$N$7+1,6,7.2,8.4,9.6,10.8,12)))/100)),MAX(0,Inputs!$B$44-((R758-1)*(1/Q758)))))/Inputs!$B$44),IF(Inputs!$B$39="pvp",MIN((Skills!S11*(1+((Inputs!$B$35+(ArtifactsInput!$M$7-ArtifactsInput!$M$7)*CHOOSE(ArtifactsInput!$N$7+1,6,7.2,8.4,9.6,10.8,12)))/100)),15)/15,MIN(1,(Skills!S11*(1+((Inputs!$B$35+(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MIN((Skills!S14*(1+((Inputs!$B$35+(ArtifactsInput!$M$7-ArtifactsInput!$M$7)*CHOOSE(ArtifactsInput!$N$7+1,6,7.2,8.4,9.6,10.8,12)))/100)),(1/Q761))+MIN((Skills!S14*(1+((Inputs!$B$35+(ArtifactsInput!$M$7-ArtifactsInput!$M$7)*CHOOSE(ArtifactsInput!$N$7+1,6,7.2,8.4,9.6,10.8,12)))/100)),MAX(0,Inputs!$B$44-((R761-1)*(1/Q761)))))/Inputs!$B$44),IF(Inputs!$B$39="pvp",MIN((Skills!S14*(1+((Inputs!$B$35+(ArtifactsInput!$M$7-ArtifactsInput!$M$7)*CHOOSE(ArtifactsInput!$N$7+1,6,7.2,8.4,9.6,10.8,12)))/100)),15)/15,MIN(1,(Skills!S14*(1+((Inputs!$B$35+(ArtifactsInput!$M$7-ArtifactsInput!$M$7)*CHOOSE(ArtifactsInput!$N$7+1,6,7.2,8.4,9.6,10.8,12)))/100))/(1/Q761))))/100),1)*IF(C766=TRUE,(1+F766*IF(AND(Inputs!$B$39&lt;&gt;"pvp",Inputs!$B$44&gt;0),(((R766-1)*MIN((Skills!S19*(1+((Inputs!$B$35+(ArtifactsInput!$M$7-ArtifactsInput!$M$7)*CHOOSE(ArtifactsInput!$N$7+1,6,7.2,8.4,9.6,10.8,12)))/100)),(1/Q766))+MIN((Skills!S19*(1+((Inputs!$B$35+(ArtifactsInput!$M$7-ArtifactsInput!$M$7)*CHOOSE(ArtifactsInput!$N$7+1,6,7.2,8.4,9.6,10.8,12)))/100)),MAX(0,Inputs!$B$44-((R766-1)*(1/Q766)))))/Inputs!$B$44),IF(Inputs!$B$39="pvp",MIN((Skills!S19*(1+((Inputs!$B$35+(ArtifactsInput!$M$7-ArtifactsInput!$M$7)*CHOOSE(ArtifactsInput!$N$7+1,6,7.2,8.4,9.6,10.8,12)))/100)),15)/15,MIN(1,(Skills!S19*(1+((Inputs!$B$35+(ArtifactsInput!$M$7-ArtifactsInput!$M$7)*CHOOSE(ArtifactsInput!$N$7+1,6,7.2,8.4,9.6,10.8,12)))/100))/(1/Q766))))/100),1)</f>
        <v/>
      </c>
    </row>
    <row r="778">
      <c r="A778" t="inlineStr">
        <is>
          <t>Monster Damage Taken Bonus % (Holy Fountain)</t>
        </is>
      </c>
      <c r="B778">
        <f>IF(Inputs!$B$3&gt;=68,20*IF(Inputs!$B$39="pvp",MIN((15*(1+((Inputs!$B$35+(ArtifactsInput!$M$7-ArtifactsInput!$M$7)*CHOOSE(ArtifactsInput!$N$7+1,6,7.2,8.4,9.6,10.8,12)))/100)),15)/15,MIN(1,(15*(1+((Inputs!$B$35+(ArtifactsInput!$M$7-ArtifactsInput!$M$7)*CHOOSE(ArtifactsInput!$N$7+1,6,7.2,8.4,9.6,10.8,12)))/100))/(1/Q757))),0)</f>
        <v/>
      </c>
    </row>
    <row r="779">
      <c r="A779" t="inlineStr">
        <is>
          <t>Normal Monster Damage Bonus % (Holy Symbol)</t>
        </is>
      </c>
      <c r="B779">
        <f>IF(C759=TRUE,F759*IF(AND(Inputs!$B$39&lt;&gt;"pvp",Inputs!$B$44&gt;0),(((R759-1)*MIN((Skills!S12*(1+((Inputs!$B$35+(ArtifactsInput!$M$7-ArtifactsInput!$M$7)*CHOOSE(ArtifactsInput!$N$7+1,6,7.2,8.4,9.6,10.8,12)))/100)),(1/Q759))+MIN((Skills!S12*(1+((Inputs!$B$35+(ArtifactsInput!$M$7-ArtifactsInput!$M$7)*CHOOSE(ArtifactsInput!$N$7+1,6,7.2,8.4,9.6,10.8,12)))/100)),MAX(0,Inputs!$B$44-((R759-1)*(1/Q759)))))/Inputs!$B$44),IF(Inputs!$B$39="pvp",MIN((Skills!S12*(1+((Inputs!$B$35+(ArtifactsInput!$M$7-ArtifactsInput!$M$7)*CHOOSE(ArtifactsInput!$N$7+1,6,7.2,8.4,9.6,10.8,12)))/100)),15)/15,MIN(1,(Skills!S12*(1+((Inputs!$B$35+(ArtifactsInput!$M$7-ArtifactsInput!$M$7)*CHOOSE(ArtifactsInput!$N$7+1,6,7.2,8.4,9.6,10.8,12)))/100))/(1/Q759)))),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MIN((Skills!S28*(1+((Inputs!$B$35+(ArtifactsInput!$M$7-ArtifactsInput!$M$7)*CHOOSE(ArtifactsInput!$N$7+1,6,7.2,8.4,9.6,10.8,12)))/100)),(1/Q775))+MIN((Skills!S28*(1+((Inputs!$B$35+(ArtifactsInput!$M$7-ArtifactsInput!$M$7)*CHOOSE(ArtifactsInput!$N$7+1,6,7.2,8.4,9.6,10.8,12)))/100)),MAX(0,Inputs!$B$44-((R775-1)*(1/Q775)))))/Inputs!$B$44),IF(Inputs!$B$39="pvp",MIN((Skills!S28*(1+((Inputs!$B$35+(ArtifactsInput!$M$7-ArtifactsInput!$M$7)*CHOOSE(ArtifactsInput!$N$7+1,6,7.2,8.4,9.6,10.8,12)))/100)),15)/15,MIN(1,(Skills!S28*(1+((Inputs!$B$35+(ArtifactsInput!$M$7-ArtifactsInput!$M$7)*CHOOSE(ArtifactsInput!$N$7+1,6,7.2,8.4,9.6,10.8,12)))/100))/(1/Q775)))))</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MIN((Skills!S13*(1+((Inputs!$B$35+(ArtifactsInput!$M$7-ArtifactsInput!$M$7)*CHOOSE(ArtifactsInput!$N$7+1,6,7.2,8.4,9.6,10.8,12)))/100)),(1/Q760))+MIN((Skills!S13*(1+((Inputs!$B$35+(ArtifactsInput!$M$7-ArtifactsInput!$M$7)*CHOOSE(ArtifactsInput!$N$7+1,6,7.2,8.4,9.6,10.8,12)))/100)),MAX(0,Inputs!$B$44-((R760-1)*(1/Q760)))))/Inputs!$B$44),IF(Inputs!$B$39="pvp",MIN((Skills!S13*(1+((Inputs!$B$35+(ArtifactsInput!$M$7-ArtifactsInput!$M$7)*CHOOSE(ArtifactsInput!$N$7+1,6,7.2,8.4,9.6,10.8,12)))/100)),15)/15,MIN(1,(Skills!S13*(1+((Inputs!$B$35+(ArtifactsInput!$M$7-ArtifactsInput!$M$7)*CHOOSE(ArtifactsInput!$N$7+1,6,7.2,8.4,9.6,10.8,12)))/100))/(1/Q760)))),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IFERROR(1/(IF(Inputs!$B$39="pvp",15,MAX(0.1,Skills!D2-IF(TRUE=TRUE,Inputs!$B$33,0)))*(1-IF(AND(ArtifactsInput!$M$27,Inputs!$B$4="Chapter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IFERROR(1/(IF(Inputs!$B$39="pvp",15,MAX(0.1,Skills!D3-IF(TRUE=TRUE,Inputs!$B$33,0)))*(1-IF(AND(ArtifactsInput!$M$27,Inputs!$B$4="Chapter Hunt"),CHOOSE(ArtifactsInput!$N$27+1,20,24,28,32,36,40),0)/100)),0)</f>
        <v/>
      </c>
      <c r="R795">
        <f>IF(AND(Inputs!$B$39&lt;&gt;"pvp",Inputs!$B$44&gt;0),IF(Inputs!$B$44&lt;=0,0,(INT(Inputs!$B$44/(IF(Inputs!$B$39="pvp",15,MAX(0.1,Skills!D3-IF(TRUE=TRUE,Inputs!$B$33,0)))*(1-IF(AND(ArtifactsInput!$M$27,Inputs!$B$4="Chapter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IFERROR(1/(IF(Inputs!$B$39="pvp",15,MAX(0.1,Skills!D4-IF(TRUE=TRUE,Inputs!$B$33,0)))*(1-IF(AND(ArtifactsInput!$M$27,Inputs!$B$4="Chapter Hunt"),CHOOSE(ArtifactsInput!$N$27+1,20,24,28,32,36,40),0)/100)),0)</f>
        <v/>
      </c>
      <c r="R796">
        <f>IF(AND(Inputs!$B$39&lt;&gt;"pvp",Inputs!$B$44&gt;0),IF(Inputs!$B$44&lt;=0,0,(INT(Inputs!$B$44/(IF(Inputs!$B$39="pvp",15,MAX(0.1,Skills!D4-IF(TRUE=TRUE,Inputs!$B$33,0)))*(1-IF(AND(ArtifactsInput!$M$27,Inputs!$B$4="Chapter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IFERROR(1/(IF(Inputs!$B$39="pvp",15,MAX(0.1,Skills!D5-IF(TRUE=TRUE,Inputs!$B$33,0)))*(1-IF(AND(ArtifactsInput!$M$27,Inputs!$B$4="Chapter Hunt"),CHOOSE(ArtifactsInput!$N$27+1,20,24,28,32,36,40),0)/100)),0)</f>
        <v/>
      </c>
      <c r="R797">
        <f>IF(AND(Inputs!$B$39&lt;&gt;"pvp",Inputs!$B$44&gt;0),IF(Inputs!$B$44&lt;=0,0,(INT(Inputs!$B$44/(IF(Inputs!$B$39="pvp",15,MAX(0.1,Skills!D5-IF(TRUE=TRUE,Inputs!$B$33,0)))*(1-IF(AND(ArtifactsInput!$M$27,Inputs!$B$4="Chapter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IFERROR(1/(IF(Inputs!$B$39="pvp",15,MAX(0.1,Skills!D6-IF(TRUE=TRUE,Inputs!$B$33,0)))*(1-IF(AND(ArtifactsInput!$M$27,Inputs!$B$4="Chapter Hunt"),CHOOSE(ArtifactsInput!$N$27+1,20,24,28,32,36,40),0)/100)),0)</f>
        <v/>
      </c>
      <c r="R798">
        <f>IF(AND(Inputs!$B$39&lt;&gt;"pvp",Inputs!$B$44&gt;0),IF(MAX(0,Inputs!$B$44-B832)&lt;=0,0,(INT(MAX(0,Inputs!$B$44-B832)/(IF(Inputs!$B$39="pvp",15,MAX(0.1,Skills!D6-IF(TRUE=TRUE,Inputs!$B$33,0)))*(1-IF(AND(ArtifactsInput!$M$27,Inputs!$B$4="Chapter Hunt"),CHOOSE(ArtifactsInput!$N$27+1,20,24,28,32,36,40),0)/100)))+1)),0)</f>
        <v/>
      </c>
      <c r="S798">
        <f>IF(C798,(H798*N798*IF(AND(Inputs!$B$39&lt;&gt;"pvp",Inputs!$B$44&gt;0),((Skills!F6*((R798-1)*IF(Skills!G6&gt;0,INT(Skills!H6/Skills!G6+0.000000001),1)+IF(Skills!G6&gt;0,INT(MIN(Skills!H6,MAX(0,MAX(0,Inputs!$B$44-B832)-((R798-1)*(IF(Inputs!$B$39="pvp",15,MAX(0.1,Skills!D6-IF(TRUE=TRUE,Inputs!$B$33,0)))*(1-IF(AND(ArtifactsInput!$M$27,Inputs!$B$4="Chapter Hunt"),CHOOSE(ArtifactsInput!$N$27+1,20,24,28,32,36,40),0)/100)))))/Skills!G6+0.000000001),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INT(Skills!H6/Skills!G6+0.000000001),1)+IF(Skills!G6&gt;0,INT(MIN(Skills!H6,MAX(0,MAX(0,Inputs!$B$44-B832)-((R798-1)*(IF(Inputs!$B$39="pvp",15,MAX(0.1,Skills!D6-IF(TRUE=TRUE,Inputs!$B$33,0)))*(1-IF(AND(ArtifactsInput!$M$27,Inputs!$B$4="Chapter Hunt"),CHOOSE(ArtifactsInput!$N$27+1,20,24,28,32,36,40),0)/100)))))/Skills!G6+0.000000001),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IFERROR(1/(IF(Inputs!$B$39="pvp",15,MAX(0.1,Skills!D7-IF(TRUE=TRUE,Inputs!$B$33,0)))*(1-IF(AND(ArtifactsInput!$M$27,Inputs!$B$4="Chapter Hunt"),CHOOSE(ArtifactsInput!$N$27+1,20,24,28,32,36,40),0)/100)),0)</f>
        <v/>
      </c>
      <c r="R799">
        <f>IF(AND(Inputs!$B$39&lt;&gt;"pvp",Inputs!$B$44&gt;0),IF(MAX(0,Inputs!$B$44-B832)&lt;=0,0,(INT(MAX(0,Inputs!$B$44-B832)/(IF(Inputs!$B$39="pvp",15,MAX(0.1,Skills!D7-IF(TRUE=TRUE,Inputs!$B$33,0)))*(1-IF(AND(ArtifactsInput!$M$27,Inputs!$B$4="Chapter Hunt"),CHOOSE(ArtifactsInput!$N$27+1,20,24,28,32,36,40),0)/100)))+1)),0)</f>
        <v/>
      </c>
      <c r="S799">
        <f>IF(C799,H799*N799*IF(AND(Inputs!$B$39&lt;&gt;"pvp",Inputs!$B$44&gt;0),((Skills!F7*((R799-1)*IF(Skills!G7&gt;0,INT(Skills!H7/Skills!G7+0.000000001),1)+IF(Skills!G7&gt;0,INT(MIN(Skills!H7,MAX(0,MAX(0,Inputs!$B$44-B832)-((R799-1)*(IF(Inputs!$B$39="pvp",15,MAX(0.1,Skills!D7-IF(TRUE=TRUE,Inputs!$B$33,0)))*(1-IF(AND(ArtifactsInput!$M$27,Inputs!$B$4="Chapter Hunt"),CHOOSE(ArtifactsInput!$N$27+1,20,24,28,32,36,40),0)/100)))))/Skills!G7+0.000000001),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IFERROR(1/(IF(Inputs!$B$39="pvp",15,MAX(0.1,Skills!D8-IF(TRUE=TRUE,Inputs!$B$33,0)))*(1-IF(AND(ArtifactsInput!$M$27,Inputs!$B$4="Chapter Hunt"),CHOOSE(ArtifactsInput!$N$27+1,20,24,28,32,36,40),0)/100)),0)</f>
        <v/>
      </c>
      <c r="R800">
        <f>IF(AND(Inputs!$B$39&lt;&gt;"pvp",Inputs!$B$44&gt;0),IF(MAX(0,Inputs!$B$44-B832)&lt;=0,0,(INT(MAX(0,Inputs!$B$44-B832)/(IF(Inputs!$B$39="pvp",15,MAX(0.1,Skills!D8-IF(TRUE=TRUE,Inputs!$B$33,0)))*(1-IF(AND(ArtifactsInput!$M$27,Inputs!$B$4="Chapter Hunt"),CHOOSE(ArtifactsInput!$N$27+1,20,24,28,32,36,40),0)/100)))+1)),0)</f>
        <v/>
      </c>
      <c r="S800">
        <f>IF(C800,(H800*N800*IF(AND(Inputs!$B$39&lt;&gt;"pvp",Inputs!$B$44&gt;0),((Skills!F8*((R800-1)*IF(Skills!G8&gt;0,INT(Skills!H8/Skills!G8+0.000000001),1)+IF(Skills!G8&gt;0,INT(MIN(Skills!H8,MAX(0,MAX(0,Inputs!$B$44-B832)-((R800-1)*(IF(Inputs!$B$39="pvp",15,MAX(0.1,Skills!D8-IF(TRUE=TRUE,Inputs!$B$33,0)))*(1-IF(AND(ArtifactsInput!$M$27,Inputs!$B$4="Chapter Hunt"),CHOOSE(ArtifactsInput!$N$27+1,20,24,28,32,36,40),0)/100)))))/Skills!G8+0.000000001),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INT(Skills!H8/Skills!G8+0.000000001),1)+IF(Skills!G8&gt;0,INT(MIN(Skills!H8,MAX(0,MAX(0,Inputs!$B$44-B832)-((R800-1)*(IF(Inputs!$B$39="pvp",15,MAX(0.1,Skills!D8-IF(TRUE=TRUE,Inputs!$B$33,0)))*(1-IF(AND(ArtifactsInput!$M$27,Inputs!$B$4="Chapter Hunt"),CHOOSE(ArtifactsInput!$N$27+1,20,24,28,32,36,40),0)/100)))))/Skills!G8+0.000000001),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IFERROR(1/(IF(Inputs!$B$39="pvp",15,MAX(0.1,Skills!D9-IF(TRUE=TRUE,Inputs!$B$33,0)))*(1-IF(AND(ArtifactsInput!$M$27,Inputs!$B$4="Chapter Hunt"),CHOOSE(ArtifactsInput!$N$27+1,20,24,28,32,36,40),0)/100)),0)</f>
        <v/>
      </c>
      <c r="R801">
        <f>IF(AND(Inputs!$B$39&lt;&gt;"pvp",Inputs!$B$44&gt;0),IF(MAX(0,Inputs!$B$44-B832)&lt;=0,0,(INT(MAX(0,Inputs!$B$44-B832)/(IF(Inputs!$B$39="pvp",15,MAX(0.1,Skills!D9-IF(TRUE=TRUE,Inputs!$B$33,0)))*(1-IF(AND(ArtifactsInput!$M$27,Inputs!$B$4="Chapter Hunt"),CHOOSE(ArtifactsInput!$N$27+1,20,24,28,32,36,40),0)/100)))+1)),0)</f>
        <v/>
      </c>
      <c r="S801">
        <f>IF(C801,(H801*N801*IF(AND(Inputs!$B$39&lt;&gt;"pvp",Inputs!$B$44&gt;0),((Skills!F9*((R801-1)*IF(Skills!G9&gt;0,INT(Skills!H9/Skills!G9+0.000000001),1)+IF(Skills!G9&gt;0,INT(MIN(Skills!H9,MAX(0,MAX(0,Inputs!$B$44-B832)-((R801-1)*(IF(Inputs!$B$39="pvp",15,MAX(0.1,Skills!D9-IF(TRUE=TRUE,Inputs!$B$33,0)))*(1-IF(AND(ArtifactsInput!$M$27,Inputs!$B$4="Chapter Hunt"),CHOOSE(ArtifactsInput!$N$27+1,20,24,28,32,36,40),0)/100)))))/Skills!G9+0.000000001),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INT(Skills!H9/Skills!G9+0.000000001),1)+IF(Skills!G9&gt;0,INT(MIN(Skills!H9,MAX(0,MAX(0,Inputs!$B$44-B832)-((R801-1)*(IF(Inputs!$B$39="pvp",15,MAX(0.1,Skills!D9-IF(TRUE=TRUE,Inputs!$B$33,0)))*(1-IF(AND(ArtifactsInput!$M$27,Inputs!$B$4="Chapter Hunt"),CHOOSE(ArtifactsInput!$N$27+1,20,24,28,32,36,40),0)/100)))))/Skills!G9+0.000000001),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IFERROR(1/(IF(Inputs!$B$39="pvp",15,MAX(0.1,Skills!D10-IF(TRUE=TRUE,Inputs!$B$33,0)))*(1-IF(AND(ArtifactsInput!$M$27,Inputs!$B$4="Chapter Hunt"),CHOOSE(ArtifactsInput!$N$27+1,20,24,28,32,36,40),0)/100)),0)</f>
        <v/>
      </c>
      <c r="R802">
        <f>IF(AND(Inputs!$B$39&lt;&gt;"pvp",Inputs!$B$44&gt;0),IF(MAX(0,Inputs!$B$44-B832)&lt;=0,0,(INT(MAX(0,Inputs!$B$44-B832)/(IF(Inputs!$B$39="pvp",15,MAX(0.1,Skills!D10-IF(TRUE=TRUE,Inputs!$B$33,0)))*(1-IF(AND(ArtifactsInput!$M$27,Inputs!$B$4="Chapter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IFERROR(1/(IF(Inputs!$B$39="pvp",15,MAX(0.1,Skills!D11-IF(TRUE=TRUE,Inputs!$B$33,0)))*(1-IF(AND(ArtifactsInput!$M$27,Inputs!$B$4="Chapter Hunt"),CHOOSE(ArtifactsInput!$N$27+1,20,24,28,32,36,40),0)/100)),0)</f>
        <v/>
      </c>
      <c r="R803">
        <f>IF(AND(Inputs!$B$39&lt;&gt;"pvp",Inputs!$B$44&gt;0),IF(Inputs!$B$44&lt;=0,0,(INT(Inputs!$B$44/(IF(Inputs!$B$39="pvp",15,MAX(0.1,Skills!D11-IF(TRUE=TRUE,Inputs!$B$33,0)))*(1-IF(AND(ArtifactsInput!$M$27,Inputs!$B$4="Chapter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IFERROR(1/(IF(Inputs!$B$39="pvp",15,MAX(0.1,Skills!D12-IF(TRUE=TRUE,Inputs!$B$33,0)))*(1-IF(AND(ArtifactsInput!$M$27,Inputs!$B$4="Chapter Hunt"),CHOOSE(ArtifactsInput!$N$27+1,20,24,28,32,36,40),0)/100)),0)</f>
        <v/>
      </c>
      <c r="R804">
        <f>IF(AND(Inputs!$B$39&lt;&gt;"pvp",Inputs!$B$44&gt;0),IF(MAX(0,Inputs!$B$44-B832)&lt;=0,0,(INT(MAX(0,Inputs!$B$44-B832)/(IF(Inputs!$B$39="pvp",15,MAX(0.1,Skills!D12-IF(TRUE=TRUE,Inputs!$B$33,0)))*(1-IF(AND(ArtifactsInput!$M$27,Inputs!$B$4="Chapter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IFERROR(1/(IF(Inputs!$B$39="pvp",15,MAX(0.1,Skills!D13-IF(TRUE=TRUE,Inputs!$B$33,0)))*(1-IF(AND(ArtifactsInput!$M$27,Inputs!$B$4="Chapter Hunt"),CHOOSE(ArtifactsInput!$N$27+1,20,24,28,32,36,40),0)/100)),0)</f>
        <v/>
      </c>
      <c r="R805">
        <f>IF(AND(Inputs!$B$39&lt;&gt;"pvp",Inputs!$B$44&gt;0),IF(MAX(0,Inputs!$B$44-B832)&lt;=0,0,(INT(MAX(0,Inputs!$B$44-B832)/(IF(Inputs!$B$39="pvp",15,MAX(0.1,Skills!D13-IF(TRUE=TRUE,Inputs!$B$33,0)))*(1-IF(AND(ArtifactsInput!$M$27,Inputs!$B$4="Chapter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IFERROR(1/(IF(Inputs!$B$39="pvp",15,MAX(0.1,Skills!D14-IF(TRUE=TRUE,Inputs!$B$33,0)))*(1-IF(AND(ArtifactsInput!$M$27,Inputs!$B$4="Chapter Hunt"),CHOOSE(ArtifactsInput!$N$27+1,20,24,28,32,36,40),0)/100)),0)</f>
        <v/>
      </c>
      <c r="R806">
        <f>IF(AND(Inputs!$B$39&lt;&gt;"pvp",Inputs!$B$44&gt;0),IF(Inputs!$B$44&lt;=0,0,(INT(Inputs!$B$44/(IF(Inputs!$B$39="pvp",15,MAX(0.1,Skills!D14-IF(TRUE=TRUE,Inputs!$B$33,0)))*(1-IF(AND(ArtifactsInput!$M$27,Inputs!$B$4="Chapter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IFERROR(1/(IF(Inputs!$B$39="pvp",15,MAX(0.1,Skills!D15-IF(TRUE=TRUE,Inputs!$B$33,0)))*(1-IF(AND(ArtifactsInput!$M$27,Inputs!$B$4="Chapter Hunt"),CHOOSE(ArtifactsInput!$N$27+1,20,24,28,32,36,40),0)/100)),0)</f>
        <v/>
      </c>
      <c r="R807" t="n">
        <v>0</v>
      </c>
      <c r="S807">
        <f>IF(C807,(Skills!F15*N807*((IF(Inputs!$B$3&gt;=78,25,15)/100*B828*10)/(1+IF(Inputs!$B$3&gt;=78,25,15)/100*B828*IF(Inputs!$B$39="pvp",15,MAX(0.1,18-IF(TRUE=TRUE,Inputs!$B$33,0)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IF(Inputs!$B$39="pvp",15,MAX(0.1,18-IF(TRUE=TRUE,Inputs!$B$33,0)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IFERROR(1/(IF(Inputs!$B$39="pvp",15,MAX(0.1,Skills!D16-IF(TRUE=TRUE,Inputs!$B$33,0)))*(1-IF(AND(ArtifactsInput!$M$27,Inputs!$B$4="Chapter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IFERROR(1/(IF(Inputs!$B$39="pvp",15,MAX(0.1,Skills!D17-IF(TRUE=TRUE,Inputs!$B$33,0)))*(1-IF(AND(ArtifactsInput!$M$27,Inputs!$B$4="Chapter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IFERROR(1/(IF(Inputs!$B$39="pvp",15,MAX(0.1,Skills!D18-IF(TRUE=TRUE,Inputs!$B$33,0)))*(1-IF(AND(ArtifactsInput!$M$27,Inputs!$B$4="Chapter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IFERROR(1/(IF(Inputs!$B$39="pvp",15,MAX(0.1,Skills!D19-IF(TRUE=TRUE,Inputs!$B$33,0)))*(1-IF(AND(ArtifactsInput!$M$27,Inputs!$B$4="Chapter Hunt"),CHOOSE(ArtifactsInput!$N$27+1,20,24,28,32,36,40),0)/100)),0)</f>
        <v/>
      </c>
      <c r="R811">
        <f>IF(AND(Inputs!$B$39&lt;&gt;"pvp",Inputs!$B$44&gt;0),IF(Inputs!$B$44&lt;=0,0,(INT(Inputs!$B$44/(IF(Inputs!$B$39="pvp",15,MAX(0.1,Skills!D19-IF(TRUE=TRUE,Inputs!$B$33,0)))*(1-IF(AND(ArtifactsInput!$M$27,Inputs!$B$4="Chapter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IFERROR(1/(IF(Inputs!$B$39="pvp",15,MAX(0.1,Skills!D20-IF(TRUE=TRUE,Inputs!$B$33,0)))*(1-IF(AND(ArtifactsInput!$M$27,Inputs!$B$4="Chapter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IFERROR(1/(IF(Inputs!$B$39="pvp",15,MAX(0.1,Skills!D21-IF(TRUE=TRUE,Inputs!$B$33,0)))*(1-IF(AND(ArtifactsInput!$M$27,Inputs!$B$4="Chapter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IFERROR(1/(IF(Inputs!$B$39="pvp",15,MAX(0.1,Skills!D22-IF(TRUE=TRUE,Inputs!$B$33,0)))*(1-IF(AND(ArtifactsInput!$M$27,Inputs!$B$4="Chapter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IFERROR(1/(IF(Inputs!$B$39="pvp",15,MAX(0.1,Skills!D23-IF(TRUE=TRUE,Inputs!$B$33,0)))*(1-IF(AND(ArtifactsInput!$M$27,Inputs!$B$4="Chapter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IFERROR(1/(IF(Inputs!$B$39="pvp",15,MAX(0.1,Skills!D24-IF(TRUE=TRUE,Inputs!$B$33,0)))*(1-IF(AND(ArtifactsInput!$M$27,Inputs!$B$4="Chapter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IFERROR(1/(IF(Inputs!$B$39="pvp",15,MAX(0.1,Skills!D25-IF(TRUE=TRUE,Inputs!$B$33,0)))*(1-IF(AND(ArtifactsInput!$M$27,Inputs!$B$4="Chapter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IFERROR(1/(IF(Inputs!$B$39="pvp",15,MAX(0.1,Skills!D26-IF(TRUE=TRUE,Inputs!$B$33,0)))*(1-IF(AND(ArtifactsInput!$M$27,Inputs!$B$4="Chapter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IFERROR(1/(IF(Inputs!$B$39="pvp",15,MAX(0.1,Skills!D27-IF(TRUE=TRUE,Inputs!$B$33,0)))*(1-IF(AND(ArtifactsInput!$M$27,Inputs!$B$4="Chapter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IFERROR(1/(IF(Inputs!$B$39="pvp",15,MAX(0.1,Skills!D28-IF(TRUE=TRUE,Inputs!$B$33,0)))*(1-IF(AND(ArtifactsInput!$M$27,Inputs!$B$4="Chapter Hunt"),CHOOSE(ArtifactsInput!$N$27+1,20,24,28,32,36,40),0)/100)),0)</f>
        <v/>
      </c>
      <c r="R820">
        <f>IF(AND(Inputs!$B$39&lt;&gt;"pvp",Inputs!$B$44&gt;0),IF(Inputs!$B$44&lt;=0,0,(INT(Inputs!$B$44/(IF(Inputs!$B$39="pvp",15,MAX(0.1,Skills!D28-IF(TRUE=TRUE,Inputs!$B$33,0)))*(1-IF(AND(ArtifactsInput!$M$27,Inputs!$B$4="Chapter Hunt"),CHOOSE(ArtifactsInput!$N$27+1,20,24,28,32,36,40),0)/100)))+1)),0)</f>
        <v/>
      </c>
      <c r="S820" t="n">
        <v>0</v>
      </c>
      <c r="U820" t="n">
        <v>0</v>
      </c>
    </row>
    <row r="822">
      <c r="A822" t="inlineStr">
        <is>
          <t>Average Buff Multiplier</t>
        </is>
      </c>
      <c r="B822">
        <f>(1+(IF(C795=TRUE,F795*IF(AND(Inputs!$B$39&lt;&gt;"pvp",Inputs!$B$44&gt;0),(((R795-1)*MIN((Skills!S3*(1+((Inputs!$B$35+(ArtifactsInput!$M$7-ArtifactsInput!$M$7)*CHOOSE(ArtifactsInput!$N$7+1,6,7.2,8.4,9.6,10.8,12)))/100)),(1/Q795))+MIN((Skills!S3*(1+((Inputs!$B$35+(ArtifactsInput!$M$7-ArtifactsInput!$M$7)*CHOOSE(ArtifactsInput!$N$7+1,6,7.2,8.4,9.6,10.8,12)))/100)),MAX(0,Inputs!$B$44-((R795-1)*(1/Q795)))))/Inputs!$B$44),IF(Inputs!$B$39="pvp",MIN((Skills!S3*(1+((Inputs!$B$35+(ArtifactsInput!$M$7-ArtifactsInput!$M$7)*CHOOSE(ArtifactsInput!$N$7+1,6,7.2,8.4,9.6,10.8,12)))/100)),15)/15,MIN(1,(Skills!S3*(1+((Inputs!$B$35+(ArtifactsInput!$M$7-ArtifactsInput!$M$7)*CHOOSE(ArtifactsInput!$N$7+1,6,7.2,8.4,9.6,10.8,12)))/100))/(1/Q795)))),0)+IF(C796=TRUE,F796*IF(AND(Inputs!$B$39&lt;&gt;"pvp",Inputs!$B$44&gt;0),(((R796-1)*MIN((Skills!S4*(1+((Inputs!$B$35+(ArtifactsInput!$M$7-ArtifactsInput!$M$7)*CHOOSE(ArtifactsInput!$N$7+1,6,7.2,8.4,9.6,10.8,12)))/100)),(1/Q796))+MIN((Skills!S4*(1+((Inputs!$B$35+(ArtifactsInput!$M$7-ArtifactsInput!$M$7)*CHOOSE(ArtifactsInput!$N$7+1,6,7.2,8.4,9.6,10.8,12)))/100)),MAX(0,Inputs!$B$44-((R796-1)*(1/Q796)))))/Inputs!$B$44),IF(Inputs!$B$39="pvp",MIN((Skills!S4*(1+((Inputs!$B$35+(ArtifactsInput!$M$7-ArtifactsInput!$M$7)*CHOOSE(ArtifactsInput!$N$7+1,6,7.2,8.4,9.6,10.8,12)))/100)),15)/15,MIN(1,(Skills!S4*(1+((Inputs!$B$35+(ArtifactsInput!$M$7-ArtifactsInput!$M$7)*CHOOSE(ArtifactsInput!$N$7+1,6,7.2,8.4,9.6,10.8,12)))/100))/(1/Q796)))),0)+IF(C797=TRUE,F797*IF(AND(Inputs!$B$39&lt;&gt;"pvp",Inputs!$B$44&gt;0),(((R797-1)*MIN((Skills!S5*(1+((Inputs!$B$35+(ArtifactsInput!$M$7-ArtifactsInput!$M$7)*CHOOSE(ArtifactsInput!$N$7+1,6,7.2,8.4,9.6,10.8,12)))/100)),(1/Q797))+MIN((Skills!S5*(1+((Inputs!$B$35+(ArtifactsInput!$M$7-ArtifactsInput!$M$7)*CHOOSE(ArtifactsInput!$N$7+1,6,7.2,8.4,9.6,10.8,12)))/100)),MAX(0,Inputs!$B$44-((R797-1)*(1/Q797)))))/Inputs!$B$44),IF(Inputs!$B$39="pvp",MIN((Skills!S5*(1+((Inputs!$B$35+(ArtifactsInput!$M$7-ArtifactsInput!$M$7)*CHOOSE(ArtifactsInput!$N$7+1,6,7.2,8.4,9.6,10.8,12)))/100)),15)/15,MIN(1,(Skills!S5*(1+((Inputs!$B$35+(ArtifactsInput!$M$7-ArtifactsInput!$M$7)*CHOOSE(ArtifactsInput!$N$7+1,6,7.2,8.4,9.6,10.8,12)))/100))/(1/Q797)))),0)+IF(C803=TRUE,F803*IF(AND(Inputs!$B$39&lt;&gt;"pvp",Inputs!$B$44&gt;0),(((R803-1)*MIN((Skills!S11*(1+((Inputs!$B$35+(ArtifactsInput!$M$7-ArtifactsInput!$M$7)*CHOOSE(ArtifactsInput!$N$7+1,6,7.2,8.4,9.6,10.8,12)))/100)),(1/Q803))+MIN((Skills!S11*(1+((Inputs!$B$35+(ArtifactsInput!$M$7-ArtifactsInput!$M$7)*CHOOSE(ArtifactsInput!$N$7+1,6,7.2,8.4,9.6,10.8,12)))/100)),MAX(0,Inputs!$B$44-((R803-1)*(1/Q803)))))/Inputs!$B$44),IF(Inputs!$B$39="pvp",MIN((Skills!S11*(1+((Inputs!$B$35+(ArtifactsInput!$M$7-ArtifactsInput!$M$7)*CHOOSE(ArtifactsInput!$N$7+1,6,7.2,8.4,9.6,10.8,12)))/100)),15)/15,MIN(1,(Skills!S11*(1+((Inputs!$B$35+(ArtifactsInput!$M$7-ArtifactsInput!$M$7)*CHOOSE(ArtifactsInput!$N$7+1,6,7.2,8.4,9.6,10.8,12)))/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MIN((Skills!S14*(1+((Inputs!$B$35+(ArtifactsInput!$M$7-ArtifactsInput!$M$7)*CHOOSE(ArtifactsInput!$N$7+1,6,7.2,8.4,9.6,10.8,12)))/100)),(1/Q806))+MIN((Skills!S14*(1+((Inputs!$B$35+(ArtifactsInput!$M$7-ArtifactsInput!$M$7)*CHOOSE(ArtifactsInput!$N$7+1,6,7.2,8.4,9.6,10.8,12)))/100)),MAX(0,Inputs!$B$44-((R806-1)*(1/Q806)))))/Inputs!$B$44),IF(Inputs!$B$39="pvp",MIN((Skills!S14*(1+((Inputs!$B$35+(ArtifactsInput!$M$7-ArtifactsInput!$M$7)*CHOOSE(ArtifactsInput!$N$7+1,6,7.2,8.4,9.6,10.8,12)))/100)),15)/15,MIN(1,(Skills!S14*(1+((Inputs!$B$35+(ArtifactsInput!$M$7-ArtifactsInput!$M$7)*CHOOSE(ArtifactsInput!$N$7+1,6,7.2,8.4,9.6,10.8,12)))/100))/(1/Q806))))/100),1)*IF(C811=TRUE,(1+F811*IF(AND(Inputs!$B$39&lt;&gt;"pvp",Inputs!$B$44&gt;0),(((R811-1)*MIN((Skills!S19*(1+((Inputs!$B$35+(ArtifactsInput!$M$7-ArtifactsInput!$M$7)*CHOOSE(ArtifactsInput!$N$7+1,6,7.2,8.4,9.6,10.8,12)))/100)),(1/Q811))+MIN((Skills!S19*(1+((Inputs!$B$35+(ArtifactsInput!$M$7-ArtifactsInput!$M$7)*CHOOSE(ArtifactsInput!$N$7+1,6,7.2,8.4,9.6,10.8,12)))/100)),MAX(0,Inputs!$B$44-((R811-1)*(1/Q811)))))/Inputs!$B$44),IF(Inputs!$B$39="pvp",MIN((Skills!S19*(1+((Inputs!$B$35+(ArtifactsInput!$M$7-ArtifactsInput!$M$7)*CHOOSE(ArtifactsInput!$N$7+1,6,7.2,8.4,9.6,10.8,12)))/100)),15)/15,MIN(1,(Skills!S19*(1+((Inputs!$B$35+(ArtifactsInput!$M$7-ArtifactsInput!$M$7)*CHOOSE(ArtifactsInput!$N$7+1,6,7.2,8.4,9.6,10.8,12)))/100))/(1/Q811))))/100),1)</f>
        <v/>
      </c>
    </row>
    <row r="823">
      <c r="A823" t="inlineStr">
        <is>
          <t>Monster Damage Taken Bonus % (Holy Fountain)</t>
        </is>
      </c>
      <c r="B823">
        <f>IF(Inputs!$B$3&gt;=68,20*IF(Inputs!$B$39="pvp",MIN((15*(1+((Inputs!$B$35+(ArtifactsInput!$M$7-ArtifactsInput!$M$7)*CHOOSE(ArtifactsInput!$N$7+1,6,7.2,8.4,9.6,10.8,12)))/100)),15)/15,MIN(1,(15*(1+((Inputs!$B$35+(ArtifactsInput!$M$7-ArtifactsInput!$M$7)*CHOOSE(ArtifactsInput!$N$7+1,6,7.2,8.4,9.6,10.8,12)))/100))/(1/Q802))),0)</f>
        <v/>
      </c>
    </row>
    <row r="824">
      <c r="A824" t="inlineStr">
        <is>
          <t>Normal Monster Damage Bonus % (Holy Symbol)</t>
        </is>
      </c>
      <c r="B824">
        <f>IF(C804=TRUE,F804*IF(AND(Inputs!$B$39&lt;&gt;"pvp",Inputs!$B$44&gt;0),(((R804-1)*MIN((Skills!S12*(1+((Inputs!$B$35+(ArtifactsInput!$M$7-ArtifactsInput!$M$7)*CHOOSE(ArtifactsInput!$N$7+1,6,7.2,8.4,9.6,10.8,12)))/100)),(1/Q804))+MIN((Skills!S12*(1+((Inputs!$B$35+(ArtifactsInput!$M$7-ArtifactsInput!$M$7)*CHOOSE(ArtifactsInput!$N$7+1,6,7.2,8.4,9.6,10.8,12)))/100)),MAX(0,Inputs!$B$44-((R804-1)*(1/Q804)))))/Inputs!$B$44),IF(Inputs!$B$39="pvp",MIN((Skills!S12*(1+((Inputs!$B$35+(ArtifactsInput!$M$7-ArtifactsInput!$M$7)*CHOOSE(ArtifactsInput!$N$7+1,6,7.2,8.4,9.6,10.8,12)))/100)),15)/15,MIN(1,(Skills!S12*(1+((Inputs!$B$35+(ArtifactsInput!$M$7-ArtifactsInput!$M$7)*CHOOSE(ArtifactsInput!$N$7+1,6,7.2,8.4,9.6,10.8,12)))/100))/(1/Q804)))),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MIN((Skills!S28*(1+((Inputs!$B$35+(ArtifactsInput!$M$7-ArtifactsInput!$M$7)*CHOOSE(ArtifactsInput!$N$7+1,6,7.2,8.4,9.6,10.8,12)))/100)),(1/Q820))+MIN((Skills!S28*(1+((Inputs!$B$35+(ArtifactsInput!$M$7-ArtifactsInput!$M$7)*CHOOSE(ArtifactsInput!$N$7+1,6,7.2,8.4,9.6,10.8,12)))/100)),MAX(0,Inputs!$B$44-((R820-1)*(1/Q820)))))/Inputs!$B$44),IF(Inputs!$B$39="pvp",MIN((Skills!S28*(1+((Inputs!$B$35+(ArtifactsInput!$M$7-ArtifactsInput!$M$7)*CHOOSE(ArtifactsInput!$N$7+1,6,7.2,8.4,9.6,10.8,12)))/100)),15)/15,MIN(1,(Skills!S28*(1+((Inputs!$B$35+(ArtifactsInput!$M$7-ArtifactsInput!$M$7)*CHOOSE(ArtifactsInput!$N$7+1,6,7.2,8.4,9.6,10.8,12)))/100))/(1/Q820)))))</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MIN((Skills!S13*(1+((Inputs!$B$35+(ArtifactsInput!$M$7-ArtifactsInput!$M$7)*CHOOSE(ArtifactsInput!$N$7+1,6,7.2,8.4,9.6,10.8,12)))/100)),(1/Q805))+MIN((Skills!S13*(1+((Inputs!$B$35+(ArtifactsInput!$M$7-ArtifactsInput!$M$7)*CHOOSE(ArtifactsInput!$N$7+1,6,7.2,8.4,9.6,10.8,12)))/100)),MAX(0,Inputs!$B$44-((R805-1)*(1/Q805)))))/Inputs!$B$44),IF(Inputs!$B$39="pvp",MIN((Skills!S13*(1+((Inputs!$B$35+(ArtifactsInput!$M$7-ArtifactsInput!$M$7)*CHOOSE(ArtifactsInput!$N$7+1,6,7.2,8.4,9.6,10.8,12)))/100)),15)/15,MIN(1,(Skills!S13*(1+((Inputs!$B$35+(ArtifactsInput!$M$7-ArtifactsInput!$M$7)*CHOOSE(ArtifactsInput!$N$7+1,6,7.2,8.4,9.6,10.8,12)))/100))/(1/Q805)))),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IFERROR(1/(IF(Inputs!$B$39="pvp",15,MAX(0.1,Skills!D2-IF(TRUE=TRUE,Inputs!$B$33,0)))*(1-IF(AND(ArtifactsInput!$M$27,Inputs!$B$4="Chapter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IFERROR(1/(IF(Inputs!$B$39="pvp",15,MAX(0.1,Skills!D3-IF(TRUE=TRUE,Inputs!$B$33,0)))*(1-IF(AND(ArtifactsInput!$M$27,Inputs!$B$4="Chapter Hunt"),CHOOSE(ArtifactsInput!$N$27+1,20,24,28,32,36,40),0)/100)),0)</f>
        <v/>
      </c>
      <c r="R840">
        <f>IF(AND(Inputs!$B$39&lt;&gt;"pvp",Inputs!$B$44&gt;0),IF(Inputs!$B$44&lt;=0,0,(INT(Inputs!$B$44/(IF(Inputs!$B$39="pvp",15,MAX(0.1,Skills!D3-IF(TRUE=TRUE,Inputs!$B$33,0)))*(1-IF(AND(ArtifactsInput!$M$27,Inputs!$B$4="Chapter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IFERROR(1/(IF(Inputs!$B$39="pvp",15,MAX(0.1,Skills!D4-IF(TRUE=TRUE,Inputs!$B$33,0)))*(1-IF(AND(ArtifactsInput!$M$27,Inputs!$B$4="Chapter Hunt"),CHOOSE(ArtifactsInput!$N$27+1,20,24,28,32,36,40),0)/100)),0)</f>
        <v/>
      </c>
      <c r="R841">
        <f>IF(AND(Inputs!$B$39&lt;&gt;"pvp",Inputs!$B$44&gt;0),IF(Inputs!$B$44&lt;=0,0,(INT(Inputs!$B$44/(IF(Inputs!$B$39="pvp",15,MAX(0.1,Skills!D4-IF(TRUE=TRUE,Inputs!$B$33,0)))*(1-IF(AND(ArtifactsInput!$M$27,Inputs!$B$4="Chapter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IFERROR(1/(IF(Inputs!$B$39="pvp",15,MAX(0.1,Skills!D5-IF(TRUE=TRUE,Inputs!$B$33,0)))*(1-IF(AND(ArtifactsInput!$M$27,Inputs!$B$4="Chapter Hunt"),CHOOSE(ArtifactsInput!$N$27+1,20,24,28,32,36,40),0)/100)),0)</f>
        <v/>
      </c>
      <c r="R842">
        <f>IF(AND(Inputs!$B$39&lt;&gt;"pvp",Inputs!$B$44&gt;0),IF(Inputs!$B$44&lt;=0,0,(INT(Inputs!$B$44/(IF(Inputs!$B$39="pvp",15,MAX(0.1,Skills!D5-IF(TRUE=TRUE,Inputs!$B$33,0)))*(1-IF(AND(ArtifactsInput!$M$27,Inputs!$B$4="Chapter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IFERROR(1/(IF(Inputs!$B$39="pvp",15,MAX(0.1,Skills!D6-IF(TRUE=TRUE,Inputs!$B$33,0)))*(1-IF(AND(ArtifactsInput!$M$27,Inputs!$B$4="Chapter Hunt"),CHOOSE(ArtifactsInput!$N$27+1,20,24,28,32,36,40),0)/100)),0)</f>
        <v/>
      </c>
      <c r="R843">
        <f>IF(AND(Inputs!$B$39&lt;&gt;"pvp",Inputs!$B$44&gt;0),IF(MAX(0,Inputs!$B$44-B877)&lt;=0,0,(INT(MAX(0,Inputs!$B$44-B877)/(IF(Inputs!$B$39="pvp",15,MAX(0.1,Skills!D6-IF(TRUE=TRUE,Inputs!$B$33,0)))*(1-IF(AND(ArtifactsInput!$M$27,Inputs!$B$4="Chapter Hunt"),CHOOSE(ArtifactsInput!$N$27+1,20,24,28,32,36,40),0)/100)))+1)),0)</f>
        <v/>
      </c>
      <c r="S843">
        <f>IF(C843,(H843*N843*IF(AND(Inputs!$B$39&lt;&gt;"pvp",Inputs!$B$44&gt;0),((Skills!F6*((R843-1)*IF(Skills!G6&gt;0,INT(Skills!H6/Skills!G6+0.000000001),1)+IF(Skills!G6&gt;0,INT(MIN(Skills!H6,MAX(0,MAX(0,Inputs!$B$44-B877)-((R843-1)*(IF(Inputs!$B$39="pvp",15,MAX(0.1,Skills!D6-IF(TRUE=TRUE,Inputs!$B$33,0)))*(1-IF(AND(ArtifactsInput!$M$27,Inputs!$B$4="Chapter Hunt"),CHOOSE(ArtifactsInput!$N$27+1,20,24,28,32,36,40),0)/100)))))/Skills!G6+0.000000001),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INT(Skills!H6/Skills!G6+0.000000001),1)+IF(Skills!G6&gt;0,INT(MIN(Skills!H6,MAX(0,MAX(0,Inputs!$B$44-B877)-((R843-1)*(IF(Inputs!$B$39="pvp",15,MAX(0.1,Skills!D6-IF(TRUE=TRUE,Inputs!$B$33,0)))*(1-IF(AND(ArtifactsInput!$M$27,Inputs!$B$4="Chapter Hunt"),CHOOSE(ArtifactsInput!$N$27+1,20,24,28,32,36,40),0)/100)))))/Skills!G6+0.000000001),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IFERROR(1/(IF(Inputs!$B$39="pvp",15,MAX(0.1,Skills!D7-IF(TRUE=TRUE,Inputs!$B$33,0)))*(1-IF(AND(ArtifactsInput!$M$27,Inputs!$B$4="Chapter Hunt"),CHOOSE(ArtifactsInput!$N$27+1,20,24,28,32,36,40),0)/100)),0)</f>
        <v/>
      </c>
      <c r="R844">
        <f>IF(AND(Inputs!$B$39&lt;&gt;"pvp",Inputs!$B$44&gt;0),IF(MAX(0,Inputs!$B$44-B877)&lt;=0,0,(INT(MAX(0,Inputs!$B$44-B877)/(IF(Inputs!$B$39="pvp",15,MAX(0.1,Skills!D7-IF(TRUE=TRUE,Inputs!$B$33,0)))*(1-IF(AND(ArtifactsInput!$M$27,Inputs!$B$4="Chapter Hunt"),CHOOSE(ArtifactsInput!$N$27+1,20,24,28,32,36,40),0)/100)))+1)),0)</f>
        <v/>
      </c>
      <c r="S844">
        <f>IF(C844,H844*N844*IF(AND(Inputs!$B$39&lt;&gt;"pvp",Inputs!$B$44&gt;0),((Skills!F7*((R844-1)*IF(Skills!G7&gt;0,INT(Skills!H7/Skills!G7+0.000000001),1)+IF(Skills!G7&gt;0,INT(MIN(Skills!H7,MAX(0,MAX(0,Inputs!$B$44-B877)-((R844-1)*(IF(Inputs!$B$39="pvp",15,MAX(0.1,Skills!D7-IF(TRUE=TRUE,Inputs!$B$33,0)))*(1-IF(AND(ArtifactsInput!$M$27,Inputs!$B$4="Chapter Hunt"),CHOOSE(ArtifactsInput!$N$27+1,20,24,28,32,36,40),0)/100)))))/Skills!G7+0.000000001),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IFERROR(1/(IF(Inputs!$B$39="pvp",15,MAX(0.1,Skills!D8-IF(TRUE=TRUE,Inputs!$B$33,0)))*(1-IF(AND(ArtifactsInput!$M$27,Inputs!$B$4="Chapter Hunt"),CHOOSE(ArtifactsInput!$N$27+1,20,24,28,32,36,40),0)/100)),0)</f>
        <v/>
      </c>
      <c r="R845">
        <f>IF(AND(Inputs!$B$39&lt;&gt;"pvp",Inputs!$B$44&gt;0),IF(MAX(0,Inputs!$B$44-B877)&lt;=0,0,(INT(MAX(0,Inputs!$B$44-B877)/(IF(Inputs!$B$39="pvp",15,MAX(0.1,Skills!D8-IF(TRUE=TRUE,Inputs!$B$33,0)))*(1-IF(AND(ArtifactsInput!$M$27,Inputs!$B$4="Chapter Hunt"),CHOOSE(ArtifactsInput!$N$27+1,20,24,28,32,36,40),0)/100)))+1)),0)</f>
        <v/>
      </c>
      <c r="S845">
        <f>IF(C845,(H845*N845*IF(AND(Inputs!$B$39&lt;&gt;"pvp",Inputs!$B$44&gt;0),((Skills!F8*((R845-1)*IF(Skills!G8&gt;0,INT(Skills!H8/Skills!G8+0.000000001),1)+IF(Skills!G8&gt;0,INT(MIN(Skills!H8,MAX(0,MAX(0,Inputs!$B$44-B877)-((R845-1)*(IF(Inputs!$B$39="pvp",15,MAX(0.1,Skills!D8-IF(TRUE=TRUE,Inputs!$B$33,0)))*(1-IF(AND(ArtifactsInput!$M$27,Inputs!$B$4="Chapter Hunt"),CHOOSE(ArtifactsInput!$N$27+1,20,24,28,32,36,40),0)/100)))))/Skills!G8+0.000000001),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INT(Skills!H8/Skills!G8+0.000000001),1)+IF(Skills!G8&gt;0,INT(MIN(Skills!H8,MAX(0,MAX(0,Inputs!$B$44-B877)-((R845-1)*(IF(Inputs!$B$39="pvp",15,MAX(0.1,Skills!D8-IF(TRUE=TRUE,Inputs!$B$33,0)))*(1-IF(AND(ArtifactsInput!$M$27,Inputs!$B$4="Chapter Hunt"),CHOOSE(ArtifactsInput!$N$27+1,20,24,28,32,36,40),0)/100)))))/Skills!G8+0.000000001),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IFERROR(1/(IF(Inputs!$B$39="pvp",15,MAX(0.1,Skills!D9-IF(TRUE=TRUE,Inputs!$B$33,0)))*(1-IF(AND(ArtifactsInput!$M$27,Inputs!$B$4="Chapter Hunt"),CHOOSE(ArtifactsInput!$N$27+1,20,24,28,32,36,40),0)/100)),0)</f>
        <v/>
      </c>
      <c r="R846">
        <f>IF(AND(Inputs!$B$39&lt;&gt;"pvp",Inputs!$B$44&gt;0),IF(MAX(0,Inputs!$B$44-B877)&lt;=0,0,(INT(MAX(0,Inputs!$B$44-B877)/(IF(Inputs!$B$39="pvp",15,MAX(0.1,Skills!D9-IF(TRUE=TRUE,Inputs!$B$33,0)))*(1-IF(AND(ArtifactsInput!$M$27,Inputs!$B$4="Chapter Hunt"),CHOOSE(ArtifactsInput!$N$27+1,20,24,28,32,36,40),0)/100)))+1)),0)</f>
        <v/>
      </c>
      <c r="S846">
        <f>IF(C846,(H846*N846*IF(AND(Inputs!$B$39&lt;&gt;"pvp",Inputs!$B$44&gt;0),((Skills!F9*((R846-1)*IF(Skills!G9&gt;0,INT(Skills!H9/Skills!G9+0.000000001),1)+IF(Skills!G9&gt;0,INT(MIN(Skills!H9,MAX(0,MAX(0,Inputs!$B$44-B877)-((R846-1)*(IF(Inputs!$B$39="pvp",15,MAX(0.1,Skills!D9-IF(TRUE=TRUE,Inputs!$B$33,0)))*(1-IF(AND(ArtifactsInput!$M$27,Inputs!$B$4="Chapter Hunt"),CHOOSE(ArtifactsInput!$N$27+1,20,24,28,32,36,40),0)/100)))))/Skills!G9+0.000000001),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INT(Skills!H9/Skills!G9+0.000000001),1)+IF(Skills!G9&gt;0,INT(MIN(Skills!H9,MAX(0,MAX(0,Inputs!$B$44-B877)-((R846-1)*(IF(Inputs!$B$39="pvp",15,MAX(0.1,Skills!D9-IF(TRUE=TRUE,Inputs!$B$33,0)))*(1-IF(AND(ArtifactsInput!$M$27,Inputs!$B$4="Chapter Hunt"),CHOOSE(ArtifactsInput!$N$27+1,20,24,28,32,36,40),0)/100)))))/Skills!G9+0.000000001),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IFERROR(1/(IF(Inputs!$B$39="pvp",15,MAX(0.1,Skills!D10-IF(TRUE=TRUE,Inputs!$B$33,0)))*(1-IF(AND(ArtifactsInput!$M$27,Inputs!$B$4="Chapter Hunt"),CHOOSE(ArtifactsInput!$N$27+1,20,24,28,32,36,40),0)/100)),0)</f>
        <v/>
      </c>
      <c r="R847">
        <f>IF(AND(Inputs!$B$39&lt;&gt;"pvp",Inputs!$B$44&gt;0),IF(MAX(0,Inputs!$B$44-B877)&lt;=0,0,(INT(MAX(0,Inputs!$B$44-B877)/(IF(Inputs!$B$39="pvp",15,MAX(0.1,Skills!D10-IF(TRUE=TRUE,Inputs!$B$33,0)))*(1-IF(AND(ArtifactsInput!$M$27,Inputs!$B$4="Chapter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IFERROR(1/(IF(Inputs!$B$39="pvp",15,MAX(0.1,Skills!D11-IF(TRUE=TRUE,Inputs!$B$33,0)))*(1-IF(AND(ArtifactsInput!$M$27,Inputs!$B$4="Chapter Hunt"),CHOOSE(ArtifactsInput!$N$27+1,20,24,28,32,36,40),0)/100)),0)</f>
        <v/>
      </c>
      <c r="R848">
        <f>IF(AND(Inputs!$B$39&lt;&gt;"pvp",Inputs!$B$44&gt;0),IF(Inputs!$B$44&lt;=0,0,(INT(Inputs!$B$44/(IF(Inputs!$B$39="pvp",15,MAX(0.1,Skills!D11-IF(TRUE=TRUE,Inputs!$B$33,0)))*(1-IF(AND(ArtifactsInput!$M$27,Inputs!$B$4="Chapter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IFERROR(1/(IF(Inputs!$B$39="pvp",15,MAX(0.1,Skills!D12-IF(TRUE=TRUE,Inputs!$B$33,0)))*(1-IF(AND(ArtifactsInput!$M$27,Inputs!$B$4="Chapter Hunt"),CHOOSE(ArtifactsInput!$N$27+1,20,24,28,32,36,40),0)/100)),0)</f>
        <v/>
      </c>
      <c r="R849">
        <f>IF(AND(Inputs!$B$39&lt;&gt;"pvp",Inputs!$B$44&gt;0),IF(MAX(0,Inputs!$B$44-B877)&lt;=0,0,(INT(MAX(0,Inputs!$B$44-B877)/(IF(Inputs!$B$39="pvp",15,MAX(0.1,Skills!D12-IF(TRUE=TRUE,Inputs!$B$33,0)))*(1-IF(AND(ArtifactsInput!$M$27,Inputs!$B$4="Chapter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IFERROR(1/(IF(Inputs!$B$39="pvp",15,MAX(0.1,Skills!D13-IF(TRUE=TRUE,Inputs!$B$33,0)))*(1-IF(AND(ArtifactsInput!$M$27,Inputs!$B$4="Chapter Hunt"),CHOOSE(ArtifactsInput!$N$27+1,20,24,28,32,36,40),0)/100)),0)</f>
        <v/>
      </c>
      <c r="R850">
        <f>IF(AND(Inputs!$B$39&lt;&gt;"pvp",Inputs!$B$44&gt;0),IF(MAX(0,Inputs!$B$44-B877)&lt;=0,0,(INT(MAX(0,Inputs!$B$44-B877)/(IF(Inputs!$B$39="pvp",15,MAX(0.1,Skills!D13-IF(TRUE=TRUE,Inputs!$B$33,0)))*(1-IF(AND(ArtifactsInput!$M$27,Inputs!$B$4="Chapter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IFERROR(1/(IF(Inputs!$B$39="pvp",15,MAX(0.1,Skills!D14-IF(TRUE=TRUE,Inputs!$B$33,0)))*(1-IF(AND(ArtifactsInput!$M$27,Inputs!$B$4="Chapter Hunt"),CHOOSE(ArtifactsInput!$N$27+1,20,24,28,32,36,40),0)/100)),0)</f>
        <v/>
      </c>
      <c r="R851">
        <f>IF(AND(Inputs!$B$39&lt;&gt;"pvp",Inputs!$B$44&gt;0),IF(Inputs!$B$44&lt;=0,0,(INT(Inputs!$B$44/(IF(Inputs!$B$39="pvp",15,MAX(0.1,Skills!D14-IF(TRUE=TRUE,Inputs!$B$33,0)))*(1-IF(AND(ArtifactsInput!$M$27,Inputs!$B$4="Chapter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IFERROR(1/(IF(Inputs!$B$39="pvp",15,MAX(0.1,Skills!D15-IF(TRUE=TRUE,Inputs!$B$33,0)))*(1-IF(AND(ArtifactsInput!$M$27,Inputs!$B$4="Chapter Hunt"),CHOOSE(ArtifactsInput!$N$27+1,20,24,28,32,36,40),0)/100)),0)</f>
        <v/>
      </c>
      <c r="R852" t="n">
        <v>0</v>
      </c>
      <c r="S852">
        <f>IF(C852,(Skills!F15*N852*((IF(Inputs!$B$3&gt;=78,25,15)/100*B873*10)/(1+IF(Inputs!$B$3&gt;=78,25,15)/100*B873*IF(Inputs!$B$39="pvp",15,MAX(0.1,18-IF(TRUE=TRUE,Inputs!$B$33,0)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IF(Inputs!$B$39="pvp",15,MAX(0.1,18-IF(TRUE=TRUE,Inputs!$B$33,0)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IFERROR(1/(IF(Inputs!$B$39="pvp",15,MAX(0.1,Skills!D16-IF(TRUE=TRUE,Inputs!$B$33,0)))*(1-IF(AND(ArtifactsInput!$M$27,Inputs!$B$4="Chapter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IFERROR(1/(IF(Inputs!$B$39="pvp",15,MAX(0.1,Skills!D17-IF(TRUE=TRUE,Inputs!$B$33,0)))*(1-IF(AND(ArtifactsInput!$M$27,Inputs!$B$4="Chapter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IFERROR(1/(IF(Inputs!$B$39="pvp",15,MAX(0.1,Skills!D18-IF(TRUE=TRUE,Inputs!$B$33,0)))*(1-IF(AND(ArtifactsInput!$M$27,Inputs!$B$4="Chapter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IFERROR(1/(IF(Inputs!$B$39="pvp",15,MAX(0.1,Skills!D19-IF(TRUE=TRUE,Inputs!$B$33,0)))*(1-IF(AND(ArtifactsInput!$M$27,Inputs!$B$4="Chapter Hunt"),CHOOSE(ArtifactsInput!$N$27+1,20,24,28,32,36,40),0)/100)),0)</f>
        <v/>
      </c>
      <c r="R856">
        <f>IF(AND(Inputs!$B$39&lt;&gt;"pvp",Inputs!$B$44&gt;0),IF(Inputs!$B$44&lt;=0,0,(INT(Inputs!$B$44/(IF(Inputs!$B$39="pvp",15,MAX(0.1,Skills!D19-IF(TRUE=TRUE,Inputs!$B$33,0)))*(1-IF(AND(ArtifactsInput!$M$27,Inputs!$B$4="Chapter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IFERROR(1/(IF(Inputs!$B$39="pvp",15,MAX(0.1,Skills!D20-IF(TRUE=TRUE,Inputs!$B$33,0)))*(1-IF(AND(ArtifactsInput!$M$27,Inputs!$B$4="Chapter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IFERROR(1/(IF(Inputs!$B$39="pvp",15,MAX(0.1,Skills!D21-IF(TRUE=TRUE,Inputs!$B$33,0)))*(1-IF(AND(ArtifactsInput!$M$27,Inputs!$B$4="Chapter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IFERROR(1/(IF(Inputs!$B$39="pvp",15,MAX(0.1,Skills!D22-IF(TRUE=TRUE,Inputs!$B$33,0)))*(1-IF(AND(ArtifactsInput!$M$27,Inputs!$B$4="Chapter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IFERROR(1/(IF(Inputs!$B$39="pvp",15,MAX(0.1,Skills!D23-IF(TRUE=TRUE,Inputs!$B$33,0)))*(1-IF(AND(ArtifactsInput!$M$27,Inputs!$B$4="Chapter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IFERROR(1/(IF(Inputs!$B$39="pvp",15,MAX(0.1,Skills!D24-IF(TRUE=TRUE,Inputs!$B$33,0)))*(1-IF(AND(ArtifactsInput!$M$27,Inputs!$B$4="Chapter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IFERROR(1/(IF(Inputs!$B$39="pvp",15,MAX(0.1,Skills!D25-IF(TRUE=TRUE,Inputs!$B$33,0)))*(1-IF(AND(ArtifactsInput!$M$27,Inputs!$B$4="Chapter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IFERROR(1/(IF(Inputs!$B$39="pvp",15,MAX(0.1,Skills!D26-IF(TRUE=TRUE,Inputs!$B$33,0)))*(1-IF(AND(ArtifactsInput!$M$27,Inputs!$B$4="Chapter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IFERROR(1/(IF(Inputs!$B$39="pvp",15,MAX(0.1,Skills!D27-IF(TRUE=TRUE,Inputs!$B$33,0)))*(1-IF(AND(ArtifactsInput!$M$27,Inputs!$B$4="Chapter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IFERROR(1/(IF(Inputs!$B$39="pvp",15,MAX(0.1,Skills!D28-IF(TRUE=TRUE,Inputs!$B$33,0)))*(1-IF(AND(ArtifactsInput!$M$27,Inputs!$B$4="Chapter Hunt"),CHOOSE(ArtifactsInput!$N$27+1,20,24,28,32,36,40),0)/100)),0)</f>
        <v/>
      </c>
      <c r="R865">
        <f>IF(AND(Inputs!$B$39&lt;&gt;"pvp",Inputs!$B$44&gt;0),IF(Inputs!$B$44&lt;=0,0,(INT(Inputs!$B$44/(IF(Inputs!$B$39="pvp",15,MAX(0.1,Skills!D28-IF(TRUE=TRUE,Inputs!$B$33,0)))*(1-IF(AND(ArtifactsInput!$M$27,Inputs!$B$4="Chapter Hunt"),CHOOSE(ArtifactsInput!$N$27+1,20,24,28,32,36,40),0)/100)))+1)),0)</f>
        <v/>
      </c>
      <c r="S865" t="n">
        <v>0</v>
      </c>
      <c r="U865" t="n">
        <v>0</v>
      </c>
    </row>
    <row r="867">
      <c r="A867" t="inlineStr">
        <is>
          <t>Average Buff Multiplier</t>
        </is>
      </c>
      <c r="B867">
        <f>(1+(IF(C840=TRUE,F840*IF(AND(Inputs!$B$39&lt;&gt;"pvp",Inputs!$B$44&gt;0),(((R840-1)*MIN((Skills!S3*(1+((Inputs!$B$35+(ArtifactsInput!$M$7-ArtifactsInput!$M$7)*CHOOSE(ArtifactsInput!$N$7+1,6,7.2,8.4,9.6,10.8,12)))/100)),(1/Q840))+MIN((Skills!S3*(1+((Inputs!$B$35+(ArtifactsInput!$M$7-ArtifactsInput!$M$7)*CHOOSE(ArtifactsInput!$N$7+1,6,7.2,8.4,9.6,10.8,12)))/100)),MAX(0,Inputs!$B$44-((R840-1)*(1/Q840)))))/Inputs!$B$44),IF(Inputs!$B$39="pvp",MIN((Skills!S3*(1+((Inputs!$B$35+(ArtifactsInput!$M$7-ArtifactsInput!$M$7)*CHOOSE(ArtifactsInput!$N$7+1,6,7.2,8.4,9.6,10.8,12)))/100)),15)/15,MIN(1,(Skills!S3*(1+((Inputs!$B$35+(ArtifactsInput!$M$7-ArtifactsInput!$M$7)*CHOOSE(ArtifactsInput!$N$7+1,6,7.2,8.4,9.6,10.8,12)))/100))/(1/Q840)))),0)+IF(C841=TRUE,F841*IF(AND(Inputs!$B$39&lt;&gt;"pvp",Inputs!$B$44&gt;0),(((R841-1)*MIN((Skills!S4*(1+((Inputs!$B$35+(ArtifactsInput!$M$7-ArtifactsInput!$M$7)*CHOOSE(ArtifactsInput!$N$7+1,6,7.2,8.4,9.6,10.8,12)))/100)),(1/Q841))+MIN((Skills!S4*(1+((Inputs!$B$35+(ArtifactsInput!$M$7-ArtifactsInput!$M$7)*CHOOSE(ArtifactsInput!$N$7+1,6,7.2,8.4,9.6,10.8,12)))/100)),MAX(0,Inputs!$B$44-((R841-1)*(1/Q841)))))/Inputs!$B$44),IF(Inputs!$B$39="pvp",MIN((Skills!S4*(1+((Inputs!$B$35+(ArtifactsInput!$M$7-ArtifactsInput!$M$7)*CHOOSE(ArtifactsInput!$N$7+1,6,7.2,8.4,9.6,10.8,12)))/100)),15)/15,MIN(1,(Skills!S4*(1+((Inputs!$B$35+(ArtifactsInput!$M$7-ArtifactsInput!$M$7)*CHOOSE(ArtifactsInput!$N$7+1,6,7.2,8.4,9.6,10.8,12)))/100))/(1/Q841)))),0)+IF(C842=TRUE,F842*IF(AND(Inputs!$B$39&lt;&gt;"pvp",Inputs!$B$44&gt;0),(((R842-1)*MIN((Skills!S5*(1+((Inputs!$B$35+(ArtifactsInput!$M$7-ArtifactsInput!$M$7)*CHOOSE(ArtifactsInput!$N$7+1,6,7.2,8.4,9.6,10.8,12)))/100)),(1/Q842))+MIN((Skills!S5*(1+((Inputs!$B$35+(ArtifactsInput!$M$7-ArtifactsInput!$M$7)*CHOOSE(ArtifactsInput!$N$7+1,6,7.2,8.4,9.6,10.8,12)))/100)),MAX(0,Inputs!$B$44-((R842-1)*(1/Q842)))))/Inputs!$B$44),IF(Inputs!$B$39="pvp",MIN((Skills!S5*(1+((Inputs!$B$35+(ArtifactsInput!$M$7-ArtifactsInput!$M$7)*CHOOSE(ArtifactsInput!$N$7+1,6,7.2,8.4,9.6,10.8,12)))/100)),15)/15,MIN(1,(Skills!S5*(1+((Inputs!$B$35+(ArtifactsInput!$M$7-ArtifactsInput!$M$7)*CHOOSE(ArtifactsInput!$N$7+1,6,7.2,8.4,9.6,10.8,12)))/100))/(1/Q842)))),0)+IF(C848=TRUE,F848*IF(AND(Inputs!$B$39&lt;&gt;"pvp",Inputs!$B$44&gt;0),(((R848-1)*MIN((Skills!S11*(1+((Inputs!$B$35+(ArtifactsInput!$M$7-ArtifactsInput!$M$7)*CHOOSE(ArtifactsInput!$N$7+1,6,7.2,8.4,9.6,10.8,12)))/100)),(1/Q848))+MIN((Skills!S11*(1+((Inputs!$B$35+(ArtifactsInput!$M$7-ArtifactsInput!$M$7)*CHOOSE(ArtifactsInput!$N$7+1,6,7.2,8.4,9.6,10.8,12)))/100)),MAX(0,Inputs!$B$44-((R848-1)*(1/Q848)))))/Inputs!$B$44),IF(Inputs!$B$39="pvp",MIN((Skills!S11*(1+((Inputs!$B$35+(ArtifactsInput!$M$7-ArtifactsInput!$M$7)*CHOOSE(ArtifactsInput!$N$7+1,6,7.2,8.4,9.6,10.8,12)))/100)),15)/15,MIN(1,(Skills!S11*(1+((Inputs!$B$35+(ArtifactsInput!$M$7-ArtifactsInput!$M$7)*CHOOSE(ArtifactsInput!$N$7+1,6,7.2,8.4,9.6,10.8,12)))/100))/(1/Q848)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MIN((Skills!S14*(1+((Inputs!$B$35+(ArtifactsInput!$M$7-ArtifactsInput!$M$7)*CHOOSE(ArtifactsInput!$N$7+1,6,7.2,8.4,9.6,10.8,12)))/100)),(1/Q851))+MIN((Skills!S14*(1+((Inputs!$B$35+(ArtifactsInput!$M$7-ArtifactsInput!$M$7)*CHOOSE(ArtifactsInput!$N$7+1,6,7.2,8.4,9.6,10.8,12)))/100)),MAX(0,Inputs!$B$44-((R851-1)*(1/Q851)))))/Inputs!$B$44),IF(Inputs!$B$39="pvp",MIN((Skills!S14*(1+((Inputs!$B$35+(ArtifactsInput!$M$7-ArtifactsInput!$M$7)*CHOOSE(ArtifactsInput!$N$7+1,6,7.2,8.4,9.6,10.8,12)))/100)),15)/15,MIN(1,(Skills!S14*(1+((Inputs!$B$35+(ArtifactsInput!$M$7-ArtifactsInput!$M$7)*CHOOSE(ArtifactsInput!$N$7+1,6,7.2,8.4,9.6,10.8,12)))/100))/(1/Q851))))/100),1)*IF(C856=TRUE,(1+F856*IF(AND(Inputs!$B$39&lt;&gt;"pvp",Inputs!$B$44&gt;0),(((R856-1)*MIN((Skills!S19*(1+((Inputs!$B$35+(ArtifactsInput!$M$7-ArtifactsInput!$M$7)*CHOOSE(ArtifactsInput!$N$7+1,6,7.2,8.4,9.6,10.8,12)))/100)),(1/Q856))+MIN((Skills!S19*(1+((Inputs!$B$35+(ArtifactsInput!$M$7-ArtifactsInput!$M$7)*CHOOSE(ArtifactsInput!$N$7+1,6,7.2,8.4,9.6,10.8,12)))/100)),MAX(0,Inputs!$B$44-((R856-1)*(1/Q856)))))/Inputs!$B$44),IF(Inputs!$B$39="pvp",MIN((Skills!S19*(1+((Inputs!$B$35+(ArtifactsInput!$M$7-ArtifactsInput!$M$7)*CHOOSE(ArtifactsInput!$N$7+1,6,7.2,8.4,9.6,10.8,12)))/100)),15)/15,MIN(1,(Skills!S19*(1+((Inputs!$B$35+(ArtifactsInput!$M$7-ArtifactsInput!$M$7)*CHOOSE(ArtifactsInput!$N$7+1,6,7.2,8.4,9.6,10.8,12)))/100))/(1/Q856))))/100),1)</f>
        <v/>
      </c>
    </row>
    <row r="868">
      <c r="A868" t="inlineStr">
        <is>
          <t>Monster Damage Taken Bonus % (Holy Fountain)</t>
        </is>
      </c>
      <c r="B868">
        <f>IF(Inputs!$B$3&gt;=68,20*IF(Inputs!$B$39="pvp",MIN((15*(1+((Inputs!$B$35+(ArtifactsInput!$M$7-ArtifactsInput!$M$7)*CHOOSE(ArtifactsInput!$N$7+1,6,7.2,8.4,9.6,10.8,12)))/100)),15)/15,MIN(1,(15*(1+((Inputs!$B$35+(ArtifactsInput!$M$7-ArtifactsInput!$M$7)*CHOOSE(ArtifactsInput!$N$7+1,6,7.2,8.4,9.6,10.8,12)))/100))/(1/Q847))),0)</f>
        <v/>
      </c>
    </row>
    <row r="869">
      <c r="A869" t="inlineStr">
        <is>
          <t>Normal Monster Damage Bonus % (Holy Symbol)</t>
        </is>
      </c>
      <c r="B869">
        <f>IF(C849=TRUE,F849*IF(AND(Inputs!$B$39&lt;&gt;"pvp",Inputs!$B$44&gt;0),(((R849-1)*MIN((Skills!S12*(1+((Inputs!$B$35+(ArtifactsInput!$M$7-ArtifactsInput!$M$7)*CHOOSE(ArtifactsInput!$N$7+1,6,7.2,8.4,9.6,10.8,12)))/100)),(1/Q849))+MIN((Skills!S12*(1+((Inputs!$B$35+(ArtifactsInput!$M$7-ArtifactsInput!$M$7)*CHOOSE(ArtifactsInput!$N$7+1,6,7.2,8.4,9.6,10.8,12)))/100)),MAX(0,Inputs!$B$44-((R849-1)*(1/Q849)))))/Inputs!$B$44),IF(Inputs!$B$39="pvp",MIN((Skills!S12*(1+((Inputs!$B$35+(ArtifactsInput!$M$7-ArtifactsInput!$M$7)*CHOOSE(ArtifactsInput!$N$7+1,6,7.2,8.4,9.6,10.8,12)))/100)),15)/15,MIN(1,(Skills!S12*(1+((Inputs!$B$35+(ArtifactsInput!$M$7-ArtifactsInput!$M$7)*CHOOSE(ArtifactsInput!$N$7+1,6,7.2,8.4,9.6,10.8,12)))/100))/(1/Q849)))),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MIN((Skills!S28*(1+((Inputs!$B$35+(ArtifactsInput!$M$7-ArtifactsInput!$M$7)*CHOOSE(ArtifactsInput!$N$7+1,6,7.2,8.4,9.6,10.8,12)))/100)),(1/Q865))+MIN((Skills!S28*(1+((Inputs!$B$35+(ArtifactsInput!$M$7-ArtifactsInput!$M$7)*CHOOSE(ArtifactsInput!$N$7+1,6,7.2,8.4,9.6,10.8,12)))/100)),MAX(0,Inputs!$B$44-((R865-1)*(1/Q865)))))/Inputs!$B$44),IF(Inputs!$B$39="pvp",MIN((Skills!S28*(1+((Inputs!$B$35+(ArtifactsInput!$M$7-ArtifactsInput!$M$7)*CHOOSE(ArtifactsInput!$N$7+1,6,7.2,8.4,9.6,10.8,12)))/100)),15)/15,MIN(1,(Skills!S28*(1+((Inputs!$B$35+(ArtifactsInput!$M$7-ArtifactsInput!$M$7)*CHOOSE(ArtifactsInput!$N$7+1,6,7.2,8.4,9.6,10.8,12)))/100))/(1/Q865)))))</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MIN((Skills!S13*(1+((Inputs!$B$35+(ArtifactsInput!$M$7-ArtifactsInput!$M$7)*CHOOSE(ArtifactsInput!$N$7+1,6,7.2,8.4,9.6,10.8,12)))/100)),(1/Q850))+MIN((Skills!S13*(1+((Inputs!$B$35+(ArtifactsInput!$M$7-ArtifactsInput!$M$7)*CHOOSE(ArtifactsInput!$N$7+1,6,7.2,8.4,9.6,10.8,12)))/100)),MAX(0,Inputs!$B$44-((R850-1)*(1/Q850)))))/Inputs!$B$44),IF(Inputs!$B$39="pvp",MIN((Skills!S13*(1+((Inputs!$B$35+(ArtifactsInput!$M$7-ArtifactsInput!$M$7)*CHOOSE(ArtifactsInput!$N$7+1,6,7.2,8.4,9.6,10.8,12)))/100)),15)/15,MIN(1,(Skills!S13*(1+((Inputs!$B$35+(ArtifactsInput!$M$7-ArtifactsInput!$M$7)*CHOOSE(ArtifactsInput!$N$7+1,6,7.2,8.4,9.6,10.8,12)))/100))/(1/Q850)))),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IFERROR(1/(IF(Inputs!$B$39="pvp",15,MAX(0.1,Skills!D2-IF(TRUE=TRUE,Inputs!$B$33,0)))*(1-IF(AND(ArtifactsInput!$M$27,Inputs!$B$4="Chapter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IFERROR(1/(IF(Inputs!$B$39="pvp",15,MAX(0.1,Skills!D3-IF(TRUE=TRUE,Inputs!$B$33,0)))*(1-IF(AND(ArtifactsInput!$M$27,Inputs!$B$4="Chapter Hunt"),CHOOSE(ArtifactsInput!$N$27+1,20,24,28,32,36,40),0)/100)),0)</f>
        <v/>
      </c>
      <c r="R885">
        <f>IF(AND(Inputs!$B$39&lt;&gt;"pvp",Inputs!$B$44&gt;0),IF(Inputs!$B$44&lt;=0,0,(INT(Inputs!$B$44/(IF(Inputs!$B$39="pvp",15,MAX(0.1,Skills!D3-IF(TRUE=TRUE,Inputs!$B$33,0)))*(1-IF(AND(ArtifactsInput!$M$27,Inputs!$B$4="Chapter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IFERROR(1/(IF(Inputs!$B$39="pvp",15,MAX(0.1,Skills!D4-IF(TRUE=TRUE,Inputs!$B$33,0)))*(1-IF(AND(ArtifactsInput!$M$27,Inputs!$B$4="Chapter Hunt"),CHOOSE(ArtifactsInput!$N$27+1,20,24,28,32,36,40),0)/100)),0)</f>
        <v/>
      </c>
      <c r="R886">
        <f>IF(AND(Inputs!$B$39&lt;&gt;"pvp",Inputs!$B$44&gt;0),IF(Inputs!$B$44&lt;=0,0,(INT(Inputs!$B$44/(IF(Inputs!$B$39="pvp",15,MAX(0.1,Skills!D4-IF(TRUE=TRUE,Inputs!$B$33,0)))*(1-IF(AND(ArtifactsInput!$M$27,Inputs!$B$4="Chapter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IFERROR(1/(IF(Inputs!$B$39="pvp",15,MAX(0.1,Skills!D5-IF(TRUE=TRUE,Inputs!$B$33,0)))*(1-IF(AND(ArtifactsInput!$M$27,Inputs!$B$4="Chapter Hunt"),CHOOSE(ArtifactsInput!$N$27+1,20,24,28,32,36,40),0)/100)),0)</f>
        <v/>
      </c>
      <c r="R887">
        <f>IF(AND(Inputs!$B$39&lt;&gt;"pvp",Inputs!$B$44&gt;0),IF(Inputs!$B$44&lt;=0,0,(INT(Inputs!$B$44/(IF(Inputs!$B$39="pvp",15,MAX(0.1,Skills!D5-IF(TRUE=TRUE,Inputs!$B$33,0)))*(1-IF(AND(ArtifactsInput!$M$27,Inputs!$B$4="Chapter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IFERROR(1/(IF(Inputs!$B$39="pvp",15,MAX(0.1,Skills!D6-IF(TRUE=TRUE,Inputs!$B$33,0)))*(1-IF(AND(ArtifactsInput!$M$27,Inputs!$B$4="Chapter Hunt"),CHOOSE(ArtifactsInput!$N$27+1,20,24,28,32,36,40),0)/100)),0)</f>
        <v/>
      </c>
      <c r="R888">
        <f>IF(AND(Inputs!$B$39&lt;&gt;"pvp",Inputs!$B$44&gt;0),IF(MAX(0,Inputs!$B$44-B922)&lt;=0,0,(INT(MAX(0,Inputs!$B$44-B922)/(IF(Inputs!$B$39="pvp",15,MAX(0.1,Skills!D6-IF(TRUE=TRUE,Inputs!$B$33,0)))*(1-IF(AND(ArtifactsInput!$M$27,Inputs!$B$4="Chapter Hunt"),CHOOSE(ArtifactsInput!$N$27+1,20,24,28,32,36,40),0)/100)))+1)),0)</f>
        <v/>
      </c>
      <c r="S888">
        <f>IF(C888,(H888*N888*IF(AND(Inputs!$B$39&lt;&gt;"pvp",Inputs!$B$44&gt;0),((Skills!F6*((R888-1)*IF(Skills!G6&gt;0,INT(Skills!H6/Skills!G6+0.000000001),1)+IF(Skills!G6&gt;0,INT(MIN(Skills!H6,MAX(0,MAX(0,Inputs!$B$44-B922)-((R888-1)*(IF(Inputs!$B$39="pvp",15,MAX(0.1,Skills!D6-IF(TRUE=TRUE,Inputs!$B$33,0)))*(1-IF(AND(ArtifactsInput!$M$27,Inputs!$B$4="Chapter Hunt"),CHOOSE(ArtifactsInput!$N$27+1,20,24,28,32,36,40),0)/100)))))/Skills!G6+0.000000001),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INT(Skills!H6/Skills!G6+0.000000001),1)+IF(Skills!G6&gt;0,INT(MIN(Skills!H6,MAX(0,MAX(0,Inputs!$B$44-B922)-((R888-1)*(IF(Inputs!$B$39="pvp",15,MAX(0.1,Skills!D6-IF(TRUE=TRUE,Inputs!$B$33,0)))*(1-IF(AND(ArtifactsInput!$M$27,Inputs!$B$4="Chapter Hunt"),CHOOSE(ArtifactsInput!$N$27+1,20,24,28,32,36,40),0)/100)))))/Skills!G6+0.000000001),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IFERROR(1/(IF(Inputs!$B$39="pvp",15,MAX(0.1,Skills!D7-IF(TRUE=TRUE,Inputs!$B$33,0)))*(1-IF(AND(ArtifactsInput!$M$27,Inputs!$B$4="Chapter Hunt"),CHOOSE(ArtifactsInput!$N$27+1,20,24,28,32,36,40),0)/100)),0)</f>
        <v/>
      </c>
      <c r="R889">
        <f>IF(AND(Inputs!$B$39&lt;&gt;"pvp",Inputs!$B$44&gt;0),IF(MAX(0,Inputs!$B$44-B922)&lt;=0,0,(INT(MAX(0,Inputs!$B$44-B922)/(IF(Inputs!$B$39="pvp",15,MAX(0.1,Skills!D7-IF(TRUE=TRUE,Inputs!$B$33,0)))*(1-IF(AND(ArtifactsInput!$M$27,Inputs!$B$4="Chapter Hunt"),CHOOSE(ArtifactsInput!$N$27+1,20,24,28,32,36,40),0)/100)))+1)),0)</f>
        <v/>
      </c>
      <c r="S889">
        <f>IF(C889,H889*N889*IF(AND(Inputs!$B$39&lt;&gt;"pvp",Inputs!$B$44&gt;0),((Skills!F7*((R889-1)*IF(Skills!G7&gt;0,INT(Skills!H7/Skills!G7+0.000000001),1)+IF(Skills!G7&gt;0,INT(MIN(Skills!H7,MAX(0,MAX(0,Inputs!$B$44-B922)-((R889-1)*(IF(Inputs!$B$39="pvp",15,MAX(0.1,Skills!D7-IF(TRUE=TRUE,Inputs!$B$33,0)))*(1-IF(AND(ArtifactsInput!$M$27,Inputs!$B$4="Chapter Hunt"),CHOOSE(ArtifactsInput!$N$27+1,20,24,28,32,36,40),0)/100)))))/Skills!G7+0.000000001),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IFERROR(1/(IF(Inputs!$B$39="pvp",15,MAX(0.1,Skills!D8-IF(TRUE=TRUE,Inputs!$B$33,0)))*(1-IF(AND(ArtifactsInput!$M$27,Inputs!$B$4="Chapter Hunt"),CHOOSE(ArtifactsInput!$N$27+1,20,24,28,32,36,40),0)/100)),0)</f>
        <v/>
      </c>
      <c r="R890">
        <f>IF(AND(Inputs!$B$39&lt;&gt;"pvp",Inputs!$B$44&gt;0),IF(MAX(0,Inputs!$B$44-B922)&lt;=0,0,(INT(MAX(0,Inputs!$B$44-B922)/(IF(Inputs!$B$39="pvp",15,MAX(0.1,Skills!D8-IF(TRUE=TRUE,Inputs!$B$33,0)))*(1-IF(AND(ArtifactsInput!$M$27,Inputs!$B$4="Chapter Hunt"),CHOOSE(ArtifactsInput!$N$27+1,20,24,28,32,36,40),0)/100)))+1)),0)</f>
        <v/>
      </c>
      <c r="S890">
        <f>IF(C890,(H890*N890*IF(AND(Inputs!$B$39&lt;&gt;"pvp",Inputs!$B$44&gt;0),((Skills!F8*((R890-1)*IF(Skills!G8&gt;0,INT(Skills!H8/Skills!G8+0.000000001),1)+IF(Skills!G8&gt;0,INT(MIN(Skills!H8,MAX(0,MAX(0,Inputs!$B$44-B922)-((R890-1)*(IF(Inputs!$B$39="pvp",15,MAX(0.1,Skills!D8-IF(TRUE=TRUE,Inputs!$B$33,0)))*(1-IF(AND(ArtifactsInput!$M$27,Inputs!$B$4="Chapter Hunt"),CHOOSE(ArtifactsInput!$N$27+1,20,24,28,32,36,40),0)/100)))))/Skills!G8+0.000000001),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INT(Skills!H8/Skills!G8+0.000000001),1)+IF(Skills!G8&gt;0,INT(MIN(Skills!H8,MAX(0,MAX(0,Inputs!$B$44-B922)-((R890-1)*(IF(Inputs!$B$39="pvp",15,MAX(0.1,Skills!D8-IF(TRUE=TRUE,Inputs!$B$33,0)))*(1-IF(AND(ArtifactsInput!$M$27,Inputs!$B$4="Chapter Hunt"),CHOOSE(ArtifactsInput!$N$27+1,20,24,28,32,36,40),0)/100)))))/Skills!G8+0.000000001),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IFERROR(1/(IF(Inputs!$B$39="pvp",15,MAX(0.1,Skills!D9-IF(TRUE=TRUE,Inputs!$B$33,0)))*(1-IF(AND(ArtifactsInput!$M$27,Inputs!$B$4="Chapter Hunt"),CHOOSE(ArtifactsInput!$N$27+1,20,24,28,32,36,40),0)/100)),0)</f>
        <v/>
      </c>
      <c r="R891">
        <f>IF(AND(Inputs!$B$39&lt;&gt;"pvp",Inputs!$B$44&gt;0),IF(MAX(0,Inputs!$B$44-B922)&lt;=0,0,(INT(MAX(0,Inputs!$B$44-B922)/(IF(Inputs!$B$39="pvp",15,MAX(0.1,Skills!D9-IF(TRUE=TRUE,Inputs!$B$33,0)))*(1-IF(AND(ArtifactsInput!$M$27,Inputs!$B$4="Chapter Hunt"),CHOOSE(ArtifactsInput!$N$27+1,20,24,28,32,36,40),0)/100)))+1)),0)</f>
        <v/>
      </c>
      <c r="S891">
        <f>IF(C891,(H891*N891*IF(AND(Inputs!$B$39&lt;&gt;"pvp",Inputs!$B$44&gt;0),((Skills!F9*((R891-1)*IF(Skills!G9&gt;0,INT(Skills!H9/Skills!G9+0.000000001),1)+IF(Skills!G9&gt;0,INT(MIN(Skills!H9,MAX(0,MAX(0,Inputs!$B$44-B922)-((R891-1)*(IF(Inputs!$B$39="pvp",15,MAX(0.1,Skills!D9-IF(TRUE=TRUE,Inputs!$B$33,0)))*(1-IF(AND(ArtifactsInput!$M$27,Inputs!$B$4="Chapter Hunt"),CHOOSE(ArtifactsInput!$N$27+1,20,24,28,32,36,40),0)/100)))))/Skills!G9+0.000000001),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INT(Skills!H9/Skills!G9+0.000000001),1)+IF(Skills!G9&gt;0,INT(MIN(Skills!H9,MAX(0,MAX(0,Inputs!$B$44-B922)-((R891-1)*(IF(Inputs!$B$39="pvp",15,MAX(0.1,Skills!D9-IF(TRUE=TRUE,Inputs!$B$33,0)))*(1-IF(AND(ArtifactsInput!$M$27,Inputs!$B$4="Chapter Hunt"),CHOOSE(ArtifactsInput!$N$27+1,20,24,28,32,36,40),0)/100)))))/Skills!G9+0.000000001),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IFERROR(1/(IF(Inputs!$B$39="pvp",15,MAX(0.1,Skills!D10-IF(TRUE=TRUE,Inputs!$B$33,0)))*(1-IF(AND(ArtifactsInput!$M$27,Inputs!$B$4="Chapter Hunt"),CHOOSE(ArtifactsInput!$N$27+1,20,24,28,32,36,40),0)/100)),0)</f>
        <v/>
      </c>
      <c r="R892">
        <f>IF(AND(Inputs!$B$39&lt;&gt;"pvp",Inputs!$B$44&gt;0),IF(MAX(0,Inputs!$B$44-B922)&lt;=0,0,(INT(MAX(0,Inputs!$B$44-B922)/(IF(Inputs!$B$39="pvp",15,MAX(0.1,Skills!D10-IF(TRUE=TRUE,Inputs!$B$33,0)))*(1-IF(AND(ArtifactsInput!$M$27,Inputs!$B$4="Chapter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IFERROR(1/(IF(Inputs!$B$39="pvp",15,MAX(0.1,Skills!D11-IF(TRUE=TRUE,Inputs!$B$33,0)))*(1-IF(AND(ArtifactsInput!$M$27,Inputs!$B$4="Chapter Hunt"),CHOOSE(ArtifactsInput!$N$27+1,20,24,28,32,36,40),0)/100)),0)</f>
        <v/>
      </c>
      <c r="R893">
        <f>IF(AND(Inputs!$B$39&lt;&gt;"pvp",Inputs!$B$44&gt;0),IF(Inputs!$B$44&lt;=0,0,(INT(Inputs!$B$44/(IF(Inputs!$B$39="pvp",15,MAX(0.1,Skills!D11-IF(TRUE=TRUE,Inputs!$B$33,0)))*(1-IF(AND(ArtifactsInput!$M$27,Inputs!$B$4="Chapter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IFERROR(1/(IF(Inputs!$B$39="pvp",15,MAX(0.1,Skills!D12-IF(TRUE=TRUE,Inputs!$B$33,0)))*(1-IF(AND(ArtifactsInput!$M$27,Inputs!$B$4="Chapter Hunt"),CHOOSE(ArtifactsInput!$N$27+1,20,24,28,32,36,40),0)/100)),0)</f>
        <v/>
      </c>
      <c r="R894">
        <f>IF(AND(Inputs!$B$39&lt;&gt;"pvp",Inputs!$B$44&gt;0),IF(MAX(0,Inputs!$B$44-B922)&lt;=0,0,(INT(MAX(0,Inputs!$B$44-B922)/(IF(Inputs!$B$39="pvp",15,MAX(0.1,Skills!D12-IF(TRUE=TRUE,Inputs!$B$33,0)))*(1-IF(AND(ArtifactsInput!$M$27,Inputs!$B$4="Chapter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IFERROR(1/(IF(Inputs!$B$39="pvp",15,MAX(0.1,Skills!D13-IF(TRUE=TRUE,Inputs!$B$33,0)))*(1-IF(AND(ArtifactsInput!$M$27,Inputs!$B$4="Chapter Hunt"),CHOOSE(ArtifactsInput!$N$27+1,20,24,28,32,36,40),0)/100)),0)</f>
        <v/>
      </c>
      <c r="R895">
        <f>IF(AND(Inputs!$B$39&lt;&gt;"pvp",Inputs!$B$44&gt;0),IF(MAX(0,Inputs!$B$44-B922)&lt;=0,0,(INT(MAX(0,Inputs!$B$44-B922)/(IF(Inputs!$B$39="pvp",15,MAX(0.1,Skills!D13-IF(TRUE=TRUE,Inputs!$B$33,0)))*(1-IF(AND(ArtifactsInput!$M$27,Inputs!$B$4="Chapter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IFERROR(1/(IF(Inputs!$B$39="pvp",15,MAX(0.1,Skills!D14-IF(TRUE=TRUE,Inputs!$B$33,0)))*(1-IF(AND(ArtifactsInput!$M$27,Inputs!$B$4="Chapter Hunt"),CHOOSE(ArtifactsInput!$N$27+1,20,24,28,32,36,40),0)/100)),0)</f>
        <v/>
      </c>
      <c r="R896">
        <f>IF(AND(Inputs!$B$39&lt;&gt;"pvp",Inputs!$B$44&gt;0),IF(Inputs!$B$44&lt;=0,0,(INT(Inputs!$B$44/(IF(Inputs!$B$39="pvp",15,MAX(0.1,Skills!D14-IF(TRUE=TRUE,Inputs!$B$33,0)))*(1-IF(AND(ArtifactsInput!$M$27,Inputs!$B$4="Chapter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IFERROR(1/(IF(Inputs!$B$39="pvp",15,MAX(0.1,Skills!D15-IF(TRUE=TRUE,Inputs!$B$33,0)))*(1-IF(AND(ArtifactsInput!$M$27,Inputs!$B$4="Chapter Hunt"),CHOOSE(ArtifactsInput!$N$27+1,20,24,28,32,36,40),0)/100)),0)</f>
        <v/>
      </c>
      <c r="R897" t="n">
        <v>0</v>
      </c>
      <c r="S897">
        <f>IF(C897,(Skills!F15*N897*((IF(Inputs!$B$3&gt;=78,25,15)/100*B918*10)/(1+IF(Inputs!$B$3&gt;=78,25,15)/100*B918*IF(Inputs!$B$39="pvp",15,MAX(0.1,18-IF(TRUE=TRUE,Inputs!$B$33,0)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IF(Inputs!$B$39="pvp",15,MAX(0.1,18-IF(TRUE=TRUE,Inputs!$B$33,0)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IFERROR(1/(IF(Inputs!$B$39="pvp",15,MAX(0.1,Skills!D16-IF(TRUE=TRUE,Inputs!$B$33,0)))*(1-IF(AND(ArtifactsInput!$M$27,Inputs!$B$4="Chapter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IFERROR(1/(IF(Inputs!$B$39="pvp",15,MAX(0.1,Skills!D17-IF(TRUE=TRUE,Inputs!$B$33,0)))*(1-IF(AND(ArtifactsInput!$M$27,Inputs!$B$4="Chapter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IFERROR(1/(IF(Inputs!$B$39="pvp",15,MAX(0.1,Skills!D18-IF(TRUE=TRUE,Inputs!$B$33,0)))*(1-IF(AND(ArtifactsInput!$M$27,Inputs!$B$4="Chapter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IFERROR(1/(IF(Inputs!$B$39="pvp",15,MAX(0.1,Skills!D19-IF(TRUE=TRUE,Inputs!$B$33,0)))*(1-IF(AND(ArtifactsInput!$M$27,Inputs!$B$4="Chapter Hunt"),CHOOSE(ArtifactsInput!$N$27+1,20,24,28,32,36,40),0)/100)),0)</f>
        <v/>
      </c>
      <c r="R901">
        <f>IF(AND(Inputs!$B$39&lt;&gt;"pvp",Inputs!$B$44&gt;0),IF(Inputs!$B$44&lt;=0,0,(INT(Inputs!$B$44/(IF(Inputs!$B$39="pvp",15,MAX(0.1,Skills!D19-IF(TRUE=TRUE,Inputs!$B$33,0)))*(1-IF(AND(ArtifactsInput!$M$27,Inputs!$B$4="Chapter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IFERROR(1/(IF(Inputs!$B$39="pvp",15,MAX(0.1,Skills!D20-IF(TRUE=TRUE,Inputs!$B$33,0)))*(1-IF(AND(ArtifactsInput!$M$27,Inputs!$B$4="Chapter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IFERROR(1/(IF(Inputs!$B$39="pvp",15,MAX(0.1,Skills!D21-IF(TRUE=TRUE,Inputs!$B$33,0)))*(1-IF(AND(ArtifactsInput!$M$27,Inputs!$B$4="Chapter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IFERROR(1/(IF(Inputs!$B$39="pvp",15,MAX(0.1,Skills!D22-IF(TRUE=TRUE,Inputs!$B$33,0)))*(1-IF(AND(ArtifactsInput!$M$27,Inputs!$B$4="Chapter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IFERROR(1/(IF(Inputs!$B$39="pvp",15,MAX(0.1,Skills!D23-IF(TRUE=TRUE,Inputs!$B$33,0)))*(1-IF(AND(ArtifactsInput!$M$27,Inputs!$B$4="Chapter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IFERROR(1/(IF(Inputs!$B$39="pvp",15,MAX(0.1,Skills!D24-IF(TRUE=TRUE,Inputs!$B$33,0)))*(1-IF(AND(ArtifactsInput!$M$27,Inputs!$B$4="Chapter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IFERROR(1/(IF(Inputs!$B$39="pvp",15,MAX(0.1,Skills!D25-IF(TRUE=TRUE,Inputs!$B$33,0)))*(1-IF(AND(ArtifactsInput!$M$27,Inputs!$B$4="Chapter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IFERROR(1/(IF(Inputs!$B$39="pvp",15,MAX(0.1,Skills!D26-IF(TRUE=TRUE,Inputs!$B$33,0)))*(1-IF(AND(ArtifactsInput!$M$27,Inputs!$B$4="Chapter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IFERROR(1/(IF(Inputs!$B$39="pvp",15,MAX(0.1,Skills!D27-IF(TRUE=TRUE,Inputs!$B$33,0)))*(1-IF(AND(ArtifactsInput!$M$27,Inputs!$B$4="Chapter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IFERROR(1/(IF(Inputs!$B$39="pvp",15,MAX(0.1,Skills!D28-IF(TRUE=TRUE,Inputs!$B$33,0)))*(1-IF(AND(ArtifactsInput!$M$27,Inputs!$B$4="Chapter Hunt"),CHOOSE(ArtifactsInput!$N$27+1,20,24,28,32,36,40),0)/100)),0)</f>
        <v/>
      </c>
      <c r="R910">
        <f>IF(AND(Inputs!$B$39&lt;&gt;"pvp",Inputs!$B$44&gt;0),IF(Inputs!$B$44&lt;=0,0,(INT(Inputs!$B$44/(IF(Inputs!$B$39="pvp",15,MAX(0.1,Skills!D28-IF(TRUE=TRUE,Inputs!$B$33,0)))*(1-IF(AND(ArtifactsInput!$M$27,Inputs!$B$4="Chapter Hunt"),CHOOSE(ArtifactsInput!$N$27+1,20,24,28,32,36,40),0)/100)))+1)),0)</f>
        <v/>
      </c>
      <c r="S910" t="n">
        <v>0</v>
      </c>
      <c r="U910" t="n">
        <v>0</v>
      </c>
    </row>
    <row r="912">
      <c r="A912" t="inlineStr">
        <is>
          <t>Average Buff Multiplier</t>
        </is>
      </c>
      <c r="B912">
        <f>(1+(IF(C885=TRUE,F885*IF(AND(Inputs!$B$39&lt;&gt;"pvp",Inputs!$B$44&gt;0),(((R885-1)*MIN((Skills!S3*(1+((Inputs!$B$35+(ArtifactsInput!$M$7-ArtifactsInput!$M$7)*CHOOSE(ArtifactsInput!$N$7+1,6,7.2,8.4,9.6,10.8,12)))/100)),(1/Q885))+MIN((Skills!S3*(1+((Inputs!$B$35+(ArtifactsInput!$M$7-ArtifactsInput!$M$7)*CHOOSE(ArtifactsInput!$N$7+1,6,7.2,8.4,9.6,10.8,12)))/100)),MAX(0,Inputs!$B$44-((R885-1)*(1/Q885)))))/Inputs!$B$44),IF(Inputs!$B$39="pvp",MIN((Skills!S3*(1+((Inputs!$B$35+(ArtifactsInput!$M$7-ArtifactsInput!$M$7)*CHOOSE(ArtifactsInput!$N$7+1,6,7.2,8.4,9.6,10.8,12)))/100)),15)/15,MIN(1,(Skills!S3*(1+((Inputs!$B$35+(ArtifactsInput!$M$7-ArtifactsInput!$M$7)*CHOOSE(ArtifactsInput!$N$7+1,6,7.2,8.4,9.6,10.8,12)))/100))/(1/Q885)))),0)+IF(C886=TRUE,F886*IF(AND(Inputs!$B$39&lt;&gt;"pvp",Inputs!$B$44&gt;0),(((R886-1)*MIN((Skills!S4*(1+((Inputs!$B$35+(ArtifactsInput!$M$7-ArtifactsInput!$M$7)*CHOOSE(ArtifactsInput!$N$7+1,6,7.2,8.4,9.6,10.8,12)))/100)),(1/Q886))+MIN((Skills!S4*(1+((Inputs!$B$35+(ArtifactsInput!$M$7-ArtifactsInput!$M$7)*CHOOSE(ArtifactsInput!$N$7+1,6,7.2,8.4,9.6,10.8,12)))/100)),MAX(0,Inputs!$B$44-((R886-1)*(1/Q886)))))/Inputs!$B$44),IF(Inputs!$B$39="pvp",MIN((Skills!S4*(1+((Inputs!$B$35+(ArtifactsInput!$M$7-ArtifactsInput!$M$7)*CHOOSE(ArtifactsInput!$N$7+1,6,7.2,8.4,9.6,10.8,12)))/100)),15)/15,MIN(1,(Skills!S4*(1+((Inputs!$B$35+(ArtifactsInput!$M$7-ArtifactsInput!$M$7)*CHOOSE(ArtifactsInput!$N$7+1,6,7.2,8.4,9.6,10.8,12)))/100))/(1/Q886)))),0)+IF(C887=TRUE,F887*IF(AND(Inputs!$B$39&lt;&gt;"pvp",Inputs!$B$44&gt;0),(((R887-1)*MIN((Skills!S5*(1+((Inputs!$B$35+(ArtifactsInput!$M$7-ArtifactsInput!$M$7)*CHOOSE(ArtifactsInput!$N$7+1,6,7.2,8.4,9.6,10.8,12)))/100)),(1/Q887))+MIN((Skills!S5*(1+((Inputs!$B$35+(ArtifactsInput!$M$7-ArtifactsInput!$M$7)*CHOOSE(ArtifactsInput!$N$7+1,6,7.2,8.4,9.6,10.8,12)))/100)),MAX(0,Inputs!$B$44-((R887-1)*(1/Q887)))))/Inputs!$B$44),IF(Inputs!$B$39="pvp",MIN((Skills!S5*(1+((Inputs!$B$35+(ArtifactsInput!$M$7-ArtifactsInput!$M$7)*CHOOSE(ArtifactsInput!$N$7+1,6,7.2,8.4,9.6,10.8,12)))/100)),15)/15,MIN(1,(Skills!S5*(1+((Inputs!$B$35+(ArtifactsInput!$M$7-ArtifactsInput!$M$7)*CHOOSE(ArtifactsInput!$N$7+1,6,7.2,8.4,9.6,10.8,12)))/100))/(1/Q887)))),0)+IF(C893=TRUE,F893*IF(AND(Inputs!$B$39&lt;&gt;"pvp",Inputs!$B$44&gt;0),(((R893-1)*MIN((Skills!S11*(1+((Inputs!$B$35+(ArtifactsInput!$M$7-ArtifactsInput!$M$7)*CHOOSE(ArtifactsInput!$N$7+1,6,7.2,8.4,9.6,10.8,12)))/100)),(1/Q893))+MIN((Skills!S11*(1+((Inputs!$B$35+(ArtifactsInput!$M$7-ArtifactsInput!$M$7)*CHOOSE(ArtifactsInput!$N$7+1,6,7.2,8.4,9.6,10.8,12)))/100)),MAX(0,Inputs!$B$44-((R893-1)*(1/Q893)))))/Inputs!$B$44),IF(Inputs!$B$39="pvp",MIN((Skills!S11*(1+((Inputs!$B$35+(ArtifactsInput!$M$7-ArtifactsInput!$M$7)*CHOOSE(ArtifactsInput!$N$7+1,6,7.2,8.4,9.6,10.8,12)))/100)),15)/15,MIN(1,(Skills!S11*(1+((Inputs!$B$35+(ArtifactsInput!$M$7-ArtifactsInput!$M$7)*CHOOSE(ArtifactsInput!$N$7+1,6,7.2,8.4,9.6,10.8,12)))/100))/(1/Q893)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MIN((Skills!S14*(1+((Inputs!$B$35+(ArtifactsInput!$M$7-ArtifactsInput!$M$7)*CHOOSE(ArtifactsInput!$N$7+1,6,7.2,8.4,9.6,10.8,12)))/100)),(1/Q896))+MIN((Skills!S14*(1+((Inputs!$B$35+(ArtifactsInput!$M$7-ArtifactsInput!$M$7)*CHOOSE(ArtifactsInput!$N$7+1,6,7.2,8.4,9.6,10.8,12)))/100)),MAX(0,Inputs!$B$44-((R896-1)*(1/Q896)))))/Inputs!$B$44),IF(Inputs!$B$39="pvp",MIN((Skills!S14*(1+((Inputs!$B$35+(ArtifactsInput!$M$7-ArtifactsInput!$M$7)*CHOOSE(ArtifactsInput!$N$7+1,6,7.2,8.4,9.6,10.8,12)))/100)),15)/15,MIN(1,(Skills!S14*(1+((Inputs!$B$35+(ArtifactsInput!$M$7-ArtifactsInput!$M$7)*CHOOSE(ArtifactsInput!$N$7+1,6,7.2,8.4,9.6,10.8,12)))/100))/(1/Q896))))/100),1)*IF(C901=TRUE,(1+F901*IF(AND(Inputs!$B$39&lt;&gt;"pvp",Inputs!$B$44&gt;0),(((R901-1)*MIN((Skills!S19*(1+((Inputs!$B$35+(ArtifactsInput!$M$7-ArtifactsInput!$M$7)*CHOOSE(ArtifactsInput!$N$7+1,6,7.2,8.4,9.6,10.8,12)))/100)),(1/Q901))+MIN((Skills!S19*(1+((Inputs!$B$35+(ArtifactsInput!$M$7-ArtifactsInput!$M$7)*CHOOSE(ArtifactsInput!$N$7+1,6,7.2,8.4,9.6,10.8,12)))/100)),MAX(0,Inputs!$B$44-((R901-1)*(1/Q901)))))/Inputs!$B$44),IF(Inputs!$B$39="pvp",MIN((Skills!S19*(1+((Inputs!$B$35+(ArtifactsInput!$M$7-ArtifactsInput!$M$7)*CHOOSE(ArtifactsInput!$N$7+1,6,7.2,8.4,9.6,10.8,12)))/100)),15)/15,MIN(1,(Skills!S19*(1+((Inputs!$B$35+(ArtifactsInput!$M$7-ArtifactsInput!$M$7)*CHOOSE(ArtifactsInput!$N$7+1,6,7.2,8.4,9.6,10.8,12)))/100))/(1/Q901))))/100),1)</f>
        <v/>
      </c>
    </row>
    <row r="913">
      <c r="A913" t="inlineStr">
        <is>
          <t>Monster Damage Taken Bonus % (Holy Fountain)</t>
        </is>
      </c>
      <c r="B913">
        <f>IF(Inputs!$B$3&gt;=68,20*IF(Inputs!$B$39="pvp",MIN((15*(1+((Inputs!$B$35+(ArtifactsInput!$M$7-ArtifactsInput!$M$7)*CHOOSE(ArtifactsInput!$N$7+1,6,7.2,8.4,9.6,10.8,12)))/100)),15)/15,MIN(1,(15*(1+((Inputs!$B$35+(ArtifactsInput!$M$7-ArtifactsInput!$M$7)*CHOOSE(ArtifactsInput!$N$7+1,6,7.2,8.4,9.6,10.8,12)))/100))/(1/Q892))),0)</f>
        <v/>
      </c>
    </row>
    <row r="914">
      <c r="A914" t="inlineStr">
        <is>
          <t>Normal Monster Damage Bonus % (Holy Symbol)</t>
        </is>
      </c>
      <c r="B914">
        <f>IF(C894=TRUE,F894*IF(AND(Inputs!$B$39&lt;&gt;"pvp",Inputs!$B$44&gt;0),(((R894-1)*MIN((Skills!S12*(1+((Inputs!$B$35+(ArtifactsInput!$M$7-ArtifactsInput!$M$7)*CHOOSE(ArtifactsInput!$N$7+1,6,7.2,8.4,9.6,10.8,12)))/100)),(1/Q894))+MIN((Skills!S12*(1+((Inputs!$B$35+(ArtifactsInput!$M$7-ArtifactsInput!$M$7)*CHOOSE(ArtifactsInput!$N$7+1,6,7.2,8.4,9.6,10.8,12)))/100)),MAX(0,Inputs!$B$44-((R894-1)*(1/Q894)))))/Inputs!$B$44),IF(Inputs!$B$39="pvp",MIN((Skills!S12*(1+((Inputs!$B$35+(ArtifactsInput!$M$7-ArtifactsInput!$M$7)*CHOOSE(ArtifactsInput!$N$7+1,6,7.2,8.4,9.6,10.8,12)))/100)),15)/15,MIN(1,(Skills!S12*(1+((Inputs!$B$35+(ArtifactsInput!$M$7-ArtifactsInput!$M$7)*CHOOSE(ArtifactsInput!$N$7+1,6,7.2,8.4,9.6,10.8,12)))/100))/(1/Q894)))),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MIN((Skills!S28*(1+((Inputs!$B$35+(ArtifactsInput!$M$7-ArtifactsInput!$M$7)*CHOOSE(ArtifactsInput!$N$7+1,6,7.2,8.4,9.6,10.8,12)))/100)),(1/Q910))+MIN((Skills!S28*(1+((Inputs!$B$35+(ArtifactsInput!$M$7-ArtifactsInput!$M$7)*CHOOSE(ArtifactsInput!$N$7+1,6,7.2,8.4,9.6,10.8,12)))/100)),MAX(0,Inputs!$B$44-((R910-1)*(1/Q910)))))/Inputs!$B$44),IF(Inputs!$B$39="pvp",MIN((Skills!S28*(1+((Inputs!$B$35+(ArtifactsInput!$M$7-ArtifactsInput!$M$7)*CHOOSE(ArtifactsInput!$N$7+1,6,7.2,8.4,9.6,10.8,12)))/100)),15)/15,MIN(1,(Skills!S28*(1+((Inputs!$B$35+(ArtifactsInput!$M$7-ArtifactsInput!$M$7)*CHOOSE(ArtifactsInput!$N$7+1,6,7.2,8.4,9.6,10.8,12)))/100))/(1/Q910)))))</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MIN((Skills!S13*(1+((Inputs!$B$35+(ArtifactsInput!$M$7-ArtifactsInput!$M$7)*CHOOSE(ArtifactsInput!$N$7+1,6,7.2,8.4,9.6,10.8,12)))/100)),(1/Q895))+MIN((Skills!S13*(1+((Inputs!$B$35+(ArtifactsInput!$M$7-ArtifactsInput!$M$7)*CHOOSE(ArtifactsInput!$N$7+1,6,7.2,8.4,9.6,10.8,12)))/100)),MAX(0,Inputs!$B$44-((R895-1)*(1/Q895)))))/Inputs!$B$44),IF(Inputs!$B$39="pvp",MIN((Skills!S13*(1+((Inputs!$B$35+(ArtifactsInput!$M$7-ArtifactsInput!$M$7)*CHOOSE(ArtifactsInput!$N$7+1,6,7.2,8.4,9.6,10.8,12)))/100)),15)/15,MIN(1,(Skills!S13*(1+((Inputs!$B$35+(ArtifactsInput!$M$7-ArtifactsInput!$M$7)*CHOOSE(ArtifactsInput!$N$7+1,6,7.2,8.4,9.6,10.8,12)))/100))/(1/Q895)))),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IFERROR(1/(IF(Inputs!$B$39="pvp",15,MAX(0.1,Skills!D2-IF(TRUE=TRUE,Inputs!$B$33,0)))*(1-IF(AND(ArtifactsInput!$M$27,Inputs!$B$4="Chapter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IFERROR(1/(IF(Inputs!$B$39="pvp",15,MAX(0.1,Skills!D3-IF(TRUE=TRUE,Inputs!$B$33,0)))*(1-IF(AND(ArtifactsInput!$M$27,Inputs!$B$4="Chapter Hunt"),CHOOSE(ArtifactsInput!$N$27+1,20,24,28,32,36,40),0)/100)),0)</f>
        <v/>
      </c>
      <c r="R930">
        <f>IF(AND(Inputs!$B$39&lt;&gt;"pvp",Inputs!$B$44&gt;0),IF(Inputs!$B$44&lt;=0,0,(INT(Inputs!$B$44/(IF(Inputs!$B$39="pvp",15,MAX(0.1,Skills!D3-IF(TRUE=TRUE,Inputs!$B$33,0)))*(1-IF(AND(ArtifactsInput!$M$27,Inputs!$B$4="Chapter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IFERROR(1/(IF(Inputs!$B$39="pvp",15,MAX(0.1,Skills!D4-IF(TRUE=TRUE,Inputs!$B$33,0)))*(1-IF(AND(ArtifactsInput!$M$27,Inputs!$B$4="Chapter Hunt"),CHOOSE(ArtifactsInput!$N$27+1,20,24,28,32,36,40),0)/100)),0)</f>
        <v/>
      </c>
      <c r="R931">
        <f>IF(AND(Inputs!$B$39&lt;&gt;"pvp",Inputs!$B$44&gt;0),IF(Inputs!$B$44&lt;=0,0,(INT(Inputs!$B$44/(IF(Inputs!$B$39="pvp",15,MAX(0.1,Skills!D4-IF(TRUE=TRUE,Inputs!$B$33,0)))*(1-IF(AND(ArtifactsInput!$M$27,Inputs!$B$4="Chapter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IFERROR(1/(IF(Inputs!$B$39="pvp",15,MAX(0.1,Skills!D5-IF(TRUE=TRUE,Inputs!$B$33,0)))*(1-IF(AND(ArtifactsInput!$M$27,Inputs!$B$4="Chapter Hunt"),CHOOSE(ArtifactsInput!$N$27+1,20,24,28,32,36,40),0)/100)),0)</f>
        <v/>
      </c>
      <c r="R932">
        <f>IF(AND(Inputs!$B$39&lt;&gt;"pvp",Inputs!$B$44&gt;0),IF(Inputs!$B$44&lt;=0,0,(INT(Inputs!$B$44/(IF(Inputs!$B$39="pvp",15,MAX(0.1,Skills!D5-IF(TRUE=TRUE,Inputs!$B$33,0)))*(1-IF(AND(ArtifactsInput!$M$27,Inputs!$B$4="Chapter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IFERROR(1/(IF(Inputs!$B$39="pvp",15,MAX(0.1,Skills!D6-IF(TRUE=TRUE,Inputs!$B$33,0)))*(1-IF(AND(ArtifactsInput!$M$27,Inputs!$B$4="Chapter Hunt"),CHOOSE(ArtifactsInput!$N$27+1,20,24,28,32,36,40),0)/100)),0)</f>
        <v/>
      </c>
      <c r="R933">
        <f>IF(AND(Inputs!$B$39&lt;&gt;"pvp",Inputs!$B$44&gt;0),IF(MAX(0,Inputs!$B$44-B967)&lt;=0,0,(INT(MAX(0,Inputs!$B$44-B967)/(IF(Inputs!$B$39="pvp",15,MAX(0.1,Skills!D6-IF(TRUE=TRUE,Inputs!$B$33,0)))*(1-IF(AND(ArtifactsInput!$M$27,Inputs!$B$4="Chapter Hunt"),CHOOSE(ArtifactsInput!$N$27+1,20,24,28,32,36,40),0)/100)))+1)),0)</f>
        <v/>
      </c>
      <c r="S933">
        <f>IF(C933,(H933*N933*IF(AND(Inputs!$B$39&lt;&gt;"pvp",Inputs!$B$44&gt;0),((Skills!F6*((R933-1)*IF(Skills!G6&gt;0,INT(Skills!H6/Skills!G6+0.000000001),1)+IF(Skills!G6&gt;0,INT(MIN(Skills!H6,MAX(0,MAX(0,Inputs!$B$44-B967)-((R933-1)*(IF(Inputs!$B$39="pvp",15,MAX(0.1,Skills!D6-IF(TRUE=TRUE,Inputs!$B$33,0)))*(1-IF(AND(ArtifactsInput!$M$27,Inputs!$B$4="Chapter Hunt"),CHOOSE(ArtifactsInput!$N$27+1,20,24,28,32,36,40),0)/100)))))/Skills!G6+0.000000001),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INT(Skills!H6/Skills!G6+0.000000001),1)+IF(Skills!G6&gt;0,INT(MIN(Skills!H6,MAX(0,MAX(0,Inputs!$B$44-B967)-((R933-1)*(IF(Inputs!$B$39="pvp",15,MAX(0.1,Skills!D6-IF(TRUE=TRUE,Inputs!$B$33,0)))*(1-IF(AND(ArtifactsInput!$M$27,Inputs!$B$4="Chapter Hunt"),CHOOSE(ArtifactsInput!$N$27+1,20,24,28,32,36,40),0)/100)))))/Skills!G6+0.000000001),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IFERROR(1/(IF(Inputs!$B$39="pvp",15,MAX(0.1,Skills!D7-IF(TRUE=TRUE,Inputs!$B$33,0)))*(1-IF(AND(ArtifactsInput!$M$27,Inputs!$B$4="Chapter Hunt"),CHOOSE(ArtifactsInput!$N$27+1,20,24,28,32,36,40),0)/100)),0)</f>
        <v/>
      </c>
      <c r="R934">
        <f>IF(AND(Inputs!$B$39&lt;&gt;"pvp",Inputs!$B$44&gt;0),IF(MAX(0,Inputs!$B$44-B967)&lt;=0,0,(INT(MAX(0,Inputs!$B$44-B967)/(IF(Inputs!$B$39="pvp",15,MAX(0.1,Skills!D7-IF(TRUE=TRUE,Inputs!$B$33,0)))*(1-IF(AND(ArtifactsInput!$M$27,Inputs!$B$4="Chapter Hunt"),CHOOSE(ArtifactsInput!$N$27+1,20,24,28,32,36,40),0)/100)))+1)),0)</f>
        <v/>
      </c>
      <c r="S934">
        <f>IF(C934,H934*N934*IF(AND(Inputs!$B$39&lt;&gt;"pvp",Inputs!$B$44&gt;0),((Skills!F7*((R934-1)*IF(Skills!G7&gt;0,INT(Skills!H7/Skills!G7+0.000000001),1)+IF(Skills!G7&gt;0,INT(MIN(Skills!H7,MAX(0,MAX(0,Inputs!$B$44-B967)-((R934-1)*(IF(Inputs!$B$39="pvp",15,MAX(0.1,Skills!D7-IF(TRUE=TRUE,Inputs!$B$33,0)))*(1-IF(AND(ArtifactsInput!$M$27,Inputs!$B$4="Chapter Hunt"),CHOOSE(ArtifactsInput!$N$27+1,20,24,28,32,36,40),0)/100)))))/Skills!G7+0.000000001),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IFERROR(1/(IF(Inputs!$B$39="pvp",15,MAX(0.1,Skills!D8-IF(TRUE=TRUE,Inputs!$B$33,0)))*(1-IF(AND(ArtifactsInput!$M$27,Inputs!$B$4="Chapter Hunt"),CHOOSE(ArtifactsInput!$N$27+1,20,24,28,32,36,40),0)/100)),0)</f>
        <v/>
      </c>
      <c r="R935">
        <f>IF(AND(Inputs!$B$39&lt;&gt;"pvp",Inputs!$B$44&gt;0),IF(MAX(0,Inputs!$B$44-B967)&lt;=0,0,(INT(MAX(0,Inputs!$B$44-B967)/(IF(Inputs!$B$39="pvp",15,MAX(0.1,Skills!D8-IF(TRUE=TRUE,Inputs!$B$33,0)))*(1-IF(AND(ArtifactsInput!$M$27,Inputs!$B$4="Chapter Hunt"),CHOOSE(ArtifactsInput!$N$27+1,20,24,28,32,36,40),0)/100)))+1)),0)</f>
        <v/>
      </c>
      <c r="S935">
        <f>IF(C935,(H935*N935*IF(AND(Inputs!$B$39&lt;&gt;"pvp",Inputs!$B$44&gt;0),((Skills!F8*((R935-1)*IF(Skills!G8&gt;0,INT(Skills!H8/Skills!G8+0.000000001),1)+IF(Skills!G8&gt;0,INT(MIN(Skills!H8,MAX(0,MAX(0,Inputs!$B$44-B967)-((R935-1)*(IF(Inputs!$B$39="pvp",15,MAX(0.1,Skills!D8-IF(TRUE=TRUE,Inputs!$B$33,0)))*(1-IF(AND(ArtifactsInput!$M$27,Inputs!$B$4="Chapter Hunt"),CHOOSE(ArtifactsInput!$N$27+1,20,24,28,32,36,40),0)/100)))))/Skills!G8+0.000000001),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INT(Skills!H8/Skills!G8+0.000000001),1)+IF(Skills!G8&gt;0,INT(MIN(Skills!H8,MAX(0,MAX(0,Inputs!$B$44-B967)-((R935-1)*(IF(Inputs!$B$39="pvp",15,MAX(0.1,Skills!D8-IF(TRUE=TRUE,Inputs!$B$33,0)))*(1-IF(AND(ArtifactsInput!$M$27,Inputs!$B$4="Chapter Hunt"),CHOOSE(ArtifactsInput!$N$27+1,20,24,28,32,36,40),0)/100)))))/Skills!G8+0.000000001),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IFERROR(1/(IF(Inputs!$B$39="pvp",15,MAX(0.1,Skills!D9-IF(TRUE=TRUE,Inputs!$B$33,0)))*(1-IF(AND(ArtifactsInput!$M$27,Inputs!$B$4="Chapter Hunt"),CHOOSE(ArtifactsInput!$N$27+1,20,24,28,32,36,40),0)/100)),0)</f>
        <v/>
      </c>
      <c r="R936">
        <f>IF(AND(Inputs!$B$39&lt;&gt;"pvp",Inputs!$B$44&gt;0),IF(MAX(0,Inputs!$B$44-B967)&lt;=0,0,(INT(MAX(0,Inputs!$B$44-B967)/(IF(Inputs!$B$39="pvp",15,MAX(0.1,Skills!D9-IF(TRUE=TRUE,Inputs!$B$33,0)))*(1-IF(AND(ArtifactsInput!$M$27,Inputs!$B$4="Chapter Hunt"),CHOOSE(ArtifactsInput!$N$27+1,20,24,28,32,36,40),0)/100)))+1)),0)</f>
        <v/>
      </c>
      <c r="S936">
        <f>IF(C936,(H936*N936*IF(AND(Inputs!$B$39&lt;&gt;"pvp",Inputs!$B$44&gt;0),((Skills!F9*((R936-1)*IF(Skills!G9&gt;0,INT(Skills!H9/Skills!G9+0.000000001),1)+IF(Skills!G9&gt;0,INT(MIN(Skills!H9,MAX(0,MAX(0,Inputs!$B$44-B967)-((R936-1)*(IF(Inputs!$B$39="pvp",15,MAX(0.1,Skills!D9-IF(TRUE=TRUE,Inputs!$B$33,0)))*(1-IF(AND(ArtifactsInput!$M$27,Inputs!$B$4="Chapter Hunt"),CHOOSE(ArtifactsInput!$N$27+1,20,24,28,32,36,40),0)/100)))))/Skills!G9+0.000000001),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INT(Skills!H9/Skills!G9+0.000000001),1)+IF(Skills!G9&gt;0,INT(MIN(Skills!H9,MAX(0,MAX(0,Inputs!$B$44-B967)-((R936-1)*(IF(Inputs!$B$39="pvp",15,MAX(0.1,Skills!D9-IF(TRUE=TRUE,Inputs!$B$33,0)))*(1-IF(AND(ArtifactsInput!$M$27,Inputs!$B$4="Chapter Hunt"),CHOOSE(ArtifactsInput!$N$27+1,20,24,28,32,36,40),0)/100)))))/Skills!G9+0.000000001),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IFERROR(1/(IF(Inputs!$B$39="pvp",15,MAX(0.1,Skills!D10-IF(TRUE=TRUE,Inputs!$B$33,0)))*(1-IF(AND(ArtifactsInput!$M$27,Inputs!$B$4="Chapter Hunt"),CHOOSE(ArtifactsInput!$N$27+1,20,24,28,32,36,40),0)/100)),0)</f>
        <v/>
      </c>
      <c r="R937">
        <f>IF(AND(Inputs!$B$39&lt;&gt;"pvp",Inputs!$B$44&gt;0),IF(MAX(0,Inputs!$B$44-B967)&lt;=0,0,(INT(MAX(0,Inputs!$B$44-B967)/(IF(Inputs!$B$39="pvp",15,MAX(0.1,Skills!D10-IF(TRUE=TRUE,Inputs!$B$33,0)))*(1-IF(AND(ArtifactsInput!$M$27,Inputs!$B$4="Chapter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IFERROR(1/(IF(Inputs!$B$39="pvp",15,MAX(0.1,Skills!D11-IF(TRUE=TRUE,Inputs!$B$33,0)))*(1-IF(AND(ArtifactsInput!$M$27,Inputs!$B$4="Chapter Hunt"),CHOOSE(ArtifactsInput!$N$27+1,20,24,28,32,36,40),0)/100)),0)</f>
        <v/>
      </c>
      <c r="R938">
        <f>IF(AND(Inputs!$B$39&lt;&gt;"pvp",Inputs!$B$44&gt;0),IF(Inputs!$B$44&lt;=0,0,(INT(Inputs!$B$44/(IF(Inputs!$B$39="pvp",15,MAX(0.1,Skills!D11-IF(TRUE=TRUE,Inputs!$B$33,0)))*(1-IF(AND(ArtifactsInput!$M$27,Inputs!$B$4="Chapter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IFERROR(1/(IF(Inputs!$B$39="pvp",15,MAX(0.1,Skills!D12-IF(TRUE=TRUE,Inputs!$B$33,0)))*(1-IF(AND(ArtifactsInput!$M$27,Inputs!$B$4="Chapter Hunt"),CHOOSE(ArtifactsInput!$N$27+1,20,24,28,32,36,40),0)/100)),0)</f>
        <v/>
      </c>
      <c r="R939">
        <f>IF(AND(Inputs!$B$39&lt;&gt;"pvp",Inputs!$B$44&gt;0),IF(MAX(0,Inputs!$B$44-B967)&lt;=0,0,(INT(MAX(0,Inputs!$B$44-B967)/(IF(Inputs!$B$39="pvp",15,MAX(0.1,Skills!D12-IF(TRUE=TRUE,Inputs!$B$33,0)))*(1-IF(AND(ArtifactsInput!$M$27,Inputs!$B$4="Chapter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IFERROR(1/(IF(Inputs!$B$39="pvp",15,MAX(0.1,Skills!D13-IF(TRUE=TRUE,Inputs!$B$33,0)))*(1-IF(AND(ArtifactsInput!$M$27,Inputs!$B$4="Chapter Hunt"),CHOOSE(ArtifactsInput!$N$27+1,20,24,28,32,36,40),0)/100)),0)</f>
        <v/>
      </c>
      <c r="R940">
        <f>IF(AND(Inputs!$B$39&lt;&gt;"pvp",Inputs!$B$44&gt;0),IF(MAX(0,Inputs!$B$44-B967)&lt;=0,0,(INT(MAX(0,Inputs!$B$44-B967)/(IF(Inputs!$B$39="pvp",15,MAX(0.1,Skills!D13-IF(TRUE=TRUE,Inputs!$B$33,0)))*(1-IF(AND(ArtifactsInput!$M$27,Inputs!$B$4="Chapter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IFERROR(1/(IF(Inputs!$B$39="pvp",15,MAX(0.1,Skills!D14-IF(TRUE=TRUE,Inputs!$B$33,0)))*(1-IF(AND(ArtifactsInput!$M$27,Inputs!$B$4="Chapter Hunt"),CHOOSE(ArtifactsInput!$N$27+1,20,24,28,32,36,40),0)/100)),0)</f>
        <v/>
      </c>
      <c r="R941">
        <f>IF(AND(Inputs!$B$39&lt;&gt;"pvp",Inputs!$B$44&gt;0),IF(Inputs!$B$44&lt;=0,0,(INT(Inputs!$B$44/(IF(Inputs!$B$39="pvp",15,MAX(0.1,Skills!D14-IF(TRUE=TRUE,Inputs!$B$33,0)))*(1-IF(AND(ArtifactsInput!$M$27,Inputs!$B$4="Chapter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IFERROR(1/(IF(Inputs!$B$39="pvp",15,MAX(0.1,Skills!D15-IF(TRUE=TRUE,Inputs!$B$33,0)))*(1-IF(AND(ArtifactsInput!$M$27,Inputs!$B$4="Chapter Hunt"),CHOOSE(ArtifactsInput!$N$27+1,20,24,28,32,36,40),0)/100)),0)</f>
        <v/>
      </c>
      <c r="R942" t="n">
        <v>0</v>
      </c>
      <c r="S942">
        <f>IF(C942,(Skills!F15*N942*((IF(Inputs!$B$3&gt;=78,25,15)/100*B963*10)/(1+IF(Inputs!$B$3&gt;=78,25,15)/100*B963*IF(Inputs!$B$39="pvp",15,MAX(0.1,18-IF(TRUE=TRUE,Inputs!$B$33,0)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IF(Inputs!$B$39="pvp",15,MAX(0.1,18-IF(TRUE=TRUE,Inputs!$B$33,0)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IFERROR(1/(IF(Inputs!$B$39="pvp",15,MAX(0.1,Skills!D16-IF(TRUE=TRUE,Inputs!$B$33,0)))*(1-IF(AND(ArtifactsInput!$M$27,Inputs!$B$4="Chapter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IFERROR(1/(IF(Inputs!$B$39="pvp",15,MAX(0.1,Skills!D17-IF(TRUE=TRUE,Inputs!$B$33,0)))*(1-IF(AND(ArtifactsInput!$M$27,Inputs!$B$4="Chapter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IFERROR(1/(IF(Inputs!$B$39="pvp",15,MAX(0.1,Skills!D18-IF(TRUE=TRUE,Inputs!$B$33,0)))*(1-IF(AND(ArtifactsInput!$M$27,Inputs!$B$4="Chapter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IFERROR(1/(IF(Inputs!$B$39="pvp",15,MAX(0.1,Skills!D19-IF(TRUE=TRUE,Inputs!$B$33,0)))*(1-IF(AND(ArtifactsInput!$M$27,Inputs!$B$4="Chapter Hunt"),CHOOSE(ArtifactsInput!$N$27+1,20,24,28,32,36,40),0)/100)),0)</f>
        <v/>
      </c>
      <c r="R946">
        <f>IF(AND(Inputs!$B$39&lt;&gt;"pvp",Inputs!$B$44&gt;0),IF(Inputs!$B$44&lt;=0,0,(INT(Inputs!$B$44/(IF(Inputs!$B$39="pvp",15,MAX(0.1,Skills!D19-IF(TRUE=TRUE,Inputs!$B$33,0)))*(1-IF(AND(ArtifactsInput!$M$27,Inputs!$B$4="Chapter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IFERROR(1/(IF(Inputs!$B$39="pvp",15,MAX(0.1,Skills!D20-IF(TRUE=TRUE,Inputs!$B$33,0)))*(1-IF(AND(ArtifactsInput!$M$27,Inputs!$B$4="Chapter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IFERROR(1/(IF(Inputs!$B$39="pvp",15,MAX(0.1,Skills!D21-IF(TRUE=TRUE,Inputs!$B$33,0)))*(1-IF(AND(ArtifactsInput!$M$27,Inputs!$B$4="Chapter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IFERROR(1/(IF(Inputs!$B$39="pvp",15,MAX(0.1,Skills!D22-IF(TRUE=TRUE,Inputs!$B$33,0)))*(1-IF(AND(ArtifactsInput!$M$27,Inputs!$B$4="Chapter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IFERROR(1/(IF(Inputs!$B$39="pvp",15,MAX(0.1,Skills!D23-IF(TRUE=TRUE,Inputs!$B$33,0)))*(1-IF(AND(ArtifactsInput!$M$27,Inputs!$B$4="Chapter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IFERROR(1/(IF(Inputs!$B$39="pvp",15,MAX(0.1,Skills!D24-IF(TRUE=TRUE,Inputs!$B$33,0)))*(1-IF(AND(ArtifactsInput!$M$27,Inputs!$B$4="Chapter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IFERROR(1/(IF(Inputs!$B$39="pvp",15,MAX(0.1,Skills!D25-IF(TRUE=TRUE,Inputs!$B$33,0)))*(1-IF(AND(ArtifactsInput!$M$27,Inputs!$B$4="Chapter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IFERROR(1/(IF(Inputs!$B$39="pvp",15,MAX(0.1,Skills!D26-IF(TRUE=TRUE,Inputs!$B$33,0)))*(1-IF(AND(ArtifactsInput!$M$27,Inputs!$B$4="Chapter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IFERROR(1/(IF(Inputs!$B$39="pvp",15,MAX(0.1,Skills!D27-IF(TRUE=TRUE,Inputs!$B$33,0)))*(1-IF(AND(ArtifactsInput!$M$27,Inputs!$B$4="Chapter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IFERROR(1/(IF(Inputs!$B$39="pvp",15,MAX(0.1,Skills!D28-IF(TRUE=TRUE,Inputs!$B$33,0)))*(1-IF(AND(ArtifactsInput!$M$27,Inputs!$B$4="Chapter Hunt"),CHOOSE(ArtifactsInput!$N$27+1,20,24,28,32,36,40),0)/100)),0)</f>
        <v/>
      </c>
      <c r="R955">
        <f>IF(AND(Inputs!$B$39&lt;&gt;"pvp",Inputs!$B$44&gt;0),IF(Inputs!$B$44&lt;=0,0,(INT(Inputs!$B$44/(IF(Inputs!$B$39="pvp",15,MAX(0.1,Skills!D28-IF(TRUE=TRUE,Inputs!$B$33,0)))*(1-IF(AND(ArtifactsInput!$M$27,Inputs!$B$4="Chapter Hunt"),CHOOSE(ArtifactsInput!$N$27+1,20,24,28,32,36,40),0)/100)))+1)),0)</f>
        <v/>
      </c>
      <c r="S955" t="n">
        <v>0</v>
      </c>
      <c r="U955" t="n">
        <v>0</v>
      </c>
    </row>
    <row r="957">
      <c r="A957" t="inlineStr">
        <is>
          <t>Average Buff Multiplier</t>
        </is>
      </c>
      <c r="B957">
        <f>(1+(IF(C930=TRUE,F930*IF(AND(Inputs!$B$39&lt;&gt;"pvp",Inputs!$B$44&gt;0),(((R930-1)*MIN((Skills!S3*(1+((Inputs!$B$35+(ArtifactsInput!$M$7-ArtifactsInput!$M$7)*CHOOSE(ArtifactsInput!$N$7+1,6,7.2,8.4,9.6,10.8,12)))/100)),(1/Q930))+MIN((Skills!S3*(1+((Inputs!$B$35+(ArtifactsInput!$M$7-ArtifactsInput!$M$7)*CHOOSE(ArtifactsInput!$N$7+1,6,7.2,8.4,9.6,10.8,12)))/100)),MAX(0,Inputs!$B$44-((R930-1)*(1/Q930)))))/Inputs!$B$44),IF(Inputs!$B$39="pvp",MIN((Skills!S3*(1+((Inputs!$B$35+(ArtifactsInput!$M$7-ArtifactsInput!$M$7)*CHOOSE(ArtifactsInput!$N$7+1,6,7.2,8.4,9.6,10.8,12)))/100)),15)/15,MIN(1,(Skills!S3*(1+((Inputs!$B$35+(ArtifactsInput!$M$7-ArtifactsInput!$M$7)*CHOOSE(ArtifactsInput!$N$7+1,6,7.2,8.4,9.6,10.8,12)))/100))/(1/Q930)))),0)+IF(C931=TRUE,F931*IF(AND(Inputs!$B$39&lt;&gt;"pvp",Inputs!$B$44&gt;0),(((R931-1)*MIN((Skills!S4*(1+((Inputs!$B$35+(ArtifactsInput!$M$7-ArtifactsInput!$M$7)*CHOOSE(ArtifactsInput!$N$7+1,6,7.2,8.4,9.6,10.8,12)))/100)),(1/Q931))+MIN((Skills!S4*(1+((Inputs!$B$35+(ArtifactsInput!$M$7-ArtifactsInput!$M$7)*CHOOSE(ArtifactsInput!$N$7+1,6,7.2,8.4,9.6,10.8,12)))/100)),MAX(0,Inputs!$B$44-((R931-1)*(1/Q931)))))/Inputs!$B$44),IF(Inputs!$B$39="pvp",MIN((Skills!S4*(1+((Inputs!$B$35+(ArtifactsInput!$M$7-ArtifactsInput!$M$7)*CHOOSE(ArtifactsInput!$N$7+1,6,7.2,8.4,9.6,10.8,12)))/100)),15)/15,MIN(1,(Skills!S4*(1+((Inputs!$B$35+(ArtifactsInput!$M$7-ArtifactsInput!$M$7)*CHOOSE(ArtifactsInput!$N$7+1,6,7.2,8.4,9.6,10.8,12)))/100))/(1/Q931)))),0)+IF(C932=TRUE,F932*IF(AND(Inputs!$B$39&lt;&gt;"pvp",Inputs!$B$44&gt;0),(((R932-1)*MIN((Skills!S5*(1+((Inputs!$B$35+(ArtifactsInput!$M$7-ArtifactsInput!$M$7)*CHOOSE(ArtifactsInput!$N$7+1,6,7.2,8.4,9.6,10.8,12)))/100)),(1/Q932))+MIN((Skills!S5*(1+((Inputs!$B$35+(ArtifactsInput!$M$7-ArtifactsInput!$M$7)*CHOOSE(ArtifactsInput!$N$7+1,6,7.2,8.4,9.6,10.8,12)))/100)),MAX(0,Inputs!$B$44-((R932-1)*(1/Q932)))))/Inputs!$B$44),IF(Inputs!$B$39="pvp",MIN((Skills!S5*(1+((Inputs!$B$35+(ArtifactsInput!$M$7-ArtifactsInput!$M$7)*CHOOSE(ArtifactsInput!$N$7+1,6,7.2,8.4,9.6,10.8,12)))/100)),15)/15,MIN(1,(Skills!S5*(1+((Inputs!$B$35+(ArtifactsInput!$M$7-ArtifactsInput!$M$7)*CHOOSE(ArtifactsInput!$N$7+1,6,7.2,8.4,9.6,10.8,12)))/100))/(1/Q932)))),0)+IF(C938=TRUE,F938*IF(AND(Inputs!$B$39&lt;&gt;"pvp",Inputs!$B$44&gt;0),(((R938-1)*MIN((Skills!S11*(1+((Inputs!$B$35+(ArtifactsInput!$M$7-ArtifactsInput!$M$7)*CHOOSE(ArtifactsInput!$N$7+1,6,7.2,8.4,9.6,10.8,12)))/100)),(1/Q938))+MIN((Skills!S11*(1+((Inputs!$B$35+(ArtifactsInput!$M$7-ArtifactsInput!$M$7)*CHOOSE(ArtifactsInput!$N$7+1,6,7.2,8.4,9.6,10.8,12)))/100)),MAX(0,Inputs!$B$44-((R938-1)*(1/Q938)))))/Inputs!$B$44),IF(Inputs!$B$39="pvp",MIN((Skills!S11*(1+((Inputs!$B$35+(ArtifactsInput!$M$7-ArtifactsInput!$M$7)*CHOOSE(ArtifactsInput!$N$7+1,6,7.2,8.4,9.6,10.8,12)))/100)),15)/15,MIN(1,(Skills!S11*(1+((Inputs!$B$35+(ArtifactsInput!$M$7-ArtifactsInput!$M$7)*CHOOSE(ArtifactsInput!$N$7+1,6,7.2,8.4,9.6,10.8,12)))/100))/(1/Q938)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MIN((Skills!S14*(1+((Inputs!$B$35+(ArtifactsInput!$M$7-ArtifactsInput!$M$7)*CHOOSE(ArtifactsInput!$N$7+1,6,7.2,8.4,9.6,10.8,12)))/100)),(1/Q941))+MIN((Skills!S14*(1+((Inputs!$B$35+(ArtifactsInput!$M$7-ArtifactsInput!$M$7)*CHOOSE(ArtifactsInput!$N$7+1,6,7.2,8.4,9.6,10.8,12)))/100)),MAX(0,Inputs!$B$44-((R941-1)*(1/Q941)))))/Inputs!$B$44),IF(Inputs!$B$39="pvp",MIN((Skills!S14*(1+((Inputs!$B$35+(ArtifactsInput!$M$7-ArtifactsInput!$M$7)*CHOOSE(ArtifactsInput!$N$7+1,6,7.2,8.4,9.6,10.8,12)))/100)),15)/15,MIN(1,(Skills!S14*(1+((Inputs!$B$35+(ArtifactsInput!$M$7-ArtifactsInput!$M$7)*CHOOSE(ArtifactsInput!$N$7+1,6,7.2,8.4,9.6,10.8,12)))/100))/(1/Q941))))/100),1)*IF(C946=TRUE,(1+F946*IF(AND(Inputs!$B$39&lt;&gt;"pvp",Inputs!$B$44&gt;0),(((R946-1)*MIN((Skills!S19*(1+((Inputs!$B$35+(ArtifactsInput!$M$7-ArtifactsInput!$M$7)*CHOOSE(ArtifactsInput!$N$7+1,6,7.2,8.4,9.6,10.8,12)))/100)),(1/Q946))+MIN((Skills!S19*(1+((Inputs!$B$35+(ArtifactsInput!$M$7-ArtifactsInput!$M$7)*CHOOSE(ArtifactsInput!$N$7+1,6,7.2,8.4,9.6,10.8,12)))/100)),MAX(0,Inputs!$B$44-((R946-1)*(1/Q946)))))/Inputs!$B$44),IF(Inputs!$B$39="pvp",MIN((Skills!S19*(1+((Inputs!$B$35+(ArtifactsInput!$M$7-ArtifactsInput!$M$7)*CHOOSE(ArtifactsInput!$N$7+1,6,7.2,8.4,9.6,10.8,12)))/100)),15)/15,MIN(1,(Skills!S19*(1+((Inputs!$B$35+(ArtifactsInput!$M$7-ArtifactsInput!$M$7)*CHOOSE(ArtifactsInput!$N$7+1,6,7.2,8.4,9.6,10.8,12)))/100))/(1/Q946))))/100),1)</f>
        <v/>
      </c>
    </row>
    <row r="958">
      <c r="A958" t="inlineStr">
        <is>
          <t>Monster Damage Taken Bonus % (Holy Fountain)</t>
        </is>
      </c>
      <c r="B958">
        <f>IF(Inputs!$B$3&gt;=68,20*IF(Inputs!$B$39="pvp",MIN((15*(1+((Inputs!$B$35+(ArtifactsInput!$M$7-ArtifactsInput!$M$7)*CHOOSE(ArtifactsInput!$N$7+1,6,7.2,8.4,9.6,10.8,12)))/100)),15)/15,MIN(1,(15*(1+((Inputs!$B$35+(ArtifactsInput!$M$7-ArtifactsInput!$M$7)*CHOOSE(ArtifactsInput!$N$7+1,6,7.2,8.4,9.6,10.8,12)))/100))/(1/Q937))),0)</f>
        <v/>
      </c>
    </row>
    <row r="959">
      <c r="A959" t="inlineStr">
        <is>
          <t>Normal Monster Damage Bonus % (Holy Symbol)</t>
        </is>
      </c>
      <c r="B959">
        <f>IF(C939=TRUE,F939*IF(AND(Inputs!$B$39&lt;&gt;"pvp",Inputs!$B$44&gt;0),(((R939-1)*MIN((Skills!S12*(1+((Inputs!$B$35+(ArtifactsInput!$M$7-ArtifactsInput!$M$7)*CHOOSE(ArtifactsInput!$N$7+1,6,7.2,8.4,9.6,10.8,12)))/100)),(1/Q939))+MIN((Skills!S12*(1+((Inputs!$B$35+(ArtifactsInput!$M$7-ArtifactsInput!$M$7)*CHOOSE(ArtifactsInput!$N$7+1,6,7.2,8.4,9.6,10.8,12)))/100)),MAX(0,Inputs!$B$44-((R939-1)*(1/Q939)))))/Inputs!$B$44),IF(Inputs!$B$39="pvp",MIN((Skills!S12*(1+((Inputs!$B$35+(ArtifactsInput!$M$7-ArtifactsInput!$M$7)*CHOOSE(ArtifactsInput!$N$7+1,6,7.2,8.4,9.6,10.8,12)))/100)),15)/15,MIN(1,(Skills!S12*(1+((Inputs!$B$35+(ArtifactsInput!$M$7-ArtifactsInput!$M$7)*CHOOSE(ArtifactsInput!$N$7+1,6,7.2,8.4,9.6,10.8,12)))/100))/(1/Q939)))),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MIN((Skills!S28*(1+((Inputs!$B$35+(ArtifactsInput!$M$7-ArtifactsInput!$M$7)*CHOOSE(ArtifactsInput!$N$7+1,6,7.2,8.4,9.6,10.8,12)))/100)),(1/Q955))+MIN((Skills!S28*(1+((Inputs!$B$35+(ArtifactsInput!$M$7-ArtifactsInput!$M$7)*CHOOSE(ArtifactsInput!$N$7+1,6,7.2,8.4,9.6,10.8,12)))/100)),MAX(0,Inputs!$B$44-((R955-1)*(1/Q955)))))/Inputs!$B$44),IF(Inputs!$B$39="pvp",MIN((Skills!S28*(1+((Inputs!$B$35+(ArtifactsInput!$M$7-ArtifactsInput!$M$7)*CHOOSE(ArtifactsInput!$N$7+1,6,7.2,8.4,9.6,10.8,12)))/100)),15)/15,MIN(1,(Skills!S28*(1+((Inputs!$B$35+(ArtifactsInput!$M$7-ArtifactsInput!$M$7)*CHOOSE(ArtifactsInput!$N$7+1,6,7.2,8.4,9.6,10.8,12)))/100))/(1/Q955)))))</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MIN((Skills!S13*(1+((Inputs!$B$35+(ArtifactsInput!$M$7-ArtifactsInput!$M$7)*CHOOSE(ArtifactsInput!$N$7+1,6,7.2,8.4,9.6,10.8,12)))/100)),(1/Q940))+MIN((Skills!S13*(1+((Inputs!$B$35+(ArtifactsInput!$M$7-ArtifactsInput!$M$7)*CHOOSE(ArtifactsInput!$N$7+1,6,7.2,8.4,9.6,10.8,12)))/100)),MAX(0,Inputs!$B$44-((R940-1)*(1/Q940)))))/Inputs!$B$44),IF(Inputs!$B$39="pvp",MIN((Skills!S13*(1+((Inputs!$B$35+(ArtifactsInput!$M$7-ArtifactsInput!$M$7)*CHOOSE(ArtifactsInput!$N$7+1,6,7.2,8.4,9.6,10.8,12)))/100)),15)/15,MIN(1,(Skills!S13*(1+((Inputs!$B$35+(ArtifactsInput!$M$7-ArtifactsInput!$M$7)*CHOOSE(ArtifactsInput!$N$7+1,6,7.2,8.4,9.6,10.8,12)))/100))/(1/Q940)))),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IFERROR(1/(IF(Inputs!$B$39="pvp",15,MAX(0.1,Skills!D2-IF(TRUE=TRUE,Inputs!$B$33,0)))*(1-IF(AND(ArtifactsInput!$M$27,Inputs!$B$4="Chapter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IFERROR(1/(IF(Inputs!$B$39="pvp",15,MAX(0.1,Skills!D3-IF(TRUE=TRUE,Inputs!$B$33,0)))*(1-IF(AND(ArtifactsInput!$M$27,Inputs!$B$4="Chapter Hunt"),CHOOSE(ArtifactsInput!$N$27+1,20,24,28,32,36,40),0)/100)),0)</f>
        <v/>
      </c>
      <c r="R975">
        <f>IF(AND(Inputs!$B$39&lt;&gt;"pvp",Inputs!$B$44&gt;0),IF(Inputs!$B$44&lt;=0,0,(INT(Inputs!$B$44/(IF(Inputs!$B$39="pvp",15,MAX(0.1,Skills!D3-IF(TRUE=TRUE,Inputs!$B$33,0)))*(1-IF(AND(ArtifactsInput!$M$27,Inputs!$B$4="Chapter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IFERROR(1/(IF(Inputs!$B$39="pvp",15,MAX(0.1,Skills!D4-IF(TRUE=TRUE,Inputs!$B$33,0)))*(1-IF(AND(ArtifactsInput!$M$27,Inputs!$B$4="Chapter Hunt"),CHOOSE(ArtifactsInput!$N$27+1,20,24,28,32,36,40),0)/100)),0)</f>
        <v/>
      </c>
      <c r="R976">
        <f>IF(AND(Inputs!$B$39&lt;&gt;"pvp",Inputs!$B$44&gt;0),IF(Inputs!$B$44&lt;=0,0,(INT(Inputs!$B$44/(IF(Inputs!$B$39="pvp",15,MAX(0.1,Skills!D4-IF(TRUE=TRUE,Inputs!$B$33,0)))*(1-IF(AND(ArtifactsInput!$M$27,Inputs!$B$4="Chapter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IFERROR(1/(IF(Inputs!$B$39="pvp",15,MAX(0.1,Skills!D5-IF(TRUE=TRUE,Inputs!$B$33,0)))*(1-IF(AND(ArtifactsInput!$M$27,Inputs!$B$4="Chapter Hunt"),CHOOSE(ArtifactsInput!$N$27+1,20,24,28,32,36,40),0)/100)),0)</f>
        <v/>
      </c>
      <c r="R977">
        <f>IF(AND(Inputs!$B$39&lt;&gt;"pvp",Inputs!$B$44&gt;0),IF(Inputs!$B$44&lt;=0,0,(INT(Inputs!$B$44/(IF(Inputs!$B$39="pvp",15,MAX(0.1,Skills!D5-IF(TRUE=TRUE,Inputs!$B$33,0)))*(1-IF(AND(ArtifactsInput!$M$27,Inputs!$B$4="Chapter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IFERROR(1/(IF(Inputs!$B$39="pvp",15,MAX(0.1,Skills!D6-IF(TRUE=TRUE,Inputs!$B$33,0)))*(1-IF(AND(ArtifactsInput!$M$27,Inputs!$B$4="Chapter Hunt"),CHOOSE(ArtifactsInput!$N$27+1,20,24,28,32,36,40),0)/100)),0)</f>
        <v/>
      </c>
      <c r="R978">
        <f>IF(AND(Inputs!$B$39&lt;&gt;"pvp",Inputs!$B$44&gt;0),IF(MAX(0,Inputs!$B$44-B1012)&lt;=0,0,(INT(MAX(0,Inputs!$B$44-B1012)/(IF(Inputs!$B$39="pvp",15,MAX(0.1,Skills!D6-IF(TRUE=TRUE,Inputs!$B$33,0)))*(1-IF(AND(ArtifactsInput!$M$27,Inputs!$B$4="Chapter Hunt"),CHOOSE(ArtifactsInput!$N$27+1,20,24,28,32,36,40),0)/100)))+1)),0)</f>
        <v/>
      </c>
      <c r="S978">
        <f>IF(C978,(H978*N978*IF(AND(Inputs!$B$39&lt;&gt;"pvp",Inputs!$B$44&gt;0),((Skills!F6*((R978-1)*IF(Skills!G6&gt;0,INT(Skills!H6/Skills!G6+0.000000001),1)+IF(Skills!G6&gt;0,INT(MIN(Skills!H6,MAX(0,MAX(0,Inputs!$B$44-B1012)-((R978-1)*(IF(Inputs!$B$39="pvp",15,MAX(0.1,Skills!D6-IF(TRUE=TRUE,Inputs!$B$33,0)))*(1-IF(AND(ArtifactsInput!$M$27,Inputs!$B$4="Chapter Hunt"),CHOOSE(ArtifactsInput!$N$27+1,20,24,28,32,36,40),0)/100)))))/Skills!G6+0.000000001),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INT(Skills!H6/Skills!G6+0.000000001),1)+IF(Skills!G6&gt;0,INT(MIN(Skills!H6,MAX(0,MAX(0,Inputs!$B$44-B1012)-((R978-1)*(IF(Inputs!$B$39="pvp",15,MAX(0.1,Skills!D6-IF(TRUE=TRUE,Inputs!$B$33,0)))*(1-IF(AND(ArtifactsInput!$M$27,Inputs!$B$4="Chapter Hunt"),CHOOSE(ArtifactsInput!$N$27+1,20,24,28,32,36,40),0)/100)))))/Skills!G6+0.000000001),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IFERROR(1/(IF(Inputs!$B$39="pvp",15,MAX(0.1,Skills!D7-IF(TRUE=TRUE,Inputs!$B$33,0)))*(1-IF(AND(ArtifactsInput!$M$27,Inputs!$B$4="Chapter Hunt"),CHOOSE(ArtifactsInput!$N$27+1,20,24,28,32,36,40),0)/100)),0)</f>
        <v/>
      </c>
      <c r="R979">
        <f>IF(AND(Inputs!$B$39&lt;&gt;"pvp",Inputs!$B$44&gt;0),IF(MAX(0,Inputs!$B$44-B1012)&lt;=0,0,(INT(MAX(0,Inputs!$B$44-B1012)/(IF(Inputs!$B$39="pvp",15,MAX(0.1,Skills!D7-IF(TRUE=TRUE,Inputs!$B$33,0)))*(1-IF(AND(ArtifactsInput!$M$27,Inputs!$B$4="Chapter Hunt"),CHOOSE(ArtifactsInput!$N$27+1,20,24,28,32,36,40),0)/100)))+1)),0)</f>
        <v/>
      </c>
      <c r="S979">
        <f>IF(C979,H979*N979*IF(AND(Inputs!$B$39&lt;&gt;"pvp",Inputs!$B$44&gt;0),((Skills!F7*((R979-1)*IF(Skills!G7&gt;0,INT(Skills!H7/Skills!G7+0.000000001),1)+IF(Skills!G7&gt;0,INT(MIN(Skills!H7,MAX(0,MAX(0,Inputs!$B$44-B1012)-((R979-1)*(IF(Inputs!$B$39="pvp",15,MAX(0.1,Skills!D7-IF(TRUE=TRUE,Inputs!$B$33,0)))*(1-IF(AND(ArtifactsInput!$M$27,Inputs!$B$4="Chapter Hunt"),CHOOSE(ArtifactsInput!$N$27+1,20,24,28,32,36,40),0)/100)))))/Skills!G7+0.000000001),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IFERROR(1/(IF(Inputs!$B$39="pvp",15,MAX(0.1,Skills!D8-IF(TRUE=TRUE,Inputs!$B$33,0)))*(1-IF(AND(ArtifactsInput!$M$27,Inputs!$B$4="Chapter Hunt"),CHOOSE(ArtifactsInput!$N$27+1,20,24,28,32,36,40),0)/100)),0)</f>
        <v/>
      </c>
      <c r="R980">
        <f>IF(AND(Inputs!$B$39&lt;&gt;"pvp",Inputs!$B$44&gt;0),IF(MAX(0,Inputs!$B$44-B1012)&lt;=0,0,(INT(MAX(0,Inputs!$B$44-B1012)/(IF(Inputs!$B$39="pvp",15,MAX(0.1,Skills!D8-IF(TRUE=TRUE,Inputs!$B$33,0)))*(1-IF(AND(ArtifactsInput!$M$27,Inputs!$B$4="Chapter Hunt"),CHOOSE(ArtifactsInput!$N$27+1,20,24,28,32,36,40),0)/100)))+1)),0)</f>
        <v/>
      </c>
      <c r="S980">
        <f>IF(C980,(H980*N980*IF(AND(Inputs!$B$39&lt;&gt;"pvp",Inputs!$B$44&gt;0),((Skills!F8*((R980-1)*IF(Skills!G8&gt;0,INT(Skills!H8/Skills!G8+0.000000001),1)+IF(Skills!G8&gt;0,INT(MIN(Skills!H8,MAX(0,MAX(0,Inputs!$B$44-B1012)-((R980-1)*(IF(Inputs!$B$39="pvp",15,MAX(0.1,Skills!D8-IF(TRUE=TRUE,Inputs!$B$33,0)))*(1-IF(AND(ArtifactsInput!$M$27,Inputs!$B$4="Chapter Hunt"),CHOOSE(ArtifactsInput!$N$27+1,20,24,28,32,36,40),0)/100)))))/Skills!G8+0.000000001),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INT(Skills!H8/Skills!G8+0.000000001),1)+IF(Skills!G8&gt;0,INT(MIN(Skills!H8,MAX(0,MAX(0,Inputs!$B$44-B1012)-((R980-1)*(IF(Inputs!$B$39="pvp",15,MAX(0.1,Skills!D8-IF(TRUE=TRUE,Inputs!$B$33,0)))*(1-IF(AND(ArtifactsInput!$M$27,Inputs!$B$4="Chapter Hunt"),CHOOSE(ArtifactsInput!$N$27+1,20,24,28,32,36,40),0)/100)))))/Skills!G8+0.000000001),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IFERROR(1/(IF(Inputs!$B$39="pvp",15,MAX(0.1,Skills!D9-IF(TRUE=TRUE,Inputs!$B$33,0)))*(1-IF(AND(ArtifactsInput!$M$27,Inputs!$B$4="Chapter Hunt"),CHOOSE(ArtifactsInput!$N$27+1,20,24,28,32,36,40),0)/100)),0)</f>
        <v/>
      </c>
      <c r="R981">
        <f>IF(AND(Inputs!$B$39&lt;&gt;"pvp",Inputs!$B$44&gt;0),IF(MAX(0,Inputs!$B$44-B1012)&lt;=0,0,(INT(MAX(0,Inputs!$B$44-B1012)/(IF(Inputs!$B$39="pvp",15,MAX(0.1,Skills!D9-IF(TRUE=TRUE,Inputs!$B$33,0)))*(1-IF(AND(ArtifactsInput!$M$27,Inputs!$B$4="Chapter Hunt"),CHOOSE(ArtifactsInput!$N$27+1,20,24,28,32,36,40),0)/100)))+1)),0)</f>
        <v/>
      </c>
      <c r="S981">
        <f>IF(C981,(H981*N981*IF(AND(Inputs!$B$39&lt;&gt;"pvp",Inputs!$B$44&gt;0),((Skills!F9*((R981-1)*IF(Skills!G9&gt;0,INT(Skills!H9/Skills!G9+0.000000001),1)+IF(Skills!G9&gt;0,INT(MIN(Skills!H9,MAX(0,MAX(0,Inputs!$B$44-B1012)-((R981-1)*(IF(Inputs!$B$39="pvp",15,MAX(0.1,Skills!D9-IF(TRUE=TRUE,Inputs!$B$33,0)))*(1-IF(AND(ArtifactsInput!$M$27,Inputs!$B$4="Chapter Hunt"),CHOOSE(ArtifactsInput!$N$27+1,20,24,28,32,36,40),0)/100)))))/Skills!G9+0.000000001),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INT(Skills!H9/Skills!G9+0.000000001),1)+IF(Skills!G9&gt;0,INT(MIN(Skills!H9,MAX(0,MAX(0,Inputs!$B$44-B1012)-((R981-1)*(IF(Inputs!$B$39="pvp",15,MAX(0.1,Skills!D9-IF(TRUE=TRUE,Inputs!$B$33,0)))*(1-IF(AND(ArtifactsInput!$M$27,Inputs!$B$4="Chapter Hunt"),CHOOSE(ArtifactsInput!$N$27+1,20,24,28,32,36,40),0)/100)))))/Skills!G9+0.000000001),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IFERROR(1/(IF(Inputs!$B$39="pvp",15,MAX(0.1,Skills!D10-IF(TRUE=TRUE,Inputs!$B$33,0)))*(1-IF(AND(ArtifactsInput!$M$27,Inputs!$B$4="Chapter Hunt"),CHOOSE(ArtifactsInput!$N$27+1,20,24,28,32,36,40),0)/100)),0)</f>
        <v/>
      </c>
      <c r="R982">
        <f>IF(AND(Inputs!$B$39&lt;&gt;"pvp",Inputs!$B$44&gt;0),IF(MAX(0,Inputs!$B$44-B1012)&lt;=0,0,(INT(MAX(0,Inputs!$B$44-B1012)/(IF(Inputs!$B$39="pvp",15,MAX(0.1,Skills!D10-IF(TRUE=TRUE,Inputs!$B$33,0)))*(1-IF(AND(ArtifactsInput!$M$27,Inputs!$B$4="Chapter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IFERROR(1/(IF(Inputs!$B$39="pvp",15,MAX(0.1,Skills!D11-IF(TRUE=TRUE,Inputs!$B$33,0)))*(1-IF(AND(ArtifactsInput!$M$27,Inputs!$B$4="Chapter Hunt"),CHOOSE(ArtifactsInput!$N$27+1,20,24,28,32,36,40),0)/100)),0)</f>
        <v/>
      </c>
      <c r="R983">
        <f>IF(AND(Inputs!$B$39&lt;&gt;"pvp",Inputs!$B$44&gt;0),IF(Inputs!$B$44&lt;=0,0,(INT(Inputs!$B$44/(IF(Inputs!$B$39="pvp",15,MAX(0.1,Skills!D11-IF(TRUE=TRUE,Inputs!$B$33,0)))*(1-IF(AND(ArtifactsInput!$M$27,Inputs!$B$4="Chapter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IFERROR(1/(IF(Inputs!$B$39="pvp",15,MAX(0.1,Skills!D12-IF(TRUE=TRUE,Inputs!$B$33,0)))*(1-IF(AND(ArtifactsInput!$M$27,Inputs!$B$4="Chapter Hunt"),CHOOSE(ArtifactsInput!$N$27+1,20,24,28,32,36,40),0)/100)),0)</f>
        <v/>
      </c>
      <c r="R984">
        <f>IF(AND(Inputs!$B$39&lt;&gt;"pvp",Inputs!$B$44&gt;0),IF(MAX(0,Inputs!$B$44-B1012)&lt;=0,0,(INT(MAX(0,Inputs!$B$44-B1012)/(IF(Inputs!$B$39="pvp",15,MAX(0.1,Skills!D12-IF(TRUE=TRUE,Inputs!$B$33,0)))*(1-IF(AND(ArtifactsInput!$M$27,Inputs!$B$4="Chapter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IFERROR(1/(IF(Inputs!$B$39="pvp",15,MAX(0.1,Skills!D13-IF(TRUE=TRUE,Inputs!$B$33,0)))*(1-IF(AND(ArtifactsInput!$M$27,Inputs!$B$4="Chapter Hunt"),CHOOSE(ArtifactsInput!$N$27+1,20,24,28,32,36,40),0)/100)),0)</f>
        <v/>
      </c>
      <c r="R985">
        <f>IF(AND(Inputs!$B$39&lt;&gt;"pvp",Inputs!$B$44&gt;0),IF(MAX(0,Inputs!$B$44-B1012)&lt;=0,0,(INT(MAX(0,Inputs!$B$44-B1012)/(IF(Inputs!$B$39="pvp",15,MAX(0.1,Skills!D13-IF(TRUE=TRUE,Inputs!$B$33,0)))*(1-IF(AND(ArtifactsInput!$M$27,Inputs!$B$4="Chapter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IFERROR(1/(IF(Inputs!$B$39="pvp",15,MAX(0.1,Skills!D14-IF(TRUE=TRUE,Inputs!$B$33,0)))*(1-IF(AND(ArtifactsInput!$M$27,Inputs!$B$4="Chapter Hunt"),CHOOSE(ArtifactsInput!$N$27+1,20,24,28,32,36,40),0)/100)),0)</f>
        <v/>
      </c>
      <c r="R986">
        <f>IF(AND(Inputs!$B$39&lt;&gt;"pvp",Inputs!$B$44&gt;0),IF(Inputs!$B$44&lt;=0,0,(INT(Inputs!$B$44/(IF(Inputs!$B$39="pvp",15,MAX(0.1,Skills!D14-IF(TRUE=TRUE,Inputs!$B$33,0)))*(1-IF(AND(ArtifactsInput!$M$27,Inputs!$B$4="Chapter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IFERROR(1/(IF(Inputs!$B$39="pvp",15,MAX(0.1,Skills!D15-IF(TRUE=TRUE,Inputs!$B$33,0)))*(1-IF(AND(ArtifactsInput!$M$27,Inputs!$B$4="Chapter Hunt"),CHOOSE(ArtifactsInput!$N$27+1,20,24,28,32,36,40),0)/100)),0)</f>
        <v/>
      </c>
      <c r="R987" t="n">
        <v>0</v>
      </c>
      <c r="S987">
        <f>IF(C987,(Skills!F15*N987*((IF(Inputs!$B$3&gt;=78,25,15)/100*B1008*10)/(1+IF(Inputs!$B$3&gt;=78,25,15)/100*B1008*IF(Inputs!$B$39="pvp",15,MAX(0.1,18-IF(TRUE=TRUE,Inputs!$B$33,0)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IF(Inputs!$B$39="pvp",15,MAX(0.1,18-IF(TRUE=TRUE,Inputs!$B$33,0)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IFERROR(1/(IF(Inputs!$B$39="pvp",15,MAX(0.1,Skills!D16-IF(TRUE=TRUE,Inputs!$B$33,0)))*(1-IF(AND(ArtifactsInput!$M$27,Inputs!$B$4="Chapter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IFERROR(1/(IF(Inputs!$B$39="pvp",15,MAX(0.1,Skills!D17-IF(TRUE=TRUE,Inputs!$B$33,0)))*(1-IF(AND(ArtifactsInput!$M$27,Inputs!$B$4="Chapter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IFERROR(1/(IF(Inputs!$B$39="pvp",15,MAX(0.1,Skills!D18-IF(TRUE=TRUE,Inputs!$B$33,0)))*(1-IF(AND(ArtifactsInput!$M$27,Inputs!$B$4="Chapter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IFERROR(1/(IF(Inputs!$B$39="pvp",15,MAX(0.1,Skills!D19-IF(TRUE=TRUE,Inputs!$B$33,0)))*(1-IF(AND(ArtifactsInput!$M$27,Inputs!$B$4="Chapter Hunt"),CHOOSE(ArtifactsInput!$N$27+1,20,24,28,32,36,40),0)/100)),0)</f>
        <v/>
      </c>
      <c r="R991">
        <f>IF(AND(Inputs!$B$39&lt;&gt;"pvp",Inputs!$B$44&gt;0),IF(Inputs!$B$44&lt;=0,0,(INT(Inputs!$B$44/(IF(Inputs!$B$39="pvp",15,MAX(0.1,Skills!D19-IF(TRUE=TRUE,Inputs!$B$33,0)))*(1-IF(AND(ArtifactsInput!$M$27,Inputs!$B$4="Chapter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IFERROR(1/(IF(Inputs!$B$39="pvp",15,MAX(0.1,Skills!D20-IF(TRUE=TRUE,Inputs!$B$33,0)))*(1-IF(AND(ArtifactsInput!$M$27,Inputs!$B$4="Chapter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IFERROR(1/(IF(Inputs!$B$39="pvp",15,MAX(0.1,Skills!D21-IF(TRUE=TRUE,Inputs!$B$33,0)))*(1-IF(AND(ArtifactsInput!$M$27,Inputs!$B$4="Chapter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IFERROR(1/(IF(Inputs!$B$39="pvp",15,MAX(0.1,Skills!D22-IF(TRUE=TRUE,Inputs!$B$33,0)))*(1-IF(AND(ArtifactsInput!$M$27,Inputs!$B$4="Chapter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IFERROR(1/(IF(Inputs!$B$39="pvp",15,MAX(0.1,Skills!D23-IF(TRUE=TRUE,Inputs!$B$33,0)))*(1-IF(AND(ArtifactsInput!$M$27,Inputs!$B$4="Chapter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IFERROR(1/(IF(Inputs!$B$39="pvp",15,MAX(0.1,Skills!D24-IF(TRUE=TRUE,Inputs!$B$33,0)))*(1-IF(AND(ArtifactsInput!$M$27,Inputs!$B$4="Chapter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IFERROR(1/(IF(Inputs!$B$39="pvp",15,MAX(0.1,Skills!D25-IF(TRUE=TRUE,Inputs!$B$33,0)))*(1-IF(AND(ArtifactsInput!$M$27,Inputs!$B$4="Chapter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IFERROR(1/(IF(Inputs!$B$39="pvp",15,MAX(0.1,Skills!D26-IF(TRUE=TRUE,Inputs!$B$33,0)))*(1-IF(AND(ArtifactsInput!$M$27,Inputs!$B$4="Chapter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IFERROR(1/(IF(Inputs!$B$39="pvp",15,MAX(0.1,Skills!D27-IF(TRUE=TRUE,Inputs!$B$33,0)))*(1-IF(AND(ArtifactsInput!$M$27,Inputs!$B$4="Chapter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IFERROR(1/(IF(Inputs!$B$39="pvp",15,MAX(0.1,Skills!D28-IF(TRUE=TRUE,Inputs!$B$33,0)))*(1-IF(AND(ArtifactsInput!$M$27,Inputs!$B$4="Chapter Hunt"),CHOOSE(ArtifactsInput!$N$27+1,20,24,28,32,36,40),0)/100)),0)</f>
        <v/>
      </c>
      <c r="R1000">
        <f>IF(AND(Inputs!$B$39&lt;&gt;"pvp",Inputs!$B$44&gt;0),IF(Inputs!$B$44&lt;=0,0,(INT(Inputs!$B$44/(IF(Inputs!$B$39="pvp",15,MAX(0.1,Skills!D28-IF(TRUE=TRUE,Inputs!$B$33,0)))*(1-IF(AND(ArtifactsInput!$M$27,Inputs!$B$4="Chapter Hunt"),CHOOSE(ArtifactsInput!$N$27+1,20,24,28,32,36,40),0)/100)))+1)),0)</f>
        <v/>
      </c>
      <c r="S1000" t="n">
        <v>0</v>
      </c>
      <c r="U1000" t="n">
        <v>0</v>
      </c>
    </row>
    <row r="1002">
      <c r="A1002" t="inlineStr">
        <is>
          <t>Average Buff Multiplier</t>
        </is>
      </c>
      <c r="B1002">
        <f>(1+(IF(C975=TRUE,F975*IF(AND(Inputs!$B$39&lt;&gt;"pvp",Inputs!$B$44&gt;0),(((R975-1)*MIN((Skills!S3*(1+((Inputs!$B$35+(ArtifactsInput!$M$7-ArtifactsInput!$M$7)*CHOOSE(ArtifactsInput!$N$7+1,6,7.2,8.4,9.6,10.8,12)))/100)),(1/Q975))+MIN((Skills!S3*(1+((Inputs!$B$35+(ArtifactsInput!$M$7-ArtifactsInput!$M$7)*CHOOSE(ArtifactsInput!$N$7+1,6,7.2,8.4,9.6,10.8,12)))/100)),MAX(0,Inputs!$B$44-((R975-1)*(1/Q975)))))/Inputs!$B$44),IF(Inputs!$B$39="pvp",MIN((Skills!S3*(1+((Inputs!$B$35+(ArtifactsInput!$M$7-ArtifactsInput!$M$7)*CHOOSE(ArtifactsInput!$N$7+1,6,7.2,8.4,9.6,10.8,12)))/100)),15)/15,MIN(1,(Skills!S3*(1+((Inputs!$B$35+(ArtifactsInput!$M$7-ArtifactsInput!$M$7)*CHOOSE(ArtifactsInput!$N$7+1,6,7.2,8.4,9.6,10.8,12)))/100))/(1/Q975)))),0)+IF(C976=TRUE,F976*IF(AND(Inputs!$B$39&lt;&gt;"pvp",Inputs!$B$44&gt;0),(((R976-1)*MIN((Skills!S4*(1+((Inputs!$B$35+(ArtifactsInput!$M$7-ArtifactsInput!$M$7)*CHOOSE(ArtifactsInput!$N$7+1,6,7.2,8.4,9.6,10.8,12)))/100)),(1/Q976))+MIN((Skills!S4*(1+((Inputs!$B$35+(ArtifactsInput!$M$7-ArtifactsInput!$M$7)*CHOOSE(ArtifactsInput!$N$7+1,6,7.2,8.4,9.6,10.8,12)))/100)),MAX(0,Inputs!$B$44-((R976-1)*(1/Q976)))))/Inputs!$B$44),IF(Inputs!$B$39="pvp",MIN((Skills!S4*(1+((Inputs!$B$35+(ArtifactsInput!$M$7-ArtifactsInput!$M$7)*CHOOSE(ArtifactsInput!$N$7+1,6,7.2,8.4,9.6,10.8,12)))/100)),15)/15,MIN(1,(Skills!S4*(1+((Inputs!$B$35+(ArtifactsInput!$M$7-ArtifactsInput!$M$7)*CHOOSE(ArtifactsInput!$N$7+1,6,7.2,8.4,9.6,10.8,12)))/100))/(1/Q976)))),0)+IF(C977=TRUE,F977*IF(AND(Inputs!$B$39&lt;&gt;"pvp",Inputs!$B$44&gt;0),(((R977-1)*MIN((Skills!S5*(1+((Inputs!$B$35+(ArtifactsInput!$M$7-ArtifactsInput!$M$7)*CHOOSE(ArtifactsInput!$N$7+1,6,7.2,8.4,9.6,10.8,12)))/100)),(1/Q977))+MIN((Skills!S5*(1+((Inputs!$B$35+(ArtifactsInput!$M$7-ArtifactsInput!$M$7)*CHOOSE(ArtifactsInput!$N$7+1,6,7.2,8.4,9.6,10.8,12)))/100)),MAX(0,Inputs!$B$44-((R977-1)*(1/Q977)))))/Inputs!$B$44),IF(Inputs!$B$39="pvp",MIN((Skills!S5*(1+((Inputs!$B$35+(ArtifactsInput!$M$7-ArtifactsInput!$M$7)*CHOOSE(ArtifactsInput!$N$7+1,6,7.2,8.4,9.6,10.8,12)))/100)),15)/15,MIN(1,(Skills!S5*(1+((Inputs!$B$35+(ArtifactsInput!$M$7-ArtifactsInput!$M$7)*CHOOSE(ArtifactsInput!$N$7+1,6,7.2,8.4,9.6,10.8,12)))/100))/(1/Q977)))),0)+IF(C983=TRUE,F983*IF(AND(Inputs!$B$39&lt;&gt;"pvp",Inputs!$B$44&gt;0),(((R983-1)*MIN((Skills!S11*(1+((Inputs!$B$35+(ArtifactsInput!$M$7-ArtifactsInput!$M$7)*CHOOSE(ArtifactsInput!$N$7+1,6,7.2,8.4,9.6,10.8,12)))/100)),(1/Q983))+MIN((Skills!S11*(1+((Inputs!$B$35+(ArtifactsInput!$M$7-ArtifactsInput!$M$7)*CHOOSE(ArtifactsInput!$N$7+1,6,7.2,8.4,9.6,10.8,12)))/100)),MAX(0,Inputs!$B$44-((R983-1)*(1/Q983)))))/Inputs!$B$44),IF(Inputs!$B$39="pvp",MIN((Skills!S11*(1+((Inputs!$B$35+(ArtifactsInput!$M$7-ArtifactsInput!$M$7)*CHOOSE(ArtifactsInput!$N$7+1,6,7.2,8.4,9.6,10.8,12)))/100)),15)/15,MIN(1,(Skills!S11*(1+((Inputs!$B$35+(ArtifactsInput!$M$7-ArtifactsInput!$M$7)*CHOOSE(ArtifactsInput!$N$7+1,6,7.2,8.4,9.6,10.8,12)))/100))/(1/Q983)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MIN((Skills!S14*(1+((Inputs!$B$35+(ArtifactsInput!$M$7-ArtifactsInput!$M$7)*CHOOSE(ArtifactsInput!$N$7+1,6,7.2,8.4,9.6,10.8,12)))/100)),(1/Q986))+MIN((Skills!S14*(1+((Inputs!$B$35+(ArtifactsInput!$M$7-ArtifactsInput!$M$7)*CHOOSE(ArtifactsInput!$N$7+1,6,7.2,8.4,9.6,10.8,12)))/100)),MAX(0,Inputs!$B$44-((R986-1)*(1/Q986)))))/Inputs!$B$44),IF(Inputs!$B$39="pvp",MIN((Skills!S14*(1+((Inputs!$B$35+(ArtifactsInput!$M$7-ArtifactsInput!$M$7)*CHOOSE(ArtifactsInput!$N$7+1,6,7.2,8.4,9.6,10.8,12)))/100)),15)/15,MIN(1,(Skills!S14*(1+((Inputs!$B$35+(ArtifactsInput!$M$7-ArtifactsInput!$M$7)*CHOOSE(ArtifactsInput!$N$7+1,6,7.2,8.4,9.6,10.8,12)))/100))/(1/Q986))))/100),1)*IF(C991=TRUE,(1+F991*IF(AND(Inputs!$B$39&lt;&gt;"pvp",Inputs!$B$44&gt;0),(((R991-1)*MIN((Skills!S19*(1+((Inputs!$B$35+(ArtifactsInput!$M$7-ArtifactsInput!$M$7)*CHOOSE(ArtifactsInput!$N$7+1,6,7.2,8.4,9.6,10.8,12)))/100)),(1/Q991))+MIN((Skills!S19*(1+((Inputs!$B$35+(ArtifactsInput!$M$7-ArtifactsInput!$M$7)*CHOOSE(ArtifactsInput!$N$7+1,6,7.2,8.4,9.6,10.8,12)))/100)),MAX(0,Inputs!$B$44-((R991-1)*(1/Q991)))))/Inputs!$B$44),IF(Inputs!$B$39="pvp",MIN((Skills!S19*(1+((Inputs!$B$35+(ArtifactsInput!$M$7-ArtifactsInput!$M$7)*CHOOSE(ArtifactsInput!$N$7+1,6,7.2,8.4,9.6,10.8,12)))/100)),15)/15,MIN(1,(Skills!S19*(1+((Inputs!$B$35+(ArtifactsInput!$M$7-ArtifactsInput!$M$7)*CHOOSE(ArtifactsInput!$N$7+1,6,7.2,8.4,9.6,10.8,12)))/100))/(1/Q991))))/100),1)</f>
        <v/>
      </c>
    </row>
    <row r="1003">
      <c r="A1003" t="inlineStr">
        <is>
          <t>Monster Damage Taken Bonus % (Holy Fountain)</t>
        </is>
      </c>
      <c r="B1003">
        <f>IF(Inputs!$B$3&gt;=68,20*IF(Inputs!$B$39="pvp",MIN((15*(1+((Inputs!$B$35+(ArtifactsInput!$M$7-ArtifactsInput!$M$7)*CHOOSE(ArtifactsInput!$N$7+1,6,7.2,8.4,9.6,10.8,12)))/100)),15)/15,MIN(1,(15*(1+((Inputs!$B$35+(ArtifactsInput!$M$7-ArtifactsInput!$M$7)*CHOOSE(ArtifactsInput!$N$7+1,6,7.2,8.4,9.6,10.8,12)))/100))/(1/Q982))),0)</f>
        <v/>
      </c>
    </row>
    <row r="1004">
      <c r="A1004" t="inlineStr">
        <is>
          <t>Normal Monster Damage Bonus % (Holy Symbol)</t>
        </is>
      </c>
      <c r="B1004">
        <f>IF(C984=TRUE,F984*IF(AND(Inputs!$B$39&lt;&gt;"pvp",Inputs!$B$44&gt;0),(((R984-1)*MIN((Skills!S12*(1+((Inputs!$B$35+(ArtifactsInput!$M$7-ArtifactsInput!$M$7)*CHOOSE(ArtifactsInput!$N$7+1,6,7.2,8.4,9.6,10.8,12)))/100)),(1/Q984))+MIN((Skills!S12*(1+((Inputs!$B$35+(ArtifactsInput!$M$7-ArtifactsInput!$M$7)*CHOOSE(ArtifactsInput!$N$7+1,6,7.2,8.4,9.6,10.8,12)))/100)),MAX(0,Inputs!$B$44-((R984-1)*(1/Q984)))))/Inputs!$B$44),IF(Inputs!$B$39="pvp",MIN((Skills!S12*(1+((Inputs!$B$35+(ArtifactsInput!$M$7-ArtifactsInput!$M$7)*CHOOSE(ArtifactsInput!$N$7+1,6,7.2,8.4,9.6,10.8,12)))/100)),15)/15,MIN(1,(Skills!S12*(1+((Inputs!$B$35+(ArtifactsInput!$M$7-ArtifactsInput!$M$7)*CHOOSE(ArtifactsInput!$N$7+1,6,7.2,8.4,9.6,10.8,12)))/100))/(1/Q984)))),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MIN((Skills!S28*(1+((Inputs!$B$35+(ArtifactsInput!$M$7-ArtifactsInput!$M$7)*CHOOSE(ArtifactsInput!$N$7+1,6,7.2,8.4,9.6,10.8,12)))/100)),(1/Q1000))+MIN((Skills!S28*(1+((Inputs!$B$35+(ArtifactsInput!$M$7-ArtifactsInput!$M$7)*CHOOSE(ArtifactsInput!$N$7+1,6,7.2,8.4,9.6,10.8,12)))/100)),MAX(0,Inputs!$B$44-((R1000-1)*(1/Q1000)))))/Inputs!$B$44),IF(Inputs!$B$39="pvp",MIN((Skills!S28*(1+((Inputs!$B$35+(ArtifactsInput!$M$7-ArtifactsInput!$M$7)*CHOOSE(ArtifactsInput!$N$7+1,6,7.2,8.4,9.6,10.8,12)))/100)),15)/15,MIN(1,(Skills!S28*(1+((Inputs!$B$35+(ArtifactsInput!$M$7-ArtifactsInput!$M$7)*CHOOSE(ArtifactsInput!$N$7+1,6,7.2,8.4,9.6,10.8,12)))/100))/(1/Q1000)))))</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MIN((Skills!S13*(1+((Inputs!$B$35+(ArtifactsInput!$M$7-ArtifactsInput!$M$7)*CHOOSE(ArtifactsInput!$N$7+1,6,7.2,8.4,9.6,10.8,12)))/100)),(1/Q985))+MIN((Skills!S13*(1+((Inputs!$B$35+(ArtifactsInput!$M$7-ArtifactsInput!$M$7)*CHOOSE(ArtifactsInput!$N$7+1,6,7.2,8.4,9.6,10.8,12)))/100)),MAX(0,Inputs!$B$44-((R985-1)*(1/Q985)))))/Inputs!$B$44),IF(Inputs!$B$39="pvp",MIN((Skills!S13*(1+((Inputs!$B$35+(ArtifactsInput!$M$7-ArtifactsInput!$M$7)*CHOOSE(ArtifactsInput!$N$7+1,6,7.2,8.4,9.6,10.8,12)))/100)),15)/15,MIN(1,(Skills!S13*(1+((Inputs!$B$35+(ArtifactsInput!$M$7-ArtifactsInput!$M$7)*CHOOSE(ArtifactsInput!$N$7+1,6,7.2,8.4,9.6,10.8,12)))/100))/(1/Q985)))),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IFERROR(1/(IF(Inputs!$B$39="pvp",15,MAX(0.1,Skills!D2-IF(TRUE=TRUE,Inputs!$B$33,0)))*(1-IF(AND(ArtifactsInput!$M$27,Inputs!$B$4="Chapter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IFERROR(1/(IF(Inputs!$B$39="pvp",15,MAX(0.1,Skills!D3-IF(TRUE=TRUE,Inputs!$B$33,0)))*(1-IF(AND(ArtifactsInput!$M$27,Inputs!$B$4="Chapter Hunt"),CHOOSE(ArtifactsInput!$N$27+1,20,24,28,32,36,40),0)/100)),0)</f>
        <v/>
      </c>
      <c r="R1020">
        <f>IF(AND(Inputs!$B$39&lt;&gt;"pvp",Inputs!$B$44&gt;0),IF(Inputs!$B$44&lt;=0,0,(INT(Inputs!$B$44/(IF(Inputs!$B$39="pvp",15,MAX(0.1,Skills!D3-IF(TRUE=TRUE,Inputs!$B$33,0)))*(1-IF(AND(ArtifactsInput!$M$27,Inputs!$B$4="Chapter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IFERROR(1/(IF(Inputs!$B$39="pvp",15,MAX(0.1,Skills!D4-IF(TRUE=TRUE,Inputs!$B$33,0)))*(1-IF(AND(ArtifactsInput!$M$27,Inputs!$B$4="Chapter Hunt"),CHOOSE(ArtifactsInput!$N$27+1,20,24,28,32,36,40),0)/100)),0)</f>
        <v/>
      </c>
      <c r="R1021">
        <f>IF(AND(Inputs!$B$39&lt;&gt;"pvp",Inputs!$B$44&gt;0),IF(Inputs!$B$44&lt;=0,0,(INT(Inputs!$B$44/(IF(Inputs!$B$39="pvp",15,MAX(0.1,Skills!D4-IF(TRUE=TRUE,Inputs!$B$33,0)))*(1-IF(AND(ArtifactsInput!$M$27,Inputs!$B$4="Chapter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IFERROR(1/(IF(Inputs!$B$39="pvp",15,MAX(0.1,Skills!D5-IF(TRUE=TRUE,Inputs!$B$33,0)))*(1-IF(AND(ArtifactsInput!$M$27,Inputs!$B$4="Chapter Hunt"),CHOOSE(ArtifactsInput!$N$27+1,20,24,28,32,36,40),0)/100)),0)</f>
        <v/>
      </c>
      <c r="R1022">
        <f>IF(AND(Inputs!$B$39&lt;&gt;"pvp",Inputs!$B$44&gt;0),IF(Inputs!$B$44&lt;=0,0,(INT(Inputs!$B$44/(IF(Inputs!$B$39="pvp",15,MAX(0.1,Skills!D5-IF(TRUE=TRUE,Inputs!$B$33,0)))*(1-IF(AND(ArtifactsInput!$M$27,Inputs!$B$4="Chapter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IFERROR(1/(IF(Inputs!$B$39="pvp",15,MAX(0.1,Skills!D6-IF(TRUE=TRUE,Inputs!$B$33,0)))*(1-IF(AND(ArtifactsInput!$M$27,Inputs!$B$4="Chapter Hunt"),CHOOSE(ArtifactsInput!$N$27+1,20,24,28,32,36,40),0)/100)),0)</f>
        <v/>
      </c>
      <c r="R1023">
        <f>IF(AND(Inputs!$B$39&lt;&gt;"pvp",Inputs!$B$44&gt;0),IF(MAX(0,Inputs!$B$44-B1057)&lt;=0,0,(INT(MAX(0,Inputs!$B$44-B1057)/(IF(Inputs!$B$39="pvp",15,MAX(0.1,Skills!D6-IF(TRUE=TRUE,Inputs!$B$33,0)))*(1-IF(AND(ArtifactsInput!$M$27,Inputs!$B$4="Chapter Hunt"),CHOOSE(ArtifactsInput!$N$27+1,20,24,28,32,36,40),0)/100)))+1)),0)</f>
        <v/>
      </c>
      <c r="S1023">
        <f>IF(C1023,(H1023*N1023*IF(AND(Inputs!$B$39&lt;&gt;"pvp",Inputs!$B$44&gt;0),((Skills!F6*((R1023-1)*IF(Skills!G6&gt;0,INT(Skills!H6/Skills!G6+0.000000001),1)+IF(Skills!G6&gt;0,INT(MIN(Skills!H6,MAX(0,MAX(0,Inputs!$B$44-B1057)-((R1023-1)*(IF(Inputs!$B$39="pvp",15,MAX(0.1,Skills!D6-IF(TRUE=TRUE,Inputs!$B$33,0)))*(1-IF(AND(ArtifactsInput!$M$27,Inputs!$B$4="Chapter Hunt"),CHOOSE(ArtifactsInput!$N$27+1,20,24,28,32,36,40),0)/100)))))/Skills!G6+0.000000001),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INT(Skills!H6/Skills!G6+0.000000001),1)+IF(Skills!G6&gt;0,INT(MIN(Skills!H6,MAX(0,MAX(0,Inputs!$B$44-B1057)-((R1023-1)*(IF(Inputs!$B$39="pvp",15,MAX(0.1,Skills!D6-IF(TRUE=TRUE,Inputs!$B$33,0)))*(1-IF(AND(ArtifactsInput!$M$27,Inputs!$B$4="Chapter Hunt"),CHOOSE(ArtifactsInput!$N$27+1,20,24,28,32,36,40),0)/100)))))/Skills!G6+0.000000001),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IFERROR(1/(IF(Inputs!$B$39="pvp",15,MAX(0.1,Skills!D7-IF(TRUE=TRUE,Inputs!$B$33,0)))*(1-IF(AND(ArtifactsInput!$M$27,Inputs!$B$4="Chapter Hunt"),CHOOSE(ArtifactsInput!$N$27+1,20,24,28,32,36,40),0)/100)),0)</f>
        <v/>
      </c>
      <c r="R1024">
        <f>IF(AND(Inputs!$B$39&lt;&gt;"pvp",Inputs!$B$44&gt;0),IF(MAX(0,Inputs!$B$44-B1057)&lt;=0,0,(INT(MAX(0,Inputs!$B$44-B1057)/(IF(Inputs!$B$39="pvp",15,MAX(0.1,Skills!D7-IF(TRUE=TRUE,Inputs!$B$33,0)))*(1-IF(AND(ArtifactsInput!$M$27,Inputs!$B$4="Chapter Hunt"),CHOOSE(ArtifactsInput!$N$27+1,20,24,28,32,36,40),0)/100)))+1)),0)</f>
        <v/>
      </c>
      <c r="S1024">
        <f>IF(C1024,H1024*N1024*IF(AND(Inputs!$B$39&lt;&gt;"pvp",Inputs!$B$44&gt;0),((Skills!F7*((R1024-1)*IF(Skills!G7&gt;0,INT(Skills!H7/Skills!G7+0.000000001),1)+IF(Skills!G7&gt;0,INT(MIN(Skills!H7,MAX(0,MAX(0,Inputs!$B$44-B1057)-((R1024-1)*(IF(Inputs!$B$39="pvp",15,MAX(0.1,Skills!D7-IF(TRUE=TRUE,Inputs!$B$33,0)))*(1-IF(AND(ArtifactsInput!$M$27,Inputs!$B$4="Chapter Hunt"),CHOOSE(ArtifactsInput!$N$27+1,20,24,28,32,36,40),0)/100)))))/Skills!G7+0.000000001),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IFERROR(1/(IF(Inputs!$B$39="pvp",15,MAX(0.1,Skills!D8-IF(TRUE=TRUE,Inputs!$B$33,0)))*(1-IF(AND(ArtifactsInput!$M$27,Inputs!$B$4="Chapter Hunt"),CHOOSE(ArtifactsInput!$N$27+1,20,24,28,32,36,40),0)/100)),0)</f>
        <v/>
      </c>
      <c r="R1025">
        <f>IF(AND(Inputs!$B$39&lt;&gt;"pvp",Inputs!$B$44&gt;0),IF(MAX(0,Inputs!$B$44-B1057)&lt;=0,0,(INT(MAX(0,Inputs!$B$44-B1057)/(IF(Inputs!$B$39="pvp",15,MAX(0.1,Skills!D8-IF(TRUE=TRUE,Inputs!$B$33,0)))*(1-IF(AND(ArtifactsInput!$M$27,Inputs!$B$4="Chapter Hunt"),CHOOSE(ArtifactsInput!$N$27+1,20,24,28,32,36,40),0)/100)))+1)),0)</f>
        <v/>
      </c>
      <c r="S1025">
        <f>IF(C1025,(H1025*N1025*IF(AND(Inputs!$B$39&lt;&gt;"pvp",Inputs!$B$44&gt;0),((Skills!F8*((R1025-1)*IF(Skills!G8&gt;0,INT(Skills!H8/Skills!G8+0.000000001),1)+IF(Skills!G8&gt;0,INT(MIN(Skills!H8,MAX(0,MAX(0,Inputs!$B$44-B1057)-((R1025-1)*(IF(Inputs!$B$39="pvp",15,MAX(0.1,Skills!D8-IF(TRUE=TRUE,Inputs!$B$33,0)))*(1-IF(AND(ArtifactsInput!$M$27,Inputs!$B$4="Chapter Hunt"),CHOOSE(ArtifactsInput!$N$27+1,20,24,28,32,36,40),0)/100)))))/Skills!G8+0.000000001),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INT(Skills!H8/Skills!G8+0.000000001),1)+IF(Skills!G8&gt;0,INT(MIN(Skills!H8,MAX(0,MAX(0,Inputs!$B$44-B1057)-((R1025-1)*(IF(Inputs!$B$39="pvp",15,MAX(0.1,Skills!D8-IF(TRUE=TRUE,Inputs!$B$33,0)))*(1-IF(AND(ArtifactsInput!$M$27,Inputs!$B$4="Chapter Hunt"),CHOOSE(ArtifactsInput!$N$27+1,20,24,28,32,36,40),0)/100)))))/Skills!G8+0.000000001),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IFERROR(1/(IF(Inputs!$B$39="pvp",15,MAX(0.1,Skills!D9-IF(TRUE=TRUE,Inputs!$B$33,0)))*(1-IF(AND(ArtifactsInput!$M$27,Inputs!$B$4="Chapter Hunt"),CHOOSE(ArtifactsInput!$N$27+1,20,24,28,32,36,40),0)/100)),0)</f>
        <v/>
      </c>
      <c r="R1026">
        <f>IF(AND(Inputs!$B$39&lt;&gt;"pvp",Inputs!$B$44&gt;0),IF(MAX(0,Inputs!$B$44-B1057)&lt;=0,0,(INT(MAX(0,Inputs!$B$44-B1057)/(IF(Inputs!$B$39="pvp",15,MAX(0.1,Skills!D9-IF(TRUE=TRUE,Inputs!$B$33,0)))*(1-IF(AND(ArtifactsInput!$M$27,Inputs!$B$4="Chapter Hunt"),CHOOSE(ArtifactsInput!$N$27+1,20,24,28,32,36,40),0)/100)))+1)),0)</f>
        <v/>
      </c>
      <c r="S1026">
        <f>IF(C1026,(H1026*N1026*IF(AND(Inputs!$B$39&lt;&gt;"pvp",Inputs!$B$44&gt;0),((Skills!F9*((R1026-1)*IF(Skills!G9&gt;0,INT(Skills!H9/Skills!G9+0.000000001),1)+IF(Skills!G9&gt;0,INT(MIN(Skills!H9,MAX(0,MAX(0,Inputs!$B$44-B1057)-((R1026-1)*(IF(Inputs!$B$39="pvp",15,MAX(0.1,Skills!D9-IF(TRUE=TRUE,Inputs!$B$33,0)))*(1-IF(AND(ArtifactsInput!$M$27,Inputs!$B$4="Chapter Hunt"),CHOOSE(ArtifactsInput!$N$27+1,20,24,28,32,36,40),0)/100)))))/Skills!G9+0.000000001),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INT(Skills!H9/Skills!G9+0.000000001),1)+IF(Skills!G9&gt;0,INT(MIN(Skills!H9,MAX(0,MAX(0,Inputs!$B$44-B1057)-((R1026-1)*(IF(Inputs!$B$39="pvp",15,MAX(0.1,Skills!D9-IF(TRUE=TRUE,Inputs!$B$33,0)))*(1-IF(AND(ArtifactsInput!$M$27,Inputs!$B$4="Chapter Hunt"),CHOOSE(ArtifactsInput!$N$27+1,20,24,28,32,36,40),0)/100)))))/Skills!G9+0.000000001),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IFERROR(1/(IF(Inputs!$B$39="pvp",15,MAX(0.1,Skills!D10-IF(TRUE=TRUE,Inputs!$B$33,0)))*(1-IF(AND(ArtifactsInput!$M$27,Inputs!$B$4="Chapter Hunt"),CHOOSE(ArtifactsInput!$N$27+1,20,24,28,32,36,40),0)/100)),0)</f>
        <v/>
      </c>
      <c r="R1027">
        <f>IF(AND(Inputs!$B$39&lt;&gt;"pvp",Inputs!$B$44&gt;0),IF(MAX(0,Inputs!$B$44-B1057)&lt;=0,0,(INT(MAX(0,Inputs!$B$44-B1057)/(IF(Inputs!$B$39="pvp",15,MAX(0.1,Skills!D10-IF(TRUE=TRUE,Inputs!$B$33,0)))*(1-IF(AND(ArtifactsInput!$M$27,Inputs!$B$4="Chapter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IFERROR(1/(IF(Inputs!$B$39="pvp",15,MAX(0.1,Skills!D11-IF(TRUE=TRUE,Inputs!$B$33,0)))*(1-IF(AND(ArtifactsInput!$M$27,Inputs!$B$4="Chapter Hunt"),CHOOSE(ArtifactsInput!$N$27+1,20,24,28,32,36,40),0)/100)),0)</f>
        <v/>
      </c>
      <c r="R1028">
        <f>IF(AND(Inputs!$B$39&lt;&gt;"pvp",Inputs!$B$44&gt;0),IF(Inputs!$B$44&lt;=0,0,(INT(Inputs!$B$44/(IF(Inputs!$B$39="pvp",15,MAX(0.1,Skills!D11-IF(TRUE=TRUE,Inputs!$B$33,0)))*(1-IF(AND(ArtifactsInput!$M$27,Inputs!$B$4="Chapter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IFERROR(1/(IF(Inputs!$B$39="pvp",15,MAX(0.1,Skills!D12-IF(TRUE=TRUE,Inputs!$B$33,0)))*(1-IF(AND(ArtifactsInput!$M$27,Inputs!$B$4="Chapter Hunt"),CHOOSE(ArtifactsInput!$N$27+1,20,24,28,32,36,40),0)/100)),0)</f>
        <v/>
      </c>
      <c r="R1029">
        <f>IF(AND(Inputs!$B$39&lt;&gt;"pvp",Inputs!$B$44&gt;0),IF(MAX(0,Inputs!$B$44-B1057)&lt;=0,0,(INT(MAX(0,Inputs!$B$44-B1057)/(IF(Inputs!$B$39="pvp",15,MAX(0.1,Skills!D12-IF(TRUE=TRUE,Inputs!$B$33,0)))*(1-IF(AND(ArtifactsInput!$M$27,Inputs!$B$4="Chapter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IFERROR(1/(IF(Inputs!$B$39="pvp",15,MAX(0.1,Skills!D13-IF(TRUE=TRUE,Inputs!$B$33,0)))*(1-IF(AND(ArtifactsInput!$M$27,Inputs!$B$4="Chapter Hunt"),CHOOSE(ArtifactsInput!$N$27+1,20,24,28,32,36,40),0)/100)),0)</f>
        <v/>
      </c>
      <c r="R1030">
        <f>IF(AND(Inputs!$B$39&lt;&gt;"pvp",Inputs!$B$44&gt;0),IF(MAX(0,Inputs!$B$44-B1057)&lt;=0,0,(INT(MAX(0,Inputs!$B$44-B1057)/(IF(Inputs!$B$39="pvp",15,MAX(0.1,Skills!D13-IF(TRUE=TRUE,Inputs!$B$33,0)))*(1-IF(AND(ArtifactsInput!$M$27,Inputs!$B$4="Chapter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IFERROR(1/(IF(Inputs!$B$39="pvp",15,MAX(0.1,Skills!D14-IF(TRUE=TRUE,Inputs!$B$33,0)))*(1-IF(AND(ArtifactsInput!$M$27,Inputs!$B$4="Chapter Hunt"),CHOOSE(ArtifactsInput!$N$27+1,20,24,28,32,36,40),0)/100)),0)</f>
        <v/>
      </c>
      <c r="R1031">
        <f>IF(AND(Inputs!$B$39&lt;&gt;"pvp",Inputs!$B$44&gt;0),IF(Inputs!$B$44&lt;=0,0,(INT(Inputs!$B$44/(IF(Inputs!$B$39="pvp",15,MAX(0.1,Skills!D14-IF(TRUE=TRUE,Inputs!$B$33,0)))*(1-IF(AND(ArtifactsInput!$M$27,Inputs!$B$4="Chapter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IFERROR(1/(IF(Inputs!$B$39="pvp",15,MAX(0.1,Skills!D15-IF(TRUE=TRUE,Inputs!$B$33,0)))*(1-IF(AND(ArtifactsInput!$M$27,Inputs!$B$4="Chapter Hunt"),CHOOSE(ArtifactsInput!$N$27+1,20,24,28,32,36,40),0)/100)),0)</f>
        <v/>
      </c>
      <c r="R1032" t="n">
        <v>0</v>
      </c>
      <c r="S1032">
        <f>IF(C1032,(Skills!F15*N1032*((IF(Inputs!$B$3&gt;=78,25,15)/100*B1053*10)/(1+IF(Inputs!$B$3&gt;=78,25,15)/100*B1053*IF(Inputs!$B$39="pvp",15,MAX(0.1,18-IF(TRUE=TRUE,Inputs!$B$33,0)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IF(Inputs!$B$39="pvp",15,MAX(0.1,18-IF(TRUE=TRUE,Inputs!$B$33,0)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IFERROR(1/(IF(Inputs!$B$39="pvp",15,MAX(0.1,Skills!D16-IF(TRUE=TRUE,Inputs!$B$33,0)))*(1-IF(AND(ArtifactsInput!$M$27,Inputs!$B$4="Chapter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IFERROR(1/(IF(Inputs!$B$39="pvp",15,MAX(0.1,Skills!D17-IF(TRUE=TRUE,Inputs!$B$33,0)))*(1-IF(AND(ArtifactsInput!$M$27,Inputs!$B$4="Chapter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IFERROR(1/(IF(Inputs!$B$39="pvp",15,MAX(0.1,Skills!D18-IF(TRUE=TRUE,Inputs!$B$33,0)))*(1-IF(AND(ArtifactsInput!$M$27,Inputs!$B$4="Chapter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IFERROR(1/(IF(Inputs!$B$39="pvp",15,MAX(0.1,Skills!D19-IF(TRUE=TRUE,Inputs!$B$33,0)))*(1-IF(AND(ArtifactsInput!$M$27,Inputs!$B$4="Chapter Hunt"),CHOOSE(ArtifactsInput!$N$27+1,20,24,28,32,36,40),0)/100)),0)</f>
        <v/>
      </c>
      <c r="R1036">
        <f>IF(AND(Inputs!$B$39&lt;&gt;"pvp",Inputs!$B$44&gt;0),IF(Inputs!$B$44&lt;=0,0,(INT(Inputs!$B$44/(IF(Inputs!$B$39="pvp",15,MAX(0.1,Skills!D19-IF(TRUE=TRUE,Inputs!$B$33,0)))*(1-IF(AND(ArtifactsInput!$M$27,Inputs!$B$4="Chapter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IFERROR(1/(IF(Inputs!$B$39="pvp",15,MAX(0.1,Skills!D20-IF(TRUE=TRUE,Inputs!$B$33,0)))*(1-IF(AND(ArtifactsInput!$M$27,Inputs!$B$4="Chapter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IFERROR(1/(IF(Inputs!$B$39="pvp",15,MAX(0.1,Skills!D21-IF(TRUE=TRUE,Inputs!$B$33,0)))*(1-IF(AND(ArtifactsInput!$M$27,Inputs!$B$4="Chapter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IFERROR(1/(IF(Inputs!$B$39="pvp",15,MAX(0.1,Skills!D22-IF(TRUE=TRUE,Inputs!$B$33,0)))*(1-IF(AND(ArtifactsInput!$M$27,Inputs!$B$4="Chapter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IFERROR(1/(IF(Inputs!$B$39="pvp",15,MAX(0.1,Skills!D23-IF(TRUE=TRUE,Inputs!$B$33,0)))*(1-IF(AND(ArtifactsInput!$M$27,Inputs!$B$4="Chapter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IFERROR(1/(IF(Inputs!$B$39="pvp",15,MAX(0.1,Skills!D24-IF(TRUE=TRUE,Inputs!$B$33,0)))*(1-IF(AND(ArtifactsInput!$M$27,Inputs!$B$4="Chapter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IFERROR(1/(IF(Inputs!$B$39="pvp",15,MAX(0.1,Skills!D25-IF(TRUE=TRUE,Inputs!$B$33,0)))*(1-IF(AND(ArtifactsInput!$M$27,Inputs!$B$4="Chapter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IFERROR(1/(IF(Inputs!$B$39="pvp",15,MAX(0.1,Skills!D26-IF(TRUE=TRUE,Inputs!$B$33,0)))*(1-IF(AND(ArtifactsInput!$M$27,Inputs!$B$4="Chapter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IFERROR(1/(IF(Inputs!$B$39="pvp",15,MAX(0.1,Skills!D27-IF(TRUE=TRUE,Inputs!$B$33,0)))*(1-IF(AND(ArtifactsInput!$M$27,Inputs!$B$4="Chapter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IFERROR(1/(IF(Inputs!$B$39="pvp",15,MAX(0.1,Skills!D28-IF(TRUE=TRUE,Inputs!$B$33,0)))*(1-IF(AND(ArtifactsInput!$M$27,Inputs!$B$4="Chapter Hunt"),CHOOSE(ArtifactsInput!$N$27+1,20,24,28,32,36,40),0)/100)),0)</f>
        <v/>
      </c>
      <c r="R1045">
        <f>IF(AND(Inputs!$B$39&lt;&gt;"pvp",Inputs!$B$44&gt;0),IF(Inputs!$B$44&lt;=0,0,(INT(Inputs!$B$44/(IF(Inputs!$B$39="pvp",15,MAX(0.1,Skills!D28-IF(TRUE=TRUE,Inputs!$B$33,0)))*(1-IF(AND(ArtifactsInput!$M$27,Inputs!$B$4="Chapter Hunt"),CHOOSE(ArtifactsInput!$N$27+1,20,24,28,32,36,40),0)/100)))+1)),0)</f>
        <v/>
      </c>
      <c r="S1045" t="n">
        <v>0</v>
      </c>
      <c r="U1045" t="n">
        <v>0</v>
      </c>
    </row>
    <row r="1047">
      <c r="A1047" t="inlineStr">
        <is>
          <t>Average Buff Multiplier</t>
        </is>
      </c>
      <c r="B1047">
        <f>(1+(IF(C1020=TRUE,F1020*IF(AND(Inputs!$B$39&lt;&gt;"pvp",Inputs!$B$44&gt;0),(((R1020-1)*MIN((Skills!S3*(1+((Inputs!$B$35+(ArtifactsInput!$M$7-ArtifactsInput!$M$7)*CHOOSE(ArtifactsInput!$N$7+1,6,7.2,8.4,9.6,10.8,12)))/100)),(1/Q1020))+MIN((Skills!S3*(1+((Inputs!$B$35+(ArtifactsInput!$M$7-ArtifactsInput!$M$7)*CHOOSE(ArtifactsInput!$N$7+1,6,7.2,8.4,9.6,10.8,12)))/100)),MAX(0,Inputs!$B$44-((R1020-1)*(1/Q1020)))))/Inputs!$B$44),IF(Inputs!$B$39="pvp",MIN((Skills!S3*(1+((Inputs!$B$35+(ArtifactsInput!$M$7-ArtifactsInput!$M$7)*CHOOSE(ArtifactsInput!$N$7+1,6,7.2,8.4,9.6,10.8,12)))/100)),15)/15,MIN(1,(Skills!S3*(1+((Inputs!$B$35+(ArtifactsInput!$M$7-ArtifactsInput!$M$7)*CHOOSE(ArtifactsInput!$N$7+1,6,7.2,8.4,9.6,10.8,12)))/100))/(1/Q1020)))),0)+IF(C1021=TRUE,F1021*IF(AND(Inputs!$B$39&lt;&gt;"pvp",Inputs!$B$44&gt;0),(((R1021-1)*MIN((Skills!S4*(1+((Inputs!$B$35+(ArtifactsInput!$M$7-ArtifactsInput!$M$7)*CHOOSE(ArtifactsInput!$N$7+1,6,7.2,8.4,9.6,10.8,12)))/100)),(1/Q1021))+MIN((Skills!S4*(1+((Inputs!$B$35+(ArtifactsInput!$M$7-ArtifactsInput!$M$7)*CHOOSE(ArtifactsInput!$N$7+1,6,7.2,8.4,9.6,10.8,12)))/100)),MAX(0,Inputs!$B$44-((R1021-1)*(1/Q1021)))))/Inputs!$B$44),IF(Inputs!$B$39="pvp",MIN((Skills!S4*(1+((Inputs!$B$35+(ArtifactsInput!$M$7-ArtifactsInput!$M$7)*CHOOSE(ArtifactsInput!$N$7+1,6,7.2,8.4,9.6,10.8,12)))/100)),15)/15,MIN(1,(Skills!S4*(1+((Inputs!$B$35+(ArtifactsInput!$M$7-ArtifactsInput!$M$7)*CHOOSE(ArtifactsInput!$N$7+1,6,7.2,8.4,9.6,10.8,12)))/100))/(1/Q1021)))),0)+IF(C1022=TRUE,F1022*IF(AND(Inputs!$B$39&lt;&gt;"pvp",Inputs!$B$44&gt;0),(((R1022-1)*MIN((Skills!S5*(1+((Inputs!$B$35+(ArtifactsInput!$M$7-ArtifactsInput!$M$7)*CHOOSE(ArtifactsInput!$N$7+1,6,7.2,8.4,9.6,10.8,12)))/100)),(1/Q1022))+MIN((Skills!S5*(1+((Inputs!$B$35+(ArtifactsInput!$M$7-ArtifactsInput!$M$7)*CHOOSE(ArtifactsInput!$N$7+1,6,7.2,8.4,9.6,10.8,12)))/100)),MAX(0,Inputs!$B$44-((R1022-1)*(1/Q1022)))))/Inputs!$B$44),IF(Inputs!$B$39="pvp",MIN((Skills!S5*(1+((Inputs!$B$35+(ArtifactsInput!$M$7-ArtifactsInput!$M$7)*CHOOSE(ArtifactsInput!$N$7+1,6,7.2,8.4,9.6,10.8,12)))/100)),15)/15,MIN(1,(Skills!S5*(1+((Inputs!$B$35+(ArtifactsInput!$M$7-ArtifactsInput!$M$7)*CHOOSE(ArtifactsInput!$N$7+1,6,7.2,8.4,9.6,10.8,12)))/100))/(1/Q1022)))),0)+IF(C1028=TRUE,F1028*IF(AND(Inputs!$B$39&lt;&gt;"pvp",Inputs!$B$44&gt;0),(((R1028-1)*MIN((Skills!S11*(1+((Inputs!$B$35+(ArtifactsInput!$M$7-ArtifactsInput!$M$7)*CHOOSE(ArtifactsInput!$N$7+1,6,7.2,8.4,9.6,10.8,12)))/100)),(1/Q1028))+MIN((Skills!S11*(1+((Inputs!$B$35+(ArtifactsInput!$M$7-ArtifactsInput!$M$7)*CHOOSE(ArtifactsInput!$N$7+1,6,7.2,8.4,9.6,10.8,12)))/100)),MAX(0,Inputs!$B$44-((R1028-1)*(1/Q1028)))))/Inputs!$B$44),IF(Inputs!$B$39="pvp",MIN((Skills!S11*(1+((Inputs!$B$35+(ArtifactsInput!$M$7-ArtifactsInput!$M$7)*CHOOSE(ArtifactsInput!$N$7+1,6,7.2,8.4,9.6,10.8,12)))/100)),15)/15,MIN(1,(Skills!S11*(1+((Inputs!$B$35+(ArtifactsInput!$M$7-ArtifactsInput!$M$7)*CHOOSE(ArtifactsInput!$N$7+1,6,7.2,8.4,9.6,10.8,12)))/100))/(1/Q1028)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MIN((Skills!S14*(1+((Inputs!$B$35+(ArtifactsInput!$M$7-ArtifactsInput!$M$7)*CHOOSE(ArtifactsInput!$N$7+1,6,7.2,8.4,9.6,10.8,12)))/100)),(1/Q1031))+MIN((Skills!S14*(1+((Inputs!$B$35+(ArtifactsInput!$M$7-ArtifactsInput!$M$7)*CHOOSE(ArtifactsInput!$N$7+1,6,7.2,8.4,9.6,10.8,12)))/100)),MAX(0,Inputs!$B$44-((R1031-1)*(1/Q1031)))))/Inputs!$B$44),IF(Inputs!$B$39="pvp",MIN((Skills!S14*(1+((Inputs!$B$35+(ArtifactsInput!$M$7-ArtifactsInput!$M$7)*CHOOSE(ArtifactsInput!$N$7+1,6,7.2,8.4,9.6,10.8,12)))/100)),15)/15,MIN(1,(Skills!S14*(1+((Inputs!$B$35+(ArtifactsInput!$M$7-ArtifactsInput!$M$7)*CHOOSE(ArtifactsInput!$N$7+1,6,7.2,8.4,9.6,10.8,12)))/100))/(1/Q1031))))/100),1)*IF(C1036=TRUE,(1+F1036*IF(AND(Inputs!$B$39&lt;&gt;"pvp",Inputs!$B$44&gt;0),(((R1036-1)*MIN((Skills!S19*(1+((Inputs!$B$35+(ArtifactsInput!$M$7-ArtifactsInput!$M$7)*CHOOSE(ArtifactsInput!$N$7+1,6,7.2,8.4,9.6,10.8,12)))/100)),(1/Q1036))+MIN((Skills!S19*(1+((Inputs!$B$35+(ArtifactsInput!$M$7-ArtifactsInput!$M$7)*CHOOSE(ArtifactsInput!$N$7+1,6,7.2,8.4,9.6,10.8,12)))/100)),MAX(0,Inputs!$B$44-((R1036-1)*(1/Q1036)))))/Inputs!$B$44),IF(Inputs!$B$39="pvp",MIN((Skills!S19*(1+((Inputs!$B$35+(ArtifactsInput!$M$7-ArtifactsInput!$M$7)*CHOOSE(ArtifactsInput!$N$7+1,6,7.2,8.4,9.6,10.8,12)))/100)),15)/15,MIN(1,(Skills!S19*(1+((Inputs!$B$35+(ArtifactsInput!$M$7-ArtifactsInput!$M$7)*CHOOSE(ArtifactsInput!$N$7+1,6,7.2,8.4,9.6,10.8,12)))/100))/(1/Q1036))))/100),1)</f>
        <v/>
      </c>
    </row>
    <row r="1048">
      <c r="A1048" t="inlineStr">
        <is>
          <t>Monster Damage Taken Bonus % (Holy Fountain)</t>
        </is>
      </c>
      <c r="B1048">
        <f>IF(Inputs!$B$3&gt;=68,20*IF(Inputs!$B$39="pvp",MIN((15*(1+((Inputs!$B$35+(ArtifactsInput!$M$7-ArtifactsInput!$M$7)*CHOOSE(ArtifactsInput!$N$7+1,6,7.2,8.4,9.6,10.8,12)))/100)),15)/15,MIN(1,(15*(1+((Inputs!$B$35+(ArtifactsInput!$M$7-ArtifactsInput!$M$7)*CHOOSE(ArtifactsInput!$N$7+1,6,7.2,8.4,9.6,10.8,12)))/100))/(1/Q1027))),0)</f>
        <v/>
      </c>
    </row>
    <row r="1049">
      <c r="A1049" t="inlineStr">
        <is>
          <t>Normal Monster Damage Bonus % (Holy Symbol)</t>
        </is>
      </c>
      <c r="B1049">
        <f>IF(C1029=TRUE,F1029*IF(AND(Inputs!$B$39&lt;&gt;"pvp",Inputs!$B$44&gt;0),(((R1029-1)*MIN((Skills!S12*(1+((Inputs!$B$35+(ArtifactsInput!$M$7-ArtifactsInput!$M$7)*CHOOSE(ArtifactsInput!$N$7+1,6,7.2,8.4,9.6,10.8,12)))/100)),(1/Q1029))+MIN((Skills!S12*(1+((Inputs!$B$35+(ArtifactsInput!$M$7-ArtifactsInput!$M$7)*CHOOSE(ArtifactsInput!$N$7+1,6,7.2,8.4,9.6,10.8,12)))/100)),MAX(0,Inputs!$B$44-((R1029-1)*(1/Q1029)))))/Inputs!$B$44),IF(Inputs!$B$39="pvp",MIN((Skills!S12*(1+((Inputs!$B$35+(ArtifactsInput!$M$7-ArtifactsInput!$M$7)*CHOOSE(ArtifactsInput!$N$7+1,6,7.2,8.4,9.6,10.8,12)))/100)),15)/15,MIN(1,(Skills!S12*(1+((Inputs!$B$35+(ArtifactsInput!$M$7-ArtifactsInput!$M$7)*CHOOSE(ArtifactsInput!$N$7+1,6,7.2,8.4,9.6,10.8,12)))/100))/(1/Q1029)))),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MIN((Skills!S28*(1+((Inputs!$B$35+(ArtifactsInput!$M$7-ArtifactsInput!$M$7)*CHOOSE(ArtifactsInput!$N$7+1,6,7.2,8.4,9.6,10.8,12)))/100)),(1/Q1045))+MIN((Skills!S28*(1+((Inputs!$B$35+(ArtifactsInput!$M$7-ArtifactsInput!$M$7)*CHOOSE(ArtifactsInput!$N$7+1,6,7.2,8.4,9.6,10.8,12)))/100)),MAX(0,Inputs!$B$44-((R1045-1)*(1/Q1045)))))/Inputs!$B$44),IF(Inputs!$B$39="pvp",MIN((Skills!S28*(1+((Inputs!$B$35+(ArtifactsInput!$M$7-ArtifactsInput!$M$7)*CHOOSE(ArtifactsInput!$N$7+1,6,7.2,8.4,9.6,10.8,12)))/100)),15)/15,MIN(1,(Skills!S28*(1+((Inputs!$B$35+(ArtifactsInput!$M$7-ArtifactsInput!$M$7)*CHOOSE(ArtifactsInput!$N$7+1,6,7.2,8.4,9.6,10.8,12)))/100))/(1/Q1045)))))</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MIN((Skills!S13*(1+((Inputs!$B$35+(ArtifactsInput!$M$7-ArtifactsInput!$M$7)*CHOOSE(ArtifactsInput!$N$7+1,6,7.2,8.4,9.6,10.8,12)))/100)),(1/Q1030))+MIN((Skills!S13*(1+((Inputs!$B$35+(ArtifactsInput!$M$7-ArtifactsInput!$M$7)*CHOOSE(ArtifactsInput!$N$7+1,6,7.2,8.4,9.6,10.8,12)))/100)),MAX(0,Inputs!$B$44-((R1030-1)*(1/Q1030)))))/Inputs!$B$44),IF(Inputs!$B$39="pvp",MIN((Skills!S13*(1+((Inputs!$B$35+(ArtifactsInput!$M$7-ArtifactsInput!$M$7)*CHOOSE(ArtifactsInput!$N$7+1,6,7.2,8.4,9.6,10.8,12)))/100)),15)/15,MIN(1,(Skills!S13*(1+((Inputs!$B$35+(ArtifactsInput!$M$7-ArtifactsInput!$M$7)*CHOOSE(ArtifactsInput!$N$7+1,6,7.2,8.4,9.6,10.8,12)))/100))/(1/Q1030)))),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IFERROR(1/(IF(Inputs!$B$39="pvp",15,MAX(0.1,Skills!D2-IF(TRUE=TRUE,Inputs!$B$33,0)))*(1-IF(AND(ArtifactsInput!$M$27,Inputs!$B$4="Chapter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IFERROR(1/(IF(Inputs!$B$39="pvp",15,MAX(0.1,Skills!D3-IF(TRUE=TRUE,Inputs!$B$33,0)))*(1-IF(AND(ArtifactsInput!$M$27,Inputs!$B$4="Chapter Hunt"),CHOOSE(ArtifactsInput!$N$27+1,20,24,28,32,36,40),0)/100)),0)</f>
        <v/>
      </c>
      <c r="R1065">
        <f>IF(AND(Inputs!$B$39&lt;&gt;"pvp",Inputs!$B$44&gt;0),IF(Inputs!$B$44&lt;=0,0,(INT(Inputs!$B$44/(IF(Inputs!$B$39="pvp",15,MAX(0.1,Skills!D3-IF(TRUE=TRUE,Inputs!$B$33,0)))*(1-IF(AND(ArtifactsInput!$M$27,Inputs!$B$4="Chapter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IFERROR(1/(IF(Inputs!$B$39="pvp",15,MAX(0.1,Skills!D4-IF(TRUE=TRUE,Inputs!$B$33,0)))*(1-IF(AND(ArtifactsInput!$M$27,Inputs!$B$4="Chapter Hunt"),CHOOSE(ArtifactsInput!$N$27+1,20,24,28,32,36,40),0)/100)),0)</f>
        <v/>
      </c>
      <c r="R1066">
        <f>IF(AND(Inputs!$B$39&lt;&gt;"pvp",Inputs!$B$44&gt;0),IF(Inputs!$B$44&lt;=0,0,(INT(Inputs!$B$44/(IF(Inputs!$B$39="pvp",15,MAX(0.1,Skills!D4-IF(TRUE=TRUE,Inputs!$B$33,0)))*(1-IF(AND(ArtifactsInput!$M$27,Inputs!$B$4="Chapter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IFERROR(1/(IF(Inputs!$B$39="pvp",15,MAX(0.1,Skills!D5-IF(TRUE=TRUE,Inputs!$B$33,0)))*(1-IF(AND(ArtifactsInput!$M$27,Inputs!$B$4="Chapter Hunt"),CHOOSE(ArtifactsInput!$N$27+1,20,24,28,32,36,40),0)/100)),0)</f>
        <v/>
      </c>
      <c r="R1067">
        <f>IF(AND(Inputs!$B$39&lt;&gt;"pvp",Inputs!$B$44&gt;0),IF(Inputs!$B$44&lt;=0,0,(INT(Inputs!$B$44/(IF(Inputs!$B$39="pvp",15,MAX(0.1,Skills!D5-IF(TRUE=TRUE,Inputs!$B$33,0)))*(1-IF(AND(ArtifactsInput!$M$27,Inputs!$B$4="Chapter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IFERROR(1/(IF(Inputs!$B$39="pvp",15,MAX(0.1,Skills!D6-IF(TRUE=TRUE,Inputs!$B$33,0)))*(1-IF(AND(ArtifactsInput!$M$27,Inputs!$B$4="Chapter Hunt"),CHOOSE(ArtifactsInput!$N$27+1,20,24,28,32,36,40),0)/100)),0)</f>
        <v/>
      </c>
      <c r="R1068">
        <f>IF(AND(Inputs!$B$39&lt;&gt;"pvp",Inputs!$B$44&gt;0),IF(MAX(0,Inputs!$B$44-B1102)&lt;=0,0,(INT(MAX(0,Inputs!$B$44-B1102)/(IF(Inputs!$B$39="pvp",15,MAX(0.1,Skills!D6-IF(TRUE=TRUE,Inputs!$B$33,0)))*(1-IF(AND(ArtifactsInput!$M$27,Inputs!$B$4="Chapter Hunt"),CHOOSE(ArtifactsInput!$N$27+1,20,24,28,32,36,40),0)/100)))+1)),0)</f>
        <v/>
      </c>
      <c r="S1068">
        <f>IF(C1068,(H1068*N1068*IF(AND(Inputs!$B$39&lt;&gt;"pvp",Inputs!$B$44&gt;0),((Skills!F6*((R1068-1)*IF(Skills!G6&gt;0,INT(Skills!H6/Skills!G6+0.000000001),1)+IF(Skills!G6&gt;0,INT(MIN(Skills!H6,MAX(0,MAX(0,Inputs!$B$44-B1102)-((R1068-1)*(IF(Inputs!$B$39="pvp",15,MAX(0.1,Skills!D6-IF(TRUE=TRUE,Inputs!$B$33,0)))*(1-IF(AND(ArtifactsInput!$M$27,Inputs!$B$4="Chapter Hunt"),CHOOSE(ArtifactsInput!$N$27+1,20,24,28,32,36,40),0)/100)))))/Skills!G6+0.000000001),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INT(Skills!H6/Skills!G6+0.000000001),1)+IF(Skills!G6&gt;0,INT(MIN(Skills!H6,MAX(0,MAX(0,Inputs!$B$44-B1102)-((R1068-1)*(IF(Inputs!$B$39="pvp",15,MAX(0.1,Skills!D6-IF(TRUE=TRUE,Inputs!$B$33,0)))*(1-IF(AND(ArtifactsInput!$M$27,Inputs!$B$4="Chapter Hunt"),CHOOSE(ArtifactsInput!$N$27+1,20,24,28,32,36,40),0)/100)))))/Skills!G6+0.000000001),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IFERROR(1/(IF(Inputs!$B$39="pvp",15,MAX(0.1,Skills!D7-IF(TRUE=TRUE,Inputs!$B$33,0)))*(1-IF(AND(ArtifactsInput!$M$27,Inputs!$B$4="Chapter Hunt"),CHOOSE(ArtifactsInput!$N$27+1,20,24,28,32,36,40),0)/100)),0)</f>
        <v/>
      </c>
      <c r="R1069">
        <f>IF(AND(Inputs!$B$39&lt;&gt;"pvp",Inputs!$B$44&gt;0),IF(MAX(0,Inputs!$B$44-B1102)&lt;=0,0,(INT(MAX(0,Inputs!$B$44-B1102)/(IF(Inputs!$B$39="pvp",15,MAX(0.1,Skills!D7-IF(TRUE=TRUE,Inputs!$B$33,0)))*(1-IF(AND(ArtifactsInput!$M$27,Inputs!$B$4="Chapter Hunt"),CHOOSE(ArtifactsInput!$N$27+1,20,24,28,32,36,40),0)/100)))+1)),0)</f>
        <v/>
      </c>
      <c r="S1069">
        <f>IF(C1069,H1069*N1069*IF(AND(Inputs!$B$39&lt;&gt;"pvp",Inputs!$B$44&gt;0),((Skills!F7*((R1069-1)*IF(Skills!G7&gt;0,INT(Skills!H7/Skills!G7+0.000000001),1)+IF(Skills!G7&gt;0,INT(MIN(Skills!H7,MAX(0,MAX(0,Inputs!$B$44-B1102)-((R1069-1)*(IF(Inputs!$B$39="pvp",15,MAX(0.1,Skills!D7-IF(TRUE=TRUE,Inputs!$B$33,0)))*(1-IF(AND(ArtifactsInput!$M$27,Inputs!$B$4="Chapter Hunt"),CHOOSE(ArtifactsInput!$N$27+1,20,24,28,32,36,40),0)/100)))))/Skills!G7+0.000000001),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IFERROR(1/(IF(Inputs!$B$39="pvp",15,MAX(0.1,Skills!D8-IF(TRUE=TRUE,Inputs!$B$33,0)))*(1-IF(AND(ArtifactsInput!$M$27,Inputs!$B$4="Chapter Hunt"),CHOOSE(ArtifactsInput!$N$27+1,20,24,28,32,36,40),0)/100)),0)</f>
        <v/>
      </c>
      <c r="R1070">
        <f>IF(AND(Inputs!$B$39&lt;&gt;"pvp",Inputs!$B$44&gt;0),IF(MAX(0,Inputs!$B$44-B1102)&lt;=0,0,(INT(MAX(0,Inputs!$B$44-B1102)/(IF(Inputs!$B$39="pvp",15,MAX(0.1,Skills!D8-IF(TRUE=TRUE,Inputs!$B$33,0)))*(1-IF(AND(ArtifactsInput!$M$27,Inputs!$B$4="Chapter Hunt"),CHOOSE(ArtifactsInput!$N$27+1,20,24,28,32,36,40),0)/100)))+1)),0)</f>
        <v/>
      </c>
      <c r="S1070">
        <f>IF(C1070,(H1070*N1070*IF(AND(Inputs!$B$39&lt;&gt;"pvp",Inputs!$B$44&gt;0),((Skills!F8*((R1070-1)*IF(Skills!G8&gt;0,INT(Skills!H8/Skills!G8+0.000000001),1)+IF(Skills!G8&gt;0,INT(MIN(Skills!H8,MAX(0,MAX(0,Inputs!$B$44-B1102)-((R1070-1)*(IF(Inputs!$B$39="pvp",15,MAX(0.1,Skills!D8-IF(TRUE=TRUE,Inputs!$B$33,0)))*(1-IF(AND(ArtifactsInput!$M$27,Inputs!$B$4="Chapter Hunt"),CHOOSE(ArtifactsInput!$N$27+1,20,24,28,32,36,40),0)/100)))))/Skills!G8+0.000000001),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INT(Skills!H8/Skills!G8+0.000000001),1)+IF(Skills!G8&gt;0,INT(MIN(Skills!H8,MAX(0,MAX(0,Inputs!$B$44-B1102)-((R1070-1)*(IF(Inputs!$B$39="pvp",15,MAX(0.1,Skills!D8-IF(TRUE=TRUE,Inputs!$B$33,0)))*(1-IF(AND(ArtifactsInput!$M$27,Inputs!$B$4="Chapter Hunt"),CHOOSE(ArtifactsInput!$N$27+1,20,24,28,32,36,40),0)/100)))))/Skills!G8+0.000000001),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IFERROR(1/(IF(Inputs!$B$39="pvp",15,MAX(0.1,Skills!D9-IF(TRUE=TRUE,Inputs!$B$33,0)))*(1-IF(AND(ArtifactsInput!$M$27,Inputs!$B$4="Chapter Hunt"),CHOOSE(ArtifactsInput!$N$27+1,20,24,28,32,36,40),0)/100)),0)</f>
        <v/>
      </c>
      <c r="R1071">
        <f>IF(AND(Inputs!$B$39&lt;&gt;"pvp",Inputs!$B$44&gt;0),IF(MAX(0,Inputs!$B$44-B1102)&lt;=0,0,(INT(MAX(0,Inputs!$B$44-B1102)/(IF(Inputs!$B$39="pvp",15,MAX(0.1,Skills!D9-IF(TRUE=TRUE,Inputs!$B$33,0)))*(1-IF(AND(ArtifactsInput!$M$27,Inputs!$B$4="Chapter Hunt"),CHOOSE(ArtifactsInput!$N$27+1,20,24,28,32,36,40),0)/100)))+1)),0)</f>
        <v/>
      </c>
      <c r="S1071">
        <f>IF(C1071,(H1071*N1071*IF(AND(Inputs!$B$39&lt;&gt;"pvp",Inputs!$B$44&gt;0),((Skills!F9*((R1071-1)*IF(Skills!G9&gt;0,INT(Skills!H9/Skills!G9+0.000000001),1)+IF(Skills!G9&gt;0,INT(MIN(Skills!H9,MAX(0,MAX(0,Inputs!$B$44-B1102)-((R1071-1)*(IF(Inputs!$B$39="pvp",15,MAX(0.1,Skills!D9-IF(TRUE=TRUE,Inputs!$B$33,0)))*(1-IF(AND(ArtifactsInput!$M$27,Inputs!$B$4="Chapter Hunt"),CHOOSE(ArtifactsInput!$N$27+1,20,24,28,32,36,40),0)/100)))))/Skills!G9+0.000000001),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INT(Skills!H9/Skills!G9+0.000000001),1)+IF(Skills!G9&gt;0,INT(MIN(Skills!H9,MAX(0,MAX(0,Inputs!$B$44-B1102)-((R1071-1)*(IF(Inputs!$B$39="pvp",15,MAX(0.1,Skills!D9-IF(TRUE=TRUE,Inputs!$B$33,0)))*(1-IF(AND(ArtifactsInput!$M$27,Inputs!$B$4="Chapter Hunt"),CHOOSE(ArtifactsInput!$N$27+1,20,24,28,32,36,40),0)/100)))))/Skills!G9+0.000000001),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IFERROR(1/(IF(Inputs!$B$39="pvp",15,MAX(0.1,Skills!D10-IF(TRUE=TRUE,Inputs!$B$33,0)))*(1-IF(AND(ArtifactsInput!$M$27,Inputs!$B$4="Chapter Hunt"),CHOOSE(ArtifactsInput!$N$27+1,20,24,28,32,36,40),0)/100)),0)</f>
        <v/>
      </c>
      <c r="R1072">
        <f>IF(AND(Inputs!$B$39&lt;&gt;"pvp",Inputs!$B$44&gt;0),IF(MAX(0,Inputs!$B$44-B1102)&lt;=0,0,(INT(MAX(0,Inputs!$B$44-B1102)/(IF(Inputs!$B$39="pvp",15,MAX(0.1,Skills!D10-IF(TRUE=TRUE,Inputs!$B$33,0)))*(1-IF(AND(ArtifactsInput!$M$27,Inputs!$B$4="Chapter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IFERROR(1/(IF(Inputs!$B$39="pvp",15,MAX(0.1,Skills!D11-IF(TRUE=TRUE,Inputs!$B$33,0)))*(1-IF(AND(ArtifactsInput!$M$27,Inputs!$B$4="Chapter Hunt"),CHOOSE(ArtifactsInput!$N$27+1,20,24,28,32,36,40),0)/100)),0)</f>
        <v/>
      </c>
      <c r="R1073">
        <f>IF(AND(Inputs!$B$39&lt;&gt;"pvp",Inputs!$B$44&gt;0),IF(Inputs!$B$44&lt;=0,0,(INT(Inputs!$B$44/(IF(Inputs!$B$39="pvp",15,MAX(0.1,Skills!D11-IF(TRUE=TRUE,Inputs!$B$33,0)))*(1-IF(AND(ArtifactsInput!$M$27,Inputs!$B$4="Chapter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IFERROR(1/(IF(Inputs!$B$39="pvp",15,MAX(0.1,Skills!D12-IF(TRUE=TRUE,Inputs!$B$33,0)))*(1-IF(AND(ArtifactsInput!$M$27,Inputs!$B$4="Chapter Hunt"),CHOOSE(ArtifactsInput!$N$27+1,20,24,28,32,36,40),0)/100)),0)</f>
        <v/>
      </c>
      <c r="R1074">
        <f>IF(AND(Inputs!$B$39&lt;&gt;"pvp",Inputs!$B$44&gt;0),IF(MAX(0,Inputs!$B$44-B1102)&lt;=0,0,(INT(MAX(0,Inputs!$B$44-B1102)/(IF(Inputs!$B$39="pvp",15,MAX(0.1,Skills!D12-IF(TRUE=TRUE,Inputs!$B$33,0)))*(1-IF(AND(ArtifactsInput!$M$27,Inputs!$B$4="Chapter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IFERROR(1/(IF(Inputs!$B$39="pvp",15,MAX(0.1,Skills!D13-IF(TRUE=TRUE,Inputs!$B$33,0)))*(1-IF(AND(ArtifactsInput!$M$27,Inputs!$B$4="Chapter Hunt"),CHOOSE(ArtifactsInput!$N$27+1,20,24,28,32,36,40),0)/100)),0)</f>
        <v/>
      </c>
      <c r="R1075">
        <f>IF(AND(Inputs!$B$39&lt;&gt;"pvp",Inputs!$B$44&gt;0),IF(MAX(0,Inputs!$B$44-B1102)&lt;=0,0,(INT(MAX(0,Inputs!$B$44-B1102)/(IF(Inputs!$B$39="pvp",15,MAX(0.1,Skills!D13-IF(TRUE=TRUE,Inputs!$B$33,0)))*(1-IF(AND(ArtifactsInput!$M$27,Inputs!$B$4="Chapter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IFERROR(1/(IF(Inputs!$B$39="pvp",15,MAX(0.1,Skills!D14-IF(TRUE=TRUE,Inputs!$B$33,0)))*(1-IF(AND(ArtifactsInput!$M$27,Inputs!$B$4="Chapter Hunt"),CHOOSE(ArtifactsInput!$N$27+1,20,24,28,32,36,40),0)/100)),0)</f>
        <v/>
      </c>
      <c r="R1076">
        <f>IF(AND(Inputs!$B$39&lt;&gt;"pvp",Inputs!$B$44&gt;0),IF(Inputs!$B$44&lt;=0,0,(INT(Inputs!$B$44/(IF(Inputs!$B$39="pvp",15,MAX(0.1,Skills!D14-IF(TRUE=TRUE,Inputs!$B$33,0)))*(1-IF(AND(ArtifactsInput!$M$27,Inputs!$B$4="Chapter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IFERROR(1/(IF(Inputs!$B$39="pvp",15,MAX(0.1,Skills!D15-IF(TRUE=TRUE,Inputs!$B$33,0)))*(1-IF(AND(ArtifactsInput!$M$27,Inputs!$B$4="Chapter Hunt"),CHOOSE(ArtifactsInput!$N$27+1,20,24,28,32,36,40),0)/100)),0)</f>
        <v/>
      </c>
      <c r="R1077" t="n">
        <v>0</v>
      </c>
      <c r="S1077">
        <f>IF(C1077,(Skills!F15*N1077*((IF(Inputs!$B$3&gt;=78,25,15)/100*B1098*10)/(1+IF(Inputs!$B$3&gt;=78,25,15)/100*B1098*IF(Inputs!$B$39="pvp",15,MAX(0.1,18-IF(TRUE=TRUE,Inputs!$B$33,0)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IF(Inputs!$B$39="pvp",15,MAX(0.1,18-IF(TRUE=TRUE,Inputs!$B$33,0)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IFERROR(1/(IF(Inputs!$B$39="pvp",15,MAX(0.1,Skills!D16-IF(TRUE=TRUE,Inputs!$B$33,0)))*(1-IF(AND(ArtifactsInput!$M$27,Inputs!$B$4="Chapter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IFERROR(1/(IF(Inputs!$B$39="pvp",15,MAX(0.1,Skills!D17-IF(TRUE=TRUE,Inputs!$B$33,0)))*(1-IF(AND(ArtifactsInput!$M$27,Inputs!$B$4="Chapter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IFERROR(1/(IF(Inputs!$B$39="pvp",15,MAX(0.1,Skills!D18-IF(TRUE=TRUE,Inputs!$B$33,0)))*(1-IF(AND(ArtifactsInput!$M$27,Inputs!$B$4="Chapter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IFERROR(1/(IF(Inputs!$B$39="pvp",15,MAX(0.1,Skills!D19-IF(TRUE=TRUE,Inputs!$B$33,0)))*(1-IF(AND(ArtifactsInput!$M$27,Inputs!$B$4="Chapter Hunt"),CHOOSE(ArtifactsInput!$N$27+1,20,24,28,32,36,40),0)/100)),0)</f>
        <v/>
      </c>
      <c r="R1081">
        <f>IF(AND(Inputs!$B$39&lt;&gt;"pvp",Inputs!$B$44&gt;0),IF(Inputs!$B$44&lt;=0,0,(INT(Inputs!$B$44/(IF(Inputs!$B$39="pvp",15,MAX(0.1,Skills!D19-IF(TRUE=TRUE,Inputs!$B$33,0)))*(1-IF(AND(ArtifactsInput!$M$27,Inputs!$B$4="Chapter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IFERROR(1/(IF(Inputs!$B$39="pvp",15,MAX(0.1,Skills!D20-IF(TRUE=TRUE,Inputs!$B$33,0)))*(1-IF(AND(ArtifactsInput!$M$27,Inputs!$B$4="Chapter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IFERROR(1/(IF(Inputs!$B$39="pvp",15,MAX(0.1,Skills!D21-IF(TRUE=TRUE,Inputs!$B$33,0)))*(1-IF(AND(ArtifactsInput!$M$27,Inputs!$B$4="Chapter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IFERROR(1/(IF(Inputs!$B$39="pvp",15,MAX(0.1,Skills!D22-IF(TRUE=TRUE,Inputs!$B$33,0)))*(1-IF(AND(ArtifactsInput!$M$27,Inputs!$B$4="Chapter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IFERROR(1/(IF(Inputs!$B$39="pvp",15,MAX(0.1,Skills!D23-IF(TRUE=TRUE,Inputs!$B$33,0)))*(1-IF(AND(ArtifactsInput!$M$27,Inputs!$B$4="Chapter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IFERROR(1/(IF(Inputs!$B$39="pvp",15,MAX(0.1,Skills!D24-IF(TRUE=TRUE,Inputs!$B$33,0)))*(1-IF(AND(ArtifactsInput!$M$27,Inputs!$B$4="Chapter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IFERROR(1/(IF(Inputs!$B$39="pvp",15,MAX(0.1,Skills!D25-IF(TRUE=TRUE,Inputs!$B$33,0)))*(1-IF(AND(ArtifactsInput!$M$27,Inputs!$B$4="Chapter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IFERROR(1/(IF(Inputs!$B$39="pvp",15,MAX(0.1,Skills!D26-IF(TRUE=TRUE,Inputs!$B$33,0)))*(1-IF(AND(ArtifactsInput!$M$27,Inputs!$B$4="Chapter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IFERROR(1/(IF(Inputs!$B$39="pvp",15,MAX(0.1,Skills!D27-IF(TRUE=TRUE,Inputs!$B$33,0)))*(1-IF(AND(ArtifactsInput!$M$27,Inputs!$B$4="Chapter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IFERROR(1/(IF(Inputs!$B$39="pvp",15,MAX(0.1,Skills!D28-IF(TRUE=TRUE,Inputs!$B$33,0)))*(1-IF(AND(ArtifactsInput!$M$27,Inputs!$B$4="Chapter Hunt"),CHOOSE(ArtifactsInput!$N$27+1,20,24,28,32,36,40),0)/100)),0)</f>
        <v/>
      </c>
      <c r="R1090">
        <f>IF(AND(Inputs!$B$39&lt;&gt;"pvp",Inputs!$B$44&gt;0),IF(Inputs!$B$44&lt;=0,0,(INT(Inputs!$B$44/(IF(Inputs!$B$39="pvp",15,MAX(0.1,Skills!D28-IF(TRUE=TRUE,Inputs!$B$33,0)))*(1-IF(AND(ArtifactsInput!$M$27,Inputs!$B$4="Chapter Hunt"),CHOOSE(ArtifactsInput!$N$27+1,20,24,28,32,36,40),0)/100)))+1)),0)</f>
        <v/>
      </c>
      <c r="S1090" t="n">
        <v>0</v>
      </c>
      <c r="U1090" t="n">
        <v>0</v>
      </c>
    </row>
    <row r="1092">
      <c r="A1092" t="inlineStr">
        <is>
          <t>Average Buff Multiplier</t>
        </is>
      </c>
      <c r="B1092">
        <f>(1+(IF(C1065=TRUE,F1065*IF(AND(Inputs!$B$39&lt;&gt;"pvp",Inputs!$B$44&gt;0),(((R1065-1)*MIN((Skills!S3*(1+((Inputs!$B$35+(ArtifactsInput!$M$7-ArtifactsInput!$M$7)*CHOOSE(ArtifactsInput!$N$7+1,6,7.2,8.4,9.6,10.8,12)))/100)),(1/Q1065))+MIN((Skills!S3*(1+((Inputs!$B$35+(ArtifactsInput!$M$7-ArtifactsInput!$M$7)*CHOOSE(ArtifactsInput!$N$7+1,6,7.2,8.4,9.6,10.8,12)))/100)),MAX(0,Inputs!$B$44-((R1065-1)*(1/Q1065)))))/Inputs!$B$44),IF(Inputs!$B$39="pvp",MIN((Skills!S3*(1+((Inputs!$B$35+(ArtifactsInput!$M$7-ArtifactsInput!$M$7)*CHOOSE(ArtifactsInput!$N$7+1,6,7.2,8.4,9.6,10.8,12)))/100)),15)/15,MIN(1,(Skills!S3*(1+((Inputs!$B$35+(ArtifactsInput!$M$7-ArtifactsInput!$M$7)*CHOOSE(ArtifactsInput!$N$7+1,6,7.2,8.4,9.6,10.8,12)))/100))/(1/Q1065)))),0)+IF(C1066=TRUE,F1066*IF(AND(Inputs!$B$39&lt;&gt;"pvp",Inputs!$B$44&gt;0),(((R1066-1)*MIN((Skills!S4*(1+((Inputs!$B$35+(ArtifactsInput!$M$7-ArtifactsInput!$M$7)*CHOOSE(ArtifactsInput!$N$7+1,6,7.2,8.4,9.6,10.8,12)))/100)),(1/Q1066))+MIN((Skills!S4*(1+((Inputs!$B$35+(ArtifactsInput!$M$7-ArtifactsInput!$M$7)*CHOOSE(ArtifactsInput!$N$7+1,6,7.2,8.4,9.6,10.8,12)))/100)),MAX(0,Inputs!$B$44-((R1066-1)*(1/Q1066)))))/Inputs!$B$44),IF(Inputs!$B$39="pvp",MIN((Skills!S4*(1+((Inputs!$B$35+(ArtifactsInput!$M$7-ArtifactsInput!$M$7)*CHOOSE(ArtifactsInput!$N$7+1,6,7.2,8.4,9.6,10.8,12)))/100)),15)/15,MIN(1,(Skills!S4*(1+((Inputs!$B$35+(ArtifactsInput!$M$7-ArtifactsInput!$M$7)*CHOOSE(ArtifactsInput!$N$7+1,6,7.2,8.4,9.6,10.8,12)))/100))/(1/Q1066)))),0)+IF(C1067=TRUE,F1067*IF(AND(Inputs!$B$39&lt;&gt;"pvp",Inputs!$B$44&gt;0),(((R1067-1)*MIN((Skills!S5*(1+((Inputs!$B$35+(ArtifactsInput!$M$7-ArtifactsInput!$M$7)*CHOOSE(ArtifactsInput!$N$7+1,6,7.2,8.4,9.6,10.8,12)))/100)),(1/Q1067))+MIN((Skills!S5*(1+((Inputs!$B$35+(ArtifactsInput!$M$7-ArtifactsInput!$M$7)*CHOOSE(ArtifactsInput!$N$7+1,6,7.2,8.4,9.6,10.8,12)))/100)),MAX(0,Inputs!$B$44-((R1067-1)*(1/Q1067)))))/Inputs!$B$44),IF(Inputs!$B$39="pvp",MIN((Skills!S5*(1+((Inputs!$B$35+(ArtifactsInput!$M$7-ArtifactsInput!$M$7)*CHOOSE(ArtifactsInput!$N$7+1,6,7.2,8.4,9.6,10.8,12)))/100)),15)/15,MIN(1,(Skills!S5*(1+((Inputs!$B$35+(ArtifactsInput!$M$7-ArtifactsInput!$M$7)*CHOOSE(ArtifactsInput!$N$7+1,6,7.2,8.4,9.6,10.8,12)))/100))/(1/Q1067)))),0)+IF(C1073=TRUE,F1073*IF(AND(Inputs!$B$39&lt;&gt;"pvp",Inputs!$B$44&gt;0),(((R1073-1)*MIN((Skills!S11*(1+((Inputs!$B$35+(ArtifactsInput!$M$7-ArtifactsInput!$M$7)*CHOOSE(ArtifactsInput!$N$7+1,6,7.2,8.4,9.6,10.8,12)))/100)),(1/Q1073))+MIN((Skills!S11*(1+((Inputs!$B$35+(ArtifactsInput!$M$7-ArtifactsInput!$M$7)*CHOOSE(ArtifactsInput!$N$7+1,6,7.2,8.4,9.6,10.8,12)))/100)),MAX(0,Inputs!$B$44-((R1073-1)*(1/Q1073)))))/Inputs!$B$44),IF(Inputs!$B$39="pvp",MIN((Skills!S11*(1+((Inputs!$B$35+(ArtifactsInput!$M$7-ArtifactsInput!$M$7)*CHOOSE(ArtifactsInput!$N$7+1,6,7.2,8.4,9.6,10.8,12)))/100)),15)/15,MIN(1,(Skills!S11*(1+((Inputs!$B$35+(ArtifactsInput!$M$7-ArtifactsInput!$M$7)*CHOOSE(ArtifactsInput!$N$7+1,6,7.2,8.4,9.6,10.8,12)))/100))/(1/Q1073)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MIN((Skills!S14*(1+((Inputs!$B$35+(ArtifactsInput!$M$7-ArtifactsInput!$M$7)*CHOOSE(ArtifactsInput!$N$7+1,6,7.2,8.4,9.6,10.8,12)))/100)),(1/Q1076))+MIN((Skills!S14*(1+((Inputs!$B$35+(ArtifactsInput!$M$7-ArtifactsInput!$M$7)*CHOOSE(ArtifactsInput!$N$7+1,6,7.2,8.4,9.6,10.8,12)))/100)),MAX(0,Inputs!$B$44-((R1076-1)*(1/Q1076)))))/Inputs!$B$44),IF(Inputs!$B$39="pvp",MIN((Skills!S14*(1+((Inputs!$B$35+(ArtifactsInput!$M$7-ArtifactsInput!$M$7)*CHOOSE(ArtifactsInput!$N$7+1,6,7.2,8.4,9.6,10.8,12)))/100)),15)/15,MIN(1,(Skills!S14*(1+((Inputs!$B$35+(ArtifactsInput!$M$7-ArtifactsInput!$M$7)*CHOOSE(ArtifactsInput!$N$7+1,6,7.2,8.4,9.6,10.8,12)))/100))/(1/Q1076))))/100),1)*IF(C1081=TRUE,(1+F1081*IF(AND(Inputs!$B$39&lt;&gt;"pvp",Inputs!$B$44&gt;0),(((R1081-1)*MIN((Skills!S19*(1+((Inputs!$B$35+(ArtifactsInput!$M$7-ArtifactsInput!$M$7)*CHOOSE(ArtifactsInput!$N$7+1,6,7.2,8.4,9.6,10.8,12)))/100)),(1/Q1081))+MIN((Skills!S19*(1+((Inputs!$B$35+(ArtifactsInput!$M$7-ArtifactsInput!$M$7)*CHOOSE(ArtifactsInput!$N$7+1,6,7.2,8.4,9.6,10.8,12)))/100)),MAX(0,Inputs!$B$44-((R1081-1)*(1/Q1081)))))/Inputs!$B$44),IF(Inputs!$B$39="pvp",MIN((Skills!S19*(1+((Inputs!$B$35+(ArtifactsInput!$M$7-ArtifactsInput!$M$7)*CHOOSE(ArtifactsInput!$N$7+1,6,7.2,8.4,9.6,10.8,12)))/100)),15)/15,MIN(1,(Skills!S19*(1+((Inputs!$B$35+(ArtifactsInput!$M$7-ArtifactsInput!$M$7)*CHOOSE(ArtifactsInput!$N$7+1,6,7.2,8.4,9.6,10.8,12)))/100))/(1/Q1081))))/100),1)</f>
        <v/>
      </c>
    </row>
    <row r="1093">
      <c r="A1093" t="inlineStr">
        <is>
          <t>Monster Damage Taken Bonus % (Holy Fountain)</t>
        </is>
      </c>
      <c r="B1093">
        <f>IF(Inputs!$B$3&gt;=68,20*IF(Inputs!$B$39="pvp",MIN((15*(1+((Inputs!$B$35+(ArtifactsInput!$M$7-ArtifactsInput!$M$7)*CHOOSE(ArtifactsInput!$N$7+1,6,7.2,8.4,9.6,10.8,12)))/100)),15)/15,MIN(1,(15*(1+((Inputs!$B$35+(ArtifactsInput!$M$7-ArtifactsInput!$M$7)*CHOOSE(ArtifactsInput!$N$7+1,6,7.2,8.4,9.6,10.8,12)))/100))/(1/Q1072))),0)</f>
        <v/>
      </c>
    </row>
    <row r="1094">
      <c r="A1094" t="inlineStr">
        <is>
          <t>Normal Monster Damage Bonus % (Holy Symbol)</t>
        </is>
      </c>
      <c r="B1094">
        <f>IF(C1074=TRUE,F1074*IF(AND(Inputs!$B$39&lt;&gt;"pvp",Inputs!$B$44&gt;0),(((R1074-1)*MIN((Skills!S12*(1+((Inputs!$B$35+(ArtifactsInput!$M$7-ArtifactsInput!$M$7)*CHOOSE(ArtifactsInput!$N$7+1,6,7.2,8.4,9.6,10.8,12)))/100)),(1/Q1074))+MIN((Skills!S12*(1+((Inputs!$B$35+(ArtifactsInput!$M$7-ArtifactsInput!$M$7)*CHOOSE(ArtifactsInput!$N$7+1,6,7.2,8.4,9.6,10.8,12)))/100)),MAX(0,Inputs!$B$44-((R1074-1)*(1/Q1074)))))/Inputs!$B$44),IF(Inputs!$B$39="pvp",MIN((Skills!S12*(1+((Inputs!$B$35+(ArtifactsInput!$M$7-ArtifactsInput!$M$7)*CHOOSE(ArtifactsInput!$N$7+1,6,7.2,8.4,9.6,10.8,12)))/100)),15)/15,MIN(1,(Skills!S12*(1+((Inputs!$B$35+(ArtifactsInput!$M$7-ArtifactsInput!$M$7)*CHOOSE(ArtifactsInput!$N$7+1,6,7.2,8.4,9.6,10.8,12)))/100))/(1/Q1074)))),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MIN((Skills!S28*(1+((Inputs!$B$35+(ArtifactsInput!$M$7-ArtifactsInput!$M$7)*CHOOSE(ArtifactsInput!$N$7+1,6,7.2,8.4,9.6,10.8,12)))/100)),(1/Q1090))+MIN((Skills!S28*(1+((Inputs!$B$35+(ArtifactsInput!$M$7-ArtifactsInput!$M$7)*CHOOSE(ArtifactsInput!$N$7+1,6,7.2,8.4,9.6,10.8,12)))/100)),MAX(0,Inputs!$B$44-((R1090-1)*(1/Q1090)))))/Inputs!$B$44),IF(Inputs!$B$39="pvp",MIN((Skills!S28*(1+((Inputs!$B$35+(ArtifactsInput!$M$7-ArtifactsInput!$M$7)*CHOOSE(ArtifactsInput!$N$7+1,6,7.2,8.4,9.6,10.8,12)))/100)),15)/15,MIN(1,(Skills!S28*(1+((Inputs!$B$35+(ArtifactsInput!$M$7-ArtifactsInput!$M$7)*CHOOSE(ArtifactsInput!$N$7+1,6,7.2,8.4,9.6,10.8,12)))/100))/(1/Q1090)))))</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MIN((Skills!S13*(1+((Inputs!$B$35+(ArtifactsInput!$M$7-ArtifactsInput!$M$7)*CHOOSE(ArtifactsInput!$N$7+1,6,7.2,8.4,9.6,10.8,12)))/100)),(1/Q1075))+MIN((Skills!S13*(1+((Inputs!$B$35+(ArtifactsInput!$M$7-ArtifactsInput!$M$7)*CHOOSE(ArtifactsInput!$N$7+1,6,7.2,8.4,9.6,10.8,12)))/100)),MAX(0,Inputs!$B$44-((R1075-1)*(1/Q1075)))))/Inputs!$B$44),IF(Inputs!$B$39="pvp",MIN((Skills!S13*(1+((Inputs!$B$35+(ArtifactsInput!$M$7-ArtifactsInput!$M$7)*CHOOSE(ArtifactsInput!$N$7+1,6,7.2,8.4,9.6,10.8,12)))/100)),15)/15,MIN(1,(Skills!S13*(1+((Inputs!$B$35+(ArtifactsInput!$M$7-ArtifactsInput!$M$7)*CHOOSE(ArtifactsInput!$N$7+1,6,7.2,8.4,9.6,10.8,12)))/100))/(1/Q1075)))),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IFERROR(1/(IF(Inputs!$B$39="pvp",15,MAX(0.1,Skills!D2-IF(TRUE=TRUE,Inputs!$B$33,0)))*(1-IF(AND(ArtifactsInput!$M$27,Inputs!$B$4="Chapter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IFERROR(1/(IF(Inputs!$B$39="pvp",15,MAX(0.1,Skills!D3-IF(TRUE=TRUE,Inputs!$B$33,0)))*(1-IF(AND(ArtifactsInput!$M$27,Inputs!$B$4="Chapter Hunt"),CHOOSE(ArtifactsInput!$N$27+1,20,24,28,32,36,40),0)/100)),0)</f>
        <v/>
      </c>
      <c r="R1110">
        <f>IF(AND(Inputs!$B$39&lt;&gt;"pvp",Inputs!$B$44&gt;0),IF(Inputs!$B$44&lt;=0,0,(INT(Inputs!$B$44/(IF(Inputs!$B$39="pvp",15,MAX(0.1,Skills!D3-IF(TRUE=TRUE,Inputs!$B$33,0)))*(1-IF(AND(ArtifactsInput!$M$27,Inputs!$B$4="Chapter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IFERROR(1/(IF(Inputs!$B$39="pvp",15,MAX(0.1,Skills!D4-IF(TRUE=TRUE,Inputs!$B$33,0)))*(1-IF(AND(ArtifactsInput!$M$27,Inputs!$B$4="Chapter Hunt"),CHOOSE(ArtifactsInput!$N$27+1,20,24,28,32,36,40),0)/100)),0)</f>
        <v/>
      </c>
      <c r="R1111">
        <f>IF(AND(Inputs!$B$39&lt;&gt;"pvp",Inputs!$B$44&gt;0),IF(Inputs!$B$44&lt;=0,0,(INT(Inputs!$B$44/(IF(Inputs!$B$39="pvp",15,MAX(0.1,Skills!D4-IF(TRUE=TRUE,Inputs!$B$33,0)))*(1-IF(AND(ArtifactsInput!$M$27,Inputs!$B$4="Chapter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IFERROR(1/(IF(Inputs!$B$39="pvp",15,MAX(0.1,Skills!D5-IF(TRUE=TRUE,Inputs!$B$33,0)))*(1-IF(AND(ArtifactsInput!$M$27,Inputs!$B$4="Chapter Hunt"),CHOOSE(ArtifactsInput!$N$27+1,20,24,28,32,36,40),0)/100)),0)</f>
        <v/>
      </c>
      <c r="R1112">
        <f>IF(AND(Inputs!$B$39&lt;&gt;"pvp",Inputs!$B$44&gt;0),IF(Inputs!$B$44&lt;=0,0,(INT(Inputs!$B$44/(IF(Inputs!$B$39="pvp",15,MAX(0.1,Skills!D5-IF(TRUE=TRUE,Inputs!$B$33,0)))*(1-IF(AND(ArtifactsInput!$M$27,Inputs!$B$4="Chapter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IFERROR(1/(IF(Inputs!$B$39="pvp",15,MAX(0.1,Skills!D6-IF(TRUE=TRUE,Inputs!$B$33,0)))*(1-IF(AND(ArtifactsInput!$M$27,Inputs!$B$4="Chapter Hunt"),CHOOSE(ArtifactsInput!$N$27+1,20,24,28,32,36,40),0)/100)),0)</f>
        <v/>
      </c>
      <c r="R1113">
        <f>IF(AND(Inputs!$B$39&lt;&gt;"pvp",Inputs!$B$44&gt;0),IF(MAX(0,Inputs!$B$44-B1147)&lt;=0,0,(INT(MAX(0,Inputs!$B$44-B1147)/(IF(Inputs!$B$39="pvp",15,MAX(0.1,Skills!D6-IF(TRUE=TRUE,Inputs!$B$33,0)))*(1-IF(AND(ArtifactsInput!$M$27,Inputs!$B$4="Chapter Hunt"),CHOOSE(ArtifactsInput!$N$27+1,20,24,28,32,36,40),0)/100)))+1)),0)</f>
        <v/>
      </c>
      <c r="S1113">
        <f>IF(C1113,(H1113*N1113*IF(AND(Inputs!$B$39&lt;&gt;"pvp",Inputs!$B$44&gt;0),((Skills!F6*((R1113-1)*IF(Skills!G6&gt;0,INT(Skills!H6/Skills!G6+0.000000001),1)+IF(Skills!G6&gt;0,INT(MIN(Skills!H6,MAX(0,MAX(0,Inputs!$B$44-B1147)-((R1113-1)*(IF(Inputs!$B$39="pvp",15,MAX(0.1,Skills!D6-IF(TRUE=TRUE,Inputs!$B$33,0)))*(1-IF(AND(ArtifactsInput!$M$27,Inputs!$B$4="Chapter Hunt"),CHOOSE(ArtifactsInput!$N$27+1,20,24,28,32,36,40),0)/100)))))/Skills!G6+0.000000001),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INT(Skills!H6/Skills!G6+0.000000001),1)+IF(Skills!G6&gt;0,INT(MIN(Skills!H6,MAX(0,MAX(0,Inputs!$B$44-B1147)-((R1113-1)*(IF(Inputs!$B$39="pvp",15,MAX(0.1,Skills!D6-IF(TRUE=TRUE,Inputs!$B$33,0)))*(1-IF(AND(ArtifactsInput!$M$27,Inputs!$B$4="Chapter Hunt"),CHOOSE(ArtifactsInput!$N$27+1,20,24,28,32,36,40),0)/100)))))/Skills!G6+0.000000001),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IFERROR(1/(IF(Inputs!$B$39="pvp",15,MAX(0.1,Skills!D7-IF(TRUE=TRUE,Inputs!$B$33,0)))*(1-IF(AND(ArtifactsInput!$M$27,Inputs!$B$4="Chapter Hunt"),CHOOSE(ArtifactsInput!$N$27+1,20,24,28,32,36,40),0)/100)),0)</f>
        <v/>
      </c>
      <c r="R1114">
        <f>IF(AND(Inputs!$B$39&lt;&gt;"pvp",Inputs!$B$44&gt;0),IF(MAX(0,Inputs!$B$44-B1147)&lt;=0,0,(INT(MAX(0,Inputs!$B$44-B1147)/(IF(Inputs!$B$39="pvp",15,MAX(0.1,Skills!D7-IF(TRUE=TRUE,Inputs!$B$33,0)))*(1-IF(AND(ArtifactsInput!$M$27,Inputs!$B$4="Chapter Hunt"),CHOOSE(ArtifactsInput!$N$27+1,20,24,28,32,36,40),0)/100)))+1)),0)</f>
        <v/>
      </c>
      <c r="S1114">
        <f>IF(C1114,H1114*N1114*IF(AND(Inputs!$B$39&lt;&gt;"pvp",Inputs!$B$44&gt;0),((Skills!F7*((R1114-1)*IF(Skills!G7&gt;0,INT(Skills!H7/Skills!G7+0.000000001),1)+IF(Skills!G7&gt;0,INT(MIN(Skills!H7,MAX(0,MAX(0,Inputs!$B$44-B1147)-((R1114-1)*(IF(Inputs!$B$39="pvp",15,MAX(0.1,Skills!D7-IF(TRUE=TRUE,Inputs!$B$33,0)))*(1-IF(AND(ArtifactsInput!$M$27,Inputs!$B$4="Chapter Hunt"),CHOOSE(ArtifactsInput!$N$27+1,20,24,28,32,36,40),0)/100)))))/Skills!G7+0.000000001),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IFERROR(1/(IF(Inputs!$B$39="pvp",15,MAX(0.1,Skills!D8-IF(TRUE=TRUE,Inputs!$B$33,0)))*(1-IF(AND(ArtifactsInput!$M$27,Inputs!$B$4="Chapter Hunt"),CHOOSE(ArtifactsInput!$N$27+1,20,24,28,32,36,40),0)/100)),0)</f>
        <v/>
      </c>
      <c r="R1115">
        <f>IF(AND(Inputs!$B$39&lt;&gt;"pvp",Inputs!$B$44&gt;0),IF(MAX(0,Inputs!$B$44-B1147)&lt;=0,0,(INT(MAX(0,Inputs!$B$44-B1147)/(IF(Inputs!$B$39="pvp",15,MAX(0.1,Skills!D8-IF(TRUE=TRUE,Inputs!$B$33,0)))*(1-IF(AND(ArtifactsInput!$M$27,Inputs!$B$4="Chapter Hunt"),CHOOSE(ArtifactsInput!$N$27+1,20,24,28,32,36,40),0)/100)))+1)),0)</f>
        <v/>
      </c>
      <c r="S1115">
        <f>IF(C1115,(H1115*N1115*IF(AND(Inputs!$B$39&lt;&gt;"pvp",Inputs!$B$44&gt;0),((Skills!F8*((R1115-1)*IF(Skills!G8&gt;0,INT(Skills!H8/Skills!G8+0.000000001),1)+IF(Skills!G8&gt;0,INT(MIN(Skills!H8,MAX(0,MAX(0,Inputs!$B$44-B1147)-((R1115-1)*(IF(Inputs!$B$39="pvp",15,MAX(0.1,Skills!D8-IF(TRUE=TRUE,Inputs!$B$33,0)))*(1-IF(AND(ArtifactsInput!$M$27,Inputs!$B$4="Chapter Hunt"),CHOOSE(ArtifactsInput!$N$27+1,20,24,28,32,36,40),0)/100)))))/Skills!G8+0.000000001),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INT(Skills!H8/Skills!G8+0.000000001),1)+IF(Skills!G8&gt;0,INT(MIN(Skills!H8,MAX(0,MAX(0,Inputs!$B$44-B1147)-((R1115-1)*(IF(Inputs!$B$39="pvp",15,MAX(0.1,Skills!D8-IF(TRUE=TRUE,Inputs!$B$33,0)))*(1-IF(AND(ArtifactsInput!$M$27,Inputs!$B$4="Chapter Hunt"),CHOOSE(ArtifactsInput!$N$27+1,20,24,28,32,36,40),0)/100)))))/Skills!G8+0.000000001),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IFERROR(1/(IF(Inputs!$B$39="pvp",15,MAX(0.1,Skills!D9-IF(TRUE=TRUE,Inputs!$B$33,0)))*(1-IF(AND(ArtifactsInput!$M$27,Inputs!$B$4="Chapter Hunt"),CHOOSE(ArtifactsInput!$N$27+1,20,24,28,32,36,40),0)/100)),0)</f>
        <v/>
      </c>
      <c r="R1116">
        <f>IF(AND(Inputs!$B$39&lt;&gt;"pvp",Inputs!$B$44&gt;0),IF(MAX(0,Inputs!$B$44-B1147)&lt;=0,0,(INT(MAX(0,Inputs!$B$44-B1147)/(IF(Inputs!$B$39="pvp",15,MAX(0.1,Skills!D9-IF(TRUE=TRUE,Inputs!$B$33,0)))*(1-IF(AND(ArtifactsInput!$M$27,Inputs!$B$4="Chapter Hunt"),CHOOSE(ArtifactsInput!$N$27+1,20,24,28,32,36,40),0)/100)))+1)),0)</f>
        <v/>
      </c>
      <c r="S1116">
        <f>IF(C1116,(H1116*N1116*IF(AND(Inputs!$B$39&lt;&gt;"pvp",Inputs!$B$44&gt;0),((Skills!F9*((R1116-1)*IF(Skills!G9&gt;0,INT(Skills!H9/Skills!G9+0.000000001),1)+IF(Skills!G9&gt;0,INT(MIN(Skills!H9,MAX(0,MAX(0,Inputs!$B$44-B1147)-((R1116-1)*(IF(Inputs!$B$39="pvp",15,MAX(0.1,Skills!D9-IF(TRUE=TRUE,Inputs!$B$33,0)))*(1-IF(AND(ArtifactsInput!$M$27,Inputs!$B$4="Chapter Hunt"),CHOOSE(ArtifactsInput!$N$27+1,20,24,28,32,36,40),0)/100)))))/Skills!G9+0.000000001),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INT(Skills!H9/Skills!G9+0.000000001),1)+IF(Skills!G9&gt;0,INT(MIN(Skills!H9,MAX(0,MAX(0,Inputs!$B$44-B1147)-((R1116-1)*(IF(Inputs!$B$39="pvp",15,MAX(0.1,Skills!D9-IF(TRUE=TRUE,Inputs!$B$33,0)))*(1-IF(AND(ArtifactsInput!$M$27,Inputs!$B$4="Chapter Hunt"),CHOOSE(ArtifactsInput!$N$27+1,20,24,28,32,36,40),0)/100)))))/Skills!G9+0.000000001),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IFERROR(1/(IF(Inputs!$B$39="pvp",15,MAX(0.1,Skills!D10-IF(TRUE=TRUE,Inputs!$B$33,0)))*(1-IF(AND(ArtifactsInput!$M$27,Inputs!$B$4="Chapter Hunt"),CHOOSE(ArtifactsInput!$N$27+1,20,24,28,32,36,40),0)/100)),0)</f>
        <v/>
      </c>
      <c r="R1117">
        <f>IF(AND(Inputs!$B$39&lt;&gt;"pvp",Inputs!$B$44&gt;0),IF(MAX(0,Inputs!$B$44-B1147)&lt;=0,0,(INT(MAX(0,Inputs!$B$44-B1147)/(IF(Inputs!$B$39="pvp",15,MAX(0.1,Skills!D10-IF(TRUE=TRUE,Inputs!$B$33,0)))*(1-IF(AND(ArtifactsInput!$M$27,Inputs!$B$4="Chapter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IFERROR(1/(IF(Inputs!$B$39="pvp",15,MAX(0.1,Skills!D11-IF(TRUE=TRUE,Inputs!$B$33,0)))*(1-IF(AND(ArtifactsInput!$M$27,Inputs!$B$4="Chapter Hunt"),CHOOSE(ArtifactsInput!$N$27+1,20,24,28,32,36,40),0)/100)),0)</f>
        <v/>
      </c>
      <c r="R1118">
        <f>IF(AND(Inputs!$B$39&lt;&gt;"pvp",Inputs!$B$44&gt;0),IF(Inputs!$B$44&lt;=0,0,(INT(Inputs!$B$44/(IF(Inputs!$B$39="pvp",15,MAX(0.1,Skills!D11-IF(TRUE=TRUE,Inputs!$B$33,0)))*(1-IF(AND(ArtifactsInput!$M$27,Inputs!$B$4="Chapter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IFERROR(1/(IF(Inputs!$B$39="pvp",15,MAX(0.1,Skills!D12-IF(TRUE=TRUE,Inputs!$B$33,0)))*(1-IF(AND(ArtifactsInput!$M$27,Inputs!$B$4="Chapter Hunt"),CHOOSE(ArtifactsInput!$N$27+1,20,24,28,32,36,40),0)/100)),0)</f>
        <v/>
      </c>
      <c r="R1119">
        <f>IF(AND(Inputs!$B$39&lt;&gt;"pvp",Inputs!$B$44&gt;0),IF(MAX(0,Inputs!$B$44-B1147)&lt;=0,0,(INT(MAX(0,Inputs!$B$44-B1147)/(IF(Inputs!$B$39="pvp",15,MAX(0.1,Skills!D12-IF(TRUE=TRUE,Inputs!$B$33,0)))*(1-IF(AND(ArtifactsInput!$M$27,Inputs!$B$4="Chapter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IFERROR(1/(IF(Inputs!$B$39="pvp",15,MAX(0.1,Skills!D13-IF(TRUE=TRUE,Inputs!$B$33,0)))*(1-IF(AND(ArtifactsInput!$M$27,Inputs!$B$4="Chapter Hunt"),CHOOSE(ArtifactsInput!$N$27+1,20,24,28,32,36,40),0)/100)),0)</f>
        <v/>
      </c>
      <c r="R1120">
        <f>IF(AND(Inputs!$B$39&lt;&gt;"pvp",Inputs!$B$44&gt;0),IF(MAX(0,Inputs!$B$44-B1147)&lt;=0,0,(INT(MAX(0,Inputs!$B$44-B1147)/(IF(Inputs!$B$39="pvp",15,MAX(0.1,Skills!D13-IF(TRUE=TRUE,Inputs!$B$33,0)))*(1-IF(AND(ArtifactsInput!$M$27,Inputs!$B$4="Chapter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IFERROR(1/(IF(Inputs!$B$39="pvp",15,MAX(0.1,Skills!D14-IF(TRUE=TRUE,Inputs!$B$33,0)))*(1-IF(AND(ArtifactsInput!$M$27,Inputs!$B$4="Chapter Hunt"),CHOOSE(ArtifactsInput!$N$27+1,20,24,28,32,36,40),0)/100)),0)</f>
        <v/>
      </c>
      <c r="R1121">
        <f>IF(AND(Inputs!$B$39&lt;&gt;"pvp",Inputs!$B$44&gt;0),IF(Inputs!$B$44&lt;=0,0,(INT(Inputs!$B$44/(IF(Inputs!$B$39="pvp",15,MAX(0.1,Skills!D14-IF(TRUE=TRUE,Inputs!$B$33,0)))*(1-IF(AND(ArtifactsInput!$M$27,Inputs!$B$4="Chapter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IFERROR(1/(IF(Inputs!$B$39="pvp",15,MAX(0.1,Skills!D15-IF(TRUE=TRUE,Inputs!$B$33,0)))*(1-IF(AND(ArtifactsInput!$M$27,Inputs!$B$4="Chapter Hunt"),CHOOSE(ArtifactsInput!$N$27+1,20,24,28,32,36,40),0)/100)),0)</f>
        <v/>
      </c>
      <c r="R1122" t="n">
        <v>0</v>
      </c>
      <c r="S1122">
        <f>IF(C1122,(Skills!F15*N1122*((IF(Inputs!$B$3&gt;=78,25,15)/100*B1143*10)/(1+IF(Inputs!$B$3&gt;=78,25,15)/100*B1143*IF(Inputs!$B$39="pvp",15,MAX(0.1,18-IF(TRUE=TRUE,Inputs!$B$33,0)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IF(Inputs!$B$39="pvp",15,MAX(0.1,18-IF(TRUE=TRUE,Inputs!$B$33,0)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IFERROR(1/(IF(Inputs!$B$39="pvp",15,MAX(0.1,Skills!D16-IF(TRUE=TRUE,Inputs!$B$33,0)))*(1-IF(AND(ArtifactsInput!$M$27,Inputs!$B$4="Chapter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IFERROR(1/(IF(Inputs!$B$39="pvp",15,MAX(0.1,Skills!D17-IF(TRUE=TRUE,Inputs!$B$33,0)))*(1-IF(AND(ArtifactsInput!$M$27,Inputs!$B$4="Chapter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IFERROR(1/(IF(Inputs!$B$39="pvp",15,MAX(0.1,Skills!D18-IF(TRUE=TRUE,Inputs!$B$33,0)))*(1-IF(AND(ArtifactsInput!$M$27,Inputs!$B$4="Chapter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IFERROR(1/(IF(Inputs!$B$39="pvp",15,MAX(0.1,Skills!D19-IF(TRUE=TRUE,Inputs!$B$33,0)))*(1-IF(AND(ArtifactsInput!$M$27,Inputs!$B$4="Chapter Hunt"),CHOOSE(ArtifactsInput!$N$27+1,20,24,28,32,36,40),0)/100)),0)</f>
        <v/>
      </c>
      <c r="R1126">
        <f>IF(AND(Inputs!$B$39&lt;&gt;"pvp",Inputs!$B$44&gt;0),IF(Inputs!$B$44&lt;=0,0,(INT(Inputs!$B$44/(IF(Inputs!$B$39="pvp",15,MAX(0.1,Skills!D19-IF(TRUE=TRUE,Inputs!$B$33,0)))*(1-IF(AND(ArtifactsInput!$M$27,Inputs!$B$4="Chapter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IFERROR(1/(IF(Inputs!$B$39="pvp",15,MAX(0.1,Skills!D20-IF(TRUE=TRUE,Inputs!$B$33,0)))*(1-IF(AND(ArtifactsInput!$M$27,Inputs!$B$4="Chapter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IFERROR(1/(IF(Inputs!$B$39="pvp",15,MAX(0.1,Skills!D21-IF(TRUE=TRUE,Inputs!$B$33,0)))*(1-IF(AND(ArtifactsInput!$M$27,Inputs!$B$4="Chapter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IFERROR(1/(IF(Inputs!$B$39="pvp",15,MAX(0.1,Skills!D22-IF(TRUE=TRUE,Inputs!$B$33,0)))*(1-IF(AND(ArtifactsInput!$M$27,Inputs!$B$4="Chapter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IFERROR(1/(IF(Inputs!$B$39="pvp",15,MAX(0.1,Skills!D23-IF(TRUE=TRUE,Inputs!$B$33,0)))*(1-IF(AND(ArtifactsInput!$M$27,Inputs!$B$4="Chapter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IFERROR(1/(IF(Inputs!$B$39="pvp",15,MAX(0.1,Skills!D24-IF(TRUE=TRUE,Inputs!$B$33,0)))*(1-IF(AND(ArtifactsInput!$M$27,Inputs!$B$4="Chapter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IFERROR(1/(IF(Inputs!$B$39="pvp",15,MAX(0.1,Skills!D25-IF(TRUE=TRUE,Inputs!$B$33,0)))*(1-IF(AND(ArtifactsInput!$M$27,Inputs!$B$4="Chapter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IFERROR(1/(IF(Inputs!$B$39="pvp",15,MAX(0.1,Skills!D26-IF(TRUE=TRUE,Inputs!$B$33,0)))*(1-IF(AND(ArtifactsInput!$M$27,Inputs!$B$4="Chapter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IFERROR(1/(IF(Inputs!$B$39="pvp",15,MAX(0.1,Skills!D27-IF(TRUE=TRUE,Inputs!$B$33,0)))*(1-IF(AND(ArtifactsInput!$M$27,Inputs!$B$4="Chapter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IFERROR(1/(IF(Inputs!$B$39="pvp",15,MAX(0.1,Skills!D28-IF(TRUE=TRUE,Inputs!$B$33,0)))*(1-IF(AND(ArtifactsInput!$M$27,Inputs!$B$4="Chapter Hunt"),CHOOSE(ArtifactsInput!$N$27+1,20,24,28,32,36,40),0)/100)),0)</f>
        <v/>
      </c>
      <c r="R1135">
        <f>IF(AND(Inputs!$B$39&lt;&gt;"pvp",Inputs!$B$44&gt;0),IF(Inputs!$B$44&lt;=0,0,(INT(Inputs!$B$44/(IF(Inputs!$B$39="pvp",15,MAX(0.1,Skills!D28-IF(TRUE=TRUE,Inputs!$B$33,0)))*(1-IF(AND(ArtifactsInput!$M$27,Inputs!$B$4="Chapter Hunt"),CHOOSE(ArtifactsInput!$N$27+1,20,24,28,32,36,40),0)/100)))+1)),0)</f>
        <v/>
      </c>
      <c r="S1135" t="n">
        <v>0</v>
      </c>
      <c r="U1135" t="n">
        <v>0</v>
      </c>
    </row>
    <row r="1137">
      <c r="A1137" t="inlineStr">
        <is>
          <t>Average Buff Multiplier</t>
        </is>
      </c>
      <c r="B1137">
        <f>(1+(IF(C1110=TRUE,F1110*IF(AND(Inputs!$B$39&lt;&gt;"pvp",Inputs!$B$44&gt;0),(((R1110-1)*MIN((Skills!S3*(1+((Inputs!$B$35+(ArtifactsInput!$M$7-ArtifactsInput!$M$7)*CHOOSE(ArtifactsInput!$N$7+1,6,7.2,8.4,9.6,10.8,12)))/100)),(1/Q1110))+MIN((Skills!S3*(1+((Inputs!$B$35+(ArtifactsInput!$M$7-ArtifactsInput!$M$7)*CHOOSE(ArtifactsInput!$N$7+1,6,7.2,8.4,9.6,10.8,12)))/100)),MAX(0,Inputs!$B$44-((R1110-1)*(1/Q1110)))))/Inputs!$B$44),IF(Inputs!$B$39="pvp",MIN((Skills!S3*(1+((Inputs!$B$35+(ArtifactsInput!$M$7-ArtifactsInput!$M$7)*CHOOSE(ArtifactsInput!$N$7+1,6,7.2,8.4,9.6,10.8,12)))/100)),15)/15,MIN(1,(Skills!S3*(1+((Inputs!$B$35+(ArtifactsInput!$M$7-ArtifactsInput!$M$7)*CHOOSE(ArtifactsInput!$N$7+1,6,7.2,8.4,9.6,10.8,12)))/100))/(1/Q1110)))),0)+IF(C1111=TRUE,F1111*IF(AND(Inputs!$B$39&lt;&gt;"pvp",Inputs!$B$44&gt;0),(((R1111-1)*MIN((Skills!S4*(1+((Inputs!$B$35+(ArtifactsInput!$M$7-ArtifactsInput!$M$7)*CHOOSE(ArtifactsInput!$N$7+1,6,7.2,8.4,9.6,10.8,12)))/100)),(1/Q1111))+MIN((Skills!S4*(1+((Inputs!$B$35+(ArtifactsInput!$M$7-ArtifactsInput!$M$7)*CHOOSE(ArtifactsInput!$N$7+1,6,7.2,8.4,9.6,10.8,12)))/100)),MAX(0,Inputs!$B$44-((R1111-1)*(1/Q1111)))))/Inputs!$B$44),IF(Inputs!$B$39="pvp",MIN((Skills!S4*(1+((Inputs!$B$35+(ArtifactsInput!$M$7-ArtifactsInput!$M$7)*CHOOSE(ArtifactsInput!$N$7+1,6,7.2,8.4,9.6,10.8,12)))/100)),15)/15,MIN(1,(Skills!S4*(1+((Inputs!$B$35+(ArtifactsInput!$M$7-ArtifactsInput!$M$7)*CHOOSE(ArtifactsInput!$N$7+1,6,7.2,8.4,9.6,10.8,12)))/100))/(1/Q1111)))),0)+IF(C1112=TRUE,F1112*IF(AND(Inputs!$B$39&lt;&gt;"pvp",Inputs!$B$44&gt;0),(((R1112-1)*MIN((Skills!S5*(1+((Inputs!$B$35+(ArtifactsInput!$M$7-ArtifactsInput!$M$7)*CHOOSE(ArtifactsInput!$N$7+1,6,7.2,8.4,9.6,10.8,12)))/100)),(1/Q1112))+MIN((Skills!S5*(1+((Inputs!$B$35+(ArtifactsInput!$M$7-ArtifactsInput!$M$7)*CHOOSE(ArtifactsInput!$N$7+1,6,7.2,8.4,9.6,10.8,12)))/100)),MAX(0,Inputs!$B$44-((R1112-1)*(1/Q1112)))))/Inputs!$B$44),IF(Inputs!$B$39="pvp",MIN((Skills!S5*(1+((Inputs!$B$35+(ArtifactsInput!$M$7-ArtifactsInput!$M$7)*CHOOSE(ArtifactsInput!$N$7+1,6,7.2,8.4,9.6,10.8,12)))/100)),15)/15,MIN(1,(Skills!S5*(1+((Inputs!$B$35+(ArtifactsInput!$M$7-ArtifactsInput!$M$7)*CHOOSE(ArtifactsInput!$N$7+1,6,7.2,8.4,9.6,10.8,12)))/100))/(1/Q1112)))),0)+IF(C1118=TRUE,F1118*IF(AND(Inputs!$B$39&lt;&gt;"pvp",Inputs!$B$44&gt;0),(((R1118-1)*MIN((Skills!S11*(1+((Inputs!$B$35+(ArtifactsInput!$M$7-ArtifactsInput!$M$7)*CHOOSE(ArtifactsInput!$N$7+1,6,7.2,8.4,9.6,10.8,12)))/100)),(1/Q1118))+MIN((Skills!S11*(1+((Inputs!$B$35+(ArtifactsInput!$M$7-ArtifactsInput!$M$7)*CHOOSE(ArtifactsInput!$N$7+1,6,7.2,8.4,9.6,10.8,12)))/100)),MAX(0,Inputs!$B$44-((R1118-1)*(1/Q1118)))))/Inputs!$B$44),IF(Inputs!$B$39="pvp",MIN((Skills!S11*(1+((Inputs!$B$35+(ArtifactsInput!$M$7-ArtifactsInput!$M$7)*CHOOSE(ArtifactsInput!$N$7+1,6,7.2,8.4,9.6,10.8,12)))/100)),15)/15,MIN(1,(Skills!S11*(1+((Inputs!$B$35+(ArtifactsInput!$M$7-ArtifactsInput!$M$7)*CHOOSE(ArtifactsInput!$N$7+1,6,7.2,8.4,9.6,10.8,12)))/100))/(1/Q1118)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MIN((Skills!S14*(1+((Inputs!$B$35+(ArtifactsInput!$M$7-ArtifactsInput!$M$7)*CHOOSE(ArtifactsInput!$N$7+1,6,7.2,8.4,9.6,10.8,12)))/100)),(1/Q1121))+MIN((Skills!S14*(1+((Inputs!$B$35+(ArtifactsInput!$M$7-ArtifactsInput!$M$7)*CHOOSE(ArtifactsInput!$N$7+1,6,7.2,8.4,9.6,10.8,12)))/100)),MAX(0,Inputs!$B$44-((R1121-1)*(1/Q1121)))))/Inputs!$B$44),IF(Inputs!$B$39="pvp",MIN((Skills!S14*(1+((Inputs!$B$35+(ArtifactsInput!$M$7-ArtifactsInput!$M$7)*CHOOSE(ArtifactsInput!$N$7+1,6,7.2,8.4,9.6,10.8,12)))/100)),15)/15,MIN(1,(Skills!S14*(1+((Inputs!$B$35+(ArtifactsInput!$M$7-ArtifactsInput!$M$7)*CHOOSE(ArtifactsInput!$N$7+1,6,7.2,8.4,9.6,10.8,12)))/100))/(1/Q1121))))/100),1)*IF(C1126=TRUE,(1+F1126*IF(AND(Inputs!$B$39&lt;&gt;"pvp",Inputs!$B$44&gt;0),(((R1126-1)*MIN((Skills!S19*(1+((Inputs!$B$35+(ArtifactsInput!$M$7-ArtifactsInput!$M$7)*CHOOSE(ArtifactsInput!$N$7+1,6,7.2,8.4,9.6,10.8,12)))/100)),(1/Q1126))+MIN((Skills!S19*(1+((Inputs!$B$35+(ArtifactsInput!$M$7-ArtifactsInput!$M$7)*CHOOSE(ArtifactsInput!$N$7+1,6,7.2,8.4,9.6,10.8,12)))/100)),MAX(0,Inputs!$B$44-((R1126-1)*(1/Q1126)))))/Inputs!$B$44),IF(Inputs!$B$39="pvp",MIN((Skills!S19*(1+((Inputs!$B$35+(ArtifactsInput!$M$7-ArtifactsInput!$M$7)*CHOOSE(ArtifactsInput!$N$7+1,6,7.2,8.4,9.6,10.8,12)))/100)),15)/15,MIN(1,(Skills!S19*(1+((Inputs!$B$35+(ArtifactsInput!$M$7-ArtifactsInput!$M$7)*CHOOSE(ArtifactsInput!$N$7+1,6,7.2,8.4,9.6,10.8,12)))/100))/(1/Q1126))))/100),1)</f>
        <v/>
      </c>
    </row>
    <row r="1138">
      <c r="A1138" t="inlineStr">
        <is>
          <t>Monster Damage Taken Bonus % (Holy Fountain)</t>
        </is>
      </c>
      <c r="B1138">
        <f>IF(Inputs!$B$3&gt;=68,20*IF(Inputs!$B$39="pvp",MIN((15*(1+((Inputs!$B$35+(ArtifactsInput!$M$7-ArtifactsInput!$M$7)*CHOOSE(ArtifactsInput!$N$7+1,6,7.2,8.4,9.6,10.8,12)))/100)),15)/15,MIN(1,(15*(1+((Inputs!$B$35+(ArtifactsInput!$M$7-ArtifactsInput!$M$7)*CHOOSE(ArtifactsInput!$N$7+1,6,7.2,8.4,9.6,10.8,12)))/100))/(1/Q1117))),0)</f>
        <v/>
      </c>
    </row>
    <row r="1139">
      <c r="A1139" t="inlineStr">
        <is>
          <t>Normal Monster Damage Bonus % (Holy Symbol)</t>
        </is>
      </c>
      <c r="B1139">
        <f>IF(C1119=TRUE,F1119*IF(AND(Inputs!$B$39&lt;&gt;"pvp",Inputs!$B$44&gt;0),(((R1119-1)*MIN((Skills!S12*(1+((Inputs!$B$35+(ArtifactsInput!$M$7-ArtifactsInput!$M$7)*CHOOSE(ArtifactsInput!$N$7+1,6,7.2,8.4,9.6,10.8,12)))/100)),(1/Q1119))+MIN((Skills!S12*(1+((Inputs!$B$35+(ArtifactsInput!$M$7-ArtifactsInput!$M$7)*CHOOSE(ArtifactsInput!$N$7+1,6,7.2,8.4,9.6,10.8,12)))/100)),MAX(0,Inputs!$B$44-((R1119-1)*(1/Q1119)))))/Inputs!$B$44),IF(Inputs!$B$39="pvp",MIN((Skills!S12*(1+((Inputs!$B$35+(ArtifactsInput!$M$7-ArtifactsInput!$M$7)*CHOOSE(ArtifactsInput!$N$7+1,6,7.2,8.4,9.6,10.8,12)))/100)),15)/15,MIN(1,(Skills!S12*(1+((Inputs!$B$35+(ArtifactsInput!$M$7-ArtifactsInput!$M$7)*CHOOSE(ArtifactsInput!$N$7+1,6,7.2,8.4,9.6,10.8,12)))/100))/(1/Q1119)))),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MIN((Skills!S28*(1+((Inputs!$B$35+(ArtifactsInput!$M$7-ArtifactsInput!$M$7)*CHOOSE(ArtifactsInput!$N$7+1,6,7.2,8.4,9.6,10.8,12)))/100)),(1/Q1135))+MIN((Skills!S28*(1+((Inputs!$B$35+(ArtifactsInput!$M$7-ArtifactsInput!$M$7)*CHOOSE(ArtifactsInput!$N$7+1,6,7.2,8.4,9.6,10.8,12)))/100)),MAX(0,Inputs!$B$44-((R1135-1)*(1/Q1135)))))/Inputs!$B$44),IF(Inputs!$B$39="pvp",MIN((Skills!S28*(1+((Inputs!$B$35+(ArtifactsInput!$M$7-ArtifactsInput!$M$7)*CHOOSE(ArtifactsInput!$N$7+1,6,7.2,8.4,9.6,10.8,12)))/100)),15)/15,MIN(1,(Skills!S28*(1+((Inputs!$B$35+(ArtifactsInput!$M$7-ArtifactsInput!$M$7)*CHOOSE(ArtifactsInput!$N$7+1,6,7.2,8.4,9.6,10.8,12)))/100))/(1/Q1135)))))</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MIN((Skills!S13*(1+((Inputs!$B$35+(ArtifactsInput!$M$7-ArtifactsInput!$M$7)*CHOOSE(ArtifactsInput!$N$7+1,6,7.2,8.4,9.6,10.8,12)))/100)),(1/Q1120))+MIN((Skills!S13*(1+((Inputs!$B$35+(ArtifactsInput!$M$7-ArtifactsInput!$M$7)*CHOOSE(ArtifactsInput!$N$7+1,6,7.2,8.4,9.6,10.8,12)))/100)),MAX(0,Inputs!$B$44-((R1120-1)*(1/Q1120)))))/Inputs!$B$44),IF(Inputs!$B$39="pvp",MIN((Skills!S13*(1+((Inputs!$B$35+(ArtifactsInput!$M$7-ArtifactsInput!$M$7)*CHOOSE(ArtifactsInput!$N$7+1,6,7.2,8.4,9.6,10.8,12)))/100)),15)/15,MIN(1,(Skills!S13*(1+((Inputs!$B$35+(ArtifactsInput!$M$7-ArtifactsInput!$M$7)*CHOOSE(ArtifactsInput!$N$7+1,6,7.2,8.4,9.6,10.8,12)))/100))/(1/Q1120)))),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IFERROR(1/(IF(Inputs!$B$39="pvp",15,MAX(0.1,Skills!D2-IF(TRUE=TRUE,(Inputs!$B$33+1),0)))*(1-IF(AND(ArtifactsInput!$M$27,Inputs!$B$4="Chapter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IFERROR(1/(IF(Inputs!$B$39="pvp",15,MAX(0.1,Skills!D3-IF(TRUE=TRUE,(Inputs!$B$33+1),0)))*(1-IF(AND(ArtifactsInput!$M$27,Inputs!$B$4="Chapter Hunt"),CHOOSE(ArtifactsInput!$N$27+1,20,24,28,32,36,40),0)/100)),0)</f>
        <v/>
      </c>
      <c r="R1155">
        <f>IF(AND(Inputs!$B$39&lt;&gt;"pvp",Inputs!$B$44&gt;0),IF(Inputs!$B$44&lt;=0,0,(INT(Inputs!$B$44/(IF(Inputs!$B$39="pvp",15,MAX(0.1,Skills!D3-IF(TRUE=TRUE,(Inputs!$B$33+1),0)))*(1-IF(AND(ArtifactsInput!$M$27,Inputs!$B$4="Chapter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IFERROR(1/(IF(Inputs!$B$39="pvp",15,MAX(0.1,Skills!D4-IF(TRUE=TRUE,(Inputs!$B$33+1),0)))*(1-IF(AND(ArtifactsInput!$M$27,Inputs!$B$4="Chapter Hunt"),CHOOSE(ArtifactsInput!$N$27+1,20,24,28,32,36,40),0)/100)),0)</f>
        <v/>
      </c>
      <c r="R1156">
        <f>IF(AND(Inputs!$B$39&lt;&gt;"pvp",Inputs!$B$44&gt;0),IF(Inputs!$B$44&lt;=0,0,(INT(Inputs!$B$44/(IF(Inputs!$B$39="pvp",15,MAX(0.1,Skills!D4-IF(TRUE=TRUE,(Inputs!$B$33+1),0)))*(1-IF(AND(ArtifactsInput!$M$27,Inputs!$B$4="Chapter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IFERROR(1/(IF(Inputs!$B$39="pvp",15,MAX(0.1,Skills!D5-IF(TRUE=TRUE,(Inputs!$B$33+1),0)))*(1-IF(AND(ArtifactsInput!$M$27,Inputs!$B$4="Chapter Hunt"),CHOOSE(ArtifactsInput!$N$27+1,20,24,28,32,36,40),0)/100)),0)</f>
        <v/>
      </c>
      <c r="R1157">
        <f>IF(AND(Inputs!$B$39&lt;&gt;"pvp",Inputs!$B$44&gt;0),IF(Inputs!$B$44&lt;=0,0,(INT(Inputs!$B$44/(IF(Inputs!$B$39="pvp",15,MAX(0.1,Skills!D5-IF(TRUE=TRUE,(Inputs!$B$33+1),0)))*(1-IF(AND(ArtifactsInput!$M$27,Inputs!$B$4="Chapter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IFERROR(1/(IF(Inputs!$B$39="pvp",15,MAX(0.1,Skills!D6-IF(TRUE=TRUE,(Inputs!$B$33+1),0)))*(1-IF(AND(ArtifactsInput!$M$27,Inputs!$B$4="Chapter Hunt"),CHOOSE(ArtifactsInput!$N$27+1,20,24,28,32,36,40),0)/100)),0)</f>
        <v/>
      </c>
      <c r="R1158">
        <f>IF(AND(Inputs!$B$39&lt;&gt;"pvp",Inputs!$B$44&gt;0),IF(MAX(0,Inputs!$B$44-B1192)&lt;=0,0,(INT(MAX(0,Inputs!$B$44-B1192)/(IF(Inputs!$B$39="pvp",15,MAX(0.1,Skills!D6-IF(TRUE=TRUE,(Inputs!$B$33+1),0)))*(1-IF(AND(ArtifactsInput!$M$27,Inputs!$B$4="Chapter Hunt"),CHOOSE(ArtifactsInput!$N$27+1,20,24,28,32,36,40),0)/100)))+1)),0)</f>
        <v/>
      </c>
      <c r="S1158">
        <f>IF(C1158,(H1158*N1158*IF(AND(Inputs!$B$39&lt;&gt;"pvp",Inputs!$B$44&gt;0),((Skills!F6*((R1158-1)*IF(Skills!G6&gt;0,INT(Skills!H6/Skills!G6+0.000000001),1)+IF(Skills!G6&gt;0,INT(MIN(Skills!H6,MAX(0,MAX(0,Inputs!$B$44-B1192)-((R1158-1)*(IF(Inputs!$B$39="pvp",15,MAX(0.1,Skills!D6-IF(TRUE=TRUE,(Inputs!$B$33+1),0)))*(1-IF(AND(ArtifactsInput!$M$27,Inputs!$B$4="Chapter Hunt"),CHOOSE(ArtifactsInput!$N$27+1,20,24,28,32,36,40),0)/100)))))/Skills!G6+0.000000001),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INT(Skills!H6/Skills!G6+0.000000001),1)+IF(Skills!G6&gt;0,INT(MIN(Skills!H6,MAX(0,MAX(0,Inputs!$B$44-B1192)-((R1158-1)*(IF(Inputs!$B$39="pvp",15,MAX(0.1,Skills!D6-IF(TRUE=TRUE,(Inputs!$B$33+1),0)))*(1-IF(AND(ArtifactsInput!$M$27,Inputs!$B$4="Chapter Hunt"),CHOOSE(ArtifactsInput!$N$27+1,20,24,28,32,36,40),0)/100)))))/Skills!G6+0.000000001),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IFERROR(1/(IF(Inputs!$B$39="pvp",15,MAX(0.1,Skills!D7-IF(TRUE=TRUE,(Inputs!$B$33+1),0)))*(1-IF(AND(ArtifactsInput!$M$27,Inputs!$B$4="Chapter Hunt"),CHOOSE(ArtifactsInput!$N$27+1,20,24,28,32,36,40),0)/100)),0)</f>
        <v/>
      </c>
      <c r="R1159">
        <f>IF(AND(Inputs!$B$39&lt;&gt;"pvp",Inputs!$B$44&gt;0),IF(MAX(0,Inputs!$B$44-B1192)&lt;=0,0,(INT(MAX(0,Inputs!$B$44-B1192)/(IF(Inputs!$B$39="pvp",15,MAX(0.1,Skills!D7-IF(TRUE=TRUE,(Inputs!$B$33+1),0)))*(1-IF(AND(ArtifactsInput!$M$27,Inputs!$B$4="Chapter Hunt"),CHOOSE(ArtifactsInput!$N$27+1,20,24,28,32,36,40),0)/100)))+1)),0)</f>
        <v/>
      </c>
      <c r="S1159">
        <f>IF(C1159,H1159*N1159*IF(AND(Inputs!$B$39&lt;&gt;"pvp",Inputs!$B$44&gt;0),((Skills!F7*((R1159-1)*IF(Skills!G7&gt;0,INT(Skills!H7/Skills!G7+0.000000001),1)+IF(Skills!G7&gt;0,INT(MIN(Skills!H7,MAX(0,MAX(0,Inputs!$B$44-B1192)-((R1159-1)*(IF(Inputs!$B$39="pvp",15,MAX(0.1,Skills!D7-IF(TRUE=TRUE,(Inputs!$B$33+1),0)))*(1-IF(AND(ArtifactsInput!$M$27,Inputs!$B$4="Chapter Hunt"),CHOOSE(ArtifactsInput!$N$27+1,20,24,28,32,36,40),0)/100)))))/Skills!G7+0.000000001),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IFERROR(1/(IF(Inputs!$B$39="pvp",15,MAX(0.1,Skills!D8-IF(TRUE=TRUE,(Inputs!$B$33+1),0)))*(1-IF(AND(ArtifactsInput!$M$27,Inputs!$B$4="Chapter Hunt"),CHOOSE(ArtifactsInput!$N$27+1,20,24,28,32,36,40),0)/100)),0)</f>
        <v/>
      </c>
      <c r="R1160">
        <f>IF(AND(Inputs!$B$39&lt;&gt;"pvp",Inputs!$B$44&gt;0),IF(MAX(0,Inputs!$B$44-B1192)&lt;=0,0,(INT(MAX(0,Inputs!$B$44-B1192)/(IF(Inputs!$B$39="pvp",15,MAX(0.1,Skills!D8-IF(TRUE=TRUE,(Inputs!$B$33+1),0)))*(1-IF(AND(ArtifactsInput!$M$27,Inputs!$B$4="Chapter Hunt"),CHOOSE(ArtifactsInput!$N$27+1,20,24,28,32,36,40),0)/100)))+1)),0)</f>
        <v/>
      </c>
      <c r="S1160">
        <f>IF(C1160,(H1160*N1160*IF(AND(Inputs!$B$39&lt;&gt;"pvp",Inputs!$B$44&gt;0),((Skills!F8*((R1160-1)*IF(Skills!G8&gt;0,INT(Skills!H8/Skills!G8+0.000000001),1)+IF(Skills!G8&gt;0,INT(MIN(Skills!H8,MAX(0,MAX(0,Inputs!$B$44-B1192)-((R1160-1)*(IF(Inputs!$B$39="pvp",15,MAX(0.1,Skills!D8-IF(TRUE=TRUE,(Inputs!$B$33+1),0)))*(1-IF(AND(ArtifactsInput!$M$27,Inputs!$B$4="Chapter Hunt"),CHOOSE(ArtifactsInput!$N$27+1,20,24,28,32,36,40),0)/100)))))/Skills!G8+0.000000001),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INT(Skills!H8/Skills!G8+0.000000001),1)+IF(Skills!G8&gt;0,INT(MIN(Skills!H8,MAX(0,MAX(0,Inputs!$B$44-B1192)-((R1160-1)*(IF(Inputs!$B$39="pvp",15,MAX(0.1,Skills!D8-IF(TRUE=TRUE,(Inputs!$B$33+1),0)))*(1-IF(AND(ArtifactsInput!$M$27,Inputs!$B$4="Chapter Hunt"),CHOOSE(ArtifactsInput!$N$27+1,20,24,28,32,36,40),0)/100)))))/Skills!G8+0.000000001),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IFERROR(1/(IF(Inputs!$B$39="pvp",15,MAX(0.1,Skills!D9-IF(TRUE=TRUE,(Inputs!$B$33+1),0)))*(1-IF(AND(ArtifactsInput!$M$27,Inputs!$B$4="Chapter Hunt"),CHOOSE(ArtifactsInput!$N$27+1,20,24,28,32,36,40),0)/100)),0)</f>
        <v/>
      </c>
      <c r="R1161">
        <f>IF(AND(Inputs!$B$39&lt;&gt;"pvp",Inputs!$B$44&gt;0),IF(MAX(0,Inputs!$B$44-B1192)&lt;=0,0,(INT(MAX(0,Inputs!$B$44-B1192)/(IF(Inputs!$B$39="pvp",15,MAX(0.1,Skills!D9-IF(TRUE=TRUE,(Inputs!$B$33+1),0)))*(1-IF(AND(ArtifactsInput!$M$27,Inputs!$B$4="Chapter Hunt"),CHOOSE(ArtifactsInput!$N$27+1,20,24,28,32,36,40),0)/100)))+1)),0)</f>
        <v/>
      </c>
      <c r="S1161">
        <f>IF(C1161,(H1161*N1161*IF(AND(Inputs!$B$39&lt;&gt;"pvp",Inputs!$B$44&gt;0),((Skills!F9*((R1161-1)*IF(Skills!G9&gt;0,INT(Skills!H9/Skills!G9+0.000000001),1)+IF(Skills!G9&gt;0,INT(MIN(Skills!H9,MAX(0,MAX(0,Inputs!$B$44-B1192)-((R1161-1)*(IF(Inputs!$B$39="pvp",15,MAX(0.1,Skills!D9-IF(TRUE=TRUE,(Inputs!$B$33+1),0)))*(1-IF(AND(ArtifactsInput!$M$27,Inputs!$B$4="Chapter Hunt"),CHOOSE(ArtifactsInput!$N$27+1,20,24,28,32,36,40),0)/100)))))/Skills!G9+0.000000001),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INT(Skills!H9/Skills!G9+0.000000001),1)+IF(Skills!G9&gt;0,INT(MIN(Skills!H9,MAX(0,MAX(0,Inputs!$B$44-B1192)-((R1161-1)*(IF(Inputs!$B$39="pvp",15,MAX(0.1,Skills!D9-IF(TRUE=TRUE,(Inputs!$B$33+1),0)))*(1-IF(AND(ArtifactsInput!$M$27,Inputs!$B$4="Chapter Hunt"),CHOOSE(ArtifactsInput!$N$27+1,20,24,28,32,36,40),0)/100)))))/Skills!G9+0.000000001),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IFERROR(1/(IF(Inputs!$B$39="pvp",15,MAX(0.1,Skills!D10-IF(TRUE=TRUE,(Inputs!$B$33+1),0)))*(1-IF(AND(ArtifactsInput!$M$27,Inputs!$B$4="Chapter Hunt"),CHOOSE(ArtifactsInput!$N$27+1,20,24,28,32,36,40),0)/100)),0)</f>
        <v/>
      </c>
      <c r="R1162">
        <f>IF(AND(Inputs!$B$39&lt;&gt;"pvp",Inputs!$B$44&gt;0),IF(MAX(0,Inputs!$B$44-B1192)&lt;=0,0,(INT(MAX(0,Inputs!$B$44-B1192)/(IF(Inputs!$B$39="pvp",15,MAX(0.1,Skills!D10-IF(TRUE=TRUE,(Inputs!$B$33+1),0)))*(1-IF(AND(ArtifactsInput!$M$27,Inputs!$B$4="Chapter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IFERROR(1/(IF(Inputs!$B$39="pvp",15,MAX(0.1,Skills!D11-IF(TRUE=TRUE,(Inputs!$B$33+1),0)))*(1-IF(AND(ArtifactsInput!$M$27,Inputs!$B$4="Chapter Hunt"),CHOOSE(ArtifactsInput!$N$27+1,20,24,28,32,36,40),0)/100)),0)</f>
        <v/>
      </c>
      <c r="R1163">
        <f>IF(AND(Inputs!$B$39&lt;&gt;"pvp",Inputs!$B$44&gt;0),IF(Inputs!$B$44&lt;=0,0,(INT(Inputs!$B$44/(IF(Inputs!$B$39="pvp",15,MAX(0.1,Skills!D11-IF(TRUE=TRUE,(Inputs!$B$33+1),0)))*(1-IF(AND(ArtifactsInput!$M$27,Inputs!$B$4="Chapter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IFERROR(1/(IF(Inputs!$B$39="pvp",15,MAX(0.1,Skills!D12-IF(TRUE=TRUE,(Inputs!$B$33+1),0)))*(1-IF(AND(ArtifactsInput!$M$27,Inputs!$B$4="Chapter Hunt"),CHOOSE(ArtifactsInput!$N$27+1,20,24,28,32,36,40),0)/100)),0)</f>
        <v/>
      </c>
      <c r="R1164">
        <f>IF(AND(Inputs!$B$39&lt;&gt;"pvp",Inputs!$B$44&gt;0),IF(MAX(0,Inputs!$B$44-B1192)&lt;=0,0,(INT(MAX(0,Inputs!$B$44-B1192)/(IF(Inputs!$B$39="pvp",15,MAX(0.1,Skills!D12-IF(TRUE=TRUE,(Inputs!$B$33+1),0)))*(1-IF(AND(ArtifactsInput!$M$27,Inputs!$B$4="Chapter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IFERROR(1/(IF(Inputs!$B$39="pvp",15,MAX(0.1,Skills!D13-IF(TRUE=TRUE,(Inputs!$B$33+1),0)))*(1-IF(AND(ArtifactsInput!$M$27,Inputs!$B$4="Chapter Hunt"),CHOOSE(ArtifactsInput!$N$27+1,20,24,28,32,36,40),0)/100)),0)</f>
        <v/>
      </c>
      <c r="R1165">
        <f>IF(AND(Inputs!$B$39&lt;&gt;"pvp",Inputs!$B$44&gt;0),IF(MAX(0,Inputs!$B$44-B1192)&lt;=0,0,(INT(MAX(0,Inputs!$B$44-B1192)/(IF(Inputs!$B$39="pvp",15,MAX(0.1,Skills!D13-IF(TRUE=TRUE,(Inputs!$B$33+1),0)))*(1-IF(AND(ArtifactsInput!$M$27,Inputs!$B$4="Chapter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IFERROR(1/(IF(Inputs!$B$39="pvp",15,MAX(0.1,Skills!D14-IF(TRUE=TRUE,(Inputs!$B$33+1),0)))*(1-IF(AND(ArtifactsInput!$M$27,Inputs!$B$4="Chapter Hunt"),CHOOSE(ArtifactsInput!$N$27+1,20,24,28,32,36,40),0)/100)),0)</f>
        <v/>
      </c>
      <c r="R1166">
        <f>IF(AND(Inputs!$B$39&lt;&gt;"pvp",Inputs!$B$44&gt;0),IF(Inputs!$B$44&lt;=0,0,(INT(Inputs!$B$44/(IF(Inputs!$B$39="pvp",15,MAX(0.1,Skills!D14-IF(TRUE=TRUE,(Inputs!$B$33+1),0)))*(1-IF(AND(ArtifactsInput!$M$27,Inputs!$B$4="Chapter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IFERROR(1/(IF(Inputs!$B$39="pvp",15,MAX(0.1,Skills!D15-IF(TRUE=TRUE,(Inputs!$B$33+1),0)))*(1-IF(AND(ArtifactsInput!$M$27,Inputs!$B$4="Chapter Hunt"),CHOOSE(ArtifactsInput!$N$27+1,20,24,28,32,36,40),0)/100)),0)</f>
        <v/>
      </c>
      <c r="R1167" t="n">
        <v>0</v>
      </c>
      <c r="S1167">
        <f>IF(C1167,(Skills!F15*N1167*((IF(Inputs!$B$3&gt;=78,25,15)/100*B1188*10)/(1+IF(Inputs!$B$3&gt;=78,25,15)/100*B1188*IF(Inputs!$B$39="pvp",15,MAX(0.1,18-IF(TRUE=TRUE,(Inputs!$B$33+1)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IF(Inputs!$B$39="pvp",15,MAX(0.1,18-IF(TRUE=TRUE,(Inputs!$B$33+1)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IFERROR(1/(IF(Inputs!$B$39="pvp",15,MAX(0.1,Skills!D16-IF(TRUE=TRUE,(Inputs!$B$33+1),0)))*(1-IF(AND(ArtifactsInput!$M$27,Inputs!$B$4="Chapter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IFERROR(1/(IF(Inputs!$B$39="pvp",15,MAX(0.1,Skills!D17-IF(TRUE=TRUE,(Inputs!$B$33+1),0)))*(1-IF(AND(ArtifactsInput!$M$27,Inputs!$B$4="Chapter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IFERROR(1/(IF(Inputs!$B$39="pvp",15,MAX(0.1,Skills!D18-IF(TRUE=TRUE,(Inputs!$B$33+1),0)))*(1-IF(AND(ArtifactsInput!$M$27,Inputs!$B$4="Chapter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IFERROR(1/(IF(Inputs!$B$39="pvp",15,MAX(0.1,Skills!D19-IF(TRUE=TRUE,(Inputs!$B$33+1),0)))*(1-IF(AND(ArtifactsInput!$M$27,Inputs!$B$4="Chapter Hunt"),CHOOSE(ArtifactsInput!$N$27+1,20,24,28,32,36,40),0)/100)),0)</f>
        <v/>
      </c>
      <c r="R1171">
        <f>IF(AND(Inputs!$B$39&lt;&gt;"pvp",Inputs!$B$44&gt;0),IF(Inputs!$B$44&lt;=0,0,(INT(Inputs!$B$44/(IF(Inputs!$B$39="pvp",15,MAX(0.1,Skills!D19-IF(TRUE=TRUE,(Inputs!$B$33+1),0)))*(1-IF(AND(ArtifactsInput!$M$27,Inputs!$B$4="Chapter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IFERROR(1/(IF(Inputs!$B$39="pvp",15,MAX(0.1,Skills!D20-IF(TRUE=TRUE,(Inputs!$B$33+1),0)))*(1-IF(AND(ArtifactsInput!$M$27,Inputs!$B$4="Chapter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IFERROR(1/(IF(Inputs!$B$39="pvp",15,MAX(0.1,Skills!D21-IF(TRUE=TRUE,(Inputs!$B$33+1),0)))*(1-IF(AND(ArtifactsInput!$M$27,Inputs!$B$4="Chapter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IFERROR(1/(IF(Inputs!$B$39="pvp",15,MAX(0.1,Skills!D22-IF(TRUE=TRUE,(Inputs!$B$33+1),0)))*(1-IF(AND(ArtifactsInput!$M$27,Inputs!$B$4="Chapter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IFERROR(1/(IF(Inputs!$B$39="pvp",15,MAX(0.1,Skills!D23-IF(TRUE=TRUE,(Inputs!$B$33+1),0)))*(1-IF(AND(ArtifactsInput!$M$27,Inputs!$B$4="Chapter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IFERROR(1/(IF(Inputs!$B$39="pvp",15,MAX(0.1,Skills!D24-IF(TRUE=TRUE,(Inputs!$B$33+1),0)))*(1-IF(AND(ArtifactsInput!$M$27,Inputs!$B$4="Chapter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IFERROR(1/(IF(Inputs!$B$39="pvp",15,MAX(0.1,Skills!D25-IF(TRUE=TRUE,(Inputs!$B$33+1),0)))*(1-IF(AND(ArtifactsInput!$M$27,Inputs!$B$4="Chapter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IFERROR(1/(IF(Inputs!$B$39="pvp",15,MAX(0.1,Skills!D26-IF(TRUE=TRUE,(Inputs!$B$33+1),0)))*(1-IF(AND(ArtifactsInput!$M$27,Inputs!$B$4="Chapter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IFERROR(1/(IF(Inputs!$B$39="pvp",15,MAX(0.1,Skills!D27-IF(TRUE=TRUE,(Inputs!$B$33+1),0)))*(1-IF(AND(ArtifactsInput!$M$27,Inputs!$B$4="Chapter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IFERROR(1/(IF(Inputs!$B$39="pvp",15,MAX(0.1,Skills!D28-IF(TRUE=TRUE,(Inputs!$B$33+1),0)))*(1-IF(AND(ArtifactsInput!$M$27,Inputs!$B$4="Chapter Hunt"),CHOOSE(ArtifactsInput!$N$27+1,20,24,28,32,36,40),0)/100)),0)</f>
        <v/>
      </c>
      <c r="R1180">
        <f>IF(AND(Inputs!$B$39&lt;&gt;"pvp",Inputs!$B$44&gt;0),IF(Inputs!$B$44&lt;=0,0,(INT(Inputs!$B$44/(IF(Inputs!$B$39="pvp",15,MAX(0.1,Skills!D28-IF(TRUE=TRUE,(Inputs!$B$33+1),0)))*(1-IF(AND(ArtifactsInput!$M$27,Inputs!$B$4="Chapter Hunt"),CHOOSE(ArtifactsInput!$N$27+1,20,24,28,32,36,40),0)/100)))+1)),0)</f>
        <v/>
      </c>
      <c r="S1180" t="n">
        <v>0</v>
      </c>
      <c r="U1180" t="n">
        <v>0</v>
      </c>
    </row>
    <row r="1182">
      <c r="A1182" t="inlineStr">
        <is>
          <t>Average Buff Multiplier</t>
        </is>
      </c>
      <c r="B1182">
        <f>(1+(IF(C1155=TRUE,F1155*IF(AND(Inputs!$B$39&lt;&gt;"pvp",Inputs!$B$44&gt;0),(((R1155-1)*MIN((Skills!S3*(1+((Inputs!$B$35+(ArtifactsInput!$M$7-ArtifactsInput!$M$7)*CHOOSE(ArtifactsInput!$N$7+1,6,7.2,8.4,9.6,10.8,12)))/100)),(1/Q1155))+MIN((Skills!S3*(1+((Inputs!$B$35+(ArtifactsInput!$M$7-ArtifactsInput!$M$7)*CHOOSE(ArtifactsInput!$N$7+1,6,7.2,8.4,9.6,10.8,12)))/100)),MAX(0,Inputs!$B$44-((R1155-1)*(1/Q1155)))))/Inputs!$B$44),IF(Inputs!$B$39="pvp",MIN((Skills!S3*(1+((Inputs!$B$35+(ArtifactsInput!$M$7-ArtifactsInput!$M$7)*CHOOSE(ArtifactsInput!$N$7+1,6,7.2,8.4,9.6,10.8,12)))/100)),15)/15,MIN(1,(Skills!S3*(1+((Inputs!$B$35+(ArtifactsInput!$M$7-ArtifactsInput!$M$7)*CHOOSE(ArtifactsInput!$N$7+1,6,7.2,8.4,9.6,10.8,12)))/100))/(1/Q1155)))),0)+IF(C1156=TRUE,F1156*IF(AND(Inputs!$B$39&lt;&gt;"pvp",Inputs!$B$44&gt;0),(((R1156-1)*MIN((Skills!S4*(1+((Inputs!$B$35+(ArtifactsInput!$M$7-ArtifactsInput!$M$7)*CHOOSE(ArtifactsInput!$N$7+1,6,7.2,8.4,9.6,10.8,12)))/100)),(1/Q1156))+MIN((Skills!S4*(1+((Inputs!$B$35+(ArtifactsInput!$M$7-ArtifactsInput!$M$7)*CHOOSE(ArtifactsInput!$N$7+1,6,7.2,8.4,9.6,10.8,12)))/100)),MAX(0,Inputs!$B$44-((R1156-1)*(1/Q1156)))))/Inputs!$B$44),IF(Inputs!$B$39="pvp",MIN((Skills!S4*(1+((Inputs!$B$35+(ArtifactsInput!$M$7-ArtifactsInput!$M$7)*CHOOSE(ArtifactsInput!$N$7+1,6,7.2,8.4,9.6,10.8,12)))/100)),15)/15,MIN(1,(Skills!S4*(1+((Inputs!$B$35+(ArtifactsInput!$M$7-ArtifactsInput!$M$7)*CHOOSE(ArtifactsInput!$N$7+1,6,7.2,8.4,9.6,10.8,12)))/100))/(1/Q1156)))),0)+IF(C1157=TRUE,F1157*IF(AND(Inputs!$B$39&lt;&gt;"pvp",Inputs!$B$44&gt;0),(((R1157-1)*MIN((Skills!S5*(1+((Inputs!$B$35+(ArtifactsInput!$M$7-ArtifactsInput!$M$7)*CHOOSE(ArtifactsInput!$N$7+1,6,7.2,8.4,9.6,10.8,12)))/100)),(1/Q1157))+MIN((Skills!S5*(1+((Inputs!$B$35+(ArtifactsInput!$M$7-ArtifactsInput!$M$7)*CHOOSE(ArtifactsInput!$N$7+1,6,7.2,8.4,9.6,10.8,12)))/100)),MAX(0,Inputs!$B$44-((R1157-1)*(1/Q1157)))))/Inputs!$B$44),IF(Inputs!$B$39="pvp",MIN((Skills!S5*(1+((Inputs!$B$35+(ArtifactsInput!$M$7-ArtifactsInput!$M$7)*CHOOSE(ArtifactsInput!$N$7+1,6,7.2,8.4,9.6,10.8,12)))/100)),15)/15,MIN(1,(Skills!S5*(1+((Inputs!$B$35+(ArtifactsInput!$M$7-ArtifactsInput!$M$7)*CHOOSE(ArtifactsInput!$N$7+1,6,7.2,8.4,9.6,10.8,12)))/100))/(1/Q1157)))),0)+IF(C1163=TRUE,F1163*IF(AND(Inputs!$B$39&lt;&gt;"pvp",Inputs!$B$44&gt;0),(((R1163-1)*MIN((Skills!S11*(1+((Inputs!$B$35+(ArtifactsInput!$M$7-ArtifactsInput!$M$7)*CHOOSE(ArtifactsInput!$N$7+1,6,7.2,8.4,9.6,10.8,12)))/100)),(1/Q1163))+MIN((Skills!S11*(1+((Inputs!$B$35+(ArtifactsInput!$M$7-ArtifactsInput!$M$7)*CHOOSE(ArtifactsInput!$N$7+1,6,7.2,8.4,9.6,10.8,12)))/100)),MAX(0,Inputs!$B$44-((R1163-1)*(1/Q1163)))))/Inputs!$B$44),IF(Inputs!$B$39="pvp",MIN((Skills!S11*(1+((Inputs!$B$35+(ArtifactsInput!$M$7-ArtifactsInput!$M$7)*CHOOSE(ArtifactsInput!$N$7+1,6,7.2,8.4,9.6,10.8,12)))/100)),15)/15,MIN(1,(Skills!S11*(1+((Inputs!$B$35+(ArtifactsInput!$M$7-ArtifactsInput!$M$7)*CHOOSE(ArtifactsInput!$N$7+1,6,7.2,8.4,9.6,10.8,12)))/100))/(1/Q1163)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MIN((Skills!S14*(1+((Inputs!$B$35+(ArtifactsInput!$M$7-ArtifactsInput!$M$7)*CHOOSE(ArtifactsInput!$N$7+1,6,7.2,8.4,9.6,10.8,12)))/100)),(1/Q1166))+MIN((Skills!S14*(1+((Inputs!$B$35+(ArtifactsInput!$M$7-ArtifactsInput!$M$7)*CHOOSE(ArtifactsInput!$N$7+1,6,7.2,8.4,9.6,10.8,12)))/100)),MAX(0,Inputs!$B$44-((R1166-1)*(1/Q1166)))))/Inputs!$B$44),IF(Inputs!$B$39="pvp",MIN((Skills!S14*(1+((Inputs!$B$35+(ArtifactsInput!$M$7-ArtifactsInput!$M$7)*CHOOSE(ArtifactsInput!$N$7+1,6,7.2,8.4,9.6,10.8,12)))/100)),15)/15,MIN(1,(Skills!S14*(1+((Inputs!$B$35+(ArtifactsInput!$M$7-ArtifactsInput!$M$7)*CHOOSE(ArtifactsInput!$N$7+1,6,7.2,8.4,9.6,10.8,12)))/100))/(1/Q1166))))/100),1)*IF(C1171=TRUE,(1+F1171*IF(AND(Inputs!$B$39&lt;&gt;"pvp",Inputs!$B$44&gt;0),(((R1171-1)*MIN((Skills!S19*(1+((Inputs!$B$35+(ArtifactsInput!$M$7-ArtifactsInput!$M$7)*CHOOSE(ArtifactsInput!$N$7+1,6,7.2,8.4,9.6,10.8,12)))/100)),(1/Q1171))+MIN((Skills!S19*(1+((Inputs!$B$35+(ArtifactsInput!$M$7-ArtifactsInput!$M$7)*CHOOSE(ArtifactsInput!$N$7+1,6,7.2,8.4,9.6,10.8,12)))/100)),MAX(0,Inputs!$B$44-((R1171-1)*(1/Q1171)))))/Inputs!$B$44),IF(Inputs!$B$39="pvp",MIN((Skills!S19*(1+((Inputs!$B$35+(ArtifactsInput!$M$7-ArtifactsInput!$M$7)*CHOOSE(ArtifactsInput!$N$7+1,6,7.2,8.4,9.6,10.8,12)))/100)),15)/15,MIN(1,(Skills!S19*(1+((Inputs!$B$35+(ArtifactsInput!$M$7-ArtifactsInput!$M$7)*CHOOSE(ArtifactsInput!$N$7+1,6,7.2,8.4,9.6,10.8,12)))/100))/(1/Q1171))))/100),1)</f>
        <v/>
      </c>
    </row>
    <row r="1183">
      <c r="A1183" t="inlineStr">
        <is>
          <t>Monster Damage Taken Bonus % (Holy Fountain)</t>
        </is>
      </c>
      <c r="B1183">
        <f>IF(Inputs!$B$3&gt;=68,20*IF(Inputs!$B$39="pvp",MIN((15*(1+((Inputs!$B$35+(ArtifactsInput!$M$7-ArtifactsInput!$M$7)*CHOOSE(ArtifactsInput!$N$7+1,6,7.2,8.4,9.6,10.8,12)))/100)),15)/15,MIN(1,(15*(1+((Inputs!$B$35+(ArtifactsInput!$M$7-ArtifactsInput!$M$7)*CHOOSE(ArtifactsInput!$N$7+1,6,7.2,8.4,9.6,10.8,12)))/100))/(1/Q1162))),0)</f>
        <v/>
      </c>
    </row>
    <row r="1184">
      <c r="A1184" t="inlineStr">
        <is>
          <t>Normal Monster Damage Bonus % (Holy Symbol)</t>
        </is>
      </c>
      <c r="B1184">
        <f>IF(C1164=TRUE,F1164*IF(AND(Inputs!$B$39&lt;&gt;"pvp",Inputs!$B$44&gt;0),(((R1164-1)*MIN((Skills!S12*(1+((Inputs!$B$35+(ArtifactsInput!$M$7-ArtifactsInput!$M$7)*CHOOSE(ArtifactsInput!$N$7+1,6,7.2,8.4,9.6,10.8,12)))/100)),(1/Q1164))+MIN((Skills!S12*(1+((Inputs!$B$35+(ArtifactsInput!$M$7-ArtifactsInput!$M$7)*CHOOSE(ArtifactsInput!$N$7+1,6,7.2,8.4,9.6,10.8,12)))/100)),MAX(0,Inputs!$B$44-((R1164-1)*(1/Q1164)))))/Inputs!$B$44),IF(Inputs!$B$39="pvp",MIN((Skills!S12*(1+((Inputs!$B$35+(ArtifactsInput!$M$7-ArtifactsInput!$M$7)*CHOOSE(ArtifactsInput!$N$7+1,6,7.2,8.4,9.6,10.8,12)))/100)),15)/15,MIN(1,(Skills!S12*(1+((Inputs!$B$35+(ArtifactsInput!$M$7-ArtifactsInput!$M$7)*CHOOSE(ArtifactsInput!$N$7+1,6,7.2,8.4,9.6,10.8,12)))/100))/(1/Q1164)))),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MIN((Skills!S28*(1+((Inputs!$B$35+(ArtifactsInput!$M$7-ArtifactsInput!$M$7)*CHOOSE(ArtifactsInput!$N$7+1,6,7.2,8.4,9.6,10.8,12)))/100)),(1/Q1180))+MIN((Skills!S28*(1+((Inputs!$B$35+(ArtifactsInput!$M$7-ArtifactsInput!$M$7)*CHOOSE(ArtifactsInput!$N$7+1,6,7.2,8.4,9.6,10.8,12)))/100)),MAX(0,Inputs!$B$44-((R1180-1)*(1/Q1180)))))/Inputs!$B$44),IF(Inputs!$B$39="pvp",MIN((Skills!S28*(1+((Inputs!$B$35+(ArtifactsInput!$M$7-ArtifactsInput!$M$7)*CHOOSE(ArtifactsInput!$N$7+1,6,7.2,8.4,9.6,10.8,12)))/100)),15)/15,MIN(1,(Skills!S28*(1+((Inputs!$B$35+(ArtifactsInput!$M$7-ArtifactsInput!$M$7)*CHOOSE(ArtifactsInput!$N$7+1,6,7.2,8.4,9.6,10.8,12)))/100))/(1/Q1180)))))</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MIN((Skills!S13*(1+((Inputs!$B$35+(ArtifactsInput!$M$7-ArtifactsInput!$M$7)*CHOOSE(ArtifactsInput!$N$7+1,6,7.2,8.4,9.6,10.8,12)))/100)),(1/Q1165))+MIN((Skills!S13*(1+((Inputs!$B$35+(ArtifactsInput!$M$7-ArtifactsInput!$M$7)*CHOOSE(ArtifactsInput!$N$7+1,6,7.2,8.4,9.6,10.8,12)))/100)),MAX(0,Inputs!$B$44-((R1165-1)*(1/Q1165)))))/Inputs!$B$44),IF(Inputs!$B$39="pvp",MIN((Skills!S13*(1+((Inputs!$B$35+(ArtifactsInput!$M$7-ArtifactsInput!$M$7)*CHOOSE(ArtifactsInput!$N$7+1,6,7.2,8.4,9.6,10.8,12)))/100)),15)/15,MIN(1,(Skills!S13*(1+((Inputs!$B$35+(ArtifactsInput!$M$7-ArtifactsInput!$M$7)*CHOOSE(ArtifactsInput!$N$7+1,6,7.2,8.4,9.6,10.8,12)))/100))/(1/Q1165)))),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IFERROR(1/(IF(Inputs!$B$39="pvp",15,MAX(0.1,Skills!D2-IF(TRUE=TRUE,Inputs!$B$33,0)))*(1-IF(AND(ArtifactsInput!$M$27,Inputs!$B$4="Chapter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IFERROR(1/(IF(Inputs!$B$39="pvp",15,MAX(0.1,Skills!D3-IF(TRUE=TRUE,Inputs!$B$33,0)))*(1-IF(AND(ArtifactsInput!$M$27,Inputs!$B$4="Chapter Hunt"),CHOOSE(ArtifactsInput!$N$27+1,20,24,28,32,36,40),0)/100)),0)</f>
        <v/>
      </c>
      <c r="R1200">
        <f>IF(AND(Inputs!$B$39&lt;&gt;"pvp",Inputs!$B$44&gt;0),IF(Inputs!$B$44&lt;=0,0,(INT(Inputs!$B$44/(IF(Inputs!$B$39="pvp",15,MAX(0.1,Skills!D3-IF(TRUE=TRUE,Inputs!$B$33,0)))*(1-IF(AND(ArtifactsInput!$M$27,Inputs!$B$4="Chapter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IFERROR(1/(IF(Inputs!$B$39="pvp",15,MAX(0.1,Skills!D4-IF(TRUE=TRUE,Inputs!$B$33,0)))*(1-IF(AND(ArtifactsInput!$M$27,Inputs!$B$4="Chapter Hunt"),CHOOSE(ArtifactsInput!$N$27+1,20,24,28,32,36,40),0)/100)),0)</f>
        <v/>
      </c>
      <c r="R1201">
        <f>IF(AND(Inputs!$B$39&lt;&gt;"pvp",Inputs!$B$44&gt;0),IF(Inputs!$B$44&lt;=0,0,(INT(Inputs!$B$44/(IF(Inputs!$B$39="pvp",15,MAX(0.1,Skills!D4-IF(TRUE=TRUE,Inputs!$B$33,0)))*(1-IF(AND(ArtifactsInput!$M$27,Inputs!$B$4="Chapter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IFERROR(1/(IF(Inputs!$B$39="pvp",15,MAX(0.1,Skills!D5-IF(TRUE=TRUE,Inputs!$B$33,0)))*(1-IF(AND(ArtifactsInput!$M$27,Inputs!$B$4="Chapter Hunt"),CHOOSE(ArtifactsInput!$N$27+1,20,24,28,32,36,40),0)/100)),0)</f>
        <v/>
      </c>
      <c r="R1202">
        <f>IF(AND(Inputs!$B$39&lt;&gt;"pvp",Inputs!$B$44&gt;0),IF(Inputs!$B$44&lt;=0,0,(INT(Inputs!$B$44/(IF(Inputs!$B$39="pvp",15,MAX(0.1,Skills!D5-IF(TRUE=TRUE,Inputs!$B$33,0)))*(1-IF(AND(ArtifactsInput!$M$27,Inputs!$B$4="Chapter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IFERROR(1/(IF(Inputs!$B$39="pvp",15,MAX(0.1,Skills!D6-IF(TRUE=TRUE,Inputs!$B$33,0)))*(1-IF(AND(ArtifactsInput!$M$27,Inputs!$B$4="Chapter Hunt"),CHOOSE(ArtifactsInput!$N$27+1,20,24,28,32,36,40),0)/100)),0)</f>
        <v/>
      </c>
      <c r="R1203">
        <f>IF(AND(Inputs!$B$39&lt;&gt;"pvp",Inputs!$B$44&gt;0),IF(MAX(0,Inputs!$B$44-B1237)&lt;=0,0,(INT(MAX(0,Inputs!$B$44-B1237)/(IF(Inputs!$B$39="pvp",15,MAX(0.1,Skills!D6-IF(TRUE=TRUE,Inputs!$B$33,0)))*(1-IF(AND(ArtifactsInput!$M$27,Inputs!$B$4="Chapter Hunt"),CHOOSE(ArtifactsInput!$N$27+1,20,24,28,32,36,40),0)/100)))+1)),0)</f>
        <v/>
      </c>
      <c r="S1203">
        <f>IF(C1203,(H1203*N1203*IF(AND(Inputs!$B$39&lt;&gt;"pvp",Inputs!$B$44&gt;0),((Skills!F6*((R1203-1)*IF(Skills!G6&gt;0,INT(Skills!H6/Skills!G6+0.000000001),1)+IF(Skills!G6&gt;0,INT(MIN(Skills!H6,MAX(0,MAX(0,Inputs!$B$44-B1237)-((R1203-1)*(IF(Inputs!$B$39="pvp",15,MAX(0.1,Skills!D6-IF(TRUE=TRUE,Inputs!$B$33,0)))*(1-IF(AND(ArtifactsInput!$M$27,Inputs!$B$4="Chapter Hunt"),CHOOSE(ArtifactsInput!$N$27+1,20,24,28,32,36,40),0)/100)))))/Skills!G6+0.000000001),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INT(Skills!H6/Skills!G6+0.000000001),1)+IF(Skills!G6&gt;0,INT(MIN(Skills!H6,MAX(0,MAX(0,Inputs!$B$44-B1237)-((R1203-1)*(IF(Inputs!$B$39="pvp",15,MAX(0.1,Skills!D6-IF(TRUE=TRUE,Inputs!$B$33,0)))*(1-IF(AND(ArtifactsInput!$M$27,Inputs!$B$4="Chapter Hunt"),CHOOSE(ArtifactsInput!$N$27+1,20,24,28,32,36,40),0)/100)))))/Skills!G6+0.000000001),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IFERROR(1/(IF(Inputs!$B$39="pvp",15,MAX(0.1,Skills!D7-IF(TRUE=TRUE,Inputs!$B$33,0)))*(1-IF(AND(ArtifactsInput!$M$27,Inputs!$B$4="Chapter Hunt"),CHOOSE(ArtifactsInput!$N$27+1,20,24,28,32,36,40),0)/100)),0)</f>
        <v/>
      </c>
      <c r="R1204">
        <f>IF(AND(Inputs!$B$39&lt;&gt;"pvp",Inputs!$B$44&gt;0),IF(MAX(0,Inputs!$B$44-B1237)&lt;=0,0,(INT(MAX(0,Inputs!$B$44-B1237)/(IF(Inputs!$B$39="pvp",15,MAX(0.1,Skills!D7-IF(TRUE=TRUE,Inputs!$B$33,0)))*(1-IF(AND(ArtifactsInput!$M$27,Inputs!$B$4="Chapter Hunt"),CHOOSE(ArtifactsInput!$N$27+1,20,24,28,32,36,40),0)/100)))+1)),0)</f>
        <v/>
      </c>
      <c r="S1204">
        <f>IF(C1204,H1204*N1204*IF(AND(Inputs!$B$39&lt;&gt;"pvp",Inputs!$B$44&gt;0),((Skills!F7*((R1204-1)*IF(Skills!G7&gt;0,INT(Skills!H7/Skills!G7+0.000000001),1)+IF(Skills!G7&gt;0,INT(MIN(Skills!H7,MAX(0,MAX(0,Inputs!$B$44-B1237)-((R1204-1)*(IF(Inputs!$B$39="pvp",15,MAX(0.1,Skills!D7-IF(TRUE=TRUE,Inputs!$B$33,0)))*(1-IF(AND(ArtifactsInput!$M$27,Inputs!$B$4="Chapter Hunt"),CHOOSE(ArtifactsInput!$N$27+1,20,24,28,32,36,40),0)/100)))))/Skills!G7+0.000000001),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IFERROR(1/(IF(Inputs!$B$39="pvp",15,MAX(0.1,Skills!D8-IF(TRUE=TRUE,Inputs!$B$33,0)))*(1-IF(AND(ArtifactsInput!$M$27,Inputs!$B$4="Chapter Hunt"),CHOOSE(ArtifactsInput!$N$27+1,20,24,28,32,36,40),0)/100)),0)</f>
        <v/>
      </c>
      <c r="R1205">
        <f>IF(AND(Inputs!$B$39&lt;&gt;"pvp",Inputs!$B$44&gt;0),IF(MAX(0,Inputs!$B$44-B1237)&lt;=0,0,(INT(MAX(0,Inputs!$B$44-B1237)/(IF(Inputs!$B$39="pvp",15,MAX(0.1,Skills!D8-IF(TRUE=TRUE,Inputs!$B$33,0)))*(1-IF(AND(ArtifactsInput!$M$27,Inputs!$B$4="Chapter Hunt"),CHOOSE(ArtifactsInput!$N$27+1,20,24,28,32,36,40),0)/100)))+1)),0)</f>
        <v/>
      </c>
      <c r="S1205">
        <f>IF(C1205,(H1205*N1205*IF(AND(Inputs!$B$39&lt;&gt;"pvp",Inputs!$B$44&gt;0),((Skills!F8*((R1205-1)*IF(Skills!G8&gt;0,INT(Skills!H8/Skills!G8+0.000000001),1)+IF(Skills!G8&gt;0,INT(MIN(Skills!H8,MAX(0,MAX(0,Inputs!$B$44-B1237)-((R1205-1)*(IF(Inputs!$B$39="pvp",15,MAX(0.1,Skills!D8-IF(TRUE=TRUE,Inputs!$B$33,0)))*(1-IF(AND(ArtifactsInput!$M$27,Inputs!$B$4="Chapter Hunt"),CHOOSE(ArtifactsInput!$N$27+1,20,24,28,32,36,40),0)/100)))))/Skills!G8+0.000000001),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INT(Skills!H8/Skills!G8+0.000000001),1)+IF(Skills!G8&gt;0,INT(MIN(Skills!H8,MAX(0,MAX(0,Inputs!$B$44-B1237)-((R1205-1)*(IF(Inputs!$B$39="pvp",15,MAX(0.1,Skills!D8-IF(TRUE=TRUE,Inputs!$B$33,0)))*(1-IF(AND(ArtifactsInput!$M$27,Inputs!$B$4="Chapter Hunt"),CHOOSE(ArtifactsInput!$N$27+1,20,24,28,32,36,40),0)/100)))))/Skills!G8+0.000000001),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IFERROR(1/(IF(Inputs!$B$39="pvp",15,MAX(0.1,Skills!D9-IF(TRUE=TRUE,Inputs!$B$33,0)))*(1-IF(AND(ArtifactsInput!$M$27,Inputs!$B$4="Chapter Hunt"),CHOOSE(ArtifactsInput!$N$27+1,20,24,28,32,36,40),0)/100)),0)</f>
        <v/>
      </c>
      <c r="R1206">
        <f>IF(AND(Inputs!$B$39&lt;&gt;"pvp",Inputs!$B$44&gt;0),IF(MAX(0,Inputs!$B$44-B1237)&lt;=0,0,(INT(MAX(0,Inputs!$B$44-B1237)/(IF(Inputs!$B$39="pvp",15,MAX(0.1,Skills!D9-IF(TRUE=TRUE,Inputs!$B$33,0)))*(1-IF(AND(ArtifactsInput!$M$27,Inputs!$B$4="Chapter Hunt"),CHOOSE(ArtifactsInput!$N$27+1,20,24,28,32,36,40),0)/100)))+1)),0)</f>
        <v/>
      </c>
      <c r="S1206">
        <f>IF(C1206,(H1206*N1206*IF(AND(Inputs!$B$39&lt;&gt;"pvp",Inputs!$B$44&gt;0),((Skills!F9*((R1206-1)*IF(Skills!G9&gt;0,INT(Skills!H9/Skills!G9+0.000000001),1)+IF(Skills!G9&gt;0,INT(MIN(Skills!H9,MAX(0,MAX(0,Inputs!$B$44-B1237)-((R1206-1)*(IF(Inputs!$B$39="pvp",15,MAX(0.1,Skills!D9-IF(TRUE=TRUE,Inputs!$B$33,0)))*(1-IF(AND(ArtifactsInput!$M$27,Inputs!$B$4="Chapter Hunt"),CHOOSE(ArtifactsInput!$N$27+1,20,24,28,32,36,40),0)/100)))))/Skills!G9+0.000000001),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INT(Skills!H9/Skills!G9+0.000000001),1)+IF(Skills!G9&gt;0,INT(MIN(Skills!H9,MAX(0,MAX(0,Inputs!$B$44-B1237)-((R1206-1)*(IF(Inputs!$B$39="pvp",15,MAX(0.1,Skills!D9-IF(TRUE=TRUE,Inputs!$B$33,0)))*(1-IF(AND(ArtifactsInput!$M$27,Inputs!$B$4="Chapter Hunt"),CHOOSE(ArtifactsInput!$N$27+1,20,24,28,32,36,40),0)/100)))))/Skills!G9+0.000000001),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IFERROR(1/(IF(Inputs!$B$39="pvp",15,MAX(0.1,Skills!D10-IF(TRUE=TRUE,Inputs!$B$33,0)))*(1-IF(AND(ArtifactsInput!$M$27,Inputs!$B$4="Chapter Hunt"),CHOOSE(ArtifactsInput!$N$27+1,20,24,28,32,36,40),0)/100)),0)</f>
        <v/>
      </c>
      <c r="R1207">
        <f>IF(AND(Inputs!$B$39&lt;&gt;"pvp",Inputs!$B$44&gt;0),IF(MAX(0,Inputs!$B$44-B1237)&lt;=0,0,(INT(MAX(0,Inputs!$B$44-B1237)/(IF(Inputs!$B$39="pvp",15,MAX(0.1,Skills!D10-IF(TRUE=TRUE,Inputs!$B$33,0)))*(1-IF(AND(ArtifactsInput!$M$27,Inputs!$B$4="Chapter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IFERROR(1/(IF(Inputs!$B$39="pvp",15,MAX(0.1,Skills!D11-IF(TRUE=TRUE,Inputs!$B$33,0)))*(1-IF(AND(ArtifactsInput!$M$27,Inputs!$B$4="Chapter Hunt"),CHOOSE(ArtifactsInput!$N$27+1,20,24,28,32,36,40),0)/100)),0)</f>
        <v/>
      </c>
      <c r="R1208">
        <f>IF(AND(Inputs!$B$39&lt;&gt;"pvp",Inputs!$B$44&gt;0),IF(Inputs!$B$44&lt;=0,0,(INT(Inputs!$B$44/(IF(Inputs!$B$39="pvp",15,MAX(0.1,Skills!D11-IF(TRUE=TRUE,Inputs!$B$33,0)))*(1-IF(AND(ArtifactsInput!$M$27,Inputs!$B$4="Chapter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IFERROR(1/(IF(Inputs!$B$39="pvp",15,MAX(0.1,Skills!D12-IF(TRUE=TRUE,Inputs!$B$33,0)))*(1-IF(AND(ArtifactsInput!$M$27,Inputs!$B$4="Chapter Hunt"),CHOOSE(ArtifactsInput!$N$27+1,20,24,28,32,36,40),0)/100)),0)</f>
        <v/>
      </c>
      <c r="R1209">
        <f>IF(AND(Inputs!$B$39&lt;&gt;"pvp",Inputs!$B$44&gt;0),IF(MAX(0,Inputs!$B$44-B1237)&lt;=0,0,(INT(MAX(0,Inputs!$B$44-B1237)/(IF(Inputs!$B$39="pvp",15,MAX(0.1,Skills!D12-IF(TRUE=TRUE,Inputs!$B$33,0)))*(1-IF(AND(ArtifactsInput!$M$27,Inputs!$B$4="Chapter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IFERROR(1/(IF(Inputs!$B$39="pvp",15,MAX(0.1,Skills!D13-IF(TRUE=TRUE,Inputs!$B$33,0)))*(1-IF(AND(ArtifactsInput!$M$27,Inputs!$B$4="Chapter Hunt"),CHOOSE(ArtifactsInput!$N$27+1,20,24,28,32,36,40),0)/100)),0)</f>
        <v/>
      </c>
      <c r="R1210">
        <f>IF(AND(Inputs!$B$39&lt;&gt;"pvp",Inputs!$B$44&gt;0),IF(MAX(0,Inputs!$B$44-B1237)&lt;=0,0,(INT(MAX(0,Inputs!$B$44-B1237)/(IF(Inputs!$B$39="pvp",15,MAX(0.1,Skills!D13-IF(TRUE=TRUE,Inputs!$B$33,0)))*(1-IF(AND(ArtifactsInput!$M$27,Inputs!$B$4="Chapter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IFERROR(1/(IF(Inputs!$B$39="pvp",15,MAX(0.1,Skills!D14-IF(TRUE=TRUE,Inputs!$B$33,0)))*(1-IF(AND(ArtifactsInput!$M$27,Inputs!$B$4="Chapter Hunt"),CHOOSE(ArtifactsInput!$N$27+1,20,24,28,32,36,40),0)/100)),0)</f>
        <v/>
      </c>
      <c r="R1211">
        <f>IF(AND(Inputs!$B$39&lt;&gt;"pvp",Inputs!$B$44&gt;0),IF(Inputs!$B$44&lt;=0,0,(INT(Inputs!$B$44/(IF(Inputs!$B$39="pvp",15,MAX(0.1,Skills!D14-IF(TRUE=TRUE,Inputs!$B$33,0)))*(1-IF(AND(ArtifactsInput!$M$27,Inputs!$B$4="Chapter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IFERROR(1/(IF(Inputs!$B$39="pvp",15,MAX(0.1,Skills!D15-IF(TRUE=TRUE,Inputs!$B$33,0)))*(1-IF(AND(ArtifactsInput!$M$27,Inputs!$B$4="Chapter Hunt"),CHOOSE(ArtifactsInput!$N$27+1,20,24,28,32,36,40),0)/100)),0)</f>
        <v/>
      </c>
      <c r="R1212" t="n">
        <v>0</v>
      </c>
      <c r="S1212">
        <f>IF(C1212,(Skills!F15*N1212*((IF(Inputs!$B$3&gt;=78,25,15)/100*B1233*10)/(1+IF(Inputs!$B$3&gt;=78,25,15)/100*B1233*IF(Inputs!$B$39="pvp",15,MAX(0.1,18-IF(TRUE=TRUE,Inputs!$B$33,0)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IF(Inputs!$B$39="pvp",15,MAX(0.1,18-IF(TRUE=TRUE,Inputs!$B$33,0)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IFERROR(1/(IF(Inputs!$B$39="pvp",15,MAX(0.1,Skills!D16-IF(TRUE=TRUE,Inputs!$B$33,0)))*(1-IF(AND(ArtifactsInput!$M$27,Inputs!$B$4="Chapter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IFERROR(1/(IF(Inputs!$B$39="pvp",15,MAX(0.1,Skills!D17-IF(TRUE=TRUE,Inputs!$B$33,0)))*(1-IF(AND(ArtifactsInput!$M$27,Inputs!$B$4="Chapter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IFERROR(1/(IF(Inputs!$B$39="pvp",15,MAX(0.1,Skills!D18-IF(TRUE=TRUE,Inputs!$B$33,0)))*(1-IF(AND(ArtifactsInput!$M$27,Inputs!$B$4="Chapter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IFERROR(1/(IF(Inputs!$B$39="pvp",15,MAX(0.1,Skills!D19-IF(TRUE=TRUE,Inputs!$B$33,0)))*(1-IF(AND(ArtifactsInput!$M$27,Inputs!$B$4="Chapter Hunt"),CHOOSE(ArtifactsInput!$N$27+1,20,24,28,32,36,40),0)/100)),0)</f>
        <v/>
      </c>
      <c r="R1216">
        <f>IF(AND(Inputs!$B$39&lt;&gt;"pvp",Inputs!$B$44&gt;0),IF(Inputs!$B$44&lt;=0,0,(INT(Inputs!$B$44/(IF(Inputs!$B$39="pvp",15,MAX(0.1,Skills!D19-IF(TRUE=TRUE,Inputs!$B$33,0)))*(1-IF(AND(ArtifactsInput!$M$27,Inputs!$B$4="Chapter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IFERROR(1/(IF(Inputs!$B$39="pvp",15,MAX(0.1,Skills!D20-IF(TRUE=TRUE,Inputs!$B$33,0)))*(1-IF(AND(ArtifactsInput!$M$27,Inputs!$B$4="Chapter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IFERROR(1/(IF(Inputs!$B$39="pvp",15,MAX(0.1,Skills!D21-IF(TRUE=TRUE,Inputs!$B$33,0)))*(1-IF(AND(ArtifactsInput!$M$27,Inputs!$B$4="Chapter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IFERROR(1/(IF(Inputs!$B$39="pvp",15,MAX(0.1,Skills!D22-IF(TRUE=TRUE,Inputs!$B$33,0)))*(1-IF(AND(ArtifactsInput!$M$27,Inputs!$B$4="Chapter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IFERROR(1/(IF(Inputs!$B$39="pvp",15,MAX(0.1,Skills!D23-IF(TRUE=TRUE,Inputs!$B$33,0)))*(1-IF(AND(ArtifactsInput!$M$27,Inputs!$B$4="Chapter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IFERROR(1/(IF(Inputs!$B$39="pvp",15,MAX(0.1,Skills!D24-IF(TRUE=TRUE,Inputs!$B$33,0)))*(1-IF(AND(ArtifactsInput!$M$27,Inputs!$B$4="Chapter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IFERROR(1/(IF(Inputs!$B$39="pvp",15,MAX(0.1,Skills!D25-IF(TRUE=TRUE,Inputs!$B$33,0)))*(1-IF(AND(ArtifactsInput!$M$27,Inputs!$B$4="Chapter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IFERROR(1/(IF(Inputs!$B$39="pvp",15,MAX(0.1,Skills!D26-IF(TRUE=TRUE,Inputs!$B$33,0)))*(1-IF(AND(ArtifactsInput!$M$27,Inputs!$B$4="Chapter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IFERROR(1/(IF(Inputs!$B$39="pvp",15,MAX(0.1,Skills!D27-IF(TRUE=TRUE,Inputs!$B$33,0)))*(1-IF(AND(ArtifactsInput!$M$27,Inputs!$B$4="Chapter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IFERROR(1/(IF(Inputs!$B$39="pvp",15,MAX(0.1,Skills!D28-IF(TRUE=TRUE,Inputs!$B$33,0)))*(1-IF(AND(ArtifactsInput!$M$27,Inputs!$B$4="Chapter Hunt"),CHOOSE(ArtifactsInput!$N$27+1,20,24,28,32,36,40),0)/100)),0)</f>
        <v/>
      </c>
      <c r="R1225">
        <f>IF(AND(Inputs!$B$39&lt;&gt;"pvp",Inputs!$B$44&gt;0),IF(Inputs!$B$44&lt;=0,0,(INT(Inputs!$B$44/(IF(Inputs!$B$39="pvp",15,MAX(0.1,Skills!D28-IF(TRUE=TRUE,Inputs!$B$33,0)))*(1-IF(AND(ArtifactsInput!$M$27,Inputs!$B$4="Chapter Hunt"),CHOOSE(ArtifactsInput!$N$27+1,20,24,28,32,36,40),0)/100)))+1)),0)</f>
        <v/>
      </c>
      <c r="S1225" t="n">
        <v>0</v>
      </c>
      <c r="U1225" t="n">
        <v>0</v>
      </c>
    </row>
    <row r="1227">
      <c r="A1227" t="inlineStr">
        <is>
          <t>Average Buff Multiplier</t>
        </is>
      </c>
      <c r="B1227">
        <f>(1+(IF(C1200=TRUE,F1200*IF(AND(Inputs!$B$39&lt;&gt;"pvp",Inputs!$B$44&gt;0),(((R1200-1)*MIN((Skills!S3*(1+((Inputs!$B$35+(ArtifactsInput!$M$7-ArtifactsInput!$M$7)*CHOOSE(ArtifactsInput!$N$7+1,6,7.2,8.4,9.6,10.8,12)))/100)),(1/Q1200))+MIN((Skills!S3*(1+((Inputs!$B$35+(ArtifactsInput!$M$7-ArtifactsInput!$M$7)*CHOOSE(ArtifactsInput!$N$7+1,6,7.2,8.4,9.6,10.8,12)))/100)),MAX(0,Inputs!$B$44-((R1200-1)*(1/Q1200)))))/Inputs!$B$44),IF(Inputs!$B$39="pvp",MIN((Skills!S3*(1+((Inputs!$B$35+(ArtifactsInput!$M$7-ArtifactsInput!$M$7)*CHOOSE(ArtifactsInput!$N$7+1,6,7.2,8.4,9.6,10.8,12)))/100)),15)/15,MIN(1,(Skills!S3*(1+((Inputs!$B$35+(ArtifactsInput!$M$7-ArtifactsInput!$M$7)*CHOOSE(ArtifactsInput!$N$7+1,6,7.2,8.4,9.6,10.8,12)))/100))/(1/Q1200)))),0)+IF(C1201=TRUE,F1201*IF(AND(Inputs!$B$39&lt;&gt;"pvp",Inputs!$B$44&gt;0),(((R1201-1)*MIN((Skills!S4*(1+((Inputs!$B$35+(ArtifactsInput!$M$7-ArtifactsInput!$M$7)*CHOOSE(ArtifactsInput!$N$7+1,6,7.2,8.4,9.6,10.8,12)))/100)),(1/Q1201))+MIN((Skills!S4*(1+((Inputs!$B$35+(ArtifactsInput!$M$7-ArtifactsInput!$M$7)*CHOOSE(ArtifactsInput!$N$7+1,6,7.2,8.4,9.6,10.8,12)))/100)),MAX(0,Inputs!$B$44-((R1201-1)*(1/Q1201)))))/Inputs!$B$44),IF(Inputs!$B$39="pvp",MIN((Skills!S4*(1+((Inputs!$B$35+(ArtifactsInput!$M$7-ArtifactsInput!$M$7)*CHOOSE(ArtifactsInput!$N$7+1,6,7.2,8.4,9.6,10.8,12)))/100)),15)/15,MIN(1,(Skills!S4*(1+((Inputs!$B$35+(ArtifactsInput!$M$7-ArtifactsInput!$M$7)*CHOOSE(ArtifactsInput!$N$7+1,6,7.2,8.4,9.6,10.8,12)))/100))/(1/Q1201)))),0)+IF(C1202=TRUE,F1202*IF(AND(Inputs!$B$39&lt;&gt;"pvp",Inputs!$B$44&gt;0),(((R1202-1)*MIN((Skills!S5*(1+((Inputs!$B$35+(ArtifactsInput!$M$7-ArtifactsInput!$M$7)*CHOOSE(ArtifactsInput!$N$7+1,6,7.2,8.4,9.6,10.8,12)))/100)),(1/Q1202))+MIN((Skills!S5*(1+((Inputs!$B$35+(ArtifactsInput!$M$7-ArtifactsInput!$M$7)*CHOOSE(ArtifactsInput!$N$7+1,6,7.2,8.4,9.6,10.8,12)))/100)),MAX(0,Inputs!$B$44-((R1202-1)*(1/Q1202)))))/Inputs!$B$44),IF(Inputs!$B$39="pvp",MIN((Skills!S5*(1+((Inputs!$B$35+(ArtifactsInput!$M$7-ArtifactsInput!$M$7)*CHOOSE(ArtifactsInput!$N$7+1,6,7.2,8.4,9.6,10.8,12)))/100)),15)/15,MIN(1,(Skills!S5*(1+((Inputs!$B$35+(ArtifactsInput!$M$7-ArtifactsInput!$M$7)*CHOOSE(ArtifactsInput!$N$7+1,6,7.2,8.4,9.6,10.8,12)))/100))/(1/Q1202)))),0)+IF(C1208=TRUE,F1208*IF(AND(Inputs!$B$39&lt;&gt;"pvp",Inputs!$B$44&gt;0),(((R1208-1)*MIN((Skills!S11*(1+((Inputs!$B$35+(ArtifactsInput!$M$7-ArtifactsInput!$M$7)*CHOOSE(ArtifactsInput!$N$7+1,6,7.2,8.4,9.6,10.8,12)))/100)),(1/Q1208))+MIN((Skills!S11*(1+((Inputs!$B$35+(ArtifactsInput!$M$7-ArtifactsInput!$M$7)*CHOOSE(ArtifactsInput!$N$7+1,6,7.2,8.4,9.6,10.8,12)))/100)),MAX(0,Inputs!$B$44-((R1208-1)*(1/Q1208)))))/Inputs!$B$44),IF(Inputs!$B$39="pvp",MIN((Skills!S11*(1+((Inputs!$B$35+(ArtifactsInput!$M$7-ArtifactsInput!$M$7)*CHOOSE(ArtifactsInput!$N$7+1,6,7.2,8.4,9.6,10.8,12)))/100)),15)/15,MIN(1,(Skills!S11*(1+((Inputs!$B$35+(ArtifactsInput!$M$7-ArtifactsInput!$M$7)*CHOOSE(ArtifactsInput!$N$7+1,6,7.2,8.4,9.6,10.8,12)))/100))/(1/Q1208)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MIN((Skills!S14*(1+((Inputs!$B$35+(ArtifactsInput!$M$7-ArtifactsInput!$M$7)*CHOOSE(ArtifactsInput!$N$7+1,6,7.2,8.4,9.6,10.8,12)))/100)),(1/Q1211))+MIN((Skills!S14*(1+((Inputs!$B$35+(ArtifactsInput!$M$7-ArtifactsInput!$M$7)*CHOOSE(ArtifactsInput!$N$7+1,6,7.2,8.4,9.6,10.8,12)))/100)),MAX(0,Inputs!$B$44-((R1211-1)*(1/Q1211)))))/Inputs!$B$44),IF(Inputs!$B$39="pvp",MIN((Skills!S14*(1+((Inputs!$B$35+(ArtifactsInput!$M$7-ArtifactsInput!$M$7)*CHOOSE(ArtifactsInput!$N$7+1,6,7.2,8.4,9.6,10.8,12)))/100)),15)/15,MIN(1,(Skills!S14*(1+((Inputs!$B$35+(ArtifactsInput!$M$7-ArtifactsInput!$M$7)*CHOOSE(ArtifactsInput!$N$7+1,6,7.2,8.4,9.6,10.8,12)))/100))/(1/Q1211))))/100),1)*IF(C1216=TRUE,(1+F1216*IF(AND(Inputs!$B$39&lt;&gt;"pvp",Inputs!$B$44&gt;0),(((R1216-1)*MIN((Skills!S19*(1+((Inputs!$B$35+(ArtifactsInput!$M$7-ArtifactsInput!$M$7)*CHOOSE(ArtifactsInput!$N$7+1,6,7.2,8.4,9.6,10.8,12)))/100)),(1/Q1216))+MIN((Skills!S19*(1+((Inputs!$B$35+(ArtifactsInput!$M$7-ArtifactsInput!$M$7)*CHOOSE(ArtifactsInput!$N$7+1,6,7.2,8.4,9.6,10.8,12)))/100)),MAX(0,Inputs!$B$44-((R1216-1)*(1/Q1216)))))/Inputs!$B$44),IF(Inputs!$B$39="pvp",MIN((Skills!S19*(1+((Inputs!$B$35+(ArtifactsInput!$M$7-ArtifactsInput!$M$7)*CHOOSE(ArtifactsInput!$N$7+1,6,7.2,8.4,9.6,10.8,12)))/100)),15)/15,MIN(1,(Skills!S19*(1+((Inputs!$B$35+(ArtifactsInput!$M$7-ArtifactsInput!$M$7)*CHOOSE(ArtifactsInput!$N$7+1,6,7.2,8.4,9.6,10.8,12)))/100))/(1/Q1216))))/100),1)</f>
        <v/>
      </c>
    </row>
    <row r="1228">
      <c r="A1228" t="inlineStr">
        <is>
          <t>Monster Damage Taken Bonus % (Holy Fountain)</t>
        </is>
      </c>
      <c r="B1228">
        <f>IF(Inputs!$B$3&gt;=68,20*IF(Inputs!$B$39="pvp",MIN((15*(1+((Inputs!$B$35+(ArtifactsInput!$M$7-ArtifactsInput!$M$7)*CHOOSE(ArtifactsInput!$N$7+1,6,7.2,8.4,9.6,10.8,12)))/100)),15)/15,MIN(1,(15*(1+((Inputs!$B$35+(ArtifactsInput!$M$7-ArtifactsInput!$M$7)*CHOOSE(ArtifactsInput!$N$7+1,6,7.2,8.4,9.6,10.8,12)))/100))/(1/Q1207))),0)</f>
        <v/>
      </c>
    </row>
    <row r="1229">
      <c r="A1229" t="inlineStr">
        <is>
          <t>Normal Monster Damage Bonus % (Holy Symbol)</t>
        </is>
      </c>
      <c r="B1229">
        <f>IF(C1209=TRUE,F1209*IF(AND(Inputs!$B$39&lt;&gt;"pvp",Inputs!$B$44&gt;0),(((R1209-1)*MIN((Skills!S12*(1+((Inputs!$B$35+(ArtifactsInput!$M$7-ArtifactsInput!$M$7)*CHOOSE(ArtifactsInput!$N$7+1,6,7.2,8.4,9.6,10.8,12)))/100)),(1/Q1209))+MIN((Skills!S12*(1+((Inputs!$B$35+(ArtifactsInput!$M$7-ArtifactsInput!$M$7)*CHOOSE(ArtifactsInput!$N$7+1,6,7.2,8.4,9.6,10.8,12)))/100)),MAX(0,Inputs!$B$44-((R1209-1)*(1/Q1209)))))/Inputs!$B$44),IF(Inputs!$B$39="pvp",MIN((Skills!S12*(1+((Inputs!$B$35+(ArtifactsInput!$M$7-ArtifactsInput!$M$7)*CHOOSE(ArtifactsInput!$N$7+1,6,7.2,8.4,9.6,10.8,12)))/100)),15)/15,MIN(1,(Skills!S12*(1+((Inputs!$B$35+(ArtifactsInput!$M$7-ArtifactsInput!$M$7)*CHOOSE(ArtifactsInput!$N$7+1,6,7.2,8.4,9.6,10.8,12)))/100))/(1/Q1209)))),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MIN((Skills!S28*(1+((Inputs!$B$35+(ArtifactsInput!$M$7-ArtifactsInput!$M$7)*CHOOSE(ArtifactsInput!$N$7+1,6,7.2,8.4,9.6,10.8,12)))/100)),(1/Q1225))+MIN((Skills!S28*(1+((Inputs!$B$35+(ArtifactsInput!$M$7-ArtifactsInput!$M$7)*CHOOSE(ArtifactsInput!$N$7+1,6,7.2,8.4,9.6,10.8,12)))/100)),MAX(0,Inputs!$B$44-((R1225-1)*(1/Q1225)))))/Inputs!$B$44),IF(Inputs!$B$39="pvp",MIN((Skills!S28*(1+((Inputs!$B$35+(ArtifactsInput!$M$7-ArtifactsInput!$M$7)*CHOOSE(ArtifactsInput!$N$7+1,6,7.2,8.4,9.6,10.8,12)))/100)),15)/15,MIN(1,(Skills!S28*(1+((Inputs!$B$35+(ArtifactsInput!$M$7-ArtifactsInput!$M$7)*CHOOSE(ArtifactsInput!$N$7+1,6,7.2,8.4,9.6,10.8,12)))/100))/(1/Q1225)))))</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MIN((Skills!S13*(1+((Inputs!$B$35+(ArtifactsInput!$M$7-ArtifactsInput!$M$7)*CHOOSE(ArtifactsInput!$N$7+1,6,7.2,8.4,9.6,10.8,12)))/100)),(1/Q1210))+MIN((Skills!S13*(1+((Inputs!$B$35+(ArtifactsInput!$M$7-ArtifactsInput!$M$7)*CHOOSE(ArtifactsInput!$N$7+1,6,7.2,8.4,9.6,10.8,12)))/100)),MAX(0,Inputs!$B$44-((R1210-1)*(1/Q1210)))))/Inputs!$B$44),IF(Inputs!$B$39="pvp",MIN((Skills!S13*(1+((Inputs!$B$35+(ArtifactsInput!$M$7-ArtifactsInput!$M$7)*CHOOSE(ArtifactsInput!$N$7+1,6,7.2,8.4,9.6,10.8,12)))/100)),15)/15,MIN(1,(Skills!S13*(1+((Inputs!$B$35+(ArtifactsInput!$M$7-ArtifactsInput!$M$7)*CHOOSE(ArtifactsInput!$N$7+1,6,7.2,8.4,9.6,10.8,12)))/100))/(1/Q1210)))),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IFERROR(1/(IF(Inputs!$B$39="pvp",15,MAX(0.1,Skills!D2-IF(TRUE=TRUE,Inputs!$B$33,0)))*(1-IF(AND(ArtifactsInput!$M$27,Inputs!$B$4="Chapter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IFERROR(1/(IF(Inputs!$B$39="pvp",15,MAX(0.1,Skills!D3-IF(TRUE=TRUE,Inputs!$B$33,0)))*(1-IF(AND(ArtifactsInput!$M$27,Inputs!$B$4="Chapter Hunt"),CHOOSE(ArtifactsInput!$N$27+1,20,24,28,32,36,40),0)/100)),0)</f>
        <v/>
      </c>
      <c r="R1245">
        <f>IF(AND(Inputs!$B$39&lt;&gt;"pvp",Inputs!$B$44&gt;0),IF(Inputs!$B$44&lt;=0,0,(INT(Inputs!$B$44/(IF(Inputs!$B$39="pvp",15,MAX(0.1,Skills!D3-IF(TRUE=TRUE,Inputs!$B$33,0)))*(1-IF(AND(ArtifactsInput!$M$27,Inputs!$B$4="Chapter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IFERROR(1/(IF(Inputs!$B$39="pvp",15,MAX(0.1,Skills!D4-IF(TRUE=TRUE,Inputs!$B$33,0)))*(1-IF(AND(ArtifactsInput!$M$27,Inputs!$B$4="Chapter Hunt"),CHOOSE(ArtifactsInput!$N$27+1,20,24,28,32,36,40),0)/100)),0)</f>
        <v/>
      </c>
      <c r="R1246">
        <f>IF(AND(Inputs!$B$39&lt;&gt;"pvp",Inputs!$B$44&gt;0),IF(Inputs!$B$44&lt;=0,0,(INT(Inputs!$B$44/(IF(Inputs!$B$39="pvp",15,MAX(0.1,Skills!D4-IF(TRUE=TRUE,Inputs!$B$33,0)))*(1-IF(AND(ArtifactsInput!$M$27,Inputs!$B$4="Chapter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IFERROR(1/(IF(Inputs!$B$39="pvp",15,MAX(0.1,Skills!D5-IF(TRUE=TRUE,Inputs!$B$33,0)))*(1-IF(AND(ArtifactsInput!$M$27,Inputs!$B$4="Chapter Hunt"),CHOOSE(ArtifactsInput!$N$27+1,20,24,28,32,36,40),0)/100)),0)</f>
        <v/>
      </c>
      <c r="R1247">
        <f>IF(AND(Inputs!$B$39&lt;&gt;"pvp",Inputs!$B$44&gt;0),IF(Inputs!$B$44&lt;=0,0,(INT(Inputs!$B$44/(IF(Inputs!$B$39="pvp",15,MAX(0.1,Skills!D5-IF(TRUE=TRUE,Inputs!$B$33,0)))*(1-IF(AND(ArtifactsInput!$M$27,Inputs!$B$4="Chapter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IFERROR(1/(IF(Inputs!$B$39="pvp",15,MAX(0.1,Skills!D6-IF(TRUE=TRUE,Inputs!$B$33,0)))*(1-IF(AND(ArtifactsInput!$M$27,Inputs!$B$4="Chapter Hunt"),CHOOSE(ArtifactsInput!$N$27+1,20,24,28,32,36,40),0)/100)),0)</f>
        <v/>
      </c>
      <c r="R1248">
        <f>IF(AND(Inputs!$B$39&lt;&gt;"pvp",Inputs!$B$44&gt;0),IF(MAX(0,Inputs!$B$44-B1282)&lt;=0,0,(INT(MAX(0,Inputs!$B$44-B1282)/(IF(Inputs!$B$39="pvp",15,MAX(0.1,Skills!D6-IF(TRUE=TRUE,Inputs!$B$33,0)))*(1-IF(AND(ArtifactsInput!$M$27,Inputs!$B$4="Chapter Hunt"),CHOOSE(ArtifactsInput!$N$27+1,20,24,28,32,36,40),0)/100)))+1)),0)</f>
        <v/>
      </c>
      <c r="S1248">
        <f>IF(C1248,(H1248*N1248*IF(AND(Inputs!$B$39&lt;&gt;"pvp",Inputs!$B$44&gt;0),((Skills!F6*((R1248-1)*IF(Skills!G6&gt;0,INT(Skills!H6/Skills!G6+0.000000001),1)+IF(Skills!G6&gt;0,INT(MIN(Skills!H6,MAX(0,MAX(0,Inputs!$B$44-B1282)-((R1248-1)*(IF(Inputs!$B$39="pvp",15,MAX(0.1,Skills!D6-IF(TRUE=TRUE,Inputs!$B$33,0)))*(1-IF(AND(ArtifactsInput!$M$27,Inputs!$B$4="Chapter Hunt"),CHOOSE(ArtifactsInput!$N$27+1,20,24,28,32,36,40),0)/100)))))/Skills!G6+0.000000001),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INT(Skills!H6/Skills!G6+0.000000001),1)+IF(Skills!G6&gt;0,INT(MIN(Skills!H6,MAX(0,MAX(0,Inputs!$B$44-B1282)-((R1248-1)*(IF(Inputs!$B$39="pvp",15,MAX(0.1,Skills!D6-IF(TRUE=TRUE,Inputs!$B$33,0)))*(1-IF(AND(ArtifactsInput!$M$27,Inputs!$B$4="Chapter Hunt"),CHOOSE(ArtifactsInput!$N$27+1,20,24,28,32,36,40),0)/100)))))/Skills!G6+0.000000001),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IFERROR(1/(IF(Inputs!$B$39="pvp",15,MAX(0.1,Skills!D7-IF(TRUE=TRUE,Inputs!$B$33,0)))*(1-IF(AND(ArtifactsInput!$M$27,Inputs!$B$4="Chapter Hunt"),CHOOSE(ArtifactsInput!$N$27+1,20,24,28,32,36,40),0)/100)),0)</f>
        <v/>
      </c>
      <c r="R1249">
        <f>IF(AND(Inputs!$B$39&lt;&gt;"pvp",Inputs!$B$44&gt;0),IF(MAX(0,Inputs!$B$44-B1282)&lt;=0,0,(INT(MAX(0,Inputs!$B$44-B1282)/(IF(Inputs!$B$39="pvp",15,MAX(0.1,Skills!D7-IF(TRUE=TRUE,Inputs!$B$33,0)))*(1-IF(AND(ArtifactsInput!$M$27,Inputs!$B$4="Chapter Hunt"),CHOOSE(ArtifactsInput!$N$27+1,20,24,28,32,36,40),0)/100)))+1)),0)</f>
        <v/>
      </c>
      <c r="S1249">
        <f>IF(C1249,H1249*N1249*IF(AND(Inputs!$B$39&lt;&gt;"pvp",Inputs!$B$44&gt;0),((Skills!F7*((R1249-1)*IF(Skills!G7&gt;0,INT(Skills!H7/Skills!G7+0.000000001),1)+IF(Skills!G7&gt;0,INT(MIN(Skills!H7,MAX(0,MAX(0,Inputs!$B$44-B1282)-((R1249-1)*(IF(Inputs!$B$39="pvp",15,MAX(0.1,Skills!D7-IF(TRUE=TRUE,Inputs!$B$33,0)))*(1-IF(AND(ArtifactsInput!$M$27,Inputs!$B$4="Chapter Hunt"),CHOOSE(ArtifactsInput!$N$27+1,20,24,28,32,36,40),0)/100)))))/Skills!G7+0.000000001),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IFERROR(1/(IF(Inputs!$B$39="pvp",15,MAX(0.1,Skills!D8-IF(TRUE=TRUE,Inputs!$B$33,0)))*(1-IF(AND(ArtifactsInput!$M$27,Inputs!$B$4="Chapter Hunt"),CHOOSE(ArtifactsInput!$N$27+1,20,24,28,32,36,40),0)/100)),0)</f>
        <v/>
      </c>
      <c r="R1250">
        <f>IF(AND(Inputs!$B$39&lt;&gt;"pvp",Inputs!$B$44&gt;0),IF(MAX(0,Inputs!$B$44-B1282)&lt;=0,0,(INT(MAX(0,Inputs!$B$44-B1282)/(IF(Inputs!$B$39="pvp",15,MAX(0.1,Skills!D8-IF(TRUE=TRUE,Inputs!$B$33,0)))*(1-IF(AND(ArtifactsInput!$M$27,Inputs!$B$4="Chapter Hunt"),CHOOSE(ArtifactsInput!$N$27+1,20,24,28,32,36,40),0)/100)))+1)),0)</f>
        <v/>
      </c>
      <c r="S1250">
        <f>IF(C1250,(H1250*N1250*IF(AND(Inputs!$B$39&lt;&gt;"pvp",Inputs!$B$44&gt;0),((Skills!F8*((R1250-1)*IF(Skills!G8&gt;0,INT(Skills!H8/Skills!G8+0.000000001),1)+IF(Skills!G8&gt;0,INT(MIN(Skills!H8,MAX(0,MAX(0,Inputs!$B$44-B1282)-((R1250-1)*(IF(Inputs!$B$39="pvp",15,MAX(0.1,Skills!D8-IF(TRUE=TRUE,Inputs!$B$33,0)))*(1-IF(AND(ArtifactsInput!$M$27,Inputs!$B$4="Chapter Hunt"),CHOOSE(ArtifactsInput!$N$27+1,20,24,28,32,36,40),0)/100)))))/Skills!G8+0.000000001),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INT(Skills!H8/Skills!G8+0.000000001),1)+IF(Skills!G8&gt;0,INT(MIN(Skills!H8,MAX(0,MAX(0,Inputs!$B$44-B1282)-((R1250-1)*(IF(Inputs!$B$39="pvp",15,MAX(0.1,Skills!D8-IF(TRUE=TRUE,Inputs!$B$33,0)))*(1-IF(AND(ArtifactsInput!$M$27,Inputs!$B$4="Chapter Hunt"),CHOOSE(ArtifactsInput!$N$27+1,20,24,28,32,36,40),0)/100)))))/Skills!G8+0.000000001),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IFERROR(1/(IF(Inputs!$B$39="pvp",15,MAX(0.1,Skills!D9-IF(TRUE=TRUE,Inputs!$B$33,0)))*(1-IF(AND(ArtifactsInput!$M$27,Inputs!$B$4="Chapter Hunt"),CHOOSE(ArtifactsInput!$N$27+1,20,24,28,32,36,40),0)/100)),0)</f>
        <v/>
      </c>
      <c r="R1251">
        <f>IF(AND(Inputs!$B$39&lt;&gt;"pvp",Inputs!$B$44&gt;0),IF(MAX(0,Inputs!$B$44-B1282)&lt;=0,0,(INT(MAX(0,Inputs!$B$44-B1282)/(IF(Inputs!$B$39="pvp",15,MAX(0.1,Skills!D9-IF(TRUE=TRUE,Inputs!$B$33,0)))*(1-IF(AND(ArtifactsInput!$M$27,Inputs!$B$4="Chapter Hunt"),CHOOSE(ArtifactsInput!$N$27+1,20,24,28,32,36,40),0)/100)))+1)),0)</f>
        <v/>
      </c>
      <c r="S1251">
        <f>IF(C1251,(H1251*N1251*IF(AND(Inputs!$B$39&lt;&gt;"pvp",Inputs!$B$44&gt;0),((Skills!F9*((R1251-1)*IF(Skills!G9&gt;0,INT(Skills!H9/Skills!G9+0.000000001),1)+IF(Skills!G9&gt;0,INT(MIN(Skills!H9,MAX(0,MAX(0,Inputs!$B$44-B1282)-((R1251-1)*(IF(Inputs!$B$39="pvp",15,MAX(0.1,Skills!D9-IF(TRUE=TRUE,Inputs!$B$33,0)))*(1-IF(AND(ArtifactsInput!$M$27,Inputs!$B$4="Chapter Hunt"),CHOOSE(ArtifactsInput!$N$27+1,20,24,28,32,36,40),0)/100)))))/Skills!G9+0.000000001),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INT(Skills!H9/Skills!G9+0.000000001),1)+IF(Skills!G9&gt;0,INT(MIN(Skills!H9,MAX(0,MAX(0,Inputs!$B$44-B1282)-((R1251-1)*(IF(Inputs!$B$39="pvp",15,MAX(0.1,Skills!D9-IF(TRUE=TRUE,Inputs!$B$33,0)))*(1-IF(AND(ArtifactsInput!$M$27,Inputs!$B$4="Chapter Hunt"),CHOOSE(ArtifactsInput!$N$27+1,20,24,28,32,36,40),0)/100)))))/Skills!G9+0.000000001),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IFERROR(1/(IF(Inputs!$B$39="pvp",15,MAX(0.1,Skills!D10-IF(TRUE=TRUE,Inputs!$B$33,0)))*(1-IF(AND(ArtifactsInput!$M$27,Inputs!$B$4="Chapter Hunt"),CHOOSE(ArtifactsInput!$N$27+1,20,24,28,32,36,40),0)/100)),0)</f>
        <v/>
      </c>
      <c r="R1252">
        <f>IF(AND(Inputs!$B$39&lt;&gt;"pvp",Inputs!$B$44&gt;0),IF(MAX(0,Inputs!$B$44-B1282)&lt;=0,0,(INT(MAX(0,Inputs!$B$44-B1282)/(IF(Inputs!$B$39="pvp",15,MAX(0.1,Skills!D10-IF(TRUE=TRUE,Inputs!$B$33,0)))*(1-IF(AND(ArtifactsInput!$M$27,Inputs!$B$4="Chapter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IFERROR(1/(IF(Inputs!$B$39="pvp",15,MAX(0.1,Skills!D11-IF(TRUE=TRUE,Inputs!$B$33,0)))*(1-IF(AND(ArtifactsInput!$M$27,Inputs!$B$4="Chapter Hunt"),CHOOSE(ArtifactsInput!$N$27+1,20,24,28,32,36,40),0)/100)),0)</f>
        <v/>
      </c>
      <c r="R1253">
        <f>IF(AND(Inputs!$B$39&lt;&gt;"pvp",Inputs!$B$44&gt;0),IF(Inputs!$B$44&lt;=0,0,(INT(Inputs!$B$44/(IF(Inputs!$B$39="pvp",15,MAX(0.1,Skills!D11-IF(TRUE=TRUE,Inputs!$B$33,0)))*(1-IF(AND(ArtifactsInput!$M$27,Inputs!$B$4="Chapter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IFERROR(1/(IF(Inputs!$B$39="pvp",15,MAX(0.1,Skills!D12-IF(TRUE=TRUE,Inputs!$B$33,0)))*(1-IF(AND(ArtifactsInput!$M$27,Inputs!$B$4="Chapter Hunt"),CHOOSE(ArtifactsInput!$N$27+1,20,24,28,32,36,40),0)/100)),0)</f>
        <v/>
      </c>
      <c r="R1254">
        <f>IF(AND(Inputs!$B$39&lt;&gt;"pvp",Inputs!$B$44&gt;0),IF(MAX(0,Inputs!$B$44-B1282)&lt;=0,0,(INT(MAX(0,Inputs!$B$44-B1282)/(IF(Inputs!$B$39="pvp",15,MAX(0.1,Skills!D12-IF(TRUE=TRUE,Inputs!$B$33,0)))*(1-IF(AND(ArtifactsInput!$M$27,Inputs!$B$4="Chapter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IFERROR(1/(IF(Inputs!$B$39="pvp",15,MAX(0.1,Skills!D13-IF(TRUE=TRUE,Inputs!$B$33,0)))*(1-IF(AND(ArtifactsInput!$M$27,Inputs!$B$4="Chapter Hunt"),CHOOSE(ArtifactsInput!$N$27+1,20,24,28,32,36,40),0)/100)),0)</f>
        <v/>
      </c>
      <c r="R1255">
        <f>IF(AND(Inputs!$B$39&lt;&gt;"pvp",Inputs!$B$44&gt;0),IF(MAX(0,Inputs!$B$44-B1282)&lt;=0,0,(INT(MAX(0,Inputs!$B$44-B1282)/(IF(Inputs!$B$39="pvp",15,MAX(0.1,Skills!D13-IF(TRUE=TRUE,Inputs!$B$33,0)))*(1-IF(AND(ArtifactsInput!$M$27,Inputs!$B$4="Chapter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IFERROR(1/(IF(Inputs!$B$39="pvp",15,MAX(0.1,Skills!D14-IF(TRUE=TRUE,Inputs!$B$33,0)))*(1-IF(AND(ArtifactsInput!$M$27,Inputs!$B$4="Chapter Hunt"),CHOOSE(ArtifactsInput!$N$27+1,20,24,28,32,36,40),0)/100)),0)</f>
        <v/>
      </c>
      <c r="R1256">
        <f>IF(AND(Inputs!$B$39&lt;&gt;"pvp",Inputs!$B$44&gt;0),IF(Inputs!$B$44&lt;=0,0,(INT(Inputs!$B$44/(IF(Inputs!$B$39="pvp",15,MAX(0.1,Skills!D14-IF(TRUE=TRUE,Inputs!$B$33,0)))*(1-IF(AND(ArtifactsInput!$M$27,Inputs!$B$4="Chapter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IFERROR(1/(IF(Inputs!$B$39="pvp",15,MAX(0.1,Skills!D15-IF(TRUE=TRUE,Inputs!$B$33,0)))*(1-IF(AND(ArtifactsInput!$M$27,Inputs!$B$4="Chapter Hunt"),CHOOSE(ArtifactsInput!$N$27+1,20,24,28,32,36,40),0)/100)),0)</f>
        <v/>
      </c>
      <c r="R1257" t="n">
        <v>0</v>
      </c>
      <c r="S1257">
        <f>IF(C1257,(Skills!F15*N1257*((IF(Inputs!$B$3&gt;=78,25,15)/100*B1278*10)/(1+IF(Inputs!$B$3&gt;=78,25,15)/100*B1278*IF(Inputs!$B$39="pvp",15,MAX(0.1,18-IF(TRUE=TRUE,Inputs!$B$33,0)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IF(Inputs!$B$39="pvp",15,MAX(0.1,18-IF(TRUE=TRUE,Inputs!$B$33,0)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IFERROR(1/(IF(Inputs!$B$39="pvp",15,MAX(0.1,Skills!D16-IF(TRUE=TRUE,Inputs!$B$33,0)))*(1-IF(AND(ArtifactsInput!$M$27,Inputs!$B$4="Chapter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IFERROR(1/(IF(Inputs!$B$39="pvp",15,MAX(0.1,Skills!D17-IF(TRUE=TRUE,Inputs!$B$33,0)))*(1-IF(AND(ArtifactsInput!$M$27,Inputs!$B$4="Chapter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IFERROR(1/(IF(Inputs!$B$39="pvp",15,MAX(0.1,Skills!D18-IF(TRUE=TRUE,Inputs!$B$33,0)))*(1-IF(AND(ArtifactsInput!$M$27,Inputs!$B$4="Chapter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IFERROR(1/(IF(Inputs!$B$39="pvp",15,MAX(0.1,Skills!D19-IF(TRUE=TRUE,Inputs!$B$33,0)))*(1-IF(AND(ArtifactsInput!$M$27,Inputs!$B$4="Chapter Hunt"),CHOOSE(ArtifactsInput!$N$27+1,20,24,28,32,36,40),0)/100)),0)</f>
        <v/>
      </c>
      <c r="R1261">
        <f>IF(AND(Inputs!$B$39&lt;&gt;"pvp",Inputs!$B$44&gt;0),IF(Inputs!$B$44&lt;=0,0,(INT(Inputs!$B$44/(IF(Inputs!$B$39="pvp",15,MAX(0.1,Skills!D19-IF(TRUE=TRUE,Inputs!$B$33,0)))*(1-IF(AND(ArtifactsInput!$M$27,Inputs!$B$4="Chapter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IFERROR(1/(IF(Inputs!$B$39="pvp",15,MAX(0.1,Skills!D20-IF(TRUE=TRUE,Inputs!$B$33,0)))*(1-IF(AND(ArtifactsInput!$M$27,Inputs!$B$4="Chapter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IFERROR(1/(IF(Inputs!$B$39="pvp",15,MAX(0.1,Skills!D21-IF(TRUE=TRUE,Inputs!$B$33,0)))*(1-IF(AND(ArtifactsInput!$M$27,Inputs!$B$4="Chapter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IFERROR(1/(IF(Inputs!$B$39="pvp",15,MAX(0.1,Skills!D22-IF(TRUE=TRUE,Inputs!$B$33,0)))*(1-IF(AND(ArtifactsInput!$M$27,Inputs!$B$4="Chapter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IFERROR(1/(IF(Inputs!$B$39="pvp",15,MAX(0.1,Skills!D23-IF(TRUE=TRUE,Inputs!$B$33,0)))*(1-IF(AND(ArtifactsInput!$M$27,Inputs!$B$4="Chapter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IFERROR(1/(IF(Inputs!$B$39="pvp",15,MAX(0.1,Skills!D24-IF(TRUE=TRUE,Inputs!$B$33,0)))*(1-IF(AND(ArtifactsInput!$M$27,Inputs!$B$4="Chapter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IFERROR(1/(IF(Inputs!$B$39="pvp",15,MAX(0.1,Skills!D25-IF(TRUE=TRUE,Inputs!$B$33,0)))*(1-IF(AND(ArtifactsInput!$M$27,Inputs!$B$4="Chapter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IFERROR(1/(IF(Inputs!$B$39="pvp",15,MAX(0.1,Skills!D26-IF(TRUE=TRUE,Inputs!$B$33,0)))*(1-IF(AND(ArtifactsInput!$M$27,Inputs!$B$4="Chapter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IFERROR(1/(IF(Inputs!$B$39="pvp",15,MAX(0.1,Skills!D27-IF(TRUE=TRUE,Inputs!$B$33,0)))*(1-IF(AND(ArtifactsInput!$M$27,Inputs!$B$4="Chapter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IFERROR(1/(IF(Inputs!$B$39="pvp",15,MAX(0.1,Skills!D28-IF(TRUE=TRUE,Inputs!$B$33,0)))*(1-IF(AND(ArtifactsInput!$M$27,Inputs!$B$4="Chapter Hunt"),CHOOSE(ArtifactsInput!$N$27+1,20,24,28,32,36,40),0)/100)),0)</f>
        <v/>
      </c>
      <c r="R1270">
        <f>IF(AND(Inputs!$B$39&lt;&gt;"pvp",Inputs!$B$44&gt;0),IF(Inputs!$B$44&lt;=0,0,(INT(Inputs!$B$44/(IF(Inputs!$B$39="pvp",15,MAX(0.1,Skills!D28-IF(TRUE=TRUE,Inputs!$B$33,0)))*(1-IF(AND(ArtifactsInput!$M$27,Inputs!$B$4="Chapter Hunt"),CHOOSE(ArtifactsInput!$N$27+1,20,24,28,32,36,40),0)/100)))+1)),0)</f>
        <v/>
      </c>
      <c r="S1270" t="n">
        <v>0</v>
      </c>
      <c r="U1270" t="n">
        <v>0</v>
      </c>
    </row>
    <row r="1272">
      <c r="A1272" t="inlineStr">
        <is>
          <t>Average Buff Multiplier</t>
        </is>
      </c>
      <c r="B1272">
        <f>(1+(IF(C1245=TRUE,F1245*IF(AND(Inputs!$B$39&lt;&gt;"pvp",Inputs!$B$44&gt;0),(((R1245-1)*MIN((Skills!S3*(1+(((Inputs!$B$35+1)+(ArtifactsInput!$M$7-ArtifactsInput!$M$7)*CHOOSE(ArtifactsInput!$N$7+1,6,7.2,8.4,9.6,10.8,12)))/100)),(1/Q1245))+MIN((Skills!S3*(1+(((Inputs!$B$35+1)+(ArtifactsInput!$M$7-ArtifactsInput!$M$7)*CHOOSE(ArtifactsInput!$N$7+1,6,7.2,8.4,9.6,10.8,12)))/100)),MAX(0,Inputs!$B$44-((R1245-1)*(1/Q1245)))))/Inputs!$B$44),IF(Inputs!$B$39="pvp",MIN((Skills!S3*(1+(((Inputs!$B$35+1)+(ArtifactsInput!$M$7-ArtifactsInput!$M$7)*CHOOSE(ArtifactsInput!$N$7+1,6,7.2,8.4,9.6,10.8,12)))/100)),15)/15,MIN(1,(Skills!S3*(1+(((Inputs!$B$35+1)+(ArtifactsInput!$M$7-ArtifactsInput!$M$7)*CHOOSE(ArtifactsInput!$N$7+1,6,7.2,8.4,9.6,10.8,12)))/100))/(1/Q1245)))),0)+IF(C1246=TRUE,F1246*IF(AND(Inputs!$B$39&lt;&gt;"pvp",Inputs!$B$44&gt;0),(((R1246-1)*MIN((Skills!S4*(1+(((Inputs!$B$35+1)+(ArtifactsInput!$M$7-ArtifactsInput!$M$7)*CHOOSE(ArtifactsInput!$N$7+1,6,7.2,8.4,9.6,10.8,12)))/100)),(1/Q1246))+MIN((Skills!S4*(1+(((Inputs!$B$35+1)+(ArtifactsInput!$M$7-ArtifactsInput!$M$7)*CHOOSE(ArtifactsInput!$N$7+1,6,7.2,8.4,9.6,10.8,12)))/100)),MAX(0,Inputs!$B$44-((R1246-1)*(1/Q1246)))))/Inputs!$B$44),IF(Inputs!$B$39="pvp",MIN((Skills!S4*(1+(((Inputs!$B$35+1)+(ArtifactsInput!$M$7-ArtifactsInput!$M$7)*CHOOSE(ArtifactsInput!$N$7+1,6,7.2,8.4,9.6,10.8,12)))/100)),15)/15,MIN(1,(Skills!S4*(1+(((Inputs!$B$35+1)+(ArtifactsInput!$M$7-ArtifactsInput!$M$7)*CHOOSE(ArtifactsInput!$N$7+1,6,7.2,8.4,9.6,10.8,12)))/100))/(1/Q1246)))),0)+IF(C1247=TRUE,F1247*IF(AND(Inputs!$B$39&lt;&gt;"pvp",Inputs!$B$44&gt;0),(((R1247-1)*MIN((Skills!S5*(1+(((Inputs!$B$35+1)+(ArtifactsInput!$M$7-ArtifactsInput!$M$7)*CHOOSE(ArtifactsInput!$N$7+1,6,7.2,8.4,9.6,10.8,12)))/100)),(1/Q1247))+MIN((Skills!S5*(1+(((Inputs!$B$35+1)+(ArtifactsInput!$M$7-ArtifactsInput!$M$7)*CHOOSE(ArtifactsInput!$N$7+1,6,7.2,8.4,9.6,10.8,12)))/100)),MAX(0,Inputs!$B$44-((R1247-1)*(1/Q1247)))))/Inputs!$B$44),IF(Inputs!$B$39="pvp",MIN((Skills!S5*(1+(((Inputs!$B$35+1)+(ArtifactsInput!$M$7-ArtifactsInput!$M$7)*CHOOSE(ArtifactsInput!$N$7+1,6,7.2,8.4,9.6,10.8,12)))/100)),15)/15,MIN(1,(Skills!S5*(1+(((Inputs!$B$35+1)+(ArtifactsInput!$M$7-ArtifactsInput!$M$7)*CHOOSE(ArtifactsInput!$N$7+1,6,7.2,8.4,9.6,10.8,12)))/100))/(1/Q1247)))),0)+IF(C1253=TRUE,F1253*IF(AND(Inputs!$B$39&lt;&gt;"pvp",Inputs!$B$44&gt;0),(((R1253-1)*MIN((Skills!S11*(1+(((Inputs!$B$35+1)+(ArtifactsInput!$M$7-ArtifactsInput!$M$7)*CHOOSE(ArtifactsInput!$N$7+1,6,7.2,8.4,9.6,10.8,12)))/100)),(1/Q1253))+MIN((Skills!S11*(1+(((Inputs!$B$35+1)+(ArtifactsInput!$M$7-ArtifactsInput!$M$7)*CHOOSE(ArtifactsInput!$N$7+1,6,7.2,8.4,9.6,10.8,12)))/100)),MAX(0,Inputs!$B$44-((R1253-1)*(1/Q1253)))))/Inputs!$B$44),IF(Inputs!$B$39="pvp",MIN((Skills!S11*(1+(((Inputs!$B$35+1)+(ArtifactsInput!$M$7-ArtifactsInput!$M$7)*CHOOSE(ArtifactsInput!$N$7+1,6,7.2,8.4,9.6,10.8,12)))/100)),15)/15,MIN(1,(Skills!S11*(1+(((Inputs!$B$35+1)+(ArtifactsInput!$M$7-ArtifactsInput!$M$7)*CHOOSE(ArtifactsInput!$N$7+1,6,7.2,8.4,9.6,10.8,12)))/100))/(1/Q1253)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MIN((Skills!S14*(1+(((Inputs!$B$35+1)+(ArtifactsInput!$M$7-ArtifactsInput!$M$7)*CHOOSE(ArtifactsInput!$N$7+1,6,7.2,8.4,9.6,10.8,12)))/100)),(1/Q1256))+MIN((Skills!S14*(1+(((Inputs!$B$35+1)+(ArtifactsInput!$M$7-ArtifactsInput!$M$7)*CHOOSE(ArtifactsInput!$N$7+1,6,7.2,8.4,9.6,10.8,12)))/100)),MAX(0,Inputs!$B$44-((R1256-1)*(1/Q1256)))))/Inputs!$B$44),IF(Inputs!$B$39="pvp",MIN((Skills!S14*(1+(((Inputs!$B$35+1)+(ArtifactsInput!$M$7-ArtifactsInput!$M$7)*CHOOSE(ArtifactsInput!$N$7+1,6,7.2,8.4,9.6,10.8,12)))/100)),15)/15,MIN(1,(Skills!S14*(1+(((Inputs!$B$35+1)+(ArtifactsInput!$M$7-ArtifactsInput!$M$7)*CHOOSE(ArtifactsInput!$N$7+1,6,7.2,8.4,9.6,10.8,12)))/100))/(1/Q1256))))/100),1)*IF(C1261=TRUE,(1+F1261*IF(AND(Inputs!$B$39&lt;&gt;"pvp",Inputs!$B$44&gt;0),(((R1261-1)*MIN((Skills!S19*(1+(((Inputs!$B$35+1)+(ArtifactsInput!$M$7-ArtifactsInput!$M$7)*CHOOSE(ArtifactsInput!$N$7+1,6,7.2,8.4,9.6,10.8,12)))/100)),(1/Q1261))+MIN((Skills!S19*(1+(((Inputs!$B$35+1)+(ArtifactsInput!$M$7-ArtifactsInput!$M$7)*CHOOSE(ArtifactsInput!$N$7+1,6,7.2,8.4,9.6,10.8,12)))/100)),MAX(0,Inputs!$B$44-((R1261-1)*(1/Q1261)))))/Inputs!$B$44),IF(Inputs!$B$39="pvp",MIN((Skills!S19*(1+(((Inputs!$B$35+1)+(ArtifactsInput!$M$7-ArtifactsInput!$M$7)*CHOOSE(ArtifactsInput!$N$7+1,6,7.2,8.4,9.6,10.8,12)))/100)),15)/15,MIN(1,(Skills!S19*(1+(((Inputs!$B$35+1)+(ArtifactsInput!$M$7-ArtifactsInput!$M$7)*CHOOSE(ArtifactsInput!$N$7+1,6,7.2,8.4,9.6,10.8,12)))/100))/(1/Q1261))))/100),1)</f>
        <v/>
      </c>
    </row>
    <row r="1273">
      <c r="A1273" t="inlineStr">
        <is>
          <t>Monster Damage Taken Bonus % (Holy Fountain)</t>
        </is>
      </c>
      <c r="B1273">
        <f>IF(Inputs!$B$3&gt;=68,20*IF(Inputs!$B$39="pvp",MIN((15*(1+(((Inputs!$B$35+1)+(ArtifactsInput!$M$7-ArtifactsInput!$M$7)*CHOOSE(ArtifactsInput!$N$7+1,6,7.2,8.4,9.6,10.8,12)))/100)),15)/15,MIN(1,(15*(1+(((Inputs!$B$35+1)+(ArtifactsInput!$M$7-ArtifactsInput!$M$7)*CHOOSE(ArtifactsInput!$N$7+1,6,7.2,8.4,9.6,10.8,12)))/100))/(1/Q1252))),0)</f>
        <v/>
      </c>
    </row>
    <row r="1274">
      <c r="A1274" t="inlineStr">
        <is>
          <t>Normal Monster Damage Bonus % (Holy Symbol)</t>
        </is>
      </c>
      <c r="B1274">
        <f>IF(C1254=TRUE,F1254*IF(AND(Inputs!$B$39&lt;&gt;"pvp",Inputs!$B$44&gt;0),(((R1254-1)*MIN((Skills!S12*(1+(((Inputs!$B$35+1)+(ArtifactsInput!$M$7-ArtifactsInput!$M$7)*CHOOSE(ArtifactsInput!$N$7+1,6,7.2,8.4,9.6,10.8,12)))/100)),(1/Q1254))+MIN((Skills!S12*(1+(((Inputs!$B$35+1)+(ArtifactsInput!$M$7-ArtifactsInput!$M$7)*CHOOSE(ArtifactsInput!$N$7+1,6,7.2,8.4,9.6,10.8,12)))/100)),MAX(0,Inputs!$B$44-((R1254-1)*(1/Q1254)))))/Inputs!$B$44),IF(Inputs!$B$39="pvp",MIN((Skills!S12*(1+(((Inputs!$B$35+1)+(ArtifactsInput!$M$7-ArtifactsInput!$M$7)*CHOOSE(ArtifactsInput!$N$7+1,6,7.2,8.4,9.6,10.8,12)))/100)),15)/15,MIN(1,(Skills!S12*(1+(((Inputs!$B$35+1)+(ArtifactsInput!$M$7-ArtifactsInput!$M$7)*CHOOSE(ArtifactsInput!$N$7+1,6,7.2,8.4,9.6,10.8,12)))/100))/(1/Q1254)))),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MIN((Skills!S28*(1+(((Inputs!$B$35+1)+(ArtifactsInput!$M$7-ArtifactsInput!$M$7)*CHOOSE(ArtifactsInput!$N$7+1,6,7.2,8.4,9.6,10.8,12)))/100)),(1/Q1270))+MIN((Skills!S28*(1+(((Inputs!$B$35+1)+(ArtifactsInput!$M$7-ArtifactsInput!$M$7)*CHOOSE(ArtifactsInput!$N$7+1,6,7.2,8.4,9.6,10.8,12)))/100)),MAX(0,Inputs!$B$44-((R1270-1)*(1/Q1270)))))/Inputs!$B$44),IF(Inputs!$B$39="pvp",MIN((Skills!S28*(1+(((Inputs!$B$35+1)+(ArtifactsInput!$M$7-ArtifactsInput!$M$7)*CHOOSE(ArtifactsInput!$N$7+1,6,7.2,8.4,9.6,10.8,12)))/100)),15)/15,MIN(1,(Skills!S28*(1+(((Inputs!$B$35+1)+(ArtifactsInput!$M$7-ArtifactsInput!$M$7)*CHOOSE(ArtifactsInput!$N$7+1,6,7.2,8.4,9.6,10.8,12)))/100))/(1/Q1270)))))</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MIN((Skills!S13*(1+(((Inputs!$B$35+1)+(ArtifactsInput!$M$7-ArtifactsInput!$M$7)*CHOOSE(ArtifactsInput!$N$7+1,6,7.2,8.4,9.6,10.8,12)))/100)),(1/Q1255))+MIN((Skills!S13*(1+(((Inputs!$B$35+1)+(ArtifactsInput!$M$7-ArtifactsInput!$M$7)*CHOOSE(ArtifactsInput!$N$7+1,6,7.2,8.4,9.6,10.8,12)))/100)),MAX(0,Inputs!$B$44-((R1255-1)*(1/Q1255)))))/Inputs!$B$44),IF(Inputs!$B$39="pvp",MIN((Skills!S13*(1+(((Inputs!$B$35+1)+(ArtifactsInput!$M$7-ArtifactsInput!$M$7)*CHOOSE(ArtifactsInput!$N$7+1,6,7.2,8.4,9.6,10.8,12)))/100)),15)/15,MIN(1,(Skills!S13*(1+(((Inputs!$B$35+1)+(ArtifactsInput!$M$7-ArtifactsInput!$M$7)*CHOOSE(ArtifactsInput!$N$7+1,6,7.2,8.4,9.6,10.8,12)))/100))/(1/Q1255)))),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IFERROR(1/(IF(Inputs!$B$39="pvp",15,MAX(0.1,Skills!D2-IF(TRUE=TRUE,Inputs!$B$33,0)))*(1-IF(AND(ArtifactsInput!$M$27,Inputs!$B$4="Chapter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IFERROR(1/(IF(Inputs!$B$39="pvp",15,MAX(0.1,Skills!D3-IF(TRUE=TRUE,Inputs!$B$33,0)))*(1-IF(AND(ArtifactsInput!$M$27,Inputs!$B$4="Chapter Hunt"),CHOOSE(ArtifactsInput!$N$27+1,20,24,28,32,36,40),0)/100)),0)</f>
        <v/>
      </c>
      <c r="R1290">
        <f>IF(AND(Inputs!$B$39&lt;&gt;"pvp",Inputs!$B$44&gt;0),IF(Inputs!$B$44&lt;=0,0,(INT(Inputs!$B$44/(IF(Inputs!$B$39="pvp",15,MAX(0.1,Skills!D3-IF(TRUE=TRUE,Inputs!$B$33,0)))*(1-IF(AND(ArtifactsInput!$M$27,Inputs!$B$4="Chapter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IFERROR(1/(IF(Inputs!$B$39="pvp",15,MAX(0.1,Skills!D4-IF(TRUE=TRUE,Inputs!$B$33,0)))*(1-IF(AND(ArtifactsInput!$M$27,Inputs!$B$4="Chapter Hunt"),CHOOSE(ArtifactsInput!$N$27+1,20,24,28,32,36,40),0)/100)),0)</f>
        <v/>
      </c>
      <c r="R1291">
        <f>IF(AND(Inputs!$B$39&lt;&gt;"pvp",Inputs!$B$44&gt;0),IF(Inputs!$B$44&lt;=0,0,(INT(Inputs!$B$44/(IF(Inputs!$B$39="pvp",15,MAX(0.1,Skills!D4-IF(TRUE=TRUE,Inputs!$B$33,0)))*(1-IF(AND(ArtifactsInput!$M$27,Inputs!$B$4="Chapter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IFERROR(1/(IF(Inputs!$B$39="pvp",15,MAX(0.1,Skills!D5-IF(TRUE=TRUE,Inputs!$B$33,0)))*(1-IF(AND(ArtifactsInput!$M$27,Inputs!$B$4="Chapter Hunt"),CHOOSE(ArtifactsInput!$N$27+1,20,24,28,32,36,40),0)/100)),0)</f>
        <v/>
      </c>
      <c r="R1292">
        <f>IF(AND(Inputs!$B$39&lt;&gt;"pvp",Inputs!$B$44&gt;0),IF(Inputs!$B$44&lt;=0,0,(INT(Inputs!$B$44/(IF(Inputs!$B$39="pvp",15,MAX(0.1,Skills!D5-IF(TRUE=TRUE,Inputs!$B$33,0)))*(1-IF(AND(ArtifactsInput!$M$27,Inputs!$B$4="Chapter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IFERROR(1/(IF(Inputs!$B$39="pvp",15,MAX(0.1,Skills!D6-IF(TRUE=TRUE,Inputs!$B$33,0)))*(1-IF(AND(ArtifactsInput!$M$27,Inputs!$B$4="Chapter Hunt"),CHOOSE(ArtifactsInput!$N$27+1,20,24,28,32,36,40),0)/100)),0)</f>
        <v/>
      </c>
      <c r="R1293">
        <f>IF(AND(Inputs!$B$39&lt;&gt;"pvp",Inputs!$B$44&gt;0),IF(MAX(0,Inputs!$B$44-B1327)&lt;=0,0,(INT(MAX(0,Inputs!$B$44-B1327)/(IF(Inputs!$B$39="pvp",15,MAX(0.1,Skills!D6-IF(TRUE=TRUE,Inputs!$B$33,0)))*(1-IF(AND(ArtifactsInput!$M$27,Inputs!$B$4="Chapter Hunt"),CHOOSE(ArtifactsInput!$N$27+1,20,24,28,32,36,40),0)/100)))+1)),0)</f>
        <v/>
      </c>
      <c r="S1293">
        <f>IF(C1293,(H1293*N1293*IF(AND(Inputs!$B$39&lt;&gt;"pvp",Inputs!$B$44&gt;0),((Skills!F6*((R1293-1)*IF(Skills!G6&gt;0,INT(Skills!H6/Skills!G6+0.000000001),1)+IF(Skills!G6&gt;0,INT(MIN(Skills!H6,MAX(0,MAX(0,Inputs!$B$44-B1327)-((R1293-1)*(IF(Inputs!$B$39="pvp",15,MAX(0.1,Skills!D6-IF(TRUE=TRUE,Inputs!$B$33,0)))*(1-IF(AND(ArtifactsInput!$M$27,Inputs!$B$4="Chapter Hunt"),CHOOSE(ArtifactsInput!$N$27+1,20,24,28,32,36,40),0)/100)))))/Skills!G6+0.000000001),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INT(Skills!H6/Skills!G6+0.000000001),1)+IF(Skills!G6&gt;0,INT(MIN(Skills!H6,MAX(0,MAX(0,Inputs!$B$44-B1327)-((R1293-1)*(IF(Inputs!$B$39="pvp",15,MAX(0.1,Skills!D6-IF(TRUE=TRUE,Inputs!$B$33,0)))*(1-IF(AND(ArtifactsInput!$M$27,Inputs!$B$4="Chapter Hunt"),CHOOSE(ArtifactsInput!$N$27+1,20,24,28,32,36,40),0)/100)))))/Skills!G6+0.000000001),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IFERROR(1/(IF(Inputs!$B$39="pvp",15,MAX(0.1,Skills!D7-IF(TRUE=TRUE,Inputs!$B$33,0)))*(1-IF(AND(ArtifactsInput!$M$27,Inputs!$B$4="Chapter Hunt"),CHOOSE(ArtifactsInput!$N$27+1,20,24,28,32,36,40),0)/100)),0)</f>
        <v/>
      </c>
      <c r="R1294">
        <f>IF(AND(Inputs!$B$39&lt;&gt;"pvp",Inputs!$B$44&gt;0),IF(MAX(0,Inputs!$B$44-B1327)&lt;=0,0,(INT(MAX(0,Inputs!$B$44-B1327)/(IF(Inputs!$B$39="pvp",15,MAX(0.1,Skills!D7-IF(TRUE=TRUE,Inputs!$B$33,0)))*(1-IF(AND(ArtifactsInput!$M$27,Inputs!$B$4="Chapter Hunt"),CHOOSE(ArtifactsInput!$N$27+1,20,24,28,32,36,40),0)/100)))+1)),0)</f>
        <v/>
      </c>
      <c r="S1294">
        <f>IF(C1294,H1294*N1294*IF(AND(Inputs!$B$39&lt;&gt;"pvp",Inputs!$B$44&gt;0),((Skills!F7*((R1294-1)*IF(Skills!G7&gt;0,INT(Skills!H7/Skills!G7+0.000000001),1)+IF(Skills!G7&gt;0,INT(MIN(Skills!H7,MAX(0,MAX(0,Inputs!$B$44-B1327)-((R1294-1)*(IF(Inputs!$B$39="pvp",15,MAX(0.1,Skills!D7-IF(TRUE=TRUE,Inputs!$B$33,0)))*(1-IF(AND(ArtifactsInput!$M$27,Inputs!$B$4="Chapter Hunt"),CHOOSE(ArtifactsInput!$N$27+1,20,24,28,32,36,40),0)/100)))))/Skills!G7+0.000000001),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IFERROR(1/(IF(Inputs!$B$39="pvp",15,MAX(0.1,Skills!D8-IF(TRUE=TRUE,Inputs!$B$33,0)))*(1-IF(AND(ArtifactsInput!$M$27,Inputs!$B$4="Chapter Hunt"),CHOOSE(ArtifactsInput!$N$27+1,20,24,28,32,36,40),0)/100)),0)</f>
        <v/>
      </c>
      <c r="R1295">
        <f>IF(AND(Inputs!$B$39&lt;&gt;"pvp",Inputs!$B$44&gt;0),IF(MAX(0,Inputs!$B$44-B1327)&lt;=0,0,(INT(MAX(0,Inputs!$B$44-B1327)/(IF(Inputs!$B$39="pvp",15,MAX(0.1,Skills!D8-IF(TRUE=TRUE,Inputs!$B$33,0)))*(1-IF(AND(ArtifactsInput!$M$27,Inputs!$B$4="Chapter Hunt"),CHOOSE(ArtifactsInput!$N$27+1,20,24,28,32,36,40),0)/100)))+1)),0)</f>
        <v/>
      </c>
      <c r="S1295">
        <f>IF(C1295,(H1295*N1295*IF(AND(Inputs!$B$39&lt;&gt;"pvp",Inputs!$B$44&gt;0),((Skills!F8*((R1295-1)*IF(Skills!G8&gt;0,INT(Skills!H8/Skills!G8+0.000000001),1)+IF(Skills!G8&gt;0,INT(MIN(Skills!H8,MAX(0,MAX(0,Inputs!$B$44-B1327)-((R1295-1)*(IF(Inputs!$B$39="pvp",15,MAX(0.1,Skills!D8-IF(TRUE=TRUE,Inputs!$B$33,0)))*(1-IF(AND(ArtifactsInput!$M$27,Inputs!$B$4="Chapter Hunt"),CHOOSE(ArtifactsInput!$N$27+1,20,24,28,32,36,40),0)/100)))))/Skills!G8+0.000000001),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INT(Skills!H8/Skills!G8+0.000000001),1)+IF(Skills!G8&gt;0,INT(MIN(Skills!H8,MAX(0,MAX(0,Inputs!$B$44-B1327)-((R1295-1)*(IF(Inputs!$B$39="pvp",15,MAX(0.1,Skills!D8-IF(TRUE=TRUE,Inputs!$B$33,0)))*(1-IF(AND(ArtifactsInput!$M$27,Inputs!$B$4="Chapter Hunt"),CHOOSE(ArtifactsInput!$N$27+1,20,24,28,32,36,40),0)/100)))))/Skills!G8+0.000000001),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IFERROR(1/(IF(Inputs!$B$39="pvp",15,MAX(0.1,Skills!D9-IF(TRUE=TRUE,Inputs!$B$33,0)))*(1-IF(AND(ArtifactsInput!$M$27,Inputs!$B$4="Chapter Hunt"),CHOOSE(ArtifactsInput!$N$27+1,20,24,28,32,36,40),0)/100)),0)</f>
        <v/>
      </c>
      <c r="R1296">
        <f>IF(AND(Inputs!$B$39&lt;&gt;"pvp",Inputs!$B$44&gt;0),IF(MAX(0,Inputs!$B$44-B1327)&lt;=0,0,(INT(MAX(0,Inputs!$B$44-B1327)/(IF(Inputs!$B$39="pvp",15,MAX(0.1,Skills!D9-IF(TRUE=TRUE,Inputs!$B$33,0)))*(1-IF(AND(ArtifactsInput!$M$27,Inputs!$B$4="Chapter Hunt"),CHOOSE(ArtifactsInput!$N$27+1,20,24,28,32,36,40),0)/100)))+1)),0)</f>
        <v/>
      </c>
      <c r="S1296">
        <f>IF(C1296,(H1296*N1296*IF(AND(Inputs!$B$39&lt;&gt;"pvp",Inputs!$B$44&gt;0),((Skills!F9*((R1296-1)*IF(Skills!G9&gt;0,INT(Skills!H9/Skills!G9+0.000000001),1)+IF(Skills!G9&gt;0,INT(MIN(Skills!H9,MAX(0,MAX(0,Inputs!$B$44-B1327)-((R1296-1)*(IF(Inputs!$B$39="pvp",15,MAX(0.1,Skills!D9-IF(TRUE=TRUE,Inputs!$B$33,0)))*(1-IF(AND(ArtifactsInput!$M$27,Inputs!$B$4="Chapter Hunt"),CHOOSE(ArtifactsInput!$N$27+1,20,24,28,32,36,40),0)/100)))))/Skills!G9+0.000000001),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INT(Skills!H9/Skills!G9+0.000000001),1)+IF(Skills!G9&gt;0,INT(MIN(Skills!H9,MAX(0,MAX(0,Inputs!$B$44-B1327)-((R1296-1)*(IF(Inputs!$B$39="pvp",15,MAX(0.1,Skills!D9-IF(TRUE=TRUE,Inputs!$B$33,0)))*(1-IF(AND(ArtifactsInput!$M$27,Inputs!$B$4="Chapter Hunt"),CHOOSE(ArtifactsInput!$N$27+1,20,24,28,32,36,40),0)/100)))))/Skills!G9+0.000000001),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IFERROR(1/(IF(Inputs!$B$39="pvp",15,MAX(0.1,Skills!D10-IF(TRUE=TRUE,Inputs!$B$33,0)))*(1-IF(AND(ArtifactsInput!$M$27,Inputs!$B$4="Chapter Hunt"),CHOOSE(ArtifactsInput!$N$27+1,20,24,28,32,36,40),0)/100)),0)</f>
        <v/>
      </c>
      <c r="R1297">
        <f>IF(AND(Inputs!$B$39&lt;&gt;"pvp",Inputs!$B$44&gt;0),IF(MAX(0,Inputs!$B$44-B1327)&lt;=0,0,(INT(MAX(0,Inputs!$B$44-B1327)/(IF(Inputs!$B$39="pvp",15,MAX(0.1,Skills!D10-IF(TRUE=TRUE,Inputs!$B$33,0)))*(1-IF(AND(ArtifactsInput!$M$27,Inputs!$B$4="Chapter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IFERROR(1/(IF(Inputs!$B$39="pvp",15,MAX(0.1,Skills!D11-IF(TRUE=TRUE,Inputs!$B$33,0)))*(1-IF(AND(ArtifactsInput!$M$27,Inputs!$B$4="Chapter Hunt"),CHOOSE(ArtifactsInput!$N$27+1,20,24,28,32,36,40),0)/100)),0)</f>
        <v/>
      </c>
      <c r="R1298">
        <f>IF(AND(Inputs!$B$39&lt;&gt;"pvp",Inputs!$B$44&gt;0),IF(Inputs!$B$44&lt;=0,0,(INT(Inputs!$B$44/(IF(Inputs!$B$39="pvp",15,MAX(0.1,Skills!D11-IF(TRUE=TRUE,Inputs!$B$33,0)))*(1-IF(AND(ArtifactsInput!$M$27,Inputs!$B$4="Chapter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IFERROR(1/(IF(Inputs!$B$39="pvp",15,MAX(0.1,Skills!D12-IF(TRUE=TRUE,Inputs!$B$33,0)))*(1-IF(AND(ArtifactsInput!$M$27,Inputs!$B$4="Chapter Hunt"),CHOOSE(ArtifactsInput!$N$27+1,20,24,28,32,36,40),0)/100)),0)</f>
        <v/>
      </c>
      <c r="R1299">
        <f>IF(AND(Inputs!$B$39&lt;&gt;"pvp",Inputs!$B$44&gt;0),IF(MAX(0,Inputs!$B$44-B1327)&lt;=0,0,(INT(MAX(0,Inputs!$B$44-B1327)/(IF(Inputs!$B$39="pvp",15,MAX(0.1,Skills!D12-IF(TRUE=TRUE,Inputs!$B$33,0)))*(1-IF(AND(ArtifactsInput!$M$27,Inputs!$B$4="Chapter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IFERROR(1/(IF(Inputs!$B$39="pvp",15,MAX(0.1,Skills!D13-IF(TRUE=TRUE,Inputs!$B$33,0)))*(1-IF(AND(ArtifactsInput!$M$27,Inputs!$B$4="Chapter Hunt"),CHOOSE(ArtifactsInput!$N$27+1,20,24,28,32,36,40),0)/100)),0)</f>
        <v/>
      </c>
      <c r="R1300">
        <f>IF(AND(Inputs!$B$39&lt;&gt;"pvp",Inputs!$B$44&gt;0),IF(MAX(0,Inputs!$B$44-B1327)&lt;=0,0,(INT(MAX(0,Inputs!$B$44-B1327)/(IF(Inputs!$B$39="pvp",15,MAX(0.1,Skills!D13-IF(TRUE=TRUE,Inputs!$B$33,0)))*(1-IF(AND(ArtifactsInput!$M$27,Inputs!$B$4="Chapter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IFERROR(1/(IF(Inputs!$B$39="pvp",15,MAX(0.1,Skills!D14-IF(TRUE=TRUE,Inputs!$B$33,0)))*(1-IF(AND(ArtifactsInput!$M$27,Inputs!$B$4="Chapter Hunt"),CHOOSE(ArtifactsInput!$N$27+1,20,24,28,32,36,40),0)/100)),0)</f>
        <v/>
      </c>
      <c r="R1301">
        <f>IF(AND(Inputs!$B$39&lt;&gt;"pvp",Inputs!$B$44&gt;0),IF(Inputs!$B$44&lt;=0,0,(INT(Inputs!$B$44/(IF(Inputs!$B$39="pvp",15,MAX(0.1,Skills!D14-IF(TRUE=TRUE,Inputs!$B$33,0)))*(1-IF(AND(ArtifactsInput!$M$27,Inputs!$B$4="Chapter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IFERROR(1/(IF(Inputs!$B$39="pvp",15,MAX(0.1,Skills!D15-IF(TRUE=TRUE,Inputs!$B$33,0)))*(1-IF(AND(ArtifactsInput!$M$27,Inputs!$B$4="Chapter Hunt"),CHOOSE(ArtifactsInput!$N$27+1,20,24,28,32,36,40),0)/100)),0)</f>
        <v/>
      </c>
      <c r="R1302" t="n">
        <v>0</v>
      </c>
      <c r="S1302">
        <f>IF(C1302,(Skills!F15*N1302*((IF(Inputs!$B$3&gt;=78,25,15)/100*B1323*10)/(1+IF(Inputs!$B$3&gt;=78,25,15)/100*B1323*IF(Inputs!$B$39="pvp",15,MAX(0.1,18-IF(TRUE=TRUE,Inputs!$B$33,0)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IF(Inputs!$B$39="pvp",15,MAX(0.1,18-IF(TRUE=TRUE,Inputs!$B$33,0)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IFERROR(1/(IF(Inputs!$B$39="pvp",15,MAX(0.1,Skills!D16-IF(TRUE=TRUE,Inputs!$B$33,0)))*(1-IF(AND(ArtifactsInput!$M$27,Inputs!$B$4="Chapter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IFERROR(1/(IF(Inputs!$B$39="pvp",15,MAX(0.1,Skills!D17-IF(TRUE=TRUE,Inputs!$B$33,0)))*(1-IF(AND(ArtifactsInput!$M$27,Inputs!$B$4="Chapter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IFERROR(1/(IF(Inputs!$B$39="pvp",15,MAX(0.1,Skills!D18-IF(TRUE=TRUE,Inputs!$B$33,0)))*(1-IF(AND(ArtifactsInput!$M$27,Inputs!$B$4="Chapter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IFERROR(1/(IF(Inputs!$B$39="pvp",15,MAX(0.1,Skills!D19-IF(TRUE=TRUE,Inputs!$B$33,0)))*(1-IF(AND(ArtifactsInput!$M$27,Inputs!$B$4="Chapter Hunt"),CHOOSE(ArtifactsInput!$N$27+1,20,24,28,32,36,40),0)/100)),0)</f>
        <v/>
      </c>
      <c r="R1306">
        <f>IF(AND(Inputs!$B$39&lt;&gt;"pvp",Inputs!$B$44&gt;0),IF(Inputs!$B$44&lt;=0,0,(INT(Inputs!$B$44/(IF(Inputs!$B$39="pvp",15,MAX(0.1,Skills!D19-IF(TRUE=TRUE,Inputs!$B$33,0)))*(1-IF(AND(ArtifactsInput!$M$27,Inputs!$B$4="Chapter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IFERROR(1/(IF(Inputs!$B$39="pvp",15,MAX(0.1,Skills!D20-IF(TRUE=TRUE,Inputs!$B$33,0)))*(1-IF(AND(ArtifactsInput!$M$27,Inputs!$B$4="Chapter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IFERROR(1/(IF(Inputs!$B$39="pvp",15,MAX(0.1,Skills!D21-IF(TRUE=TRUE,Inputs!$B$33,0)))*(1-IF(AND(ArtifactsInput!$M$27,Inputs!$B$4="Chapter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IFERROR(1/(IF(Inputs!$B$39="pvp",15,MAX(0.1,Skills!D22-IF(TRUE=TRUE,Inputs!$B$33,0)))*(1-IF(AND(ArtifactsInput!$M$27,Inputs!$B$4="Chapter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IFERROR(1/(IF(Inputs!$B$39="pvp",15,MAX(0.1,Skills!D23-IF(TRUE=TRUE,Inputs!$B$33,0)))*(1-IF(AND(ArtifactsInput!$M$27,Inputs!$B$4="Chapter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IFERROR(1/(IF(Inputs!$B$39="pvp",15,MAX(0.1,Skills!D24-IF(TRUE=TRUE,Inputs!$B$33,0)))*(1-IF(AND(ArtifactsInput!$M$27,Inputs!$B$4="Chapter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IFERROR(1/(IF(Inputs!$B$39="pvp",15,MAX(0.1,Skills!D25-IF(TRUE=TRUE,Inputs!$B$33,0)))*(1-IF(AND(ArtifactsInput!$M$27,Inputs!$B$4="Chapter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IFERROR(1/(IF(Inputs!$B$39="pvp",15,MAX(0.1,Skills!D26-IF(TRUE=TRUE,Inputs!$B$33,0)))*(1-IF(AND(ArtifactsInput!$M$27,Inputs!$B$4="Chapter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IFERROR(1/(IF(Inputs!$B$39="pvp",15,MAX(0.1,Skills!D27-IF(TRUE=TRUE,Inputs!$B$33,0)))*(1-IF(AND(ArtifactsInput!$M$27,Inputs!$B$4="Chapter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IFERROR(1/(IF(Inputs!$B$39="pvp",15,MAX(0.1,Skills!D28-IF(TRUE=TRUE,Inputs!$B$33,0)))*(1-IF(AND(ArtifactsInput!$M$27,Inputs!$B$4="Chapter Hunt"),CHOOSE(ArtifactsInput!$N$27+1,20,24,28,32,36,40),0)/100)),0)</f>
        <v/>
      </c>
      <c r="R1315">
        <f>IF(AND(Inputs!$B$39&lt;&gt;"pvp",Inputs!$B$44&gt;0),IF(Inputs!$B$44&lt;=0,0,(INT(Inputs!$B$44/(IF(Inputs!$B$39="pvp",15,MAX(0.1,Skills!D28-IF(TRUE=TRUE,Inputs!$B$33,0)))*(1-IF(AND(ArtifactsInput!$M$27,Inputs!$B$4="Chapter Hunt"),CHOOSE(ArtifactsInput!$N$27+1,20,24,28,32,36,40),0)/100)))+1)),0)</f>
        <v/>
      </c>
      <c r="S1315" t="n">
        <v>0</v>
      </c>
      <c r="U1315" t="n">
        <v>0</v>
      </c>
    </row>
    <row r="1317">
      <c r="A1317" t="inlineStr">
        <is>
          <t>Average Buff Multiplier</t>
        </is>
      </c>
      <c r="B1317">
        <f>(1+(IF(C1290=TRUE,F1290*IF(AND(Inputs!$B$39&lt;&gt;"pvp",Inputs!$B$44&gt;0),(((R1290-1)*MIN((Skills!S3*(1+((Inputs!$B$35+(ArtifactsInput!$M$7-ArtifactsInput!$M$7)*CHOOSE(ArtifactsInput!$N$7+1,6,7.2,8.4,9.6,10.8,12)))/100)),(1/Q1290))+MIN((Skills!S3*(1+((Inputs!$B$35+(ArtifactsInput!$M$7-ArtifactsInput!$M$7)*CHOOSE(ArtifactsInput!$N$7+1,6,7.2,8.4,9.6,10.8,12)))/100)),MAX(0,Inputs!$B$44-((R1290-1)*(1/Q1290)))))/Inputs!$B$44),IF(Inputs!$B$39="pvp",MIN((Skills!S3*(1+((Inputs!$B$35+(ArtifactsInput!$M$7-ArtifactsInput!$M$7)*CHOOSE(ArtifactsInput!$N$7+1,6,7.2,8.4,9.6,10.8,12)))/100)),15)/15,MIN(1,(Skills!S3*(1+((Inputs!$B$35+(ArtifactsInput!$M$7-ArtifactsInput!$M$7)*CHOOSE(ArtifactsInput!$N$7+1,6,7.2,8.4,9.6,10.8,12)))/100))/(1/Q1290)))),0)+IF(C1291=TRUE,F1291*IF(AND(Inputs!$B$39&lt;&gt;"pvp",Inputs!$B$44&gt;0),(((R1291-1)*MIN((Skills!S4*(1+((Inputs!$B$35+(ArtifactsInput!$M$7-ArtifactsInput!$M$7)*CHOOSE(ArtifactsInput!$N$7+1,6,7.2,8.4,9.6,10.8,12)))/100)),(1/Q1291))+MIN((Skills!S4*(1+((Inputs!$B$35+(ArtifactsInput!$M$7-ArtifactsInput!$M$7)*CHOOSE(ArtifactsInput!$N$7+1,6,7.2,8.4,9.6,10.8,12)))/100)),MAX(0,Inputs!$B$44-((R1291-1)*(1/Q1291)))))/Inputs!$B$44),IF(Inputs!$B$39="pvp",MIN((Skills!S4*(1+((Inputs!$B$35+(ArtifactsInput!$M$7-ArtifactsInput!$M$7)*CHOOSE(ArtifactsInput!$N$7+1,6,7.2,8.4,9.6,10.8,12)))/100)),15)/15,MIN(1,(Skills!S4*(1+((Inputs!$B$35+(ArtifactsInput!$M$7-ArtifactsInput!$M$7)*CHOOSE(ArtifactsInput!$N$7+1,6,7.2,8.4,9.6,10.8,12)))/100))/(1/Q1291)))),0)+IF(C1292=TRUE,F1292*IF(AND(Inputs!$B$39&lt;&gt;"pvp",Inputs!$B$44&gt;0),(((R1292-1)*MIN((Skills!S5*(1+((Inputs!$B$35+(ArtifactsInput!$M$7-ArtifactsInput!$M$7)*CHOOSE(ArtifactsInput!$N$7+1,6,7.2,8.4,9.6,10.8,12)))/100)),(1/Q1292))+MIN((Skills!S5*(1+((Inputs!$B$35+(ArtifactsInput!$M$7-ArtifactsInput!$M$7)*CHOOSE(ArtifactsInput!$N$7+1,6,7.2,8.4,9.6,10.8,12)))/100)),MAX(0,Inputs!$B$44-((R1292-1)*(1/Q1292)))))/Inputs!$B$44),IF(Inputs!$B$39="pvp",MIN((Skills!S5*(1+((Inputs!$B$35+(ArtifactsInput!$M$7-ArtifactsInput!$M$7)*CHOOSE(ArtifactsInput!$N$7+1,6,7.2,8.4,9.6,10.8,12)))/100)),15)/15,MIN(1,(Skills!S5*(1+((Inputs!$B$35+(ArtifactsInput!$M$7-ArtifactsInput!$M$7)*CHOOSE(ArtifactsInput!$N$7+1,6,7.2,8.4,9.6,10.8,12)))/100))/(1/Q1292)))),0)+IF(C1298=TRUE,F1298*IF(AND(Inputs!$B$39&lt;&gt;"pvp",Inputs!$B$44&gt;0),(((R1298-1)*MIN((Skills!S11*(1+((Inputs!$B$35+(ArtifactsInput!$M$7-ArtifactsInput!$M$7)*CHOOSE(ArtifactsInput!$N$7+1,6,7.2,8.4,9.6,10.8,12)))/100)),(1/Q1298))+MIN((Skills!S11*(1+((Inputs!$B$35+(ArtifactsInput!$M$7-ArtifactsInput!$M$7)*CHOOSE(ArtifactsInput!$N$7+1,6,7.2,8.4,9.6,10.8,12)))/100)),MAX(0,Inputs!$B$44-((R1298-1)*(1/Q1298)))))/Inputs!$B$44),IF(Inputs!$B$39="pvp",MIN((Skills!S11*(1+((Inputs!$B$35+(ArtifactsInput!$M$7-ArtifactsInput!$M$7)*CHOOSE(ArtifactsInput!$N$7+1,6,7.2,8.4,9.6,10.8,12)))/100)),15)/15,MIN(1,(Skills!S11*(1+((Inputs!$B$35+(ArtifactsInput!$M$7-ArtifactsInput!$M$7)*CHOOSE(ArtifactsInput!$N$7+1,6,7.2,8.4,9.6,10.8,12)))/100))/(1/Q1298)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MIN((Skills!S14*(1+((Inputs!$B$35+(ArtifactsInput!$M$7-ArtifactsInput!$M$7)*CHOOSE(ArtifactsInput!$N$7+1,6,7.2,8.4,9.6,10.8,12)))/100)),(1/Q1301))+MIN((Skills!S14*(1+((Inputs!$B$35+(ArtifactsInput!$M$7-ArtifactsInput!$M$7)*CHOOSE(ArtifactsInput!$N$7+1,6,7.2,8.4,9.6,10.8,12)))/100)),MAX(0,Inputs!$B$44-((R1301-1)*(1/Q1301)))))/Inputs!$B$44),IF(Inputs!$B$39="pvp",MIN((Skills!S14*(1+((Inputs!$B$35+(ArtifactsInput!$M$7-ArtifactsInput!$M$7)*CHOOSE(ArtifactsInput!$N$7+1,6,7.2,8.4,9.6,10.8,12)))/100)),15)/15,MIN(1,(Skills!S14*(1+((Inputs!$B$35+(ArtifactsInput!$M$7-ArtifactsInput!$M$7)*CHOOSE(ArtifactsInput!$N$7+1,6,7.2,8.4,9.6,10.8,12)))/100))/(1/Q1301))))/100),1)*IF(C1306=TRUE,(1+F1306*IF(AND(Inputs!$B$39&lt;&gt;"pvp",Inputs!$B$44&gt;0),(((R1306-1)*MIN((Skills!S19*(1+((Inputs!$B$35+(ArtifactsInput!$M$7-ArtifactsInput!$M$7)*CHOOSE(ArtifactsInput!$N$7+1,6,7.2,8.4,9.6,10.8,12)))/100)),(1/Q1306))+MIN((Skills!S19*(1+((Inputs!$B$35+(ArtifactsInput!$M$7-ArtifactsInput!$M$7)*CHOOSE(ArtifactsInput!$N$7+1,6,7.2,8.4,9.6,10.8,12)))/100)),MAX(0,Inputs!$B$44-((R1306-1)*(1/Q1306)))))/Inputs!$B$44),IF(Inputs!$B$39="pvp",MIN((Skills!S19*(1+((Inputs!$B$35+(ArtifactsInput!$M$7-ArtifactsInput!$M$7)*CHOOSE(ArtifactsInput!$N$7+1,6,7.2,8.4,9.6,10.8,12)))/100)),15)/15,MIN(1,(Skills!S19*(1+((Inputs!$B$35+(ArtifactsInput!$M$7-ArtifactsInput!$M$7)*CHOOSE(ArtifactsInput!$N$7+1,6,7.2,8.4,9.6,10.8,12)))/100))/(1/Q1306))))/100),1)</f>
        <v/>
      </c>
    </row>
    <row r="1318">
      <c r="A1318" t="inlineStr">
        <is>
          <t>Monster Damage Taken Bonus % (Holy Fountain)</t>
        </is>
      </c>
      <c r="B1318">
        <f>IF(Inputs!$B$3&gt;=68,20*IF(Inputs!$B$39="pvp",MIN((15*(1+((Inputs!$B$35+(ArtifactsInput!$M$7-ArtifactsInput!$M$7)*CHOOSE(ArtifactsInput!$N$7+1,6,7.2,8.4,9.6,10.8,12)))/100)),15)/15,MIN(1,(15*(1+((Inputs!$B$35+(ArtifactsInput!$M$7-ArtifactsInput!$M$7)*CHOOSE(ArtifactsInput!$N$7+1,6,7.2,8.4,9.6,10.8,12)))/100))/(1/Q1297))),0)</f>
        <v/>
      </c>
    </row>
    <row r="1319">
      <c r="A1319" t="inlineStr">
        <is>
          <t>Normal Monster Damage Bonus % (Holy Symbol)</t>
        </is>
      </c>
      <c r="B1319">
        <f>IF(C1299=TRUE,F1299*IF(AND(Inputs!$B$39&lt;&gt;"pvp",Inputs!$B$44&gt;0),(((R1299-1)*MIN((Skills!S12*(1+((Inputs!$B$35+(ArtifactsInput!$M$7-ArtifactsInput!$M$7)*CHOOSE(ArtifactsInput!$N$7+1,6,7.2,8.4,9.6,10.8,12)))/100)),(1/Q1299))+MIN((Skills!S12*(1+((Inputs!$B$35+(ArtifactsInput!$M$7-ArtifactsInput!$M$7)*CHOOSE(ArtifactsInput!$N$7+1,6,7.2,8.4,9.6,10.8,12)))/100)),MAX(0,Inputs!$B$44-((R1299-1)*(1/Q1299)))))/Inputs!$B$44),IF(Inputs!$B$39="pvp",MIN((Skills!S12*(1+((Inputs!$B$35+(ArtifactsInput!$M$7-ArtifactsInput!$M$7)*CHOOSE(ArtifactsInput!$N$7+1,6,7.2,8.4,9.6,10.8,12)))/100)),15)/15,MIN(1,(Skills!S12*(1+((Inputs!$B$35+(ArtifactsInput!$M$7-ArtifactsInput!$M$7)*CHOOSE(ArtifactsInput!$N$7+1,6,7.2,8.4,9.6,10.8,12)))/100))/(1/Q1299)))),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MIN((Skills!S28*(1+((Inputs!$B$35+(ArtifactsInput!$M$7-ArtifactsInput!$M$7)*CHOOSE(ArtifactsInput!$N$7+1,6,7.2,8.4,9.6,10.8,12)))/100)),(1/Q1315))+MIN((Skills!S28*(1+((Inputs!$B$35+(ArtifactsInput!$M$7-ArtifactsInput!$M$7)*CHOOSE(ArtifactsInput!$N$7+1,6,7.2,8.4,9.6,10.8,12)))/100)),MAX(0,Inputs!$B$44-((R1315-1)*(1/Q1315)))))/Inputs!$B$44),IF(Inputs!$B$39="pvp",MIN((Skills!S28*(1+((Inputs!$B$35+(ArtifactsInput!$M$7-ArtifactsInput!$M$7)*CHOOSE(ArtifactsInput!$N$7+1,6,7.2,8.4,9.6,10.8,12)))/100)),15)/15,MIN(1,(Skills!S28*(1+((Inputs!$B$35+(ArtifactsInput!$M$7-ArtifactsInput!$M$7)*CHOOSE(ArtifactsInput!$N$7+1,6,7.2,8.4,9.6,10.8,12)))/100))/(1/Q1315)))))</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MIN((Skills!S13*(1+((Inputs!$B$35+(ArtifactsInput!$M$7-ArtifactsInput!$M$7)*CHOOSE(ArtifactsInput!$N$7+1,6,7.2,8.4,9.6,10.8,12)))/100)),(1/Q1300))+MIN((Skills!S13*(1+((Inputs!$B$35+(ArtifactsInput!$M$7-ArtifactsInput!$M$7)*CHOOSE(ArtifactsInput!$N$7+1,6,7.2,8.4,9.6,10.8,12)))/100)),MAX(0,Inputs!$B$44-((R1300-1)*(1/Q1300)))))/Inputs!$B$44),IF(Inputs!$B$39="pvp",MIN((Skills!S13*(1+((Inputs!$B$35+(ArtifactsInput!$M$7-ArtifactsInput!$M$7)*CHOOSE(ArtifactsInput!$N$7+1,6,7.2,8.4,9.6,10.8,12)))/100)),15)/15,MIN(1,(Skills!S13*(1+((Inputs!$B$35+(ArtifactsInput!$M$7-ArtifactsInput!$M$7)*CHOOSE(ArtifactsInput!$N$7+1,6,7.2,8.4,9.6,10.8,12)))/100))/(1/Q1300)))),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IFERROR(1/(IF(Inputs!$B$39="pvp",15,MAX(0.1,Skills!D2-IF(TRUE=TRUE,Inputs!$B$33,0)))*(1-IF(AND(ArtifactsInput!$M$27,Inputs!$B$4="Chapter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IFERROR(1/(IF(Inputs!$B$39="pvp",15,MAX(0.1,Skills!D3-IF(TRUE=TRUE,Inputs!$B$33,0)))*(1-IF(AND(ArtifactsInput!$M$27,Inputs!$B$4="Chapter Hunt"),CHOOSE(ArtifactsInput!$N$27+1,20,24,28,32,36,40),0)/100)),0)</f>
        <v/>
      </c>
      <c r="R1335">
        <f>IF(AND(Inputs!$B$39&lt;&gt;"pvp",Inputs!$B$44&gt;0),IF(Inputs!$B$44&lt;=0,0,(INT(Inputs!$B$44/(IF(Inputs!$B$39="pvp",15,MAX(0.1,Skills!D3-IF(TRUE=TRUE,Inputs!$B$33,0)))*(1-IF(AND(ArtifactsInput!$M$27,Inputs!$B$4="Chapter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IFERROR(1/(IF(Inputs!$B$39="pvp",15,MAX(0.1,Skills!D4-IF(TRUE=TRUE,Inputs!$B$33,0)))*(1-IF(AND(ArtifactsInput!$M$27,Inputs!$B$4="Chapter Hunt"),CHOOSE(ArtifactsInput!$N$27+1,20,24,28,32,36,40),0)/100)),0)</f>
        <v/>
      </c>
      <c r="R1336">
        <f>IF(AND(Inputs!$B$39&lt;&gt;"pvp",Inputs!$B$44&gt;0),IF(Inputs!$B$44&lt;=0,0,(INT(Inputs!$B$44/(IF(Inputs!$B$39="pvp",15,MAX(0.1,Skills!D4-IF(TRUE=TRUE,Inputs!$B$33,0)))*(1-IF(AND(ArtifactsInput!$M$27,Inputs!$B$4="Chapter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IFERROR(1/(IF(Inputs!$B$39="pvp",15,MAX(0.1,Skills!D5-IF(TRUE=TRUE,Inputs!$B$33,0)))*(1-IF(AND(ArtifactsInput!$M$27,Inputs!$B$4="Chapter Hunt"),CHOOSE(ArtifactsInput!$N$27+1,20,24,28,32,36,40),0)/100)),0)</f>
        <v/>
      </c>
      <c r="R1337">
        <f>IF(AND(Inputs!$B$39&lt;&gt;"pvp",Inputs!$B$44&gt;0),IF(Inputs!$B$44&lt;=0,0,(INT(Inputs!$B$44/(IF(Inputs!$B$39="pvp",15,MAX(0.1,Skills!D5-IF(TRUE=TRUE,Inputs!$B$33,0)))*(1-IF(AND(ArtifactsInput!$M$27,Inputs!$B$4="Chapter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IFERROR(1/(IF(Inputs!$B$39="pvp",15,MAX(0.1,Skills!D6-IF(TRUE=TRUE,Inputs!$B$33,0)))*(1-IF(AND(ArtifactsInput!$M$27,Inputs!$B$4="Chapter Hunt"),CHOOSE(ArtifactsInput!$N$27+1,20,24,28,32,36,40),0)/100)),0)</f>
        <v/>
      </c>
      <c r="R1338">
        <f>IF(AND(Inputs!$B$39&lt;&gt;"pvp",Inputs!$B$44&gt;0),IF(MAX(0,Inputs!$B$44-B1372)&lt;=0,0,(INT(MAX(0,Inputs!$B$44-B1372)/(IF(Inputs!$B$39="pvp",15,MAX(0.1,Skills!D6-IF(TRUE=TRUE,Inputs!$B$33,0)))*(1-IF(AND(ArtifactsInput!$M$27,Inputs!$B$4="Chapter Hunt"),CHOOSE(ArtifactsInput!$N$27+1,20,24,28,32,36,40),0)/100)))+1)),0)</f>
        <v/>
      </c>
      <c r="S1338">
        <f>IF(C1338,(H1338*N1338*IF(AND(Inputs!$B$39&lt;&gt;"pvp",Inputs!$B$44&gt;0),((Skills!F6*((R1338-1)*IF(Skills!G6&gt;0,INT(Skills!H6/Skills!G6+0.000000001),1)+IF(Skills!G6&gt;0,INT(MIN(Skills!H6,MAX(0,MAX(0,Inputs!$B$44-B1372)-((R1338-1)*(IF(Inputs!$B$39="pvp",15,MAX(0.1,Skills!D6-IF(TRUE=TRUE,Inputs!$B$33,0)))*(1-IF(AND(ArtifactsInput!$M$27,Inputs!$B$4="Chapter Hunt"),CHOOSE(ArtifactsInput!$N$27+1,20,24,28,32,36,40),0)/100)))))/Skills!G6+0.000000001),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INT(Skills!H6/Skills!G6+0.000000001),1)+IF(Skills!G6&gt;0,INT(MIN(Skills!H6,MAX(0,MAX(0,Inputs!$B$44-B1372)-((R1338-1)*(IF(Inputs!$B$39="pvp",15,MAX(0.1,Skills!D6-IF(TRUE=TRUE,Inputs!$B$33,0)))*(1-IF(AND(ArtifactsInput!$M$27,Inputs!$B$4="Chapter Hunt"),CHOOSE(ArtifactsInput!$N$27+1,20,24,28,32,36,40),0)/100)))))/Skills!G6+0.000000001),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IFERROR(1/(IF(Inputs!$B$39="pvp",15,MAX(0.1,Skills!D7-IF(TRUE=TRUE,Inputs!$B$33,0)))*(1-IF(AND(ArtifactsInput!$M$27,Inputs!$B$4="Chapter Hunt"),CHOOSE(ArtifactsInput!$N$27+1,20,24,28,32,36,40),0)/100)),0)</f>
        <v/>
      </c>
      <c r="R1339">
        <f>IF(AND(Inputs!$B$39&lt;&gt;"pvp",Inputs!$B$44&gt;0),IF(MAX(0,Inputs!$B$44-B1372)&lt;=0,0,(INT(MAX(0,Inputs!$B$44-B1372)/(IF(Inputs!$B$39="pvp",15,MAX(0.1,Skills!D7-IF(TRUE=TRUE,Inputs!$B$33,0)))*(1-IF(AND(ArtifactsInput!$M$27,Inputs!$B$4="Chapter Hunt"),CHOOSE(ArtifactsInput!$N$27+1,20,24,28,32,36,40),0)/100)))+1)),0)</f>
        <v/>
      </c>
      <c r="S1339">
        <f>IF(C1339,H1339*N1339*IF(AND(Inputs!$B$39&lt;&gt;"pvp",Inputs!$B$44&gt;0),((Skills!F7*((R1339-1)*IF(Skills!G7&gt;0,INT(Skills!H7/Skills!G7+0.000000001),1)+IF(Skills!G7&gt;0,INT(MIN(Skills!H7,MAX(0,MAX(0,Inputs!$B$44-B1372)-((R1339-1)*(IF(Inputs!$B$39="pvp",15,MAX(0.1,Skills!D7-IF(TRUE=TRUE,Inputs!$B$33,0)))*(1-IF(AND(ArtifactsInput!$M$27,Inputs!$B$4="Chapter Hunt"),CHOOSE(ArtifactsInput!$N$27+1,20,24,28,32,36,40),0)/100)))))/Skills!G7+0.000000001),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IFERROR(1/(IF(Inputs!$B$39="pvp",15,MAX(0.1,Skills!D8-IF(TRUE=TRUE,Inputs!$B$33,0)))*(1-IF(AND(ArtifactsInput!$M$27,Inputs!$B$4="Chapter Hunt"),CHOOSE(ArtifactsInput!$N$27+1,20,24,28,32,36,40),0)/100)),0)</f>
        <v/>
      </c>
      <c r="R1340">
        <f>IF(AND(Inputs!$B$39&lt;&gt;"pvp",Inputs!$B$44&gt;0),IF(MAX(0,Inputs!$B$44-B1372)&lt;=0,0,(INT(MAX(0,Inputs!$B$44-B1372)/(IF(Inputs!$B$39="pvp",15,MAX(0.1,Skills!D8-IF(TRUE=TRUE,Inputs!$B$33,0)))*(1-IF(AND(ArtifactsInput!$M$27,Inputs!$B$4="Chapter Hunt"),CHOOSE(ArtifactsInput!$N$27+1,20,24,28,32,36,40),0)/100)))+1)),0)</f>
        <v/>
      </c>
      <c r="S1340">
        <f>IF(C1340,(H1340*N1340*IF(AND(Inputs!$B$39&lt;&gt;"pvp",Inputs!$B$44&gt;0),((Skills!F8*((R1340-1)*IF(Skills!G8&gt;0,INT(Skills!H8/Skills!G8+0.000000001),1)+IF(Skills!G8&gt;0,INT(MIN(Skills!H8,MAX(0,MAX(0,Inputs!$B$44-B1372)-((R1340-1)*(IF(Inputs!$B$39="pvp",15,MAX(0.1,Skills!D8-IF(TRUE=TRUE,Inputs!$B$33,0)))*(1-IF(AND(ArtifactsInput!$M$27,Inputs!$B$4="Chapter Hunt"),CHOOSE(ArtifactsInput!$N$27+1,20,24,28,32,36,40),0)/100)))))/Skills!G8+0.000000001),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INT(Skills!H8/Skills!G8+0.000000001),1)+IF(Skills!G8&gt;0,INT(MIN(Skills!H8,MAX(0,MAX(0,Inputs!$B$44-B1372)-((R1340-1)*(IF(Inputs!$B$39="pvp",15,MAX(0.1,Skills!D8-IF(TRUE=TRUE,Inputs!$B$33,0)))*(1-IF(AND(ArtifactsInput!$M$27,Inputs!$B$4="Chapter Hunt"),CHOOSE(ArtifactsInput!$N$27+1,20,24,28,32,36,40),0)/100)))))/Skills!G8+0.000000001),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IFERROR(1/(IF(Inputs!$B$39="pvp",15,MAX(0.1,Skills!D9-IF(TRUE=TRUE,Inputs!$B$33,0)))*(1-IF(AND(ArtifactsInput!$M$27,Inputs!$B$4="Chapter Hunt"),CHOOSE(ArtifactsInput!$N$27+1,20,24,28,32,36,40),0)/100)),0)</f>
        <v/>
      </c>
      <c r="R1341">
        <f>IF(AND(Inputs!$B$39&lt;&gt;"pvp",Inputs!$B$44&gt;0),IF(MAX(0,Inputs!$B$44-B1372)&lt;=0,0,(INT(MAX(0,Inputs!$B$44-B1372)/(IF(Inputs!$B$39="pvp",15,MAX(0.1,Skills!D9-IF(TRUE=TRUE,Inputs!$B$33,0)))*(1-IF(AND(ArtifactsInput!$M$27,Inputs!$B$4="Chapter Hunt"),CHOOSE(ArtifactsInput!$N$27+1,20,24,28,32,36,40),0)/100)))+1)),0)</f>
        <v/>
      </c>
      <c r="S1341">
        <f>IF(C1341,(H1341*N1341*IF(AND(Inputs!$B$39&lt;&gt;"pvp",Inputs!$B$44&gt;0),((Skills!F9*((R1341-1)*IF(Skills!G9&gt;0,INT(Skills!H9/Skills!G9+0.000000001),1)+IF(Skills!G9&gt;0,INT(MIN(Skills!H9,MAX(0,MAX(0,Inputs!$B$44-B1372)-((R1341-1)*(IF(Inputs!$B$39="pvp",15,MAX(0.1,Skills!D9-IF(TRUE=TRUE,Inputs!$B$33,0)))*(1-IF(AND(ArtifactsInput!$M$27,Inputs!$B$4="Chapter Hunt"),CHOOSE(ArtifactsInput!$N$27+1,20,24,28,32,36,40),0)/100)))))/Skills!G9+0.000000001),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INT(Skills!H9/Skills!G9+0.000000001),1)+IF(Skills!G9&gt;0,INT(MIN(Skills!H9,MAX(0,MAX(0,Inputs!$B$44-B1372)-((R1341-1)*(IF(Inputs!$B$39="pvp",15,MAX(0.1,Skills!D9-IF(TRUE=TRUE,Inputs!$B$33,0)))*(1-IF(AND(ArtifactsInput!$M$27,Inputs!$B$4="Chapter Hunt"),CHOOSE(ArtifactsInput!$N$27+1,20,24,28,32,36,40),0)/100)))))/Skills!G9+0.000000001),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IFERROR(1/(IF(Inputs!$B$39="pvp",15,MAX(0.1,Skills!D10-IF(TRUE=TRUE,Inputs!$B$33,0)))*(1-IF(AND(ArtifactsInput!$M$27,Inputs!$B$4="Chapter Hunt"),CHOOSE(ArtifactsInput!$N$27+1,20,24,28,32,36,40),0)/100)),0)</f>
        <v/>
      </c>
      <c r="R1342">
        <f>IF(AND(Inputs!$B$39&lt;&gt;"pvp",Inputs!$B$44&gt;0),IF(MAX(0,Inputs!$B$44-B1372)&lt;=0,0,(INT(MAX(0,Inputs!$B$44-B1372)/(IF(Inputs!$B$39="pvp",15,MAX(0.1,Skills!D10-IF(TRUE=TRUE,Inputs!$B$33,0)))*(1-IF(AND(ArtifactsInput!$M$27,Inputs!$B$4="Chapter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IFERROR(1/(IF(Inputs!$B$39="pvp",15,MAX(0.1,Skills!D11-IF(TRUE=TRUE,Inputs!$B$33,0)))*(1-IF(AND(ArtifactsInput!$M$27,Inputs!$B$4="Chapter Hunt"),CHOOSE(ArtifactsInput!$N$27+1,20,24,28,32,36,40),0)/100)),0)</f>
        <v/>
      </c>
      <c r="R1343">
        <f>IF(AND(Inputs!$B$39&lt;&gt;"pvp",Inputs!$B$44&gt;0),IF(Inputs!$B$44&lt;=0,0,(INT(Inputs!$B$44/(IF(Inputs!$B$39="pvp",15,MAX(0.1,Skills!D11-IF(TRUE=TRUE,Inputs!$B$33,0)))*(1-IF(AND(ArtifactsInput!$M$27,Inputs!$B$4="Chapter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IFERROR(1/(IF(Inputs!$B$39="pvp",15,MAX(0.1,Skills!D12-IF(TRUE=TRUE,Inputs!$B$33,0)))*(1-IF(AND(ArtifactsInput!$M$27,Inputs!$B$4="Chapter Hunt"),CHOOSE(ArtifactsInput!$N$27+1,20,24,28,32,36,40),0)/100)),0)</f>
        <v/>
      </c>
      <c r="R1344">
        <f>IF(AND(Inputs!$B$39&lt;&gt;"pvp",Inputs!$B$44&gt;0),IF(MAX(0,Inputs!$B$44-B1372)&lt;=0,0,(INT(MAX(0,Inputs!$B$44-B1372)/(IF(Inputs!$B$39="pvp",15,MAX(0.1,Skills!D12-IF(TRUE=TRUE,Inputs!$B$33,0)))*(1-IF(AND(ArtifactsInput!$M$27,Inputs!$B$4="Chapter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IFERROR(1/(IF(Inputs!$B$39="pvp",15,MAX(0.1,Skills!D13-IF(TRUE=TRUE,Inputs!$B$33,0)))*(1-IF(AND(ArtifactsInput!$M$27,Inputs!$B$4="Chapter Hunt"),CHOOSE(ArtifactsInput!$N$27+1,20,24,28,32,36,40),0)/100)),0)</f>
        <v/>
      </c>
      <c r="R1345">
        <f>IF(AND(Inputs!$B$39&lt;&gt;"pvp",Inputs!$B$44&gt;0),IF(MAX(0,Inputs!$B$44-B1372)&lt;=0,0,(INT(MAX(0,Inputs!$B$44-B1372)/(IF(Inputs!$B$39="pvp",15,MAX(0.1,Skills!D13-IF(TRUE=TRUE,Inputs!$B$33,0)))*(1-IF(AND(ArtifactsInput!$M$27,Inputs!$B$4="Chapter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IFERROR(1/(IF(Inputs!$B$39="pvp",15,MAX(0.1,Skills!D14-IF(TRUE=TRUE,Inputs!$B$33,0)))*(1-IF(AND(ArtifactsInput!$M$27,Inputs!$B$4="Chapter Hunt"),CHOOSE(ArtifactsInput!$N$27+1,20,24,28,32,36,40),0)/100)),0)</f>
        <v/>
      </c>
      <c r="R1346">
        <f>IF(AND(Inputs!$B$39&lt;&gt;"pvp",Inputs!$B$44&gt;0),IF(Inputs!$B$44&lt;=0,0,(INT(Inputs!$B$44/(IF(Inputs!$B$39="pvp",15,MAX(0.1,Skills!D14-IF(TRUE=TRUE,Inputs!$B$33,0)))*(1-IF(AND(ArtifactsInput!$M$27,Inputs!$B$4="Chapter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IFERROR(1/(IF(Inputs!$B$39="pvp",15,MAX(0.1,Skills!D15-IF(TRUE=TRUE,Inputs!$B$33,0)))*(1-IF(AND(ArtifactsInput!$M$27,Inputs!$B$4="Chapter Hunt"),CHOOSE(ArtifactsInput!$N$27+1,20,24,28,32,36,40),0)/100)),0)</f>
        <v/>
      </c>
      <c r="R1347" t="n">
        <v>0</v>
      </c>
      <c r="S1347">
        <f>IF(C1347,(Skills!F15*N1347*((IF(Inputs!$B$3&gt;=78,25,15)/100*B1368*10)/(1+IF(Inputs!$B$3&gt;=78,25,15)/100*B1368*IF(Inputs!$B$39="pvp",15,MAX(0.1,18-IF(TRUE=TRUE,Inputs!$B$33,0)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IF(Inputs!$B$39="pvp",15,MAX(0.1,18-IF(TRUE=TRUE,Inputs!$B$33,0)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IFERROR(1/(IF(Inputs!$B$39="pvp",15,MAX(0.1,Skills!D16-IF(TRUE=TRUE,Inputs!$B$33,0)))*(1-IF(AND(ArtifactsInput!$M$27,Inputs!$B$4="Chapter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IFERROR(1/(IF(Inputs!$B$39="pvp",15,MAX(0.1,Skills!D17-IF(TRUE=TRUE,Inputs!$B$33,0)))*(1-IF(AND(ArtifactsInput!$M$27,Inputs!$B$4="Chapter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IFERROR(1/(IF(Inputs!$B$39="pvp",15,MAX(0.1,Skills!D18-IF(TRUE=TRUE,Inputs!$B$33,0)))*(1-IF(AND(ArtifactsInput!$M$27,Inputs!$B$4="Chapter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IFERROR(1/(IF(Inputs!$B$39="pvp",15,MAX(0.1,Skills!D19-IF(TRUE=TRUE,Inputs!$B$33,0)))*(1-IF(AND(ArtifactsInput!$M$27,Inputs!$B$4="Chapter Hunt"),CHOOSE(ArtifactsInput!$N$27+1,20,24,28,32,36,40),0)/100)),0)</f>
        <v/>
      </c>
      <c r="R1351">
        <f>IF(AND(Inputs!$B$39&lt;&gt;"pvp",Inputs!$B$44&gt;0),IF(Inputs!$B$44&lt;=0,0,(INT(Inputs!$B$44/(IF(Inputs!$B$39="pvp",15,MAX(0.1,Skills!D19-IF(TRUE=TRUE,Inputs!$B$33,0)))*(1-IF(AND(ArtifactsInput!$M$27,Inputs!$B$4="Chapter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IFERROR(1/(IF(Inputs!$B$39="pvp",15,MAX(0.1,Skills!D20-IF(TRUE=TRUE,Inputs!$B$33,0)))*(1-IF(AND(ArtifactsInput!$M$27,Inputs!$B$4="Chapter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IFERROR(1/(IF(Inputs!$B$39="pvp",15,MAX(0.1,Skills!D21-IF(TRUE=TRUE,Inputs!$B$33,0)))*(1-IF(AND(ArtifactsInput!$M$27,Inputs!$B$4="Chapter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IFERROR(1/(IF(Inputs!$B$39="pvp",15,MAX(0.1,Skills!D22-IF(TRUE=TRUE,Inputs!$B$33,0)))*(1-IF(AND(ArtifactsInput!$M$27,Inputs!$B$4="Chapter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IFERROR(1/(IF(Inputs!$B$39="pvp",15,MAX(0.1,Skills!D23-IF(TRUE=TRUE,Inputs!$B$33,0)))*(1-IF(AND(ArtifactsInput!$M$27,Inputs!$B$4="Chapter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IFERROR(1/(IF(Inputs!$B$39="pvp",15,MAX(0.1,Skills!D24-IF(TRUE=TRUE,Inputs!$B$33,0)))*(1-IF(AND(ArtifactsInput!$M$27,Inputs!$B$4="Chapter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IFERROR(1/(IF(Inputs!$B$39="pvp",15,MAX(0.1,Skills!D25-IF(TRUE=TRUE,Inputs!$B$33,0)))*(1-IF(AND(ArtifactsInput!$M$27,Inputs!$B$4="Chapter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IFERROR(1/(IF(Inputs!$B$39="pvp",15,MAX(0.1,Skills!D26-IF(TRUE=TRUE,Inputs!$B$33,0)))*(1-IF(AND(ArtifactsInput!$M$27,Inputs!$B$4="Chapter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IFERROR(1/(IF(Inputs!$B$39="pvp",15,MAX(0.1,Skills!D27-IF(TRUE=TRUE,Inputs!$B$33,0)))*(1-IF(AND(ArtifactsInput!$M$27,Inputs!$B$4="Chapter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IFERROR(1/(IF(Inputs!$B$39="pvp",15,MAX(0.1,Skills!D28-IF(TRUE=TRUE,Inputs!$B$33,0)))*(1-IF(AND(ArtifactsInput!$M$27,Inputs!$B$4="Chapter Hunt"),CHOOSE(ArtifactsInput!$N$27+1,20,24,28,32,36,40),0)/100)),0)</f>
        <v/>
      </c>
      <c r="R1360">
        <f>IF(AND(Inputs!$B$39&lt;&gt;"pvp",Inputs!$B$44&gt;0),IF(Inputs!$B$44&lt;=0,0,(INT(Inputs!$B$44/(IF(Inputs!$B$39="pvp",15,MAX(0.1,Skills!D28-IF(TRUE=TRUE,Inputs!$B$33,0)))*(1-IF(AND(ArtifactsInput!$M$27,Inputs!$B$4="Chapter Hunt"),CHOOSE(ArtifactsInput!$N$27+1,20,24,28,32,36,40),0)/100)))+1)),0)</f>
        <v/>
      </c>
      <c r="S1360" t="n">
        <v>0</v>
      </c>
      <c r="U1360" t="n">
        <v>0</v>
      </c>
    </row>
    <row r="1362">
      <c r="A1362" t="inlineStr">
        <is>
          <t>Average Buff Multiplier</t>
        </is>
      </c>
      <c r="B1362">
        <f>(1+(IF(C1335=TRUE,F1335*IF(AND(Inputs!$B$39&lt;&gt;"pvp",Inputs!$B$44&gt;0),(((R1335-1)*MIN((Skills!S3*(1+((Inputs!$B$35+(ArtifactsInput!$M$7-ArtifactsInput!$M$7)*CHOOSE(ArtifactsInput!$N$7+1,6,7.2,8.4,9.6,10.8,12)))/100)),(1/Q1335))+MIN((Skills!S3*(1+((Inputs!$B$35+(ArtifactsInput!$M$7-ArtifactsInput!$M$7)*CHOOSE(ArtifactsInput!$N$7+1,6,7.2,8.4,9.6,10.8,12)))/100)),MAX(0,Inputs!$B$44-((R1335-1)*(1/Q1335)))))/Inputs!$B$44),IF(Inputs!$B$39="pvp",MIN((Skills!S3*(1+((Inputs!$B$35+(ArtifactsInput!$M$7-ArtifactsInput!$M$7)*CHOOSE(ArtifactsInput!$N$7+1,6,7.2,8.4,9.6,10.8,12)))/100)),15)/15,MIN(1,(Skills!S3*(1+((Inputs!$B$35+(ArtifactsInput!$M$7-ArtifactsInput!$M$7)*CHOOSE(ArtifactsInput!$N$7+1,6,7.2,8.4,9.6,10.8,12)))/100))/(1/Q1335)))),0)+IF(C1336=TRUE,F1336*IF(AND(Inputs!$B$39&lt;&gt;"pvp",Inputs!$B$44&gt;0),(((R1336-1)*MIN((Skills!S4*(1+((Inputs!$B$35+(ArtifactsInput!$M$7-ArtifactsInput!$M$7)*CHOOSE(ArtifactsInput!$N$7+1,6,7.2,8.4,9.6,10.8,12)))/100)),(1/Q1336))+MIN((Skills!S4*(1+((Inputs!$B$35+(ArtifactsInput!$M$7-ArtifactsInput!$M$7)*CHOOSE(ArtifactsInput!$N$7+1,6,7.2,8.4,9.6,10.8,12)))/100)),MAX(0,Inputs!$B$44-((R1336-1)*(1/Q1336)))))/Inputs!$B$44),IF(Inputs!$B$39="pvp",MIN((Skills!S4*(1+((Inputs!$B$35+(ArtifactsInput!$M$7-ArtifactsInput!$M$7)*CHOOSE(ArtifactsInput!$N$7+1,6,7.2,8.4,9.6,10.8,12)))/100)),15)/15,MIN(1,(Skills!S4*(1+((Inputs!$B$35+(ArtifactsInput!$M$7-ArtifactsInput!$M$7)*CHOOSE(ArtifactsInput!$N$7+1,6,7.2,8.4,9.6,10.8,12)))/100))/(1/Q1336)))),0)+IF(C1337=TRUE,F1337*IF(AND(Inputs!$B$39&lt;&gt;"pvp",Inputs!$B$44&gt;0),(((R1337-1)*MIN((Skills!S5*(1+((Inputs!$B$35+(ArtifactsInput!$M$7-ArtifactsInput!$M$7)*CHOOSE(ArtifactsInput!$N$7+1,6,7.2,8.4,9.6,10.8,12)))/100)),(1/Q1337))+MIN((Skills!S5*(1+((Inputs!$B$35+(ArtifactsInput!$M$7-ArtifactsInput!$M$7)*CHOOSE(ArtifactsInput!$N$7+1,6,7.2,8.4,9.6,10.8,12)))/100)),MAX(0,Inputs!$B$44-((R1337-1)*(1/Q1337)))))/Inputs!$B$44),IF(Inputs!$B$39="pvp",MIN((Skills!S5*(1+((Inputs!$B$35+(ArtifactsInput!$M$7-ArtifactsInput!$M$7)*CHOOSE(ArtifactsInput!$N$7+1,6,7.2,8.4,9.6,10.8,12)))/100)),15)/15,MIN(1,(Skills!S5*(1+((Inputs!$B$35+(ArtifactsInput!$M$7-ArtifactsInput!$M$7)*CHOOSE(ArtifactsInput!$N$7+1,6,7.2,8.4,9.6,10.8,12)))/100))/(1/Q1337)))),0)+IF(C1343=TRUE,F1343*IF(AND(Inputs!$B$39&lt;&gt;"pvp",Inputs!$B$44&gt;0),(((R1343-1)*MIN((Skills!S11*(1+((Inputs!$B$35+(ArtifactsInput!$M$7-ArtifactsInput!$M$7)*CHOOSE(ArtifactsInput!$N$7+1,6,7.2,8.4,9.6,10.8,12)))/100)),(1/Q1343))+MIN((Skills!S11*(1+((Inputs!$B$35+(ArtifactsInput!$M$7-ArtifactsInput!$M$7)*CHOOSE(ArtifactsInput!$N$7+1,6,7.2,8.4,9.6,10.8,12)))/100)),MAX(0,Inputs!$B$44-((R1343-1)*(1/Q1343)))))/Inputs!$B$44),IF(Inputs!$B$39="pvp",MIN((Skills!S11*(1+((Inputs!$B$35+(ArtifactsInput!$M$7-ArtifactsInput!$M$7)*CHOOSE(ArtifactsInput!$N$7+1,6,7.2,8.4,9.6,10.8,12)))/100)),15)/15,MIN(1,(Skills!S11*(1+((Inputs!$B$35+(ArtifactsInput!$M$7-ArtifactsInput!$M$7)*CHOOSE(ArtifactsInput!$N$7+1,6,7.2,8.4,9.6,10.8,12)))/100))/(1/Q1343)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MIN((Skills!S14*(1+((Inputs!$B$35+(ArtifactsInput!$M$7-ArtifactsInput!$M$7)*CHOOSE(ArtifactsInput!$N$7+1,6,7.2,8.4,9.6,10.8,12)))/100)),(1/Q1346))+MIN((Skills!S14*(1+((Inputs!$B$35+(ArtifactsInput!$M$7-ArtifactsInput!$M$7)*CHOOSE(ArtifactsInput!$N$7+1,6,7.2,8.4,9.6,10.8,12)))/100)),MAX(0,Inputs!$B$44-((R1346-1)*(1/Q1346)))))/Inputs!$B$44),IF(Inputs!$B$39="pvp",MIN((Skills!S14*(1+((Inputs!$B$35+(ArtifactsInput!$M$7-ArtifactsInput!$M$7)*CHOOSE(ArtifactsInput!$N$7+1,6,7.2,8.4,9.6,10.8,12)))/100)),15)/15,MIN(1,(Skills!S14*(1+((Inputs!$B$35+(ArtifactsInput!$M$7-ArtifactsInput!$M$7)*CHOOSE(ArtifactsInput!$N$7+1,6,7.2,8.4,9.6,10.8,12)))/100))/(1/Q1346))))/100),1)*IF(C1351=TRUE,(1+F1351*IF(AND(Inputs!$B$39&lt;&gt;"pvp",Inputs!$B$44&gt;0),(((R1351-1)*MIN((Skills!S19*(1+((Inputs!$B$35+(ArtifactsInput!$M$7-ArtifactsInput!$M$7)*CHOOSE(ArtifactsInput!$N$7+1,6,7.2,8.4,9.6,10.8,12)))/100)),(1/Q1351))+MIN((Skills!S19*(1+((Inputs!$B$35+(ArtifactsInput!$M$7-ArtifactsInput!$M$7)*CHOOSE(ArtifactsInput!$N$7+1,6,7.2,8.4,9.6,10.8,12)))/100)),MAX(0,Inputs!$B$44-((R1351-1)*(1/Q1351)))))/Inputs!$B$44),IF(Inputs!$B$39="pvp",MIN((Skills!S19*(1+((Inputs!$B$35+(ArtifactsInput!$M$7-ArtifactsInput!$M$7)*CHOOSE(ArtifactsInput!$N$7+1,6,7.2,8.4,9.6,10.8,12)))/100)),15)/15,MIN(1,(Skills!S19*(1+((Inputs!$B$35+(ArtifactsInput!$M$7-ArtifactsInput!$M$7)*CHOOSE(ArtifactsInput!$N$7+1,6,7.2,8.4,9.6,10.8,12)))/100))/(1/Q1351))))/100),1)</f>
        <v/>
      </c>
    </row>
    <row r="1363">
      <c r="A1363" t="inlineStr">
        <is>
          <t>Monster Damage Taken Bonus % (Holy Fountain)</t>
        </is>
      </c>
      <c r="B1363">
        <f>IF(Inputs!$B$3&gt;=68,20*IF(Inputs!$B$39="pvp",MIN((15*(1+((Inputs!$B$35+(ArtifactsInput!$M$7-ArtifactsInput!$M$7)*CHOOSE(ArtifactsInput!$N$7+1,6,7.2,8.4,9.6,10.8,12)))/100)),15)/15,MIN(1,(15*(1+((Inputs!$B$35+(ArtifactsInput!$M$7-ArtifactsInput!$M$7)*CHOOSE(ArtifactsInput!$N$7+1,6,7.2,8.4,9.6,10.8,12)))/100))/(1/Q1342))),0)</f>
        <v/>
      </c>
    </row>
    <row r="1364">
      <c r="A1364" t="inlineStr">
        <is>
          <t>Normal Monster Damage Bonus % (Holy Symbol)</t>
        </is>
      </c>
      <c r="B1364">
        <f>IF(C1344=TRUE,F1344*IF(AND(Inputs!$B$39&lt;&gt;"pvp",Inputs!$B$44&gt;0),(((R1344-1)*MIN((Skills!S12*(1+((Inputs!$B$35+(ArtifactsInput!$M$7-ArtifactsInput!$M$7)*CHOOSE(ArtifactsInput!$N$7+1,6,7.2,8.4,9.6,10.8,12)))/100)),(1/Q1344))+MIN((Skills!S12*(1+((Inputs!$B$35+(ArtifactsInput!$M$7-ArtifactsInput!$M$7)*CHOOSE(ArtifactsInput!$N$7+1,6,7.2,8.4,9.6,10.8,12)))/100)),MAX(0,Inputs!$B$44-((R1344-1)*(1/Q1344)))))/Inputs!$B$44),IF(Inputs!$B$39="pvp",MIN((Skills!S12*(1+((Inputs!$B$35+(ArtifactsInput!$M$7-ArtifactsInput!$M$7)*CHOOSE(ArtifactsInput!$N$7+1,6,7.2,8.4,9.6,10.8,12)))/100)),15)/15,MIN(1,(Skills!S12*(1+((Inputs!$B$35+(ArtifactsInput!$M$7-ArtifactsInput!$M$7)*CHOOSE(ArtifactsInput!$N$7+1,6,7.2,8.4,9.6,10.8,12)))/100))/(1/Q1344)))),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MIN((Skills!S28*(1+((Inputs!$B$35+(ArtifactsInput!$M$7-ArtifactsInput!$M$7)*CHOOSE(ArtifactsInput!$N$7+1,6,7.2,8.4,9.6,10.8,12)))/100)),(1/Q1360))+MIN((Skills!S28*(1+((Inputs!$B$35+(ArtifactsInput!$M$7-ArtifactsInput!$M$7)*CHOOSE(ArtifactsInput!$N$7+1,6,7.2,8.4,9.6,10.8,12)))/100)),MAX(0,Inputs!$B$44-((R1360-1)*(1/Q1360)))))/Inputs!$B$44),IF(Inputs!$B$39="pvp",MIN((Skills!S28*(1+((Inputs!$B$35+(ArtifactsInput!$M$7-ArtifactsInput!$M$7)*CHOOSE(ArtifactsInput!$N$7+1,6,7.2,8.4,9.6,10.8,12)))/100)),15)/15,MIN(1,(Skills!S28*(1+((Inputs!$B$35+(ArtifactsInput!$M$7-ArtifactsInput!$M$7)*CHOOSE(ArtifactsInput!$N$7+1,6,7.2,8.4,9.6,10.8,12)))/100))/(1/Q1360)))))</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MIN((Skills!S13*(1+((Inputs!$B$35+(ArtifactsInput!$M$7-ArtifactsInput!$M$7)*CHOOSE(ArtifactsInput!$N$7+1,6,7.2,8.4,9.6,10.8,12)))/100)),(1/Q1345))+MIN((Skills!S13*(1+((Inputs!$B$35+(ArtifactsInput!$M$7-ArtifactsInput!$M$7)*CHOOSE(ArtifactsInput!$N$7+1,6,7.2,8.4,9.6,10.8,12)))/100)),MAX(0,Inputs!$B$44-((R1345-1)*(1/Q1345)))))/Inputs!$B$44),IF(Inputs!$B$39="pvp",MIN((Skills!S13*(1+((Inputs!$B$35+(ArtifactsInput!$M$7-ArtifactsInput!$M$7)*CHOOSE(ArtifactsInput!$N$7+1,6,7.2,8.4,9.6,10.8,12)))/100)),15)/15,MIN(1,(Skills!S13*(1+((Inputs!$B$35+(ArtifactsInput!$M$7-ArtifactsInput!$M$7)*CHOOSE(ArtifactsInput!$N$7+1,6,7.2,8.4,9.6,10.8,12)))/100))/(1/Q1345)))),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IFERROR(1/(IF(Inputs!$B$39="pvp",15,MAX(0.1,Skills!D2-IF(TRUE=TRUE,Inputs!$B$33,0)))*(1-IF(AND(ArtifactsInput!$M$27,Inputs!$B$4="Chapter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IFERROR(1/(IF(Inputs!$B$39="pvp",15,MAX(0.1,Skills!D3-IF(TRUE=TRUE,Inputs!$B$33,0)))*(1-IF(AND(ArtifactsInput!$M$27,Inputs!$B$4="Chapter Hunt"),CHOOSE(ArtifactsInput!$N$27+1,20,24,28,32,36,40),0)/100)),0)</f>
        <v/>
      </c>
      <c r="R1380">
        <f>IF(AND(Inputs!$B$39&lt;&gt;"pvp",Inputs!$B$44&gt;0),IF(Inputs!$B$44&lt;=0,0,(INT(Inputs!$B$44/(IF(Inputs!$B$39="pvp",15,MAX(0.1,Skills!D3-IF(TRUE=TRUE,Inputs!$B$33,0)))*(1-IF(AND(ArtifactsInput!$M$27,Inputs!$B$4="Chapter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IFERROR(1/(IF(Inputs!$B$39="pvp",15,MAX(0.1,Skills!D4-IF(TRUE=TRUE,Inputs!$B$33,0)))*(1-IF(AND(ArtifactsInput!$M$27,Inputs!$B$4="Chapter Hunt"),CHOOSE(ArtifactsInput!$N$27+1,20,24,28,32,36,40),0)/100)),0)</f>
        <v/>
      </c>
      <c r="R1381">
        <f>IF(AND(Inputs!$B$39&lt;&gt;"pvp",Inputs!$B$44&gt;0),IF(Inputs!$B$44&lt;=0,0,(INT(Inputs!$B$44/(IF(Inputs!$B$39="pvp",15,MAX(0.1,Skills!D4-IF(TRUE=TRUE,Inputs!$B$33,0)))*(1-IF(AND(ArtifactsInput!$M$27,Inputs!$B$4="Chapter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IFERROR(1/(IF(Inputs!$B$39="pvp",15,MAX(0.1,Skills!D5-IF(TRUE=TRUE,Inputs!$B$33,0)))*(1-IF(AND(ArtifactsInput!$M$27,Inputs!$B$4="Chapter Hunt"),CHOOSE(ArtifactsInput!$N$27+1,20,24,28,32,36,40),0)/100)),0)</f>
        <v/>
      </c>
      <c r="R1382">
        <f>IF(AND(Inputs!$B$39&lt;&gt;"pvp",Inputs!$B$44&gt;0),IF(Inputs!$B$44&lt;=0,0,(INT(Inputs!$B$44/(IF(Inputs!$B$39="pvp",15,MAX(0.1,Skills!D5-IF(TRUE=TRUE,Inputs!$B$33,0)))*(1-IF(AND(ArtifactsInput!$M$27,Inputs!$B$4="Chapter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IFERROR(1/(IF(Inputs!$B$39="pvp",15,MAX(0.1,Skills!D6-IF(TRUE=TRUE,Inputs!$B$33,0)))*(1-IF(AND(ArtifactsInput!$M$27,Inputs!$B$4="Chapter Hunt"),CHOOSE(ArtifactsInput!$N$27+1,20,24,28,32,36,40),0)/100)),0)</f>
        <v/>
      </c>
      <c r="R1383">
        <f>IF(AND(Inputs!$B$39&lt;&gt;"pvp",Inputs!$B$44&gt;0),IF(MAX(0,Inputs!$B$44-B1417)&lt;=0,0,(INT(MAX(0,Inputs!$B$44-B1417)/(IF(Inputs!$B$39="pvp",15,MAX(0.1,Skills!D6-IF(TRUE=TRUE,Inputs!$B$33,0)))*(1-IF(AND(ArtifactsInput!$M$27,Inputs!$B$4="Chapter Hunt"),CHOOSE(ArtifactsInput!$N$27+1,20,24,28,32,36,40),0)/100)))+1)),0)</f>
        <v/>
      </c>
      <c r="S1383">
        <f>IF(C1383,(H1383*N1383*IF(AND(Inputs!$B$39&lt;&gt;"pvp",Inputs!$B$44&gt;0),((Skills!F6*((R1383-1)*IF(Skills!G6&gt;0,INT(Skills!H6/Skills!G6+0.000000001),1)+IF(Skills!G6&gt;0,INT(MIN(Skills!H6,MAX(0,MAX(0,Inputs!$B$44-B1417)-((R1383-1)*(IF(Inputs!$B$39="pvp",15,MAX(0.1,Skills!D6-IF(TRUE=TRUE,Inputs!$B$33,0)))*(1-IF(AND(ArtifactsInput!$M$27,Inputs!$B$4="Chapter Hunt"),CHOOSE(ArtifactsInput!$N$27+1,20,24,28,32,36,40),0)/100)))))/Skills!G6+0.000000001),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INT(Skills!H6/Skills!G6+0.000000001),1)+IF(Skills!G6&gt;0,INT(MIN(Skills!H6,MAX(0,MAX(0,Inputs!$B$44-B1417)-((R1383-1)*(IF(Inputs!$B$39="pvp",15,MAX(0.1,Skills!D6-IF(TRUE=TRUE,Inputs!$B$33,0)))*(1-IF(AND(ArtifactsInput!$M$27,Inputs!$B$4="Chapter Hunt"),CHOOSE(ArtifactsInput!$N$27+1,20,24,28,32,36,40),0)/100)))))/Skills!G6+0.000000001),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IFERROR(1/(IF(Inputs!$B$39="pvp",15,MAX(0.1,Skills!D7-IF(TRUE=TRUE,Inputs!$B$33,0)))*(1-IF(AND(ArtifactsInput!$M$27,Inputs!$B$4="Chapter Hunt"),CHOOSE(ArtifactsInput!$N$27+1,20,24,28,32,36,40),0)/100)),0)</f>
        <v/>
      </c>
      <c r="R1384">
        <f>IF(AND(Inputs!$B$39&lt;&gt;"pvp",Inputs!$B$44&gt;0),IF(MAX(0,Inputs!$B$44-B1417)&lt;=0,0,(INT(MAX(0,Inputs!$B$44-B1417)/(IF(Inputs!$B$39="pvp",15,MAX(0.1,Skills!D7-IF(TRUE=TRUE,Inputs!$B$33,0)))*(1-IF(AND(ArtifactsInput!$M$27,Inputs!$B$4="Chapter Hunt"),CHOOSE(ArtifactsInput!$N$27+1,20,24,28,32,36,40),0)/100)))+1)),0)</f>
        <v/>
      </c>
      <c r="S1384">
        <f>IF(C1384,H1384*N1384*IF(AND(Inputs!$B$39&lt;&gt;"pvp",Inputs!$B$44&gt;0),((Skills!F7*((R1384-1)*IF(Skills!G7&gt;0,INT(Skills!H7/Skills!G7+0.000000001),1)+IF(Skills!G7&gt;0,INT(MIN(Skills!H7,MAX(0,MAX(0,Inputs!$B$44-B1417)-((R1384-1)*(IF(Inputs!$B$39="pvp",15,MAX(0.1,Skills!D7-IF(TRUE=TRUE,Inputs!$B$33,0)))*(1-IF(AND(ArtifactsInput!$M$27,Inputs!$B$4="Chapter Hunt"),CHOOSE(ArtifactsInput!$N$27+1,20,24,28,32,36,40),0)/100)))))/Skills!G7+0.000000001),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IFERROR(1/(IF(Inputs!$B$39="pvp",15,MAX(0.1,Skills!D8-IF(TRUE=TRUE,Inputs!$B$33,0)))*(1-IF(AND(ArtifactsInput!$M$27,Inputs!$B$4="Chapter Hunt"),CHOOSE(ArtifactsInput!$N$27+1,20,24,28,32,36,40),0)/100)),0)</f>
        <v/>
      </c>
      <c r="R1385">
        <f>IF(AND(Inputs!$B$39&lt;&gt;"pvp",Inputs!$B$44&gt;0),IF(MAX(0,Inputs!$B$44-B1417)&lt;=0,0,(INT(MAX(0,Inputs!$B$44-B1417)/(IF(Inputs!$B$39="pvp",15,MAX(0.1,Skills!D8-IF(TRUE=TRUE,Inputs!$B$33,0)))*(1-IF(AND(ArtifactsInput!$M$27,Inputs!$B$4="Chapter Hunt"),CHOOSE(ArtifactsInput!$N$27+1,20,24,28,32,36,40),0)/100)))+1)),0)</f>
        <v/>
      </c>
      <c r="S1385">
        <f>IF(C1385,(H1385*N1385*IF(AND(Inputs!$B$39&lt;&gt;"pvp",Inputs!$B$44&gt;0),((Skills!F8*((R1385-1)*IF(Skills!G8&gt;0,INT(Skills!H8/Skills!G8+0.000000001),1)+IF(Skills!G8&gt;0,INT(MIN(Skills!H8,MAX(0,MAX(0,Inputs!$B$44-B1417)-((R1385-1)*(IF(Inputs!$B$39="pvp",15,MAX(0.1,Skills!D8-IF(TRUE=TRUE,Inputs!$B$33,0)))*(1-IF(AND(ArtifactsInput!$M$27,Inputs!$B$4="Chapter Hunt"),CHOOSE(ArtifactsInput!$N$27+1,20,24,28,32,36,40),0)/100)))))/Skills!G8+0.000000001),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INT(Skills!H8/Skills!G8+0.000000001),1)+IF(Skills!G8&gt;0,INT(MIN(Skills!H8,MAX(0,MAX(0,Inputs!$B$44-B1417)-((R1385-1)*(IF(Inputs!$B$39="pvp",15,MAX(0.1,Skills!D8-IF(TRUE=TRUE,Inputs!$B$33,0)))*(1-IF(AND(ArtifactsInput!$M$27,Inputs!$B$4="Chapter Hunt"),CHOOSE(ArtifactsInput!$N$27+1,20,24,28,32,36,40),0)/100)))))/Skills!G8+0.000000001),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IFERROR(1/(IF(Inputs!$B$39="pvp",15,MAX(0.1,Skills!D9-IF(TRUE=TRUE,Inputs!$B$33,0)))*(1-IF(AND(ArtifactsInput!$M$27,Inputs!$B$4="Chapter Hunt"),CHOOSE(ArtifactsInput!$N$27+1,20,24,28,32,36,40),0)/100)),0)</f>
        <v/>
      </c>
      <c r="R1386">
        <f>IF(AND(Inputs!$B$39&lt;&gt;"pvp",Inputs!$B$44&gt;0),IF(MAX(0,Inputs!$B$44-B1417)&lt;=0,0,(INT(MAX(0,Inputs!$B$44-B1417)/(IF(Inputs!$B$39="pvp",15,MAX(0.1,Skills!D9-IF(TRUE=TRUE,Inputs!$B$33,0)))*(1-IF(AND(ArtifactsInput!$M$27,Inputs!$B$4="Chapter Hunt"),CHOOSE(ArtifactsInput!$N$27+1,20,24,28,32,36,40),0)/100)))+1)),0)</f>
        <v/>
      </c>
      <c r="S1386">
        <f>IF(C1386,(H1386*N1386*IF(AND(Inputs!$B$39&lt;&gt;"pvp",Inputs!$B$44&gt;0),((Skills!F9*((R1386-1)*IF(Skills!G9&gt;0,INT(Skills!H9/Skills!G9+0.000000001),1)+IF(Skills!G9&gt;0,INT(MIN(Skills!H9,MAX(0,MAX(0,Inputs!$B$44-B1417)-((R1386-1)*(IF(Inputs!$B$39="pvp",15,MAX(0.1,Skills!D9-IF(TRUE=TRUE,Inputs!$B$33,0)))*(1-IF(AND(ArtifactsInput!$M$27,Inputs!$B$4="Chapter Hunt"),CHOOSE(ArtifactsInput!$N$27+1,20,24,28,32,36,40),0)/100)))))/Skills!G9+0.000000001),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INT(Skills!H9/Skills!G9+0.000000001),1)+IF(Skills!G9&gt;0,INT(MIN(Skills!H9,MAX(0,MAX(0,Inputs!$B$44-B1417)-((R1386-1)*(IF(Inputs!$B$39="pvp",15,MAX(0.1,Skills!D9-IF(TRUE=TRUE,Inputs!$B$33,0)))*(1-IF(AND(ArtifactsInput!$M$27,Inputs!$B$4="Chapter Hunt"),CHOOSE(ArtifactsInput!$N$27+1,20,24,28,32,36,40),0)/100)))))/Skills!G9+0.000000001),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IFERROR(1/(IF(Inputs!$B$39="pvp",15,MAX(0.1,Skills!D10-IF(TRUE=TRUE,Inputs!$B$33,0)))*(1-IF(AND(ArtifactsInput!$M$27,Inputs!$B$4="Chapter Hunt"),CHOOSE(ArtifactsInput!$N$27+1,20,24,28,32,36,40),0)/100)),0)</f>
        <v/>
      </c>
      <c r="R1387">
        <f>IF(AND(Inputs!$B$39&lt;&gt;"pvp",Inputs!$B$44&gt;0),IF(MAX(0,Inputs!$B$44-B1417)&lt;=0,0,(INT(MAX(0,Inputs!$B$44-B1417)/(IF(Inputs!$B$39="pvp",15,MAX(0.1,Skills!D10-IF(TRUE=TRUE,Inputs!$B$33,0)))*(1-IF(AND(ArtifactsInput!$M$27,Inputs!$B$4="Chapter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IFERROR(1/(IF(Inputs!$B$39="pvp",15,MAX(0.1,Skills!D11-IF(TRUE=TRUE,Inputs!$B$33,0)))*(1-IF(AND(ArtifactsInput!$M$27,Inputs!$B$4="Chapter Hunt"),CHOOSE(ArtifactsInput!$N$27+1,20,24,28,32,36,40),0)/100)),0)</f>
        <v/>
      </c>
      <c r="R1388">
        <f>IF(AND(Inputs!$B$39&lt;&gt;"pvp",Inputs!$B$44&gt;0),IF(Inputs!$B$44&lt;=0,0,(INT(Inputs!$B$44/(IF(Inputs!$B$39="pvp",15,MAX(0.1,Skills!D11-IF(TRUE=TRUE,Inputs!$B$33,0)))*(1-IF(AND(ArtifactsInput!$M$27,Inputs!$B$4="Chapter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IFERROR(1/(IF(Inputs!$B$39="pvp",15,MAX(0.1,Skills!D12-IF(TRUE=TRUE,Inputs!$B$33,0)))*(1-IF(AND(ArtifactsInput!$M$27,Inputs!$B$4="Chapter Hunt"),CHOOSE(ArtifactsInput!$N$27+1,20,24,28,32,36,40),0)/100)),0)</f>
        <v/>
      </c>
      <c r="R1389">
        <f>IF(AND(Inputs!$B$39&lt;&gt;"pvp",Inputs!$B$44&gt;0),IF(MAX(0,Inputs!$B$44-B1417)&lt;=0,0,(INT(MAX(0,Inputs!$B$44-B1417)/(IF(Inputs!$B$39="pvp",15,MAX(0.1,Skills!D12-IF(TRUE=TRUE,Inputs!$B$33,0)))*(1-IF(AND(ArtifactsInput!$M$27,Inputs!$B$4="Chapter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IFERROR(1/(IF(Inputs!$B$39="pvp",15,MAX(0.1,Skills!D13-IF(TRUE=TRUE,Inputs!$B$33,0)))*(1-IF(AND(ArtifactsInput!$M$27,Inputs!$B$4="Chapter Hunt"),CHOOSE(ArtifactsInput!$N$27+1,20,24,28,32,36,40),0)/100)),0)</f>
        <v/>
      </c>
      <c r="R1390">
        <f>IF(AND(Inputs!$B$39&lt;&gt;"pvp",Inputs!$B$44&gt;0),IF(MAX(0,Inputs!$B$44-B1417)&lt;=0,0,(INT(MAX(0,Inputs!$B$44-B1417)/(IF(Inputs!$B$39="pvp",15,MAX(0.1,Skills!D13-IF(TRUE=TRUE,Inputs!$B$33,0)))*(1-IF(AND(ArtifactsInput!$M$27,Inputs!$B$4="Chapter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IFERROR(1/(IF(Inputs!$B$39="pvp",15,MAX(0.1,Skills!D14-IF(TRUE=TRUE,Inputs!$B$33,0)))*(1-IF(AND(ArtifactsInput!$M$27,Inputs!$B$4="Chapter Hunt"),CHOOSE(ArtifactsInput!$N$27+1,20,24,28,32,36,40),0)/100)),0)</f>
        <v/>
      </c>
      <c r="R1391">
        <f>IF(AND(Inputs!$B$39&lt;&gt;"pvp",Inputs!$B$44&gt;0),IF(Inputs!$B$44&lt;=0,0,(INT(Inputs!$B$44/(IF(Inputs!$B$39="pvp",15,MAX(0.1,Skills!D14-IF(TRUE=TRUE,Inputs!$B$33,0)))*(1-IF(AND(ArtifactsInput!$M$27,Inputs!$B$4="Chapter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IFERROR(1/(IF(Inputs!$B$39="pvp",15,MAX(0.1,Skills!D15-IF(TRUE=TRUE,Inputs!$B$33,0)))*(1-IF(AND(ArtifactsInput!$M$27,Inputs!$B$4="Chapter Hunt"),CHOOSE(ArtifactsInput!$N$27+1,20,24,28,32,36,40),0)/100)),0)</f>
        <v/>
      </c>
      <c r="R1392" t="n">
        <v>0</v>
      </c>
      <c r="S1392">
        <f>IF(C1392,(Skills!F15*N1392*((IF(Inputs!$B$3&gt;=78,25,15)/100*B1413*10)/(1+IF(Inputs!$B$3&gt;=78,25,15)/100*B1413*IF(Inputs!$B$39="pvp",15,MAX(0.1,18-IF(TRUE=TRUE,Inputs!$B$33,0)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IF(Inputs!$B$39="pvp",15,MAX(0.1,18-IF(TRUE=TRUE,Inputs!$B$33,0)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IFERROR(1/(IF(Inputs!$B$39="pvp",15,MAX(0.1,Skills!D16-IF(TRUE=TRUE,Inputs!$B$33,0)))*(1-IF(AND(ArtifactsInput!$M$27,Inputs!$B$4="Chapter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IFERROR(1/(IF(Inputs!$B$39="pvp",15,MAX(0.1,Skills!D17-IF(TRUE=TRUE,Inputs!$B$33,0)))*(1-IF(AND(ArtifactsInput!$M$27,Inputs!$B$4="Chapter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IFERROR(1/(IF(Inputs!$B$39="pvp",15,MAX(0.1,Skills!D18-IF(TRUE=TRUE,Inputs!$B$33,0)))*(1-IF(AND(ArtifactsInput!$M$27,Inputs!$B$4="Chapter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IFERROR(1/(IF(Inputs!$B$39="pvp",15,MAX(0.1,Skills!D19-IF(TRUE=TRUE,Inputs!$B$33,0)))*(1-IF(AND(ArtifactsInput!$M$27,Inputs!$B$4="Chapter Hunt"),CHOOSE(ArtifactsInput!$N$27+1,20,24,28,32,36,40),0)/100)),0)</f>
        <v/>
      </c>
      <c r="R1396">
        <f>IF(AND(Inputs!$B$39&lt;&gt;"pvp",Inputs!$B$44&gt;0),IF(Inputs!$B$44&lt;=0,0,(INT(Inputs!$B$44/(IF(Inputs!$B$39="pvp",15,MAX(0.1,Skills!D19-IF(TRUE=TRUE,Inputs!$B$33,0)))*(1-IF(AND(ArtifactsInput!$M$27,Inputs!$B$4="Chapter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IFERROR(1/(IF(Inputs!$B$39="pvp",15,MAX(0.1,Skills!D20-IF(TRUE=TRUE,Inputs!$B$33,0)))*(1-IF(AND(ArtifactsInput!$M$27,Inputs!$B$4="Chapter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IFERROR(1/(IF(Inputs!$B$39="pvp",15,MAX(0.1,Skills!D21-IF(TRUE=TRUE,Inputs!$B$33,0)))*(1-IF(AND(ArtifactsInput!$M$27,Inputs!$B$4="Chapter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IFERROR(1/(IF(Inputs!$B$39="pvp",15,MAX(0.1,Skills!D22-IF(TRUE=TRUE,Inputs!$B$33,0)))*(1-IF(AND(ArtifactsInput!$M$27,Inputs!$B$4="Chapter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IFERROR(1/(IF(Inputs!$B$39="pvp",15,MAX(0.1,Skills!D23-IF(TRUE=TRUE,Inputs!$B$33,0)))*(1-IF(AND(ArtifactsInput!$M$27,Inputs!$B$4="Chapter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IFERROR(1/(IF(Inputs!$B$39="pvp",15,MAX(0.1,Skills!D24-IF(TRUE=TRUE,Inputs!$B$33,0)))*(1-IF(AND(ArtifactsInput!$M$27,Inputs!$B$4="Chapter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IFERROR(1/(IF(Inputs!$B$39="pvp",15,MAX(0.1,Skills!D25-IF(TRUE=TRUE,Inputs!$B$33,0)))*(1-IF(AND(ArtifactsInput!$M$27,Inputs!$B$4="Chapter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IFERROR(1/(IF(Inputs!$B$39="pvp",15,MAX(0.1,Skills!D26-IF(TRUE=TRUE,Inputs!$B$33,0)))*(1-IF(AND(ArtifactsInput!$M$27,Inputs!$B$4="Chapter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IFERROR(1/(IF(Inputs!$B$39="pvp",15,MAX(0.1,Skills!D27-IF(TRUE=TRUE,Inputs!$B$33,0)))*(1-IF(AND(ArtifactsInput!$M$27,Inputs!$B$4="Chapter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IFERROR(1/(IF(Inputs!$B$39="pvp",15,MAX(0.1,Skills!D28-IF(TRUE=TRUE,Inputs!$B$33,0)))*(1-IF(AND(ArtifactsInput!$M$27,Inputs!$B$4="Chapter Hunt"),CHOOSE(ArtifactsInput!$N$27+1,20,24,28,32,36,40),0)/100)),0)</f>
        <v/>
      </c>
      <c r="R1405">
        <f>IF(AND(Inputs!$B$39&lt;&gt;"pvp",Inputs!$B$44&gt;0),IF(Inputs!$B$44&lt;=0,0,(INT(Inputs!$B$44/(IF(Inputs!$B$39="pvp",15,MAX(0.1,Skills!D28-IF(TRUE=TRUE,Inputs!$B$33,0)))*(1-IF(AND(ArtifactsInput!$M$27,Inputs!$B$4="Chapter Hunt"),CHOOSE(ArtifactsInput!$N$27+1,20,24,28,32,36,40),0)/100)))+1)),0)</f>
        <v/>
      </c>
      <c r="S1405" t="n">
        <v>0</v>
      </c>
      <c r="U1405" t="n">
        <v>0</v>
      </c>
    </row>
    <row r="1407">
      <c r="A1407" t="inlineStr">
        <is>
          <t>Average Buff Multiplier</t>
        </is>
      </c>
      <c r="B1407">
        <f>(1+(IF(C1380=TRUE,F1380*IF(AND(Inputs!$B$39&lt;&gt;"pvp",Inputs!$B$44&gt;0),(((R1380-1)*MIN((Skills!S3*(1+((Inputs!$B$35+(IF(ArtifactsInput!$M$7,FALSE,TRUE)-ArtifactsInput!$M$7)*CHOOSE(ArtifactsInput!$N$7+1,6,7.2,8.4,9.6,10.8,12)))/100)),(1/Q1380))+MIN((Skills!S3*(1+((Inputs!$B$35+(IF(ArtifactsInput!$M$7,FALSE,TRUE)-ArtifactsInput!$M$7)*CHOOSE(ArtifactsInput!$N$7+1,6,7.2,8.4,9.6,10.8,12)))/100)),MAX(0,Inputs!$B$44-((R1380-1)*(1/Q1380)))))/Inputs!$B$44),IF(Inputs!$B$39="pvp",MIN((Skills!S3*(1+((Inputs!$B$35+(IF(ArtifactsInput!$M$7,FALSE,TRUE)-ArtifactsInput!$M$7)*CHOOSE(ArtifactsInput!$N$7+1,6,7.2,8.4,9.6,10.8,12)))/100)),15)/15,MIN(1,(Skills!S3*(1+((Inputs!$B$35+(IF(ArtifactsInput!$M$7,FALSE,TRUE)-ArtifactsInput!$M$7)*CHOOSE(ArtifactsInput!$N$7+1,6,7.2,8.4,9.6,10.8,12)))/100))/(1/Q1380)))),0)+IF(C1381=TRUE,F1381*IF(AND(Inputs!$B$39&lt;&gt;"pvp",Inputs!$B$44&gt;0),(((R1381-1)*MIN((Skills!S4*(1+((Inputs!$B$35+(IF(ArtifactsInput!$M$7,FALSE,TRUE)-ArtifactsInput!$M$7)*CHOOSE(ArtifactsInput!$N$7+1,6,7.2,8.4,9.6,10.8,12)))/100)),(1/Q1381))+MIN((Skills!S4*(1+((Inputs!$B$35+(IF(ArtifactsInput!$M$7,FALSE,TRUE)-ArtifactsInput!$M$7)*CHOOSE(ArtifactsInput!$N$7+1,6,7.2,8.4,9.6,10.8,12)))/100)),MAX(0,Inputs!$B$44-((R1381-1)*(1/Q1381)))))/Inputs!$B$44),IF(Inputs!$B$39="pvp",MIN((Skills!S4*(1+((Inputs!$B$35+(IF(ArtifactsInput!$M$7,FALSE,TRUE)-ArtifactsInput!$M$7)*CHOOSE(ArtifactsInput!$N$7+1,6,7.2,8.4,9.6,10.8,12)))/100)),15)/15,MIN(1,(Skills!S4*(1+((Inputs!$B$35+(IF(ArtifactsInput!$M$7,FALSE,TRUE)-ArtifactsInput!$M$7)*CHOOSE(ArtifactsInput!$N$7+1,6,7.2,8.4,9.6,10.8,12)))/100))/(1/Q1381)))),0)+IF(C1382=TRUE,F1382*IF(AND(Inputs!$B$39&lt;&gt;"pvp",Inputs!$B$44&gt;0),(((R1382-1)*MIN((Skills!S5*(1+((Inputs!$B$35+(IF(ArtifactsInput!$M$7,FALSE,TRUE)-ArtifactsInput!$M$7)*CHOOSE(ArtifactsInput!$N$7+1,6,7.2,8.4,9.6,10.8,12)))/100)),(1/Q1382))+MIN((Skills!S5*(1+((Inputs!$B$35+(IF(ArtifactsInput!$M$7,FALSE,TRUE)-ArtifactsInput!$M$7)*CHOOSE(ArtifactsInput!$N$7+1,6,7.2,8.4,9.6,10.8,12)))/100)),MAX(0,Inputs!$B$44-((R1382-1)*(1/Q1382)))))/Inputs!$B$44),IF(Inputs!$B$39="pvp",MIN((Skills!S5*(1+((Inputs!$B$35+(IF(ArtifactsInput!$M$7,FALSE,TRUE)-ArtifactsInput!$M$7)*CHOOSE(ArtifactsInput!$N$7+1,6,7.2,8.4,9.6,10.8,12)))/100)),15)/15,MIN(1,(Skills!S5*(1+((Inputs!$B$35+(IF(ArtifactsInput!$M$7,FALSE,TRUE)-ArtifactsInput!$M$7)*CHOOSE(ArtifactsInput!$N$7+1,6,7.2,8.4,9.6,10.8,12)))/100))/(1/Q1382)))),0)+IF(C1388=TRUE,F1388*IF(AND(Inputs!$B$39&lt;&gt;"pvp",Inputs!$B$44&gt;0),(((R1388-1)*MIN((Skills!S11*(1+((Inputs!$B$35+(IF(ArtifactsInput!$M$7,FALSE,TRUE)-ArtifactsInput!$M$7)*CHOOSE(ArtifactsInput!$N$7+1,6,7.2,8.4,9.6,10.8,12)))/100)),(1/Q1388))+MIN((Skills!S11*(1+((Inputs!$B$35+(IF(ArtifactsInput!$M$7,FALSE,TRUE)-ArtifactsInput!$M$7)*CHOOSE(ArtifactsInput!$N$7+1,6,7.2,8.4,9.6,10.8,12)))/100)),MAX(0,Inputs!$B$44-((R1388-1)*(1/Q1388)))))/Inputs!$B$44),IF(Inputs!$B$39="pvp",MIN((Skills!S11*(1+((Inputs!$B$35+(IF(ArtifactsInput!$M$7,FALSE,TRUE)-ArtifactsInput!$M$7)*CHOOSE(ArtifactsInput!$N$7+1,6,7.2,8.4,9.6,10.8,12)))/100)),15)/15,MIN(1,(Skills!S11*(1+((Inputs!$B$35+(IF(ArtifactsInput!$M$7,FALSE,TRUE)-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MIN((Skills!S14*(1+((Inputs!$B$35+(IF(ArtifactsInput!$M$7,FALSE,TRUE)-ArtifactsInput!$M$7)*CHOOSE(ArtifactsInput!$N$7+1,6,7.2,8.4,9.6,10.8,12)))/100)),(1/Q1391))+MIN((Skills!S14*(1+((Inputs!$B$35+(IF(ArtifactsInput!$M$7,FALSE,TRUE)-ArtifactsInput!$M$7)*CHOOSE(ArtifactsInput!$N$7+1,6,7.2,8.4,9.6,10.8,12)))/100)),MAX(0,Inputs!$B$44-((R1391-1)*(1/Q1391)))))/Inputs!$B$44),IF(Inputs!$B$39="pvp",MIN((Skills!S14*(1+((Inputs!$B$35+(IF(ArtifactsInput!$M$7,FALSE,TRUE)-ArtifactsInput!$M$7)*CHOOSE(ArtifactsInput!$N$7+1,6,7.2,8.4,9.6,10.8,12)))/100)),15)/15,MIN(1,(Skills!S14*(1+((Inputs!$B$35+(IF(ArtifactsInput!$M$7,FALSE,TRUE)-ArtifactsInput!$M$7)*CHOOSE(ArtifactsInput!$N$7+1,6,7.2,8.4,9.6,10.8,12)))/100))/(1/Q1391))))/100),1)*IF(C1396=TRUE,(1+F1396*IF(AND(Inputs!$B$39&lt;&gt;"pvp",Inputs!$B$44&gt;0),(((R1396-1)*MIN((Skills!S19*(1+((Inputs!$B$35+(IF(ArtifactsInput!$M$7,FALSE,TRUE)-ArtifactsInput!$M$7)*CHOOSE(ArtifactsInput!$N$7+1,6,7.2,8.4,9.6,10.8,12)))/100)),(1/Q1396))+MIN((Skills!S19*(1+((Inputs!$B$35+(IF(ArtifactsInput!$M$7,FALSE,TRUE)-ArtifactsInput!$M$7)*CHOOSE(ArtifactsInput!$N$7+1,6,7.2,8.4,9.6,10.8,12)))/100)),MAX(0,Inputs!$B$44-((R1396-1)*(1/Q1396)))))/Inputs!$B$44),IF(Inputs!$B$39="pvp",MIN((Skills!S19*(1+((Inputs!$B$35+(IF(ArtifactsInput!$M$7,FALSE,TRUE)-ArtifactsInput!$M$7)*CHOOSE(ArtifactsInput!$N$7+1,6,7.2,8.4,9.6,10.8,12)))/100)),15)/15,MIN(1,(Skills!S19*(1+((Inputs!$B$35+(IF(ArtifactsInput!$M$7,FALSE,TRUE)-ArtifactsInput!$M$7)*CHOOSE(ArtifactsInput!$N$7+1,6,7.2,8.4,9.6,10.8,12)))/100))/(1/Q1396))))/100),1)</f>
        <v/>
      </c>
    </row>
    <row r="1408">
      <c r="A1408" t="inlineStr">
        <is>
          <t>Monster Damage Taken Bonus % (Holy Fountain)</t>
        </is>
      </c>
      <c r="B1408">
        <f>IF(Inputs!$B$3&gt;=68,20*IF(Inputs!$B$39="pvp",MIN((15*(1+((Inputs!$B$35+(IF(ArtifactsInput!$M$7,FALSE,TRUE)-ArtifactsInput!$M$7)*CHOOSE(ArtifactsInput!$N$7+1,6,7.2,8.4,9.6,10.8,12)))/100)),15)/15,MIN(1,(15*(1+((Inputs!$B$35+(IF(ArtifactsInput!$M$7,FALSE,TRUE)-ArtifactsInput!$M$7)*CHOOSE(ArtifactsInput!$N$7+1,6,7.2,8.4,9.6,10.8,12)))/100))/(1/Q1387))),0)</f>
        <v/>
      </c>
    </row>
    <row r="1409">
      <c r="A1409" t="inlineStr">
        <is>
          <t>Normal Monster Damage Bonus % (Holy Symbol)</t>
        </is>
      </c>
      <c r="B1409">
        <f>IF(C1389=TRUE,F1389*IF(AND(Inputs!$B$39&lt;&gt;"pvp",Inputs!$B$44&gt;0),(((R1389-1)*MIN((Skills!S12*(1+((Inputs!$B$35+(IF(ArtifactsInput!$M$7,FALSE,TRUE)-ArtifactsInput!$M$7)*CHOOSE(ArtifactsInput!$N$7+1,6,7.2,8.4,9.6,10.8,12)))/100)),(1/Q1389))+MIN((Skills!S12*(1+((Inputs!$B$35+(IF(ArtifactsInput!$M$7,FALSE,TRUE)-ArtifactsInput!$M$7)*CHOOSE(ArtifactsInput!$N$7+1,6,7.2,8.4,9.6,10.8,12)))/100)),MAX(0,Inputs!$B$44-((R1389-1)*(1/Q1389)))))/Inputs!$B$44),IF(Inputs!$B$39="pvp",MIN((Skills!S12*(1+((Inputs!$B$35+(IF(ArtifactsInput!$M$7,FALSE,TRUE)-ArtifactsInput!$M$7)*CHOOSE(ArtifactsInput!$N$7+1,6,7.2,8.4,9.6,10.8,12)))/100)),15)/15,MIN(1,(Skills!S12*(1+((Inputs!$B$35+(IF(ArtifactsInput!$M$7,FALSE,TRUE)-ArtifactsInput!$M$7)*CHOOSE(ArtifactsInput!$N$7+1,6,7.2,8.4,9.6,10.8,12)))/100))/(1/Q1389)))),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MIN((Skills!S28*(1+((Inputs!$B$35+(IF(ArtifactsInput!$M$7,FALSE,TRUE)-ArtifactsInput!$M$7)*CHOOSE(ArtifactsInput!$N$7+1,6,7.2,8.4,9.6,10.8,12)))/100)),(1/Q1405))+MIN((Skills!S28*(1+((Inputs!$B$35+(IF(ArtifactsInput!$M$7,FALSE,TRUE)-ArtifactsInput!$M$7)*CHOOSE(ArtifactsInput!$N$7+1,6,7.2,8.4,9.6,10.8,12)))/100)),MAX(0,Inputs!$B$44-((R1405-1)*(1/Q1405)))))/Inputs!$B$44),IF(Inputs!$B$39="pvp",MIN((Skills!S28*(1+((Inputs!$B$35+(IF(ArtifactsInput!$M$7,FALSE,TRUE)-ArtifactsInput!$M$7)*CHOOSE(ArtifactsInput!$N$7+1,6,7.2,8.4,9.6,10.8,12)))/100)),15)/15,MIN(1,(Skills!S28*(1+((Inputs!$B$35+(IF(ArtifactsInput!$M$7,FALSE,TRUE)-ArtifactsInput!$M$7)*CHOOSE(ArtifactsInput!$N$7+1,6,7.2,8.4,9.6,10.8,12)))/100))/(1/Q1405)))))</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MIN((Skills!S13*(1+((Inputs!$B$35+(IF(ArtifactsInput!$M$7,FALSE,TRUE)-ArtifactsInput!$M$7)*CHOOSE(ArtifactsInput!$N$7+1,6,7.2,8.4,9.6,10.8,12)))/100)),(1/Q1390))+MIN((Skills!S13*(1+((Inputs!$B$35+(IF(ArtifactsInput!$M$7,FALSE,TRUE)-ArtifactsInput!$M$7)*CHOOSE(ArtifactsInput!$N$7+1,6,7.2,8.4,9.6,10.8,12)))/100)),MAX(0,Inputs!$B$44-((R1390-1)*(1/Q1390)))))/Inputs!$B$44),IF(Inputs!$B$39="pvp",MIN((Skills!S13*(1+((Inputs!$B$35+(IF(ArtifactsInput!$M$7,FALSE,TRUE)-ArtifactsInput!$M$7)*CHOOSE(ArtifactsInput!$N$7+1,6,7.2,8.4,9.6,10.8,12)))/100)),15)/15,MIN(1,(Skills!S13*(1+((Inputs!$B$35+(IF(ArtifactsInput!$M$7,FALSE,TRUE)-ArtifactsInput!$M$7)*CHOOSE(ArtifactsInput!$N$7+1,6,7.2,8.4,9.6,10.8,12)))/100))/(1/Q1390)))),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IFERROR(1/(IF(Inputs!$B$39="pvp",15,MAX(0.1,Skills!D2-IF(TRUE=TRUE,Inputs!$B$33,0)))*(1-IF(AND(ArtifactsInput!$M$27,Inputs!$B$4="Chapter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IFERROR(1/(IF(Inputs!$B$39="pvp",15,MAX(0.1,Skills!D3-IF(TRUE=TRUE,Inputs!$B$33,0)))*(1-IF(AND(ArtifactsInput!$M$27,Inputs!$B$4="Chapter Hunt"),CHOOSE(ArtifactsInput!$N$27+1,20,24,28,32,36,40),0)/100)),0)</f>
        <v/>
      </c>
      <c r="R1425">
        <f>IF(AND(Inputs!$B$39&lt;&gt;"pvp",Inputs!$B$44&gt;0),IF(Inputs!$B$44&lt;=0,0,(INT(Inputs!$B$44/(IF(Inputs!$B$39="pvp",15,MAX(0.1,Skills!D3-IF(TRUE=TRUE,Inputs!$B$33,0)))*(1-IF(AND(ArtifactsInput!$M$27,Inputs!$B$4="Chapter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IFERROR(1/(IF(Inputs!$B$39="pvp",15,MAX(0.1,Skills!D4-IF(TRUE=TRUE,Inputs!$B$33,0)))*(1-IF(AND(ArtifactsInput!$M$27,Inputs!$B$4="Chapter Hunt"),CHOOSE(ArtifactsInput!$N$27+1,20,24,28,32,36,40),0)/100)),0)</f>
        <v/>
      </c>
      <c r="R1426">
        <f>IF(AND(Inputs!$B$39&lt;&gt;"pvp",Inputs!$B$44&gt;0),IF(Inputs!$B$44&lt;=0,0,(INT(Inputs!$B$44/(IF(Inputs!$B$39="pvp",15,MAX(0.1,Skills!D4-IF(TRUE=TRUE,Inputs!$B$33,0)))*(1-IF(AND(ArtifactsInput!$M$27,Inputs!$B$4="Chapter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IFERROR(1/(IF(Inputs!$B$39="pvp",15,MAX(0.1,Skills!D5-IF(TRUE=TRUE,Inputs!$B$33,0)))*(1-IF(AND(ArtifactsInput!$M$27,Inputs!$B$4="Chapter Hunt"),CHOOSE(ArtifactsInput!$N$27+1,20,24,28,32,36,40),0)/100)),0)</f>
        <v/>
      </c>
      <c r="R1427">
        <f>IF(AND(Inputs!$B$39&lt;&gt;"pvp",Inputs!$B$44&gt;0),IF(Inputs!$B$44&lt;=0,0,(INT(Inputs!$B$44/(IF(Inputs!$B$39="pvp",15,MAX(0.1,Skills!D5-IF(TRUE=TRUE,Inputs!$B$33,0)))*(1-IF(AND(ArtifactsInput!$M$27,Inputs!$B$4="Chapter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IFERROR(1/(IF(Inputs!$B$39="pvp",15,MAX(0.1,Skills!D6-IF(TRUE=TRUE,Inputs!$B$33,0)))*(1-IF(AND(ArtifactsInput!$M$27,Inputs!$B$4="Chapter Hunt"),CHOOSE(ArtifactsInput!$N$27+1,20,24,28,32,36,40),0)/100)),0)</f>
        <v/>
      </c>
      <c r="R1428">
        <f>IF(AND(Inputs!$B$39&lt;&gt;"pvp",Inputs!$B$44&gt;0),IF(MAX(0,Inputs!$B$44-B1462)&lt;=0,0,(INT(MAX(0,Inputs!$B$44-B1462)/(IF(Inputs!$B$39="pvp",15,MAX(0.1,Skills!D6-IF(TRUE=TRUE,Inputs!$B$33,0)))*(1-IF(AND(ArtifactsInput!$M$27,Inputs!$B$4="Chapter Hunt"),CHOOSE(ArtifactsInput!$N$27+1,20,24,28,32,36,40),0)/100)))+1)),0)</f>
        <v/>
      </c>
      <c r="S1428">
        <f>IF(C1428,(H1428*N1428*IF(AND(Inputs!$B$39&lt;&gt;"pvp",Inputs!$B$44&gt;0),((Skills!F6*((R1428-1)*IF(Skills!G6&gt;0,INT(Skills!H6/Skills!G6+0.000000001),1)+IF(Skills!G6&gt;0,INT(MIN(Skills!H6,MAX(0,MAX(0,Inputs!$B$44-B1462)-((R1428-1)*(IF(Inputs!$B$39="pvp",15,MAX(0.1,Skills!D6-IF(TRUE=TRUE,Inputs!$B$33,0)))*(1-IF(AND(ArtifactsInput!$M$27,Inputs!$B$4="Chapter Hunt"),CHOOSE(ArtifactsInput!$N$27+1,20,24,28,32,36,40),0)/100)))))/Skills!G6+0.000000001),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INT(Skills!H6/Skills!G6+0.000000001),1)+IF(Skills!G6&gt;0,INT(MIN(Skills!H6,MAX(0,MAX(0,Inputs!$B$44-B1462)-((R1428-1)*(IF(Inputs!$B$39="pvp",15,MAX(0.1,Skills!D6-IF(TRUE=TRUE,Inputs!$B$33,0)))*(1-IF(AND(ArtifactsInput!$M$27,Inputs!$B$4="Chapter Hunt"),CHOOSE(ArtifactsInput!$N$27+1,20,24,28,32,36,40),0)/100)))))/Skills!G6+0.000000001),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IFERROR(1/(IF(Inputs!$B$39="pvp",15,MAX(0.1,Skills!D7-IF(TRUE=TRUE,Inputs!$B$33,0)))*(1-IF(AND(ArtifactsInput!$M$27,Inputs!$B$4="Chapter Hunt"),CHOOSE(ArtifactsInput!$N$27+1,20,24,28,32,36,40),0)/100)),0)</f>
        <v/>
      </c>
      <c r="R1429">
        <f>IF(AND(Inputs!$B$39&lt;&gt;"pvp",Inputs!$B$44&gt;0),IF(MAX(0,Inputs!$B$44-B1462)&lt;=0,0,(INT(MAX(0,Inputs!$B$44-B1462)/(IF(Inputs!$B$39="pvp",15,MAX(0.1,Skills!D7-IF(TRUE=TRUE,Inputs!$B$33,0)))*(1-IF(AND(ArtifactsInput!$M$27,Inputs!$B$4="Chapter Hunt"),CHOOSE(ArtifactsInput!$N$27+1,20,24,28,32,36,40),0)/100)))+1)),0)</f>
        <v/>
      </c>
      <c r="S1429">
        <f>IF(C1429,H1429*N1429*IF(AND(Inputs!$B$39&lt;&gt;"pvp",Inputs!$B$44&gt;0),((Skills!F7*((R1429-1)*IF(Skills!G7&gt;0,INT(Skills!H7/Skills!G7+0.000000001),1)+IF(Skills!G7&gt;0,INT(MIN(Skills!H7,MAX(0,MAX(0,Inputs!$B$44-B1462)-((R1429-1)*(IF(Inputs!$B$39="pvp",15,MAX(0.1,Skills!D7-IF(TRUE=TRUE,Inputs!$B$33,0)))*(1-IF(AND(ArtifactsInput!$M$27,Inputs!$B$4="Chapter Hunt"),CHOOSE(ArtifactsInput!$N$27+1,20,24,28,32,36,40),0)/100)))))/Skills!G7+0.000000001),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IFERROR(1/(IF(Inputs!$B$39="pvp",15,MAX(0.1,Skills!D8-IF(TRUE=TRUE,Inputs!$B$33,0)))*(1-IF(AND(ArtifactsInput!$M$27,Inputs!$B$4="Chapter Hunt"),CHOOSE(ArtifactsInput!$N$27+1,20,24,28,32,36,40),0)/100)),0)</f>
        <v/>
      </c>
      <c r="R1430">
        <f>IF(AND(Inputs!$B$39&lt;&gt;"pvp",Inputs!$B$44&gt;0),IF(MAX(0,Inputs!$B$44-B1462)&lt;=0,0,(INT(MAX(0,Inputs!$B$44-B1462)/(IF(Inputs!$B$39="pvp",15,MAX(0.1,Skills!D8-IF(TRUE=TRUE,Inputs!$B$33,0)))*(1-IF(AND(ArtifactsInput!$M$27,Inputs!$B$4="Chapter Hunt"),CHOOSE(ArtifactsInput!$N$27+1,20,24,28,32,36,40),0)/100)))+1)),0)</f>
        <v/>
      </c>
      <c r="S1430">
        <f>IF(C1430,(H1430*N1430*IF(AND(Inputs!$B$39&lt;&gt;"pvp",Inputs!$B$44&gt;0),((Skills!F8*((R1430-1)*IF(Skills!G8&gt;0,INT(Skills!H8/Skills!G8+0.000000001),1)+IF(Skills!G8&gt;0,INT(MIN(Skills!H8,MAX(0,MAX(0,Inputs!$B$44-B1462)-((R1430-1)*(IF(Inputs!$B$39="pvp",15,MAX(0.1,Skills!D8-IF(TRUE=TRUE,Inputs!$B$33,0)))*(1-IF(AND(ArtifactsInput!$M$27,Inputs!$B$4="Chapter Hunt"),CHOOSE(ArtifactsInput!$N$27+1,20,24,28,32,36,40),0)/100)))))/Skills!G8+0.000000001),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INT(Skills!H8/Skills!G8+0.000000001),1)+IF(Skills!G8&gt;0,INT(MIN(Skills!H8,MAX(0,MAX(0,Inputs!$B$44-B1462)-((R1430-1)*(IF(Inputs!$B$39="pvp",15,MAX(0.1,Skills!D8-IF(TRUE=TRUE,Inputs!$B$33,0)))*(1-IF(AND(ArtifactsInput!$M$27,Inputs!$B$4="Chapter Hunt"),CHOOSE(ArtifactsInput!$N$27+1,20,24,28,32,36,40),0)/100)))))/Skills!G8+0.000000001),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IFERROR(1/(IF(Inputs!$B$39="pvp",15,MAX(0.1,Skills!D9-IF(TRUE=TRUE,Inputs!$B$33,0)))*(1-IF(AND(ArtifactsInput!$M$27,Inputs!$B$4="Chapter Hunt"),CHOOSE(ArtifactsInput!$N$27+1,20,24,28,32,36,40),0)/100)),0)</f>
        <v/>
      </c>
      <c r="R1431">
        <f>IF(AND(Inputs!$B$39&lt;&gt;"pvp",Inputs!$B$44&gt;0),IF(MAX(0,Inputs!$B$44-B1462)&lt;=0,0,(INT(MAX(0,Inputs!$B$44-B1462)/(IF(Inputs!$B$39="pvp",15,MAX(0.1,Skills!D9-IF(TRUE=TRUE,Inputs!$B$33,0)))*(1-IF(AND(ArtifactsInput!$M$27,Inputs!$B$4="Chapter Hunt"),CHOOSE(ArtifactsInput!$N$27+1,20,24,28,32,36,40),0)/100)))+1)),0)</f>
        <v/>
      </c>
      <c r="S1431">
        <f>IF(C1431,(H1431*N1431*IF(AND(Inputs!$B$39&lt;&gt;"pvp",Inputs!$B$44&gt;0),((Skills!F9*((R1431-1)*IF(Skills!G9&gt;0,INT(Skills!H9/Skills!G9+0.000000001),1)+IF(Skills!G9&gt;0,INT(MIN(Skills!H9,MAX(0,MAX(0,Inputs!$B$44-B1462)-((R1431-1)*(IF(Inputs!$B$39="pvp",15,MAX(0.1,Skills!D9-IF(TRUE=TRUE,Inputs!$B$33,0)))*(1-IF(AND(ArtifactsInput!$M$27,Inputs!$B$4="Chapter Hunt"),CHOOSE(ArtifactsInput!$N$27+1,20,24,28,32,36,40),0)/100)))))/Skills!G9+0.000000001),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INT(Skills!H9/Skills!G9+0.000000001),1)+IF(Skills!G9&gt;0,INT(MIN(Skills!H9,MAX(0,MAX(0,Inputs!$B$44-B1462)-((R1431-1)*(IF(Inputs!$B$39="pvp",15,MAX(0.1,Skills!D9-IF(TRUE=TRUE,Inputs!$B$33,0)))*(1-IF(AND(ArtifactsInput!$M$27,Inputs!$B$4="Chapter Hunt"),CHOOSE(ArtifactsInput!$N$27+1,20,24,28,32,36,40),0)/100)))))/Skills!G9+0.000000001),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IFERROR(1/(IF(Inputs!$B$39="pvp",15,MAX(0.1,Skills!D10-IF(TRUE=TRUE,Inputs!$B$33,0)))*(1-IF(AND(ArtifactsInput!$M$27,Inputs!$B$4="Chapter Hunt"),CHOOSE(ArtifactsInput!$N$27+1,20,24,28,32,36,40),0)/100)),0)</f>
        <v/>
      </c>
      <c r="R1432">
        <f>IF(AND(Inputs!$B$39&lt;&gt;"pvp",Inputs!$B$44&gt;0),IF(MAX(0,Inputs!$B$44-B1462)&lt;=0,0,(INT(MAX(0,Inputs!$B$44-B1462)/(IF(Inputs!$B$39="pvp",15,MAX(0.1,Skills!D10-IF(TRUE=TRUE,Inputs!$B$33,0)))*(1-IF(AND(ArtifactsInput!$M$27,Inputs!$B$4="Chapter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IFERROR(1/(IF(Inputs!$B$39="pvp",15,MAX(0.1,Skills!D11-IF(TRUE=TRUE,Inputs!$B$33,0)))*(1-IF(AND(ArtifactsInput!$M$27,Inputs!$B$4="Chapter Hunt"),CHOOSE(ArtifactsInput!$N$27+1,20,24,28,32,36,40),0)/100)),0)</f>
        <v/>
      </c>
      <c r="R1433">
        <f>IF(AND(Inputs!$B$39&lt;&gt;"pvp",Inputs!$B$44&gt;0),IF(Inputs!$B$44&lt;=0,0,(INT(Inputs!$B$44/(IF(Inputs!$B$39="pvp",15,MAX(0.1,Skills!D11-IF(TRUE=TRUE,Inputs!$B$33,0)))*(1-IF(AND(ArtifactsInput!$M$27,Inputs!$B$4="Chapter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IFERROR(1/(IF(Inputs!$B$39="pvp",15,MAX(0.1,Skills!D12-IF(TRUE=TRUE,Inputs!$B$33,0)))*(1-IF(AND(ArtifactsInput!$M$27,Inputs!$B$4="Chapter Hunt"),CHOOSE(ArtifactsInput!$N$27+1,20,24,28,32,36,40),0)/100)),0)</f>
        <v/>
      </c>
      <c r="R1434">
        <f>IF(AND(Inputs!$B$39&lt;&gt;"pvp",Inputs!$B$44&gt;0),IF(MAX(0,Inputs!$B$44-B1462)&lt;=0,0,(INT(MAX(0,Inputs!$B$44-B1462)/(IF(Inputs!$B$39="pvp",15,MAX(0.1,Skills!D12-IF(TRUE=TRUE,Inputs!$B$33,0)))*(1-IF(AND(ArtifactsInput!$M$27,Inputs!$B$4="Chapter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IFERROR(1/(IF(Inputs!$B$39="pvp",15,MAX(0.1,Skills!D13-IF(TRUE=TRUE,Inputs!$B$33,0)))*(1-IF(AND(ArtifactsInput!$M$27,Inputs!$B$4="Chapter Hunt"),CHOOSE(ArtifactsInput!$N$27+1,20,24,28,32,36,40),0)/100)),0)</f>
        <v/>
      </c>
      <c r="R1435">
        <f>IF(AND(Inputs!$B$39&lt;&gt;"pvp",Inputs!$B$44&gt;0),IF(MAX(0,Inputs!$B$44-B1462)&lt;=0,0,(INT(MAX(0,Inputs!$B$44-B1462)/(IF(Inputs!$B$39="pvp",15,MAX(0.1,Skills!D13-IF(TRUE=TRUE,Inputs!$B$33,0)))*(1-IF(AND(ArtifactsInput!$M$27,Inputs!$B$4="Chapter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IFERROR(1/(IF(Inputs!$B$39="pvp",15,MAX(0.1,Skills!D14-IF(TRUE=TRUE,Inputs!$B$33,0)))*(1-IF(AND(ArtifactsInput!$M$27,Inputs!$B$4="Chapter Hunt"),CHOOSE(ArtifactsInput!$N$27+1,20,24,28,32,36,40),0)/100)),0)</f>
        <v/>
      </c>
      <c r="R1436">
        <f>IF(AND(Inputs!$B$39&lt;&gt;"pvp",Inputs!$B$44&gt;0),IF(Inputs!$B$44&lt;=0,0,(INT(Inputs!$B$44/(IF(Inputs!$B$39="pvp",15,MAX(0.1,Skills!D14-IF(TRUE=TRUE,Inputs!$B$33,0)))*(1-IF(AND(ArtifactsInput!$M$27,Inputs!$B$4="Chapter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IFERROR(1/(IF(Inputs!$B$39="pvp",15,MAX(0.1,Skills!D15-IF(TRUE=TRUE,Inputs!$B$33,0)))*(1-IF(AND(ArtifactsInput!$M$27,Inputs!$B$4="Chapter Hunt"),CHOOSE(ArtifactsInput!$N$27+1,20,24,28,32,36,40),0)/100)),0)</f>
        <v/>
      </c>
      <c r="R1437" t="n">
        <v>0</v>
      </c>
      <c r="S1437">
        <f>IF(C1437,(Skills!F15*N1437*((IF(Inputs!$B$3&gt;=78,25,15)/100*B1458*10)/(1+IF(Inputs!$B$3&gt;=78,25,15)/100*B1458*IF(Inputs!$B$39="pvp",15,MAX(0.1,18-IF(TRUE=TRUE,Inputs!$B$33,0)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IF(Inputs!$B$39="pvp",15,MAX(0.1,18-IF(TRUE=TRUE,Inputs!$B$33,0)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IFERROR(1/(IF(Inputs!$B$39="pvp",15,MAX(0.1,Skills!D16-IF(TRUE=TRUE,Inputs!$B$33,0)))*(1-IF(AND(ArtifactsInput!$M$27,Inputs!$B$4="Chapter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IFERROR(1/(IF(Inputs!$B$39="pvp",15,MAX(0.1,Skills!D17-IF(TRUE=TRUE,Inputs!$B$33,0)))*(1-IF(AND(ArtifactsInput!$M$27,Inputs!$B$4="Chapter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IFERROR(1/(IF(Inputs!$B$39="pvp",15,MAX(0.1,Skills!D18-IF(TRUE=TRUE,Inputs!$B$33,0)))*(1-IF(AND(ArtifactsInput!$M$27,Inputs!$B$4="Chapter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IFERROR(1/(IF(Inputs!$B$39="pvp",15,MAX(0.1,Skills!D19-IF(TRUE=TRUE,Inputs!$B$33,0)))*(1-IF(AND(ArtifactsInput!$M$27,Inputs!$B$4="Chapter Hunt"),CHOOSE(ArtifactsInput!$N$27+1,20,24,28,32,36,40),0)/100)),0)</f>
        <v/>
      </c>
      <c r="R1441">
        <f>IF(AND(Inputs!$B$39&lt;&gt;"pvp",Inputs!$B$44&gt;0),IF(Inputs!$B$44&lt;=0,0,(INT(Inputs!$B$44/(IF(Inputs!$B$39="pvp",15,MAX(0.1,Skills!D19-IF(TRUE=TRUE,Inputs!$B$33,0)))*(1-IF(AND(ArtifactsInput!$M$27,Inputs!$B$4="Chapter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IFERROR(1/(IF(Inputs!$B$39="pvp",15,MAX(0.1,Skills!D20-IF(TRUE=TRUE,Inputs!$B$33,0)))*(1-IF(AND(ArtifactsInput!$M$27,Inputs!$B$4="Chapter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IFERROR(1/(IF(Inputs!$B$39="pvp",15,MAX(0.1,Skills!D21-IF(TRUE=TRUE,Inputs!$B$33,0)))*(1-IF(AND(ArtifactsInput!$M$27,Inputs!$B$4="Chapter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IFERROR(1/(IF(Inputs!$B$39="pvp",15,MAX(0.1,Skills!D22-IF(TRUE=TRUE,Inputs!$B$33,0)))*(1-IF(AND(ArtifactsInput!$M$27,Inputs!$B$4="Chapter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IFERROR(1/(IF(Inputs!$B$39="pvp",15,MAX(0.1,Skills!D23-IF(TRUE=TRUE,Inputs!$B$33,0)))*(1-IF(AND(ArtifactsInput!$M$27,Inputs!$B$4="Chapter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IFERROR(1/(IF(Inputs!$B$39="pvp",15,MAX(0.1,Skills!D24-IF(TRUE=TRUE,Inputs!$B$33,0)))*(1-IF(AND(ArtifactsInput!$M$27,Inputs!$B$4="Chapter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IFERROR(1/(IF(Inputs!$B$39="pvp",15,MAX(0.1,Skills!D25-IF(TRUE=TRUE,Inputs!$B$33,0)))*(1-IF(AND(ArtifactsInput!$M$27,Inputs!$B$4="Chapter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IFERROR(1/(IF(Inputs!$B$39="pvp",15,MAX(0.1,Skills!D26-IF(TRUE=TRUE,Inputs!$B$33,0)))*(1-IF(AND(ArtifactsInput!$M$27,Inputs!$B$4="Chapter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IFERROR(1/(IF(Inputs!$B$39="pvp",15,MAX(0.1,Skills!D27-IF(TRUE=TRUE,Inputs!$B$33,0)))*(1-IF(AND(ArtifactsInput!$M$27,Inputs!$B$4="Chapter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IFERROR(1/(IF(Inputs!$B$39="pvp",15,MAX(0.1,Skills!D28-IF(TRUE=TRUE,Inputs!$B$33,0)))*(1-IF(AND(ArtifactsInput!$M$27,Inputs!$B$4="Chapter Hunt"),CHOOSE(ArtifactsInput!$N$27+1,20,24,28,32,36,40),0)/100)),0)</f>
        <v/>
      </c>
      <c r="R1450">
        <f>IF(AND(Inputs!$B$39&lt;&gt;"pvp",Inputs!$B$44&gt;0),IF(Inputs!$B$44&lt;=0,0,(INT(Inputs!$B$44/(IF(Inputs!$B$39="pvp",15,MAX(0.1,Skills!D28-IF(TRUE=TRUE,Inputs!$B$33,0)))*(1-IF(AND(ArtifactsInput!$M$27,Inputs!$B$4="Chapter Hunt"),CHOOSE(ArtifactsInput!$N$27+1,20,24,28,32,36,40),0)/100)))+1)),0)</f>
        <v/>
      </c>
      <c r="S1450" t="n">
        <v>0</v>
      </c>
      <c r="U1450" t="n">
        <v>0</v>
      </c>
    </row>
    <row r="1452">
      <c r="A1452" t="inlineStr">
        <is>
          <t>Average Buff Multiplier</t>
        </is>
      </c>
      <c r="B1452">
        <f>(1+(IF(C1425=TRUE,F1425*IF(AND(Inputs!$B$39&lt;&gt;"pvp",Inputs!$B$44&gt;0),(((R1425-1)*MIN((Skills!S3*(1+((Inputs!$B$35+(ArtifactsInput!$M$7-ArtifactsInput!$M$7)*CHOOSE(ArtifactsInput!$N$7+1,6,7.2,8.4,9.6,10.8,12)))/100)),(1/Q1425))+MIN((Skills!S3*(1+((Inputs!$B$35+(ArtifactsInput!$M$7-ArtifactsInput!$M$7)*CHOOSE(ArtifactsInput!$N$7+1,6,7.2,8.4,9.6,10.8,12)))/100)),MAX(0,Inputs!$B$44-((R1425-1)*(1/Q1425)))))/Inputs!$B$44),IF(Inputs!$B$39="pvp",MIN((Skills!S3*(1+((Inputs!$B$35+(ArtifactsInput!$M$7-ArtifactsInput!$M$7)*CHOOSE(ArtifactsInput!$N$7+1,6,7.2,8.4,9.6,10.8,12)))/100)),15)/15,MIN(1,(Skills!S3*(1+((Inputs!$B$35+(ArtifactsInput!$M$7-ArtifactsInput!$M$7)*CHOOSE(ArtifactsInput!$N$7+1,6,7.2,8.4,9.6,10.8,12)))/100))/(1/Q1425)))),0)+IF(C1426=TRUE,F1426*IF(AND(Inputs!$B$39&lt;&gt;"pvp",Inputs!$B$44&gt;0),(((R1426-1)*MIN((Skills!S4*(1+((Inputs!$B$35+(ArtifactsInput!$M$7-ArtifactsInput!$M$7)*CHOOSE(ArtifactsInput!$N$7+1,6,7.2,8.4,9.6,10.8,12)))/100)),(1/Q1426))+MIN((Skills!S4*(1+((Inputs!$B$35+(ArtifactsInput!$M$7-ArtifactsInput!$M$7)*CHOOSE(ArtifactsInput!$N$7+1,6,7.2,8.4,9.6,10.8,12)))/100)),MAX(0,Inputs!$B$44-((R1426-1)*(1/Q1426)))))/Inputs!$B$44),IF(Inputs!$B$39="pvp",MIN((Skills!S4*(1+((Inputs!$B$35+(ArtifactsInput!$M$7-ArtifactsInput!$M$7)*CHOOSE(ArtifactsInput!$N$7+1,6,7.2,8.4,9.6,10.8,12)))/100)),15)/15,MIN(1,(Skills!S4*(1+((Inputs!$B$35+(ArtifactsInput!$M$7-ArtifactsInput!$M$7)*CHOOSE(ArtifactsInput!$N$7+1,6,7.2,8.4,9.6,10.8,12)))/100))/(1/Q1426)))),0)+IF(C1427=TRUE,F1427*IF(AND(Inputs!$B$39&lt;&gt;"pvp",Inputs!$B$44&gt;0),(((R1427-1)*MIN((Skills!S5*(1+((Inputs!$B$35+(ArtifactsInput!$M$7-ArtifactsInput!$M$7)*CHOOSE(ArtifactsInput!$N$7+1,6,7.2,8.4,9.6,10.8,12)))/100)),(1/Q1427))+MIN((Skills!S5*(1+((Inputs!$B$35+(ArtifactsInput!$M$7-ArtifactsInput!$M$7)*CHOOSE(ArtifactsInput!$N$7+1,6,7.2,8.4,9.6,10.8,12)))/100)),MAX(0,Inputs!$B$44-((R1427-1)*(1/Q1427)))))/Inputs!$B$44),IF(Inputs!$B$39="pvp",MIN((Skills!S5*(1+((Inputs!$B$35+(ArtifactsInput!$M$7-ArtifactsInput!$M$7)*CHOOSE(ArtifactsInput!$N$7+1,6,7.2,8.4,9.6,10.8,12)))/100)),15)/15,MIN(1,(Skills!S5*(1+((Inputs!$B$35+(ArtifactsInput!$M$7-ArtifactsInput!$M$7)*CHOOSE(ArtifactsInput!$N$7+1,6,7.2,8.4,9.6,10.8,12)))/100))/(1/Q1427)))),0)+IF(C1433=TRUE,F1433*IF(AND(Inputs!$B$39&lt;&gt;"pvp",Inputs!$B$44&gt;0),(((R1433-1)*MIN((Skills!S11*(1+((Inputs!$B$35+(ArtifactsInput!$M$7-ArtifactsInput!$M$7)*CHOOSE(ArtifactsInput!$N$7+1,6,7.2,8.4,9.6,10.8,12)))/100)),(1/Q1433))+MIN((Skills!S11*(1+((Inputs!$B$35+(ArtifactsInput!$M$7-ArtifactsInput!$M$7)*CHOOSE(ArtifactsInput!$N$7+1,6,7.2,8.4,9.6,10.8,12)))/100)),MAX(0,Inputs!$B$44-((R1433-1)*(1/Q1433)))))/Inputs!$B$44),IF(Inputs!$B$39="pvp",MIN((Skills!S11*(1+((Inputs!$B$35+(ArtifactsInput!$M$7-ArtifactsInput!$M$7)*CHOOSE(ArtifactsInput!$N$7+1,6,7.2,8.4,9.6,10.8,12)))/100)),15)/15,MIN(1,(Skills!S11*(1+((Inputs!$B$35+(ArtifactsInput!$M$7-ArtifactsInput!$M$7)*CHOOSE(ArtifactsInput!$N$7+1,6,7.2,8.4,9.6,10.8,12)))/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MIN((Skills!S14*(1+((Inputs!$B$35+(ArtifactsInput!$M$7-ArtifactsInput!$M$7)*CHOOSE(ArtifactsInput!$N$7+1,6,7.2,8.4,9.6,10.8,12)))/100)),(1/Q1436))+MIN((Skills!S14*(1+((Inputs!$B$35+(ArtifactsInput!$M$7-ArtifactsInput!$M$7)*CHOOSE(ArtifactsInput!$N$7+1,6,7.2,8.4,9.6,10.8,12)))/100)),MAX(0,Inputs!$B$44-((R1436-1)*(1/Q1436)))))/Inputs!$B$44),IF(Inputs!$B$39="pvp",MIN((Skills!S14*(1+((Inputs!$B$35+(ArtifactsInput!$M$7-ArtifactsInput!$M$7)*CHOOSE(ArtifactsInput!$N$7+1,6,7.2,8.4,9.6,10.8,12)))/100)),15)/15,MIN(1,(Skills!S14*(1+((Inputs!$B$35+(ArtifactsInput!$M$7-ArtifactsInput!$M$7)*CHOOSE(ArtifactsInput!$N$7+1,6,7.2,8.4,9.6,10.8,12)))/100))/(1/Q1436))))/100),1)*IF(C1441=TRUE,(1+F1441*IF(AND(Inputs!$B$39&lt;&gt;"pvp",Inputs!$B$44&gt;0),(((R1441-1)*MIN((Skills!S19*(1+((Inputs!$B$35+(ArtifactsInput!$M$7-ArtifactsInput!$M$7)*CHOOSE(ArtifactsInput!$N$7+1,6,7.2,8.4,9.6,10.8,12)))/100)),(1/Q1441))+MIN((Skills!S19*(1+((Inputs!$B$35+(ArtifactsInput!$M$7-ArtifactsInput!$M$7)*CHOOSE(ArtifactsInput!$N$7+1,6,7.2,8.4,9.6,10.8,12)))/100)),MAX(0,Inputs!$B$44-((R1441-1)*(1/Q1441)))))/Inputs!$B$44),IF(Inputs!$B$39="pvp",MIN((Skills!S19*(1+((Inputs!$B$35+(ArtifactsInput!$M$7-ArtifactsInput!$M$7)*CHOOSE(ArtifactsInput!$N$7+1,6,7.2,8.4,9.6,10.8,12)))/100)),15)/15,MIN(1,(Skills!S19*(1+((Inputs!$B$35+(ArtifactsInput!$M$7-ArtifactsInput!$M$7)*CHOOSE(ArtifactsInput!$N$7+1,6,7.2,8.4,9.6,10.8,12)))/100))/(1/Q1441))))/100),1)</f>
        <v/>
      </c>
    </row>
    <row r="1453">
      <c r="A1453" t="inlineStr">
        <is>
          <t>Monster Damage Taken Bonus % (Holy Fountain)</t>
        </is>
      </c>
      <c r="B1453">
        <f>IF(Inputs!$B$3&gt;=68,20*IF(Inputs!$B$39="pvp",MIN((15*(1+((Inputs!$B$35+(ArtifactsInput!$M$7-ArtifactsInput!$M$7)*CHOOSE(ArtifactsInput!$N$7+1,6,7.2,8.4,9.6,10.8,12)))/100)),15)/15,MIN(1,(15*(1+((Inputs!$B$35+(ArtifactsInput!$M$7-ArtifactsInput!$M$7)*CHOOSE(ArtifactsInput!$N$7+1,6,7.2,8.4,9.6,10.8,12)))/100))/(1/Q1432))),0)</f>
        <v/>
      </c>
    </row>
    <row r="1454">
      <c r="A1454" t="inlineStr">
        <is>
          <t>Normal Monster Damage Bonus % (Holy Symbol)</t>
        </is>
      </c>
      <c r="B1454">
        <f>IF(C1434=TRUE,F1434*IF(AND(Inputs!$B$39&lt;&gt;"pvp",Inputs!$B$44&gt;0),(((R1434-1)*MIN((Skills!S12*(1+((Inputs!$B$35+(ArtifactsInput!$M$7-ArtifactsInput!$M$7)*CHOOSE(ArtifactsInput!$N$7+1,6,7.2,8.4,9.6,10.8,12)))/100)),(1/Q1434))+MIN((Skills!S12*(1+((Inputs!$B$35+(ArtifactsInput!$M$7-ArtifactsInput!$M$7)*CHOOSE(ArtifactsInput!$N$7+1,6,7.2,8.4,9.6,10.8,12)))/100)),MAX(0,Inputs!$B$44-((R1434-1)*(1/Q1434)))))/Inputs!$B$44),IF(Inputs!$B$39="pvp",MIN((Skills!S12*(1+((Inputs!$B$35+(ArtifactsInput!$M$7-ArtifactsInput!$M$7)*CHOOSE(ArtifactsInput!$N$7+1,6,7.2,8.4,9.6,10.8,12)))/100)),15)/15,MIN(1,(Skills!S12*(1+((Inputs!$B$35+(ArtifactsInput!$M$7-ArtifactsInput!$M$7)*CHOOSE(ArtifactsInput!$N$7+1,6,7.2,8.4,9.6,10.8,12)))/100))/(1/Q1434)))),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MIN((Skills!S28*(1+((Inputs!$B$35+(ArtifactsInput!$M$7-ArtifactsInput!$M$7)*CHOOSE(ArtifactsInput!$N$7+1,6,7.2,8.4,9.6,10.8,12)))/100)),(1/Q1450))+MIN((Skills!S28*(1+((Inputs!$B$35+(ArtifactsInput!$M$7-ArtifactsInput!$M$7)*CHOOSE(ArtifactsInput!$N$7+1,6,7.2,8.4,9.6,10.8,12)))/100)),MAX(0,Inputs!$B$44-((R1450-1)*(1/Q1450)))))/Inputs!$B$44),IF(Inputs!$B$39="pvp",MIN((Skills!S28*(1+((Inputs!$B$35+(ArtifactsInput!$M$7-ArtifactsInput!$M$7)*CHOOSE(ArtifactsInput!$N$7+1,6,7.2,8.4,9.6,10.8,12)))/100)),15)/15,MIN(1,(Skills!S28*(1+((Inputs!$B$35+(ArtifactsInput!$M$7-ArtifactsInput!$M$7)*CHOOSE(ArtifactsInput!$N$7+1,6,7.2,8.4,9.6,10.8,12)))/100))/(1/Q1450)))))</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MIN((Skills!S13*(1+((Inputs!$B$35+(ArtifactsInput!$M$7-ArtifactsInput!$M$7)*CHOOSE(ArtifactsInput!$N$7+1,6,7.2,8.4,9.6,10.8,12)))/100)),(1/Q1435))+MIN((Skills!S13*(1+((Inputs!$B$35+(ArtifactsInput!$M$7-ArtifactsInput!$M$7)*CHOOSE(ArtifactsInput!$N$7+1,6,7.2,8.4,9.6,10.8,12)))/100)),MAX(0,Inputs!$B$44-((R1435-1)*(1/Q1435)))))/Inputs!$B$44),IF(Inputs!$B$39="pvp",MIN((Skills!S13*(1+((Inputs!$B$35+(ArtifactsInput!$M$7-ArtifactsInput!$M$7)*CHOOSE(ArtifactsInput!$N$7+1,6,7.2,8.4,9.6,10.8,12)))/100)),15)/15,MIN(1,(Skills!S13*(1+((Inputs!$B$35+(ArtifactsInput!$M$7-ArtifactsInput!$M$7)*CHOOSE(ArtifactsInput!$N$7+1,6,7.2,8.4,9.6,10.8,12)))/100))/(1/Q1435)))),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IFERROR(1/(IF(Inputs!$B$39="pvp",15,MAX(0.1,Skills!D2-IF(TRUE=TRUE,Inputs!$B$33,0)))*(1-IF(AND(ArtifactsInput!$M$27,Inputs!$B$4="Chapter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IFERROR(1/(IF(Inputs!$B$39="pvp",15,MAX(0.1,Skills!D3-IF(TRUE=TRUE,Inputs!$B$33,0)))*(1-IF(AND(ArtifactsInput!$M$27,Inputs!$B$4="Chapter Hunt"),CHOOSE(ArtifactsInput!$N$27+1,20,24,28,32,36,40),0)/100)),0)</f>
        <v/>
      </c>
      <c r="R1470">
        <f>IF(AND(Inputs!$B$39&lt;&gt;"pvp",Inputs!$B$44&gt;0),IF(Inputs!$B$44&lt;=0,0,(INT(Inputs!$B$44/(IF(Inputs!$B$39="pvp",15,MAX(0.1,Skills!D3-IF(TRUE=TRUE,Inputs!$B$33,0)))*(1-IF(AND(ArtifactsInput!$M$27,Inputs!$B$4="Chapter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IFERROR(1/(IF(Inputs!$B$39="pvp",15,MAX(0.1,Skills!D4-IF(TRUE=TRUE,Inputs!$B$33,0)))*(1-IF(AND(ArtifactsInput!$M$27,Inputs!$B$4="Chapter Hunt"),CHOOSE(ArtifactsInput!$N$27+1,20,24,28,32,36,40),0)/100)),0)</f>
        <v/>
      </c>
      <c r="R1471">
        <f>IF(AND(Inputs!$B$39&lt;&gt;"pvp",Inputs!$B$44&gt;0),IF(Inputs!$B$44&lt;=0,0,(INT(Inputs!$B$44/(IF(Inputs!$B$39="pvp",15,MAX(0.1,Skills!D4-IF(TRUE=TRUE,Inputs!$B$33,0)))*(1-IF(AND(ArtifactsInput!$M$27,Inputs!$B$4="Chapter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IFERROR(1/(IF(Inputs!$B$39="pvp",15,MAX(0.1,Skills!D5-IF(TRUE=TRUE,Inputs!$B$33,0)))*(1-IF(AND(ArtifactsInput!$M$27,Inputs!$B$4="Chapter Hunt"),CHOOSE(ArtifactsInput!$N$27+1,20,24,28,32,36,40),0)/100)),0)</f>
        <v/>
      </c>
      <c r="R1472">
        <f>IF(AND(Inputs!$B$39&lt;&gt;"pvp",Inputs!$B$44&gt;0),IF(Inputs!$B$44&lt;=0,0,(INT(Inputs!$B$44/(IF(Inputs!$B$39="pvp",15,MAX(0.1,Skills!D5-IF(TRUE=TRUE,Inputs!$B$33,0)))*(1-IF(AND(ArtifactsInput!$M$27,Inputs!$B$4="Chapter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IFERROR(1/(IF(Inputs!$B$39="pvp",15,MAX(0.1,Skills!D6-IF(TRUE=TRUE,Inputs!$B$33,0)))*(1-IF(AND(ArtifactsInput!$M$27,Inputs!$B$4="Chapter Hunt"),CHOOSE(ArtifactsInput!$N$27+1,20,24,28,32,36,40),0)/100)),0)</f>
        <v/>
      </c>
      <c r="R1473">
        <f>IF(AND(Inputs!$B$39&lt;&gt;"pvp",Inputs!$B$44&gt;0),IF(MAX(0,Inputs!$B$44-B1507)&lt;=0,0,(INT(MAX(0,Inputs!$B$44-B1507)/(IF(Inputs!$B$39="pvp",15,MAX(0.1,Skills!D6-IF(TRUE=TRUE,Inputs!$B$33,0)))*(1-IF(AND(ArtifactsInput!$M$27,Inputs!$B$4="Chapter Hunt"),CHOOSE(ArtifactsInput!$N$27+1,20,24,28,32,36,40),0)/100)))+1)),0)</f>
        <v/>
      </c>
      <c r="S1473">
        <f>IF(C1473,(H1473*N1473*IF(AND(Inputs!$B$39&lt;&gt;"pvp",Inputs!$B$44&gt;0),((Skills!F6*((R1473-1)*IF(Skills!G6&gt;0,INT(Skills!H6/Skills!G6+0.000000001),1)+IF(Skills!G6&gt;0,INT(MIN(Skills!H6,MAX(0,MAX(0,Inputs!$B$44-B1507)-((R1473-1)*(IF(Inputs!$B$39="pvp",15,MAX(0.1,Skills!D6-IF(TRUE=TRUE,Inputs!$B$33,0)))*(1-IF(AND(ArtifactsInput!$M$27,Inputs!$B$4="Chapter Hunt"),CHOOSE(ArtifactsInput!$N$27+1,20,24,28,32,36,40),0)/100)))))/Skills!G6+0.000000001),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INT(Skills!H6/Skills!G6+0.000000001),1)+IF(Skills!G6&gt;0,INT(MIN(Skills!H6,MAX(0,MAX(0,Inputs!$B$44-B1507)-((R1473-1)*(IF(Inputs!$B$39="pvp",15,MAX(0.1,Skills!D6-IF(TRUE=TRUE,Inputs!$B$33,0)))*(1-IF(AND(ArtifactsInput!$M$27,Inputs!$B$4="Chapter Hunt"),CHOOSE(ArtifactsInput!$N$27+1,20,24,28,32,36,40),0)/100)))))/Skills!G6+0.000000001),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IFERROR(1/(IF(Inputs!$B$39="pvp",15,MAX(0.1,Skills!D7-IF(TRUE=TRUE,Inputs!$B$33,0)))*(1-IF(AND(ArtifactsInput!$M$27,Inputs!$B$4="Chapter Hunt"),CHOOSE(ArtifactsInput!$N$27+1,20,24,28,32,36,40),0)/100)),0)</f>
        <v/>
      </c>
      <c r="R1474">
        <f>IF(AND(Inputs!$B$39&lt;&gt;"pvp",Inputs!$B$44&gt;0),IF(MAX(0,Inputs!$B$44-B1507)&lt;=0,0,(INT(MAX(0,Inputs!$B$44-B1507)/(IF(Inputs!$B$39="pvp",15,MAX(0.1,Skills!D7-IF(TRUE=TRUE,Inputs!$B$33,0)))*(1-IF(AND(ArtifactsInput!$M$27,Inputs!$B$4="Chapter Hunt"),CHOOSE(ArtifactsInput!$N$27+1,20,24,28,32,36,40),0)/100)))+1)),0)</f>
        <v/>
      </c>
      <c r="S1474">
        <f>IF(C1474,H1474*N1474*IF(AND(Inputs!$B$39&lt;&gt;"pvp",Inputs!$B$44&gt;0),((Skills!F7*((R1474-1)*IF(Skills!G7&gt;0,INT(Skills!H7/Skills!G7+0.000000001),1)+IF(Skills!G7&gt;0,INT(MIN(Skills!H7,MAX(0,MAX(0,Inputs!$B$44-B1507)-((R1474-1)*(IF(Inputs!$B$39="pvp",15,MAX(0.1,Skills!D7-IF(TRUE=TRUE,Inputs!$B$33,0)))*(1-IF(AND(ArtifactsInput!$M$27,Inputs!$B$4="Chapter Hunt"),CHOOSE(ArtifactsInput!$N$27+1,20,24,28,32,36,40),0)/100)))))/Skills!G7+0.000000001),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IFERROR(1/(IF(Inputs!$B$39="pvp",15,MAX(0.1,Skills!D8-IF(TRUE=TRUE,Inputs!$B$33,0)))*(1-IF(AND(ArtifactsInput!$M$27,Inputs!$B$4="Chapter Hunt"),CHOOSE(ArtifactsInput!$N$27+1,20,24,28,32,36,40),0)/100)),0)</f>
        <v/>
      </c>
      <c r="R1475">
        <f>IF(AND(Inputs!$B$39&lt;&gt;"pvp",Inputs!$B$44&gt;0),IF(MAX(0,Inputs!$B$44-B1507)&lt;=0,0,(INT(MAX(0,Inputs!$B$44-B1507)/(IF(Inputs!$B$39="pvp",15,MAX(0.1,Skills!D8-IF(TRUE=TRUE,Inputs!$B$33,0)))*(1-IF(AND(ArtifactsInput!$M$27,Inputs!$B$4="Chapter Hunt"),CHOOSE(ArtifactsInput!$N$27+1,20,24,28,32,36,40),0)/100)))+1)),0)</f>
        <v/>
      </c>
      <c r="S1475">
        <f>IF(C1475,(H1475*N1475*IF(AND(Inputs!$B$39&lt;&gt;"pvp",Inputs!$B$44&gt;0),((Skills!F8*((R1475-1)*IF(Skills!G8&gt;0,INT(Skills!H8/Skills!G8+0.000000001),1)+IF(Skills!G8&gt;0,INT(MIN(Skills!H8,MAX(0,MAX(0,Inputs!$B$44-B1507)-((R1475-1)*(IF(Inputs!$B$39="pvp",15,MAX(0.1,Skills!D8-IF(TRUE=TRUE,Inputs!$B$33,0)))*(1-IF(AND(ArtifactsInput!$M$27,Inputs!$B$4="Chapter Hunt"),CHOOSE(ArtifactsInput!$N$27+1,20,24,28,32,36,40),0)/100)))))/Skills!G8+0.000000001),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INT(Skills!H8/Skills!G8+0.000000001),1)+IF(Skills!G8&gt;0,INT(MIN(Skills!H8,MAX(0,MAX(0,Inputs!$B$44-B1507)-((R1475-1)*(IF(Inputs!$B$39="pvp",15,MAX(0.1,Skills!D8-IF(TRUE=TRUE,Inputs!$B$33,0)))*(1-IF(AND(ArtifactsInput!$M$27,Inputs!$B$4="Chapter Hunt"),CHOOSE(ArtifactsInput!$N$27+1,20,24,28,32,36,40),0)/100)))))/Skills!G8+0.000000001),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IFERROR(1/(IF(Inputs!$B$39="pvp",15,MAX(0.1,Skills!D9-IF(TRUE=TRUE,Inputs!$B$33,0)))*(1-IF(AND(ArtifactsInput!$M$27,Inputs!$B$4="Chapter Hunt"),CHOOSE(ArtifactsInput!$N$27+1,20,24,28,32,36,40),0)/100)),0)</f>
        <v/>
      </c>
      <c r="R1476">
        <f>IF(AND(Inputs!$B$39&lt;&gt;"pvp",Inputs!$B$44&gt;0),IF(MAX(0,Inputs!$B$44-B1507)&lt;=0,0,(INT(MAX(0,Inputs!$B$44-B1507)/(IF(Inputs!$B$39="pvp",15,MAX(0.1,Skills!D9-IF(TRUE=TRUE,Inputs!$B$33,0)))*(1-IF(AND(ArtifactsInput!$M$27,Inputs!$B$4="Chapter Hunt"),CHOOSE(ArtifactsInput!$N$27+1,20,24,28,32,36,40),0)/100)))+1)),0)</f>
        <v/>
      </c>
      <c r="S1476">
        <f>IF(C1476,(H1476*N1476*IF(AND(Inputs!$B$39&lt;&gt;"pvp",Inputs!$B$44&gt;0),((Skills!F9*((R1476-1)*IF(Skills!G9&gt;0,INT(Skills!H9/Skills!G9+0.000000001),1)+IF(Skills!G9&gt;0,INT(MIN(Skills!H9,MAX(0,MAX(0,Inputs!$B$44-B1507)-((R1476-1)*(IF(Inputs!$B$39="pvp",15,MAX(0.1,Skills!D9-IF(TRUE=TRUE,Inputs!$B$33,0)))*(1-IF(AND(ArtifactsInput!$M$27,Inputs!$B$4="Chapter Hunt"),CHOOSE(ArtifactsInput!$N$27+1,20,24,28,32,36,40),0)/100)))))/Skills!G9+0.000000001),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INT(Skills!H9/Skills!G9+0.000000001),1)+IF(Skills!G9&gt;0,INT(MIN(Skills!H9,MAX(0,MAX(0,Inputs!$B$44-B1507)-((R1476-1)*(IF(Inputs!$B$39="pvp",15,MAX(0.1,Skills!D9-IF(TRUE=TRUE,Inputs!$B$33,0)))*(1-IF(AND(ArtifactsInput!$M$27,Inputs!$B$4="Chapter Hunt"),CHOOSE(ArtifactsInput!$N$27+1,20,24,28,32,36,40),0)/100)))))/Skills!G9+0.000000001),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IFERROR(1/(IF(Inputs!$B$39="pvp",15,MAX(0.1,Skills!D10-IF(TRUE=TRUE,Inputs!$B$33,0)))*(1-IF(AND(ArtifactsInput!$M$27,Inputs!$B$4="Chapter Hunt"),CHOOSE(ArtifactsInput!$N$27+1,20,24,28,32,36,40),0)/100)),0)</f>
        <v/>
      </c>
      <c r="R1477">
        <f>IF(AND(Inputs!$B$39&lt;&gt;"pvp",Inputs!$B$44&gt;0),IF(MAX(0,Inputs!$B$44-B1507)&lt;=0,0,(INT(MAX(0,Inputs!$B$44-B1507)/(IF(Inputs!$B$39="pvp",15,MAX(0.1,Skills!D10-IF(TRUE=TRUE,Inputs!$B$33,0)))*(1-IF(AND(ArtifactsInput!$M$27,Inputs!$B$4="Chapter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IFERROR(1/(IF(Inputs!$B$39="pvp",15,MAX(0.1,Skills!D11-IF(TRUE=TRUE,Inputs!$B$33,0)))*(1-IF(AND(ArtifactsInput!$M$27,Inputs!$B$4="Chapter Hunt"),CHOOSE(ArtifactsInput!$N$27+1,20,24,28,32,36,40),0)/100)),0)</f>
        <v/>
      </c>
      <c r="R1478">
        <f>IF(AND(Inputs!$B$39&lt;&gt;"pvp",Inputs!$B$44&gt;0),IF(Inputs!$B$44&lt;=0,0,(INT(Inputs!$B$44/(IF(Inputs!$B$39="pvp",15,MAX(0.1,Skills!D11-IF(TRUE=TRUE,Inputs!$B$33,0)))*(1-IF(AND(ArtifactsInput!$M$27,Inputs!$B$4="Chapter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IFERROR(1/(IF(Inputs!$B$39="pvp",15,MAX(0.1,Skills!D12-IF(TRUE=TRUE,Inputs!$B$33,0)))*(1-IF(AND(ArtifactsInput!$M$27,Inputs!$B$4="Chapter Hunt"),CHOOSE(ArtifactsInput!$N$27+1,20,24,28,32,36,40),0)/100)),0)</f>
        <v/>
      </c>
      <c r="R1479">
        <f>IF(AND(Inputs!$B$39&lt;&gt;"pvp",Inputs!$B$44&gt;0),IF(MAX(0,Inputs!$B$44-B1507)&lt;=0,0,(INT(MAX(0,Inputs!$B$44-B1507)/(IF(Inputs!$B$39="pvp",15,MAX(0.1,Skills!D12-IF(TRUE=TRUE,Inputs!$B$33,0)))*(1-IF(AND(ArtifactsInput!$M$27,Inputs!$B$4="Chapter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IFERROR(1/(IF(Inputs!$B$39="pvp",15,MAX(0.1,Skills!D13-IF(TRUE=TRUE,Inputs!$B$33,0)))*(1-IF(AND(ArtifactsInput!$M$27,Inputs!$B$4="Chapter Hunt"),CHOOSE(ArtifactsInput!$N$27+1,20,24,28,32,36,40),0)/100)),0)</f>
        <v/>
      </c>
      <c r="R1480">
        <f>IF(AND(Inputs!$B$39&lt;&gt;"pvp",Inputs!$B$44&gt;0),IF(MAX(0,Inputs!$B$44-B1507)&lt;=0,0,(INT(MAX(0,Inputs!$B$44-B1507)/(IF(Inputs!$B$39="pvp",15,MAX(0.1,Skills!D13-IF(TRUE=TRUE,Inputs!$B$33,0)))*(1-IF(AND(ArtifactsInput!$M$27,Inputs!$B$4="Chapter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IFERROR(1/(IF(Inputs!$B$39="pvp",15,MAX(0.1,Skills!D14-IF(TRUE=TRUE,Inputs!$B$33,0)))*(1-IF(AND(ArtifactsInput!$M$27,Inputs!$B$4="Chapter Hunt"),CHOOSE(ArtifactsInput!$N$27+1,20,24,28,32,36,40),0)/100)),0)</f>
        <v/>
      </c>
      <c r="R1481">
        <f>IF(AND(Inputs!$B$39&lt;&gt;"pvp",Inputs!$B$44&gt;0),IF(Inputs!$B$44&lt;=0,0,(INT(Inputs!$B$44/(IF(Inputs!$B$39="pvp",15,MAX(0.1,Skills!D14-IF(TRUE=TRUE,Inputs!$B$33,0)))*(1-IF(AND(ArtifactsInput!$M$27,Inputs!$B$4="Chapter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IFERROR(1/(IF(Inputs!$B$39="pvp",15,MAX(0.1,Skills!D15-IF(TRUE=TRUE,Inputs!$B$33,0)))*(1-IF(AND(ArtifactsInput!$M$27,Inputs!$B$4="Chapter Hunt"),CHOOSE(ArtifactsInput!$N$27+1,20,24,28,32,36,40),0)/100)),0)</f>
        <v/>
      </c>
      <c r="R1482" t="n">
        <v>0</v>
      </c>
      <c r="S1482">
        <f>IF(C1482,(Skills!F15*N1482*((IF(Inputs!$B$3&gt;=78,25,15)/100*B1503*10)/(1+IF(Inputs!$B$3&gt;=78,25,15)/100*B1503*IF(Inputs!$B$39="pvp",15,MAX(0.1,18-IF(TRUE=TRUE,Inputs!$B$33,0)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IF(Inputs!$B$39="pvp",15,MAX(0.1,18-IF(TRUE=TRUE,Inputs!$B$33,0)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IFERROR(1/(IF(Inputs!$B$39="pvp",15,MAX(0.1,Skills!D16-IF(TRUE=TRUE,Inputs!$B$33,0)))*(1-IF(AND(ArtifactsInput!$M$27,Inputs!$B$4="Chapter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IFERROR(1/(IF(Inputs!$B$39="pvp",15,MAX(0.1,Skills!D17-IF(TRUE=TRUE,Inputs!$B$33,0)))*(1-IF(AND(ArtifactsInput!$M$27,Inputs!$B$4="Chapter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IFERROR(1/(IF(Inputs!$B$39="pvp",15,MAX(0.1,Skills!D18-IF(TRUE=TRUE,Inputs!$B$33,0)))*(1-IF(AND(ArtifactsInput!$M$27,Inputs!$B$4="Chapter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IFERROR(1/(IF(Inputs!$B$39="pvp",15,MAX(0.1,Skills!D19-IF(TRUE=TRUE,Inputs!$B$33,0)))*(1-IF(AND(ArtifactsInput!$M$27,Inputs!$B$4="Chapter Hunt"),CHOOSE(ArtifactsInput!$N$27+1,20,24,28,32,36,40),0)/100)),0)</f>
        <v/>
      </c>
      <c r="R1486">
        <f>IF(AND(Inputs!$B$39&lt;&gt;"pvp",Inputs!$B$44&gt;0),IF(Inputs!$B$44&lt;=0,0,(INT(Inputs!$B$44/(IF(Inputs!$B$39="pvp",15,MAX(0.1,Skills!D19-IF(TRUE=TRUE,Inputs!$B$33,0)))*(1-IF(AND(ArtifactsInput!$M$27,Inputs!$B$4="Chapter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IFERROR(1/(IF(Inputs!$B$39="pvp",15,MAX(0.1,Skills!D20-IF(TRUE=TRUE,Inputs!$B$33,0)))*(1-IF(AND(ArtifactsInput!$M$27,Inputs!$B$4="Chapter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IFERROR(1/(IF(Inputs!$B$39="pvp",15,MAX(0.1,Skills!D21-IF(TRUE=TRUE,Inputs!$B$33,0)))*(1-IF(AND(ArtifactsInput!$M$27,Inputs!$B$4="Chapter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IFERROR(1/(IF(Inputs!$B$39="pvp",15,MAX(0.1,Skills!D22-IF(TRUE=TRUE,Inputs!$B$33,0)))*(1-IF(AND(ArtifactsInput!$M$27,Inputs!$B$4="Chapter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IFERROR(1/(IF(Inputs!$B$39="pvp",15,MAX(0.1,Skills!D23-IF(TRUE=TRUE,Inputs!$B$33,0)))*(1-IF(AND(ArtifactsInput!$M$27,Inputs!$B$4="Chapter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IFERROR(1/(IF(Inputs!$B$39="pvp",15,MAX(0.1,Skills!D24-IF(TRUE=TRUE,Inputs!$B$33,0)))*(1-IF(AND(ArtifactsInput!$M$27,Inputs!$B$4="Chapter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IFERROR(1/(IF(Inputs!$B$39="pvp",15,MAX(0.1,Skills!D25-IF(TRUE=TRUE,Inputs!$B$33,0)))*(1-IF(AND(ArtifactsInput!$M$27,Inputs!$B$4="Chapter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IFERROR(1/(IF(Inputs!$B$39="pvp",15,MAX(0.1,Skills!D26-IF(TRUE=TRUE,Inputs!$B$33,0)))*(1-IF(AND(ArtifactsInput!$M$27,Inputs!$B$4="Chapter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IFERROR(1/(IF(Inputs!$B$39="pvp",15,MAX(0.1,Skills!D27-IF(TRUE=TRUE,Inputs!$B$33,0)))*(1-IF(AND(ArtifactsInput!$M$27,Inputs!$B$4="Chapter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IFERROR(1/(IF(Inputs!$B$39="pvp",15,MAX(0.1,Skills!D28-IF(TRUE=TRUE,Inputs!$B$33,0)))*(1-IF(AND(ArtifactsInput!$M$27,Inputs!$B$4="Chapter Hunt"),CHOOSE(ArtifactsInput!$N$27+1,20,24,28,32,36,40),0)/100)),0)</f>
        <v/>
      </c>
      <c r="R1495">
        <f>IF(AND(Inputs!$B$39&lt;&gt;"pvp",Inputs!$B$44&gt;0),IF(Inputs!$B$44&lt;=0,0,(INT(Inputs!$B$44/(IF(Inputs!$B$39="pvp",15,MAX(0.1,Skills!D28-IF(TRUE=TRUE,Inputs!$B$33,0)))*(1-IF(AND(ArtifactsInput!$M$27,Inputs!$B$4="Chapter Hunt"),CHOOSE(ArtifactsInput!$N$27+1,20,24,28,32,36,40),0)/100)))+1)),0)</f>
        <v/>
      </c>
      <c r="S1495" t="n">
        <v>0</v>
      </c>
      <c r="U1495" t="n">
        <v>0</v>
      </c>
    </row>
    <row r="1497">
      <c r="A1497" t="inlineStr">
        <is>
          <t>Average Buff Multiplier</t>
        </is>
      </c>
      <c r="B1497">
        <f>(1+(IF(C1470=TRUE,F1470*IF(AND(Inputs!$B$39&lt;&gt;"pvp",Inputs!$B$44&gt;0),(((R1470-1)*MIN((Skills!S3*(1+((Inputs!$B$35+(ArtifactsInput!$M$7-ArtifactsInput!$M$7)*CHOOSE(ArtifactsInput!$N$7+1,6,7.2,8.4,9.6,10.8,12)))/100)),(1/Q1470))+MIN((Skills!S3*(1+((Inputs!$B$35+(ArtifactsInput!$M$7-ArtifactsInput!$M$7)*CHOOSE(ArtifactsInput!$N$7+1,6,7.2,8.4,9.6,10.8,12)))/100)),MAX(0,Inputs!$B$44-((R1470-1)*(1/Q1470)))))/Inputs!$B$44),IF(Inputs!$B$39="pvp",MIN((Skills!S3*(1+((Inputs!$B$35+(ArtifactsInput!$M$7-ArtifactsInput!$M$7)*CHOOSE(ArtifactsInput!$N$7+1,6,7.2,8.4,9.6,10.8,12)))/100)),15)/15,MIN(1,(Skills!S3*(1+((Inputs!$B$35+(ArtifactsInput!$M$7-ArtifactsInput!$M$7)*CHOOSE(ArtifactsInput!$N$7+1,6,7.2,8.4,9.6,10.8,12)))/100))/(1/Q1470)))),0)+IF(C1471=TRUE,F1471*IF(AND(Inputs!$B$39&lt;&gt;"pvp",Inputs!$B$44&gt;0),(((R1471-1)*MIN((Skills!S4*(1+((Inputs!$B$35+(ArtifactsInput!$M$7-ArtifactsInput!$M$7)*CHOOSE(ArtifactsInput!$N$7+1,6,7.2,8.4,9.6,10.8,12)))/100)),(1/Q1471))+MIN((Skills!S4*(1+((Inputs!$B$35+(ArtifactsInput!$M$7-ArtifactsInput!$M$7)*CHOOSE(ArtifactsInput!$N$7+1,6,7.2,8.4,9.6,10.8,12)))/100)),MAX(0,Inputs!$B$44-((R1471-1)*(1/Q1471)))))/Inputs!$B$44),IF(Inputs!$B$39="pvp",MIN((Skills!S4*(1+((Inputs!$B$35+(ArtifactsInput!$M$7-ArtifactsInput!$M$7)*CHOOSE(ArtifactsInput!$N$7+1,6,7.2,8.4,9.6,10.8,12)))/100)),15)/15,MIN(1,(Skills!S4*(1+((Inputs!$B$35+(ArtifactsInput!$M$7-ArtifactsInput!$M$7)*CHOOSE(ArtifactsInput!$N$7+1,6,7.2,8.4,9.6,10.8,12)))/100))/(1/Q1471)))),0)+IF(C1472=TRUE,F1472*IF(AND(Inputs!$B$39&lt;&gt;"pvp",Inputs!$B$44&gt;0),(((R1472-1)*MIN((Skills!S5*(1+((Inputs!$B$35+(ArtifactsInput!$M$7-ArtifactsInput!$M$7)*CHOOSE(ArtifactsInput!$N$7+1,6,7.2,8.4,9.6,10.8,12)))/100)),(1/Q1472))+MIN((Skills!S5*(1+((Inputs!$B$35+(ArtifactsInput!$M$7-ArtifactsInput!$M$7)*CHOOSE(ArtifactsInput!$N$7+1,6,7.2,8.4,9.6,10.8,12)))/100)),MAX(0,Inputs!$B$44-((R1472-1)*(1/Q1472)))))/Inputs!$B$44),IF(Inputs!$B$39="pvp",MIN((Skills!S5*(1+((Inputs!$B$35+(ArtifactsInput!$M$7-ArtifactsInput!$M$7)*CHOOSE(ArtifactsInput!$N$7+1,6,7.2,8.4,9.6,10.8,12)))/100)),15)/15,MIN(1,(Skills!S5*(1+((Inputs!$B$35+(ArtifactsInput!$M$7-ArtifactsInput!$M$7)*CHOOSE(ArtifactsInput!$N$7+1,6,7.2,8.4,9.6,10.8,12)))/100))/(1/Q1472)))),0)+IF(C1478=TRUE,F1478*IF(AND(Inputs!$B$39&lt;&gt;"pvp",Inputs!$B$44&gt;0),(((R1478-1)*MIN((Skills!S11*(1+((Inputs!$B$35+(ArtifactsInput!$M$7-ArtifactsInput!$M$7)*CHOOSE(ArtifactsInput!$N$7+1,6,7.2,8.4,9.6,10.8,12)))/100)),(1/Q1478))+MIN((Skills!S11*(1+((Inputs!$B$35+(ArtifactsInput!$M$7-ArtifactsInput!$M$7)*CHOOSE(ArtifactsInput!$N$7+1,6,7.2,8.4,9.6,10.8,12)))/100)),MAX(0,Inputs!$B$44-((R1478-1)*(1/Q1478)))))/Inputs!$B$44),IF(Inputs!$B$39="pvp",MIN((Skills!S11*(1+((Inputs!$B$35+(ArtifactsInput!$M$7-ArtifactsInput!$M$7)*CHOOSE(ArtifactsInput!$N$7+1,6,7.2,8.4,9.6,10.8,12)))/100)),15)/15,MIN(1,(Skills!S11*(1+((Inputs!$B$35+(ArtifactsInput!$M$7-ArtifactsInput!$M$7)*CHOOSE(ArtifactsInput!$N$7+1,6,7.2,8.4,9.6,10.8,12)))/100))/(1/Q1478)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MIN((Skills!S14*(1+((Inputs!$B$35+(ArtifactsInput!$M$7-ArtifactsInput!$M$7)*CHOOSE(ArtifactsInput!$N$7+1,6,7.2,8.4,9.6,10.8,12)))/100)),(1/Q1481))+MIN((Skills!S14*(1+((Inputs!$B$35+(ArtifactsInput!$M$7-ArtifactsInput!$M$7)*CHOOSE(ArtifactsInput!$N$7+1,6,7.2,8.4,9.6,10.8,12)))/100)),MAX(0,Inputs!$B$44-((R1481-1)*(1/Q1481)))))/Inputs!$B$44),IF(Inputs!$B$39="pvp",MIN((Skills!S14*(1+((Inputs!$B$35+(ArtifactsInput!$M$7-ArtifactsInput!$M$7)*CHOOSE(ArtifactsInput!$N$7+1,6,7.2,8.4,9.6,10.8,12)))/100)),15)/15,MIN(1,(Skills!S14*(1+((Inputs!$B$35+(ArtifactsInput!$M$7-ArtifactsInput!$M$7)*CHOOSE(ArtifactsInput!$N$7+1,6,7.2,8.4,9.6,10.8,12)))/100))/(1/Q1481))))/100),1)*IF(C1486=TRUE,(1+F1486*IF(AND(Inputs!$B$39&lt;&gt;"pvp",Inputs!$B$44&gt;0),(((R1486-1)*MIN((Skills!S19*(1+((Inputs!$B$35+(ArtifactsInput!$M$7-ArtifactsInput!$M$7)*CHOOSE(ArtifactsInput!$N$7+1,6,7.2,8.4,9.6,10.8,12)))/100)),(1/Q1486))+MIN((Skills!S19*(1+((Inputs!$B$35+(ArtifactsInput!$M$7-ArtifactsInput!$M$7)*CHOOSE(ArtifactsInput!$N$7+1,6,7.2,8.4,9.6,10.8,12)))/100)),MAX(0,Inputs!$B$44-((R1486-1)*(1/Q1486)))))/Inputs!$B$44),IF(Inputs!$B$39="pvp",MIN((Skills!S19*(1+((Inputs!$B$35+(ArtifactsInput!$M$7-ArtifactsInput!$M$7)*CHOOSE(ArtifactsInput!$N$7+1,6,7.2,8.4,9.6,10.8,12)))/100)),15)/15,MIN(1,(Skills!S19*(1+((Inputs!$B$35+(ArtifactsInput!$M$7-ArtifactsInput!$M$7)*CHOOSE(ArtifactsInput!$N$7+1,6,7.2,8.4,9.6,10.8,12)))/100))/(1/Q1486))))/100),1)</f>
        <v/>
      </c>
    </row>
    <row r="1498">
      <c r="A1498" t="inlineStr">
        <is>
          <t>Monster Damage Taken Bonus % (Holy Fountain)</t>
        </is>
      </c>
      <c r="B1498">
        <f>IF(Inputs!$B$3&gt;=68,20*IF(Inputs!$B$39="pvp",MIN((15*(1+((Inputs!$B$35+(ArtifactsInput!$M$7-ArtifactsInput!$M$7)*CHOOSE(ArtifactsInput!$N$7+1,6,7.2,8.4,9.6,10.8,12)))/100)),15)/15,MIN(1,(15*(1+((Inputs!$B$35+(ArtifactsInput!$M$7-ArtifactsInput!$M$7)*CHOOSE(ArtifactsInput!$N$7+1,6,7.2,8.4,9.6,10.8,12)))/100))/(1/Q1477))),0)</f>
        <v/>
      </c>
    </row>
    <row r="1499">
      <c r="A1499" t="inlineStr">
        <is>
          <t>Normal Monster Damage Bonus % (Holy Symbol)</t>
        </is>
      </c>
      <c r="B1499">
        <f>IF(C1479=TRUE,F1479*IF(AND(Inputs!$B$39&lt;&gt;"pvp",Inputs!$B$44&gt;0),(((R1479-1)*MIN((Skills!S12*(1+((Inputs!$B$35+(ArtifactsInput!$M$7-ArtifactsInput!$M$7)*CHOOSE(ArtifactsInput!$N$7+1,6,7.2,8.4,9.6,10.8,12)))/100)),(1/Q1479))+MIN((Skills!S12*(1+((Inputs!$B$35+(ArtifactsInput!$M$7-ArtifactsInput!$M$7)*CHOOSE(ArtifactsInput!$N$7+1,6,7.2,8.4,9.6,10.8,12)))/100)),MAX(0,Inputs!$B$44-((R1479-1)*(1/Q1479)))))/Inputs!$B$44),IF(Inputs!$B$39="pvp",MIN((Skills!S12*(1+((Inputs!$B$35+(ArtifactsInput!$M$7-ArtifactsInput!$M$7)*CHOOSE(ArtifactsInput!$N$7+1,6,7.2,8.4,9.6,10.8,12)))/100)),15)/15,MIN(1,(Skills!S12*(1+((Inputs!$B$35+(ArtifactsInput!$M$7-ArtifactsInput!$M$7)*CHOOSE(ArtifactsInput!$N$7+1,6,7.2,8.4,9.6,10.8,12)))/100))/(1/Q1479)))),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MIN((Skills!S28*(1+((Inputs!$B$35+(ArtifactsInput!$M$7-ArtifactsInput!$M$7)*CHOOSE(ArtifactsInput!$N$7+1,6,7.2,8.4,9.6,10.8,12)))/100)),(1/Q1495))+MIN((Skills!S28*(1+((Inputs!$B$35+(ArtifactsInput!$M$7-ArtifactsInput!$M$7)*CHOOSE(ArtifactsInput!$N$7+1,6,7.2,8.4,9.6,10.8,12)))/100)),MAX(0,Inputs!$B$44-((R1495-1)*(1/Q1495)))))/Inputs!$B$44),IF(Inputs!$B$39="pvp",MIN((Skills!S28*(1+((Inputs!$B$35+(ArtifactsInput!$M$7-ArtifactsInput!$M$7)*CHOOSE(ArtifactsInput!$N$7+1,6,7.2,8.4,9.6,10.8,12)))/100)),15)/15,MIN(1,(Skills!S28*(1+((Inputs!$B$35+(ArtifactsInput!$M$7-ArtifactsInput!$M$7)*CHOOSE(ArtifactsInput!$N$7+1,6,7.2,8.4,9.6,10.8,12)))/100))/(1/Q1495)))))</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MIN((Skills!S13*(1+((Inputs!$B$35+(ArtifactsInput!$M$7-ArtifactsInput!$M$7)*CHOOSE(ArtifactsInput!$N$7+1,6,7.2,8.4,9.6,10.8,12)))/100)),(1/Q1480))+MIN((Skills!S13*(1+((Inputs!$B$35+(ArtifactsInput!$M$7-ArtifactsInput!$M$7)*CHOOSE(ArtifactsInput!$N$7+1,6,7.2,8.4,9.6,10.8,12)))/100)),MAX(0,Inputs!$B$44-((R1480-1)*(1/Q1480)))))/Inputs!$B$44),IF(Inputs!$B$39="pvp",MIN((Skills!S13*(1+((Inputs!$B$35+(ArtifactsInput!$M$7-ArtifactsInput!$M$7)*CHOOSE(ArtifactsInput!$N$7+1,6,7.2,8.4,9.6,10.8,12)))/100)),15)/15,MIN(1,(Skills!S13*(1+((Inputs!$B$35+(ArtifactsInput!$M$7-ArtifactsInput!$M$7)*CHOOSE(ArtifactsInput!$N$7+1,6,7.2,8.4,9.6,10.8,12)))/100))/(1/Q1480)))),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IFERROR(1/(IF(Inputs!$B$39="pvp",15,MAX(0.1,Skills!D2-IF(TRUE=TRUE,Inputs!$B$33,0)))*(1-IF(AND(ArtifactsInput!$M$27,Inputs!$B$4="Chapter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IFERROR(1/(IF(Inputs!$B$39="pvp",15,MAX(0.1,Skills!D3-IF(TRUE=TRUE,Inputs!$B$33,0)))*(1-IF(AND(ArtifactsInput!$M$27,Inputs!$B$4="Chapter Hunt"),CHOOSE(ArtifactsInput!$N$27+1,20,24,28,32,36,40),0)/100)),0)</f>
        <v/>
      </c>
      <c r="R1515">
        <f>IF(AND(Inputs!$B$39&lt;&gt;"pvp",Inputs!$B$44&gt;0),IF(Inputs!$B$44&lt;=0,0,(INT(Inputs!$B$44/(IF(Inputs!$B$39="pvp",15,MAX(0.1,Skills!D3-IF(TRUE=TRUE,Inputs!$B$33,0)))*(1-IF(AND(ArtifactsInput!$M$27,Inputs!$B$4="Chapter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IFERROR(1/(IF(Inputs!$B$39="pvp",15,MAX(0.1,Skills!D4-IF(TRUE=TRUE,Inputs!$B$33,0)))*(1-IF(AND(ArtifactsInput!$M$27,Inputs!$B$4="Chapter Hunt"),CHOOSE(ArtifactsInput!$N$27+1,20,24,28,32,36,40),0)/100)),0)</f>
        <v/>
      </c>
      <c r="R1516">
        <f>IF(AND(Inputs!$B$39&lt;&gt;"pvp",Inputs!$B$44&gt;0),IF(Inputs!$B$44&lt;=0,0,(INT(Inputs!$B$44/(IF(Inputs!$B$39="pvp",15,MAX(0.1,Skills!D4-IF(TRUE=TRUE,Inputs!$B$33,0)))*(1-IF(AND(ArtifactsInput!$M$27,Inputs!$B$4="Chapter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IFERROR(1/(IF(Inputs!$B$39="pvp",15,MAX(0.1,Skills!D5-IF(TRUE=TRUE,Inputs!$B$33,0)))*(1-IF(AND(ArtifactsInput!$M$27,Inputs!$B$4="Chapter Hunt"),CHOOSE(ArtifactsInput!$N$27+1,20,24,28,32,36,40),0)/100)),0)</f>
        <v/>
      </c>
      <c r="R1517">
        <f>IF(AND(Inputs!$B$39&lt;&gt;"pvp",Inputs!$B$44&gt;0),IF(Inputs!$B$44&lt;=0,0,(INT(Inputs!$B$44/(IF(Inputs!$B$39="pvp",15,MAX(0.1,Skills!D5-IF(TRUE=TRUE,Inputs!$B$33,0)))*(1-IF(AND(ArtifactsInput!$M$27,Inputs!$B$4="Chapter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IFERROR(1/(IF(Inputs!$B$39="pvp",15,MAX(0.1,Skills!D6-IF(TRUE=TRUE,Inputs!$B$33,0)))*(1-IF(AND(ArtifactsInput!$M$27,Inputs!$B$4="Chapter Hunt"),CHOOSE(ArtifactsInput!$N$27+1,20,24,28,32,36,40),0)/100)),0)</f>
        <v/>
      </c>
      <c r="R1518">
        <f>IF(AND(Inputs!$B$39&lt;&gt;"pvp",Inputs!$B$44&gt;0),IF(MAX(0,Inputs!$B$44-B1552)&lt;=0,0,(INT(MAX(0,Inputs!$B$44-B1552)/(IF(Inputs!$B$39="pvp",15,MAX(0.1,Skills!D6-IF(TRUE=TRUE,Inputs!$B$33,0)))*(1-IF(AND(ArtifactsInput!$M$27,Inputs!$B$4="Chapter Hunt"),CHOOSE(ArtifactsInput!$N$27+1,20,24,28,32,36,40),0)/100)))+1)),0)</f>
        <v/>
      </c>
      <c r="S1518">
        <f>IF(C1518,(H1518*N1518*IF(AND(Inputs!$B$39&lt;&gt;"pvp",Inputs!$B$44&gt;0),((Skills!F6*((R1518-1)*IF(Skills!G6&gt;0,INT(Skills!H6/Skills!G6+0.000000001),1)+IF(Skills!G6&gt;0,INT(MIN(Skills!H6,MAX(0,MAX(0,Inputs!$B$44-B1552)-((R1518-1)*(IF(Inputs!$B$39="pvp",15,MAX(0.1,Skills!D6-IF(TRUE=TRUE,Inputs!$B$33,0)))*(1-IF(AND(ArtifactsInput!$M$27,Inputs!$B$4="Chapter Hunt"),CHOOSE(ArtifactsInput!$N$27+1,20,24,28,32,36,40),0)/100)))))/Skills!G6+0.000000001),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INT(Skills!H6/Skills!G6+0.000000001),1)+IF(Skills!G6&gt;0,INT(MIN(Skills!H6,MAX(0,MAX(0,Inputs!$B$44-B1552)-((R1518-1)*(IF(Inputs!$B$39="pvp",15,MAX(0.1,Skills!D6-IF(TRUE=TRUE,Inputs!$B$33,0)))*(1-IF(AND(ArtifactsInput!$M$27,Inputs!$B$4="Chapter Hunt"),CHOOSE(ArtifactsInput!$N$27+1,20,24,28,32,36,40),0)/100)))))/Skills!G6+0.000000001),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IFERROR(1/(IF(Inputs!$B$39="pvp",15,MAX(0.1,Skills!D7-IF(TRUE=TRUE,Inputs!$B$33,0)))*(1-IF(AND(ArtifactsInput!$M$27,Inputs!$B$4="Chapter Hunt"),CHOOSE(ArtifactsInput!$N$27+1,20,24,28,32,36,40),0)/100)),0)</f>
        <v/>
      </c>
      <c r="R1519">
        <f>IF(AND(Inputs!$B$39&lt;&gt;"pvp",Inputs!$B$44&gt;0),IF(MAX(0,Inputs!$B$44-B1552)&lt;=0,0,(INT(MAX(0,Inputs!$B$44-B1552)/(IF(Inputs!$B$39="pvp",15,MAX(0.1,Skills!D7-IF(TRUE=TRUE,Inputs!$B$33,0)))*(1-IF(AND(ArtifactsInput!$M$27,Inputs!$B$4="Chapter Hunt"),CHOOSE(ArtifactsInput!$N$27+1,20,24,28,32,36,40),0)/100)))+1)),0)</f>
        <v/>
      </c>
      <c r="S1519">
        <f>IF(C1519,H1519*N1519*IF(AND(Inputs!$B$39&lt;&gt;"pvp",Inputs!$B$44&gt;0),((Skills!F7*((R1519-1)*IF(Skills!G7&gt;0,INT(Skills!H7/Skills!G7+0.000000001),1)+IF(Skills!G7&gt;0,INT(MIN(Skills!H7,MAX(0,MAX(0,Inputs!$B$44-B1552)-((R1519-1)*(IF(Inputs!$B$39="pvp",15,MAX(0.1,Skills!D7-IF(TRUE=TRUE,Inputs!$B$33,0)))*(1-IF(AND(ArtifactsInput!$M$27,Inputs!$B$4="Chapter Hunt"),CHOOSE(ArtifactsInput!$N$27+1,20,24,28,32,36,40),0)/100)))))/Skills!G7+0.000000001),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IFERROR(1/(IF(Inputs!$B$39="pvp",15,MAX(0.1,Skills!D8-IF(TRUE=TRUE,Inputs!$B$33,0)))*(1-IF(AND(ArtifactsInput!$M$27,Inputs!$B$4="Chapter Hunt"),CHOOSE(ArtifactsInput!$N$27+1,20,24,28,32,36,40),0)/100)),0)</f>
        <v/>
      </c>
      <c r="R1520">
        <f>IF(AND(Inputs!$B$39&lt;&gt;"pvp",Inputs!$B$44&gt;0),IF(MAX(0,Inputs!$B$44-B1552)&lt;=0,0,(INT(MAX(0,Inputs!$B$44-B1552)/(IF(Inputs!$B$39="pvp",15,MAX(0.1,Skills!D8-IF(TRUE=TRUE,Inputs!$B$33,0)))*(1-IF(AND(ArtifactsInput!$M$27,Inputs!$B$4="Chapter Hunt"),CHOOSE(ArtifactsInput!$N$27+1,20,24,28,32,36,40),0)/100)))+1)),0)</f>
        <v/>
      </c>
      <c r="S1520">
        <f>IF(C1520,(H1520*N1520*IF(AND(Inputs!$B$39&lt;&gt;"pvp",Inputs!$B$44&gt;0),((Skills!F8*((R1520-1)*IF(Skills!G8&gt;0,INT(Skills!H8/Skills!G8+0.000000001),1)+IF(Skills!G8&gt;0,INT(MIN(Skills!H8,MAX(0,MAX(0,Inputs!$B$44-B1552)-((R1520-1)*(IF(Inputs!$B$39="pvp",15,MAX(0.1,Skills!D8-IF(TRUE=TRUE,Inputs!$B$33,0)))*(1-IF(AND(ArtifactsInput!$M$27,Inputs!$B$4="Chapter Hunt"),CHOOSE(ArtifactsInput!$N$27+1,20,24,28,32,36,40),0)/100)))))/Skills!G8+0.000000001),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INT(Skills!H8/Skills!G8+0.000000001),1)+IF(Skills!G8&gt;0,INT(MIN(Skills!H8,MAX(0,MAX(0,Inputs!$B$44-B1552)-((R1520-1)*(IF(Inputs!$B$39="pvp",15,MAX(0.1,Skills!D8-IF(TRUE=TRUE,Inputs!$B$33,0)))*(1-IF(AND(ArtifactsInput!$M$27,Inputs!$B$4="Chapter Hunt"),CHOOSE(ArtifactsInput!$N$27+1,20,24,28,32,36,40),0)/100)))))/Skills!G8+0.000000001),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IFERROR(1/(IF(Inputs!$B$39="pvp",15,MAX(0.1,Skills!D9-IF(TRUE=TRUE,Inputs!$B$33,0)))*(1-IF(AND(ArtifactsInput!$M$27,Inputs!$B$4="Chapter Hunt"),CHOOSE(ArtifactsInput!$N$27+1,20,24,28,32,36,40),0)/100)),0)</f>
        <v/>
      </c>
      <c r="R1521">
        <f>IF(AND(Inputs!$B$39&lt;&gt;"pvp",Inputs!$B$44&gt;0),IF(MAX(0,Inputs!$B$44-B1552)&lt;=0,0,(INT(MAX(0,Inputs!$B$44-B1552)/(IF(Inputs!$B$39="pvp",15,MAX(0.1,Skills!D9-IF(TRUE=TRUE,Inputs!$B$33,0)))*(1-IF(AND(ArtifactsInput!$M$27,Inputs!$B$4="Chapter Hunt"),CHOOSE(ArtifactsInput!$N$27+1,20,24,28,32,36,40),0)/100)))+1)),0)</f>
        <v/>
      </c>
      <c r="S1521">
        <f>IF(C1521,(H1521*N1521*IF(AND(Inputs!$B$39&lt;&gt;"pvp",Inputs!$B$44&gt;0),((Skills!F9*((R1521-1)*IF(Skills!G9&gt;0,INT(Skills!H9/Skills!G9+0.000000001),1)+IF(Skills!G9&gt;0,INT(MIN(Skills!H9,MAX(0,MAX(0,Inputs!$B$44-B1552)-((R1521-1)*(IF(Inputs!$B$39="pvp",15,MAX(0.1,Skills!D9-IF(TRUE=TRUE,Inputs!$B$33,0)))*(1-IF(AND(ArtifactsInput!$M$27,Inputs!$B$4="Chapter Hunt"),CHOOSE(ArtifactsInput!$N$27+1,20,24,28,32,36,40),0)/100)))))/Skills!G9+0.000000001),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INT(Skills!H9/Skills!G9+0.000000001),1)+IF(Skills!G9&gt;0,INT(MIN(Skills!H9,MAX(0,MAX(0,Inputs!$B$44-B1552)-((R1521-1)*(IF(Inputs!$B$39="pvp",15,MAX(0.1,Skills!D9-IF(TRUE=TRUE,Inputs!$B$33,0)))*(1-IF(AND(ArtifactsInput!$M$27,Inputs!$B$4="Chapter Hunt"),CHOOSE(ArtifactsInput!$N$27+1,20,24,28,32,36,40),0)/100)))))/Skills!G9+0.000000001),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IFERROR(1/(IF(Inputs!$B$39="pvp",15,MAX(0.1,Skills!D10-IF(TRUE=TRUE,Inputs!$B$33,0)))*(1-IF(AND(ArtifactsInput!$M$27,Inputs!$B$4="Chapter Hunt"),CHOOSE(ArtifactsInput!$N$27+1,20,24,28,32,36,40),0)/100)),0)</f>
        <v/>
      </c>
      <c r="R1522">
        <f>IF(AND(Inputs!$B$39&lt;&gt;"pvp",Inputs!$B$44&gt;0),IF(MAX(0,Inputs!$B$44-B1552)&lt;=0,0,(INT(MAX(0,Inputs!$B$44-B1552)/(IF(Inputs!$B$39="pvp",15,MAX(0.1,Skills!D10-IF(TRUE=TRUE,Inputs!$B$33,0)))*(1-IF(AND(ArtifactsInput!$M$27,Inputs!$B$4="Chapter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IFERROR(1/(IF(Inputs!$B$39="pvp",15,MAX(0.1,Skills!D11-IF(TRUE=TRUE,Inputs!$B$33,0)))*(1-IF(AND(ArtifactsInput!$M$27,Inputs!$B$4="Chapter Hunt"),CHOOSE(ArtifactsInput!$N$27+1,20,24,28,32,36,40),0)/100)),0)</f>
        <v/>
      </c>
      <c r="R1523">
        <f>IF(AND(Inputs!$B$39&lt;&gt;"pvp",Inputs!$B$44&gt;0),IF(Inputs!$B$44&lt;=0,0,(INT(Inputs!$B$44/(IF(Inputs!$B$39="pvp",15,MAX(0.1,Skills!D11-IF(TRUE=TRUE,Inputs!$B$33,0)))*(1-IF(AND(ArtifactsInput!$M$27,Inputs!$B$4="Chapter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IFERROR(1/(IF(Inputs!$B$39="pvp",15,MAX(0.1,Skills!D12-IF(TRUE=TRUE,Inputs!$B$33,0)))*(1-IF(AND(ArtifactsInput!$M$27,Inputs!$B$4="Chapter Hunt"),CHOOSE(ArtifactsInput!$N$27+1,20,24,28,32,36,40),0)/100)),0)</f>
        <v/>
      </c>
      <c r="R1524">
        <f>IF(AND(Inputs!$B$39&lt;&gt;"pvp",Inputs!$B$44&gt;0),IF(MAX(0,Inputs!$B$44-B1552)&lt;=0,0,(INT(MAX(0,Inputs!$B$44-B1552)/(IF(Inputs!$B$39="pvp",15,MAX(0.1,Skills!D12-IF(TRUE=TRUE,Inputs!$B$33,0)))*(1-IF(AND(ArtifactsInput!$M$27,Inputs!$B$4="Chapter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IFERROR(1/(IF(Inputs!$B$39="pvp",15,MAX(0.1,Skills!D13-IF(TRUE=TRUE,Inputs!$B$33,0)))*(1-IF(AND(ArtifactsInput!$M$27,Inputs!$B$4="Chapter Hunt"),CHOOSE(ArtifactsInput!$N$27+1,20,24,28,32,36,40),0)/100)),0)</f>
        <v/>
      </c>
      <c r="R1525">
        <f>IF(AND(Inputs!$B$39&lt;&gt;"pvp",Inputs!$B$44&gt;0),IF(MAX(0,Inputs!$B$44-B1552)&lt;=0,0,(INT(MAX(0,Inputs!$B$44-B1552)/(IF(Inputs!$B$39="pvp",15,MAX(0.1,Skills!D13-IF(TRUE=TRUE,Inputs!$B$33,0)))*(1-IF(AND(ArtifactsInput!$M$27,Inputs!$B$4="Chapter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IFERROR(1/(IF(Inputs!$B$39="pvp",15,MAX(0.1,Skills!D14-IF(TRUE=TRUE,Inputs!$B$33,0)))*(1-IF(AND(ArtifactsInput!$M$27,Inputs!$B$4="Chapter Hunt"),CHOOSE(ArtifactsInput!$N$27+1,20,24,28,32,36,40),0)/100)),0)</f>
        <v/>
      </c>
      <c r="R1526">
        <f>IF(AND(Inputs!$B$39&lt;&gt;"pvp",Inputs!$B$44&gt;0),IF(Inputs!$B$44&lt;=0,0,(INT(Inputs!$B$44/(IF(Inputs!$B$39="pvp",15,MAX(0.1,Skills!D14-IF(TRUE=TRUE,Inputs!$B$33,0)))*(1-IF(AND(ArtifactsInput!$M$27,Inputs!$B$4="Chapter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IFERROR(1/(IF(Inputs!$B$39="pvp",15,MAX(0.1,Skills!D15-IF(TRUE=TRUE,Inputs!$B$33,0)))*(1-IF(AND(ArtifactsInput!$M$27,Inputs!$B$4="Chapter Hunt"),CHOOSE(ArtifactsInput!$N$27+1,20,24,28,32,36,40),0)/100)),0)</f>
        <v/>
      </c>
      <c r="R1527" t="n">
        <v>0</v>
      </c>
      <c r="S1527">
        <f>IF(C1527,(Skills!F15*N1527*((IF(Inputs!$B$3&gt;=78,25,15)/100*B1548*10)/(1+IF(Inputs!$B$3&gt;=78,25,15)/100*B1548*IF(Inputs!$B$39="pvp",15,MAX(0.1,18-IF(TRUE=TRUE,Inputs!$B$33,0)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IF(Inputs!$B$39="pvp",15,MAX(0.1,18-IF(TRUE=TRUE,Inputs!$B$33,0)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IFERROR(1/(IF(Inputs!$B$39="pvp",15,MAX(0.1,Skills!D16-IF(TRUE=TRUE,Inputs!$B$33,0)))*(1-IF(AND(ArtifactsInput!$M$27,Inputs!$B$4="Chapter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IFERROR(1/(IF(Inputs!$B$39="pvp",15,MAX(0.1,Skills!D17-IF(TRUE=TRUE,Inputs!$B$33,0)))*(1-IF(AND(ArtifactsInput!$M$27,Inputs!$B$4="Chapter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IFERROR(1/(IF(Inputs!$B$39="pvp",15,MAX(0.1,Skills!D18-IF(TRUE=TRUE,Inputs!$B$33,0)))*(1-IF(AND(ArtifactsInput!$M$27,Inputs!$B$4="Chapter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IFERROR(1/(IF(Inputs!$B$39="pvp",15,MAX(0.1,Skills!D19-IF(TRUE=TRUE,Inputs!$B$33,0)))*(1-IF(AND(ArtifactsInput!$M$27,Inputs!$B$4="Chapter Hunt"),CHOOSE(ArtifactsInput!$N$27+1,20,24,28,32,36,40),0)/100)),0)</f>
        <v/>
      </c>
      <c r="R1531">
        <f>IF(AND(Inputs!$B$39&lt;&gt;"pvp",Inputs!$B$44&gt;0),IF(Inputs!$B$44&lt;=0,0,(INT(Inputs!$B$44/(IF(Inputs!$B$39="pvp",15,MAX(0.1,Skills!D19-IF(TRUE=TRUE,Inputs!$B$33,0)))*(1-IF(AND(ArtifactsInput!$M$27,Inputs!$B$4="Chapter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IFERROR(1/(IF(Inputs!$B$39="pvp",15,MAX(0.1,Skills!D20-IF(TRUE=TRUE,Inputs!$B$33,0)))*(1-IF(AND(ArtifactsInput!$M$27,Inputs!$B$4="Chapter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IFERROR(1/(IF(Inputs!$B$39="pvp",15,MAX(0.1,Skills!D21-IF(TRUE=TRUE,Inputs!$B$33,0)))*(1-IF(AND(ArtifactsInput!$M$27,Inputs!$B$4="Chapter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IFERROR(1/(IF(Inputs!$B$39="pvp",15,MAX(0.1,Skills!D22-IF(TRUE=TRUE,Inputs!$B$33,0)))*(1-IF(AND(ArtifactsInput!$M$27,Inputs!$B$4="Chapter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IFERROR(1/(IF(Inputs!$B$39="pvp",15,MAX(0.1,Skills!D23-IF(TRUE=TRUE,Inputs!$B$33,0)))*(1-IF(AND(ArtifactsInput!$M$27,Inputs!$B$4="Chapter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IFERROR(1/(IF(Inputs!$B$39="pvp",15,MAX(0.1,Skills!D24-IF(TRUE=TRUE,Inputs!$B$33,0)))*(1-IF(AND(ArtifactsInput!$M$27,Inputs!$B$4="Chapter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IFERROR(1/(IF(Inputs!$B$39="pvp",15,MAX(0.1,Skills!D25-IF(TRUE=TRUE,Inputs!$B$33,0)))*(1-IF(AND(ArtifactsInput!$M$27,Inputs!$B$4="Chapter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IFERROR(1/(IF(Inputs!$B$39="pvp",15,MAX(0.1,Skills!D26-IF(TRUE=TRUE,Inputs!$B$33,0)))*(1-IF(AND(ArtifactsInput!$M$27,Inputs!$B$4="Chapter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IFERROR(1/(IF(Inputs!$B$39="pvp",15,MAX(0.1,Skills!D27-IF(TRUE=TRUE,Inputs!$B$33,0)))*(1-IF(AND(ArtifactsInput!$M$27,Inputs!$B$4="Chapter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IFERROR(1/(IF(Inputs!$B$39="pvp",15,MAX(0.1,Skills!D28-IF(TRUE=TRUE,Inputs!$B$33,0)))*(1-IF(AND(ArtifactsInput!$M$27,Inputs!$B$4="Chapter Hunt"),CHOOSE(ArtifactsInput!$N$27+1,20,24,28,32,36,40),0)/100)),0)</f>
        <v/>
      </c>
      <c r="R1540">
        <f>IF(AND(Inputs!$B$39&lt;&gt;"pvp",Inputs!$B$44&gt;0),IF(Inputs!$B$44&lt;=0,0,(INT(Inputs!$B$44/(IF(Inputs!$B$39="pvp",15,MAX(0.1,Skills!D28-IF(TRUE=TRUE,Inputs!$B$33,0)))*(1-IF(AND(ArtifactsInput!$M$27,Inputs!$B$4="Chapter Hunt"),CHOOSE(ArtifactsInput!$N$27+1,20,24,28,32,36,40),0)/100)))+1)),0)</f>
        <v/>
      </c>
      <c r="S1540" t="n">
        <v>0</v>
      </c>
      <c r="U1540" t="n">
        <v>0</v>
      </c>
    </row>
    <row r="1542">
      <c r="A1542" t="inlineStr">
        <is>
          <t>Average Buff Multiplier</t>
        </is>
      </c>
      <c r="B1542">
        <f>(1+(IF(C1515=TRUE,F1515*IF(AND(Inputs!$B$39&lt;&gt;"pvp",Inputs!$B$44&gt;0),(((R1515-1)*MIN((Skills!S3*(1+((Inputs!$B$35+(ArtifactsInput!$M$7-ArtifactsInput!$M$7)*CHOOSE(ArtifactsInput!$N$7+1,6,7.2,8.4,9.6,10.8,12)))/100)),(1/Q1515))+MIN((Skills!S3*(1+((Inputs!$B$35+(ArtifactsInput!$M$7-ArtifactsInput!$M$7)*CHOOSE(ArtifactsInput!$N$7+1,6,7.2,8.4,9.6,10.8,12)))/100)),MAX(0,Inputs!$B$44-((R1515-1)*(1/Q1515)))))/Inputs!$B$44),IF(Inputs!$B$39="pvp",MIN((Skills!S3*(1+((Inputs!$B$35+(ArtifactsInput!$M$7-ArtifactsInput!$M$7)*CHOOSE(ArtifactsInput!$N$7+1,6,7.2,8.4,9.6,10.8,12)))/100)),15)/15,MIN(1,(Skills!S3*(1+((Inputs!$B$35+(ArtifactsInput!$M$7-ArtifactsInput!$M$7)*CHOOSE(ArtifactsInput!$N$7+1,6,7.2,8.4,9.6,10.8,12)))/100))/(1/Q1515)))),0)+IF(C1516=TRUE,F1516*IF(AND(Inputs!$B$39&lt;&gt;"pvp",Inputs!$B$44&gt;0),(((R1516-1)*MIN((Skills!S4*(1+((Inputs!$B$35+(ArtifactsInput!$M$7-ArtifactsInput!$M$7)*CHOOSE(ArtifactsInput!$N$7+1,6,7.2,8.4,9.6,10.8,12)))/100)),(1/Q1516))+MIN((Skills!S4*(1+((Inputs!$B$35+(ArtifactsInput!$M$7-ArtifactsInput!$M$7)*CHOOSE(ArtifactsInput!$N$7+1,6,7.2,8.4,9.6,10.8,12)))/100)),MAX(0,Inputs!$B$44-((R1516-1)*(1/Q1516)))))/Inputs!$B$44),IF(Inputs!$B$39="pvp",MIN((Skills!S4*(1+((Inputs!$B$35+(ArtifactsInput!$M$7-ArtifactsInput!$M$7)*CHOOSE(ArtifactsInput!$N$7+1,6,7.2,8.4,9.6,10.8,12)))/100)),15)/15,MIN(1,(Skills!S4*(1+((Inputs!$B$35+(ArtifactsInput!$M$7-ArtifactsInput!$M$7)*CHOOSE(ArtifactsInput!$N$7+1,6,7.2,8.4,9.6,10.8,12)))/100))/(1/Q1516)))),0)+IF(C1517=TRUE,F1517*IF(AND(Inputs!$B$39&lt;&gt;"pvp",Inputs!$B$44&gt;0),(((R1517-1)*MIN((Skills!S5*(1+((Inputs!$B$35+(ArtifactsInput!$M$7-ArtifactsInput!$M$7)*CHOOSE(ArtifactsInput!$N$7+1,6,7.2,8.4,9.6,10.8,12)))/100)),(1/Q1517))+MIN((Skills!S5*(1+((Inputs!$B$35+(ArtifactsInput!$M$7-ArtifactsInput!$M$7)*CHOOSE(ArtifactsInput!$N$7+1,6,7.2,8.4,9.6,10.8,12)))/100)),MAX(0,Inputs!$B$44-((R1517-1)*(1/Q1517)))))/Inputs!$B$44),IF(Inputs!$B$39="pvp",MIN((Skills!S5*(1+((Inputs!$B$35+(ArtifactsInput!$M$7-ArtifactsInput!$M$7)*CHOOSE(ArtifactsInput!$N$7+1,6,7.2,8.4,9.6,10.8,12)))/100)),15)/15,MIN(1,(Skills!S5*(1+((Inputs!$B$35+(ArtifactsInput!$M$7-ArtifactsInput!$M$7)*CHOOSE(ArtifactsInput!$N$7+1,6,7.2,8.4,9.6,10.8,12)))/100))/(1/Q1517)))),0)+IF(C1523=TRUE,F1523*IF(AND(Inputs!$B$39&lt;&gt;"pvp",Inputs!$B$44&gt;0),(((R1523-1)*MIN((Skills!S11*(1+((Inputs!$B$35+(ArtifactsInput!$M$7-ArtifactsInput!$M$7)*CHOOSE(ArtifactsInput!$N$7+1,6,7.2,8.4,9.6,10.8,12)))/100)),(1/Q1523))+MIN((Skills!S11*(1+((Inputs!$B$35+(ArtifactsInput!$M$7-ArtifactsInput!$M$7)*CHOOSE(ArtifactsInput!$N$7+1,6,7.2,8.4,9.6,10.8,12)))/100)),MAX(0,Inputs!$B$44-((R1523-1)*(1/Q1523)))))/Inputs!$B$44),IF(Inputs!$B$39="pvp",MIN((Skills!S11*(1+((Inputs!$B$35+(ArtifactsInput!$M$7-ArtifactsInput!$M$7)*CHOOSE(ArtifactsInput!$N$7+1,6,7.2,8.4,9.6,10.8,12)))/100)),15)/15,MIN(1,(Skills!S11*(1+((Inputs!$B$35+(ArtifactsInput!$M$7-ArtifactsInput!$M$7)*CHOOSE(ArtifactsInput!$N$7+1,6,7.2,8.4,9.6,10.8,12)))/100))/(1/Q1523)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MIN((Skills!S14*(1+((Inputs!$B$35+(ArtifactsInput!$M$7-ArtifactsInput!$M$7)*CHOOSE(ArtifactsInput!$N$7+1,6,7.2,8.4,9.6,10.8,12)))/100)),(1/Q1526))+MIN((Skills!S14*(1+((Inputs!$B$35+(ArtifactsInput!$M$7-ArtifactsInput!$M$7)*CHOOSE(ArtifactsInput!$N$7+1,6,7.2,8.4,9.6,10.8,12)))/100)),MAX(0,Inputs!$B$44-((R1526-1)*(1/Q1526)))))/Inputs!$B$44),IF(Inputs!$B$39="pvp",MIN((Skills!S14*(1+((Inputs!$B$35+(ArtifactsInput!$M$7-ArtifactsInput!$M$7)*CHOOSE(ArtifactsInput!$N$7+1,6,7.2,8.4,9.6,10.8,12)))/100)),15)/15,MIN(1,(Skills!S14*(1+((Inputs!$B$35+(ArtifactsInput!$M$7-ArtifactsInput!$M$7)*CHOOSE(ArtifactsInput!$N$7+1,6,7.2,8.4,9.6,10.8,12)))/100))/(1/Q1526))))/100),1)*IF(C1531=TRUE,(1+F1531*IF(AND(Inputs!$B$39&lt;&gt;"pvp",Inputs!$B$44&gt;0),(((R1531-1)*MIN((Skills!S19*(1+((Inputs!$B$35+(ArtifactsInput!$M$7-ArtifactsInput!$M$7)*CHOOSE(ArtifactsInput!$N$7+1,6,7.2,8.4,9.6,10.8,12)))/100)),(1/Q1531))+MIN((Skills!S19*(1+((Inputs!$B$35+(ArtifactsInput!$M$7-ArtifactsInput!$M$7)*CHOOSE(ArtifactsInput!$N$7+1,6,7.2,8.4,9.6,10.8,12)))/100)),MAX(0,Inputs!$B$44-((R1531-1)*(1/Q1531)))))/Inputs!$B$44),IF(Inputs!$B$39="pvp",MIN((Skills!S19*(1+((Inputs!$B$35+(ArtifactsInput!$M$7-ArtifactsInput!$M$7)*CHOOSE(ArtifactsInput!$N$7+1,6,7.2,8.4,9.6,10.8,12)))/100)),15)/15,MIN(1,(Skills!S19*(1+((Inputs!$B$35+(ArtifactsInput!$M$7-ArtifactsInput!$M$7)*CHOOSE(ArtifactsInput!$N$7+1,6,7.2,8.4,9.6,10.8,12)))/100))/(1/Q1531))))/100),1)</f>
        <v/>
      </c>
    </row>
    <row r="1543">
      <c r="A1543" t="inlineStr">
        <is>
          <t>Monster Damage Taken Bonus % (Holy Fountain)</t>
        </is>
      </c>
      <c r="B1543">
        <f>IF(Inputs!$B$3&gt;=68,20*IF(Inputs!$B$39="pvp",MIN((15*(1+((Inputs!$B$35+(ArtifactsInput!$M$7-ArtifactsInput!$M$7)*CHOOSE(ArtifactsInput!$N$7+1,6,7.2,8.4,9.6,10.8,12)))/100)),15)/15,MIN(1,(15*(1+((Inputs!$B$35+(ArtifactsInput!$M$7-ArtifactsInput!$M$7)*CHOOSE(ArtifactsInput!$N$7+1,6,7.2,8.4,9.6,10.8,12)))/100))/(1/Q1522))),0)</f>
        <v/>
      </c>
    </row>
    <row r="1544">
      <c r="A1544" t="inlineStr">
        <is>
          <t>Normal Monster Damage Bonus % (Holy Symbol)</t>
        </is>
      </c>
      <c r="B1544">
        <f>IF(C1524=TRUE,F1524*IF(AND(Inputs!$B$39&lt;&gt;"pvp",Inputs!$B$44&gt;0),(((R1524-1)*MIN((Skills!S12*(1+((Inputs!$B$35+(ArtifactsInput!$M$7-ArtifactsInput!$M$7)*CHOOSE(ArtifactsInput!$N$7+1,6,7.2,8.4,9.6,10.8,12)))/100)),(1/Q1524))+MIN((Skills!S12*(1+((Inputs!$B$35+(ArtifactsInput!$M$7-ArtifactsInput!$M$7)*CHOOSE(ArtifactsInput!$N$7+1,6,7.2,8.4,9.6,10.8,12)))/100)),MAX(0,Inputs!$B$44-((R1524-1)*(1/Q1524)))))/Inputs!$B$44),IF(Inputs!$B$39="pvp",MIN((Skills!S12*(1+((Inputs!$B$35+(ArtifactsInput!$M$7-ArtifactsInput!$M$7)*CHOOSE(ArtifactsInput!$N$7+1,6,7.2,8.4,9.6,10.8,12)))/100)),15)/15,MIN(1,(Skills!S12*(1+((Inputs!$B$35+(ArtifactsInput!$M$7-ArtifactsInput!$M$7)*CHOOSE(ArtifactsInput!$N$7+1,6,7.2,8.4,9.6,10.8,12)))/100))/(1/Q1524)))),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MIN((Skills!S28*(1+((Inputs!$B$35+(ArtifactsInput!$M$7-ArtifactsInput!$M$7)*CHOOSE(ArtifactsInput!$N$7+1,6,7.2,8.4,9.6,10.8,12)))/100)),(1/Q1540))+MIN((Skills!S28*(1+((Inputs!$B$35+(ArtifactsInput!$M$7-ArtifactsInput!$M$7)*CHOOSE(ArtifactsInput!$N$7+1,6,7.2,8.4,9.6,10.8,12)))/100)),MAX(0,Inputs!$B$44-((R1540-1)*(1/Q1540)))))/Inputs!$B$44),IF(Inputs!$B$39="pvp",MIN((Skills!S28*(1+((Inputs!$B$35+(ArtifactsInput!$M$7-ArtifactsInput!$M$7)*CHOOSE(ArtifactsInput!$N$7+1,6,7.2,8.4,9.6,10.8,12)))/100)),15)/15,MIN(1,(Skills!S28*(1+((Inputs!$B$35+(ArtifactsInput!$M$7-ArtifactsInput!$M$7)*CHOOSE(ArtifactsInput!$N$7+1,6,7.2,8.4,9.6,10.8,12)))/100))/(1/Q1540)))))</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MIN((Skills!S13*(1+((Inputs!$B$35+(ArtifactsInput!$M$7-ArtifactsInput!$M$7)*CHOOSE(ArtifactsInput!$N$7+1,6,7.2,8.4,9.6,10.8,12)))/100)),(1/Q1525))+MIN((Skills!S13*(1+((Inputs!$B$35+(ArtifactsInput!$M$7-ArtifactsInput!$M$7)*CHOOSE(ArtifactsInput!$N$7+1,6,7.2,8.4,9.6,10.8,12)))/100)),MAX(0,Inputs!$B$44-((R1525-1)*(1/Q1525)))))/Inputs!$B$44),IF(Inputs!$B$39="pvp",MIN((Skills!S13*(1+((Inputs!$B$35+(ArtifactsInput!$M$7-ArtifactsInput!$M$7)*CHOOSE(ArtifactsInput!$N$7+1,6,7.2,8.4,9.6,10.8,12)))/100)),15)/15,MIN(1,(Skills!S13*(1+((Inputs!$B$35+(ArtifactsInput!$M$7-ArtifactsInput!$M$7)*CHOOSE(ArtifactsInput!$N$7+1,6,7.2,8.4,9.6,10.8,12)))/100))/(1/Q1525)))),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IFERROR(1/(IF(Inputs!$B$39="pvp",15,MAX(0.1,Skills!D2-IF(TRUE=TRUE,Inputs!$B$33,0)))*(1-IF(AND(ArtifactsInput!$M$27,Inputs!$B$4="Chapter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IFERROR(1/(IF(Inputs!$B$39="pvp",15,MAX(0.1,Skills!D3-IF(TRUE=TRUE,Inputs!$B$33,0)))*(1-IF(AND(ArtifactsInput!$M$27,Inputs!$B$4="Chapter Hunt"),CHOOSE(ArtifactsInput!$N$27+1,20,24,28,32,36,40),0)/100)),0)</f>
        <v/>
      </c>
      <c r="R1560">
        <f>IF(AND(Inputs!$B$39&lt;&gt;"pvp",Inputs!$B$44&gt;0),IF(Inputs!$B$44&lt;=0,0,(INT(Inputs!$B$44/(IF(Inputs!$B$39="pvp",15,MAX(0.1,Skills!D3-IF(TRUE=TRUE,Inputs!$B$33,0)))*(1-IF(AND(ArtifactsInput!$M$27,Inputs!$B$4="Chapter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IFERROR(1/(IF(Inputs!$B$39="pvp",15,MAX(0.1,Skills!D4-IF(TRUE=TRUE,Inputs!$B$33,0)))*(1-IF(AND(ArtifactsInput!$M$27,Inputs!$B$4="Chapter Hunt"),CHOOSE(ArtifactsInput!$N$27+1,20,24,28,32,36,40),0)/100)),0)</f>
        <v/>
      </c>
      <c r="R1561">
        <f>IF(AND(Inputs!$B$39&lt;&gt;"pvp",Inputs!$B$44&gt;0),IF(Inputs!$B$44&lt;=0,0,(INT(Inputs!$B$44/(IF(Inputs!$B$39="pvp",15,MAX(0.1,Skills!D4-IF(TRUE=TRUE,Inputs!$B$33,0)))*(1-IF(AND(ArtifactsInput!$M$27,Inputs!$B$4="Chapter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IFERROR(1/(IF(Inputs!$B$39="pvp",15,MAX(0.1,Skills!D5-IF(TRUE=TRUE,Inputs!$B$33,0)))*(1-IF(AND(ArtifactsInput!$M$27,Inputs!$B$4="Chapter Hunt"),CHOOSE(ArtifactsInput!$N$27+1,20,24,28,32,36,40),0)/100)),0)</f>
        <v/>
      </c>
      <c r="R1562">
        <f>IF(AND(Inputs!$B$39&lt;&gt;"pvp",Inputs!$B$44&gt;0),IF(Inputs!$B$44&lt;=0,0,(INT(Inputs!$B$44/(IF(Inputs!$B$39="pvp",15,MAX(0.1,Skills!D5-IF(TRUE=TRUE,Inputs!$B$33,0)))*(1-IF(AND(ArtifactsInput!$M$27,Inputs!$B$4="Chapter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IFERROR(1/(IF(Inputs!$B$39="pvp",15,MAX(0.1,Skills!D6-IF(TRUE=TRUE,Inputs!$B$33,0)))*(1-IF(AND(ArtifactsInput!$M$27,Inputs!$B$4="Chapter Hunt"),CHOOSE(ArtifactsInput!$N$27+1,20,24,28,32,36,40),0)/100)),0)</f>
        <v/>
      </c>
      <c r="R1563">
        <f>IF(AND(Inputs!$B$39&lt;&gt;"pvp",Inputs!$B$44&gt;0),IF(MAX(0,Inputs!$B$44-B1597)&lt;=0,0,(INT(MAX(0,Inputs!$B$44-B1597)/(IF(Inputs!$B$39="pvp",15,MAX(0.1,Skills!D6-IF(TRUE=TRUE,Inputs!$B$33,0)))*(1-IF(AND(ArtifactsInput!$M$27,Inputs!$B$4="Chapter Hunt"),CHOOSE(ArtifactsInput!$N$27+1,20,24,28,32,36,40),0)/100)))+1)),0)</f>
        <v/>
      </c>
      <c r="S1563">
        <f>IF(C1563,(H1563*N1563*IF(AND(Inputs!$B$39&lt;&gt;"pvp",Inputs!$B$44&gt;0),((Skills!F6*((R1563-1)*IF(Skills!G6&gt;0,INT(Skills!H6/Skills!G6+0.000000001),1)+IF(Skills!G6&gt;0,INT(MIN(Skills!H6,MAX(0,MAX(0,Inputs!$B$44-B1597)-((R1563-1)*(IF(Inputs!$B$39="pvp",15,MAX(0.1,Skills!D6-IF(TRUE=TRUE,Inputs!$B$33,0)))*(1-IF(AND(ArtifactsInput!$M$27,Inputs!$B$4="Chapter Hunt"),CHOOSE(ArtifactsInput!$N$27+1,20,24,28,32,36,40),0)/100)))))/Skills!G6+0.000000001),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INT(Skills!H6/Skills!G6+0.000000001),1)+IF(Skills!G6&gt;0,INT(MIN(Skills!H6,MAX(0,MAX(0,Inputs!$B$44-B1597)-((R1563-1)*(IF(Inputs!$B$39="pvp",15,MAX(0.1,Skills!D6-IF(TRUE=TRUE,Inputs!$B$33,0)))*(1-IF(AND(ArtifactsInput!$M$27,Inputs!$B$4="Chapter Hunt"),CHOOSE(ArtifactsInput!$N$27+1,20,24,28,32,36,40),0)/100)))))/Skills!G6+0.000000001),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IFERROR(1/(IF(Inputs!$B$39="pvp",15,MAX(0.1,Skills!D7-IF(TRUE=TRUE,Inputs!$B$33,0)))*(1-IF(AND(ArtifactsInput!$M$27,Inputs!$B$4="Chapter Hunt"),CHOOSE(ArtifactsInput!$N$27+1,20,24,28,32,36,40),0)/100)),0)</f>
        <v/>
      </c>
      <c r="R1564">
        <f>IF(AND(Inputs!$B$39&lt;&gt;"pvp",Inputs!$B$44&gt;0),IF(MAX(0,Inputs!$B$44-B1597)&lt;=0,0,(INT(MAX(0,Inputs!$B$44-B1597)/(IF(Inputs!$B$39="pvp",15,MAX(0.1,Skills!D7-IF(TRUE=TRUE,Inputs!$B$33,0)))*(1-IF(AND(ArtifactsInput!$M$27,Inputs!$B$4="Chapter Hunt"),CHOOSE(ArtifactsInput!$N$27+1,20,24,28,32,36,40),0)/100)))+1)),0)</f>
        <v/>
      </c>
      <c r="S1564">
        <f>IF(C1564,H1564*N1564*IF(AND(Inputs!$B$39&lt;&gt;"pvp",Inputs!$B$44&gt;0),((Skills!F7*((R1564-1)*IF(Skills!G7&gt;0,INT(Skills!H7/Skills!G7+0.000000001),1)+IF(Skills!G7&gt;0,INT(MIN(Skills!H7,MAX(0,MAX(0,Inputs!$B$44-B1597)-((R1564-1)*(IF(Inputs!$B$39="pvp",15,MAX(0.1,Skills!D7-IF(TRUE=TRUE,Inputs!$B$33,0)))*(1-IF(AND(ArtifactsInput!$M$27,Inputs!$B$4="Chapter Hunt"),CHOOSE(ArtifactsInput!$N$27+1,20,24,28,32,36,40),0)/100)))))/Skills!G7+0.000000001),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IFERROR(1/(IF(Inputs!$B$39="pvp",15,MAX(0.1,Skills!D8-IF(TRUE=TRUE,Inputs!$B$33,0)))*(1-IF(AND(ArtifactsInput!$M$27,Inputs!$B$4="Chapter Hunt"),CHOOSE(ArtifactsInput!$N$27+1,20,24,28,32,36,40),0)/100)),0)</f>
        <v/>
      </c>
      <c r="R1565">
        <f>IF(AND(Inputs!$B$39&lt;&gt;"pvp",Inputs!$B$44&gt;0),IF(MAX(0,Inputs!$B$44-B1597)&lt;=0,0,(INT(MAX(0,Inputs!$B$44-B1597)/(IF(Inputs!$B$39="pvp",15,MAX(0.1,Skills!D8-IF(TRUE=TRUE,Inputs!$B$33,0)))*(1-IF(AND(ArtifactsInput!$M$27,Inputs!$B$4="Chapter Hunt"),CHOOSE(ArtifactsInput!$N$27+1,20,24,28,32,36,40),0)/100)))+1)),0)</f>
        <v/>
      </c>
      <c r="S1565">
        <f>IF(C1565,(H1565*N1565*IF(AND(Inputs!$B$39&lt;&gt;"pvp",Inputs!$B$44&gt;0),((Skills!F8*((R1565-1)*IF(Skills!G8&gt;0,INT(Skills!H8/Skills!G8+0.000000001),1)+IF(Skills!G8&gt;0,INT(MIN(Skills!H8,MAX(0,MAX(0,Inputs!$B$44-B1597)-((R1565-1)*(IF(Inputs!$B$39="pvp",15,MAX(0.1,Skills!D8-IF(TRUE=TRUE,Inputs!$B$33,0)))*(1-IF(AND(ArtifactsInput!$M$27,Inputs!$B$4="Chapter Hunt"),CHOOSE(ArtifactsInput!$N$27+1,20,24,28,32,36,40),0)/100)))))/Skills!G8+0.000000001),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INT(Skills!H8/Skills!G8+0.000000001),1)+IF(Skills!G8&gt;0,INT(MIN(Skills!H8,MAX(0,MAX(0,Inputs!$B$44-B1597)-((R1565-1)*(IF(Inputs!$B$39="pvp",15,MAX(0.1,Skills!D8-IF(TRUE=TRUE,Inputs!$B$33,0)))*(1-IF(AND(ArtifactsInput!$M$27,Inputs!$B$4="Chapter Hunt"),CHOOSE(ArtifactsInput!$N$27+1,20,24,28,32,36,40),0)/100)))))/Skills!G8+0.000000001),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IFERROR(1/(IF(Inputs!$B$39="pvp",15,MAX(0.1,Skills!D9-IF(TRUE=TRUE,Inputs!$B$33,0)))*(1-IF(AND(ArtifactsInput!$M$27,Inputs!$B$4="Chapter Hunt"),CHOOSE(ArtifactsInput!$N$27+1,20,24,28,32,36,40),0)/100)),0)</f>
        <v/>
      </c>
      <c r="R1566">
        <f>IF(AND(Inputs!$B$39&lt;&gt;"pvp",Inputs!$B$44&gt;0),IF(MAX(0,Inputs!$B$44-B1597)&lt;=0,0,(INT(MAX(0,Inputs!$B$44-B1597)/(IF(Inputs!$B$39="pvp",15,MAX(0.1,Skills!D9-IF(TRUE=TRUE,Inputs!$B$33,0)))*(1-IF(AND(ArtifactsInput!$M$27,Inputs!$B$4="Chapter Hunt"),CHOOSE(ArtifactsInput!$N$27+1,20,24,28,32,36,40),0)/100)))+1)),0)</f>
        <v/>
      </c>
      <c r="S1566">
        <f>IF(C1566,(H1566*N1566*IF(AND(Inputs!$B$39&lt;&gt;"pvp",Inputs!$B$44&gt;0),((Skills!F9*((R1566-1)*IF(Skills!G9&gt;0,INT(Skills!H9/Skills!G9+0.000000001),1)+IF(Skills!G9&gt;0,INT(MIN(Skills!H9,MAX(0,MAX(0,Inputs!$B$44-B1597)-((R1566-1)*(IF(Inputs!$B$39="pvp",15,MAX(0.1,Skills!D9-IF(TRUE=TRUE,Inputs!$B$33,0)))*(1-IF(AND(ArtifactsInput!$M$27,Inputs!$B$4="Chapter Hunt"),CHOOSE(ArtifactsInput!$N$27+1,20,24,28,32,36,40),0)/100)))))/Skills!G9+0.000000001),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INT(Skills!H9/Skills!G9+0.000000001),1)+IF(Skills!G9&gt;0,INT(MIN(Skills!H9,MAX(0,MAX(0,Inputs!$B$44-B1597)-((R1566-1)*(IF(Inputs!$B$39="pvp",15,MAX(0.1,Skills!D9-IF(TRUE=TRUE,Inputs!$B$33,0)))*(1-IF(AND(ArtifactsInput!$M$27,Inputs!$B$4="Chapter Hunt"),CHOOSE(ArtifactsInput!$N$27+1,20,24,28,32,36,40),0)/100)))))/Skills!G9+0.000000001),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IFERROR(1/(IF(Inputs!$B$39="pvp",15,MAX(0.1,Skills!D10-IF(TRUE=TRUE,Inputs!$B$33,0)))*(1-IF(AND(ArtifactsInput!$M$27,Inputs!$B$4="Chapter Hunt"),CHOOSE(ArtifactsInput!$N$27+1,20,24,28,32,36,40),0)/100)),0)</f>
        <v/>
      </c>
      <c r="R1567">
        <f>IF(AND(Inputs!$B$39&lt;&gt;"pvp",Inputs!$B$44&gt;0),IF(MAX(0,Inputs!$B$44-B1597)&lt;=0,0,(INT(MAX(0,Inputs!$B$44-B1597)/(IF(Inputs!$B$39="pvp",15,MAX(0.1,Skills!D10-IF(TRUE=TRUE,Inputs!$B$33,0)))*(1-IF(AND(ArtifactsInput!$M$27,Inputs!$B$4="Chapter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IFERROR(1/(IF(Inputs!$B$39="pvp",15,MAX(0.1,Skills!D11-IF(TRUE=TRUE,Inputs!$B$33,0)))*(1-IF(AND(ArtifactsInput!$M$27,Inputs!$B$4="Chapter Hunt"),CHOOSE(ArtifactsInput!$N$27+1,20,24,28,32,36,40),0)/100)),0)</f>
        <v/>
      </c>
      <c r="R1568">
        <f>IF(AND(Inputs!$B$39&lt;&gt;"pvp",Inputs!$B$44&gt;0),IF(Inputs!$B$44&lt;=0,0,(INT(Inputs!$B$44/(IF(Inputs!$B$39="pvp",15,MAX(0.1,Skills!D11-IF(TRUE=TRUE,Inputs!$B$33,0)))*(1-IF(AND(ArtifactsInput!$M$27,Inputs!$B$4="Chapter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IFERROR(1/(IF(Inputs!$B$39="pvp",15,MAX(0.1,Skills!D12-IF(TRUE=TRUE,Inputs!$B$33,0)))*(1-IF(AND(ArtifactsInput!$M$27,Inputs!$B$4="Chapter Hunt"),CHOOSE(ArtifactsInput!$N$27+1,20,24,28,32,36,40),0)/100)),0)</f>
        <v/>
      </c>
      <c r="R1569">
        <f>IF(AND(Inputs!$B$39&lt;&gt;"pvp",Inputs!$B$44&gt;0),IF(MAX(0,Inputs!$B$44-B1597)&lt;=0,0,(INT(MAX(0,Inputs!$B$44-B1597)/(IF(Inputs!$B$39="pvp",15,MAX(0.1,Skills!D12-IF(TRUE=TRUE,Inputs!$B$33,0)))*(1-IF(AND(ArtifactsInput!$M$27,Inputs!$B$4="Chapter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IFERROR(1/(IF(Inputs!$B$39="pvp",15,MAX(0.1,Skills!D13-IF(TRUE=TRUE,Inputs!$B$33,0)))*(1-IF(AND(ArtifactsInput!$M$27,Inputs!$B$4="Chapter Hunt"),CHOOSE(ArtifactsInput!$N$27+1,20,24,28,32,36,40),0)/100)),0)</f>
        <v/>
      </c>
      <c r="R1570">
        <f>IF(AND(Inputs!$B$39&lt;&gt;"pvp",Inputs!$B$44&gt;0),IF(MAX(0,Inputs!$B$44-B1597)&lt;=0,0,(INT(MAX(0,Inputs!$B$44-B1597)/(IF(Inputs!$B$39="pvp",15,MAX(0.1,Skills!D13-IF(TRUE=TRUE,Inputs!$B$33,0)))*(1-IF(AND(ArtifactsInput!$M$27,Inputs!$B$4="Chapter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IFERROR(1/(IF(Inputs!$B$39="pvp",15,MAX(0.1,Skills!D14-IF(TRUE=TRUE,Inputs!$B$33,0)))*(1-IF(AND(ArtifactsInput!$M$27,Inputs!$B$4="Chapter Hunt"),CHOOSE(ArtifactsInput!$N$27+1,20,24,28,32,36,40),0)/100)),0)</f>
        <v/>
      </c>
      <c r="R1571">
        <f>IF(AND(Inputs!$B$39&lt;&gt;"pvp",Inputs!$B$44&gt;0),IF(Inputs!$B$44&lt;=0,0,(INT(Inputs!$B$44/(IF(Inputs!$B$39="pvp",15,MAX(0.1,Skills!D14-IF(TRUE=TRUE,Inputs!$B$33,0)))*(1-IF(AND(ArtifactsInput!$M$27,Inputs!$B$4="Chapter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IFERROR(1/(IF(Inputs!$B$39="pvp",15,MAX(0.1,Skills!D15-IF(TRUE=TRUE,Inputs!$B$33,0)))*(1-IF(AND(ArtifactsInput!$M$27,Inputs!$B$4="Chapter Hunt"),CHOOSE(ArtifactsInput!$N$27+1,20,24,28,32,36,40),0)/100)),0)</f>
        <v/>
      </c>
      <c r="R1572" t="n">
        <v>0</v>
      </c>
      <c r="S1572">
        <f>IF(C1572,(Skills!F15*N1572*((IF(Inputs!$B$3&gt;=78,25,15)/100*B1593*10)/(1+IF(Inputs!$B$3&gt;=78,25,15)/100*B1593*IF(Inputs!$B$39="pvp",15,MAX(0.1,18-IF(TRUE=TRUE,Inputs!$B$33,0)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IF(Inputs!$B$39="pvp",15,MAX(0.1,18-IF(TRUE=TRUE,Inputs!$B$33,0)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IFERROR(1/(IF(Inputs!$B$39="pvp",15,MAX(0.1,Skills!D16-IF(TRUE=TRUE,Inputs!$B$33,0)))*(1-IF(AND(ArtifactsInput!$M$27,Inputs!$B$4="Chapter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IFERROR(1/(IF(Inputs!$B$39="pvp",15,MAX(0.1,Skills!D17-IF(TRUE=TRUE,Inputs!$B$33,0)))*(1-IF(AND(ArtifactsInput!$M$27,Inputs!$B$4="Chapter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IFERROR(1/(IF(Inputs!$B$39="pvp",15,MAX(0.1,Skills!D18-IF(TRUE=TRUE,Inputs!$B$33,0)))*(1-IF(AND(ArtifactsInput!$M$27,Inputs!$B$4="Chapter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IFERROR(1/(IF(Inputs!$B$39="pvp",15,MAX(0.1,Skills!D19-IF(TRUE=TRUE,Inputs!$B$33,0)))*(1-IF(AND(ArtifactsInput!$M$27,Inputs!$B$4="Chapter Hunt"),CHOOSE(ArtifactsInput!$N$27+1,20,24,28,32,36,40),0)/100)),0)</f>
        <v/>
      </c>
      <c r="R1576">
        <f>IF(AND(Inputs!$B$39&lt;&gt;"pvp",Inputs!$B$44&gt;0),IF(Inputs!$B$44&lt;=0,0,(INT(Inputs!$B$44/(IF(Inputs!$B$39="pvp",15,MAX(0.1,Skills!D19-IF(TRUE=TRUE,Inputs!$B$33,0)))*(1-IF(AND(ArtifactsInput!$M$27,Inputs!$B$4="Chapter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IFERROR(1/(IF(Inputs!$B$39="pvp",15,MAX(0.1,Skills!D20-IF(TRUE=TRUE,Inputs!$B$33,0)))*(1-IF(AND(ArtifactsInput!$M$27,Inputs!$B$4="Chapter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IFERROR(1/(IF(Inputs!$B$39="pvp",15,MAX(0.1,Skills!D21-IF(TRUE=TRUE,Inputs!$B$33,0)))*(1-IF(AND(ArtifactsInput!$M$27,Inputs!$B$4="Chapter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IFERROR(1/(IF(Inputs!$B$39="pvp",15,MAX(0.1,Skills!D22-IF(TRUE=TRUE,Inputs!$B$33,0)))*(1-IF(AND(ArtifactsInput!$M$27,Inputs!$B$4="Chapter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IFERROR(1/(IF(Inputs!$B$39="pvp",15,MAX(0.1,Skills!D23-IF(TRUE=TRUE,Inputs!$B$33,0)))*(1-IF(AND(ArtifactsInput!$M$27,Inputs!$B$4="Chapter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IFERROR(1/(IF(Inputs!$B$39="pvp",15,MAX(0.1,Skills!D24-IF(TRUE=TRUE,Inputs!$B$33,0)))*(1-IF(AND(ArtifactsInput!$M$27,Inputs!$B$4="Chapter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IFERROR(1/(IF(Inputs!$B$39="pvp",15,MAX(0.1,Skills!D25-IF(TRUE=TRUE,Inputs!$B$33,0)))*(1-IF(AND(ArtifactsInput!$M$27,Inputs!$B$4="Chapter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IFERROR(1/(IF(Inputs!$B$39="pvp",15,MAX(0.1,Skills!D26-IF(TRUE=TRUE,Inputs!$B$33,0)))*(1-IF(AND(ArtifactsInput!$M$27,Inputs!$B$4="Chapter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IFERROR(1/(IF(Inputs!$B$39="pvp",15,MAX(0.1,Skills!D27-IF(TRUE=TRUE,Inputs!$B$33,0)))*(1-IF(AND(ArtifactsInput!$M$27,Inputs!$B$4="Chapter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IFERROR(1/(IF(Inputs!$B$39="pvp",15,MAX(0.1,Skills!D28-IF(TRUE=TRUE,Inputs!$B$33,0)))*(1-IF(AND(ArtifactsInput!$M$27,Inputs!$B$4="Chapter Hunt"),CHOOSE(ArtifactsInput!$N$27+1,20,24,28,32,36,40),0)/100)),0)</f>
        <v/>
      </c>
      <c r="R1585">
        <f>IF(AND(Inputs!$B$39&lt;&gt;"pvp",Inputs!$B$44&gt;0),IF(Inputs!$B$44&lt;=0,0,(INT(Inputs!$B$44/(IF(Inputs!$B$39="pvp",15,MAX(0.1,Skills!D28-IF(TRUE=TRUE,Inputs!$B$33,0)))*(1-IF(AND(ArtifactsInput!$M$27,Inputs!$B$4="Chapter Hunt"),CHOOSE(ArtifactsInput!$N$27+1,20,24,28,32,36,40),0)/100)))+1)),0)</f>
        <v/>
      </c>
      <c r="S1585" t="n">
        <v>0</v>
      </c>
      <c r="U1585" t="n">
        <v>0</v>
      </c>
    </row>
    <row r="1587">
      <c r="A1587" t="inlineStr">
        <is>
          <t>Average Buff Multiplier</t>
        </is>
      </c>
      <c r="B1587">
        <f>(1+(IF(C1560=TRUE,F1560*IF(AND(Inputs!$B$39&lt;&gt;"pvp",Inputs!$B$44&gt;0),(((R1560-1)*MIN((Skills!S3*(1+((Inputs!$B$35+(ArtifactsInput!$M$7-ArtifactsInput!$M$7)*CHOOSE(ArtifactsInput!$N$7+1,6,7.2,8.4,9.6,10.8,12)))/100)),(1/Q1560))+MIN((Skills!S3*(1+((Inputs!$B$35+(ArtifactsInput!$M$7-ArtifactsInput!$M$7)*CHOOSE(ArtifactsInput!$N$7+1,6,7.2,8.4,9.6,10.8,12)))/100)),MAX(0,Inputs!$B$44-((R1560-1)*(1/Q1560)))))/Inputs!$B$44),IF(Inputs!$B$39="pvp",MIN((Skills!S3*(1+((Inputs!$B$35+(ArtifactsInput!$M$7-ArtifactsInput!$M$7)*CHOOSE(ArtifactsInput!$N$7+1,6,7.2,8.4,9.6,10.8,12)))/100)),15)/15,MIN(1,(Skills!S3*(1+((Inputs!$B$35+(ArtifactsInput!$M$7-ArtifactsInput!$M$7)*CHOOSE(ArtifactsInput!$N$7+1,6,7.2,8.4,9.6,10.8,12)))/100))/(1/Q1560)))),0)+IF(C1561=TRUE,F1561*IF(AND(Inputs!$B$39&lt;&gt;"pvp",Inputs!$B$44&gt;0),(((R1561-1)*MIN((Skills!S4*(1+((Inputs!$B$35+(ArtifactsInput!$M$7-ArtifactsInput!$M$7)*CHOOSE(ArtifactsInput!$N$7+1,6,7.2,8.4,9.6,10.8,12)))/100)),(1/Q1561))+MIN((Skills!S4*(1+((Inputs!$B$35+(ArtifactsInput!$M$7-ArtifactsInput!$M$7)*CHOOSE(ArtifactsInput!$N$7+1,6,7.2,8.4,9.6,10.8,12)))/100)),MAX(0,Inputs!$B$44-((R1561-1)*(1/Q1561)))))/Inputs!$B$44),IF(Inputs!$B$39="pvp",MIN((Skills!S4*(1+((Inputs!$B$35+(ArtifactsInput!$M$7-ArtifactsInput!$M$7)*CHOOSE(ArtifactsInput!$N$7+1,6,7.2,8.4,9.6,10.8,12)))/100)),15)/15,MIN(1,(Skills!S4*(1+((Inputs!$B$35+(ArtifactsInput!$M$7-ArtifactsInput!$M$7)*CHOOSE(ArtifactsInput!$N$7+1,6,7.2,8.4,9.6,10.8,12)))/100))/(1/Q1561)))),0)+IF(C1562=TRUE,F1562*IF(AND(Inputs!$B$39&lt;&gt;"pvp",Inputs!$B$44&gt;0),(((R1562-1)*MIN((Skills!S5*(1+((Inputs!$B$35+(ArtifactsInput!$M$7-ArtifactsInput!$M$7)*CHOOSE(ArtifactsInput!$N$7+1,6,7.2,8.4,9.6,10.8,12)))/100)),(1/Q1562))+MIN((Skills!S5*(1+((Inputs!$B$35+(ArtifactsInput!$M$7-ArtifactsInput!$M$7)*CHOOSE(ArtifactsInput!$N$7+1,6,7.2,8.4,9.6,10.8,12)))/100)),MAX(0,Inputs!$B$44-((R1562-1)*(1/Q1562)))))/Inputs!$B$44),IF(Inputs!$B$39="pvp",MIN((Skills!S5*(1+((Inputs!$B$35+(ArtifactsInput!$M$7-ArtifactsInput!$M$7)*CHOOSE(ArtifactsInput!$N$7+1,6,7.2,8.4,9.6,10.8,12)))/100)),15)/15,MIN(1,(Skills!S5*(1+((Inputs!$B$35+(ArtifactsInput!$M$7-ArtifactsInput!$M$7)*CHOOSE(ArtifactsInput!$N$7+1,6,7.2,8.4,9.6,10.8,12)))/100))/(1/Q1562)))),0)+IF(C1568=TRUE,F1568*IF(AND(Inputs!$B$39&lt;&gt;"pvp",Inputs!$B$44&gt;0),(((R1568-1)*MIN((Skills!S11*(1+((Inputs!$B$35+(ArtifactsInput!$M$7-ArtifactsInput!$M$7)*CHOOSE(ArtifactsInput!$N$7+1,6,7.2,8.4,9.6,10.8,12)))/100)),(1/Q1568))+MIN((Skills!S11*(1+((Inputs!$B$35+(ArtifactsInput!$M$7-ArtifactsInput!$M$7)*CHOOSE(ArtifactsInput!$N$7+1,6,7.2,8.4,9.6,10.8,12)))/100)),MAX(0,Inputs!$B$44-((R1568-1)*(1/Q1568)))))/Inputs!$B$44),IF(Inputs!$B$39="pvp",MIN((Skills!S11*(1+((Inputs!$B$35+(ArtifactsInput!$M$7-ArtifactsInput!$M$7)*CHOOSE(ArtifactsInput!$N$7+1,6,7.2,8.4,9.6,10.8,12)))/100)),15)/15,MIN(1,(Skills!S11*(1+((Inputs!$B$35+(ArtifactsInput!$M$7-ArtifactsInput!$M$7)*CHOOSE(ArtifactsInput!$N$7+1,6,7.2,8.4,9.6,10.8,12)))/100))/(1/Q1568)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MIN((Skills!S14*(1+((Inputs!$B$35+(ArtifactsInput!$M$7-ArtifactsInput!$M$7)*CHOOSE(ArtifactsInput!$N$7+1,6,7.2,8.4,9.6,10.8,12)))/100)),(1/Q1571))+MIN((Skills!S14*(1+((Inputs!$B$35+(ArtifactsInput!$M$7-ArtifactsInput!$M$7)*CHOOSE(ArtifactsInput!$N$7+1,6,7.2,8.4,9.6,10.8,12)))/100)),MAX(0,Inputs!$B$44-((R1571-1)*(1/Q1571)))))/Inputs!$B$44),IF(Inputs!$B$39="pvp",MIN((Skills!S14*(1+((Inputs!$B$35+(ArtifactsInput!$M$7-ArtifactsInput!$M$7)*CHOOSE(ArtifactsInput!$N$7+1,6,7.2,8.4,9.6,10.8,12)))/100)),15)/15,MIN(1,(Skills!S14*(1+((Inputs!$B$35+(ArtifactsInput!$M$7-ArtifactsInput!$M$7)*CHOOSE(ArtifactsInput!$N$7+1,6,7.2,8.4,9.6,10.8,12)))/100))/(1/Q1571))))/100),1)*IF(C1576=TRUE,(1+F1576*IF(AND(Inputs!$B$39&lt;&gt;"pvp",Inputs!$B$44&gt;0),(((R1576-1)*MIN((Skills!S19*(1+((Inputs!$B$35+(ArtifactsInput!$M$7-ArtifactsInput!$M$7)*CHOOSE(ArtifactsInput!$N$7+1,6,7.2,8.4,9.6,10.8,12)))/100)),(1/Q1576))+MIN((Skills!S19*(1+((Inputs!$B$35+(ArtifactsInput!$M$7-ArtifactsInput!$M$7)*CHOOSE(ArtifactsInput!$N$7+1,6,7.2,8.4,9.6,10.8,12)))/100)),MAX(0,Inputs!$B$44-((R1576-1)*(1/Q1576)))))/Inputs!$B$44),IF(Inputs!$B$39="pvp",MIN((Skills!S19*(1+((Inputs!$B$35+(ArtifactsInput!$M$7-ArtifactsInput!$M$7)*CHOOSE(ArtifactsInput!$N$7+1,6,7.2,8.4,9.6,10.8,12)))/100)),15)/15,MIN(1,(Skills!S19*(1+((Inputs!$B$35+(ArtifactsInput!$M$7-ArtifactsInput!$M$7)*CHOOSE(ArtifactsInput!$N$7+1,6,7.2,8.4,9.6,10.8,12)))/100))/(1/Q1576))))/100),1)</f>
        <v/>
      </c>
    </row>
    <row r="1588">
      <c r="A1588" t="inlineStr">
        <is>
          <t>Monster Damage Taken Bonus % (Holy Fountain)</t>
        </is>
      </c>
      <c r="B1588">
        <f>IF(Inputs!$B$3&gt;=68,20*IF(Inputs!$B$39="pvp",MIN((15*(1+((Inputs!$B$35+(ArtifactsInput!$M$7-ArtifactsInput!$M$7)*CHOOSE(ArtifactsInput!$N$7+1,6,7.2,8.4,9.6,10.8,12)))/100)),15)/15,MIN(1,(15*(1+((Inputs!$B$35+(ArtifactsInput!$M$7-ArtifactsInput!$M$7)*CHOOSE(ArtifactsInput!$N$7+1,6,7.2,8.4,9.6,10.8,12)))/100))/(1/Q1567))),0)</f>
        <v/>
      </c>
    </row>
    <row r="1589">
      <c r="A1589" t="inlineStr">
        <is>
          <t>Normal Monster Damage Bonus % (Holy Symbol)</t>
        </is>
      </c>
      <c r="B1589">
        <f>IF(C1569=TRUE,F1569*IF(AND(Inputs!$B$39&lt;&gt;"pvp",Inputs!$B$44&gt;0),(((R1569-1)*MIN((Skills!S12*(1+((Inputs!$B$35+(ArtifactsInput!$M$7-ArtifactsInput!$M$7)*CHOOSE(ArtifactsInput!$N$7+1,6,7.2,8.4,9.6,10.8,12)))/100)),(1/Q1569))+MIN((Skills!S12*(1+((Inputs!$B$35+(ArtifactsInput!$M$7-ArtifactsInput!$M$7)*CHOOSE(ArtifactsInput!$N$7+1,6,7.2,8.4,9.6,10.8,12)))/100)),MAX(0,Inputs!$B$44-((R1569-1)*(1/Q1569)))))/Inputs!$B$44),IF(Inputs!$B$39="pvp",MIN((Skills!S12*(1+((Inputs!$B$35+(ArtifactsInput!$M$7-ArtifactsInput!$M$7)*CHOOSE(ArtifactsInput!$N$7+1,6,7.2,8.4,9.6,10.8,12)))/100)),15)/15,MIN(1,(Skills!S12*(1+((Inputs!$B$35+(ArtifactsInput!$M$7-ArtifactsInput!$M$7)*CHOOSE(ArtifactsInput!$N$7+1,6,7.2,8.4,9.6,10.8,12)))/100))/(1/Q1569)))),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MIN((Skills!S28*(1+((Inputs!$B$35+(ArtifactsInput!$M$7-ArtifactsInput!$M$7)*CHOOSE(ArtifactsInput!$N$7+1,6,7.2,8.4,9.6,10.8,12)))/100)),(1/Q1585))+MIN((Skills!S28*(1+((Inputs!$B$35+(ArtifactsInput!$M$7-ArtifactsInput!$M$7)*CHOOSE(ArtifactsInput!$N$7+1,6,7.2,8.4,9.6,10.8,12)))/100)),MAX(0,Inputs!$B$44-((R1585-1)*(1/Q1585)))))/Inputs!$B$44),IF(Inputs!$B$39="pvp",MIN((Skills!S28*(1+((Inputs!$B$35+(ArtifactsInput!$M$7-ArtifactsInput!$M$7)*CHOOSE(ArtifactsInput!$N$7+1,6,7.2,8.4,9.6,10.8,12)))/100)),15)/15,MIN(1,(Skills!S28*(1+((Inputs!$B$35+(ArtifactsInput!$M$7-ArtifactsInput!$M$7)*CHOOSE(ArtifactsInput!$N$7+1,6,7.2,8.4,9.6,10.8,12)))/100))/(1/Q1585)))))</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MIN((Skills!S13*(1+((Inputs!$B$35+(ArtifactsInput!$M$7-ArtifactsInput!$M$7)*CHOOSE(ArtifactsInput!$N$7+1,6,7.2,8.4,9.6,10.8,12)))/100)),(1/Q1570))+MIN((Skills!S13*(1+((Inputs!$B$35+(ArtifactsInput!$M$7-ArtifactsInput!$M$7)*CHOOSE(ArtifactsInput!$N$7+1,6,7.2,8.4,9.6,10.8,12)))/100)),MAX(0,Inputs!$B$44-((R1570-1)*(1/Q1570)))))/Inputs!$B$44),IF(Inputs!$B$39="pvp",MIN((Skills!S13*(1+((Inputs!$B$35+(ArtifactsInput!$M$7-ArtifactsInput!$M$7)*CHOOSE(ArtifactsInput!$N$7+1,6,7.2,8.4,9.6,10.8,12)))/100)),15)/15,MIN(1,(Skills!S13*(1+((Inputs!$B$35+(ArtifactsInput!$M$7-ArtifactsInput!$M$7)*CHOOSE(ArtifactsInput!$N$7+1,6,7.2,8.4,9.6,10.8,12)))/100))/(1/Q1570)))),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IFERROR(1/(IF(Inputs!$B$39="pvp",15,MAX(0.1,Skills!D2-IF(TRUE=TRUE,Inputs!$B$33,0)))*(1-IF(AND(ArtifactsInput!$M$27,Inputs!$B$4="Chapter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IFERROR(1/(IF(Inputs!$B$39="pvp",15,MAX(0.1,Skills!D3-IF(TRUE=TRUE,Inputs!$B$33,0)))*(1-IF(AND(ArtifactsInput!$M$27,Inputs!$B$4="Chapter Hunt"),CHOOSE(ArtifactsInput!$N$27+1,20,24,28,32,36,40),0)/100)),0)</f>
        <v/>
      </c>
      <c r="R1605">
        <f>IF(AND(Inputs!$B$39&lt;&gt;"pvp",Inputs!$B$44&gt;0),IF(Inputs!$B$44&lt;=0,0,(INT(Inputs!$B$44/(IF(Inputs!$B$39="pvp",15,MAX(0.1,Skills!D3-IF(TRUE=TRUE,Inputs!$B$33,0)))*(1-IF(AND(ArtifactsInput!$M$27,Inputs!$B$4="Chapter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IFERROR(1/(IF(Inputs!$B$39="pvp",15,MAX(0.1,Skills!D4-IF(TRUE=TRUE,Inputs!$B$33,0)))*(1-IF(AND(ArtifactsInput!$M$27,Inputs!$B$4="Chapter Hunt"),CHOOSE(ArtifactsInput!$N$27+1,20,24,28,32,36,40),0)/100)),0)</f>
        <v/>
      </c>
      <c r="R1606">
        <f>IF(AND(Inputs!$B$39&lt;&gt;"pvp",Inputs!$B$44&gt;0),IF(Inputs!$B$44&lt;=0,0,(INT(Inputs!$B$44/(IF(Inputs!$B$39="pvp",15,MAX(0.1,Skills!D4-IF(TRUE=TRUE,Inputs!$B$33,0)))*(1-IF(AND(ArtifactsInput!$M$27,Inputs!$B$4="Chapter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IFERROR(1/(IF(Inputs!$B$39="pvp",15,MAX(0.1,Skills!D5-IF(TRUE=TRUE,Inputs!$B$33,0)))*(1-IF(AND(ArtifactsInput!$M$27,Inputs!$B$4="Chapter Hunt"),CHOOSE(ArtifactsInput!$N$27+1,20,24,28,32,36,40),0)/100)),0)</f>
        <v/>
      </c>
      <c r="R1607">
        <f>IF(AND(Inputs!$B$39&lt;&gt;"pvp",Inputs!$B$44&gt;0),IF(Inputs!$B$44&lt;=0,0,(INT(Inputs!$B$44/(IF(Inputs!$B$39="pvp",15,MAX(0.1,Skills!D5-IF(TRUE=TRUE,Inputs!$B$33,0)))*(1-IF(AND(ArtifactsInput!$M$27,Inputs!$B$4="Chapter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IFERROR(1/(IF(Inputs!$B$39="pvp",15,MAX(0.1,Skills!D6-IF(TRUE=TRUE,Inputs!$B$33,0)))*(1-IF(AND(ArtifactsInput!$M$27,Inputs!$B$4="Chapter Hunt"),CHOOSE(ArtifactsInput!$N$27+1,20,24,28,32,36,40),0)/100)),0)</f>
        <v/>
      </c>
      <c r="R1608">
        <f>IF(AND(Inputs!$B$39&lt;&gt;"pvp",Inputs!$B$44&gt;0),IF(MAX(0,Inputs!$B$44-B1642)&lt;=0,0,(INT(MAX(0,Inputs!$B$44-B1642)/(IF(Inputs!$B$39="pvp",15,MAX(0.1,Skills!D6-IF(TRUE=TRUE,Inputs!$B$33,0)))*(1-IF(AND(ArtifactsInput!$M$27,Inputs!$B$4="Chapter Hunt"),CHOOSE(ArtifactsInput!$N$27+1,20,24,28,32,36,40),0)/100)))+1)),0)</f>
        <v/>
      </c>
      <c r="S1608">
        <f>IF(C1608,(H1608*N1608*IF(AND(Inputs!$B$39&lt;&gt;"pvp",Inputs!$B$44&gt;0),((Skills!F6*((R1608-1)*IF(Skills!G6&gt;0,INT(Skills!H6/Skills!G6+0.000000001),1)+IF(Skills!G6&gt;0,INT(MIN(Skills!H6,MAX(0,MAX(0,Inputs!$B$44-B1642)-((R1608-1)*(IF(Inputs!$B$39="pvp",15,MAX(0.1,Skills!D6-IF(TRUE=TRUE,Inputs!$B$33,0)))*(1-IF(AND(ArtifactsInput!$M$27,Inputs!$B$4="Chapter Hunt"),CHOOSE(ArtifactsInput!$N$27+1,20,24,28,32,36,40),0)/100)))))/Skills!G6+0.000000001),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INT(Skills!H6/Skills!G6+0.000000001),1)+IF(Skills!G6&gt;0,INT(MIN(Skills!H6,MAX(0,MAX(0,Inputs!$B$44-B1642)-((R1608-1)*(IF(Inputs!$B$39="pvp",15,MAX(0.1,Skills!D6-IF(TRUE=TRUE,Inputs!$B$33,0)))*(1-IF(AND(ArtifactsInput!$M$27,Inputs!$B$4="Chapter Hunt"),CHOOSE(ArtifactsInput!$N$27+1,20,24,28,32,36,40),0)/100)))))/Skills!G6+0.000000001),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IFERROR(1/(IF(Inputs!$B$39="pvp",15,MAX(0.1,Skills!D7-IF(TRUE=TRUE,Inputs!$B$33,0)))*(1-IF(AND(ArtifactsInput!$M$27,Inputs!$B$4="Chapter Hunt"),CHOOSE(ArtifactsInput!$N$27+1,20,24,28,32,36,40),0)/100)),0)</f>
        <v/>
      </c>
      <c r="R1609">
        <f>IF(AND(Inputs!$B$39&lt;&gt;"pvp",Inputs!$B$44&gt;0),IF(MAX(0,Inputs!$B$44-B1642)&lt;=0,0,(INT(MAX(0,Inputs!$B$44-B1642)/(IF(Inputs!$B$39="pvp",15,MAX(0.1,Skills!D7-IF(TRUE=TRUE,Inputs!$B$33,0)))*(1-IF(AND(ArtifactsInput!$M$27,Inputs!$B$4="Chapter Hunt"),CHOOSE(ArtifactsInput!$N$27+1,20,24,28,32,36,40),0)/100)))+1)),0)</f>
        <v/>
      </c>
      <c r="S1609">
        <f>IF(C1609,H1609*N1609*IF(AND(Inputs!$B$39&lt;&gt;"pvp",Inputs!$B$44&gt;0),((Skills!F7*((R1609-1)*IF(Skills!G7&gt;0,INT(Skills!H7/Skills!G7+0.000000001),1)+IF(Skills!G7&gt;0,INT(MIN(Skills!H7,MAX(0,MAX(0,Inputs!$B$44-B1642)-((R1609-1)*(IF(Inputs!$B$39="pvp",15,MAX(0.1,Skills!D7-IF(TRUE=TRUE,Inputs!$B$33,0)))*(1-IF(AND(ArtifactsInput!$M$27,Inputs!$B$4="Chapter Hunt"),CHOOSE(ArtifactsInput!$N$27+1,20,24,28,32,36,40),0)/100)))))/Skills!G7+0.000000001),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IFERROR(1/(IF(Inputs!$B$39="pvp",15,MAX(0.1,Skills!D8-IF(TRUE=TRUE,Inputs!$B$33,0)))*(1-IF(AND(ArtifactsInput!$M$27,Inputs!$B$4="Chapter Hunt"),CHOOSE(ArtifactsInput!$N$27+1,20,24,28,32,36,40),0)/100)),0)</f>
        <v/>
      </c>
      <c r="R1610">
        <f>IF(AND(Inputs!$B$39&lt;&gt;"pvp",Inputs!$B$44&gt;0),IF(MAX(0,Inputs!$B$44-B1642)&lt;=0,0,(INT(MAX(0,Inputs!$B$44-B1642)/(IF(Inputs!$B$39="pvp",15,MAX(0.1,Skills!D8-IF(TRUE=TRUE,Inputs!$B$33,0)))*(1-IF(AND(ArtifactsInput!$M$27,Inputs!$B$4="Chapter Hunt"),CHOOSE(ArtifactsInput!$N$27+1,20,24,28,32,36,40),0)/100)))+1)),0)</f>
        <v/>
      </c>
      <c r="S1610">
        <f>IF(C1610,(H1610*N1610*IF(AND(Inputs!$B$39&lt;&gt;"pvp",Inputs!$B$44&gt;0),((Skills!F8*((R1610-1)*IF(Skills!G8&gt;0,INT(Skills!H8/Skills!G8+0.000000001),1)+IF(Skills!G8&gt;0,INT(MIN(Skills!H8,MAX(0,MAX(0,Inputs!$B$44-B1642)-((R1610-1)*(IF(Inputs!$B$39="pvp",15,MAX(0.1,Skills!D8-IF(TRUE=TRUE,Inputs!$B$33,0)))*(1-IF(AND(ArtifactsInput!$M$27,Inputs!$B$4="Chapter Hunt"),CHOOSE(ArtifactsInput!$N$27+1,20,24,28,32,36,40),0)/100)))))/Skills!G8+0.000000001),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INT(Skills!H8/Skills!G8+0.000000001),1)+IF(Skills!G8&gt;0,INT(MIN(Skills!H8,MAX(0,MAX(0,Inputs!$B$44-B1642)-((R1610-1)*(IF(Inputs!$B$39="pvp",15,MAX(0.1,Skills!D8-IF(TRUE=TRUE,Inputs!$B$33,0)))*(1-IF(AND(ArtifactsInput!$M$27,Inputs!$B$4="Chapter Hunt"),CHOOSE(ArtifactsInput!$N$27+1,20,24,28,32,36,40),0)/100)))))/Skills!G8+0.000000001),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IFERROR(1/(IF(Inputs!$B$39="pvp",15,MAX(0.1,Skills!D9-IF(TRUE=TRUE,Inputs!$B$33,0)))*(1-IF(AND(ArtifactsInput!$M$27,Inputs!$B$4="Chapter Hunt"),CHOOSE(ArtifactsInput!$N$27+1,20,24,28,32,36,40),0)/100)),0)</f>
        <v/>
      </c>
      <c r="R1611">
        <f>IF(AND(Inputs!$B$39&lt;&gt;"pvp",Inputs!$B$44&gt;0),IF(MAX(0,Inputs!$B$44-B1642)&lt;=0,0,(INT(MAX(0,Inputs!$B$44-B1642)/(IF(Inputs!$B$39="pvp",15,MAX(0.1,Skills!D9-IF(TRUE=TRUE,Inputs!$B$33,0)))*(1-IF(AND(ArtifactsInput!$M$27,Inputs!$B$4="Chapter Hunt"),CHOOSE(ArtifactsInput!$N$27+1,20,24,28,32,36,40),0)/100)))+1)),0)</f>
        <v/>
      </c>
      <c r="S1611">
        <f>IF(C1611,(H1611*N1611*IF(AND(Inputs!$B$39&lt;&gt;"pvp",Inputs!$B$44&gt;0),((Skills!F9*((R1611-1)*IF(Skills!G9&gt;0,INT(Skills!H9/Skills!G9+0.000000001),1)+IF(Skills!G9&gt;0,INT(MIN(Skills!H9,MAX(0,MAX(0,Inputs!$B$44-B1642)-((R1611-1)*(IF(Inputs!$B$39="pvp",15,MAX(0.1,Skills!D9-IF(TRUE=TRUE,Inputs!$B$33,0)))*(1-IF(AND(ArtifactsInput!$M$27,Inputs!$B$4="Chapter Hunt"),CHOOSE(ArtifactsInput!$N$27+1,20,24,28,32,36,40),0)/100)))))/Skills!G9+0.000000001),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INT(Skills!H9/Skills!G9+0.000000001),1)+IF(Skills!G9&gt;0,INT(MIN(Skills!H9,MAX(0,MAX(0,Inputs!$B$44-B1642)-((R1611-1)*(IF(Inputs!$B$39="pvp",15,MAX(0.1,Skills!D9-IF(TRUE=TRUE,Inputs!$B$33,0)))*(1-IF(AND(ArtifactsInput!$M$27,Inputs!$B$4="Chapter Hunt"),CHOOSE(ArtifactsInput!$N$27+1,20,24,28,32,36,40),0)/100)))))/Skills!G9+0.000000001),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IFERROR(1/(IF(Inputs!$B$39="pvp",15,MAX(0.1,Skills!D10-IF(TRUE=TRUE,Inputs!$B$33,0)))*(1-IF(AND(ArtifactsInput!$M$27,Inputs!$B$4="Chapter Hunt"),CHOOSE(ArtifactsInput!$N$27+1,20,24,28,32,36,40),0)/100)),0)</f>
        <v/>
      </c>
      <c r="R1612">
        <f>IF(AND(Inputs!$B$39&lt;&gt;"pvp",Inputs!$B$44&gt;0),IF(MAX(0,Inputs!$B$44-B1642)&lt;=0,0,(INT(MAX(0,Inputs!$B$44-B1642)/(IF(Inputs!$B$39="pvp",15,MAX(0.1,Skills!D10-IF(TRUE=TRUE,Inputs!$B$33,0)))*(1-IF(AND(ArtifactsInput!$M$27,Inputs!$B$4="Chapter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IFERROR(1/(IF(Inputs!$B$39="pvp",15,MAX(0.1,Skills!D11-IF(TRUE=TRUE,Inputs!$B$33,0)))*(1-IF(AND(ArtifactsInput!$M$27,Inputs!$B$4="Chapter Hunt"),CHOOSE(ArtifactsInput!$N$27+1,20,24,28,32,36,40),0)/100)),0)</f>
        <v/>
      </c>
      <c r="R1613">
        <f>IF(AND(Inputs!$B$39&lt;&gt;"pvp",Inputs!$B$44&gt;0),IF(Inputs!$B$44&lt;=0,0,(INT(Inputs!$B$44/(IF(Inputs!$B$39="pvp",15,MAX(0.1,Skills!D11-IF(TRUE=TRUE,Inputs!$B$33,0)))*(1-IF(AND(ArtifactsInput!$M$27,Inputs!$B$4="Chapter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IFERROR(1/(IF(Inputs!$B$39="pvp",15,MAX(0.1,Skills!D12-IF(TRUE=TRUE,Inputs!$B$33,0)))*(1-IF(AND(ArtifactsInput!$M$27,Inputs!$B$4="Chapter Hunt"),CHOOSE(ArtifactsInput!$N$27+1,20,24,28,32,36,40),0)/100)),0)</f>
        <v/>
      </c>
      <c r="R1614">
        <f>IF(AND(Inputs!$B$39&lt;&gt;"pvp",Inputs!$B$44&gt;0),IF(MAX(0,Inputs!$B$44-B1642)&lt;=0,0,(INT(MAX(0,Inputs!$B$44-B1642)/(IF(Inputs!$B$39="pvp",15,MAX(0.1,Skills!D12-IF(TRUE=TRUE,Inputs!$B$33,0)))*(1-IF(AND(ArtifactsInput!$M$27,Inputs!$B$4="Chapter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IFERROR(1/(IF(Inputs!$B$39="pvp",15,MAX(0.1,Skills!D13-IF(TRUE=TRUE,Inputs!$B$33,0)))*(1-IF(AND(ArtifactsInput!$M$27,Inputs!$B$4="Chapter Hunt"),CHOOSE(ArtifactsInput!$N$27+1,20,24,28,32,36,40),0)/100)),0)</f>
        <v/>
      </c>
      <c r="R1615">
        <f>IF(AND(Inputs!$B$39&lt;&gt;"pvp",Inputs!$B$44&gt;0),IF(MAX(0,Inputs!$B$44-B1642)&lt;=0,0,(INT(MAX(0,Inputs!$B$44-B1642)/(IF(Inputs!$B$39="pvp",15,MAX(0.1,Skills!D13-IF(TRUE=TRUE,Inputs!$B$33,0)))*(1-IF(AND(ArtifactsInput!$M$27,Inputs!$B$4="Chapter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IFERROR(1/(IF(Inputs!$B$39="pvp",15,MAX(0.1,Skills!D14-IF(TRUE=TRUE,Inputs!$B$33,0)))*(1-IF(AND(ArtifactsInput!$M$27,Inputs!$B$4="Chapter Hunt"),CHOOSE(ArtifactsInput!$N$27+1,20,24,28,32,36,40),0)/100)),0)</f>
        <v/>
      </c>
      <c r="R1616">
        <f>IF(AND(Inputs!$B$39&lt;&gt;"pvp",Inputs!$B$44&gt;0),IF(Inputs!$B$44&lt;=0,0,(INT(Inputs!$B$44/(IF(Inputs!$B$39="pvp",15,MAX(0.1,Skills!D14-IF(TRUE=TRUE,Inputs!$B$33,0)))*(1-IF(AND(ArtifactsInput!$M$27,Inputs!$B$4="Chapter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IFERROR(1/(IF(Inputs!$B$39="pvp",15,MAX(0.1,Skills!D15-IF(TRUE=TRUE,Inputs!$B$33,0)))*(1-IF(AND(ArtifactsInput!$M$27,Inputs!$B$4="Chapter Hunt"),CHOOSE(ArtifactsInput!$N$27+1,20,24,28,32,36,40),0)/100)),0)</f>
        <v/>
      </c>
      <c r="R1617" t="n">
        <v>0</v>
      </c>
      <c r="S1617">
        <f>IF(C1617,(Skills!F15*N1617*((IF(Inputs!$B$3&gt;=78,25,15)/100*B1638*10)/(1+IF(Inputs!$B$3&gt;=78,25,15)/100*B1638*IF(Inputs!$B$39="pvp",15,MAX(0.1,18-IF(TRUE=TRUE,Inputs!$B$33,0)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IF(Inputs!$B$39="pvp",15,MAX(0.1,18-IF(TRUE=TRUE,Inputs!$B$33,0)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IFERROR(1/(IF(Inputs!$B$39="pvp",15,MAX(0.1,Skills!D16-IF(TRUE=TRUE,Inputs!$B$33,0)))*(1-IF(AND(ArtifactsInput!$M$27,Inputs!$B$4="Chapter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IFERROR(1/(IF(Inputs!$B$39="pvp",15,MAX(0.1,Skills!D17-IF(TRUE=TRUE,Inputs!$B$33,0)))*(1-IF(AND(ArtifactsInput!$M$27,Inputs!$B$4="Chapter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IFERROR(1/(IF(Inputs!$B$39="pvp",15,MAX(0.1,Skills!D18-IF(TRUE=TRUE,Inputs!$B$33,0)))*(1-IF(AND(ArtifactsInput!$M$27,Inputs!$B$4="Chapter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IFERROR(1/(IF(Inputs!$B$39="pvp",15,MAX(0.1,Skills!D19-IF(TRUE=TRUE,Inputs!$B$33,0)))*(1-IF(AND(ArtifactsInput!$M$27,Inputs!$B$4="Chapter Hunt"),CHOOSE(ArtifactsInput!$N$27+1,20,24,28,32,36,40),0)/100)),0)</f>
        <v/>
      </c>
      <c r="R1621">
        <f>IF(AND(Inputs!$B$39&lt;&gt;"pvp",Inputs!$B$44&gt;0),IF(Inputs!$B$44&lt;=0,0,(INT(Inputs!$B$44/(IF(Inputs!$B$39="pvp",15,MAX(0.1,Skills!D19-IF(TRUE=TRUE,Inputs!$B$33,0)))*(1-IF(AND(ArtifactsInput!$M$27,Inputs!$B$4="Chapter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IFERROR(1/(IF(Inputs!$B$39="pvp",15,MAX(0.1,Skills!D20-IF(TRUE=TRUE,Inputs!$B$33,0)))*(1-IF(AND(ArtifactsInput!$M$27,Inputs!$B$4="Chapter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IFERROR(1/(IF(Inputs!$B$39="pvp",15,MAX(0.1,Skills!D21-IF(TRUE=TRUE,Inputs!$B$33,0)))*(1-IF(AND(ArtifactsInput!$M$27,Inputs!$B$4="Chapter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IFERROR(1/(IF(Inputs!$B$39="pvp",15,MAX(0.1,Skills!D22-IF(TRUE=TRUE,Inputs!$B$33,0)))*(1-IF(AND(ArtifactsInput!$M$27,Inputs!$B$4="Chapter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IFERROR(1/(IF(Inputs!$B$39="pvp",15,MAX(0.1,Skills!D23-IF(TRUE=TRUE,Inputs!$B$33,0)))*(1-IF(AND(ArtifactsInput!$M$27,Inputs!$B$4="Chapter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IFERROR(1/(IF(Inputs!$B$39="pvp",15,MAX(0.1,Skills!D24-IF(TRUE=TRUE,Inputs!$B$33,0)))*(1-IF(AND(ArtifactsInput!$M$27,Inputs!$B$4="Chapter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IFERROR(1/(IF(Inputs!$B$39="pvp",15,MAX(0.1,Skills!D25-IF(TRUE=TRUE,Inputs!$B$33,0)))*(1-IF(AND(ArtifactsInput!$M$27,Inputs!$B$4="Chapter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IFERROR(1/(IF(Inputs!$B$39="pvp",15,MAX(0.1,Skills!D26-IF(TRUE=TRUE,Inputs!$B$33,0)))*(1-IF(AND(ArtifactsInput!$M$27,Inputs!$B$4="Chapter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IFERROR(1/(IF(Inputs!$B$39="pvp",15,MAX(0.1,Skills!D27-IF(TRUE=TRUE,Inputs!$B$33,0)))*(1-IF(AND(ArtifactsInput!$M$27,Inputs!$B$4="Chapter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IFERROR(1/(IF(Inputs!$B$39="pvp",15,MAX(0.1,Skills!D28-IF(TRUE=TRUE,Inputs!$B$33,0)))*(1-IF(AND(ArtifactsInput!$M$27,Inputs!$B$4="Chapter Hunt"),CHOOSE(ArtifactsInput!$N$27+1,20,24,28,32,36,40),0)/100)),0)</f>
        <v/>
      </c>
      <c r="R1630">
        <f>IF(AND(Inputs!$B$39&lt;&gt;"pvp",Inputs!$B$44&gt;0),IF(Inputs!$B$44&lt;=0,0,(INT(Inputs!$B$44/(IF(Inputs!$B$39="pvp",15,MAX(0.1,Skills!D28-IF(TRUE=TRUE,Inputs!$B$33,0)))*(1-IF(AND(ArtifactsInput!$M$27,Inputs!$B$4="Chapter Hunt"),CHOOSE(ArtifactsInput!$N$27+1,20,24,28,32,36,40),0)/100)))+1)),0)</f>
        <v/>
      </c>
      <c r="S1630" t="n">
        <v>0</v>
      </c>
      <c r="U1630" t="n">
        <v>0</v>
      </c>
    </row>
    <row r="1632">
      <c r="A1632" t="inlineStr">
        <is>
          <t>Average Buff Multiplier</t>
        </is>
      </c>
      <c r="B1632">
        <f>(1+(IF(C1605=TRUE,F1605*IF(AND(Inputs!$B$39&lt;&gt;"pvp",Inputs!$B$44&gt;0),(((R1605-1)*MIN((Skills!S3*(1+((Inputs!$B$35+(ArtifactsInput!$M$7-ArtifactsInput!$M$7)*CHOOSE(ArtifactsInput!$N$7+1,6,7.2,8.4,9.6,10.8,12)))/100)),(1/Q1605))+MIN((Skills!S3*(1+((Inputs!$B$35+(ArtifactsInput!$M$7-ArtifactsInput!$M$7)*CHOOSE(ArtifactsInput!$N$7+1,6,7.2,8.4,9.6,10.8,12)))/100)),MAX(0,Inputs!$B$44-((R1605-1)*(1/Q1605)))))/Inputs!$B$44),IF(Inputs!$B$39="pvp",MIN((Skills!S3*(1+((Inputs!$B$35+(ArtifactsInput!$M$7-ArtifactsInput!$M$7)*CHOOSE(ArtifactsInput!$N$7+1,6,7.2,8.4,9.6,10.8,12)))/100)),15)/15,MIN(1,(Skills!S3*(1+((Inputs!$B$35+(ArtifactsInput!$M$7-ArtifactsInput!$M$7)*CHOOSE(ArtifactsInput!$N$7+1,6,7.2,8.4,9.6,10.8,12)))/100))/(1/Q1605)))),0)+IF(C1606=TRUE,F1606*IF(AND(Inputs!$B$39&lt;&gt;"pvp",Inputs!$B$44&gt;0),(((R1606-1)*MIN((Skills!S4*(1+((Inputs!$B$35+(ArtifactsInput!$M$7-ArtifactsInput!$M$7)*CHOOSE(ArtifactsInput!$N$7+1,6,7.2,8.4,9.6,10.8,12)))/100)),(1/Q1606))+MIN((Skills!S4*(1+((Inputs!$B$35+(ArtifactsInput!$M$7-ArtifactsInput!$M$7)*CHOOSE(ArtifactsInput!$N$7+1,6,7.2,8.4,9.6,10.8,12)))/100)),MAX(0,Inputs!$B$44-((R1606-1)*(1/Q1606)))))/Inputs!$B$44),IF(Inputs!$B$39="pvp",MIN((Skills!S4*(1+((Inputs!$B$35+(ArtifactsInput!$M$7-ArtifactsInput!$M$7)*CHOOSE(ArtifactsInput!$N$7+1,6,7.2,8.4,9.6,10.8,12)))/100)),15)/15,MIN(1,(Skills!S4*(1+((Inputs!$B$35+(ArtifactsInput!$M$7-ArtifactsInput!$M$7)*CHOOSE(ArtifactsInput!$N$7+1,6,7.2,8.4,9.6,10.8,12)))/100))/(1/Q1606)))),0)+IF(C1607=TRUE,F1607*IF(AND(Inputs!$B$39&lt;&gt;"pvp",Inputs!$B$44&gt;0),(((R1607-1)*MIN((Skills!S5*(1+((Inputs!$B$35+(ArtifactsInput!$M$7-ArtifactsInput!$M$7)*CHOOSE(ArtifactsInput!$N$7+1,6,7.2,8.4,9.6,10.8,12)))/100)),(1/Q1607))+MIN((Skills!S5*(1+((Inputs!$B$35+(ArtifactsInput!$M$7-ArtifactsInput!$M$7)*CHOOSE(ArtifactsInput!$N$7+1,6,7.2,8.4,9.6,10.8,12)))/100)),MAX(0,Inputs!$B$44-((R1607-1)*(1/Q1607)))))/Inputs!$B$44),IF(Inputs!$B$39="pvp",MIN((Skills!S5*(1+((Inputs!$B$35+(ArtifactsInput!$M$7-ArtifactsInput!$M$7)*CHOOSE(ArtifactsInput!$N$7+1,6,7.2,8.4,9.6,10.8,12)))/100)),15)/15,MIN(1,(Skills!S5*(1+((Inputs!$B$35+(ArtifactsInput!$M$7-ArtifactsInput!$M$7)*CHOOSE(ArtifactsInput!$N$7+1,6,7.2,8.4,9.6,10.8,12)))/100))/(1/Q1607)))),0)+IF(C1613=TRUE,F1613*IF(AND(Inputs!$B$39&lt;&gt;"pvp",Inputs!$B$44&gt;0),(((R1613-1)*MIN((Skills!S11*(1+((Inputs!$B$35+(ArtifactsInput!$M$7-ArtifactsInput!$M$7)*CHOOSE(ArtifactsInput!$N$7+1,6,7.2,8.4,9.6,10.8,12)))/100)),(1/Q1613))+MIN((Skills!S11*(1+((Inputs!$B$35+(ArtifactsInput!$M$7-ArtifactsInput!$M$7)*CHOOSE(ArtifactsInput!$N$7+1,6,7.2,8.4,9.6,10.8,12)))/100)),MAX(0,Inputs!$B$44-((R1613-1)*(1/Q1613)))))/Inputs!$B$44),IF(Inputs!$B$39="pvp",MIN((Skills!S11*(1+((Inputs!$B$35+(ArtifactsInput!$M$7-ArtifactsInput!$M$7)*CHOOSE(ArtifactsInput!$N$7+1,6,7.2,8.4,9.6,10.8,12)))/100)),15)/15,MIN(1,(Skills!S11*(1+((Inputs!$B$35+(ArtifactsInput!$M$7-ArtifactsInput!$M$7)*CHOOSE(ArtifactsInput!$N$7+1,6,7.2,8.4,9.6,10.8,12)))/100))/(1/Q1613)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MIN((Skills!S14*(1+((Inputs!$B$35+(ArtifactsInput!$M$7-ArtifactsInput!$M$7)*CHOOSE(ArtifactsInput!$N$7+1,6,7.2,8.4,9.6,10.8,12)))/100)),(1/Q1616))+MIN((Skills!S14*(1+((Inputs!$B$35+(ArtifactsInput!$M$7-ArtifactsInput!$M$7)*CHOOSE(ArtifactsInput!$N$7+1,6,7.2,8.4,9.6,10.8,12)))/100)),MAX(0,Inputs!$B$44-((R1616-1)*(1/Q1616)))))/Inputs!$B$44),IF(Inputs!$B$39="pvp",MIN((Skills!S14*(1+((Inputs!$B$35+(ArtifactsInput!$M$7-ArtifactsInput!$M$7)*CHOOSE(ArtifactsInput!$N$7+1,6,7.2,8.4,9.6,10.8,12)))/100)),15)/15,MIN(1,(Skills!S14*(1+((Inputs!$B$35+(ArtifactsInput!$M$7-ArtifactsInput!$M$7)*CHOOSE(ArtifactsInput!$N$7+1,6,7.2,8.4,9.6,10.8,12)))/100))/(1/Q1616))))/100),1)*IF(C1621=TRUE,(1+F1621*IF(AND(Inputs!$B$39&lt;&gt;"pvp",Inputs!$B$44&gt;0),(((R1621-1)*MIN((Skills!S19*(1+((Inputs!$B$35+(ArtifactsInput!$M$7-ArtifactsInput!$M$7)*CHOOSE(ArtifactsInput!$N$7+1,6,7.2,8.4,9.6,10.8,12)))/100)),(1/Q1621))+MIN((Skills!S19*(1+((Inputs!$B$35+(ArtifactsInput!$M$7-ArtifactsInput!$M$7)*CHOOSE(ArtifactsInput!$N$7+1,6,7.2,8.4,9.6,10.8,12)))/100)),MAX(0,Inputs!$B$44-((R1621-1)*(1/Q1621)))))/Inputs!$B$44),IF(Inputs!$B$39="pvp",MIN((Skills!S19*(1+((Inputs!$B$35+(ArtifactsInput!$M$7-ArtifactsInput!$M$7)*CHOOSE(ArtifactsInput!$N$7+1,6,7.2,8.4,9.6,10.8,12)))/100)),15)/15,MIN(1,(Skills!S19*(1+((Inputs!$B$35+(ArtifactsInput!$M$7-ArtifactsInput!$M$7)*CHOOSE(ArtifactsInput!$N$7+1,6,7.2,8.4,9.6,10.8,12)))/100))/(1/Q1621))))/100),1)</f>
        <v/>
      </c>
    </row>
    <row r="1633">
      <c r="A1633" t="inlineStr">
        <is>
          <t>Monster Damage Taken Bonus % (Holy Fountain)</t>
        </is>
      </c>
      <c r="B1633">
        <f>IF(Inputs!$B$3&gt;=68,20*IF(Inputs!$B$39="pvp",MIN((15*(1+((Inputs!$B$35+(ArtifactsInput!$M$7-ArtifactsInput!$M$7)*CHOOSE(ArtifactsInput!$N$7+1,6,7.2,8.4,9.6,10.8,12)))/100)),15)/15,MIN(1,(15*(1+((Inputs!$B$35+(ArtifactsInput!$M$7-ArtifactsInput!$M$7)*CHOOSE(ArtifactsInput!$N$7+1,6,7.2,8.4,9.6,10.8,12)))/100))/(1/Q1612))),0)</f>
        <v/>
      </c>
    </row>
    <row r="1634">
      <c r="A1634" t="inlineStr">
        <is>
          <t>Normal Monster Damage Bonus % (Holy Symbol)</t>
        </is>
      </c>
      <c r="B1634">
        <f>IF(C1614=TRUE,F1614*IF(AND(Inputs!$B$39&lt;&gt;"pvp",Inputs!$B$44&gt;0),(((R1614-1)*MIN((Skills!S12*(1+((Inputs!$B$35+(ArtifactsInput!$M$7-ArtifactsInput!$M$7)*CHOOSE(ArtifactsInput!$N$7+1,6,7.2,8.4,9.6,10.8,12)))/100)),(1/Q1614))+MIN((Skills!S12*(1+((Inputs!$B$35+(ArtifactsInput!$M$7-ArtifactsInput!$M$7)*CHOOSE(ArtifactsInput!$N$7+1,6,7.2,8.4,9.6,10.8,12)))/100)),MAX(0,Inputs!$B$44-((R1614-1)*(1/Q1614)))))/Inputs!$B$44),IF(Inputs!$B$39="pvp",MIN((Skills!S12*(1+((Inputs!$B$35+(ArtifactsInput!$M$7-ArtifactsInput!$M$7)*CHOOSE(ArtifactsInput!$N$7+1,6,7.2,8.4,9.6,10.8,12)))/100)),15)/15,MIN(1,(Skills!S12*(1+((Inputs!$B$35+(ArtifactsInput!$M$7-ArtifactsInput!$M$7)*CHOOSE(ArtifactsInput!$N$7+1,6,7.2,8.4,9.6,10.8,12)))/100))/(1/Q1614)))),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MIN((Skills!S28*(1+((Inputs!$B$35+(ArtifactsInput!$M$7-ArtifactsInput!$M$7)*CHOOSE(ArtifactsInput!$N$7+1,6,7.2,8.4,9.6,10.8,12)))/100)),(1/Q1630))+MIN((Skills!S28*(1+((Inputs!$B$35+(ArtifactsInput!$M$7-ArtifactsInput!$M$7)*CHOOSE(ArtifactsInput!$N$7+1,6,7.2,8.4,9.6,10.8,12)))/100)),MAX(0,Inputs!$B$44-((R1630-1)*(1/Q1630)))))/Inputs!$B$44),IF(Inputs!$B$39="pvp",MIN((Skills!S28*(1+((Inputs!$B$35+(ArtifactsInput!$M$7-ArtifactsInput!$M$7)*CHOOSE(ArtifactsInput!$N$7+1,6,7.2,8.4,9.6,10.8,12)))/100)),15)/15,MIN(1,(Skills!S28*(1+((Inputs!$B$35+(ArtifactsInput!$M$7-ArtifactsInput!$M$7)*CHOOSE(ArtifactsInput!$N$7+1,6,7.2,8.4,9.6,10.8,12)))/100))/(1/Q1630)))))</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MIN((Skills!S13*(1+((Inputs!$B$35+(ArtifactsInput!$M$7-ArtifactsInput!$M$7)*CHOOSE(ArtifactsInput!$N$7+1,6,7.2,8.4,9.6,10.8,12)))/100)),(1/Q1615))+MIN((Skills!S13*(1+((Inputs!$B$35+(ArtifactsInput!$M$7-ArtifactsInput!$M$7)*CHOOSE(ArtifactsInput!$N$7+1,6,7.2,8.4,9.6,10.8,12)))/100)),MAX(0,Inputs!$B$44-((R1615-1)*(1/Q1615)))))/Inputs!$B$44),IF(Inputs!$B$39="pvp",MIN((Skills!S13*(1+((Inputs!$B$35+(ArtifactsInput!$M$7-ArtifactsInput!$M$7)*CHOOSE(ArtifactsInput!$N$7+1,6,7.2,8.4,9.6,10.8,12)))/100)),15)/15,MIN(1,(Skills!S13*(1+((Inputs!$B$35+(ArtifactsInput!$M$7-ArtifactsInput!$M$7)*CHOOSE(ArtifactsInput!$N$7+1,6,7.2,8.4,9.6,10.8,12)))/100))/(1/Q1615)))),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IFERROR(1/(IF(Inputs!$B$39="pvp",15,MAX(0.1,Skills!D2-IF(TRUE=TRUE,Inputs!$B$33,0)))*(1-IF(AND(ArtifactsInput!$M$27,Inputs!$B$4="Chapter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IFERROR(1/(IF(Inputs!$B$39="pvp",15,MAX(0.1,Skills!D3-IF(TRUE=TRUE,Inputs!$B$33,0)))*(1-IF(AND(ArtifactsInput!$M$27,Inputs!$B$4="Chapter Hunt"),CHOOSE(ArtifactsInput!$N$27+1,20,24,28,32,36,40),0)/100)),0)</f>
        <v/>
      </c>
      <c r="R1650">
        <f>IF(AND(Inputs!$B$39&lt;&gt;"pvp",Inputs!$B$44&gt;0),IF(Inputs!$B$44&lt;=0,0,(INT(Inputs!$B$44/(IF(Inputs!$B$39="pvp",15,MAX(0.1,Skills!D3-IF(TRUE=TRUE,Inputs!$B$33,0)))*(1-IF(AND(ArtifactsInput!$M$27,Inputs!$B$4="Chapter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IFERROR(1/(IF(Inputs!$B$39="pvp",15,MAX(0.1,Skills!D4-IF(TRUE=TRUE,Inputs!$B$33,0)))*(1-IF(AND(ArtifactsInput!$M$27,Inputs!$B$4="Chapter Hunt"),CHOOSE(ArtifactsInput!$N$27+1,20,24,28,32,36,40),0)/100)),0)</f>
        <v/>
      </c>
      <c r="R1651">
        <f>IF(AND(Inputs!$B$39&lt;&gt;"pvp",Inputs!$B$44&gt;0),IF(Inputs!$B$44&lt;=0,0,(INT(Inputs!$B$44/(IF(Inputs!$B$39="pvp",15,MAX(0.1,Skills!D4-IF(TRUE=TRUE,Inputs!$B$33,0)))*(1-IF(AND(ArtifactsInput!$M$27,Inputs!$B$4="Chapter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IFERROR(1/(IF(Inputs!$B$39="pvp",15,MAX(0.1,Skills!D5-IF(TRUE=TRUE,Inputs!$B$33,0)))*(1-IF(AND(ArtifactsInput!$M$27,Inputs!$B$4="Chapter Hunt"),CHOOSE(ArtifactsInput!$N$27+1,20,24,28,32,36,40),0)/100)),0)</f>
        <v/>
      </c>
      <c r="R1652">
        <f>IF(AND(Inputs!$B$39&lt;&gt;"pvp",Inputs!$B$44&gt;0),IF(Inputs!$B$44&lt;=0,0,(INT(Inputs!$B$44/(IF(Inputs!$B$39="pvp",15,MAX(0.1,Skills!D5-IF(TRUE=TRUE,Inputs!$B$33,0)))*(1-IF(AND(ArtifactsInput!$M$27,Inputs!$B$4="Chapter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IFERROR(1/(IF(Inputs!$B$39="pvp",15,MAX(0.1,Skills!D6-IF(TRUE=TRUE,Inputs!$B$33,0)))*(1-IF(AND(ArtifactsInput!$M$27,Inputs!$B$4="Chapter Hunt"),CHOOSE(ArtifactsInput!$N$27+1,20,24,28,32,36,40),0)/100)),0)</f>
        <v/>
      </c>
      <c r="R1653">
        <f>IF(AND(Inputs!$B$39&lt;&gt;"pvp",Inputs!$B$44&gt;0),IF(MAX(0,Inputs!$B$44-B1687)&lt;=0,0,(INT(MAX(0,Inputs!$B$44-B1687)/(IF(Inputs!$B$39="pvp",15,MAX(0.1,Skills!D6-IF(TRUE=TRUE,Inputs!$B$33,0)))*(1-IF(AND(ArtifactsInput!$M$27,Inputs!$B$4="Chapter Hunt"),CHOOSE(ArtifactsInput!$N$27+1,20,24,28,32,36,40),0)/100)))+1)),0)</f>
        <v/>
      </c>
      <c r="S1653">
        <f>IF(C1653,(H1653*N1653*IF(AND(Inputs!$B$39&lt;&gt;"pvp",Inputs!$B$44&gt;0),((Skills!F6*((R1653-1)*IF(Skills!G6&gt;0,INT(Skills!H6/Skills!G6+0.000000001),1)+IF(Skills!G6&gt;0,INT(MIN(Skills!H6,MAX(0,MAX(0,Inputs!$B$44-B1687)-((R1653-1)*(IF(Inputs!$B$39="pvp",15,MAX(0.1,Skills!D6-IF(TRUE=TRUE,Inputs!$B$33,0)))*(1-IF(AND(ArtifactsInput!$M$27,Inputs!$B$4="Chapter Hunt"),CHOOSE(ArtifactsInput!$N$27+1,20,24,28,32,36,40),0)/100)))))/Skills!G6+0.000000001),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INT(Skills!H6/Skills!G6+0.000000001),1)+IF(Skills!G6&gt;0,INT(MIN(Skills!H6,MAX(0,MAX(0,Inputs!$B$44-B1687)-((R1653-1)*(IF(Inputs!$B$39="pvp",15,MAX(0.1,Skills!D6-IF(TRUE=TRUE,Inputs!$B$33,0)))*(1-IF(AND(ArtifactsInput!$M$27,Inputs!$B$4="Chapter Hunt"),CHOOSE(ArtifactsInput!$N$27+1,20,24,28,32,36,40),0)/100)))))/Skills!G6+0.000000001),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IFERROR(1/(IF(Inputs!$B$39="pvp",15,MAX(0.1,Skills!D7-IF(TRUE=TRUE,Inputs!$B$33,0)))*(1-IF(AND(ArtifactsInput!$M$27,Inputs!$B$4="Chapter Hunt"),CHOOSE(ArtifactsInput!$N$27+1,20,24,28,32,36,40),0)/100)),0)</f>
        <v/>
      </c>
      <c r="R1654">
        <f>IF(AND(Inputs!$B$39&lt;&gt;"pvp",Inputs!$B$44&gt;0),IF(MAX(0,Inputs!$B$44-B1687)&lt;=0,0,(INT(MAX(0,Inputs!$B$44-B1687)/(IF(Inputs!$B$39="pvp",15,MAX(0.1,Skills!D7-IF(TRUE=TRUE,Inputs!$B$33,0)))*(1-IF(AND(ArtifactsInput!$M$27,Inputs!$B$4="Chapter Hunt"),CHOOSE(ArtifactsInput!$N$27+1,20,24,28,32,36,40),0)/100)))+1)),0)</f>
        <v/>
      </c>
      <c r="S1654">
        <f>IF(C1654,H1654*N1654*IF(AND(Inputs!$B$39&lt;&gt;"pvp",Inputs!$B$44&gt;0),((Skills!F7*((R1654-1)*IF(Skills!G7&gt;0,INT(Skills!H7/Skills!G7+0.000000001),1)+IF(Skills!G7&gt;0,INT(MIN(Skills!H7,MAX(0,MAX(0,Inputs!$B$44-B1687)-((R1654-1)*(IF(Inputs!$B$39="pvp",15,MAX(0.1,Skills!D7-IF(TRUE=TRUE,Inputs!$B$33,0)))*(1-IF(AND(ArtifactsInput!$M$27,Inputs!$B$4="Chapter Hunt"),CHOOSE(ArtifactsInput!$N$27+1,20,24,28,32,36,40),0)/100)))))/Skills!G7+0.000000001),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IFERROR(1/(IF(Inputs!$B$39="pvp",15,MAX(0.1,Skills!D8-IF(TRUE=TRUE,Inputs!$B$33,0)))*(1-IF(AND(ArtifactsInput!$M$27,Inputs!$B$4="Chapter Hunt"),CHOOSE(ArtifactsInput!$N$27+1,20,24,28,32,36,40),0)/100)),0)</f>
        <v/>
      </c>
      <c r="R1655">
        <f>IF(AND(Inputs!$B$39&lt;&gt;"pvp",Inputs!$B$44&gt;0),IF(MAX(0,Inputs!$B$44-B1687)&lt;=0,0,(INT(MAX(0,Inputs!$B$44-B1687)/(IF(Inputs!$B$39="pvp",15,MAX(0.1,Skills!D8-IF(TRUE=TRUE,Inputs!$B$33,0)))*(1-IF(AND(ArtifactsInput!$M$27,Inputs!$B$4="Chapter Hunt"),CHOOSE(ArtifactsInput!$N$27+1,20,24,28,32,36,40),0)/100)))+1)),0)</f>
        <v/>
      </c>
      <c r="S1655">
        <f>IF(C1655,(H1655*N1655*IF(AND(Inputs!$B$39&lt;&gt;"pvp",Inputs!$B$44&gt;0),((Skills!F8*((R1655-1)*IF(Skills!G8&gt;0,INT(Skills!H8/Skills!G8+0.000000001),1)+IF(Skills!G8&gt;0,INT(MIN(Skills!H8,MAX(0,MAX(0,Inputs!$B$44-B1687)-((R1655-1)*(IF(Inputs!$B$39="pvp",15,MAX(0.1,Skills!D8-IF(TRUE=TRUE,Inputs!$B$33,0)))*(1-IF(AND(ArtifactsInput!$M$27,Inputs!$B$4="Chapter Hunt"),CHOOSE(ArtifactsInput!$N$27+1,20,24,28,32,36,40),0)/100)))))/Skills!G8+0.000000001),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INT(Skills!H8/Skills!G8+0.000000001),1)+IF(Skills!G8&gt;0,INT(MIN(Skills!H8,MAX(0,MAX(0,Inputs!$B$44-B1687)-((R1655-1)*(IF(Inputs!$B$39="pvp",15,MAX(0.1,Skills!D8-IF(TRUE=TRUE,Inputs!$B$33,0)))*(1-IF(AND(ArtifactsInput!$M$27,Inputs!$B$4="Chapter Hunt"),CHOOSE(ArtifactsInput!$N$27+1,20,24,28,32,36,40),0)/100)))))/Skills!G8+0.000000001),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IFERROR(1/(IF(Inputs!$B$39="pvp",15,MAX(0.1,Skills!D9-IF(TRUE=TRUE,Inputs!$B$33,0)))*(1-IF(AND(ArtifactsInput!$M$27,Inputs!$B$4="Chapter Hunt"),CHOOSE(ArtifactsInput!$N$27+1,20,24,28,32,36,40),0)/100)),0)</f>
        <v/>
      </c>
      <c r="R1656">
        <f>IF(AND(Inputs!$B$39&lt;&gt;"pvp",Inputs!$B$44&gt;0),IF(MAX(0,Inputs!$B$44-B1687)&lt;=0,0,(INT(MAX(0,Inputs!$B$44-B1687)/(IF(Inputs!$B$39="pvp",15,MAX(0.1,Skills!D9-IF(TRUE=TRUE,Inputs!$B$33,0)))*(1-IF(AND(ArtifactsInput!$M$27,Inputs!$B$4="Chapter Hunt"),CHOOSE(ArtifactsInput!$N$27+1,20,24,28,32,36,40),0)/100)))+1)),0)</f>
        <v/>
      </c>
      <c r="S1656">
        <f>IF(C1656,(H1656*N1656*IF(AND(Inputs!$B$39&lt;&gt;"pvp",Inputs!$B$44&gt;0),((Skills!F9*((R1656-1)*IF(Skills!G9&gt;0,INT(Skills!H9/Skills!G9+0.000000001),1)+IF(Skills!G9&gt;0,INT(MIN(Skills!H9,MAX(0,MAX(0,Inputs!$B$44-B1687)-((R1656-1)*(IF(Inputs!$B$39="pvp",15,MAX(0.1,Skills!D9-IF(TRUE=TRUE,Inputs!$B$33,0)))*(1-IF(AND(ArtifactsInput!$M$27,Inputs!$B$4="Chapter Hunt"),CHOOSE(ArtifactsInput!$N$27+1,20,24,28,32,36,40),0)/100)))))/Skills!G9+0.000000001),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INT(Skills!H9/Skills!G9+0.000000001),1)+IF(Skills!G9&gt;0,INT(MIN(Skills!H9,MAX(0,MAX(0,Inputs!$B$44-B1687)-((R1656-1)*(IF(Inputs!$B$39="pvp",15,MAX(0.1,Skills!D9-IF(TRUE=TRUE,Inputs!$B$33,0)))*(1-IF(AND(ArtifactsInput!$M$27,Inputs!$B$4="Chapter Hunt"),CHOOSE(ArtifactsInput!$N$27+1,20,24,28,32,36,40),0)/100)))))/Skills!G9+0.000000001),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IFERROR(1/(IF(Inputs!$B$39="pvp",15,MAX(0.1,Skills!D10-IF(TRUE=TRUE,Inputs!$B$33,0)))*(1-IF(AND(ArtifactsInput!$M$27,Inputs!$B$4="Chapter Hunt"),CHOOSE(ArtifactsInput!$N$27+1,20,24,28,32,36,40),0)/100)),0)</f>
        <v/>
      </c>
      <c r="R1657">
        <f>IF(AND(Inputs!$B$39&lt;&gt;"pvp",Inputs!$B$44&gt;0),IF(MAX(0,Inputs!$B$44-B1687)&lt;=0,0,(INT(MAX(0,Inputs!$B$44-B1687)/(IF(Inputs!$B$39="pvp",15,MAX(0.1,Skills!D10-IF(TRUE=TRUE,Inputs!$B$33,0)))*(1-IF(AND(ArtifactsInput!$M$27,Inputs!$B$4="Chapter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IFERROR(1/(IF(Inputs!$B$39="pvp",15,MAX(0.1,Skills!D11-IF(TRUE=TRUE,Inputs!$B$33,0)))*(1-IF(AND(ArtifactsInput!$M$27,Inputs!$B$4="Chapter Hunt"),CHOOSE(ArtifactsInput!$N$27+1,20,24,28,32,36,40),0)/100)),0)</f>
        <v/>
      </c>
      <c r="R1658">
        <f>IF(AND(Inputs!$B$39&lt;&gt;"pvp",Inputs!$B$44&gt;0),IF(Inputs!$B$44&lt;=0,0,(INT(Inputs!$B$44/(IF(Inputs!$B$39="pvp",15,MAX(0.1,Skills!D11-IF(TRUE=TRUE,Inputs!$B$33,0)))*(1-IF(AND(ArtifactsInput!$M$27,Inputs!$B$4="Chapter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IFERROR(1/(IF(Inputs!$B$39="pvp",15,MAX(0.1,Skills!D12-IF(TRUE=TRUE,Inputs!$B$33,0)))*(1-IF(AND(ArtifactsInput!$M$27,Inputs!$B$4="Chapter Hunt"),CHOOSE(ArtifactsInput!$N$27+1,20,24,28,32,36,40),0)/100)),0)</f>
        <v/>
      </c>
      <c r="R1659">
        <f>IF(AND(Inputs!$B$39&lt;&gt;"pvp",Inputs!$B$44&gt;0),IF(MAX(0,Inputs!$B$44-B1687)&lt;=0,0,(INT(MAX(0,Inputs!$B$44-B1687)/(IF(Inputs!$B$39="pvp",15,MAX(0.1,Skills!D12-IF(TRUE=TRUE,Inputs!$B$33,0)))*(1-IF(AND(ArtifactsInput!$M$27,Inputs!$B$4="Chapter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IFERROR(1/(IF(Inputs!$B$39="pvp",15,MAX(0.1,Skills!D13-IF(TRUE=TRUE,Inputs!$B$33,0)))*(1-IF(AND(ArtifactsInput!$M$27,Inputs!$B$4="Chapter Hunt"),CHOOSE(ArtifactsInput!$N$27+1,20,24,28,32,36,40),0)/100)),0)</f>
        <v/>
      </c>
      <c r="R1660">
        <f>IF(AND(Inputs!$B$39&lt;&gt;"pvp",Inputs!$B$44&gt;0),IF(MAX(0,Inputs!$B$44-B1687)&lt;=0,0,(INT(MAX(0,Inputs!$B$44-B1687)/(IF(Inputs!$B$39="pvp",15,MAX(0.1,Skills!D13-IF(TRUE=TRUE,Inputs!$B$33,0)))*(1-IF(AND(ArtifactsInput!$M$27,Inputs!$B$4="Chapter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IFERROR(1/(IF(Inputs!$B$39="pvp",15,MAX(0.1,Skills!D14-IF(TRUE=TRUE,Inputs!$B$33,0)))*(1-IF(AND(ArtifactsInput!$M$27,Inputs!$B$4="Chapter Hunt"),CHOOSE(ArtifactsInput!$N$27+1,20,24,28,32,36,40),0)/100)),0)</f>
        <v/>
      </c>
      <c r="R1661">
        <f>IF(AND(Inputs!$B$39&lt;&gt;"pvp",Inputs!$B$44&gt;0),IF(Inputs!$B$44&lt;=0,0,(INT(Inputs!$B$44/(IF(Inputs!$B$39="pvp",15,MAX(0.1,Skills!D14-IF(TRUE=TRUE,Inputs!$B$33,0)))*(1-IF(AND(ArtifactsInput!$M$27,Inputs!$B$4="Chapter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IFERROR(1/(IF(Inputs!$B$39="pvp",15,MAX(0.1,Skills!D15-IF(TRUE=TRUE,Inputs!$B$33,0)))*(1-IF(AND(ArtifactsInput!$M$27,Inputs!$B$4="Chapter Hunt"),CHOOSE(ArtifactsInput!$N$27+1,20,24,28,32,36,40),0)/100)),0)</f>
        <v/>
      </c>
      <c r="R1662" t="n">
        <v>0</v>
      </c>
      <c r="S1662">
        <f>IF(C1662,(Skills!F15*N1662*((IF(Inputs!$B$3&gt;=78,25,15)/100*B1683*10)/(1+IF(Inputs!$B$3&gt;=78,25,15)/100*B1683*IF(Inputs!$B$39="pvp",15,MAX(0.1,18-IF(TRUE=TRUE,Inputs!$B$33,0)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IF(Inputs!$B$39="pvp",15,MAX(0.1,18-IF(TRUE=TRUE,Inputs!$B$33,0)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IFERROR(1/(IF(Inputs!$B$39="pvp",15,MAX(0.1,Skills!D16-IF(TRUE=TRUE,Inputs!$B$33,0)))*(1-IF(AND(ArtifactsInput!$M$27,Inputs!$B$4="Chapter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IFERROR(1/(IF(Inputs!$B$39="pvp",15,MAX(0.1,Skills!D17-IF(TRUE=TRUE,Inputs!$B$33,0)))*(1-IF(AND(ArtifactsInput!$M$27,Inputs!$B$4="Chapter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IFERROR(1/(IF(Inputs!$B$39="pvp",15,MAX(0.1,Skills!D18-IF(TRUE=TRUE,Inputs!$B$33,0)))*(1-IF(AND(ArtifactsInput!$M$27,Inputs!$B$4="Chapter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IFERROR(1/(IF(Inputs!$B$39="pvp",15,MAX(0.1,Skills!D19-IF(TRUE=TRUE,Inputs!$B$33,0)))*(1-IF(AND(ArtifactsInput!$M$27,Inputs!$B$4="Chapter Hunt"),CHOOSE(ArtifactsInput!$N$27+1,20,24,28,32,36,40),0)/100)),0)</f>
        <v/>
      </c>
      <c r="R1666">
        <f>IF(AND(Inputs!$B$39&lt;&gt;"pvp",Inputs!$B$44&gt;0),IF(Inputs!$B$44&lt;=0,0,(INT(Inputs!$B$44/(IF(Inputs!$B$39="pvp",15,MAX(0.1,Skills!D19-IF(TRUE=TRUE,Inputs!$B$33,0)))*(1-IF(AND(ArtifactsInput!$M$27,Inputs!$B$4="Chapter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IFERROR(1/(IF(Inputs!$B$39="pvp",15,MAX(0.1,Skills!D20-IF(TRUE=TRUE,Inputs!$B$33,0)))*(1-IF(AND(ArtifactsInput!$M$27,Inputs!$B$4="Chapter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IFERROR(1/(IF(Inputs!$B$39="pvp",15,MAX(0.1,Skills!D21-IF(TRUE=TRUE,Inputs!$B$33,0)))*(1-IF(AND(ArtifactsInput!$M$27,Inputs!$B$4="Chapter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IFERROR(1/(IF(Inputs!$B$39="pvp",15,MAX(0.1,Skills!D22-IF(TRUE=TRUE,Inputs!$B$33,0)))*(1-IF(AND(ArtifactsInput!$M$27,Inputs!$B$4="Chapter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IFERROR(1/(IF(Inputs!$B$39="pvp",15,MAX(0.1,Skills!D23-IF(TRUE=TRUE,Inputs!$B$33,0)))*(1-IF(AND(ArtifactsInput!$M$27,Inputs!$B$4="Chapter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IFERROR(1/(IF(Inputs!$B$39="pvp",15,MAX(0.1,Skills!D24-IF(TRUE=TRUE,Inputs!$B$33,0)))*(1-IF(AND(ArtifactsInput!$M$27,Inputs!$B$4="Chapter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IFERROR(1/(IF(Inputs!$B$39="pvp",15,MAX(0.1,Skills!D25-IF(TRUE=TRUE,Inputs!$B$33,0)))*(1-IF(AND(ArtifactsInput!$M$27,Inputs!$B$4="Chapter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IFERROR(1/(IF(Inputs!$B$39="pvp",15,MAX(0.1,Skills!D26-IF(TRUE=TRUE,Inputs!$B$33,0)))*(1-IF(AND(ArtifactsInput!$M$27,Inputs!$B$4="Chapter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IFERROR(1/(IF(Inputs!$B$39="pvp",15,MAX(0.1,Skills!D27-IF(TRUE=TRUE,Inputs!$B$33,0)))*(1-IF(AND(ArtifactsInput!$M$27,Inputs!$B$4="Chapter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IFERROR(1/(IF(Inputs!$B$39="pvp",15,MAX(0.1,Skills!D28-IF(TRUE=TRUE,Inputs!$B$33,0)))*(1-IF(AND(ArtifactsInput!$M$27,Inputs!$B$4="Chapter Hunt"),CHOOSE(ArtifactsInput!$N$27+1,20,24,28,32,36,40),0)/100)),0)</f>
        <v/>
      </c>
      <c r="R1675">
        <f>IF(AND(Inputs!$B$39&lt;&gt;"pvp",Inputs!$B$44&gt;0),IF(Inputs!$B$44&lt;=0,0,(INT(Inputs!$B$44/(IF(Inputs!$B$39="pvp",15,MAX(0.1,Skills!D28-IF(TRUE=TRUE,Inputs!$B$33,0)))*(1-IF(AND(ArtifactsInput!$M$27,Inputs!$B$4="Chapter Hunt"),CHOOSE(ArtifactsInput!$N$27+1,20,24,28,32,36,40),0)/100)))+1)),0)</f>
        <v/>
      </c>
      <c r="S1675" t="n">
        <v>0</v>
      </c>
      <c r="U1675" t="n">
        <v>0</v>
      </c>
    </row>
    <row r="1677">
      <c r="A1677" t="inlineStr">
        <is>
          <t>Average Buff Multiplier</t>
        </is>
      </c>
      <c r="B1677">
        <f>(1+(IF(C1650=TRUE,F1650*IF(AND(Inputs!$B$39&lt;&gt;"pvp",Inputs!$B$44&gt;0),(((R1650-1)*MIN((Skills!S3*(1+((Inputs!$B$35+(ArtifactsInput!$M$7-ArtifactsInput!$M$7)*CHOOSE(ArtifactsInput!$N$7+1,6,7.2,8.4,9.6,10.8,12)))/100)),(1/Q1650))+MIN((Skills!S3*(1+((Inputs!$B$35+(ArtifactsInput!$M$7-ArtifactsInput!$M$7)*CHOOSE(ArtifactsInput!$N$7+1,6,7.2,8.4,9.6,10.8,12)))/100)),MAX(0,Inputs!$B$44-((R1650-1)*(1/Q1650)))))/Inputs!$B$44),IF(Inputs!$B$39="pvp",MIN((Skills!S3*(1+((Inputs!$B$35+(ArtifactsInput!$M$7-ArtifactsInput!$M$7)*CHOOSE(ArtifactsInput!$N$7+1,6,7.2,8.4,9.6,10.8,12)))/100)),15)/15,MIN(1,(Skills!S3*(1+((Inputs!$B$35+(ArtifactsInput!$M$7-ArtifactsInput!$M$7)*CHOOSE(ArtifactsInput!$N$7+1,6,7.2,8.4,9.6,10.8,12)))/100))/(1/Q1650)))),0)+IF(C1651=TRUE,F1651*IF(AND(Inputs!$B$39&lt;&gt;"pvp",Inputs!$B$44&gt;0),(((R1651-1)*MIN((Skills!S4*(1+((Inputs!$B$35+(ArtifactsInput!$M$7-ArtifactsInput!$M$7)*CHOOSE(ArtifactsInput!$N$7+1,6,7.2,8.4,9.6,10.8,12)))/100)),(1/Q1651))+MIN((Skills!S4*(1+((Inputs!$B$35+(ArtifactsInput!$M$7-ArtifactsInput!$M$7)*CHOOSE(ArtifactsInput!$N$7+1,6,7.2,8.4,9.6,10.8,12)))/100)),MAX(0,Inputs!$B$44-((R1651-1)*(1/Q1651)))))/Inputs!$B$44),IF(Inputs!$B$39="pvp",MIN((Skills!S4*(1+((Inputs!$B$35+(ArtifactsInput!$M$7-ArtifactsInput!$M$7)*CHOOSE(ArtifactsInput!$N$7+1,6,7.2,8.4,9.6,10.8,12)))/100)),15)/15,MIN(1,(Skills!S4*(1+((Inputs!$B$35+(ArtifactsInput!$M$7-ArtifactsInput!$M$7)*CHOOSE(ArtifactsInput!$N$7+1,6,7.2,8.4,9.6,10.8,12)))/100))/(1/Q1651)))),0)+IF(C1652=TRUE,F1652*IF(AND(Inputs!$B$39&lt;&gt;"pvp",Inputs!$B$44&gt;0),(((R1652-1)*MIN((Skills!S5*(1+((Inputs!$B$35+(ArtifactsInput!$M$7-ArtifactsInput!$M$7)*CHOOSE(ArtifactsInput!$N$7+1,6,7.2,8.4,9.6,10.8,12)))/100)),(1/Q1652))+MIN((Skills!S5*(1+((Inputs!$B$35+(ArtifactsInput!$M$7-ArtifactsInput!$M$7)*CHOOSE(ArtifactsInput!$N$7+1,6,7.2,8.4,9.6,10.8,12)))/100)),MAX(0,Inputs!$B$44-((R1652-1)*(1/Q1652)))))/Inputs!$B$44),IF(Inputs!$B$39="pvp",MIN((Skills!S5*(1+((Inputs!$B$35+(ArtifactsInput!$M$7-ArtifactsInput!$M$7)*CHOOSE(ArtifactsInput!$N$7+1,6,7.2,8.4,9.6,10.8,12)))/100)),15)/15,MIN(1,(Skills!S5*(1+((Inputs!$B$35+(ArtifactsInput!$M$7-ArtifactsInput!$M$7)*CHOOSE(ArtifactsInput!$N$7+1,6,7.2,8.4,9.6,10.8,12)))/100))/(1/Q1652)))),0)+IF(C1658=TRUE,F1658*IF(AND(Inputs!$B$39&lt;&gt;"pvp",Inputs!$B$44&gt;0),(((R1658-1)*MIN((Skills!S11*(1+((Inputs!$B$35+(ArtifactsInput!$M$7-ArtifactsInput!$M$7)*CHOOSE(ArtifactsInput!$N$7+1,6,7.2,8.4,9.6,10.8,12)))/100)),(1/Q1658))+MIN((Skills!S11*(1+((Inputs!$B$35+(ArtifactsInput!$M$7-ArtifactsInput!$M$7)*CHOOSE(ArtifactsInput!$N$7+1,6,7.2,8.4,9.6,10.8,12)))/100)),MAX(0,Inputs!$B$44-((R1658-1)*(1/Q1658)))))/Inputs!$B$44),IF(Inputs!$B$39="pvp",MIN((Skills!S11*(1+((Inputs!$B$35+(ArtifactsInput!$M$7-ArtifactsInput!$M$7)*CHOOSE(ArtifactsInput!$N$7+1,6,7.2,8.4,9.6,10.8,12)))/100)),15)/15,MIN(1,(Skills!S11*(1+((Inputs!$B$35+(ArtifactsInput!$M$7-ArtifactsInput!$M$7)*CHOOSE(ArtifactsInput!$N$7+1,6,7.2,8.4,9.6,10.8,12)))/100))/(1/Q1658)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MIN((Skills!S14*(1+((Inputs!$B$35+(ArtifactsInput!$M$7-ArtifactsInput!$M$7)*CHOOSE(ArtifactsInput!$N$7+1,6,7.2,8.4,9.6,10.8,12)))/100)),(1/Q1661))+MIN((Skills!S14*(1+((Inputs!$B$35+(ArtifactsInput!$M$7-ArtifactsInput!$M$7)*CHOOSE(ArtifactsInput!$N$7+1,6,7.2,8.4,9.6,10.8,12)))/100)),MAX(0,Inputs!$B$44-((R1661-1)*(1/Q1661)))))/Inputs!$B$44),IF(Inputs!$B$39="pvp",MIN((Skills!S14*(1+((Inputs!$B$35+(ArtifactsInput!$M$7-ArtifactsInput!$M$7)*CHOOSE(ArtifactsInput!$N$7+1,6,7.2,8.4,9.6,10.8,12)))/100)),15)/15,MIN(1,(Skills!S14*(1+((Inputs!$B$35+(ArtifactsInput!$M$7-ArtifactsInput!$M$7)*CHOOSE(ArtifactsInput!$N$7+1,6,7.2,8.4,9.6,10.8,12)))/100))/(1/Q1661))))/100),1)*IF(C1666=TRUE,(1+F1666*IF(AND(Inputs!$B$39&lt;&gt;"pvp",Inputs!$B$44&gt;0),(((R1666-1)*MIN((Skills!S19*(1+((Inputs!$B$35+(ArtifactsInput!$M$7-ArtifactsInput!$M$7)*CHOOSE(ArtifactsInput!$N$7+1,6,7.2,8.4,9.6,10.8,12)))/100)),(1/Q1666))+MIN((Skills!S19*(1+((Inputs!$B$35+(ArtifactsInput!$M$7-ArtifactsInput!$M$7)*CHOOSE(ArtifactsInput!$N$7+1,6,7.2,8.4,9.6,10.8,12)))/100)),MAX(0,Inputs!$B$44-((R1666-1)*(1/Q1666)))))/Inputs!$B$44),IF(Inputs!$B$39="pvp",MIN((Skills!S19*(1+((Inputs!$B$35+(ArtifactsInput!$M$7-ArtifactsInput!$M$7)*CHOOSE(ArtifactsInput!$N$7+1,6,7.2,8.4,9.6,10.8,12)))/100)),15)/15,MIN(1,(Skills!S19*(1+((Inputs!$B$35+(ArtifactsInput!$M$7-ArtifactsInput!$M$7)*CHOOSE(ArtifactsInput!$N$7+1,6,7.2,8.4,9.6,10.8,12)))/100))/(1/Q1666))))/100),1)</f>
        <v/>
      </c>
    </row>
    <row r="1678">
      <c r="A1678" t="inlineStr">
        <is>
          <t>Monster Damage Taken Bonus % (Holy Fountain)</t>
        </is>
      </c>
      <c r="B1678">
        <f>IF(Inputs!$B$3&gt;=68,20*IF(Inputs!$B$39="pvp",MIN((15*(1+((Inputs!$B$35+(ArtifactsInput!$M$7-ArtifactsInput!$M$7)*CHOOSE(ArtifactsInput!$N$7+1,6,7.2,8.4,9.6,10.8,12)))/100)),15)/15,MIN(1,(15*(1+((Inputs!$B$35+(ArtifactsInput!$M$7-ArtifactsInput!$M$7)*CHOOSE(ArtifactsInput!$N$7+1,6,7.2,8.4,9.6,10.8,12)))/100))/(1/Q1657))),0)</f>
        <v/>
      </c>
    </row>
    <row r="1679">
      <c r="A1679" t="inlineStr">
        <is>
          <t>Normal Monster Damage Bonus % (Holy Symbol)</t>
        </is>
      </c>
      <c r="B1679">
        <f>IF(C1659=TRUE,F1659*IF(AND(Inputs!$B$39&lt;&gt;"pvp",Inputs!$B$44&gt;0),(((R1659-1)*MIN((Skills!S12*(1+((Inputs!$B$35+(ArtifactsInput!$M$7-ArtifactsInput!$M$7)*CHOOSE(ArtifactsInput!$N$7+1,6,7.2,8.4,9.6,10.8,12)))/100)),(1/Q1659))+MIN((Skills!S12*(1+((Inputs!$B$35+(ArtifactsInput!$M$7-ArtifactsInput!$M$7)*CHOOSE(ArtifactsInput!$N$7+1,6,7.2,8.4,9.6,10.8,12)))/100)),MAX(0,Inputs!$B$44-((R1659-1)*(1/Q1659)))))/Inputs!$B$44),IF(Inputs!$B$39="pvp",MIN((Skills!S12*(1+((Inputs!$B$35+(ArtifactsInput!$M$7-ArtifactsInput!$M$7)*CHOOSE(ArtifactsInput!$N$7+1,6,7.2,8.4,9.6,10.8,12)))/100)),15)/15,MIN(1,(Skills!S12*(1+((Inputs!$B$35+(ArtifactsInput!$M$7-ArtifactsInput!$M$7)*CHOOSE(ArtifactsInput!$N$7+1,6,7.2,8.4,9.6,10.8,12)))/100))/(1/Q1659)))),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MIN((Skills!S28*(1+((Inputs!$B$35+(ArtifactsInput!$M$7-ArtifactsInput!$M$7)*CHOOSE(ArtifactsInput!$N$7+1,6,7.2,8.4,9.6,10.8,12)))/100)),(1/Q1675))+MIN((Skills!S28*(1+((Inputs!$B$35+(ArtifactsInput!$M$7-ArtifactsInput!$M$7)*CHOOSE(ArtifactsInput!$N$7+1,6,7.2,8.4,9.6,10.8,12)))/100)),MAX(0,Inputs!$B$44-((R1675-1)*(1/Q1675)))))/Inputs!$B$44),IF(Inputs!$B$39="pvp",MIN((Skills!S28*(1+((Inputs!$B$35+(ArtifactsInput!$M$7-ArtifactsInput!$M$7)*CHOOSE(ArtifactsInput!$N$7+1,6,7.2,8.4,9.6,10.8,12)))/100)),15)/15,MIN(1,(Skills!S28*(1+((Inputs!$B$35+(ArtifactsInput!$M$7-ArtifactsInput!$M$7)*CHOOSE(ArtifactsInput!$N$7+1,6,7.2,8.4,9.6,10.8,12)))/100))/(1/Q1675)))))</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MIN((Skills!S13*(1+((Inputs!$B$35+(ArtifactsInput!$M$7-ArtifactsInput!$M$7)*CHOOSE(ArtifactsInput!$N$7+1,6,7.2,8.4,9.6,10.8,12)))/100)),(1/Q1660))+MIN((Skills!S13*(1+((Inputs!$B$35+(ArtifactsInput!$M$7-ArtifactsInput!$M$7)*CHOOSE(ArtifactsInput!$N$7+1,6,7.2,8.4,9.6,10.8,12)))/100)),MAX(0,Inputs!$B$44-((R1660-1)*(1/Q1660)))))/Inputs!$B$44),IF(Inputs!$B$39="pvp",MIN((Skills!S13*(1+((Inputs!$B$35+(ArtifactsInput!$M$7-ArtifactsInput!$M$7)*CHOOSE(ArtifactsInput!$N$7+1,6,7.2,8.4,9.6,10.8,12)))/100)),15)/15,MIN(1,(Skills!S13*(1+((Inputs!$B$35+(ArtifactsInput!$M$7-ArtifactsInput!$M$7)*CHOOSE(ArtifactsInput!$N$7+1,6,7.2,8.4,9.6,10.8,12)))/100))/(1/Q1660)))),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IFERROR(1/(IF(Inputs!$B$39="pvp",15,MAX(0.1,Skills!D2-IF(TRUE=TRUE,Inputs!$B$33,0)))*(1-IF(AND(ArtifactsInput!$M$27,Inputs!$B$4="Chapter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IFERROR(1/(IF(Inputs!$B$39="pvp",15,MAX(0.1,Skills!D3-IF(TRUE=TRUE,Inputs!$B$33,0)))*(1-IF(AND(ArtifactsInput!$M$27,Inputs!$B$4="Chapter Hunt"),CHOOSE(ArtifactsInput!$N$27+1,20,24,28,32,36,40),0)/100)),0)</f>
        <v/>
      </c>
      <c r="R1695">
        <f>IF(AND(Inputs!$B$39&lt;&gt;"pvp",Inputs!$B$44&gt;0),IF(Inputs!$B$44&lt;=0,0,(INT(Inputs!$B$44/(IF(Inputs!$B$39="pvp",15,MAX(0.1,Skills!D3-IF(TRUE=TRUE,Inputs!$B$33,0)))*(1-IF(AND(ArtifactsInput!$M$27,Inputs!$B$4="Chapter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IFERROR(1/(IF(Inputs!$B$39="pvp",15,MAX(0.1,Skills!D4-IF(TRUE=TRUE,Inputs!$B$33,0)))*(1-IF(AND(ArtifactsInput!$M$27,Inputs!$B$4="Chapter Hunt"),CHOOSE(ArtifactsInput!$N$27+1,20,24,28,32,36,40),0)/100)),0)</f>
        <v/>
      </c>
      <c r="R1696">
        <f>IF(AND(Inputs!$B$39&lt;&gt;"pvp",Inputs!$B$44&gt;0),IF(Inputs!$B$44&lt;=0,0,(INT(Inputs!$B$44/(IF(Inputs!$B$39="pvp",15,MAX(0.1,Skills!D4-IF(TRUE=TRUE,Inputs!$B$33,0)))*(1-IF(AND(ArtifactsInput!$M$27,Inputs!$B$4="Chapter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IFERROR(1/(IF(Inputs!$B$39="pvp",15,MAX(0.1,Skills!D5-IF(TRUE=TRUE,Inputs!$B$33,0)))*(1-IF(AND(ArtifactsInput!$M$27,Inputs!$B$4="Chapter Hunt"),CHOOSE(ArtifactsInput!$N$27+1,20,24,28,32,36,40),0)/100)),0)</f>
        <v/>
      </c>
      <c r="R1697">
        <f>IF(AND(Inputs!$B$39&lt;&gt;"pvp",Inputs!$B$44&gt;0),IF(Inputs!$B$44&lt;=0,0,(INT(Inputs!$B$44/(IF(Inputs!$B$39="pvp",15,MAX(0.1,Skills!D5-IF(TRUE=TRUE,Inputs!$B$33,0)))*(1-IF(AND(ArtifactsInput!$M$27,Inputs!$B$4="Chapter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IFERROR(1/(IF(Inputs!$B$39="pvp",15,MAX(0.1,Skills!D6-IF(TRUE=TRUE,Inputs!$B$33,0)))*(1-IF(AND(ArtifactsInput!$M$27,Inputs!$B$4="Chapter Hunt"),CHOOSE(ArtifactsInput!$N$27+1,20,24,28,32,36,40),0)/100)),0)</f>
        <v/>
      </c>
      <c r="R1698">
        <f>IF(AND(Inputs!$B$39&lt;&gt;"pvp",Inputs!$B$44&gt;0),IF(MAX(0,Inputs!$B$44-B1732)&lt;=0,0,(INT(MAX(0,Inputs!$B$44-B1732)/(IF(Inputs!$B$39="pvp",15,MAX(0.1,Skills!D6-IF(TRUE=TRUE,Inputs!$B$33,0)))*(1-IF(AND(ArtifactsInput!$M$27,Inputs!$B$4="Chapter Hunt"),CHOOSE(ArtifactsInput!$N$27+1,20,24,28,32,36,40),0)/100)))+1)),0)</f>
        <v/>
      </c>
      <c r="S1698">
        <f>IF(C1698,(H1698*N1698*IF(AND(Inputs!$B$39&lt;&gt;"pvp",Inputs!$B$44&gt;0),((Skills!F6*((R1698-1)*IF(Skills!G6&gt;0,INT(Skills!H6/Skills!G6+0.000000001),1)+IF(Skills!G6&gt;0,INT(MIN(Skills!H6,MAX(0,MAX(0,Inputs!$B$44-B1732)-((R1698-1)*(IF(Inputs!$B$39="pvp",15,MAX(0.1,Skills!D6-IF(TRUE=TRUE,Inputs!$B$33,0)))*(1-IF(AND(ArtifactsInput!$M$27,Inputs!$B$4="Chapter Hunt"),CHOOSE(ArtifactsInput!$N$27+1,20,24,28,32,36,40),0)/100)))))/Skills!G6+0.000000001),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INT(Skills!H6/Skills!G6+0.000000001),1)+IF(Skills!G6&gt;0,INT(MIN(Skills!H6,MAX(0,MAX(0,Inputs!$B$44-B1732)-((R1698-1)*(IF(Inputs!$B$39="pvp",15,MAX(0.1,Skills!D6-IF(TRUE=TRUE,Inputs!$B$33,0)))*(1-IF(AND(ArtifactsInput!$M$27,Inputs!$B$4="Chapter Hunt"),CHOOSE(ArtifactsInput!$N$27+1,20,24,28,32,36,40),0)/100)))))/Skills!G6+0.000000001),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IFERROR(1/(IF(Inputs!$B$39="pvp",15,MAX(0.1,Skills!D7-IF(TRUE=TRUE,Inputs!$B$33,0)))*(1-IF(AND(ArtifactsInput!$M$27,Inputs!$B$4="Chapter Hunt"),CHOOSE(ArtifactsInput!$N$27+1,20,24,28,32,36,40),0)/100)),0)</f>
        <v/>
      </c>
      <c r="R1699">
        <f>IF(AND(Inputs!$B$39&lt;&gt;"pvp",Inputs!$B$44&gt;0),IF(MAX(0,Inputs!$B$44-B1732)&lt;=0,0,(INT(MAX(0,Inputs!$B$44-B1732)/(IF(Inputs!$B$39="pvp",15,MAX(0.1,Skills!D7-IF(TRUE=TRUE,Inputs!$B$33,0)))*(1-IF(AND(ArtifactsInput!$M$27,Inputs!$B$4="Chapter Hunt"),CHOOSE(ArtifactsInput!$N$27+1,20,24,28,32,36,40),0)/100)))+1)),0)</f>
        <v/>
      </c>
      <c r="S1699">
        <f>IF(C1699,H1699*N1699*IF(AND(Inputs!$B$39&lt;&gt;"pvp",Inputs!$B$44&gt;0),((Skills!F7*((R1699-1)*IF(Skills!G7&gt;0,INT(Skills!H7/Skills!G7+0.000000001),1)+IF(Skills!G7&gt;0,INT(MIN(Skills!H7,MAX(0,MAX(0,Inputs!$B$44-B1732)-((R1699-1)*(IF(Inputs!$B$39="pvp",15,MAX(0.1,Skills!D7-IF(TRUE=TRUE,Inputs!$B$33,0)))*(1-IF(AND(ArtifactsInput!$M$27,Inputs!$B$4="Chapter Hunt"),CHOOSE(ArtifactsInput!$N$27+1,20,24,28,32,36,40),0)/100)))))/Skills!G7+0.000000001),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IFERROR(1/(IF(Inputs!$B$39="pvp",15,MAX(0.1,Skills!D8-IF(TRUE=TRUE,Inputs!$B$33,0)))*(1-IF(AND(ArtifactsInput!$M$27,Inputs!$B$4="Chapter Hunt"),CHOOSE(ArtifactsInput!$N$27+1,20,24,28,32,36,40),0)/100)),0)</f>
        <v/>
      </c>
      <c r="R1700">
        <f>IF(AND(Inputs!$B$39&lt;&gt;"pvp",Inputs!$B$44&gt;0),IF(MAX(0,Inputs!$B$44-B1732)&lt;=0,0,(INT(MAX(0,Inputs!$B$44-B1732)/(IF(Inputs!$B$39="pvp",15,MAX(0.1,Skills!D8-IF(TRUE=TRUE,Inputs!$B$33,0)))*(1-IF(AND(ArtifactsInput!$M$27,Inputs!$B$4="Chapter Hunt"),CHOOSE(ArtifactsInput!$N$27+1,20,24,28,32,36,40),0)/100)))+1)),0)</f>
        <v/>
      </c>
      <c r="S1700">
        <f>IF(C1700,(H1700*N1700*IF(AND(Inputs!$B$39&lt;&gt;"pvp",Inputs!$B$44&gt;0),((Skills!F8*((R1700-1)*IF(Skills!G8&gt;0,INT(Skills!H8/Skills!G8+0.000000001),1)+IF(Skills!G8&gt;0,INT(MIN(Skills!H8,MAX(0,MAX(0,Inputs!$B$44-B1732)-((R1700-1)*(IF(Inputs!$B$39="pvp",15,MAX(0.1,Skills!D8-IF(TRUE=TRUE,Inputs!$B$33,0)))*(1-IF(AND(ArtifactsInput!$M$27,Inputs!$B$4="Chapter Hunt"),CHOOSE(ArtifactsInput!$N$27+1,20,24,28,32,36,40),0)/100)))))/Skills!G8+0.000000001),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INT(Skills!H8/Skills!G8+0.000000001),1)+IF(Skills!G8&gt;0,INT(MIN(Skills!H8,MAX(0,MAX(0,Inputs!$B$44-B1732)-((R1700-1)*(IF(Inputs!$B$39="pvp",15,MAX(0.1,Skills!D8-IF(TRUE=TRUE,Inputs!$B$33,0)))*(1-IF(AND(ArtifactsInput!$M$27,Inputs!$B$4="Chapter Hunt"),CHOOSE(ArtifactsInput!$N$27+1,20,24,28,32,36,40),0)/100)))))/Skills!G8+0.000000001),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IFERROR(1/(IF(Inputs!$B$39="pvp",15,MAX(0.1,Skills!D9-IF(TRUE=TRUE,Inputs!$B$33,0)))*(1-IF(AND(ArtifactsInput!$M$27,Inputs!$B$4="Chapter Hunt"),CHOOSE(ArtifactsInput!$N$27+1,20,24,28,32,36,40),0)/100)),0)</f>
        <v/>
      </c>
      <c r="R1701">
        <f>IF(AND(Inputs!$B$39&lt;&gt;"pvp",Inputs!$B$44&gt;0),IF(MAX(0,Inputs!$B$44-B1732)&lt;=0,0,(INT(MAX(0,Inputs!$B$44-B1732)/(IF(Inputs!$B$39="pvp",15,MAX(0.1,Skills!D9-IF(TRUE=TRUE,Inputs!$B$33,0)))*(1-IF(AND(ArtifactsInput!$M$27,Inputs!$B$4="Chapter Hunt"),CHOOSE(ArtifactsInput!$N$27+1,20,24,28,32,36,40),0)/100)))+1)),0)</f>
        <v/>
      </c>
      <c r="S1701">
        <f>IF(C1701,(H1701*N1701*IF(AND(Inputs!$B$39&lt;&gt;"pvp",Inputs!$B$44&gt;0),((Skills!F9*((R1701-1)*IF(Skills!G9&gt;0,INT(Skills!H9/Skills!G9+0.000000001),1)+IF(Skills!G9&gt;0,INT(MIN(Skills!H9,MAX(0,MAX(0,Inputs!$B$44-B1732)-((R1701-1)*(IF(Inputs!$B$39="pvp",15,MAX(0.1,Skills!D9-IF(TRUE=TRUE,Inputs!$B$33,0)))*(1-IF(AND(ArtifactsInput!$M$27,Inputs!$B$4="Chapter Hunt"),CHOOSE(ArtifactsInput!$N$27+1,20,24,28,32,36,40),0)/100)))))/Skills!G9+0.000000001),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INT(Skills!H9/Skills!G9+0.000000001),1)+IF(Skills!G9&gt;0,INT(MIN(Skills!H9,MAX(0,MAX(0,Inputs!$B$44-B1732)-((R1701-1)*(IF(Inputs!$B$39="pvp",15,MAX(0.1,Skills!D9-IF(TRUE=TRUE,Inputs!$B$33,0)))*(1-IF(AND(ArtifactsInput!$M$27,Inputs!$B$4="Chapter Hunt"),CHOOSE(ArtifactsInput!$N$27+1,20,24,28,32,36,40),0)/100)))))/Skills!G9+0.000000001),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IFERROR(1/(IF(Inputs!$B$39="pvp",15,MAX(0.1,Skills!D10-IF(TRUE=TRUE,Inputs!$B$33,0)))*(1-IF(AND(ArtifactsInput!$M$27,Inputs!$B$4="Chapter Hunt"),CHOOSE(ArtifactsInput!$N$27+1,20,24,28,32,36,40),0)/100)),0)</f>
        <v/>
      </c>
      <c r="R1702">
        <f>IF(AND(Inputs!$B$39&lt;&gt;"pvp",Inputs!$B$44&gt;0),IF(MAX(0,Inputs!$B$44-B1732)&lt;=0,0,(INT(MAX(0,Inputs!$B$44-B1732)/(IF(Inputs!$B$39="pvp",15,MAX(0.1,Skills!D10-IF(TRUE=TRUE,Inputs!$B$33,0)))*(1-IF(AND(ArtifactsInput!$M$27,Inputs!$B$4="Chapter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IFERROR(1/(IF(Inputs!$B$39="pvp",15,MAX(0.1,Skills!D11-IF(TRUE=TRUE,Inputs!$B$33,0)))*(1-IF(AND(ArtifactsInput!$M$27,Inputs!$B$4="Chapter Hunt"),CHOOSE(ArtifactsInput!$N$27+1,20,24,28,32,36,40),0)/100)),0)</f>
        <v/>
      </c>
      <c r="R1703">
        <f>IF(AND(Inputs!$B$39&lt;&gt;"pvp",Inputs!$B$44&gt;0),IF(Inputs!$B$44&lt;=0,0,(INT(Inputs!$B$44/(IF(Inputs!$B$39="pvp",15,MAX(0.1,Skills!D11-IF(TRUE=TRUE,Inputs!$B$33,0)))*(1-IF(AND(ArtifactsInput!$M$27,Inputs!$B$4="Chapter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IFERROR(1/(IF(Inputs!$B$39="pvp",15,MAX(0.1,Skills!D12-IF(TRUE=TRUE,Inputs!$B$33,0)))*(1-IF(AND(ArtifactsInput!$M$27,Inputs!$B$4="Chapter Hunt"),CHOOSE(ArtifactsInput!$N$27+1,20,24,28,32,36,40),0)/100)),0)</f>
        <v/>
      </c>
      <c r="R1704">
        <f>IF(AND(Inputs!$B$39&lt;&gt;"pvp",Inputs!$B$44&gt;0),IF(MAX(0,Inputs!$B$44-B1732)&lt;=0,0,(INT(MAX(0,Inputs!$B$44-B1732)/(IF(Inputs!$B$39="pvp",15,MAX(0.1,Skills!D12-IF(TRUE=TRUE,Inputs!$B$33,0)))*(1-IF(AND(ArtifactsInput!$M$27,Inputs!$B$4="Chapter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IFERROR(1/(IF(Inputs!$B$39="pvp",15,MAX(0.1,Skills!D13-IF(TRUE=TRUE,Inputs!$B$33,0)))*(1-IF(AND(ArtifactsInput!$M$27,Inputs!$B$4="Chapter Hunt"),CHOOSE(ArtifactsInput!$N$27+1,20,24,28,32,36,40),0)/100)),0)</f>
        <v/>
      </c>
      <c r="R1705">
        <f>IF(AND(Inputs!$B$39&lt;&gt;"pvp",Inputs!$B$44&gt;0),IF(MAX(0,Inputs!$B$44-B1732)&lt;=0,0,(INT(MAX(0,Inputs!$B$44-B1732)/(IF(Inputs!$B$39="pvp",15,MAX(0.1,Skills!D13-IF(TRUE=TRUE,Inputs!$B$33,0)))*(1-IF(AND(ArtifactsInput!$M$27,Inputs!$B$4="Chapter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IFERROR(1/(IF(Inputs!$B$39="pvp",15,MAX(0.1,Skills!D14-IF(TRUE=TRUE,Inputs!$B$33,0)))*(1-IF(AND(ArtifactsInput!$M$27,Inputs!$B$4="Chapter Hunt"),CHOOSE(ArtifactsInput!$N$27+1,20,24,28,32,36,40),0)/100)),0)</f>
        <v/>
      </c>
      <c r="R1706">
        <f>IF(AND(Inputs!$B$39&lt;&gt;"pvp",Inputs!$B$44&gt;0),IF(Inputs!$B$44&lt;=0,0,(INT(Inputs!$B$44/(IF(Inputs!$B$39="pvp",15,MAX(0.1,Skills!D14-IF(TRUE=TRUE,Inputs!$B$33,0)))*(1-IF(AND(ArtifactsInput!$M$27,Inputs!$B$4="Chapter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IFERROR(1/(IF(Inputs!$B$39="pvp",15,MAX(0.1,Skills!D15-IF(TRUE=TRUE,Inputs!$B$33,0)))*(1-IF(AND(ArtifactsInput!$M$27,Inputs!$B$4="Chapter Hunt"),CHOOSE(ArtifactsInput!$N$27+1,20,24,28,32,36,40),0)/100)),0)</f>
        <v/>
      </c>
      <c r="R1707" t="n">
        <v>0</v>
      </c>
      <c r="S1707">
        <f>IF(C1707,(Skills!F15*N1707*((IF(Inputs!$B$3&gt;=78,25,15)/100*B1728*10)/(1+IF(Inputs!$B$3&gt;=78,25,15)/100*B1728*IF(Inputs!$B$39="pvp",15,MAX(0.1,18-IF(TRUE=TRUE,Inputs!$B$33,0)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IF(Inputs!$B$39="pvp",15,MAX(0.1,18-IF(TRUE=TRUE,Inputs!$B$33,0)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IFERROR(1/(IF(Inputs!$B$39="pvp",15,MAX(0.1,Skills!D16-IF(TRUE=TRUE,Inputs!$B$33,0)))*(1-IF(AND(ArtifactsInput!$M$27,Inputs!$B$4="Chapter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IFERROR(1/(IF(Inputs!$B$39="pvp",15,MAX(0.1,Skills!D17-IF(TRUE=TRUE,Inputs!$B$33,0)))*(1-IF(AND(ArtifactsInput!$M$27,Inputs!$B$4="Chapter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IFERROR(1/(IF(Inputs!$B$39="pvp",15,MAX(0.1,Skills!D18-IF(TRUE=TRUE,Inputs!$B$33,0)))*(1-IF(AND(ArtifactsInput!$M$27,Inputs!$B$4="Chapter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IFERROR(1/(IF(Inputs!$B$39="pvp",15,MAX(0.1,Skills!D19-IF(TRUE=TRUE,Inputs!$B$33,0)))*(1-IF(AND(ArtifactsInput!$M$27,Inputs!$B$4="Chapter Hunt"),CHOOSE(ArtifactsInput!$N$27+1,20,24,28,32,36,40),0)/100)),0)</f>
        <v/>
      </c>
      <c r="R1711">
        <f>IF(AND(Inputs!$B$39&lt;&gt;"pvp",Inputs!$B$44&gt;0),IF(Inputs!$B$44&lt;=0,0,(INT(Inputs!$B$44/(IF(Inputs!$B$39="pvp",15,MAX(0.1,Skills!D19-IF(TRUE=TRUE,Inputs!$B$33,0)))*(1-IF(AND(ArtifactsInput!$M$27,Inputs!$B$4="Chapter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IFERROR(1/(IF(Inputs!$B$39="pvp",15,MAX(0.1,Skills!D20-IF(TRUE=TRUE,Inputs!$B$33,0)))*(1-IF(AND(ArtifactsInput!$M$27,Inputs!$B$4="Chapter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IFERROR(1/(IF(Inputs!$B$39="pvp",15,MAX(0.1,Skills!D21-IF(TRUE=TRUE,Inputs!$B$33,0)))*(1-IF(AND(ArtifactsInput!$M$27,Inputs!$B$4="Chapter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IFERROR(1/(IF(Inputs!$B$39="pvp",15,MAX(0.1,Skills!D22-IF(TRUE=TRUE,Inputs!$B$33,0)))*(1-IF(AND(ArtifactsInput!$M$27,Inputs!$B$4="Chapter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IFERROR(1/(IF(Inputs!$B$39="pvp",15,MAX(0.1,Skills!D23-IF(TRUE=TRUE,Inputs!$B$33,0)))*(1-IF(AND(ArtifactsInput!$M$27,Inputs!$B$4="Chapter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IFERROR(1/(IF(Inputs!$B$39="pvp",15,MAX(0.1,Skills!D24-IF(TRUE=TRUE,Inputs!$B$33,0)))*(1-IF(AND(ArtifactsInput!$M$27,Inputs!$B$4="Chapter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IFERROR(1/(IF(Inputs!$B$39="pvp",15,MAX(0.1,Skills!D25-IF(TRUE=TRUE,Inputs!$B$33,0)))*(1-IF(AND(ArtifactsInput!$M$27,Inputs!$B$4="Chapter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IFERROR(1/(IF(Inputs!$B$39="pvp",15,MAX(0.1,Skills!D26-IF(TRUE=TRUE,Inputs!$B$33,0)))*(1-IF(AND(ArtifactsInput!$M$27,Inputs!$B$4="Chapter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IFERROR(1/(IF(Inputs!$B$39="pvp",15,MAX(0.1,Skills!D27-IF(TRUE=TRUE,Inputs!$B$33,0)))*(1-IF(AND(ArtifactsInput!$M$27,Inputs!$B$4="Chapter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IFERROR(1/(IF(Inputs!$B$39="pvp",15,MAX(0.1,Skills!D28-IF(TRUE=TRUE,Inputs!$B$33,0)))*(1-IF(AND(ArtifactsInput!$M$27,Inputs!$B$4="Chapter Hunt"),CHOOSE(ArtifactsInput!$N$27+1,20,24,28,32,36,40),0)/100)),0)</f>
        <v/>
      </c>
      <c r="R1720">
        <f>IF(AND(Inputs!$B$39&lt;&gt;"pvp",Inputs!$B$44&gt;0),IF(Inputs!$B$44&lt;=0,0,(INT(Inputs!$B$44/(IF(Inputs!$B$39="pvp",15,MAX(0.1,Skills!D28-IF(TRUE=TRUE,Inputs!$B$33,0)))*(1-IF(AND(ArtifactsInput!$M$27,Inputs!$B$4="Chapter Hunt"),CHOOSE(ArtifactsInput!$N$27+1,20,24,28,32,36,40),0)/100)))+1)),0)</f>
        <v/>
      </c>
      <c r="S1720" t="n">
        <v>0</v>
      </c>
      <c r="U1720" t="n">
        <v>0</v>
      </c>
    </row>
    <row r="1722">
      <c r="A1722" t="inlineStr">
        <is>
          <t>Average Buff Multiplier</t>
        </is>
      </c>
      <c r="B1722">
        <f>(1+(IF(C1695=TRUE,F1695*IF(AND(Inputs!$B$39&lt;&gt;"pvp",Inputs!$B$44&gt;0),(((R1695-1)*MIN((Skills!S3*(1+((Inputs!$B$35+(ArtifactsInput!$M$7-ArtifactsInput!$M$7)*CHOOSE(ArtifactsInput!$N$7+1,6,7.2,8.4,9.6,10.8,12)))/100)),(1/Q1695))+MIN((Skills!S3*(1+((Inputs!$B$35+(ArtifactsInput!$M$7-ArtifactsInput!$M$7)*CHOOSE(ArtifactsInput!$N$7+1,6,7.2,8.4,9.6,10.8,12)))/100)),MAX(0,Inputs!$B$44-((R1695-1)*(1/Q1695)))))/Inputs!$B$44),IF(Inputs!$B$39="pvp",MIN((Skills!S3*(1+((Inputs!$B$35+(ArtifactsInput!$M$7-ArtifactsInput!$M$7)*CHOOSE(ArtifactsInput!$N$7+1,6,7.2,8.4,9.6,10.8,12)))/100)),15)/15,MIN(1,(Skills!S3*(1+((Inputs!$B$35+(ArtifactsInput!$M$7-ArtifactsInput!$M$7)*CHOOSE(ArtifactsInput!$N$7+1,6,7.2,8.4,9.6,10.8,12)))/100))/(1/Q1695)))),0)+IF(C1696=TRUE,F1696*IF(AND(Inputs!$B$39&lt;&gt;"pvp",Inputs!$B$44&gt;0),(((R1696-1)*MIN((Skills!S4*(1+((Inputs!$B$35+(ArtifactsInput!$M$7-ArtifactsInput!$M$7)*CHOOSE(ArtifactsInput!$N$7+1,6,7.2,8.4,9.6,10.8,12)))/100)),(1/Q1696))+MIN((Skills!S4*(1+((Inputs!$B$35+(ArtifactsInput!$M$7-ArtifactsInput!$M$7)*CHOOSE(ArtifactsInput!$N$7+1,6,7.2,8.4,9.6,10.8,12)))/100)),MAX(0,Inputs!$B$44-((R1696-1)*(1/Q1696)))))/Inputs!$B$44),IF(Inputs!$B$39="pvp",MIN((Skills!S4*(1+((Inputs!$B$35+(ArtifactsInput!$M$7-ArtifactsInput!$M$7)*CHOOSE(ArtifactsInput!$N$7+1,6,7.2,8.4,9.6,10.8,12)))/100)),15)/15,MIN(1,(Skills!S4*(1+((Inputs!$B$35+(ArtifactsInput!$M$7-ArtifactsInput!$M$7)*CHOOSE(ArtifactsInput!$N$7+1,6,7.2,8.4,9.6,10.8,12)))/100))/(1/Q1696)))),0)+IF(C1697=TRUE,F1697*IF(AND(Inputs!$B$39&lt;&gt;"pvp",Inputs!$B$44&gt;0),(((R1697-1)*MIN((Skills!S5*(1+((Inputs!$B$35+(ArtifactsInput!$M$7-ArtifactsInput!$M$7)*CHOOSE(ArtifactsInput!$N$7+1,6,7.2,8.4,9.6,10.8,12)))/100)),(1/Q1697))+MIN((Skills!S5*(1+((Inputs!$B$35+(ArtifactsInput!$M$7-ArtifactsInput!$M$7)*CHOOSE(ArtifactsInput!$N$7+1,6,7.2,8.4,9.6,10.8,12)))/100)),MAX(0,Inputs!$B$44-((R1697-1)*(1/Q1697)))))/Inputs!$B$44),IF(Inputs!$B$39="pvp",MIN((Skills!S5*(1+((Inputs!$B$35+(ArtifactsInput!$M$7-ArtifactsInput!$M$7)*CHOOSE(ArtifactsInput!$N$7+1,6,7.2,8.4,9.6,10.8,12)))/100)),15)/15,MIN(1,(Skills!S5*(1+((Inputs!$B$35+(ArtifactsInput!$M$7-ArtifactsInput!$M$7)*CHOOSE(ArtifactsInput!$N$7+1,6,7.2,8.4,9.6,10.8,12)))/100))/(1/Q1697)))),0)+IF(C1703=TRUE,F1703*IF(AND(Inputs!$B$39&lt;&gt;"pvp",Inputs!$B$44&gt;0),(((R1703-1)*MIN((Skills!S11*(1+((Inputs!$B$35+(ArtifactsInput!$M$7-ArtifactsInput!$M$7)*CHOOSE(ArtifactsInput!$N$7+1,6,7.2,8.4,9.6,10.8,12)))/100)),(1/Q1703))+MIN((Skills!S11*(1+((Inputs!$B$35+(ArtifactsInput!$M$7-ArtifactsInput!$M$7)*CHOOSE(ArtifactsInput!$N$7+1,6,7.2,8.4,9.6,10.8,12)))/100)),MAX(0,Inputs!$B$44-((R1703-1)*(1/Q1703)))))/Inputs!$B$44),IF(Inputs!$B$39="pvp",MIN((Skills!S11*(1+((Inputs!$B$35+(ArtifactsInput!$M$7-ArtifactsInput!$M$7)*CHOOSE(ArtifactsInput!$N$7+1,6,7.2,8.4,9.6,10.8,12)))/100)),15)/15,MIN(1,(Skills!S11*(1+((Inputs!$B$35+(ArtifactsInput!$M$7-ArtifactsInput!$M$7)*CHOOSE(ArtifactsInput!$N$7+1,6,7.2,8.4,9.6,10.8,12)))/100))/(1/Q1703)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MIN((Skills!S14*(1+((Inputs!$B$35+(ArtifactsInput!$M$7-ArtifactsInput!$M$7)*CHOOSE(ArtifactsInput!$N$7+1,6,7.2,8.4,9.6,10.8,12)))/100)),(1/Q1706))+MIN((Skills!S14*(1+((Inputs!$B$35+(ArtifactsInput!$M$7-ArtifactsInput!$M$7)*CHOOSE(ArtifactsInput!$N$7+1,6,7.2,8.4,9.6,10.8,12)))/100)),MAX(0,Inputs!$B$44-((R1706-1)*(1/Q1706)))))/Inputs!$B$44),IF(Inputs!$B$39="pvp",MIN((Skills!S14*(1+((Inputs!$B$35+(ArtifactsInput!$M$7-ArtifactsInput!$M$7)*CHOOSE(ArtifactsInput!$N$7+1,6,7.2,8.4,9.6,10.8,12)))/100)),15)/15,MIN(1,(Skills!S14*(1+((Inputs!$B$35+(ArtifactsInput!$M$7-ArtifactsInput!$M$7)*CHOOSE(ArtifactsInput!$N$7+1,6,7.2,8.4,9.6,10.8,12)))/100))/(1/Q1706))))/100),1)*IF(C1711=TRUE,(1+F1711*IF(AND(Inputs!$B$39&lt;&gt;"pvp",Inputs!$B$44&gt;0),(((R1711-1)*MIN((Skills!S19*(1+((Inputs!$B$35+(ArtifactsInput!$M$7-ArtifactsInput!$M$7)*CHOOSE(ArtifactsInput!$N$7+1,6,7.2,8.4,9.6,10.8,12)))/100)),(1/Q1711))+MIN((Skills!S19*(1+((Inputs!$B$35+(ArtifactsInput!$M$7-ArtifactsInput!$M$7)*CHOOSE(ArtifactsInput!$N$7+1,6,7.2,8.4,9.6,10.8,12)))/100)),MAX(0,Inputs!$B$44-((R1711-1)*(1/Q1711)))))/Inputs!$B$44),IF(Inputs!$B$39="pvp",MIN((Skills!S19*(1+((Inputs!$B$35+(ArtifactsInput!$M$7-ArtifactsInput!$M$7)*CHOOSE(ArtifactsInput!$N$7+1,6,7.2,8.4,9.6,10.8,12)))/100)),15)/15,MIN(1,(Skills!S19*(1+((Inputs!$B$35+(ArtifactsInput!$M$7-ArtifactsInput!$M$7)*CHOOSE(ArtifactsInput!$N$7+1,6,7.2,8.4,9.6,10.8,12)))/100))/(1/Q1711))))/100),1)</f>
        <v/>
      </c>
    </row>
    <row r="1723">
      <c r="A1723" t="inlineStr">
        <is>
          <t>Monster Damage Taken Bonus % (Holy Fountain)</t>
        </is>
      </c>
      <c r="B1723">
        <f>IF(Inputs!$B$3&gt;=68,20*IF(Inputs!$B$39="pvp",MIN((15*(1+((Inputs!$B$35+(ArtifactsInput!$M$7-ArtifactsInput!$M$7)*CHOOSE(ArtifactsInput!$N$7+1,6,7.2,8.4,9.6,10.8,12)))/100)),15)/15,MIN(1,(15*(1+((Inputs!$B$35+(ArtifactsInput!$M$7-ArtifactsInput!$M$7)*CHOOSE(ArtifactsInput!$N$7+1,6,7.2,8.4,9.6,10.8,12)))/100))/(1/Q1702))),0)</f>
        <v/>
      </c>
    </row>
    <row r="1724">
      <c r="A1724" t="inlineStr">
        <is>
          <t>Normal Monster Damage Bonus % (Holy Symbol)</t>
        </is>
      </c>
      <c r="B1724">
        <f>IF(C1704=TRUE,F1704*IF(AND(Inputs!$B$39&lt;&gt;"pvp",Inputs!$B$44&gt;0),(((R1704-1)*MIN((Skills!S12*(1+((Inputs!$B$35+(ArtifactsInput!$M$7-ArtifactsInput!$M$7)*CHOOSE(ArtifactsInput!$N$7+1,6,7.2,8.4,9.6,10.8,12)))/100)),(1/Q1704))+MIN((Skills!S12*(1+((Inputs!$B$35+(ArtifactsInput!$M$7-ArtifactsInput!$M$7)*CHOOSE(ArtifactsInput!$N$7+1,6,7.2,8.4,9.6,10.8,12)))/100)),MAX(0,Inputs!$B$44-((R1704-1)*(1/Q1704)))))/Inputs!$B$44),IF(Inputs!$B$39="pvp",MIN((Skills!S12*(1+((Inputs!$B$35+(ArtifactsInput!$M$7-ArtifactsInput!$M$7)*CHOOSE(ArtifactsInput!$N$7+1,6,7.2,8.4,9.6,10.8,12)))/100)),15)/15,MIN(1,(Skills!S12*(1+((Inputs!$B$35+(ArtifactsInput!$M$7-ArtifactsInput!$M$7)*CHOOSE(ArtifactsInput!$N$7+1,6,7.2,8.4,9.6,10.8,12)))/100))/(1/Q1704)))),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MIN((Skills!S28*(1+((Inputs!$B$35+(ArtifactsInput!$M$7-ArtifactsInput!$M$7)*CHOOSE(ArtifactsInput!$N$7+1,6,7.2,8.4,9.6,10.8,12)))/100)),(1/Q1720))+MIN((Skills!S28*(1+((Inputs!$B$35+(ArtifactsInput!$M$7-ArtifactsInput!$M$7)*CHOOSE(ArtifactsInput!$N$7+1,6,7.2,8.4,9.6,10.8,12)))/100)),MAX(0,Inputs!$B$44-((R1720-1)*(1/Q1720)))))/Inputs!$B$44),IF(Inputs!$B$39="pvp",MIN((Skills!S28*(1+((Inputs!$B$35+(ArtifactsInput!$M$7-ArtifactsInput!$M$7)*CHOOSE(ArtifactsInput!$N$7+1,6,7.2,8.4,9.6,10.8,12)))/100)),15)/15,MIN(1,(Skills!S28*(1+((Inputs!$B$35+(ArtifactsInput!$M$7-ArtifactsInput!$M$7)*CHOOSE(ArtifactsInput!$N$7+1,6,7.2,8.4,9.6,10.8,12)))/100))/(1/Q1720)))))</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MIN((Skills!S13*(1+((Inputs!$B$35+(ArtifactsInput!$M$7-ArtifactsInput!$M$7)*CHOOSE(ArtifactsInput!$N$7+1,6,7.2,8.4,9.6,10.8,12)))/100)),(1/Q1705))+MIN((Skills!S13*(1+((Inputs!$B$35+(ArtifactsInput!$M$7-ArtifactsInput!$M$7)*CHOOSE(ArtifactsInput!$N$7+1,6,7.2,8.4,9.6,10.8,12)))/100)),MAX(0,Inputs!$B$44-((R1705-1)*(1/Q1705)))))/Inputs!$B$44),IF(Inputs!$B$39="pvp",MIN((Skills!S13*(1+((Inputs!$B$35+(ArtifactsInput!$M$7-ArtifactsInput!$M$7)*CHOOSE(ArtifactsInput!$N$7+1,6,7.2,8.4,9.6,10.8,12)))/100)),15)/15,MIN(1,(Skills!S13*(1+((Inputs!$B$35+(ArtifactsInput!$M$7-ArtifactsInput!$M$7)*CHOOSE(ArtifactsInput!$N$7+1,6,7.2,8.4,9.6,10.8,12)))/100))/(1/Q1705)))),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IFERROR(1/(IF(Inputs!$B$39="pvp",15,MAX(0.1,Skills!D2-IF(TRUE=TRUE,Inputs!$B$33,0)))*(1-IF(AND(ArtifactsInput!$M$27,Inputs!$B$4="Chapter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IFERROR(1/(IF(Inputs!$B$39="pvp",15,MAX(0.1,Skills!D3-IF(TRUE=TRUE,Inputs!$B$33,0)))*(1-IF(AND(ArtifactsInput!$M$27,Inputs!$B$4="Chapter Hunt"),CHOOSE(ArtifactsInput!$N$27+1,20,24,28,32,36,40),0)/100)),0)</f>
        <v/>
      </c>
      <c r="R1740">
        <f>IF(AND(Inputs!$B$39&lt;&gt;"pvp",Inputs!$B$44&gt;0),IF(Inputs!$B$44&lt;=0,0,(INT(Inputs!$B$44/(IF(Inputs!$B$39="pvp",15,MAX(0.1,Skills!D3-IF(TRUE=TRUE,Inputs!$B$33,0)))*(1-IF(AND(ArtifactsInput!$M$27,Inputs!$B$4="Chapter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IFERROR(1/(IF(Inputs!$B$39="pvp",15,MAX(0.1,Skills!D4-IF(TRUE=TRUE,Inputs!$B$33,0)))*(1-IF(AND(ArtifactsInput!$M$27,Inputs!$B$4="Chapter Hunt"),CHOOSE(ArtifactsInput!$N$27+1,20,24,28,32,36,40),0)/100)),0)</f>
        <v/>
      </c>
      <c r="R1741">
        <f>IF(AND(Inputs!$B$39&lt;&gt;"pvp",Inputs!$B$44&gt;0),IF(Inputs!$B$44&lt;=0,0,(INT(Inputs!$B$44/(IF(Inputs!$B$39="pvp",15,MAX(0.1,Skills!D4-IF(TRUE=TRUE,Inputs!$B$33,0)))*(1-IF(AND(ArtifactsInput!$M$27,Inputs!$B$4="Chapter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IFERROR(1/(IF(Inputs!$B$39="pvp",15,MAX(0.1,Skills!D5-IF(TRUE=TRUE,Inputs!$B$33,0)))*(1-IF(AND(ArtifactsInput!$M$27,Inputs!$B$4="Chapter Hunt"),CHOOSE(ArtifactsInput!$N$27+1,20,24,28,32,36,40),0)/100)),0)</f>
        <v/>
      </c>
      <c r="R1742">
        <f>IF(AND(Inputs!$B$39&lt;&gt;"pvp",Inputs!$B$44&gt;0),IF(Inputs!$B$44&lt;=0,0,(INT(Inputs!$B$44/(IF(Inputs!$B$39="pvp",15,MAX(0.1,Skills!D5-IF(TRUE=TRUE,Inputs!$B$33,0)))*(1-IF(AND(ArtifactsInput!$M$27,Inputs!$B$4="Chapter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IFERROR(1/(IF(Inputs!$B$39="pvp",15,MAX(0.1,Skills!D6-IF(TRUE=TRUE,Inputs!$B$33,0)))*(1-IF(AND(ArtifactsInput!$M$27,Inputs!$B$4="Chapter Hunt"),CHOOSE(ArtifactsInput!$N$27+1,20,24,28,32,36,40),0)/100)),0)</f>
        <v/>
      </c>
      <c r="R1743">
        <f>IF(AND(Inputs!$B$39&lt;&gt;"pvp",Inputs!$B$44&gt;0),IF(MAX(0,Inputs!$B$44-B1777)&lt;=0,0,(INT(MAX(0,Inputs!$B$44-B1777)/(IF(Inputs!$B$39="pvp",15,MAX(0.1,Skills!D6-IF(TRUE=TRUE,Inputs!$B$33,0)))*(1-IF(AND(ArtifactsInput!$M$27,Inputs!$B$4="Chapter Hunt"),CHOOSE(ArtifactsInput!$N$27+1,20,24,28,32,36,40),0)/100)))+1)),0)</f>
        <v/>
      </c>
      <c r="S1743">
        <f>IF(C1743,(H1743*N1743*IF(AND(Inputs!$B$39&lt;&gt;"pvp",Inputs!$B$44&gt;0),((Skills!F6*((R1743-1)*IF(Skills!G6&gt;0,INT(Skills!H6/Skills!G6+0.000000001),1)+IF(Skills!G6&gt;0,INT(MIN(Skills!H6,MAX(0,MAX(0,Inputs!$B$44-B1777)-((R1743-1)*(IF(Inputs!$B$39="pvp",15,MAX(0.1,Skills!D6-IF(TRUE=TRUE,Inputs!$B$33,0)))*(1-IF(AND(ArtifactsInput!$M$27,Inputs!$B$4="Chapter Hunt"),CHOOSE(ArtifactsInput!$N$27+1,20,24,28,32,36,40),0)/100)))))/Skills!G6+0.000000001),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INT(Skills!H6/Skills!G6+0.000000001),1)+IF(Skills!G6&gt;0,INT(MIN(Skills!H6,MAX(0,MAX(0,Inputs!$B$44-B1777)-((R1743-1)*(IF(Inputs!$B$39="pvp",15,MAX(0.1,Skills!D6-IF(TRUE=TRUE,Inputs!$B$33,0)))*(1-IF(AND(ArtifactsInput!$M$27,Inputs!$B$4="Chapter Hunt"),CHOOSE(ArtifactsInput!$N$27+1,20,24,28,32,36,40),0)/100)))))/Skills!G6+0.000000001),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IFERROR(1/(IF(Inputs!$B$39="pvp",15,MAX(0.1,Skills!D7-IF(TRUE=TRUE,Inputs!$B$33,0)))*(1-IF(AND(ArtifactsInput!$M$27,Inputs!$B$4="Chapter Hunt"),CHOOSE(ArtifactsInput!$N$27+1,20,24,28,32,36,40),0)/100)),0)</f>
        <v/>
      </c>
      <c r="R1744">
        <f>IF(AND(Inputs!$B$39&lt;&gt;"pvp",Inputs!$B$44&gt;0),IF(MAX(0,Inputs!$B$44-B1777)&lt;=0,0,(INT(MAX(0,Inputs!$B$44-B1777)/(IF(Inputs!$B$39="pvp",15,MAX(0.1,Skills!D7-IF(TRUE=TRUE,Inputs!$B$33,0)))*(1-IF(AND(ArtifactsInput!$M$27,Inputs!$B$4="Chapter Hunt"),CHOOSE(ArtifactsInput!$N$27+1,20,24,28,32,36,40),0)/100)))+1)),0)</f>
        <v/>
      </c>
      <c r="S1744">
        <f>IF(C1744,H1744*N1744*IF(AND(Inputs!$B$39&lt;&gt;"pvp",Inputs!$B$44&gt;0),((Skills!F7*((R1744-1)*IF(Skills!G7&gt;0,INT(Skills!H7/Skills!G7+0.000000001),1)+IF(Skills!G7&gt;0,INT(MIN(Skills!H7,MAX(0,MAX(0,Inputs!$B$44-B1777)-((R1744-1)*(IF(Inputs!$B$39="pvp",15,MAX(0.1,Skills!D7-IF(TRUE=TRUE,Inputs!$B$33,0)))*(1-IF(AND(ArtifactsInput!$M$27,Inputs!$B$4="Chapter Hunt"),CHOOSE(ArtifactsInput!$N$27+1,20,24,28,32,36,40),0)/100)))))/Skills!G7+0.000000001),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IFERROR(1/(IF(Inputs!$B$39="pvp",15,MAX(0.1,Skills!D8-IF(TRUE=TRUE,Inputs!$B$33,0)))*(1-IF(AND(ArtifactsInput!$M$27,Inputs!$B$4="Chapter Hunt"),CHOOSE(ArtifactsInput!$N$27+1,20,24,28,32,36,40),0)/100)),0)</f>
        <v/>
      </c>
      <c r="R1745">
        <f>IF(AND(Inputs!$B$39&lt;&gt;"pvp",Inputs!$B$44&gt;0),IF(MAX(0,Inputs!$B$44-B1777)&lt;=0,0,(INT(MAX(0,Inputs!$B$44-B1777)/(IF(Inputs!$B$39="pvp",15,MAX(0.1,Skills!D8-IF(TRUE=TRUE,Inputs!$B$33,0)))*(1-IF(AND(ArtifactsInput!$M$27,Inputs!$B$4="Chapter Hunt"),CHOOSE(ArtifactsInput!$N$27+1,20,24,28,32,36,40),0)/100)))+1)),0)</f>
        <v/>
      </c>
      <c r="S1745">
        <f>IF(C1745,(H1745*N1745*IF(AND(Inputs!$B$39&lt;&gt;"pvp",Inputs!$B$44&gt;0),((Skills!F8*((R1745-1)*IF(Skills!G8&gt;0,INT(Skills!H8/Skills!G8+0.000000001),1)+IF(Skills!G8&gt;0,INT(MIN(Skills!H8,MAX(0,MAX(0,Inputs!$B$44-B1777)-((R1745-1)*(IF(Inputs!$B$39="pvp",15,MAX(0.1,Skills!D8-IF(TRUE=TRUE,Inputs!$B$33,0)))*(1-IF(AND(ArtifactsInput!$M$27,Inputs!$B$4="Chapter Hunt"),CHOOSE(ArtifactsInput!$N$27+1,20,24,28,32,36,40),0)/100)))))/Skills!G8+0.000000001),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INT(Skills!H8/Skills!G8+0.000000001),1)+IF(Skills!G8&gt;0,INT(MIN(Skills!H8,MAX(0,MAX(0,Inputs!$B$44-B1777)-((R1745-1)*(IF(Inputs!$B$39="pvp",15,MAX(0.1,Skills!D8-IF(TRUE=TRUE,Inputs!$B$33,0)))*(1-IF(AND(ArtifactsInput!$M$27,Inputs!$B$4="Chapter Hunt"),CHOOSE(ArtifactsInput!$N$27+1,20,24,28,32,36,40),0)/100)))))/Skills!G8+0.000000001),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IFERROR(1/(IF(Inputs!$B$39="pvp",15,MAX(0.1,Skills!D9-IF(TRUE=TRUE,Inputs!$B$33,0)))*(1-IF(AND(ArtifactsInput!$M$27,Inputs!$B$4="Chapter Hunt"),CHOOSE(ArtifactsInput!$N$27+1,20,24,28,32,36,40),0)/100)),0)</f>
        <v/>
      </c>
      <c r="R1746">
        <f>IF(AND(Inputs!$B$39&lt;&gt;"pvp",Inputs!$B$44&gt;0),IF(MAX(0,Inputs!$B$44-B1777)&lt;=0,0,(INT(MAX(0,Inputs!$B$44-B1777)/(IF(Inputs!$B$39="pvp",15,MAX(0.1,Skills!D9-IF(TRUE=TRUE,Inputs!$B$33,0)))*(1-IF(AND(ArtifactsInput!$M$27,Inputs!$B$4="Chapter Hunt"),CHOOSE(ArtifactsInput!$N$27+1,20,24,28,32,36,40),0)/100)))+1)),0)</f>
        <v/>
      </c>
      <c r="S1746">
        <f>IF(C1746,(H1746*N1746*IF(AND(Inputs!$B$39&lt;&gt;"pvp",Inputs!$B$44&gt;0),((Skills!F9*((R1746-1)*IF(Skills!G9&gt;0,INT(Skills!H9/Skills!G9+0.000000001),1)+IF(Skills!G9&gt;0,INT(MIN(Skills!H9,MAX(0,MAX(0,Inputs!$B$44-B1777)-((R1746-1)*(IF(Inputs!$B$39="pvp",15,MAX(0.1,Skills!D9-IF(TRUE=TRUE,Inputs!$B$33,0)))*(1-IF(AND(ArtifactsInput!$M$27,Inputs!$B$4="Chapter Hunt"),CHOOSE(ArtifactsInput!$N$27+1,20,24,28,32,36,40),0)/100)))))/Skills!G9+0.000000001),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INT(Skills!H9/Skills!G9+0.000000001),1)+IF(Skills!G9&gt;0,INT(MIN(Skills!H9,MAX(0,MAX(0,Inputs!$B$44-B1777)-((R1746-1)*(IF(Inputs!$B$39="pvp",15,MAX(0.1,Skills!D9-IF(TRUE=TRUE,Inputs!$B$33,0)))*(1-IF(AND(ArtifactsInput!$M$27,Inputs!$B$4="Chapter Hunt"),CHOOSE(ArtifactsInput!$N$27+1,20,24,28,32,36,40),0)/100)))))/Skills!G9+0.000000001),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IFERROR(1/(IF(Inputs!$B$39="pvp",15,MAX(0.1,Skills!D10-IF(TRUE=TRUE,Inputs!$B$33,0)))*(1-IF(AND(ArtifactsInput!$M$27,Inputs!$B$4="Chapter Hunt"),CHOOSE(ArtifactsInput!$N$27+1,20,24,28,32,36,40),0)/100)),0)</f>
        <v/>
      </c>
      <c r="R1747">
        <f>IF(AND(Inputs!$B$39&lt;&gt;"pvp",Inputs!$B$44&gt;0),IF(MAX(0,Inputs!$B$44-B1777)&lt;=0,0,(INT(MAX(0,Inputs!$B$44-B1777)/(IF(Inputs!$B$39="pvp",15,MAX(0.1,Skills!D10-IF(TRUE=TRUE,Inputs!$B$33,0)))*(1-IF(AND(ArtifactsInput!$M$27,Inputs!$B$4="Chapter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IFERROR(1/(IF(Inputs!$B$39="pvp",15,MAX(0.1,Skills!D11-IF(TRUE=TRUE,Inputs!$B$33,0)))*(1-IF(AND(ArtifactsInput!$M$27,Inputs!$B$4="Chapter Hunt"),CHOOSE(ArtifactsInput!$N$27+1,20,24,28,32,36,40),0)/100)),0)</f>
        <v/>
      </c>
      <c r="R1748">
        <f>IF(AND(Inputs!$B$39&lt;&gt;"pvp",Inputs!$B$44&gt;0),IF(Inputs!$B$44&lt;=0,0,(INT(Inputs!$B$44/(IF(Inputs!$B$39="pvp",15,MAX(0.1,Skills!D11-IF(TRUE=TRUE,Inputs!$B$33,0)))*(1-IF(AND(ArtifactsInput!$M$27,Inputs!$B$4="Chapter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IFERROR(1/(IF(Inputs!$B$39="pvp",15,MAX(0.1,Skills!D12-IF(TRUE=TRUE,Inputs!$B$33,0)))*(1-IF(AND(ArtifactsInput!$M$27,Inputs!$B$4="Chapter Hunt"),CHOOSE(ArtifactsInput!$N$27+1,20,24,28,32,36,40),0)/100)),0)</f>
        <v/>
      </c>
      <c r="R1749">
        <f>IF(AND(Inputs!$B$39&lt;&gt;"pvp",Inputs!$B$44&gt;0),IF(MAX(0,Inputs!$B$44-B1777)&lt;=0,0,(INT(MAX(0,Inputs!$B$44-B1777)/(IF(Inputs!$B$39="pvp",15,MAX(0.1,Skills!D12-IF(TRUE=TRUE,Inputs!$B$33,0)))*(1-IF(AND(ArtifactsInput!$M$27,Inputs!$B$4="Chapter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IFERROR(1/(IF(Inputs!$B$39="pvp",15,MAX(0.1,Skills!D13-IF(TRUE=TRUE,Inputs!$B$33,0)))*(1-IF(AND(ArtifactsInput!$M$27,Inputs!$B$4="Chapter Hunt"),CHOOSE(ArtifactsInput!$N$27+1,20,24,28,32,36,40),0)/100)),0)</f>
        <v/>
      </c>
      <c r="R1750">
        <f>IF(AND(Inputs!$B$39&lt;&gt;"pvp",Inputs!$B$44&gt;0),IF(MAX(0,Inputs!$B$44-B1777)&lt;=0,0,(INT(MAX(0,Inputs!$B$44-B1777)/(IF(Inputs!$B$39="pvp",15,MAX(0.1,Skills!D13-IF(TRUE=TRUE,Inputs!$B$33,0)))*(1-IF(AND(ArtifactsInput!$M$27,Inputs!$B$4="Chapter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IFERROR(1/(IF(Inputs!$B$39="pvp",15,MAX(0.1,Skills!D14-IF(TRUE=TRUE,Inputs!$B$33,0)))*(1-IF(AND(ArtifactsInput!$M$27,Inputs!$B$4="Chapter Hunt"),CHOOSE(ArtifactsInput!$N$27+1,20,24,28,32,36,40),0)/100)),0)</f>
        <v/>
      </c>
      <c r="R1751">
        <f>IF(AND(Inputs!$B$39&lt;&gt;"pvp",Inputs!$B$44&gt;0),IF(Inputs!$B$44&lt;=0,0,(INT(Inputs!$B$44/(IF(Inputs!$B$39="pvp",15,MAX(0.1,Skills!D14-IF(TRUE=TRUE,Inputs!$B$33,0)))*(1-IF(AND(ArtifactsInput!$M$27,Inputs!$B$4="Chapter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IFERROR(1/(IF(Inputs!$B$39="pvp",15,MAX(0.1,Skills!D15-IF(TRUE=TRUE,Inputs!$B$33,0)))*(1-IF(AND(ArtifactsInput!$M$27,Inputs!$B$4="Chapter Hunt"),CHOOSE(ArtifactsInput!$N$27+1,20,24,28,32,36,40),0)/100)),0)</f>
        <v/>
      </c>
      <c r="R1752" t="n">
        <v>0</v>
      </c>
      <c r="S1752">
        <f>IF(C1752,(Skills!F15*N1752*((IF(Inputs!$B$3&gt;=78,25,15)/100*B1773*10)/(1+IF(Inputs!$B$3&gt;=78,25,15)/100*B1773*IF(Inputs!$B$39="pvp",15,MAX(0.1,18-IF(TRUE=TRUE,Inputs!$B$33,0)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IF(Inputs!$B$39="pvp",15,MAX(0.1,18-IF(TRUE=TRUE,Inputs!$B$33,0)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IFERROR(1/(IF(Inputs!$B$39="pvp",15,MAX(0.1,Skills!D16-IF(TRUE=TRUE,Inputs!$B$33,0)))*(1-IF(AND(ArtifactsInput!$M$27,Inputs!$B$4="Chapter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IFERROR(1/(IF(Inputs!$B$39="pvp",15,MAX(0.1,Skills!D17-IF(TRUE=TRUE,Inputs!$B$33,0)))*(1-IF(AND(ArtifactsInput!$M$27,Inputs!$B$4="Chapter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IFERROR(1/(IF(Inputs!$B$39="pvp",15,MAX(0.1,Skills!D18-IF(TRUE=TRUE,Inputs!$B$33,0)))*(1-IF(AND(ArtifactsInput!$M$27,Inputs!$B$4="Chapter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IFERROR(1/(IF(Inputs!$B$39="pvp",15,MAX(0.1,Skills!D19-IF(TRUE=TRUE,Inputs!$B$33,0)))*(1-IF(AND(ArtifactsInput!$M$27,Inputs!$B$4="Chapter Hunt"),CHOOSE(ArtifactsInput!$N$27+1,20,24,28,32,36,40),0)/100)),0)</f>
        <v/>
      </c>
      <c r="R1756">
        <f>IF(AND(Inputs!$B$39&lt;&gt;"pvp",Inputs!$B$44&gt;0),IF(Inputs!$B$44&lt;=0,0,(INT(Inputs!$B$44/(IF(Inputs!$B$39="pvp",15,MAX(0.1,Skills!D19-IF(TRUE=TRUE,Inputs!$B$33,0)))*(1-IF(AND(ArtifactsInput!$M$27,Inputs!$B$4="Chapter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IFERROR(1/(IF(Inputs!$B$39="pvp",15,MAX(0.1,Skills!D20-IF(TRUE=TRUE,Inputs!$B$33,0)))*(1-IF(AND(ArtifactsInput!$M$27,Inputs!$B$4="Chapter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IFERROR(1/(IF(Inputs!$B$39="pvp",15,MAX(0.1,Skills!D21-IF(TRUE=TRUE,Inputs!$B$33,0)))*(1-IF(AND(ArtifactsInput!$M$27,Inputs!$B$4="Chapter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IFERROR(1/(IF(Inputs!$B$39="pvp",15,MAX(0.1,Skills!D22-IF(TRUE=TRUE,Inputs!$B$33,0)))*(1-IF(AND(ArtifactsInput!$M$27,Inputs!$B$4="Chapter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IFERROR(1/(IF(Inputs!$B$39="pvp",15,MAX(0.1,Skills!D23-IF(TRUE=TRUE,Inputs!$B$33,0)))*(1-IF(AND(ArtifactsInput!$M$27,Inputs!$B$4="Chapter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IFERROR(1/(IF(Inputs!$B$39="pvp",15,MAX(0.1,Skills!D24-IF(TRUE=TRUE,Inputs!$B$33,0)))*(1-IF(AND(ArtifactsInput!$M$27,Inputs!$B$4="Chapter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IFERROR(1/(IF(Inputs!$B$39="pvp",15,MAX(0.1,Skills!D25-IF(TRUE=TRUE,Inputs!$B$33,0)))*(1-IF(AND(ArtifactsInput!$M$27,Inputs!$B$4="Chapter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IFERROR(1/(IF(Inputs!$B$39="pvp",15,MAX(0.1,Skills!D26-IF(TRUE=TRUE,Inputs!$B$33,0)))*(1-IF(AND(ArtifactsInput!$M$27,Inputs!$B$4="Chapter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IFERROR(1/(IF(Inputs!$B$39="pvp",15,MAX(0.1,Skills!D27-IF(TRUE=TRUE,Inputs!$B$33,0)))*(1-IF(AND(ArtifactsInput!$M$27,Inputs!$B$4="Chapter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IFERROR(1/(IF(Inputs!$B$39="pvp",15,MAX(0.1,Skills!D28-IF(TRUE=TRUE,Inputs!$B$33,0)))*(1-IF(AND(ArtifactsInput!$M$27,Inputs!$B$4="Chapter Hunt"),CHOOSE(ArtifactsInput!$N$27+1,20,24,28,32,36,40),0)/100)),0)</f>
        <v/>
      </c>
      <c r="R1765">
        <f>IF(AND(Inputs!$B$39&lt;&gt;"pvp",Inputs!$B$44&gt;0),IF(Inputs!$B$44&lt;=0,0,(INT(Inputs!$B$44/(IF(Inputs!$B$39="pvp",15,MAX(0.1,Skills!D28-IF(TRUE=TRUE,Inputs!$B$33,0)))*(1-IF(AND(ArtifactsInput!$M$27,Inputs!$B$4="Chapter Hunt"),CHOOSE(ArtifactsInput!$N$27+1,20,24,28,32,36,40),0)/100)))+1)),0)</f>
        <v/>
      </c>
      <c r="S1765" t="n">
        <v>0</v>
      </c>
      <c r="U1765" t="n">
        <v>0</v>
      </c>
    </row>
    <row r="1767">
      <c r="A1767" t="inlineStr">
        <is>
          <t>Average Buff Multiplier</t>
        </is>
      </c>
      <c r="B1767">
        <f>(1+(IF(C1740=TRUE,F1740*IF(AND(Inputs!$B$39&lt;&gt;"pvp",Inputs!$B$44&gt;0),(((R1740-1)*MIN((Skills!S3*(1+((Inputs!$B$35+(ArtifactsInput!$M$7-ArtifactsInput!$M$7)*CHOOSE(ArtifactsInput!$N$7+1,6,7.2,8.4,9.6,10.8,12)))/100)),(1/Q1740))+MIN((Skills!S3*(1+((Inputs!$B$35+(ArtifactsInput!$M$7-ArtifactsInput!$M$7)*CHOOSE(ArtifactsInput!$N$7+1,6,7.2,8.4,9.6,10.8,12)))/100)),MAX(0,Inputs!$B$44-((R1740-1)*(1/Q1740)))))/Inputs!$B$44),IF(Inputs!$B$39="pvp",MIN((Skills!S3*(1+((Inputs!$B$35+(ArtifactsInput!$M$7-ArtifactsInput!$M$7)*CHOOSE(ArtifactsInput!$N$7+1,6,7.2,8.4,9.6,10.8,12)))/100)),15)/15,MIN(1,(Skills!S3*(1+((Inputs!$B$35+(ArtifactsInput!$M$7-ArtifactsInput!$M$7)*CHOOSE(ArtifactsInput!$N$7+1,6,7.2,8.4,9.6,10.8,12)))/100))/(1/Q1740)))),0)+IF(C1741=TRUE,F1741*IF(AND(Inputs!$B$39&lt;&gt;"pvp",Inputs!$B$44&gt;0),(((R1741-1)*MIN((Skills!S4*(1+((Inputs!$B$35+(ArtifactsInput!$M$7-ArtifactsInput!$M$7)*CHOOSE(ArtifactsInput!$N$7+1,6,7.2,8.4,9.6,10.8,12)))/100)),(1/Q1741))+MIN((Skills!S4*(1+((Inputs!$B$35+(ArtifactsInput!$M$7-ArtifactsInput!$M$7)*CHOOSE(ArtifactsInput!$N$7+1,6,7.2,8.4,9.6,10.8,12)))/100)),MAX(0,Inputs!$B$44-((R1741-1)*(1/Q1741)))))/Inputs!$B$44),IF(Inputs!$B$39="pvp",MIN((Skills!S4*(1+((Inputs!$B$35+(ArtifactsInput!$M$7-ArtifactsInput!$M$7)*CHOOSE(ArtifactsInput!$N$7+1,6,7.2,8.4,9.6,10.8,12)))/100)),15)/15,MIN(1,(Skills!S4*(1+((Inputs!$B$35+(ArtifactsInput!$M$7-ArtifactsInput!$M$7)*CHOOSE(ArtifactsInput!$N$7+1,6,7.2,8.4,9.6,10.8,12)))/100))/(1/Q1741)))),0)+IF(C1742=TRUE,F1742*IF(AND(Inputs!$B$39&lt;&gt;"pvp",Inputs!$B$44&gt;0),(((R1742-1)*MIN((Skills!S5*(1+((Inputs!$B$35+(ArtifactsInput!$M$7-ArtifactsInput!$M$7)*CHOOSE(ArtifactsInput!$N$7+1,6,7.2,8.4,9.6,10.8,12)))/100)),(1/Q1742))+MIN((Skills!S5*(1+((Inputs!$B$35+(ArtifactsInput!$M$7-ArtifactsInput!$M$7)*CHOOSE(ArtifactsInput!$N$7+1,6,7.2,8.4,9.6,10.8,12)))/100)),MAX(0,Inputs!$B$44-((R1742-1)*(1/Q1742)))))/Inputs!$B$44),IF(Inputs!$B$39="pvp",MIN((Skills!S5*(1+((Inputs!$B$35+(ArtifactsInput!$M$7-ArtifactsInput!$M$7)*CHOOSE(ArtifactsInput!$N$7+1,6,7.2,8.4,9.6,10.8,12)))/100)),15)/15,MIN(1,(Skills!S5*(1+((Inputs!$B$35+(ArtifactsInput!$M$7-ArtifactsInput!$M$7)*CHOOSE(ArtifactsInput!$N$7+1,6,7.2,8.4,9.6,10.8,12)))/100))/(1/Q1742)))),0)+IF(C1748=TRUE,F1748*IF(AND(Inputs!$B$39&lt;&gt;"pvp",Inputs!$B$44&gt;0),(((R1748-1)*MIN((Skills!S11*(1+((Inputs!$B$35+(ArtifactsInput!$M$7-ArtifactsInput!$M$7)*CHOOSE(ArtifactsInput!$N$7+1,6,7.2,8.4,9.6,10.8,12)))/100)),(1/Q1748))+MIN((Skills!S11*(1+((Inputs!$B$35+(ArtifactsInput!$M$7-ArtifactsInput!$M$7)*CHOOSE(ArtifactsInput!$N$7+1,6,7.2,8.4,9.6,10.8,12)))/100)),MAX(0,Inputs!$B$44-((R1748-1)*(1/Q1748)))))/Inputs!$B$44),IF(Inputs!$B$39="pvp",MIN((Skills!S11*(1+((Inputs!$B$35+(ArtifactsInput!$M$7-ArtifactsInput!$M$7)*CHOOSE(ArtifactsInput!$N$7+1,6,7.2,8.4,9.6,10.8,12)))/100)),15)/15,MIN(1,(Skills!S11*(1+((Inputs!$B$35+(ArtifactsInput!$M$7-ArtifactsInput!$M$7)*CHOOSE(ArtifactsInput!$N$7+1,6,7.2,8.4,9.6,10.8,12)))/100))/(1/Q1748)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MIN((Skills!S14*(1+((Inputs!$B$35+(ArtifactsInput!$M$7-ArtifactsInput!$M$7)*CHOOSE(ArtifactsInput!$N$7+1,6,7.2,8.4,9.6,10.8,12)))/100)),(1/Q1751))+MIN((Skills!S14*(1+((Inputs!$B$35+(ArtifactsInput!$M$7-ArtifactsInput!$M$7)*CHOOSE(ArtifactsInput!$N$7+1,6,7.2,8.4,9.6,10.8,12)))/100)),MAX(0,Inputs!$B$44-((R1751-1)*(1/Q1751)))))/Inputs!$B$44),IF(Inputs!$B$39="pvp",MIN((Skills!S14*(1+((Inputs!$B$35+(ArtifactsInput!$M$7-ArtifactsInput!$M$7)*CHOOSE(ArtifactsInput!$N$7+1,6,7.2,8.4,9.6,10.8,12)))/100)),15)/15,MIN(1,(Skills!S14*(1+((Inputs!$B$35+(ArtifactsInput!$M$7-ArtifactsInput!$M$7)*CHOOSE(ArtifactsInput!$N$7+1,6,7.2,8.4,9.6,10.8,12)))/100))/(1/Q1751))))/100),1)*IF(C1756=TRUE,(1+F1756*IF(AND(Inputs!$B$39&lt;&gt;"pvp",Inputs!$B$44&gt;0),(((R1756-1)*MIN((Skills!S19*(1+((Inputs!$B$35+(ArtifactsInput!$M$7-ArtifactsInput!$M$7)*CHOOSE(ArtifactsInput!$N$7+1,6,7.2,8.4,9.6,10.8,12)))/100)),(1/Q1756))+MIN((Skills!S19*(1+((Inputs!$B$35+(ArtifactsInput!$M$7-ArtifactsInput!$M$7)*CHOOSE(ArtifactsInput!$N$7+1,6,7.2,8.4,9.6,10.8,12)))/100)),MAX(0,Inputs!$B$44-((R1756-1)*(1/Q1756)))))/Inputs!$B$44),IF(Inputs!$B$39="pvp",MIN((Skills!S19*(1+((Inputs!$B$35+(ArtifactsInput!$M$7-ArtifactsInput!$M$7)*CHOOSE(ArtifactsInput!$N$7+1,6,7.2,8.4,9.6,10.8,12)))/100)),15)/15,MIN(1,(Skills!S19*(1+((Inputs!$B$35+(ArtifactsInput!$M$7-ArtifactsInput!$M$7)*CHOOSE(ArtifactsInput!$N$7+1,6,7.2,8.4,9.6,10.8,12)))/100))/(1/Q1756))))/100),1)</f>
        <v/>
      </c>
    </row>
    <row r="1768">
      <c r="A1768" t="inlineStr">
        <is>
          <t>Monster Damage Taken Bonus % (Holy Fountain)</t>
        </is>
      </c>
      <c r="B1768">
        <f>IF(Inputs!$B$3&gt;=68,20*IF(Inputs!$B$39="pvp",MIN((15*(1+((Inputs!$B$35+(ArtifactsInput!$M$7-ArtifactsInput!$M$7)*CHOOSE(ArtifactsInput!$N$7+1,6,7.2,8.4,9.6,10.8,12)))/100)),15)/15,MIN(1,(15*(1+((Inputs!$B$35+(ArtifactsInput!$M$7-ArtifactsInput!$M$7)*CHOOSE(ArtifactsInput!$N$7+1,6,7.2,8.4,9.6,10.8,12)))/100))/(1/Q1747))),0)</f>
        <v/>
      </c>
    </row>
    <row r="1769">
      <c r="A1769" t="inlineStr">
        <is>
          <t>Normal Monster Damage Bonus % (Holy Symbol)</t>
        </is>
      </c>
      <c r="B1769">
        <f>IF(C1749=TRUE,F1749*IF(AND(Inputs!$B$39&lt;&gt;"pvp",Inputs!$B$44&gt;0),(((R1749-1)*MIN((Skills!S12*(1+((Inputs!$B$35+(ArtifactsInput!$M$7-ArtifactsInput!$M$7)*CHOOSE(ArtifactsInput!$N$7+1,6,7.2,8.4,9.6,10.8,12)))/100)),(1/Q1749))+MIN((Skills!S12*(1+((Inputs!$B$35+(ArtifactsInput!$M$7-ArtifactsInput!$M$7)*CHOOSE(ArtifactsInput!$N$7+1,6,7.2,8.4,9.6,10.8,12)))/100)),MAX(0,Inputs!$B$44-((R1749-1)*(1/Q1749)))))/Inputs!$B$44),IF(Inputs!$B$39="pvp",MIN((Skills!S12*(1+((Inputs!$B$35+(ArtifactsInput!$M$7-ArtifactsInput!$M$7)*CHOOSE(ArtifactsInput!$N$7+1,6,7.2,8.4,9.6,10.8,12)))/100)),15)/15,MIN(1,(Skills!S12*(1+((Inputs!$B$35+(ArtifactsInput!$M$7-ArtifactsInput!$M$7)*CHOOSE(ArtifactsInput!$N$7+1,6,7.2,8.4,9.6,10.8,12)))/100))/(1/Q1749)))),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MIN((Skills!S28*(1+((Inputs!$B$35+(ArtifactsInput!$M$7-ArtifactsInput!$M$7)*CHOOSE(ArtifactsInput!$N$7+1,6,7.2,8.4,9.6,10.8,12)))/100)),(1/Q1765))+MIN((Skills!S28*(1+((Inputs!$B$35+(ArtifactsInput!$M$7-ArtifactsInput!$M$7)*CHOOSE(ArtifactsInput!$N$7+1,6,7.2,8.4,9.6,10.8,12)))/100)),MAX(0,Inputs!$B$44-((R1765-1)*(1/Q1765)))))/Inputs!$B$44),IF(Inputs!$B$39="pvp",MIN((Skills!S28*(1+((Inputs!$B$35+(ArtifactsInput!$M$7-ArtifactsInput!$M$7)*CHOOSE(ArtifactsInput!$N$7+1,6,7.2,8.4,9.6,10.8,12)))/100)),15)/15,MIN(1,(Skills!S28*(1+((Inputs!$B$35+(ArtifactsInput!$M$7-ArtifactsInput!$M$7)*CHOOSE(ArtifactsInput!$N$7+1,6,7.2,8.4,9.6,10.8,12)))/100))/(1/Q1765)))))</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MIN((Skills!S13*(1+((Inputs!$B$35+(ArtifactsInput!$M$7-ArtifactsInput!$M$7)*CHOOSE(ArtifactsInput!$N$7+1,6,7.2,8.4,9.6,10.8,12)))/100)),(1/Q1750))+MIN((Skills!S13*(1+((Inputs!$B$35+(ArtifactsInput!$M$7-ArtifactsInput!$M$7)*CHOOSE(ArtifactsInput!$N$7+1,6,7.2,8.4,9.6,10.8,12)))/100)),MAX(0,Inputs!$B$44-((R1750-1)*(1/Q1750)))))/Inputs!$B$44),IF(Inputs!$B$39="pvp",MIN((Skills!S13*(1+((Inputs!$B$35+(ArtifactsInput!$M$7-ArtifactsInput!$M$7)*CHOOSE(ArtifactsInput!$N$7+1,6,7.2,8.4,9.6,10.8,12)))/100)),15)/15,MIN(1,(Skills!S13*(1+((Inputs!$B$35+(ArtifactsInput!$M$7-ArtifactsInput!$M$7)*CHOOSE(ArtifactsInput!$N$7+1,6,7.2,8.4,9.6,10.8,12)))/100))/(1/Q1750)))),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IFERROR(1/(IF(Inputs!$B$39="pvp",15,MAX(0.1,Skills!D2-IF(TRUE=TRUE,Inputs!$B$33,0)))*(1-IF(AND(ArtifactsInput!$M$27,Inputs!$B$4="Chapter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IFERROR(1/(IF(Inputs!$B$39="pvp",15,MAX(0.1,Skills!D3-IF(TRUE=TRUE,Inputs!$B$33,0)))*(1-IF(AND(ArtifactsInput!$M$27,Inputs!$B$4="Chapter Hunt"),CHOOSE(ArtifactsInput!$N$27+1,20,24,28,32,36,40),0)/100)),0)</f>
        <v/>
      </c>
      <c r="R1785">
        <f>IF(AND(Inputs!$B$39&lt;&gt;"pvp",Inputs!$B$44&gt;0),IF(Inputs!$B$44&lt;=0,0,(INT(Inputs!$B$44/(IF(Inputs!$B$39="pvp",15,MAX(0.1,Skills!D3-IF(TRUE=TRUE,Inputs!$B$33,0)))*(1-IF(AND(ArtifactsInput!$M$27,Inputs!$B$4="Chapter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IFERROR(1/(IF(Inputs!$B$39="pvp",15,MAX(0.1,Skills!D4-IF(TRUE=TRUE,Inputs!$B$33,0)))*(1-IF(AND(ArtifactsInput!$M$27,Inputs!$B$4="Chapter Hunt"),CHOOSE(ArtifactsInput!$N$27+1,20,24,28,32,36,40),0)/100)),0)</f>
        <v/>
      </c>
      <c r="R1786">
        <f>IF(AND(Inputs!$B$39&lt;&gt;"pvp",Inputs!$B$44&gt;0),IF(Inputs!$B$44&lt;=0,0,(INT(Inputs!$B$44/(IF(Inputs!$B$39="pvp",15,MAX(0.1,Skills!D4-IF(TRUE=TRUE,Inputs!$B$33,0)))*(1-IF(AND(ArtifactsInput!$M$27,Inputs!$B$4="Chapter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IFERROR(1/(IF(Inputs!$B$39="pvp",15,MAX(0.1,Skills!D5-IF(TRUE=TRUE,Inputs!$B$33,0)))*(1-IF(AND(ArtifactsInput!$M$27,Inputs!$B$4="Chapter Hunt"),CHOOSE(ArtifactsInput!$N$27+1,20,24,28,32,36,40),0)/100)),0)</f>
        <v/>
      </c>
      <c r="R1787">
        <f>IF(AND(Inputs!$B$39&lt;&gt;"pvp",Inputs!$B$44&gt;0),IF(Inputs!$B$44&lt;=0,0,(INT(Inputs!$B$44/(IF(Inputs!$B$39="pvp",15,MAX(0.1,Skills!D5-IF(TRUE=TRUE,Inputs!$B$33,0)))*(1-IF(AND(ArtifactsInput!$M$27,Inputs!$B$4="Chapter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IFERROR(1/(IF(Inputs!$B$39="pvp",15,MAX(0.1,Skills!D6-IF(TRUE=TRUE,Inputs!$B$33,0)))*(1-IF(AND(ArtifactsInput!$M$27,Inputs!$B$4="Chapter Hunt"),CHOOSE(ArtifactsInput!$N$27+1,20,24,28,32,36,40),0)/100)),0)</f>
        <v/>
      </c>
      <c r="R1788">
        <f>IF(AND(Inputs!$B$39&lt;&gt;"pvp",Inputs!$B$44&gt;0),IF(MAX(0,Inputs!$B$44-B1822)&lt;=0,0,(INT(MAX(0,Inputs!$B$44-B1822)/(IF(Inputs!$B$39="pvp",15,MAX(0.1,Skills!D6-IF(TRUE=TRUE,Inputs!$B$33,0)))*(1-IF(AND(ArtifactsInput!$M$27,Inputs!$B$4="Chapter Hunt"),CHOOSE(ArtifactsInput!$N$27+1,20,24,28,32,36,40),0)/100)))+1)),0)</f>
        <v/>
      </c>
      <c r="S1788">
        <f>IF(C1788,(H1788*N1788*IF(AND(Inputs!$B$39&lt;&gt;"pvp",Inputs!$B$44&gt;0),((Skills!F6*((R1788-1)*IF(Skills!G6&gt;0,INT(Skills!H6/Skills!G6+0.000000001),1)+IF(Skills!G6&gt;0,INT(MIN(Skills!H6,MAX(0,MAX(0,Inputs!$B$44-B1822)-((R1788-1)*(IF(Inputs!$B$39="pvp",15,MAX(0.1,Skills!D6-IF(TRUE=TRUE,Inputs!$B$33,0)))*(1-IF(AND(ArtifactsInput!$M$27,Inputs!$B$4="Chapter Hunt"),CHOOSE(ArtifactsInput!$N$27+1,20,24,28,32,36,40),0)/100)))))/Skills!G6+0.000000001),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INT(Skills!H6/Skills!G6+0.000000001),1)+IF(Skills!G6&gt;0,INT(MIN(Skills!H6,MAX(0,MAX(0,Inputs!$B$44-B1822)-((R1788-1)*(IF(Inputs!$B$39="pvp",15,MAX(0.1,Skills!D6-IF(TRUE=TRUE,Inputs!$B$33,0)))*(1-IF(AND(ArtifactsInput!$M$27,Inputs!$B$4="Chapter Hunt"),CHOOSE(ArtifactsInput!$N$27+1,20,24,28,32,36,40),0)/100)))))/Skills!G6+0.000000001),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IFERROR(1/(IF(Inputs!$B$39="pvp",15,MAX(0.1,Skills!D7-IF(TRUE=TRUE,Inputs!$B$33,0)))*(1-IF(AND(ArtifactsInput!$M$27,Inputs!$B$4="Chapter Hunt"),CHOOSE(ArtifactsInput!$N$27+1,20,24,28,32,36,40),0)/100)),0)</f>
        <v/>
      </c>
      <c r="R1789">
        <f>IF(AND(Inputs!$B$39&lt;&gt;"pvp",Inputs!$B$44&gt;0),IF(MAX(0,Inputs!$B$44-B1822)&lt;=0,0,(INT(MAX(0,Inputs!$B$44-B1822)/(IF(Inputs!$B$39="pvp",15,MAX(0.1,Skills!D7-IF(TRUE=TRUE,Inputs!$B$33,0)))*(1-IF(AND(ArtifactsInput!$M$27,Inputs!$B$4="Chapter Hunt"),CHOOSE(ArtifactsInput!$N$27+1,20,24,28,32,36,40),0)/100)))+1)),0)</f>
        <v/>
      </c>
      <c r="S1789">
        <f>IF(C1789,H1789*N1789*IF(AND(Inputs!$B$39&lt;&gt;"pvp",Inputs!$B$44&gt;0),((Skills!F7*((R1789-1)*IF(Skills!G7&gt;0,INT(Skills!H7/Skills!G7+0.000000001),1)+IF(Skills!G7&gt;0,INT(MIN(Skills!H7,MAX(0,MAX(0,Inputs!$B$44-B1822)-((R1789-1)*(IF(Inputs!$B$39="pvp",15,MAX(0.1,Skills!D7-IF(TRUE=TRUE,Inputs!$B$33,0)))*(1-IF(AND(ArtifactsInput!$M$27,Inputs!$B$4="Chapter Hunt"),CHOOSE(ArtifactsInput!$N$27+1,20,24,28,32,36,40),0)/100)))))/Skills!G7+0.000000001),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IFERROR(1/(IF(Inputs!$B$39="pvp",15,MAX(0.1,Skills!D8-IF(TRUE=TRUE,Inputs!$B$33,0)))*(1-IF(AND(ArtifactsInput!$M$27,Inputs!$B$4="Chapter Hunt"),CHOOSE(ArtifactsInput!$N$27+1,20,24,28,32,36,40),0)/100)),0)</f>
        <v/>
      </c>
      <c r="R1790">
        <f>IF(AND(Inputs!$B$39&lt;&gt;"pvp",Inputs!$B$44&gt;0),IF(MAX(0,Inputs!$B$44-B1822)&lt;=0,0,(INT(MAX(0,Inputs!$B$44-B1822)/(IF(Inputs!$B$39="pvp",15,MAX(0.1,Skills!D8-IF(TRUE=TRUE,Inputs!$B$33,0)))*(1-IF(AND(ArtifactsInput!$M$27,Inputs!$B$4="Chapter Hunt"),CHOOSE(ArtifactsInput!$N$27+1,20,24,28,32,36,40),0)/100)))+1)),0)</f>
        <v/>
      </c>
      <c r="S1790">
        <f>IF(C1790,(H1790*N1790*IF(AND(Inputs!$B$39&lt;&gt;"pvp",Inputs!$B$44&gt;0),((Skills!F8*((R1790-1)*IF(Skills!G8&gt;0,INT(Skills!H8/Skills!G8+0.000000001),1)+IF(Skills!G8&gt;0,INT(MIN(Skills!H8,MAX(0,MAX(0,Inputs!$B$44-B1822)-((R1790-1)*(IF(Inputs!$B$39="pvp",15,MAX(0.1,Skills!D8-IF(TRUE=TRUE,Inputs!$B$33,0)))*(1-IF(AND(ArtifactsInput!$M$27,Inputs!$B$4="Chapter Hunt"),CHOOSE(ArtifactsInput!$N$27+1,20,24,28,32,36,40),0)/100)))))/Skills!G8+0.000000001),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INT(Skills!H8/Skills!G8+0.000000001),1)+IF(Skills!G8&gt;0,INT(MIN(Skills!H8,MAX(0,MAX(0,Inputs!$B$44-B1822)-((R1790-1)*(IF(Inputs!$B$39="pvp",15,MAX(0.1,Skills!D8-IF(TRUE=TRUE,Inputs!$B$33,0)))*(1-IF(AND(ArtifactsInput!$M$27,Inputs!$B$4="Chapter Hunt"),CHOOSE(ArtifactsInput!$N$27+1,20,24,28,32,36,40),0)/100)))))/Skills!G8+0.000000001),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IFERROR(1/(IF(Inputs!$B$39="pvp",15,MAX(0.1,Skills!D9-IF(TRUE=TRUE,Inputs!$B$33,0)))*(1-IF(AND(ArtifactsInput!$M$27,Inputs!$B$4="Chapter Hunt"),CHOOSE(ArtifactsInput!$N$27+1,20,24,28,32,36,40),0)/100)),0)</f>
        <v/>
      </c>
      <c r="R1791">
        <f>IF(AND(Inputs!$B$39&lt;&gt;"pvp",Inputs!$B$44&gt;0),IF(MAX(0,Inputs!$B$44-B1822)&lt;=0,0,(INT(MAX(0,Inputs!$B$44-B1822)/(IF(Inputs!$B$39="pvp",15,MAX(0.1,Skills!D9-IF(TRUE=TRUE,Inputs!$B$33,0)))*(1-IF(AND(ArtifactsInput!$M$27,Inputs!$B$4="Chapter Hunt"),CHOOSE(ArtifactsInput!$N$27+1,20,24,28,32,36,40),0)/100)))+1)),0)</f>
        <v/>
      </c>
      <c r="S1791">
        <f>IF(C1791,(H1791*N1791*IF(AND(Inputs!$B$39&lt;&gt;"pvp",Inputs!$B$44&gt;0),((Skills!F9*((R1791-1)*IF(Skills!G9&gt;0,INT(Skills!H9/Skills!G9+0.000000001),1)+IF(Skills!G9&gt;0,INT(MIN(Skills!H9,MAX(0,MAX(0,Inputs!$B$44-B1822)-((R1791-1)*(IF(Inputs!$B$39="pvp",15,MAX(0.1,Skills!D9-IF(TRUE=TRUE,Inputs!$B$33,0)))*(1-IF(AND(ArtifactsInput!$M$27,Inputs!$B$4="Chapter Hunt"),CHOOSE(ArtifactsInput!$N$27+1,20,24,28,32,36,40),0)/100)))))/Skills!G9+0.000000001),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INT(Skills!H9/Skills!G9+0.000000001),1)+IF(Skills!G9&gt;0,INT(MIN(Skills!H9,MAX(0,MAX(0,Inputs!$B$44-B1822)-((R1791-1)*(IF(Inputs!$B$39="pvp",15,MAX(0.1,Skills!D9-IF(TRUE=TRUE,Inputs!$B$33,0)))*(1-IF(AND(ArtifactsInput!$M$27,Inputs!$B$4="Chapter Hunt"),CHOOSE(ArtifactsInput!$N$27+1,20,24,28,32,36,40),0)/100)))))/Skills!G9+0.000000001),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IFERROR(1/(IF(Inputs!$B$39="pvp",15,MAX(0.1,Skills!D10-IF(TRUE=TRUE,Inputs!$B$33,0)))*(1-IF(AND(ArtifactsInput!$M$27,Inputs!$B$4="Chapter Hunt"),CHOOSE(ArtifactsInput!$N$27+1,20,24,28,32,36,40),0)/100)),0)</f>
        <v/>
      </c>
      <c r="R1792">
        <f>IF(AND(Inputs!$B$39&lt;&gt;"pvp",Inputs!$B$44&gt;0),IF(MAX(0,Inputs!$B$44-B1822)&lt;=0,0,(INT(MAX(0,Inputs!$B$44-B1822)/(IF(Inputs!$B$39="pvp",15,MAX(0.1,Skills!D10-IF(TRUE=TRUE,Inputs!$B$33,0)))*(1-IF(AND(ArtifactsInput!$M$27,Inputs!$B$4="Chapter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IFERROR(1/(IF(Inputs!$B$39="pvp",15,MAX(0.1,Skills!D11-IF(TRUE=TRUE,Inputs!$B$33,0)))*(1-IF(AND(ArtifactsInput!$M$27,Inputs!$B$4="Chapter Hunt"),CHOOSE(ArtifactsInput!$N$27+1,20,24,28,32,36,40),0)/100)),0)</f>
        <v/>
      </c>
      <c r="R1793">
        <f>IF(AND(Inputs!$B$39&lt;&gt;"pvp",Inputs!$B$44&gt;0),IF(Inputs!$B$44&lt;=0,0,(INT(Inputs!$B$44/(IF(Inputs!$B$39="pvp",15,MAX(0.1,Skills!D11-IF(TRUE=TRUE,Inputs!$B$33,0)))*(1-IF(AND(ArtifactsInput!$M$27,Inputs!$B$4="Chapter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IFERROR(1/(IF(Inputs!$B$39="pvp",15,MAX(0.1,Skills!D12-IF(TRUE=TRUE,Inputs!$B$33,0)))*(1-IF(AND(ArtifactsInput!$M$27,Inputs!$B$4="Chapter Hunt"),CHOOSE(ArtifactsInput!$N$27+1,20,24,28,32,36,40),0)/100)),0)</f>
        <v/>
      </c>
      <c r="R1794">
        <f>IF(AND(Inputs!$B$39&lt;&gt;"pvp",Inputs!$B$44&gt;0),IF(MAX(0,Inputs!$B$44-B1822)&lt;=0,0,(INT(MAX(0,Inputs!$B$44-B1822)/(IF(Inputs!$B$39="pvp",15,MAX(0.1,Skills!D12-IF(TRUE=TRUE,Inputs!$B$33,0)))*(1-IF(AND(ArtifactsInput!$M$27,Inputs!$B$4="Chapter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IFERROR(1/(IF(Inputs!$B$39="pvp",15,MAX(0.1,Skills!D13-IF(TRUE=TRUE,Inputs!$B$33,0)))*(1-IF(AND(ArtifactsInput!$M$27,Inputs!$B$4="Chapter Hunt"),CHOOSE(ArtifactsInput!$N$27+1,20,24,28,32,36,40),0)/100)),0)</f>
        <v/>
      </c>
      <c r="R1795">
        <f>IF(AND(Inputs!$B$39&lt;&gt;"pvp",Inputs!$B$44&gt;0),IF(MAX(0,Inputs!$B$44-B1822)&lt;=0,0,(INT(MAX(0,Inputs!$B$44-B1822)/(IF(Inputs!$B$39="pvp",15,MAX(0.1,Skills!D13-IF(TRUE=TRUE,Inputs!$B$33,0)))*(1-IF(AND(ArtifactsInput!$M$27,Inputs!$B$4="Chapter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IFERROR(1/(IF(Inputs!$B$39="pvp",15,MAX(0.1,Skills!D14-IF(TRUE=TRUE,Inputs!$B$33,0)))*(1-IF(AND(ArtifactsInput!$M$27,Inputs!$B$4="Chapter Hunt"),CHOOSE(ArtifactsInput!$N$27+1,20,24,28,32,36,40),0)/100)),0)</f>
        <v/>
      </c>
      <c r="R1796">
        <f>IF(AND(Inputs!$B$39&lt;&gt;"pvp",Inputs!$B$44&gt;0),IF(Inputs!$B$44&lt;=0,0,(INT(Inputs!$B$44/(IF(Inputs!$B$39="pvp",15,MAX(0.1,Skills!D14-IF(TRUE=TRUE,Inputs!$B$33,0)))*(1-IF(AND(ArtifactsInput!$M$27,Inputs!$B$4="Chapter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IFERROR(1/(IF(Inputs!$B$39="pvp",15,MAX(0.1,Skills!D15-IF(TRUE=TRUE,Inputs!$B$33,0)))*(1-IF(AND(ArtifactsInput!$M$27,Inputs!$B$4="Chapter Hunt"),CHOOSE(ArtifactsInput!$N$27+1,20,24,28,32,36,40),0)/100)),0)</f>
        <v/>
      </c>
      <c r="R1797" t="n">
        <v>0</v>
      </c>
      <c r="S1797">
        <f>IF(C1797,(Skills!F15*N1797*((IF(Inputs!$B$3&gt;=78,25,15)/100*B1818*10)/(1+IF(Inputs!$B$3&gt;=78,25,15)/100*B1818*IF(Inputs!$B$39="pvp",15,MAX(0.1,18-IF(TRUE=TRUE,Inputs!$B$33,0)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IF(Inputs!$B$39="pvp",15,MAX(0.1,18-IF(TRUE=TRUE,Inputs!$B$33,0)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IFERROR(1/(IF(Inputs!$B$39="pvp",15,MAX(0.1,Skills!D16-IF(TRUE=TRUE,Inputs!$B$33,0)))*(1-IF(AND(ArtifactsInput!$M$27,Inputs!$B$4="Chapter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IFERROR(1/(IF(Inputs!$B$39="pvp",15,MAX(0.1,Skills!D17-IF(TRUE=TRUE,Inputs!$B$33,0)))*(1-IF(AND(ArtifactsInput!$M$27,Inputs!$B$4="Chapter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IFERROR(1/(IF(Inputs!$B$39="pvp",15,MAX(0.1,Skills!D18-IF(TRUE=TRUE,Inputs!$B$33,0)))*(1-IF(AND(ArtifactsInput!$M$27,Inputs!$B$4="Chapter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IFERROR(1/(IF(Inputs!$B$39="pvp",15,MAX(0.1,Skills!D19-IF(TRUE=TRUE,Inputs!$B$33,0)))*(1-IF(AND(ArtifactsInput!$M$27,Inputs!$B$4="Chapter Hunt"),CHOOSE(ArtifactsInput!$N$27+1,20,24,28,32,36,40),0)/100)),0)</f>
        <v/>
      </c>
      <c r="R1801">
        <f>IF(AND(Inputs!$B$39&lt;&gt;"pvp",Inputs!$B$44&gt;0),IF(Inputs!$B$44&lt;=0,0,(INT(Inputs!$B$44/(IF(Inputs!$B$39="pvp",15,MAX(0.1,Skills!D19-IF(TRUE=TRUE,Inputs!$B$33,0)))*(1-IF(AND(ArtifactsInput!$M$27,Inputs!$B$4="Chapter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IFERROR(1/(IF(Inputs!$B$39="pvp",15,MAX(0.1,Skills!D20-IF(TRUE=TRUE,Inputs!$B$33,0)))*(1-IF(AND(ArtifactsInput!$M$27,Inputs!$B$4="Chapter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IFERROR(1/(IF(Inputs!$B$39="pvp",15,MAX(0.1,Skills!D21-IF(TRUE=TRUE,Inputs!$B$33,0)))*(1-IF(AND(ArtifactsInput!$M$27,Inputs!$B$4="Chapter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IFERROR(1/(IF(Inputs!$B$39="pvp",15,MAX(0.1,Skills!D22-IF(TRUE=TRUE,Inputs!$B$33,0)))*(1-IF(AND(ArtifactsInput!$M$27,Inputs!$B$4="Chapter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IFERROR(1/(IF(Inputs!$B$39="pvp",15,MAX(0.1,Skills!D23-IF(TRUE=TRUE,Inputs!$B$33,0)))*(1-IF(AND(ArtifactsInput!$M$27,Inputs!$B$4="Chapter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IFERROR(1/(IF(Inputs!$B$39="pvp",15,MAX(0.1,Skills!D24-IF(TRUE=TRUE,Inputs!$B$33,0)))*(1-IF(AND(ArtifactsInput!$M$27,Inputs!$B$4="Chapter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IFERROR(1/(IF(Inputs!$B$39="pvp",15,MAX(0.1,Skills!D25-IF(TRUE=TRUE,Inputs!$B$33,0)))*(1-IF(AND(ArtifactsInput!$M$27,Inputs!$B$4="Chapter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IFERROR(1/(IF(Inputs!$B$39="pvp",15,MAX(0.1,Skills!D26-IF(TRUE=TRUE,Inputs!$B$33,0)))*(1-IF(AND(ArtifactsInput!$M$27,Inputs!$B$4="Chapter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IFERROR(1/(IF(Inputs!$B$39="pvp",15,MAX(0.1,Skills!D27-IF(TRUE=TRUE,Inputs!$B$33,0)))*(1-IF(AND(ArtifactsInput!$M$27,Inputs!$B$4="Chapter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IFERROR(1/(IF(Inputs!$B$39="pvp",15,MAX(0.1,Skills!D28-IF(TRUE=TRUE,Inputs!$B$33,0)))*(1-IF(AND(ArtifactsInput!$M$27,Inputs!$B$4="Chapter Hunt"),CHOOSE(ArtifactsInput!$N$27+1,20,24,28,32,36,40),0)/100)),0)</f>
        <v/>
      </c>
      <c r="R1810">
        <f>IF(AND(Inputs!$B$39&lt;&gt;"pvp",Inputs!$B$44&gt;0),IF(Inputs!$B$44&lt;=0,0,(INT(Inputs!$B$44/(IF(Inputs!$B$39="pvp",15,MAX(0.1,Skills!D28-IF(TRUE=TRUE,Inputs!$B$33,0)))*(1-IF(AND(ArtifactsInput!$M$27,Inputs!$B$4="Chapter Hunt"),CHOOSE(ArtifactsInput!$N$27+1,20,24,28,32,36,40),0)/100)))+1)),0)</f>
        <v/>
      </c>
      <c r="S1810" t="n">
        <v>0</v>
      </c>
      <c r="U1810" t="n">
        <v>0</v>
      </c>
    </row>
    <row r="1812">
      <c r="A1812" t="inlineStr">
        <is>
          <t>Average Buff Multiplier</t>
        </is>
      </c>
      <c r="B1812">
        <f>(1+(IF(C1785=TRUE,F1785*IF(AND(Inputs!$B$39&lt;&gt;"pvp",Inputs!$B$44&gt;0),(((R1785-1)*MIN((Skills!S3*(1+((Inputs!$B$35+(ArtifactsInput!$M$7-ArtifactsInput!$M$7)*CHOOSE(ArtifactsInput!$N$7+1,6,7.2,8.4,9.6,10.8,12)))/100)),(1/Q1785))+MIN((Skills!S3*(1+((Inputs!$B$35+(ArtifactsInput!$M$7-ArtifactsInput!$M$7)*CHOOSE(ArtifactsInput!$N$7+1,6,7.2,8.4,9.6,10.8,12)))/100)),MAX(0,Inputs!$B$44-((R1785-1)*(1/Q1785)))))/Inputs!$B$44),IF(Inputs!$B$39="pvp",MIN((Skills!S3*(1+((Inputs!$B$35+(ArtifactsInput!$M$7-ArtifactsInput!$M$7)*CHOOSE(ArtifactsInput!$N$7+1,6,7.2,8.4,9.6,10.8,12)))/100)),15)/15,MIN(1,(Skills!S3*(1+((Inputs!$B$35+(ArtifactsInput!$M$7-ArtifactsInput!$M$7)*CHOOSE(ArtifactsInput!$N$7+1,6,7.2,8.4,9.6,10.8,12)))/100))/(1/Q1785)))),0)+IF(C1786=TRUE,F1786*IF(AND(Inputs!$B$39&lt;&gt;"pvp",Inputs!$B$44&gt;0),(((R1786-1)*MIN((Skills!S4*(1+((Inputs!$B$35+(ArtifactsInput!$M$7-ArtifactsInput!$M$7)*CHOOSE(ArtifactsInput!$N$7+1,6,7.2,8.4,9.6,10.8,12)))/100)),(1/Q1786))+MIN((Skills!S4*(1+((Inputs!$B$35+(ArtifactsInput!$M$7-ArtifactsInput!$M$7)*CHOOSE(ArtifactsInput!$N$7+1,6,7.2,8.4,9.6,10.8,12)))/100)),MAX(0,Inputs!$B$44-((R1786-1)*(1/Q1786)))))/Inputs!$B$44),IF(Inputs!$B$39="pvp",MIN((Skills!S4*(1+((Inputs!$B$35+(ArtifactsInput!$M$7-ArtifactsInput!$M$7)*CHOOSE(ArtifactsInput!$N$7+1,6,7.2,8.4,9.6,10.8,12)))/100)),15)/15,MIN(1,(Skills!S4*(1+((Inputs!$B$35+(ArtifactsInput!$M$7-ArtifactsInput!$M$7)*CHOOSE(ArtifactsInput!$N$7+1,6,7.2,8.4,9.6,10.8,12)))/100))/(1/Q1786)))),0)+IF(C1787=TRUE,F1787*IF(AND(Inputs!$B$39&lt;&gt;"pvp",Inputs!$B$44&gt;0),(((R1787-1)*MIN((Skills!S5*(1+((Inputs!$B$35+(ArtifactsInput!$M$7-ArtifactsInput!$M$7)*CHOOSE(ArtifactsInput!$N$7+1,6,7.2,8.4,9.6,10.8,12)))/100)),(1/Q1787))+MIN((Skills!S5*(1+((Inputs!$B$35+(ArtifactsInput!$M$7-ArtifactsInput!$M$7)*CHOOSE(ArtifactsInput!$N$7+1,6,7.2,8.4,9.6,10.8,12)))/100)),MAX(0,Inputs!$B$44-((R1787-1)*(1/Q1787)))))/Inputs!$B$44),IF(Inputs!$B$39="pvp",MIN((Skills!S5*(1+((Inputs!$B$35+(ArtifactsInput!$M$7-ArtifactsInput!$M$7)*CHOOSE(ArtifactsInput!$N$7+1,6,7.2,8.4,9.6,10.8,12)))/100)),15)/15,MIN(1,(Skills!S5*(1+((Inputs!$B$35+(ArtifactsInput!$M$7-ArtifactsInput!$M$7)*CHOOSE(ArtifactsInput!$N$7+1,6,7.2,8.4,9.6,10.8,12)))/100))/(1/Q1787)))),0)+IF(C1793=TRUE,F1793*IF(AND(Inputs!$B$39&lt;&gt;"pvp",Inputs!$B$44&gt;0),(((R1793-1)*MIN((Skills!S11*(1+((Inputs!$B$35+(ArtifactsInput!$M$7-ArtifactsInput!$M$7)*CHOOSE(ArtifactsInput!$N$7+1,6,7.2,8.4,9.6,10.8,12)))/100)),(1/Q1793))+MIN((Skills!S11*(1+((Inputs!$B$35+(ArtifactsInput!$M$7-ArtifactsInput!$M$7)*CHOOSE(ArtifactsInput!$N$7+1,6,7.2,8.4,9.6,10.8,12)))/100)),MAX(0,Inputs!$B$44-((R1793-1)*(1/Q1793)))))/Inputs!$B$44),IF(Inputs!$B$39="pvp",MIN((Skills!S11*(1+((Inputs!$B$35+(ArtifactsInput!$M$7-ArtifactsInput!$M$7)*CHOOSE(ArtifactsInput!$N$7+1,6,7.2,8.4,9.6,10.8,12)))/100)),15)/15,MIN(1,(Skills!S11*(1+((Inputs!$B$35+(ArtifactsInput!$M$7-ArtifactsInput!$M$7)*CHOOSE(ArtifactsInput!$N$7+1,6,7.2,8.4,9.6,10.8,12)))/100))/(1/Q1793)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MIN((Skills!S14*(1+((Inputs!$B$35+(ArtifactsInput!$M$7-ArtifactsInput!$M$7)*CHOOSE(ArtifactsInput!$N$7+1,6,7.2,8.4,9.6,10.8,12)))/100)),(1/Q1796))+MIN((Skills!S14*(1+((Inputs!$B$35+(ArtifactsInput!$M$7-ArtifactsInput!$M$7)*CHOOSE(ArtifactsInput!$N$7+1,6,7.2,8.4,9.6,10.8,12)))/100)),MAX(0,Inputs!$B$44-((R1796-1)*(1/Q1796)))))/Inputs!$B$44),IF(Inputs!$B$39="pvp",MIN((Skills!S14*(1+((Inputs!$B$35+(ArtifactsInput!$M$7-ArtifactsInput!$M$7)*CHOOSE(ArtifactsInput!$N$7+1,6,7.2,8.4,9.6,10.8,12)))/100)),15)/15,MIN(1,(Skills!S14*(1+((Inputs!$B$35+(ArtifactsInput!$M$7-ArtifactsInput!$M$7)*CHOOSE(ArtifactsInput!$N$7+1,6,7.2,8.4,9.6,10.8,12)))/100))/(1/Q1796))))/100),1)*IF(C1801=TRUE,(1+F1801*IF(AND(Inputs!$B$39&lt;&gt;"pvp",Inputs!$B$44&gt;0),(((R1801-1)*MIN((Skills!S19*(1+((Inputs!$B$35+(ArtifactsInput!$M$7-ArtifactsInput!$M$7)*CHOOSE(ArtifactsInput!$N$7+1,6,7.2,8.4,9.6,10.8,12)))/100)),(1/Q1801))+MIN((Skills!S19*(1+((Inputs!$B$35+(ArtifactsInput!$M$7-ArtifactsInput!$M$7)*CHOOSE(ArtifactsInput!$N$7+1,6,7.2,8.4,9.6,10.8,12)))/100)),MAX(0,Inputs!$B$44-((R1801-1)*(1/Q1801)))))/Inputs!$B$44),IF(Inputs!$B$39="pvp",MIN((Skills!S19*(1+((Inputs!$B$35+(ArtifactsInput!$M$7-ArtifactsInput!$M$7)*CHOOSE(ArtifactsInput!$N$7+1,6,7.2,8.4,9.6,10.8,12)))/100)),15)/15,MIN(1,(Skills!S19*(1+((Inputs!$B$35+(ArtifactsInput!$M$7-ArtifactsInput!$M$7)*CHOOSE(ArtifactsInput!$N$7+1,6,7.2,8.4,9.6,10.8,12)))/100))/(1/Q1801))))/100),1)</f>
        <v/>
      </c>
    </row>
    <row r="1813">
      <c r="A1813" t="inlineStr">
        <is>
          <t>Monster Damage Taken Bonus % (Holy Fountain)</t>
        </is>
      </c>
      <c r="B1813">
        <f>IF(Inputs!$B$3&gt;=68,20*IF(Inputs!$B$39="pvp",MIN((15*(1+((Inputs!$B$35+(ArtifactsInput!$M$7-ArtifactsInput!$M$7)*CHOOSE(ArtifactsInput!$N$7+1,6,7.2,8.4,9.6,10.8,12)))/100)),15)/15,MIN(1,(15*(1+((Inputs!$B$35+(ArtifactsInput!$M$7-ArtifactsInput!$M$7)*CHOOSE(ArtifactsInput!$N$7+1,6,7.2,8.4,9.6,10.8,12)))/100))/(1/Q1792))),0)</f>
        <v/>
      </c>
    </row>
    <row r="1814">
      <c r="A1814" t="inlineStr">
        <is>
          <t>Normal Monster Damage Bonus % (Holy Symbol)</t>
        </is>
      </c>
      <c r="B1814">
        <f>IF(C1794=TRUE,F1794*IF(AND(Inputs!$B$39&lt;&gt;"pvp",Inputs!$B$44&gt;0),(((R1794-1)*MIN((Skills!S12*(1+((Inputs!$B$35+(ArtifactsInput!$M$7-ArtifactsInput!$M$7)*CHOOSE(ArtifactsInput!$N$7+1,6,7.2,8.4,9.6,10.8,12)))/100)),(1/Q1794))+MIN((Skills!S12*(1+((Inputs!$B$35+(ArtifactsInput!$M$7-ArtifactsInput!$M$7)*CHOOSE(ArtifactsInput!$N$7+1,6,7.2,8.4,9.6,10.8,12)))/100)),MAX(0,Inputs!$B$44-((R1794-1)*(1/Q1794)))))/Inputs!$B$44),IF(Inputs!$B$39="pvp",MIN((Skills!S12*(1+((Inputs!$B$35+(ArtifactsInput!$M$7-ArtifactsInput!$M$7)*CHOOSE(ArtifactsInput!$N$7+1,6,7.2,8.4,9.6,10.8,12)))/100)),15)/15,MIN(1,(Skills!S12*(1+((Inputs!$B$35+(ArtifactsInput!$M$7-ArtifactsInput!$M$7)*CHOOSE(ArtifactsInput!$N$7+1,6,7.2,8.4,9.6,10.8,12)))/100))/(1/Q1794)))),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MIN((Skills!S28*(1+((Inputs!$B$35+(ArtifactsInput!$M$7-ArtifactsInput!$M$7)*CHOOSE(ArtifactsInput!$N$7+1,6,7.2,8.4,9.6,10.8,12)))/100)),(1/Q1810))+MIN((Skills!S28*(1+((Inputs!$B$35+(ArtifactsInput!$M$7-ArtifactsInput!$M$7)*CHOOSE(ArtifactsInput!$N$7+1,6,7.2,8.4,9.6,10.8,12)))/100)),MAX(0,Inputs!$B$44-((R1810-1)*(1/Q1810)))))/Inputs!$B$44),IF(Inputs!$B$39="pvp",MIN((Skills!S28*(1+((Inputs!$B$35+(ArtifactsInput!$M$7-ArtifactsInput!$M$7)*CHOOSE(ArtifactsInput!$N$7+1,6,7.2,8.4,9.6,10.8,12)))/100)),15)/15,MIN(1,(Skills!S28*(1+((Inputs!$B$35+(ArtifactsInput!$M$7-ArtifactsInput!$M$7)*CHOOSE(ArtifactsInput!$N$7+1,6,7.2,8.4,9.6,10.8,12)))/100))/(1/Q1810)))))</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MIN((Skills!S13*(1+((Inputs!$B$35+(ArtifactsInput!$M$7-ArtifactsInput!$M$7)*CHOOSE(ArtifactsInput!$N$7+1,6,7.2,8.4,9.6,10.8,12)))/100)),(1/Q1795))+MIN((Skills!S13*(1+((Inputs!$B$35+(ArtifactsInput!$M$7-ArtifactsInput!$M$7)*CHOOSE(ArtifactsInput!$N$7+1,6,7.2,8.4,9.6,10.8,12)))/100)),MAX(0,Inputs!$B$44-((R1795-1)*(1/Q1795)))))/Inputs!$B$44),IF(Inputs!$B$39="pvp",MIN((Skills!S13*(1+((Inputs!$B$35+(ArtifactsInput!$M$7-ArtifactsInput!$M$7)*CHOOSE(ArtifactsInput!$N$7+1,6,7.2,8.4,9.6,10.8,12)))/100)),15)/15,MIN(1,(Skills!S13*(1+((Inputs!$B$35+(ArtifactsInput!$M$7-ArtifactsInput!$M$7)*CHOOSE(ArtifactsInput!$N$7+1,6,7.2,8.4,9.6,10.8,12)))/100))/(1/Q1795)))),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IFERROR(1/(IF(Inputs!$B$39="pvp",15,MAX(0.1,Skills!D2-IF(TRUE=TRUE,Inputs!$B$33,0)))*(1-IF(AND(ArtifactsInput!$M$27,Inputs!$B$4="Chapter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IFERROR(1/(IF(Inputs!$B$39="pvp",15,MAX(0.1,Skills!D3-IF(TRUE=TRUE,Inputs!$B$33,0)))*(1-IF(AND(ArtifactsInput!$M$27,Inputs!$B$4="Chapter Hunt"),CHOOSE(ArtifactsInput!$N$27+1,20,24,28,32,36,40),0)/100)),0)</f>
        <v/>
      </c>
      <c r="R1830">
        <f>IF(AND(Inputs!$B$39&lt;&gt;"pvp",Inputs!$B$44&gt;0),IF(Inputs!$B$44&lt;=0,0,(INT(Inputs!$B$44/(IF(Inputs!$B$39="pvp",15,MAX(0.1,Skills!D3-IF(TRUE=TRUE,Inputs!$B$33,0)))*(1-IF(AND(ArtifactsInput!$M$27,Inputs!$B$4="Chapter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IFERROR(1/(IF(Inputs!$B$39="pvp",15,MAX(0.1,Skills!D4-IF(TRUE=TRUE,Inputs!$B$33,0)))*(1-IF(AND(ArtifactsInput!$M$27,Inputs!$B$4="Chapter Hunt"),CHOOSE(ArtifactsInput!$N$27+1,20,24,28,32,36,40),0)/100)),0)</f>
        <v/>
      </c>
      <c r="R1831">
        <f>IF(AND(Inputs!$B$39&lt;&gt;"pvp",Inputs!$B$44&gt;0),IF(Inputs!$B$44&lt;=0,0,(INT(Inputs!$B$44/(IF(Inputs!$B$39="pvp",15,MAX(0.1,Skills!D4-IF(TRUE=TRUE,Inputs!$B$33,0)))*(1-IF(AND(ArtifactsInput!$M$27,Inputs!$B$4="Chapter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IFERROR(1/(IF(Inputs!$B$39="pvp",15,MAX(0.1,Skills!D5-IF(TRUE=TRUE,Inputs!$B$33,0)))*(1-IF(AND(ArtifactsInput!$M$27,Inputs!$B$4="Chapter Hunt"),CHOOSE(ArtifactsInput!$N$27+1,20,24,28,32,36,40),0)/100)),0)</f>
        <v/>
      </c>
      <c r="R1832">
        <f>IF(AND(Inputs!$B$39&lt;&gt;"pvp",Inputs!$B$44&gt;0),IF(Inputs!$B$44&lt;=0,0,(INT(Inputs!$B$44/(IF(Inputs!$B$39="pvp",15,MAX(0.1,Skills!D5-IF(TRUE=TRUE,Inputs!$B$33,0)))*(1-IF(AND(ArtifactsInput!$M$27,Inputs!$B$4="Chapter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IFERROR(1/(IF(Inputs!$B$39="pvp",15,MAX(0.1,Skills!D6-IF(TRUE=TRUE,Inputs!$B$33,0)))*(1-IF(AND(ArtifactsInput!$M$27,Inputs!$B$4="Chapter Hunt"),CHOOSE(ArtifactsInput!$N$27+1,20,24,28,32,36,40),0)/100)),0)</f>
        <v/>
      </c>
      <c r="R1833">
        <f>IF(AND(Inputs!$B$39&lt;&gt;"pvp",Inputs!$B$44&gt;0),IF(MAX(0,Inputs!$B$44-B1867)&lt;=0,0,(INT(MAX(0,Inputs!$B$44-B1867)/(IF(Inputs!$B$39="pvp",15,MAX(0.1,Skills!D6-IF(TRUE=TRUE,Inputs!$B$33,0)))*(1-IF(AND(ArtifactsInput!$M$27,Inputs!$B$4="Chapter Hunt"),CHOOSE(ArtifactsInput!$N$27+1,20,24,28,32,36,40),0)/100)))+1)),0)</f>
        <v/>
      </c>
      <c r="S1833">
        <f>IF(C1833,(H1833*N1833*IF(AND(Inputs!$B$39&lt;&gt;"pvp",Inputs!$B$44&gt;0),((Skills!F6*((R1833-1)*IF(Skills!G6&gt;0,INT(Skills!H6/Skills!G6+0.000000001),1)+IF(Skills!G6&gt;0,INT(MIN(Skills!H6,MAX(0,MAX(0,Inputs!$B$44-B1867)-((R1833-1)*(IF(Inputs!$B$39="pvp",15,MAX(0.1,Skills!D6-IF(TRUE=TRUE,Inputs!$B$33,0)))*(1-IF(AND(ArtifactsInput!$M$27,Inputs!$B$4="Chapter Hunt"),CHOOSE(ArtifactsInput!$N$27+1,20,24,28,32,36,40),0)/100)))))/Skills!G6+0.000000001),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INT(Skills!H6/Skills!G6+0.000000001),1)+IF(Skills!G6&gt;0,INT(MIN(Skills!H6,MAX(0,MAX(0,Inputs!$B$44-B1867)-((R1833-1)*(IF(Inputs!$B$39="pvp",15,MAX(0.1,Skills!D6-IF(TRUE=TRUE,Inputs!$B$33,0)))*(1-IF(AND(ArtifactsInput!$M$27,Inputs!$B$4="Chapter Hunt"),CHOOSE(ArtifactsInput!$N$27+1,20,24,28,32,36,40),0)/100)))))/Skills!G6+0.000000001),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IFERROR(1/(IF(Inputs!$B$39="pvp",15,MAX(0.1,Skills!D7-IF(TRUE=TRUE,Inputs!$B$33,0)))*(1-IF(AND(ArtifactsInput!$M$27,Inputs!$B$4="Chapter Hunt"),CHOOSE(ArtifactsInput!$N$27+1,20,24,28,32,36,40),0)/100)),0)</f>
        <v/>
      </c>
      <c r="R1834">
        <f>IF(AND(Inputs!$B$39&lt;&gt;"pvp",Inputs!$B$44&gt;0),IF(MAX(0,Inputs!$B$44-B1867)&lt;=0,0,(INT(MAX(0,Inputs!$B$44-B1867)/(IF(Inputs!$B$39="pvp",15,MAX(0.1,Skills!D7-IF(TRUE=TRUE,Inputs!$B$33,0)))*(1-IF(AND(ArtifactsInput!$M$27,Inputs!$B$4="Chapter Hunt"),CHOOSE(ArtifactsInput!$N$27+1,20,24,28,32,36,40),0)/100)))+1)),0)</f>
        <v/>
      </c>
      <c r="S1834">
        <f>IF(C1834,H1834*N1834*IF(AND(Inputs!$B$39&lt;&gt;"pvp",Inputs!$B$44&gt;0),((Skills!F7*((R1834-1)*IF(Skills!G7&gt;0,INT(Skills!H7/Skills!G7+0.000000001),1)+IF(Skills!G7&gt;0,INT(MIN(Skills!H7,MAX(0,MAX(0,Inputs!$B$44-B1867)-((R1834-1)*(IF(Inputs!$B$39="pvp",15,MAX(0.1,Skills!D7-IF(TRUE=TRUE,Inputs!$B$33,0)))*(1-IF(AND(ArtifactsInput!$M$27,Inputs!$B$4="Chapter Hunt"),CHOOSE(ArtifactsInput!$N$27+1,20,24,28,32,36,40),0)/100)))))/Skills!G7+0.000000001),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IFERROR(1/(IF(Inputs!$B$39="pvp",15,MAX(0.1,Skills!D8-IF(TRUE=TRUE,Inputs!$B$33,0)))*(1-IF(AND(ArtifactsInput!$M$27,Inputs!$B$4="Chapter Hunt"),CHOOSE(ArtifactsInput!$N$27+1,20,24,28,32,36,40),0)/100)),0)</f>
        <v/>
      </c>
      <c r="R1835">
        <f>IF(AND(Inputs!$B$39&lt;&gt;"pvp",Inputs!$B$44&gt;0),IF(MAX(0,Inputs!$B$44-B1867)&lt;=0,0,(INT(MAX(0,Inputs!$B$44-B1867)/(IF(Inputs!$B$39="pvp",15,MAX(0.1,Skills!D8-IF(TRUE=TRUE,Inputs!$B$33,0)))*(1-IF(AND(ArtifactsInput!$M$27,Inputs!$B$4="Chapter Hunt"),CHOOSE(ArtifactsInput!$N$27+1,20,24,28,32,36,40),0)/100)))+1)),0)</f>
        <v/>
      </c>
      <c r="S1835">
        <f>IF(C1835,(H1835*N1835*IF(AND(Inputs!$B$39&lt;&gt;"pvp",Inputs!$B$44&gt;0),((Skills!F8*((R1835-1)*IF(Skills!G8&gt;0,INT(Skills!H8/Skills!G8+0.000000001),1)+IF(Skills!G8&gt;0,INT(MIN(Skills!H8,MAX(0,MAX(0,Inputs!$B$44-B1867)-((R1835-1)*(IF(Inputs!$B$39="pvp",15,MAX(0.1,Skills!D8-IF(TRUE=TRUE,Inputs!$B$33,0)))*(1-IF(AND(ArtifactsInput!$M$27,Inputs!$B$4="Chapter Hunt"),CHOOSE(ArtifactsInput!$N$27+1,20,24,28,32,36,40),0)/100)))))/Skills!G8+0.000000001),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INT(Skills!H8/Skills!G8+0.000000001),1)+IF(Skills!G8&gt;0,INT(MIN(Skills!H8,MAX(0,MAX(0,Inputs!$B$44-B1867)-((R1835-1)*(IF(Inputs!$B$39="pvp",15,MAX(0.1,Skills!D8-IF(TRUE=TRUE,Inputs!$B$33,0)))*(1-IF(AND(ArtifactsInput!$M$27,Inputs!$B$4="Chapter Hunt"),CHOOSE(ArtifactsInput!$N$27+1,20,24,28,32,36,40),0)/100)))))/Skills!G8+0.000000001),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IFERROR(1/(IF(Inputs!$B$39="pvp",15,MAX(0.1,Skills!D9-IF(TRUE=TRUE,Inputs!$B$33,0)))*(1-IF(AND(ArtifactsInput!$M$27,Inputs!$B$4="Chapter Hunt"),CHOOSE(ArtifactsInput!$N$27+1,20,24,28,32,36,40),0)/100)),0)</f>
        <v/>
      </c>
      <c r="R1836">
        <f>IF(AND(Inputs!$B$39&lt;&gt;"pvp",Inputs!$B$44&gt;0),IF(MAX(0,Inputs!$B$44-B1867)&lt;=0,0,(INT(MAX(0,Inputs!$B$44-B1867)/(IF(Inputs!$B$39="pvp",15,MAX(0.1,Skills!D9-IF(TRUE=TRUE,Inputs!$B$33,0)))*(1-IF(AND(ArtifactsInput!$M$27,Inputs!$B$4="Chapter Hunt"),CHOOSE(ArtifactsInput!$N$27+1,20,24,28,32,36,40),0)/100)))+1)),0)</f>
        <v/>
      </c>
      <c r="S1836">
        <f>IF(C1836,(H1836*N1836*IF(AND(Inputs!$B$39&lt;&gt;"pvp",Inputs!$B$44&gt;0),((Skills!F9*((R1836-1)*IF(Skills!G9&gt;0,INT(Skills!H9/Skills!G9+0.000000001),1)+IF(Skills!G9&gt;0,INT(MIN(Skills!H9,MAX(0,MAX(0,Inputs!$B$44-B1867)-((R1836-1)*(IF(Inputs!$B$39="pvp",15,MAX(0.1,Skills!D9-IF(TRUE=TRUE,Inputs!$B$33,0)))*(1-IF(AND(ArtifactsInput!$M$27,Inputs!$B$4="Chapter Hunt"),CHOOSE(ArtifactsInput!$N$27+1,20,24,28,32,36,40),0)/100)))))/Skills!G9+0.000000001),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INT(Skills!H9/Skills!G9+0.000000001),1)+IF(Skills!G9&gt;0,INT(MIN(Skills!H9,MAX(0,MAX(0,Inputs!$B$44-B1867)-((R1836-1)*(IF(Inputs!$B$39="pvp",15,MAX(0.1,Skills!D9-IF(TRUE=TRUE,Inputs!$B$33,0)))*(1-IF(AND(ArtifactsInput!$M$27,Inputs!$B$4="Chapter Hunt"),CHOOSE(ArtifactsInput!$N$27+1,20,24,28,32,36,40),0)/100)))))/Skills!G9+0.000000001),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IFERROR(1/(IF(Inputs!$B$39="pvp",15,MAX(0.1,Skills!D10-IF(TRUE=TRUE,Inputs!$B$33,0)))*(1-IF(AND(ArtifactsInput!$M$27,Inputs!$B$4="Chapter Hunt"),CHOOSE(ArtifactsInput!$N$27+1,20,24,28,32,36,40),0)/100)),0)</f>
        <v/>
      </c>
      <c r="R1837">
        <f>IF(AND(Inputs!$B$39&lt;&gt;"pvp",Inputs!$B$44&gt;0),IF(MAX(0,Inputs!$B$44-B1867)&lt;=0,0,(INT(MAX(0,Inputs!$B$44-B1867)/(IF(Inputs!$B$39="pvp",15,MAX(0.1,Skills!D10-IF(TRUE=TRUE,Inputs!$B$33,0)))*(1-IF(AND(ArtifactsInput!$M$27,Inputs!$B$4="Chapter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IFERROR(1/(IF(Inputs!$B$39="pvp",15,MAX(0.1,Skills!D11-IF(TRUE=TRUE,Inputs!$B$33,0)))*(1-IF(AND(ArtifactsInput!$M$27,Inputs!$B$4="Chapter Hunt"),CHOOSE(ArtifactsInput!$N$27+1,20,24,28,32,36,40),0)/100)),0)</f>
        <v/>
      </c>
      <c r="R1838">
        <f>IF(AND(Inputs!$B$39&lt;&gt;"pvp",Inputs!$B$44&gt;0),IF(Inputs!$B$44&lt;=0,0,(INT(Inputs!$B$44/(IF(Inputs!$B$39="pvp",15,MAX(0.1,Skills!D11-IF(TRUE=TRUE,Inputs!$B$33,0)))*(1-IF(AND(ArtifactsInput!$M$27,Inputs!$B$4="Chapter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IFERROR(1/(IF(Inputs!$B$39="pvp",15,MAX(0.1,Skills!D12-IF(TRUE=TRUE,Inputs!$B$33,0)))*(1-IF(AND(ArtifactsInput!$M$27,Inputs!$B$4="Chapter Hunt"),CHOOSE(ArtifactsInput!$N$27+1,20,24,28,32,36,40),0)/100)),0)</f>
        <v/>
      </c>
      <c r="R1839">
        <f>IF(AND(Inputs!$B$39&lt;&gt;"pvp",Inputs!$B$44&gt;0),IF(MAX(0,Inputs!$B$44-B1867)&lt;=0,0,(INT(MAX(0,Inputs!$B$44-B1867)/(IF(Inputs!$B$39="pvp",15,MAX(0.1,Skills!D12-IF(TRUE=TRUE,Inputs!$B$33,0)))*(1-IF(AND(ArtifactsInput!$M$27,Inputs!$B$4="Chapter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IFERROR(1/(IF(Inputs!$B$39="pvp",15,MAX(0.1,Skills!D13-IF(TRUE=TRUE,Inputs!$B$33,0)))*(1-IF(AND(ArtifactsInput!$M$27,Inputs!$B$4="Chapter Hunt"),CHOOSE(ArtifactsInput!$N$27+1,20,24,28,32,36,40),0)/100)),0)</f>
        <v/>
      </c>
      <c r="R1840">
        <f>IF(AND(Inputs!$B$39&lt;&gt;"pvp",Inputs!$B$44&gt;0),IF(MAX(0,Inputs!$B$44-B1867)&lt;=0,0,(INT(MAX(0,Inputs!$B$44-B1867)/(IF(Inputs!$B$39="pvp",15,MAX(0.1,Skills!D13-IF(TRUE=TRUE,Inputs!$B$33,0)))*(1-IF(AND(ArtifactsInput!$M$27,Inputs!$B$4="Chapter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IFERROR(1/(IF(Inputs!$B$39="pvp",15,MAX(0.1,Skills!D14-IF(TRUE=TRUE,Inputs!$B$33,0)))*(1-IF(AND(ArtifactsInput!$M$27,Inputs!$B$4="Chapter Hunt"),CHOOSE(ArtifactsInput!$N$27+1,20,24,28,32,36,40),0)/100)),0)</f>
        <v/>
      </c>
      <c r="R1841">
        <f>IF(AND(Inputs!$B$39&lt;&gt;"pvp",Inputs!$B$44&gt;0),IF(Inputs!$B$44&lt;=0,0,(INT(Inputs!$B$44/(IF(Inputs!$B$39="pvp",15,MAX(0.1,Skills!D14-IF(TRUE=TRUE,Inputs!$B$33,0)))*(1-IF(AND(ArtifactsInput!$M$27,Inputs!$B$4="Chapter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IFERROR(1/(IF(Inputs!$B$39="pvp",15,MAX(0.1,Skills!D15-IF(TRUE=TRUE,Inputs!$B$33,0)))*(1-IF(AND(ArtifactsInput!$M$27,Inputs!$B$4="Chapter Hunt"),CHOOSE(ArtifactsInput!$N$27+1,20,24,28,32,36,40),0)/100)),0)</f>
        <v/>
      </c>
      <c r="R1842" t="n">
        <v>0</v>
      </c>
      <c r="S1842">
        <f>IF(C1842,(Skills!F15*N1842*((IF(Inputs!$B$3&gt;=78,25,15)/100*B1863*10)/(1+IF(Inputs!$B$3&gt;=78,25,15)/100*B1863*IF(Inputs!$B$39="pvp",15,MAX(0.1,18-IF(TRUE=TRUE,Inputs!$B$33,0)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IF(Inputs!$B$39="pvp",15,MAX(0.1,18-IF(TRUE=TRUE,Inputs!$B$33,0)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IFERROR(1/(IF(Inputs!$B$39="pvp",15,MAX(0.1,Skills!D16-IF(TRUE=TRUE,Inputs!$B$33,0)))*(1-IF(AND(ArtifactsInput!$M$27,Inputs!$B$4="Chapter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IFERROR(1/(IF(Inputs!$B$39="pvp",15,MAX(0.1,Skills!D17-IF(TRUE=TRUE,Inputs!$B$33,0)))*(1-IF(AND(ArtifactsInput!$M$27,Inputs!$B$4="Chapter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IFERROR(1/(IF(Inputs!$B$39="pvp",15,MAX(0.1,Skills!D18-IF(TRUE=TRUE,Inputs!$B$33,0)))*(1-IF(AND(ArtifactsInput!$M$27,Inputs!$B$4="Chapter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IFERROR(1/(IF(Inputs!$B$39="pvp",15,MAX(0.1,Skills!D19-IF(TRUE=TRUE,Inputs!$B$33,0)))*(1-IF(AND(ArtifactsInput!$M$27,Inputs!$B$4="Chapter Hunt"),CHOOSE(ArtifactsInput!$N$27+1,20,24,28,32,36,40),0)/100)),0)</f>
        <v/>
      </c>
      <c r="R1846">
        <f>IF(AND(Inputs!$B$39&lt;&gt;"pvp",Inputs!$B$44&gt;0),IF(Inputs!$B$44&lt;=0,0,(INT(Inputs!$B$44/(IF(Inputs!$B$39="pvp",15,MAX(0.1,Skills!D19-IF(TRUE=TRUE,Inputs!$B$33,0)))*(1-IF(AND(ArtifactsInput!$M$27,Inputs!$B$4="Chapter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IFERROR(1/(IF(Inputs!$B$39="pvp",15,MAX(0.1,Skills!D20-IF(TRUE=TRUE,Inputs!$B$33,0)))*(1-IF(AND(ArtifactsInput!$M$27,Inputs!$B$4="Chapter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IFERROR(1/(IF(Inputs!$B$39="pvp",15,MAX(0.1,Skills!D21-IF(TRUE=TRUE,Inputs!$B$33,0)))*(1-IF(AND(ArtifactsInput!$M$27,Inputs!$B$4="Chapter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IFERROR(1/(IF(Inputs!$B$39="pvp",15,MAX(0.1,Skills!D22-IF(TRUE=TRUE,Inputs!$B$33,0)))*(1-IF(AND(ArtifactsInput!$M$27,Inputs!$B$4="Chapter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IFERROR(1/(IF(Inputs!$B$39="pvp",15,MAX(0.1,Skills!D23-IF(TRUE=TRUE,Inputs!$B$33,0)))*(1-IF(AND(ArtifactsInput!$M$27,Inputs!$B$4="Chapter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IFERROR(1/(IF(Inputs!$B$39="pvp",15,MAX(0.1,Skills!D24-IF(TRUE=TRUE,Inputs!$B$33,0)))*(1-IF(AND(ArtifactsInput!$M$27,Inputs!$B$4="Chapter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IFERROR(1/(IF(Inputs!$B$39="pvp",15,MAX(0.1,Skills!D25-IF(TRUE=TRUE,Inputs!$B$33,0)))*(1-IF(AND(ArtifactsInput!$M$27,Inputs!$B$4="Chapter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IFERROR(1/(IF(Inputs!$B$39="pvp",15,MAX(0.1,Skills!D26-IF(TRUE=TRUE,Inputs!$B$33,0)))*(1-IF(AND(ArtifactsInput!$M$27,Inputs!$B$4="Chapter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IFERROR(1/(IF(Inputs!$B$39="pvp",15,MAX(0.1,Skills!D27-IF(TRUE=TRUE,Inputs!$B$33,0)))*(1-IF(AND(ArtifactsInput!$M$27,Inputs!$B$4="Chapter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IFERROR(1/(IF(Inputs!$B$39="pvp",15,MAX(0.1,Skills!D28-IF(TRUE=TRUE,Inputs!$B$33,0)))*(1-IF(AND(ArtifactsInput!$M$27,Inputs!$B$4="Chapter Hunt"),CHOOSE(ArtifactsInput!$N$27+1,20,24,28,32,36,40),0)/100)),0)</f>
        <v/>
      </c>
      <c r="R1855">
        <f>IF(AND(Inputs!$B$39&lt;&gt;"pvp",Inputs!$B$44&gt;0),IF(Inputs!$B$44&lt;=0,0,(INT(Inputs!$B$44/(IF(Inputs!$B$39="pvp",15,MAX(0.1,Skills!D28-IF(TRUE=TRUE,Inputs!$B$33,0)))*(1-IF(AND(ArtifactsInput!$M$27,Inputs!$B$4="Chapter Hunt"),CHOOSE(ArtifactsInput!$N$27+1,20,24,28,32,36,40),0)/100)))+1)),0)</f>
        <v/>
      </c>
      <c r="S1855" t="n">
        <v>0</v>
      </c>
      <c r="U1855" t="n">
        <v>0</v>
      </c>
    </row>
    <row r="1857">
      <c r="A1857" t="inlineStr">
        <is>
          <t>Average Buff Multiplier</t>
        </is>
      </c>
      <c r="B1857">
        <f>(1+(IF(C1830=TRUE,F1830*IF(AND(Inputs!$B$39&lt;&gt;"pvp",Inputs!$B$44&gt;0),(((R1830-1)*MIN((Skills!S3*(1+((Inputs!$B$35+(ArtifactsInput!$M$7-ArtifactsInput!$M$7)*CHOOSE(ArtifactsInput!$N$7+1,6,7.2,8.4,9.6,10.8,12)))/100)),(1/Q1830))+MIN((Skills!S3*(1+((Inputs!$B$35+(ArtifactsInput!$M$7-ArtifactsInput!$M$7)*CHOOSE(ArtifactsInput!$N$7+1,6,7.2,8.4,9.6,10.8,12)))/100)),MAX(0,Inputs!$B$44-((R1830-1)*(1/Q1830)))))/Inputs!$B$44),IF(Inputs!$B$39="pvp",MIN((Skills!S3*(1+((Inputs!$B$35+(ArtifactsInput!$M$7-ArtifactsInput!$M$7)*CHOOSE(ArtifactsInput!$N$7+1,6,7.2,8.4,9.6,10.8,12)))/100)),15)/15,MIN(1,(Skills!S3*(1+((Inputs!$B$35+(ArtifactsInput!$M$7-ArtifactsInput!$M$7)*CHOOSE(ArtifactsInput!$N$7+1,6,7.2,8.4,9.6,10.8,12)))/100))/(1/Q1830)))),0)+IF(C1831=TRUE,F1831*IF(AND(Inputs!$B$39&lt;&gt;"pvp",Inputs!$B$44&gt;0),(((R1831-1)*MIN((Skills!S4*(1+((Inputs!$B$35+(ArtifactsInput!$M$7-ArtifactsInput!$M$7)*CHOOSE(ArtifactsInput!$N$7+1,6,7.2,8.4,9.6,10.8,12)))/100)),(1/Q1831))+MIN((Skills!S4*(1+((Inputs!$B$35+(ArtifactsInput!$M$7-ArtifactsInput!$M$7)*CHOOSE(ArtifactsInput!$N$7+1,6,7.2,8.4,9.6,10.8,12)))/100)),MAX(0,Inputs!$B$44-((R1831-1)*(1/Q1831)))))/Inputs!$B$44),IF(Inputs!$B$39="pvp",MIN((Skills!S4*(1+((Inputs!$B$35+(ArtifactsInput!$M$7-ArtifactsInput!$M$7)*CHOOSE(ArtifactsInput!$N$7+1,6,7.2,8.4,9.6,10.8,12)))/100)),15)/15,MIN(1,(Skills!S4*(1+((Inputs!$B$35+(ArtifactsInput!$M$7-ArtifactsInput!$M$7)*CHOOSE(ArtifactsInput!$N$7+1,6,7.2,8.4,9.6,10.8,12)))/100))/(1/Q1831)))),0)+IF(C1832=TRUE,F1832*IF(AND(Inputs!$B$39&lt;&gt;"pvp",Inputs!$B$44&gt;0),(((R1832-1)*MIN((Skills!S5*(1+((Inputs!$B$35+(ArtifactsInput!$M$7-ArtifactsInput!$M$7)*CHOOSE(ArtifactsInput!$N$7+1,6,7.2,8.4,9.6,10.8,12)))/100)),(1/Q1832))+MIN((Skills!S5*(1+((Inputs!$B$35+(ArtifactsInput!$M$7-ArtifactsInput!$M$7)*CHOOSE(ArtifactsInput!$N$7+1,6,7.2,8.4,9.6,10.8,12)))/100)),MAX(0,Inputs!$B$44-((R1832-1)*(1/Q1832)))))/Inputs!$B$44),IF(Inputs!$B$39="pvp",MIN((Skills!S5*(1+((Inputs!$B$35+(ArtifactsInput!$M$7-ArtifactsInput!$M$7)*CHOOSE(ArtifactsInput!$N$7+1,6,7.2,8.4,9.6,10.8,12)))/100)),15)/15,MIN(1,(Skills!S5*(1+((Inputs!$B$35+(ArtifactsInput!$M$7-ArtifactsInput!$M$7)*CHOOSE(ArtifactsInput!$N$7+1,6,7.2,8.4,9.6,10.8,12)))/100))/(1/Q1832)))),0)+IF(C1838=TRUE,F1838*IF(AND(Inputs!$B$39&lt;&gt;"pvp",Inputs!$B$44&gt;0),(((R1838-1)*MIN((Skills!S11*(1+((Inputs!$B$35+(ArtifactsInput!$M$7-ArtifactsInput!$M$7)*CHOOSE(ArtifactsInput!$N$7+1,6,7.2,8.4,9.6,10.8,12)))/100)),(1/Q1838))+MIN((Skills!S11*(1+((Inputs!$B$35+(ArtifactsInput!$M$7-ArtifactsInput!$M$7)*CHOOSE(ArtifactsInput!$N$7+1,6,7.2,8.4,9.6,10.8,12)))/100)),MAX(0,Inputs!$B$44-((R1838-1)*(1/Q1838)))))/Inputs!$B$44),IF(Inputs!$B$39="pvp",MIN((Skills!S11*(1+((Inputs!$B$35+(ArtifactsInput!$M$7-ArtifactsInput!$M$7)*CHOOSE(ArtifactsInput!$N$7+1,6,7.2,8.4,9.6,10.8,12)))/100)),15)/15,MIN(1,(Skills!S11*(1+((Inputs!$B$35+(ArtifactsInput!$M$7-ArtifactsInput!$M$7)*CHOOSE(ArtifactsInput!$N$7+1,6,7.2,8.4,9.6,10.8,12)))/100))/(1/Q1838)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MIN((Skills!S14*(1+((Inputs!$B$35+(ArtifactsInput!$M$7-ArtifactsInput!$M$7)*CHOOSE(ArtifactsInput!$N$7+1,6,7.2,8.4,9.6,10.8,12)))/100)),(1/Q1841))+MIN((Skills!S14*(1+((Inputs!$B$35+(ArtifactsInput!$M$7-ArtifactsInput!$M$7)*CHOOSE(ArtifactsInput!$N$7+1,6,7.2,8.4,9.6,10.8,12)))/100)),MAX(0,Inputs!$B$44-((R1841-1)*(1/Q1841)))))/Inputs!$B$44),IF(Inputs!$B$39="pvp",MIN((Skills!S14*(1+((Inputs!$B$35+(ArtifactsInput!$M$7-ArtifactsInput!$M$7)*CHOOSE(ArtifactsInput!$N$7+1,6,7.2,8.4,9.6,10.8,12)))/100)),15)/15,MIN(1,(Skills!S14*(1+((Inputs!$B$35+(ArtifactsInput!$M$7-ArtifactsInput!$M$7)*CHOOSE(ArtifactsInput!$N$7+1,6,7.2,8.4,9.6,10.8,12)))/100))/(1/Q1841))))/100),1)*IF(C1846=TRUE,(1+F1846*IF(AND(Inputs!$B$39&lt;&gt;"pvp",Inputs!$B$44&gt;0),(((R1846-1)*MIN((Skills!S19*(1+((Inputs!$B$35+(ArtifactsInput!$M$7-ArtifactsInput!$M$7)*CHOOSE(ArtifactsInput!$N$7+1,6,7.2,8.4,9.6,10.8,12)))/100)),(1/Q1846))+MIN((Skills!S19*(1+((Inputs!$B$35+(ArtifactsInput!$M$7-ArtifactsInput!$M$7)*CHOOSE(ArtifactsInput!$N$7+1,6,7.2,8.4,9.6,10.8,12)))/100)),MAX(0,Inputs!$B$44-((R1846-1)*(1/Q1846)))))/Inputs!$B$44),IF(Inputs!$B$39="pvp",MIN((Skills!S19*(1+((Inputs!$B$35+(ArtifactsInput!$M$7-ArtifactsInput!$M$7)*CHOOSE(ArtifactsInput!$N$7+1,6,7.2,8.4,9.6,10.8,12)))/100)),15)/15,MIN(1,(Skills!S19*(1+((Inputs!$B$35+(ArtifactsInput!$M$7-ArtifactsInput!$M$7)*CHOOSE(ArtifactsInput!$N$7+1,6,7.2,8.4,9.6,10.8,12)))/100))/(1/Q1846))))/100),1)</f>
        <v/>
      </c>
    </row>
    <row r="1858">
      <c r="A1858" t="inlineStr">
        <is>
          <t>Monster Damage Taken Bonus % (Holy Fountain)</t>
        </is>
      </c>
      <c r="B1858">
        <f>IF(Inputs!$B$3&gt;=68,20*IF(Inputs!$B$39="pvp",MIN((15*(1+((Inputs!$B$35+(ArtifactsInput!$M$7-ArtifactsInput!$M$7)*CHOOSE(ArtifactsInput!$N$7+1,6,7.2,8.4,9.6,10.8,12)))/100)),15)/15,MIN(1,(15*(1+((Inputs!$B$35+(ArtifactsInput!$M$7-ArtifactsInput!$M$7)*CHOOSE(ArtifactsInput!$N$7+1,6,7.2,8.4,9.6,10.8,12)))/100))/(1/Q1837))),0)</f>
        <v/>
      </c>
    </row>
    <row r="1859">
      <c r="A1859" t="inlineStr">
        <is>
          <t>Normal Monster Damage Bonus % (Holy Symbol)</t>
        </is>
      </c>
      <c r="B1859">
        <f>IF(C1839=TRUE,F1839*IF(AND(Inputs!$B$39&lt;&gt;"pvp",Inputs!$B$44&gt;0),(((R1839-1)*MIN((Skills!S12*(1+((Inputs!$B$35+(ArtifactsInput!$M$7-ArtifactsInput!$M$7)*CHOOSE(ArtifactsInput!$N$7+1,6,7.2,8.4,9.6,10.8,12)))/100)),(1/Q1839))+MIN((Skills!S12*(1+((Inputs!$B$35+(ArtifactsInput!$M$7-ArtifactsInput!$M$7)*CHOOSE(ArtifactsInput!$N$7+1,6,7.2,8.4,9.6,10.8,12)))/100)),MAX(0,Inputs!$B$44-((R1839-1)*(1/Q1839)))))/Inputs!$B$44),IF(Inputs!$B$39="pvp",MIN((Skills!S12*(1+((Inputs!$B$35+(ArtifactsInput!$M$7-ArtifactsInput!$M$7)*CHOOSE(ArtifactsInput!$N$7+1,6,7.2,8.4,9.6,10.8,12)))/100)),15)/15,MIN(1,(Skills!S12*(1+((Inputs!$B$35+(ArtifactsInput!$M$7-ArtifactsInput!$M$7)*CHOOSE(ArtifactsInput!$N$7+1,6,7.2,8.4,9.6,10.8,12)))/100))/(1/Q1839)))),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MIN((Skills!S28*(1+((Inputs!$B$35+(ArtifactsInput!$M$7-ArtifactsInput!$M$7)*CHOOSE(ArtifactsInput!$N$7+1,6,7.2,8.4,9.6,10.8,12)))/100)),(1/Q1855))+MIN((Skills!S28*(1+((Inputs!$B$35+(ArtifactsInput!$M$7-ArtifactsInput!$M$7)*CHOOSE(ArtifactsInput!$N$7+1,6,7.2,8.4,9.6,10.8,12)))/100)),MAX(0,Inputs!$B$44-((R1855-1)*(1/Q1855)))))/Inputs!$B$44),IF(Inputs!$B$39="pvp",MIN((Skills!S28*(1+((Inputs!$B$35+(ArtifactsInput!$M$7-ArtifactsInput!$M$7)*CHOOSE(ArtifactsInput!$N$7+1,6,7.2,8.4,9.6,10.8,12)))/100)),15)/15,MIN(1,(Skills!S28*(1+((Inputs!$B$35+(ArtifactsInput!$M$7-ArtifactsInput!$M$7)*CHOOSE(ArtifactsInput!$N$7+1,6,7.2,8.4,9.6,10.8,12)))/100))/(1/Q1855)))))</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MIN((Skills!S13*(1+((Inputs!$B$35+(ArtifactsInput!$M$7-ArtifactsInput!$M$7)*CHOOSE(ArtifactsInput!$N$7+1,6,7.2,8.4,9.6,10.8,12)))/100)),(1/Q1840))+MIN((Skills!S13*(1+((Inputs!$B$35+(ArtifactsInput!$M$7-ArtifactsInput!$M$7)*CHOOSE(ArtifactsInput!$N$7+1,6,7.2,8.4,9.6,10.8,12)))/100)),MAX(0,Inputs!$B$44-((R1840-1)*(1/Q1840)))))/Inputs!$B$44),IF(Inputs!$B$39="pvp",MIN((Skills!S13*(1+((Inputs!$B$35+(ArtifactsInput!$M$7-ArtifactsInput!$M$7)*CHOOSE(ArtifactsInput!$N$7+1,6,7.2,8.4,9.6,10.8,12)))/100)),15)/15,MIN(1,(Skills!S13*(1+((Inputs!$B$35+(ArtifactsInput!$M$7-ArtifactsInput!$M$7)*CHOOSE(ArtifactsInput!$N$7+1,6,7.2,8.4,9.6,10.8,12)))/100))/(1/Q1840)))),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IFERROR(1/(IF(Inputs!$B$39="pvp",15,MAX(0.1,Skills!D2-IF(TRUE=TRUE,Inputs!$B$33,0)))*(1-IF(AND(ArtifactsInput!$M$27,Inputs!$B$4="Chapter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IFERROR(1/(IF(Inputs!$B$39="pvp",15,MAX(0.1,Skills!D3-IF(TRUE=TRUE,Inputs!$B$33,0)))*(1-IF(AND(ArtifactsInput!$M$27,Inputs!$B$4="Chapter Hunt"),CHOOSE(ArtifactsInput!$N$27+1,20,24,28,32,36,40),0)/100)),0)</f>
        <v/>
      </c>
      <c r="R1875">
        <f>IF(AND(Inputs!$B$39&lt;&gt;"pvp",Inputs!$B$44&gt;0),IF(Inputs!$B$44&lt;=0,0,(INT(Inputs!$B$44/(IF(Inputs!$B$39="pvp",15,MAX(0.1,Skills!D3-IF(TRUE=TRUE,Inputs!$B$33,0)))*(1-IF(AND(ArtifactsInput!$M$27,Inputs!$B$4="Chapter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IFERROR(1/(IF(Inputs!$B$39="pvp",15,MAX(0.1,Skills!D4-IF(TRUE=TRUE,Inputs!$B$33,0)))*(1-IF(AND(ArtifactsInput!$M$27,Inputs!$B$4="Chapter Hunt"),CHOOSE(ArtifactsInput!$N$27+1,20,24,28,32,36,40),0)/100)),0)</f>
        <v/>
      </c>
      <c r="R1876">
        <f>IF(AND(Inputs!$B$39&lt;&gt;"pvp",Inputs!$B$44&gt;0),IF(Inputs!$B$44&lt;=0,0,(INT(Inputs!$B$44/(IF(Inputs!$B$39="pvp",15,MAX(0.1,Skills!D4-IF(TRUE=TRUE,Inputs!$B$33,0)))*(1-IF(AND(ArtifactsInput!$M$27,Inputs!$B$4="Chapter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IFERROR(1/(IF(Inputs!$B$39="pvp",15,MAX(0.1,Skills!D5-IF(TRUE=TRUE,Inputs!$B$33,0)))*(1-IF(AND(ArtifactsInput!$M$27,Inputs!$B$4="Chapter Hunt"),CHOOSE(ArtifactsInput!$N$27+1,20,24,28,32,36,40),0)/100)),0)</f>
        <v/>
      </c>
      <c r="R1877">
        <f>IF(AND(Inputs!$B$39&lt;&gt;"pvp",Inputs!$B$44&gt;0),IF(Inputs!$B$44&lt;=0,0,(INT(Inputs!$B$44/(IF(Inputs!$B$39="pvp",15,MAX(0.1,Skills!D5-IF(TRUE=TRUE,Inputs!$B$33,0)))*(1-IF(AND(ArtifactsInput!$M$27,Inputs!$B$4="Chapter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IFERROR(1/(IF(Inputs!$B$39="pvp",15,MAX(0.1,Skills!D6-IF(TRUE=TRUE,Inputs!$B$33,0)))*(1-IF(AND(ArtifactsInput!$M$27,Inputs!$B$4="Chapter Hunt"),CHOOSE(ArtifactsInput!$N$27+1,20,24,28,32,36,40),0)/100)),0)</f>
        <v/>
      </c>
      <c r="R1878">
        <f>IF(AND(Inputs!$B$39&lt;&gt;"pvp",Inputs!$B$44&gt;0),IF(MAX(0,Inputs!$B$44-B1912)&lt;=0,0,(INT(MAX(0,Inputs!$B$44-B1912)/(IF(Inputs!$B$39="pvp",15,MAX(0.1,Skills!D6-IF(TRUE=TRUE,Inputs!$B$33,0)))*(1-IF(AND(ArtifactsInput!$M$27,Inputs!$B$4="Chapter Hunt"),CHOOSE(ArtifactsInput!$N$27+1,20,24,28,32,36,40),0)/100)))+1)),0)</f>
        <v/>
      </c>
      <c r="S1878">
        <f>IF(C1878,(H1878*N1878*IF(AND(Inputs!$B$39&lt;&gt;"pvp",Inputs!$B$44&gt;0),((Skills!F6*((R1878-1)*IF(Skills!G6&gt;0,INT(Skills!H6/Skills!G6+0.000000001),1)+IF(Skills!G6&gt;0,INT(MIN(Skills!H6,MAX(0,MAX(0,Inputs!$B$44-B1912)-((R1878-1)*(IF(Inputs!$B$39="pvp",15,MAX(0.1,Skills!D6-IF(TRUE=TRUE,Inputs!$B$33,0)))*(1-IF(AND(ArtifactsInput!$M$27,Inputs!$B$4="Chapter Hunt"),CHOOSE(ArtifactsInput!$N$27+1,20,24,28,32,36,40),0)/100)))))/Skills!G6+0.000000001),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INT(Skills!H6/Skills!G6+0.000000001),1)+IF(Skills!G6&gt;0,INT(MIN(Skills!H6,MAX(0,MAX(0,Inputs!$B$44-B1912)-((R1878-1)*(IF(Inputs!$B$39="pvp",15,MAX(0.1,Skills!D6-IF(TRUE=TRUE,Inputs!$B$33,0)))*(1-IF(AND(ArtifactsInput!$M$27,Inputs!$B$4="Chapter Hunt"),CHOOSE(ArtifactsInput!$N$27+1,20,24,28,32,36,40),0)/100)))))/Skills!G6+0.000000001),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IFERROR(1/(IF(Inputs!$B$39="pvp",15,MAX(0.1,Skills!D7-IF(TRUE=TRUE,Inputs!$B$33,0)))*(1-IF(AND(ArtifactsInput!$M$27,Inputs!$B$4="Chapter Hunt"),CHOOSE(ArtifactsInput!$N$27+1,20,24,28,32,36,40),0)/100)),0)</f>
        <v/>
      </c>
      <c r="R1879">
        <f>IF(AND(Inputs!$B$39&lt;&gt;"pvp",Inputs!$B$44&gt;0),IF(MAX(0,Inputs!$B$44-B1912)&lt;=0,0,(INT(MAX(0,Inputs!$B$44-B1912)/(IF(Inputs!$B$39="pvp",15,MAX(0.1,Skills!D7-IF(TRUE=TRUE,Inputs!$B$33,0)))*(1-IF(AND(ArtifactsInput!$M$27,Inputs!$B$4="Chapter Hunt"),CHOOSE(ArtifactsInput!$N$27+1,20,24,28,32,36,40),0)/100)))+1)),0)</f>
        <v/>
      </c>
      <c r="S1879">
        <f>IF(C1879,H1879*N1879*IF(AND(Inputs!$B$39&lt;&gt;"pvp",Inputs!$B$44&gt;0),((Skills!F7*((R1879-1)*IF(Skills!G7&gt;0,INT(Skills!H7/Skills!G7+0.000000001),1)+IF(Skills!G7&gt;0,INT(MIN(Skills!H7,MAX(0,MAX(0,Inputs!$B$44-B1912)-((R1879-1)*(IF(Inputs!$B$39="pvp",15,MAX(0.1,Skills!D7-IF(TRUE=TRUE,Inputs!$B$33,0)))*(1-IF(AND(ArtifactsInput!$M$27,Inputs!$B$4="Chapter Hunt"),CHOOSE(ArtifactsInput!$N$27+1,20,24,28,32,36,40),0)/100)))))/Skills!G7+0.000000001),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IFERROR(1/(IF(Inputs!$B$39="pvp",15,MAX(0.1,Skills!D8-IF(TRUE=TRUE,Inputs!$B$33,0)))*(1-IF(AND(ArtifactsInput!$M$27,Inputs!$B$4="Chapter Hunt"),CHOOSE(ArtifactsInput!$N$27+1,20,24,28,32,36,40),0)/100)),0)</f>
        <v/>
      </c>
      <c r="R1880">
        <f>IF(AND(Inputs!$B$39&lt;&gt;"pvp",Inputs!$B$44&gt;0),IF(MAX(0,Inputs!$B$44-B1912)&lt;=0,0,(INT(MAX(0,Inputs!$B$44-B1912)/(IF(Inputs!$B$39="pvp",15,MAX(0.1,Skills!D8-IF(TRUE=TRUE,Inputs!$B$33,0)))*(1-IF(AND(ArtifactsInput!$M$27,Inputs!$B$4="Chapter Hunt"),CHOOSE(ArtifactsInput!$N$27+1,20,24,28,32,36,40),0)/100)))+1)),0)</f>
        <v/>
      </c>
      <c r="S1880">
        <f>IF(C1880,(H1880*N1880*IF(AND(Inputs!$B$39&lt;&gt;"pvp",Inputs!$B$44&gt;0),((Skills!F8*((R1880-1)*IF(Skills!G8&gt;0,INT(Skills!H8/Skills!G8+0.000000001),1)+IF(Skills!G8&gt;0,INT(MIN(Skills!H8,MAX(0,MAX(0,Inputs!$B$44-B1912)-((R1880-1)*(IF(Inputs!$B$39="pvp",15,MAX(0.1,Skills!D8-IF(TRUE=TRUE,Inputs!$B$33,0)))*(1-IF(AND(ArtifactsInput!$M$27,Inputs!$B$4="Chapter Hunt"),CHOOSE(ArtifactsInput!$N$27+1,20,24,28,32,36,40),0)/100)))))/Skills!G8+0.000000001),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INT(Skills!H8/Skills!G8+0.000000001),1)+IF(Skills!G8&gt;0,INT(MIN(Skills!H8,MAX(0,MAX(0,Inputs!$B$44-B1912)-((R1880-1)*(IF(Inputs!$B$39="pvp",15,MAX(0.1,Skills!D8-IF(TRUE=TRUE,Inputs!$B$33,0)))*(1-IF(AND(ArtifactsInput!$M$27,Inputs!$B$4="Chapter Hunt"),CHOOSE(ArtifactsInput!$N$27+1,20,24,28,32,36,40),0)/100)))))/Skills!G8+0.000000001),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IFERROR(1/(IF(Inputs!$B$39="pvp",15,MAX(0.1,Skills!D9-IF(TRUE=TRUE,Inputs!$B$33,0)))*(1-IF(AND(ArtifactsInput!$M$27,Inputs!$B$4="Chapter Hunt"),CHOOSE(ArtifactsInput!$N$27+1,20,24,28,32,36,40),0)/100)),0)</f>
        <v/>
      </c>
      <c r="R1881">
        <f>IF(AND(Inputs!$B$39&lt;&gt;"pvp",Inputs!$B$44&gt;0),IF(MAX(0,Inputs!$B$44-B1912)&lt;=0,0,(INT(MAX(0,Inputs!$B$44-B1912)/(IF(Inputs!$B$39="pvp",15,MAX(0.1,Skills!D9-IF(TRUE=TRUE,Inputs!$B$33,0)))*(1-IF(AND(ArtifactsInput!$M$27,Inputs!$B$4="Chapter Hunt"),CHOOSE(ArtifactsInput!$N$27+1,20,24,28,32,36,40),0)/100)))+1)),0)</f>
        <v/>
      </c>
      <c r="S1881">
        <f>IF(C1881,(H1881*N1881*IF(AND(Inputs!$B$39&lt;&gt;"pvp",Inputs!$B$44&gt;0),((Skills!F9*((R1881-1)*IF(Skills!G9&gt;0,INT(Skills!H9/Skills!G9+0.000000001),1)+IF(Skills!G9&gt;0,INT(MIN(Skills!H9,MAX(0,MAX(0,Inputs!$B$44-B1912)-((R1881-1)*(IF(Inputs!$B$39="pvp",15,MAX(0.1,Skills!D9-IF(TRUE=TRUE,Inputs!$B$33,0)))*(1-IF(AND(ArtifactsInput!$M$27,Inputs!$B$4="Chapter Hunt"),CHOOSE(ArtifactsInput!$N$27+1,20,24,28,32,36,40),0)/100)))))/Skills!G9+0.000000001),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INT(Skills!H9/Skills!G9+0.000000001),1)+IF(Skills!G9&gt;0,INT(MIN(Skills!H9,MAX(0,MAX(0,Inputs!$B$44-B1912)-((R1881-1)*(IF(Inputs!$B$39="pvp",15,MAX(0.1,Skills!D9-IF(TRUE=TRUE,Inputs!$B$33,0)))*(1-IF(AND(ArtifactsInput!$M$27,Inputs!$B$4="Chapter Hunt"),CHOOSE(ArtifactsInput!$N$27+1,20,24,28,32,36,40),0)/100)))))/Skills!G9+0.000000001),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IFERROR(1/(IF(Inputs!$B$39="pvp",15,MAX(0.1,Skills!D10-IF(TRUE=TRUE,Inputs!$B$33,0)))*(1-IF(AND(ArtifactsInput!$M$27,Inputs!$B$4="Chapter Hunt"),CHOOSE(ArtifactsInput!$N$27+1,20,24,28,32,36,40),0)/100)),0)</f>
        <v/>
      </c>
      <c r="R1882">
        <f>IF(AND(Inputs!$B$39&lt;&gt;"pvp",Inputs!$B$44&gt;0),IF(MAX(0,Inputs!$B$44-B1912)&lt;=0,0,(INT(MAX(0,Inputs!$B$44-B1912)/(IF(Inputs!$B$39="pvp",15,MAX(0.1,Skills!D10-IF(TRUE=TRUE,Inputs!$B$33,0)))*(1-IF(AND(ArtifactsInput!$M$27,Inputs!$B$4="Chapter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IFERROR(1/(IF(Inputs!$B$39="pvp",15,MAX(0.1,Skills!D11-IF(TRUE=TRUE,Inputs!$B$33,0)))*(1-IF(AND(ArtifactsInput!$M$27,Inputs!$B$4="Chapter Hunt"),CHOOSE(ArtifactsInput!$N$27+1,20,24,28,32,36,40),0)/100)),0)</f>
        <v/>
      </c>
      <c r="R1883">
        <f>IF(AND(Inputs!$B$39&lt;&gt;"pvp",Inputs!$B$44&gt;0),IF(Inputs!$B$44&lt;=0,0,(INT(Inputs!$B$44/(IF(Inputs!$B$39="pvp",15,MAX(0.1,Skills!D11-IF(TRUE=TRUE,Inputs!$B$33,0)))*(1-IF(AND(ArtifactsInput!$M$27,Inputs!$B$4="Chapter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IFERROR(1/(IF(Inputs!$B$39="pvp",15,MAX(0.1,Skills!D12-IF(TRUE=TRUE,Inputs!$B$33,0)))*(1-IF(AND(ArtifactsInput!$M$27,Inputs!$B$4="Chapter Hunt"),CHOOSE(ArtifactsInput!$N$27+1,20,24,28,32,36,40),0)/100)),0)</f>
        <v/>
      </c>
      <c r="R1884">
        <f>IF(AND(Inputs!$B$39&lt;&gt;"pvp",Inputs!$B$44&gt;0),IF(MAX(0,Inputs!$B$44-B1912)&lt;=0,0,(INT(MAX(0,Inputs!$B$44-B1912)/(IF(Inputs!$B$39="pvp",15,MAX(0.1,Skills!D12-IF(TRUE=TRUE,Inputs!$B$33,0)))*(1-IF(AND(ArtifactsInput!$M$27,Inputs!$B$4="Chapter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IFERROR(1/(IF(Inputs!$B$39="pvp",15,MAX(0.1,Skills!D13-IF(TRUE=TRUE,Inputs!$B$33,0)))*(1-IF(AND(ArtifactsInput!$M$27,Inputs!$B$4="Chapter Hunt"),CHOOSE(ArtifactsInput!$N$27+1,20,24,28,32,36,40),0)/100)),0)</f>
        <v/>
      </c>
      <c r="R1885">
        <f>IF(AND(Inputs!$B$39&lt;&gt;"pvp",Inputs!$B$44&gt;0),IF(MAX(0,Inputs!$B$44-B1912)&lt;=0,0,(INT(MAX(0,Inputs!$B$44-B1912)/(IF(Inputs!$B$39="pvp",15,MAX(0.1,Skills!D13-IF(TRUE=TRUE,Inputs!$B$33,0)))*(1-IF(AND(ArtifactsInput!$M$27,Inputs!$B$4="Chapter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IFERROR(1/(IF(Inputs!$B$39="pvp",15,MAX(0.1,Skills!D14-IF(TRUE=TRUE,Inputs!$B$33,0)))*(1-IF(AND(ArtifactsInput!$M$27,Inputs!$B$4="Chapter Hunt"),CHOOSE(ArtifactsInput!$N$27+1,20,24,28,32,36,40),0)/100)),0)</f>
        <v/>
      </c>
      <c r="R1886">
        <f>IF(AND(Inputs!$B$39&lt;&gt;"pvp",Inputs!$B$44&gt;0),IF(Inputs!$B$44&lt;=0,0,(INT(Inputs!$B$44/(IF(Inputs!$B$39="pvp",15,MAX(0.1,Skills!D14-IF(TRUE=TRUE,Inputs!$B$33,0)))*(1-IF(AND(ArtifactsInput!$M$27,Inputs!$B$4="Chapter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IFERROR(1/(IF(Inputs!$B$39="pvp",15,MAX(0.1,Skills!D15-IF(TRUE=TRUE,Inputs!$B$33,0)))*(1-IF(AND(ArtifactsInput!$M$27,Inputs!$B$4="Chapter Hunt"),CHOOSE(ArtifactsInput!$N$27+1,20,24,28,32,36,40),0)/100)),0)</f>
        <v/>
      </c>
      <c r="R1887" t="n">
        <v>0</v>
      </c>
      <c r="S1887">
        <f>IF(C1887,(Skills!F15*N1887*((IF(Inputs!$B$3&gt;=78,25,15)/100*B1908*10)/(1+IF(Inputs!$B$3&gt;=78,25,15)/100*B1908*IF(Inputs!$B$39="pvp",15,MAX(0.1,18-IF(TRUE=TRUE,Inputs!$B$33,0)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IF(Inputs!$B$39="pvp",15,MAX(0.1,18-IF(TRUE=TRUE,Inputs!$B$33,0)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IFERROR(1/(IF(Inputs!$B$39="pvp",15,MAX(0.1,Skills!D16-IF(TRUE=TRUE,Inputs!$B$33,0)))*(1-IF(AND(ArtifactsInput!$M$27,Inputs!$B$4="Chapter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IFERROR(1/(IF(Inputs!$B$39="pvp",15,MAX(0.1,Skills!D17-IF(TRUE=TRUE,Inputs!$B$33,0)))*(1-IF(AND(ArtifactsInput!$M$27,Inputs!$B$4="Chapter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IFERROR(1/(IF(Inputs!$B$39="pvp",15,MAX(0.1,Skills!D18-IF(TRUE=TRUE,Inputs!$B$33,0)))*(1-IF(AND(ArtifactsInput!$M$27,Inputs!$B$4="Chapter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IFERROR(1/(IF(Inputs!$B$39="pvp",15,MAX(0.1,Skills!D19-IF(TRUE=TRUE,Inputs!$B$33,0)))*(1-IF(AND(ArtifactsInput!$M$27,Inputs!$B$4="Chapter Hunt"),CHOOSE(ArtifactsInput!$N$27+1,20,24,28,32,36,40),0)/100)),0)</f>
        <v/>
      </c>
      <c r="R1891">
        <f>IF(AND(Inputs!$B$39&lt;&gt;"pvp",Inputs!$B$44&gt;0),IF(Inputs!$B$44&lt;=0,0,(INT(Inputs!$B$44/(IF(Inputs!$B$39="pvp",15,MAX(0.1,Skills!D19-IF(TRUE=TRUE,Inputs!$B$33,0)))*(1-IF(AND(ArtifactsInput!$M$27,Inputs!$B$4="Chapter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IFERROR(1/(IF(Inputs!$B$39="pvp",15,MAX(0.1,Skills!D20-IF(TRUE=TRUE,Inputs!$B$33,0)))*(1-IF(AND(ArtifactsInput!$M$27,Inputs!$B$4="Chapter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IFERROR(1/(IF(Inputs!$B$39="pvp",15,MAX(0.1,Skills!D21-IF(TRUE=TRUE,Inputs!$B$33,0)))*(1-IF(AND(ArtifactsInput!$M$27,Inputs!$B$4="Chapter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IFERROR(1/(IF(Inputs!$B$39="pvp",15,MAX(0.1,Skills!D22-IF(TRUE=TRUE,Inputs!$B$33,0)))*(1-IF(AND(ArtifactsInput!$M$27,Inputs!$B$4="Chapter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IFERROR(1/(IF(Inputs!$B$39="pvp",15,MAX(0.1,Skills!D23-IF(TRUE=TRUE,Inputs!$B$33,0)))*(1-IF(AND(ArtifactsInput!$M$27,Inputs!$B$4="Chapter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IFERROR(1/(IF(Inputs!$B$39="pvp",15,MAX(0.1,Skills!D24-IF(TRUE=TRUE,Inputs!$B$33,0)))*(1-IF(AND(ArtifactsInput!$M$27,Inputs!$B$4="Chapter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IFERROR(1/(IF(Inputs!$B$39="pvp",15,MAX(0.1,Skills!D25-IF(TRUE=TRUE,Inputs!$B$33,0)))*(1-IF(AND(ArtifactsInput!$M$27,Inputs!$B$4="Chapter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IFERROR(1/(IF(Inputs!$B$39="pvp",15,MAX(0.1,Skills!D26-IF(TRUE=TRUE,Inputs!$B$33,0)))*(1-IF(AND(ArtifactsInput!$M$27,Inputs!$B$4="Chapter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IFERROR(1/(IF(Inputs!$B$39="pvp",15,MAX(0.1,Skills!D27-IF(TRUE=TRUE,Inputs!$B$33,0)))*(1-IF(AND(ArtifactsInput!$M$27,Inputs!$B$4="Chapter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IFERROR(1/(IF(Inputs!$B$39="pvp",15,MAX(0.1,Skills!D28-IF(TRUE=TRUE,Inputs!$B$33,0)))*(1-IF(AND(ArtifactsInput!$M$27,Inputs!$B$4="Chapter Hunt"),CHOOSE(ArtifactsInput!$N$27+1,20,24,28,32,36,40),0)/100)),0)</f>
        <v/>
      </c>
      <c r="R1900">
        <f>IF(AND(Inputs!$B$39&lt;&gt;"pvp",Inputs!$B$44&gt;0),IF(Inputs!$B$44&lt;=0,0,(INT(Inputs!$B$44/(IF(Inputs!$B$39="pvp",15,MAX(0.1,Skills!D28-IF(TRUE=TRUE,Inputs!$B$33,0)))*(1-IF(AND(ArtifactsInput!$M$27,Inputs!$B$4="Chapter Hunt"),CHOOSE(ArtifactsInput!$N$27+1,20,24,28,32,36,40),0)/100)))+1)),0)</f>
        <v/>
      </c>
      <c r="S1900" t="n">
        <v>0</v>
      </c>
      <c r="U1900" t="n">
        <v>0</v>
      </c>
    </row>
    <row r="1902">
      <c r="A1902" t="inlineStr">
        <is>
          <t>Average Buff Multiplier</t>
        </is>
      </c>
      <c r="B1902">
        <f>(1+(IF(C1875=TRUE,F1875*IF(AND(Inputs!$B$39&lt;&gt;"pvp",Inputs!$B$44&gt;0),(((R1875-1)*MIN((Skills!S3*(1+((Inputs!$B$35+(ArtifactsInput!$M$7-ArtifactsInput!$M$7)*CHOOSE(ArtifactsInput!$N$7+1,6,7.2,8.4,9.6,10.8,12)))/100)),(1/Q1875))+MIN((Skills!S3*(1+((Inputs!$B$35+(ArtifactsInput!$M$7-ArtifactsInput!$M$7)*CHOOSE(ArtifactsInput!$N$7+1,6,7.2,8.4,9.6,10.8,12)))/100)),MAX(0,Inputs!$B$44-((R1875-1)*(1/Q1875)))))/Inputs!$B$44),IF(Inputs!$B$39="pvp",MIN((Skills!S3*(1+((Inputs!$B$35+(ArtifactsInput!$M$7-ArtifactsInput!$M$7)*CHOOSE(ArtifactsInput!$N$7+1,6,7.2,8.4,9.6,10.8,12)))/100)),15)/15,MIN(1,(Skills!S3*(1+((Inputs!$B$35+(ArtifactsInput!$M$7-ArtifactsInput!$M$7)*CHOOSE(ArtifactsInput!$N$7+1,6,7.2,8.4,9.6,10.8,12)))/100))/(1/Q1875)))),0)+IF(C1876=TRUE,F1876*IF(AND(Inputs!$B$39&lt;&gt;"pvp",Inputs!$B$44&gt;0),(((R1876-1)*MIN((Skills!S4*(1+((Inputs!$B$35+(ArtifactsInput!$M$7-ArtifactsInput!$M$7)*CHOOSE(ArtifactsInput!$N$7+1,6,7.2,8.4,9.6,10.8,12)))/100)),(1/Q1876))+MIN((Skills!S4*(1+((Inputs!$B$35+(ArtifactsInput!$M$7-ArtifactsInput!$M$7)*CHOOSE(ArtifactsInput!$N$7+1,6,7.2,8.4,9.6,10.8,12)))/100)),MAX(0,Inputs!$B$44-((R1876-1)*(1/Q1876)))))/Inputs!$B$44),IF(Inputs!$B$39="pvp",MIN((Skills!S4*(1+((Inputs!$B$35+(ArtifactsInput!$M$7-ArtifactsInput!$M$7)*CHOOSE(ArtifactsInput!$N$7+1,6,7.2,8.4,9.6,10.8,12)))/100)),15)/15,MIN(1,(Skills!S4*(1+((Inputs!$B$35+(ArtifactsInput!$M$7-ArtifactsInput!$M$7)*CHOOSE(ArtifactsInput!$N$7+1,6,7.2,8.4,9.6,10.8,12)))/100))/(1/Q1876)))),0)+IF(C1877=TRUE,F1877*IF(AND(Inputs!$B$39&lt;&gt;"pvp",Inputs!$B$44&gt;0),(((R1877-1)*MIN((Skills!S5*(1+((Inputs!$B$35+(ArtifactsInput!$M$7-ArtifactsInput!$M$7)*CHOOSE(ArtifactsInput!$N$7+1,6,7.2,8.4,9.6,10.8,12)))/100)),(1/Q1877))+MIN((Skills!S5*(1+((Inputs!$B$35+(ArtifactsInput!$M$7-ArtifactsInput!$M$7)*CHOOSE(ArtifactsInput!$N$7+1,6,7.2,8.4,9.6,10.8,12)))/100)),MAX(0,Inputs!$B$44-((R1877-1)*(1/Q1877)))))/Inputs!$B$44),IF(Inputs!$B$39="pvp",MIN((Skills!S5*(1+((Inputs!$B$35+(ArtifactsInput!$M$7-ArtifactsInput!$M$7)*CHOOSE(ArtifactsInput!$N$7+1,6,7.2,8.4,9.6,10.8,12)))/100)),15)/15,MIN(1,(Skills!S5*(1+((Inputs!$B$35+(ArtifactsInput!$M$7-ArtifactsInput!$M$7)*CHOOSE(ArtifactsInput!$N$7+1,6,7.2,8.4,9.6,10.8,12)))/100))/(1/Q1877)))),0)+IF(C1883=TRUE,F1883*IF(AND(Inputs!$B$39&lt;&gt;"pvp",Inputs!$B$44&gt;0),(((R1883-1)*MIN((Skills!S11*(1+((Inputs!$B$35+(ArtifactsInput!$M$7-ArtifactsInput!$M$7)*CHOOSE(ArtifactsInput!$N$7+1,6,7.2,8.4,9.6,10.8,12)))/100)),(1/Q1883))+MIN((Skills!S11*(1+((Inputs!$B$35+(ArtifactsInput!$M$7-ArtifactsInput!$M$7)*CHOOSE(ArtifactsInput!$N$7+1,6,7.2,8.4,9.6,10.8,12)))/100)),MAX(0,Inputs!$B$44-((R1883-1)*(1/Q1883)))))/Inputs!$B$44),IF(Inputs!$B$39="pvp",MIN((Skills!S11*(1+((Inputs!$B$35+(ArtifactsInput!$M$7-ArtifactsInput!$M$7)*CHOOSE(ArtifactsInput!$N$7+1,6,7.2,8.4,9.6,10.8,12)))/100)),15)/15,MIN(1,(Skills!S11*(1+((Inputs!$B$35+(ArtifactsInput!$M$7-ArtifactsInput!$M$7)*CHOOSE(ArtifactsInput!$N$7+1,6,7.2,8.4,9.6,10.8,12)))/100))/(1/Q1883)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MIN((Skills!S14*(1+((Inputs!$B$35+(ArtifactsInput!$M$7-ArtifactsInput!$M$7)*CHOOSE(ArtifactsInput!$N$7+1,6,7.2,8.4,9.6,10.8,12)))/100)),(1/Q1886))+MIN((Skills!S14*(1+((Inputs!$B$35+(ArtifactsInput!$M$7-ArtifactsInput!$M$7)*CHOOSE(ArtifactsInput!$N$7+1,6,7.2,8.4,9.6,10.8,12)))/100)),MAX(0,Inputs!$B$44-((R1886-1)*(1/Q1886)))))/Inputs!$B$44),IF(Inputs!$B$39="pvp",MIN((Skills!S14*(1+((Inputs!$B$35+(ArtifactsInput!$M$7-ArtifactsInput!$M$7)*CHOOSE(ArtifactsInput!$N$7+1,6,7.2,8.4,9.6,10.8,12)))/100)),15)/15,MIN(1,(Skills!S14*(1+((Inputs!$B$35+(ArtifactsInput!$M$7-ArtifactsInput!$M$7)*CHOOSE(ArtifactsInput!$N$7+1,6,7.2,8.4,9.6,10.8,12)))/100))/(1/Q1886))))/100),1)*IF(C1891=TRUE,(1+F1891*IF(AND(Inputs!$B$39&lt;&gt;"pvp",Inputs!$B$44&gt;0),(((R1891-1)*MIN((Skills!S19*(1+((Inputs!$B$35+(ArtifactsInput!$M$7-ArtifactsInput!$M$7)*CHOOSE(ArtifactsInput!$N$7+1,6,7.2,8.4,9.6,10.8,12)))/100)),(1/Q1891))+MIN((Skills!S19*(1+((Inputs!$B$35+(ArtifactsInput!$M$7-ArtifactsInput!$M$7)*CHOOSE(ArtifactsInput!$N$7+1,6,7.2,8.4,9.6,10.8,12)))/100)),MAX(0,Inputs!$B$44-((R1891-1)*(1/Q1891)))))/Inputs!$B$44),IF(Inputs!$B$39="pvp",MIN((Skills!S19*(1+((Inputs!$B$35+(ArtifactsInput!$M$7-ArtifactsInput!$M$7)*CHOOSE(ArtifactsInput!$N$7+1,6,7.2,8.4,9.6,10.8,12)))/100)),15)/15,MIN(1,(Skills!S19*(1+((Inputs!$B$35+(ArtifactsInput!$M$7-ArtifactsInput!$M$7)*CHOOSE(ArtifactsInput!$N$7+1,6,7.2,8.4,9.6,10.8,12)))/100))/(1/Q1891))))/100),1)</f>
        <v/>
      </c>
    </row>
    <row r="1903">
      <c r="A1903" t="inlineStr">
        <is>
          <t>Monster Damage Taken Bonus % (Holy Fountain)</t>
        </is>
      </c>
      <c r="B1903">
        <f>IF(Inputs!$B$3&gt;=68,20*IF(Inputs!$B$39="pvp",MIN((15*(1+((Inputs!$B$35+(ArtifactsInput!$M$7-ArtifactsInput!$M$7)*CHOOSE(ArtifactsInput!$N$7+1,6,7.2,8.4,9.6,10.8,12)))/100)),15)/15,MIN(1,(15*(1+((Inputs!$B$35+(ArtifactsInput!$M$7-ArtifactsInput!$M$7)*CHOOSE(ArtifactsInput!$N$7+1,6,7.2,8.4,9.6,10.8,12)))/100))/(1/Q1882))),0)</f>
        <v/>
      </c>
    </row>
    <row r="1904">
      <c r="A1904" t="inlineStr">
        <is>
          <t>Normal Monster Damage Bonus % (Holy Symbol)</t>
        </is>
      </c>
      <c r="B1904">
        <f>IF(C1884=TRUE,F1884*IF(AND(Inputs!$B$39&lt;&gt;"pvp",Inputs!$B$44&gt;0),(((R1884-1)*MIN((Skills!S12*(1+((Inputs!$B$35+(ArtifactsInput!$M$7-ArtifactsInput!$M$7)*CHOOSE(ArtifactsInput!$N$7+1,6,7.2,8.4,9.6,10.8,12)))/100)),(1/Q1884))+MIN((Skills!S12*(1+((Inputs!$B$35+(ArtifactsInput!$M$7-ArtifactsInput!$M$7)*CHOOSE(ArtifactsInput!$N$7+1,6,7.2,8.4,9.6,10.8,12)))/100)),MAX(0,Inputs!$B$44-((R1884-1)*(1/Q1884)))))/Inputs!$B$44),IF(Inputs!$B$39="pvp",MIN((Skills!S12*(1+((Inputs!$B$35+(ArtifactsInput!$M$7-ArtifactsInput!$M$7)*CHOOSE(ArtifactsInput!$N$7+1,6,7.2,8.4,9.6,10.8,12)))/100)),15)/15,MIN(1,(Skills!S12*(1+((Inputs!$B$35+(ArtifactsInput!$M$7-ArtifactsInput!$M$7)*CHOOSE(ArtifactsInput!$N$7+1,6,7.2,8.4,9.6,10.8,12)))/100))/(1/Q1884)))),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MIN((Skills!S28*(1+((Inputs!$B$35+(ArtifactsInput!$M$7-ArtifactsInput!$M$7)*CHOOSE(ArtifactsInput!$N$7+1,6,7.2,8.4,9.6,10.8,12)))/100)),(1/Q1900))+MIN((Skills!S28*(1+((Inputs!$B$35+(ArtifactsInput!$M$7-ArtifactsInput!$M$7)*CHOOSE(ArtifactsInput!$N$7+1,6,7.2,8.4,9.6,10.8,12)))/100)),MAX(0,Inputs!$B$44-((R1900-1)*(1/Q1900)))))/Inputs!$B$44),IF(Inputs!$B$39="pvp",MIN((Skills!S28*(1+((Inputs!$B$35+(ArtifactsInput!$M$7-ArtifactsInput!$M$7)*CHOOSE(ArtifactsInput!$N$7+1,6,7.2,8.4,9.6,10.8,12)))/100)),15)/15,MIN(1,(Skills!S28*(1+((Inputs!$B$35+(ArtifactsInput!$M$7-ArtifactsInput!$M$7)*CHOOSE(ArtifactsInput!$N$7+1,6,7.2,8.4,9.6,10.8,12)))/100))/(1/Q1900)))))</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MIN((Skills!S13*(1+((Inputs!$B$35+(ArtifactsInput!$M$7-ArtifactsInput!$M$7)*CHOOSE(ArtifactsInput!$N$7+1,6,7.2,8.4,9.6,10.8,12)))/100)),(1/Q1885))+MIN((Skills!S13*(1+((Inputs!$B$35+(ArtifactsInput!$M$7-ArtifactsInput!$M$7)*CHOOSE(ArtifactsInput!$N$7+1,6,7.2,8.4,9.6,10.8,12)))/100)),MAX(0,Inputs!$B$44-((R1885-1)*(1/Q1885)))))/Inputs!$B$44),IF(Inputs!$B$39="pvp",MIN((Skills!S13*(1+((Inputs!$B$35+(ArtifactsInput!$M$7-ArtifactsInput!$M$7)*CHOOSE(ArtifactsInput!$N$7+1,6,7.2,8.4,9.6,10.8,12)))/100)),15)/15,MIN(1,(Skills!S13*(1+((Inputs!$B$35+(ArtifactsInput!$M$7-ArtifactsInput!$M$7)*CHOOSE(ArtifactsInput!$N$7+1,6,7.2,8.4,9.6,10.8,12)))/100))/(1/Q1885)))),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IFERROR(1/(IF(Inputs!$B$39="pvp",15,MAX(0.1,Skills!D2-IF(TRUE=TRUE,Inputs!$B$33,0)))*(1-IF(AND(ArtifactsInput!$M$27,Inputs!$B$4="Chapter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IFERROR(1/(IF(Inputs!$B$39="pvp",15,MAX(0.1,Skills!D3-IF(TRUE=TRUE,Inputs!$B$33,0)))*(1-IF(AND(ArtifactsInput!$M$27,Inputs!$B$4="Chapter Hunt"),CHOOSE(ArtifactsInput!$N$27+1,20,24,28,32,36,40),0)/100)),0)</f>
        <v/>
      </c>
      <c r="R1920">
        <f>IF(AND(Inputs!$B$39&lt;&gt;"pvp",Inputs!$B$44&gt;0),IF(Inputs!$B$44&lt;=0,0,(INT(Inputs!$B$44/(IF(Inputs!$B$39="pvp",15,MAX(0.1,Skills!D3-IF(TRUE=TRUE,Inputs!$B$33,0)))*(1-IF(AND(ArtifactsInput!$M$27,Inputs!$B$4="Chapter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IFERROR(1/(IF(Inputs!$B$39="pvp",15,MAX(0.1,Skills!D4-IF(TRUE=TRUE,Inputs!$B$33,0)))*(1-IF(AND(ArtifactsInput!$M$27,Inputs!$B$4="Chapter Hunt"),CHOOSE(ArtifactsInput!$N$27+1,20,24,28,32,36,40),0)/100)),0)</f>
        <v/>
      </c>
      <c r="R1921">
        <f>IF(AND(Inputs!$B$39&lt;&gt;"pvp",Inputs!$B$44&gt;0),IF(Inputs!$B$44&lt;=0,0,(INT(Inputs!$B$44/(IF(Inputs!$B$39="pvp",15,MAX(0.1,Skills!D4-IF(TRUE=TRUE,Inputs!$B$33,0)))*(1-IF(AND(ArtifactsInput!$M$27,Inputs!$B$4="Chapter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IFERROR(1/(IF(Inputs!$B$39="pvp",15,MAX(0.1,Skills!D5-IF(TRUE=TRUE,Inputs!$B$33,0)))*(1-IF(AND(ArtifactsInput!$M$27,Inputs!$B$4="Chapter Hunt"),CHOOSE(ArtifactsInput!$N$27+1,20,24,28,32,36,40),0)/100)),0)</f>
        <v/>
      </c>
      <c r="R1922">
        <f>IF(AND(Inputs!$B$39&lt;&gt;"pvp",Inputs!$B$44&gt;0),IF(Inputs!$B$44&lt;=0,0,(INT(Inputs!$B$44/(IF(Inputs!$B$39="pvp",15,MAX(0.1,Skills!D5-IF(TRUE=TRUE,Inputs!$B$33,0)))*(1-IF(AND(ArtifactsInput!$M$27,Inputs!$B$4="Chapter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IFERROR(1/(IF(Inputs!$B$39="pvp",15,MAX(0.1,Skills!D6-IF(TRUE=TRUE,Inputs!$B$33,0)))*(1-IF(AND(ArtifactsInput!$M$27,Inputs!$B$4="Chapter Hunt"),CHOOSE(ArtifactsInput!$N$27+1,20,24,28,32,36,40),0)/100)),0)</f>
        <v/>
      </c>
      <c r="R1923">
        <f>IF(AND(Inputs!$B$39&lt;&gt;"pvp",Inputs!$B$44&gt;0),IF(MAX(0,Inputs!$B$44-B1957)&lt;=0,0,(INT(MAX(0,Inputs!$B$44-B1957)/(IF(Inputs!$B$39="pvp",15,MAX(0.1,Skills!D6-IF(TRUE=TRUE,Inputs!$B$33,0)))*(1-IF(AND(ArtifactsInput!$M$27,Inputs!$B$4="Chapter Hunt"),CHOOSE(ArtifactsInput!$N$27+1,20,24,28,32,36,40),0)/100)))+1)),0)</f>
        <v/>
      </c>
      <c r="S1923">
        <f>IF(C1923,(H1923*N1923*IF(AND(Inputs!$B$39&lt;&gt;"pvp",Inputs!$B$44&gt;0),((Skills!F6*((R1923-1)*IF(Skills!G6&gt;0,INT(Skills!H6/Skills!G6+0.000000001),1)+IF(Skills!G6&gt;0,INT(MIN(Skills!H6,MAX(0,MAX(0,Inputs!$B$44-B1957)-((R1923-1)*(IF(Inputs!$B$39="pvp",15,MAX(0.1,Skills!D6-IF(TRUE=TRUE,Inputs!$B$33,0)))*(1-IF(AND(ArtifactsInput!$M$27,Inputs!$B$4="Chapter Hunt"),CHOOSE(ArtifactsInput!$N$27+1,20,24,28,32,36,40),0)/100)))))/Skills!G6+0.000000001),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INT(Skills!H6/Skills!G6+0.000000001),1)+IF(Skills!G6&gt;0,INT(MIN(Skills!H6,MAX(0,MAX(0,Inputs!$B$44-B1957)-((R1923-1)*(IF(Inputs!$B$39="pvp",15,MAX(0.1,Skills!D6-IF(TRUE=TRUE,Inputs!$B$33,0)))*(1-IF(AND(ArtifactsInput!$M$27,Inputs!$B$4="Chapter Hunt"),CHOOSE(ArtifactsInput!$N$27+1,20,24,28,32,36,40),0)/100)))))/Skills!G6+0.000000001),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IFERROR(1/(IF(Inputs!$B$39="pvp",15,MAX(0.1,Skills!D7-IF(TRUE=TRUE,Inputs!$B$33,0)))*(1-IF(AND(ArtifactsInput!$M$27,Inputs!$B$4="Chapter Hunt"),CHOOSE(ArtifactsInput!$N$27+1,20,24,28,32,36,40),0)/100)),0)</f>
        <v/>
      </c>
      <c r="R1924">
        <f>IF(AND(Inputs!$B$39&lt;&gt;"pvp",Inputs!$B$44&gt;0),IF(MAX(0,Inputs!$B$44-B1957)&lt;=0,0,(INT(MAX(0,Inputs!$B$44-B1957)/(IF(Inputs!$B$39="pvp",15,MAX(0.1,Skills!D7-IF(TRUE=TRUE,Inputs!$B$33,0)))*(1-IF(AND(ArtifactsInput!$M$27,Inputs!$B$4="Chapter Hunt"),CHOOSE(ArtifactsInput!$N$27+1,20,24,28,32,36,40),0)/100)))+1)),0)</f>
        <v/>
      </c>
      <c r="S1924">
        <f>IF(C1924,H1924*N1924*IF(AND(Inputs!$B$39&lt;&gt;"pvp",Inputs!$B$44&gt;0),((Skills!F7*((R1924-1)*IF(Skills!G7&gt;0,INT(Skills!H7/Skills!G7+0.000000001),1)+IF(Skills!G7&gt;0,INT(MIN(Skills!H7,MAX(0,MAX(0,Inputs!$B$44-B1957)-((R1924-1)*(IF(Inputs!$B$39="pvp",15,MAX(0.1,Skills!D7-IF(TRUE=TRUE,Inputs!$B$33,0)))*(1-IF(AND(ArtifactsInput!$M$27,Inputs!$B$4="Chapter Hunt"),CHOOSE(ArtifactsInput!$N$27+1,20,24,28,32,36,40),0)/100)))))/Skills!G7+0.000000001),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IFERROR(1/(IF(Inputs!$B$39="pvp",15,MAX(0.1,Skills!D8-IF(TRUE=TRUE,Inputs!$B$33,0)))*(1-IF(AND(ArtifactsInput!$M$27,Inputs!$B$4="Chapter Hunt"),CHOOSE(ArtifactsInput!$N$27+1,20,24,28,32,36,40),0)/100)),0)</f>
        <v/>
      </c>
      <c r="R1925">
        <f>IF(AND(Inputs!$B$39&lt;&gt;"pvp",Inputs!$B$44&gt;0),IF(MAX(0,Inputs!$B$44-B1957)&lt;=0,0,(INT(MAX(0,Inputs!$B$44-B1957)/(IF(Inputs!$B$39="pvp",15,MAX(0.1,Skills!D8-IF(TRUE=TRUE,Inputs!$B$33,0)))*(1-IF(AND(ArtifactsInput!$M$27,Inputs!$B$4="Chapter Hunt"),CHOOSE(ArtifactsInput!$N$27+1,20,24,28,32,36,40),0)/100)))+1)),0)</f>
        <v/>
      </c>
      <c r="S1925">
        <f>IF(C1925,(H1925*N1925*IF(AND(Inputs!$B$39&lt;&gt;"pvp",Inputs!$B$44&gt;0),((Skills!F8*((R1925-1)*IF(Skills!G8&gt;0,INT(Skills!H8/Skills!G8+0.000000001),1)+IF(Skills!G8&gt;0,INT(MIN(Skills!H8,MAX(0,MAX(0,Inputs!$B$44-B1957)-((R1925-1)*(IF(Inputs!$B$39="pvp",15,MAX(0.1,Skills!D8-IF(TRUE=TRUE,Inputs!$B$33,0)))*(1-IF(AND(ArtifactsInput!$M$27,Inputs!$B$4="Chapter Hunt"),CHOOSE(ArtifactsInput!$N$27+1,20,24,28,32,36,40),0)/100)))))/Skills!G8+0.000000001),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INT(Skills!H8/Skills!G8+0.000000001),1)+IF(Skills!G8&gt;0,INT(MIN(Skills!H8,MAX(0,MAX(0,Inputs!$B$44-B1957)-((R1925-1)*(IF(Inputs!$B$39="pvp",15,MAX(0.1,Skills!D8-IF(TRUE=TRUE,Inputs!$B$33,0)))*(1-IF(AND(ArtifactsInput!$M$27,Inputs!$B$4="Chapter Hunt"),CHOOSE(ArtifactsInput!$N$27+1,20,24,28,32,36,40),0)/100)))))/Skills!G8+0.000000001),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IFERROR(1/(IF(Inputs!$B$39="pvp",15,MAX(0.1,Skills!D9-IF(TRUE=TRUE,Inputs!$B$33,0)))*(1-IF(AND(ArtifactsInput!$M$27,Inputs!$B$4="Chapter Hunt"),CHOOSE(ArtifactsInput!$N$27+1,20,24,28,32,36,40),0)/100)),0)</f>
        <v/>
      </c>
      <c r="R1926">
        <f>IF(AND(Inputs!$B$39&lt;&gt;"pvp",Inputs!$B$44&gt;0),IF(MAX(0,Inputs!$B$44-B1957)&lt;=0,0,(INT(MAX(0,Inputs!$B$44-B1957)/(IF(Inputs!$B$39="pvp",15,MAX(0.1,Skills!D9-IF(TRUE=TRUE,Inputs!$B$33,0)))*(1-IF(AND(ArtifactsInput!$M$27,Inputs!$B$4="Chapter Hunt"),CHOOSE(ArtifactsInput!$N$27+1,20,24,28,32,36,40),0)/100)))+1)),0)</f>
        <v/>
      </c>
      <c r="S1926">
        <f>IF(C1926,(H1926*N1926*IF(AND(Inputs!$B$39&lt;&gt;"pvp",Inputs!$B$44&gt;0),((Skills!F9*((R1926-1)*IF(Skills!G9&gt;0,INT(Skills!H9/Skills!G9+0.000000001),1)+IF(Skills!G9&gt;0,INT(MIN(Skills!H9,MAX(0,MAX(0,Inputs!$B$44-B1957)-((R1926-1)*(IF(Inputs!$B$39="pvp",15,MAX(0.1,Skills!D9-IF(TRUE=TRUE,Inputs!$B$33,0)))*(1-IF(AND(ArtifactsInput!$M$27,Inputs!$B$4="Chapter Hunt"),CHOOSE(ArtifactsInput!$N$27+1,20,24,28,32,36,40),0)/100)))))/Skills!G9+0.000000001),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INT(Skills!H9/Skills!G9+0.000000001),1)+IF(Skills!G9&gt;0,INT(MIN(Skills!H9,MAX(0,MAX(0,Inputs!$B$44-B1957)-((R1926-1)*(IF(Inputs!$B$39="pvp",15,MAX(0.1,Skills!D9-IF(TRUE=TRUE,Inputs!$B$33,0)))*(1-IF(AND(ArtifactsInput!$M$27,Inputs!$B$4="Chapter Hunt"),CHOOSE(ArtifactsInput!$N$27+1,20,24,28,32,36,40),0)/100)))))/Skills!G9+0.000000001),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IFERROR(1/(IF(Inputs!$B$39="pvp",15,MAX(0.1,Skills!D10-IF(TRUE=TRUE,Inputs!$B$33,0)))*(1-IF(AND(ArtifactsInput!$M$27,Inputs!$B$4="Chapter Hunt"),CHOOSE(ArtifactsInput!$N$27+1,20,24,28,32,36,40),0)/100)),0)</f>
        <v/>
      </c>
      <c r="R1927">
        <f>IF(AND(Inputs!$B$39&lt;&gt;"pvp",Inputs!$B$44&gt;0),IF(MAX(0,Inputs!$B$44-B1957)&lt;=0,0,(INT(MAX(0,Inputs!$B$44-B1957)/(IF(Inputs!$B$39="pvp",15,MAX(0.1,Skills!D10-IF(TRUE=TRUE,Inputs!$B$33,0)))*(1-IF(AND(ArtifactsInput!$M$27,Inputs!$B$4="Chapter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IFERROR(1/(IF(Inputs!$B$39="pvp",15,MAX(0.1,Skills!D11-IF(TRUE=TRUE,Inputs!$B$33,0)))*(1-IF(AND(ArtifactsInput!$M$27,Inputs!$B$4="Chapter Hunt"),CHOOSE(ArtifactsInput!$N$27+1,20,24,28,32,36,40),0)/100)),0)</f>
        <v/>
      </c>
      <c r="R1928">
        <f>IF(AND(Inputs!$B$39&lt;&gt;"pvp",Inputs!$B$44&gt;0),IF(Inputs!$B$44&lt;=0,0,(INT(Inputs!$B$44/(IF(Inputs!$B$39="pvp",15,MAX(0.1,Skills!D11-IF(TRUE=TRUE,Inputs!$B$33,0)))*(1-IF(AND(ArtifactsInput!$M$27,Inputs!$B$4="Chapter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IFERROR(1/(IF(Inputs!$B$39="pvp",15,MAX(0.1,Skills!D12-IF(TRUE=TRUE,Inputs!$B$33,0)))*(1-IF(AND(ArtifactsInput!$M$27,Inputs!$B$4="Chapter Hunt"),CHOOSE(ArtifactsInput!$N$27+1,20,24,28,32,36,40),0)/100)),0)</f>
        <v/>
      </c>
      <c r="R1929">
        <f>IF(AND(Inputs!$B$39&lt;&gt;"pvp",Inputs!$B$44&gt;0),IF(MAX(0,Inputs!$B$44-B1957)&lt;=0,0,(INT(MAX(0,Inputs!$B$44-B1957)/(IF(Inputs!$B$39="pvp",15,MAX(0.1,Skills!D12-IF(TRUE=TRUE,Inputs!$B$33,0)))*(1-IF(AND(ArtifactsInput!$M$27,Inputs!$B$4="Chapter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IFERROR(1/(IF(Inputs!$B$39="pvp",15,MAX(0.1,Skills!D13-IF(TRUE=TRUE,Inputs!$B$33,0)))*(1-IF(AND(ArtifactsInput!$M$27,Inputs!$B$4="Chapter Hunt"),CHOOSE(ArtifactsInput!$N$27+1,20,24,28,32,36,40),0)/100)),0)</f>
        <v/>
      </c>
      <c r="R1930">
        <f>IF(AND(Inputs!$B$39&lt;&gt;"pvp",Inputs!$B$44&gt;0),IF(MAX(0,Inputs!$B$44-B1957)&lt;=0,0,(INT(MAX(0,Inputs!$B$44-B1957)/(IF(Inputs!$B$39="pvp",15,MAX(0.1,Skills!D13-IF(TRUE=TRUE,Inputs!$B$33,0)))*(1-IF(AND(ArtifactsInput!$M$27,Inputs!$B$4="Chapter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IFERROR(1/(IF(Inputs!$B$39="pvp",15,MAX(0.1,Skills!D14-IF(TRUE=TRUE,Inputs!$B$33,0)))*(1-IF(AND(ArtifactsInput!$M$27,Inputs!$B$4="Chapter Hunt"),CHOOSE(ArtifactsInput!$N$27+1,20,24,28,32,36,40),0)/100)),0)</f>
        <v/>
      </c>
      <c r="R1931">
        <f>IF(AND(Inputs!$B$39&lt;&gt;"pvp",Inputs!$B$44&gt;0),IF(Inputs!$B$44&lt;=0,0,(INT(Inputs!$B$44/(IF(Inputs!$B$39="pvp",15,MAX(0.1,Skills!D14-IF(TRUE=TRUE,Inputs!$B$33,0)))*(1-IF(AND(ArtifactsInput!$M$27,Inputs!$B$4="Chapter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IFERROR(1/(IF(Inputs!$B$39="pvp",15,MAX(0.1,Skills!D15-IF(TRUE=TRUE,Inputs!$B$33,0)))*(1-IF(AND(ArtifactsInput!$M$27,Inputs!$B$4="Chapter Hunt"),CHOOSE(ArtifactsInput!$N$27+1,20,24,28,32,36,40),0)/100)),0)</f>
        <v/>
      </c>
      <c r="R1932" t="n">
        <v>0</v>
      </c>
      <c r="S1932">
        <f>IF(C1932,(Skills!F15*N1932*((IF(Inputs!$B$3&gt;=78,25,15)/100*B1953*10)/(1+IF(Inputs!$B$3&gt;=78,25,15)/100*B1953*IF(Inputs!$B$39="pvp",15,MAX(0.1,18-IF(TRUE=TRUE,Inputs!$B$33,0)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IF(Inputs!$B$39="pvp",15,MAX(0.1,18-IF(TRUE=TRUE,Inputs!$B$33,0)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IFERROR(1/(IF(Inputs!$B$39="pvp",15,MAX(0.1,Skills!D16-IF(TRUE=TRUE,Inputs!$B$33,0)))*(1-IF(AND(ArtifactsInput!$M$27,Inputs!$B$4="Chapter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IFERROR(1/(IF(Inputs!$B$39="pvp",15,MAX(0.1,Skills!D17-IF(TRUE=TRUE,Inputs!$B$33,0)))*(1-IF(AND(ArtifactsInput!$M$27,Inputs!$B$4="Chapter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IFERROR(1/(IF(Inputs!$B$39="pvp",15,MAX(0.1,Skills!D18-IF(TRUE=TRUE,Inputs!$B$33,0)))*(1-IF(AND(ArtifactsInput!$M$27,Inputs!$B$4="Chapter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IFERROR(1/(IF(Inputs!$B$39="pvp",15,MAX(0.1,Skills!D19-IF(TRUE=TRUE,Inputs!$B$33,0)))*(1-IF(AND(ArtifactsInput!$M$27,Inputs!$B$4="Chapter Hunt"),CHOOSE(ArtifactsInput!$N$27+1,20,24,28,32,36,40),0)/100)),0)</f>
        <v/>
      </c>
      <c r="R1936">
        <f>IF(AND(Inputs!$B$39&lt;&gt;"pvp",Inputs!$B$44&gt;0),IF(Inputs!$B$44&lt;=0,0,(INT(Inputs!$B$44/(IF(Inputs!$B$39="pvp",15,MAX(0.1,Skills!D19-IF(TRUE=TRUE,Inputs!$B$33,0)))*(1-IF(AND(ArtifactsInput!$M$27,Inputs!$B$4="Chapter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IFERROR(1/(IF(Inputs!$B$39="pvp",15,MAX(0.1,Skills!D20-IF(TRUE=TRUE,Inputs!$B$33,0)))*(1-IF(AND(ArtifactsInput!$M$27,Inputs!$B$4="Chapter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IFERROR(1/(IF(Inputs!$B$39="pvp",15,MAX(0.1,Skills!D21-IF(TRUE=TRUE,Inputs!$B$33,0)))*(1-IF(AND(ArtifactsInput!$M$27,Inputs!$B$4="Chapter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IFERROR(1/(IF(Inputs!$B$39="pvp",15,MAX(0.1,Skills!D22-IF(TRUE=TRUE,Inputs!$B$33,0)))*(1-IF(AND(ArtifactsInput!$M$27,Inputs!$B$4="Chapter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IFERROR(1/(IF(Inputs!$B$39="pvp",15,MAX(0.1,Skills!D23-IF(TRUE=TRUE,Inputs!$B$33,0)))*(1-IF(AND(ArtifactsInput!$M$27,Inputs!$B$4="Chapter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IFERROR(1/(IF(Inputs!$B$39="pvp",15,MAX(0.1,Skills!D24-IF(TRUE=TRUE,Inputs!$B$33,0)))*(1-IF(AND(ArtifactsInput!$M$27,Inputs!$B$4="Chapter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IFERROR(1/(IF(Inputs!$B$39="pvp",15,MAX(0.1,Skills!D25-IF(TRUE=TRUE,Inputs!$B$33,0)))*(1-IF(AND(ArtifactsInput!$M$27,Inputs!$B$4="Chapter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IFERROR(1/(IF(Inputs!$B$39="pvp",15,MAX(0.1,Skills!D26-IF(TRUE=TRUE,Inputs!$B$33,0)))*(1-IF(AND(ArtifactsInput!$M$27,Inputs!$B$4="Chapter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IFERROR(1/(IF(Inputs!$B$39="pvp",15,MAX(0.1,Skills!D27-IF(TRUE=TRUE,Inputs!$B$33,0)))*(1-IF(AND(ArtifactsInput!$M$27,Inputs!$B$4="Chapter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IFERROR(1/(IF(Inputs!$B$39="pvp",15,MAX(0.1,Skills!D28-IF(TRUE=TRUE,Inputs!$B$33,0)))*(1-IF(AND(ArtifactsInput!$M$27,Inputs!$B$4="Chapter Hunt"),CHOOSE(ArtifactsInput!$N$27+1,20,24,28,32,36,40),0)/100)),0)</f>
        <v/>
      </c>
      <c r="R1945">
        <f>IF(AND(Inputs!$B$39&lt;&gt;"pvp",Inputs!$B$44&gt;0),IF(Inputs!$B$44&lt;=0,0,(INT(Inputs!$B$44/(IF(Inputs!$B$39="pvp",15,MAX(0.1,Skills!D28-IF(TRUE=TRUE,Inputs!$B$33,0)))*(1-IF(AND(ArtifactsInput!$M$27,Inputs!$B$4="Chapter Hunt"),CHOOSE(ArtifactsInput!$N$27+1,20,24,28,32,36,40),0)/100)))+1)),0)</f>
        <v/>
      </c>
      <c r="S1945" t="n">
        <v>0</v>
      </c>
      <c r="U1945" t="n">
        <v>0</v>
      </c>
    </row>
    <row r="1947">
      <c r="A1947" t="inlineStr">
        <is>
          <t>Average Buff Multiplier</t>
        </is>
      </c>
      <c r="B1947">
        <f>(1+(IF(C1920=TRUE,F1920*IF(AND(Inputs!$B$39&lt;&gt;"pvp",Inputs!$B$44&gt;0),(((R1920-1)*MIN((Skills!S3*(1+((Inputs!$B$35+(ArtifactsInput!$M$7-ArtifactsInput!$M$7)*CHOOSE(ArtifactsInput!$N$7+1,6,7.2,8.4,9.6,10.8,12)))/100)),(1/Q1920))+MIN((Skills!S3*(1+((Inputs!$B$35+(ArtifactsInput!$M$7-ArtifactsInput!$M$7)*CHOOSE(ArtifactsInput!$N$7+1,6,7.2,8.4,9.6,10.8,12)))/100)),MAX(0,Inputs!$B$44-((R1920-1)*(1/Q1920)))))/Inputs!$B$44),IF(Inputs!$B$39="pvp",MIN((Skills!S3*(1+((Inputs!$B$35+(ArtifactsInput!$M$7-ArtifactsInput!$M$7)*CHOOSE(ArtifactsInput!$N$7+1,6,7.2,8.4,9.6,10.8,12)))/100)),15)/15,MIN(1,(Skills!S3*(1+((Inputs!$B$35+(ArtifactsInput!$M$7-ArtifactsInput!$M$7)*CHOOSE(ArtifactsInput!$N$7+1,6,7.2,8.4,9.6,10.8,12)))/100))/(1/Q1920)))),0)+IF(C1921=TRUE,F1921*IF(AND(Inputs!$B$39&lt;&gt;"pvp",Inputs!$B$44&gt;0),(((R1921-1)*MIN((Skills!S4*(1+((Inputs!$B$35+(ArtifactsInput!$M$7-ArtifactsInput!$M$7)*CHOOSE(ArtifactsInput!$N$7+1,6,7.2,8.4,9.6,10.8,12)))/100)),(1/Q1921))+MIN((Skills!S4*(1+((Inputs!$B$35+(ArtifactsInput!$M$7-ArtifactsInput!$M$7)*CHOOSE(ArtifactsInput!$N$7+1,6,7.2,8.4,9.6,10.8,12)))/100)),MAX(0,Inputs!$B$44-((R1921-1)*(1/Q1921)))))/Inputs!$B$44),IF(Inputs!$B$39="pvp",MIN((Skills!S4*(1+((Inputs!$B$35+(ArtifactsInput!$M$7-ArtifactsInput!$M$7)*CHOOSE(ArtifactsInput!$N$7+1,6,7.2,8.4,9.6,10.8,12)))/100)),15)/15,MIN(1,(Skills!S4*(1+((Inputs!$B$35+(ArtifactsInput!$M$7-ArtifactsInput!$M$7)*CHOOSE(ArtifactsInput!$N$7+1,6,7.2,8.4,9.6,10.8,12)))/100))/(1/Q1921)))),0)+IF(C1922=TRUE,F1922*IF(AND(Inputs!$B$39&lt;&gt;"pvp",Inputs!$B$44&gt;0),(((R1922-1)*MIN((Skills!S5*(1+((Inputs!$B$35+(ArtifactsInput!$M$7-ArtifactsInput!$M$7)*CHOOSE(ArtifactsInput!$N$7+1,6,7.2,8.4,9.6,10.8,12)))/100)),(1/Q1922))+MIN((Skills!S5*(1+((Inputs!$B$35+(ArtifactsInput!$M$7-ArtifactsInput!$M$7)*CHOOSE(ArtifactsInput!$N$7+1,6,7.2,8.4,9.6,10.8,12)))/100)),MAX(0,Inputs!$B$44-((R1922-1)*(1/Q1922)))))/Inputs!$B$44),IF(Inputs!$B$39="pvp",MIN((Skills!S5*(1+((Inputs!$B$35+(ArtifactsInput!$M$7-ArtifactsInput!$M$7)*CHOOSE(ArtifactsInput!$N$7+1,6,7.2,8.4,9.6,10.8,12)))/100)),15)/15,MIN(1,(Skills!S5*(1+((Inputs!$B$35+(ArtifactsInput!$M$7-ArtifactsInput!$M$7)*CHOOSE(ArtifactsInput!$N$7+1,6,7.2,8.4,9.6,10.8,12)))/100))/(1/Q1922)))),0)+IF(C1928=TRUE,F1928*IF(AND(Inputs!$B$39&lt;&gt;"pvp",Inputs!$B$44&gt;0),(((R1928-1)*MIN((Skills!S11*(1+((Inputs!$B$35+(ArtifactsInput!$M$7-ArtifactsInput!$M$7)*CHOOSE(ArtifactsInput!$N$7+1,6,7.2,8.4,9.6,10.8,12)))/100)),(1/Q1928))+MIN((Skills!S11*(1+((Inputs!$B$35+(ArtifactsInput!$M$7-ArtifactsInput!$M$7)*CHOOSE(ArtifactsInput!$N$7+1,6,7.2,8.4,9.6,10.8,12)))/100)),MAX(0,Inputs!$B$44-((R1928-1)*(1/Q1928)))))/Inputs!$B$44),IF(Inputs!$B$39="pvp",MIN((Skills!S11*(1+((Inputs!$B$35+(ArtifactsInput!$M$7-ArtifactsInput!$M$7)*CHOOSE(ArtifactsInput!$N$7+1,6,7.2,8.4,9.6,10.8,12)))/100)),15)/15,MIN(1,(Skills!S11*(1+((Inputs!$B$35+(ArtifactsInput!$M$7-ArtifactsInput!$M$7)*CHOOSE(ArtifactsInput!$N$7+1,6,7.2,8.4,9.6,10.8,12)))/100))/(1/Q1928)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MIN((Skills!S14*(1+((Inputs!$B$35+(ArtifactsInput!$M$7-ArtifactsInput!$M$7)*CHOOSE(ArtifactsInput!$N$7+1,6,7.2,8.4,9.6,10.8,12)))/100)),(1/Q1931))+MIN((Skills!S14*(1+((Inputs!$B$35+(ArtifactsInput!$M$7-ArtifactsInput!$M$7)*CHOOSE(ArtifactsInput!$N$7+1,6,7.2,8.4,9.6,10.8,12)))/100)),MAX(0,Inputs!$B$44-((R1931-1)*(1/Q1931)))))/Inputs!$B$44),IF(Inputs!$B$39="pvp",MIN((Skills!S14*(1+((Inputs!$B$35+(ArtifactsInput!$M$7-ArtifactsInput!$M$7)*CHOOSE(ArtifactsInput!$N$7+1,6,7.2,8.4,9.6,10.8,12)))/100)),15)/15,MIN(1,(Skills!S14*(1+((Inputs!$B$35+(ArtifactsInput!$M$7-ArtifactsInput!$M$7)*CHOOSE(ArtifactsInput!$N$7+1,6,7.2,8.4,9.6,10.8,12)))/100))/(1/Q1931))))/100),1)*IF(C1936=TRUE,(1+F1936*IF(AND(Inputs!$B$39&lt;&gt;"pvp",Inputs!$B$44&gt;0),(((R1936-1)*MIN((Skills!S19*(1+((Inputs!$B$35+(ArtifactsInput!$M$7-ArtifactsInput!$M$7)*CHOOSE(ArtifactsInput!$N$7+1,6,7.2,8.4,9.6,10.8,12)))/100)),(1/Q1936))+MIN((Skills!S19*(1+((Inputs!$B$35+(ArtifactsInput!$M$7-ArtifactsInput!$M$7)*CHOOSE(ArtifactsInput!$N$7+1,6,7.2,8.4,9.6,10.8,12)))/100)),MAX(0,Inputs!$B$44-((R1936-1)*(1/Q1936)))))/Inputs!$B$44),IF(Inputs!$B$39="pvp",MIN((Skills!S19*(1+((Inputs!$B$35+(ArtifactsInput!$M$7-ArtifactsInput!$M$7)*CHOOSE(ArtifactsInput!$N$7+1,6,7.2,8.4,9.6,10.8,12)))/100)),15)/15,MIN(1,(Skills!S19*(1+((Inputs!$B$35+(ArtifactsInput!$M$7-ArtifactsInput!$M$7)*CHOOSE(ArtifactsInput!$N$7+1,6,7.2,8.4,9.6,10.8,12)))/100))/(1/Q1936))))/100),1)</f>
        <v/>
      </c>
    </row>
    <row r="1948">
      <c r="A1948" t="inlineStr">
        <is>
          <t>Monster Damage Taken Bonus % (Holy Fountain)</t>
        </is>
      </c>
      <c r="B1948">
        <f>IF(Inputs!$B$3&gt;=68,20*IF(Inputs!$B$39="pvp",MIN((15*(1+((Inputs!$B$35+(ArtifactsInput!$M$7-ArtifactsInput!$M$7)*CHOOSE(ArtifactsInput!$N$7+1,6,7.2,8.4,9.6,10.8,12)))/100)),15)/15,MIN(1,(15*(1+((Inputs!$B$35+(ArtifactsInput!$M$7-ArtifactsInput!$M$7)*CHOOSE(ArtifactsInput!$N$7+1,6,7.2,8.4,9.6,10.8,12)))/100))/(1/Q1927))),0)</f>
        <v/>
      </c>
    </row>
    <row r="1949">
      <c r="A1949" t="inlineStr">
        <is>
          <t>Normal Monster Damage Bonus % (Holy Symbol)</t>
        </is>
      </c>
      <c r="B1949">
        <f>IF(C1929=TRUE,F1929*IF(AND(Inputs!$B$39&lt;&gt;"pvp",Inputs!$B$44&gt;0),(((R1929-1)*MIN((Skills!S12*(1+((Inputs!$B$35+(ArtifactsInput!$M$7-ArtifactsInput!$M$7)*CHOOSE(ArtifactsInput!$N$7+1,6,7.2,8.4,9.6,10.8,12)))/100)),(1/Q1929))+MIN((Skills!S12*(1+((Inputs!$B$35+(ArtifactsInput!$M$7-ArtifactsInput!$M$7)*CHOOSE(ArtifactsInput!$N$7+1,6,7.2,8.4,9.6,10.8,12)))/100)),MAX(0,Inputs!$B$44-((R1929-1)*(1/Q1929)))))/Inputs!$B$44),IF(Inputs!$B$39="pvp",MIN((Skills!S12*(1+((Inputs!$B$35+(ArtifactsInput!$M$7-ArtifactsInput!$M$7)*CHOOSE(ArtifactsInput!$N$7+1,6,7.2,8.4,9.6,10.8,12)))/100)),15)/15,MIN(1,(Skills!S12*(1+((Inputs!$B$35+(ArtifactsInput!$M$7-ArtifactsInput!$M$7)*CHOOSE(ArtifactsInput!$N$7+1,6,7.2,8.4,9.6,10.8,12)))/100))/(1/Q1929)))),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MIN((Skills!S28*(1+((Inputs!$B$35+(ArtifactsInput!$M$7-ArtifactsInput!$M$7)*CHOOSE(ArtifactsInput!$N$7+1,6,7.2,8.4,9.6,10.8,12)))/100)),(1/Q1945))+MIN((Skills!S28*(1+((Inputs!$B$35+(ArtifactsInput!$M$7-ArtifactsInput!$M$7)*CHOOSE(ArtifactsInput!$N$7+1,6,7.2,8.4,9.6,10.8,12)))/100)),MAX(0,Inputs!$B$44-((R1945-1)*(1/Q1945)))))/Inputs!$B$44),IF(Inputs!$B$39="pvp",MIN((Skills!S28*(1+((Inputs!$B$35+(ArtifactsInput!$M$7-ArtifactsInput!$M$7)*CHOOSE(ArtifactsInput!$N$7+1,6,7.2,8.4,9.6,10.8,12)))/100)),15)/15,MIN(1,(Skills!S28*(1+((Inputs!$B$35+(ArtifactsInput!$M$7-ArtifactsInput!$M$7)*CHOOSE(ArtifactsInput!$N$7+1,6,7.2,8.4,9.6,10.8,12)))/100))/(1/Q1945)))))</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MIN((Skills!S13*(1+((Inputs!$B$35+(ArtifactsInput!$M$7-ArtifactsInput!$M$7)*CHOOSE(ArtifactsInput!$N$7+1,6,7.2,8.4,9.6,10.8,12)))/100)),(1/Q1930))+MIN((Skills!S13*(1+((Inputs!$B$35+(ArtifactsInput!$M$7-ArtifactsInput!$M$7)*CHOOSE(ArtifactsInput!$N$7+1,6,7.2,8.4,9.6,10.8,12)))/100)),MAX(0,Inputs!$B$44-((R1930-1)*(1/Q1930)))))/Inputs!$B$44),IF(Inputs!$B$39="pvp",MIN((Skills!S13*(1+((Inputs!$B$35+(ArtifactsInput!$M$7-ArtifactsInput!$M$7)*CHOOSE(ArtifactsInput!$N$7+1,6,7.2,8.4,9.6,10.8,12)))/100)),15)/15,MIN(1,(Skills!S13*(1+((Inputs!$B$35+(ArtifactsInput!$M$7-ArtifactsInput!$M$7)*CHOOSE(ArtifactsInput!$N$7+1,6,7.2,8.4,9.6,10.8,12)))/100))/(1/Q1930)))),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IFERROR(1/(IF(Inputs!$B$39="pvp",15,MAX(0.1,Skills!D2-IF(TRUE=TRUE,Inputs!$B$33,0)))*(1-IF(AND(ArtifactsInput!$M$27,Inputs!$B$4="Chapter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IFERROR(1/(IF(Inputs!$B$39="pvp",15,MAX(0.1,Skills!D3-IF(TRUE=TRUE,Inputs!$B$33,0)))*(1-IF(AND(ArtifactsInput!$M$27,Inputs!$B$4="Chapter Hunt"),CHOOSE(ArtifactsInput!$N$27+1,20,24,28,32,36,40),0)/100)),0)</f>
        <v/>
      </c>
      <c r="R1965">
        <f>IF(AND(Inputs!$B$39&lt;&gt;"pvp",Inputs!$B$44&gt;0),IF(Inputs!$B$44&lt;=0,0,(INT(Inputs!$B$44/(IF(Inputs!$B$39="pvp",15,MAX(0.1,Skills!D3-IF(TRUE=TRUE,Inputs!$B$33,0)))*(1-IF(AND(ArtifactsInput!$M$27,Inputs!$B$4="Chapter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IFERROR(1/(IF(Inputs!$B$39="pvp",15,MAX(0.1,Skills!D4-IF(TRUE=TRUE,Inputs!$B$33,0)))*(1-IF(AND(ArtifactsInput!$M$27,Inputs!$B$4="Chapter Hunt"),CHOOSE(ArtifactsInput!$N$27+1,20,24,28,32,36,40),0)/100)),0)</f>
        <v/>
      </c>
      <c r="R1966">
        <f>IF(AND(Inputs!$B$39&lt;&gt;"pvp",Inputs!$B$44&gt;0),IF(Inputs!$B$44&lt;=0,0,(INT(Inputs!$B$44/(IF(Inputs!$B$39="pvp",15,MAX(0.1,Skills!D4-IF(TRUE=TRUE,Inputs!$B$33,0)))*(1-IF(AND(ArtifactsInput!$M$27,Inputs!$B$4="Chapter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IFERROR(1/(IF(Inputs!$B$39="pvp",15,MAX(0.1,Skills!D5-IF(TRUE=TRUE,Inputs!$B$33,0)))*(1-IF(AND(ArtifactsInput!$M$27,Inputs!$B$4="Chapter Hunt"),CHOOSE(ArtifactsInput!$N$27+1,20,24,28,32,36,40),0)/100)),0)</f>
        <v/>
      </c>
      <c r="R1967">
        <f>IF(AND(Inputs!$B$39&lt;&gt;"pvp",Inputs!$B$44&gt;0),IF(Inputs!$B$44&lt;=0,0,(INT(Inputs!$B$44/(IF(Inputs!$B$39="pvp",15,MAX(0.1,Skills!D5-IF(TRUE=TRUE,Inputs!$B$33,0)))*(1-IF(AND(ArtifactsInput!$M$27,Inputs!$B$4="Chapter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IFERROR(1/(IF(Inputs!$B$39="pvp",15,MAX(0.1,Skills!D6-IF(TRUE=TRUE,Inputs!$B$33,0)))*(1-IF(AND(ArtifactsInput!$M$27,Inputs!$B$4="Chapter Hunt"),CHOOSE(ArtifactsInput!$N$27+1,20,24,28,32,36,40),0)/100)),0)</f>
        <v/>
      </c>
      <c r="R1968">
        <f>IF(AND(Inputs!$B$39&lt;&gt;"pvp",Inputs!$B$44&gt;0),IF(MAX(0,Inputs!$B$44-B2002)&lt;=0,0,(INT(MAX(0,Inputs!$B$44-B2002)/(IF(Inputs!$B$39="pvp",15,MAX(0.1,Skills!D6-IF(TRUE=TRUE,Inputs!$B$33,0)))*(1-IF(AND(ArtifactsInput!$M$27,Inputs!$B$4="Chapter Hunt"),CHOOSE(ArtifactsInput!$N$27+1,20,24,28,32,36,40),0)/100)))+1)),0)</f>
        <v/>
      </c>
      <c r="S1968">
        <f>IF(C1968,(H1968*N1968*IF(AND(Inputs!$B$39&lt;&gt;"pvp",Inputs!$B$44&gt;0),((Skills!F6*((R1968-1)*IF(Skills!G6&gt;0,INT(Skills!H6/Skills!G6+0.000000001),1)+IF(Skills!G6&gt;0,INT(MIN(Skills!H6,MAX(0,MAX(0,Inputs!$B$44-B2002)-((R1968-1)*(IF(Inputs!$B$39="pvp",15,MAX(0.1,Skills!D6-IF(TRUE=TRUE,Inputs!$B$33,0)))*(1-IF(AND(ArtifactsInput!$M$27,Inputs!$B$4="Chapter Hunt"),CHOOSE(ArtifactsInput!$N$27+1,20,24,28,32,36,40),0)/100)))))/Skills!G6+0.000000001),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INT(Skills!H6/Skills!G6+0.000000001),1)+IF(Skills!G6&gt;0,INT(MIN(Skills!H6,MAX(0,MAX(0,Inputs!$B$44-B2002)-((R1968-1)*(IF(Inputs!$B$39="pvp",15,MAX(0.1,Skills!D6-IF(TRUE=TRUE,Inputs!$B$33,0)))*(1-IF(AND(ArtifactsInput!$M$27,Inputs!$B$4="Chapter Hunt"),CHOOSE(ArtifactsInput!$N$27+1,20,24,28,32,36,40),0)/100)))))/Skills!G6+0.000000001),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IFERROR(1/(IF(Inputs!$B$39="pvp",15,MAX(0.1,Skills!D7-IF(TRUE=TRUE,Inputs!$B$33,0)))*(1-IF(AND(ArtifactsInput!$M$27,Inputs!$B$4="Chapter Hunt"),CHOOSE(ArtifactsInput!$N$27+1,20,24,28,32,36,40),0)/100)),0)</f>
        <v/>
      </c>
      <c r="R1969">
        <f>IF(AND(Inputs!$B$39&lt;&gt;"pvp",Inputs!$B$44&gt;0),IF(MAX(0,Inputs!$B$44-B2002)&lt;=0,0,(INT(MAX(0,Inputs!$B$44-B2002)/(IF(Inputs!$B$39="pvp",15,MAX(0.1,Skills!D7-IF(TRUE=TRUE,Inputs!$B$33,0)))*(1-IF(AND(ArtifactsInput!$M$27,Inputs!$B$4="Chapter Hunt"),CHOOSE(ArtifactsInput!$N$27+1,20,24,28,32,36,40),0)/100)))+1)),0)</f>
        <v/>
      </c>
      <c r="S1969">
        <f>IF(C1969,H1969*N1969*IF(AND(Inputs!$B$39&lt;&gt;"pvp",Inputs!$B$44&gt;0),((Skills!F7*((R1969-1)*IF(Skills!G7&gt;0,INT(Skills!H7/Skills!G7+0.000000001),1)+IF(Skills!G7&gt;0,INT(MIN(Skills!H7,MAX(0,MAX(0,Inputs!$B$44-B2002)-((R1969-1)*(IF(Inputs!$B$39="pvp",15,MAX(0.1,Skills!D7-IF(TRUE=TRUE,Inputs!$B$33,0)))*(1-IF(AND(ArtifactsInput!$M$27,Inputs!$B$4="Chapter Hunt"),CHOOSE(ArtifactsInput!$N$27+1,20,24,28,32,36,40),0)/100)))))/Skills!G7+0.000000001),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IFERROR(1/(IF(Inputs!$B$39="pvp",15,MAX(0.1,Skills!D8-IF(TRUE=TRUE,Inputs!$B$33,0)))*(1-IF(AND(ArtifactsInput!$M$27,Inputs!$B$4="Chapter Hunt"),CHOOSE(ArtifactsInput!$N$27+1,20,24,28,32,36,40),0)/100)),0)</f>
        <v/>
      </c>
      <c r="R1970">
        <f>IF(AND(Inputs!$B$39&lt;&gt;"pvp",Inputs!$B$44&gt;0),IF(MAX(0,Inputs!$B$44-B2002)&lt;=0,0,(INT(MAX(0,Inputs!$B$44-B2002)/(IF(Inputs!$B$39="pvp",15,MAX(0.1,Skills!D8-IF(TRUE=TRUE,Inputs!$B$33,0)))*(1-IF(AND(ArtifactsInput!$M$27,Inputs!$B$4="Chapter Hunt"),CHOOSE(ArtifactsInput!$N$27+1,20,24,28,32,36,40),0)/100)))+1)),0)</f>
        <v/>
      </c>
      <c r="S1970">
        <f>IF(C1970,(H1970*N1970*IF(AND(Inputs!$B$39&lt;&gt;"pvp",Inputs!$B$44&gt;0),((Skills!F8*((R1970-1)*IF(Skills!G8&gt;0,INT(Skills!H8/Skills!G8+0.000000001),1)+IF(Skills!G8&gt;0,INT(MIN(Skills!H8,MAX(0,MAX(0,Inputs!$B$44-B2002)-((R1970-1)*(IF(Inputs!$B$39="pvp",15,MAX(0.1,Skills!D8-IF(TRUE=TRUE,Inputs!$B$33,0)))*(1-IF(AND(ArtifactsInput!$M$27,Inputs!$B$4="Chapter Hunt"),CHOOSE(ArtifactsInput!$N$27+1,20,24,28,32,36,40),0)/100)))))/Skills!G8+0.000000001),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INT(Skills!H8/Skills!G8+0.000000001),1)+IF(Skills!G8&gt;0,INT(MIN(Skills!H8,MAX(0,MAX(0,Inputs!$B$44-B2002)-((R1970-1)*(IF(Inputs!$B$39="pvp",15,MAX(0.1,Skills!D8-IF(TRUE=TRUE,Inputs!$B$33,0)))*(1-IF(AND(ArtifactsInput!$M$27,Inputs!$B$4="Chapter Hunt"),CHOOSE(ArtifactsInput!$N$27+1,20,24,28,32,36,40),0)/100)))))/Skills!G8+0.000000001),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IFERROR(1/(IF(Inputs!$B$39="pvp",15,MAX(0.1,Skills!D9-IF(TRUE=TRUE,Inputs!$B$33,0)))*(1-IF(AND(ArtifactsInput!$M$27,Inputs!$B$4="Chapter Hunt"),CHOOSE(ArtifactsInput!$N$27+1,20,24,28,32,36,40),0)/100)),0)</f>
        <v/>
      </c>
      <c r="R1971">
        <f>IF(AND(Inputs!$B$39&lt;&gt;"pvp",Inputs!$B$44&gt;0),IF(MAX(0,Inputs!$B$44-B2002)&lt;=0,0,(INT(MAX(0,Inputs!$B$44-B2002)/(IF(Inputs!$B$39="pvp",15,MAX(0.1,Skills!D9-IF(TRUE=TRUE,Inputs!$B$33,0)))*(1-IF(AND(ArtifactsInput!$M$27,Inputs!$B$4="Chapter Hunt"),CHOOSE(ArtifactsInput!$N$27+1,20,24,28,32,36,40),0)/100)))+1)),0)</f>
        <v/>
      </c>
      <c r="S1971">
        <f>IF(C1971,(H1971*N1971*IF(AND(Inputs!$B$39&lt;&gt;"pvp",Inputs!$B$44&gt;0),((Skills!F9*((R1971-1)*IF(Skills!G9&gt;0,INT(Skills!H9/Skills!G9+0.000000001),1)+IF(Skills!G9&gt;0,INT(MIN(Skills!H9,MAX(0,MAX(0,Inputs!$B$44-B2002)-((R1971-1)*(IF(Inputs!$B$39="pvp",15,MAX(0.1,Skills!D9-IF(TRUE=TRUE,Inputs!$B$33,0)))*(1-IF(AND(ArtifactsInput!$M$27,Inputs!$B$4="Chapter Hunt"),CHOOSE(ArtifactsInput!$N$27+1,20,24,28,32,36,40),0)/100)))))/Skills!G9+0.000000001),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INT(Skills!H9/Skills!G9+0.000000001),1)+IF(Skills!G9&gt;0,INT(MIN(Skills!H9,MAX(0,MAX(0,Inputs!$B$44-B2002)-((R1971-1)*(IF(Inputs!$B$39="pvp",15,MAX(0.1,Skills!D9-IF(TRUE=TRUE,Inputs!$B$33,0)))*(1-IF(AND(ArtifactsInput!$M$27,Inputs!$B$4="Chapter Hunt"),CHOOSE(ArtifactsInput!$N$27+1,20,24,28,32,36,40),0)/100)))))/Skills!G9+0.000000001),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IFERROR(1/(IF(Inputs!$B$39="pvp",15,MAX(0.1,Skills!D10-IF(TRUE=TRUE,Inputs!$B$33,0)))*(1-IF(AND(ArtifactsInput!$M$27,Inputs!$B$4="Chapter Hunt"),CHOOSE(ArtifactsInput!$N$27+1,20,24,28,32,36,40),0)/100)),0)</f>
        <v/>
      </c>
      <c r="R1972">
        <f>IF(AND(Inputs!$B$39&lt;&gt;"pvp",Inputs!$B$44&gt;0),IF(MAX(0,Inputs!$B$44-B2002)&lt;=0,0,(INT(MAX(0,Inputs!$B$44-B2002)/(IF(Inputs!$B$39="pvp",15,MAX(0.1,Skills!D10-IF(TRUE=TRUE,Inputs!$B$33,0)))*(1-IF(AND(ArtifactsInput!$M$27,Inputs!$B$4="Chapter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IFERROR(1/(IF(Inputs!$B$39="pvp",15,MAX(0.1,Skills!D11-IF(TRUE=TRUE,Inputs!$B$33,0)))*(1-IF(AND(ArtifactsInput!$M$27,Inputs!$B$4="Chapter Hunt"),CHOOSE(ArtifactsInput!$N$27+1,20,24,28,32,36,40),0)/100)),0)</f>
        <v/>
      </c>
      <c r="R1973">
        <f>IF(AND(Inputs!$B$39&lt;&gt;"pvp",Inputs!$B$44&gt;0),IF(Inputs!$B$44&lt;=0,0,(INT(Inputs!$B$44/(IF(Inputs!$B$39="pvp",15,MAX(0.1,Skills!D11-IF(TRUE=TRUE,Inputs!$B$33,0)))*(1-IF(AND(ArtifactsInput!$M$27,Inputs!$B$4="Chapter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IFERROR(1/(IF(Inputs!$B$39="pvp",15,MAX(0.1,Skills!D12-IF(TRUE=TRUE,Inputs!$B$33,0)))*(1-IF(AND(ArtifactsInput!$M$27,Inputs!$B$4="Chapter Hunt"),CHOOSE(ArtifactsInput!$N$27+1,20,24,28,32,36,40),0)/100)),0)</f>
        <v/>
      </c>
      <c r="R1974">
        <f>IF(AND(Inputs!$B$39&lt;&gt;"pvp",Inputs!$B$44&gt;0),IF(MAX(0,Inputs!$B$44-B2002)&lt;=0,0,(INT(MAX(0,Inputs!$B$44-B2002)/(IF(Inputs!$B$39="pvp",15,MAX(0.1,Skills!D12-IF(TRUE=TRUE,Inputs!$B$33,0)))*(1-IF(AND(ArtifactsInput!$M$27,Inputs!$B$4="Chapter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IFERROR(1/(IF(Inputs!$B$39="pvp",15,MAX(0.1,Skills!D13-IF(TRUE=TRUE,Inputs!$B$33,0)))*(1-IF(AND(ArtifactsInput!$M$27,Inputs!$B$4="Chapter Hunt"),CHOOSE(ArtifactsInput!$N$27+1,20,24,28,32,36,40),0)/100)),0)</f>
        <v/>
      </c>
      <c r="R1975">
        <f>IF(AND(Inputs!$B$39&lt;&gt;"pvp",Inputs!$B$44&gt;0),IF(MAX(0,Inputs!$B$44-B2002)&lt;=0,0,(INT(MAX(0,Inputs!$B$44-B2002)/(IF(Inputs!$B$39="pvp",15,MAX(0.1,Skills!D13-IF(TRUE=TRUE,Inputs!$B$33,0)))*(1-IF(AND(ArtifactsInput!$M$27,Inputs!$B$4="Chapter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IFERROR(1/(IF(Inputs!$B$39="pvp",15,MAX(0.1,Skills!D14-IF(TRUE=TRUE,Inputs!$B$33,0)))*(1-IF(AND(ArtifactsInput!$M$27,Inputs!$B$4="Chapter Hunt"),CHOOSE(ArtifactsInput!$N$27+1,20,24,28,32,36,40),0)/100)),0)</f>
        <v/>
      </c>
      <c r="R1976">
        <f>IF(AND(Inputs!$B$39&lt;&gt;"pvp",Inputs!$B$44&gt;0),IF(Inputs!$B$44&lt;=0,0,(INT(Inputs!$B$44/(IF(Inputs!$B$39="pvp",15,MAX(0.1,Skills!D14-IF(TRUE=TRUE,Inputs!$B$33,0)))*(1-IF(AND(ArtifactsInput!$M$27,Inputs!$B$4="Chapter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IFERROR(1/(IF(Inputs!$B$39="pvp",15,MAX(0.1,Skills!D15-IF(TRUE=TRUE,Inputs!$B$33,0)))*(1-IF(AND(ArtifactsInput!$M$27,Inputs!$B$4="Chapter Hunt"),CHOOSE(ArtifactsInput!$N$27+1,20,24,28,32,36,40),0)/100)),0)</f>
        <v/>
      </c>
      <c r="R1977" t="n">
        <v>0</v>
      </c>
      <c r="S1977">
        <f>IF(C1977,(Skills!F15*N1977*((IF(Inputs!$B$3&gt;=78,25,15)/100*B1998*10)/(1+IF(Inputs!$B$3&gt;=78,25,15)/100*B1998*IF(Inputs!$B$39="pvp",15,MAX(0.1,18-IF(TRUE=TRUE,Inputs!$B$33,0)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IF(Inputs!$B$39="pvp",15,MAX(0.1,18-IF(TRUE=TRUE,Inputs!$B$33,0)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IFERROR(1/(IF(Inputs!$B$39="pvp",15,MAX(0.1,Skills!D16-IF(TRUE=TRUE,Inputs!$B$33,0)))*(1-IF(AND(ArtifactsInput!$M$27,Inputs!$B$4="Chapter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IFERROR(1/(IF(Inputs!$B$39="pvp",15,MAX(0.1,Skills!D17-IF(TRUE=TRUE,Inputs!$B$33,0)))*(1-IF(AND(ArtifactsInput!$M$27,Inputs!$B$4="Chapter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IFERROR(1/(IF(Inputs!$B$39="pvp",15,MAX(0.1,Skills!D18-IF(TRUE=TRUE,Inputs!$B$33,0)))*(1-IF(AND(ArtifactsInput!$M$27,Inputs!$B$4="Chapter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IFERROR(1/(IF(Inputs!$B$39="pvp",15,MAX(0.1,Skills!D19-IF(TRUE=TRUE,Inputs!$B$33,0)))*(1-IF(AND(ArtifactsInput!$M$27,Inputs!$B$4="Chapter Hunt"),CHOOSE(ArtifactsInput!$N$27+1,20,24,28,32,36,40),0)/100)),0)</f>
        <v/>
      </c>
      <c r="R1981">
        <f>IF(AND(Inputs!$B$39&lt;&gt;"pvp",Inputs!$B$44&gt;0),IF(Inputs!$B$44&lt;=0,0,(INT(Inputs!$B$44/(IF(Inputs!$B$39="pvp",15,MAX(0.1,Skills!D19-IF(TRUE=TRUE,Inputs!$B$33,0)))*(1-IF(AND(ArtifactsInput!$M$27,Inputs!$B$4="Chapter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IFERROR(1/(IF(Inputs!$B$39="pvp",15,MAX(0.1,Skills!D20-IF(TRUE=TRUE,Inputs!$B$33,0)))*(1-IF(AND(ArtifactsInput!$M$27,Inputs!$B$4="Chapter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IFERROR(1/(IF(Inputs!$B$39="pvp",15,MAX(0.1,Skills!D21-IF(TRUE=TRUE,Inputs!$B$33,0)))*(1-IF(AND(ArtifactsInput!$M$27,Inputs!$B$4="Chapter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IFERROR(1/(IF(Inputs!$B$39="pvp",15,MAX(0.1,Skills!D22-IF(TRUE=TRUE,Inputs!$B$33,0)))*(1-IF(AND(ArtifactsInput!$M$27,Inputs!$B$4="Chapter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IFERROR(1/(IF(Inputs!$B$39="pvp",15,MAX(0.1,Skills!D23-IF(TRUE=TRUE,Inputs!$B$33,0)))*(1-IF(AND(ArtifactsInput!$M$27,Inputs!$B$4="Chapter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IFERROR(1/(IF(Inputs!$B$39="pvp",15,MAX(0.1,Skills!D24-IF(TRUE=TRUE,Inputs!$B$33,0)))*(1-IF(AND(ArtifactsInput!$M$27,Inputs!$B$4="Chapter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IFERROR(1/(IF(Inputs!$B$39="pvp",15,MAX(0.1,Skills!D25-IF(TRUE=TRUE,Inputs!$B$33,0)))*(1-IF(AND(ArtifactsInput!$M$27,Inputs!$B$4="Chapter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IFERROR(1/(IF(Inputs!$B$39="pvp",15,MAX(0.1,Skills!D26-IF(TRUE=TRUE,Inputs!$B$33,0)))*(1-IF(AND(ArtifactsInput!$M$27,Inputs!$B$4="Chapter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IFERROR(1/(IF(Inputs!$B$39="pvp",15,MAX(0.1,Skills!D27-IF(TRUE=TRUE,Inputs!$B$33,0)))*(1-IF(AND(ArtifactsInput!$M$27,Inputs!$B$4="Chapter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IFERROR(1/(IF(Inputs!$B$39="pvp",15,MAX(0.1,Skills!D28-IF(TRUE=TRUE,Inputs!$B$33,0)))*(1-IF(AND(ArtifactsInput!$M$27,Inputs!$B$4="Chapter Hunt"),CHOOSE(ArtifactsInput!$N$27+1,20,24,28,32,36,40),0)/100)),0)</f>
        <v/>
      </c>
      <c r="R1990">
        <f>IF(AND(Inputs!$B$39&lt;&gt;"pvp",Inputs!$B$44&gt;0),IF(Inputs!$B$44&lt;=0,0,(INT(Inputs!$B$44/(IF(Inputs!$B$39="pvp",15,MAX(0.1,Skills!D28-IF(TRUE=TRUE,Inputs!$B$33,0)))*(1-IF(AND(ArtifactsInput!$M$27,Inputs!$B$4="Chapter Hunt"),CHOOSE(ArtifactsInput!$N$27+1,20,24,28,32,36,40),0)/100)))+1)),0)</f>
        <v/>
      </c>
      <c r="S1990" t="n">
        <v>0</v>
      </c>
      <c r="U1990" t="n">
        <v>0</v>
      </c>
    </row>
    <row r="1992">
      <c r="A1992" t="inlineStr">
        <is>
          <t>Average Buff Multiplier</t>
        </is>
      </c>
      <c r="B1992">
        <f>(1+(IF(C1965=TRUE,F1965*IF(AND(Inputs!$B$39&lt;&gt;"pvp",Inputs!$B$44&gt;0),(((R1965-1)*MIN((Skills!S3*(1+((Inputs!$B$35+(ArtifactsInput!$M$7-ArtifactsInput!$M$7)*CHOOSE(ArtifactsInput!$N$7+1,6,7.2,8.4,9.6,10.8,12)))/100)),(1/Q1965))+MIN((Skills!S3*(1+((Inputs!$B$35+(ArtifactsInput!$M$7-ArtifactsInput!$M$7)*CHOOSE(ArtifactsInput!$N$7+1,6,7.2,8.4,9.6,10.8,12)))/100)),MAX(0,Inputs!$B$44-((R1965-1)*(1/Q1965)))))/Inputs!$B$44),IF(Inputs!$B$39="pvp",MIN((Skills!S3*(1+((Inputs!$B$35+(ArtifactsInput!$M$7-ArtifactsInput!$M$7)*CHOOSE(ArtifactsInput!$N$7+1,6,7.2,8.4,9.6,10.8,12)))/100)),15)/15,MIN(1,(Skills!S3*(1+((Inputs!$B$35+(ArtifactsInput!$M$7-ArtifactsInput!$M$7)*CHOOSE(ArtifactsInput!$N$7+1,6,7.2,8.4,9.6,10.8,12)))/100))/(1/Q1965)))),0)+IF(C1966=TRUE,F1966*IF(AND(Inputs!$B$39&lt;&gt;"pvp",Inputs!$B$44&gt;0),(((R1966-1)*MIN((Skills!S4*(1+((Inputs!$B$35+(ArtifactsInput!$M$7-ArtifactsInput!$M$7)*CHOOSE(ArtifactsInput!$N$7+1,6,7.2,8.4,9.6,10.8,12)))/100)),(1/Q1966))+MIN((Skills!S4*(1+((Inputs!$B$35+(ArtifactsInput!$M$7-ArtifactsInput!$M$7)*CHOOSE(ArtifactsInput!$N$7+1,6,7.2,8.4,9.6,10.8,12)))/100)),MAX(0,Inputs!$B$44-((R1966-1)*(1/Q1966)))))/Inputs!$B$44),IF(Inputs!$B$39="pvp",MIN((Skills!S4*(1+((Inputs!$B$35+(ArtifactsInput!$M$7-ArtifactsInput!$M$7)*CHOOSE(ArtifactsInput!$N$7+1,6,7.2,8.4,9.6,10.8,12)))/100)),15)/15,MIN(1,(Skills!S4*(1+((Inputs!$B$35+(ArtifactsInput!$M$7-ArtifactsInput!$M$7)*CHOOSE(ArtifactsInput!$N$7+1,6,7.2,8.4,9.6,10.8,12)))/100))/(1/Q1966)))),0)+IF(C1967=TRUE,F1967*IF(AND(Inputs!$B$39&lt;&gt;"pvp",Inputs!$B$44&gt;0),(((R1967-1)*MIN((Skills!S5*(1+((Inputs!$B$35+(ArtifactsInput!$M$7-ArtifactsInput!$M$7)*CHOOSE(ArtifactsInput!$N$7+1,6,7.2,8.4,9.6,10.8,12)))/100)),(1/Q1967))+MIN((Skills!S5*(1+((Inputs!$B$35+(ArtifactsInput!$M$7-ArtifactsInput!$M$7)*CHOOSE(ArtifactsInput!$N$7+1,6,7.2,8.4,9.6,10.8,12)))/100)),MAX(0,Inputs!$B$44-((R1967-1)*(1/Q1967)))))/Inputs!$B$44),IF(Inputs!$B$39="pvp",MIN((Skills!S5*(1+((Inputs!$B$35+(ArtifactsInput!$M$7-ArtifactsInput!$M$7)*CHOOSE(ArtifactsInput!$N$7+1,6,7.2,8.4,9.6,10.8,12)))/100)),15)/15,MIN(1,(Skills!S5*(1+((Inputs!$B$35+(ArtifactsInput!$M$7-ArtifactsInput!$M$7)*CHOOSE(ArtifactsInput!$N$7+1,6,7.2,8.4,9.6,10.8,12)))/100))/(1/Q1967)))),0)+IF(C1973=TRUE,F1973*IF(AND(Inputs!$B$39&lt;&gt;"pvp",Inputs!$B$44&gt;0),(((R1973-1)*MIN((Skills!S11*(1+((Inputs!$B$35+(ArtifactsInput!$M$7-ArtifactsInput!$M$7)*CHOOSE(ArtifactsInput!$N$7+1,6,7.2,8.4,9.6,10.8,12)))/100)),(1/Q1973))+MIN((Skills!S11*(1+((Inputs!$B$35+(ArtifactsInput!$M$7-ArtifactsInput!$M$7)*CHOOSE(ArtifactsInput!$N$7+1,6,7.2,8.4,9.6,10.8,12)))/100)),MAX(0,Inputs!$B$44-((R1973-1)*(1/Q1973)))))/Inputs!$B$44),IF(Inputs!$B$39="pvp",MIN((Skills!S11*(1+((Inputs!$B$35+(ArtifactsInput!$M$7-ArtifactsInput!$M$7)*CHOOSE(ArtifactsInput!$N$7+1,6,7.2,8.4,9.6,10.8,12)))/100)),15)/15,MIN(1,(Skills!S11*(1+((Inputs!$B$35+(ArtifactsInput!$M$7-ArtifactsInput!$M$7)*CHOOSE(ArtifactsInput!$N$7+1,6,7.2,8.4,9.6,10.8,12)))/100))/(1/Q1973)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MIN((Skills!S14*(1+((Inputs!$B$35+(ArtifactsInput!$M$7-ArtifactsInput!$M$7)*CHOOSE(ArtifactsInput!$N$7+1,6,7.2,8.4,9.6,10.8,12)))/100)),(1/Q1976))+MIN((Skills!S14*(1+((Inputs!$B$35+(ArtifactsInput!$M$7-ArtifactsInput!$M$7)*CHOOSE(ArtifactsInput!$N$7+1,6,7.2,8.4,9.6,10.8,12)))/100)),MAX(0,Inputs!$B$44-((R1976-1)*(1/Q1976)))))/Inputs!$B$44),IF(Inputs!$B$39="pvp",MIN((Skills!S14*(1+((Inputs!$B$35+(ArtifactsInput!$M$7-ArtifactsInput!$M$7)*CHOOSE(ArtifactsInput!$N$7+1,6,7.2,8.4,9.6,10.8,12)))/100)),15)/15,MIN(1,(Skills!S14*(1+((Inputs!$B$35+(ArtifactsInput!$M$7-ArtifactsInput!$M$7)*CHOOSE(ArtifactsInput!$N$7+1,6,7.2,8.4,9.6,10.8,12)))/100))/(1/Q1976))))/100),1)*IF(C1981=TRUE,(1+F1981*IF(AND(Inputs!$B$39&lt;&gt;"pvp",Inputs!$B$44&gt;0),(((R1981-1)*MIN((Skills!S19*(1+((Inputs!$B$35+(ArtifactsInput!$M$7-ArtifactsInput!$M$7)*CHOOSE(ArtifactsInput!$N$7+1,6,7.2,8.4,9.6,10.8,12)))/100)),(1/Q1981))+MIN((Skills!S19*(1+((Inputs!$B$35+(ArtifactsInput!$M$7-ArtifactsInput!$M$7)*CHOOSE(ArtifactsInput!$N$7+1,6,7.2,8.4,9.6,10.8,12)))/100)),MAX(0,Inputs!$B$44-((R1981-1)*(1/Q1981)))))/Inputs!$B$44),IF(Inputs!$B$39="pvp",MIN((Skills!S19*(1+((Inputs!$B$35+(ArtifactsInput!$M$7-ArtifactsInput!$M$7)*CHOOSE(ArtifactsInput!$N$7+1,6,7.2,8.4,9.6,10.8,12)))/100)),15)/15,MIN(1,(Skills!S19*(1+((Inputs!$B$35+(ArtifactsInput!$M$7-ArtifactsInput!$M$7)*CHOOSE(ArtifactsInput!$N$7+1,6,7.2,8.4,9.6,10.8,12)))/100))/(1/Q1981))))/100),1)</f>
        <v/>
      </c>
    </row>
    <row r="1993">
      <c r="A1993" t="inlineStr">
        <is>
          <t>Monster Damage Taken Bonus % (Holy Fountain)</t>
        </is>
      </c>
      <c r="B1993">
        <f>IF(Inputs!$B$3&gt;=68,20*IF(Inputs!$B$39="pvp",MIN((15*(1+((Inputs!$B$35+(ArtifactsInput!$M$7-ArtifactsInput!$M$7)*CHOOSE(ArtifactsInput!$N$7+1,6,7.2,8.4,9.6,10.8,12)))/100)),15)/15,MIN(1,(15*(1+((Inputs!$B$35+(ArtifactsInput!$M$7-ArtifactsInput!$M$7)*CHOOSE(ArtifactsInput!$N$7+1,6,7.2,8.4,9.6,10.8,12)))/100))/(1/Q1972))),0)</f>
        <v/>
      </c>
    </row>
    <row r="1994">
      <c r="A1994" t="inlineStr">
        <is>
          <t>Normal Monster Damage Bonus % (Holy Symbol)</t>
        </is>
      </c>
      <c r="B1994">
        <f>IF(C1974=TRUE,F1974*IF(AND(Inputs!$B$39&lt;&gt;"pvp",Inputs!$B$44&gt;0),(((R1974-1)*MIN((Skills!S12*(1+((Inputs!$B$35+(ArtifactsInput!$M$7-ArtifactsInput!$M$7)*CHOOSE(ArtifactsInput!$N$7+1,6,7.2,8.4,9.6,10.8,12)))/100)),(1/Q1974))+MIN((Skills!S12*(1+((Inputs!$B$35+(ArtifactsInput!$M$7-ArtifactsInput!$M$7)*CHOOSE(ArtifactsInput!$N$7+1,6,7.2,8.4,9.6,10.8,12)))/100)),MAX(0,Inputs!$B$44-((R1974-1)*(1/Q1974)))))/Inputs!$B$44),IF(Inputs!$B$39="pvp",MIN((Skills!S12*(1+((Inputs!$B$35+(ArtifactsInput!$M$7-ArtifactsInput!$M$7)*CHOOSE(ArtifactsInput!$N$7+1,6,7.2,8.4,9.6,10.8,12)))/100)),15)/15,MIN(1,(Skills!S12*(1+((Inputs!$B$35+(ArtifactsInput!$M$7-ArtifactsInput!$M$7)*CHOOSE(ArtifactsInput!$N$7+1,6,7.2,8.4,9.6,10.8,12)))/100))/(1/Q1974)))),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MIN((Skills!S28*(1+((Inputs!$B$35+(ArtifactsInput!$M$7-ArtifactsInput!$M$7)*CHOOSE(ArtifactsInput!$N$7+1,6,7.2,8.4,9.6,10.8,12)))/100)),(1/Q1990))+MIN((Skills!S28*(1+((Inputs!$B$35+(ArtifactsInput!$M$7-ArtifactsInput!$M$7)*CHOOSE(ArtifactsInput!$N$7+1,6,7.2,8.4,9.6,10.8,12)))/100)),MAX(0,Inputs!$B$44-((R1990-1)*(1/Q1990)))))/Inputs!$B$44),IF(Inputs!$B$39="pvp",MIN((Skills!S28*(1+((Inputs!$B$35+(ArtifactsInput!$M$7-ArtifactsInput!$M$7)*CHOOSE(ArtifactsInput!$N$7+1,6,7.2,8.4,9.6,10.8,12)))/100)),15)/15,MIN(1,(Skills!S28*(1+((Inputs!$B$35+(ArtifactsInput!$M$7-ArtifactsInput!$M$7)*CHOOSE(ArtifactsInput!$N$7+1,6,7.2,8.4,9.6,10.8,12)))/100))/(1/Q1990)))))</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MIN((Skills!S13*(1+((Inputs!$B$35+(ArtifactsInput!$M$7-ArtifactsInput!$M$7)*CHOOSE(ArtifactsInput!$N$7+1,6,7.2,8.4,9.6,10.8,12)))/100)),(1/Q1975))+MIN((Skills!S13*(1+((Inputs!$B$35+(ArtifactsInput!$M$7-ArtifactsInput!$M$7)*CHOOSE(ArtifactsInput!$N$7+1,6,7.2,8.4,9.6,10.8,12)))/100)),MAX(0,Inputs!$B$44-((R1975-1)*(1/Q1975)))))/Inputs!$B$44),IF(Inputs!$B$39="pvp",MIN((Skills!S13*(1+((Inputs!$B$35+(ArtifactsInput!$M$7-ArtifactsInput!$M$7)*CHOOSE(ArtifactsInput!$N$7+1,6,7.2,8.4,9.6,10.8,12)))/100)),15)/15,MIN(1,(Skills!S13*(1+((Inputs!$B$35+(ArtifactsInput!$M$7-ArtifactsInput!$M$7)*CHOOSE(ArtifactsInput!$N$7+1,6,7.2,8.4,9.6,10.8,12)))/100))/(1/Q1975)))),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IFERROR(1/(IF(Inputs!$B$39="pvp",15,MAX(0.1,Skills!D2-IF(TRUE=TRUE,Inputs!$B$33,0)))*(1-IF(AND(ArtifactsInput!$M$27,Inputs!$B$4="Chapter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IFERROR(1/(IF(Inputs!$B$39="pvp",15,MAX(0.1,Skills!D3-IF(TRUE=TRUE,Inputs!$B$33,0)))*(1-IF(AND(ArtifactsInput!$M$27,Inputs!$B$4="Chapter Hunt"),CHOOSE(ArtifactsInput!$N$27+1,20,24,28,32,36,40),0)/100)),0)</f>
        <v/>
      </c>
      <c r="R2010">
        <f>IF(AND(Inputs!$B$39&lt;&gt;"pvp",Inputs!$B$44&gt;0),IF(Inputs!$B$44&lt;=0,0,(INT(Inputs!$B$44/(IF(Inputs!$B$39="pvp",15,MAX(0.1,Skills!D3-IF(TRUE=TRUE,Inputs!$B$33,0)))*(1-IF(AND(ArtifactsInput!$M$27,Inputs!$B$4="Chapter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IFERROR(1/(IF(Inputs!$B$39="pvp",15,MAX(0.1,Skills!D4-IF(TRUE=TRUE,Inputs!$B$33,0)))*(1-IF(AND(ArtifactsInput!$M$27,Inputs!$B$4="Chapter Hunt"),CHOOSE(ArtifactsInput!$N$27+1,20,24,28,32,36,40),0)/100)),0)</f>
        <v/>
      </c>
      <c r="R2011">
        <f>IF(AND(Inputs!$B$39&lt;&gt;"pvp",Inputs!$B$44&gt;0),IF(Inputs!$B$44&lt;=0,0,(INT(Inputs!$B$44/(IF(Inputs!$B$39="pvp",15,MAX(0.1,Skills!D4-IF(TRUE=TRUE,Inputs!$B$33,0)))*(1-IF(AND(ArtifactsInput!$M$27,Inputs!$B$4="Chapter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IFERROR(1/(IF(Inputs!$B$39="pvp",15,MAX(0.1,Skills!D5-IF(TRUE=TRUE,Inputs!$B$33,0)))*(1-IF(AND(ArtifactsInput!$M$27,Inputs!$B$4="Chapter Hunt"),CHOOSE(ArtifactsInput!$N$27+1,20,24,28,32,36,40),0)/100)),0)</f>
        <v/>
      </c>
      <c r="R2012">
        <f>IF(AND(Inputs!$B$39&lt;&gt;"pvp",Inputs!$B$44&gt;0),IF(Inputs!$B$44&lt;=0,0,(INT(Inputs!$B$44/(IF(Inputs!$B$39="pvp",15,MAX(0.1,Skills!D5-IF(TRUE=TRUE,Inputs!$B$33,0)))*(1-IF(AND(ArtifactsInput!$M$27,Inputs!$B$4="Chapter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IFERROR(1/(IF(Inputs!$B$39="pvp",15,MAX(0.1,Skills!D6-IF(TRUE=TRUE,Inputs!$B$33,0)))*(1-IF(AND(ArtifactsInput!$M$27,Inputs!$B$4="Chapter Hunt"),CHOOSE(ArtifactsInput!$N$27+1,20,24,28,32,36,40),0)/100)),0)</f>
        <v/>
      </c>
      <c r="R2013">
        <f>IF(AND(Inputs!$B$39&lt;&gt;"pvp",Inputs!$B$44&gt;0),IF(MAX(0,Inputs!$B$44-B2047)&lt;=0,0,(INT(MAX(0,Inputs!$B$44-B2047)/(IF(Inputs!$B$39="pvp",15,MAX(0.1,Skills!D6-IF(TRUE=TRUE,Inputs!$B$33,0)))*(1-IF(AND(ArtifactsInput!$M$27,Inputs!$B$4="Chapter Hunt"),CHOOSE(ArtifactsInput!$N$27+1,20,24,28,32,36,40),0)/100)))+1)),0)</f>
        <v/>
      </c>
      <c r="S2013">
        <f>IF(C2013,(H2013*N2013*IF(AND(Inputs!$B$39&lt;&gt;"pvp",Inputs!$B$44&gt;0),((Skills!F6*((R2013-1)*IF(Skills!G6&gt;0,INT(Skills!H6/Skills!G6+0.000000001),1)+IF(Skills!G6&gt;0,INT(MIN(Skills!H6,MAX(0,MAX(0,Inputs!$B$44-B2047)-((R2013-1)*(IF(Inputs!$B$39="pvp",15,MAX(0.1,Skills!D6-IF(TRUE=TRUE,Inputs!$B$33,0)))*(1-IF(AND(ArtifactsInput!$M$27,Inputs!$B$4="Chapter Hunt"),CHOOSE(ArtifactsInput!$N$27+1,20,24,28,32,36,40),0)/100)))))/Skills!G6+0.000000001),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INT(Skills!H6/Skills!G6+0.000000001),1)+IF(Skills!G6&gt;0,INT(MIN(Skills!H6,MAX(0,MAX(0,Inputs!$B$44-B2047)-((R2013-1)*(IF(Inputs!$B$39="pvp",15,MAX(0.1,Skills!D6-IF(TRUE=TRUE,Inputs!$B$33,0)))*(1-IF(AND(ArtifactsInput!$M$27,Inputs!$B$4="Chapter Hunt"),CHOOSE(ArtifactsInput!$N$27+1,20,24,28,32,36,40),0)/100)))))/Skills!G6+0.000000001),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IFERROR(1/(IF(Inputs!$B$39="pvp",15,MAX(0.1,Skills!D7-IF(TRUE=TRUE,Inputs!$B$33,0)))*(1-IF(AND(ArtifactsInput!$M$27,Inputs!$B$4="Chapter Hunt"),CHOOSE(ArtifactsInput!$N$27+1,20,24,28,32,36,40),0)/100)),0)</f>
        <v/>
      </c>
      <c r="R2014">
        <f>IF(AND(Inputs!$B$39&lt;&gt;"pvp",Inputs!$B$44&gt;0),IF(MAX(0,Inputs!$B$44-B2047)&lt;=0,0,(INT(MAX(0,Inputs!$B$44-B2047)/(IF(Inputs!$B$39="pvp",15,MAX(0.1,Skills!D7-IF(TRUE=TRUE,Inputs!$B$33,0)))*(1-IF(AND(ArtifactsInput!$M$27,Inputs!$B$4="Chapter Hunt"),CHOOSE(ArtifactsInput!$N$27+1,20,24,28,32,36,40),0)/100)))+1)),0)</f>
        <v/>
      </c>
      <c r="S2014">
        <f>IF(C2014,H2014*N2014*IF(AND(Inputs!$B$39&lt;&gt;"pvp",Inputs!$B$44&gt;0),((Skills!F7*((R2014-1)*IF(Skills!G7&gt;0,INT(Skills!H7/Skills!G7+0.000000001),1)+IF(Skills!G7&gt;0,INT(MIN(Skills!H7,MAX(0,MAX(0,Inputs!$B$44-B2047)-((R2014-1)*(IF(Inputs!$B$39="pvp",15,MAX(0.1,Skills!D7-IF(TRUE=TRUE,Inputs!$B$33,0)))*(1-IF(AND(ArtifactsInput!$M$27,Inputs!$B$4="Chapter Hunt"),CHOOSE(ArtifactsInput!$N$27+1,20,24,28,32,36,40),0)/100)))))/Skills!G7+0.000000001),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IFERROR(1/(IF(Inputs!$B$39="pvp",15,MAX(0.1,Skills!D8-IF(TRUE=TRUE,Inputs!$B$33,0)))*(1-IF(AND(ArtifactsInput!$M$27,Inputs!$B$4="Chapter Hunt"),CHOOSE(ArtifactsInput!$N$27+1,20,24,28,32,36,40),0)/100)),0)</f>
        <v/>
      </c>
      <c r="R2015">
        <f>IF(AND(Inputs!$B$39&lt;&gt;"pvp",Inputs!$B$44&gt;0),IF(MAX(0,Inputs!$B$44-B2047)&lt;=0,0,(INT(MAX(0,Inputs!$B$44-B2047)/(IF(Inputs!$B$39="pvp",15,MAX(0.1,Skills!D8-IF(TRUE=TRUE,Inputs!$B$33,0)))*(1-IF(AND(ArtifactsInput!$M$27,Inputs!$B$4="Chapter Hunt"),CHOOSE(ArtifactsInput!$N$27+1,20,24,28,32,36,40),0)/100)))+1)),0)</f>
        <v/>
      </c>
      <c r="S2015">
        <f>IF(C2015,(H2015*N2015*IF(AND(Inputs!$B$39&lt;&gt;"pvp",Inputs!$B$44&gt;0),((Skills!F8*((R2015-1)*IF(Skills!G8&gt;0,INT(Skills!H8/Skills!G8+0.000000001),1)+IF(Skills!G8&gt;0,INT(MIN(Skills!H8,MAX(0,MAX(0,Inputs!$B$44-B2047)-((R2015-1)*(IF(Inputs!$B$39="pvp",15,MAX(0.1,Skills!D8-IF(TRUE=TRUE,Inputs!$B$33,0)))*(1-IF(AND(ArtifactsInput!$M$27,Inputs!$B$4="Chapter Hunt"),CHOOSE(ArtifactsInput!$N$27+1,20,24,28,32,36,40),0)/100)))))/Skills!G8+0.000000001),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INT(Skills!H8/Skills!G8+0.000000001),1)+IF(Skills!G8&gt;0,INT(MIN(Skills!H8,MAX(0,MAX(0,Inputs!$B$44-B2047)-((R2015-1)*(IF(Inputs!$B$39="pvp",15,MAX(0.1,Skills!D8-IF(TRUE=TRUE,Inputs!$B$33,0)))*(1-IF(AND(ArtifactsInput!$M$27,Inputs!$B$4="Chapter Hunt"),CHOOSE(ArtifactsInput!$N$27+1,20,24,28,32,36,40),0)/100)))))/Skills!G8+0.000000001),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IFERROR(1/(IF(Inputs!$B$39="pvp",15,MAX(0.1,Skills!D9-IF(TRUE=TRUE,Inputs!$B$33,0)))*(1-IF(AND(ArtifactsInput!$M$27,Inputs!$B$4="Chapter Hunt"),CHOOSE(ArtifactsInput!$N$27+1,20,24,28,32,36,40),0)/100)),0)</f>
        <v/>
      </c>
      <c r="R2016">
        <f>IF(AND(Inputs!$B$39&lt;&gt;"pvp",Inputs!$B$44&gt;0),IF(MAX(0,Inputs!$B$44-B2047)&lt;=0,0,(INT(MAX(0,Inputs!$B$44-B2047)/(IF(Inputs!$B$39="pvp",15,MAX(0.1,Skills!D9-IF(TRUE=TRUE,Inputs!$B$33,0)))*(1-IF(AND(ArtifactsInput!$M$27,Inputs!$B$4="Chapter Hunt"),CHOOSE(ArtifactsInput!$N$27+1,20,24,28,32,36,40),0)/100)))+1)),0)</f>
        <v/>
      </c>
      <c r="S2016">
        <f>IF(C2016,(H2016*N2016*IF(AND(Inputs!$B$39&lt;&gt;"pvp",Inputs!$B$44&gt;0),((Skills!F9*((R2016-1)*IF(Skills!G9&gt;0,INT(Skills!H9/Skills!G9+0.000000001),1)+IF(Skills!G9&gt;0,INT(MIN(Skills!H9,MAX(0,MAX(0,Inputs!$B$44-B2047)-((R2016-1)*(IF(Inputs!$B$39="pvp",15,MAX(0.1,Skills!D9-IF(TRUE=TRUE,Inputs!$B$33,0)))*(1-IF(AND(ArtifactsInput!$M$27,Inputs!$B$4="Chapter Hunt"),CHOOSE(ArtifactsInput!$N$27+1,20,24,28,32,36,40),0)/100)))))/Skills!G9+0.000000001),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INT(Skills!H9/Skills!G9+0.000000001),1)+IF(Skills!G9&gt;0,INT(MIN(Skills!H9,MAX(0,MAX(0,Inputs!$B$44-B2047)-((R2016-1)*(IF(Inputs!$B$39="pvp",15,MAX(0.1,Skills!D9-IF(TRUE=TRUE,Inputs!$B$33,0)))*(1-IF(AND(ArtifactsInput!$M$27,Inputs!$B$4="Chapter Hunt"),CHOOSE(ArtifactsInput!$N$27+1,20,24,28,32,36,40),0)/100)))))/Skills!G9+0.000000001),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IFERROR(1/(IF(Inputs!$B$39="pvp",15,MAX(0.1,Skills!D10-IF(TRUE=TRUE,Inputs!$B$33,0)))*(1-IF(AND(ArtifactsInput!$M$27,Inputs!$B$4="Chapter Hunt"),CHOOSE(ArtifactsInput!$N$27+1,20,24,28,32,36,40),0)/100)),0)</f>
        <v/>
      </c>
      <c r="R2017">
        <f>IF(AND(Inputs!$B$39&lt;&gt;"pvp",Inputs!$B$44&gt;0),IF(MAX(0,Inputs!$B$44-B2047)&lt;=0,0,(INT(MAX(0,Inputs!$B$44-B2047)/(IF(Inputs!$B$39="pvp",15,MAX(0.1,Skills!D10-IF(TRUE=TRUE,Inputs!$B$33,0)))*(1-IF(AND(ArtifactsInput!$M$27,Inputs!$B$4="Chapter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IFERROR(1/(IF(Inputs!$B$39="pvp",15,MAX(0.1,Skills!D11-IF(TRUE=TRUE,Inputs!$B$33,0)))*(1-IF(AND(ArtifactsInput!$M$27,Inputs!$B$4="Chapter Hunt"),CHOOSE(ArtifactsInput!$N$27+1,20,24,28,32,36,40),0)/100)),0)</f>
        <v/>
      </c>
      <c r="R2018">
        <f>IF(AND(Inputs!$B$39&lt;&gt;"pvp",Inputs!$B$44&gt;0),IF(Inputs!$B$44&lt;=0,0,(INT(Inputs!$B$44/(IF(Inputs!$B$39="pvp",15,MAX(0.1,Skills!D11-IF(TRUE=TRUE,Inputs!$B$33,0)))*(1-IF(AND(ArtifactsInput!$M$27,Inputs!$B$4="Chapter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IFERROR(1/(IF(Inputs!$B$39="pvp",15,MAX(0.1,Skills!D12-IF(TRUE=TRUE,Inputs!$B$33,0)))*(1-IF(AND(ArtifactsInput!$M$27,Inputs!$B$4="Chapter Hunt"),CHOOSE(ArtifactsInput!$N$27+1,20,24,28,32,36,40),0)/100)),0)</f>
        <v/>
      </c>
      <c r="R2019">
        <f>IF(AND(Inputs!$B$39&lt;&gt;"pvp",Inputs!$B$44&gt;0),IF(MAX(0,Inputs!$B$44-B2047)&lt;=0,0,(INT(MAX(0,Inputs!$B$44-B2047)/(IF(Inputs!$B$39="pvp",15,MAX(0.1,Skills!D12-IF(TRUE=TRUE,Inputs!$B$33,0)))*(1-IF(AND(ArtifactsInput!$M$27,Inputs!$B$4="Chapter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IFERROR(1/(IF(Inputs!$B$39="pvp",15,MAX(0.1,Skills!D13-IF(TRUE=TRUE,Inputs!$B$33,0)))*(1-IF(AND(ArtifactsInput!$M$27,Inputs!$B$4="Chapter Hunt"),CHOOSE(ArtifactsInput!$N$27+1,20,24,28,32,36,40),0)/100)),0)</f>
        <v/>
      </c>
      <c r="R2020">
        <f>IF(AND(Inputs!$B$39&lt;&gt;"pvp",Inputs!$B$44&gt;0),IF(MAX(0,Inputs!$B$44-B2047)&lt;=0,0,(INT(MAX(0,Inputs!$B$44-B2047)/(IF(Inputs!$B$39="pvp",15,MAX(0.1,Skills!D13-IF(TRUE=TRUE,Inputs!$B$33,0)))*(1-IF(AND(ArtifactsInput!$M$27,Inputs!$B$4="Chapter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IFERROR(1/(IF(Inputs!$B$39="pvp",15,MAX(0.1,Skills!D14-IF(TRUE=TRUE,Inputs!$B$33,0)))*(1-IF(AND(ArtifactsInput!$M$27,Inputs!$B$4="Chapter Hunt"),CHOOSE(ArtifactsInput!$N$27+1,20,24,28,32,36,40),0)/100)),0)</f>
        <v/>
      </c>
      <c r="R2021">
        <f>IF(AND(Inputs!$B$39&lt;&gt;"pvp",Inputs!$B$44&gt;0),IF(Inputs!$B$44&lt;=0,0,(INT(Inputs!$B$44/(IF(Inputs!$B$39="pvp",15,MAX(0.1,Skills!D14-IF(TRUE=TRUE,Inputs!$B$33,0)))*(1-IF(AND(ArtifactsInput!$M$27,Inputs!$B$4="Chapter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IFERROR(1/(IF(Inputs!$B$39="pvp",15,MAX(0.1,Skills!D15-IF(TRUE=TRUE,Inputs!$B$33,0)))*(1-IF(AND(ArtifactsInput!$M$27,Inputs!$B$4="Chapter Hunt"),CHOOSE(ArtifactsInput!$N$27+1,20,24,28,32,36,40),0)/100)),0)</f>
        <v/>
      </c>
      <c r="R2022" t="n">
        <v>0</v>
      </c>
      <c r="S2022">
        <f>IF(C2022,(Skills!F15*N2022*((IF(Inputs!$B$3&gt;=78,25,15)/100*B2043*10)/(1+IF(Inputs!$B$3&gt;=78,25,15)/100*B2043*IF(Inputs!$B$39="pvp",15,MAX(0.1,18-IF(TRUE=TRUE,Inputs!$B$33,0)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IF(Inputs!$B$39="pvp",15,MAX(0.1,18-IF(TRUE=TRUE,Inputs!$B$33,0)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IFERROR(1/(IF(Inputs!$B$39="pvp",15,MAX(0.1,Skills!D16-IF(TRUE=TRUE,Inputs!$B$33,0)))*(1-IF(AND(ArtifactsInput!$M$27,Inputs!$B$4="Chapter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IFERROR(1/(IF(Inputs!$B$39="pvp",15,MAX(0.1,Skills!D17-IF(TRUE=TRUE,Inputs!$B$33,0)))*(1-IF(AND(ArtifactsInput!$M$27,Inputs!$B$4="Chapter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IFERROR(1/(IF(Inputs!$B$39="pvp",15,MAX(0.1,Skills!D18-IF(TRUE=TRUE,Inputs!$B$33,0)))*(1-IF(AND(ArtifactsInput!$M$27,Inputs!$B$4="Chapter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IFERROR(1/(IF(Inputs!$B$39="pvp",15,MAX(0.1,Skills!D19-IF(TRUE=TRUE,Inputs!$B$33,0)))*(1-IF(AND(ArtifactsInput!$M$27,Inputs!$B$4="Chapter Hunt"),CHOOSE(ArtifactsInput!$N$27+1,20,24,28,32,36,40),0)/100)),0)</f>
        <v/>
      </c>
      <c r="R2026">
        <f>IF(AND(Inputs!$B$39&lt;&gt;"pvp",Inputs!$B$44&gt;0),IF(Inputs!$B$44&lt;=0,0,(INT(Inputs!$B$44/(IF(Inputs!$B$39="pvp",15,MAX(0.1,Skills!D19-IF(TRUE=TRUE,Inputs!$B$33,0)))*(1-IF(AND(ArtifactsInput!$M$27,Inputs!$B$4="Chapter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IFERROR(1/(IF(Inputs!$B$39="pvp",15,MAX(0.1,Skills!D20-IF(TRUE=TRUE,Inputs!$B$33,0)))*(1-IF(AND(ArtifactsInput!$M$27,Inputs!$B$4="Chapter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IFERROR(1/(IF(Inputs!$B$39="pvp",15,MAX(0.1,Skills!D21-IF(TRUE=TRUE,Inputs!$B$33,0)))*(1-IF(AND(ArtifactsInput!$M$27,Inputs!$B$4="Chapter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IFERROR(1/(IF(Inputs!$B$39="pvp",15,MAX(0.1,Skills!D22-IF(TRUE=TRUE,Inputs!$B$33,0)))*(1-IF(AND(ArtifactsInput!$M$27,Inputs!$B$4="Chapter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IFERROR(1/(IF(Inputs!$B$39="pvp",15,MAX(0.1,Skills!D23-IF(TRUE=TRUE,Inputs!$B$33,0)))*(1-IF(AND(ArtifactsInput!$M$27,Inputs!$B$4="Chapter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IFERROR(1/(IF(Inputs!$B$39="pvp",15,MAX(0.1,Skills!D24-IF(TRUE=TRUE,Inputs!$B$33,0)))*(1-IF(AND(ArtifactsInput!$M$27,Inputs!$B$4="Chapter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IFERROR(1/(IF(Inputs!$B$39="pvp",15,MAX(0.1,Skills!D25-IF(TRUE=TRUE,Inputs!$B$33,0)))*(1-IF(AND(ArtifactsInput!$M$27,Inputs!$B$4="Chapter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IFERROR(1/(IF(Inputs!$B$39="pvp",15,MAX(0.1,Skills!D26-IF(TRUE=TRUE,Inputs!$B$33,0)))*(1-IF(AND(ArtifactsInput!$M$27,Inputs!$B$4="Chapter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IFERROR(1/(IF(Inputs!$B$39="pvp",15,MAX(0.1,Skills!D27-IF(TRUE=TRUE,Inputs!$B$33,0)))*(1-IF(AND(ArtifactsInput!$M$27,Inputs!$B$4="Chapter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IFERROR(1/(IF(Inputs!$B$39="pvp",15,MAX(0.1,Skills!D28-IF(TRUE=TRUE,Inputs!$B$33,0)))*(1-IF(AND(ArtifactsInput!$M$27,Inputs!$B$4="Chapter Hunt"),CHOOSE(ArtifactsInput!$N$27+1,20,24,28,32,36,40),0)/100)),0)</f>
        <v/>
      </c>
      <c r="R2035">
        <f>IF(AND(Inputs!$B$39&lt;&gt;"pvp",Inputs!$B$44&gt;0),IF(Inputs!$B$44&lt;=0,0,(INT(Inputs!$B$44/(IF(Inputs!$B$39="pvp",15,MAX(0.1,Skills!D28-IF(TRUE=TRUE,Inputs!$B$33,0)))*(1-IF(AND(ArtifactsInput!$M$27,Inputs!$B$4="Chapter Hunt"),CHOOSE(ArtifactsInput!$N$27+1,20,24,28,32,36,40),0)/100)))+1)),0)</f>
        <v/>
      </c>
      <c r="S2035" t="n">
        <v>0</v>
      </c>
      <c r="U2035" t="n">
        <v>0</v>
      </c>
    </row>
    <row r="2037">
      <c r="A2037" t="inlineStr">
        <is>
          <t>Average Buff Multiplier</t>
        </is>
      </c>
      <c r="B2037">
        <f>(1+(IF(C2010=TRUE,F2010*IF(AND(Inputs!$B$39&lt;&gt;"pvp",Inputs!$B$44&gt;0),(((R2010-1)*MIN((Skills!S3*(1+((Inputs!$B$35+(ArtifactsInput!$M$7-ArtifactsInput!$M$7)*CHOOSE(ArtifactsInput!$N$7+1,6,7.2,8.4,9.6,10.8,12)))/100)),(1/Q2010))+MIN((Skills!S3*(1+((Inputs!$B$35+(ArtifactsInput!$M$7-ArtifactsInput!$M$7)*CHOOSE(ArtifactsInput!$N$7+1,6,7.2,8.4,9.6,10.8,12)))/100)),MAX(0,Inputs!$B$44-((R2010-1)*(1/Q2010)))))/Inputs!$B$44),IF(Inputs!$B$39="pvp",MIN((Skills!S3*(1+((Inputs!$B$35+(ArtifactsInput!$M$7-ArtifactsInput!$M$7)*CHOOSE(ArtifactsInput!$N$7+1,6,7.2,8.4,9.6,10.8,12)))/100)),15)/15,MIN(1,(Skills!S3*(1+((Inputs!$B$35+(ArtifactsInput!$M$7-ArtifactsInput!$M$7)*CHOOSE(ArtifactsInput!$N$7+1,6,7.2,8.4,9.6,10.8,12)))/100))/(1/Q2010)))),0)+IF(C2011=TRUE,F2011*IF(AND(Inputs!$B$39&lt;&gt;"pvp",Inputs!$B$44&gt;0),(((R2011-1)*MIN((Skills!S4*(1+((Inputs!$B$35+(ArtifactsInput!$M$7-ArtifactsInput!$M$7)*CHOOSE(ArtifactsInput!$N$7+1,6,7.2,8.4,9.6,10.8,12)))/100)),(1/Q2011))+MIN((Skills!S4*(1+((Inputs!$B$35+(ArtifactsInput!$M$7-ArtifactsInput!$M$7)*CHOOSE(ArtifactsInput!$N$7+1,6,7.2,8.4,9.6,10.8,12)))/100)),MAX(0,Inputs!$B$44-((R2011-1)*(1/Q2011)))))/Inputs!$B$44),IF(Inputs!$B$39="pvp",MIN((Skills!S4*(1+((Inputs!$B$35+(ArtifactsInput!$M$7-ArtifactsInput!$M$7)*CHOOSE(ArtifactsInput!$N$7+1,6,7.2,8.4,9.6,10.8,12)))/100)),15)/15,MIN(1,(Skills!S4*(1+((Inputs!$B$35+(ArtifactsInput!$M$7-ArtifactsInput!$M$7)*CHOOSE(ArtifactsInput!$N$7+1,6,7.2,8.4,9.6,10.8,12)))/100))/(1/Q2011)))),0)+IF(C2012=TRUE,F2012*IF(AND(Inputs!$B$39&lt;&gt;"pvp",Inputs!$B$44&gt;0),(((R2012-1)*MIN((Skills!S5*(1+((Inputs!$B$35+(ArtifactsInput!$M$7-ArtifactsInput!$M$7)*CHOOSE(ArtifactsInput!$N$7+1,6,7.2,8.4,9.6,10.8,12)))/100)),(1/Q2012))+MIN((Skills!S5*(1+((Inputs!$B$35+(ArtifactsInput!$M$7-ArtifactsInput!$M$7)*CHOOSE(ArtifactsInput!$N$7+1,6,7.2,8.4,9.6,10.8,12)))/100)),MAX(0,Inputs!$B$44-((R2012-1)*(1/Q2012)))))/Inputs!$B$44),IF(Inputs!$B$39="pvp",MIN((Skills!S5*(1+((Inputs!$B$35+(ArtifactsInput!$M$7-ArtifactsInput!$M$7)*CHOOSE(ArtifactsInput!$N$7+1,6,7.2,8.4,9.6,10.8,12)))/100)),15)/15,MIN(1,(Skills!S5*(1+((Inputs!$B$35+(ArtifactsInput!$M$7-ArtifactsInput!$M$7)*CHOOSE(ArtifactsInput!$N$7+1,6,7.2,8.4,9.6,10.8,12)))/100))/(1/Q2012)))),0)+IF(C2018=TRUE,F2018*IF(AND(Inputs!$B$39&lt;&gt;"pvp",Inputs!$B$44&gt;0),(((R2018-1)*MIN((Skills!S11*(1+((Inputs!$B$35+(ArtifactsInput!$M$7-ArtifactsInput!$M$7)*CHOOSE(ArtifactsInput!$N$7+1,6,7.2,8.4,9.6,10.8,12)))/100)),(1/Q2018))+MIN((Skills!S11*(1+((Inputs!$B$35+(ArtifactsInput!$M$7-ArtifactsInput!$M$7)*CHOOSE(ArtifactsInput!$N$7+1,6,7.2,8.4,9.6,10.8,12)))/100)),MAX(0,Inputs!$B$44-((R2018-1)*(1/Q2018)))))/Inputs!$B$44),IF(Inputs!$B$39="pvp",MIN((Skills!S11*(1+((Inputs!$B$35+(ArtifactsInput!$M$7-ArtifactsInput!$M$7)*CHOOSE(ArtifactsInput!$N$7+1,6,7.2,8.4,9.6,10.8,12)))/100)),15)/15,MIN(1,(Skills!S11*(1+((Inputs!$B$35+(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MIN((Skills!S14*(1+((Inputs!$B$35+(ArtifactsInput!$M$7-ArtifactsInput!$M$7)*CHOOSE(ArtifactsInput!$N$7+1,6,7.2,8.4,9.6,10.8,12)))/100)),(1/Q2021))+MIN((Skills!S14*(1+((Inputs!$B$35+(ArtifactsInput!$M$7-ArtifactsInput!$M$7)*CHOOSE(ArtifactsInput!$N$7+1,6,7.2,8.4,9.6,10.8,12)))/100)),MAX(0,Inputs!$B$44-((R2021-1)*(1/Q2021)))))/Inputs!$B$44),IF(Inputs!$B$39="pvp",MIN((Skills!S14*(1+((Inputs!$B$35+(ArtifactsInput!$M$7-ArtifactsInput!$M$7)*CHOOSE(ArtifactsInput!$N$7+1,6,7.2,8.4,9.6,10.8,12)))/100)),15)/15,MIN(1,(Skills!S14*(1+((Inputs!$B$35+(ArtifactsInput!$M$7-ArtifactsInput!$M$7)*CHOOSE(ArtifactsInput!$N$7+1,6,7.2,8.4,9.6,10.8,12)))/100))/(1/Q2021))))/100),1)*IF(C2026=TRUE,(1+F2026*IF(AND(Inputs!$B$39&lt;&gt;"pvp",Inputs!$B$44&gt;0),(((R2026-1)*MIN((Skills!S19*(1+((Inputs!$B$35+(ArtifactsInput!$M$7-ArtifactsInput!$M$7)*CHOOSE(ArtifactsInput!$N$7+1,6,7.2,8.4,9.6,10.8,12)))/100)),(1/Q2026))+MIN((Skills!S19*(1+((Inputs!$B$35+(ArtifactsInput!$M$7-ArtifactsInput!$M$7)*CHOOSE(ArtifactsInput!$N$7+1,6,7.2,8.4,9.6,10.8,12)))/100)),MAX(0,Inputs!$B$44-((R2026-1)*(1/Q2026)))))/Inputs!$B$44),IF(Inputs!$B$39="pvp",MIN((Skills!S19*(1+((Inputs!$B$35+(ArtifactsInput!$M$7-ArtifactsInput!$M$7)*CHOOSE(ArtifactsInput!$N$7+1,6,7.2,8.4,9.6,10.8,12)))/100)),15)/15,MIN(1,(Skills!S19*(1+((Inputs!$B$35+(ArtifactsInput!$M$7-ArtifactsInput!$M$7)*CHOOSE(ArtifactsInput!$N$7+1,6,7.2,8.4,9.6,10.8,12)))/100))/(1/Q2026))))/100),1)</f>
        <v/>
      </c>
    </row>
    <row r="2038">
      <c r="A2038" t="inlineStr">
        <is>
          <t>Monster Damage Taken Bonus % (Holy Fountain)</t>
        </is>
      </c>
      <c r="B2038">
        <f>IF(Inputs!$B$3&gt;=68,20*IF(Inputs!$B$39="pvp",MIN((15*(1+((Inputs!$B$35+(ArtifactsInput!$M$7-ArtifactsInput!$M$7)*CHOOSE(ArtifactsInput!$N$7+1,6,7.2,8.4,9.6,10.8,12)))/100)),15)/15,MIN(1,(15*(1+((Inputs!$B$35+(ArtifactsInput!$M$7-ArtifactsInput!$M$7)*CHOOSE(ArtifactsInput!$N$7+1,6,7.2,8.4,9.6,10.8,12)))/100))/(1/Q2017))),0)</f>
        <v/>
      </c>
    </row>
    <row r="2039">
      <c r="A2039" t="inlineStr">
        <is>
          <t>Normal Monster Damage Bonus % (Holy Symbol)</t>
        </is>
      </c>
      <c r="B2039">
        <f>IF(C2019=TRUE,F2019*IF(AND(Inputs!$B$39&lt;&gt;"pvp",Inputs!$B$44&gt;0),(((R2019-1)*MIN((Skills!S12*(1+((Inputs!$B$35+(ArtifactsInput!$M$7-ArtifactsInput!$M$7)*CHOOSE(ArtifactsInput!$N$7+1,6,7.2,8.4,9.6,10.8,12)))/100)),(1/Q2019))+MIN((Skills!S12*(1+((Inputs!$B$35+(ArtifactsInput!$M$7-ArtifactsInput!$M$7)*CHOOSE(ArtifactsInput!$N$7+1,6,7.2,8.4,9.6,10.8,12)))/100)),MAX(0,Inputs!$B$44-((R2019-1)*(1/Q2019)))))/Inputs!$B$44),IF(Inputs!$B$39="pvp",MIN((Skills!S12*(1+((Inputs!$B$35+(ArtifactsInput!$M$7-ArtifactsInput!$M$7)*CHOOSE(ArtifactsInput!$N$7+1,6,7.2,8.4,9.6,10.8,12)))/100)),15)/15,MIN(1,(Skills!S12*(1+((Inputs!$B$35+(ArtifactsInput!$M$7-ArtifactsInput!$M$7)*CHOOSE(ArtifactsInput!$N$7+1,6,7.2,8.4,9.6,10.8,12)))/100))/(1/Q2019)))),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MIN((Skills!S28*(1+((Inputs!$B$35+(ArtifactsInput!$M$7-ArtifactsInput!$M$7)*CHOOSE(ArtifactsInput!$N$7+1,6,7.2,8.4,9.6,10.8,12)))/100)),(1/Q2035))+MIN((Skills!S28*(1+((Inputs!$B$35+(ArtifactsInput!$M$7-ArtifactsInput!$M$7)*CHOOSE(ArtifactsInput!$N$7+1,6,7.2,8.4,9.6,10.8,12)))/100)),MAX(0,Inputs!$B$44-((R2035-1)*(1/Q2035)))))/Inputs!$B$44),IF(Inputs!$B$39="pvp",MIN((Skills!S28*(1+((Inputs!$B$35+(ArtifactsInput!$M$7-ArtifactsInput!$M$7)*CHOOSE(ArtifactsInput!$N$7+1,6,7.2,8.4,9.6,10.8,12)))/100)),15)/15,MIN(1,(Skills!S28*(1+((Inputs!$B$35+(ArtifactsInput!$M$7-ArtifactsInput!$M$7)*CHOOSE(ArtifactsInput!$N$7+1,6,7.2,8.4,9.6,10.8,12)))/100))/(1/Q2035)))))</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MIN((Skills!S13*(1+((Inputs!$B$35+(ArtifactsInput!$M$7-ArtifactsInput!$M$7)*CHOOSE(ArtifactsInput!$N$7+1,6,7.2,8.4,9.6,10.8,12)))/100)),(1/Q2020))+MIN((Skills!S13*(1+((Inputs!$B$35+(ArtifactsInput!$M$7-ArtifactsInput!$M$7)*CHOOSE(ArtifactsInput!$N$7+1,6,7.2,8.4,9.6,10.8,12)))/100)),MAX(0,Inputs!$B$44-((R2020-1)*(1/Q2020)))))/Inputs!$B$44),IF(Inputs!$B$39="pvp",MIN((Skills!S13*(1+((Inputs!$B$35+(ArtifactsInput!$M$7-ArtifactsInput!$M$7)*CHOOSE(ArtifactsInput!$N$7+1,6,7.2,8.4,9.6,10.8,12)))/100)),15)/15,MIN(1,(Skills!S13*(1+((Inputs!$B$35+(ArtifactsInput!$M$7-ArtifactsInput!$M$7)*CHOOSE(ArtifactsInput!$N$7+1,6,7.2,8.4,9.6,10.8,12)))/100))/(1/Q2020)))),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IFERROR(1/(IF(Inputs!$B$39="pvp",15,MAX(0.1,Skills!D2-IF(TRUE=TRUE,Inputs!$B$33,0)))*(1-IF(AND(ArtifactsInput!$M$27,Inputs!$B$4="Chapter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IFERROR(1/(IF(Inputs!$B$39="pvp",15,MAX(0.1,Skills!D3-IF(TRUE=TRUE,Inputs!$B$33,0)))*(1-IF(AND(ArtifactsInput!$M$27,Inputs!$B$4="Chapter Hunt"),CHOOSE(ArtifactsInput!$N$27+1,20,24,28,32,36,40),0)/100)),0)</f>
        <v/>
      </c>
      <c r="R2055">
        <f>IF(AND(Inputs!$B$39&lt;&gt;"pvp",Inputs!$B$44&gt;0),IF(Inputs!$B$44&lt;=0,0,(INT(Inputs!$B$44/(IF(Inputs!$B$39="pvp",15,MAX(0.1,Skills!D3-IF(TRUE=TRUE,Inputs!$B$33,0)))*(1-IF(AND(ArtifactsInput!$M$27,Inputs!$B$4="Chapter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IFERROR(1/(IF(Inputs!$B$39="pvp",15,MAX(0.1,Skills!D4-IF(TRUE=TRUE,Inputs!$B$33,0)))*(1-IF(AND(ArtifactsInput!$M$27,Inputs!$B$4="Chapter Hunt"),CHOOSE(ArtifactsInput!$N$27+1,20,24,28,32,36,40),0)/100)),0)</f>
        <v/>
      </c>
      <c r="R2056">
        <f>IF(AND(Inputs!$B$39&lt;&gt;"pvp",Inputs!$B$44&gt;0),IF(Inputs!$B$44&lt;=0,0,(INT(Inputs!$B$44/(IF(Inputs!$B$39="pvp",15,MAX(0.1,Skills!D4-IF(TRUE=TRUE,Inputs!$B$33,0)))*(1-IF(AND(ArtifactsInput!$M$27,Inputs!$B$4="Chapter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IFERROR(1/(IF(Inputs!$B$39="pvp",15,MAX(0.1,Skills!D5-IF(TRUE=TRUE,Inputs!$B$33,0)))*(1-IF(AND(ArtifactsInput!$M$27,Inputs!$B$4="Chapter Hunt"),CHOOSE(ArtifactsInput!$N$27+1,20,24,28,32,36,40),0)/100)),0)</f>
        <v/>
      </c>
      <c r="R2057">
        <f>IF(AND(Inputs!$B$39&lt;&gt;"pvp",Inputs!$B$44&gt;0),IF(Inputs!$B$44&lt;=0,0,(INT(Inputs!$B$44/(IF(Inputs!$B$39="pvp",15,MAX(0.1,Skills!D5-IF(TRUE=TRUE,Inputs!$B$33,0)))*(1-IF(AND(ArtifactsInput!$M$27,Inputs!$B$4="Chapter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IFERROR(1/(IF(Inputs!$B$39="pvp",15,MAX(0.1,Skills!D6-IF(TRUE=TRUE,Inputs!$B$33,0)))*(1-IF(AND(ArtifactsInput!$M$27,Inputs!$B$4="Chapter Hunt"),CHOOSE(ArtifactsInput!$N$27+1,20,24,28,32,36,40),0)/100)),0)</f>
        <v/>
      </c>
      <c r="R2058">
        <f>IF(AND(Inputs!$B$39&lt;&gt;"pvp",Inputs!$B$44&gt;0),IF(MAX(0,Inputs!$B$44-B2092)&lt;=0,0,(INT(MAX(0,Inputs!$B$44-B2092)/(IF(Inputs!$B$39="pvp",15,MAX(0.1,Skills!D6-IF(TRUE=TRUE,Inputs!$B$33,0)))*(1-IF(AND(ArtifactsInput!$M$27,Inputs!$B$4="Chapter Hunt"),CHOOSE(ArtifactsInput!$N$27+1,20,24,28,32,36,40),0)/100)))+1)),0)</f>
        <v/>
      </c>
      <c r="S2058">
        <f>IF(C2058,(H2058*N2058*IF(AND(Inputs!$B$39&lt;&gt;"pvp",Inputs!$B$44&gt;0),((Skills!F6*((R2058-1)*IF(Skills!G6&gt;0,INT(Skills!H6/Skills!G6+0.000000001),1)+IF(Skills!G6&gt;0,INT(MIN(Skills!H6,MAX(0,MAX(0,Inputs!$B$44-B2092)-((R2058-1)*(IF(Inputs!$B$39="pvp",15,MAX(0.1,Skills!D6-IF(TRUE=TRUE,Inputs!$B$33,0)))*(1-IF(AND(ArtifactsInput!$M$27,Inputs!$B$4="Chapter Hunt"),CHOOSE(ArtifactsInput!$N$27+1,20,24,28,32,36,40),0)/100)))))/Skills!G6+0.000000001),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INT(Skills!H6/Skills!G6+0.000000001),1)+IF(Skills!G6&gt;0,INT(MIN(Skills!H6,MAX(0,MAX(0,Inputs!$B$44-B2092)-((R2058-1)*(IF(Inputs!$B$39="pvp",15,MAX(0.1,Skills!D6-IF(TRUE=TRUE,Inputs!$B$33,0)))*(1-IF(AND(ArtifactsInput!$M$27,Inputs!$B$4="Chapter Hunt"),CHOOSE(ArtifactsInput!$N$27+1,20,24,28,32,36,40),0)/100)))))/Skills!G6+0.000000001),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IFERROR(1/(IF(Inputs!$B$39="pvp",15,MAX(0.1,Skills!D7-IF(TRUE=TRUE,Inputs!$B$33,0)))*(1-IF(AND(ArtifactsInput!$M$27,Inputs!$B$4="Chapter Hunt"),CHOOSE(ArtifactsInput!$N$27+1,20,24,28,32,36,40),0)/100)),0)</f>
        <v/>
      </c>
      <c r="R2059">
        <f>IF(AND(Inputs!$B$39&lt;&gt;"pvp",Inputs!$B$44&gt;0),IF(MAX(0,Inputs!$B$44-B2092)&lt;=0,0,(INT(MAX(0,Inputs!$B$44-B2092)/(IF(Inputs!$B$39="pvp",15,MAX(0.1,Skills!D7-IF(TRUE=TRUE,Inputs!$B$33,0)))*(1-IF(AND(ArtifactsInput!$M$27,Inputs!$B$4="Chapter Hunt"),CHOOSE(ArtifactsInput!$N$27+1,20,24,28,32,36,40),0)/100)))+1)),0)</f>
        <v/>
      </c>
      <c r="S2059">
        <f>IF(C2059,H2059*N2059*IF(AND(Inputs!$B$39&lt;&gt;"pvp",Inputs!$B$44&gt;0),((Skills!F7*((R2059-1)*IF(Skills!G7&gt;0,INT(Skills!H7/Skills!G7+0.000000001),1)+IF(Skills!G7&gt;0,INT(MIN(Skills!H7,MAX(0,MAX(0,Inputs!$B$44-B2092)-((R2059-1)*(IF(Inputs!$B$39="pvp",15,MAX(0.1,Skills!D7-IF(TRUE=TRUE,Inputs!$B$33,0)))*(1-IF(AND(ArtifactsInput!$M$27,Inputs!$B$4="Chapter Hunt"),CHOOSE(ArtifactsInput!$N$27+1,20,24,28,32,36,40),0)/100)))))/Skills!G7+0.000000001),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IFERROR(1/(IF(Inputs!$B$39="pvp",15,MAX(0.1,Skills!D8-IF(TRUE=TRUE,Inputs!$B$33,0)))*(1-IF(AND(ArtifactsInput!$M$27,Inputs!$B$4="Chapter Hunt"),CHOOSE(ArtifactsInput!$N$27+1,20,24,28,32,36,40),0)/100)),0)</f>
        <v/>
      </c>
      <c r="R2060">
        <f>IF(AND(Inputs!$B$39&lt;&gt;"pvp",Inputs!$B$44&gt;0),IF(MAX(0,Inputs!$B$44-B2092)&lt;=0,0,(INT(MAX(0,Inputs!$B$44-B2092)/(IF(Inputs!$B$39="pvp",15,MAX(0.1,Skills!D8-IF(TRUE=TRUE,Inputs!$B$33,0)))*(1-IF(AND(ArtifactsInput!$M$27,Inputs!$B$4="Chapter Hunt"),CHOOSE(ArtifactsInput!$N$27+1,20,24,28,32,36,40),0)/100)))+1)),0)</f>
        <v/>
      </c>
      <c r="S2060">
        <f>IF(C2060,(H2060*N2060*IF(AND(Inputs!$B$39&lt;&gt;"pvp",Inputs!$B$44&gt;0),((Skills!F8*((R2060-1)*IF(Skills!G8&gt;0,INT(Skills!H8/Skills!G8+0.000000001),1)+IF(Skills!G8&gt;0,INT(MIN(Skills!H8,MAX(0,MAX(0,Inputs!$B$44-B2092)-((R2060-1)*(IF(Inputs!$B$39="pvp",15,MAX(0.1,Skills!D8-IF(TRUE=TRUE,Inputs!$B$33,0)))*(1-IF(AND(ArtifactsInput!$M$27,Inputs!$B$4="Chapter Hunt"),CHOOSE(ArtifactsInput!$N$27+1,20,24,28,32,36,40),0)/100)))))/Skills!G8+0.000000001),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INT(Skills!H8/Skills!G8+0.000000001),1)+IF(Skills!G8&gt;0,INT(MIN(Skills!H8,MAX(0,MAX(0,Inputs!$B$44-B2092)-((R2060-1)*(IF(Inputs!$B$39="pvp",15,MAX(0.1,Skills!D8-IF(TRUE=TRUE,Inputs!$B$33,0)))*(1-IF(AND(ArtifactsInput!$M$27,Inputs!$B$4="Chapter Hunt"),CHOOSE(ArtifactsInput!$N$27+1,20,24,28,32,36,40),0)/100)))))/Skills!G8+0.000000001),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IFERROR(1/(IF(Inputs!$B$39="pvp",15,MAX(0.1,Skills!D9-IF(TRUE=TRUE,Inputs!$B$33,0)))*(1-IF(AND(ArtifactsInput!$M$27,Inputs!$B$4="Chapter Hunt"),CHOOSE(ArtifactsInput!$N$27+1,20,24,28,32,36,40),0)/100)),0)</f>
        <v/>
      </c>
      <c r="R2061">
        <f>IF(AND(Inputs!$B$39&lt;&gt;"pvp",Inputs!$B$44&gt;0),IF(MAX(0,Inputs!$B$44-B2092)&lt;=0,0,(INT(MAX(0,Inputs!$B$44-B2092)/(IF(Inputs!$B$39="pvp",15,MAX(0.1,Skills!D9-IF(TRUE=TRUE,Inputs!$B$33,0)))*(1-IF(AND(ArtifactsInput!$M$27,Inputs!$B$4="Chapter Hunt"),CHOOSE(ArtifactsInput!$N$27+1,20,24,28,32,36,40),0)/100)))+1)),0)</f>
        <v/>
      </c>
      <c r="S2061">
        <f>IF(C2061,(H2061*N2061*IF(AND(Inputs!$B$39&lt;&gt;"pvp",Inputs!$B$44&gt;0),((Skills!F9*((R2061-1)*IF(Skills!G9&gt;0,INT(Skills!H9/Skills!G9+0.000000001),1)+IF(Skills!G9&gt;0,INT(MIN(Skills!H9,MAX(0,MAX(0,Inputs!$B$44-B2092)-((R2061-1)*(IF(Inputs!$B$39="pvp",15,MAX(0.1,Skills!D9-IF(TRUE=TRUE,Inputs!$B$33,0)))*(1-IF(AND(ArtifactsInput!$M$27,Inputs!$B$4="Chapter Hunt"),CHOOSE(ArtifactsInput!$N$27+1,20,24,28,32,36,40),0)/100)))))/Skills!G9+0.000000001),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INT(Skills!H9/Skills!G9+0.000000001),1)+IF(Skills!G9&gt;0,INT(MIN(Skills!H9,MAX(0,MAX(0,Inputs!$B$44-B2092)-((R2061-1)*(IF(Inputs!$B$39="pvp",15,MAX(0.1,Skills!D9-IF(TRUE=TRUE,Inputs!$B$33,0)))*(1-IF(AND(ArtifactsInput!$M$27,Inputs!$B$4="Chapter Hunt"),CHOOSE(ArtifactsInput!$N$27+1,20,24,28,32,36,40),0)/100)))))/Skills!G9+0.000000001),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IFERROR(1/(IF(Inputs!$B$39="pvp",15,MAX(0.1,Skills!D10-IF(TRUE=TRUE,Inputs!$B$33,0)))*(1-IF(AND(ArtifactsInput!$M$27,Inputs!$B$4="Chapter Hunt"),CHOOSE(ArtifactsInput!$N$27+1,20,24,28,32,36,40),0)/100)),0)</f>
        <v/>
      </c>
      <c r="R2062">
        <f>IF(AND(Inputs!$B$39&lt;&gt;"pvp",Inputs!$B$44&gt;0),IF(MAX(0,Inputs!$B$44-B2092)&lt;=0,0,(INT(MAX(0,Inputs!$B$44-B2092)/(IF(Inputs!$B$39="pvp",15,MAX(0.1,Skills!D10-IF(TRUE=TRUE,Inputs!$B$33,0)))*(1-IF(AND(ArtifactsInput!$M$27,Inputs!$B$4="Chapter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IFERROR(1/(IF(Inputs!$B$39="pvp",15,MAX(0.1,Skills!D11-IF(TRUE=TRUE,Inputs!$B$33,0)))*(1-IF(AND(ArtifactsInput!$M$27,Inputs!$B$4="Chapter Hunt"),CHOOSE(ArtifactsInput!$N$27+1,20,24,28,32,36,40),0)/100)),0)</f>
        <v/>
      </c>
      <c r="R2063">
        <f>IF(AND(Inputs!$B$39&lt;&gt;"pvp",Inputs!$B$44&gt;0),IF(Inputs!$B$44&lt;=0,0,(INT(Inputs!$B$44/(IF(Inputs!$B$39="pvp",15,MAX(0.1,Skills!D11-IF(TRUE=TRUE,Inputs!$B$33,0)))*(1-IF(AND(ArtifactsInput!$M$27,Inputs!$B$4="Chapter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IFERROR(1/(IF(Inputs!$B$39="pvp",15,MAX(0.1,Skills!D12-IF(TRUE=TRUE,Inputs!$B$33,0)))*(1-IF(AND(ArtifactsInput!$M$27,Inputs!$B$4="Chapter Hunt"),CHOOSE(ArtifactsInput!$N$27+1,20,24,28,32,36,40),0)/100)),0)</f>
        <v/>
      </c>
      <c r="R2064">
        <f>IF(AND(Inputs!$B$39&lt;&gt;"pvp",Inputs!$B$44&gt;0),IF(MAX(0,Inputs!$B$44-B2092)&lt;=0,0,(INT(MAX(0,Inputs!$B$44-B2092)/(IF(Inputs!$B$39="pvp",15,MAX(0.1,Skills!D12-IF(TRUE=TRUE,Inputs!$B$33,0)))*(1-IF(AND(ArtifactsInput!$M$27,Inputs!$B$4="Chapter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IFERROR(1/(IF(Inputs!$B$39="pvp",15,MAX(0.1,Skills!D13-IF(TRUE=TRUE,Inputs!$B$33,0)))*(1-IF(AND(ArtifactsInput!$M$27,Inputs!$B$4="Chapter Hunt"),CHOOSE(ArtifactsInput!$N$27+1,20,24,28,32,36,40),0)/100)),0)</f>
        <v/>
      </c>
      <c r="R2065">
        <f>IF(AND(Inputs!$B$39&lt;&gt;"pvp",Inputs!$B$44&gt;0),IF(MAX(0,Inputs!$B$44-B2092)&lt;=0,0,(INT(MAX(0,Inputs!$B$44-B2092)/(IF(Inputs!$B$39="pvp",15,MAX(0.1,Skills!D13-IF(TRUE=TRUE,Inputs!$B$33,0)))*(1-IF(AND(ArtifactsInput!$M$27,Inputs!$B$4="Chapter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IFERROR(1/(IF(Inputs!$B$39="pvp",15,MAX(0.1,Skills!D14-IF(TRUE=TRUE,Inputs!$B$33,0)))*(1-IF(AND(ArtifactsInput!$M$27,Inputs!$B$4="Chapter Hunt"),CHOOSE(ArtifactsInput!$N$27+1,20,24,28,32,36,40),0)/100)),0)</f>
        <v/>
      </c>
      <c r="R2066">
        <f>IF(AND(Inputs!$B$39&lt;&gt;"pvp",Inputs!$B$44&gt;0),IF(Inputs!$B$44&lt;=0,0,(INT(Inputs!$B$44/(IF(Inputs!$B$39="pvp",15,MAX(0.1,Skills!D14-IF(TRUE=TRUE,Inputs!$B$33,0)))*(1-IF(AND(ArtifactsInput!$M$27,Inputs!$B$4="Chapter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IFERROR(1/(IF(Inputs!$B$39="pvp",15,MAX(0.1,Skills!D15-IF(TRUE=TRUE,Inputs!$B$33,0)))*(1-IF(AND(ArtifactsInput!$M$27,Inputs!$B$4="Chapter Hunt"),CHOOSE(ArtifactsInput!$N$27+1,20,24,28,32,36,40),0)/100)),0)</f>
        <v/>
      </c>
      <c r="R2067" t="n">
        <v>0</v>
      </c>
      <c r="S2067">
        <f>IF(C2067,(Skills!F15*N2067*((IF(Inputs!$B$3&gt;=78,25,15)/100*B2088*10)/(1+IF(Inputs!$B$3&gt;=78,25,15)/100*B2088*IF(Inputs!$B$39="pvp",15,MAX(0.1,18-IF(TRUE=TRUE,Inputs!$B$33,0)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IF(Inputs!$B$39="pvp",15,MAX(0.1,18-IF(TRUE=TRUE,Inputs!$B$33,0)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IFERROR(1/(IF(Inputs!$B$39="pvp",15,MAX(0.1,Skills!D16-IF(TRUE=TRUE,Inputs!$B$33,0)))*(1-IF(AND(ArtifactsInput!$M$27,Inputs!$B$4="Chapter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IFERROR(1/(IF(Inputs!$B$39="pvp",15,MAX(0.1,Skills!D17-IF(TRUE=TRUE,Inputs!$B$33,0)))*(1-IF(AND(ArtifactsInput!$M$27,Inputs!$B$4="Chapter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IFERROR(1/(IF(Inputs!$B$39="pvp",15,MAX(0.1,Skills!D18-IF(TRUE=TRUE,Inputs!$B$33,0)))*(1-IF(AND(ArtifactsInput!$M$27,Inputs!$B$4="Chapter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IFERROR(1/(IF(Inputs!$B$39="pvp",15,MAX(0.1,Skills!D19-IF(TRUE=TRUE,Inputs!$B$33,0)))*(1-IF(AND(ArtifactsInput!$M$27,Inputs!$B$4="Chapter Hunt"),CHOOSE(ArtifactsInput!$N$27+1,20,24,28,32,36,40),0)/100)),0)</f>
        <v/>
      </c>
      <c r="R2071">
        <f>IF(AND(Inputs!$B$39&lt;&gt;"pvp",Inputs!$B$44&gt;0),IF(Inputs!$B$44&lt;=0,0,(INT(Inputs!$B$44/(IF(Inputs!$B$39="pvp",15,MAX(0.1,Skills!D19-IF(TRUE=TRUE,Inputs!$B$33,0)))*(1-IF(AND(ArtifactsInput!$M$27,Inputs!$B$4="Chapter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IFERROR(1/(IF(Inputs!$B$39="pvp",15,MAX(0.1,Skills!D20-IF(TRUE=TRUE,Inputs!$B$33,0)))*(1-IF(AND(ArtifactsInput!$M$27,Inputs!$B$4="Chapter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IFERROR(1/(IF(Inputs!$B$39="pvp",15,MAX(0.1,Skills!D21-IF(TRUE=TRUE,Inputs!$B$33,0)))*(1-IF(AND(ArtifactsInput!$M$27,Inputs!$B$4="Chapter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IFERROR(1/(IF(Inputs!$B$39="pvp",15,MAX(0.1,Skills!D22-IF(TRUE=TRUE,Inputs!$B$33,0)))*(1-IF(AND(ArtifactsInput!$M$27,Inputs!$B$4="Chapter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IFERROR(1/(IF(Inputs!$B$39="pvp",15,MAX(0.1,Skills!D23-IF(TRUE=TRUE,Inputs!$B$33,0)))*(1-IF(AND(ArtifactsInput!$M$27,Inputs!$B$4="Chapter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IFERROR(1/(IF(Inputs!$B$39="pvp",15,MAX(0.1,Skills!D24-IF(TRUE=TRUE,Inputs!$B$33,0)))*(1-IF(AND(ArtifactsInput!$M$27,Inputs!$B$4="Chapter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IFERROR(1/(IF(Inputs!$B$39="pvp",15,MAX(0.1,Skills!D25-IF(TRUE=TRUE,Inputs!$B$33,0)))*(1-IF(AND(ArtifactsInput!$M$27,Inputs!$B$4="Chapter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IFERROR(1/(IF(Inputs!$B$39="pvp",15,MAX(0.1,Skills!D26-IF(TRUE=TRUE,Inputs!$B$33,0)))*(1-IF(AND(ArtifactsInput!$M$27,Inputs!$B$4="Chapter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IFERROR(1/(IF(Inputs!$B$39="pvp",15,MAX(0.1,Skills!D27-IF(TRUE=TRUE,Inputs!$B$33,0)))*(1-IF(AND(ArtifactsInput!$M$27,Inputs!$B$4="Chapter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IFERROR(1/(IF(Inputs!$B$39="pvp",15,MAX(0.1,Skills!D28-IF(TRUE=TRUE,Inputs!$B$33,0)))*(1-IF(AND(ArtifactsInput!$M$27,Inputs!$B$4="Chapter Hunt"),CHOOSE(ArtifactsInput!$N$27+1,20,24,28,32,36,40),0)/100)),0)</f>
        <v/>
      </c>
      <c r="R2080">
        <f>IF(AND(Inputs!$B$39&lt;&gt;"pvp",Inputs!$B$44&gt;0),IF(Inputs!$B$44&lt;=0,0,(INT(Inputs!$B$44/(IF(Inputs!$B$39="pvp",15,MAX(0.1,Skills!D28-IF(TRUE=TRUE,Inputs!$B$33,0)))*(1-IF(AND(ArtifactsInput!$M$27,Inputs!$B$4="Chapter Hunt"),CHOOSE(ArtifactsInput!$N$27+1,20,24,28,32,36,40),0)/100)))+1)),0)</f>
        <v/>
      </c>
      <c r="S2080" t="n">
        <v>0</v>
      </c>
      <c r="U2080" t="n">
        <v>0</v>
      </c>
    </row>
    <row r="2082">
      <c r="A2082" t="inlineStr">
        <is>
          <t>Average Buff Multiplier</t>
        </is>
      </c>
      <c r="B2082">
        <f>(1+(IF(C2055=TRUE,F2055*IF(AND(Inputs!$B$39&lt;&gt;"pvp",Inputs!$B$44&gt;0),(((R2055-1)*MIN((Skills!S3*(1+((Inputs!$B$35+(ArtifactsInput!$M$7-ArtifactsInput!$M$7)*CHOOSE(ArtifactsInput!$N$7+1,6,7.2,8.4,9.6,10.8,12)))/100)),(1/Q2055))+MIN((Skills!S3*(1+((Inputs!$B$35+(ArtifactsInput!$M$7-ArtifactsInput!$M$7)*CHOOSE(ArtifactsInput!$N$7+1,6,7.2,8.4,9.6,10.8,12)))/100)),MAX(0,Inputs!$B$44-((R2055-1)*(1/Q2055)))))/Inputs!$B$44),IF(Inputs!$B$39="pvp",MIN((Skills!S3*(1+((Inputs!$B$35+(ArtifactsInput!$M$7-ArtifactsInput!$M$7)*CHOOSE(ArtifactsInput!$N$7+1,6,7.2,8.4,9.6,10.8,12)))/100)),15)/15,MIN(1,(Skills!S3*(1+((Inputs!$B$35+(ArtifactsInput!$M$7-ArtifactsInput!$M$7)*CHOOSE(ArtifactsInput!$N$7+1,6,7.2,8.4,9.6,10.8,12)))/100))/(1/Q2055)))),0)+IF(C2056=TRUE,F2056*IF(AND(Inputs!$B$39&lt;&gt;"pvp",Inputs!$B$44&gt;0),(((R2056-1)*MIN((Skills!S4*(1+((Inputs!$B$35+(ArtifactsInput!$M$7-ArtifactsInput!$M$7)*CHOOSE(ArtifactsInput!$N$7+1,6,7.2,8.4,9.6,10.8,12)))/100)),(1/Q2056))+MIN((Skills!S4*(1+((Inputs!$B$35+(ArtifactsInput!$M$7-ArtifactsInput!$M$7)*CHOOSE(ArtifactsInput!$N$7+1,6,7.2,8.4,9.6,10.8,12)))/100)),MAX(0,Inputs!$B$44-((R2056-1)*(1/Q2056)))))/Inputs!$B$44),IF(Inputs!$B$39="pvp",MIN((Skills!S4*(1+((Inputs!$B$35+(ArtifactsInput!$M$7-ArtifactsInput!$M$7)*CHOOSE(ArtifactsInput!$N$7+1,6,7.2,8.4,9.6,10.8,12)))/100)),15)/15,MIN(1,(Skills!S4*(1+((Inputs!$B$35+(ArtifactsInput!$M$7-ArtifactsInput!$M$7)*CHOOSE(ArtifactsInput!$N$7+1,6,7.2,8.4,9.6,10.8,12)))/100))/(1/Q2056)))),0)+IF(C2057=TRUE,F2057*IF(AND(Inputs!$B$39&lt;&gt;"pvp",Inputs!$B$44&gt;0),(((R2057-1)*MIN((Skills!S5*(1+((Inputs!$B$35+(ArtifactsInput!$M$7-ArtifactsInput!$M$7)*CHOOSE(ArtifactsInput!$N$7+1,6,7.2,8.4,9.6,10.8,12)))/100)),(1/Q2057))+MIN((Skills!S5*(1+((Inputs!$B$35+(ArtifactsInput!$M$7-ArtifactsInput!$M$7)*CHOOSE(ArtifactsInput!$N$7+1,6,7.2,8.4,9.6,10.8,12)))/100)),MAX(0,Inputs!$B$44-((R2057-1)*(1/Q2057)))))/Inputs!$B$44),IF(Inputs!$B$39="pvp",MIN((Skills!S5*(1+((Inputs!$B$35+(ArtifactsInput!$M$7-ArtifactsInput!$M$7)*CHOOSE(ArtifactsInput!$N$7+1,6,7.2,8.4,9.6,10.8,12)))/100)),15)/15,MIN(1,(Skills!S5*(1+((Inputs!$B$35+(ArtifactsInput!$M$7-ArtifactsInput!$M$7)*CHOOSE(ArtifactsInput!$N$7+1,6,7.2,8.4,9.6,10.8,12)))/100))/(1/Q2057)))),0)+IF(C2063=TRUE,F2063*IF(AND(Inputs!$B$39&lt;&gt;"pvp",Inputs!$B$44&gt;0),(((R2063-1)*MIN((Skills!S11*(1+((Inputs!$B$35+(ArtifactsInput!$M$7-ArtifactsInput!$M$7)*CHOOSE(ArtifactsInput!$N$7+1,6,7.2,8.4,9.6,10.8,12)))/100)),(1/Q2063))+MIN((Skills!S11*(1+((Inputs!$B$35+(ArtifactsInput!$M$7-ArtifactsInput!$M$7)*CHOOSE(ArtifactsInput!$N$7+1,6,7.2,8.4,9.6,10.8,12)))/100)),MAX(0,Inputs!$B$44-((R2063-1)*(1/Q2063)))))/Inputs!$B$44),IF(Inputs!$B$39="pvp",MIN((Skills!S11*(1+((Inputs!$B$35+(ArtifactsInput!$M$7-ArtifactsInput!$M$7)*CHOOSE(ArtifactsInput!$N$7+1,6,7.2,8.4,9.6,10.8,12)))/100)),15)/15,MIN(1,(Skills!S11*(1+((Inputs!$B$35+(ArtifactsInput!$M$7-ArtifactsInput!$M$7)*CHOOSE(ArtifactsInput!$N$7+1,6,7.2,8.4,9.6,10.8,12)))/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MIN((Skills!S14*(1+((Inputs!$B$35+(ArtifactsInput!$M$7-ArtifactsInput!$M$7)*CHOOSE(ArtifactsInput!$N$7+1,6,7.2,8.4,9.6,10.8,12)))/100)),(1/Q2066))+MIN((Skills!S14*(1+((Inputs!$B$35+(ArtifactsInput!$M$7-ArtifactsInput!$M$7)*CHOOSE(ArtifactsInput!$N$7+1,6,7.2,8.4,9.6,10.8,12)))/100)),MAX(0,Inputs!$B$44-((R2066-1)*(1/Q2066)))))/Inputs!$B$44),IF(Inputs!$B$39="pvp",MIN((Skills!S14*(1+((Inputs!$B$35+(ArtifactsInput!$M$7-ArtifactsInput!$M$7)*CHOOSE(ArtifactsInput!$N$7+1,6,7.2,8.4,9.6,10.8,12)))/100)),15)/15,MIN(1,(Skills!S14*(1+((Inputs!$B$35+(ArtifactsInput!$M$7-ArtifactsInput!$M$7)*CHOOSE(ArtifactsInput!$N$7+1,6,7.2,8.4,9.6,10.8,12)))/100))/(1/Q2066))))/100),1)*IF(C2071=TRUE,(1+F2071*IF(AND(Inputs!$B$39&lt;&gt;"pvp",Inputs!$B$44&gt;0),(((R2071-1)*MIN((Skills!S19*(1+((Inputs!$B$35+(ArtifactsInput!$M$7-ArtifactsInput!$M$7)*CHOOSE(ArtifactsInput!$N$7+1,6,7.2,8.4,9.6,10.8,12)))/100)),(1/Q2071))+MIN((Skills!S19*(1+((Inputs!$B$35+(ArtifactsInput!$M$7-ArtifactsInput!$M$7)*CHOOSE(ArtifactsInput!$N$7+1,6,7.2,8.4,9.6,10.8,12)))/100)),MAX(0,Inputs!$B$44-((R2071-1)*(1/Q2071)))))/Inputs!$B$44),IF(Inputs!$B$39="pvp",MIN((Skills!S19*(1+((Inputs!$B$35+(ArtifactsInput!$M$7-ArtifactsInput!$M$7)*CHOOSE(ArtifactsInput!$N$7+1,6,7.2,8.4,9.6,10.8,12)))/100)),15)/15,MIN(1,(Skills!S19*(1+((Inputs!$B$35+(ArtifactsInput!$M$7-ArtifactsInput!$M$7)*CHOOSE(ArtifactsInput!$N$7+1,6,7.2,8.4,9.6,10.8,12)))/100))/(1/Q2071))))/100),1)</f>
        <v/>
      </c>
    </row>
    <row r="2083">
      <c r="A2083" t="inlineStr">
        <is>
          <t>Monster Damage Taken Bonus % (Holy Fountain)</t>
        </is>
      </c>
      <c r="B2083">
        <f>IF(Inputs!$B$3&gt;=68,20*IF(Inputs!$B$39="pvp",MIN((15*(1+((Inputs!$B$35+(ArtifactsInput!$M$7-ArtifactsInput!$M$7)*CHOOSE(ArtifactsInput!$N$7+1,6,7.2,8.4,9.6,10.8,12)))/100)),15)/15,MIN(1,(15*(1+((Inputs!$B$35+(ArtifactsInput!$M$7-ArtifactsInput!$M$7)*CHOOSE(ArtifactsInput!$N$7+1,6,7.2,8.4,9.6,10.8,12)))/100))/(1/Q2062))),0)</f>
        <v/>
      </c>
    </row>
    <row r="2084">
      <c r="A2084" t="inlineStr">
        <is>
          <t>Normal Monster Damage Bonus % (Holy Symbol)</t>
        </is>
      </c>
      <c r="B2084">
        <f>IF(C2064=TRUE,F2064*IF(AND(Inputs!$B$39&lt;&gt;"pvp",Inputs!$B$44&gt;0),(((R2064-1)*MIN((Skills!S12*(1+((Inputs!$B$35+(ArtifactsInput!$M$7-ArtifactsInput!$M$7)*CHOOSE(ArtifactsInput!$N$7+1,6,7.2,8.4,9.6,10.8,12)))/100)),(1/Q2064))+MIN((Skills!S12*(1+((Inputs!$B$35+(ArtifactsInput!$M$7-ArtifactsInput!$M$7)*CHOOSE(ArtifactsInput!$N$7+1,6,7.2,8.4,9.6,10.8,12)))/100)),MAX(0,Inputs!$B$44-((R2064-1)*(1/Q2064)))))/Inputs!$B$44),IF(Inputs!$B$39="pvp",MIN((Skills!S12*(1+((Inputs!$B$35+(ArtifactsInput!$M$7-ArtifactsInput!$M$7)*CHOOSE(ArtifactsInput!$N$7+1,6,7.2,8.4,9.6,10.8,12)))/100)),15)/15,MIN(1,(Skills!S12*(1+((Inputs!$B$35+(ArtifactsInput!$M$7-ArtifactsInput!$M$7)*CHOOSE(ArtifactsInput!$N$7+1,6,7.2,8.4,9.6,10.8,12)))/100))/(1/Q2064)))),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MIN((Skills!S28*(1+((Inputs!$B$35+(ArtifactsInput!$M$7-ArtifactsInput!$M$7)*CHOOSE(ArtifactsInput!$N$7+1,6,7.2,8.4,9.6,10.8,12)))/100)),(1/Q2080))+MIN((Skills!S28*(1+((Inputs!$B$35+(ArtifactsInput!$M$7-ArtifactsInput!$M$7)*CHOOSE(ArtifactsInput!$N$7+1,6,7.2,8.4,9.6,10.8,12)))/100)),MAX(0,Inputs!$B$44-((R2080-1)*(1/Q2080)))))/Inputs!$B$44),IF(Inputs!$B$39="pvp",MIN((Skills!S28*(1+((Inputs!$B$35+(ArtifactsInput!$M$7-ArtifactsInput!$M$7)*CHOOSE(ArtifactsInput!$N$7+1,6,7.2,8.4,9.6,10.8,12)))/100)),15)/15,MIN(1,(Skills!S28*(1+((Inputs!$B$35+(ArtifactsInput!$M$7-ArtifactsInput!$M$7)*CHOOSE(ArtifactsInput!$N$7+1,6,7.2,8.4,9.6,10.8,12)))/100))/(1/Q2080)))))</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MIN((Skills!S13*(1+((Inputs!$B$35+(ArtifactsInput!$M$7-ArtifactsInput!$M$7)*CHOOSE(ArtifactsInput!$N$7+1,6,7.2,8.4,9.6,10.8,12)))/100)),(1/Q2065))+MIN((Skills!S13*(1+((Inputs!$B$35+(ArtifactsInput!$M$7-ArtifactsInput!$M$7)*CHOOSE(ArtifactsInput!$N$7+1,6,7.2,8.4,9.6,10.8,12)))/100)),MAX(0,Inputs!$B$44-((R2065-1)*(1/Q2065)))))/Inputs!$B$44),IF(Inputs!$B$39="pvp",MIN((Skills!S13*(1+((Inputs!$B$35+(ArtifactsInput!$M$7-ArtifactsInput!$M$7)*CHOOSE(ArtifactsInput!$N$7+1,6,7.2,8.4,9.6,10.8,12)))/100)),15)/15,MIN(1,(Skills!S13*(1+((Inputs!$B$35+(ArtifactsInput!$M$7-ArtifactsInput!$M$7)*CHOOSE(ArtifactsInput!$N$7+1,6,7.2,8.4,9.6,10.8,12)))/100))/(1/Q2065)))),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IFERROR(1/(IF(Inputs!$B$39="pvp",15,MAX(0.1,Skills!D2-IF(TRUE=TRUE,Inputs!$B$33,0)))*(1-IF(AND(ArtifactsInput!$M$27,Inputs!$B$4="Chapter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IFERROR(1/(IF(Inputs!$B$39="pvp",15,MAX(0.1,Skills!D3-IF(TRUE=TRUE,Inputs!$B$33,0)))*(1-IF(AND(ArtifactsInput!$M$27,Inputs!$B$4="Chapter Hunt"),CHOOSE(ArtifactsInput!$N$27+1,20,24,28,32,36,40),0)/100)),0)</f>
        <v/>
      </c>
      <c r="R2100">
        <f>IF(AND(Inputs!$B$39&lt;&gt;"pvp",Inputs!$B$44&gt;0),IF(Inputs!$B$44&lt;=0,0,(INT(Inputs!$B$44/(IF(Inputs!$B$39="pvp",15,MAX(0.1,Skills!D3-IF(TRUE=TRUE,Inputs!$B$33,0)))*(1-IF(AND(ArtifactsInput!$M$27,Inputs!$B$4="Chapter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IFERROR(1/(IF(Inputs!$B$39="pvp",15,MAX(0.1,Skills!D4-IF(TRUE=TRUE,Inputs!$B$33,0)))*(1-IF(AND(ArtifactsInput!$M$27,Inputs!$B$4="Chapter Hunt"),CHOOSE(ArtifactsInput!$N$27+1,20,24,28,32,36,40),0)/100)),0)</f>
        <v/>
      </c>
      <c r="R2101">
        <f>IF(AND(Inputs!$B$39&lt;&gt;"pvp",Inputs!$B$44&gt;0),IF(Inputs!$B$44&lt;=0,0,(INT(Inputs!$B$44/(IF(Inputs!$B$39="pvp",15,MAX(0.1,Skills!D4-IF(TRUE=TRUE,Inputs!$B$33,0)))*(1-IF(AND(ArtifactsInput!$M$27,Inputs!$B$4="Chapter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IFERROR(1/(IF(Inputs!$B$39="pvp",15,MAX(0.1,Skills!D5-IF(TRUE=TRUE,Inputs!$B$33,0)))*(1-IF(AND(ArtifactsInput!$M$27,Inputs!$B$4="Chapter Hunt"),CHOOSE(ArtifactsInput!$N$27+1,20,24,28,32,36,40),0)/100)),0)</f>
        <v/>
      </c>
      <c r="R2102">
        <f>IF(AND(Inputs!$B$39&lt;&gt;"pvp",Inputs!$B$44&gt;0),IF(Inputs!$B$44&lt;=0,0,(INT(Inputs!$B$44/(IF(Inputs!$B$39="pvp",15,MAX(0.1,Skills!D5-IF(TRUE=TRUE,Inputs!$B$33,0)))*(1-IF(AND(ArtifactsInput!$M$27,Inputs!$B$4="Chapter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IFERROR(1/(IF(Inputs!$B$39="pvp",15,MAX(0.1,Skills!D6-IF(TRUE=TRUE,Inputs!$B$33,0)))*(1-IF(AND(ArtifactsInput!$M$27,Inputs!$B$4="Chapter Hunt"),CHOOSE(ArtifactsInput!$N$27+1,20,24,28,32,36,40),0)/100)),0)</f>
        <v/>
      </c>
      <c r="R2103">
        <f>IF(AND(Inputs!$B$39&lt;&gt;"pvp",Inputs!$B$44&gt;0),IF(MAX(0,Inputs!$B$44-B2137)&lt;=0,0,(INT(MAX(0,Inputs!$B$44-B2137)/(IF(Inputs!$B$39="pvp",15,MAX(0.1,Skills!D6-IF(TRUE=TRUE,Inputs!$B$33,0)))*(1-IF(AND(ArtifactsInput!$M$27,Inputs!$B$4="Chapter Hunt"),CHOOSE(ArtifactsInput!$N$27+1,20,24,28,32,36,40),0)/100)))+1)),0)</f>
        <v/>
      </c>
      <c r="S2103">
        <f>IF(C2103,(H2103*N2103*IF(AND(Inputs!$B$39&lt;&gt;"pvp",Inputs!$B$44&gt;0),((Skills!F6*((R2103-1)*IF(Skills!G6&gt;0,INT(Skills!H6/Skills!G6+0.000000001),1)+IF(Skills!G6&gt;0,INT(MIN(Skills!H6,MAX(0,MAX(0,Inputs!$B$44-B2137)-((R2103-1)*(IF(Inputs!$B$39="pvp",15,MAX(0.1,Skills!D6-IF(TRUE=TRUE,Inputs!$B$33,0)))*(1-IF(AND(ArtifactsInput!$M$27,Inputs!$B$4="Chapter Hunt"),CHOOSE(ArtifactsInput!$N$27+1,20,24,28,32,36,40),0)/100)))))/Skills!G6+0.000000001),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INT(Skills!H6/Skills!G6+0.000000001),1)+IF(Skills!G6&gt;0,INT(MIN(Skills!H6,MAX(0,MAX(0,Inputs!$B$44-B2137)-((R2103-1)*(IF(Inputs!$B$39="pvp",15,MAX(0.1,Skills!D6-IF(TRUE=TRUE,Inputs!$B$33,0)))*(1-IF(AND(ArtifactsInput!$M$27,Inputs!$B$4="Chapter Hunt"),CHOOSE(ArtifactsInput!$N$27+1,20,24,28,32,36,40),0)/100)))))/Skills!G6+0.000000001),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IFERROR(1/(IF(Inputs!$B$39="pvp",15,MAX(0.1,Skills!D7-IF(TRUE=TRUE,Inputs!$B$33,0)))*(1-IF(AND(ArtifactsInput!$M$27,Inputs!$B$4="Chapter Hunt"),CHOOSE(ArtifactsInput!$N$27+1,20,24,28,32,36,40),0)/100)),0)</f>
        <v/>
      </c>
      <c r="R2104">
        <f>IF(AND(Inputs!$B$39&lt;&gt;"pvp",Inputs!$B$44&gt;0),IF(MAX(0,Inputs!$B$44-B2137)&lt;=0,0,(INT(MAX(0,Inputs!$B$44-B2137)/(IF(Inputs!$B$39="pvp",15,MAX(0.1,Skills!D7-IF(TRUE=TRUE,Inputs!$B$33,0)))*(1-IF(AND(ArtifactsInput!$M$27,Inputs!$B$4="Chapter Hunt"),CHOOSE(ArtifactsInput!$N$27+1,20,24,28,32,36,40),0)/100)))+1)),0)</f>
        <v/>
      </c>
      <c r="S2104">
        <f>IF(C2104,H2104*N2104*IF(AND(Inputs!$B$39&lt;&gt;"pvp",Inputs!$B$44&gt;0),((Skills!F7*((R2104-1)*IF(Skills!G7&gt;0,INT(Skills!H7/Skills!G7+0.000000001),1)+IF(Skills!G7&gt;0,INT(MIN(Skills!H7,MAX(0,MAX(0,Inputs!$B$44-B2137)-((R2104-1)*(IF(Inputs!$B$39="pvp",15,MAX(0.1,Skills!D7-IF(TRUE=TRUE,Inputs!$B$33,0)))*(1-IF(AND(ArtifactsInput!$M$27,Inputs!$B$4="Chapter Hunt"),CHOOSE(ArtifactsInput!$N$27+1,20,24,28,32,36,40),0)/100)))))/Skills!G7+0.000000001),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IFERROR(1/(IF(Inputs!$B$39="pvp",15,MAX(0.1,Skills!D8-IF(TRUE=TRUE,Inputs!$B$33,0)))*(1-IF(AND(ArtifactsInput!$M$27,Inputs!$B$4="Chapter Hunt"),CHOOSE(ArtifactsInput!$N$27+1,20,24,28,32,36,40),0)/100)),0)</f>
        <v/>
      </c>
      <c r="R2105">
        <f>IF(AND(Inputs!$B$39&lt;&gt;"pvp",Inputs!$B$44&gt;0),IF(MAX(0,Inputs!$B$44-B2137)&lt;=0,0,(INT(MAX(0,Inputs!$B$44-B2137)/(IF(Inputs!$B$39="pvp",15,MAX(0.1,Skills!D8-IF(TRUE=TRUE,Inputs!$B$33,0)))*(1-IF(AND(ArtifactsInput!$M$27,Inputs!$B$4="Chapter Hunt"),CHOOSE(ArtifactsInput!$N$27+1,20,24,28,32,36,40),0)/100)))+1)),0)</f>
        <v/>
      </c>
      <c r="S2105">
        <f>IF(C2105,(H2105*N2105*IF(AND(Inputs!$B$39&lt;&gt;"pvp",Inputs!$B$44&gt;0),((Skills!F8*((R2105-1)*IF(Skills!G8&gt;0,INT(Skills!H8/Skills!G8+0.000000001),1)+IF(Skills!G8&gt;0,INT(MIN(Skills!H8,MAX(0,MAX(0,Inputs!$B$44-B2137)-((R2105-1)*(IF(Inputs!$B$39="pvp",15,MAX(0.1,Skills!D8-IF(TRUE=TRUE,Inputs!$B$33,0)))*(1-IF(AND(ArtifactsInput!$M$27,Inputs!$B$4="Chapter Hunt"),CHOOSE(ArtifactsInput!$N$27+1,20,24,28,32,36,40),0)/100)))))/Skills!G8+0.000000001),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INT(Skills!H8/Skills!G8+0.000000001),1)+IF(Skills!G8&gt;0,INT(MIN(Skills!H8,MAX(0,MAX(0,Inputs!$B$44-B2137)-((R2105-1)*(IF(Inputs!$B$39="pvp",15,MAX(0.1,Skills!D8-IF(TRUE=TRUE,Inputs!$B$33,0)))*(1-IF(AND(ArtifactsInput!$M$27,Inputs!$B$4="Chapter Hunt"),CHOOSE(ArtifactsInput!$N$27+1,20,24,28,32,36,40),0)/100)))))/Skills!G8+0.000000001),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IFERROR(1/(IF(Inputs!$B$39="pvp",15,MAX(0.1,Skills!D9-IF(TRUE=TRUE,Inputs!$B$33,0)))*(1-IF(AND(ArtifactsInput!$M$27,Inputs!$B$4="Chapter Hunt"),CHOOSE(ArtifactsInput!$N$27+1,20,24,28,32,36,40),0)/100)),0)</f>
        <v/>
      </c>
      <c r="R2106">
        <f>IF(AND(Inputs!$B$39&lt;&gt;"pvp",Inputs!$B$44&gt;0),IF(MAX(0,Inputs!$B$44-B2137)&lt;=0,0,(INT(MAX(0,Inputs!$B$44-B2137)/(IF(Inputs!$B$39="pvp",15,MAX(0.1,Skills!D9-IF(TRUE=TRUE,Inputs!$B$33,0)))*(1-IF(AND(ArtifactsInput!$M$27,Inputs!$B$4="Chapter Hunt"),CHOOSE(ArtifactsInput!$N$27+1,20,24,28,32,36,40),0)/100)))+1)),0)</f>
        <v/>
      </c>
      <c r="S2106">
        <f>IF(C2106,(H2106*N2106*IF(AND(Inputs!$B$39&lt;&gt;"pvp",Inputs!$B$44&gt;0),((Skills!F9*((R2106-1)*IF(Skills!G9&gt;0,INT(Skills!H9/Skills!G9+0.000000001),1)+IF(Skills!G9&gt;0,INT(MIN(Skills!H9,MAX(0,MAX(0,Inputs!$B$44-B2137)-((R2106-1)*(IF(Inputs!$B$39="pvp",15,MAX(0.1,Skills!D9-IF(TRUE=TRUE,Inputs!$B$33,0)))*(1-IF(AND(ArtifactsInput!$M$27,Inputs!$B$4="Chapter Hunt"),CHOOSE(ArtifactsInput!$N$27+1,20,24,28,32,36,40),0)/100)))))/Skills!G9+0.000000001),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INT(Skills!H9/Skills!G9+0.000000001),1)+IF(Skills!G9&gt;0,INT(MIN(Skills!H9,MAX(0,MAX(0,Inputs!$B$44-B2137)-((R2106-1)*(IF(Inputs!$B$39="pvp",15,MAX(0.1,Skills!D9-IF(TRUE=TRUE,Inputs!$B$33,0)))*(1-IF(AND(ArtifactsInput!$M$27,Inputs!$B$4="Chapter Hunt"),CHOOSE(ArtifactsInput!$N$27+1,20,24,28,32,36,40),0)/100)))))/Skills!G9+0.000000001),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IFERROR(1/(IF(Inputs!$B$39="pvp",15,MAX(0.1,Skills!D10-IF(TRUE=TRUE,Inputs!$B$33,0)))*(1-IF(AND(ArtifactsInput!$M$27,Inputs!$B$4="Chapter Hunt"),CHOOSE(ArtifactsInput!$N$27+1,20,24,28,32,36,40),0)/100)),0)</f>
        <v/>
      </c>
      <c r="R2107">
        <f>IF(AND(Inputs!$B$39&lt;&gt;"pvp",Inputs!$B$44&gt;0),IF(MAX(0,Inputs!$B$44-B2137)&lt;=0,0,(INT(MAX(0,Inputs!$B$44-B2137)/(IF(Inputs!$B$39="pvp",15,MAX(0.1,Skills!D10-IF(TRUE=TRUE,Inputs!$B$33,0)))*(1-IF(AND(ArtifactsInput!$M$27,Inputs!$B$4="Chapter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IFERROR(1/(IF(Inputs!$B$39="pvp",15,MAX(0.1,Skills!D11-IF(TRUE=TRUE,Inputs!$B$33,0)))*(1-IF(AND(ArtifactsInput!$M$27,Inputs!$B$4="Chapter Hunt"),CHOOSE(ArtifactsInput!$N$27+1,20,24,28,32,36,40),0)/100)),0)</f>
        <v/>
      </c>
      <c r="R2108">
        <f>IF(AND(Inputs!$B$39&lt;&gt;"pvp",Inputs!$B$44&gt;0),IF(Inputs!$B$44&lt;=0,0,(INT(Inputs!$B$44/(IF(Inputs!$B$39="pvp",15,MAX(0.1,Skills!D11-IF(TRUE=TRUE,Inputs!$B$33,0)))*(1-IF(AND(ArtifactsInput!$M$27,Inputs!$B$4="Chapter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IFERROR(1/(IF(Inputs!$B$39="pvp",15,MAX(0.1,Skills!D12-IF(TRUE=TRUE,Inputs!$B$33,0)))*(1-IF(AND(ArtifactsInput!$M$27,Inputs!$B$4="Chapter Hunt"),CHOOSE(ArtifactsInput!$N$27+1,20,24,28,32,36,40),0)/100)),0)</f>
        <v/>
      </c>
      <c r="R2109">
        <f>IF(AND(Inputs!$B$39&lt;&gt;"pvp",Inputs!$B$44&gt;0),IF(MAX(0,Inputs!$B$44-B2137)&lt;=0,0,(INT(MAX(0,Inputs!$B$44-B2137)/(IF(Inputs!$B$39="pvp",15,MAX(0.1,Skills!D12-IF(TRUE=TRUE,Inputs!$B$33,0)))*(1-IF(AND(ArtifactsInput!$M$27,Inputs!$B$4="Chapter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IFERROR(1/(IF(Inputs!$B$39="pvp",15,MAX(0.1,Skills!D13-IF(TRUE=TRUE,Inputs!$B$33,0)))*(1-IF(AND(ArtifactsInput!$M$27,Inputs!$B$4="Chapter Hunt"),CHOOSE(ArtifactsInput!$N$27+1,20,24,28,32,36,40),0)/100)),0)</f>
        <v/>
      </c>
      <c r="R2110">
        <f>IF(AND(Inputs!$B$39&lt;&gt;"pvp",Inputs!$B$44&gt;0),IF(MAX(0,Inputs!$B$44-B2137)&lt;=0,0,(INT(MAX(0,Inputs!$B$44-B2137)/(IF(Inputs!$B$39="pvp",15,MAX(0.1,Skills!D13-IF(TRUE=TRUE,Inputs!$B$33,0)))*(1-IF(AND(ArtifactsInput!$M$27,Inputs!$B$4="Chapter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IFERROR(1/(IF(Inputs!$B$39="pvp",15,MAX(0.1,Skills!D14-IF(TRUE=TRUE,Inputs!$B$33,0)))*(1-IF(AND(ArtifactsInput!$M$27,Inputs!$B$4="Chapter Hunt"),CHOOSE(ArtifactsInput!$N$27+1,20,24,28,32,36,40),0)/100)),0)</f>
        <v/>
      </c>
      <c r="R2111">
        <f>IF(AND(Inputs!$B$39&lt;&gt;"pvp",Inputs!$B$44&gt;0),IF(Inputs!$B$44&lt;=0,0,(INT(Inputs!$B$44/(IF(Inputs!$B$39="pvp",15,MAX(0.1,Skills!D14-IF(TRUE=TRUE,Inputs!$B$33,0)))*(1-IF(AND(ArtifactsInput!$M$27,Inputs!$B$4="Chapter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IFERROR(1/(IF(Inputs!$B$39="pvp",15,MAX(0.1,Skills!D15-IF(TRUE=TRUE,Inputs!$B$33,0)))*(1-IF(AND(ArtifactsInput!$M$27,Inputs!$B$4="Chapter Hunt"),CHOOSE(ArtifactsInput!$N$27+1,20,24,28,32,36,40),0)/100)),0)</f>
        <v/>
      </c>
      <c r="R2112" t="n">
        <v>0</v>
      </c>
      <c r="S2112">
        <f>IF(C2112,(Skills!F15*N2112*((IF(Inputs!$B$3&gt;=78,25,15)/100*B2133*10)/(1+IF(Inputs!$B$3&gt;=78,25,15)/100*B2133*IF(Inputs!$B$39="pvp",15,MAX(0.1,18-IF(TRUE=TRUE,Inputs!$B$33,0)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IF(Inputs!$B$39="pvp",15,MAX(0.1,18-IF(TRUE=TRUE,Inputs!$B$33,0)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IFERROR(1/(IF(Inputs!$B$39="pvp",15,MAX(0.1,Skills!D16-IF(TRUE=TRUE,Inputs!$B$33,0)))*(1-IF(AND(ArtifactsInput!$M$27,Inputs!$B$4="Chapter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IFERROR(1/(IF(Inputs!$B$39="pvp",15,MAX(0.1,Skills!D17-IF(TRUE=TRUE,Inputs!$B$33,0)))*(1-IF(AND(ArtifactsInput!$M$27,Inputs!$B$4="Chapter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IFERROR(1/(IF(Inputs!$B$39="pvp",15,MAX(0.1,Skills!D18-IF(TRUE=TRUE,Inputs!$B$33,0)))*(1-IF(AND(ArtifactsInput!$M$27,Inputs!$B$4="Chapter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IFERROR(1/(IF(Inputs!$B$39="pvp",15,MAX(0.1,Skills!D19-IF(TRUE=TRUE,Inputs!$B$33,0)))*(1-IF(AND(ArtifactsInput!$M$27,Inputs!$B$4="Chapter Hunt"),CHOOSE(ArtifactsInput!$N$27+1,20,24,28,32,36,40),0)/100)),0)</f>
        <v/>
      </c>
      <c r="R2116">
        <f>IF(AND(Inputs!$B$39&lt;&gt;"pvp",Inputs!$B$44&gt;0),IF(Inputs!$B$44&lt;=0,0,(INT(Inputs!$B$44/(IF(Inputs!$B$39="pvp",15,MAX(0.1,Skills!D19-IF(TRUE=TRUE,Inputs!$B$33,0)))*(1-IF(AND(ArtifactsInput!$M$27,Inputs!$B$4="Chapter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IFERROR(1/(IF(Inputs!$B$39="pvp",15,MAX(0.1,Skills!D20-IF(TRUE=TRUE,Inputs!$B$33,0)))*(1-IF(AND(ArtifactsInput!$M$27,Inputs!$B$4="Chapter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IFERROR(1/(IF(Inputs!$B$39="pvp",15,MAX(0.1,Skills!D21-IF(TRUE=TRUE,Inputs!$B$33,0)))*(1-IF(AND(ArtifactsInput!$M$27,Inputs!$B$4="Chapter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IFERROR(1/(IF(Inputs!$B$39="pvp",15,MAX(0.1,Skills!D22-IF(TRUE=TRUE,Inputs!$B$33,0)))*(1-IF(AND(ArtifactsInput!$M$27,Inputs!$B$4="Chapter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IFERROR(1/(IF(Inputs!$B$39="pvp",15,MAX(0.1,Skills!D23-IF(TRUE=TRUE,Inputs!$B$33,0)))*(1-IF(AND(ArtifactsInput!$M$27,Inputs!$B$4="Chapter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IFERROR(1/(IF(Inputs!$B$39="pvp",15,MAX(0.1,Skills!D24-IF(TRUE=TRUE,Inputs!$B$33,0)))*(1-IF(AND(ArtifactsInput!$M$27,Inputs!$B$4="Chapter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IFERROR(1/(IF(Inputs!$B$39="pvp",15,MAX(0.1,Skills!D25-IF(TRUE=TRUE,Inputs!$B$33,0)))*(1-IF(AND(ArtifactsInput!$M$27,Inputs!$B$4="Chapter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IFERROR(1/(IF(Inputs!$B$39="pvp",15,MAX(0.1,Skills!D26-IF(TRUE=TRUE,Inputs!$B$33,0)))*(1-IF(AND(ArtifactsInput!$M$27,Inputs!$B$4="Chapter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IFERROR(1/(IF(Inputs!$B$39="pvp",15,MAX(0.1,Skills!D27-IF(TRUE=TRUE,Inputs!$B$33,0)))*(1-IF(AND(ArtifactsInput!$M$27,Inputs!$B$4="Chapter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IFERROR(1/(IF(Inputs!$B$39="pvp",15,MAX(0.1,Skills!D28-IF(TRUE=TRUE,Inputs!$B$33,0)))*(1-IF(AND(ArtifactsInput!$M$27,Inputs!$B$4="Chapter Hunt"),CHOOSE(ArtifactsInput!$N$27+1,20,24,28,32,36,40),0)/100)),0)</f>
        <v/>
      </c>
      <c r="R2125">
        <f>IF(AND(Inputs!$B$39&lt;&gt;"pvp",Inputs!$B$44&gt;0),IF(Inputs!$B$44&lt;=0,0,(INT(Inputs!$B$44/(IF(Inputs!$B$39="pvp",15,MAX(0.1,Skills!D28-IF(TRUE=TRUE,Inputs!$B$33,0)))*(1-IF(AND(ArtifactsInput!$M$27,Inputs!$B$4="Chapter Hunt"),CHOOSE(ArtifactsInput!$N$27+1,20,24,28,32,36,40),0)/100)))+1)),0)</f>
        <v/>
      </c>
      <c r="S2125" t="n">
        <v>0</v>
      </c>
      <c r="U2125" t="n">
        <v>0</v>
      </c>
    </row>
    <row r="2127">
      <c r="A2127" t="inlineStr">
        <is>
          <t>Average Buff Multiplier</t>
        </is>
      </c>
      <c r="B2127">
        <f>(1+(IF(C2100=TRUE,F2100*IF(AND(Inputs!$B$39&lt;&gt;"pvp",Inputs!$B$44&gt;0),(((R2100-1)*MIN((Skills!S3*(1+((Inputs!$B$35+(ArtifactsInput!$M$7-ArtifactsInput!$M$7)*CHOOSE(ArtifactsInput!$N$7+1,6,7.2,8.4,9.6,10.8,12)))/100)),(1/Q2100))+MIN((Skills!S3*(1+((Inputs!$B$35+(ArtifactsInput!$M$7-ArtifactsInput!$M$7)*CHOOSE(ArtifactsInput!$N$7+1,6,7.2,8.4,9.6,10.8,12)))/100)),MAX(0,Inputs!$B$44-((R2100-1)*(1/Q2100)))))/Inputs!$B$44),IF(Inputs!$B$39="pvp",MIN((Skills!S3*(1+((Inputs!$B$35+(ArtifactsInput!$M$7-ArtifactsInput!$M$7)*CHOOSE(ArtifactsInput!$N$7+1,6,7.2,8.4,9.6,10.8,12)))/100)),15)/15,MIN(1,(Skills!S3*(1+((Inputs!$B$35+(ArtifactsInput!$M$7-ArtifactsInput!$M$7)*CHOOSE(ArtifactsInput!$N$7+1,6,7.2,8.4,9.6,10.8,12)))/100))/(1/Q2100)))),0)+IF(C2101=TRUE,F2101*IF(AND(Inputs!$B$39&lt;&gt;"pvp",Inputs!$B$44&gt;0),(((R2101-1)*MIN((Skills!S4*(1+((Inputs!$B$35+(ArtifactsInput!$M$7-ArtifactsInput!$M$7)*CHOOSE(ArtifactsInput!$N$7+1,6,7.2,8.4,9.6,10.8,12)))/100)),(1/Q2101))+MIN((Skills!S4*(1+((Inputs!$B$35+(ArtifactsInput!$M$7-ArtifactsInput!$M$7)*CHOOSE(ArtifactsInput!$N$7+1,6,7.2,8.4,9.6,10.8,12)))/100)),MAX(0,Inputs!$B$44-((R2101-1)*(1/Q2101)))))/Inputs!$B$44),IF(Inputs!$B$39="pvp",MIN((Skills!S4*(1+((Inputs!$B$35+(ArtifactsInput!$M$7-ArtifactsInput!$M$7)*CHOOSE(ArtifactsInput!$N$7+1,6,7.2,8.4,9.6,10.8,12)))/100)),15)/15,MIN(1,(Skills!S4*(1+((Inputs!$B$35+(ArtifactsInput!$M$7-ArtifactsInput!$M$7)*CHOOSE(ArtifactsInput!$N$7+1,6,7.2,8.4,9.6,10.8,12)))/100))/(1/Q2101)))),0)+IF(C2102=TRUE,F2102*IF(AND(Inputs!$B$39&lt;&gt;"pvp",Inputs!$B$44&gt;0),(((R2102-1)*MIN((Skills!S5*(1+((Inputs!$B$35+(ArtifactsInput!$M$7-ArtifactsInput!$M$7)*CHOOSE(ArtifactsInput!$N$7+1,6,7.2,8.4,9.6,10.8,12)))/100)),(1/Q2102))+MIN((Skills!S5*(1+((Inputs!$B$35+(ArtifactsInput!$M$7-ArtifactsInput!$M$7)*CHOOSE(ArtifactsInput!$N$7+1,6,7.2,8.4,9.6,10.8,12)))/100)),MAX(0,Inputs!$B$44-((R2102-1)*(1/Q2102)))))/Inputs!$B$44),IF(Inputs!$B$39="pvp",MIN((Skills!S5*(1+((Inputs!$B$35+(ArtifactsInput!$M$7-ArtifactsInput!$M$7)*CHOOSE(ArtifactsInput!$N$7+1,6,7.2,8.4,9.6,10.8,12)))/100)),15)/15,MIN(1,(Skills!S5*(1+((Inputs!$B$35+(ArtifactsInput!$M$7-ArtifactsInput!$M$7)*CHOOSE(ArtifactsInput!$N$7+1,6,7.2,8.4,9.6,10.8,12)))/100))/(1/Q2102)))),0)+IF(C2108=TRUE,F2108*IF(AND(Inputs!$B$39&lt;&gt;"pvp",Inputs!$B$44&gt;0),(((R2108-1)*MIN((Skills!S11*(1+((Inputs!$B$35+(ArtifactsInput!$M$7-ArtifactsInput!$M$7)*CHOOSE(ArtifactsInput!$N$7+1,6,7.2,8.4,9.6,10.8,12)))/100)),(1/Q2108))+MIN((Skills!S11*(1+((Inputs!$B$35+(ArtifactsInput!$M$7-ArtifactsInput!$M$7)*CHOOSE(ArtifactsInput!$N$7+1,6,7.2,8.4,9.6,10.8,12)))/100)),MAX(0,Inputs!$B$44-((R2108-1)*(1/Q2108)))))/Inputs!$B$44),IF(Inputs!$B$39="pvp",MIN((Skills!S11*(1+((Inputs!$B$35+(ArtifactsInput!$M$7-ArtifactsInput!$M$7)*CHOOSE(ArtifactsInput!$N$7+1,6,7.2,8.4,9.6,10.8,12)))/100)),15)/15,MIN(1,(Skills!S11*(1+((Inputs!$B$35+(ArtifactsInput!$M$7-ArtifactsInput!$M$7)*CHOOSE(ArtifactsInput!$N$7+1,6,7.2,8.4,9.6,10.8,12)))/100))/(1/Q2108)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MIN((Skills!S14*(1+((Inputs!$B$35+(ArtifactsInput!$M$7-ArtifactsInput!$M$7)*CHOOSE(ArtifactsInput!$N$7+1,6,7.2,8.4,9.6,10.8,12)))/100)),(1/Q2111))+MIN((Skills!S14*(1+((Inputs!$B$35+(ArtifactsInput!$M$7-ArtifactsInput!$M$7)*CHOOSE(ArtifactsInput!$N$7+1,6,7.2,8.4,9.6,10.8,12)))/100)),MAX(0,Inputs!$B$44-((R2111-1)*(1/Q2111)))))/Inputs!$B$44),IF(Inputs!$B$39="pvp",MIN((Skills!S14*(1+((Inputs!$B$35+(ArtifactsInput!$M$7-ArtifactsInput!$M$7)*CHOOSE(ArtifactsInput!$N$7+1,6,7.2,8.4,9.6,10.8,12)))/100)),15)/15,MIN(1,(Skills!S14*(1+((Inputs!$B$35+(ArtifactsInput!$M$7-ArtifactsInput!$M$7)*CHOOSE(ArtifactsInput!$N$7+1,6,7.2,8.4,9.6,10.8,12)))/100))/(1/Q2111))))/100),1)*IF(C2116=TRUE,(1+F2116*IF(AND(Inputs!$B$39&lt;&gt;"pvp",Inputs!$B$44&gt;0),(((R2116-1)*MIN((Skills!S19*(1+((Inputs!$B$35+(ArtifactsInput!$M$7-ArtifactsInput!$M$7)*CHOOSE(ArtifactsInput!$N$7+1,6,7.2,8.4,9.6,10.8,12)))/100)),(1/Q2116))+MIN((Skills!S19*(1+((Inputs!$B$35+(ArtifactsInput!$M$7-ArtifactsInput!$M$7)*CHOOSE(ArtifactsInput!$N$7+1,6,7.2,8.4,9.6,10.8,12)))/100)),MAX(0,Inputs!$B$44-((R2116-1)*(1/Q2116)))))/Inputs!$B$44),IF(Inputs!$B$39="pvp",MIN((Skills!S19*(1+((Inputs!$B$35+(ArtifactsInput!$M$7-ArtifactsInput!$M$7)*CHOOSE(ArtifactsInput!$N$7+1,6,7.2,8.4,9.6,10.8,12)))/100)),15)/15,MIN(1,(Skills!S19*(1+((Inputs!$B$35+(ArtifactsInput!$M$7-ArtifactsInput!$M$7)*CHOOSE(ArtifactsInput!$N$7+1,6,7.2,8.4,9.6,10.8,12)))/100))/(1/Q2116))))/100),1)</f>
        <v/>
      </c>
    </row>
    <row r="2128">
      <c r="A2128" t="inlineStr">
        <is>
          <t>Monster Damage Taken Bonus % (Holy Fountain)</t>
        </is>
      </c>
      <c r="B2128">
        <f>IF(Inputs!$B$3&gt;=68,20*IF(Inputs!$B$39="pvp",MIN((15*(1+((Inputs!$B$35+(ArtifactsInput!$M$7-ArtifactsInput!$M$7)*CHOOSE(ArtifactsInput!$N$7+1,6,7.2,8.4,9.6,10.8,12)))/100)),15)/15,MIN(1,(15*(1+((Inputs!$B$35+(ArtifactsInput!$M$7-ArtifactsInput!$M$7)*CHOOSE(ArtifactsInput!$N$7+1,6,7.2,8.4,9.6,10.8,12)))/100))/(1/Q2107))),0)</f>
        <v/>
      </c>
    </row>
    <row r="2129">
      <c r="A2129" t="inlineStr">
        <is>
          <t>Normal Monster Damage Bonus % (Holy Symbol)</t>
        </is>
      </c>
      <c r="B2129">
        <f>IF(C2109=TRUE,F2109*IF(AND(Inputs!$B$39&lt;&gt;"pvp",Inputs!$B$44&gt;0),(((R2109-1)*MIN((Skills!S12*(1+((Inputs!$B$35+(ArtifactsInput!$M$7-ArtifactsInput!$M$7)*CHOOSE(ArtifactsInput!$N$7+1,6,7.2,8.4,9.6,10.8,12)))/100)),(1/Q2109))+MIN((Skills!S12*(1+((Inputs!$B$35+(ArtifactsInput!$M$7-ArtifactsInput!$M$7)*CHOOSE(ArtifactsInput!$N$7+1,6,7.2,8.4,9.6,10.8,12)))/100)),MAX(0,Inputs!$B$44-((R2109-1)*(1/Q2109)))))/Inputs!$B$44),IF(Inputs!$B$39="pvp",MIN((Skills!S12*(1+((Inputs!$B$35+(ArtifactsInput!$M$7-ArtifactsInput!$M$7)*CHOOSE(ArtifactsInput!$N$7+1,6,7.2,8.4,9.6,10.8,12)))/100)),15)/15,MIN(1,(Skills!S12*(1+((Inputs!$B$35+(ArtifactsInput!$M$7-ArtifactsInput!$M$7)*CHOOSE(ArtifactsInput!$N$7+1,6,7.2,8.4,9.6,10.8,12)))/100))/(1/Q2109)))),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MIN((Skills!S28*(1+((Inputs!$B$35+(ArtifactsInput!$M$7-ArtifactsInput!$M$7)*CHOOSE(ArtifactsInput!$N$7+1,6,7.2,8.4,9.6,10.8,12)))/100)),(1/Q2125))+MIN((Skills!S28*(1+((Inputs!$B$35+(ArtifactsInput!$M$7-ArtifactsInput!$M$7)*CHOOSE(ArtifactsInput!$N$7+1,6,7.2,8.4,9.6,10.8,12)))/100)),MAX(0,Inputs!$B$44-((R2125-1)*(1/Q2125)))))/Inputs!$B$44),IF(Inputs!$B$39="pvp",MIN((Skills!S28*(1+((Inputs!$B$35+(ArtifactsInput!$M$7-ArtifactsInput!$M$7)*CHOOSE(ArtifactsInput!$N$7+1,6,7.2,8.4,9.6,10.8,12)))/100)),15)/15,MIN(1,(Skills!S28*(1+((Inputs!$B$35+(ArtifactsInput!$M$7-ArtifactsInput!$M$7)*CHOOSE(ArtifactsInput!$N$7+1,6,7.2,8.4,9.6,10.8,12)))/100))/(1/Q2125)))))</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MIN((Skills!S13*(1+((Inputs!$B$35+(ArtifactsInput!$M$7-ArtifactsInput!$M$7)*CHOOSE(ArtifactsInput!$N$7+1,6,7.2,8.4,9.6,10.8,12)))/100)),(1/Q2110))+MIN((Skills!S13*(1+((Inputs!$B$35+(ArtifactsInput!$M$7-ArtifactsInput!$M$7)*CHOOSE(ArtifactsInput!$N$7+1,6,7.2,8.4,9.6,10.8,12)))/100)),MAX(0,Inputs!$B$44-((R2110-1)*(1/Q2110)))))/Inputs!$B$44),IF(Inputs!$B$39="pvp",MIN((Skills!S13*(1+((Inputs!$B$35+(ArtifactsInput!$M$7-ArtifactsInput!$M$7)*CHOOSE(ArtifactsInput!$N$7+1,6,7.2,8.4,9.6,10.8,12)))/100)),15)/15,MIN(1,(Skills!S13*(1+((Inputs!$B$35+(ArtifactsInput!$M$7-ArtifactsInput!$M$7)*CHOOSE(ArtifactsInput!$N$7+1,6,7.2,8.4,9.6,10.8,12)))/100))/(1/Q2110)))),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IFERROR(1/(IF(Inputs!$B$39="pvp",15,MAX(0.1,Skills!D2-IF(TRUE=TRUE,Inputs!$B$33,0)))*(1-IF(AND(ArtifactsInput!$M$27,Inputs!$B$4="Chapter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IFERROR(1/(IF(Inputs!$B$39="pvp",15,MAX(0.1,Skills!D3-IF(TRUE=TRUE,Inputs!$B$33,0)))*(1-IF(AND(ArtifactsInput!$M$27,Inputs!$B$4="Chapter Hunt"),CHOOSE(ArtifactsInput!$N$27+1,20,24,28,32,36,40),0)/100)),0)</f>
        <v/>
      </c>
      <c r="R2145">
        <f>IF(AND(Inputs!$B$39&lt;&gt;"pvp",Inputs!$B$44&gt;0),IF(Inputs!$B$44&lt;=0,0,(INT(Inputs!$B$44/(IF(Inputs!$B$39="pvp",15,MAX(0.1,Skills!D3-IF(TRUE=TRUE,Inputs!$B$33,0)))*(1-IF(AND(ArtifactsInput!$M$27,Inputs!$B$4="Chapter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IFERROR(1/(IF(Inputs!$B$39="pvp",15,MAX(0.1,Skills!D4-IF(TRUE=TRUE,Inputs!$B$33,0)))*(1-IF(AND(ArtifactsInput!$M$27,Inputs!$B$4="Chapter Hunt"),CHOOSE(ArtifactsInput!$N$27+1,20,24,28,32,36,40),0)/100)),0)</f>
        <v/>
      </c>
      <c r="R2146">
        <f>IF(AND(Inputs!$B$39&lt;&gt;"pvp",Inputs!$B$44&gt;0),IF(Inputs!$B$44&lt;=0,0,(INT(Inputs!$B$44/(IF(Inputs!$B$39="pvp",15,MAX(0.1,Skills!D4-IF(TRUE=TRUE,Inputs!$B$33,0)))*(1-IF(AND(ArtifactsInput!$M$27,Inputs!$B$4="Chapter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IFERROR(1/(IF(Inputs!$B$39="pvp",15,MAX(0.1,Skills!D5-IF(TRUE=TRUE,Inputs!$B$33,0)))*(1-IF(AND(ArtifactsInput!$M$27,Inputs!$B$4="Chapter Hunt"),CHOOSE(ArtifactsInput!$N$27+1,20,24,28,32,36,40),0)/100)),0)</f>
        <v/>
      </c>
      <c r="R2147">
        <f>IF(AND(Inputs!$B$39&lt;&gt;"pvp",Inputs!$B$44&gt;0),IF(Inputs!$B$44&lt;=0,0,(INT(Inputs!$B$44/(IF(Inputs!$B$39="pvp",15,MAX(0.1,Skills!D5-IF(TRUE=TRUE,Inputs!$B$33,0)))*(1-IF(AND(ArtifactsInput!$M$27,Inputs!$B$4="Chapter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IFERROR(1/(IF(Inputs!$B$39="pvp",15,MAX(0.1,Skills!D6-IF(TRUE=TRUE,Inputs!$B$33,0)))*(1-IF(AND(ArtifactsInput!$M$27,Inputs!$B$4="Chapter Hunt"),CHOOSE(ArtifactsInput!$N$27+1,20,24,28,32,36,40),0)/100)),0)</f>
        <v/>
      </c>
      <c r="R2148">
        <f>IF(AND(Inputs!$B$39&lt;&gt;"pvp",Inputs!$B$44&gt;0),IF(MAX(0,Inputs!$B$44-B2182)&lt;=0,0,(INT(MAX(0,Inputs!$B$44-B2182)/(IF(Inputs!$B$39="pvp",15,MAX(0.1,Skills!D6-IF(TRUE=TRUE,Inputs!$B$33,0)))*(1-IF(AND(ArtifactsInput!$M$27,Inputs!$B$4="Chapter Hunt"),CHOOSE(ArtifactsInput!$N$27+1,20,24,28,32,36,40),0)/100)))+1)),0)</f>
        <v/>
      </c>
      <c r="S2148">
        <f>IF(C2148,(H2148*N2148*IF(AND(Inputs!$B$39&lt;&gt;"pvp",Inputs!$B$44&gt;0),((Skills!F6*((R2148-1)*IF(Skills!G6&gt;0,INT(Skills!H6/Skills!G6+0.000000001),1)+IF(Skills!G6&gt;0,INT(MIN(Skills!H6,MAX(0,MAX(0,Inputs!$B$44-B2182)-((R2148-1)*(IF(Inputs!$B$39="pvp",15,MAX(0.1,Skills!D6-IF(TRUE=TRUE,Inputs!$B$33,0)))*(1-IF(AND(ArtifactsInput!$M$27,Inputs!$B$4="Chapter Hunt"),CHOOSE(ArtifactsInput!$N$27+1,20,24,28,32,36,40),0)/100)))))/Skills!G6+0.000000001),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INT(Skills!H6/Skills!G6+0.000000001),1)+IF(Skills!G6&gt;0,INT(MIN(Skills!H6,MAX(0,MAX(0,Inputs!$B$44-B2182)-((R2148-1)*(IF(Inputs!$B$39="pvp",15,MAX(0.1,Skills!D6-IF(TRUE=TRUE,Inputs!$B$33,0)))*(1-IF(AND(ArtifactsInput!$M$27,Inputs!$B$4="Chapter Hunt"),CHOOSE(ArtifactsInput!$N$27+1,20,24,28,32,36,40),0)/100)))))/Skills!G6+0.000000001),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IFERROR(1/(IF(Inputs!$B$39="pvp",15,MAX(0.1,Skills!D7-IF(TRUE=TRUE,Inputs!$B$33,0)))*(1-IF(AND(ArtifactsInput!$M$27,Inputs!$B$4="Chapter Hunt"),CHOOSE(ArtifactsInput!$N$27+1,20,24,28,32,36,40),0)/100)),0)</f>
        <v/>
      </c>
      <c r="R2149">
        <f>IF(AND(Inputs!$B$39&lt;&gt;"pvp",Inputs!$B$44&gt;0),IF(MAX(0,Inputs!$B$44-B2182)&lt;=0,0,(INT(MAX(0,Inputs!$B$44-B2182)/(IF(Inputs!$B$39="pvp",15,MAX(0.1,Skills!D7-IF(TRUE=TRUE,Inputs!$B$33,0)))*(1-IF(AND(ArtifactsInput!$M$27,Inputs!$B$4="Chapter Hunt"),CHOOSE(ArtifactsInput!$N$27+1,20,24,28,32,36,40),0)/100)))+1)),0)</f>
        <v/>
      </c>
      <c r="S2149">
        <f>IF(C2149,H2149*N2149*IF(AND(Inputs!$B$39&lt;&gt;"pvp",Inputs!$B$44&gt;0),((Skills!F7*((R2149-1)*IF(Skills!G7&gt;0,INT(Skills!H7/Skills!G7+0.000000001),1)+IF(Skills!G7&gt;0,INT(MIN(Skills!H7,MAX(0,MAX(0,Inputs!$B$44-B2182)-((R2149-1)*(IF(Inputs!$B$39="pvp",15,MAX(0.1,Skills!D7-IF(TRUE=TRUE,Inputs!$B$33,0)))*(1-IF(AND(ArtifactsInput!$M$27,Inputs!$B$4="Chapter Hunt"),CHOOSE(ArtifactsInput!$N$27+1,20,24,28,32,36,40),0)/100)))))/Skills!G7+0.000000001),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IFERROR(1/(IF(Inputs!$B$39="pvp",15,MAX(0.1,Skills!D8-IF(TRUE=TRUE,Inputs!$B$33,0)))*(1-IF(AND(ArtifactsInput!$M$27,Inputs!$B$4="Chapter Hunt"),CHOOSE(ArtifactsInput!$N$27+1,20,24,28,32,36,40),0)/100)),0)</f>
        <v/>
      </c>
      <c r="R2150">
        <f>IF(AND(Inputs!$B$39&lt;&gt;"pvp",Inputs!$B$44&gt;0),IF(MAX(0,Inputs!$B$44-B2182)&lt;=0,0,(INT(MAX(0,Inputs!$B$44-B2182)/(IF(Inputs!$B$39="pvp",15,MAX(0.1,Skills!D8-IF(TRUE=TRUE,Inputs!$B$33,0)))*(1-IF(AND(ArtifactsInput!$M$27,Inputs!$B$4="Chapter Hunt"),CHOOSE(ArtifactsInput!$N$27+1,20,24,28,32,36,40),0)/100)))+1)),0)</f>
        <v/>
      </c>
      <c r="S2150">
        <f>IF(C2150,(H2150*N2150*IF(AND(Inputs!$B$39&lt;&gt;"pvp",Inputs!$B$44&gt;0),((Skills!F8*((R2150-1)*IF(Skills!G8&gt;0,INT(Skills!H8/Skills!G8+0.000000001),1)+IF(Skills!G8&gt;0,INT(MIN(Skills!H8,MAX(0,MAX(0,Inputs!$B$44-B2182)-((R2150-1)*(IF(Inputs!$B$39="pvp",15,MAX(0.1,Skills!D8-IF(TRUE=TRUE,Inputs!$B$33,0)))*(1-IF(AND(ArtifactsInput!$M$27,Inputs!$B$4="Chapter Hunt"),CHOOSE(ArtifactsInput!$N$27+1,20,24,28,32,36,40),0)/100)))))/Skills!G8+0.000000001),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INT(Skills!H8/Skills!G8+0.000000001),1)+IF(Skills!G8&gt;0,INT(MIN(Skills!H8,MAX(0,MAX(0,Inputs!$B$44-B2182)-((R2150-1)*(IF(Inputs!$B$39="pvp",15,MAX(0.1,Skills!D8-IF(TRUE=TRUE,Inputs!$B$33,0)))*(1-IF(AND(ArtifactsInput!$M$27,Inputs!$B$4="Chapter Hunt"),CHOOSE(ArtifactsInput!$N$27+1,20,24,28,32,36,40),0)/100)))))/Skills!G8+0.000000001),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IFERROR(1/(IF(Inputs!$B$39="pvp",15,MAX(0.1,Skills!D9-IF(TRUE=TRUE,Inputs!$B$33,0)))*(1-IF(AND(ArtifactsInput!$M$27,Inputs!$B$4="Chapter Hunt"),CHOOSE(ArtifactsInput!$N$27+1,20,24,28,32,36,40),0)/100)),0)</f>
        <v/>
      </c>
      <c r="R2151">
        <f>IF(AND(Inputs!$B$39&lt;&gt;"pvp",Inputs!$B$44&gt;0),IF(MAX(0,Inputs!$B$44-B2182)&lt;=0,0,(INT(MAX(0,Inputs!$B$44-B2182)/(IF(Inputs!$B$39="pvp",15,MAX(0.1,Skills!D9-IF(TRUE=TRUE,Inputs!$B$33,0)))*(1-IF(AND(ArtifactsInput!$M$27,Inputs!$B$4="Chapter Hunt"),CHOOSE(ArtifactsInput!$N$27+1,20,24,28,32,36,40),0)/100)))+1)),0)</f>
        <v/>
      </c>
      <c r="S2151">
        <f>IF(C2151,(H2151*N2151*IF(AND(Inputs!$B$39&lt;&gt;"pvp",Inputs!$B$44&gt;0),((Skills!F9*((R2151-1)*IF(Skills!G9&gt;0,INT(Skills!H9/Skills!G9+0.000000001),1)+IF(Skills!G9&gt;0,INT(MIN(Skills!H9,MAX(0,MAX(0,Inputs!$B$44-B2182)-((R2151-1)*(IF(Inputs!$B$39="pvp",15,MAX(0.1,Skills!D9-IF(TRUE=TRUE,Inputs!$B$33,0)))*(1-IF(AND(ArtifactsInput!$M$27,Inputs!$B$4="Chapter Hunt"),CHOOSE(ArtifactsInput!$N$27+1,20,24,28,32,36,40),0)/100)))))/Skills!G9+0.000000001),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INT(Skills!H9/Skills!G9+0.000000001),1)+IF(Skills!G9&gt;0,INT(MIN(Skills!H9,MAX(0,MAX(0,Inputs!$B$44-B2182)-((R2151-1)*(IF(Inputs!$B$39="pvp",15,MAX(0.1,Skills!D9-IF(TRUE=TRUE,Inputs!$B$33,0)))*(1-IF(AND(ArtifactsInput!$M$27,Inputs!$B$4="Chapter Hunt"),CHOOSE(ArtifactsInput!$N$27+1,20,24,28,32,36,40),0)/100)))))/Skills!G9+0.000000001),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IFERROR(1/(IF(Inputs!$B$39="pvp",15,MAX(0.1,Skills!D10-IF(TRUE=TRUE,Inputs!$B$33,0)))*(1-IF(AND(ArtifactsInput!$M$27,Inputs!$B$4="Chapter Hunt"),CHOOSE(ArtifactsInput!$N$27+1,20,24,28,32,36,40),0)/100)),0)</f>
        <v/>
      </c>
      <c r="R2152">
        <f>IF(AND(Inputs!$B$39&lt;&gt;"pvp",Inputs!$B$44&gt;0),IF(MAX(0,Inputs!$B$44-B2182)&lt;=0,0,(INT(MAX(0,Inputs!$B$44-B2182)/(IF(Inputs!$B$39="pvp",15,MAX(0.1,Skills!D10-IF(TRUE=TRUE,Inputs!$B$33,0)))*(1-IF(AND(ArtifactsInput!$M$27,Inputs!$B$4="Chapter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IFERROR(1/(IF(Inputs!$B$39="pvp",15,MAX(0.1,Skills!D11-IF(TRUE=TRUE,Inputs!$B$33,0)))*(1-IF(AND(ArtifactsInput!$M$27,Inputs!$B$4="Chapter Hunt"),CHOOSE(ArtifactsInput!$N$27+1,20,24,28,32,36,40),0)/100)),0)</f>
        <v/>
      </c>
      <c r="R2153">
        <f>IF(AND(Inputs!$B$39&lt;&gt;"pvp",Inputs!$B$44&gt;0),IF(Inputs!$B$44&lt;=0,0,(INT(Inputs!$B$44/(IF(Inputs!$B$39="pvp",15,MAX(0.1,Skills!D11-IF(TRUE=TRUE,Inputs!$B$33,0)))*(1-IF(AND(ArtifactsInput!$M$27,Inputs!$B$4="Chapter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IFERROR(1/(IF(Inputs!$B$39="pvp",15,MAX(0.1,Skills!D12-IF(TRUE=TRUE,Inputs!$B$33,0)))*(1-IF(AND(ArtifactsInput!$M$27,Inputs!$B$4="Chapter Hunt"),CHOOSE(ArtifactsInput!$N$27+1,20,24,28,32,36,40),0)/100)),0)</f>
        <v/>
      </c>
      <c r="R2154">
        <f>IF(AND(Inputs!$B$39&lt;&gt;"pvp",Inputs!$B$44&gt;0),IF(MAX(0,Inputs!$B$44-B2182)&lt;=0,0,(INT(MAX(0,Inputs!$B$44-B2182)/(IF(Inputs!$B$39="pvp",15,MAX(0.1,Skills!D12-IF(TRUE=TRUE,Inputs!$B$33,0)))*(1-IF(AND(ArtifactsInput!$M$27,Inputs!$B$4="Chapter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IFERROR(1/(IF(Inputs!$B$39="pvp",15,MAX(0.1,Skills!D13-IF(TRUE=TRUE,Inputs!$B$33,0)))*(1-IF(AND(ArtifactsInput!$M$27,Inputs!$B$4="Chapter Hunt"),CHOOSE(ArtifactsInput!$N$27+1,20,24,28,32,36,40),0)/100)),0)</f>
        <v/>
      </c>
      <c r="R2155">
        <f>IF(AND(Inputs!$B$39&lt;&gt;"pvp",Inputs!$B$44&gt;0),IF(MAX(0,Inputs!$B$44-B2182)&lt;=0,0,(INT(MAX(0,Inputs!$B$44-B2182)/(IF(Inputs!$B$39="pvp",15,MAX(0.1,Skills!D13-IF(TRUE=TRUE,Inputs!$B$33,0)))*(1-IF(AND(ArtifactsInput!$M$27,Inputs!$B$4="Chapter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IFERROR(1/(IF(Inputs!$B$39="pvp",15,MAX(0.1,Skills!D14-IF(TRUE=TRUE,Inputs!$B$33,0)))*(1-IF(AND(ArtifactsInput!$M$27,Inputs!$B$4="Chapter Hunt"),CHOOSE(ArtifactsInput!$N$27+1,20,24,28,32,36,40),0)/100)),0)</f>
        <v/>
      </c>
      <c r="R2156">
        <f>IF(AND(Inputs!$B$39&lt;&gt;"pvp",Inputs!$B$44&gt;0),IF(Inputs!$B$44&lt;=0,0,(INT(Inputs!$B$44/(IF(Inputs!$B$39="pvp",15,MAX(0.1,Skills!D14-IF(TRUE=TRUE,Inputs!$B$33,0)))*(1-IF(AND(ArtifactsInput!$M$27,Inputs!$B$4="Chapter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IFERROR(1/(IF(Inputs!$B$39="pvp",15,MAX(0.1,Skills!D15-IF(TRUE=TRUE,Inputs!$B$33,0)))*(1-IF(AND(ArtifactsInput!$M$27,Inputs!$B$4="Chapter Hunt"),CHOOSE(ArtifactsInput!$N$27+1,20,24,28,32,36,40),0)/100)),0)</f>
        <v/>
      </c>
      <c r="R2157" t="n">
        <v>0</v>
      </c>
      <c r="S2157">
        <f>IF(C2157,(Skills!F15*N2157*((IF(Inputs!$B$3&gt;=78,25,15)/100*B2178*10)/(1+IF(Inputs!$B$3&gt;=78,25,15)/100*B2178*IF(Inputs!$B$39="pvp",15,MAX(0.1,18-IF(TRUE=TRUE,Inputs!$B$33,0)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IF(Inputs!$B$39="pvp",15,MAX(0.1,18-IF(TRUE=TRUE,Inputs!$B$33,0)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IFERROR(1/(IF(Inputs!$B$39="pvp",15,MAX(0.1,Skills!D16-IF(TRUE=TRUE,Inputs!$B$33,0)))*(1-IF(AND(ArtifactsInput!$M$27,Inputs!$B$4="Chapter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IFERROR(1/(IF(Inputs!$B$39="pvp",15,MAX(0.1,Skills!D17-IF(TRUE=TRUE,Inputs!$B$33,0)))*(1-IF(AND(ArtifactsInput!$M$27,Inputs!$B$4="Chapter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IFERROR(1/(IF(Inputs!$B$39="pvp",15,MAX(0.1,Skills!D18-IF(TRUE=TRUE,Inputs!$B$33,0)))*(1-IF(AND(ArtifactsInput!$M$27,Inputs!$B$4="Chapter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IFERROR(1/(IF(Inputs!$B$39="pvp",15,MAX(0.1,Skills!D19-IF(TRUE=TRUE,Inputs!$B$33,0)))*(1-IF(AND(ArtifactsInput!$M$27,Inputs!$B$4="Chapter Hunt"),CHOOSE(ArtifactsInput!$N$27+1,20,24,28,32,36,40),0)/100)),0)</f>
        <v/>
      </c>
      <c r="R2161">
        <f>IF(AND(Inputs!$B$39&lt;&gt;"pvp",Inputs!$B$44&gt;0),IF(Inputs!$B$44&lt;=0,0,(INT(Inputs!$B$44/(IF(Inputs!$B$39="pvp",15,MAX(0.1,Skills!D19-IF(TRUE=TRUE,Inputs!$B$33,0)))*(1-IF(AND(ArtifactsInput!$M$27,Inputs!$B$4="Chapter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IFERROR(1/(IF(Inputs!$B$39="pvp",15,MAX(0.1,Skills!D20-IF(TRUE=TRUE,Inputs!$B$33,0)))*(1-IF(AND(ArtifactsInput!$M$27,Inputs!$B$4="Chapter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IFERROR(1/(IF(Inputs!$B$39="pvp",15,MAX(0.1,Skills!D21-IF(TRUE=TRUE,Inputs!$B$33,0)))*(1-IF(AND(ArtifactsInput!$M$27,Inputs!$B$4="Chapter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IFERROR(1/(IF(Inputs!$B$39="pvp",15,MAX(0.1,Skills!D22-IF(TRUE=TRUE,Inputs!$B$33,0)))*(1-IF(AND(ArtifactsInput!$M$27,Inputs!$B$4="Chapter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IFERROR(1/(IF(Inputs!$B$39="pvp",15,MAX(0.1,Skills!D23-IF(TRUE=TRUE,Inputs!$B$33,0)))*(1-IF(AND(ArtifactsInput!$M$27,Inputs!$B$4="Chapter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IFERROR(1/(IF(Inputs!$B$39="pvp",15,MAX(0.1,Skills!D24-IF(TRUE=TRUE,Inputs!$B$33,0)))*(1-IF(AND(ArtifactsInput!$M$27,Inputs!$B$4="Chapter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IFERROR(1/(IF(Inputs!$B$39="pvp",15,MAX(0.1,Skills!D25-IF(TRUE=TRUE,Inputs!$B$33,0)))*(1-IF(AND(ArtifactsInput!$M$27,Inputs!$B$4="Chapter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IFERROR(1/(IF(Inputs!$B$39="pvp",15,MAX(0.1,Skills!D26-IF(TRUE=TRUE,Inputs!$B$33,0)))*(1-IF(AND(ArtifactsInput!$M$27,Inputs!$B$4="Chapter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IFERROR(1/(IF(Inputs!$B$39="pvp",15,MAX(0.1,Skills!D27-IF(TRUE=TRUE,Inputs!$B$33,0)))*(1-IF(AND(ArtifactsInput!$M$27,Inputs!$B$4="Chapter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IFERROR(1/(IF(Inputs!$B$39="pvp",15,MAX(0.1,Skills!D28-IF(TRUE=TRUE,Inputs!$B$33,0)))*(1-IF(AND(ArtifactsInput!$M$27,Inputs!$B$4="Chapter Hunt"),CHOOSE(ArtifactsInput!$N$27+1,20,24,28,32,36,40),0)/100)),0)</f>
        <v/>
      </c>
      <c r="R2170">
        <f>IF(AND(Inputs!$B$39&lt;&gt;"pvp",Inputs!$B$44&gt;0),IF(Inputs!$B$44&lt;=0,0,(INT(Inputs!$B$44/(IF(Inputs!$B$39="pvp",15,MAX(0.1,Skills!D28-IF(TRUE=TRUE,Inputs!$B$33,0)))*(1-IF(AND(ArtifactsInput!$M$27,Inputs!$B$4="Chapter Hunt"),CHOOSE(ArtifactsInput!$N$27+1,20,24,28,32,36,40),0)/100)))+1)),0)</f>
        <v/>
      </c>
      <c r="S2170" t="n">
        <v>0</v>
      </c>
      <c r="U2170" t="n">
        <v>0</v>
      </c>
    </row>
    <row r="2172">
      <c r="A2172" t="inlineStr">
        <is>
          <t>Average Buff Multiplier</t>
        </is>
      </c>
      <c r="B2172">
        <f>(1+(IF(C2145=TRUE,F2145*IF(AND(Inputs!$B$39&lt;&gt;"pvp",Inputs!$B$44&gt;0),(((R2145-1)*MIN((Skills!S3*(1+((Inputs!$B$35+(ArtifactsInput!$M$7-ArtifactsInput!$M$7)*CHOOSE(ArtifactsInput!$N$7+1,6,7.2,8.4,9.6,10.8,12)))/100)),(1/Q2145))+MIN((Skills!S3*(1+((Inputs!$B$35+(ArtifactsInput!$M$7-ArtifactsInput!$M$7)*CHOOSE(ArtifactsInput!$N$7+1,6,7.2,8.4,9.6,10.8,12)))/100)),MAX(0,Inputs!$B$44-((R2145-1)*(1/Q2145)))))/Inputs!$B$44),IF(Inputs!$B$39="pvp",MIN((Skills!S3*(1+((Inputs!$B$35+(ArtifactsInput!$M$7-ArtifactsInput!$M$7)*CHOOSE(ArtifactsInput!$N$7+1,6,7.2,8.4,9.6,10.8,12)))/100)),15)/15,MIN(1,(Skills!S3*(1+((Inputs!$B$35+(ArtifactsInput!$M$7-ArtifactsInput!$M$7)*CHOOSE(ArtifactsInput!$N$7+1,6,7.2,8.4,9.6,10.8,12)))/100))/(1/Q2145)))),0)+IF(C2146=TRUE,F2146*IF(AND(Inputs!$B$39&lt;&gt;"pvp",Inputs!$B$44&gt;0),(((R2146-1)*MIN((Skills!S4*(1+((Inputs!$B$35+(ArtifactsInput!$M$7-ArtifactsInput!$M$7)*CHOOSE(ArtifactsInput!$N$7+1,6,7.2,8.4,9.6,10.8,12)))/100)),(1/Q2146))+MIN((Skills!S4*(1+((Inputs!$B$35+(ArtifactsInput!$M$7-ArtifactsInput!$M$7)*CHOOSE(ArtifactsInput!$N$7+1,6,7.2,8.4,9.6,10.8,12)))/100)),MAX(0,Inputs!$B$44-((R2146-1)*(1/Q2146)))))/Inputs!$B$44),IF(Inputs!$B$39="pvp",MIN((Skills!S4*(1+((Inputs!$B$35+(ArtifactsInput!$M$7-ArtifactsInput!$M$7)*CHOOSE(ArtifactsInput!$N$7+1,6,7.2,8.4,9.6,10.8,12)))/100)),15)/15,MIN(1,(Skills!S4*(1+((Inputs!$B$35+(ArtifactsInput!$M$7-ArtifactsInput!$M$7)*CHOOSE(ArtifactsInput!$N$7+1,6,7.2,8.4,9.6,10.8,12)))/100))/(1/Q2146)))),0)+IF(C2147=TRUE,F2147*IF(AND(Inputs!$B$39&lt;&gt;"pvp",Inputs!$B$44&gt;0),(((R2147-1)*MIN((Skills!S5*(1+((Inputs!$B$35+(ArtifactsInput!$M$7-ArtifactsInput!$M$7)*CHOOSE(ArtifactsInput!$N$7+1,6,7.2,8.4,9.6,10.8,12)))/100)),(1/Q2147))+MIN((Skills!S5*(1+((Inputs!$B$35+(ArtifactsInput!$M$7-ArtifactsInput!$M$7)*CHOOSE(ArtifactsInput!$N$7+1,6,7.2,8.4,9.6,10.8,12)))/100)),MAX(0,Inputs!$B$44-((R2147-1)*(1/Q2147)))))/Inputs!$B$44),IF(Inputs!$B$39="pvp",MIN((Skills!S5*(1+((Inputs!$B$35+(ArtifactsInput!$M$7-ArtifactsInput!$M$7)*CHOOSE(ArtifactsInput!$N$7+1,6,7.2,8.4,9.6,10.8,12)))/100)),15)/15,MIN(1,(Skills!S5*(1+((Inputs!$B$35+(ArtifactsInput!$M$7-ArtifactsInput!$M$7)*CHOOSE(ArtifactsInput!$N$7+1,6,7.2,8.4,9.6,10.8,12)))/100))/(1/Q2147)))),0)+IF(C2153=TRUE,F2153*IF(AND(Inputs!$B$39&lt;&gt;"pvp",Inputs!$B$44&gt;0),(((R2153-1)*MIN((Skills!S11*(1+((Inputs!$B$35+(ArtifactsInput!$M$7-ArtifactsInput!$M$7)*CHOOSE(ArtifactsInput!$N$7+1,6,7.2,8.4,9.6,10.8,12)))/100)),(1/Q2153))+MIN((Skills!S11*(1+((Inputs!$B$35+(ArtifactsInput!$M$7-ArtifactsInput!$M$7)*CHOOSE(ArtifactsInput!$N$7+1,6,7.2,8.4,9.6,10.8,12)))/100)),MAX(0,Inputs!$B$44-((R2153-1)*(1/Q2153)))))/Inputs!$B$44),IF(Inputs!$B$39="pvp",MIN((Skills!S11*(1+((Inputs!$B$35+(ArtifactsInput!$M$7-ArtifactsInput!$M$7)*CHOOSE(ArtifactsInput!$N$7+1,6,7.2,8.4,9.6,10.8,12)))/100)),15)/15,MIN(1,(Skills!S11*(1+((Inputs!$B$35+(ArtifactsInput!$M$7-ArtifactsInput!$M$7)*CHOOSE(ArtifactsInput!$N$7+1,6,7.2,8.4,9.6,10.8,12)))/100))/(1/Q2153)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MIN((Skills!S14*(1+((Inputs!$B$35+(ArtifactsInput!$M$7-ArtifactsInput!$M$7)*CHOOSE(ArtifactsInput!$N$7+1,6,7.2,8.4,9.6,10.8,12)))/100)),(1/Q2156))+MIN((Skills!S14*(1+((Inputs!$B$35+(ArtifactsInput!$M$7-ArtifactsInput!$M$7)*CHOOSE(ArtifactsInput!$N$7+1,6,7.2,8.4,9.6,10.8,12)))/100)),MAX(0,Inputs!$B$44-((R2156-1)*(1/Q2156)))))/Inputs!$B$44),IF(Inputs!$B$39="pvp",MIN((Skills!S14*(1+((Inputs!$B$35+(ArtifactsInput!$M$7-ArtifactsInput!$M$7)*CHOOSE(ArtifactsInput!$N$7+1,6,7.2,8.4,9.6,10.8,12)))/100)),15)/15,MIN(1,(Skills!S14*(1+((Inputs!$B$35+(ArtifactsInput!$M$7-ArtifactsInput!$M$7)*CHOOSE(ArtifactsInput!$N$7+1,6,7.2,8.4,9.6,10.8,12)))/100))/(1/Q2156))))/100),1)*IF(C2161=TRUE,(1+F2161*IF(AND(Inputs!$B$39&lt;&gt;"pvp",Inputs!$B$44&gt;0),(((R2161-1)*MIN((Skills!S19*(1+((Inputs!$B$35+(ArtifactsInput!$M$7-ArtifactsInput!$M$7)*CHOOSE(ArtifactsInput!$N$7+1,6,7.2,8.4,9.6,10.8,12)))/100)),(1/Q2161))+MIN((Skills!S19*(1+((Inputs!$B$35+(ArtifactsInput!$M$7-ArtifactsInput!$M$7)*CHOOSE(ArtifactsInput!$N$7+1,6,7.2,8.4,9.6,10.8,12)))/100)),MAX(0,Inputs!$B$44-((R2161-1)*(1/Q2161)))))/Inputs!$B$44),IF(Inputs!$B$39="pvp",MIN((Skills!S19*(1+((Inputs!$B$35+(ArtifactsInput!$M$7-ArtifactsInput!$M$7)*CHOOSE(ArtifactsInput!$N$7+1,6,7.2,8.4,9.6,10.8,12)))/100)),15)/15,MIN(1,(Skills!S19*(1+((Inputs!$B$35+(ArtifactsInput!$M$7-ArtifactsInput!$M$7)*CHOOSE(ArtifactsInput!$N$7+1,6,7.2,8.4,9.6,10.8,12)))/100))/(1/Q2161))))/100),1)</f>
        <v/>
      </c>
    </row>
    <row r="2173">
      <c r="A2173" t="inlineStr">
        <is>
          <t>Monster Damage Taken Bonus % (Holy Fountain)</t>
        </is>
      </c>
      <c r="B2173">
        <f>IF(Inputs!$B$3&gt;=68,20*IF(Inputs!$B$39="pvp",MIN((15*(1+((Inputs!$B$35+(ArtifactsInput!$M$7-ArtifactsInput!$M$7)*CHOOSE(ArtifactsInput!$N$7+1,6,7.2,8.4,9.6,10.8,12)))/100)),15)/15,MIN(1,(15*(1+((Inputs!$B$35+(ArtifactsInput!$M$7-ArtifactsInput!$M$7)*CHOOSE(ArtifactsInput!$N$7+1,6,7.2,8.4,9.6,10.8,12)))/100))/(1/Q2152))),0)</f>
        <v/>
      </c>
    </row>
    <row r="2174">
      <c r="A2174" t="inlineStr">
        <is>
          <t>Normal Monster Damage Bonus % (Holy Symbol)</t>
        </is>
      </c>
      <c r="B2174">
        <f>IF(C2154=TRUE,F2154*IF(AND(Inputs!$B$39&lt;&gt;"pvp",Inputs!$B$44&gt;0),(((R2154-1)*MIN((Skills!S12*(1+((Inputs!$B$35+(ArtifactsInput!$M$7-ArtifactsInput!$M$7)*CHOOSE(ArtifactsInput!$N$7+1,6,7.2,8.4,9.6,10.8,12)))/100)),(1/Q2154))+MIN((Skills!S12*(1+((Inputs!$B$35+(ArtifactsInput!$M$7-ArtifactsInput!$M$7)*CHOOSE(ArtifactsInput!$N$7+1,6,7.2,8.4,9.6,10.8,12)))/100)),MAX(0,Inputs!$B$44-((R2154-1)*(1/Q2154)))))/Inputs!$B$44),IF(Inputs!$B$39="pvp",MIN((Skills!S12*(1+((Inputs!$B$35+(ArtifactsInput!$M$7-ArtifactsInput!$M$7)*CHOOSE(ArtifactsInput!$N$7+1,6,7.2,8.4,9.6,10.8,12)))/100)),15)/15,MIN(1,(Skills!S12*(1+((Inputs!$B$35+(ArtifactsInput!$M$7-ArtifactsInput!$M$7)*CHOOSE(ArtifactsInput!$N$7+1,6,7.2,8.4,9.6,10.8,12)))/100))/(1/Q2154)))),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MIN((Skills!S28*(1+((Inputs!$B$35+(ArtifactsInput!$M$7-ArtifactsInput!$M$7)*CHOOSE(ArtifactsInput!$N$7+1,6,7.2,8.4,9.6,10.8,12)))/100)),(1/Q2170))+MIN((Skills!S28*(1+((Inputs!$B$35+(ArtifactsInput!$M$7-ArtifactsInput!$M$7)*CHOOSE(ArtifactsInput!$N$7+1,6,7.2,8.4,9.6,10.8,12)))/100)),MAX(0,Inputs!$B$44-((R2170-1)*(1/Q2170)))))/Inputs!$B$44),IF(Inputs!$B$39="pvp",MIN((Skills!S28*(1+((Inputs!$B$35+(ArtifactsInput!$M$7-ArtifactsInput!$M$7)*CHOOSE(ArtifactsInput!$N$7+1,6,7.2,8.4,9.6,10.8,12)))/100)),15)/15,MIN(1,(Skills!S28*(1+((Inputs!$B$35+(ArtifactsInput!$M$7-ArtifactsInput!$M$7)*CHOOSE(ArtifactsInput!$N$7+1,6,7.2,8.4,9.6,10.8,12)))/100))/(1/Q2170)))))</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MIN((Skills!S13*(1+((Inputs!$B$35+(ArtifactsInput!$M$7-ArtifactsInput!$M$7)*CHOOSE(ArtifactsInput!$N$7+1,6,7.2,8.4,9.6,10.8,12)))/100)),(1/Q2155))+MIN((Skills!S13*(1+((Inputs!$B$35+(ArtifactsInput!$M$7-ArtifactsInput!$M$7)*CHOOSE(ArtifactsInput!$N$7+1,6,7.2,8.4,9.6,10.8,12)))/100)),MAX(0,Inputs!$B$44-((R2155-1)*(1/Q2155)))))/Inputs!$B$44),IF(Inputs!$B$39="pvp",MIN((Skills!S13*(1+((Inputs!$B$35+(ArtifactsInput!$M$7-ArtifactsInput!$M$7)*CHOOSE(ArtifactsInput!$N$7+1,6,7.2,8.4,9.6,10.8,12)))/100)),15)/15,MIN(1,(Skills!S13*(1+((Inputs!$B$35+(ArtifactsInput!$M$7-ArtifactsInput!$M$7)*CHOOSE(ArtifactsInput!$N$7+1,6,7.2,8.4,9.6,10.8,12)))/100))/(1/Q2155)))),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IFERROR(1/(IF(Inputs!$B$39="pvp",15,MAX(0.1,Skills!D2-IF(TRUE=TRUE,Inputs!$B$33,0)))*(1-IF(AND(IF(ArtifactsInput!$M$27,FALSE,TRUE),Inputs!$B$4="Chapter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IFERROR(1/(IF(Inputs!$B$39="pvp",15,MAX(0.1,Skills!D3-IF(TRUE=TRUE,Inputs!$B$33,0)))*(1-IF(AND(IF(ArtifactsInput!$M$27,FALSE,TRUE),Inputs!$B$4="Chapter Hunt"),CHOOSE(ArtifactsInput!$N$27+1,20,24,28,32,36,40),0)/100)),0)</f>
        <v/>
      </c>
      <c r="R2190">
        <f>IF(AND(Inputs!$B$39&lt;&gt;"pvp",Inputs!$B$44&gt;0),IF(Inputs!$B$44&lt;=0,0,(INT(Inputs!$B$44/(IF(Inputs!$B$39="pvp",15,MAX(0.1,Skills!D3-IF(TRUE=TRUE,Inputs!$B$33,0)))*(1-IF(AND(IF(ArtifactsInput!$M$27,FALSE,TRUE),Inputs!$B$4="Chapter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IFERROR(1/(IF(Inputs!$B$39="pvp",15,MAX(0.1,Skills!D4-IF(TRUE=TRUE,Inputs!$B$33,0)))*(1-IF(AND(IF(ArtifactsInput!$M$27,FALSE,TRUE),Inputs!$B$4="Chapter Hunt"),CHOOSE(ArtifactsInput!$N$27+1,20,24,28,32,36,40),0)/100)),0)</f>
        <v/>
      </c>
      <c r="R2191">
        <f>IF(AND(Inputs!$B$39&lt;&gt;"pvp",Inputs!$B$44&gt;0),IF(Inputs!$B$44&lt;=0,0,(INT(Inputs!$B$44/(IF(Inputs!$B$39="pvp",15,MAX(0.1,Skills!D4-IF(TRUE=TRUE,Inputs!$B$33,0)))*(1-IF(AND(IF(ArtifactsInput!$M$27,FALSE,TRUE),Inputs!$B$4="Chapter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IFERROR(1/(IF(Inputs!$B$39="pvp",15,MAX(0.1,Skills!D5-IF(TRUE=TRUE,Inputs!$B$33,0)))*(1-IF(AND(IF(ArtifactsInput!$M$27,FALSE,TRUE),Inputs!$B$4="Chapter Hunt"),CHOOSE(ArtifactsInput!$N$27+1,20,24,28,32,36,40),0)/100)),0)</f>
        <v/>
      </c>
      <c r="R2192">
        <f>IF(AND(Inputs!$B$39&lt;&gt;"pvp",Inputs!$B$44&gt;0),IF(Inputs!$B$44&lt;=0,0,(INT(Inputs!$B$44/(IF(Inputs!$B$39="pvp",15,MAX(0.1,Skills!D5-IF(TRUE=TRUE,Inputs!$B$33,0)))*(1-IF(AND(IF(ArtifactsInput!$M$27,FALSE,TRUE),Inputs!$B$4="Chapter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IFERROR(1/(IF(Inputs!$B$39="pvp",15,MAX(0.1,Skills!D6-IF(TRUE=TRUE,Inputs!$B$33,0)))*(1-IF(AND(IF(ArtifactsInput!$M$27,FALSE,TRUE),Inputs!$B$4="Chapter Hunt"),CHOOSE(ArtifactsInput!$N$27+1,20,24,28,32,36,40),0)/100)),0)</f>
        <v/>
      </c>
      <c r="R2193">
        <f>IF(AND(Inputs!$B$39&lt;&gt;"pvp",Inputs!$B$44&gt;0),IF(MAX(0,Inputs!$B$44-B2227)&lt;=0,0,(INT(MAX(0,Inputs!$B$44-B2227)/(IF(Inputs!$B$39="pvp",15,MAX(0.1,Skills!D6-IF(TRUE=TRUE,Inputs!$B$33,0)))*(1-IF(AND(IF(ArtifactsInput!$M$27,FALSE,TRUE),Inputs!$B$4="Chapter Hunt"),CHOOSE(ArtifactsInput!$N$27+1,20,24,28,32,36,40),0)/100)))+1)),0)</f>
        <v/>
      </c>
      <c r="S2193">
        <f>IF(C2193,(H2193*N2193*IF(AND(Inputs!$B$39&lt;&gt;"pvp",Inputs!$B$44&gt;0),((Skills!F6*((R2193-1)*IF(Skills!G6&gt;0,INT(Skills!H6/Skills!G6+0.000000001),1)+IF(Skills!G6&gt;0,INT(MIN(Skills!H6,MAX(0,MAX(0,Inputs!$B$44-B2227)-((R2193-1)*(IF(Inputs!$B$39="pvp",15,MAX(0.1,Skills!D6-IF(TRUE=TRUE,Inputs!$B$33,0)))*(1-IF(AND(IF(ArtifactsInput!$M$27,FALSE,TRUE),Inputs!$B$4="Chapter Hunt"),CHOOSE(ArtifactsInput!$N$27+1,20,24,28,32,36,40),0)/100)))))/Skills!G6+0.000000001),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INT(Skills!H6/Skills!G6+0.000000001),1)+IF(Skills!G6&gt;0,INT(MIN(Skills!H6,MAX(0,MAX(0,Inputs!$B$44-B2227)-((R2193-1)*(IF(Inputs!$B$39="pvp",15,MAX(0.1,Skills!D6-IF(TRUE=TRUE,Inputs!$B$33,0)))*(1-IF(AND(IF(ArtifactsInput!$M$27,FALSE,TRUE),Inputs!$B$4="Chapter Hunt"),CHOOSE(ArtifactsInput!$N$27+1,20,24,28,32,36,40),0)/100)))))/Skills!G6+0.000000001),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IFERROR(1/(IF(Inputs!$B$39="pvp",15,MAX(0.1,Skills!D7-IF(TRUE=TRUE,Inputs!$B$33,0)))*(1-IF(AND(IF(ArtifactsInput!$M$27,FALSE,TRUE),Inputs!$B$4="Chapter Hunt"),CHOOSE(ArtifactsInput!$N$27+1,20,24,28,32,36,40),0)/100)),0)</f>
        <v/>
      </c>
      <c r="R2194">
        <f>IF(AND(Inputs!$B$39&lt;&gt;"pvp",Inputs!$B$44&gt;0),IF(MAX(0,Inputs!$B$44-B2227)&lt;=0,0,(INT(MAX(0,Inputs!$B$44-B2227)/(IF(Inputs!$B$39="pvp",15,MAX(0.1,Skills!D7-IF(TRUE=TRUE,Inputs!$B$33,0)))*(1-IF(AND(IF(ArtifactsInput!$M$27,FALSE,TRUE),Inputs!$B$4="Chapter Hunt"),CHOOSE(ArtifactsInput!$N$27+1,20,24,28,32,36,40),0)/100)))+1)),0)</f>
        <v/>
      </c>
      <c r="S2194">
        <f>IF(C2194,H2194*N2194*IF(AND(Inputs!$B$39&lt;&gt;"pvp",Inputs!$B$44&gt;0),((Skills!F7*((R2194-1)*IF(Skills!G7&gt;0,INT(Skills!H7/Skills!G7+0.000000001),1)+IF(Skills!G7&gt;0,INT(MIN(Skills!H7,MAX(0,MAX(0,Inputs!$B$44-B2227)-((R2194-1)*(IF(Inputs!$B$39="pvp",15,MAX(0.1,Skills!D7-IF(TRUE=TRUE,Inputs!$B$33,0)))*(1-IF(AND(IF(ArtifactsInput!$M$27,FALSE,TRUE),Inputs!$B$4="Chapter Hunt"),CHOOSE(ArtifactsInput!$N$27+1,20,24,28,32,36,40),0)/100)))))/Skills!G7+0.000000001),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IFERROR(1/(IF(Inputs!$B$39="pvp",15,MAX(0.1,Skills!D8-IF(TRUE=TRUE,Inputs!$B$33,0)))*(1-IF(AND(IF(ArtifactsInput!$M$27,FALSE,TRUE),Inputs!$B$4="Chapter Hunt"),CHOOSE(ArtifactsInput!$N$27+1,20,24,28,32,36,40),0)/100)),0)</f>
        <v/>
      </c>
      <c r="R2195">
        <f>IF(AND(Inputs!$B$39&lt;&gt;"pvp",Inputs!$B$44&gt;0),IF(MAX(0,Inputs!$B$44-B2227)&lt;=0,0,(INT(MAX(0,Inputs!$B$44-B2227)/(IF(Inputs!$B$39="pvp",15,MAX(0.1,Skills!D8-IF(TRUE=TRUE,Inputs!$B$33,0)))*(1-IF(AND(IF(ArtifactsInput!$M$27,FALSE,TRUE),Inputs!$B$4="Chapter Hunt"),CHOOSE(ArtifactsInput!$N$27+1,20,24,28,32,36,40),0)/100)))+1)),0)</f>
        <v/>
      </c>
      <c r="S2195">
        <f>IF(C2195,(H2195*N2195*IF(AND(Inputs!$B$39&lt;&gt;"pvp",Inputs!$B$44&gt;0),((Skills!F8*((R2195-1)*IF(Skills!G8&gt;0,INT(Skills!H8/Skills!G8+0.000000001),1)+IF(Skills!G8&gt;0,INT(MIN(Skills!H8,MAX(0,MAX(0,Inputs!$B$44-B2227)-((R2195-1)*(IF(Inputs!$B$39="pvp",15,MAX(0.1,Skills!D8-IF(TRUE=TRUE,Inputs!$B$33,0)))*(1-IF(AND(IF(ArtifactsInput!$M$27,FALSE,TRUE),Inputs!$B$4="Chapter Hunt"),CHOOSE(ArtifactsInput!$N$27+1,20,24,28,32,36,40),0)/100)))))/Skills!G8+0.000000001),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INT(Skills!H8/Skills!G8+0.000000001),1)+IF(Skills!G8&gt;0,INT(MIN(Skills!H8,MAX(0,MAX(0,Inputs!$B$44-B2227)-((R2195-1)*(IF(Inputs!$B$39="pvp",15,MAX(0.1,Skills!D8-IF(TRUE=TRUE,Inputs!$B$33,0)))*(1-IF(AND(IF(ArtifactsInput!$M$27,FALSE,TRUE),Inputs!$B$4="Chapter Hunt"),CHOOSE(ArtifactsInput!$N$27+1,20,24,28,32,36,40),0)/100)))))/Skills!G8+0.000000001),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IFERROR(1/(IF(Inputs!$B$39="pvp",15,MAX(0.1,Skills!D9-IF(TRUE=TRUE,Inputs!$B$33,0)))*(1-IF(AND(IF(ArtifactsInput!$M$27,FALSE,TRUE),Inputs!$B$4="Chapter Hunt"),CHOOSE(ArtifactsInput!$N$27+1,20,24,28,32,36,40),0)/100)),0)</f>
        <v/>
      </c>
      <c r="R2196">
        <f>IF(AND(Inputs!$B$39&lt;&gt;"pvp",Inputs!$B$44&gt;0),IF(MAX(0,Inputs!$B$44-B2227)&lt;=0,0,(INT(MAX(0,Inputs!$B$44-B2227)/(IF(Inputs!$B$39="pvp",15,MAX(0.1,Skills!D9-IF(TRUE=TRUE,Inputs!$B$33,0)))*(1-IF(AND(IF(ArtifactsInput!$M$27,FALSE,TRUE),Inputs!$B$4="Chapter Hunt"),CHOOSE(ArtifactsInput!$N$27+1,20,24,28,32,36,40),0)/100)))+1)),0)</f>
        <v/>
      </c>
      <c r="S2196">
        <f>IF(C2196,(H2196*N2196*IF(AND(Inputs!$B$39&lt;&gt;"pvp",Inputs!$B$44&gt;0),((Skills!F9*((R2196-1)*IF(Skills!G9&gt;0,INT(Skills!H9/Skills!G9+0.000000001),1)+IF(Skills!G9&gt;0,INT(MIN(Skills!H9,MAX(0,MAX(0,Inputs!$B$44-B2227)-((R2196-1)*(IF(Inputs!$B$39="pvp",15,MAX(0.1,Skills!D9-IF(TRUE=TRUE,Inputs!$B$33,0)))*(1-IF(AND(IF(ArtifactsInput!$M$27,FALSE,TRUE),Inputs!$B$4="Chapter Hunt"),CHOOSE(ArtifactsInput!$N$27+1,20,24,28,32,36,40),0)/100)))))/Skills!G9+0.000000001),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INT(Skills!H9/Skills!G9+0.000000001),1)+IF(Skills!G9&gt;0,INT(MIN(Skills!H9,MAX(0,MAX(0,Inputs!$B$44-B2227)-((R2196-1)*(IF(Inputs!$B$39="pvp",15,MAX(0.1,Skills!D9-IF(TRUE=TRUE,Inputs!$B$33,0)))*(1-IF(AND(IF(ArtifactsInput!$M$27,FALSE,TRUE),Inputs!$B$4="Chapter Hunt"),CHOOSE(ArtifactsInput!$N$27+1,20,24,28,32,36,40),0)/100)))))/Skills!G9+0.000000001),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IFERROR(1/(IF(Inputs!$B$39="pvp",15,MAX(0.1,Skills!D10-IF(TRUE=TRUE,Inputs!$B$33,0)))*(1-IF(AND(IF(ArtifactsInput!$M$27,FALSE,TRUE),Inputs!$B$4="Chapter Hunt"),CHOOSE(ArtifactsInput!$N$27+1,20,24,28,32,36,40),0)/100)),0)</f>
        <v/>
      </c>
      <c r="R2197">
        <f>IF(AND(Inputs!$B$39&lt;&gt;"pvp",Inputs!$B$44&gt;0),IF(MAX(0,Inputs!$B$44-B2227)&lt;=0,0,(INT(MAX(0,Inputs!$B$44-B2227)/(IF(Inputs!$B$39="pvp",15,MAX(0.1,Skills!D10-IF(TRUE=TRUE,Inputs!$B$33,0)))*(1-IF(AND(IF(ArtifactsInput!$M$27,FALSE,TRUE),Inputs!$B$4="Chapter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IFERROR(1/(IF(Inputs!$B$39="pvp",15,MAX(0.1,Skills!D11-IF(TRUE=TRUE,Inputs!$B$33,0)))*(1-IF(AND(IF(ArtifactsInput!$M$27,FALSE,TRUE),Inputs!$B$4="Chapter Hunt"),CHOOSE(ArtifactsInput!$N$27+1,20,24,28,32,36,40),0)/100)),0)</f>
        <v/>
      </c>
      <c r="R2198">
        <f>IF(AND(Inputs!$B$39&lt;&gt;"pvp",Inputs!$B$44&gt;0),IF(Inputs!$B$44&lt;=0,0,(INT(Inputs!$B$44/(IF(Inputs!$B$39="pvp",15,MAX(0.1,Skills!D11-IF(TRUE=TRUE,Inputs!$B$33,0)))*(1-IF(AND(IF(ArtifactsInput!$M$27,FALSE,TRUE),Inputs!$B$4="Chapter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IFERROR(1/(IF(Inputs!$B$39="pvp",15,MAX(0.1,Skills!D12-IF(TRUE=TRUE,Inputs!$B$33,0)))*(1-IF(AND(IF(ArtifactsInput!$M$27,FALSE,TRUE),Inputs!$B$4="Chapter Hunt"),CHOOSE(ArtifactsInput!$N$27+1,20,24,28,32,36,40),0)/100)),0)</f>
        <v/>
      </c>
      <c r="R2199">
        <f>IF(AND(Inputs!$B$39&lt;&gt;"pvp",Inputs!$B$44&gt;0),IF(MAX(0,Inputs!$B$44-B2227)&lt;=0,0,(INT(MAX(0,Inputs!$B$44-B2227)/(IF(Inputs!$B$39="pvp",15,MAX(0.1,Skills!D12-IF(TRUE=TRUE,Inputs!$B$33,0)))*(1-IF(AND(IF(ArtifactsInput!$M$27,FALSE,TRUE),Inputs!$B$4="Chapter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IFERROR(1/(IF(Inputs!$B$39="pvp",15,MAX(0.1,Skills!D13-IF(TRUE=TRUE,Inputs!$B$33,0)))*(1-IF(AND(IF(ArtifactsInput!$M$27,FALSE,TRUE),Inputs!$B$4="Chapter Hunt"),CHOOSE(ArtifactsInput!$N$27+1,20,24,28,32,36,40),0)/100)),0)</f>
        <v/>
      </c>
      <c r="R2200">
        <f>IF(AND(Inputs!$B$39&lt;&gt;"pvp",Inputs!$B$44&gt;0),IF(MAX(0,Inputs!$B$44-B2227)&lt;=0,0,(INT(MAX(0,Inputs!$B$44-B2227)/(IF(Inputs!$B$39="pvp",15,MAX(0.1,Skills!D13-IF(TRUE=TRUE,Inputs!$B$33,0)))*(1-IF(AND(IF(ArtifactsInput!$M$27,FALSE,TRUE),Inputs!$B$4="Chapter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IFERROR(1/(IF(Inputs!$B$39="pvp",15,MAX(0.1,Skills!D14-IF(TRUE=TRUE,Inputs!$B$33,0)))*(1-IF(AND(IF(ArtifactsInput!$M$27,FALSE,TRUE),Inputs!$B$4="Chapter Hunt"),CHOOSE(ArtifactsInput!$N$27+1,20,24,28,32,36,40),0)/100)),0)</f>
        <v/>
      </c>
      <c r="R2201">
        <f>IF(AND(Inputs!$B$39&lt;&gt;"pvp",Inputs!$B$44&gt;0),IF(Inputs!$B$44&lt;=0,0,(INT(Inputs!$B$44/(IF(Inputs!$B$39="pvp",15,MAX(0.1,Skills!D14-IF(TRUE=TRUE,Inputs!$B$33,0)))*(1-IF(AND(IF(ArtifactsInput!$M$27,FALSE,TRUE),Inputs!$B$4="Chapter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IFERROR(1/(IF(Inputs!$B$39="pvp",15,MAX(0.1,Skills!D15-IF(TRUE=TRUE,Inputs!$B$33,0)))*(1-IF(AND(IF(ArtifactsInput!$M$27,FALSE,TRUE),Inputs!$B$4="Chapter Hunt"),CHOOSE(ArtifactsInput!$N$27+1,20,24,28,32,36,40),0)/100)),0)</f>
        <v/>
      </c>
      <c r="R2202" t="n">
        <v>0</v>
      </c>
      <c r="S2202">
        <f>IF(C2202,(Skills!F15*N2202*((IF(Inputs!$B$3&gt;=78,25,15)/100*B2223*10)/(1+IF(Inputs!$B$3&gt;=78,25,15)/100*B2223*IF(Inputs!$B$39="pvp",15,MAX(0.1,18-IF(TRUE=TRUE,Inputs!$B$33,0)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IF(Inputs!$B$39="pvp",15,MAX(0.1,18-IF(TRUE=TRUE,Inputs!$B$33,0)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IFERROR(1/(IF(Inputs!$B$39="pvp",15,MAX(0.1,Skills!D16-IF(TRUE=TRUE,Inputs!$B$33,0)))*(1-IF(AND(IF(ArtifactsInput!$M$27,FALSE,TRUE),Inputs!$B$4="Chapter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IFERROR(1/(IF(Inputs!$B$39="pvp",15,MAX(0.1,Skills!D17-IF(TRUE=TRUE,Inputs!$B$33,0)))*(1-IF(AND(IF(ArtifactsInput!$M$27,FALSE,TRUE),Inputs!$B$4="Chapter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IFERROR(1/(IF(Inputs!$B$39="pvp",15,MAX(0.1,Skills!D18-IF(TRUE=TRUE,Inputs!$B$33,0)))*(1-IF(AND(IF(ArtifactsInput!$M$27,FALSE,TRUE),Inputs!$B$4="Chapter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IFERROR(1/(IF(Inputs!$B$39="pvp",15,MAX(0.1,Skills!D19-IF(TRUE=TRUE,Inputs!$B$33,0)))*(1-IF(AND(IF(ArtifactsInput!$M$27,FALSE,TRUE),Inputs!$B$4="Chapter Hunt"),CHOOSE(ArtifactsInput!$N$27+1,20,24,28,32,36,40),0)/100)),0)</f>
        <v/>
      </c>
      <c r="R2206">
        <f>IF(AND(Inputs!$B$39&lt;&gt;"pvp",Inputs!$B$44&gt;0),IF(Inputs!$B$44&lt;=0,0,(INT(Inputs!$B$44/(IF(Inputs!$B$39="pvp",15,MAX(0.1,Skills!D19-IF(TRUE=TRUE,Inputs!$B$33,0)))*(1-IF(AND(IF(ArtifactsInput!$M$27,FALSE,TRUE),Inputs!$B$4="Chapter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IFERROR(1/(IF(Inputs!$B$39="pvp",15,MAX(0.1,Skills!D20-IF(TRUE=TRUE,Inputs!$B$33,0)))*(1-IF(AND(IF(ArtifactsInput!$M$27,FALSE,TRUE),Inputs!$B$4="Chapter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IFERROR(1/(IF(Inputs!$B$39="pvp",15,MAX(0.1,Skills!D21-IF(TRUE=TRUE,Inputs!$B$33,0)))*(1-IF(AND(IF(ArtifactsInput!$M$27,FALSE,TRUE),Inputs!$B$4="Chapter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IFERROR(1/(IF(Inputs!$B$39="pvp",15,MAX(0.1,Skills!D22-IF(TRUE=TRUE,Inputs!$B$33,0)))*(1-IF(AND(IF(ArtifactsInput!$M$27,FALSE,TRUE),Inputs!$B$4="Chapter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IFERROR(1/(IF(Inputs!$B$39="pvp",15,MAX(0.1,Skills!D23-IF(TRUE=TRUE,Inputs!$B$33,0)))*(1-IF(AND(IF(ArtifactsInput!$M$27,FALSE,TRUE),Inputs!$B$4="Chapter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IFERROR(1/(IF(Inputs!$B$39="pvp",15,MAX(0.1,Skills!D24-IF(TRUE=TRUE,Inputs!$B$33,0)))*(1-IF(AND(IF(ArtifactsInput!$M$27,FALSE,TRUE),Inputs!$B$4="Chapter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IFERROR(1/(IF(Inputs!$B$39="pvp",15,MAX(0.1,Skills!D25-IF(TRUE=TRUE,Inputs!$B$33,0)))*(1-IF(AND(IF(ArtifactsInput!$M$27,FALSE,TRUE),Inputs!$B$4="Chapter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IFERROR(1/(IF(Inputs!$B$39="pvp",15,MAX(0.1,Skills!D26-IF(TRUE=TRUE,Inputs!$B$33,0)))*(1-IF(AND(IF(ArtifactsInput!$M$27,FALSE,TRUE),Inputs!$B$4="Chapter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IFERROR(1/(IF(Inputs!$B$39="pvp",15,MAX(0.1,Skills!D27-IF(TRUE=TRUE,Inputs!$B$33,0)))*(1-IF(AND(IF(ArtifactsInput!$M$27,FALSE,TRUE),Inputs!$B$4="Chapter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IFERROR(1/(IF(Inputs!$B$39="pvp",15,MAX(0.1,Skills!D28-IF(TRUE=TRUE,Inputs!$B$33,0)))*(1-IF(AND(IF(ArtifactsInput!$M$27,FALSE,TRUE),Inputs!$B$4="Chapter Hunt"),CHOOSE(ArtifactsInput!$N$27+1,20,24,28,32,36,40),0)/100)),0)</f>
        <v/>
      </c>
      <c r="R2215">
        <f>IF(AND(Inputs!$B$39&lt;&gt;"pvp",Inputs!$B$44&gt;0),IF(Inputs!$B$44&lt;=0,0,(INT(Inputs!$B$44/(IF(Inputs!$B$39="pvp",15,MAX(0.1,Skills!D28-IF(TRUE=TRUE,Inputs!$B$33,0)))*(1-IF(AND(IF(ArtifactsInput!$M$27,FALSE,TRUE),Inputs!$B$4="Chapter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MIN((Skills!S3*(1+((Inputs!$B$35+(ArtifactsInput!$M$7-ArtifactsInput!$M$7)*CHOOSE(ArtifactsInput!$N$7+1,6,7.2,8.4,9.6,10.8,12)))/100)),(1/Q2190))+MIN((Skills!S3*(1+((Inputs!$B$35+(ArtifactsInput!$M$7-ArtifactsInput!$M$7)*CHOOSE(ArtifactsInput!$N$7+1,6,7.2,8.4,9.6,10.8,12)))/100)),MAX(0,Inputs!$B$44-((R2190-1)*(1/Q2190)))))/Inputs!$B$44),IF(Inputs!$B$39="pvp",MIN((Skills!S3*(1+((Inputs!$B$35+(ArtifactsInput!$M$7-ArtifactsInput!$M$7)*CHOOSE(ArtifactsInput!$N$7+1,6,7.2,8.4,9.6,10.8,12)))/100)),15)/15,MIN(1,(Skills!S3*(1+((Inputs!$B$35+(ArtifactsInput!$M$7-ArtifactsInput!$M$7)*CHOOSE(ArtifactsInput!$N$7+1,6,7.2,8.4,9.6,10.8,12)))/100))/(1/Q2190)))),0)+IF(C2191=TRUE,F2191*IF(AND(Inputs!$B$39&lt;&gt;"pvp",Inputs!$B$44&gt;0),(((R2191-1)*MIN((Skills!S4*(1+((Inputs!$B$35+(ArtifactsInput!$M$7-ArtifactsInput!$M$7)*CHOOSE(ArtifactsInput!$N$7+1,6,7.2,8.4,9.6,10.8,12)))/100)),(1/Q2191))+MIN((Skills!S4*(1+((Inputs!$B$35+(ArtifactsInput!$M$7-ArtifactsInput!$M$7)*CHOOSE(ArtifactsInput!$N$7+1,6,7.2,8.4,9.6,10.8,12)))/100)),MAX(0,Inputs!$B$44-((R2191-1)*(1/Q2191)))))/Inputs!$B$44),IF(Inputs!$B$39="pvp",MIN((Skills!S4*(1+((Inputs!$B$35+(ArtifactsInput!$M$7-ArtifactsInput!$M$7)*CHOOSE(ArtifactsInput!$N$7+1,6,7.2,8.4,9.6,10.8,12)))/100)),15)/15,MIN(1,(Skills!S4*(1+((Inputs!$B$35+(ArtifactsInput!$M$7-ArtifactsInput!$M$7)*CHOOSE(ArtifactsInput!$N$7+1,6,7.2,8.4,9.6,10.8,12)))/100))/(1/Q2191)))),0)+IF(C2192=TRUE,F2192*IF(AND(Inputs!$B$39&lt;&gt;"pvp",Inputs!$B$44&gt;0),(((R2192-1)*MIN((Skills!S5*(1+((Inputs!$B$35+(ArtifactsInput!$M$7-ArtifactsInput!$M$7)*CHOOSE(ArtifactsInput!$N$7+1,6,7.2,8.4,9.6,10.8,12)))/100)),(1/Q2192))+MIN((Skills!S5*(1+((Inputs!$B$35+(ArtifactsInput!$M$7-ArtifactsInput!$M$7)*CHOOSE(ArtifactsInput!$N$7+1,6,7.2,8.4,9.6,10.8,12)))/100)),MAX(0,Inputs!$B$44-((R2192-1)*(1/Q2192)))))/Inputs!$B$44),IF(Inputs!$B$39="pvp",MIN((Skills!S5*(1+((Inputs!$B$35+(ArtifactsInput!$M$7-ArtifactsInput!$M$7)*CHOOSE(ArtifactsInput!$N$7+1,6,7.2,8.4,9.6,10.8,12)))/100)),15)/15,MIN(1,(Skills!S5*(1+((Inputs!$B$35+(ArtifactsInput!$M$7-ArtifactsInput!$M$7)*CHOOSE(ArtifactsInput!$N$7+1,6,7.2,8.4,9.6,10.8,12)))/100))/(1/Q2192)))),0)+IF(C2198=TRUE,F2198*IF(AND(Inputs!$B$39&lt;&gt;"pvp",Inputs!$B$44&gt;0),(((R2198-1)*MIN((Skills!S11*(1+((Inputs!$B$35+(ArtifactsInput!$M$7-ArtifactsInput!$M$7)*CHOOSE(ArtifactsInput!$N$7+1,6,7.2,8.4,9.6,10.8,12)))/100)),(1/Q2198))+MIN((Skills!S11*(1+((Inputs!$B$35+(ArtifactsInput!$M$7-ArtifactsInput!$M$7)*CHOOSE(ArtifactsInput!$N$7+1,6,7.2,8.4,9.6,10.8,12)))/100)),MAX(0,Inputs!$B$44-((R2198-1)*(1/Q2198)))))/Inputs!$B$44),IF(Inputs!$B$39="pvp",MIN((Skills!S11*(1+((Inputs!$B$35+(ArtifactsInput!$M$7-ArtifactsInput!$M$7)*CHOOSE(ArtifactsInput!$N$7+1,6,7.2,8.4,9.6,10.8,12)))/100)),15)/15,MIN(1,(Skills!S11*(1+((Inputs!$B$35+(ArtifactsInput!$M$7-ArtifactsInput!$M$7)*CHOOSE(ArtifactsInput!$N$7+1,6,7.2,8.4,9.6,10.8,12)))/100))/(1/Q2198)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MIN((Skills!S14*(1+((Inputs!$B$35+(ArtifactsInput!$M$7-ArtifactsInput!$M$7)*CHOOSE(ArtifactsInput!$N$7+1,6,7.2,8.4,9.6,10.8,12)))/100)),(1/Q2201))+MIN((Skills!S14*(1+((Inputs!$B$35+(ArtifactsInput!$M$7-ArtifactsInput!$M$7)*CHOOSE(ArtifactsInput!$N$7+1,6,7.2,8.4,9.6,10.8,12)))/100)),MAX(0,Inputs!$B$44-((R2201-1)*(1/Q2201)))))/Inputs!$B$44),IF(Inputs!$B$39="pvp",MIN((Skills!S14*(1+((Inputs!$B$35+(ArtifactsInput!$M$7-ArtifactsInput!$M$7)*CHOOSE(ArtifactsInput!$N$7+1,6,7.2,8.4,9.6,10.8,12)))/100)),15)/15,MIN(1,(Skills!S14*(1+((Inputs!$B$35+(ArtifactsInput!$M$7-ArtifactsInput!$M$7)*CHOOSE(ArtifactsInput!$N$7+1,6,7.2,8.4,9.6,10.8,12)))/100))/(1/Q2201))))/100),1)*IF(C2206=TRUE,(1+F2206*IF(AND(Inputs!$B$39&lt;&gt;"pvp",Inputs!$B$44&gt;0),(((R2206-1)*MIN((Skills!S19*(1+((Inputs!$B$35+(ArtifactsInput!$M$7-ArtifactsInput!$M$7)*CHOOSE(ArtifactsInput!$N$7+1,6,7.2,8.4,9.6,10.8,12)))/100)),(1/Q2206))+MIN((Skills!S19*(1+((Inputs!$B$35+(ArtifactsInput!$M$7-ArtifactsInput!$M$7)*CHOOSE(ArtifactsInput!$N$7+1,6,7.2,8.4,9.6,10.8,12)))/100)),MAX(0,Inputs!$B$44-((R2206-1)*(1/Q2206)))))/Inputs!$B$44),IF(Inputs!$B$39="pvp",MIN((Skills!S19*(1+((Inputs!$B$35+(ArtifactsInput!$M$7-ArtifactsInput!$M$7)*CHOOSE(ArtifactsInput!$N$7+1,6,7.2,8.4,9.6,10.8,12)))/100)),15)/15,MIN(1,(Skills!S19*(1+((Inputs!$B$35+(ArtifactsInput!$M$7-ArtifactsInput!$M$7)*CHOOSE(ArtifactsInput!$N$7+1,6,7.2,8.4,9.6,10.8,12)))/100))/(1/Q2206))))/100),1)</f>
        <v/>
      </c>
    </row>
    <row r="2218">
      <c r="A2218" t="inlineStr">
        <is>
          <t>Monster Damage Taken Bonus % (Holy Fountain)</t>
        </is>
      </c>
      <c r="B2218">
        <f>IF(Inputs!$B$3&gt;=68,20*IF(Inputs!$B$39="pvp",MIN((15*(1+((Inputs!$B$35+(ArtifactsInput!$M$7-ArtifactsInput!$M$7)*CHOOSE(ArtifactsInput!$N$7+1,6,7.2,8.4,9.6,10.8,12)))/100)),15)/15,MIN(1,(15*(1+((Inputs!$B$35+(ArtifactsInput!$M$7-ArtifactsInput!$M$7)*CHOOSE(ArtifactsInput!$N$7+1,6,7.2,8.4,9.6,10.8,12)))/100))/(1/Q2197))),0)</f>
        <v/>
      </c>
    </row>
    <row r="2219">
      <c r="A2219" t="inlineStr">
        <is>
          <t>Normal Monster Damage Bonus % (Holy Symbol)</t>
        </is>
      </c>
      <c r="B2219">
        <f>IF(C2199=TRUE,F2199*IF(AND(Inputs!$B$39&lt;&gt;"pvp",Inputs!$B$44&gt;0),(((R2199-1)*MIN((Skills!S12*(1+((Inputs!$B$35+(ArtifactsInput!$M$7-ArtifactsInput!$M$7)*CHOOSE(ArtifactsInput!$N$7+1,6,7.2,8.4,9.6,10.8,12)))/100)),(1/Q2199))+MIN((Skills!S12*(1+((Inputs!$B$35+(ArtifactsInput!$M$7-ArtifactsInput!$M$7)*CHOOSE(ArtifactsInput!$N$7+1,6,7.2,8.4,9.6,10.8,12)))/100)),MAX(0,Inputs!$B$44-((R2199-1)*(1/Q2199)))))/Inputs!$B$44),IF(Inputs!$B$39="pvp",MIN((Skills!S12*(1+((Inputs!$B$35+(ArtifactsInput!$M$7-ArtifactsInput!$M$7)*CHOOSE(ArtifactsInput!$N$7+1,6,7.2,8.4,9.6,10.8,12)))/100)),15)/15,MIN(1,(Skills!S12*(1+((Inputs!$B$35+(ArtifactsInput!$M$7-ArtifactsInput!$M$7)*CHOOSE(ArtifactsInput!$N$7+1,6,7.2,8.4,9.6,10.8,12)))/100))/(1/Q2199)))),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MIN((Skills!S28*(1+((Inputs!$B$35+(ArtifactsInput!$M$7-ArtifactsInput!$M$7)*CHOOSE(ArtifactsInput!$N$7+1,6,7.2,8.4,9.6,10.8,12)))/100)),(1/Q2215))+MIN((Skills!S28*(1+((Inputs!$B$35+(ArtifactsInput!$M$7-ArtifactsInput!$M$7)*CHOOSE(ArtifactsInput!$N$7+1,6,7.2,8.4,9.6,10.8,12)))/100)),MAX(0,Inputs!$B$44-((R2215-1)*(1/Q2215)))))/Inputs!$B$44),IF(Inputs!$B$39="pvp",MIN((Skills!S28*(1+((Inputs!$B$35+(ArtifactsInput!$M$7-ArtifactsInput!$M$7)*CHOOSE(ArtifactsInput!$N$7+1,6,7.2,8.4,9.6,10.8,12)))/100)),15)/15,MIN(1,(Skills!S28*(1+((Inputs!$B$35+(ArtifactsInput!$M$7-ArtifactsInput!$M$7)*CHOOSE(ArtifactsInput!$N$7+1,6,7.2,8.4,9.6,10.8,12)))/100))/(1/Q2215)))))</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MIN((Skills!S13*(1+((Inputs!$B$35+(ArtifactsInput!$M$7-ArtifactsInput!$M$7)*CHOOSE(ArtifactsInput!$N$7+1,6,7.2,8.4,9.6,10.8,12)))/100)),(1/Q2200))+MIN((Skills!S13*(1+((Inputs!$B$35+(ArtifactsInput!$M$7-ArtifactsInput!$M$7)*CHOOSE(ArtifactsInput!$N$7+1,6,7.2,8.4,9.6,10.8,12)))/100)),MAX(0,Inputs!$B$44-((R2200-1)*(1/Q2200)))))/Inputs!$B$44),IF(Inputs!$B$39="pvp",MIN((Skills!S13*(1+((Inputs!$B$35+(ArtifactsInput!$M$7-ArtifactsInput!$M$7)*CHOOSE(ArtifactsInput!$N$7+1,6,7.2,8.4,9.6,10.8,12)))/100)),15)/15,MIN(1,(Skills!S13*(1+((Inputs!$B$35+(ArtifactsInput!$M$7-ArtifactsInput!$M$7)*CHOOSE(ArtifactsInput!$N$7+1,6,7.2,8.4,9.6,10.8,12)))/100))/(1/Q2200)))),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IFERROR(1/(IF(Inputs!$B$39="pvp",15,MAX(0.1,Skills!D2-IF(TRUE=TRUE,Inputs!$B$33,0)))*(1-IF(AND(ArtifactsInput!$M$27,Inputs!$B$4="Chapter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IFERROR(1/(IF(Inputs!$B$39="pvp",15,MAX(0.1,Skills!D3-IF(TRUE=TRUE,Inputs!$B$33,0)))*(1-IF(AND(ArtifactsInput!$M$27,Inputs!$B$4="Chapter Hunt"),CHOOSE(ArtifactsInput!$N$27+1,20,24,28,32,36,40),0)/100)),0)</f>
        <v/>
      </c>
      <c r="R2235">
        <f>IF(AND(Inputs!$B$39&lt;&gt;"pvp",Inputs!$B$44&gt;0),IF(Inputs!$B$44&lt;=0,0,(INT(Inputs!$B$44/(IF(Inputs!$B$39="pvp",15,MAX(0.1,Skills!D3-IF(TRUE=TRUE,Inputs!$B$33,0)))*(1-IF(AND(ArtifactsInput!$M$27,Inputs!$B$4="Chapter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IFERROR(1/(IF(Inputs!$B$39="pvp",15,MAX(0.1,Skills!D4-IF(TRUE=TRUE,Inputs!$B$33,0)))*(1-IF(AND(ArtifactsInput!$M$27,Inputs!$B$4="Chapter Hunt"),CHOOSE(ArtifactsInput!$N$27+1,20,24,28,32,36,40),0)/100)),0)</f>
        <v/>
      </c>
      <c r="R2236">
        <f>IF(AND(Inputs!$B$39&lt;&gt;"pvp",Inputs!$B$44&gt;0),IF(Inputs!$B$44&lt;=0,0,(INT(Inputs!$B$44/(IF(Inputs!$B$39="pvp",15,MAX(0.1,Skills!D4-IF(TRUE=TRUE,Inputs!$B$33,0)))*(1-IF(AND(ArtifactsInput!$M$27,Inputs!$B$4="Chapter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IFERROR(1/(IF(Inputs!$B$39="pvp",15,MAX(0.1,Skills!D5-IF(TRUE=TRUE,Inputs!$B$33,0)))*(1-IF(AND(ArtifactsInput!$M$27,Inputs!$B$4="Chapter Hunt"),CHOOSE(ArtifactsInput!$N$27+1,20,24,28,32,36,40),0)/100)),0)</f>
        <v/>
      </c>
      <c r="R2237">
        <f>IF(AND(Inputs!$B$39&lt;&gt;"pvp",Inputs!$B$44&gt;0),IF(Inputs!$B$44&lt;=0,0,(INT(Inputs!$B$44/(IF(Inputs!$B$39="pvp",15,MAX(0.1,Skills!D5-IF(TRUE=TRUE,Inputs!$B$33,0)))*(1-IF(AND(ArtifactsInput!$M$27,Inputs!$B$4="Chapter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IFERROR(1/(IF(Inputs!$B$39="pvp",15,MAX(0.1,Skills!D6-IF(TRUE=TRUE,Inputs!$B$33,0)))*(1-IF(AND(ArtifactsInput!$M$27,Inputs!$B$4="Chapter Hunt"),CHOOSE(ArtifactsInput!$N$27+1,20,24,28,32,36,40),0)/100)),0)</f>
        <v/>
      </c>
      <c r="R2238">
        <f>IF(AND(Inputs!$B$39&lt;&gt;"pvp",Inputs!$B$44&gt;0),IF(MAX(0,Inputs!$B$44-B2272)&lt;=0,0,(INT(MAX(0,Inputs!$B$44-B2272)/(IF(Inputs!$B$39="pvp",15,MAX(0.1,Skills!D6-IF(TRUE=TRUE,Inputs!$B$33,0)))*(1-IF(AND(ArtifactsInput!$M$27,Inputs!$B$4="Chapter Hunt"),CHOOSE(ArtifactsInput!$N$27+1,20,24,28,32,36,40),0)/100)))+1)),0)</f>
        <v/>
      </c>
      <c r="S2238">
        <f>IF(C2238,(H2238*N2238*IF(AND(Inputs!$B$39&lt;&gt;"pvp",Inputs!$B$44&gt;0),((Skills!F6*((R2238-1)*IF(Skills!G6&gt;0,INT(Skills!H6/Skills!G6+0.000000001),1)+IF(Skills!G6&gt;0,INT(MIN(Skills!H6,MAX(0,MAX(0,Inputs!$B$44-B2272)-((R2238-1)*(IF(Inputs!$B$39="pvp",15,MAX(0.1,Skills!D6-IF(TRUE=TRUE,Inputs!$B$33,0)))*(1-IF(AND(ArtifactsInput!$M$27,Inputs!$B$4="Chapter Hunt"),CHOOSE(ArtifactsInput!$N$27+1,20,24,28,32,36,40),0)/100)))))/Skills!G6+0.000000001),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INT(Skills!H6/Skills!G6+0.000000001),1)+IF(Skills!G6&gt;0,INT(MIN(Skills!H6,MAX(0,MAX(0,Inputs!$B$44-B2272)-((R2238-1)*(IF(Inputs!$B$39="pvp",15,MAX(0.1,Skills!D6-IF(TRUE=TRUE,Inputs!$B$33,0)))*(1-IF(AND(ArtifactsInput!$M$27,Inputs!$B$4="Chapter Hunt"),CHOOSE(ArtifactsInput!$N$27+1,20,24,28,32,36,40),0)/100)))))/Skills!G6+0.000000001),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IFERROR(1/(IF(Inputs!$B$39="pvp",15,MAX(0.1,Skills!D7-IF(TRUE=TRUE,Inputs!$B$33,0)))*(1-IF(AND(ArtifactsInput!$M$27,Inputs!$B$4="Chapter Hunt"),CHOOSE(ArtifactsInput!$N$27+1,20,24,28,32,36,40),0)/100)),0)</f>
        <v/>
      </c>
      <c r="R2239">
        <f>IF(AND(Inputs!$B$39&lt;&gt;"pvp",Inputs!$B$44&gt;0),IF(MAX(0,Inputs!$B$44-B2272)&lt;=0,0,(INT(MAX(0,Inputs!$B$44-B2272)/(IF(Inputs!$B$39="pvp",15,MAX(0.1,Skills!D7-IF(TRUE=TRUE,Inputs!$B$33,0)))*(1-IF(AND(ArtifactsInput!$M$27,Inputs!$B$4="Chapter Hunt"),CHOOSE(ArtifactsInput!$N$27+1,20,24,28,32,36,40),0)/100)))+1)),0)</f>
        <v/>
      </c>
      <c r="S2239">
        <f>IF(C2239,H2239*N2239*IF(AND(Inputs!$B$39&lt;&gt;"pvp",Inputs!$B$44&gt;0),((Skills!F7*((R2239-1)*IF(Skills!G7&gt;0,INT(Skills!H7/Skills!G7+0.000000001),1)+IF(Skills!G7&gt;0,INT(MIN(Skills!H7,MAX(0,MAX(0,Inputs!$B$44-B2272)-((R2239-1)*(IF(Inputs!$B$39="pvp",15,MAX(0.1,Skills!D7-IF(TRUE=TRUE,Inputs!$B$33,0)))*(1-IF(AND(ArtifactsInput!$M$27,Inputs!$B$4="Chapter Hunt"),CHOOSE(ArtifactsInput!$N$27+1,20,24,28,32,36,40),0)/100)))))/Skills!G7+0.000000001),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IFERROR(1/(IF(Inputs!$B$39="pvp",15,MAX(0.1,Skills!D8-IF(TRUE=TRUE,Inputs!$B$33,0)))*(1-IF(AND(ArtifactsInput!$M$27,Inputs!$B$4="Chapter Hunt"),CHOOSE(ArtifactsInput!$N$27+1,20,24,28,32,36,40),0)/100)),0)</f>
        <v/>
      </c>
      <c r="R2240">
        <f>IF(AND(Inputs!$B$39&lt;&gt;"pvp",Inputs!$B$44&gt;0),IF(MAX(0,Inputs!$B$44-B2272)&lt;=0,0,(INT(MAX(0,Inputs!$B$44-B2272)/(IF(Inputs!$B$39="pvp",15,MAX(0.1,Skills!D8-IF(TRUE=TRUE,Inputs!$B$33,0)))*(1-IF(AND(ArtifactsInput!$M$27,Inputs!$B$4="Chapter Hunt"),CHOOSE(ArtifactsInput!$N$27+1,20,24,28,32,36,40),0)/100)))+1)),0)</f>
        <v/>
      </c>
      <c r="S2240">
        <f>IF(C2240,(H2240*N2240*IF(AND(Inputs!$B$39&lt;&gt;"pvp",Inputs!$B$44&gt;0),((Skills!F8*((R2240-1)*IF(Skills!G8&gt;0,INT(Skills!H8/Skills!G8+0.000000001),1)+IF(Skills!G8&gt;0,INT(MIN(Skills!H8,MAX(0,MAX(0,Inputs!$B$44-B2272)-((R2240-1)*(IF(Inputs!$B$39="pvp",15,MAX(0.1,Skills!D8-IF(TRUE=TRUE,Inputs!$B$33,0)))*(1-IF(AND(ArtifactsInput!$M$27,Inputs!$B$4="Chapter Hunt"),CHOOSE(ArtifactsInput!$N$27+1,20,24,28,32,36,40),0)/100)))))/Skills!G8+0.000000001),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INT(Skills!H8/Skills!G8+0.000000001),1)+IF(Skills!G8&gt;0,INT(MIN(Skills!H8,MAX(0,MAX(0,Inputs!$B$44-B2272)-((R2240-1)*(IF(Inputs!$B$39="pvp",15,MAX(0.1,Skills!D8-IF(TRUE=TRUE,Inputs!$B$33,0)))*(1-IF(AND(ArtifactsInput!$M$27,Inputs!$B$4="Chapter Hunt"),CHOOSE(ArtifactsInput!$N$27+1,20,24,28,32,36,40),0)/100)))))/Skills!G8+0.000000001),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IFERROR(1/(IF(Inputs!$B$39="pvp",15,MAX(0.1,Skills!D9-IF(TRUE=TRUE,Inputs!$B$33,0)))*(1-IF(AND(ArtifactsInput!$M$27,Inputs!$B$4="Chapter Hunt"),CHOOSE(ArtifactsInput!$N$27+1,20,24,28,32,36,40),0)/100)),0)</f>
        <v/>
      </c>
      <c r="R2241">
        <f>IF(AND(Inputs!$B$39&lt;&gt;"pvp",Inputs!$B$44&gt;0),IF(MAX(0,Inputs!$B$44-B2272)&lt;=0,0,(INT(MAX(0,Inputs!$B$44-B2272)/(IF(Inputs!$B$39="pvp",15,MAX(0.1,Skills!D9-IF(TRUE=TRUE,Inputs!$B$33,0)))*(1-IF(AND(ArtifactsInput!$M$27,Inputs!$B$4="Chapter Hunt"),CHOOSE(ArtifactsInput!$N$27+1,20,24,28,32,36,40),0)/100)))+1)),0)</f>
        <v/>
      </c>
      <c r="S2241">
        <f>IF(C2241,(H2241*N2241*IF(AND(Inputs!$B$39&lt;&gt;"pvp",Inputs!$B$44&gt;0),((Skills!F9*((R2241-1)*IF(Skills!G9&gt;0,INT(Skills!H9/Skills!G9+0.000000001),1)+IF(Skills!G9&gt;0,INT(MIN(Skills!H9,MAX(0,MAX(0,Inputs!$B$44-B2272)-((R2241-1)*(IF(Inputs!$B$39="pvp",15,MAX(0.1,Skills!D9-IF(TRUE=TRUE,Inputs!$B$33,0)))*(1-IF(AND(ArtifactsInput!$M$27,Inputs!$B$4="Chapter Hunt"),CHOOSE(ArtifactsInput!$N$27+1,20,24,28,32,36,40),0)/100)))))/Skills!G9+0.000000001),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INT(Skills!H9/Skills!G9+0.000000001),1)+IF(Skills!G9&gt;0,INT(MIN(Skills!H9,MAX(0,MAX(0,Inputs!$B$44-B2272)-((R2241-1)*(IF(Inputs!$B$39="pvp",15,MAX(0.1,Skills!D9-IF(TRUE=TRUE,Inputs!$B$33,0)))*(1-IF(AND(ArtifactsInput!$M$27,Inputs!$B$4="Chapter Hunt"),CHOOSE(ArtifactsInput!$N$27+1,20,24,28,32,36,40),0)/100)))))/Skills!G9+0.000000001),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IFERROR(1/(IF(Inputs!$B$39="pvp",15,MAX(0.1,Skills!D10-IF(TRUE=TRUE,Inputs!$B$33,0)))*(1-IF(AND(ArtifactsInput!$M$27,Inputs!$B$4="Chapter Hunt"),CHOOSE(ArtifactsInput!$N$27+1,20,24,28,32,36,40),0)/100)),0)</f>
        <v/>
      </c>
      <c r="R2242">
        <f>IF(AND(Inputs!$B$39&lt;&gt;"pvp",Inputs!$B$44&gt;0),IF(MAX(0,Inputs!$B$44-B2272)&lt;=0,0,(INT(MAX(0,Inputs!$B$44-B2272)/(IF(Inputs!$B$39="pvp",15,MAX(0.1,Skills!D10-IF(TRUE=TRUE,Inputs!$B$33,0)))*(1-IF(AND(ArtifactsInput!$M$27,Inputs!$B$4="Chapter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IFERROR(1/(IF(Inputs!$B$39="pvp",15,MAX(0.1,Skills!D11-IF(TRUE=TRUE,Inputs!$B$33,0)))*(1-IF(AND(ArtifactsInput!$M$27,Inputs!$B$4="Chapter Hunt"),CHOOSE(ArtifactsInput!$N$27+1,20,24,28,32,36,40),0)/100)),0)</f>
        <v/>
      </c>
      <c r="R2243">
        <f>IF(AND(Inputs!$B$39&lt;&gt;"pvp",Inputs!$B$44&gt;0),IF(Inputs!$B$44&lt;=0,0,(INT(Inputs!$B$44/(IF(Inputs!$B$39="pvp",15,MAX(0.1,Skills!D11-IF(TRUE=TRUE,Inputs!$B$33,0)))*(1-IF(AND(ArtifactsInput!$M$27,Inputs!$B$4="Chapter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IFERROR(1/(IF(Inputs!$B$39="pvp",15,MAX(0.1,Skills!D12-IF(TRUE=TRUE,Inputs!$B$33,0)))*(1-IF(AND(ArtifactsInput!$M$27,Inputs!$B$4="Chapter Hunt"),CHOOSE(ArtifactsInput!$N$27+1,20,24,28,32,36,40),0)/100)),0)</f>
        <v/>
      </c>
      <c r="R2244">
        <f>IF(AND(Inputs!$B$39&lt;&gt;"pvp",Inputs!$B$44&gt;0),IF(MAX(0,Inputs!$B$44-B2272)&lt;=0,0,(INT(MAX(0,Inputs!$B$44-B2272)/(IF(Inputs!$B$39="pvp",15,MAX(0.1,Skills!D12-IF(TRUE=TRUE,Inputs!$B$33,0)))*(1-IF(AND(ArtifactsInput!$M$27,Inputs!$B$4="Chapter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IFERROR(1/(IF(Inputs!$B$39="pvp",15,MAX(0.1,Skills!D13-IF(TRUE=TRUE,Inputs!$B$33,0)))*(1-IF(AND(ArtifactsInput!$M$27,Inputs!$B$4="Chapter Hunt"),CHOOSE(ArtifactsInput!$N$27+1,20,24,28,32,36,40),0)/100)),0)</f>
        <v/>
      </c>
      <c r="R2245">
        <f>IF(AND(Inputs!$B$39&lt;&gt;"pvp",Inputs!$B$44&gt;0),IF(MAX(0,Inputs!$B$44-B2272)&lt;=0,0,(INT(MAX(0,Inputs!$B$44-B2272)/(IF(Inputs!$B$39="pvp",15,MAX(0.1,Skills!D13-IF(TRUE=TRUE,Inputs!$B$33,0)))*(1-IF(AND(ArtifactsInput!$M$27,Inputs!$B$4="Chapter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IFERROR(1/(IF(Inputs!$B$39="pvp",15,MAX(0.1,Skills!D14-IF(TRUE=TRUE,Inputs!$B$33,0)))*(1-IF(AND(ArtifactsInput!$M$27,Inputs!$B$4="Chapter Hunt"),CHOOSE(ArtifactsInput!$N$27+1,20,24,28,32,36,40),0)/100)),0)</f>
        <v/>
      </c>
      <c r="R2246">
        <f>IF(AND(Inputs!$B$39&lt;&gt;"pvp",Inputs!$B$44&gt;0),IF(Inputs!$B$44&lt;=0,0,(INT(Inputs!$B$44/(IF(Inputs!$B$39="pvp",15,MAX(0.1,Skills!D14-IF(TRUE=TRUE,Inputs!$B$33,0)))*(1-IF(AND(ArtifactsInput!$M$27,Inputs!$B$4="Chapter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IFERROR(1/(IF(Inputs!$B$39="pvp",15,MAX(0.1,Skills!D15-IF(TRUE=TRUE,Inputs!$B$33,0)))*(1-IF(AND(ArtifactsInput!$M$27,Inputs!$B$4="Chapter Hunt"),CHOOSE(ArtifactsInput!$N$27+1,20,24,28,32,36,40),0)/100)),0)</f>
        <v/>
      </c>
      <c r="R2247" t="n">
        <v>0</v>
      </c>
      <c r="S2247">
        <f>IF(C2247,(Skills!F15*N2247*((IF(Inputs!$B$3&gt;=78,25,15)/100*B2268*10)/(1+IF(Inputs!$B$3&gt;=78,25,15)/100*B2268*IF(Inputs!$B$39="pvp",15,MAX(0.1,18-IF(TRUE=TRUE,Inputs!$B$33,0)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IF(Inputs!$B$39="pvp",15,MAX(0.1,18-IF(TRUE=TRUE,Inputs!$B$33,0)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IFERROR(1/(IF(Inputs!$B$39="pvp",15,MAX(0.1,Skills!D16-IF(TRUE=TRUE,Inputs!$B$33,0)))*(1-IF(AND(ArtifactsInput!$M$27,Inputs!$B$4="Chapter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IFERROR(1/(IF(Inputs!$B$39="pvp",15,MAX(0.1,Skills!D17-IF(TRUE=TRUE,Inputs!$B$33,0)))*(1-IF(AND(ArtifactsInput!$M$27,Inputs!$B$4="Chapter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IFERROR(1/(IF(Inputs!$B$39="pvp",15,MAX(0.1,Skills!D18-IF(TRUE=TRUE,Inputs!$B$33,0)))*(1-IF(AND(ArtifactsInput!$M$27,Inputs!$B$4="Chapter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IFERROR(1/(IF(Inputs!$B$39="pvp",15,MAX(0.1,Skills!D19-IF(TRUE=TRUE,Inputs!$B$33,0)))*(1-IF(AND(ArtifactsInput!$M$27,Inputs!$B$4="Chapter Hunt"),CHOOSE(ArtifactsInput!$N$27+1,20,24,28,32,36,40),0)/100)),0)</f>
        <v/>
      </c>
      <c r="R2251">
        <f>IF(AND(Inputs!$B$39&lt;&gt;"pvp",Inputs!$B$44&gt;0),IF(Inputs!$B$44&lt;=0,0,(INT(Inputs!$B$44/(IF(Inputs!$B$39="pvp",15,MAX(0.1,Skills!D19-IF(TRUE=TRUE,Inputs!$B$33,0)))*(1-IF(AND(ArtifactsInput!$M$27,Inputs!$B$4="Chapter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IFERROR(1/(IF(Inputs!$B$39="pvp",15,MAX(0.1,Skills!D20-IF(TRUE=TRUE,Inputs!$B$33,0)))*(1-IF(AND(ArtifactsInput!$M$27,Inputs!$B$4="Chapter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IFERROR(1/(IF(Inputs!$B$39="pvp",15,MAX(0.1,Skills!D21-IF(TRUE=TRUE,Inputs!$B$33,0)))*(1-IF(AND(ArtifactsInput!$M$27,Inputs!$B$4="Chapter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IFERROR(1/(IF(Inputs!$B$39="pvp",15,MAX(0.1,Skills!D22-IF(TRUE=TRUE,Inputs!$B$33,0)))*(1-IF(AND(ArtifactsInput!$M$27,Inputs!$B$4="Chapter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IFERROR(1/(IF(Inputs!$B$39="pvp",15,MAX(0.1,Skills!D23-IF(TRUE=TRUE,Inputs!$B$33,0)))*(1-IF(AND(ArtifactsInput!$M$27,Inputs!$B$4="Chapter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IFERROR(1/(IF(Inputs!$B$39="pvp",15,MAX(0.1,Skills!D24-IF(TRUE=TRUE,Inputs!$B$33,0)))*(1-IF(AND(ArtifactsInput!$M$27,Inputs!$B$4="Chapter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IFERROR(1/(IF(Inputs!$B$39="pvp",15,MAX(0.1,Skills!D25-IF(TRUE=TRUE,Inputs!$B$33,0)))*(1-IF(AND(ArtifactsInput!$M$27,Inputs!$B$4="Chapter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IFERROR(1/(IF(Inputs!$B$39="pvp",15,MAX(0.1,Skills!D26-IF(TRUE=TRUE,Inputs!$B$33,0)))*(1-IF(AND(ArtifactsInput!$M$27,Inputs!$B$4="Chapter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IFERROR(1/(IF(Inputs!$B$39="pvp",15,MAX(0.1,Skills!D27-IF(TRUE=TRUE,Inputs!$B$33,0)))*(1-IF(AND(ArtifactsInput!$M$27,Inputs!$B$4="Chapter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IFERROR(1/(IF(Inputs!$B$39="pvp",15,MAX(0.1,Skills!D28-IF(TRUE=TRUE,Inputs!$B$33,0)))*(1-IF(AND(ArtifactsInput!$M$27,Inputs!$B$4="Chapter Hunt"),CHOOSE(ArtifactsInput!$N$27+1,20,24,28,32,36,40),0)/100)),0)</f>
        <v/>
      </c>
      <c r="R2260">
        <f>IF(AND(Inputs!$B$39&lt;&gt;"pvp",Inputs!$B$44&gt;0),IF(Inputs!$B$44&lt;=0,0,(INT(Inputs!$B$44/(IF(Inputs!$B$39="pvp",15,MAX(0.1,Skills!D28-IF(TRUE=TRUE,Inputs!$B$33,0)))*(1-IF(AND(ArtifactsInput!$M$27,Inputs!$B$4="Chapter Hunt"),CHOOSE(ArtifactsInput!$N$27+1,20,24,28,32,36,40),0)/100)))+1)),0)</f>
        <v/>
      </c>
      <c r="S2260" t="n">
        <v>0</v>
      </c>
      <c r="U2260" t="n">
        <v>0</v>
      </c>
    </row>
    <row r="2262">
      <c r="A2262" t="inlineStr">
        <is>
          <t>Average Buff Multiplier</t>
        </is>
      </c>
      <c r="B2262">
        <f>(1+(IF(C2235=TRUE,F2235*IF(AND(Inputs!$B$39&lt;&gt;"pvp",Inputs!$B$44&gt;0),(((R2235-1)*MIN((Skills!S3*(1+((Inputs!$B$35+(ArtifactsInput!$M$7-ArtifactsInput!$M$7)*CHOOSE(ArtifactsInput!$N$7+1,6,7.2,8.4,9.6,10.8,12)))/100)),(1/Q2235))+MIN((Skills!S3*(1+((Inputs!$B$35+(ArtifactsInput!$M$7-ArtifactsInput!$M$7)*CHOOSE(ArtifactsInput!$N$7+1,6,7.2,8.4,9.6,10.8,12)))/100)),MAX(0,Inputs!$B$44-((R2235-1)*(1/Q2235)))))/Inputs!$B$44),IF(Inputs!$B$39="pvp",MIN((Skills!S3*(1+((Inputs!$B$35+(ArtifactsInput!$M$7-ArtifactsInput!$M$7)*CHOOSE(ArtifactsInput!$N$7+1,6,7.2,8.4,9.6,10.8,12)))/100)),15)/15,MIN(1,(Skills!S3*(1+((Inputs!$B$35+(ArtifactsInput!$M$7-ArtifactsInput!$M$7)*CHOOSE(ArtifactsInput!$N$7+1,6,7.2,8.4,9.6,10.8,12)))/100))/(1/Q2235)))),0)+IF(C2236=TRUE,F2236*IF(AND(Inputs!$B$39&lt;&gt;"pvp",Inputs!$B$44&gt;0),(((R2236-1)*MIN((Skills!S4*(1+((Inputs!$B$35+(ArtifactsInput!$M$7-ArtifactsInput!$M$7)*CHOOSE(ArtifactsInput!$N$7+1,6,7.2,8.4,9.6,10.8,12)))/100)),(1/Q2236))+MIN((Skills!S4*(1+((Inputs!$B$35+(ArtifactsInput!$M$7-ArtifactsInput!$M$7)*CHOOSE(ArtifactsInput!$N$7+1,6,7.2,8.4,9.6,10.8,12)))/100)),MAX(0,Inputs!$B$44-((R2236-1)*(1/Q2236)))))/Inputs!$B$44),IF(Inputs!$B$39="pvp",MIN((Skills!S4*(1+((Inputs!$B$35+(ArtifactsInput!$M$7-ArtifactsInput!$M$7)*CHOOSE(ArtifactsInput!$N$7+1,6,7.2,8.4,9.6,10.8,12)))/100)),15)/15,MIN(1,(Skills!S4*(1+((Inputs!$B$35+(ArtifactsInput!$M$7-ArtifactsInput!$M$7)*CHOOSE(ArtifactsInput!$N$7+1,6,7.2,8.4,9.6,10.8,12)))/100))/(1/Q2236)))),0)+IF(C2237=TRUE,F2237*IF(AND(Inputs!$B$39&lt;&gt;"pvp",Inputs!$B$44&gt;0),(((R2237-1)*MIN((Skills!S5*(1+((Inputs!$B$35+(ArtifactsInput!$M$7-ArtifactsInput!$M$7)*CHOOSE(ArtifactsInput!$N$7+1,6,7.2,8.4,9.6,10.8,12)))/100)),(1/Q2237))+MIN((Skills!S5*(1+((Inputs!$B$35+(ArtifactsInput!$M$7-ArtifactsInput!$M$7)*CHOOSE(ArtifactsInput!$N$7+1,6,7.2,8.4,9.6,10.8,12)))/100)),MAX(0,Inputs!$B$44-((R2237-1)*(1/Q2237)))))/Inputs!$B$44),IF(Inputs!$B$39="pvp",MIN((Skills!S5*(1+((Inputs!$B$35+(ArtifactsInput!$M$7-ArtifactsInput!$M$7)*CHOOSE(ArtifactsInput!$N$7+1,6,7.2,8.4,9.6,10.8,12)))/100)),15)/15,MIN(1,(Skills!S5*(1+((Inputs!$B$35+(ArtifactsInput!$M$7-ArtifactsInput!$M$7)*CHOOSE(ArtifactsInput!$N$7+1,6,7.2,8.4,9.6,10.8,12)))/100))/(1/Q2237)))),0)+IF(C2243=TRUE,F2243*IF(AND(Inputs!$B$39&lt;&gt;"pvp",Inputs!$B$44&gt;0),(((R2243-1)*MIN((Skills!S11*(1+((Inputs!$B$35+(ArtifactsInput!$M$7-ArtifactsInput!$M$7)*CHOOSE(ArtifactsInput!$N$7+1,6,7.2,8.4,9.6,10.8,12)))/100)),(1/Q2243))+MIN((Skills!S11*(1+((Inputs!$B$35+(ArtifactsInput!$M$7-ArtifactsInput!$M$7)*CHOOSE(ArtifactsInput!$N$7+1,6,7.2,8.4,9.6,10.8,12)))/100)),MAX(0,Inputs!$B$44-((R2243-1)*(1/Q2243)))))/Inputs!$B$44),IF(Inputs!$B$39="pvp",MIN((Skills!S11*(1+((Inputs!$B$35+(ArtifactsInput!$M$7-ArtifactsInput!$M$7)*CHOOSE(ArtifactsInput!$N$7+1,6,7.2,8.4,9.6,10.8,12)))/100)),15)/15,MIN(1,(Skills!S11*(1+((Inputs!$B$35+(ArtifactsInput!$M$7-ArtifactsInput!$M$7)*CHOOSE(ArtifactsInput!$N$7+1,6,7.2,8.4,9.6,10.8,12)))/100))/(1/Q2243)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MIN((Skills!S14*(1+((Inputs!$B$35+(ArtifactsInput!$M$7-ArtifactsInput!$M$7)*CHOOSE(ArtifactsInput!$N$7+1,6,7.2,8.4,9.6,10.8,12)))/100)),(1/Q2246))+MIN((Skills!S14*(1+((Inputs!$B$35+(ArtifactsInput!$M$7-ArtifactsInput!$M$7)*CHOOSE(ArtifactsInput!$N$7+1,6,7.2,8.4,9.6,10.8,12)))/100)),MAX(0,Inputs!$B$44-((R2246-1)*(1/Q2246)))))/Inputs!$B$44),IF(Inputs!$B$39="pvp",MIN((Skills!S14*(1+((Inputs!$B$35+(ArtifactsInput!$M$7-ArtifactsInput!$M$7)*CHOOSE(ArtifactsInput!$N$7+1,6,7.2,8.4,9.6,10.8,12)))/100)),15)/15,MIN(1,(Skills!S14*(1+((Inputs!$B$35+(ArtifactsInput!$M$7-ArtifactsInput!$M$7)*CHOOSE(ArtifactsInput!$N$7+1,6,7.2,8.4,9.6,10.8,12)))/100))/(1/Q2246))))/100),1)*IF(C2251=TRUE,(1+F2251*IF(AND(Inputs!$B$39&lt;&gt;"pvp",Inputs!$B$44&gt;0),(((R2251-1)*MIN((Skills!S19*(1+((Inputs!$B$35+(ArtifactsInput!$M$7-ArtifactsInput!$M$7)*CHOOSE(ArtifactsInput!$N$7+1,6,7.2,8.4,9.6,10.8,12)))/100)),(1/Q2251))+MIN((Skills!S19*(1+((Inputs!$B$35+(ArtifactsInput!$M$7-ArtifactsInput!$M$7)*CHOOSE(ArtifactsInput!$N$7+1,6,7.2,8.4,9.6,10.8,12)))/100)),MAX(0,Inputs!$B$44-((R2251-1)*(1/Q2251)))))/Inputs!$B$44),IF(Inputs!$B$39="pvp",MIN((Skills!S19*(1+((Inputs!$B$35+(ArtifactsInput!$M$7-ArtifactsInput!$M$7)*CHOOSE(ArtifactsInput!$N$7+1,6,7.2,8.4,9.6,10.8,12)))/100)),15)/15,MIN(1,(Skills!S19*(1+((Inputs!$B$35+(ArtifactsInput!$M$7-ArtifactsInput!$M$7)*CHOOSE(ArtifactsInput!$N$7+1,6,7.2,8.4,9.6,10.8,12)))/100))/(1/Q2251))))/100),1)</f>
        <v/>
      </c>
    </row>
    <row r="2263">
      <c r="A2263" t="inlineStr">
        <is>
          <t>Monster Damage Taken Bonus % (Holy Fountain)</t>
        </is>
      </c>
      <c r="B2263">
        <f>IF(Inputs!$B$3&gt;=68,20*IF(Inputs!$B$39="pvp",MIN((15*(1+((Inputs!$B$35+(ArtifactsInput!$M$7-ArtifactsInput!$M$7)*CHOOSE(ArtifactsInput!$N$7+1,6,7.2,8.4,9.6,10.8,12)))/100)),15)/15,MIN(1,(15*(1+((Inputs!$B$35+(ArtifactsInput!$M$7-ArtifactsInput!$M$7)*CHOOSE(ArtifactsInput!$N$7+1,6,7.2,8.4,9.6,10.8,12)))/100))/(1/Q2242))),0)</f>
        <v/>
      </c>
    </row>
    <row r="2264">
      <c r="A2264" t="inlineStr">
        <is>
          <t>Normal Monster Damage Bonus % (Holy Symbol)</t>
        </is>
      </c>
      <c r="B2264">
        <f>IF(C2244=TRUE,F2244*IF(AND(Inputs!$B$39&lt;&gt;"pvp",Inputs!$B$44&gt;0),(((R2244-1)*MIN((Skills!S12*(1+((Inputs!$B$35+(ArtifactsInput!$M$7-ArtifactsInput!$M$7)*CHOOSE(ArtifactsInput!$N$7+1,6,7.2,8.4,9.6,10.8,12)))/100)),(1/Q2244))+MIN((Skills!S12*(1+((Inputs!$B$35+(ArtifactsInput!$M$7-ArtifactsInput!$M$7)*CHOOSE(ArtifactsInput!$N$7+1,6,7.2,8.4,9.6,10.8,12)))/100)),MAX(0,Inputs!$B$44-((R2244-1)*(1/Q2244)))))/Inputs!$B$44),IF(Inputs!$B$39="pvp",MIN((Skills!S12*(1+((Inputs!$B$35+(ArtifactsInput!$M$7-ArtifactsInput!$M$7)*CHOOSE(ArtifactsInput!$N$7+1,6,7.2,8.4,9.6,10.8,12)))/100)),15)/15,MIN(1,(Skills!S12*(1+((Inputs!$B$35+(ArtifactsInput!$M$7-ArtifactsInput!$M$7)*CHOOSE(ArtifactsInput!$N$7+1,6,7.2,8.4,9.6,10.8,12)))/100))/(1/Q2244)))),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MIN((Skills!S28*(1+((Inputs!$B$35+(ArtifactsInput!$M$7-ArtifactsInput!$M$7)*CHOOSE(ArtifactsInput!$N$7+1,6,7.2,8.4,9.6,10.8,12)))/100)),(1/Q2260))+MIN((Skills!S28*(1+((Inputs!$B$35+(ArtifactsInput!$M$7-ArtifactsInput!$M$7)*CHOOSE(ArtifactsInput!$N$7+1,6,7.2,8.4,9.6,10.8,12)))/100)),MAX(0,Inputs!$B$44-((R2260-1)*(1/Q2260)))))/Inputs!$B$44),IF(Inputs!$B$39="pvp",MIN((Skills!S28*(1+((Inputs!$B$35+(ArtifactsInput!$M$7-ArtifactsInput!$M$7)*CHOOSE(ArtifactsInput!$N$7+1,6,7.2,8.4,9.6,10.8,12)))/100)),15)/15,MIN(1,(Skills!S28*(1+((Inputs!$B$35+(ArtifactsInput!$M$7-ArtifactsInput!$M$7)*CHOOSE(ArtifactsInput!$N$7+1,6,7.2,8.4,9.6,10.8,12)))/100))/(1/Q2260)))))</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MIN((Skills!S13*(1+((Inputs!$B$35+(ArtifactsInput!$M$7-ArtifactsInput!$M$7)*CHOOSE(ArtifactsInput!$N$7+1,6,7.2,8.4,9.6,10.8,12)))/100)),(1/Q2245))+MIN((Skills!S13*(1+((Inputs!$B$35+(ArtifactsInput!$M$7-ArtifactsInput!$M$7)*CHOOSE(ArtifactsInput!$N$7+1,6,7.2,8.4,9.6,10.8,12)))/100)),MAX(0,Inputs!$B$44-((R2245-1)*(1/Q2245)))))/Inputs!$B$44),IF(Inputs!$B$39="pvp",MIN((Skills!S13*(1+((Inputs!$B$35+(ArtifactsInput!$M$7-ArtifactsInput!$M$7)*CHOOSE(ArtifactsInput!$N$7+1,6,7.2,8.4,9.6,10.8,12)))/100)),15)/15,MIN(1,(Skills!S13*(1+((Inputs!$B$35+(ArtifactsInput!$M$7-ArtifactsInput!$M$7)*CHOOSE(ArtifactsInput!$N$7+1,6,7.2,8.4,9.6,10.8,12)))/100))/(1/Q2245)))),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IFERROR(1/(IF(Inputs!$B$39="pvp",15,MAX(0.1,Skills!D2-IF(TRUE=TRUE,Inputs!$B$33,0)))*(1-IF(AND(ArtifactsInput!$M$27,Inputs!$B$4="Chapter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IFERROR(1/(IF(Inputs!$B$39="pvp",15,MAX(0.1,Skills!D3-IF(TRUE=TRUE,Inputs!$B$33,0)))*(1-IF(AND(ArtifactsInput!$M$27,Inputs!$B$4="Chapter Hunt"),CHOOSE(ArtifactsInput!$N$27+1,20,24,28,32,36,40),0)/100)),0)</f>
        <v/>
      </c>
      <c r="R2280">
        <f>IF(AND(Inputs!$B$39&lt;&gt;"pvp",Inputs!$B$44&gt;0),IF(Inputs!$B$44&lt;=0,0,(INT(Inputs!$B$44/(IF(Inputs!$B$39="pvp",15,MAX(0.1,Skills!D3-IF(TRUE=TRUE,Inputs!$B$33,0)))*(1-IF(AND(ArtifactsInput!$M$27,Inputs!$B$4="Chapter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IFERROR(1/(IF(Inputs!$B$39="pvp",15,MAX(0.1,Skills!D4-IF(TRUE=TRUE,Inputs!$B$33,0)))*(1-IF(AND(ArtifactsInput!$M$27,Inputs!$B$4="Chapter Hunt"),CHOOSE(ArtifactsInput!$N$27+1,20,24,28,32,36,40),0)/100)),0)</f>
        <v/>
      </c>
      <c r="R2281">
        <f>IF(AND(Inputs!$B$39&lt;&gt;"pvp",Inputs!$B$44&gt;0),IF(Inputs!$B$44&lt;=0,0,(INT(Inputs!$B$44/(IF(Inputs!$B$39="pvp",15,MAX(0.1,Skills!D4-IF(TRUE=TRUE,Inputs!$B$33,0)))*(1-IF(AND(ArtifactsInput!$M$27,Inputs!$B$4="Chapter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IFERROR(1/(IF(Inputs!$B$39="pvp",15,MAX(0.1,Skills!D5-IF(TRUE=TRUE,Inputs!$B$33,0)))*(1-IF(AND(ArtifactsInput!$M$27,Inputs!$B$4="Chapter Hunt"),CHOOSE(ArtifactsInput!$N$27+1,20,24,28,32,36,40),0)/100)),0)</f>
        <v/>
      </c>
      <c r="R2282">
        <f>IF(AND(Inputs!$B$39&lt;&gt;"pvp",Inputs!$B$44&gt;0),IF(Inputs!$B$44&lt;=0,0,(INT(Inputs!$B$44/(IF(Inputs!$B$39="pvp",15,MAX(0.1,Skills!D5-IF(TRUE=TRUE,Inputs!$B$33,0)))*(1-IF(AND(ArtifactsInput!$M$27,Inputs!$B$4="Chapter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IFERROR(1/(IF(Inputs!$B$39="pvp",15,MAX(0.1,Skills!D6-IF(TRUE=TRUE,Inputs!$B$33,0)))*(1-IF(AND(ArtifactsInput!$M$27,Inputs!$B$4="Chapter Hunt"),CHOOSE(ArtifactsInput!$N$27+1,20,24,28,32,36,40),0)/100)),0)</f>
        <v/>
      </c>
      <c r="R2283">
        <f>IF(AND(Inputs!$B$39&lt;&gt;"pvp",Inputs!$B$44&gt;0),IF(MAX(0,Inputs!$B$44-B2317)&lt;=0,0,(INT(MAX(0,Inputs!$B$44-B2317)/(IF(Inputs!$B$39="pvp",15,MAX(0.1,Skills!D6-IF(TRUE=TRUE,Inputs!$B$33,0)))*(1-IF(AND(ArtifactsInput!$M$27,Inputs!$B$4="Chapter Hunt"),CHOOSE(ArtifactsInput!$N$27+1,20,24,28,32,36,40),0)/100)))+1)),0)</f>
        <v/>
      </c>
      <c r="S2283">
        <f>IF(C2283,(H2283*N2283*IF(AND(Inputs!$B$39&lt;&gt;"pvp",Inputs!$B$44&gt;0),((Skills!F6*((R2283-1)*IF(Skills!G6&gt;0,INT(Skills!H6/Skills!G6+0.000000001),1)+IF(Skills!G6&gt;0,INT(MIN(Skills!H6,MAX(0,MAX(0,Inputs!$B$44-B2317)-((R2283-1)*(IF(Inputs!$B$39="pvp",15,MAX(0.1,Skills!D6-IF(TRUE=TRUE,Inputs!$B$33,0)))*(1-IF(AND(ArtifactsInput!$M$27,Inputs!$B$4="Chapter Hunt"),CHOOSE(ArtifactsInput!$N$27+1,20,24,28,32,36,40),0)/100)))))/Skills!G6+0.000000001),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INT(Skills!H6/Skills!G6+0.000000001),1)+IF(Skills!G6&gt;0,INT(MIN(Skills!H6,MAX(0,MAX(0,Inputs!$B$44-B2317)-((R2283-1)*(IF(Inputs!$B$39="pvp",15,MAX(0.1,Skills!D6-IF(TRUE=TRUE,Inputs!$B$33,0)))*(1-IF(AND(ArtifactsInput!$M$27,Inputs!$B$4="Chapter Hunt"),CHOOSE(ArtifactsInput!$N$27+1,20,24,28,32,36,40),0)/100)))))/Skills!G6+0.000000001),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IFERROR(1/(IF(Inputs!$B$39="pvp",15,MAX(0.1,Skills!D7-IF(TRUE=TRUE,Inputs!$B$33,0)))*(1-IF(AND(ArtifactsInput!$M$27,Inputs!$B$4="Chapter Hunt"),CHOOSE(ArtifactsInput!$N$27+1,20,24,28,32,36,40),0)/100)),0)</f>
        <v/>
      </c>
      <c r="R2284">
        <f>IF(AND(Inputs!$B$39&lt;&gt;"pvp",Inputs!$B$44&gt;0),IF(MAX(0,Inputs!$B$44-B2317)&lt;=0,0,(INT(MAX(0,Inputs!$B$44-B2317)/(IF(Inputs!$B$39="pvp",15,MAX(0.1,Skills!D7-IF(TRUE=TRUE,Inputs!$B$33,0)))*(1-IF(AND(ArtifactsInput!$M$27,Inputs!$B$4="Chapter Hunt"),CHOOSE(ArtifactsInput!$N$27+1,20,24,28,32,36,40),0)/100)))+1)),0)</f>
        <v/>
      </c>
      <c r="S2284">
        <f>IF(C2284,H2284*N2284*IF(AND(Inputs!$B$39&lt;&gt;"pvp",Inputs!$B$44&gt;0),((Skills!F7*((R2284-1)*IF(Skills!G7&gt;0,INT(Skills!H7/Skills!G7+0.000000001),1)+IF(Skills!G7&gt;0,INT(MIN(Skills!H7,MAX(0,MAX(0,Inputs!$B$44-B2317)-((R2284-1)*(IF(Inputs!$B$39="pvp",15,MAX(0.1,Skills!D7-IF(TRUE=TRUE,Inputs!$B$33,0)))*(1-IF(AND(ArtifactsInput!$M$27,Inputs!$B$4="Chapter Hunt"),CHOOSE(ArtifactsInput!$N$27+1,20,24,28,32,36,40),0)/100)))))/Skills!G7+0.000000001),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IFERROR(1/(IF(Inputs!$B$39="pvp",15,MAX(0.1,Skills!D8-IF(TRUE=TRUE,Inputs!$B$33,0)))*(1-IF(AND(ArtifactsInput!$M$27,Inputs!$B$4="Chapter Hunt"),CHOOSE(ArtifactsInput!$N$27+1,20,24,28,32,36,40),0)/100)),0)</f>
        <v/>
      </c>
      <c r="R2285">
        <f>IF(AND(Inputs!$B$39&lt;&gt;"pvp",Inputs!$B$44&gt;0),IF(MAX(0,Inputs!$B$44-B2317)&lt;=0,0,(INT(MAX(0,Inputs!$B$44-B2317)/(IF(Inputs!$B$39="pvp",15,MAX(0.1,Skills!D8-IF(TRUE=TRUE,Inputs!$B$33,0)))*(1-IF(AND(ArtifactsInput!$M$27,Inputs!$B$4="Chapter Hunt"),CHOOSE(ArtifactsInput!$N$27+1,20,24,28,32,36,40),0)/100)))+1)),0)</f>
        <v/>
      </c>
      <c r="S2285">
        <f>IF(C2285,(H2285*N2285*IF(AND(Inputs!$B$39&lt;&gt;"pvp",Inputs!$B$44&gt;0),((Skills!F8*((R2285-1)*IF(Skills!G8&gt;0,INT(Skills!H8/Skills!G8+0.000000001),1)+IF(Skills!G8&gt;0,INT(MIN(Skills!H8,MAX(0,MAX(0,Inputs!$B$44-B2317)-((R2285-1)*(IF(Inputs!$B$39="pvp",15,MAX(0.1,Skills!D8-IF(TRUE=TRUE,Inputs!$B$33,0)))*(1-IF(AND(ArtifactsInput!$M$27,Inputs!$B$4="Chapter Hunt"),CHOOSE(ArtifactsInput!$N$27+1,20,24,28,32,36,40),0)/100)))))/Skills!G8+0.000000001),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INT(Skills!H8/Skills!G8+0.000000001),1)+IF(Skills!G8&gt;0,INT(MIN(Skills!H8,MAX(0,MAX(0,Inputs!$B$44-B2317)-((R2285-1)*(IF(Inputs!$B$39="pvp",15,MAX(0.1,Skills!D8-IF(TRUE=TRUE,Inputs!$B$33,0)))*(1-IF(AND(ArtifactsInput!$M$27,Inputs!$B$4="Chapter Hunt"),CHOOSE(ArtifactsInput!$N$27+1,20,24,28,32,36,40),0)/100)))))/Skills!G8+0.000000001),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IFERROR(1/(IF(Inputs!$B$39="pvp",15,MAX(0.1,Skills!D9-IF(TRUE=TRUE,Inputs!$B$33,0)))*(1-IF(AND(ArtifactsInput!$M$27,Inputs!$B$4="Chapter Hunt"),CHOOSE(ArtifactsInput!$N$27+1,20,24,28,32,36,40),0)/100)),0)</f>
        <v/>
      </c>
      <c r="R2286">
        <f>IF(AND(Inputs!$B$39&lt;&gt;"pvp",Inputs!$B$44&gt;0),IF(MAX(0,Inputs!$B$44-B2317)&lt;=0,0,(INT(MAX(0,Inputs!$B$44-B2317)/(IF(Inputs!$B$39="pvp",15,MAX(0.1,Skills!D9-IF(TRUE=TRUE,Inputs!$B$33,0)))*(1-IF(AND(ArtifactsInput!$M$27,Inputs!$B$4="Chapter Hunt"),CHOOSE(ArtifactsInput!$N$27+1,20,24,28,32,36,40),0)/100)))+1)),0)</f>
        <v/>
      </c>
      <c r="S2286">
        <f>IF(C2286,(H2286*N2286*IF(AND(Inputs!$B$39&lt;&gt;"pvp",Inputs!$B$44&gt;0),((Skills!F9*((R2286-1)*IF(Skills!G9&gt;0,INT(Skills!H9/Skills!G9+0.000000001),1)+IF(Skills!G9&gt;0,INT(MIN(Skills!H9,MAX(0,MAX(0,Inputs!$B$44-B2317)-((R2286-1)*(IF(Inputs!$B$39="pvp",15,MAX(0.1,Skills!D9-IF(TRUE=TRUE,Inputs!$B$33,0)))*(1-IF(AND(ArtifactsInput!$M$27,Inputs!$B$4="Chapter Hunt"),CHOOSE(ArtifactsInput!$N$27+1,20,24,28,32,36,40),0)/100)))))/Skills!G9+0.000000001),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INT(Skills!H9/Skills!G9+0.000000001),1)+IF(Skills!G9&gt;0,INT(MIN(Skills!H9,MAX(0,MAX(0,Inputs!$B$44-B2317)-((R2286-1)*(IF(Inputs!$B$39="pvp",15,MAX(0.1,Skills!D9-IF(TRUE=TRUE,Inputs!$B$33,0)))*(1-IF(AND(ArtifactsInput!$M$27,Inputs!$B$4="Chapter Hunt"),CHOOSE(ArtifactsInput!$N$27+1,20,24,28,32,36,40),0)/100)))))/Skills!G9+0.000000001),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IFERROR(1/(IF(Inputs!$B$39="pvp",15,MAX(0.1,Skills!D10-IF(TRUE=TRUE,Inputs!$B$33,0)))*(1-IF(AND(ArtifactsInput!$M$27,Inputs!$B$4="Chapter Hunt"),CHOOSE(ArtifactsInput!$N$27+1,20,24,28,32,36,40),0)/100)),0)</f>
        <v/>
      </c>
      <c r="R2287">
        <f>IF(AND(Inputs!$B$39&lt;&gt;"pvp",Inputs!$B$44&gt;0),IF(MAX(0,Inputs!$B$44-B2317)&lt;=0,0,(INT(MAX(0,Inputs!$B$44-B2317)/(IF(Inputs!$B$39="pvp",15,MAX(0.1,Skills!D10-IF(TRUE=TRUE,Inputs!$B$33,0)))*(1-IF(AND(ArtifactsInput!$M$27,Inputs!$B$4="Chapter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IFERROR(1/(IF(Inputs!$B$39="pvp",15,MAX(0.1,Skills!D11-IF(TRUE=TRUE,Inputs!$B$33,0)))*(1-IF(AND(ArtifactsInput!$M$27,Inputs!$B$4="Chapter Hunt"),CHOOSE(ArtifactsInput!$N$27+1,20,24,28,32,36,40),0)/100)),0)</f>
        <v/>
      </c>
      <c r="R2288">
        <f>IF(AND(Inputs!$B$39&lt;&gt;"pvp",Inputs!$B$44&gt;0),IF(Inputs!$B$44&lt;=0,0,(INT(Inputs!$B$44/(IF(Inputs!$B$39="pvp",15,MAX(0.1,Skills!D11-IF(TRUE=TRUE,Inputs!$B$33,0)))*(1-IF(AND(ArtifactsInput!$M$27,Inputs!$B$4="Chapter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IFERROR(1/(IF(Inputs!$B$39="pvp",15,MAX(0.1,Skills!D12-IF(TRUE=TRUE,Inputs!$B$33,0)))*(1-IF(AND(ArtifactsInput!$M$27,Inputs!$B$4="Chapter Hunt"),CHOOSE(ArtifactsInput!$N$27+1,20,24,28,32,36,40),0)/100)),0)</f>
        <v/>
      </c>
      <c r="R2289">
        <f>IF(AND(Inputs!$B$39&lt;&gt;"pvp",Inputs!$B$44&gt;0),IF(MAX(0,Inputs!$B$44-B2317)&lt;=0,0,(INT(MAX(0,Inputs!$B$44-B2317)/(IF(Inputs!$B$39="pvp",15,MAX(0.1,Skills!D12-IF(TRUE=TRUE,Inputs!$B$33,0)))*(1-IF(AND(ArtifactsInput!$M$27,Inputs!$B$4="Chapter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IFERROR(1/(IF(Inputs!$B$39="pvp",15,MAX(0.1,Skills!D13-IF(TRUE=TRUE,Inputs!$B$33,0)))*(1-IF(AND(ArtifactsInput!$M$27,Inputs!$B$4="Chapter Hunt"),CHOOSE(ArtifactsInput!$N$27+1,20,24,28,32,36,40),0)/100)),0)</f>
        <v/>
      </c>
      <c r="R2290">
        <f>IF(AND(Inputs!$B$39&lt;&gt;"pvp",Inputs!$B$44&gt;0),IF(MAX(0,Inputs!$B$44-B2317)&lt;=0,0,(INT(MAX(0,Inputs!$B$44-B2317)/(IF(Inputs!$B$39="pvp",15,MAX(0.1,Skills!D13-IF(TRUE=TRUE,Inputs!$B$33,0)))*(1-IF(AND(ArtifactsInput!$M$27,Inputs!$B$4="Chapter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IFERROR(1/(IF(Inputs!$B$39="pvp",15,MAX(0.1,Skills!D14-IF(TRUE=TRUE,Inputs!$B$33,0)))*(1-IF(AND(ArtifactsInput!$M$27,Inputs!$B$4="Chapter Hunt"),CHOOSE(ArtifactsInput!$N$27+1,20,24,28,32,36,40),0)/100)),0)</f>
        <v/>
      </c>
      <c r="R2291">
        <f>IF(AND(Inputs!$B$39&lt;&gt;"pvp",Inputs!$B$44&gt;0),IF(Inputs!$B$44&lt;=0,0,(INT(Inputs!$B$44/(IF(Inputs!$B$39="pvp",15,MAX(0.1,Skills!D14-IF(TRUE=TRUE,Inputs!$B$33,0)))*(1-IF(AND(ArtifactsInput!$M$27,Inputs!$B$4="Chapter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IFERROR(1/(IF(Inputs!$B$39="pvp",15,MAX(0.1,Skills!D15-IF(TRUE=TRUE,Inputs!$B$33,0)))*(1-IF(AND(ArtifactsInput!$M$27,Inputs!$B$4="Chapter Hunt"),CHOOSE(ArtifactsInput!$N$27+1,20,24,28,32,36,40),0)/100)),0)</f>
        <v/>
      </c>
      <c r="R2292" t="n">
        <v>0</v>
      </c>
      <c r="S2292">
        <f>IF(C2292,(Skills!F15*N2292*((IF(Inputs!$B$3&gt;=78,25,15)/100*B2313*10)/(1+IF(Inputs!$B$3&gt;=78,25,15)/100*B2313*IF(Inputs!$B$39="pvp",15,MAX(0.1,18-IF(TRUE=TRUE,Inputs!$B$33,0)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IF(Inputs!$B$39="pvp",15,MAX(0.1,18-IF(TRUE=TRUE,Inputs!$B$33,0)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IFERROR(1/(IF(Inputs!$B$39="pvp",15,MAX(0.1,Skills!D16-IF(TRUE=TRUE,Inputs!$B$33,0)))*(1-IF(AND(ArtifactsInput!$M$27,Inputs!$B$4="Chapter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IFERROR(1/(IF(Inputs!$B$39="pvp",15,MAX(0.1,Skills!D17-IF(TRUE=TRUE,Inputs!$B$33,0)))*(1-IF(AND(ArtifactsInput!$M$27,Inputs!$B$4="Chapter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IFERROR(1/(IF(Inputs!$B$39="pvp",15,MAX(0.1,Skills!D18-IF(TRUE=TRUE,Inputs!$B$33,0)))*(1-IF(AND(ArtifactsInput!$M$27,Inputs!$B$4="Chapter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IFERROR(1/(IF(Inputs!$B$39="pvp",15,MAX(0.1,Skills!D19-IF(TRUE=TRUE,Inputs!$B$33,0)))*(1-IF(AND(ArtifactsInput!$M$27,Inputs!$B$4="Chapter Hunt"),CHOOSE(ArtifactsInput!$N$27+1,20,24,28,32,36,40),0)/100)),0)</f>
        <v/>
      </c>
      <c r="R2296">
        <f>IF(AND(Inputs!$B$39&lt;&gt;"pvp",Inputs!$B$44&gt;0),IF(Inputs!$B$44&lt;=0,0,(INT(Inputs!$B$44/(IF(Inputs!$B$39="pvp",15,MAX(0.1,Skills!D19-IF(TRUE=TRUE,Inputs!$B$33,0)))*(1-IF(AND(ArtifactsInput!$M$27,Inputs!$B$4="Chapter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IFERROR(1/(IF(Inputs!$B$39="pvp",15,MAX(0.1,Skills!D20-IF(TRUE=TRUE,Inputs!$B$33,0)))*(1-IF(AND(ArtifactsInput!$M$27,Inputs!$B$4="Chapter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IFERROR(1/(IF(Inputs!$B$39="pvp",15,MAX(0.1,Skills!D21-IF(TRUE=TRUE,Inputs!$B$33,0)))*(1-IF(AND(ArtifactsInput!$M$27,Inputs!$B$4="Chapter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IFERROR(1/(IF(Inputs!$B$39="pvp",15,MAX(0.1,Skills!D22-IF(TRUE=TRUE,Inputs!$B$33,0)))*(1-IF(AND(ArtifactsInput!$M$27,Inputs!$B$4="Chapter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IFERROR(1/(IF(Inputs!$B$39="pvp",15,MAX(0.1,Skills!D23-IF(TRUE=TRUE,Inputs!$B$33,0)))*(1-IF(AND(ArtifactsInput!$M$27,Inputs!$B$4="Chapter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IFERROR(1/(IF(Inputs!$B$39="pvp",15,MAX(0.1,Skills!D24-IF(TRUE=TRUE,Inputs!$B$33,0)))*(1-IF(AND(ArtifactsInput!$M$27,Inputs!$B$4="Chapter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IFERROR(1/(IF(Inputs!$B$39="pvp",15,MAX(0.1,Skills!D25-IF(TRUE=TRUE,Inputs!$B$33,0)))*(1-IF(AND(ArtifactsInput!$M$27,Inputs!$B$4="Chapter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IFERROR(1/(IF(Inputs!$B$39="pvp",15,MAX(0.1,Skills!D26-IF(TRUE=TRUE,Inputs!$B$33,0)))*(1-IF(AND(ArtifactsInput!$M$27,Inputs!$B$4="Chapter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IFERROR(1/(IF(Inputs!$B$39="pvp",15,MAX(0.1,Skills!D27-IF(TRUE=TRUE,Inputs!$B$33,0)))*(1-IF(AND(ArtifactsInput!$M$27,Inputs!$B$4="Chapter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IFERROR(1/(IF(Inputs!$B$39="pvp",15,MAX(0.1,Skills!D28-IF(TRUE=TRUE,Inputs!$B$33,0)))*(1-IF(AND(ArtifactsInput!$M$27,Inputs!$B$4="Chapter Hunt"),CHOOSE(ArtifactsInput!$N$27+1,20,24,28,32,36,40),0)/100)),0)</f>
        <v/>
      </c>
      <c r="R2305">
        <f>IF(AND(Inputs!$B$39&lt;&gt;"pvp",Inputs!$B$44&gt;0),IF(Inputs!$B$44&lt;=0,0,(INT(Inputs!$B$44/(IF(Inputs!$B$39="pvp",15,MAX(0.1,Skills!D28-IF(TRUE=TRUE,Inputs!$B$33,0)))*(1-IF(AND(ArtifactsInput!$M$27,Inputs!$B$4="Chapter Hunt"),CHOOSE(ArtifactsInput!$N$27+1,20,24,28,32,36,40),0)/100)))+1)),0)</f>
        <v/>
      </c>
      <c r="S2305" t="n">
        <v>0</v>
      </c>
      <c r="U2305" t="n">
        <v>0</v>
      </c>
    </row>
    <row r="2307">
      <c r="A2307" t="inlineStr">
        <is>
          <t>Average Buff Multiplier</t>
        </is>
      </c>
      <c r="B2307">
        <f>(1+(IF(C2280=TRUE,F2280*IF(AND(Inputs!$B$39&lt;&gt;"pvp",Inputs!$B$44&gt;0),(((R2280-1)*MIN((Skills!S3*(1+((Inputs!$B$35+(ArtifactsInput!$M$7-ArtifactsInput!$M$7)*CHOOSE(ArtifactsInput!$N$7+1,6,7.2,8.4,9.6,10.8,12)))/100)),(1/Q2280))+MIN((Skills!S3*(1+((Inputs!$B$35+(ArtifactsInput!$M$7-ArtifactsInput!$M$7)*CHOOSE(ArtifactsInput!$N$7+1,6,7.2,8.4,9.6,10.8,12)))/100)),MAX(0,Inputs!$B$44-((R2280-1)*(1/Q2280)))))/Inputs!$B$44),IF(Inputs!$B$39="pvp",MIN((Skills!S3*(1+((Inputs!$B$35+(ArtifactsInput!$M$7-ArtifactsInput!$M$7)*CHOOSE(ArtifactsInput!$N$7+1,6,7.2,8.4,9.6,10.8,12)))/100)),15)/15,MIN(1,(Skills!S3*(1+((Inputs!$B$35+(ArtifactsInput!$M$7-ArtifactsInput!$M$7)*CHOOSE(ArtifactsInput!$N$7+1,6,7.2,8.4,9.6,10.8,12)))/100))/(1/Q2280)))),0)+IF(C2281=TRUE,F2281*IF(AND(Inputs!$B$39&lt;&gt;"pvp",Inputs!$B$44&gt;0),(((R2281-1)*MIN((Skills!S4*(1+((Inputs!$B$35+(ArtifactsInput!$M$7-ArtifactsInput!$M$7)*CHOOSE(ArtifactsInput!$N$7+1,6,7.2,8.4,9.6,10.8,12)))/100)),(1/Q2281))+MIN((Skills!S4*(1+((Inputs!$B$35+(ArtifactsInput!$M$7-ArtifactsInput!$M$7)*CHOOSE(ArtifactsInput!$N$7+1,6,7.2,8.4,9.6,10.8,12)))/100)),MAX(0,Inputs!$B$44-((R2281-1)*(1/Q2281)))))/Inputs!$B$44),IF(Inputs!$B$39="pvp",MIN((Skills!S4*(1+((Inputs!$B$35+(ArtifactsInput!$M$7-ArtifactsInput!$M$7)*CHOOSE(ArtifactsInput!$N$7+1,6,7.2,8.4,9.6,10.8,12)))/100)),15)/15,MIN(1,(Skills!S4*(1+((Inputs!$B$35+(ArtifactsInput!$M$7-ArtifactsInput!$M$7)*CHOOSE(ArtifactsInput!$N$7+1,6,7.2,8.4,9.6,10.8,12)))/100))/(1/Q2281)))),0)+IF(C2282=TRUE,F2282*IF(AND(Inputs!$B$39&lt;&gt;"pvp",Inputs!$B$44&gt;0),(((R2282-1)*MIN((Skills!S5*(1+((Inputs!$B$35+(ArtifactsInput!$M$7-ArtifactsInput!$M$7)*CHOOSE(ArtifactsInput!$N$7+1,6,7.2,8.4,9.6,10.8,12)))/100)),(1/Q2282))+MIN((Skills!S5*(1+((Inputs!$B$35+(ArtifactsInput!$M$7-ArtifactsInput!$M$7)*CHOOSE(ArtifactsInput!$N$7+1,6,7.2,8.4,9.6,10.8,12)))/100)),MAX(0,Inputs!$B$44-((R2282-1)*(1/Q2282)))))/Inputs!$B$44),IF(Inputs!$B$39="pvp",MIN((Skills!S5*(1+((Inputs!$B$35+(ArtifactsInput!$M$7-ArtifactsInput!$M$7)*CHOOSE(ArtifactsInput!$N$7+1,6,7.2,8.4,9.6,10.8,12)))/100)),15)/15,MIN(1,(Skills!S5*(1+((Inputs!$B$35+(ArtifactsInput!$M$7-ArtifactsInput!$M$7)*CHOOSE(ArtifactsInput!$N$7+1,6,7.2,8.4,9.6,10.8,12)))/100))/(1/Q2282)))),0)+IF(C2288=TRUE,F2288*IF(AND(Inputs!$B$39&lt;&gt;"pvp",Inputs!$B$44&gt;0),(((R2288-1)*MIN((Skills!S11*(1+((Inputs!$B$35+(ArtifactsInput!$M$7-ArtifactsInput!$M$7)*CHOOSE(ArtifactsInput!$N$7+1,6,7.2,8.4,9.6,10.8,12)))/100)),(1/Q2288))+MIN((Skills!S11*(1+((Inputs!$B$35+(ArtifactsInput!$M$7-ArtifactsInput!$M$7)*CHOOSE(ArtifactsInput!$N$7+1,6,7.2,8.4,9.6,10.8,12)))/100)),MAX(0,Inputs!$B$44-((R2288-1)*(1/Q2288)))))/Inputs!$B$44),IF(Inputs!$B$39="pvp",MIN((Skills!S11*(1+((Inputs!$B$35+(ArtifactsInput!$M$7-ArtifactsInput!$M$7)*CHOOSE(ArtifactsInput!$N$7+1,6,7.2,8.4,9.6,10.8,12)))/100)),15)/15,MIN(1,(Skills!S11*(1+((Inputs!$B$35+(ArtifactsInput!$M$7-ArtifactsInput!$M$7)*CHOOSE(ArtifactsInput!$N$7+1,6,7.2,8.4,9.6,10.8,12)))/100))/(1/Q2288)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MIN((Skills!S14*(1+((Inputs!$B$35+(ArtifactsInput!$M$7-ArtifactsInput!$M$7)*CHOOSE(ArtifactsInput!$N$7+1,6,7.2,8.4,9.6,10.8,12)))/100)),(1/Q2291))+MIN((Skills!S14*(1+((Inputs!$B$35+(ArtifactsInput!$M$7-ArtifactsInput!$M$7)*CHOOSE(ArtifactsInput!$N$7+1,6,7.2,8.4,9.6,10.8,12)))/100)),MAX(0,Inputs!$B$44-((R2291-1)*(1/Q2291)))))/Inputs!$B$44),IF(Inputs!$B$39="pvp",MIN((Skills!S14*(1+((Inputs!$B$35+(ArtifactsInput!$M$7-ArtifactsInput!$M$7)*CHOOSE(ArtifactsInput!$N$7+1,6,7.2,8.4,9.6,10.8,12)))/100)),15)/15,MIN(1,(Skills!S14*(1+((Inputs!$B$35+(ArtifactsInput!$M$7-ArtifactsInput!$M$7)*CHOOSE(ArtifactsInput!$N$7+1,6,7.2,8.4,9.6,10.8,12)))/100))/(1/Q2291))))/100),1)*IF(C2296=TRUE,(1+F2296*IF(AND(Inputs!$B$39&lt;&gt;"pvp",Inputs!$B$44&gt;0),(((R2296-1)*MIN((Skills!S19*(1+((Inputs!$B$35+(ArtifactsInput!$M$7-ArtifactsInput!$M$7)*CHOOSE(ArtifactsInput!$N$7+1,6,7.2,8.4,9.6,10.8,12)))/100)),(1/Q2296))+MIN((Skills!S19*(1+((Inputs!$B$35+(ArtifactsInput!$M$7-ArtifactsInput!$M$7)*CHOOSE(ArtifactsInput!$N$7+1,6,7.2,8.4,9.6,10.8,12)))/100)),MAX(0,Inputs!$B$44-((R2296-1)*(1/Q2296)))))/Inputs!$B$44),IF(Inputs!$B$39="pvp",MIN((Skills!S19*(1+((Inputs!$B$35+(ArtifactsInput!$M$7-ArtifactsInput!$M$7)*CHOOSE(ArtifactsInput!$N$7+1,6,7.2,8.4,9.6,10.8,12)))/100)),15)/15,MIN(1,(Skills!S19*(1+((Inputs!$B$35+(ArtifactsInput!$M$7-ArtifactsInput!$M$7)*CHOOSE(ArtifactsInput!$N$7+1,6,7.2,8.4,9.6,10.8,12)))/100))/(1/Q2296))))/100),1)</f>
        <v/>
      </c>
    </row>
    <row r="2308">
      <c r="A2308" t="inlineStr">
        <is>
          <t>Monster Damage Taken Bonus % (Holy Fountain)</t>
        </is>
      </c>
      <c r="B2308">
        <f>IF(Inputs!$B$3&gt;=68,20*IF(Inputs!$B$39="pvp",MIN((15*(1+((Inputs!$B$35+(ArtifactsInput!$M$7-ArtifactsInput!$M$7)*CHOOSE(ArtifactsInput!$N$7+1,6,7.2,8.4,9.6,10.8,12)))/100)),15)/15,MIN(1,(15*(1+((Inputs!$B$35+(ArtifactsInput!$M$7-ArtifactsInput!$M$7)*CHOOSE(ArtifactsInput!$N$7+1,6,7.2,8.4,9.6,10.8,12)))/100))/(1/Q2287))),0)</f>
        <v/>
      </c>
    </row>
    <row r="2309">
      <c r="A2309" t="inlineStr">
        <is>
          <t>Normal Monster Damage Bonus % (Holy Symbol)</t>
        </is>
      </c>
      <c r="B2309">
        <f>IF(C2289=TRUE,F2289*IF(AND(Inputs!$B$39&lt;&gt;"pvp",Inputs!$B$44&gt;0),(((R2289-1)*MIN((Skills!S12*(1+((Inputs!$B$35+(ArtifactsInput!$M$7-ArtifactsInput!$M$7)*CHOOSE(ArtifactsInput!$N$7+1,6,7.2,8.4,9.6,10.8,12)))/100)),(1/Q2289))+MIN((Skills!S12*(1+((Inputs!$B$35+(ArtifactsInput!$M$7-ArtifactsInput!$M$7)*CHOOSE(ArtifactsInput!$N$7+1,6,7.2,8.4,9.6,10.8,12)))/100)),MAX(0,Inputs!$B$44-((R2289-1)*(1/Q2289)))))/Inputs!$B$44),IF(Inputs!$B$39="pvp",MIN((Skills!S12*(1+((Inputs!$B$35+(ArtifactsInput!$M$7-ArtifactsInput!$M$7)*CHOOSE(ArtifactsInput!$N$7+1,6,7.2,8.4,9.6,10.8,12)))/100)),15)/15,MIN(1,(Skills!S12*(1+((Inputs!$B$35+(ArtifactsInput!$M$7-ArtifactsInput!$M$7)*CHOOSE(ArtifactsInput!$N$7+1,6,7.2,8.4,9.6,10.8,12)))/100))/(1/Q2289)))),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MIN((Skills!S28*(1+((Inputs!$B$35+(ArtifactsInput!$M$7-ArtifactsInput!$M$7)*CHOOSE(ArtifactsInput!$N$7+1,6,7.2,8.4,9.6,10.8,12)))/100)),(1/Q2305))+MIN((Skills!S28*(1+((Inputs!$B$35+(ArtifactsInput!$M$7-ArtifactsInput!$M$7)*CHOOSE(ArtifactsInput!$N$7+1,6,7.2,8.4,9.6,10.8,12)))/100)),MAX(0,Inputs!$B$44-((R2305-1)*(1/Q2305)))))/Inputs!$B$44),IF(Inputs!$B$39="pvp",MIN((Skills!S28*(1+((Inputs!$B$35+(ArtifactsInput!$M$7-ArtifactsInput!$M$7)*CHOOSE(ArtifactsInput!$N$7+1,6,7.2,8.4,9.6,10.8,12)))/100)),15)/15,MIN(1,(Skills!S28*(1+((Inputs!$B$35+(ArtifactsInput!$M$7-ArtifactsInput!$M$7)*CHOOSE(ArtifactsInput!$N$7+1,6,7.2,8.4,9.6,10.8,12)))/100))/(1/Q2305)))))</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MIN((Skills!S13*(1+((Inputs!$B$35+(ArtifactsInput!$M$7-ArtifactsInput!$M$7)*CHOOSE(ArtifactsInput!$N$7+1,6,7.2,8.4,9.6,10.8,12)))/100)),(1/Q2290))+MIN((Skills!S13*(1+((Inputs!$B$35+(ArtifactsInput!$M$7-ArtifactsInput!$M$7)*CHOOSE(ArtifactsInput!$N$7+1,6,7.2,8.4,9.6,10.8,12)))/100)),MAX(0,Inputs!$B$44-((R2290-1)*(1/Q2290)))))/Inputs!$B$44),IF(Inputs!$B$39="pvp",MIN((Skills!S13*(1+((Inputs!$B$35+(ArtifactsInput!$M$7-ArtifactsInput!$M$7)*CHOOSE(ArtifactsInput!$N$7+1,6,7.2,8.4,9.6,10.8,12)))/100)),15)/15,MIN(1,(Skills!S13*(1+((Inputs!$B$35+(ArtifactsInput!$M$7-ArtifactsInput!$M$7)*CHOOSE(ArtifactsInput!$N$7+1,6,7.2,8.4,9.6,10.8,12)))/100))/(1/Q2290)))),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IFERROR(1/(IF(Inputs!$B$39="pvp",15,MAX(0.1,Skills!D2-IF(TRUE=TRUE,Inputs!$B$33,0)))*(1-IF(AND(ArtifactsInput!$M$27,Inputs!$B$4="Chapter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IFERROR(1/(IF(Inputs!$B$39="pvp",15,MAX(0.1,Skills!D3-IF(TRUE=TRUE,Inputs!$B$33,0)))*(1-IF(AND(ArtifactsInput!$M$27,Inputs!$B$4="Chapter Hunt"),CHOOSE(ArtifactsInput!$N$27+1,20,24,28,32,36,40),0)/100)),0)</f>
        <v/>
      </c>
      <c r="R2325">
        <f>IF(AND(Inputs!$B$39&lt;&gt;"pvp",Inputs!$B$44&gt;0),IF(Inputs!$B$44&lt;=0,0,(INT(Inputs!$B$44/(IF(Inputs!$B$39="pvp",15,MAX(0.1,Skills!D3-IF(TRUE=TRUE,Inputs!$B$33,0)))*(1-IF(AND(ArtifactsInput!$M$27,Inputs!$B$4="Chapter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IFERROR(1/(IF(Inputs!$B$39="pvp",15,MAX(0.1,Skills!D4-IF(TRUE=TRUE,Inputs!$B$33,0)))*(1-IF(AND(ArtifactsInput!$M$27,Inputs!$B$4="Chapter Hunt"),CHOOSE(ArtifactsInput!$N$27+1,20,24,28,32,36,40),0)/100)),0)</f>
        <v/>
      </c>
      <c r="R2326">
        <f>IF(AND(Inputs!$B$39&lt;&gt;"pvp",Inputs!$B$44&gt;0),IF(Inputs!$B$44&lt;=0,0,(INT(Inputs!$B$44/(IF(Inputs!$B$39="pvp",15,MAX(0.1,Skills!D4-IF(TRUE=TRUE,Inputs!$B$33,0)))*(1-IF(AND(ArtifactsInput!$M$27,Inputs!$B$4="Chapter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IFERROR(1/(IF(Inputs!$B$39="pvp",15,MAX(0.1,Skills!D5-IF(TRUE=TRUE,Inputs!$B$33,0)))*(1-IF(AND(ArtifactsInput!$M$27,Inputs!$B$4="Chapter Hunt"),CHOOSE(ArtifactsInput!$N$27+1,20,24,28,32,36,40),0)/100)),0)</f>
        <v/>
      </c>
      <c r="R2327">
        <f>IF(AND(Inputs!$B$39&lt;&gt;"pvp",Inputs!$B$44&gt;0),IF(Inputs!$B$44&lt;=0,0,(INT(Inputs!$B$44/(IF(Inputs!$B$39="pvp",15,MAX(0.1,Skills!D5-IF(TRUE=TRUE,Inputs!$B$33,0)))*(1-IF(AND(ArtifactsInput!$M$27,Inputs!$B$4="Chapter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IFERROR(1/(IF(Inputs!$B$39="pvp",15,MAX(0.1,Skills!D6-IF(TRUE=TRUE,Inputs!$B$33,0)))*(1-IF(AND(ArtifactsInput!$M$27,Inputs!$B$4="Chapter Hunt"),CHOOSE(ArtifactsInput!$N$27+1,20,24,28,32,36,40),0)/100)),0)</f>
        <v/>
      </c>
      <c r="R2328">
        <f>IF(AND(Inputs!$B$39&lt;&gt;"pvp",Inputs!$B$44&gt;0),IF(MAX(0,Inputs!$B$44-B2362)&lt;=0,0,(INT(MAX(0,Inputs!$B$44-B2362)/(IF(Inputs!$B$39="pvp",15,MAX(0.1,Skills!D6-IF(TRUE=TRUE,Inputs!$B$33,0)))*(1-IF(AND(ArtifactsInput!$M$27,Inputs!$B$4="Chapter Hunt"),CHOOSE(ArtifactsInput!$N$27+1,20,24,28,32,36,40),0)/100)))+1)),0)</f>
        <v/>
      </c>
      <c r="S2328">
        <f>IF(C2328,(H2328*N2328*IF(AND(Inputs!$B$39&lt;&gt;"pvp",Inputs!$B$44&gt;0),((Skills!F6*((R2328-1)*IF(Skills!G6&gt;0,INT(Skills!H6/Skills!G6+0.000000001),1)+IF(Skills!G6&gt;0,INT(MIN(Skills!H6,MAX(0,MAX(0,Inputs!$B$44-B2362)-((R2328-1)*(IF(Inputs!$B$39="pvp",15,MAX(0.1,Skills!D6-IF(TRUE=TRUE,Inputs!$B$33,0)))*(1-IF(AND(ArtifactsInput!$M$27,Inputs!$B$4="Chapter Hunt"),CHOOSE(ArtifactsInput!$N$27+1,20,24,28,32,36,40),0)/100)))))/Skills!G6+0.000000001),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INT(Skills!H6/Skills!G6+0.000000001),1)+IF(Skills!G6&gt;0,INT(MIN(Skills!H6,MAX(0,MAX(0,Inputs!$B$44-B2362)-((R2328-1)*(IF(Inputs!$B$39="pvp",15,MAX(0.1,Skills!D6-IF(TRUE=TRUE,Inputs!$B$33,0)))*(1-IF(AND(ArtifactsInput!$M$27,Inputs!$B$4="Chapter Hunt"),CHOOSE(ArtifactsInput!$N$27+1,20,24,28,32,36,40),0)/100)))))/Skills!G6+0.000000001),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IFERROR(1/(IF(Inputs!$B$39="pvp",15,MAX(0.1,Skills!D7-IF(TRUE=TRUE,Inputs!$B$33,0)))*(1-IF(AND(ArtifactsInput!$M$27,Inputs!$B$4="Chapter Hunt"),CHOOSE(ArtifactsInput!$N$27+1,20,24,28,32,36,40),0)/100)),0)</f>
        <v/>
      </c>
      <c r="R2329">
        <f>IF(AND(Inputs!$B$39&lt;&gt;"pvp",Inputs!$B$44&gt;0),IF(MAX(0,Inputs!$B$44-B2362)&lt;=0,0,(INT(MAX(0,Inputs!$B$44-B2362)/(IF(Inputs!$B$39="pvp",15,MAX(0.1,Skills!D7-IF(TRUE=TRUE,Inputs!$B$33,0)))*(1-IF(AND(ArtifactsInput!$M$27,Inputs!$B$4="Chapter Hunt"),CHOOSE(ArtifactsInput!$N$27+1,20,24,28,32,36,40),0)/100)))+1)),0)</f>
        <v/>
      </c>
      <c r="S2329">
        <f>IF(C2329,H2329*N2329*IF(AND(Inputs!$B$39&lt;&gt;"pvp",Inputs!$B$44&gt;0),((Skills!F7*((R2329-1)*IF(Skills!G7&gt;0,INT(Skills!H7/Skills!G7+0.000000001),1)+IF(Skills!G7&gt;0,INT(MIN(Skills!H7,MAX(0,MAX(0,Inputs!$B$44-B2362)-((R2329-1)*(IF(Inputs!$B$39="pvp",15,MAX(0.1,Skills!D7-IF(TRUE=TRUE,Inputs!$B$33,0)))*(1-IF(AND(ArtifactsInput!$M$27,Inputs!$B$4="Chapter Hunt"),CHOOSE(ArtifactsInput!$N$27+1,20,24,28,32,36,40),0)/100)))))/Skills!G7+0.000000001),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IFERROR(1/(IF(Inputs!$B$39="pvp",15,MAX(0.1,Skills!D8-IF(TRUE=TRUE,Inputs!$B$33,0)))*(1-IF(AND(ArtifactsInput!$M$27,Inputs!$B$4="Chapter Hunt"),CHOOSE(ArtifactsInput!$N$27+1,20,24,28,32,36,40),0)/100)),0)</f>
        <v/>
      </c>
      <c r="R2330">
        <f>IF(AND(Inputs!$B$39&lt;&gt;"pvp",Inputs!$B$44&gt;0),IF(MAX(0,Inputs!$B$44-B2362)&lt;=0,0,(INT(MAX(0,Inputs!$B$44-B2362)/(IF(Inputs!$B$39="pvp",15,MAX(0.1,Skills!D8-IF(TRUE=TRUE,Inputs!$B$33,0)))*(1-IF(AND(ArtifactsInput!$M$27,Inputs!$B$4="Chapter Hunt"),CHOOSE(ArtifactsInput!$N$27+1,20,24,28,32,36,40),0)/100)))+1)),0)</f>
        <v/>
      </c>
      <c r="S2330">
        <f>IF(C2330,(H2330*N2330*IF(AND(Inputs!$B$39&lt;&gt;"pvp",Inputs!$B$44&gt;0),((Skills!F8*((R2330-1)*IF(Skills!G8&gt;0,INT(Skills!H8/Skills!G8+0.000000001),1)+IF(Skills!G8&gt;0,INT(MIN(Skills!H8,MAX(0,MAX(0,Inputs!$B$44-B2362)-((R2330-1)*(IF(Inputs!$B$39="pvp",15,MAX(0.1,Skills!D8-IF(TRUE=TRUE,Inputs!$B$33,0)))*(1-IF(AND(ArtifactsInput!$M$27,Inputs!$B$4="Chapter Hunt"),CHOOSE(ArtifactsInput!$N$27+1,20,24,28,32,36,40),0)/100)))))/Skills!G8+0.000000001),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INT(Skills!H8/Skills!G8+0.000000001),1)+IF(Skills!G8&gt;0,INT(MIN(Skills!H8,MAX(0,MAX(0,Inputs!$B$44-B2362)-((R2330-1)*(IF(Inputs!$B$39="pvp",15,MAX(0.1,Skills!D8-IF(TRUE=TRUE,Inputs!$B$33,0)))*(1-IF(AND(ArtifactsInput!$M$27,Inputs!$B$4="Chapter Hunt"),CHOOSE(ArtifactsInput!$N$27+1,20,24,28,32,36,40),0)/100)))))/Skills!G8+0.000000001),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IFERROR(1/(IF(Inputs!$B$39="pvp",15,MAX(0.1,Skills!D9-IF(TRUE=TRUE,Inputs!$B$33,0)))*(1-IF(AND(ArtifactsInput!$M$27,Inputs!$B$4="Chapter Hunt"),CHOOSE(ArtifactsInput!$N$27+1,20,24,28,32,36,40),0)/100)),0)</f>
        <v/>
      </c>
      <c r="R2331">
        <f>IF(AND(Inputs!$B$39&lt;&gt;"pvp",Inputs!$B$44&gt;0),IF(MAX(0,Inputs!$B$44-B2362)&lt;=0,0,(INT(MAX(0,Inputs!$B$44-B2362)/(IF(Inputs!$B$39="pvp",15,MAX(0.1,Skills!D9-IF(TRUE=TRUE,Inputs!$B$33,0)))*(1-IF(AND(ArtifactsInput!$M$27,Inputs!$B$4="Chapter Hunt"),CHOOSE(ArtifactsInput!$N$27+1,20,24,28,32,36,40),0)/100)))+1)),0)</f>
        <v/>
      </c>
      <c r="S2331">
        <f>IF(C2331,(H2331*N2331*IF(AND(Inputs!$B$39&lt;&gt;"pvp",Inputs!$B$44&gt;0),((Skills!F9*((R2331-1)*IF(Skills!G9&gt;0,INT(Skills!H9/Skills!G9+0.000000001),1)+IF(Skills!G9&gt;0,INT(MIN(Skills!H9,MAX(0,MAX(0,Inputs!$B$44-B2362)-((R2331-1)*(IF(Inputs!$B$39="pvp",15,MAX(0.1,Skills!D9-IF(TRUE=TRUE,Inputs!$B$33,0)))*(1-IF(AND(ArtifactsInput!$M$27,Inputs!$B$4="Chapter Hunt"),CHOOSE(ArtifactsInput!$N$27+1,20,24,28,32,36,40),0)/100)))))/Skills!G9+0.000000001),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INT(Skills!H9/Skills!G9+0.000000001),1)+IF(Skills!G9&gt;0,INT(MIN(Skills!H9,MAX(0,MAX(0,Inputs!$B$44-B2362)-((R2331-1)*(IF(Inputs!$B$39="pvp",15,MAX(0.1,Skills!D9-IF(TRUE=TRUE,Inputs!$B$33,0)))*(1-IF(AND(ArtifactsInput!$M$27,Inputs!$B$4="Chapter Hunt"),CHOOSE(ArtifactsInput!$N$27+1,20,24,28,32,36,40),0)/100)))))/Skills!G9+0.000000001),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IFERROR(1/(IF(Inputs!$B$39="pvp",15,MAX(0.1,Skills!D10-IF(TRUE=TRUE,Inputs!$B$33,0)))*(1-IF(AND(ArtifactsInput!$M$27,Inputs!$B$4="Chapter Hunt"),CHOOSE(ArtifactsInput!$N$27+1,20,24,28,32,36,40),0)/100)),0)</f>
        <v/>
      </c>
      <c r="R2332">
        <f>IF(AND(Inputs!$B$39&lt;&gt;"pvp",Inputs!$B$44&gt;0),IF(MAX(0,Inputs!$B$44-B2362)&lt;=0,0,(INT(MAX(0,Inputs!$B$44-B2362)/(IF(Inputs!$B$39="pvp",15,MAX(0.1,Skills!D10-IF(TRUE=TRUE,Inputs!$B$33,0)))*(1-IF(AND(ArtifactsInput!$M$27,Inputs!$B$4="Chapter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IFERROR(1/(IF(Inputs!$B$39="pvp",15,MAX(0.1,Skills!D11-IF(TRUE=TRUE,Inputs!$B$33,0)))*(1-IF(AND(ArtifactsInput!$M$27,Inputs!$B$4="Chapter Hunt"),CHOOSE(ArtifactsInput!$N$27+1,20,24,28,32,36,40),0)/100)),0)</f>
        <v/>
      </c>
      <c r="R2333">
        <f>IF(AND(Inputs!$B$39&lt;&gt;"pvp",Inputs!$B$44&gt;0),IF(Inputs!$B$44&lt;=0,0,(INT(Inputs!$B$44/(IF(Inputs!$B$39="pvp",15,MAX(0.1,Skills!D11-IF(TRUE=TRUE,Inputs!$B$33,0)))*(1-IF(AND(ArtifactsInput!$M$27,Inputs!$B$4="Chapter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IFERROR(1/(IF(Inputs!$B$39="pvp",15,MAX(0.1,Skills!D12-IF(TRUE=TRUE,Inputs!$B$33,0)))*(1-IF(AND(ArtifactsInput!$M$27,Inputs!$B$4="Chapter Hunt"),CHOOSE(ArtifactsInput!$N$27+1,20,24,28,32,36,40),0)/100)),0)</f>
        <v/>
      </c>
      <c r="R2334">
        <f>IF(AND(Inputs!$B$39&lt;&gt;"pvp",Inputs!$B$44&gt;0),IF(MAX(0,Inputs!$B$44-B2362)&lt;=0,0,(INT(MAX(0,Inputs!$B$44-B2362)/(IF(Inputs!$B$39="pvp",15,MAX(0.1,Skills!D12-IF(TRUE=TRUE,Inputs!$B$33,0)))*(1-IF(AND(ArtifactsInput!$M$27,Inputs!$B$4="Chapter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IFERROR(1/(IF(Inputs!$B$39="pvp",15,MAX(0.1,Skills!D13-IF(TRUE=TRUE,Inputs!$B$33,0)))*(1-IF(AND(ArtifactsInput!$M$27,Inputs!$B$4="Chapter Hunt"),CHOOSE(ArtifactsInput!$N$27+1,20,24,28,32,36,40),0)/100)),0)</f>
        <v/>
      </c>
      <c r="R2335">
        <f>IF(AND(Inputs!$B$39&lt;&gt;"pvp",Inputs!$B$44&gt;0),IF(MAX(0,Inputs!$B$44-B2362)&lt;=0,0,(INT(MAX(0,Inputs!$B$44-B2362)/(IF(Inputs!$B$39="pvp",15,MAX(0.1,Skills!D13-IF(TRUE=TRUE,Inputs!$B$33,0)))*(1-IF(AND(ArtifactsInput!$M$27,Inputs!$B$4="Chapter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IFERROR(1/(IF(Inputs!$B$39="pvp",15,MAX(0.1,Skills!D14-IF(TRUE=TRUE,Inputs!$B$33,0)))*(1-IF(AND(ArtifactsInput!$M$27,Inputs!$B$4="Chapter Hunt"),CHOOSE(ArtifactsInput!$N$27+1,20,24,28,32,36,40),0)/100)),0)</f>
        <v/>
      </c>
      <c r="R2336">
        <f>IF(AND(Inputs!$B$39&lt;&gt;"pvp",Inputs!$B$44&gt;0),IF(Inputs!$B$44&lt;=0,0,(INT(Inputs!$B$44/(IF(Inputs!$B$39="pvp",15,MAX(0.1,Skills!D14-IF(TRUE=TRUE,Inputs!$B$33,0)))*(1-IF(AND(ArtifactsInput!$M$27,Inputs!$B$4="Chapter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IFERROR(1/(IF(Inputs!$B$39="pvp",15,MAX(0.1,Skills!D15-IF(TRUE=TRUE,Inputs!$B$33,0)))*(1-IF(AND(ArtifactsInput!$M$27,Inputs!$B$4="Chapter Hunt"),CHOOSE(ArtifactsInput!$N$27+1,20,24,28,32,36,40),0)/100)),0)</f>
        <v/>
      </c>
      <c r="R2337" t="n">
        <v>0</v>
      </c>
      <c r="S2337">
        <f>IF(C2337,(Skills!F15*N2337*((IF(Inputs!$B$3&gt;=78,25,15)/100*B2358*10)/(1+IF(Inputs!$B$3&gt;=78,25,15)/100*B2358*IF(Inputs!$B$39="pvp",15,MAX(0.1,18-IF(TRUE=TRUE,Inputs!$B$33,0)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IF(Inputs!$B$39="pvp",15,MAX(0.1,18-IF(TRUE=TRUE,Inputs!$B$33,0)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IFERROR(1/(IF(Inputs!$B$39="pvp",15,MAX(0.1,Skills!D16-IF(TRUE=TRUE,Inputs!$B$33,0)))*(1-IF(AND(ArtifactsInput!$M$27,Inputs!$B$4="Chapter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IFERROR(1/(IF(Inputs!$B$39="pvp",15,MAX(0.1,Skills!D17-IF(TRUE=TRUE,Inputs!$B$33,0)))*(1-IF(AND(ArtifactsInput!$M$27,Inputs!$B$4="Chapter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IFERROR(1/(IF(Inputs!$B$39="pvp",15,MAX(0.1,Skills!D18-IF(TRUE=TRUE,Inputs!$B$33,0)))*(1-IF(AND(ArtifactsInput!$M$27,Inputs!$B$4="Chapter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IFERROR(1/(IF(Inputs!$B$39="pvp",15,MAX(0.1,Skills!D19-IF(TRUE=TRUE,Inputs!$B$33,0)))*(1-IF(AND(ArtifactsInput!$M$27,Inputs!$B$4="Chapter Hunt"),CHOOSE(ArtifactsInput!$N$27+1,20,24,28,32,36,40),0)/100)),0)</f>
        <v/>
      </c>
      <c r="R2341">
        <f>IF(AND(Inputs!$B$39&lt;&gt;"pvp",Inputs!$B$44&gt;0),IF(Inputs!$B$44&lt;=0,0,(INT(Inputs!$B$44/(IF(Inputs!$B$39="pvp",15,MAX(0.1,Skills!D19-IF(TRUE=TRUE,Inputs!$B$33,0)))*(1-IF(AND(ArtifactsInput!$M$27,Inputs!$B$4="Chapter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IFERROR(1/(IF(Inputs!$B$39="pvp",15,MAX(0.1,Skills!D20-IF(TRUE=TRUE,Inputs!$B$33,0)))*(1-IF(AND(ArtifactsInput!$M$27,Inputs!$B$4="Chapter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IFERROR(1/(IF(Inputs!$B$39="pvp",15,MAX(0.1,Skills!D21-IF(TRUE=TRUE,Inputs!$B$33,0)))*(1-IF(AND(ArtifactsInput!$M$27,Inputs!$B$4="Chapter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IFERROR(1/(IF(Inputs!$B$39="pvp",15,MAX(0.1,Skills!D22-IF(TRUE=TRUE,Inputs!$B$33,0)))*(1-IF(AND(ArtifactsInput!$M$27,Inputs!$B$4="Chapter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IFERROR(1/(IF(Inputs!$B$39="pvp",15,MAX(0.1,Skills!D23-IF(TRUE=TRUE,Inputs!$B$33,0)))*(1-IF(AND(ArtifactsInput!$M$27,Inputs!$B$4="Chapter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IFERROR(1/(IF(Inputs!$B$39="pvp",15,MAX(0.1,Skills!D24-IF(TRUE=TRUE,Inputs!$B$33,0)))*(1-IF(AND(ArtifactsInput!$M$27,Inputs!$B$4="Chapter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IFERROR(1/(IF(Inputs!$B$39="pvp",15,MAX(0.1,Skills!D25-IF(TRUE=TRUE,Inputs!$B$33,0)))*(1-IF(AND(ArtifactsInput!$M$27,Inputs!$B$4="Chapter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IFERROR(1/(IF(Inputs!$B$39="pvp",15,MAX(0.1,Skills!D26-IF(TRUE=TRUE,Inputs!$B$33,0)))*(1-IF(AND(ArtifactsInput!$M$27,Inputs!$B$4="Chapter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IFERROR(1/(IF(Inputs!$B$39="pvp",15,MAX(0.1,Skills!D27-IF(TRUE=TRUE,Inputs!$B$33,0)))*(1-IF(AND(ArtifactsInput!$M$27,Inputs!$B$4="Chapter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IFERROR(1/(IF(Inputs!$B$39="pvp",15,MAX(0.1,Skills!D28-IF(TRUE=TRUE,Inputs!$B$33,0)))*(1-IF(AND(ArtifactsInput!$M$27,Inputs!$B$4="Chapter Hunt"),CHOOSE(ArtifactsInput!$N$27+1,20,24,28,32,36,40),0)/100)),0)</f>
        <v/>
      </c>
      <c r="R2350">
        <f>IF(AND(Inputs!$B$39&lt;&gt;"pvp",Inputs!$B$44&gt;0),IF(Inputs!$B$44&lt;=0,0,(INT(Inputs!$B$44/(IF(Inputs!$B$39="pvp",15,MAX(0.1,Skills!D28-IF(TRUE=TRUE,Inputs!$B$33,0)))*(1-IF(AND(ArtifactsInput!$M$27,Inputs!$B$4="Chapter Hunt"),CHOOSE(ArtifactsInput!$N$27+1,20,24,28,32,36,40),0)/100)))+1)),0)</f>
        <v/>
      </c>
      <c r="S2350" t="n">
        <v>0</v>
      </c>
      <c r="U2350" t="n">
        <v>0</v>
      </c>
    </row>
    <row r="2352">
      <c r="A2352" t="inlineStr">
        <is>
          <t>Average Buff Multiplier</t>
        </is>
      </c>
      <c r="B2352">
        <f>(1+(IF(C2325=TRUE,F2325*IF(AND(Inputs!$B$39&lt;&gt;"pvp",Inputs!$B$44&gt;0),(((R2325-1)*MIN((Skills!S3*(1+((Inputs!$B$35+(ArtifactsInput!$M$7-ArtifactsInput!$M$7)*CHOOSE(ArtifactsInput!$N$7+1,6,7.2,8.4,9.6,10.8,12)))/100)),(1/Q2325))+MIN((Skills!S3*(1+((Inputs!$B$35+(ArtifactsInput!$M$7-ArtifactsInput!$M$7)*CHOOSE(ArtifactsInput!$N$7+1,6,7.2,8.4,9.6,10.8,12)))/100)),MAX(0,Inputs!$B$44-((R2325-1)*(1/Q2325)))))/Inputs!$B$44),IF(Inputs!$B$39="pvp",MIN((Skills!S3*(1+((Inputs!$B$35+(ArtifactsInput!$M$7-ArtifactsInput!$M$7)*CHOOSE(ArtifactsInput!$N$7+1,6,7.2,8.4,9.6,10.8,12)))/100)),15)/15,MIN(1,(Skills!S3*(1+((Inputs!$B$35+(ArtifactsInput!$M$7-ArtifactsInput!$M$7)*CHOOSE(ArtifactsInput!$N$7+1,6,7.2,8.4,9.6,10.8,12)))/100))/(1/Q2325)))),0)+IF(C2326=TRUE,F2326*IF(AND(Inputs!$B$39&lt;&gt;"pvp",Inputs!$B$44&gt;0),(((R2326-1)*MIN((Skills!S4*(1+((Inputs!$B$35+(ArtifactsInput!$M$7-ArtifactsInput!$M$7)*CHOOSE(ArtifactsInput!$N$7+1,6,7.2,8.4,9.6,10.8,12)))/100)),(1/Q2326))+MIN((Skills!S4*(1+((Inputs!$B$35+(ArtifactsInput!$M$7-ArtifactsInput!$M$7)*CHOOSE(ArtifactsInput!$N$7+1,6,7.2,8.4,9.6,10.8,12)))/100)),MAX(0,Inputs!$B$44-((R2326-1)*(1/Q2326)))))/Inputs!$B$44),IF(Inputs!$B$39="pvp",MIN((Skills!S4*(1+((Inputs!$B$35+(ArtifactsInput!$M$7-ArtifactsInput!$M$7)*CHOOSE(ArtifactsInput!$N$7+1,6,7.2,8.4,9.6,10.8,12)))/100)),15)/15,MIN(1,(Skills!S4*(1+((Inputs!$B$35+(ArtifactsInput!$M$7-ArtifactsInput!$M$7)*CHOOSE(ArtifactsInput!$N$7+1,6,7.2,8.4,9.6,10.8,12)))/100))/(1/Q2326)))),0)+IF(C2327=TRUE,F2327*IF(AND(Inputs!$B$39&lt;&gt;"pvp",Inputs!$B$44&gt;0),(((R2327-1)*MIN((Skills!S5*(1+((Inputs!$B$35+(ArtifactsInput!$M$7-ArtifactsInput!$M$7)*CHOOSE(ArtifactsInput!$N$7+1,6,7.2,8.4,9.6,10.8,12)))/100)),(1/Q2327))+MIN((Skills!S5*(1+((Inputs!$B$35+(ArtifactsInput!$M$7-ArtifactsInput!$M$7)*CHOOSE(ArtifactsInput!$N$7+1,6,7.2,8.4,9.6,10.8,12)))/100)),MAX(0,Inputs!$B$44-((R2327-1)*(1/Q2327)))))/Inputs!$B$44),IF(Inputs!$B$39="pvp",MIN((Skills!S5*(1+((Inputs!$B$35+(ArtifactsInput!$M$7-ArtifactsInput!$M$7)*CHOOSE(ArtifactsInput!$N$7+1,6,7.2,8.4,9.6,10.8,12)))/100)),15)/15,MIN(1,(Skills!S5*(1+((Inputs!$B$35+(ArtifactsInput!$M$7-ArtifactsInput!$M$7)*CHOOSE(ArtifactsInput!$N$7+1,6,7.2,8.4,9.6,10.8,12)))/100))/(1/Q2327)))),0)+IF(C2333=TRUE,F2333*IF(AND(Inputs!$B$39&lt;&gt;"pvp",Inputs!$B$44&gt;0),(((R2333-1)*MIN((Skills!S11*(1+((Inputs!$B$35+(ArtifactsInput!$M$7-ArtifactsInput!$M$7)*CHOOSE(ArtifactsInput!$N$7+1,6,7.2,8.4,9.6,10.8,12)))/100)),(1/Q2333))+MIN((Skills!S11*(1+((Inputs!$B$35+(ArtifactsInput!$M$7-ArtifactsInput!$M$7)*CHOOSE(ArtifactsInput!$N$7+1,6,7.2,8.4,9.6,10.8,12)))/100)),MAX(0,Inputs!$B$44-((R2333-1)*(1/Q2333)))))/Inputs!$B$44),IF(Inputs!$B$39="pvp",MIN((Skills!S11*(1+((Inputs!$B$35+(ArtifactsInput!$M$7-ArtifactsInput!$M$7)*CHOOSE(ArtifactsInput!$N$7+1,6,7.2,8.4,9.6,10.8,12)))/100)),15)/15,MIN(1,(Skills!S11*(1+((Inputs!$B$35+(ArtifactsInput!$M$7-ArtifactsInput!$M$7)*CHOOSE(ArtifactsInput!$N$7+1,6,7.2,8.4,9.6,10.8,12)))/100))/(1/Q2333)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MIN((Skills!S14*(1+((Inputs!$B$35+(ArtifactsInput!$M$7-ArtifactsInput!$M$7)*CHOOSE(ArtifactsInput!$N$7+1,6,7.2,8.4,9.6,10.8,12)))/100)),(1/Q2336))+MIN((Skills!S14*(1+((Inputs!$B$35+(ArtifactsInput!$M$7-ArtifactsInput!$M$7)*CHOOSE(ArtifactsInput!$N$7+1,6,7.2,8.4,9.6,10.8,12)))/100)),MAX(0,Inputs!$B$44-((R2336-1)*(1/Q2336)))))/Inputs!$B$44),IF(Inputs!$B$39="pvp",MIN((Skills!S14*(1+((Inputs!$B$35+(ArtifactsInput!$M$7-ArtifactsInput!$M$7)*CHOOSE(ArtifactsInput!$N$7+1,6,7.2,8.4,9.6,10.8,12)))/100)),15)/15,MIN(1,(Skills!S14*(1+((Inputs!$B$35+(ArtifactsInput!$M$7-ArtifactsInput!$M$7)*CHOOSE(ArtifactsInput!$N$7+1,6,7.2,8.4,9.6,10.8,12)))/100))/(1/Q2336))))/100),1)*IF(C2341=TRUE,(1+F2341*IF(AND(Inputs!$B$39&lt;&gt;"pvp",Inputs!$B$44&gt;0),(((R2341-1)*MIN((Skills!S19*(1+((Inputs!$B$35+(ArtifactsInput!$M$7-ArtifactsInput!$M$7)*CHOOSE(ArtifactsInput!$N$7+1,6,7.2,8.4,9.6,10.8,12)))/100)),(1/Q2341))+MIN((Skills!S19*(1+((Inputs!$B$35+(ArtifactsInput!$M$7-ArtifactsInput!$M$7)*CHOOSE(ArtifactsInput!$N$7+1,6,7.2,8.4,9.6,10.8,12)))/100)),MAX(0,Inputs!$B$44-((R2341-1)*(1/Q2341)))))/Inputs!$B$44),IF(Inputs!$B$39="pvp",MIN((Skills!S19*(1+((Inputs!$B$35+(ArtifactsInput!$M$7-ArtifactsInput!$M$7)*CHOOSE(ArtifactsInput!$N$7+1,6,7.2,8.4,9.6,10.8,12)))/100)),15)/15,MIN(1,(Skills!S19*(1+((Inputs!$B$35+(ArtifactsInput!$M$7-ArtifactsInput!$M$7)*CHOOSE(ArtifactsInput!$N$7+1,6,7.2,8.4,9.6,10.8,12)))/100))/(1/Q2341))))/100),1)</f>
        <v/>
      </c>
    </row>
    <row r="2353">
      <c r="A2353" t="inlineStr">
        <is>
          <t>Monster Damage Taken Bonus % (Holy Fountain)</t>
        </is>
      </c>
      <c r="B2353">
        <f>IF(Inputs!$B$3&gt;=68,20*IF(Inputs!$B$39="pvp",MIN((15*(1+((Inputs!$B$35+(ArtifactsInput!$M$7-ArtifactsInput!$M$7)*CHOOSE(ArtifactsInput!$N$7+1,6,7.2,8.4,9.6,10.8,12)))/100)),15)/15,MIN(1,(15*(1+((Inputs!$B$35+(ArtifactsInput!$M$7-ArtifactsInput!$M$7)*CHOOSE(ArtifactsInput!$N$7+1,6,7.2,8.4,9.6,10.8,12)))/100))/(1/Q2332))),0)</f>
        <v/>
      </c>
    </row>
    <row r="2354">
      <c r="A2354" t="inlineStr">
        <is>
          <t>Normal Monster Damage Bonus % (Holy Symbol)</t>
        </is>
      </c>
      <c r="B2354">
        <f>IF(C2334=TRUE,F2334*IF(AND(Inputs!$B$39&lt;&gt;"pvp",Inputs!$B$44&gt;0),(((R2334-1)*MIN((Skills!S12*(1+((Inputs!$B$35+(ArtifactsInput!$M$7-ArtifactsInput!$M$7)*CHOOSE(ArtifactsInput!$N$7+1,6,7.2,8.4,9.6,10.8,12)))/100)),(1/Q2334))+MIN((Skills!S12*(1+((Inputs!$B$35+(ArtifactsInput!$M$7-ArtifactsInput!$M$7)*CHOOSE(ArtifactsInput!$N$7+1,6,7.2,8.4,9.6,10.8,12)))/100)),MAX(0,Inputs!$B$44-((R2334-1)*(1/Q2334)))))/Inputs!$B$44),IF(Inputs!$B$39="pvp",MIN((Skills!S12*(1+((Inputs!$B$35+(ArtifactsInput!$M$7-ArtifactsInput!$M$7)*CHOOSE(ArtifactsInput!$N$7+1,6,7.2,8.4,9.6,10.8,12)))/100)),15)/15,MIN(1,(Skills!S12*(1+((Inputs!$B$35+(ArtifactsInput!$M$7-ArtifactsInput!$M$7)*CHOOSE(ArtifactsInput!$N$7+1,6,7.2,8.4,9.6,10.8,12)))/100))/(1/Q2334)))),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MIN((Skills!S28*(1+((Inputs!$B$35+(ArtifactsInput!$M$7-ArtifactsInput!$M$7)*CHOOSE(ArtifactsInput!$N$7+1,6,7.2,8.4,9.6,10.8,12)))/100)),(1/Q2350))+MIN((Skills!S28*(1+((Inputs!$B$35+(ArtifactsInput!$M$7-ArtifactsInput!$M$7)*CHOOSE(ArtifactsInput!$N$7+1,6,7.2,8.4,9.6,10.8,12)))/100)),MAX(0,Inputs!$B$44-((R2350-1)*(1/Q2350)))))/Inputs!$B$44),IF(Inputs!$B$39="pvp",MIN((Skills!S28*(1+((Inputs!$B$35+(ArtifactsInput!$M$7-ArtifactsInput!$M$7)*CHOOSE(ArtifactsInput!$N$7+1,6,7.2,8.4,9.6,10.8,12)))/100)),15)/15,MIN(1,(Skills!S28*(1+((Inputs!$B$35+(ArtifactsInput!$M$7-ArtifactsInput!$M$7)*CHOOSE(ArtifactsInput!$N$7+1,6,7.2,8.4,9.6,10.8,12)))/100))/(1/Q2350)))))</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MIN((Skills!S13*(1+((Inputs!$B$35+(ArtifactsInput!$M$7-ArtifactsInput!$M$7)*CHOOSE(ArtifactsInput!$N$7+1,6,7.2,8.4,9.6,10.8,12)))/100)),(1/Q2335))+MIN((Skills!S13*(1+((Inputs!$B$35+(ArtifactsInput!$M$7-ArtifactsInput!$M$7)*CHOOSE(ArtifactsInput!$N$7+1,6,7.2,8.4,9.6,10.8,12)))/100)),MAX(0,Inputs!$B$44-((R2335-1)*(1/Q2335)))))/Inputs!$B$44),IF(Inputs!$B$39="pvp",MIN((Skills!S13*(1+((Inputs!$B$35+(ArtifactsInput!$M$7-ArtifactsInput!$M$7)*CHOOSE(ArtifactsInput!$N$7+1,6,7.2,8.4,9.6,10.8,12)))/100)),15)/15,MIN(1,(Skills!S13*(1+((Inputs!$B$35+(ArtifactsInput!$M$7-ArtifactsInput!$M$7)*CHOOSE(ArtifactsInput!$N$7+1,6,7.2,8.4,9.6,10.8,12)))/100))/(1/Q2335)))),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IFERROR(1/(IF(Inputs!$B$39="pvp",15,MAX(0.1,Skills!D2-IF(TRUE=TRUE,Inputs!$B$33,0)))*(1-IF(AND(ArtifactsInput!$M$27,Inputs!$B$4="Chapter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IFERROR(1/(IF(Inputs!$B$39="pvp",15,MAX(0.1,Skills!D3-IF(TRUE=TRUE,Inputs!$B$33,0)))*(1-IF(AND(ArtifactsInput!$M$27,Inputs!$B$4="Chapter Hunt"),CHOOSE(ArtifactsInput!$N$27+1,20,24,28,32,36,40),0)/100)),0)</f>
        <v/>
      </c>
      <c r="R2370">
        <f>IF(AND(Inputs!$B$39&lt;&gt;"pvp",Inputs!$B$44&gt;0),IF(Inputs!$B$44&lt;=0,0,(INT(Inputs!$B$44/(IF(Inputs!$B$39="pvp",15,MAX(0.1,Skills!D3-IF(TRUE=TRUE,Inputs!$B$33,0)))*(1-IF(AND(ArtifactsInput!$M$27,Inputs!$B$4="Chapter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IFERROR(1/(IF(Inputs!$B$39="pvp",15,MAX(0.1,Skills!D4-IF(TRUE=TRUE,Inputs!$B$33,0)))*(1-IF(AND(ArtifactsInput!$M$27,Inputs!$B$4="Chapter Hunt"),CHOOSE(ArtifactsInput!$N$27+1,20,24,28,32,36,40),0)/100)),0)</f>
        <v/>
      </c>
      <c r="R2371">
        <f>IF(AND(Inputs!$B$39&lt;&gt;"pvp",Inputs!$B$44&gt;0),IF(Inputs!$B$44&lt;=0,0,(INT(Inputs!$B$44/(IF(Inputs!$B$39="pvp",15,MAX(0.1,Skills!D4-IF(TRUE=TRUE,Inputs!$B$33,0)))*(1-IF(AND(ArtifactsInput!$M$27,Inputs!$B$4="Chapter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IFERROR(1/(IF(Inputs!$B$39="pvp",15,MAX(0.1,Skills!D5-IF(TRUE=TRUE,Inputs!$B$33,0)))*(1-IF(AND(ArtifactsInput!$M$27,Inputs!$B$4="Chapter Hunt"),CHOOSE(ArtifactsInput!$N$27+1,20,24,28,32,36,40),0)/100)),0)</f>
        <v/>
      </c>
      <c r="R2372">
        <f>IF(AND(Inputs!$B$39&lt;&gt;"pvp",Inputs!$B$44&gt;0),IF(Inputs!$B$44&lt;=0,0,(INT(Inputs!$B$44/(IF(Inputs!$B$39="pvp",15,MAX(0.1,Skills!D5-IF(TRUE=TRUE,Inputs!$B$33,0)))*(1-IF(AND(ArtifactsInput!$M$27,Inputs!$B$4="Chapter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IFERROR(1/(IF(Inputs!$B$39="pvp",15,MAX(0.1,Skills!D6-IF(TRUE=TRUE,Inputs!$B$33,0)))*(1-IF(AND(ArtifactsInput!$M$27,Inputs!$B$4="Chapter Hunt"),CHOOSE(ArtifactsInput!$N$27+1,20,24,28,32,36,40),0)/100)),0)</f>
        <v/>
      </c>
      <c r="R2373">
        <f>IF(AND(Inputs!$B$39&lt;&gt;"pvp",Inputs!$B$44&gt;0),IF(MAX(0,Inputs!$B$44-B2407)&lt;=0,0,(INT(MAX(0,Inputs!$B$44-B2407)/(IF(Inputs!$B$39="pvp",15,MAX(0.1,Skills!D6-IF(TRUE=TRUE,Inputs!$B$33,0)))*(1-IF(AND(ArtifactsInput!$M$27,Inputs!$B$4="Chapter Hunt"),CHOOSE(ArtifactsInput!$N$27+1,20,24,28,32,36,40),0)/100)))+1)),0)</f>
        <v/>
      </c>
      <c r="S2373">
        <f>IF(C2373,(H2373*N2373*IF(AND(Inputs!$B$39&lt;&gt;"pvp",Inputs!$B$44&gt;0),((Skills!F6*((R2373-1)*IF(Skills!G6&gt;0,INT(Skills!H6/Skills!G6+0.000000001),1)+IF(Skills!G6&gt;0,INT(MIN(Skills!H6,MAX(0,MAX(0,Inputs!$B$44-B2407)-((R2373-1)*(IF(Inputs!$B$39="pvp",15,MAX(0.1,Skills!D6-IF(TRUE=TRUE,Inputs!$B$33,0)))*(1-IF(AND(ArtifactsInput!$M$27,Inputs!$B$4="Chapter Hunt"),CHOOSE(ArtifactsInput!$N$27+1,20,24,28,32,36,40),0)/100)))))/Skills!G6+0.000000001),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INT(Skills!H6/Skills!G6+0.000000001),1)+IF(Skills!G6&gt;0,INT(MIN(Skills!H6,MAX(0,MAX(0,Inputs!$B$44-B2407)-((R2373-1)*(IF(Inputs!$B$39="pvp",15,MAX(0.1,Skills!D6-IF(TRUE=TRUE,Inputs!$B$33,0)))*(1-IF(AND(ArtifactsInput!$M$27,Inputs!$B$4="Chapter Hunt"),CHOOSE(ArtifactsInput!$N$27+1,20,24,28,32,36,40),0)/100)))))/Skills!G6+0.000000001),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IFERROR(1/(IF(Inputs!$B$39="pvp",15,MAX(0.1,Skills!D7-IF(TRUE=TRUE,Inputs!$B$33,0)))*(1-IF(AND(ArtifactsInput!$M$27,Inputs!$B$4="Chapter Hunt"),CHOOSE(ArtifactsInput!$N$27+1,20,24,28,32,36,40),0)/100)),0)</f>
        <v/>
      </c>
      <c r="R2374">
        <f>IF(AND(Inputs!$B$39&lt;&gt;"pvp",Inputs!$B$44&gt;0),IF(MAX(0,Inputs!$B$44-B2407)&lt;=0,0,(INT(MAX(0,Inputs!$B$44-B2407)/(IF(Inputs!$B$39="pvp",15,MAX(0.1,Skills!D7-IF(TRUE=TRUE,Inputs!$B$33,0)))*(1-IF(AND(ArtifactsInput!$M$27,Inputs!$B$4="Chapter Hunt"),CHOOSE(ArtifactsInput!$N$27+1,20,24,28,32,36,40),0)/100)))+1)),0)</f>
        <v/>
      </c>
      <c r="S2374">
        <f>IF(C2374,H2374*N2374*IF(AND(Inputs!$B$39&lt;&gt;"pvp",Inputs!$B$44&gt;0),((Skills!F7*((R2374-1)*IF(Skills!G7&gt;0,INT(Skills!H7/Skills!G7+0.000000001),1)+IF(Skills!G7&gt;0,INT(MIN(Skills!H7,MAX(0,MAX(0,Inputs!$B$44-B2407)-((R2374-1)*(IF(Inputs!$B$39="pvp",15,MAX(0.1,Skills!D7-IF(TRUE=TRUE,Inputs!$B$33,0)))*(1-IF(AND(ArtifactsInput!$M$27,Inputs!$B$4="Chapter Hunt"),CHOOSE(ArtifactsInput!$N$27+1,20,24,28,32,36,40),0)/100)))))/Skills!G7+0.000000001),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IFERROR(1/(IF(Inputs!$B$39="pvp",15,MAX(0.1,Skills!D8-IF(TRUE=TRUE,Inputs!$B$33,0)))*(1-IF(AND(ArtifactsInput!$M$27,Inputs!$B$4="Chapter Hunt"),CHOOSE(ArtifactsInput!$N$27+1,20,24,28,32,36,40),0)/100)),0)</f>
        <v/>
      </c>
      <c r="R2375">
        <f>IF(AND(Inputs!$B$39&lt;&gt;"pvp",Inputs!$B$44&gt;0),IF(MAX(0,Inputs!$B$44-B2407)&lt;=0,0,(INT(MAX(0,Inputs!$B$44-B2407)/(IF(Inputs!$B$39="pvp",15,MAX(0.1,Skills!D8-IF(TRUE=TRUE,Inputs!$B$33,0)))*(1-IF(AND(ArtifactsInput!$M$27,Inputs!$B$4="Chapter Hunt"),CHOOSE(ArtifactsInput!$N$27+1,20,24,28,32,36,40),0)/100)))+1)),0)</f>
        <v/>
      </c>
      <c r="S2375">
        <f>IF(C2375,(H2375*N2375*IF(AND(Inputs!$B$39&lt;&gt;"pvp",Inputs!$B$44&gt;0),((Skills!F8*((R2375-1)*IF(Skills!G8&gt;0,INT(Skills!H8/Skills!G8+0.000000001),1)+IF(Skills!G8&gt;0,INT(MIN(Skills!H8,MAX(0,MAX(0,Inputs!$B$44-B2407)-((R2375-1)*(IF(Inputs!$B$39="pvp",15,MAX(0.1,Skills!D8-IF(TRUE=TRUE,Inputs!$B$33,0)))*(1-IF(AND(ArtifactsInput!$M$27,Inputs!$B$4="Chapter Hunt"),CHOOSE(ArtifactsInput!$N$27+1,20,24,28,32,36,40),0)/100)))))/Skills!G8+0.000000001),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INT(Skills!H8/Skills!G8+0.000000001),1)+IF(Skills!G8&gt;0,INT(MIN(Skills!H8,MAX(0,MAX(0,Inputs!$B$44-B2407)-((R2375-1)*(IF(Inputs!$B$39="pvp",15,MAX(0.1,Skills!D8-IF(TRUE=TRUE,Inputs!$B$33,0)))*(1-IF(AND(ArtifactsInput!$M$27,Inputs!$B$4="Chapter Hunt"),CHOOSE(ArtifactsInput!$N$27+1,20,24,28,32,36,40),0)/100)))))/Skills!G8+0.000000001),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IFERROR(1/(IF(Inputs!$B$39="pvp",15,MAX(0.1,Skills!D9-IF(TRUE=TRUE,Inputs!$B$33,0)))*(1-IF(AND(ArtifactsInput!$M$27,Inputs!$B$4="Chapter Hunt"),CHOOSE(ArtifactsInput!$N$27+1,20,24,28,32,36,40),0)/100)),0)</f>
        <v/>
      </c>
      <c r="R2376">
        <f>IF(AND(Inputs!$B$39&lt;&gt;"pvp",Inputs!$B$44&gt;0),IF(MAX(0,Inputs!$B$44-B2407)&lt;=0,0,(INT(MAX(0,Inputs!$B$44-B2407)/(IF(Inputs!$B$39="pvp",15,MAX(0.1,Skills!D9-IF(TRUE=TRUE,Inputs!$B$33,0)))*(1-IF(AND(ArtifactsInput!$M$27,Inputs!$B$4="Chapter Hunt"),CHOOSE(ArtifactsInput!$N$27+1,20,24,28,32,36,40),0)/100)))+1)),0)</f>
        <v/>
      </c>
      <c r="S2376">
        <f>IF(C2376,(H2376*N2376*IF(AND(Inputs!$B$39&lt;&gt;"pvp",Inputs!$B$44&gt;0),((Skills!F9*((R2376-1)*IF(Skills!G9&gt;0,INT(Skills!H9/Skills!G9+0.000000001),1)+IF(Skills!G9&gt;0,INT(MIN(Skills!H9,MAX(0,MAX(0,Inputs!$B$44-B2407)-((R2376-1)*(IF(Inputs!$B$39="pvp",15,MAX(0.1,Skills!D9-IF(TRUE=TRUE,Inputs!$B$33,0)))*(1-IF(AND(ArtifactsInput!$M$27,Inputs!$B$4="Chapter Hunt"),CHOOSE(ArtifactsInput!$N$27+1,20,24,28,32,36,40),0)/100)))))/Skills!G9+0.000000001),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INT(Skills!H9/Skills!G9+0.000000001),1)+IF(Skills!G9&gt;0,INT(MIN(Skills!H9,MAX(0,MAX(0,Inputs!$B$44-B2407)-((R2376-1)*(IF(Inputs!$B$39="pvp",15,MAX(0.1,Skills!D9-IF(TRUE=TRUE,Inputs!$B$33,0)))*(1-IF(AND(ArtifactsInput!$M$27,Inputs!$B$4="Chapter Hunt"),CHOOSE(ArtifactsInput!$N$27+1,20,24,28,32,36,40),0)/100)))))/Skills!G9+0.000000001),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IFERROR(1/(IF(Inputs!$B$39="pvp",15,MAX(0.1,Skills!D10-IF(TRUE=TRUE,Inputs!$B$33,0)))*(1-IF(AND(ArtifactsInput!$M$27,Inputs!$B$4="Chapter Hunt"),CHOOSE(ArtifactsInput!$N$27+1,20,24,28,32,36,40),0)/100)),0)</f>
        <v/>
      </c>
      <c r="R2377">
        <f>IF(AND(Inputs!$B$39&lt;&gt;"pvp",Inputs!$B$44&gt;0),IF(MAX(0,Inputs!$B$44-B2407)&lt;=0,0,(INT(MAX(0,Inputs!$B$44-B2407)/(IF(Inputs!$B$39="pvp",15,MAX(0.1,Skills!D10-IF(TRUE=TRUE,Inputs!$B$33,0)))*(1-IF(AND(ArtifactsInput!$M$27,Inputs!$B$4="Chapter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IFERROR(1/(IF(Inputs!$B$39="pvp",15,MAX(0.1,Skills!D11-IF(TRUE=TRUE,Inputs!$B$33,0)))*(1-IF(AND(ArtifactsInput!$M$27,Inputs!$B$4="Chapter Hunt"),CHOOSE(ArtifactsInput!$N$27+1,20,24,28,32,36,40),0)/100)),0)</f>
        <v/>
      </c>
      <c r="R2378">
        <f>IF(AND(Inputs!$B$39&lt;&gt;"pvp",Inputs!$B$44&gt;0),IF(Inputs!$B$44&lt;=0,0,(INT(Inputs!$B$44/(IF(Inputs!$B$39="pvp",15,MAX(0.1,Skills!D11-IF(TRUE=TRUE,Inputs!$B$33,0)))*(1-IF(AND(ArtifactsInput!$M$27,Inputs!$B$4="Chapter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IFERROR(1/(IF(Inputs!$B$39="pvp",15,MAX(0.1,Skills!D12-IF(TRUE=TRUE,Inputs!$B$33,0)))*(1-IF(AND(ArtifactsInput!$M$27,Inputs!$B$4="Chapter Hunt"),CHOOSE(ArtifactsInput!$N$27+1,20,24,28,32,36,40),0)/100)),0)</f>
        <v/>
      </c>
      <c r="R2379">
        <f>IF(AND(Inputs!$B$39&lt;&gt;"pvp",Inputs!$B$44&gt;0),IF(MAX(0,Inputs!$B$44-B2407)&lt;=0,0,(INT(MAX(0,Inputs!$B$44-B2407)/(IF(Inputs!$B$39="pvp",15,MAX(0.1,Skills!D12-IF(TRUE=TRUE,Inputs!$B$33,0)))*(1-IF(AND(ArtifactsInput!$M$27,Inputs!$B$4="Chapter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IFERROR(1/(IF(Inputs!$B$39="pvp",15,MAX(0.1,Skills!D13-IF(TRUE=TRUE,Inputs!$B$33,0)))*(1-IF(AND(ArtifactsInput!$M$27,Inputs!$B$4="Chapter Hunt"),CHOOSE(ArtifactsInput!$N$27+1,20,24,28,32,36,40),0)/100)),0)</f>
        <v/>
      </c>
      <c r="R2380">
        <f>IF(AND(Inputs!$B$39&lt;&gt;"pvp",Inputs!$B$44&gt;0),IF(MAX(0,Inputs!$B$44-B2407)&lt;=0,0,(INT(MAX(0,Inputs!$B$44-B2407)/(IF(Inputs!$B$39="pvp",15,MAX(0.1,Skills!D13-IF(TRUE=TRUE,Inputs!$B$33,0)))*(1-IF(AND(ArtifactsInput!$M$27,Inputs!$B$4="Chapter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IFERROR(1/(IF(Inputs!$B$39="pvp",15,MAX(0.1,Skills!D14-IF(TRUE=TRUE,Inputs!$B$33,0)))*(1-IF(AND(ArtifactsInput!$M$27,Inputs!$B$4="Chapter Hunt"),CHOOSE(ArtifactsInput!$N$27+1,20,24,28,32,36,40),0)/100)),0)</f>
        <v/>
      </c>
      <c r="R2381">
        <f>IF(AND(Inputs!$B$39&lt;&gt;"pvp",Inputs!$B$44&gt;0),IF(Inputs!$B$44&lt;=0,0,(INT(Inputs!$B$44/(IF(Inputs!$B$39="pvp",15,MAX(0.1,Skills!D14-IF(TRUE=TRUE,Inputs!$B$33,0)))*(1-IF(AND(ArtifactsInput!$M$27,Inputs!$B$4="Chapter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IFERROR(1/(IF(Inputs!$B$39="pvp",15,MAX(0.1,Skills!D15-IF(TRUE=TRUE,Inputs!$B$33,0)))*(1-IF(AND(ArtifactsInput!$M$27,Inputs!$B$4="Chapter Hunt"),CHOOSE(ArtifactsInput!$N$27+1,20,24,28,32,36,40),0)/100)),0)</f>
        <v/>
      </c>
      <c r="R2382" t="n">
        <v>0</v>
      </c>
      <c r="S2382">
        <f>IF(C2382,(Skills!F15*N2382*((IF(Inputs!$B$3&gt;=78,25,15)/100*B2403*10)/(1+IF(Inputs!$B$3&gt;=78,25,15)/100*B2403*IF(Inputs!$B$39="pvp",15,MAX(0.1,18-IF(TRUE=TRUE,Inputs!$B$33,0)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IF(Inputs!$B$39="pvp",15,MAX(0.1,18-IF(TRUE=TRUE,Inputs!$B$33,0)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IFERROR(1/(IF(Inputs!$B$39="pvp",15,MAX(0.1,Skills!D16-IF(TRUE=TRUE,Inputs!$B$33,0)))*(1-IF(AND(ArtifactsInput!$M$27,Inputs!$B$4="Chapter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IFERROR(1/(IF(Inputs!$B$39="pvp",15,MAX(0.1,Skills!D17-IF(TRUE=TRUE,Inputs!$B$33,0)))*(1-IF(AND(ArtifactsInput!$M$27,Inputs!$B$4="Chapter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IFERROR(1/(IF(Inputs!$B$39="pvp",15,MAX(0.1,Skills!D18-IF(TRUE=TRUE,Inputs!$B$33,0)))*(1-IF(AND(ArtifactsInput!$M$27,Inputs!$B$4="Chapter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IFERROR(1/(IF(Inputs!$B$39="pvp",15,MAX(0.1,Skills!D19-IF(TRUE=TRUE,Inputs!$B$33,0)))*(1-IF(AND(ArtifactsInput!$M$27,Inputs!$B$4="Chapter Hunt"),CHOOSE(ArtifactsInput!$N$27+1,20,24,28,32,36,40),0)/100)),0)</f>
        <v/>
      </c>
      <c r="R2386">
        <f>IF(AND(Inputs!$B$39&lt;&gt;"pvp",Inputs!$B$44&gt;0),IF(Inputs!$B$44&lt;=0,0,(INT(Inputs!$B$44/(IF(Inputs!$B$39="pvp",15,MAX(0.1,Skills!D19-IF(TRUE=TRUE,Inputs!$B$33,0)))*(1-IF(AND(ArtifactsInput!$M$27,Inputs!$B$4="Chapter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IFERROR(1/(IF(Inputs!$B$39="pvp",15,MAX(0.1,Skills!D20-IF(TRUE=TRUE,Inputs!$B$33,0)))*(1-IF(AND(ArtifactsInput!$M$27,Inputs!$B$4="Chapter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IFERROR(1/(IF(Inputs!$B$39="pvp",15,MAX(0.1,Skills!D21-IF(TRUE=TRUE,Inputs!$B$33,0)))*(1-IF(AND(ArtifactsInput!$M$27,Inputs!$B$4="Chapter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IFERROR(1/(IF(Inputs!$B$39="pvp",15,MAX(0.1,Skills!D22-IF(TRUE=TRUE,Inputs!$B$33,0)))*(1-IF(AND(ArtifactsInput!$M$27,Inputs!$B$4="Chapter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IFERROR(1/(IF(Inputs!$B$39="pvp",15,MAX(0.1,Skills!D23-IF(TRUE=TRUE,Inputs!$B$33,0)))*(1-IF(AND(ArtifactsInput!$M$27,Inputs!$B$4="Chapter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IFERROR(1/(IF(Inputs!$B$39="pvp",15,MAX(0.1,Skills!D24-IF(TRUE=TRUE,Inputs!$B$33,0)))*(1-IF(AND(ArtifactsInput!$M$27,Inputs!$B$4="Chapter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IFERROR(1/(IF(Inputs!$B$39="pvp",15,MAX(0.1,Skills!D25-IF(TRUE=TRUE,Inputs!$B$33,0)))*(1-IF(AND(ArtifactsInput!$M$27,Inputs!$B$4="Chapter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IFERROR(1/(IF(Inputs!$B$39="pvp",15,MAX(0.1,Skills!D26-IF(TRUE=TRUE,Inputs!$B$33,0)))*(1-IF(AND(ArtifactsInput!$M$27,Inputs!$B$4="Chapter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IFERROR(1/(IF(Inputs!$B$39="pvp",15,MAX(0.1,Skills!D27-IF(TRUE=TRUE,Inputs!$B$33,0)))*(1-IF(AND(ArtifactsInput!$M$27,Inputs!$B$4="Chapter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IFERROR(1/(IF(Inputs!$B$39="pvp",15,MAX(0.1,Skills!D28-IF(TRUE=TRUE,Inputs!$B$33,0)))*(1-IF(AND(ArtifactsInput!$M$27,Inputs!$B$4="Chapter Hunt"),CHOOSE(ArtifactsInput!$N$27+1,20,24,28,32,36,40),0)/100)),0)</f>
        <v/>
      </c>
      <c r="R2395">
        <f>IF(AND(Inputs!$B$39&lt;&gt;"pvp",Inputs!$B$44&gt;0),IF(Inputs!$B$44&lt;=0,0,(INT(Inputs!$B$44/(IF(Inputs!$B$39="pvp",15,MAX(0.1,Skills!D28-IF(TRUE=TRUE,Inputs!$B$33,0)))*(1-IF(AND(ArtifactsInput!$M$27,Inputs!$B$4="Chapter Hunt"),CHOOSE(ArtifactsInput!$N$27+1,20,24,28,32,36,40),0)/100)))+1)),0)</f>
        <v/>
      </c>
      <c r="S2395" t="n">
        <v>0</v>
      </c>
      <c r="U2395" t="n">
        <v>0</v>
      </c>
    </row>
    <row r="2397">
      <c r="A2397" t="inlineStr">
        <is>
          <t>Average Buff Multiplier</t>
        </is>
      </c>
      <c r="B2397">
        <f>(1+(IF(C2370=TRUE,F2370*IF(AND(Inputs!$B$39&lt;&gt;"pvp",Inputs!$B$44&gt;0),(((R2370-1)*MIN((Skills!S3*(1+((Inputs!$B$35+(ArtifactsInput!$M$7-ArtifactsInput!$M$7)*CHOOSE(ArtifactsInput!$N$7+1,6,7.2,8.4,9.6,10.8,12)))/100)),(1/Q2370))+MIN((Skills!S3*(1+((Inputs!$B$35+(ArtifactsInput!$M$7-ArtifactsInput!$M$7)*CHOOSE(ArtifactsInput!$N$7+1,6,7.2,8.4,9.6,10.8,12)))/100)),MAX(0,Inputs!$B$44-((R2370-1)*(1/Q2370)))))/Inputs!$B$44),IF(Inputs!$B$39="pvp",MIN((Skills!S3*(1+((Inputs!$B$35+(ArtifactsInput!$M$7-ArtifactsInput!$M$7)*CHOOSE(ArtifactsInput!$N$7+1,6,7.2,8.4,9.6,10.8,12)))/100)),15)/15,MIN(1,(Skills!S3*(1+((Inputs!$B$35+(ArtifactsInput!$M$7-ArtifactsInput!$M$7)*CHOOSE(ArtifactsInput!$N$7+1,6,7.2,8.4,9.6,10.8,12)))/100))/(1/Q2370)))),0)+IF(C2371=TRUE,F2371*IF(AND(Inputs!$B$39&lt;&gt;"pvp",Inputs!$B$44&gt;0),(((R2371-1)*MIN((Skills!S4*(1+((Inputs!$B$35+(ArtifactsInput!$M$7-ArtifactsInput!$M$7)*CHOOSE(ArtifactsInput!$N$7+1,6,7.2,8.4,9.6,10.8,12)))/100)),(1/Q2371))+MIN((Skills!S4*(1+((Inputs!$B$35+(ArtifactsInput!$M$7-ArtifactsInput!$M$7)*CHOOSE(ArtifactsInput!$N$7+1,6,7.2,8.4,9.6,10.8,12)))/100)),MAX(0,Inputs!$B$44-((R2371-1)*(1/Q2371)))))/Inputs!$B$44),IF(Inputs!$B$39="pvp",MIN((Skills!S4*(1+((Inputs!$B$35+(ArtifactsInput!$M$7-ArtifactsInput!$M$7)*CHOOSE(ArtifactsInput!$N$7+1,6,7.2,8.4,9.6,10.8,12)))/100)),15)/15,MIN(1,(Skills!S4*(1+((Inputs!$B$35+(ArtifactsInput!$M$7-ArtifactsInput!$M$7)*CHOOSE(ArtifactsInput!$N$7+1,6,7.2,8.4,9.6,10.8,12)))/100))/(1/Q2371)))),0)+IF(C2372=TRUE,F2372*IF(AND(Inputs!$B$39&lt;&gt;"pvp",Inputs!$B$44&gt;0),(((R2372-1)*MIN((Skills!S5*(1+((Inputs!$B$35+(ArtifactsInput!$M$7-ArtifactsInput!$M$7)*CHOOSE(ArtifactsInput!$N$7+1,6,7.2,8.4,9.6,10.8,12)))/100)),(1/Q2372))+MIN((Skills!S5*(1+((Inputs!$B$35+(ArtifactsInput!$M$7-ArtifactsInput!$M$7)*CHOOSE(ArtifactsInput!$N$7+1,6,7.2,8.4,9.6,10.8,12)))/100)),MAX(0,Inputs!$B$44-((R2372-1)*(1/Q2372)))))/Inputs!$B$44),IF(Inputs!$B$39="pvp",MIN((Skills!S5*(1+((Inputs!$B$35+(ArtifactsInput!$M$7-ArtifactsInput!$M$7)*CHOOSE(ArtifactsInput!$N$7+1,6,7.2,8.4,9.6,10.8,12)))/100)),15)/15,MIN(1,(Skills!S5*(1+((Inputs!$B$35+(ArtifactsInput!$M$7-ArtifactsInput!$M$7)*CHOOSE(ArtifactsInput!$N$7+1,6,7.2,8.4,9.6,10.8,12)))/100))/(1/Q2372)))),0)+IF(C2378=TRUE,F2378*IF(AND(Inputs!$B$39&lt;&gt;"pvp",Inputs!$B$44&gt;0),(((R2378-1)*MIN((Skills!S11*(1+((Inputs!$B$35+(ArtifactsInput!$M$7-ArtifactsInput!$M$7)*CHOOSE(ArtifactsInput!$N$7+1,6,7.2,8.4,9.6,10.8,12)))/100)),(1/Q2378))+MIN((Skills!S11*(1+((Inputs!$B$35+(ArtifactsInput!$M$7-ArtifactsInput!$M$7)*CHOOSE(ArtifactsInput!$N$7+1,6,7.2,8.4,9.6,10.8,12)))/100)),MAX(0,Inputs!$B$44-((R2378-1)*(1/Q2378)))))/Inputs!$B$44),IF(Inputs!$B$39="pvp",MIN((Skills!S11*(1+((Inputs!$B$35+(ArtifactsInput!$M$7-ArtifactsInput!$M$7)*CHOOSE(ArtifactsInput!$N$7+1,6,7.2,8.4,9.6,10.8,12)))/100)),15)/15,MIN(1,(Skills!S11*(1+((Inputs!$B$35+(ArtifactsInput!$M$7-ArtifactsInput!$M$7)*CHOOSE(ArtifactsInput!$N$7+1,6,7.2,8.4,9.6,10.8,12)))/100))/(1/Q2378)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MIN((Skills!S14*(1+((Inputs!$B$35+(ArtifactsInput!$M$7-ArtifactsInput!$M$7)*CHOOSE(ArtifactsInput!$N$7+1,6,7.2,8.4,9.6,10.8,12)))/100)),(1/Q2381))+MIN((Skills!S14*(1+((Inputs!$B$35+(ArtifactsInput!$M$7-ArtifactsInput!$M$7)*CHOOSE(ArtifactsInput!$N$7+1,6,7.2,8.4,9.6,10.8,12)))/100)),MAX(0,Inputs!$B$44-((R2381-1)*(1/Q2381)))))/Inputs!$B$44),IF(Inputs!$B$39="pvp",MIN((Skills!S14*(1+((Inputs!$B$35+(ArtifactsInput!$M$7-ArtifactsInput!$M$7)*CHOOSE(ArtifactsInput!$N$7+1,6,7.2,8.4,9.6,10.8,12)))/100)),15)/15,MIN(1,(Skills!S14*(1+((Inputs!$B$35+(ArtifactsInput!$M$7-ArtifactsInput!$M$7)*CHOOSE(ArtifactsInput!$N$7+1,6,7.2,8.4,9.6,10.8,12)))/100))/(1/Q2381))))/100),1)*IF(C2386=TRUE,(1+F2386*IF(AND(Inputs!$B$39&lt;&gt;"pvp",Inputs!$B$44&gt;0),(((R2386-1)*MIN((Skills!S19*(1+((Inputs!$B$35+(ArtifactsInput!$M$7-ArtifactsInput!$M$7)*CHOOSE(ArtifactsInput!$N$7+1,6,7.2,8.4,9.6,10.8,12)))/100)),(1/Q2386))+MIN((Skills!S19*(1+((Inputs!$B$35+(ArtifactsInput!$M$7-ArtifactsInput!$M$7)*CHOOSE(ArtifactsInput!$N$7+1,6,7.2,8.4,9.6,10.8,12)))/100)),MAX(0,Inputs!$B$44-((R2386-1)*(1/Q2386)))))/Inputs!$B$44),IF(Inputs!$B$39="pvp",MIN((Skills!S19*(1+((Inputs!$B$35+(ArtifactsInput!$M$7-ArtifactsInput!$M$7)*CHOOSE(ArtifactsInput!$N$7+1,6,7.2,8.4,9.6,10.8,12)))/100)),15)/15,MIN(1,(Skills!S19*(1+((Inputs!$B$35+(ArtifactsInput!$M$7-ArtifactsInput!$M$7)*CHOOSE(ArtifactsInput!$N$7+1,6,7.2,8.4,9.6,10.8,12)))/100))/(1/Q2386))))/100),1)</f>
        <v/>
      </c>
    </row>
    <row r="2398">
      <c r="A2398" t="inlineStr">
        <is>
          <t>Monster Damage Taken Bonus % (Holy Fountain)</t>
        </is>
      </c>
      <c r="B2398">
        <f>IF(Inputs!$B$3&gt;=68,20*IF(Inputs!$B$39="pvp",MIN((15*(1+((Inputs!$B$35+(ArtifactsInput!$M$7-ArtifactsInput!$M$7)*CHOOSE(ArtifactsInput!$N$7+1,6,7.2,8.4,9.6,10.8,12)))/100)),15)/15,MIN(1,(15*(1+((Inputs!$B$35+(ArtifactsInput!$M$7-ArtifactsInput!$M$7)*CHOOSE(ArtifactsInput!$N$7+1,6,7.2,8.4,9.6,10.8,12)))/100))/(1/Q2377))),0)</f>
        <v/>
      </c>
    </row>
    <row r="2399">
      <c r="A2399" t="inlineStr">
        <is>
          <t>Normal Monster Damage Bonus % (Holy Symbol)</t>
        </is>
      </c>
      <c r="B2399">
        <f>IF(C2379=TRUE,F2379*IF(AND(Inputs!$B$39&lt;&gt;"pvp",Inputs!$B$44&gt;0),(((R2379-1)*MIN((Skills!S12*(1+((Inputs!$B$35+(ArtifactsInput!$M$7-ArtifactsInput!$M$7)*CHOOSE(ArtifactsInput!$N$7+1,6,7.2,8.4,9.6,10.8,12)))/100)),(1/Q2379))+MIN((Skills!S12*(1+((Inputs!$B$35+(ArtifactsInput!$M$7-ArtifactsInput!$M$7)*CHOOSE(ArtifactsInput!$N$7+1,6,7.2,8.4,9.6,10.8,12)))/100)),MAX(0,Inputs!$B$44-((R2379-1)*(1/Q2379)))))/Inputs!$B$44),IF(Inputs!$B$39="pvp",MIN((Skills!S12*(1+((Inputs!$B$35+(ArtifactsInput!$M$7-ArtifactsInput!$M$7)*CHOOSE(ArtifactsInput!$N$7+1,6,7.2,8.4,9.6,10.8,12)))/100)),15)/15,MIN(1,(Skills!S12*(1+((Inputs!$B$35+(ArtifactsInput!$M$7-ArtifactsInput!$M$7)*CHOOSE(ArtifactsInput!$N$7+1,6,7.2,8.4,9.6,10.8,12)))/100))/(1/Q2379)))),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MIN((Skills!S28*(1+((Inputs!$B$35+(ArtifactsInput!$M$7-ArtifactsInput!$M$7)*CHOOSE(ArtifactsInput!$N$7+1,6,7.2,8.4,9.6,10.8,12)))/100)),(1/Q2395))+MIN((Skills!S28*(1+((Inputs!$B$35+(ArtifactsInput!$M$7-ArtifactsInput!$M$7)*CHOOSE(ArtifactsInput!$N$7+1,6,7.2,8.4,9.6,10.8,12)))/100)),MAX(0,Inputs!$B$44-((R2395-1)*(1/Q2395)))))/Inputs!$B$44),IF(Inputs!$B$39="pvp",MIN((Skills!S28*(1+((Inputs!$B$35+(ArtifactsInput!$M$7-ArtifactsInput!$M$7)*CHOOSE(ArtifactsInput!$N$7+1,6,7.2,8.4,9.6,10.8,12)))/100)),15)/15,MIN(1,(Skills!S28*(1+((Inputs!$B$35+(ArtifactsInput!$M$7-ArtifactsInput!$M$7)*CHOOSE(ArtifactsInput!$N$7+1,6,7.2,8.4,9.6,10.8,12)))/100))/(1/Q2395)))))</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MIN((Skills!S13*(1+((Inputs!$B$35+(ArtifactsInput!$M$7-ArtifactsInput!$M$7)*CHOOSE(ArtifactsInput!$N$7+1,6,7.2,8.4,9.6,10.8,12)))/100)),(1/Q2380))+MIN((Skills!S13*(1+((Inputs!$B$35+(ArtifactsInput!$M$7-ArtifactsInput!$M$7)*CHOOSE(ArtifactsInput!$N$7+1,6,7.2,8.4,9.6,10.8,12)))/100)),MAX(0,Inputs!$B$44-((R2380-1)*(1/Q2380)))))/Inputs!$B$44),IF(Inputs!$B$39="pvp",MIN((Skills!S13*(1+((Inputs!$B$35+(ArtifactsInput!$M$7-ArtifactsInput!$M$7)*CHOOSE(ArtifactsInput!$N$7+1,6,7.2,8.4,9.6,10.8,12)))/100)),15)/15,MIN(1,(Skills!S13*(1+((Inputs!$B$35+(ArtifactsInput!$M$7-ArtifactsInput!$M$7)*CHOOSE(ArtifactsInput!$N$7+1,6,7.2,8.4,9.6,10.8,12)))/100))/(1/Q2380)))),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IFERROR(1/(IF(Inputs!$B$39="pvp",15,MAX(0.1,Skills!D2-IF(TRUE=TRUE,Inputs!$B$33,0)))*(1-IF(AND(ArtifactsInput!$M$27,Inputs!$B$4="Chapter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IFERROR(1/(IF(Inputs!$B$39="pvp",15,MAX(0.1,Skills!D3-IF(TRUE=TRUE,Inputs!$B$33,0)))*(1-IF(AND(ArtifactsInput!$M$27,Inputs!$B$4="Chapter Hunt"),CHOOSE(ArtifactsInput!$N$27+1,20,24,28,32,36,40),0)/100)),0)</f>
        <v/>
      </c>
      <c r="R2415">
        <f>IF(AND(Inputs!$B$39&lt;&gt;"pvp",Inputs!$B$44&gt;0),IF(Inputs!$B$44&lt;=0,0,(INT(Inputs!$B$44/(IF(Inputs!$B$39="pvp",15,MAX(0.1,Skills!D3-IF(TRUE=TRUE,Inputs!$B$33,0)))*(1-IF(AND(ArtifactsInput!$M$27,Inputs!$B$4="Chapter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IFERROR(1/(IF(Inputs!$B$39="pvp",15,MAX(0.1,Skills!D4-IF(TRUE=TRUE,Inputs!$B$33,0)))*(1-IF(AND(ArtifactsInput!$M$27,Inputs!$B$4="Chapter Hunt"),CHOOSE(ArtifactsInput!$N$27+1,20,24,28,32,36,40),0)/100)),0)</f>
        <v/>
      </c>
      <c r="R2416">
        <f>IF(AND(Inputs!$B$39&lt;&gt;"pvp",Inputs!$B$44&gt;0),IF(Inputs!$B$44&lt;=0,0,(INT(Inputs!$B$44/(IF(Inputs!$B$39="pvp",15,MAX(0.1,Skills!D4-IF(TRUE=TRUE,Inputs!$B$33,0)))*(1-IF(AND(ArtifactsInput!$M$27,Inputs!$B$4="Chapter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IFERROR(1/(IF(Inputs!$B$39="pvp",15,MAX(0.1,Skills!D5-IF(TRUE=TRUE,Inputs!$B$33,0)))*(1-IF(AND(ArtifactsInput!$M$27,Inputs!$B$4="Chapter Hunt"),CHOOSE(ArtifactsInput!$N$27+1,20,24,28,32,36,40),0)/100)),0)</f>
        <v/>
      </c>
      <c r="R2417">
        <f>IF(AND(Inputs!$B$39&lt;&gt;"pvp",Inputs!$B$44&gt;0),IF(Inputs!$B$44&lt;=0,0,(INT(Inputs!$B$44/(IF(Inputs!$B$39="pvp",15,MAX(0.1,Skills!D5-IF(TRUE=TRUE,Inputs!$B$33,0)))*(1-IF(AND(ArtifactsInput!$M$27,Inputs!$B$4="Chapter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IFERROR(1/(IF(Inputs!$B$39="pvp",15,MAX(0.1,Skills!D6-IF(TRUE=TRUE,Inputs!$B$33,0)))*(1-IF(AND(ArtifactsInput!$M$27,Inputs!$B$4="Chapter Hunt"),CHOOSE(ArtifactsInput!$N$27+1,20,24,28,32,36,40),0)/100)),0)</f>
        <v/>
      </c>
      <c r="R2418">
        <f>IF(AND(Inputs!$B$39&lt;&gt;"pvp",Inputs!$B$44&gt;0),IF(MAX(0,Inputs!$B$44-B2452)&lt;=0,0,(INT(MAX(0,Inputs!$B$44-B2452)/(IF(Inputs!$B$39="pvp",15,MAX(0.1,Skills!D6-IF(TRUE=TRUE,Inputs!$B$33,0)))*(1-IF(AND(ArtifactsInput!$M$27,Inputs!$B$4="Chapter Hunt"),CHOOSE(ArtifactsInput!$N$27+1,20,24,28,32,36,40),0)/100)))+1)),0)</f>
        <v/>
      </c>
      <c r="S2418">
        <f>IF(C2418,(H2418*N2418*IF(AND(Inputs!$B$39&lt;&gt;"pvp",Inputs!$B$44&gt;0),((Skills!F6*((R2418-1)*IF(Skills!G6&gt;0,INT(Skills!H6/Skills!G6+0.000000001),1)+IF(Skills!G6&gt;0,INT(MIN(Skills!H6,MAX(0,MAX(0,Inputs!$B$44-B2452)-((R2418-1)*(IF(Inputs!$B$39="pvp",15,MAX(0.1,Skills!D6-IF(TRUE=TRUE,Inputs!$B$33,0)))*(1-IF(AND(ArtifactsInput!$M$27,Inputs!$B$4="Chapter Hunt"),CHOOSE(ArtifactsInput!$N$27+1,20,24,28,32,36,40),0)/100)))))/Skills!G6+0.000000001),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INT(Skills!H6/Skills!G6+0.000000001),1)+IF(Skills!G6&gt;0,INT(MIN(Skills!H6,MAX(0,MAX(0,Inputs!$B$44-B2452)-((R2418-1)*(IF(Inputs!$B$39="pvp",15,MAX(0.1,Skills!D6-IF(TRUE=TRUE,Inputs!$B$33,0)))*(1-IF(AND(ArtifactsInput!$M$27,Inputs!$B$4="Chapter Hunt"),CHOOSE(ArtifactsInput!$N$27+1,20,24,28,32,36,40),0)/100)))))/Skills!G6+0.000000001),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IFERROR(1/(IF(Inputs!$B$39="pvp",15,MAX(0.1,Skills!D7-IF(TRUE=TRUE,Inputs!$B$33,0)))*(1-IF(AND(ArtifactsInput!$M$27,Inputs!$B$4="Chapter Hunt"),CHOOSE(ArtifactsInput!$N$27+1,20,24,28,32,36,40),0)/100)),0)</f>
        <v/>
      </c>
      <c r="R2419">
        <f>IF(AND(Inputs!$B$39&lt;&gt;"pvp",Inputs!$B$44&gt;0),IF(MAX(0,Inputs!$B$44-B2452)&lt;=0,0,(INT(MAX(0,Inputs!$B$44-B2452)/(IF(Inputs!$B$39="pvp",15,MAX(0.1,Skills!D7-IF(TRUE=TRUE,Inputs!$B$33,0)))*(1-IF(AND(ArtifactsInput!$M$27,Inputs!$B$4="Chapter Hunt"),CHOOSE(ArtifactsInput!$N$27+1,20,24,28,32,36,40),0)/100)))+1)),0)</f>
        <v/>
      </c>
      <c r="S2419">
        <f>IF(C2419,H2419*N2419*IF(AND(Inputs!$B$39&lt;&gt;"pvp",Inputs!$B$44&gt;0),((Skills!F7*((R2419-1)*IF(Skills!G7&gt;0,INT(Skills!H7/Skills!G7+0.000000001),1)+IF(Skills!G7&gt;0,INT(MIN(Skills!H7,MAX(0,MAX(0,Inputs!$B$44-B2452)-((R2419-1)*(IF(Inputs!$B$39="pvp",15,MAX(0.1,Skills!D7-IF(TRUE=TRUE,Inputs!$B$33,0)))*(1-IF(AND(ArtifactsInput!$M$27,Inputs!$B$4="Chapter Hunt"),CHOOSE(ArtifactsInput!$N$27+1,20,24,28,32,36,40),0)/100)))))/Skills!G7+0.000000001),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IFERROR(1/(IF(Inputs!$B$39="pvp",15,MAX(0.1,Skills!D8-IF(TRUE=TRUE,Inputs!$B$33,0)))*(1-IF(AND(ArtifactsInput!$M$27,Inputs!$B$4="Chapter Hunt"),CHOOSE(ArtifactsInput!$N$27+1,20,24,28,32,36,40),0)/100)),0)</f>
        <v/>
      </c>
      <c r="R2420">
        <f>IF(AND(Inputs!$B$39&lt;&gt;"pvp",Inputs!$B$44&gt;0),IF(MAX(0,Inputs!$B$44-B2452)&lt;=0,0,(INT(MAX(0,Inputs!$B$44-B2452)/(IF(Inputs!$B$39="pvp",15,MAX(0.1,Skills!D8-IF(TRUE=TRUE,Inputs!$B$33,0)))*(1-IF(AND(ArtifactsInput!$M$27,Inputs!$B$4="Chapter Hunt"),CHOOSE(ArtifactsInput!$N$27+1,20,24,28,32,36,40),0)/100)))+1)),0)</f>
        <v/>
      </c>
      <c r="S2420">
        <f>IF(C2420,(H2420*N2420*IF(AND(Inputs!$B$39&lt;&gt;"pvp",Inputs!$B$44&gt;0),((Skills!F8*((R2420-1)*IF(Skills!G8&gt;0,INT(Skills!H8/Skills!G8+0.000000001),1)+IF(Skills!G8&gt;0,INT(MIN(Skills!H8,MAX(0,MAX(0,Inputs!$B$44-B2452)-((R2420-1)*(IF(Inputs!$B$39="pvp",15,MAX(0.1,Skills!D8-IF(TRUE=TRUE,Inputs!$B$33,0)))*(1-IF(AND(ArtifactsInput!$M$27,Inputs!$B$4="Chapter Hunt"),CHOOSE(ArtifactsInput!$N$27+1,20,24,28,32,36,40),0)/100)))))/Skills!G8+0.000000001),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INT(Skills!H8/Skills!G8+0.000000001),1)+IF(Skills!G8&gt;0,INT(MIN(Skills!H8,MAX(0,MAX(0,Inputs!$B$44-B2452)-((R2420-1)*(IF(Inputs!$B$39="pvp",15,MAX(0.1,Skills!D8-IF(TRUE=TRUE,Inputs!$B$33,0)))*(1-IF(AND(ArtifactsInput!$M$27,Inputs!$B$4="Chapter Hunt"),CHOOSE(ArtifactsInput!$N$27+1,20,24,28,32,36,40),0)/100)))))/Skills!G8+0.000000001),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IFERROR(1/(IF(Inputs!$B$39="pvp",15,MAX(0.1,Skills!D9-IF(TRUE=TRUE,Inputs!$B$33,0)))*(1-IF(AND(ArtifactsInput!$M$27,Inputs!$B$4="Chapter Hunt"),CHOOSE(ArtifactsInput!$N$27+1,20,24,28,32,36,40),0)/100)),0)</f>
        <v/>
      </c>
      <c r="R2421">
        <f>IF(AND(Inputs!$B$39&lt;&gt;"pvp",Inputs!$B$44&gt;0),IF(MAX(0,Inputs!$B$44-B2452)&lt;=0,0,(INT(MAX(0,Inputs!$B$44-B2452)/(IF(Inputs!$B$39="pvp",15,MAX(0.1,Skills!D9-IF(TRUE=TRUE,Inputs!$B$33,0)))*(1-IF(AND(ArtifactsInput!$M$27,Inputs!$B$4="Chapter Hunt"),CHOOSE(ArtifactsInput!$N$27+1,20,24,28,32,36,40),0)/100)))+1)),0)</f>
        <v/>
      </c>
      <c r="S2421">
        <f>IF(C2421,(H2421*N2421*IF(AND(Inputs!$B$39&lt;&gt;"pvp",Inputs!$B$44&gt;0),((Skills!F9*((R2421-1)*IF(Skills!G9&gt;0,INT(Skills!H9/Skills!G9+0.000000001),1)+IF(Skills!G9&gt;0,INT(MIN(Skills!H9,MAX(0,MAX(0,Inputs!$B$44-B2452)-((R2421-1)*(IF(Inputs!$B$39="pvp",15,MAX(0.1,Skills!D9-IF(TRUE=TRUE,Inputs!$B$33,0)))*(1-IF(AND(ArtifactsInput!$M$27,Inputs!$B$4="Chapter Hunt"),CHOOSE(ArtifactsInput!$N$27+1,20,24,28,32,36,40),0)/100)))))/Skills!G9+0.000000001),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INT(Skills!H9/Skills!G9+0.000000001),1)+IF(Skills!G9&gt;0,INT(MIN(Skills!H9,MAX(0,MAX(0,Inputs!$B$44-B2452)-((R2421-1)*(IF(Inputs!$B$39="pvp",15,MAX(0.1,Skills!D9-IF(TRUE=TRUE,Inputs!$B$33,0)))*(1-IF(AND(ArtifactsInput!$M$27,Inputs!$B$4="Chapter Hunt"),CHOOSE(ArtifactsInput!$N$27+1,20,24,28,32,36,40),0)/100)))))/Skills!G9+0.000000001),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IFERROR(1/(IF(Inputs!$B$39="pvp",15,MAX(0.1,Skills!D10-IF(TRUE=TRUE,Inputs!$B$33,0)))*(1-IF(AND(ArtifactsInput!$M$27,Inputs!$B$4="Chapter Hunt"),CHOOSE(ArtifactsInput!$N$27+1,20,24,28,32,36,40),0)/100)),0)</f>
        <v/>
      </c>
      <c r="R2422">
        <f>IF(AND(Inputs!$B$39&lt;&gt;"pvp",Inputs!$B$44&gt;0),IF(MAX(0,Inputs!$B$44-B2452)&lt;=0,0,(INT(MAX(0,Inputs!$B$44-B2452)/(IF(Inputs!$B$39="pvp",15,MAX(0.1,Skills!D10-IF(TRUE=TRUE,Inputs!$B$33,0)))*(1-IF(AND(ArtifactsInput!$M$27,Inputs!$B$4="Chapter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IFERROR(1/(IF(Inputs!$B$39="pvp",15,MAX(0.1,Skills!D11-IF(TRUE=TRUE,Inputs!$B$33,0)))*(1-IF(AND(ArtifactsInput!$M$27,Inputs!$B$4="Chapter Hunt"),CHOOSE(ArtifactsInput!$N$27+1,20,24,28,32,36,40),0)/100)),0)</f>
        <v/>
      </c>
      <c r="R2423">
        <f>IF(AND(Inputs!$B$39&lt;&gt;"pvp",Inputs!$B$44&gt;0),IF(Inputs!$B$44&lt;=0,0,(INT(Inputs!$B$44/(IF(Inputs!$B$39="pvp",15,MAX(0.1,Skills!D11-IF(TRUE=TRUE,Inputs!$B$33,0)))*(1-IF(AND(ArtifactsInput!$M$27,Inputs!$B$4="Chapter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IFERROR(1/(IF(Inputs!$B$39="pvp",15,MAX(0.1,Skills!D12-IF(TRUE=TRUE,Inputs!$B$33,0)))*(1-IF(AND(ArtifactsInput!$M$27,Inputs!$B$4="Chapter Hunt"),CHOOSE(ArtifactsInput!$N$27+1,20,24,28,32,36,40),0)/100)),0)</f>
        <v/>
      </c>
      <c r="R2424">
        <f>IF(AND(Inputs!$B$39&lt;&gt;"pvp",Inputs!$B$44&gt;0),IF(MAX(0,Inputs!$B$44-B2452)&lt;=0,0,(INT(MAX(0,Inputs!$B$44-B2452)/(IF(Inputs!$B$39="pvp",15,MAX(0.1,Skills!D12-IF(TRUE=TRUE,Inputs!$B$33,0)))*(1-IF(AND(ArtifactsInput!$M$27,Inputs!$B$4="Chapter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IFERROR(1/(IF(Inputs!$B$39="pvp",15,MAX(0.1,Skills!D13-IF(TRUE=TRUE,Inputs!$B$33,0)))*(1-IF(AND(ArtifactsInput!$M$27,Inputs!$B$4="Chapter Hunt"),CHOOSE(ArtifactsInput!$N$27+1,20,24,28,32,36,40),0)/100)),0)</f>
        <v/>
      </c>
      <c r="R2425">
        <f>IF(AND(Inputs!$B$39&lt;&gt;"pvp",Inputs!$B$44&gt;0),IF(MAX(0,Inputs!$B$44-B2452)&lt;=0,0,(INT(MAX(0,Inputs!$B$44-B2452)/(IF(Inputs!$B$39="pvp",15,MAX(0.1,Skills!D13-IF(TRUE=TRUE,Inputs!$B$33,0)))*(1-IF(AND(ArtifactsInput!$M$27,Inputs!$B$4="Chapter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IFERROR(1/(IF(Inputs!$B$39="pvp",15,MAX(0.1,Skills!D14-IF(TRUE=TRUE,Inputs!$B$33,0)))*(1-IF(AND(ArtifactsInput!$M$27,Inputs!$B$4="Chapter Hunt"),CHOOSE(ArtifactsInput!$N$27+1,20,24,28,32,36,40),0)/100)),0)</f>
        <v/>
      </c>
      <c r="R2426">
        <f>IF(AND(Inputs!$B$39&lt;&gt;"pvp",Inputs!$B$44&gt;0),IF(Inputs!$B$44&lt;=0,0,(INT(Inputs!$B$44/(IF(Inputs!$B$39="pvp",15,MAX(0.1,Skills!D14-IF(TRUE=TRUE,Inputs!$B$33,0)))*(1-IF(AND(ArtifactsInput!$M$27,Inputs!$B$4="Chapter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IFERROR(1/(IF(Inputs!$B$39="pvp",15,MAX(0.1,Skills!D15-IF(TRUE=TRUE,Inputs!$B$33,0)))*(1-IF(AND(ArtifactsInput!$M$27,Inputs!$B$4="Chapter Hunt"),CHOOSE(ArtifactsInput!$N$27+1,20,24,28,32,36,40),0)/100)),0)</f>
        <v/>
      </c>
      <c r="R2427" t="n">
        <v>0</v>
      </c>
      <c r="S2427">
        <f>IF(C2427,(Skills!F15*N2427*((IF(Inputs!$B$3&gt;=78,25,15)/100*B2448*10)/(1+IF(Inputs!$B$3&gt;=78,25,15)/100*B2448*IF(Inputs!$B$39="pvp",15,MAX(0.1,18-IF(TRUE=TRUE,Inputs!$B$33,0)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IF(Inputs!$B$39="pvp",15,MAX(0.1,18-IF(TRUE=TRUE,Inputs!$B$33,0)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IFERROR(1/(IF(Inputs!$B$39="pvp",15,MAX(0.1,Skills!D16-IF(TRUE=TRUE,Inputs!$B$33,0)))*(1-IF(AND(ArtifactsInput!$M$27,Inputs!$B$4="Chapter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IFERROR(1/(IF(Inputs!$B$39="pvp",15,MAX(0.1,Skills!D17-IF(TRUE=TRUE,Inputs!$B$33,0)))*(1-IF(AND(ArtifactsInput!$M$27,Inputs!$B$4="Chapter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IFERROR(1/(IF(Inputs!$B$39="pvp",15,MAX(0.1,Skills!D18-IF(TRUE=TRUE,Inputs!$B$33,0)))*(1-IF(AND(ArtifactsInput!$M$27,Inputs!$B$4="Chapter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IFERROR(1/(IF(Inputs!$B$39="pvp",15,MAX(0.1,Skills!D19-IF(TRUE=TRUE,Inputs!$B$33,0)))*(1-IF(AND(ArtifactsInput!$M$27,Inputs!$B$4="Chapter Hunt"),CHOOSE(ArtifactsInput!$N$27+1,20,24,28,32,36,40),0)/100)),0)</f>
        <v/>
      </c>
      <c r="R2431">
        <f>IF(AND(Inputs!$B$39&lt;&gt;"pvp",Inputs!$B$44&gt;0),IF(Inputs!$B$44&lt;=0,0,(INT(Inputs!$B$44/(IF(Inputs!$B$39="pvp",15,MAX(0.1,Skills!D19-IF(TRUE=TRUE,Inputs!$B$33,0)))*(1-IF(AND(ArtifactsInput!$M$27,Inputs!$B$4="Chapter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IFERROR(1/(IF(Inputs!$B$39="pvp",15,MAX(0.1,Skills!D20-IF(TRUE=TRUE,Inputs!$B$33,0)))*(1-IF(AND(ArtifactsInput!$M$27,Inputs!$B$4="Chapter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IFERROR(1/(IF(Inputs!$B$39="pvp",15,MAX(0.1,Skills!D21-IF(TRUE=TRUE,Inputs!$B$33,0)))*(1-IF(AND(ArtifactsInput!$M$27,Inputs!$B$4="Chapter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IFERROR(1/(IF(Inputs!$B$39="pvp",15,MAX(0.1,Skills!D22-IF(TRUE=TRUE,Inputs!$B$33,0)))*(1-IF(AND(ArtifactsInput!$M$27,Inputs!$B$4="Chapter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IFERROR(1/(IF(Inputs!$B$39="pvp",15,MAX(0.1,Skills!D23-IF(TRUE=TRUE,Inputs!$B$33,0)))*(1-IF(AND(ArtifactsInput!$M$27,Inputs!$B$4="Chapter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IFERROR(1/(IF(Inputs!$B$39="pvp",15,MAX(0.1,Skills!D24-IF(TRUE=TRUE,Inputs!$B$33,0)))*(1-IF(AND(ArtifactsInput!$M$27,Inputs!$B$4="Chapter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IFERROR(1/(IF(Inputs!$B$39="pvp",15,MAX(0.1,Skills!D25-IF(TRUE=TRUE,Inputs!$B$33,0)))*(1-IF(AND(ArtifactsInput!$M$27,Inputs!$B$4="Chapter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IFERROR(1/(IF(Inputs!$B$39="pvp",15,MAX(0.1,Skills!D26-IF(TRUE=TRUE,Inputs!$B$33,0)))*(1-IF(AND(ArtifactsInput!$M$27,Inputs!$B$4="Chapter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IFERROR(1/(IF(Inputs!$B$39="pvp",15,MAX(0.1,Skills!D27-IF(TRUE=TRUE,Inputs!$B$33,0)))*(1-IF(AND(ArtifactsInput!$M$27,Inputs!$B$4="Chapter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IFERROR(1/(IF(Inputs!$B$39="pvp",15,MAX(0.1,Skills!D28-IF(TRUE=TRUE,Inputs!$B$33,0)))*(1-IF(AND(ArtifactsInput!$M$27,Inputs!$B$4="Chapter Hunt"),CHOOSE(ArtifactsInput!$N$27+1,20,24,28,32,36,40),0)/100)),0)</f>
        <v/>
      </c>
      <c r="R2440">
        <f>IF(AND(Inputs!$B$39&lt;&gt;"pvp",Inputs!$B$44&gt;0),IF(Inputs!$B$44&lt;=0,0,(INT(Inputs!$B$44/(IF(Inputs!$B$39="pvp",15,MAX(0.1,Skills!D28-IF(TRUE=TRUE,Inputs!$B$33,0)))*(1-IF(AND(ArtifactsInput!$M$27,Inputs!$B$4="Chapter Hunt"),CHOOSE(ArtifactsInput!$N$27+1,20,24,28,32,36,40),0)/100)))+1)),0)</f>
        <v/>
      </c>
      <c r="S2440" t="n">
        <v>0</v>
      </c>
      <c r="U2440" t="n">
        <v>0</v>
      </c>
    </row>
    <row r="2442">
      <c r="A2442" t="inlineStr">
        <is>
          <t>Average Buff Multiplier</t>
        </is>
      </c>
      <c r="B2442">
        <f>(1+(IF(C2415=TRUE,F2415*IF(AND(Inputs!$B$39&lt;&gt;"pvp",Inputs!$B$44&gt;0),(((R2415-1)*MIN((Skills!S3*(1+((Inputs!$B$35+(ArtifactsInput!$M$7-ArtifactsInput!$M$7)*CHOOSE(ArtifactsInput!$N$7+1,6,7.2,8.4,9.6,10.8,12)))/100)),(1/Q2415))+MIN((Skills!S3*(1+((Inputs!$B$35+(ArtifactsInput!$M$7-ArtifactsInput!$M$7)*CHOOSE(ArtifactsInput!$N$7+1,6,7.2,8.4,9.6,10.8,12)))/100)),MAX(0,Inputs!$B$44-((R2415-1)*(1/Q2415)))))/Inputs!$B$44),IF(Inputs!$B$39="pvp",MIN((Skills!S3*(1+((Inputs!$B$35+(ArtifactsInput!$M$7-ArtifactsInput!$M$7)*CHOOSE(ArtifactsInput!$N$7+1,6,7.2,8.4,9.6,10.8,12)))/100)),15)/15,MIN(1,(Skills!S3*(1+((Inputs!$B$35+(ArtifactsInput!$M$7-ArtifactsInput!$M$7)*CHOOSE(ArtifactsInput!$N$7+1,6,7.2,8.4,9.6,10.8,12)))/100))/(1/Q2415)))),0)+IF(C2416=TRUE,F2416*IF(AND(Inputs!$B$39&lt;&gt;"pvp",Inputs!$B$44&gt;0),(((R2416-1)*MIN((Skills!S4*(1+((Inputs!$B$35+(ArtifactsInput!$M$7-ArtifactsInput!$M$7)*CHOOSE(ArtifactsInput!$N$7+1,6,7.2,8.4,9.6,10.8,12)))/100)),(1/Q2416))+MIN((Skills!S4*(1+((Inputs!$B$35+(ArtifactsInput!$M$7-ArtifactsInput!$M$7)*CHOOSE(ArtifactsInput!$N$7+1,6,7.2,8.4,9.6,10.8,12)))/100)),MAX(0,Inputs!$B$44-((R2416-1)*(1/Q2416)))))/Inputs!$B$44),IF(Inputs!$B$39="pvp",MIN((Skills!S4*(1+((Inputs!$B$35+(ArtifactsInput!$M$7-ArtifactsInput!$M$7)*CHOOSE(ArtifactsInput!$N$7+1,6,7.2,8.4,9.6,10.8,12)))/100)),15)/15,MIN(1,(Skills!S4*(1+((Inputs!$B$35+(ArtifactsInput!$M$7-ArtifactsInput!$M$7)*CHOOSE(ArtifactsInput!$N$7+1,6,7.2,8.4,9.6,10.8,12)))/100))/(1/Q2416)))),0)+IF(C2417=TRUE,F2417*IF(AND(Inputs!$B$39&lt;&gt;"pvp",Inputs!$B$44&gt;0),(((R2417-1)*MIN((Skills!S5*(1+((Inputs!$B$35+(ArtifactsInput!$M$7-ArtifactsInput!$M$7)*CHOOSE(ArtifactsInput!$N$7+1,6,7.2,8.4,9.6,10.8,12)))/100)),(1/Q2417))+MIN((Skills!S5*(1+((Inputs!$B$35+(ArtifactsInput!$M$7-ArtifactsInput!$M$7)*CHOOSE(ArtifactsInput!$N$7+1,6,7.2,8.4,9.6,10.8,12)))/100)),MAX(0,Inputs!$B$44-((R2417-1)*(1/Q2417)))))/Inputs!$B$44),IF(Inputs!$B$39="pvp",MIN((Skills!S5*(1+((Inputs!$B$35+(ArtifactsInput!$M$7-ArtifactsInput!$M$7)*CHOOSE(ArtifactsInput!$N$7+1,6,7.2,8.4,9.6,10.8,12)))/100)),15)/15,MIN(1,(Skills!S5*(1+((Inputs!$B$35+(ArtifactsInput!$M$7-ArtifactsInput!$M$7)*CHOOSE(ArtifactsInput!$N$7+1,6,7.2,8.4,9.6,10.8,12)))/100))/(1/Q2417)))),0)+IF(C2423=TRUE,F2423*IF(AND(Inputs!$B$39&lt;&gt;"pvp",Inputs!$B$44&gt;0),(((R2423-1)*MIN((Skills!S11*(1+((Inputs!$B$35+(ArtifactsInput!$M$7-ArtifactsInput!$M$7)*CHOOSE(ArtifactsInput!$N$7+1,6,7.2,8.4,9.6,10.8,12)))/100)),(1/Q2423))+MIN((Skills!S11*(1+((Inputs!$B$35+(ArtifactsInput!$M$7-ArtifactsInput!$M$7)*CHOOSE(ArtifactsInput!$N$7+1,6,7.2,8.4,9.6,10.8,12)))/100)),MAX(0,Inputs!$B$44-((R2423-1)*(1/Q2423)))))/Inputs!$B$44),IF(Inputs!$B$39="pvp",MIN((Skills!S11*(1+((Inputs!$B$35+(ArtifactsInput!$M$7-ArtifactsInput!$M$7)*CHOOSE(ArtifactsInput!$N$7+1,6,7.2,8.4,9.6,10.8,12)))/100)),15)/15,MIN(1,(Skills!S11*(1+((Inputs!$B$35+(ArtifactsInput!$M$7-ArtifactsInput!$M$7)*CHOOSE(ArtifactsInput!$N$7+1,6,7.2,8.4,9.6,10.8,12)))/100))/(1/Q2423)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MIN((Skills!S14*(1+((Inputs!$B$35+(ArtifactsInput!$M$7-ArtifactsInput!$M$7)*CHOOSE(ArtifactsInput!$N$7+1,6,7.2,8.4,9.6,10.8,12)))/100)),(1/Q2426))+MIN((Skills!S14*(1+((Inputs!$B$35+(ArtifactsInput!$M$7-ArtifactsInput!$M$7)*CHOOSE(ArtifactsInput!$N$7+1,6,7.2,8.4,9.6,10.8,12)))/100)),MAX(0,Inputs!$B$44-((R2426-1)*(1/Q2426)))))/Inputs!$B$44),IF(Inputs!$B$39="pvp",MIN((Skills!S14*(1+((Inputs!$B$35+(ArtifactsInput!$M$7-ArtifactsInput!$M$7)*CHOOSE(ArtifactsInput!$N$7+1,6,7.2,8.4,9.6,10.8,12)))/100)),15)/15,MIN(1,(Skills!S14*(1+((Inputs!$B$35+(ArtifactsInput!$M$7-ArtifactsInput!$M$7)*CHOOSE(ArtifactsInput!$N$7+1,6,7.2,8.4,9.6,10.8,12)))/100))/(1/Q2426))))/100),1)*IF(C2431=TRUE,(1+F2431*IF(AND(Inputs!$B$39&lt;&gt;"pvp",Inputs!$B$44&gt;0),(((R2431-1)*MIN((Skills!S19*(1+((Inputs!$B$35+(ArtifactsInput!$M$7-ArtifactsInput!$M$7)*CHOOSE(ArtifactsInput!$N$7+1,6,7.2,8.4,9.6,10.8,12)))/100)),(1/Q2431))+MIN((Skills!S19*(1+((Inputs!$B$35+(ArtifactsInput!$M$7-ArtifactsInput!$M$7)*CHOOSE(ArtifactsInput!$N$7+1,6,7.2,8.4,9.6,10.8,12)))/100)),MAX(0,Inputs!$B$44-((R2431-1)*(1/Q2431)))))/Inputs!$B$44),IF(Inputs!$B$39="pvp",MIN((Skills!S19*(1+((Inputs!$B$35+(ArtifactsInput!$M$7-ArtifactsInput!$M$7)*CHOOSE(ArtifactsInput!$N$7+1,6,7.2,8.4,9.6,10.8,12)))/100)),15)/15,MIN(1,(Skills!S19*(1+((Inputs!$B$35+(ArtifactsInput!$M$7-ArtifactsInput!$M$7)*CHOOSE(ArtifactsInput!$N$7+1,6,7.2,8.4,9.6,10.8,12)))/100))/(1/Q2431))))/100),1)</f>
        <v/>
      </c>
    </row>
    <row r="2443">
      <c r="A2443" t="inlineStr">
        <is>
          <t>Monster Damage Taken Bonus % (Holy Fountain)</t>
        </is>
      </c>
      <c r="B2443">
        <f>IF(Inputs!$B$3&gt;=68,20*IF(Inputs!$B$39="pvp",MIN((15*(1+((Inputs!$B$35+(ArtifactsInput!$M$7-ArtifactsInput!$M$7)*CHOOSE(ArtifactsInput!$N$7+1,6,7.2,8.4,9.6,10.8,12)))/100)),15)/15,MIN(1,(15*(1+((Inputs!$B$35+(ArtifactsInput!$M$7-ArtifactsInput!$M$7)*CHOOSE(ArtifactsInput!$N$7+1,6,7.2,8.4,9.6,10.8,12)))/100))/(1/Q2422))),0)</f>
        <v/>
      </c>
    </row>
    <row r="2444">
      <c r="A2444" t="inlineStr">
        <is>
          <t>Normal Monster Damage Bonus % (Holy Symbol)</t>
        </is>
      </c>
      <c r="B2444">
        <f>IF(C2424=TRUE,F2424*IF(AND(Inputs!$B$39&lt;&gt;"pvp",Inputs!$B$44&gt;0),(((R2424-1)*MIN((Skills!S12*(1+((Inputs!$B$35+(ArtifactsInput!$M$7-ArtifactsInput!$M$7)*CHOOSE(ArtifactsInput!$N$7+1,6,7.2,8.4,9.6,10.8,12)))/100)),(1/Q2424))+MIN((Skills!S12*(1+((Inputs!$B$35+(ArtifactsInput!$M$7-ArtifactsInput!$M$7)*CHOOSE(ArtifactsInput!$N$7+1,6,7.2,8.4,9.6,10.8,12)))/100)),MAX(0,Inputs!$B$44-((R2424-1)*(1/Q2424)))))/Inputs!$B$44),IF(Inputs!$B$39="pvp",MIN((Skills!S12*(1+((Inputs!$B$35+(ArtifactsInput!$M$7-ArtifactsInput!$M$7)*CHOOSE(ArtifactsInput!$N$7+1,6,7.2,8.4,9.6,10.8,12)))/100)),15)/15,MIN(1,(Skills!S12*(1+((Inputs!$B$35+(ArtifactsInput!$M$7-ArtifactsInput!$M$7)*CHOOSE(ArtifactsInput!$N$7+1,6,7.2,8.4,9.6,10.8,12)))/100))/(1/Q2424)))),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MIN((Skills!S28*(1+((Inputs!$B$35+(ArtifactsInput!$M$7-ArtifactsInput!$M$7)*CHOOSE(ArtifactsInput!$N$7+1,6,7.2,8.4,9.6,10.8,12)))/100)),(1/Q2440))+MIN((Skills!S28*(1+((Inputs!$B$35+(ArtifactsInput!$M$7-ArtifactsInput!$M$7)*CHOOSE(ArtifactsInput!$N$7+1,6,7.2,8.4,9.6,10.8,12)))/100)),MAX(0,Inputs!$B$44-((R2440-1)*(1/Q2440)))))/Inputs!$B$44),IF(Inputs!$B$39="pvp",MIN((Skills!S28*(1+((Inputs!$B$35+(ArtifactsInput!$M$7-ArtifactsInput!$M$7)*CHOOSE(ArtifactsInput!$N$7+1,6,7.2,8.4,9.6,10.8,12)))/100)),15)/15,MIN(1,(Skills!S28*(1+((Inputs!$B$35+(ArtifactsInput!$M$7-ArtifactsInput!$M$7)*CHOOSE(ArtifactsInput!$N$7+1,6,7.2,8.4,9.6,10.8,12)))/100))/(1/Q2440)))))</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MIN((Skills!S13*(1+((Inputs!$B$35+(ArtifactsInput!$M$7-ArtifactsInput!$M$7)*CHOOSE(ArtifactsInput!$N$7+1,6,7.2,8.4,9.6,10.8,12)))/100)),(1/Q2425))+MIN((Skills!S13*(1+((Inputs!$B$35+(ArtifactsInput!$M$7-ArtifactsInput!$M$7)*CHOOSE(ArtifactsInput!$N$7+1,6,7.2,8.4,9.6,10.8,12)))/100)),MAX(0,Inputs!$B$44-((R2425-1)*(1/Q2425)))))/Inputs!$B$44),IF(Inputs!$B$39="pvp",MIN((Skills!S13*(1+((Inputs!$B$35+(ArtifactsInput!$M$7-ArtifactsInput!$M$7)*CHOOSE(ArtifactsInput!$N$7+1,6,7.2,8.4,9.6,10.8,12)))/100)),15)/15,MIN(1,(Skills!S13*(1+((Inputs!$B$35+(ArtifactsInput!$M$7-ArtifactsInput!$M$7)*CHOOSE(ArtifactsInput!$N$7+1,6,7.2,8.4,9.6,10.8,12)))/100))/(1/Q2425)))),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IFERROR(1/(IF(Inputs!$B$39="pvp",15,MAX(0.1,Skills!D2-IF(TRUE=TRUE,Inputs!$B$33,0)))*(1-IF(AND(ArtifactsInput!$M$27,Inputs!$B$4="Chapter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IFERROR(1/(IF(Inputs!$B$39="pvp",15,MAX(0.1,Skills!D3-IF(TRUE=TRUE,Inputs!$B$33,0)))*(1-IF(AND(ArtifactsInput!$M$27,Inputs!$B$4="Chapter Hunt"),CHOOSE(ArtifactsInput!$N$27+1,20,24,28,32,36,40),0)/100)),0)</f>
        <v/>
      </c>
      <c r="R2460">
        <f>IF(AND(Inputs!$B$39&lt;&gt;"pvp",Inputs!$B$44&gt;0),IF(Inputs!$B$44&lt;=0,0,(INT(Inputs!$B$44/(IF(Inputs!$B$39="pvp",15,MAX(0.1,Skills!D3-IF(TRUE=TRUE,Inputs!$B$33,0)))*(1-IF(AND(ArtifactsInput!$M$27,Inputs!$B$4="Chapter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IFERROR(1/(IF(Inputs!$B$39="pvp",15,MAX(0.1,Skills!D4-IF(TRUE=TRUE,Inputs!$B$33,0)))*(1-IF(AND(ArtifactsInput!$M$27,Inputs!$B$4="Chapter Hunt"),CHOOSE(ArtifactsInput!$N$27+1,20,24,28,32,36,40),0)/100)),0)</f>
        <v/>
      </c>
      <c r="R2461">
        <f>IF(AND(Inputs!$B$39&lt;&gt;"pvp",Inputs!$B$44&gt;0),IF(Inputs!$B$44&lt;=0,0,(INT(Inputs!$B$44/(IF(Inputs!$B$39="pvp",15,MAX(0.1,Skills!D4-IF(TRUE=TRUE,Inputs!$B$33,0)))*(1-IF(AND(ArtifactsInput!$M$27,Inputs!$B$4="Chapter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IFERROR(1/(IF(Inputs!$B$39="pvp",15,MAX(0.1,Skills!D5-IF(TRUE=TRUE,Inputs!$B$33,0)))*(1-IF(AND(ArtifactsInput!$M$27,Inputs!$B$4="Chapter Hunt"),CHOOSE(ArtifactsInput!$N$27+1,20,24,28,32,36,40),0)/100)),0)</f>
        <v/>
      </c>
      <c r="R2462">
        <f>IF(AND(Inputs!$B$39&lt;&gt;"pvp",Inputs!$B$44&gt;0),IF(Inputs!$B$44&lt;=0,0,(INT(Inputs!$B$44/(IF(Inputs!$B$39="pvp",15,MAX(0.1,Skills!D5-IF(TRUE=TRUE,Inputs!$B$33,0)))*(1-IF(AND(ArtifactsInput!$M$27,Inputs!$B$4="Chapter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IFERROR(1/(IF(Inputs!$B$39="pvp",15,MAX(0.1,Skills!D6-IF(TRUE=TRUE,Inputs!$B$33,0)))*(1-IF(AND(ArtifactsInput!$M$27,Inputs!$B$4="Chapter Hunt"),CHOOSE(ArtifactsInput!$N$27+1,20,24,28,32,36,40),0)/100)),0)</f>
        <v/>
      </c>
      <c r="R2463">
        <f>IF(AND(Inputs!$B$39&lt;&gt;"pvp",Inputs!$B$44&gt;0),IF(MAX(0,Inputs!$B$44-B2497)&lt;=0,0,(INT(MAX(0,Inputs!$B$44-B2497)/(IF(Inputs!$B$39="pvp",15,MAX(0.1,Skills!D6-IF(TRUE=TRUE,Inputs!$B$33,0)))*(1-IF(AND(ArtifactsInput!$M$27,Inputs!$B$4="Chapter Hunt"),CHOOSE(ArtifactsInput!$N$27+1,20,24,28,32,36,40),0)/100)))+1)),0)</f>
        <v/>
      </c>
      <c r="S2463">
        <f>IF(C2463,(H2463*N2463*IF(AND(Inputs!$B$39&lt;&gt;"pvp",Inputs!$B$44&gt;0),((Skills!F6*((R2463-1)*IF(Skills!G6&gt;0,INT(Skills!H6/Skills!G6+0.000000001),1)+IF(Skills!G6&gt;0,INT(MIN(Skills!H6,MAX(0,MAX(0,Inputs!$B$44-B2497)-((R2463-1)*(IF(Inputs!$B$39="pvp",15,MAX(0.1,Skills!D6-IF(TRUE=TRUE,Inputs!$B$33,0)))*(1-IF(AND(ArtifactsInput!$M$27,Inputs!$B$4="Chapter Hunt"),CHOOSE(ArtifactsInput!$N$27+1,20,24,28,32,36,40),0)/100)))))/Skills!G6+0.000000001),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INT(Skills!H6/Skills!G6+0.000000001),1)+IF(Skills!G6&gt;0,INT(MIN(Skills!H6,MAX(0,MAX(0,Inputs!$B$44-B2497)-((R2463-1)*(IF(Inputs!$B$39="pvp",15,MAX(0.1,Skills!D6-IF(TRUE=TRUE,Inputs!$B$33,0)))*(1-IF(AND(ArtifactsInput!$M$27,Inputs!$B$4="Chapter Hunt"),CHOOSE(ArtifactsInput!$N$27+1,20,24,28,32,36,40),0)/100)))))/Skills!G6+0.000000001),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IFERROR(1/(IF(Inputs!$B$39="pvp",15,MAX(0.1,Skills!D7-IF(TRUE=TRUE,Inputs!$B$33,0)))*(1-IF(AND(ArtifactsInput!$M$27,Inputs!$B$4="Chapter Hunt"),CHOOSE(ArtifactsInput!$N$27+1,20,24,28,32,36,40),0)/100)),0)</f>
        <v/>
      </c>
      <c r="R2464">
        <f>IF(AND(Inputs!$B$39&lt;&gt;"pvp",Inputs!$B$44&gt;0),IF(MAX(0,Inputs!$B$44-B2497)&lt;=0,0,(INT(MAX(0,Inputs!$B$44-B2497)/(IF(Inputs!$B$39="pvp",15,MAX(0.1,Skills!D7-IF(TRUE=TRUE,Inputs!$B$33,0)))*(1-IF(AND(ArtifactsInput!$M$27,Inputs!$B$4="Chapter Hunt"),CHOOSE(ArtifactsInput!$N$27+1,20,24,28,32,36,40),0)/100)))+1)),0)</f>
        <v/>
      </c>
      <c r="S2464">
        <f>IF(C2464,H2464*N2464*IF(AND(Inputs!$B$39&lt;&gt;"pvp",Inputs!$B$44&gt;0),((Skills!F7*((R2464-1)*IF(Skills!G7&gt;0,INT(Skills!H7/Skills!G7+0.000000001),1)+IF(Skills!G7&gt;0,INT(MIN(Skills!H7,MAX(0,MAX(0,Inputs!$B$44-B2497)-((R2464-1)*(IF(Inputs!$B$39="pvp",15,MAX(0.1,Skills!D7-IF(TRUE=TRUE,Inputs!$B$33,0)))*(1-IF(AND(ArtifactsInput!$M$27,Inputs!$B$4="Chapter Hunt"),CHOOSE(ArtifactsInput!$N$27+1,20,24,28,32,36,40),0)/100)))))/Skills!G7+0.000000001),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IFERROR(1/(IF(Inputs!$B$39="pvp",15,MAX(0.1,Skills!D8-IF(TRUE=TRUE,Inputs!$B$33,0)))*(1-IF(AND(ArtifactsInput!$M$27,Inputs!$B$4="Chapter Hunt"),CHOOSE(ArtifactsInput!$N$27+1,20,24,28,32,36,40),0)/100)),0)</f>
        <v/>
      </c>
      <c r="R2465">
        <f>IF(AND(Inputs!$B$39&lt;&gt;"pvp",Inputs!$B$44&gt;0),IF(MAX(0,Inputs!$B$44-B2497)&lt;=0,0,(INT(MAX(0,Inputs!$B$44-B2497)/(IF(Inputs!$B$39="pvp",15,MAX(0.1,Skills!D8-IF(TRUE=TRUE,Inputs!$B$33,0)))*(1-IF(AND(ArtifactsInput!$M$27,Inputs!$B$4="Chapter Hunt"),CHOOSE(ArtifactsInput!$N$27+1,20,24,28,32,36,40),0)/100)))+1)),0)</f>
        <v/>
      </c>
      <c r="S2465">
        <f>IF(C2465,(H2465*N2465*IF(AND(Inputs!$B$39&lt;&gt;"pvp",Inputs!$B$44&gt;0),((Skills!F8*((R2465-1)*IF(Skills!G8&gt;0,INT(Skills!H8/Skills!G8+0.000000001),1)+IF(Skills!G8&gt;0,INT(MIN(Skills!H8,MAX(0,MAX(0,Inputs!$B$44-B2497)-((R2465-1)*(IF(Inputs!$B$39="pvp",15,MAX(0.1,Skills!D8-IF(TRUE=TRUE,Inputs!$B$33,0)))*(1-IF(AND(ArtifactsInput!$M$27,Inputs!$B$4="Chapter Hunt"),CHOOSE(ArtifactsInput!$N$27+1,20,24,28,32,36,40),0)/100)))))/Skills!G8+0.000000001),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INT(Skills!H8/Skills!G8+0.000000001),1)+IF(Skills!G8&gt;0,INT(MIN(Skills!H8,MAX(0,MAX(0,Inputs!$B$44-B2497)-((R2465-1)*(IF(Inputs!$B$39="pvp",15,MAX(0.1,Skills!D8-IF(TRUE=TRUE,Inputs!$B$33,0)))*(1-IF(AND(ArtifactsInput!$M$27,Inputs!$B$4="Chapter Hunt"),CHOOSE(ArtifactsInput!$N$27+1,20,24,28,32,36,40),0)/100)))))/Skills!G8+0.000000001),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IFERROR(1/(IF(Inputs!$B$39="pvp",15,MAX(0.1,Skills!D9-IF(TRUE=TRUE,Inputs!$B$33,0)))*(1-IF(AND(ArtifactsInput!$M$27,Inputs!$B$4="Chapter Hunt"),CHOOSE(ArtifactsInput!$N$27+1,20,24,28,32,36,40),0)/100)),0)</f>
        <v/>
      </c>
      <c r="R2466">
        <f>IF(AND(Inputs!$B$39&lt;&gt;"pvp",Inputs!$B$44&gt;0),IF(MAX(0,Inputs!$B$44-B2497)&lt;=0,0,(INT(MAX(0,Inputs!$B$44-B2497)/(IF(Inputs!$B$39="pvp",15,MAX(0.1,Skills!D9-IF(TRUE=TRUE,Inputs!$B$33,0)))*(1-IF(AND(ArtifactsInput!$M$27,Inputs!$B$4="Chapter Hunt"),CHOOSE(ArtifactsInput!$N$27+1,20,24,28,32,36,40),0)/100)))+1)),0)</f>
        <v/>
      </c>
      <c r="S2466">
        <f>IF(C2466,(H2466*N2466*IF(AND(Inputs!$B$39&lt;&gt;"pvp",Inputs!$B$44&gt;0),((Skills!F9*((R2466-1)*IF(Skills!G9&gt;0,INT(Skills!H9/Skills!G9+0.000000001),1)+IF(Skills!G9&gt;0,INT(MIN(Skills!H9,MAX(0,MAX(0,Inputs!$B$44-B2497)-((R2466-1)*(IF(Inputs!$B$39="pvp",15,MAX(0.1,Skills!D9-IF(TRUE=TRUE,Inputs!$B$33,0)))*(1-IF(AND(ArtifactsInput!$M$27,Inputs!$B$4="Chapter Hunt"),CHOOSE(ArtifactsInput!$N$27+1,20,24,28,32,36,40),0)/100)))))/Skills!G9+0.000000001),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INT(Skills!H9/Skills!G9+0.000000001),1)+IF(Skills!G9&gt;0,INT(MIN(Skills!H9,MAX(0,MAX(0,Inputs!$B$44-B2497)-((R2466-1)*(IF(Inputs!$B$39="pvp",15,MAX(0.1,Skills!D9-IF(TRUE=TRUE,Inputs!$B$33,0)))*(1-IF(AND(ArtifactsInput!$M$27,Inputs!$B$4="Chapter Hunt"),CHOOSE(ArtifactsInput!$N$27+1,20,24,28,32,36,40),0)/100)))))/Skills!G9+0.000000001),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IFERROR(1/(IF(Inputs!$B$39="pvp",15,MAX(0.1,Skills!D10-IF(TRUE=TRUE,Inputs!$B$33,0)))*(1-IF(AND(ArtifactsInput!$M$27,Inputs!$B$4="Chapter Hunt"),CHOOSE(ArtifactsInput!$N$27+1,20,24,28,32,36,40),0)/100)),0)</f>
        <v/>
      </c>
      <c r="R2467">
        <f>IF(AND(Inputs!$B$39&lt;&gt;"pvp",Inputs!$B$44&gt;0),IF(MAX(0,Inputs!$B$44-B2497)&lt;=0,0,(INT(MAX(0,Inputs!$B$44-B2497)/(IF(Inputs!$B$39="pvp",15,MAX(0.1,Skills!D10-IF(TRUE=TRUE,Inputs!$B$33,0)))*(1-IF(AND(ArtifactsInput!$M$27,Inputs!$B$4="Chapter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IFERROR(1/(IF(Inputs!$B$39="pvp",15,MAX(0.1,Skills!D11-IF(TRUE=TRUE,Inputs!$B$33,0)))*(1-IF(AND(ArtifactsInput!$M$27,Inputs!$B$4="Chapter Hunt"),CHOOSE(ArtifactsInput!$N$27+1,20,24,28,32,36,40),0)/100)),0)</f>
        <v/>
      </c>
      <c r="R2468">
        <f>IF(AND(Inputs!$B$39&lt;&gt;"pvp",Inputs!$B$44&gt;0),IF(Inputs!$B$44&lt;=0,0,(INT(Inputs!$B$44/(IF(Inputs!$B$39="pvp",15,MAX(0.1,Skills!D11-IF(TRUE=TRUE,Inputs!$B$33,0)))*(1-IF(AND(ArtifactsInput!$M$27,Inputs!$B$4="Chapter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IFERROR(1/(IF(Inputs!$B$39="pvp",15,MAX(0.1,Skills!D12-IF(TRUE=TRUE,Inputs!$B$33,0)))*(1-IF(AND(ArtifactsInput!$M$27,Inputs!$B$4="Chapter Hunt"),CHOOSE(ArtifactsInput!$N$27+1,20,24,28,32,36,40),0)/100)),0)</f>
        <v/>
      </c>
      <c r="R2469">
        <f>IF(AND(Inputs!$B$39&lt;&gt;"pvp",Inputs!$B$44&gt;0),IF(MAX(0,Inputs!$B$44-B2497)&lt;=0,0,(INT(MAX(0,Inputs!$B$44-B2497)/(IF(Inputs!$B$39="pvp",15,MAX(0.1,Skills!D12-IF(TRUE=TRUE,Inputs!$B$33,0)))*(1-IF(AND(ArtifactsInput!$M$27,Inputs!$B$4="Chapter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IFERROR(1/(IF(Inputs!$B$39="pvp",15,MAX(0.1,Skills!D13-IF(TRUE=TRUE,Inputs!$B$33,0)))*(1-IF(AND(ArtifactsInput!$M$27,Inputs!$B$4="Chapter Hunt"),CHOOSE(ArtifactsInput!$N$27+1,20,24,28,32,36,40),0)/100)),0)</f>
        <v/>
      </c>
      <c r="R2470">
        <f>IF(AND(Inputs!$B$39&lt;&gt;"pvp",Inputs!$B$44&gt;0),IF(MAX(0,Inputs!$B$44-B2497)&lt;=0,0,(INT(MAX(0,Inputs!$B$44-B2497)/(IF(Inputs!$B$39="pvp",15,MAX(0.1,Skills!D13-IF(TRUE=TRUE,Inputs!$B$33,0)))*(1-IF(AND(ArtifactsInput!$M$27,Inputs!$B$4="Chapter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IFERROR(1/(IF(Inputs!$B$39="pvp",15,MAX(0.1,Skills!D14-IF(TRUE=TRUE,Inputs!$B$33,0)))*(1-IF(AND(ArtifactsInput!$M$27,Inputs!$B$4="Chapter Hunt"),CHOOSE(ArtifactsInput!$N$27+1,20,24,28,32,36,40),0)/100)),0)</f>
        <v/>
      </c>
      <c r="R2471">
        <f>IF(AND(Inputs!$B$39&lt;&gt;"pvp",Inputs!$B$44&gt;0),IF(Inputs!$B$44&lt;=0,0,(INT(Inputs!$B$44/(IF(Inputs!$B$39="pvp",15,MAX(0.1,Skills!D14-IF(TRUE=TRUE,Inputs!$B$33,0)))*(1-IF(AND(ArtifactsInput!$M$27,Inputs!$B$4="Chapter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IFERROR(1/(IF(Inputs!$B$39="pvp",15,MAX(0.1,Skills!D15-IF(TRUE=TRUE,Inputs!$B$33,0)))*(1-IF(AND(ArtifactsInput!$M$27,Inputs!$B$4="Chapter Hunt"),CHOOSE(ArtifactsInput!$N$27+1,20,24,28,32,36,40),0)/100)),0)</f>
        <v/>
      </c>
      <c r="R2472" t="n">
        <v>0</v>
      </c>
      <c r="S2472">
        <f>IF(C2472,(Skills!F15*N2472*((IF(Inputs!$B$3&gt;=78,25,15)/100*B2493*10)/(1+IF(Inputs!$B$3&gt;=78,25,15)/100*B2493*IF(Inputs!$B$39="pvp",15,MAX(0.1,18-IF(TRUE=TRUE,Inputs!$B$33,0)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IF(Inputs!$B$39="pvp",15,MAX(0.1,18-IF(TRUE=TRUE,Inputs!$B$33,0)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IFERROR(1/(IF(Inputs!$B$39="pvp",15,MAX(0.1,Skills!D16-IF(TRUE=TRUE,Inputs!$B$33,0)))*(1-IF(AND(ArtifactsInput!$M$27,Inputs!$B$4="Chapter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IFERROR(1/(IF(Inputs!$B$39="pvp",15,MAX(0.1,Skills!D17-IF(TRUE=TRUE,Inputs!$B$33,0)))*(1-IF(AND(ArtifactsInput!$M$27,Inputs!$B$4="Chapter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IFERROR(1/(IF(Inputs!$B$39="pvp",15,MAX(0.1,Skills!D18-IF(TRUE=TRUE,Inputs!$B$33,0)))*(1-IF(AND(ArtifactsInput!$M$27,Inputs!$B$4="Chapter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IFERROR(1/(IF(Inputs!$B$39="pvp",15,MAX(0.1,Skills!D19-IF(TRUE=TRUE,Inputs!$B$33,0)))*(1-IF(AND(ArtifactsInput!$M$27,Inputs!$B$4="Chapter Hunt"),CHOOSE(ArtifactsInput!$N$27+1,20,24,28,32,36,40),0)/100)),0)</f>
        <v/>
      </c>
      <c r="R2476">
        <f>IF(AND(Inputs!$B$39&lt;&gt;"pvp",Inputs!$B$44&gt;0),IF(Inputs!$B$44&lt;=0,0,(INT(Inputs!$B$44/(IF(Inputs!$B$39="pvp",15,MAX(0.1,Skills!D19-IF(TRUE=TRUE,Inputs!$B$33,0)))*(1-IF(AND(ArtifactsInput!$M$27,Inputs!$B$4="Chapter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IFERROR(1/(IF(Inputs!$B$39="pvp",15,MAX(0.1,Skills!D20-IF(TRUE=TRUE,Inputs!$B$33,0)))*(1-IF(AND(ArtifactsInput!$M$27,Inputs!$B$4="Chapter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IFERROR(1/(IF(Inputs!$B$39="pvp",15,MAX(0.1,Skills!D21-IF(TRUE=TRUE,Inputs!$B$33,0)))*(1-IF(AND(ArtifactsInput!$M$27,Inputs!$B$4="Chapter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IFERROR(1/(IF(Inputs!$B$39="pvp",15,MAX(0.1,Skills!D22-IF(TRUE=TRUE,Inputs!$B$33,0)))*(1-IF(AND(ArtifactsInput!$M$27,Inputs!$B$4="Chapter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IFERROR(1/(IF(Inputs!$B$39="pvp",15,MAX(0.1,Skills!D23-IF(TRUE=TRUE,Inputs!$B$33,0)))*(1-IF(AND(ArtifactsInput!$M$27,Inputs!$B$4="Chapter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IFERROR(1/(IF(Inputs!$B$39="pvp",15,MAX(0.1,Skills!D24-IF(TRUE=TRUE,Inputs!$B$33,0)))*(1-IF(AND(ArtifactsInput!$M$27,Inputs!$B$4="Chapter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IFERROR(1/(IF(Inputs!$B$39="pvp",15,MAX(0.1,Skills!D25-IF(TRUE=TRUE,Inputs!$B$33,0)))*(1-IF(AND(ArtifactsInput!$M$27,Inputs!$B$4="Chapter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IFERROR(1/(IF(Inputs!$B$39="pvp",15,MAX(0.1,Skills!D26-IF(TRUE=TRUE,Inputs!$B$33,0)))*(1-IF(AND(ArtifactsInput!$M$27,Inputs!$B$4="Chapter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IFERROR(1/(IF(Inputs!$B$39="pvp",15,MAX(0.1,Skills!D27-IF(TRUE=TRUE,Inputs!$B$33,0)))*(1-IF(AND(ArtifactsInput!$M$27,Inputs!$B$4="Chapter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IFERROR(1/(IF(Inputs!$B$39="pvp",15,MAX(0.1,Skills!D28-IF(TRUE=TRUE,Inputs!$B$33,0)))*(1-IF(AND(ArtifactsInput!$M$27,Inputs!$B$4="Chapter Hunt"),CHOOSE(ArtifactsInput!$N$27+1,20,24,28,32,36,40),0)/100)),0)</f>
        <v/>
      </c>
      <c r="R2485">
        <f>IF(AND(Inputs!$B$39&lt;&gt;"pvp",Inputs!$B$44&gt;0),IF(Inputs!$B$44&lt;=0,0,(INT(Inputs!$B$44/(IF(Inputs!$B$39="pvp",15,MAX(0.1,Skills!D28-IF(TRUE=TRUE,Inputs!$B$33,0)))*(1-IF(AND(ArtifactsInput!$M$27,Inputs!$B$4="Chapter Hunt"),CHOOSE(ArtifactsInput!$N$27+1,20,24,28,32,36,40),0)/100)))+1)),0)</f>
        <v/>
      </c>
      <c r="S2485" t="n">
        <v>0</v>
      </c>
      <c r="U2485" t="n">
        <v>0</v>
      </c>
    </row>
    <row r="2487">
      <c r="A2487" t="inlineStr">
        <is>
          <t>Average Buff Multiplier</t>
        </is>
      </c>
      <c r="B2487">
        <f>(1+(IF(C2460=TRUE,F2460*IF(AND(Inputs!$B$39&lt;&gt;"pvp",Inputs!$B$44&gt;0),(((R2460-1)*MIN((Skills!S3*(1+((Inputs!$B$35+(ArtifactsInput!$M$7-ArtifactsInput!$M$7)*CHOOSE(ArtifactsInput!$N$7+1,6,7.2,8.4,9.6,10.8,12)))/100)),(1/Q2460))+MIN((Skills!S3*(1+((Inputs!$B$35+(ArtifactsInput!$M$7-ArtifactsInput!$M$7)*CHOOSE(ArtifactsInput!$N$7+1,6,7.2,8.4,9.6,10.8,12)))/100)),MAX(0,Inputs!$B$44-((R2460-1)*(1/Q2460)))))/Inputs!$B$44),IF(Inputs!$B$39="pvp",MIN((Skills!S3*(1+((Inputs!$B$35+(ArtifactsInput!$M$7-ArtifactsInput!$M$7)*CHOOSE(ArtifactsInput!$N$7+1,6,7.2,8.4,9.6,10.8,12)))/100)),15)/15,MIN(1,(Skills!S3*(1+((Inputs!$B$35+(ArtifactsInput!$M$7-ArtifactsInput!$M$7)*CHOOSE(ArtifactsInput!$N$7+1,6,7.2,8.4,9.6,10.8,12)))/100))/(1/Q2460)))),0)+IF(C2461=TRUE,F2461*IF(AND(Inputs!$B$39&lt;&gt;"pvp",Inputs!$B$44&gt;0),(((R2461-1)*MIN((Skills!S4*(1+((Inputs!$B$35+(ArtifactsInput!$M$7-ArtifactsInput!$M$7)*CHOOSE(ArtifactsInput!$N$7+1,6,7.2,8.4,9.6,10.8,12)))/100)),(1/Q2461))+MIN((Skills!S4*(1+((Inputs!$B$35+(ArtifactsInput!$M$7-ArtifactsInput!$M$7)*CHOOSE(ArtifactsInput!$N$7+1,6,7.2,8.4,9.6,10.8,12)))/100)),MAX(0,Inputs!$B$44-((R2461-1)*(1/Q2461)))))/Inputs!$B$44),IF(Inputs!$B$39="pvp",MIN((Skills!S4*(1+((Inputs!$B$35+(ArtifactsInput!$M$7-ArtifactsInput!$M$7)*CHOOSE(ArtifactsInput!$N$7+1,6,7.2,8.4,9.6,10.8,12)))/100)),15)/15,MIN(1,(Skills!S4*(1+((Inputs!$B$35+(ArtifactsInput!$M$7-ArtifactsInput!$M$7)*CHOOSE(ArtifactsInput!$N$7+1,6,7.2,8.4,9.6,10.8,12)))/100))/(1/Q2461)))),0)+IF(C2462=TRUE,F2462*IF(AND(Inputs!$B$39&lt;&gt;"pvp",Inputs!$B$44&gt;0),(((R2462-1)*MIN((Skills!S5*(1+((Inputs!$B$35+(ArtifactsInput!$M$7-ArtifactsInput!$M$7)*CHOOSE(ArtifactsInput!$N$7+1,6,7.2,8.4,9.6,10.8,12)))/100)),(1/Q2462))+MIN((Skills!S5*(1+((Inputs!$B$35+(ArtifactsInput!$M$7-ArtifactsInput!$M$7)*CHOOSE(ArtifactsInput!$N$7+1,6,7.2,8.4,9.6,10.8,12)))/100)),MAX(0,Inputs!$B$44-((R2462-1)*(1/Q2462)))))/Inputs!$B$44),IF(Inputs!$B$39="pvp",MIN((Skills!S5*(1+((Inputs!$B$35+(ArtifactsInput!$M$7-ArtifactsInput!$M$7)*CHOOSE(ArtifactsInput!$N$7+1,6,7.2,8.4,9.6,10.8,12)))/100)),15)/15,MIN(1,(Skills!S5*(1+((Inputs!$B$35+(ArtifactsInput!$M$7-ArtifactsInput!$M$7)*CHOOSE(ArtifactsInput!$N$7+1,6,7.2,8.4,9.6,10.8,12)))/100))/(1/Q2462)))),0)+IF(C2468=TRUE,F2468*IF(AND(Inputs!$B$39&lt;&gt;"pvp",Inputs!$B$44&gt;0),(((R2468-1)*MIN((Skills!S11*(1+((Inputs!$B$35+(ArtifactsInput!$M$7-ArtifactsInput!$M$7)*CHOOSE(ArtifactsInput!$N$7+1,6,7.2,8.4,9.6,10.8,12)))/100)),(1/Q2468))+MIN((Skills!S11*(1+((Inputs!$B$35+(ArtifactsInput!$M$7-ArtifactsInput!$M$7)*CHOOSE(ArtifactsInput!$N$7+1,6,7.2,8.4,9.6,10.8,12)))/100)),MAX(0,Inputs!$B$44-((R2468-1)*(1/Q2468)))))/Inputs!$B$44),IF(Inputs!$B$39="pvp",MIN((Skills!S11*(1+((Inputs!$B$35+(ArtifactsInput!$M$7-ArtifactsInput!$M$7)*CHOOSE(ArtifactsInput!$N$7+1,6,7.2,8.4,9.6,10.8,12)))/100)),15)/15,MIN(1,(Skills!S11*(1+((Inputs!$B$35+(ArtifactsInput!$M$7-ArtifactsInput!$M$7)*CHOOSE(ArtifactsInput!$N$7+1,6,7.2,8.4,9.6,10.8,12)))/100))/(1/Q2468)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MIN((Skills!S14*(1+((Inputs!$B$35+(ArtifactsInput!$M$7-ArtifactsInput!$M$7)*CHOOSE(ArtifactsInput!$N$7+1,6,7.2,8.4,9.6,10.8,12)))/100)),(1/Q2471))+MIN((Skills!S14*(1+((Inputs!$B$35+(ArtifactsInput!$M$7-ArtifactsInput!$M$7)*CHOOSE(ArtifactsInput!$N$7+1,6,7.2,8.4,9.6,10.8,12)))/100)),MAX(0,Inputs!$B$44-((R2471-1)*(1/Q2471)))))/Inputs!$B$44),IF(Inputs!$B$39="pvp",MIN((Skills!S14*(1+((Inputs!$B$35+(ArtifactsInput!$M$7-ArtifactsInput!$M$7)*CHOOSE(ArtifactsInput!$N$7+1,6,7.2,8.4,9.6,10.8,12)))/100)),15)/15,MIN(1,(Skills!S14*(1+((Inputs!$B$35+(ArtifactsInput!$M$7-ArtifactsInput!$M$7)*CHOOSE(ArtifactsInput!$N$7+1,6,7.2,8.4,9.6,10.8,12)))/100))/(1/Q2471))))/100),1)*IF(C2476=TRUE,(1+F2476*IF(AND(Inputs!$B$39&lt;&gt;"pvp",Inputs!$B$44&gt;0),(((R2476-1)*MIN((Skills!S19*(1+((Inputs!$B$35+(ArtifactsInput!$M$7-ArtifactsInput!$M$7)*CHOOSE(ArtifactsInput!$N$7+1,6,7.2,8.4,9.6,10.8,12)))/100)),(1/Q2476))+MIN((Skills!S19*(1+((Inputs!$B$35+(ArtifactsInput!$M$7-ArtifactsInput!$M$7)*CHOOSE(ArtifactsInput!$N$7+1,6,7.2,8.4,9.6,10.8,12)))/100)),MAX(0,Inputs!$B$44-((R2476-1)*(1/Q2476)))))/Inputs!$B$44),IF(Inputs!$B$39="pvp",MIN((Skills!S19*(1+((Inputs!$B$35+(ArtifactsInput!$M$7-ArtifactsInput!$M$7)*CHOOSE(ArtifactsInput!$N$7+1,6,7.2,8.4,9.6,10.8,12)))/100)),15)/15,MIN(1,(Skills!S19*(1+((Inputs!$B$35+(ArtifactsInput!$M$7-ArtifactsInput!$M$7)*CHOOSE(ArtifactsInput!$N$7+1,6,7.2,8.4,9.6,10.8,12)))/100))/(1/Q2476))))/100),1)</f>
        <v/>
      </c>
    </row>
    <row r="2488">
      <c r="A2488" t="inlineStr">
        <is>
          <t>Monster Damage Taken Bonus % (Holy Fountain)</t>
        </is>
      </c>
      <c r="B2488">
        <f>IF(Inputs!$B$3&gt;=68,20*IF(Inputs!$B$39="pvp",MIN((15*(1+((Inputs!$B$35+(ArtifactsInput!$M$7-ArtifactsInput!$M$7)*CHOOSE(ArtifactsInput!$N$7+1,6,7.2,8.4,9.6,10.8,12)))/100)),15)/15,MIN(1,(15*(1+((Inputs!$B$35+(ArtifactsInput!$M$7-ArtifactsInput!$M$7)*CHOOSE(ArtifactsInput!$N$7+1,6,7.2,8.4,9.6,10.8,12)))/100))/(1/Q2467))),0)</f>
        <v/>
      </c>
    </row>
    <row r="2489">
      <c r="A2489" t="inlineStr">
        <is>
          <t>Normal Monster Damage Bonus % (Holy Symbol)</t>
        </is>
      </c>
      <c r="B2489">
        <f>IF(C2469=TRUE,F2469*IF(AND(Inputs!$B$39&lt;&gt;"pvp",Inputs!$B$44&gt;0),(((R2469-1)*MIN((Skills!S12*(1+((Inputs!$B$35+(ArtifactsInput!$M$7-ArtifactsInput!$M$7)*CHOOSE(ArtifactsInput!$N$7+1,6,7.2,8.4,9.6,10.8,12)))/100)),(1/Q2469))+MIN((Skills!S12*(1+((Inputs!$B$35+(ArtifactsInput!$M$7-ArtifactsInput!$M$7)*CHOOSE(ArtifactsInput!$N$7+1,6,7.2,8.4,9.6,10.8,12)))/100)),MAX(0,Inputs!$B$44-((R2469-1)*(1/Q2469)))))/Inputs!$B$44),IF(Inputs!$B$39="pvp",MIN((Skills!S12*(1+((Inputs!$B$35+(ArtifactsInput!$M$7-ArtifactsInput!$M$7)*CHOOSE(ArtifactsInput!$N$7+1,6,7.2,8.4,9.6,10.8,12)))/100)),15)/15,MIN(1,(Skills!S12*(1+((Inputs!$B$35+(ArtifactsInput!$M$7-ArtifactsInput!$M$7)*CHOOSE(ArtifactsInput!$N$7+1,6,7.2,8.4,9.6,10.8,12)))/100))/(1/Q2469)))),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MIN((Skills!S28*(1+((Inputs!$B$35+(ArtifactsInput!$M$7-ArtifactsInput!$M$7)*CHOOSE(ArtifactsInput!$N$7+1,6,7.2,8.4,9.6,10.8,12)))/100)),(1/Q2485))+MIN((Skills!S28*(1+((Inputs!$B$35+(ArtifactsInput!$M$7-ArtifactsInput!$M$7)*CHOOSE(ArtifactsInput!$N$7+1,6,7.2,8.4,9.6,10.8,12)))/100)),MAX(0,Inputs!$B$44-((R2485-1)*(1/Q2485)))))/Inputs!$B$44),IF(Inputs!$B$39="pvp",MIN((Skills!S28*(1+((Inputs!$B$35+(ArtifactsInput!$M$7-ArtifactsInput!$M$7)*CHOOSE(ArtifactsInput!$N$7+1,6,7.2,8.4,9.6,10.8,12)))/100)),15)/15,MIN(1,(Skills!S28*(1+((Inputs!$B$35+(ArtifactsInput!$M$7-ArtifactsInput!$M$7)*CHOOSE(ArtifactsInput!$N$7+1,6,7.2,8.4,9.6,10.8,12)))/100))/(1/Q2485)))))</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MIN((Skills!S13*(1+((Inputs!$B$35+(ArtifactsInput!$M$7-ArtifactsInput!$M$7)*CHOOSE(ArtifactsInput!$N$7+1,6,7.2,8.4,9.6,10.8,12)))/100)),(1/Q2470))+MIN((Skills!S13*(1+((Inputs!$B$35+(ArtifactsInput!$M$7-ArtifactsInput!$M$7)*CHOOSE(ArtifactsInput!$N$7+1,6,7.2,8.4,9.6,10.8,12)))/100)),MAX(0,Inputs!$B$44-((R2470-1)*(1/Q2470)))))/Inputs!$B$44),IF(Inputs!$B$39="pvp",MIN((Skills!S13*(1+((Inputs!$B$35+(ArtifactsInput!$M$7-ArtifactsInput!$M$7)*CHOOSE(ArtifactsInput!$N$7+1,6,7.2,8.4,9.6,10.8,12)))/100)),15)/15,MIN(1,(Skills!S13*(1+((Inputs!$B$35+(ArtifactsInput!$M$7-ArtifactsInput!$M$7)*CHOOSE(ArtifactsInput!$N$7+1,6,7.2,8.4,9.6,10.8,12)))/100))/(1/Q2470)))),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IFERROR(1/(IF(Inputs!$B$39="pvp",15,MAX(0.1,Skills!D2-IF(TRUE=TRUE,Inputs!$B$33,0)))*(1-IF(AND(ArtifactsInput!$M$27,Inputs!$B$4="Chapter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IFERROR(1/(IF(Inputs!$B$39="pvp",15,MAX(0.1,Skills!D3-IF(TRUE=TRUE,Inputs!$B$33,0)))*(1-IF(AND(ArtifactsInput!$M$27,Inputs!$B$4="Chapter Hunt"),CHOOSE(ArtifactsInput!$N$27+1,20,24,28,32,36,40),0)/100)),0)</f>
        <v/>
      </c>
      <c r="R2505">
        <f>IF(AND(Inputs!$B$39&lt;&gt;"pvp",Inputs!$B$44&gt;0),IF(Inputs!$B$44&lt;=0,0,(INT(Inputs!$B$44/(IF(Inputs!$B$39="pvp",15,MAX(0.1,Skills!D3-IF(TRUE=TRUE,Inputs!$B$33,0)))*(1-IF(AND(ArtifactsInput!$M$27,Inputs!$B$4="Chapter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IFERROR(1/(IF(Inputs!$B$39="pvp",15,MAX(0.1,Skills!D4-IF(TRUE=TRUE,Inputs!$B$33,0)))*(1-IF(AND(ArtifactsInput!$M$27,Inputs!$B$4="Chapter Hunt"),CHOOSE(ArtifactsInput!$N$27+1,20,24,28,32,36,40),0)/100)),0)</f>
        <v/>
      </c>
      <c r="R2506">
        <f>IF(AND(Inputs!$B$39&lt;&gt;"pvp",Inputs!$B$44&gt;0),IF(Inputs!$B$44&lt;=0,0,(INT(Inputs!$B$44/(IF(Inputs!$B$39="pvp",15,MAX(0.1,Skills!D4-IF(TRUE=TRUE,Inputs!$B$33,0)))*(1-IF(AND(ArtifactsInput!$M$27,Inputs!$B$4="Chapter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IFERROR(1/(IF(Inputs!$B$39="pvp",15,MAX(0.1,Skills!D5-IF(TRUE=TRUE,Inputs!$B$33,0)))*(1-IF(AND(ArtifactsInput!$M$27,Inputs!$B$4="Chapter Hunt"),CHOOSE(ArtifactsInput!$N$27+1,20,24,28,32,36,40),0)/100)),0)</f>
        <v/>
      </c>
      <c r="R2507">
        <f>IF(AND(Inputs!$B$39&lt;&gt;"pvp",Inputs!$B$44&gt;0),IF(Inputs!$B$44&lt;=0,0,(INT(Inputs!$B$44/(IF(Inputs!$B$39="pvp",15,MAX(0.1,Skills!D5-IF(TRUE=TRUE,Inputs!$B$33,0)))*(1-IF(AND(ArtifactsInput!$M$27,Inputs!$B$4="Chapter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IFERROR(1/(IF(Inputs!$B$39="pvp",15,MAX(0.1,Skills!D6-IF(TRUE=TRUE,Inputs!$B$33,0)))*(1-IF(AND(ArtifactsInput!$M$27,Inputs!$B$4="Chapter Hunt"),CHOOSE(ArtifactsInput!$N$27+1,20,24,28,32,36,40),0)/100)),0)</f>
        <v/>
      </c>
      <c r="R2508">
        <f>IF(AND(Inputs!$B$39&lt;&gt;"pvp",Inputs!$B$44&gt;0),IF(MAX(0,Inputs!$B$44-B2542)&lt;=0,0,(INT(MAX(0,Inputs!$B$44-B2542)/(IF(Inputs!$B$39="pvp",15,MAX(0.1,Skills!D6-IF(TRUE=TRUE,Inputs!$B$33,0)))*(1-IF(AND(ArtifactsInput!$M$27,Inputs!$B$4="Chapter Hunt"),CHOOSE(ArtifactsInput!$N$27+1,20,24,28,32,36,40),0)/100)))+1)),0)</f>
        <v/>
      </c>
      <c r="S2508">
        <f>IF(C2508,(H2508*N2508*IF(AND(Inputs!$B$39&lt;&gt;"pvp",Inputs!$B$44&gt;0),((Skills!F6*((R2508-1)*IF(Skills!G6&gt;0,INT(Skills!H6/Skills!G6+0.000000001),1)+IF(Skills!G6&gt;0,INT(MIN(Skills!H6,MAX(0,MAX(0,Inputs!$B$44-B2542)-((R2508-1)*(IF(Inputs!$B$39="pvp",15,MAX(0.1,Skills!D6-IF(TRUE=TRUE,Inputs!$B$33,0)))*(1-IF(AND(ArtifactsInput!$M$27,Inputs!$B$4="Chapter Hunt"),CHOOSE(ArtifactsInput!$N$27+1,20,24,28,32,36,40),0)/100)))))/Skills!G6+0.000000001),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INT(Skills!H6/Skills!G6+0.000000001),1)+IF(Skills!G6&gt;0,INT(MIN(Skills!H6,MAX(0,MAX(0,Inputs!$B$44-B2542)-((R2508-1)*(IF(Inputs!$B$39="pvp",15,MAX(0.1,Skills!D6-IF(TRUE=TRUE,Inputs!$B$33,0)))*(1-IF(AND(ArtifactsInput!$M$27,Inputs!$B$4="Chapter Hunt"),CHOOSE(ArtifactsInput!$N$27+1,20,24,28,32,36,40),0)/100)))))/Skills!G6+0.000000001),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IFERROR(1/(IF(Inputs!$B$39="pvp",15,MAX(0.1,Skills!D7-IF(TRUE=TRUE,Inputs!$B$33,0)))*(1-IF(AND(ArtifactsInput!$M$27,Inputs!$B$4="Chapter Hunt"),CHOOSE(ArtifactsInput!$N$27+1,20,24,28,32,36,40),0)/100)),0)</f>
        <v/>
      </c>
      <c r="R2509">
        <f>IF(AND(Inputs!$B$39&lt;&gt;"pvp",Inputs!$B$44&gt;0),IF(MAX(0,Inputs!$B$44-B2542)&lt;=0,0,(INT(MAX(0,Inputs!$B$44-B2542)/(IF(Inputs!$B$39="pvp",15,MAX(0.1,Skills!D7-IF(TRUE=TRUE,Inputs!$B$33,0)))*(1-IF(AND(ArtifactsInput!$M$27,Inputs!$B$4="Chapter Hunt"),CHOOSE(ArtifactsInput!$N$27+1,20,24,28,32,36,40),0)/100)))+1)),0)</f>
        <v/>
      </c>
      <c r="S2509">
        <f>IF(C2509,H2509*N2509*IF(AND(Inputs!$B$39&lt;&gt;"pvp",Inputs!$B$44&gt;0),((Skills!F7*((R2509-1)*IF(Skills!G7&gt;0,INT(Skills!H7/Skills!G7+0.000000001),1)+IF(Skills!G7&gt;0,INT(MIN(Skills!H7,MAX(0,MAX(0,Inputs!$B$44-B2542)-((R2509-1)*(IF(Inputs!$B$39="pvp",15,MAX(0.1,Skills!D7-IF(TRUE=TRUE,Inputs!$B$33,0)))*(1-IF(AND(ArtifactsInput!$M$27,Inputs!$B$4="Chapter Hunt"),CHOOSE(ArtifactsInput!$N$27+1,20,24,28,32,36,40),0)/100)))))/Skills!G7+0.000000001),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IFERROR(1/(IF(Inputs!$B$39="pvp",15,MAX(0.1,Skills!D8-IF(TRUE=TRUE,Inputs!$B$33,0)))*(1-IF(AND(ArtifactsInput!$M$27,Inputs!$B$4="Chapter Hunt"),CHOOSE(ArtifactsInput!$N$27+1,20,24,28,32,36,40),0)/100)),0)</f>
        <v/>
      </c>
      <c r="R2510">
        <f>IF(AND(Inputs!$B$39&lt;&gt;"pvp",Inputs!$B$44&gt;0),IF(MAX(0,Inputs!$B$44-B2542)&lt;=0,0,(INT(MAX(0,Inputs!$B$44-B2542)/(IF(Inputs!$B$39="pvp",15,MAX(0.1,Skills!D8-IF(TRUE=TRUE,Inputs!$B$33,0)))*(1-IF(AND(ArtifactsInput!$M$27,Inputs!$B$4="Chapter Hunt"),CHOOSE(ArtifactsInput!$N$27+1,20,24,28,32,36,40),0)/100)))+1)),0)</f>
        <v/>
      </c>
      <c r="S2510">
        <f>IF(C2510,(H2510*N2510*IF(AND(Inputs!$B$39&lt;&gt;"pvp",Inputs!$B$44&gt;0),((Skills!F8*((R2510-1)*IF(Skills!G8&gt;0,INT(Skills!H8/Skills!G8+0.000000001),1)+IF(Skills!G8&gt;0,INT(MIN(Skills!H8,MAX(0,MAX(0,Inputs!$B$44-B2542)-((R2510-1)*(IF(Inputs!$B$39="pvp",15,MAX(0.1,Skills!D8-IF(TRUE=TRUE,Inputs!$B$33,0)))*(1-IF(AND(ArtifactsInput!$M$27,Inputs!$B$4="Chapter Hunt"),CHOOSE(ArtifactsInput!$N$27+1,20,24,28,32,36,40),0)/100)))))/Skills!G8+0.000000001),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INT(Skills!H8/Skills!G8+0.000000001),1)+IF(Skills!G8&gt;0,INT(MIN(Skills!H8,MAX(0,MAX(0,Inputs!$B$44-B2542)-((R2510-1)*(IF(Inputs!$B$39="pvp",15,MAX(0.1,Skills!D8-IF(TRUE=TRUE,Inputs!$B$33,0)))*(1-IF(AND(ArtifactsInput!$M$27,Inputs!$B$4="Chapter Hunt"),CHOOSE(ArtifactsInput!$N$27+1,20,24,28,32,36,40),0)/100)))))/Skills!G8+0.000000001),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IFERROR(1/(IF(Inputs!$B$39="pvp",15,MAX(0.1,Skills!D9-IF(TRUE=TRUE,Inputs!$B$33,0)))*(1-IF(AND(ArtifactsInput!$M$27,Inputs!$B$4="Chapter Hunt"),CHOOSE(ArtifactsInput!$N$27+1,20,24,28,32,36,40),0)/100)),0)</f>
        <v/>
      </c>
      <c r="R2511">
        <f>IF(AND(Inputs!$B$39&lt;&gt;"pvp",Inputs!$B$44&gt;0),IF(MAX(0,Inputs!$B$44-B2542)&lt;=0,0,(INT(MAX(0,Inputs!$B$44-B2542)/(IF(Inputs!$B$39="pvp",15,MAX(0.1,Skills!D9-IF(TRUE=TRUE,Inputs!$B$33,0)))*(1-IF(AND(ArtifactsInput!$M$27,Inputs!$B$4="Chapter Hunt"),CHOOSE(ArtifactsInput!$N$27+1,20,24,28,32,36,40),0)/100)))+1)),0)</f>
        <v/>
      </c>
      <c r="S2511">
        <f>IF(C2511,(H2511*N2511*IF(AND(Inputs!$B$39&lt;&gt;"pvp",Inputs!$B$44&gt;0),((Skills!F9*((R2511-1)*IF(Skills!G9&gt;0,INT(Skills!H9/Skills!G9+0.000000001),1)+IF(Skills!G9&gt;0,INT(MIN(Skills!H9,MAX(0,MAX(0,Inputs!$B$44-B2542)-((R2511-1)*(IF(Inputs!$B$39="pvp",15,MAX(0.1,Skills!D9-IF(TRUE=TRUE,Inputs!$B$33,0)))*(1-IF(AND(ArtifactsInput!$M$27,Inputs!$B$4="Chapter Hunt"),CHOOSE(ArtifactsInput!$N$27+1,20,24,28,32,36,40),0)/100)))))/Skills!G9+0.000000001),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INT(Skills!H9/Skills!G9+0.000000001),1)+IF(Skills!G9&gt;0,INT(MIN(Skills!H9,MAX(0,MAX(0,Inputs!$B$44-B2542)-((R2511-1)*(IF(Inputs!$B$39="pvp",15,MAX(0.1,Skills!D9-IF(TRUE=TRUE,Inputs!$B$33,0)))*(1-IF(AND(ArtifactsInput!$M$27,Inputs!$B$4="Chapter Hunt"),CHOOSE(ArtifactsInput!$N$27+1,20,24,28,32,36,40),0)/100)))))/Skills!G9+0.000000001),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IFERROR(1/(IF(Inputs!$B$39="pvp",15,MAX(0.1,Skills!D10-IF(TRUE=TRUE,Inputs!$B$33,0)))*(1-IF(AND(ArtifactsInput!$M$27,Inputs!$B$4="Chapter Hunt"),CHOOSE(ArtifactsInput!$N$27+1,20,24,28,32,36,40),0)/100)),0)</f>
        <v/>
      </c>
      <c r="R2512">
        <f>IF(AND(Inputs!$B$39&lt;&gt;"pvp",Inputs!$B$44&gt;0),IF(MAX(0,Inputs!$B$44-B2542)&lt;=0,0,(INT(MAX(0,Inputs!$B$44-B2542)/(IF(Inputs!$B$39="pvp",15,MAX(0.1,Skills!D10-IF(TRUE=TRUE,Inputs!$B$33,0)))*(1-IF(AND(ArtifactsInput!$M$27,Inputs!$B$4="Chapter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IFERROR(1/(IF(Inputs!$B$39="pvp",15,MAX(0.1,Skills!D11-IF(TRUE=TRUE,Inputs!$B$33,0)))*(1-IF(AND(ArtifactsInput!$M$27,Inputs!$B$4="Chapter Hunt"),CHOOSE(ArtifactsInput!$N$27+1,20,24,28,32,36,40),0)/100)),0)</f>
        <v/>
      </c>
      <c r="R2513">
        <f>IF(AND(Inputs!$B$39&lt;&gt;"pvp",Inputs!$B$44&gt;0),IF(Inputs!$B$44&lt;=0,0,(INT(Inputs!$B$44/(IF(Inputs!$B$39="pvp",15,MAX(0.1,Skills!D11-IF(TRUE=TRUE,Inputs!$B$33,0)))*(1-IF(AND(ArtifactsInput!$M$27,Inputs!$B$4="Chapter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IFERROR(1/(IF(Inputs!$B$39="pvp",15,MAX(0.1,Skills!D12-IF(TRUE=TRUE,Inputs!$B$33,0)))*(1-IF(AND(ArtifactsInput!$M$27,Inputs!$B$4="Chapter Hunt"),CHOOSE(ArtifactsInput!$N$27+1,20,24,28,32,36,40),0)/100)),0)</f>
        <v/>
      </c>
      <c r="R2514">
        <f>IF(AND(Inputs!$B$39&lt;&gt;"pvp",Inputs!$B$44&gt;0),IF(MAX(0,Inputs!$B$44-B2542)&lt;=0,0,(INT(MAX(0,Inputs!$B$44-B2542)/(IF(Inputs!$B$39="pvp",15,MAX(0.1,Skills!D12-IF(TRUE=TRUE,Inputs!$B$33,0)))*(1-IF(AND(ArtifactsInput!$M$27,Inputs!$B$4="Chapter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IFERROR(1/(IF(Inputs!$B$39="pvp",15,MAX(0.1,Skills!D13-IF(TRUE=TRUE,Inputs!$B$33,0)))*(1-IF(AND(ArtifactsInput!$M$27,Inputs!$B$4="Chapter Hunt"),CHOOSE(ArtifactsInput!$N$27+1,20,24,28,32,36,40),0)/100)),0)</f>
        <v/>
      </c>
      <c r="R2515">
        <f>IF(AND(Inputs!$B$39&lt;&gt;"pvp",Inputs!$B$44&gt;0),IF(MAX(0,Inputs!$B$44-B2542)&lt;=0,0,(INT(MAX(0,Inputs!$B$44-B2542)/(IF(Inputs!$B$39="pvp",15,MAX(0.1,Skills!D13-IF(TRUE=TRUE,Inputs!$B$33,0)))*(1-IF(AND(ArtifactsInput!$M$27,Inputs!$B$4="Chapter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IFERROR(1/(IF(Inputs!$B$39="pvp",15,MAX(0.1,Skills!D14-IF(TRUE=TRUE,Inputs!$B$33,0)))*(1-IF(AND(ArtifactsInput!$M$27,Inputs!$B$4="Chapter Hunt"),CHOOSE(ArtifactsInput!$N$27+1,20,24,28,32,36,40),0)/100)),0)</f>
        <v/>
      </c>
      <c r="R2516">
        <f>IF(AND(Inputs!$B$39&lt;&gt;"pvp",Inputs!$B$44&gt;0),IF(Inputs!$B$44&lt;=0,0,(INT(Inputs!$B$44/(IF(Inputs!$B$39="pvp",15,MAX(0.1,Skills!D14-IF(TRUE=TRUE,Inputs!$B$33,0)))*(1-IF(AND(ArtifactsInput!$M$27,Inputs!$B$4="Chapter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IFERROR(1/(IF(Inputs!$B$39="pvp",15,MAX(0.1,Skills!D15-IF(TRUE=TRUE,Inputs!$B$33,0)))*(1-IF(AND(ArtifactsInput!$M$27,Inputs!$B$4="Chapter Hunt"),CHOOSE(ArtifactsInput!$N$27+1,20,24,28,32,36,40),0)/100)),0)</f>
        <v/>
      </c>
      <c r="R2517" t="n">
        <v>0</v>
      </c>
      <c r="S2517">
        <f>IF(C2517,(Skills!F15*N2517*((IF(Inputs!$B$3&gt;=78,25,15)/100*B2538*10)/(1+IF(Inputs!$B$3&gt;=78,25,15)/100*B2538*IF(Inputs!$B$39="pvp",15,MAX(0.1,18-IF(TRUE=TRUE,Inputs!$B$33,0)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IF(Inputs!$B$39="pvp",15,MAX(0.1,18-IF(TRUE=TRUE,Inputs!$B$33,0)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IFERROR(1/(IF(Inputs!$B$39="pvp",15,MAX(0.1,Skills!D16-IF(TRUE=TRUE,Inputs!$B$33,0)))*(1-IF(AND(ArtifactsInput!$M$27,Inputs!$B$4="Chapter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IFERROR(1/(IF(Inputs!$B$39="pvp",15,MAX(0.1,Skills!D17-IF(TRUE=TRUE,Inputs!$B$33,0)))*(1-IF(AND(ArtifactsInput!$M$27,Inputs!$B$4="Chapter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IFERROR(1/(IF(Inputs!$B$39="pvp",15,MAX(0.1,Skills!D18-IF(TRUE=TRUE,Inputs!$B$33,0)))*(1-IF(AND(ArtifactsInput!$M$27,Inputs!$B$4="Chapter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IFERROR(1/(IF(Inputs!$B$39="pvp",15,MAX(0.1,Skills!D19-IF(TRUE=TRUE,Inputs!$B$33,0)))*(1-IF(AND(ArtifactsInput!$M$27,Inputs!$B$4="Chapter Hunt"),CHOOSE(ArtifactsInput!$N$27+1,20,24,28,32,36,40),0)/100)),0)</f>
        <v/>
      </c>
      <c r="R2521">
        <f>IF(AND(Inputs!$B$39&lt;&gt;"pvp",Inputs!$B$44&gt;0),IF(Inputs!$B$44&lt;=0,0,(INT(Inputs!$B$44/(IF(Inputs!$B$39="pvp",15,MAX(0.1,Skills!D19-IF(TRUE=TRUE,Inputs!$B$33,0)))*(1-IF(AND(ArtifactsInput!$M$27,Inputs!$B$4="Chapter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IFERROR(1/(IF(Inputs!$B$39="pvp",15,MAX(0.1,Skills!D20-IF(TRUE=TRUE,Inputs!$B$33,0)))*(1-IF(AND(ArtifactsInput!$M$27,Inputs!$B$4="Chapter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IFERROR(1/(IF(Inputs!$B$39="pvp",15,MAX(0.1,Skills!D21-IF(TRUE=TRUE,Inputs!$B$33,0)))*(1-IF(AND(ArtifactsInput!$M$27,Inputs!$B$4="Chapter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IFERROR(1/(IF(Inputs!$B$39="pvp",15,MAX(0.1,Skills!D22-IF(TRUE=TRUE,Inputs!$B$33,0)))*(1-IF(AND(ArtifactsInput!$M$27,Inputs!$B$4="Chapter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IFERROR(1/(IF(Inputs!$B$39="pvp",15,MAX(0.1,Skills!D23-IF(TRUE=TRUE,Inputs!$B$33,0)))*(1-IF(AND(ArtifactsInput!$M$27,Inputs!$B$4="Chapter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IFERROR(1/(IF(Inputs!$B$39="pvp",15,MAX(0.1,Skills!D24-IF(TRUE=TRUE,Inputs!$B$33,0)))*(1-IF(AND(ArtifactsInput!$M$27,Inputs!$B$4="Chapter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IFERROR(1/(IF(Inputs!$B$39="pvp",15,MAX(0.1,Skills!D25-IF(TRUE=TRUE,Inputs!$B$33,0)))*(1-IF(AND(ArtifactsInput!$M$27,Inputs!$B$4="Chapter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IFERROR(1/(IF(Inputs!$B$39="pvp",15,MAX(0.1,Skills!D26-IF(TRUE=TRUE,Inputs!$B$33,0)))*(1-IF(AND(ArtifactsInput!$M$27,Inputs!$B$4="Chapter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IFERROR(1/(IF(Inputs!$B$39="pvp",15,MAX(0.1,Skills!D27-IF(TRUE=TRUE,Inputs!$B$33,0)))*(1-IF(AND(ArtifactsInput!$M$27,Inputs!$B$4="Chapter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IFERROR(1/(IF(Inputs!$B$39="pvp",15,MAX(0.1,Skills!D28-IF(TRUE=TRUE,Inputs!$B$33,0)))*(1-IF(AND(ArtifactsInput!$M$27,Inputs!$B$4="Chapter Hunt"),CHOOSE(ArtifactsInput!$N$27+1,20,24,28,32,36,40),0)/100)),0)</f>
        <v/>
      </c>
      <c r="R2530">
        <f>IF(AND(Inputs!$B$39&lt;&gt;"pvp",Inputs!$B$44&gt;0),IF(Inputs!$B$44&lt;=0,0,(INT(Inputs!$B$44/(IF(Inputs!$B$39="pvp",15,MAX(0.1,Skills!D28-IF(TRUE=TRUE,Inputs!$B$33,0)))*(1-IF(AND(ArtifactsInput!$M$27,Inputs!$B$4="Chapter Hunt"),CHOOSE(ArtifactsInput!$N$27+1,20,24,28,32,36,40),0)/100)))+1)),0)</f>
        <v/>
      </c>
      <c r="S2530" t="n">
        <v>0</v>
      </c>
      <c r="U2530" t="n">
        <v>0</v>
      </c>
    </row>
    <row r="2532">
      <c r="A2532" t="inlineStr">
        <is>
          <t>Average Buff Multiplier</t>
        </is>
      </c>
      <c r="B2532">
        <f>(1+(IF(C2505=TRUE,F2505*IF(AND(Inputs!$B$39&lt;&gt;"pvp",Inputs!$B$44&gt;0),(((R2505-1)*MIN((Skills!S3*(1+((Inputs!$B$35+(ArtifactsInput!$M$7-ArtifactsInput!$M$7)*CHOOSE(ArtifactsInput!$N$7+1,6,7.2,8.4,9.6,10.8,12)))/100)),(1/Q2505))+MIN((Skills!S3*(1+((Inputs!$B$35+(ArtifactsInput!$M$7-ArtifactsInput!$M$7)*CHOOSE(ArtifactsInput!$N$7+1,6,7.2,8.4,9.6,10.8,12)))/100)),MAX(0,Inputs!$B$44-((R2505-1)*(1/Q2505)))))/Inputs!$B$44),IF(Inputs!$B$39="pvp",MIN((Skills!S3*(1+((Inputs!$B$35+(ArtifactsInput!$M$7-ArtifactsInput!$M$7)*CHOOSE(ArtifactsInput!$N$7+1,6,7.2,8.4,9.6,10.8,12)))/100)),15)/15,MIN(1,(Skills!S3*(1+((Inputs!$B$35+(ArtifactsInput!$M$7-ArtifactsInput!$M$7)*CHOOSE(ArtifactsInput!$N$7+1,6,7.2,8.4,9.6,10.8,12)))/100))/(1/Q2505)))),0)+IF(C2506=TRUE,F2506*IF(AND(Inputs!$B$39&lt;&gt;"pvp",Inputs!$B$44&gt;0),(((R2506-1)*MIN((Skills!S4*(1+((Inputs!$B$35+(ArtifactsInput!$M$7-ArtifactsInput!$M$7)*CHOOSE(ArtifactsInput!$N$7+1,6,7.2,8.4,9.6,10.8,12)))/100)),(1/Q2506))+MIN((Skills!S4*(1+((Inputs!$B$35+(ArtifactsInput!$M$7-ArtifactsInput!$M$7)*CHOOSE(ArtifactsInput!$N$7+1,6,7.2,8.4,9.6,10.8,12)))/100)),MAX(0,Inputs!$B$44-((R2506-1)*(1/Q2506)))))/Inputs!$B$44),IF(Inputs!$B$39="pvp",MIN((Skills!S4*(1+((Inputs!$B$35+(ArtifactsInput!$M$7-ArtifactsInput!$M$7)*CHOOSE(ArtifactsInput!$N$7+1,6,7.2,8.4,9.6,10.8,12)))/100)),15)/15,MIN(1,(Skills!S4*(1+((Inputs!$B$35+(ArtifactsInput!$M$7-ArtifactsInput!$M$7)*CHOOSE(ArtifactsInput!$N$7+1,6,7.2,8.4,9.6,10.8,12)))/100))/(1/Q2506)))),0)+IF(C2507=TRUE,F2507*IF(AND(Inputs!$B$39&lt;&gt;"pvp",Inputs!$B$44&gt;0),(((R2507-1)*MIN((Skills!S5*(1+((Inputs!$B$35+(ArtifactsInput!$M$7-ArtifactsInput!$M$7)*CHOOSE(ArtifactsInput!$N$7+1,6,7.2,8.4,9.6,10.8,12)))/100)),(1/Q2507))+MIN((Skills!S5*(1+((Inputs!$B$35+(ArtifactsInput!$M$7-ArtifactsInput!$M$7)*CHOOSE(ArtifactsInput!$N$7+1,6,7.2,8.4,9.6,10.8,12)))/100)),MAX(0,Inputs!$B$44-((R2507-1)*(1/Q2507)))))/Inputs!$B$44),IF(Inputs!$B$39="pvp",MIN((Skills!S5*(1+((Inputs!$B$35+(ArtifactsInput!$M$7-ArtifactsInput!$M$7)*CHOOSE(ArtifactsInput!$N$7+1,6,7.2,8.4,9.6,10.8,12)))/100)),15)/15,MIN(1,(Skills!S5*(1+((Inputs!$B$35+(ArtifactsInput!$M$7-ArtifactsInput!$M$7)*CHOOSE(ArtifactsInput!$N$7+1,6,7.2,8.4,9.6,10.8,12)))/100))/(1/Q2507)))),0)+IF(C2513=TRUE,F2513*IF(AND(Inputs!$B$39&lt;&gt;"pvp",Inputs!$B$44&gt;0),(((R2513-1)*MIN((Skills!S11*(1+((Inputs!$B$35+(ArtifactsInput!$M$7-ArtifactsInput!$M$7)*CHOOSE(ArtifactsInput!$N$7+1,6,7.2,8.4,9.6,10.8,12)))/100)),(1/Q2513))+MIN((Skills!S11*(1+((Inputs!$B$35+(ArtifactsInput!$M$7-ArtifactsInput!$M$7)*CHOOSE(ArtifactsInput!$N$7+1,6,7.2,8.4,9.6,10.8,12)))/100)),MAX(0,Inputs!$B$44-((R2513-1)*(1/Q2513)))))/Inputs!$B$44),IF(Inputs!$B$39="pvp",MIN((Skills!S11*(1+((Inputs!$B$35+(ArtifactsInput!$M$7-ArtifactsInput!$M$7)*CHOOSE(ArtifactsInput!$N$7+1,6,7.2,8.4,9.6,10.8,12)))/100)),15)/15,MIN(1,(Skills!S11*(1+((Inputs!$B$35+(ArtifactsInput!$M$7-ArtifactsInput!$M$7)*CHOOSE(ArtifactsInput!$N$7+1,6,7.2,8.4,9.6,10.8,12)))/100))/(1/Q2513)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MIN((Skills!S14*(1+((Inputs!$B$35+(ArtifactsInput!$M$7-ArtifactsInput!$M$7)*CHOOSE(ArtifactsInput!$N$7+1,6,7.2,8.4,9.6,10.8,12)))/100)),(1/Q2516))+MIN((Skills!S14*(1+((Inputs!$B$35+(ArtifactsInput!$M$7-ArtifactsInput!$M$7)*CHOOSE(ArtifactsInput!$N$7+1,6,7.2,8.4,9.6,10.8,12)))/100)),MAX(0,Inputs!$B$44-((R2516-1)*(1/Q2516)))))/Inputs!$B$44),IF(Inputs!$B$39="pvp",MIN((Skills!S14*(1+((Inputs!$B$35+(ArtifactsInput!$M$7-ArtifactsInput!$M$7)*CHOOSE(ArtifactsInput!$N$7+1,6,7.2,8.4,9.6,10.8,12)))/100)),15)/15,MIN(1,(Skills!S14*(1+((Inputs!$B$35+(ArtifactsInput!$M$7-ArtifactsInput!$M$7)*CHOOSE(ArtifactsInput!$N$7+1,6,7.2,8.4,9.6,10.8,12)))/100))/(1/Q2516))))/100),1)*IF(C2521=TRUE,(1+F2521*IF(AND(Inputs!$B$39&lt;&gt;"pvp",Inputs!$B$44&gt;0),(((R2521-1)*MIN((Skills!S19*(1+((Inputs!$B$35+(ArtifactsInput!$M$7-ArtifactsInput!$M$7)*CHOOSE(ArtifactsInput!$N$7+1,6,7.2,8.4,9.6,10.8,12)))/100)),(1/Q2521))+MIN((Skills!S19*(1+((Inputs!$B$35+(ArtifactsInput!$M$7-ArtifactsInput!$M$7)*CHOOSE(ArtifactsInput!$N$7+1,6,7.2,8.4,9.6,10.8,12)))/100)),MAX(0,Inputs!$B$44-((R2521-1)*(1/Q2521)))))/Inputs!$B$44),IF(Inputs!$B$39="pvp",MIN((Skills!S19*(1+((Inputs!$B$35+(ArtifactsInput!$M$7-ArtifactsInput!$M$7)*CHOOSE(ArtifactsInput!$N$7+1,6,7.2,8.4,9.6,10.8,12)))/100)),15)/15,MIN(1,(Skills!S19*(1+((Inputs!$B$35+(ArtifactsInput!$M$7-ArtifactsInput!$M$7)*CHOOSE(ArtifactsInput!$N$7+1,6,7.2,8.4,9.6,10.8,12)))/100))/(1/Q2521))))/100),1)</f>
        <v/>
      </c>
    </row>
    <row r="2533">
      <c r="A2533" t="inlineStr">
        <is>
          <t>Monster Damage Taken Bonus % (Holy Fountain)</t>
        </is>
      </c>
      <c r="B2533">
        <f>IF(Inputs!$B$3&gt;=68,20*IF(Inputs!$B$39="pvp",MIN((15*(1+((Inputs!$B$35+(ArtifactsInput!$M$7-ArtifactsInput!$M$7)*CHOOSE(ArtifactsInput!$N$7+1,6,7.2,8.4,9.6,10.8,12)))/100)),15)/15,MIN(1,(15*(1+((Inputs!$B$35+(ArtifactsInput!$M$7-ArtifactsInput!$M$7)*CHOOSE(ArtifactsInput!$N$7+1,6,7.2,8.4,9.6,10.8,12)))/100))/(1/Q2512))),0)</f>
        <v/>
      </c>
    </row>
    <row r="2534">
      <c r="A2534" t="inlineStr">
        <is>
          <t>Normal Monster Damage Bonus % (Holy Symbol)</t>
        </is>
      </c>
      <c r="B2534">
        <f>IF(C2514=TRUE,F2514*IF(AND(Inputs!$B$39&lt;&gt;"pvp",Inputs!$B$44&gt;0),(((R2514-1)*MIN((Skills!S12*(1+((Inputs!$B$35+(ArtifactsInput!$M$7-ArtifactsInput!$M$7)*CHOOSE(ArtifactsInput!$N$7+1,6,7.2,8.4,9.6,10.8,12)))/100)),(1/Q2514))+MIN((Skills!S12*(1+((Inputs!$B$35+(ArtifactsInput!$M$7-ArtifactsInput!$M$7)*CHOOSE(ArtifactsInput!$N$7+1,6,7.2,8.4,9.6,10.8,12)))/100)),MAX(0,Inputs!$B$44-((R2514-1)*(1/Q2514)))))/Inputs!$B$44),IF(Inputs!$B$39="pvp",MIN((Skills!S12*(1+((Inputs!$B$35+(ArtifactsInput!$M$7-ArtifactsInput!$M$7)*CHOOSE(ArtifactsInput!$N$7+1,6,7.2,8.4,9.6,10.8,12)))/100)),15)/15,MIN(1,(Skills!S12*(1+((Inputs!$B$35+(ArtifactsInput!$M$7-ArtifactsInput!$M$7)*CHOOSE(ArtifactsInput!$N$7+1,6,7.2,8.4,9.6,10.8,12)))/100))/(1/Q2514)))),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MIN((Skills!S28*(1+((Inputs!$B$35+(ArtifactsInput!$M$7-ArtifactsInput!$M$7)*CHOOSE(ArtifactsInput!$N$7+1,6,7.2,8.4,9.6,10.8,12)))/100)),(1/Q2530))+MIN((Skills!S28*(1+((Inputs!$B$35+(ArtifactsInput!$M$7-ArtifactsInput!$M$7)*CHOOSE(ArtifactsInput!$N$7+1,6,7.2,8.4,9.6,10.8,12)))/100)),MAX(0,Inputs!$B$44-((R2530-1)*(1/Q2530)))))/Inputs!$B$44),IF(Inputs!$B$39="pvp",MIN((Skills!S28*(1+((Inputs!$B$35+(ArtifactsInput!$M$7-ArtifactsInput!$M$7)*CHOOSE(ArtifactsInput!$N$7+1,6,7.2,8.4,9.6,10.8,12)))/100)),15)/15,MIN(1,(Skills!S28*(1+((Inputs!$B$35+(ArtifactsInput!$M$7-ArtifactsInput!$M$7)*CHOOSE(ArtifactsInput!$N$7+1,6,7.2,8.4,9.6,10.8,12)))/100))/(1/Q2530)))))</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MIN((Skills!S13*(1+((Inputs!$B$35+(ArtifactsInput!$M$7-ArtifactsInput!$M$7)*CHOOSE(ArtifactsInput!$N$7+1,6,7.2,8.4,9.6,10.8,12)))/100)),(1/Q2515))+MIN((Skills!S13*(1+((Inputs!$B$35+(ArtifactsInput!$M$7-ArtifactsInput!$M$7)*CHOOSE(ArtifactsInput!$N$7+1,6,7.2,8.4,9.6,10.8,12)))/100)),MAX(0,Inputs!$B$44-((R2515-1)*(1/Q2515)))))/Inputs!$B$44),IF(Inputs!$B$39="pvp",MIN((Skills!S13*(1+((Inputs!$B$35+(ArtifactsInput!$M$7-ArtifactsInput!$M$7)*CHOOSE(ArtifactsInput!$N$7+1,6,7.2,8.4,9.6,10.8,12)))/100)),15)/15,MIN(1,(Skills!S13*(1+((Inputs!$B$35+(ArtifactsInput!$M$7-ArtifactsInput!$M$7)*CHOOSE(ArtifactsInput!$N$7+1,6,7.2,8.4,9.6,10.8,12)))/100))/(1/Q2515)))),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IFERROR(1/(IF(Inputs!$B$39="pvp",15,MAX(0.1,Skills!D2-IF(TRUE=TRUE,Inputs!$B$33,0)))*(1-IF(AND(ArtifactsInput!$M$27,Inputs!$B$4="Chapter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IFERROR(1/(IF(Inputs!$B$39="pvp",15,MAX(0.1,Skills!D3-IF(TRUE=TRUE,Inputs!$B$33,0)))*(1-IF(AND(ArtifactsInput!$M$27,Inputs!$B$4="Chapter Hunt"),CHOOSE(ArtifactsInput!$N$27+1,20,24,28,32,36,40),0)/100)),0)</f>
        <v/>
      </c>
      <c r="R2550">
        <f>IF(AND(Inputs!$B$39&lt;&gt;"pvp",Inputs!$B$44&gt;0),IF(Inputs!$B$44&lt;=0,0,(INT(Inputs!$B$44/(IF(Inputs!$B$39="pvp",15,MAX(0.1,Skills!D3-IF(TRUE=TRUE,Inputs!$B$33,0)))*(1-IF(AND(ArtifactsInput!$M$27,Inputs!$B$4="Chapter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IFERROR(1/(IF(Inputs!$B$39="pvp",15,MAX(0.1,Skills!D4-IF(TRUE=TRUE,Inputs!$B$33,0)))*(1-IF(AND(ArtifactsInput!$M$27,Inputs!$B$4="Chapter Hunt"),CHOOSE(ArtifactsInput!$N$27+1,20,24,28,32,36,40),0)/100)),0)</f>
        <v/>
      </c>
      <c r="R2551">
        <f>IF(AND(Inputs!$B$39&lt;&gt;"pvp",Inputs!$B$44&gt;0),IF(Inputs!$B$44&lt;=0,0,(INT(Inputs!$B$44/(IF(Inputs!$B$39="pvp",15,MAX(0.1,Skills!D4-IF(TRUE=TRUE,Inputs!$B$33,0)))*(1-IF(AND(ArtifactsInput!$M$27,Inputs!$B$4="Chapter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IFERROR(1/(IF(Inputs!$B$39="pvp",15,MAX(0.1,Skills!D5-IF(TRUE=TRUE,Inputs!$B$33,0)))*(1-IF(AND(ArtifactsInput!$M$27,Inputs!$B$4="Chapter Hunt"),CHOOSE(ArtifactsInput!$N$27+1,20,24,28,32,36,40),0)/100)),0)</f>
        <v/>
      </c>
      <c r="R2552">
        <f>IF(AND(Inputs!$B$39&lt;&gt;"pvp",Inputs!$B$44&gt;0),IF(Inputs!$B$44&lt;=0,0,(INT(Inputs!$B$44/(IF(Inputs!$B$39="pvp",15,MAX(0.1,Skills!D5-IF(TRUE=TRUE,Inputs!$B$33,0)))*(1-IF(AND(ArtifactsInput!$M$27,Inputs!$B$4="Chapter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IFERROR(1/(IF(Inputs!$B$39="pvp",15,MAX(0.1,Skills!D6-IF(TRUE=TRUE,Inputs!$B$33,0)))*(1-IF(AND(ArtifactsInput!$M$27,Inputs!$B$4="Chapter Hunt"),CHOOSE(ArtifactsInput!$N$27+1,20,24,28,32,36,40),0)/100)),0)</f>
        <v/>
      </c>
      <c r="R2553">
        <f>IF(AND(Inputs!$B$39&lt;&gt;"pvp",Inputs!$B$44&gt;0),IF(MAX(0,Inputs!$B$44-B2587)&lt;=0,0,(INT(MAX(0,Inputs!$B$44-B2587)/(IF(Inputs!$B$39="pvp",15,MAX(0.1,Skills!D6-IF(TRUE=TRUE,Inputs!$B$33,0)))*(1-IF(AND(ArtifactsInput!$M$27,Inputs!$B$4="Chapter Hunt"),CHOOSE(ArtifactsInput!$N$27+1,20,24,28,32,36,40),0)/100)))+1)),0)</f>
        <v/>
      </c>
      <c r="S2553">
        <f>IF(C2553,(H2553*N2553*IF(AND(Inputs!$B$39&lt;&gt;"pvp",Inputs!$B$44&gt;0),((Skills!F6*((R2553-1)*IF(Skills!G6&gt;0,INT(Skills!H6/Skills!G6+0.000000001),1)+IF(Skills!G6&gt;0,INT(MIN(Skills!H6,MAX(0,MAX(0,Inputs!$B$44-B2587)-((R2553-1)*(IF(Inputs!$B$39="pvp",15,MAX(0.1,Skills!D6-IF(TRUE=TRUE,Inputs!$B$33,0)))*(1-IF(AND(ArtifactsInput!$M$27,Inputs!$B$4="Chapter Hunt"),CHOOSE(ArtifactsInput!$N$27+1,20,24,28,32,36,40),0)/100)))))/Skills!G6+0.000000001),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INT(Skills!H6/Skills!G6+0.000000001),1)+IF(Skills!G6&gt;0,INT(MIN(Skills!H6,MAX(0,MAX(0,Inputs!$B$44-B2587)-((R2553-1)*(IF(Inputs!$B$39="pvp",15,MAX(0.1,Skills!D6-IF(TRUE=TRUE,Inputs!$B$33,0)))*(1-IF(AND(ArtifactsInput!$M$27,Inputs!$B$4="Chapter Hunt"),CHOOSE(ArtifactsInput!$N$27+1,20,24,28,32,36,40),0)/100)))))/Skills!G6+0.000000001),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IFERROR(1/(IF(Inputs!$B$39="pvp",15,MAX(0.1,Skills!D7-IF(TRUE=TRUE,Inputs!$B$33,0)))*(1-IF(AND(ArtifactsInput!$M$27,Inputs!$B$4="Chapter Hunt"),CHOOSE(ArtifactsInput!$N$27+1,20,24,28,32,36,40),0)/100)),0)</f>
        <v/>
      </c>
      <c r="R2554">
        <f>IF(AND(Inputs!$B$39&lt;&gt;"pvp",Inputs!$B$44&gt;0),IF(MAX(0,Inputs!$B$44-B2587)&lt;=0,0,(INT(MAX(0,Inputs!$B$44-B2587)/(IF(Inputs!$B$39="pvp",15,MAX(0.1,Skills!D7-IF(TRUE=TRUE,Inputs!$B$33,0)))*(1-IF(AND(ArtifactsInput!$M$27,Inputs!$B$4="Chapter Hunt"),CHOOSE(ArtifactsInput!$N$27+1,20,24,28,32,36,40),0)/100)))+1)),0)</f>
        <v/>
      </c>
      <c r="S2554">
        <f>IF(C2554,H2554*N2554*IF(AND(Inputs!$B$39&lt;&gt;"pvp",Inputs!$B$44&gt;0),((Skills!F7*((R2554-1)*IF(Skills!G7&gt;0,INT(Skills!H7/Skills!G7+0.000000001),1)+IF(Skills!G7&gt;0,INT(MIN(Skills!H7,MAX(0,MAX(0,Inputs!$B$44-B2587)-((R2554-1)*(IF(Inputs!$B$39="pvp",15,MAX(0.1,Skills!D7-IF(TRUE=TRUE,Inputs!$B$33,0)))*(1-IF(AND(ArtifactsInput!$M$27,Inputs!$B$4="Chapter Hunt"),CHOOSE(ArtifactsInput!$N$27+1,20,24,28,32,36,40),0)/100)))))/Skills!G7+0.000000001),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IFERROR(1/(IF(Inputs!$B$39="pvp",15,MAX(0.1,Skills!D8-IF(TRUE=TRUE,Inputs!$B$33,0)))*(1-IF(AND(ArtifactsInput!$M$27,Inputs!$B$4="Chapter Hunt"),CHOOSE(ArtifactsInput!$N$27+1,20,24,28,32,36,40),0)/100)),0)</f>
        <v/>
      </c>
      <c r="R2555">
        <f>IF(AND(Inputs!$B$39&lt;&gt;"pvp",Inputs!$B$44&gt;0),IF(MAX(0,Inputs!$B$44-B2587)&lt;=0,0,(INT(MAX(0,Inputs!$B$44-B2587)/(IF(Inputs!$B$39="pvp",15,MAX(0.1,Skills!D8-IF(TRUE=TRUE,Inputs!$B$33,0)))*(1-IF(AND(ArtifactsInput!$M$27,Inputs!$B$4="Chapter Hunt"),CHOOSE(ArtifactsInput!$N$27+1,20,24,28,32,36,40),0)/100)))+1)),0)</f>
        <v/>
      </c>
      <c r="S2555">
        <f>IF(C2555,(H2555*N2555*IF(AND(Inputs!$B$39&lt;&gt;"pvp",Inputs!$B$44&gt;0),((Skills!F8*((R2555-1)*IF(Skills!G8&gt;0,INT(Skills!H8/Skills!G8+0.000000001),1)+IF(Skills!G8&gt;0,INT(MIN(Skills!H8,MAX(0,MAX(0,Inputs!$B$44-B2587)-((R2555-1)*(IF(Inputs!$B$39="pvp",15,MAX(0.1,Skills!D8-IF(TRUE=TRUE,Inputs!$B$33,0)))*(1-IF(AND(ArtifactsInput!$M$27,Inputs!$B$4="Chapter Hunt"),CHOOSE(ArtifactsInput!$N$27+1,20,24,28,32,36,40),0)/100)))))/Skills!G8+0.000000001),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INT(Skills!H8/Skills!G8+0.000000001),1)+IF(Skills!G8&gt;0,INT(MIN(Skills!H8,MAX(0,MAX(0,Inputs!$B$44-B2587)-((R2555-1)*(IF(Inputs!$B$39="pvp",15,MAX(0.1,Skills!D8-IF(TRUE=TRUE,Inputs!$B$33,0)))*(1-IF(AND(ArtifactsInput!$M$27,Inputs!$B$4="Chapter Hunt"),CHOOSE(ArtifactsInput!$N$27+1,20,24,28,32,36,40),0)/100)))))/Skills!G8+0.000000001),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IFERROR(1/(IF(Inputs!$B$39="pvp",15,MAX(0.1,Skills!D9-IF(TRUE=TRUE,Inputs!$B$33,0)))*(1-IF(AND(ArtifactsInput!$M$27,Inputs!$B$4="Chapter Hunt"),CHOOSE(ArtifactsInput!$N$27+1,20,24,28,32,36,40),0)/100)),0)</f>
        <v/>
      </c>
      <c r="R2556">
        <f>IF(AND(Inputs!$B$39&lt;&gt;"pvp",Inputs!$B$44&gt;0),IF(MAX(0,Inputs!$B$44-B2587)&lt;=0,0,(INT(MAX(0,Inputs!$B$44-B2587)/(IF(Inputs!$B$39="pvp",15,MAX(0.1,Skills!D9-IF(TRUE=TRUE,Inputs!$B$33,0)))*(1-IF(AND(ArtifactsInput!$M$27,Inputs!$B$4="Chapter Hunt"),CHOOSE(ArtifactsInput!$N$27+1,20,24,28,32,36,40),0)/100)))+1)),0)</f>
        <v/>
      </c>
      <c r="S2556">
        <f>IF(C2556,(H2556*N2556*IF(AND(Inputs!$B$39&lt;&gt;"pvp",Inputs!$B$44&gt;0),((Skills!F9*((R2556-1)*IF(Skills!G9&gt;0,INT(Skills!H9/Skills!G9+0.000000001),1)+IF(Skills!G9&gt;0,INT(MIN(Skills!H9,MAX(0,MAX(0,Inputs!$B$44-B2587)-((R2556-1)*(IF(Inputs!$B$39="pvp",15,MAX(0.1,Skills!D9-IF(TRUE=TRUE,Inputs!$B$33,0)))*(1-IF(AND(ArtifactsInput!$M$27,Inputs!$B$4="Chapter Hunt"),CHOOSE(ArtifactsInput!$N$27+1,20,24,28,32,36,40),0)/100)))))/Skills!G9+0.000000001),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INT(Skills!H9/Skills!G9+0.000000001),1)+IF(Skills!G9&gt;0,INT(MIN(Skills!H9,MAX(0,MAX(0,Inputs!$B$44-B2587)-((R2556-1)*(IF(Inputs!$B$39="pvp",15,MAX(0.1,Skills!D9-IF(TRUE=TRUE,Inputs!$B$33,0)))*(1-IF(AND(ArtifactsInput!$M$27,Inputs!$B$4="Chapter Hunt"),CHOOSE(ArtifactsInput!$N$27+1,20,24,28,32,36,40),0)/100)))))/Skills!G9+0.000000001),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IFERROR(1/(IF(Inputs!$B$39="pvp",15,MAX(0.1,Skills!D10-IF(TRUE=TRUE,Inputs!$B$33,0)))*(1-IF(AND(ArtifactsInput!$M$27,Inputs!$B$4="Chapter Hunt"),CHOOSE(ArtifactsInput!$N$27+1,20,24,28,32,36,40),0)/100)),0)</f>
        <v/>
      </c>
      <c r="R2557">
        <f>IF(AND(Inputs!$B$39&lt;&gt;"pvp",Inputs!$B$44&gt;0),IF(MAX(0,Inputs!$B$44-B2587)&lt;=0,0,(INT(MAX(0,Inputs!$B$44-B2587)/(IF(Inputs!$B$39="pvp",15,MAX(0.1,Skills!D10-IF(TRUE=TRUE,Inputs!$B$33,0)))*(1-IF(AND(ArtifactsInput!$M$27,Inputs!$B$4="Chapter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IFERROR(1/(IF(Inputs!$B$39="pvp",15,MAX(0.1,Skills!D11-IF(TRUE=TRUE,Inputs!$B$33,0)))*(1-IF(AND(ArtifactsInput!$M$27,Inputs!$B$4="Chapter Hunt"),CHOOSE(ArtifactsInput!$N$27+1,20,24,28,32,36,40),0)/100)),0)</f>
        <v/>
      </c>
      <c r="R2558">
        <f>IF(AND(Inputs!$B$39&lt;&gt;"pvp",Inputs!$B$44&gt;0),IF(Inputs!$B$44&lt;=0,0,(INT(Inputs!$B$44/(IF(Inputs!$B$39="pvp",15,MAX(0.1,Skills!D11-IF(TRUE=TRUE,Inputs!$B$33,0)))*(1-IF(AND(ArtifactsInput!$M$27,Inputs!$B$4="Chapter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IFERROR(1/(IF(Inputs!$B$39="pvp",15,MAX(0.1,Skills!D12-IF(TRUE=TRUE,Inputs!$B$33,0)))*(1-IF(AND(ArtifactsInput!$M$27,Inputs!$B$4="Chapter Hunt"),CHOOSE(ArtifactsInput!$N$27+1,20,24,28,32,36,40),0)/100)),0)</f>
        <v/>
      </c>
      <c r="R2559">
        <f>IF(AND(Inputs!$B$39&lt;&gt;"pvp",Inputs!$B$44&gt;0),IF(MAX(0,Inputs!$B$44-B2587)&lt;=0,0,(INT(MAX(0,Inputs!$B$44-B2587)/(IF(Inputs!$B$39="pvp",15,MAX(0.1,Skills!D12-IF(TRUE=TRUE,Inputs!$B$33,0)))*(1-IF(AND(ArtifactsInput!$M$27,Inputs!$B$4="Chapter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IFERROR(1/(IF(Inputs!$B$39="pvp",15,MAX(0.1,Skills!D13-IF(TRUE=TRUE,Inputs!$B$33,0)))*(1-IF(AND(ArtifactsInput!$M$27,Inputs!$B$4="Chapter Hunt"),CHOOSE(ArtifactsInput!$N$27+1,20,24,28,32,36,40),0)/100)),0)</f>
        <v/>
      </c>
      <c r="R2560">
        <f>IF(AND(Inputs!$B$39&lt;&gt;"pvp",Inputs!$B$44&gt;0),IF(MAX(0,Inputs!$B$44-B2587)&lt;=0,0,(INT(MAX(0,Inputs!$B$44-B2587)/(IF(Inputs!$B$39="pvp",15,MAX(0.1,Skills!D13-IF(TRUE=TRUE,Inputs!$B$33,0)))*(1-IF(AND(ArtifactsInput!$M$27,Inputs!$B$4="Chapter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IFERROR(1/(IF(Inputs!$B$39="pvp",15,MAX(0.1,Skills!D14-IF(TRUE=TRUE,Inputs!$B$33,0)))*(1-IF(AND(ArtifactsInput!$M$27,Inputs!$B$4="Chapter Hunt"),CHOOSE(ArtifactsInput!$N$27+1,20,24,28,32,36,40),0)/100)),0)</f>
        <v/>
      </c>
      <c r="R2561">
        <f>IF(AND(Inputs!$B$39&lt;&gt;"pvp",Inputs!$B$44&gt;0),IF(Inputs!$B$44&lt;=0,0,(INT(Inputs!$B$44/(IF(Inputs!$B$39="pvp",15,MAX(0.1,Skills!D14-IF(TRUE=TRUE,Inputs!$B$33,0)))*(1-IF(AND(ArtifactsInput!$M$27,Inputs!$B$4="Chapter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IFERROR(1/(IF(Inputs!$B$39="pvp",15,MAX(0.1,Skills!D15-IF(TRUE=TRUE,Inputs!$B$33,0)))*(1-IF(AND(ArtifactsInput!$M$27,Inputs!$B$4="Chapter Hunt"),CHOOSE(ArtifactsInput!$N$27+1,20,24,28,32,36,40),0)/100)),0)</f>
        <v/>
      </c>
      <c r="R2562" t="n">
        <v>0</v>
      </c>
      <c r="S2562">
        <f>IF(C2562,(Skills!F15*N2562*((IF(Inputs!$B$3&gt;=78,25,15)/100*B2583*10)/(1+IF(Inputs!$B$3&gt;=78,25,15)/100*B2583*IF(Inputs!$B$39="pvp",15,MAX(0.1,18-IF(TRUE=TRUE,Inputs!$B$33,0)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IF(Inputs!$B$39="pvp",15,MAX(0.1,18-IF(TRUE=TRUE,Inputs!$B$33,0)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IFERROR(1/(IF(Inputs!$B$39="pvp",15,MAX(0.1,Skills!D16-IF(TRUE=TRUE,Inputs!$B$33,0)))*(1-IF(AND(ArtifactsInput!$M$27,Inputs!$B$4="Chapter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IFERROR(1/(IF(Inputs!$B$39="pvp",15,MAX(0.1,Skills!D17-IF(TRUE=TRUE,Inputs!$B$33,0)))*(1-IF(AND(ArtifactsInput!$M$27,Inputs!$B$4="Chapter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IFERROR(1/(IF(Inputs!$B$39="pvp",15,MAX(0.1,Skills!D18-IF(TRUE=TRUE,Inputs!$B$33,0)))*(1-IF(AND(ArtifactsInput!$M$27,Inputs!$B$4="Chapter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IFERROR(1/(IF(Inputs!$B$39="pvp",15,MAX(0.1,Skills!D19-IF(TRUE=TRUE,Inputs!$B$33,0)))*(1-IF(AND(ArtifactsInput!$M$27,Inputs!$B$4="Chapter Hunt"),CHOOSE(ArtifactsInput!$N$27+1,20,24,28,32,36,40),0)/100)),0)</f>
        <v/>
      </c>
      <c r="R2566">
        <f>IF(AND(Inputs!$B$39&lt;&gt;"pvp",Inputs!$B$44&gt;0),IF(Inputs!$B$44&lt;=0,0,(INT(Inputs!$B$44/(IF(Inputs!$B$39="pvp",15,MAX(0.1,Skills!D19-IF(TRUE=TRUE,Inputs!$B$33,0)))*(1-IF(AND(ArtifactsInput!$M$27,Inputs!$B$4="Chapter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IFERROR(1/(IF(Inputs!$B$39="pvp",15,MAX(0.1,Skills!D20-IF(TRUE=TRUE,Inputs!$B$33,0)))*(1-IF(AND(ArtifactsInput!$M$27,Inputs!$B$4="Chapter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IFERROR(1/(IF(Inputs!$B$39="pvp",15,MAX(0.1,Skills!D21-IF(TRUE=TRUE,Inputs!$B$33,0)))*(1-IF(AND(ArtifactsInput!$M$27,Inputs!$B$4="Chapter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IFERROR(1/(IF(Inputs!$B$39="pvp",15,MAX(0.1,Skills!D22-IF(TRUE=TRUE,Inputs!$B$33,0)))*(1-IF(AND(ArtifactsInput!$M$27,Inputs!$B$4="Chapter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IFERROR(1/(IF(Inputs!$B$39="pvp",15,MAX(0.1,Skills!D23-IF(TRUE=TRUE,Inputs!$B$33,0)))*(1-IF(AND(ArtifactsInput!$M$27,Inputs!$B$4="Chapter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IFERROR(1/(IF(Inputs!$B$39="pvp",15,MAX(0.1,Skills!D24-IF(TRUE=TRUE,Inputs!$B$33,0)))*(1-IF(AND(ArtifactsInput!$M$27,Inputs!$B$4="Chapter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IFERROR(1/(IF(Inputs!$B$39="pvp",15,MAX(0.1,Skills!D25-IF(TRUE=TRUE,Inputs!$B$33,0)))*(1-IF(AND(ArtifactsInput!$M$27,Inputs!$B$4="Chapter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IFERROR(1/(IF(Inputs!$B$39="pvp",15,MAX(0.1,Skills!D26-IF(TRUE=TRUE,Inputs!$B$33,0)))*(1-IF(AND(ArtifactsInput!$M$27,Inputs!$B$4="Chapter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IFERROR(1/(IF(Inputs!$B$39="pvp",15,MAX(0.1,Skills!D27-IF(TRUE=TRUE,Inputs!$B$33,0)))*(1-IF(AND(ArtifactsInput!$M$27,Inputs!$B$4="Chapter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IFERROR(1/(IF(Inputs!$B$39="pvp",15,MAX(0.1,Skills!D28-IF(TRUE=TRUE,Inputs!$B$33,0)))*(1-IF(AND(ArtifactsInput!$M$27,Inputs!$B$4="Chapter Hunt"),CHOOSE(ArtifactsInput!$N$27+1,20,24,28,32,36,40),0)/100)),0)</f>
        <v/>
      </c>
      <c r="R2575">
        <f>IF(AND(Inputs!$B$39&lt;&gt;"pvp",Inputs!$B$44&gt;0),IF(Inputs!$B$44&lt;=0,0,(INT(Inputs!$B$44/(IF(Inputs!$B$39="pvp",15,MAX(0.1,Skills!D28-IF(TRUE=TRUE,Inputs!$B$33,0)))*(1-IF(AND(ArtifactsInput!$M$27,Inputs!$B$4="Chapter Hunt"),CHOOSE(ArtifactsInput!$N$27+1,20,24,28,32,36,40),0)/100)))+1)),0)</f>
        <v/>
      </c>
      <c r="S2575" t="n">
        <v>0</v>
      </c>
      <c r="U2575" t="n">
        <v>0</v>
      </c>
    </row>
    <row r="2577">
      <c r="A2577" t="inlineStr">
        <is>
          <t>Average Buff Multiplier</t>
        </is>
      </c>
      <c r="B2577">
        <f>(1+(IF(C2550=TRUE,F2550*IF(AND(Inputs!$B$39&lt;&gt;"pvp",Inputs!$B$44&gt;0),(((R2550-1)*MIN((Skills!S3*(1+((Inputs!$B$35+(ArtifactsInput!$M$7-ArtifactsInput!$M$7)*CHOOSE(ArtifactsInput!$N$7+1,6,7.2,8.4,9.6,10.8,12)))/100)),(1/Q2550))+MIN((Skills!S3*(1+((Inputs!$B$35+(ArtifactsInput!$M$7-ArtifactsInput!$M$7)*CHOOSE(ArtifactsInput!$N$7+1,6,7.2,8.4,9.6,10.8,12)))/100)),MAX(0,Inputs!$B$44-((R2550-1)*(1/Q2550)))))/Inputs!$B$44),IF(Inputs!$B$39="pvp",MIN((Skills!S3*(1+((Inputs!$B$35+(ArtifactsInput!$M$7-ArtifactsInput!$M$7)*CHOOSE(ArtifactsInput!$N$7+1,6,7.2,8.4,9.6,10.8,12)))/100)),15)/15,MIN(1,(Skills!S3*(1+((Inputs!$B$35+(ArtifactsInput!$M$7-ArtifactsInput!$M$7)*CHOOSE(ArtifactsInput!$N$7+1,6,7.2,8.4,9.6,10.8,12)))/100))/(1/Q2550)))),0)+IF(C2551=TRUE,F2551*IF(AND(Inputs!$B$39&lt;&gt;"pvp",Inputs!$B$44&gt;0),(((R2551-1)*MIN((Skills!S4*(1+((Inputs!$B$35+(ArtifactsInput!$M$7-ArtifactsInput!$M$7)*CHOOSE(ArtifactsInput!$N$7+1,6,7.2,8.4,9.6,10.8,12)))/100)),(1/Q2551))+MIN((Skills!S4*(1+((Inputs!$B$35+(ArtifactsInput!$M$7-ArtifactsInput!$M$7)*CHOOSE(ArtifactsInput!$N$7+1,6,7.2,8.4,9.6,10.8,12)))/100)),MAX(0,Inputs!$B$44-((R2551-1)*(1/Q2551)))))/Inputs!$B$44),IF(Inputs!$B$39="pvp",MIN((Skills!S4*(1+((Inputs!$B$35+(ArtifactsInput!$M$7-ArtifactsInput!$M$7)*CHOOSE(ArtifactsInput!$N$7+1,6,7.2,8.4,9.6,10.8,12)))/100)),15)/15,MIN(1,(Skills!S4*(1+((Inputs!$B$35+(ArtifactsInput!$M$7-ArtifactsInput!$M$7)*CHOOSE(ArtifactsInput!$N$7+1,6,7.2,8.4,9.6,10.8,12)))/100))/(1/Q2551)))),0)+IF(C2552=TRUE,F2552*IF(AND(Inputs!$B$39&lt;&gt;"pvp",Inputs!$B$44&gt;0),(((R2552-1)*MIN((Skills!S5*(1+((Inputs!$B$35+(ArtifactsInput!$M$7-ArtifactsInput!$M$7)*CHOOSE(ArtifactsInput!$N$7+1,6,7.2,8.4,9.6,10.8,12)))/100)),(1/Q2552))+MIN((Skills!S5*(1+((Inputs!$B$35+(ArtifactsInput!$M$7-ArtifactsInput!$M$7)*CHOOSE(ArtifactsInput!$N$7+1,6,7.2,8.4,9.6,10.8,12)))/100)),MAX(0,Inputs!$B$44-((R2552-1)*(1/Q2552)))))/Inputs!$B$44),IF(Inputs!$B$39="pvp",MIN((Skills!S5*(1+((Inputs!$B$35+(ArtifactsInput!$M$7-ArtifactsInput!$M$7)*CHOOSE(ArtifactsInput!$N$7+1,6,7.2,8.4,9.6,10.8,12)))/100)),15)/15,MIN(1,(Skills!S5*(1+((Inputs!$B$35+(ArtifactsInput!$M$7-ArtifactsInput!$M$7)*CHOOSE(ArtifactsInput!$N$7+1,6,7.2,8.4,9.6,10.8,12)))/100))/(1/Q2552)))),0)+IF(C2558=TRUE,F2558*IF(AND(Inputs!$B$39&lt;&gt;"pvp",Inputs!$B$44&gt;0),(((R2558-1)*MIN((Skills!S11*(1+((Inputs!$B$35+(ArtifactsInput!$M$7-ArtifactsInput!$M$7)*CHOOSE(ArtifactsInput!$N$7+1,6,7.2,8.4,9.6,10.8,12)))/100)),(1/Q2558))+MIN((Skills!S11*(1+((Inputs!$B$35+(ArtifactsInput!$M$7-ArtifactsInput!$M$7)*CHOOSE(ArtifactsInput!$N$7+1,6,7.2,8.4,9.6,10.8,12)))/100)),MAX(0,Inputs!$B$44-((R2558-1)*(1/Q2558)))))/Inputs!$B$44),IF(Inputs!$B$39="pvp",MIN((Skills!S11*(1+((Inputs!$B$35+(ArtifactsInput!$M$7-ArtifactsInput!$M$7)*CHOOSE(ArtifactsInput!$N$7+1,6,7.2,8.4,9.6,10.8,12)))/100)),15)/15,MIN(1,(Skills!S11*(1+((Inputs!$B$35+(ArtifactsInput!$M$7-ArtifactsInput!$M$7)*CHOOSE(ArtifactsInput!$N$7+1,6,7.2,8.4,9.6,10.8,12)))/100))/(1/Q2558)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MIN((Skills!S14*(1+((Inputs!$B$35+(ArtifactsInput!$M$7-ArtifactsInput!$M$7)*CHOOSE(ArtifactsInput!$N$7+1,6,7.2,8.4,9.6,10.8,12)))/100)),(1/Q2561))+MIN((Skills!S14*(1+((Inputs!$B$35+(ArtifactsInput!$M$7-ArtifactsInput!$M$7)*CHOOSE(ArtifactsInput!$N$7+1,6,7.2,8.4,9.6,10.8,12)))/100)),MAX(0,Inputs!$B$44-((R2561-1)*(1/Q2561)))))/Inputs!$B$44),IF(Inputs!$B$39="pvp",MIN((Skills!S14*(1+((Inputs!$B$35+(ArtifactsInput!$M$7-ArtifactsInput!$M$7)*CHOOSE(ArtifactsInput!$N$7+1,6,7.2,8.4,9.6,10.8,12)))/100)),15)/15,MIN(1,(Skills!S14*(1+((Inputs!$B$35+(ArtifactsInput!$M$7-ArtifactsInput!$M$7)*CHOOSE(ArtifactsInput!$N$7+1,6,7.2,8.4,9.6,10.8,12)))/100))/(1/Q2561))))/100),1)*IF(C2566=TRUE,(1+F2566*IF(AND(Inputs!$B$39&lt;&gt;"pvp",Inputs!$B$44&gt;0),(((R2566-1)*MIN((Skills!S19*(1+((Inputs!$B$35+(ArtifactsInput!$M$7-ArtifactsInput!$M$7)*CHOOSE(ArtifactsInput!$N$7+1,6,7.2,8.4,9.6,10.8,12)))/100)),(1/Q2566))+MIN((Skills!S19*(1+((Inputs!$B$35+(ArtifactsInput!$M$7-ArtifactsInput!$M$7)*CHOOSE(ArtifactsInput!$N$7+1,6,7.2,8.4,9.6,10.8,12)))/100)),MAX(0,Inputs!$B$44-((R2566-1)*(1/Q2566)))))/Inputs!$B$44),IF(Inputs!$B$39="pvp",MIN((Skills!S19*(1+((Inputs!$B$35+(ArtifactsInput!$M$7-ArtifactsInput!$M$7)*CHOOSE(ArtifactsInput!$N$7+1,6,7.2,8.4,9.6,10.8,12)))/100)),15)/15,MIN(1,(Skills!S19*(1+((Inputs!$B$35+(ArtifactsInput!$M$7-ArtifactsInput!$M$7)*CHOOSE(ArtifactsInput!$N$7+1,6,7.2,8.4,9.6,10.8,12)))/100))/(1/Q2566))))/100),1)</f>
        <v/>
      </c>
    </row>
    <row r="2578">
      <c r="A2578" t="inlineStr">
        <is>
          <t>Monster Damage Taken Bonus % (Holy Fountain)</t>
        </is>
      </c>
      <c r="B2578">
        <f>IF(Inputs!$B$3&gt;=68,20*IF(Inputs!$B$39="pvp",MIN((15*(1+((Inputs!$B$35+(ArtifactsInput!$M$7-ArtifactsInput!$M$7)*CHOOSE(ArtifactsInput!$N$7+1,6,7.2,8.4,9.6,10.8,12)))/100)),15)/15,MIN(1,(15*(1+((Inputs!$B$35+(ArtifactsInput!$M$7-ArtifactsInput!$M$7)*CHOOSE(ArtifactsInput!$N$7+1,6,7.2,8.4,9.6,10.8,12)))/100))/(1/Q2557))),0)</f>
        <v/>
      </c>
    </row>
    <row r="2579">
      <c r="A2579" t="inlineStr">
        <is>
          <t>Normal Monster Damage Bonus % (Holy Symbol)</t>
        </is>
      </c>
      <c r="B2579">
        <f>IF(C2559=TRUE,F2559*IF(AND(Inputs!$B$39&lt;&gt;"pvp",Inputs!$B$44&gt;0),(((R2559-1)*MIN((Skills!S12*(1+((Inputs!$B$35+(ArtifactsInput!$M$7-ArtifactsInput!$M$7)*CHOOSE(ArtifactsInput!$N$7+1,6,7.2,8.4,9.6,10.8,12)))/100)),(1/Q2559))+MIN((Skills!S12*(1+((Inputs!$B$35+(ArtifactsInput!$M$7-ArtifactsInput!$M$7)*CHOOSE(ArtifactsInput!$N$7+1,6,7.2,8.4,9.6,10.8,12)))/100)),MAX(0,Inputs!$B$44-((R2559-1)*(1/Q2559)))))/Inputs!$B$44),IF(Inputs!$B$39="pvp",MIN((Skills!S12*(1+((Inputs!$B$35+(ArtifactsInput!$M$7-ArtifactsInput!$M$7)*CHOOSE(ArtifactsInput!$N$7+1,6,7.2,8.4,9.6,10.8,12)))/100)),15)/15,MIN(1,(Skills!S12*(1+((Inputs!$B$35+(ArtifactsInput!$M$7-ArtifactsInput!$M$7)*CHOOSE(ArtifactsInput!$N$7+1,6,7.2,8.4,9.6,10.8,12)))/100))/(1/Q2559)))),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MIN((Skills!S28*(1+((Inputs!$B$35+(ArtifactsInput!$M$7-ArtifactsInput!$M$7)*CHOOSE(ArtifactsInput!$N$7+1,6,7.2,8.4,9.6,10.8,12)))/100)),(1/Q2575))+MIN((Skills!S28*(1+((Inputs!$B$35+(ArtifactsInput!$M$7-ArtifactsInput!$M$7)*CHOOSE(ArtifactsInput!$N$7+1,6,7.2,8.4,9.6,10.8,12)))/100)),MAX(0,Inputs!$B$44-((R2575-1)*(1/Q2575)))))/Inputs!$B$44),IF(Inputs!$B$39="pvp",MIN((Skills!S28*(1+((Inputs!$B$35+(ArtifactsInput!$M$7-ArtifactsInput!$M$7)*CHOOSE(ArtifactsInput!$N$7+1,6,7.2,8.4,9.6,10.8,12)))/100)),15)/15,MIN(1,(Skills!S28*(1+((Inputs!$B$35+(ArtifactsInput!$M$7-ArtifactsInput!$M$7)*CHOOSE(ArtifactsInput!$N$7+1,6,7.2,8.4,9.6,10.8,12)))/100))/(1/Q2575)))))</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MIN((Skills!S13*(1+((Inputs!$B$35+(ArtifactsInput!$M$7-ArtifactsInput!$M$7)*CHOOSE(ArtifactsInput!$N$7+1,6,7.2,8.4,9.6,10.8,12)))/100)),(1/Q2560))+MIN((Skills!S13*(1+((Inputs!$B$35+(ArtifactsInput!$M$7-ArtifactsInput!$M$7)*CHOOSE(ArtifactsInput!$N$7+1,6,7.2,8.4,9.6,10.8,12)))/100)),MAX(0,Inputs!$B$44-((R2560-1)*(1/Q2560)))))/Inputs!$B$44),IF(Inputs!$B$39="pvp",MIN((Skills!S13*(1+((Inputs!$B$35+(ArtifactsInput!$M$7-ArtifactsInput!$M$7)*CHOOSE(ArtifactsInput!$N$7+1,6,7.2,8.4,9.6,10.8,12)))/100)),15)/15,MIN(1,(Skills!S13*(1+((Inputs!$B$35+(ArtifactsInput!$M$7-ArtifactsInput!$M$7)*CHOOSE(ArtifactsInput!$N$7+1,6,7.2,8.4,9.6,10.8,12)))/100))/(1/Q2560)))),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IFERROR(1/(IF(Inputs!$B$39="pvp",15,MAX(0.1,Skills!D2-IF(TRUE=TRUE,Inputs!$B$33,0)))*(1-IF(AND(ArtifactsInput!$M$27,Inputs!$B$4="Chapter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IFERROR(1/(IF(Inputs!$B$39="pvp",15,MAX(0.1,Skills!D3-IF(TRUE=TRUE,Inputs!$B$33,0)))*(1-IF(AND(ArtifactsInput!$M$27,Inputs!$B$4="Chapter Hunt"),CHOOSE(ArtifactsInput!$N$27+1,20,24,28,32,36,40),0)/100)),0)</f>
        <v/>
      </c>
      <c r="R2595">
        <f>IF(AND(Inputs!$B$39&lt;&gt;"pvp",Inputs!$B$44&gt;0),IF(Inputs!$B$44&lt;=0,0,(INT(Inputs!$B$44/(IF(Inputs!$B$39="pvp",15,MAX(0.1,Skills!D3-IF(TRUE=TRUE,Inputs!$B$33,0)))*(1-IF(AND(ArtifactsInput!$M$27,Inputs!$B$4="Chapter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IFERROR(1/(IF(Inputs!$B$39="pvp",15,MAX(0.1,Skills!D4-IF(TRUE=TRUE,Inputs!$B$33,0)))*(1-IF(AND(ArtifactsInput!$M$27,Inputs!$B$4="Chapter Hunt"),CHOOSE(ArtifactsInput!$N$27+1,20,24,28,32,36,40),0)/100)),0)</f>
        <v/>
      </c>
      <c r="R2596">
        <f>IF(AND(Inputs!$B$39&lt;&gt;"pvp",Inputs!$B$44&gt;0),IF(Inputs!$B$44&lt;=0,0,(INT(Inputs!$B$44/(IF(Inputs!$B$39="pvp",15,MAX(0.1,Skills!D4-IF(TRUE=TRUE,Inputs!$B$33,0)))*(1-IF(AND(ArtifactsInput!$M$27,Inputs!$B$4="Chapter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IFERROR(1/(IF(Inputs!$B$39="pvp",15,MAX(0.1,Skills!D5-IF(TRUE=TRUE,Inputs!$B$33,0)))*(1-IF(AND(ArtifactsInput!$M$27,Inputs!$B$4="Chapter Hunt"),CHOOSE(ArtifactsInput!$N$27+1,20,24,28,32,36,40),0)/100)),0)</f>
        <v/>
      </c>
      <c r="R2597">
        <f>IF(AND(Inputs!$B$39&lt;&gt;"pvp",Inputs!$B$44&gt;0),IF(Inputs!$B$44&lt;=0,0,(INT(Inputs!$B$44/(IF(Inputs!$B$39="pvp",15,MAX(0.1,Skills!D5-IF(TRUE=TRUE,Inputs!$B$33,0)))*(1-IF(AND(ArtifactsInput!$M$27,Inputs!$B$4="Chapter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IFERROR(1/(IF(Inputs!$B$39="pvp",15,MAX(0.1,Skills!D6-IF(TRUE=TRUE,Inputs!$B$33,0)))*(1-IF(AND(ArtifactsInput!$M$27,Inputs!$B$4="Chapter Hunt"),CHOOSE(ArtifactsInput!$N$27+1,20,24,28,32,36,40),0)/100)),0)</f>
        <v/>
      </c>
      <c r="R2598">
        <f>IF(AND(Inputs!$B$39&lt;&gt;"pvp",Inputs!$B$44&gt;0),IF(MAX(0,Inputs!$B$44-B2632)&lt;=0,0,(INT(MAX(0,Inputs!$B$44-B2632)/(IF(Inputs!$B$39="pvp",15,MAX(0.1,Skills!D6-IF(TRUE=TRUE,Inputs!$B$33,0)))*(1-IF(AND(ArtifactsInput!$M$27,Inputs!$B$4="Chapter Hunt"),CHOOSE(ArtifactsInput!$N$27+1,20,24,28,32,36,40),0)/100)))+1)),0)</f>
        <v/>
      </c>
      <c r="S2598">
        <f>IF(C2598,(H2598*N2598*IF(AND(Inputs!$B$39&lt;&gt;"pvp",Inputs!$B$44&gt;0),((Skills!F6*((R2598-1)*IF(Skills!G6&gt;0,INT(Skills!H6/Skills!G6+0.000000001),1)+IF(Skills!G6&gt;0,INT(MIN(Skills!H6,MAX(0,MAX(0,Inputs!$B$44-B2632)-((R2598-1)*(IF(Inputs!$B$39="pvp",15,MAX(0.1,Skills!D6-IF(TRUE=TRUE,Inputs!$B$33,0)))*(1-IF(AND(ArtifactsInput!$M$27,Inputs!$B$4="Chapter Hunt"),CHOOSE(ArtifactsInput!$N$27+1,20,24,28,32,36,40),0)/100)))))/Skills!G6+0.000000001),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INT(Skills!H6/Skills!G6+0.000000001),1)+IF(Skills!G6&gt;0,INT(MIN(Skills!H6,MAX(0,MAX(0,Inputs!$B$44-B2632)-((R2598-1)*(IF(Inputs!$B$39="pvp",15,MAX(0.1,Skills!D6-IF(TRUE=TRUE,Inputs!$B$33,0)))*(1-IF(AND(ArtifactsInput!$M$27,Inputs!$B$4="Chapter Hunt"),CHOOSE(ArtifactsInput!$N$27+1,20,24,28,32,36,40),0)/100)))))/Skills!G6+0.000000001),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IFERROR(1/(IF(Inputs!$B$39="pvp",15,MAX(0.1,Skills!D7-IF(TRUE=TRUE,Inputs!$B$33,0)))*(1-IF(AND(ArtifactsInput!$M$27,Inputs!$B$4="Chapter Hunt"),CHOOSE(ArtifactsInput!$N$27+1,20,24,28,32,36,40),0)/100)),0)</f>
        <v/>
      </c>
      <c r="R2599">
        <f>IF(AND(Inputs!$B$39&lt;&gt;"pvp",Inputs!$B$44&gt;0),IF(MAX(0,Inputs!$B$44-B2632)&lt;=0,0,(INT(MAX(0,Inputs!$B$44-B2632)/(IF(Inputs!$B$39="pvp",15,MAX(0.1,Skills!D7-IF(TRUE=TRUE,Inputs!$B$33,0)))*(1-IF(AND(ArtifactsInput!$M$27,Inputs!$B$4="Chapter Hunt"),CHOOSE(ArtifactsInput!$N$27+1,20,24,28,32,36,40),0)/100)))+1)),0)</f>
        <v/>
      </c>
      <c r="S2599">
        <f>IF(C2599,H2599*N2599*IF(AND(Inputs!$B$39&lt;&gt;"pvp",Inputs!$B$44&gt;0),((Skills!F7*((R2599-1)*IF(Skills!G7&gt;0,INT(Skills!H7/Skills!G7+0.000000001),1)+IF(Skills!G7&gt;0,INT(MIN(Skills!H7,MAX(0,MAX(0,Inputs!$B$44-B2632)-((R2599-1)*(IF(Inputs!$B$39="pvp",15,MAX(0.1,Skills!D7-IF(TRUE=TRUE,Inputs!$B$33,0)))*(1-IF(AND(ArtifactsInput!$M$27,Inputs!$B$4="Chapter Hunt"),CHOOSE(ArtifactsInput!$N$27+1,20,24,28,32,36,40),0)/100)))))/Skills!G7+0.000000001),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IFERROR(1/(IF(Inputs!$B$39="pvp",15,MAX(0.1,Skills!D8-IF(TRUE=TRUE,Inputs!$B$33,0)))*(1-IF(AND(ArtifactsInput!$M$27,Inputs!$B$4="Chapter Hunt"),CHOOSE(ArtifactsInput!$N$27+1,20,24,28,32,36,40),0)/100)),0)</f>
        <v/>
      </c>
      <c r="R2600">
        <f>IF(AND(Inputs!$B$39&lt;&gt;"pvp",Inputs!$B$44&gt;0),IF(MAX(0,Inputs!$B$44-B2632)&lt;=0,0,(INT(MAX(0,Inputs!$B$44-B2632)/(IF(Inputs!$B$39="pvp",15,MAX(0.1,Skills!D8-IF(TRUE=TRUE,Inputs!$B$33,0)))*(1-IF(AND(ArtifactsInput!$M$27,Inputs!$B$4="Chapter Hunt"),CHOOSE(ArtifactsInput!$N$27+1,20,24,28,32,36,40),0)/100)))+1)),0)</f>
        <v/>
      </c>
      <c r="S2600">
        <f>IF(C2600,(H2600*N2600*IF(AND(Inputs!$B$39&lt;&gt;"pvp",Inputs!$B$44&gt;0),((Skills!F8*((R2600-1)*IF(Skills!G8&gt;0,INT(Skills!H8/Skills!G8+0.000000001),1)+IF(Skills!G8&gt;0,INT(MIN(Skills!H8,MAX(0,MAX(0,Inputs!$B$44-B2632)-((R2600-1)*(IF(Inputs!$B$39="pvp",15,MAX(0.1,Skills!D8-IF(TRUE=TRUE,Inputs!$B$33,0)))*(1-IF(AND(ArtifactsInput!$M$27,Inputs!$B$4="Chapter Hunt"),CHOOSE(ArtifactsInput!$N$27+1,20,24,28,32,36,40),0)/100)))))/Skills!G8+0.000000001),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INT(Skills!H8/Skills!G8+0.000000001),1)+IF(Skills!G8&gt;0,INT(MIN(Skills!H8,MAX(0,MAX(0,Inputs!$B$44-B2632)-((R2600-1)*(IF(Inputs!$B$39="pvp",15,MAX(0.1,Skills!D8-IF(TRUE=TRUE,Inputs!$B$33,0)))*(1-IF(AND(ArtifactsInput!$M$27,Inputs!$B$4="Chapter Hunt"),CHOOSE(ArtifactsInput!$N$27+1,20,24,28,32,36,40),0)/100)))))/Skills!G8+0.000000001),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IFERROR(1/(IF(Inputs!$B$39="pvp",15,MAX(0.1,Skills!D9-IF(TRUE=TRUE,Inputs!$B$33,0)))*(1-IF(AND(ArtifactsInput!$M$27,Inputs!$B$4="Chapter Hunt"),CHOOSE(ArtifactsInput!$N$27+1,20,24,28,32,36,40),0)/100)),0)</f>
        <v/>
      </c>
      <c r="R2601">
        <f>IF(AND(Inputs!$B$39&lt;&gt;"pvp",Inputs!$B$44&gt;0),IF(MAX(0,Inputs!$B$44-B2632)&lt;=0,0,(INT(MAX(0,Inputs!$B$44-B2632)/(IF(Inputs!$B$39="pvp",15,MAX(0.1,Skills!D9-IF(TRUE=TRUE,Inputs!$B$33,0)))*(1-IF(AND(ArtifactsInput!$M$27,Inputs!$B$4="Chapter Hunt"),CHOOSE(ArtifactsInput!$N$27+1,20,24,28,32,36,40),0)/100)))+1)),0)</f>
        <v/>
      </c>
      <c r="S2601">
        <f>IF(C2601,(H2601*N2601*IF(AND(Inputs!$B$39&lt;&gt;"pvp",Inputs!$B$44&gt;0),((Skills!F9*((R2601-1)*IF(Skills!G9&gt;0,INT(Skills!H9/Skills!G9+0.000000001),1)+IF(Skills!G9&gt;0,INT(MIN(Skills!H9,MAX(0,MAX(0,Inputs!$B$44-B2632)-((R2601-1)*(IF(Inputs!$B$39="pvp",15,MAX(0.1,Skills!D9-IF(TRUE=TRUE,Inputs!$B$33,0)))*(1-IF(AND(ArtifactsInput!$M$27,Inputs!$B$4="Chapter Hunt"),CHOOSE(ArtifactsInput!$N$27+1,20,24,28,32,36,40),0)/100)))))/Skills!G9+0.000000001),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INT(Skills!H9/Skills!G9+0.000000001),1)+IF(Skills!G9&gt;0,INT(MIN(Skills!H9,MAX(0,MAX(0,Inputs!$B$44-B2632)-((R2601-1)*(IF(Inputs!$B$39="pvp",15,MAX(0.1,Skills!D9-IF(TRUE=TRUE,Inputs!$B$33,0)))*(1-IF(AND(ArtifactsInput!$M$27,Inputs!$B$4="Chapter Hunt"),CHOOSE(ArtifactsInput!$N$27+1,20,24,28,32,36,40),0)/100)))))/Skills!G9+0.000000001),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IFERROR(1/(IF(Inputs!$B$39="pvp",15,MAX(0.1,Skills!D10-IF(TRUE=TRUE,Inputs!$B$33,0)))*(1-IF(AND(ArtifactsInput!$M$27,Inputs!$B$4="Chapter Hunt"),CHOOSE(ArtifactsInput!$N$27+1,20,24,28,32,36,40),0)/100)),0)</f>
        <v/>
      </c>
      <c r="R2602">
        <f>IF(AND(Inputs!$B$39&lt;&gt;"pvp",Inputs!$B$44&gt;0),IF(MAX(0,Inputs!$B$44-B2632)&lt;=0,0,(INT(MAX(0,Inputs!$B$44-B2632)/(IF(Inputs!$B$39="pvp",15,MAX(0.1,Skills!D10-IF(TRUE=TRUE,Inputs!$B$33,0)))*(1-IF(AND(ArtifactsInput!$M$27,Inputs!$B$4="Chapter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IFERROR(1/(IF(Inputs!$B$39="pvp",15,MAX(0.1,Skills!D11-IF(TRUE=TRUE,Inputs!$B$33,0)))*(1-IF(AND(ArtifactsInput!$M$27,Inputs!$B$4="Chapter Hunt"),CHOOSE(ArtifactsInput!$N$27+1,20,24,28,32,36,40),0)/100)),0)</f>
        <v/>
      </c>
      <c r="R2603">
        <f>IF(AND(Inputs!$B$39&lt;&gt;"pvp",Inputs!$B$44&gt;0),IF(Inputs!$B$44&lt;=0,0,(INT(Inputs!$B$44/(IF(Inputs!$B$39="pvp",15,MAX(0.1,Skills!D11-IF(TRUE=TRUE,Inputs!$B$33,0)))*(1-IF(AND(ArtifactsInput!$M$27,Inputs!$B$4="Chapter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IFERROR(1/(IF(Inputs!$B$39="pvp",15,MAX(0.1,Skills!D12-IF(TRUE=TRUE,Inputs!$B$33,0)))*(1-IF(AND(ArtifactsInput!$M$27,Inputs!$B$4="Chapter Hunt"),CHOOSE(ArtifactsInput!$N$27+1,20,24,28,32,36,40),0)/100)),0)</f>
        <v/>
      </c>
      <c r="R2604">
        <f>IF(AND(Inputs!$B$39&lt;&gt;"pvp",Inputs!$B$44&gt;0),IF(MAX(0,Inputs!$B$44-B2632)&lt;=0,0,(INT(MAX(0,Inputs!$B$44-B2632)/(IF(Inputs!$B$39="pvp",15,MAX(0.1,Skills!D12-IF(TRUE=TRUE,Inputs!$B$33,0)))*(1-IF(AND(ArtifactsInput!$M$27,Inputs!$B$4="Chapter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IFERROR(1/(IF(Inputs!$B$39="pvp",15,MAX(0.1,Skills!D13-IF(TRUE=TRUE,Inputs!$B$33,0)))*(1-IF(AND(ArtifactsInput!$M$27,Inputs!$B$4="Chapter Hunt"),CHOOSE(ArtifactsInput!$N$27+1,20,24,28,32,36,40),0)/100)),0)</f>
        <v/>
      </c>
      <c r="R2605">
        <f>IF(AND(Inputs!$B$39&lt;&gt;"pvp",Inputs!$B$44&gt;0),IF(MAX(0,Inputs!$B$44-B2632)&lt;=0,0,(INT(MAX(0,Inputs!$B$44-B2632)/(IF(Inputs!$B$39="pvp",15,MAX(0.1,Skills!D13-IF(TRUE=TRUE,Inputs!$B$33,0)))*(1-IF(AND(ArtifactsInput!$M$27,Inputs!$B$4="Chapter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IFERROR(1/(IF(Inputs!$B$39="pvp",15,MAX(0.1,Skills!D14-IF(TRUE=TRUE,Inputs!$B$33,0)))*(1-IF(AND(ArtifactsInput!$M$27,Inputs!$B$4="Chapter Hunt"),CHOOSE(ArtifactsInput!$N$27+1,20,24,28,32,36,40),0)/100)),0)</f>
        <v/>
      </c>
      <c r="R2606">
        <f>IF(AND(Inputs!$B$39&lt;&gt;"pvp",Inputs!$B$44&gt;0),IF(Inputs!$B$44&lt;=0,0,(INT(Inputs!$B$44/(IF(Inputs!$B$39="pvp",15,MAX(0.1,Skills!D14-IF(TRUE=TRUE,Inputs!$B$33,0)))*(1-IF(AND(ArtifactsInput!$M$27,Inputs!$B$4="Chapter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IFERROR(1/(IF(Inputs!$B$39="pvp",15,MAX(0.1,Skills!D15-IF(TRUE=TRUE,Inputs!$B$33,0)))*(1-IF(AND(ArtifactsInput!$M$27,Inputs!$B$4="Chapter Hunt"),CHOOSE(ArtifactsInput!$N$27+1,20,24,28,32,36,40),0)/100)),0)</f>
        <v/>
      </c>
      <c r="R2607" t="n">
        <v>0</v>
      </c>
      <c r="S2607">
        <f>IF(C2607,(Skills!F15*N2607*((IF(Inputs!$B$3&gt;=78,25,15)/100*B2628*10)/(1+IF(Inputs!$B$3&gt;=78,25,15)/100*B2628*IF(Inputs!$B$39="pvp",15,MAX(0.1,18-IF(TRUE=TRUE,Inputs!$B$33,0)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IF(Inputs!$B$39="pvp",15,MAX(0.1,18-IF(TRUE=TRUE,Inputs!$B$33,0)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IFERROR(1/(IF(Inputs!$B$39="pvp",15,MAX(0.1,Skills!D16-IF(TRUE=TRUE,Inputs!$B$33,0)))*(1-IF(AND(ArtifactsInput!$M$27,Inputs!$B$4="Chapter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IFERROR(1/(IF(Inputs!$B$39="pvp",15,MAX(0.1,Skills!D17-IF(TRUE=TRUE,Inputs!$B$33,0)))*(1-IF(AND(ArtifactsInput!$M$27,Inputs!$B$4="Chapter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IFERROR(1/(IF(Inputs!$B$39="pvp",15,MAX(0.1,Skills!D18-IF(TRUE=TRUE,Inputs!$B$33,0)))*(1-IF(AND(ArtifactsInput!$M$27,Inputs!$B$4="Chapter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IFERROR(1/(IF(Inputs!$B$39="pvp",15,MAX(0.1,Skills!D19-IF(TRUE=TRUE,Inputs!$B$33,0)))*(1-IF(AND(ArtifactsInput!$M$27,Inputs!$B$4="Chapter Hunt"),CHOOSE(ArtifactsInput!$N$27+1,20,24,28,32,36,40),0)/100)),0)</f>
        <v/>
      </c>
      <c r="R2611">
        <f>IF(AND(Inputs!$B$39&lt;&gt;"pvp",Inputs!$B$44&gt;0),IF(Inputs!$B$44&lt;=0,0,(INT(Inputs!$B$44/(IF(Inputs!$B$39="pvp",15,MAX(0.1,Skills!D19-IF(TRUE=TRUE,Inputs!$B$33,0)))*(1-IF(AND(ArtifactsInput!$M$27,Inputs!$B$4="Chapter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IFERROR(1/(IF(Inputs!$B$39="pvp",15,MAX(0.1,Skills!D20-IF(TRUE=TRUE,Inputs!$B$33,0)))*(1-IF(AND(ArtifactsInput!$M$27,Inputs!$B$4="Chapter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IFERROR(1/(IF(Inputs!$B$39="pvp",15,MAX(0.1,Skills!D21-IF(TRUE=TRUE,Inputs!$B$33,0)))*(1-IF(AND(ArtifactsInput!$M$27,Inputs!$B$4="Chapter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IFERROR(1/(IF(Inputs!$B$39="pvp",15,MAX(0.1,Skills!D22-IF(TRUE=TRUE,Inputs!$B$33,0)))*(1-IF(AND(ArtifactsInput!$M$27,Inputs!$B$4="Chapter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IFERROR(1/(IF(Inputs!$B$39="pvp",15,MAX(0.1,Skills!D23-IF(TRUE=TRUE,Inputs!$B$33,0)))*(1-IF(AND(ArtifactsInput!$M$27,Inputs!$B$4="Chapter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IFERROR(1/(IF(Inputs!$B$39="pvp",15,MAX(0.1,Skills!D24-IF(TRUE=TRUE,Inputs!$B$33,0)))*(1-IF(AND(ArtifactsInput!$M$27,Inputs!$B$4="Chapter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IFERROR(1/(IF(Inputs!$B$39="pvp",15,MAX(0.1,Skills!D25-IF(TRUE=TRUE,Inputs!$B$33,0)))*(1-IF(AND(ArtifactsInput!$M$27,Inputs!$B$4="Chapter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IFERROR(1/(IF(Inputs!$B$39="pvp",15,MAX(0.1,Skills!D26-IF(TRUE=TRUE,Inputs!$B$33,0)))*(1-IF(AND(ArtifactsInput!$M$27,Inputs!$B$4="Chapter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IFERROR(1/(IF(Inputs!$B$39="pvp",15,MAX(0.1,Skills!D27-IF(TRUE=TRUE,Inputs!$B$33,0)))*(1-IF(AND(ArtifactsInput!$M$27,Inputs!$B$4="Chapter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IFERROR(1/(IF(Inputs!$B$39="pvp",15,MAX(0.1,Skills!D28-IF(TRUE=TRUE,Inputs!$B$33,0)))*(1-IF(AND(ArtifactsInput!$M$27,Inputs!$B$4="Chapter Hunt"),CHOOSE(ArtifactsInput!$N$27+1,20,24,28,32,36,40),0)/100)),0)</f>
        <v/>
      </c>
      <c r="R2620">
        <f>IF(AND(Inputs!$B$39&lt;&gt;"pvp",Inputs!$B$44&gt;0),IF(Inputs!$B$44&lt;=0,0,(INT(Inputs!$B$44/(IF(Inputs!$B$39="pvp",15,MAX(0.1,Skills!D28-IF(TRUE=TRUE,Inputs!$B$33,0)))*(1-IF(AND(ArtifactsInput!$M$27,Inputs!$B$4="Chapter Hunt"),CHOOSE(ArtifactsInput!$N$27+1,20,24,28,32,36,40),0)/100)))+1)),0)</f>
        <v/>
      </c>
      <c r="S2620" t="n">
        <v>0</v>
      </c>
      <c r="U2620" t="n">
        <v>0</v>
      </c>
    </row>
    <row r="2622">
      <c r="A2622" t="inlineStr">
        <is>
          <t>Average Buff Multiplier</t>
        </is>
      </c>
      <c r="B2622">
        <f>(1+(IF(C2595=TRUE,F2595*IF(AND(Inputs!$B$39&lt;&gt;"pvp",Inputs!$B$44&gt;0),(((R2595-1)*MIN((Skills!S3*(1+((Inputs!$B$35+(ArtifactsInput!$M$7-ArtifactsInput!$M$7)*CHOOSE(ArtifactsInput!$N$7+1,6,7.2,8.4,9.6,10.8,12)))/100)),(1/Q2595))+MIN((Skills!S3*(1+((Inputs!$B$35+(ArtifactsInput!$M$7-ArtifactsInput!$M$7)*CHOOSE(ArtifactsInput!$N$7+1,6,7.2,8.4,9.6,10.8,12)))/100)),MAX(0,Inputs!$B$44-((R2595-1)*(1/Q2595)))))/Inputs!$B$44),IF(Inputs!$B$39="pvp",MIN((Skills!S3*(1+((Inputs!$B$35+(ArtifactsInput!$M$7-ArtifactsInput!$M$7)*CHOOSE(ArtifactsInput!$N$7+1,6,7.2,8.4,9.6,10.8,12)))/100)),15)/15,MIN(1,(Skills!S3*(1+((Inputs!$B$35+(ArtifactsInput!$M$7-ArtifactsInput!$M$7)*CHOOSE(ArtifactsInput!$N$7+1,6,7.2,8.4,9.6,10.8,12)))/100))/(1/Q2595)))),0)+IF(C2596=TRUE,F2596*IF(AND(Inputs!$B$39&lt;&gt;"pvp",Inputs!$B$44&gt;0),(((R2596-1)*MIN((Skills!S4*(1+((Inputs!$B$35+(ArtifactsInput!$M$7-ArtifactsInput!$M$7)*CHOOSE(ArtifactsInput!$N$7+1,6,7.2,8.4,9.6,10.8,12)))/100)),(1/Q2596))+MIN((Skills!S4*(1+((Inputs!$B$35+(ArtifactsInput!$M$7-ArtifactsInput!$M$7)*CHOOSE(ArtifactsInput!$N$7+1,6,7.2,8.4,9.6,10.8,12)))/100)),MAX(0,Inputs!$B$44-((R2596-1)*(1/Q2596)))))/Inputs!$B$44),IF(Inputs!$B$39="pvp",MIN((Skills!S4*(1+((Inputs!$B$35+(ArtifactsInput!$M$7-ArtifactsInput!$M$7)*CHOOSE(ArtifactsInput!$N$7+1,6,7.2,8.4,9.6,10.8,12)))/100)),15)/15,MIN(1,(Skills!S4*(1+((Inputs!$B$35+(ArtifactsInput!$M$7-ArtifactsInput!$M$7)*CHOOSE(ArtifactsInput!$N$7+1,6,7.2,8.4,9.6,10.8,12)))/100))/(1/Q2596)))),0)+IF(C2597=TRUE,F2597*IF(AND(Inputs!$B$39&lt;&gt;"pvp",Inputs!$B$44&gt;0),(((R2597-1)*MIN((Skills!S5*(1+((Inputs!$B$35+(ArtifactsInput!$M$7-ArtifactsInput!$M$7)*CHOOSE(ArtifactsInput!$N$7+1,6,7.2,8.4,9.6,10.8,12)))/100)),(1/Q2597))+MIN((Skills!S5*(1+((Inputs!$B$35+(ArtifactsInput!$M$7-ArtifactsInput!$M$7)*CHOOSE(ArtifactsInput!$N$7+1,6,7.2,8.4,9.6,10.8,12)))/100)),MAX(0,Inputs!$B$44-((R2597-1)*(1/Q2597)))))/Inputs!$B$44),IF(Inputs!$B$39="pvp",MIN((Skills!S5*(1+((Inputs!$B$35+(ArtifactsInput!$M$7-ArtifactsInput!$M$7)*CHOOSE(ArtifactsInput!$N$7+1,6,7.2,8.4,9.6,10.8,12)))/100)),15)/15,MIN(1,(Skills!S5*(1+((Inputs!$B$35+(ArtifactsInput!$M$7-ArtifactsInput!$M$7)*CHOOSE(ArtifactsInput!$N$7+1,6,7.2,8.4,9.6,10.8,12)))/100))/(1/Q2597)))),0)+IF(C2603=TRUE,F2603*IF(AND(Inputs!$B$39&lt;&gt;"pvp",Inputs!$B$44&gt;0),(((R2603-1)*MIN((Skills!S11*(1+((Inputs!$B$35+(ArtifactsInput!$M$7-ArtifactsInput!$M$7)*CHOOSE(ArtifactsInput!$N$7+1,6,7.2,8.4,9.6,10.8,12)))/100)),(1/Q2603))+MIN((Skills!S11*(1+((Inputs!$B$35+(ArtifactsInput!$M$7-ArtifactsInput!$M$7)*CHOOSE(ArtifactsInput!$N$7+1,6,7.2,8.4,9.6,10.8,12)))/100)),MAX(0,Inputs!$B$44-((R2603-1)*(1/Q2603)))))/Inputs!$B$44),IF(Inputs!$B$39="pvp",MIN((Skills!S11*(1+((Inputs!$B$35+(ArtifactsInput!$M$7-ArtifactsInput!$M$7)*CHOOSE(ArtifactsInput!$N$7+1,6,7.2,8.4,9.6,10.8,12)))/100)),15)/15,MIN(1,(Skills!S11*(1+((Inputs!$B$35+(ArtifactsInput!$M$7-ArtifactsInput!$M$7)*CHOOSE(ArtifactsInput!$N$7+1,6,7.2,8.4,9.6,10.8,12)))/100))/(1/Q2603)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MIN((Skills!S14*(1+((Inputs!$B$35+(ArtifactsInput!$M$7-ArtifactsInput!$M$7)*CHOOSE(ArtifactsInput!$N$7+1,6,7.2,8.4,9.6,10.8,12)))/100)),(1/Q2606))+MIN((Skills!S14*(1+((Inputs!$B$35+(ArtifactsInput!$M$7-ArtifactsInput!$M$7)*CHOOSE(ArtifactsInput!$N$7+1,6,7.2,8.4,9.6,10.8,12)))/100)),MAX(0,Inputs!$B$44-((R2606-1)*(1/Q2606)))))/Inputs!$B$44),IF(Inputs!$B$39="pvp",MIN((Skills!S14*(1+((Inputs!$B$35+(ArtifactsInput!$M$7-ArtifactsInput!$M$7)*CHOOSE(ArtifactsInput!$N$7+1,6,7.2,8.4,9.6,10.8,12)))/100)),15)/15,MIN(1,(Skills!S14*(1+((Inputs!$B$35+(ArtifactsInput!$M$7-ArtifactsInput!$M$7)*CHOOSE(ArtifactsInput!$N$7+1,6,7.2,8.4,9.6,10.8,12)))/100))/(1/Q2606))))/100),1)*IF(C2611=TRUE,(1+F2611*IF(AND(Inputs!$B$39&lt;&gt;"pvp",Inputs!$B$44&gt;0),(((R2611-1)*MIN((Skills!S19*(1+((Inputs!$B$35+(ArtifactsInput!$M$7-ArtifactsInput!$M$7)*CHOOSE(ArtifactsInput!$N$7+1,6,7.2,8.4,9.6,10.8,12)))/100)),(1/Q2611))+MIN((Skills!S19*(1+((Inputs!$B$35+(ArtifactsInput!$M$7-ArtifactsInput!$M$7)*CHOOSE(ArtifactsInput!$N$7+1,6,7.2,8.4,9.6,10.8,12)))/100)),MAX(0,Inputs!$B$44-((R2611-1)*(1/Q2611)))))/Inputs!$B$44),IF(Inputs!$B$39="pvp",MIN((Skills!S19*(1+((Inputs!$B$35+(ArtifactsInput!$M$7-ArtifactsInput!$M$7)*CHOOSE(ArtifactsInput!$N$7+1,6,7.2,8.4,9.6,10.8,12)))/100)),15)/15,MIN(1,(Skills!S19*(1+((Inputs!$B$35+(ArtifactsInput!$M$7-ArtifactsInput!$M$7)*CHOOSE(ArtifactsInput!$N$7+1,6,7.2,8.4,9.6,10.8,12)))/100))/(1/Q2611))))/100),1)</f>
        <v/>
      </c>
    </row>
    <row r="2623">
      <c r="A2623" t="inlineStr">
        <is>
          <t>Monster Damage Taken Bonus % (Holy Fountain)</t>
        </is>
      </c>
      <c r="B2623">
        <f>IF(Inputs!$B$3&gt;=68,20*IF(Inputs!$B$39="pvp",MIN((15*(1+((Inputs!$B$35+(ArtifactsInput!$M$7-ArtifactsInput!$M$7)*CHOOSE(ArtifactsInput!$N$7+1,6,7.2,8.4,9.6,10.8,12)))/100)),15)/15,MIN(1,(15*(1+((Inputs!$B$35+(ArtifactsInput!$M$7-ArtifactsInput!$M$7)*CHOOSE(ArtifactsInput!$N$7+1,6,7.2,8.4,9.6,10.8,12)))/100))/(1/Q2602))),0)</f>
        <v/>
      </c>
    </row>
    <row r="2624">
      <c r="A2624" t="inlineStr">
        <is>
          <t>Normal Monster Damage Bonus % (Holy Symbol)</t>
        </is>
      </c>
      <c r="B2624">
        <f>IF(C2604=TRUE,F2604*IF(AND(Inputs!$B$39&lt;&gt;"pvp",Inputs!$B$44&gt;0),(((R2604-1)*MIN((Skills!S12*(1+((Inputs!$B$35+(ArtifactsInput!$M$7-ArtifactsInput!$M$7)*CHOOSE(ArtifactsInput!$N$7+1,6,7.2,8.4,9.6,10.8,12)))/100)),(1/Q2604))+MIN((Skills!S12*(1+((Inputs!$B$35+(ArtifactsInput!$M$7-ArtifactsInput!$M$7)*CHOOSE(ArtifactsInput!$N$7+1,6,7.2,8.4,9.6,10.8,12)))/100)),MAX(0,Inputs!$B$44-((R2604-1)*(1/Q2604)))))/Inputs!$B$44),IF(Inputs!$B$39="pvp",MIN((Skills!S12*(1+((Inputs!$B$35+(ArtifactsInput!$M$7-ArtifactsInput!$M$7)*CHOOSE(ArtifactsInput!$N$7+1,6,7.2,8.4,9.6,10.8,12)))/100)),15)/15,MIN(1,(Skills!S12*(1+((Inputs!$B$35+(ArtifactsInput!$M$7-ArtifactsInput!$M$7)*CHOOSE(ArtifactsInput!$N$7+1,6,7.2,8.4,9.6,10.8,12)))/100))/(1/Q2604)))),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MIN((Skills!S28*(1+((Inputs!$B$35+(ArtifactsInput!$M$7-ArtifactsInput!$M$7)*CHOOSE(ArtifactsInput!$N$7+1,6,7.2,8.4,9.6,10.8,12)))/100)),(1/Q2620))+MIN((Skills!S28*(1+((Inputs!$B$35+(ArtifactsInput!$M$7-ArtifactsInput!$M$7)*CHOOSE(ArtifactsInput!$N$7+1,6,7.2,8.4,9.6,10.8,12)))/100)),MAX(0,Inputs!$B$44-((R2620-1)*(1/Q2620)))))/Inputs!$B$44),IF(Inputs!$B$39="pvp",MIN((Skills!S28*(1+((Inputs!$B$35+(ArtifactsInput!$M$7-ArtifactsInput!$M$7)*CHOOSE(ArtifactsInput!$N$7+1,6,7.2,8.4,9.6,10.8,12)))/100)),15)/15,MIN(1,(Skills!S28*(1+((Inputs!$B$35+(ArtifactsInput!$M$7-ArtifactsInput!$M$7)*CHOOSE(ArtifactsInput!$N$7+1,6,7.2,8.4,9.6,10.8,12)))/100))/(1/Q2620)))))</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MIN((Skills!S13*(1+((Inputs!$B$35+(ArtifactsInput!$M$7-ArtifactsInput!$M$7)*CHOOSE(ArtifactsInput!$N$7+1,6,7.2,8.4,9.6,10.8,12)))/100)),(1/Q2605))+MIN((Skills!S13*(1+((Inputs!$B$35+(ArtifactsInput!$M$7-ArtifactsInput!$M$7)*CHOOSE(ArtifactsInput!$N$7+1,6,7.2,8.4,9.6,10.8,12)))/100)),MAX(0,Inputs!$B$44-((R2605-1)*(1/Q2605)))))/Inputs!$B$44),IF(Inputs!$B$39="pvp",MIN((Skills!S13*(1+((Inputs!$B$35+(ArtifactsInput!$M$7-ArtifactsInput!$M$7)*CHOOSE(ArtifactsInput!$N$7+1,6,7.2,8.4,9.6,10.8,12)))/100)),15)/15,MIN(1,(Skills!S13*(1+((Inputs!$B$35+(ArtifactsInput!$M$7-ArtifactsInput!$M$7)*CHOOSE(ArtifactsInput!$N$7+1,6,7.2,8.4,9.6,10.8,12)))/100))/(1/Q2605)))),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IFERROR(1/(IF(Inputs!$B$39="pvp",15,MAX(0.1,Skills!D2-IF(TRUE=TRUE,Inputs!$B$33,0)))*(1-IF(AND(ArtifactsInput!$M$27,Inputs!$B$4="Chapter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IFERROR(1/(IF(Inputs!$B$39="pvp",15,MAX(0.1,Skills!D3-IF(TRUE=TRUE,Inputs!$B$33,0)))*(1-IF(AND(ArtifactsInput!$M$27,Inputs!$B$4="Chapter Hunt"),CHOOSE(ArtifactsInput!$N$27+1,20,24,28,32,36,40),0)/100)),0)</f>
        <v/>
      </c>
      <c r="R2640">
        <f>IF(AND(Inputs!$B$39&lt;&gt;"pvp",Inputs!$B$44&gt;0),IF(Inputs!$B$44&lt;=0,0,(INT(Inputs!$B$44/(IF(Inputs!$B$39="pvp",15,MAX(0.1,Skills!D3-IF(TRUE=TRUE,Inputs!$B$33,0)))*(1-IF(AND(ArtifactsInput!$M$27,Inputs!$B$4="Chapter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IFERROR(1/(IF(Inputs!$B$39="pvp",15,MAX(0.1,Skills!D4-IF(TRUE=TRUE,Inputs!$B$33,0)))*(1-IF(AND(ArtifactsInput!$M$27,Inputs!$B$4="Chapter Hunt"),CHOOSE(ArtifactsInput!$N$27+1,20,24,28,32,36,40),0)/100)),0)</f>
        <v/>
      </c>
      <c r="R2641">
        <f>IF(AND(Inputs!$B$39&lt;&gt;"pvp",Inputs!$B$44&gt;0),IF(Inputs!$B$44&lt;=0,0,(INT(Inputs!$B$44/(IF(Inputs!$B$39="pvp",15,MAX(0.1,Skills!D4-IF(TRUE=TRUE,Inputs!$B$33,0)))*(1-IF(AND(ArtifactsInput!$M$27,Inputs!$B$4="Chapter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IFERROR(1/(IF(Inputs!$B$39="pvp",15,MAX(0.1,Skills!D5-IF(TRUE=TRUE,Inputs!$B$33,0)))*(1-IF(AND(ArtifactsInput!$M$27,Inputs!$B$4="Chapter Hunt"),CHOOSE(ArtifactsInput!$N$27+1,20,24,28,32,36,40),0)/100)),0)</f>
        <v/>
      </c>
      <c r="R2642">
        <f>IF(AND(Inputs!$B$39&lt;&gt;"pvp",Inputs!$B$44&gt;0),IF(Inputs!$B$44&lt;=0,0,(INT(Inputs!$B$44/(IF(Inputs!$B$39="pvp",15,MAX(0.1,Skills!D5-IF(TRUE=TRUE,Inputs!$B$33,0)))*(1-IF(AND(ArtifactsInput!$M$27,Inputs!$B$4="Chapter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IFERROR(1/(IF(Inputs!$B$39="pvp",15,MAX(0.1,Skills!D6-IF(TRUE=TRUE,Inputs!$B$33,0)))*(1-IF(AND(ArtifactsInput!$M$27,Inputs!$B$4="Chapter Hunt"),CHOOSE(ArtifactsInput!$N$27+1,20,24,28,32,36,40),0)/100)),0)</f>
        <v/>
      </c>
      <c r="R2643">
        <f>IF(AND(Inputs!$B$39&lt;&gt;"pvp",Inputs!$B$44&gt;0),IF(MAX(0,Inputs!$B$44-B2677)&lt;=0,0,(INT(MAX(0,Inputs!$B$44-B2677)/(IF(Inputs!$B$39="pvp",15,MAX(0.1,Skills!D6-IF(TRUE=TRUE,Inputs!$B$33,0)))*(1-IF(AND(ArtifactsInput!$M$27,Inputs!$B$4="Chapter Hunt"),CHOOSE(ArtifactsInput!$N$27+1,20,24,28,32,36,40),0)/100)))+1)),0)</f>
        <v/>
      </c>
      <c r="S2643">
        <f>IF(C2643,(H2643*N2643*IF(AND(Inputs!$B$39&lt;&gt;"pvp",Inputs!$B$44&gt;0),((Skills!F6*((R2643-1)*IF(Skills!G6&gt;0,INT(Skills!H6/Skills!G6+0.000000001),1)+IF(Skills!G6&gt;0,INT(MIN(Skills!H6,MAX(0,MAX(0,Inputs!$B$44-B2677)-((R2643-1)*(IF(Inputs!$B$39="pvp",15,MAX(0.1,Skills!D6-IF(TRUE=TRUE,Inputs!$B$33,0)))*(1-IF(AND(ArtifactsInput!$M$27,Inputs!$B$4="Chapter Hunt"),CHOOSE(ArtifactsInput!$N$27+1,20,24,28,32,36,40),0)/100)))))/Skills!G6+0.000000001),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INT(Skills!H6/Skills!G6+0.000000001),1)+IF(Skills!G6&gt;0,INT(MIN(Skills!H6,MAX(0,MAX(0,Inputs!$B$44-B2677)-((R2643-1)*(IF(Inputs!$B$39="pvp",15,MAX(0.1,Skills!D6-IF(TRUE=TRUE,Inputs!$B$33,0)))*(1-IF(AND(ArtifactsInput!$M$27,Inputs!$B$4="Chapter Hunt"),CHOOSE(ArtifactsInput!$N$27+1,20,24,28,32,36,40),0)/100)))))/Skills!G6+0.000000001),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IFERROR(1/(IF(Inputs!$B$39="pvp",15,MAX(0.1,Skills!D7-IF(TRUE=TRUE,Inputs!$B$33,0)))*(1-IF(AND(ArtifactsInput!$M$27,Inputs!$B$4="Chapter Hunt"),CHOOSE(ArtifactsInput!$N$27+1,20,24,28,32,36,40),0)/100)),0)</f>
        <v/>
      </c>
      <c r="R2644">
        <f>IF(AND(Inputs!$B$39&lt;&gt;"pvp",Inputs!$B$44&gt;0),IF(MAX(0,Inputs!$B$44-B2677)&lt;=0,0,(INT(MAX(0,Inputs!$B$44-B2677)/(IF(Inputs!$B$39="pvp",15,MAX(0.1,Skills!D7-IF(TRUE=TRUE,Inputs!$B$33,0)))*(1-IF(AND(ArtifactsInput!$M$27,Inputs!$B$4="Chapter Hunt"),CHOOSE(ArtifactsInput!$N$27+1,20,24,28,32,36,40),0)/100)))+1)),0)</f>
        <v/>
      </c>
      <c r="S2644">
        <f>IF(C2644,H2644*N2644*IF(AND(Inputs!$B$39&lt;&gt;"pvp",Inputs!$B$44&gt;0),((Skills!F7*((R2644-1)*IF(Skills!G7&gt;0,INT(Skills!H7/Skills!G7+0.000000001),1)+IF(Skills!G7&gt;0,INT(MIN(Skills!H7,MAX(0,MAX(0,Inputs!$B$44-B2677)-((R2644-1)*(IF(Inputs!$B$39="pvp",15,MAX(0.1,Skills!D7-IF(TRUE=TRUE,Inputs!$B$33,0)))*(1-IF(AND(ArtifactsInput!$M$27,Inputs!$B$4="Chapter Hunt"),CHOOSE(ArtifactsInput!$N$27+1,20,24,28,32,36,40),0)/100)))))/Skills!G7+0.000000001),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IFERROR(1/(IF(Inputs!$B$39="pvp",15,MAX(0.1,Skills!D8-IF(TRUE=TRUE,Inputs!$B$33,0)))*(1-IF(AND(ArtifactsInput!$M$27,Inputs!$B$4="Chapter Hunt"),CHOOSE(ArtifactsInput!$N$27+1,20,24,28,32,36,40),0)/100)),0)</f>
        <v/>
      </c>
      <c r="R2645">
        <f>IF(AND(Inputs!$B$39&lt;&gt;"pvp",Inputs!$B$44&gt;0),IF(MAX(0,Inputs!$B$44-B2677)&lt;=0,0,(INT(MAX(0,Inputs!$B$44-B2677)/(IF(Inputs!$B$39="pvp",15,MAX(0.1,Skills!D8-IF(TRUE=TRUE,Inputs!$B$33,0)))*(1-IF(AND(ArtifactsInput!$M$27,Inputs!$B$4="Chapter Hunt"),CHOOSE(ArtifactsInput!$N$27+1,20,24,28,32,36,40),0)/100)))+1)),0)</f>
        <v/>
      </c>
      <c r="S2645">
        <f>IF(C2645,(H2645*N2645*IF(AND(Inputs!$B$39&lt;&gt;"pvp",Inputs!$B$44&gt;0),((Skills!F8*((R2645-1)*IF(Skills!G8&gt;0,INT(Skills!H8/Skills!G8+0.000000001),1)+IF(Skills!G8&gt;0,INT(MIN(Skills!H8,MAX(0,MAX(0,Inputs!$B$44-B2677)-((R2645-1)*(IF(Inputs!$B$39="pvp",15,MAX(0.1,Skills!D8-IF(TRUE=TRUE,Inputs!$B$33,0)))*(1-IF(AND(ArtifactsInput!$M$27,Inputs!$B$4="Chapter Hunt"),CHOOSE(ArtifactsInput!$N$27+1,20,24,28,32,36,40),0)/100)))))/Skills!G8+0.000000001),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INT(Skills!H8/Skills!G8+0.000000001),1)+IF(Skills!G8&gt;0,INT(MIN(Skills!H8,MAX(0,MAX(0,Inputs!$B$44-B2677)-((R2645-1)*(IF(Inputs!$B$39="pvp",15,MAX(0.1,Skills!D8-IF(TRUE=TRUE,Inputs!$B$33,0)))*(1-IF(AND(ArtifactsInput!$M$27,Inputs!$B$4="Chapter Hunt"),CHOOSE(ArtifactsInput!$N$27+1,20,24,28,32,36,40),0)/100)))))/Skills!G8+0.000000001),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IFERROR(1/(IF(Inputs!$B$39="pvp",15,MAX(0.1,Skills!D9-IF(TRUE=TRUE,Inputs!$B$33,0)))*(1-IF(AND(ArtifactsInput!$M$27,Inputs!$B$4="Chapter Hunt"),CHOOSE(ArtifactsInput!$N$27+1,20,24,28,32,36,40),0)/100)),0)</f>
        <v/>
      </c>
      <c r="R2646">
        <f>IF(AND(Inputs!$B$39&lt;&gt;"pvp",Inputs!$B$44&gt;0),IF(MAX(0,Inputs!$B$44-B2677)&lt;=0,0,(INT(MAX(0,Inputs!$B$44-B2677)/(IF(Inputs!$B$39="pvp",15,MAX(0.1,Skills!D9-IF(TRUE=TRUE,Inputs!$B$33,0)))*(1-IF(AND(ArtifactsInput!$M$27,Inputs!$B$4="Chapter Hunt"),CHOOSE(ArtifactsInput!$N$27+1,20,24,28,32,36,40),0)/100)))+1)),0)</f>
        <v/>
      </c>
      <c r="S2646">
        <f>IF(C2646,(H2646*N2646*IF(AND(Inputs!$B$39&lt;&gt;"pvp",Inputs!$B$44&gt;0),((Skills!F9*((R2646-1)*IF(Skills!G9&gt;0,INT(Skills!H9/Skills!G9+0.000000001),1)+IF(Skills!G9&gt;0,INT(MIN(Skills!H9,MAX(0,MAX(0,Inputs!$B$44-B2677)-((R2646-1)*(IF(Inputs!$B$39="pvp",15,MAX(0.1,Skills!D9-IF(TRUE=TRUE,Inputs!$B$33,0)))*(1-IF(AND(ArtifactsInput!$M$27,Inputs!$B$4="Chapter Hunt"),CHOOSE(ArtifactsInput!$N$27+1,20,24,28,32,36,40),0)/100)))))/Skills!G9+0.000000001),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INT(Skills!H9/Skills!G9+0.000000001),1)+IF(Skills!G9&gt;0,INT(MIN(Skills!H9,MAX(0,MAX(0,Inputs!$B$44-B2677)-((R2646-1)*(IF(Inputs!$B$39="pvp",15,MAX(0.1,Skills!D9-IF(TRUE=TRUE,Inputs!$B$33,0)))*(1-IF(AND(ArtifactsInput!$M$27,Inputs!$B$4="Chapter Hunt"),CHOOSE(ArtifactsInput!$N$27+1,20,24,28,32,36,40),0)/100)))))/Skills!G9+0.000000001),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IFERROR(1/(IF(Inputs!$B$39="pvp",15,MAX(0.1,Skills!D10-IF(TRUE=TRUE,Inputs!$B$33,0)))*(1-IF(AND(ArtifactsInput!$M$27,Inputs!$B$4="Chapter Hunt"),CHOOSE(ArtifactsInput!$N$27+1,20,24,28,32,36,40),0)/100)),0)</f>
        <v/>
      </c>
      <c r="R2647">
        <f>IF(AND(Inputs!$B$39&lt;&gt;"pvp",Inputs!$B$44&gt;0),IF(MAX(0,Inputs!$B$44-B2677)&lt;=0,0,(INT(MAX(0,Inputs!$B$44-B2677)/(IF(Inputs!$B$39="pvp",15,MAX(0.1,Skills!D10-IF(TRUE=TRUE,Inputs!$B$33,0)))*(1-IF(AND(ArtifactsInput!$M$27,Inputs!$B$4="Chapter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IFERROR(1/(IF(Inputs!$B$39="pvp",15,MAX(0.1,Skills!D11-IF(TRUE=TRUE,Inputs!$B$33,0)))*(1-IF(AND(ArtifactsInput!$M$27,Inputs!$B$4="Chapter Hunt"),CHOOSE(ArtifactsInput!$N$27+1,20,24,28,32,36,40),0)/100)),0)</f>
        <v/>
      </c>
      <c r="R2648">
        <f>IF(AND(Inputs!$B$39&lt;&gt;"pvp",Inputs!$B$44&gt;0),IF(Inputs!$B$44&lt;=0,0,(INT(Inputs!$B$44/(IF(Inputs!$B$39="pvp",15,MAX(0.1,Skills!D11-IF(TRUE=TRUE,Inputs!$B$33,0)))*(1-IF(AND(ArtifactsInput!$M$27,Inputs!$B$4="Chapter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IFERROR(1/(IF(Inputs!$B$39="pvp",15,MAX(0.1,Skills!D12-IF(TRUE=TRUE,Inputs!$B$33,0)))*(1-IF(AND(ArtifactsInput!$M$27,Inputs!$B$4="Chapter Hunt"),CHOOSE(ArtifactsInput!$N$27+1,20,24,28,32,36,40),0)/100)),0)</f>
        <v/>
      </c>
      <c r="R2649">
        <f>IF(AND(Inputs!$B$39&lt;&gt;"pvp",Inputs!$B$44&gt;0),IF(MAX(0,Inputs!$B$44-B2677)&lt;=0,0,(INT(MAX(0,Inputs!$B$44-B2677)/(IF(Inputs!$B$39="pvp",15,MAX(0.1,Skills!D12-IF(TRUE=TRUE,Inputs!$B$33,0)))*(1-IF(AND(ArtifactsInput!$M$27,Inputs!$B$4="Chapter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IFERROR(1/(IF(Inputs!$B$39="pvp",15,MAX(0.1,Skills!D13-IF(TRUE=TRUE,Inputs!$B$33,0)))*(1-IF(AND(ArtifactsInput!$M$27,Inputs!$B$4="Chapter Hunt"),CHOOSE(ArtifactsInput!$N$27+1,20,24,28,32,36,40),0)/100)),0)</f>
        <v/>
      </c>
      <c r="R2650">
        <f>IF(AND(Inputs!$B$39&lt;&gt;"pvp",Inputs!$B$44&gt;0),IF(MAX(0,Inputs!$B$44-B2677)&lt;=0,0,(INT(MAX(0,Inputs!$B$44-B2677)/(IF(Inputs!$B$39="pvp",15,MAX(0.1,Skills!D13-IF(TRUE=TRUE,Inputs!$B$33,0)))*(1-IF(AND(ArtifactsInput!$M$27,Inputs!$B$4="Chapter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IFERROR(1/(IF(Inputs!$B$39="pvp",15,MAX(0.1,Skills!D14-IF(TRUE=TRUE,Inputs!$B$33,0)))*(1-IF(AND(ArtifactsInput!$M$27,Inputs!$B$4="Chapter Hunt"),CHOOSE(ArtifactsInput!$N$27+1,20,24,28,32,36,40),0)/100)),0)</f>
        <v/>
      </c>
      <c r="R2651">
        <f>IF(AND(Inputs!$B$39&lt;&gt;"pvp",Inputs!$B$44&gt;0),IF(Inputs!$B$44&lt;=0,0,(INT(Inputs!$B$44/(IF(Inputs!$B$39="pvp",15,MAX(0.1,Skills!D14-IF(TRUE=TRUE,Inputs!$B$33,0)))*(1-IF(AND(ArtifactsInput!$M$27,Inputs!$B$4="Chapter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IFERROR(1/(IF(Inputs!$B$39="pvp",15,MAX(0.1,Skills!D15-IF(TRUE=TRUE,Inputs!$B$33,0)))*(1-IF(AND(ArtifactsInput!$M$27,Inputs!$B$4="Chapter Hunt"),CHOOSE(ArtifactsInput!$N$27+1,20,24,28,32,36,40),0)/100)),0)</f>
        <v/>
      </c>
      <c r="R2652" t="n">
        <v>0</v>
      </c>
      <c r="S2652">
        <f>IF(C2652,(Skills!F15*N2652*((IF(Inputs!$B$3&gt;=78,25,15)/100*B2673*10)/(1+IF(Inputs!$B$3&gt;=78,25,15)/100*B2673*IF(Inputs!$B$39="pvp",15,MAX(0.1,18-IF(TRUE=TRUE,Inputs!$B$33,0)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IF(Inputs!$B$39="pvp",15,MAX(0.1,18-IF(TRUE=TRUE,Inputs!$B$33,0)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IFERROR(1/(IF(Inputs!$B$39="pvp",15,MAX(0.1,Skills!D16-IF(TRUE=TRUE,Inputs!$B$33,0)))*(1-IF(AND(ArtifactsInput!$M$27,Inputs!$B$4="Chapter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IFERROR(1/(IF(Inputs!$B$39="pvp",15,MAX(0.1,Skills!D17-IF(TRUE=TRUE,Inputs!$B$33,0)))*(1-IF(AND(ArtifactsInput!$M$27,Inputs!$B$4="Chapter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IFERROR(1/(IF(Inputs!$B$39="pvp",15,MAX(0.1,Skills!D18-IF(TRUE=TRUE,Inputs!$B$33,0)))*(1-IF(AND(ArtifactsInput!$M$27,Inputs!$B$4="Chapter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IFERROR(1/(IF(Inputs!$B$39="pvp",15,MAX(0.1,Skills!D19-IF(TRUE=TRUE,Inputs!$B$33,0)))*(1-IF(AND(ArtifactsInput!$M$27,Inputs!$B$4="Chapter Hunt"),CHOOSE(ArtifactsInput!$N$27+1,20,24,28,32,36,40),0)/100)),0)</f>
        <v/>
      </c>
      <c r="R2656">
        <f>IF(AND(Inputs!$B$39&lt;&gt;"pvp",Inputs!$B$44&gt;0),IF(Inputs!$B$44&lt;=0,0,(INT(Inputs!$B$44/(IF(Inputs!$B$39="pvp",15,MAX(0.1,Skills!D19-IF(TRUE=TRUE,Inputs!$B$33,0)))*(1-IF(AND(ArtifactsInput!$M$27,Inputs!$B$4="Chapter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IFERROR(1/(IF(Inputs!$B$39="pvp",15,MAX(0.1,Skills!D20-IF(TRUE=TRUE,Inputs!$B$33,0)))*(1-IF(AND(ArtifactsInput!$M$27,Inputs!$B$4="Chapter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IFERROR(1/(IF(Inputs!$B$39="pvp",15,MAX(0.1,Skills!D21-IF(TRUE=TRUE,Inputs!$B$33,0)))*(1-IF(AND(ArtifactsInput!$M$27,Inputs!$B$4="Chapter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IFERROR(1/(IF(Inputs!$B$39="pvp",15,MAX(0.1,Skills!D22-IF(TRUE=TRUE,Inputs!$B$33,0)))*(1-IF(AND(ArtifactsInput!$M$27,Inputs!$B$4="Chapter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IFERROR(1/(IF(Inputs!$B$39="pvp",15,MAX(0.1,Skills!D23-IF(TRUE=TRUE,Inputs!$B$33,0)))*(1-IF(AND(ArtifactsInput!$M$27,Inputs!$B$4="Chapter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IFERROR(1/(IF(Inputs!$B$39="pvp",15,MAX(0.1,Skills!D24-IF(TRUE=TRUE,Inputs!$B$33,0)))*(1-IF(AND(ArtifactsInput!$M$27,Inputs!$B$4="Chapter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IFERROR(1/(IF(Inputs!$B$39="pvp",15,MAX(0.1,Skills!D25-IF(TRUE=TRUE,Inputs!$B$33,0)))*(1-IF(AND(ArtifactsInput!$M$27,Inputs!$B$4="Chapter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IFERROR(1/(IF(Inputs!$B$39="pvp",15,MAX(0.1,Skills!D26-IF(TRUE=TRUE,Inputs!$B$33,0)))*(1-IF(AND(ArtifactsInput!$M$27,Inputs!$B$4="Chapter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IFERROR(1/(IF(Inputs!$B$39="pvp",15,MAX(0.1,Skills!D27-IF(TRUE=TRUE,Inputs!$B$33,0)))*(1-IF(AND(ArtifactsInput!$M$27,Inputs!$B$4="Chapter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IFERROR(1/(IF(Inputs!$B$39="pvp",15,MAX(0.1,Skills!D28-IF(TRUE=TRUE,Inputs!$B$33,0)))*(1-IF(AND(ArtifactsInput!$M$27,Inputs!$B$4="Chapter Hunt"),CHOOSE(ArtifactsInput!$N$27+1,20,24,28,32,36,40),0)/100)),0)</f>
        <v/>
      </c>
      <c r="R2665">
        <f>IF(AND(Inputs!$B$39&lt;&gt;"pvp",Inputs!$B$44&gt;0),IF(Inputs!$B$44&lt;=0,0,(INT(Inputs!$B$44/(IF(Inputs!$B$39="pvp",15,MAX(0.1,Skills!D28-IF(TRUE=TRUE,Inputs!$B$33,0)))*(1-IF(AND(ArtifactsInput!$M$27,Inputs!$B$4="Chapter Hunt"),CHOOSE(ArtifactsInput!$N$27+1,20,24,28,32,36,40),0)/100)))+1)),0)</f>
        <v/>
      </c>
      <c r="S2665" t="n">
        <v>0</v>
      </c>
      <c r="U2665" t="n">
        <v>0</v>
      </c>
    </row>
    <row r="2667">
      <c r="A2667" t="inlineStr">
        <is>
          <t>Average Buff Multiplier</t>
        </is>
      </c>
      <c r="B2667">
        <f>(1+(IF(C2640=TRUE,F2640*IF(AND(Inputs!$B$39&lt;&gt;"pvp",Inputs!$B$44&gt;0),(((R2640-1)*MIN((Skills!S3*(1+((Inputs!$B$35+(ArtifactsInput!$M$7-ArtifactsInput!$M$7)*CHOOSE(ArtifactsInput!$N$7+1,6,7.2,8.4,9.6,10.8,12)))/100)),(1/Q2640))+MIN((Skills!S3*(1+((Inputs!$B$35+(ArtifactsInput!$M$7-ArtifactsInput!$M$7)*CHOOSE(ArtifactsInput!$N$7+1,6,7.2,8.4,9.6,10.8,12)))/100)),MAX(0,Inputs!$B$44-((R2640-1)*(1/Q2640)))))/Inputs!$B$44),IF(Inputs!$B$39="pvp",MIN((Skills!S3*(1+((Inputs!$B$35+(ArtifactsInput!$M$7-ArtifactsInput!$M$7)*CHOOSE(ArtifactsInput!$N$7+1,6,7.2,8.4,9.6,10.8,12)))/100)),15)/15,MIN(1,(Skills!S3*(1+((Inputs!$B$35+(ArtifactsInput!$M$7-ArtifactsInput!$M$7)*CHOOSE(ArtifactsInput!$N$7+1,6,7.2,8.4,9.6,10.8,12)))/100))/(1/Q2640)))),0)+IF(C2641=TRUE,F2641*IF(AND(Inputs!$B$39&lt;&gt;"pvp",Inputs!$B$44&gt;0),(((R2641-1)*MIN((Skills!S4*(1+((Inputs!$B$35+(ArtifactsInput!$M$7-ArtifactsInput!$M$7)*CHOOSE(ArtifactsInput!$N$7+1,6,7.2,8.4,9.6,10.8,12)))/100)),(1/Q2641))+MIN((Skills!S4*(1+((Inputs!$B$35+(ArtifactsInput!$M$7-ArtifactsInput!$M$7)*CHOOSE(ArtifactsInput!$N$7+1,6,7.2,8.4,9.6,10.8,12)))/100)),MAX(0,Inputs!$B$44-((R2641-1)*(1/Q2641)))))/Inputs!$B$44),IF(Inputs!$B$39="pvp",MIN((Skills!S4*(1+((Inputs!$B$35+(ArtifactsInput!$M$7-ArtifactsInput!$M$7)*CHOOSE(ArtifactsInput!$N$7+1,6,7.2,8.4,9.6,10.8,12)))/100)),15)/15,MIN(1,(Skills!S4*(1+((Inputs!$B$35+(ArtifactsInput!$M$7-ArtifactsInput!$M$7)*CHOOSE(ArtifactsInput!$N$7+1,6,7.2,8.4,9.6,10.8,12)))/100))/(1/Q2641)))),0)+IF(C2642=TRUE,F2642*IF(AND(Inputs!$B$39&lt;&gt;"pvp",Inputs!$B$44&gt;0),(((R2642-1)*MIN((Skills!S5*(1+((Inputs!$B$35+(ArtifactsInput!$M$7-ArtifactsInput!$M$7)*CHOOSE(ArtifactsInput!$N$7+1,6,7.2,8.4,9.6,10.8,12)))/100)),(1/Q2642))+MIN((Skills!S5*(1+((Inputs!$B$35+(ArtifactsInput!$M$7-ArtifactsInput!$M$7)*CHOOSE(ArtifactsInput!$N$7+1,6,7.2,8.4,9.6,10.8,12)))/100)),MAX(0,Inputs!$B$44-((R2642-1)*(1/Q2642)))))/Inputs!$B$44),IF(Inputs!$B$39="pvp",MIN((Skills!S5*(1+((Inputs!$B$35+(ArtifactsInput!$M$7-ArtifactsInput!$M$7)*CHOOSE(ArtifactsInput!$N$7+1,6,7.2,8.4,9.6,10.8,12)))/100)),15)/15,MIN(1,(Skills!S5*(1+((Inputs!$B$35+(ArtifactsInput!$M$7-ArtifactsInput!$M$7)*CHOOSE(ArtifactsInput!$N$7+1,6,7.2,8.4,9.6,10.8,12)))/100))/(1/Q2642)))),0)+IF(C2648=TRUE,F2648*IF(AND(Inputs!$B$39&lt;&gt;"pvp",Inputs!$B$44&gt;0),(((R2648-1)*MIN((Skills!S11*(1+((Inputs!$B$35+(ArtifactsInput!$M$7-ArtifactsInput!$M$7)*CHOOSE(ArtifactsInput!$N$7+1,6,7.2,8.4,9.6,10.8,12)))/100)),(1/Q2648))+MIN((Skills!S11*(1+((Inputs!$B$35+(ArtifactsInput!$M$7-ArtifactsInput!$M$7)*CHOOSE(ArtifactsInput!$N$7+1,6,7.2,8.4,9.6,10.8,12)))/100)),MAX(0,Inputs!$B$44-((R2648-1)*(1/Q2648)))))/Inputs!$B$44),IF(Inputs!$B$39="pvp",MIN((Skills!S11*(1+((Inputs!$B$35+(ArtifactsInput!$M$7-ArtifactsInput!$M$7)*CHOOSE(ArtifactsInput!$N$7+1,6,7.2,8.4,9.6,10.8,12)))/100)),15)/15,MIN(1,(Skills!S11*(1+((Inputs!$B$35+(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MIN((Skills!S14*(1+((Inputs!$B$35+(ArtifactsInput!$M$7-ArtifactsInput!$M$7)*CHOOSE(ArtifactsInput!$N$7+1,6,7.2,8.4,9.6,10.8,12)))/100)),(1/Q2651))+MIN((Skills!S14*(1+((Inputs!$B$35+(ArtifactsInput!$M$7-ArtifactsInput!$M$7)*CHOOSE(ArtifactsInput!$N$7+1,6,7.2,8.4,9.6,10.8,12)))/100)),MAX(0,Inputs!$B$44-((R2651-1)*(1/Q2651)))))/Inputs!$B$44),IF(Inputs!$B$39="pvp",MIN((Skills!S14*(1+((Inputs!$B$35+(ArtifactsInput!$M$7-ArtifactsInput!$M$7)*CHOOSE(ArtifactsInput!$N$7+1,6,7.2,8.4,9.6,10.8,12)))/100)),15)/15,MIN(1,(Skills!S14*(1+((Inputs!$B$35+(ArtifactsInput!$M$7-ArtifactsInput!$M$7)*CHOOSE(ArtifactsInput!$N$7+1,6,7.2,8.4,9.6,10.8,12)))/100))/(1/Q2651))))/100),1)*IF(C2656=TRUE,(1+F2656*IF(AND(Inputs!$B$39&lt;&gt;"pvp",Inputs!$B$44&gt;0),(((R2656-1)*MIN((Skills!S19*(1+((Inputs!$B$35+(ArtifactsInput!$M$7-ArtifactsInput!$M$7)*CHOOSE(ArtifactsInput!$N$7+1,6,7.2,8.4,9.6,10.8,12)))/100)),(1/Q2656))+MIN((Skills!S19*(1+((Inputs!$B$35+(ArtifactsInput!$M$7-ArtifactsInput!$M$7)*CHOOSE(ArtifactsInput!$N$7+1,6,7.2,8.4,9.6,10.8,12)))/100)),MAX(0,Inputs!$B$44-((R2656-1)*(1/Q2656)))))/Inputs!$B$44),IF(Inputs!$B$39="pvp",MIN((Skills!S19*(1+((Inputs!$B$35+(ArtifactsInput!$M$7-ArtifactsInput!$M$7)*CHOOSE(ArtifactsInput!$N$7+1,6,7.2,8.4,9.6,10.8,12)))/100)),15)/15,MIN(1,(Skills!S19*(1+((Inputs!$B$35+(ArtifactsInput!$M$7-ArtifactsInput!$M$7)*CHOOSE(ArtifactsInput!$N$7+1,6,7.2,8.4,9.6,10.8,12)))/100))/(1/Q2656))))/100),1)</f>
        <v/>
      </c>
    </row>
    <row r="2668">
      <c r="A2668" t="inlineStr">
        <is>
          <t>Monster Damage Taken Bonus % (Holy Fountain)</t>
        </is>
      </c>
      <c r="B2668">
        <f>IF(Inputs!$B$3&gt;=68,20*IF(Inputs!$B$39="pvp",MIN((15*(1+((Inputs!$B$35+(ArtifactsInput!$M$7-ArtifactsInput!$M$7)*CHOOSE(ArtifactsInput!$N$7+1,6,7.2,8.4,9.6,10.8,12)))/100)),15)/15,MIN(1,(15*(1+((Inputs!$B$35+(ArtifactsInput!$M$7-ArtifactsInput!$M$7)*CHOOSE(ArtifactsInput!$N$7+1,6,7.2,8.4,9.6,10.8,12)))/100))/(1/Q2647))),0)</f>
        <v/>
      </c>
    </row>
    <row r="2669">
      <c r="A2669" t="inlineStr">
        <is>
          <t>Normal Monster Damage Bonus % (Holy Symbol)</t>
        </is>
      </c>
      <c r="B2669">
        <f>IF(C2649=TRUE,F2649*IF(AND(Inputs!$B$39&lt;&gt;"pvp",Inputs!$B$44&gt;0),(((R2649-1)*MIN((Skills!S12*(1+((Inputs!$B$35+(ArtifactsInput!$M$7-ArtifactsInput!$M$7)*CHOOSE(ArtifactsInput!$N$7+1,6,7.2,8.4,9.6,10.8,12)))/100)),(1/Q2649))+MIN((Skills!S12*(1+((Inputs!$B$35+(ArtifactsInput!$M$7-ArtifactsInput!$M$7)*CHOOSE(ArtifactsInput!$N$7+1,6,7.2,8.4,9.6,10.8,12)))/100)),MAX(0,Inputs!$B$44-((R2649-1)*(1/Q2649)))))/Inputs!$B$44),IF(Inputs!$B$39="pvp",MIN((Skills!S12*(1+((Inputs!$B$35+(ArtifactsInput!$M$7-ArtifactsInput!$M$7)*CHOOSE(ArtifactsInput!$N$7+1,6,7.2,8.4,9.6,10.8,12)))/100)),15)/15,MIN(1,(Skills!S12*(1+((Inputs!$B$35+(ArtifactsInput!$M$7-ArtifactsInput!$M$7)*CHOOSE(ArtifactsInput!$N$7+1,6,7.2,8.4,9.6,10.8,12)))/100))/(1/Q2649)))),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MIN((Skills!S28*(1+((Inputs!$B$35+(ArtifactsInput!$M$7-ArtifactsInput!$M$7)*CHOOSE(ArtifactsInput!$N$7+1,6,7.2,8.4,9.6,10.8,12)))/100)),(1/Q2665))+MIN((Skills!S28*(1+((Inputs!$B$35+(ArtifactsInput!$M$7-ArtifactsInput!$M$7)*CHOOSE(ArtifactsInput!$N$7+1,6,7.2,8.4,9.6,10.8,12)))/100)),MAX(0,Inputs!$B$44-((R2665-1)*(1/Q2665)))))/Inputs!$B$44),IF(Inputs!$B$39="pvp",MIN((Skills!S28*(1+((Inputs!$B$35+(ArtifactsInput!$M$7-ArtifactsInput!$M$7)*CHOOSE(ArtifactsInput!$N$7+1,6,7.2,8.4,9.6,10.8,12)))/100)),15)/15,MIN(1,(Skills!S28*(1+((Inputs!$B$35+(ArtifactsInput!$M$7-ArtifactsInput!$M$7)*CHOOSE(ArtifactsInput!$N$7+1,6,7.2,8.4,9.6,10.8,12)))/100))/(1/Q2665)))))</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MIN((Skills!S13*(1+((Inputs!$B$35+(ArtifactsInput!$M$7-ArtifactsInput!$M$7)*CHOOSE(ArtifactsInput!$N$7+1,6,7.2,8.4,9.6,10.8,12)))/100)),(1/Q2650))+MIN((Skills!S13*(1+((Inputs!$B$35+(ArtifactsInput!$M$7-ArtifactsInput!$M$7)*CHOOSE(ArtifactsInput!$N$7+1,6,7.2,8.4,9.6,10.8,12)))/100)),MAX(0,Inputs!$B$44-((R2650-1)*(1/Q2650)))))/Inputs!$B$44),IF(Inputs!$B$39="pvp",MIN((Skills!S13*(1+((Inputs!$B$35+(ArtifactsInput!$M$7-ArtifactsInput!$M$7)*CHOOSE(ArtifactsInput!$N$7+1,6,7.2,8.4,9.6,10.8,12)))/100)),15)/15,MIN(1,(Skills!S13*(1+((Inputs!$B$35+(ArtifactsInput!$M$7-ArtifactsInput!$M$7)*CHOOSE(ArtifactsInput!$N$7+1,6,7.2,8.4,9.6,10.8,12)))/100))/(1/Q2650)))),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IFERROR(1/(IF(Inputs!$B$39="pvp",15,MAX(0.1,Skills!D2-IF(TRUE=TRUE,Inputs!$B$33,0)))*(1-IF(AND(ArtifactsInput!$M$27,Inputs!$B$4="Chapter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IFERROR(1/(IF(Inputs!$B$39="pvp",15,MAX(0.1,Skills!D3-IF(TRUE=TRUE,Inputs!$B$33,0)))*(1-IF(AND(ArtifactsInput!$M$27,Inputs!$B$4="Chapter Hunt"),CHOOSE(ArtifactsInput!$N$27+1,20,24,28,32,36,40),0)/100)),0)</f>
        <v/>
      </c>
      <c r="R2685">
        <f>IF(AND(Inputs!$B$39&lt;&gt;"pvp",Inputs!$B$44&gt;0),IF(Inputs!$B$44&lt;=0,0,(INT(Inputs!$B$44/(IF(Inputs!$B$39="pvp",15,MAX(0.1,Skills!D3-IF(TRUE=TRUE,Inputs!$B$33,0)))*(1-IF(AND(ArtifactsInput!$M$27,Inputs!$B$4="Chapter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IFERROR(1/(IF(Inputs!$B$39="pvp",15,MAX(0.1,Skills!D4-IF(TRUE=TRUE,Inputs!$B$33,0)))*(1-IF(AND(ArtifactsInput!$M$27,Inputs!$B$4="Chapter Hunt"),CHOOSE(ArtifactsInput!$N$27+1,20,24,28,32,36,40),0)/100)),0)</f>
        <v/>
      </c>
      <c r="R2686">
        <f>IF(AND(Inputs!$B$39&lt;&gt;"pvp",Inputs!$B$44&gt;0),IF(Inputs!$B$44&lt;=0,0,(INT(Inputs!$B$44/(IF(Inputs!$B$39="pvp",15,MAX(0.1,Skills!D4-IF(TRUE=TRUE,Inputs!$B$33,0)))*(1-IF(AND(ArtifactsInput!$M$27,Inputs!$B$4="Chapter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IFERROR(1/(IF(Inputs!$B$39="pvp",15,MAX(0.1,Skills!D5-IF(TRUE=TRUE,Inputs!$B$33,0)))*(1-IF(AND(ArtifactsInput!$M$27,Inputs!$B$4="Chapter Hunt"),CHOOSE(ArtifactsInput!$N$27+1,20,24,28,32,36,40),0)/100)),0)</f>
        <v/>
      </c>
      <c r="R2687">
        <f>IF(AND(Inputs!$B$39&lt;&gt;"pvp",Inputs!$B$44&gt;0),IF(Inputs!$B$44&lt;=0,0,(INT(Inputs!$B$44/(IF(Inputs!$B$39="pvp",15,MAX(0.1,Skills!D5-IF(TRUE=TRUE,Inputs!$B$33,0)))*(1-IF(AND(ArtifactsInput!$M$27,Inputs!$B$4="Chapter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IFERROR(1/(IF(Inputs!$B$39="pvp",15,MAX(0.1,Skills!D6-IF(TRUE=TRUE,Inputs!$B$33,0)))*(1-IF(AND(ArtifactsInput!$M$27,Inputs!$B$4="Chapter Hunt"),CHOOSE(ArtifactsInput!$N$27+1,20,24,28,32,36,40),0)/100)),0)</f>
        <v/>
      </c>
      <c r="R2688">
        <f>IF(AND(Inputs!$B$39&lt;&gt;"pvp",Inputs!$B$44&gt;0),IF(MAX(0,Inputs!$B$44-B2722)&lt;=0,0,(INT(MAX(0,Inputs!$B$44-B2722)/(IF(Inputs!$B$39="pvp",15,MAX(0.1,Skills!D6-IF(TRUE=TRUE,Inputs!$B$33,0)))*(1-IF(AND(ArtifactsInput!$M$27,Inputs!$B$4="Chapter Hunt"),CHOOSE(ArtifactsInput!$N$27+1,20,24,28,32,36,40),0)/100)))+1)),0)</f>
        <v/>
      </c>
      <c r="S2688">
        <f>IF(C2688,(H2688*N2688*IF(AND(Inputs!$B$39&lt;&gt;"pvp",Inputs!$B$44&gt;0),((Skills!F6*((R2688-1)*IF(Skills!G6&gt;0,INT(Skills!H6/Skills!G6+0.000000001),1)+IF(Skills!G6&gt;0,INT(MIN(Skills!H6,MAX(0,MAX(0,Inputs!$B$44-B2722)-((R2688-1)*(IF(Inputs!$B$39="pvp",15,MAX(0.1,Skills!D6-IF(TRUE=TRUE,Inputs!$B$33,0)))*(1-IF(AND(ArtifactsInput!$M$27,Inputs!$B$4="Chapter Hunt"),CHOOSE(ArtifactsInput!$N$27+1,20,24,28,32,36,40),0)/100)))))/Skills!G6+0.000000001),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INT(Skills!H6/Skills!G6+0.000000001),1)+IF(Skills!G6&gt;0,INT(MIN(Skills!H6,MAX(0,MAX(0,Inputs!$B$44-B2722)-((R2688-1)*(IF(Inputs!$B$39="pvp",15,MAX(0.1,Skills!D6-IF(TRUE=TRUE,Inputs!$B$33,0)))*(1-IF(AND(ArtifactsInput!$M$27,Inputs!$B$4="Chapter Hunt"),CHOOSE(ArtifactsInput!$N$27+1,20,24,28,32,36,40),0)/100)))))/Skills!G6+0.000000001),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IFERROR(1/(IF(Inputs!$B$39="pvp",15,MAX(0.1,Skills!D7-IF(TRUE=TRUE,Inputs!$B$33,0)))*(1-IF(AND(ArtifactsInput!$M$27,Inputs!$B$4="Chapter Hunt"),CHOOSE(ArtifactsInput!$N$27+1,20,24,28,32,36,40),0)/100)),0)</f>
        <v/>
      </c>
      <c r="R2689">
        <f>IF(AND(Inputs!$B$39&lt;&gt;"pvp",Inputs!$B$44&gt;0),IF(MAX(0,Inputs!$B$44-B2722)&lt;=0,0,(INT(MAX(0,Inputs!$B$44-B2722)/(IF(Inputs!$B$39="pvp",15,MAX(0.1,Skills!D7-IF(TRUE=TRUE,Inputs!$B$33,0)))*(1-IF(AND(ArtifactsInput!$M$27,Inputs!$B$4="Chapter Hunt"),CHOOSE(ArtifactsInput!$N$27+1,20,24,28,32,36,40),0)/100)))+1)),0)</f>
        <v/>
      </c>
      <c r="S2689">
        <f>IF(C2689,H2689*N2689*IF(AND(Inputs!$B$39&lt;&gt;"pvp",Inputs!$B$44&gt;0),((Skills!F7*((R2689-1)*IF(Skills!G7&gt;0,INT(Skills!H7/Skills!G7+0.000000001),1)+IF(Skills!G7&gt;0,INT(MIN(Skills!H7,MAX(0,MAX(0,Inputs!$B$44-B2722)-((R2689-1)*(IF(Inputs!$B$39="pvp",15,MAX(0.1,Skills!D7-IF(TRUE=TRUE,Inputs!$B$33,0)))*(1-IF(AND(ArtifactsInput!$M$27,Inputs!$B$4="Chapter Hunt"),CHOOSE(ArtifactsInput!$N$27+1,20,24,28,32,36,40),0)/100)))))/Skills!G7+0.000000001),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IFERROR(1/(IF(Inputs!$B$39="pvp",15,MAX(0.1,Skills!D8-IF(TRUE=TRUE,Inputs!$B$33,0)))*(1-IF(AND(ArtifactsInput!$M$27,Inputs!$B$4="Chapter Hunt"),CHOOSE(ArtifactsInput!$N$27+1,20,24,28,32,36,40),0)/100)),0)</f>
        <v/>
      </c>
      <c r="R2690">
        <f>IF(AND(Inputs!$B$39&lt;&gt;"pvp",Inputs!$B$44&gt;0),IF(MAX(0,Inputs!$B$44-B2722)&lt;=0,0,(INT(MAX(0,Inputs!$B$44-B2722)/(IF(Inputs!$B$39="pvp",15,MAX(0.1,Skills!D8-IF(TRUE=TRUE,Inputs!$B$33,0)))*(1-IF(AND(ArtifactsInput!$M$27,Inputs!$B$4="Chapter Hunt"),CHOOSE(ArtifactsInput!$N$27+1,20,24,28,32,36,40),0)/100)))+1)),0)</f>
        <v/>
      </c>
      <c r="S2690">
        <f>IF(C2690,(H2690*N2690*IF(AND(Inputs!$B$39&lt;&gt;"pvp",Inputs!$B$44&gt;0),((Skills!F8*((R2690-1)*IF(Skills!G8&gt;0,INT(Skills!H8/Skills!G8+0.000000001),1)+IF(Skills!G8&gt;0,INT(MIN(Skills!H8,MAX(0,MAX(0,Inputs!$B$44-B2722)-((R2690-1)*(IF(Inputs!$B$39="pvp",15,MAX(0.1,Skills!D8-IF(TRUE=TRUE,Inputs!$B$33,0)))*(1-IF(AND(ArtifactsInput!$M$27,Inputs!$B$4="Chapter Hunt"),CHOOSE(ArtifactsInput!$N$27+1,20,24,28,32,36,40),0)/100)))))/Skills!G8+0.000000001),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INT(Skills!H8/Skills!G8+0.000000001),1)+IF(Skills!G8&gt;0,INT(MIN(Skills!H8,MAX(0,MAX(0,Inputs!$B$44-B2722)-((R2690-1)*(IF(Inputs!$B$39="pvp",15,MAX(0.1,Skills!D8-IF(TRUE=TRUE,Inputs!$B$33,0)))*(1-IF(AND(ArtifactsInput!$M$27,Inputs!$B$4="Chapter Hunt"),CHOOSE(ArtifactsInput!$N$27+1,20,24,28,32,36,40),0)/100)))))/Skills!G8+0.000000001),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IFERROR(1/(IF(Inputs!$B$39="pvp",15,MAX(0.1,Skills!D9-IF(TRUE=TRUE,Inputs!$B$33,0)))*(1-IF(AND(ArtifactsInput!$M$27,Inputs!$B$4="Chapter Hunt"),CHOOSE(ArtifactsInput!$N$27+1,20,24,28,32,36,40),0)/100)),0)</f>
        <v/>
      </c>
      <c r="R2691">
        <f>IF(AND(Inputs!$B$39&lt;&gt;"pvp",Inputs!$B$44&gt;0),IF(MAX(0,Inputs!$B$44-B2722)&lt;=0,0,(INT(MAX(0,Inputs!$B$44-B2722)/(IF(Inputs!$B$39="pvp",15,MAX(0.1,Skills!D9-IF(TRUE=TRUE,Inputs!$B$33,0)))*(1-IF(AND(ArtifactsInput!$M$27,Inputs!$B$4="Chapter Hunt"),CHOOSE(ArtifactsInput!$N$27+1,20,24,28,32,36,40),0)/100)))+1)),0)</f>
        <v/>
      </c>
      <c r="S2691">
        <f>IF(C2691,(H2691*N2691*IF(AND(Inputs!$B$39&lt;&gt;"pvp",Inputs!$B$44&gt;0),((Skills!F9*((R2691-1)*IF(Skills!G9&gt;0,INT(Skills!H9/Skills!G9+0.000000001),1)+IF(Skills!G9&gt;0,INT(MIN(Skills!H9,MAX(0,MAX(0,Inputs!$B$44-B2722)-((R2691-1)*(IF(Inputs!$B$39="pvp",15,MAX(0.1,Skills!D9-IF(TRUE=TRUE,Inputs!$B$33,0)))*(1-IF(AND(ArtifactsInput!$M$27,Inputs!$B$4="Chapter Hunt"),CHOOSE(ArtifactsInput!$N$27+1,20,24,28,32,36,40),0)/100)))))/Skills!G9+0.000000001),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INT(Skills!H9/Skills!G9+0.000000001),1)+IF(Skills!G9&gt;0,INT(MIN(Skills!H9,MAX(0,MAX(0,Inputs!$B$44-B2722)-((R2691-1)*(IF(Inputs!$B$39="pvp",15,MAX(0.1,Skills!D9-IF(TRUE=TRUE,Inputs!$B$33,0)))*(1-IF(AND(ArtifactsInput!$M$27,Inputs!$B$4="Chapter Hunt"),CHOOSE(ArtifactsInput!$N$27+1,20,24,28,32,36,40),0)/100)))))/Skills!G9+0.000000001),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IFERROR(1/(IF(Inputs!$B$39="pvp",15,MAX(0.1,Skills!D10-IF(TRUE=TRUE,Inputs!$B$33,0)))*(1-IF(AND(ArtifactsInput!$M$27,Inputs!$B$4="Chapter Hunt"),CHOOSE(ArtifactsInput!$N$27+1,20,24,28,32,36,40),0)/100)),0)</f>
        <v/>
      </c>
      <c r="R2692">
        <f>IF(AND(Inputs!$B$39&lt;&gt;"pvp",Inputs!$B$44&gt;0),IF(MAX(0,Inputs!$B$44-B2722)&lt;=0,0,(INT(MAX(0,Inputs!$B$44-B2722)/(IF(Inputs!$B$39="pvp",15,MAX(0.1,Skills!D10-IF(TRUE=TRUE,Inputs!$B$33,0)))*(1-IF(AND(ArtifactsInput!$M$27,Inputs!$B$4="Chapter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IFERROR(1/(IF(Inputs!$B$39="pvp",15,MAX(0.1,Skills!D11-IF(TRUE=TRUE,Inputs!$B$33,0)))*(1-IF(AND(ArtifactsInput!$M$27,Inputs!$B$4="Chapter Hunt"),CHOOSE(ArtifactsInput!$N$27+1,20,24,28,32,36,40),0)/100)),0)</f>
        <v/>
      </c>
      <c r="R2693">
        <f>IF(AND(Inputs!$B$39&lt;&gt;"pvp",Inputs!$B$44&gt;0),IF(Inputs!$B$44&lt;=0,0,(INT(Inputs!$B$44/(IF(Inputs!$B$39="pvp",15,MAX(0.1,Skills!D11-IF(TRUE=TRUE,Inputs!$B$33,0)))*(1-IF(AND(ArtifactsInput!$M$27,Inputs!$B$4="Chapter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IFERROR(1/(IF(Inputs!$B$39="pvp",15,MAX(0.1,Skills!D12-IF(TRUE=TRUE,Inputs!$B$33,0)))*(1-IF(AND(ArtifactsInput!$M$27,Inputs!$B$4="Chapter Hunt"),CHOOSE(ArtifactsInput!$N$27+1,20,24,28,32,36,40),0)/100)),0)</f>
        <v/>
      </c>
      <c r="R2694">
        <f>IF(AND(Inputs!$B$39&lt;&gt;"pvp",Inputs!$B$44&gt;0),IF(MAX(0,Inputs!$B$44-B2722)&lt;=0,0,(INT(MAX(0,Inputs!$B$44-B2722)/(IF(Inputs!$B$39="pvp",15,MAX(0.1,Skills!D12-IF(TRUE=TRUE,Inputs!$B$33,0)))*(1-IF(AND(ArtifactsInput!$M$27,Inputs!$B$4="Chapter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IFERROR(1/(IF(Inputs!$B$39="pvp",15,MAX(0.1,Skills!D13-IF(TRUE=TRUE,Inputs!$B$33,0)))*(1-IF(AND(ArtifactsInput!$M$27,Inputs!$B$4="Chapter Hunt"),CHOOSE(ArtifactsInput!$N$27+1,20,24,28,32,36,40),0)/100)),0)</f>
        <v/>
      </c>
      <c r="R2695">
        <f>IF(AND(Inputs!$B$39&lt;&gt;"pvp",Inputs!$B$44&gt;0),IF(MAX(0,Inputs!$B$44-B2722)&lt;=0,0,(INT(MAX(0,Inputs!$B$44-B2722)/(IF(Inputs!$B$39="pvp",15,MAX(0.1,Skills!D13-IF(TRUE=TRUE,Inputs!$B$33,0)))*(1-IF(AND(ArtifactsInput!$M$27,Inputs!$B$4="Chapter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IFERROR(1/(IF(Inputs!$B$39="pvp",15,MAX(0.1,Skills!D14-IF(TRUE=TRUE,Inputs!$B$33,0)))*(1-IF(AND(ArtifactsInput!$M$27,Inputs!$B$4="Chapter Hunt"),CHOOSE(ArtifactsInput!$N$27+1,20,24,28,32,36,40),0)/100)),0)</f>
        <v/>
      </c>
      <c r="R2696">
        <f>IF(AND(Inputs!$B$39&lt;&gt;"pvp",Inputs!$B$44&gt;0),IF(Inputs!$B$44&lt;=0,0,(INT(Inputs!$B$44/(IF(Inputs!$B$39="pvp",15,MAX(0.1,Skills!D14-IF(TRUE=TRUE,Inputs!$B$33,0)))*(1-IF(AND(ArtifactsInput!$M$27,Inputs!$B$4="Chapter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IFERROR(1/(IF(Inputs!$B$39="pvp",15,MAX(0.1,Skills!D15-IF(TRUE=TRUE,Inputs!$B$33,0)))*(1-IF(AND(ArtifactsInput!$M$27,Inputs!$B$4="Chapter Hunt"),CHOOSE(ArtifactsInput!$N$27+1,20,24,28,32,36,40),0)/100)),0)</f>
        <v/>
      </c>
      <c r="R2697" t="n">
        <v>0</v>
      </c>
      <c r="S2697">
        <f>IF(C2697,(Skills!F15*N2697*((IF(Inputs!$B$3&gt;=78,25,15)/100*B2718*10)/(1+IF(Inputs!$B$3&gt;=78,25,15)/100*B2718*IF(Inputs!$B$39="pvp",15,MAX(0.1,18-IF(TRUE=TRUE,Inputs!$B$33,0)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IF(Inputs!$B$39="pvp",15,MAX(0.1,18-IF(TRUE=TRUE,Inputs!$B$33,0)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IFERROR(1/(IF(Inputs!$B$39="pvp",15,MAX(0.1,Skills!D16-IF(TRUE=TRUE,Inputs!$B$33,0)))*(1-IF(AND(ArtifactsInput!$M$27,Inputs!$B$4="Chapter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IFERROR(1/(IF(Inputs!$B$39="pvp",15,MAX(0.1,Skills!D17-IF(TRUE=TRUE,Inputs!$B$33,0)))*(1-IF(AND(ArtifactsInput!$M$27,Inputs!$B$4="Chapter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IFERROR(1/(IF(Inputs!$B$39="pvp",15,MAX(0.1,Skills!D18-IF(TRUE=TRUE,Inputs!$B$33,0)))*(1-IF(AND(ArtifactsInput!$M$27,Inputs!$B$4="Chapter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IFERROR(1/(IF(Inputs!$B$39="pvp",15,MAX(0.1,Skills!D19-IF(TRUE=TRUE,Inputs!$B$33,0)))*(1-IF(AND(ArtifactsInput!$M$27,Inputs!$B$4="Chapter Hunt"),CHOOSE(ArtifactsInput!$N$27+1,20,24,28,32,36,40),0)/100)),0)</f>
        <v/>
      </c>
      <c r="R2701">
        <f>IF(AND(Inputs!$B$39&lt;&gt;"pvp",Inputs!$B$44&gt;0),IF(Inputs!$B$44&lt;=0,0,(INT(Inputs!$B$44/(IF(Inputs!$B$39="pvp",15,MAX(0.1,Skills!D19-IF(TRUE=TRUE,Inputs!$B$33,0)))*(1-IF(AND(ArtifactsInput!$M$27,Inputs!$B$4="Chapter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IFERROR(1/(IF(Inputs!$B$39="pvp",15,MAX(0.1,Skills!D20-IF(TRUE=TRUE,Inputs!$B$33,0)))*(1-IF(AND(ArtifactsInput!$M$27,Inputs!$B$4="Chapter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IFERROR(1/(IF(Inputs!$B$39="pvp",15,MAX(0.1,Skills!D21-IF(TRUE=TRUE,Inputs!$B$33,0)))*(1-IF(AND(ArtifactsInput!$M$27,Inputs!$B$4="Chapter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IFERROR(1/(IF(Inputs!$B$39="pvp",15,MAX(0.1,Skills!D22-IF(TRUE=TRUE,Inputs!$B$33,0)))*(1-IF(AND(ArtifactsInput!$M$27,Inputs!$B$4="Chapter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IFERROR(1/(IF(Inputs!$B$39="pvp",15,MAX(0.1,Skills!D23-IF(TRUE=TRUE,Inputs!$B$33,0)))*(1-IF(AND(ArtifactsInput!$M$27,Inputs!$B$4="Chapter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IFERROR(1/(IF(Inputs!$B$39="pvp",15,MAX(0.1,Skills!D24-IF(TRUE=TRUE,Inputs!$B$33,0)))*(1-IF(AND(ArtifactsInput!$M$27,Inputs!$B$4="Chapter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IFERROR(1/(IF(Inputs!$B$39="pvp",15,MAX(0.1,Skills!D25-IF(TRUE=TRUE,Inputs!$B$33,0)))*(1-IF(AND(ArtifactsInput!$M$27,Inputs!$B$4="Chapter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IFERROR(1/(IF(Inputs!$B$39="pvp",15,MAX(0.1,Skills!D26-IF(TRUE=TRUE,Inputs!$B$33,0)))*(1-IF(AND(ArtifactsInput!$M$27,Inputs!$B$4="Chapter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IFERROR(1/(IF(Inputs!$B$39="pvp",15,MAX(0.1,Skills!D27-IF(TRUE=TRUE,Inputs!$B$33,0)))*(1-IF(AND(ArtifactsInput!$M$27,Inputs!$B$4="Chapter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IFERROR(1/(IF(Inputs!$B$39="pvp",15,MAX(0.1,Skills!D28-IF(TRUE=TRUE,Inputs!$B$33,0)))*(1-IF(AND(ArtifactsInput!$M$27,Inputs!$B$4="Chapter Hunt"),CHOOSE(ArtifactsInput!$N$27+1,20,24,28,32,36,40),0)/100)),0)</f>
        <v/>
      </c>
      <c r="R2710">
        <f>IF(AND(Inputs!$B$39&lt;&gt;"pvp",Inputs!$B$44&gt;0),IF(Inputs!$B$44&lt;=0,0,(INT(Inputs!$B$44/(IF(Inputs!$B$39="pvp",15,MAX(0.1,Skills!D28-IF(TRUE=TRUE,Inputs!$B$33,0)))*(1-IF(AND(ArtifactsInput!$M$27,Inputs!$B$4="Chapter Hunt"),CHOOSE(ArtifactsInput!$N$27+1,20,24,28,32,36,40),0)/100)))+1)),0)</f>
        <v/>
      </c>
      <c r="S2710" t="n">
        <v>0</v>
      </c>
      <c r="U2710" t="n">
        <v>0</v>
      </c>
    </row>
    <row r="2712">
      <c r="A2712" t="inlineStr">
        <is>
          <t>Average Buff Multiplier</t>
        </is>
      </c>
      <c r="B2712">
        <f>(1+(IF(C2685=TRUE,F2685*IF(AND(Inputs!$B$39&lt;&gt;"pvp",Inputs!$B$44&gt;0),(((R2685-1)*MIN((Skills!S3*(1+((Inputs!$B$35+(ArtifactsInput!$M$7-ArtifactsInput!$M$7)*CHOOSE(ArtifactsInput!$N$7+1,6,7.2,8.4,9.6,10.8,12)))/100)),(1/Q2685))+MIN((Skills!S3*(1+((Inputs!$B$35+(ArtifactsInput!$M$7-ArtifactsInput!$M$7)*CHOOSE(ArtifactsInput!$N$7+1,6,7.2,8.4,9.6,10.8,12)))/100)),MAX(0,Inputs!$B$44-((R2685-1)*(1/Q2685)))))/Inputs!$B$44),IF(Inputs!$B$39="pvp",MIN((Skills!S3*(1+((Inputs!$B$35+(ArtifactsInput!$M$7-ArtifactsInput!$M$7)*CHOOSE(ArtifactsInput!$N$7+1,6,7.2,8.4,9.6,10.8,12)))/100)),15)/15,MIN(1,(Skills!S3*(1+((Inputs!$B$35+(ArtifactsInput!$M$7-ArtifactsInput!$M$7)*CHOOSE(ArtifactsInput!$N$7+1,6,7.2,8.4,9.6,10.8,12)))/100))/(1/Q2685)))),0)+IF(C2686=TRUE,F2686*IF(AND(Inputs!$B$39&lt;&gt;"pvp",Inputs!$B$44&gt;0),(((R2686-1)*MIN((Skills!S4*(1+((Inputs!$B$35+(ArtifactsInput!$M$7-ArtifactsInput!$M$7)*CHOOSE(ArtifactsInput!$N$7+1,6,7.2,8.4,9.6,10.8,12)))/100)),(1/Q2686))+MIN((Skills!S4*(1+((Inputs!$B$35+(ArtifactsInput!$M$7-ArtifactsInput!$M$7)*CHOOSE(ArtifactsInput!$N$7+1,6,7.2,8.4,9.6,10.8,12)))/100)),MAX(0,Inputs!$B$44-((R2686-1)*(1/Q2686)))))/Inputs!$B$44),IF(Inputs!$B$39="pvp",MIN((Skills!S4*(1+((Inputs!$B$35+(ArtifactsInput!$M$7-ArtifactsInput!$M$7)*CHOOSE(ArtifactsInput!$N$7+1,6,7.2,8.4,9.6,10.8,12)))/100)),15)/15,MIN(1,(Skills!S4*(1+((Inputs!$B$35+(ArtifactsInput!$M$7-ArtifactsInput!$M$7)*CHOOSE(ArtifactsInput!$N$7+1,6,7.2,8.4,9.6,10.8,12)))/100))/(1/Q2686)))),0)+IF(C2687=TRUE,F2687*IF(AND(Inputs!$B$39&lt;&gt;"pvp",Inputs!$B$44&gt;0),(((R2687-1)*MIN((Skills!S5*(1+((Inputs!$B$35+(ArtifactsInput!$M$7-ArtifactsInput!$M$7)*CHOOSE(ArtifactsInput!$N$7+1,6,7.2,8.4,9.6,10.8,12)))/100)),(1/Q2687))+MIN((Skills!S5*(1+((Inputs!$B$35+(ArtifactsInput!$M$7-ArtifactsInput!$M$7)*CHOOSE(ArtifactsInput!$N$7+1,6,7.2,8.4,9.6,10.8,12)))/100)),MAX(0,Inputs!$B$44-((R2687-1)*(1/Q2687)))))/Inputs!$B$44),IF(Inputs!$B$39="pvp",MIN((Skills!S5*(1+((Inputs!$B$35+(ArtifactsInput!$M$7-ArtifactsInput!$M$7)*CHOOSE(ArtifactsInput!$N$7+1,6,7.2,8.4,9.6,10.8,12)))/100)),15)/15,MIN(1,(Skills!S5*(1+((Inputs!$B$35+(ArtifactsInput!$M$7-ArtifactsInput!$M$7)*CHOOSE(ArtifactsInput!$N$7+1,6,7.2,8.4,9.6,10.8,12)))/100))/(1/Q2687)))),0)+IF(C2693=TRUE,F2693*IF(AND(Inputs!$B$39&lt;&gt;"pvp",Inputs!$B$44&gt;0),(((R2693-1)*MIN((Skills!S11*(1+((Inputs!$B$35+(ArtifactsInput!$M$7-ArtifactsInput!$M$7)*CHOOSE(ArtifactsInput!$N$7+1,6,7.2,8.4,9.6,10.8,12)))/100)),(1/Q2693))+MIN((Skills!S11*(1+((Inputs!$B$35+(ArtifactsInput!$M$7-ArtifactsInput!$M$7)*CHOOSE(ArtifactsInput!$N$7+1,6,7.2,8.4,9.6,10.8,12)))/100)),MAX(0,Inputs!$B$44-((R2693-1)*(1/Q2693)))))/Inputs!$B$44),IF(Inputs!$B$39="pvp",MIN((Skills!S11*(1+((Inputs!$B$35+(ArtifactsInput!$M$7-ArtifactsInput!$M$7)*CHOOSE(ArtifactsInput!$N$7+1,6,7.2,8.4,9.6,10.8,12)))/100)),15)/15,MIN(1,(Skills!S11*(1+((Inputs!$B$35+(ArtifactsInput!$M$7-ArtifactsInput!$M$7)*CHOOSE(ArtifactsInput!$N$7+1,6,7.2,8.4,9.6,10.8,12)))/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MIN((Skills!S14*(1+((Inputs!$B$35+(ArtifactsInput!$M$7-ArtifactsInput!$M$7)*CHOOSE(ArtifactsInput!$N$7+1,6,7.2,8.4,9.6,10.8,12)))/100)),(1/Q2696))+MIN((Skills!S14*(1+((Inputs!$B$35+(ArtifactsInput!$M$7-ArtifactsInput!$M$7)*CHOOSE(ArtifactsInput!$N$7+1,6,7.2,8.4,9.6,10.8,12)))/100)),MAX(0,Inputs!$B$44-((R2696-1)*(1/Q2696)))))/Inputs!$B$44),IF(Inputs!$B$39="pvp",MIN((Skills!S14*(1+((Inputs!$B$35+(ArtifactsInput!$M$7-ArtifactsInput!$M$7)*CHOOSE(ArtifactsInput!$N$7+1,6,7.2,8.4,9.6,10.8,12)))/100)),15)/15,MIN(1,(Skills!S14*(1+((Inputs!$B$35+(ArtifactsInput!$M$7-ArtifactsInput!$M$7)*CHOOSE(ArtifactsInput!$N$7+1,6,7.2,8.4,9.6,10.8,12)))/100))/(1/Q2696))))/100),1)*IF(C2701=TRUE,(1+F2701*IF(AND(Inputs!$B$39&lt;&gt;"pvp",Inputs!$B$44&gt;0),(((R2701-1)*MIN((Skills!S19*(1+((Inputs!$B$35+(ArtifactsInput!$M$7-ArtifactsInput!$M$7)*CHOOSE(ArtifactsInput!$N$7+1,6,7.2,8.4,9.6,10.8,12)))/100)),(1/Q2701))+MIN((Skills!S19*(1+((Inputs!$B$35+(ArtifactsInput!$M$7-ArtifactsInput!$M$7)*CHOOSE(ArtifactsInput!$N$7+1,6,7.2,8.4,9.6,10.8,12)))/100)),MAX(0,Inputs!$B$44-((R2701-1)*(1/Q2701)))))/Inputs!$B$44),IF(Inputs!$B$39="pvp",MIN((Skills!S19*(1+((Inputs!$B$35+(ArtifactsInput!$M$7-ArtifactsInput!$M$7)*CHOOSE(ArtifactsInput!$N$7+1,6,7.2,8.4,9.6,10.8,12)))/100)),15)/15,MIN(1,(Skills!S19*(1+((Inputs!$B$35+(ArtifactsInput!$M$7-ArtifactsInput!$M$7)*CHOOSE(ArtifactsInput!$N$7+1,6,7.2,8.4,9.6,10.8,12)))/100))/(1/Q2701))))/100),1)</f>
        <v/>
      </c>
    </row>
    <row r="2713">
      <c r="A2713" t="inlineStr">
        <is>
          <t>Monster Damage Taken Bonus % (Holy Fountain)</t>
        </is>
      </c>
      <c r="B2713">
        <f>IF(Inputs!$B$3&gt;=68,20*IF(Inputs!$B$39="pvp",MIN((15*(1+((Inputs!$B$35+(ArtifactsInput!$M$7-ArtifactsInput!$M$7)*CHOOSE(ArtifactsInput!$N$7+1,6,7.2,8.4,9.6,10.8,12)))/100)),15)/15,MIN(1,(15*(1+((Inputs!$B$35+(ArtifactsInput!$M$7-ArtifactsInput!$M$7)*CHOOSE(ArtifactsInput!$N$7+1,6,7.2,8.4,9.6,10.8,12)))/100))/(1/Q2692))),0)</f>
        <v/>
      </c>
    </row>
    <row r="2714">
      <c r="A2714" t="inlineStr">
        <is>
          <t>Normal Monster Damage Bonus % (Holy Symbol)</t>
        </is>
      </c>
      <c r="B2714">
        <f>IF(C2694=TRUE,F2694*IF(AND(Inputs!$B$39&lt;&gt;"pvp",Inputs!$B$44&gt;0),(((R2694-1)*MIN((Skills!S12*(1+((Inputs!$B$35+(ArtifactsInput!$M$7-ArtifactsInput!$M$7)*CHOOSE(ArtifactsInput!$N$7+1,6,7.2,8.4,9.6,10.8,12)))/100)),(1/Q2694))+MIN((Skills!S12*(1+((Inputs!$B$35+(ArtifactsInput!$M$7-ArtifactsInput!$M$7)*CHOOSE(ArtifactsInput!$N$7+1,6,7.2,8.4,9.6,10.8,12)))/100)),MAX(0,Inputs!$B$44-((R2694-1)*(1/Q2694)))))/Inputs!$B$44),IF(Inputs!$B$39="pvp",MIN((Skills!S12*(1+((Inputs!$B$35+(ArtifactsInput!$M$7-ArtifactsInput!$M$7)*CHOOSE(ArtifactsInput!$N$7+1,6,7.2,8.4,9.6,10.8,12)))/100)),15)/15,MIN(1,(Skills!S12*(1+((Inputs!$B$35+(ArtifactsInput!$M$7-ArtifactsInput!$M$7)*CHOOSE(ArtifactsInput!$N$7+1,6,7.2,8.4,9.6,10.8,12)))/100))/(1/Q2694)))),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MIN((Skills!S28*(1+((Inputs!$B$35+(ArtifactsInput!$M$7-ArtifactsInput!$M$7)*CHOOSE(ArtifactsInput!$N$7+1,6,7.2,8.4,9.6,10.8,12)))/100)),(1/Q2710))+MIN((Skills!S28*(1+((Inputs!$B$35+(ArtifactsInput!$M$7-ArtifactsInput!$M$7)*CHOOSE(ArtifactsInput!$N$7+1,6,7.2,8.4,9.6,10.8,12)))/100)),MAX(0,Inputs!$B$44-((R2710-1)*(1/Q2710)))))/Inputs!$B$44),IF(Inputs!$B$39="pvp",MIN((Skills!S28*(1+((Inputs!$B$35+(ArtifactsInput!$M$7-ArtifactsInput!$M$7)*CHOOSE(ArtifactsInput!$N$7+1,6,7.2,8.4,9.6,10.8,12)))/100)),15)/15,MIN(1,(Skills!S28*(1+((Inputs!$B$35+(ArtifactsInput!$M$7-ArtifactsInput!$M$7)*CHOOSE(ArtifactsInput!$N$7+1,6,7.2,8.4,9.6,10.8,12)))/100))/(1/Q2710)))))</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MIN((Skills!S13*(1+((Inputs!$B$35+(ArtifactsInput!$M$7-ArtifactsInput!$M$7)*CHOOSE(ArtifactsInput!$N$7+1,6,7.2,8.4,9.6,10.8,12)))/100)),(1/Q2695))+MIN((Skills!S13*(1+((Inputs!$B$35+(ArtifactsInput!$M$7-ArtifactsInput!$M$7)*CHOOSE(ArtifactsInput!$N$7+1,6,7.2,8.4,9.6,10.8,12)))/100)),MAX(0,Inputs!$B$44-((R2695-1)*(1/Q2695)))))/Inputs!$B$44),IF(Inputs!$B$39="pvp",MIN((Skills!S13*(1+((Inputs!$B$35+(ArtifactsInput!$M$7-ArtifactsInput!$M$7)*CHOOSE(ArtifactsInput!$N$7+1,6,7.2,8.4,9.6,10.8,12)))/100)),15)/15,MIN(1,(Skills!S13*(1+((Inputs!$B$35+(ArtifactsInput!$M$7-ArtifactsInput!$M$7)*CHOOSE(ArtifactsInput!$N$7+1,6,7.2,8.4,9.6,10.8,12)))/100))/(1/Q2695)))),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IFERROR(1/(IF(Inputs!$B$39="pvp",15,MAX(0.1,Skills!D2-IF(TRUE=TRUE,Inputs!$B$33,0)))*(1-IF(AND(ArtifactsInput!$M$27,Inputs!$B$4="Chapter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IFERROR(1/(IF(Inputs!$B$39="pvp",15,MAX(0.1,Skills!D3-IF(TRUE=TRUE,Inputs!$B$33,0)))*(1-IF(AND(ArtifactsInput!$M$27,Inputs!$B$4="Chapter Hunt"),CHOOSE(ArtifactsInput!$N$27+1,20,24,28,32,36,40),0)/100)),0)</f>
        <v/>
      </c>
      <c r="R2730">
        <f>IF(AND(Inputs!$B$39&lt;&gt;"pvp",Inputs!$B$44&gt;0),IF(Inputs!$B$44&lt;=0,0,(INT(Inputs!$B$44/(IF(Inputs!$B$39="pvp",15,MAX(0.1,Skills!D3-IF(TRUE=TRUE,Inputs!$B$33,0)))*(1-IF(AND(ArtifactsInput!$M$27,Inputs!$B$4="Chapter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IFERROR(1/(IF(Inputs!$B$39="pvp",15,MAX(0.1,Skills!D4-IF(TRUE=TRUE,Inputs!$B$33,0)))*(1-IF(AND(ArtifactsInput!$M$27,Inputs!$B$4="Chapter Hunt"),CHOOSE(ArtifactsInput!$N$27+1,20,24,28,32,36,40),0)/100)),0)</f>
        <v/>
      </c>
      <c r="R2731">
        <f>IF(AND(Inputs!$B$39&lt;&gt;"pvp",Inputs!$B$44&gt;0),IF(Inputs!$B$44&lt;=0,0,(INT(Inputs!$B$44/(IF(Inputs!$B$39="pvp",15,MAX(0.1,Skills!D4-IF(TRUE=TRUE,Inputs!$B$33,0)))*(1-IF(AND(ArtifactsInput!$M$27,Inputs!$B$4="Chapter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IFERROR(1/(IF(Inputs!$B$39="pvp",15,MAX(0.1,Skills!D5-IF(TRUE=TRUE,Inputs!$B$33,0)))*(1-IF(AND(ArtifactsInput!$M$27,Inputs!$B$4="Chapter Hunt"),CHOOSE(ArtifactsInput!$N$27+1,20,24,28,32,36,40),0)/100)),0)</f>
        <v/>
      </c>
      <c r="R2732">
        <f>IF(AND(Inputs!$B$39&lt;&gt;"pvp",Inputs!$B$44&gt;0),IF(Inputs!$B$44&lt;=0,0,(INT(Inputs!$B$44/(IF(Inputs!$B$39="pvp",15,MAX(0.1,Skills!D5-IF(TRUE=TRUE,Inputs!$B$33,0)))*(1-IF(AND(ArtifactsInput!$M$27,Inputs!$B$4="Chapter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IFERROR(1/(IF(Inputs!$B$39="pvp",15,MAX(0.1,Skills!D6-IF(TRUE=TRUE,Inputs!$B$33,0)))*(1-IF(AND(ArtifactsInput!$M$27,Inputs!$B$4="Chapter Hunt"),CHOOSE(ArtifactsInput!$N$27+1,20,24,28,32,36,40),0)/100)),0)</f>
        <v/>
      </c>
      <c r="R2733">
        <f>IF(AND(Inputs!$B$39&lt;&gt;"pvp",Inputs!$B$44&gt;0),IF(MAX(0,Inputs!$B$44-B2767)&lt;=0,0,(INT(MAX(0,Inputs!$B$44-B2767)/(IF(Inputs!$B$39="pvp",15,MAX(0.1,Skills!D6-IF(TRUE=TRUE,Inputs!$B$33,0)))*(1-IF(AND(ArtifactsInput!$M$27,Inputs!$B$4="Chapter Hunt"),CHOOSE(ArtifactsInput!$N$27+1,20,24,28,32,36,40),0)/100)))+1)),0)</f>
        <v/>
      </c>
      <c r="S2733">
        <f>IF(C2733,(H2733*N2733*IF(AND(Inputs!$B$39&lt;&gt;"pvp",Inputs!$B$44&gt;0),((Skills!F6*((R2733-1)*IF(Skills!G6&gt;0,INT(Skills!H6/Skills!G6+0.000000001),1)+IF(Skills!G6&gt;0,INT(MIN(Skills!H6,MAX(0,MAX(0,Inputs!$B$44-B2767)-((R2733-1)*(IF(Inputs!$B$39="pvp",15,MAX(0.1,Skills!D6-IF(TRUE=TRUE,Inputs!$B$33,0)))*(1-IF(AND(ArtifactsInput!$M$27,Inputs!$B$4="Chapter Hunt"),CHOOSE(ArtifactsInput!$N$27+1,20,24,28,32,36,40),0)/100)))))/Skills!G6+0.000000001),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INT(Skills!H6/Skills!G6+0.000000001),1)+IF(Skills!G6&gt;0,INT(MIN(Skills!H6,MAX(0,MAX(0,Inputs!$B$44-B2767)-((R2733-1)*(IF(Inputs!$B$39="pvp",15,MAX(0.1,Skills!D6-IF(TRUE=TRUE,Inputs!$B$33,0)))*(1-IF(AND(ArtifactsInput!$M$27,Inputs!$B$4="Chapter Hunt"),CHOOSE(ArtifactsInput!$N$27+1,20,24,28,32,36,40),0)/100)))))/Skills!G6+0.000000001),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IFERROR(1/(IF(Inputs!$B$39="pvp",15,MAX(0.1,Skills!D7-IF(TRUE=TRUE,Inputs!$B$33,0)))*(1-IF(AND(ArtifactsInput!$M$27,Inputs!$B$4="Chapter Hunt"),CHOOSE(ArtifactsInput!$N$27+1,20,24,28,32,36,40),0)/100)),0)</f>
        <v/>
      </c>
      <c r="R2734">
        <f>IF(AND(Inputs!$B$39&lt;&gt;"pvp",Inputs!$B$44&gt;0),IF(MAX(0,Inputs!$B$44-B2767)&lt;=0,0,(INT(MAX(0,Inputs!$B$44-B2767)/(IF(Inputs!$B$39="pvp",15,MAX(0.1,Skills!D7-IF(TRUE=TRUE,Inputs!$B$33,0)))*(1-IF(AND(ArtifactsInput!$M$27,Inputs!$B$4="Chapter Hunt"),CHOOSE(ArtifactsInput!$N$27+1,20,24,28,32,36,40),0)/100)))+1)),0)</f>
        <v/>
      </c>
      <c r="S2734">
        <f>IF(C2734,H2734*N2734*IF(AND(Inputs!$B$39&lt;&gt;"pvp",Inputs!$B$44&gt;0),((Skills!F7*((R2734-1)*IF(Skills!G7&gt;0,INT(Skills!H7/Skills!G7+0.000000001),1)+IF(Skills!G7&gt;0,INT(MIN(Skills!H7,MAX(0,MAX(0,Inputs!$B$44-B2767)-((R2734-1)*(IF(Inputs!$B$39="pvp",15,MAX(0.1,Skills!D7-IF(TRUE=TRUE,Inputs!$B$33,0)))*(1-IF(AND(ArtifactsInput!$M$27,Inputs!$B$4="Chapter Hunt"),CHOOSE(ArtifactsInput!$N$27+1,20,24,28,32,36,40),0)/100)))))/Skills!G7+0.000000001),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IFERROR(1/(IF(Inputs!$B$39="pvp",15,MAX(0.1,Skills!D8-IF(TRUE=TRUE,Inputs!$B$33,0)))*(1-IF(AND(ArtifactsInput!$M$27,Inputs!$B$4="Chapter Hunt"),CHOOSE(ArtifactsInput!$N$27+1,20,24,28,32,36,40),0)/100)),0)</f>
        <v/>
      </c>
      <c r="R2735">
        <f>IF(AND(Inputs!$B$39&lt;&gt;"pvp",Inputs!$B$44&gt;0),IF(MAX(0,Inputs!$B$44-B2767)&lt;=0,0,(INT(MAX(0,Inputs!$B$44-B2767)/(IF(Inputs!$B$39="pvp",15,MAX(0.1,Skills!D8-IF(TRUE=TRUE,Inputs!$B$33,0)))*(1-IF(AND(ArtifactsInput!$M$27,Inputs!$B$4="Chapter Hunt"),CHOOSE(ArtifactsInput!$N$27+1,20,24,28,32,36,40),0)/100)))+1)),0)</f>
        <v/>
      </c>
      <c r="S2735">
        <f>IF(C2735,(H2735*N2735*IF(AND(Inputs!$B$39&lt;&gt;"pvp",Inputs!$B$44&gt;0),((Skills!F8*((R2735-1)*IF(Skills!G8&gt;0,INT(Skills!H8/Skills!G8+0.000000001),1)+IF(Skills!G8&gt;0,INT(MIN(Skills!H8,MAX(0,MAX(0,Inputs!$B$44-B2767)-((R2735-1)*(IF(Inputs!$B$39="pvp",15,MAX(0.1,Skills!D8-IF(TRUE=TRUE,Inputs!$B$33,0)))*(1-IF(AND(ArtifactsInput!$M$27,Inputs!$B$4="Chapter Hunt"),CHOOSE(ArtifactsInput!$N$27+1,20,24,28,32,36,40),0)/100)))))/Skills!G8+0.000000001),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INT(Skills!H8/Skills!G8+0.000000001),1)+IF(Skills!G8&gt;0,INT(MIN(Skills!H8,MAX(0,MAX(0,Inputs!$B$44-B2767)-((R2735-1)*(IF(Inputs!$B$39="pvp",15,MAX(0.1,Skills!D8-IF(TRUE=TRUE,Inputs!$B$33,0)))*(1-IF(AND(ArtifactsInput!$M$27,Inputs!$B$4="Chapter Hunt"),CHOOSE(ArtifactsInput!$N$27+1,20,24,28,32,36,40),0)/100)))))/Skills!G8+0.000000001),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IFERROR(1/(IF(Inputs!$B$39="pvp",15,MAX(0.1,Skills!D9-IF(TRUE=TRUE,Inputs!$B$33,0)))*(1-IF(AND(ArtifactsInput!$M$27,Inputs!$B$4="Chapter Hunt"),CHOOSE(ArtifactsInput!$N$27+1,20,24,28,32,36,40),0)/100)),0)</f>
        <v/>
      </c>
      <c r="R2736">
        <f>IF(AND(Inputs!$B$39&lt;&gt;"pvp",Inputs!$B$44&gt;0),IF(MAX(0,Inputs!$B$44-B2767)&lt;=0,0,(INT(MAX(0,Inputs!$B$44-B2767)/(IF(Inputs!$B$39="pvp",15,MAX(0.1,Skills!D9-IF(TRUE=TRUE,Inputs!$B$33,0)))*(1-IF(AND(ArtifactsInput!$M$27,Inputs!$B$4="Chapter Hunt"),CHOOSE(ArtifactsInput!$N$27+1,20,24,28,32,36,40),0)/100)))+1)),0)</f>
        <v/>
      </c>
      <c r="S2736">
        <f>IF(C2736,(H2736*N2736*IF(AND(Inputs!$B$39&lt;&gt;"pvp",Inputs!$B$44&gt;0),((Skills!F9*((R2736-1)*IF(Skills!G9&gt;0,INT(Skills!H9/Skills!G9+0.000000001),1)+IF(Skills!G9&gt;0,INT(MIN(Skills!H9,MAX(0,MAX(0,Inputs!$B$44-B2767)-((R2736-1)*(IF(Inputs!$B$39="pvp",15,MAX(0.1,Skills!D9-IF(TRUE=TRUE,Inputs!$B$33,0)))*(1-IF(AND(ArtifactsInput!$M$27,Inputs!$B$4="Chapter Hunt"),CHOOSE(ArtifactsInput!$N$27+1,20,24,28,32,36,40),0)/100)))))/Skills!G9+0.000000001),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INT(Skills!H9/Skills!G9+0.000000001),1)+IF(Skills!G9&gt;0,INT(MIN(Skills!H9,MAX(0,MAX(0,Inputs!$B$44-B2767)-((R2736-1)*(IF(Inputs!$B$39="pvp",15,MAX(0.1,Skills!D9-IF(TRUE=TRUE,Inputs!$B$33,0)))*(1-IF(AND(ArtifactsInput!$M$27,Inputs!$B$4="Chapter Hunt"),CHOOSE(ArtifactsInput!$N$27+1,20,24,28,32,36,40),0)/100)))))/Skills!G9+0.000000001),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IFERROR(1/(IF(Inputs!$B$39="pvp",15,MAX(0.1,Skills!D10-IF(TRUE=TRUE,Inputs!$B$33,0)))*(1-IF(AND(ArtifactsInput!$M$27,Inputs!$B$4="Chapter Hunt"),CHOOSE(ArtifactsInput!$N$27+1,20,24,28,32,36,40),0)/100)),0)</f>
        <v/>
      </c>
      <c r="R2737">
        <f>IF(AND(Inputs!$B$39&lt;&gt;"pvp",Inputs!$B$44&gt;0),IF(MAX(0,Inputs!$B$44-B2767)&lt;=0,0,(INT(MAX(0,Inputs!$B$44-B2767)/(IF(Inputs!$B$39="pvp",15,MAX(0.1,Skills!D10-IF(TRUE=TRUE,Inputs!$B$33,0)))*(1-IF(AND(ArtifactsInput!$M$27,Inputs!$B$4="Chapter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IFERROR(1/(IF(Inputs!$B$39="pvp",15,MAX(0.1,Skills!D11-IF(TRUE=TRUE,Inputs!$B$33,0)))*(1-IF(AND(ArtifactsInput!$M$27,Inputs!$B$4="Chapter Hunt"),CHOOSE(ArtifactsInput!$N$27+1,20,24,28,32,36,40),0)/100)),0)</f>
        <v/>
      </c>
      <c r="R2738">
        <f>IF(AND(Inputs!$B$39&lt;&gt;"pvp",Inputs!$B$44&gt;0),IF(Inputs!$B$44&lt;=0,0,(INT(Inputs!$B$44/(IF(Inputs!$B$39="pvp",15,MAX(0.1,Skills!D11-IF(TRUE=TRUE,Inputs!$B$33,0)))*(1-IF(AND(ArtifactsInput!$M$27,Inputs!$B$4="Chapter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IFERROR(1/(IF(Inputs!$B$39="pvp",15,MAX(0.1,Skills!D12-IF(TRUE=TRUE,Inputs!$B$33,0)))*(1-IF(AND(ArtifactsInput!$M$27,Inputs!$B$4="Chapter Hunt"),CHOOSE(ArtifactsInput!$N$27+1,20,24,28,32,36,40),0)/100)),0)</f>
        <v/>
      </c>
      <c r="R2739">
        <f>IF(AND(Inputs!$B$39&lt;&gt;"pvp",Inputs!$B$44&gt;0),IF(MAX(0,Inputs!$B$44-B2767)&lt;=0,0,(INT(MAX(0,Inputs!$B$44-B2767)/(IF(Inputs!$B$39="pvp",15,MAX(0.1,Skills!D12-IF(TRUE=TRUE,Inputs!$B$33,0)))*(1-IF(AND(ArtifactsInput!$M$27,Inputs!$B$4="Chapter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IFERROR(1/(IF(Inputs!$B$39="pvp",15,MAX(0.1,Skills!D13-IF(TRUE=TRUE,Inputs!$B$33,0)))*(1-IF(AND(ArtifactsInput!$M$27,Inputs!$B$4="Chapter Hunt"),CHOOSE(ArtifactsInput!$N$27+1,20,24,28,32,36,40),0)/100)),0)</f>
        <v/>
      </c>
      <c r="R2740">
        <f>IF(AND(Inputs!$B$39&lt;&gt;"pvp",Inputs!$B$44&gt;0),IF(MAX(0,Inputs!$B$44-B2767)&lt;=0,0,(INT(MAX(0,Inputs!$B$44-B2767)/(IF(Inputs!$B$39="pvp",15,MAX(0.1,Skills!D13-IF(TRUE=TRUE,Inputs!$B$33,0)))*(1-IF(AND(ArtifactsInput!$M$27,Inputs!$B$4="Chapter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IFERROR(1/(IF(Inputs!$B$39="pvp",15,MAX(0.1,Skills!D14-IF(TRUE=TRUE,Inputs!$B$33,0)))*(1-IF(AND(ArtifactsInput!$M$27,Inputs!$B$4="Chapter Hunt"),CHOOSE(ArtifactsInput!$N$27+1,20,24,28,32,36,40),0)/100)),0)</f>
        <v/>
      </c>
      <c r="R2741">
        <f>IF(AND(Inputs!$B$39&lt;&gt;"pvp",Inputs!$B$44&gt;0),IF(Inputs!$B$44&lt;=0,0,(INT(Inputs!$B$44/(IF(Inputs!$B$39="pvp",15,MAX(0.1,Skills!D14-IF(TRUE=TRUE,Inputs!$B$33,0)))*(1-IF(AND(ArtifactsInput!$M$27,Inputs!$B$4="Chapter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IFERROR(1/(IF(Inputs!$B$39="pvp",15,MAX(0.1,Skills!D15-IF(TRUE=TRUE,Inputs!$B$33,0)))*(1-IF(AND(ArtifactsInput!$M$27,Inputs!$B$4="Chapter Hunt"),CHOOSE(ArtifactsInput!$N$27+1,20,24,28,32,36,40),0)/100)),0)</f>
        <v/>
      </c>
      <c r="R2742" t="n">
        <v>0</v>
      </c>
      <c r="S2742">
        <f>IF(C2742,(Skills!F15*N2742*((IF(Inputs!$B$3&gt;=78,25,15)/100*B2763*10)/(1+IF(Inputs!$B$3&gt;=78,25,15)/100*B2763*IF(Inputs!$B$39="pvp",15,MAX(0.1,18-IF(TRUE=TRUE,Inputs!$B$33,0)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IF(Inputs!$B$39="pvp",15,MAX(0.1,18-IF(TRUE=TRUE,Inputs!$B$33,0)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IFERROR(1/(IF(Inputs!$B$39="pvp",15,MAX(0.1,Skills!D16-IF(TRUE=TRUE,Inputs!$B$33,0)))*(1-IF(AND(ArtifactsInput!$M$27,Inputs!$B$4="Chapter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IFERROR(1/(IF(Inputs!$B$39="pvp",15,MAX(0.1,Skills!D17-IF(TRUE=TRUE,Inputs!$B$33,0)))*(1-IF(AND(ArtifactsInput!$M$27,Inputs!$B$4="Chapter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IFERROR(1/(IF(Inputs!$B$39="pvp",15,MAX(0.1,Skills!D18-IF(TRUE=TRUE,Inputs!$B$33,0)))*(1-IF(AND(ArtifactsInput!$M$27,Inputs!$B$4="Chapter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IFERROR(1/(IF(Inputs!$B$39="pvp",15,MAX(0.1,Skills!D19-IF(TRUE=TRUE,Inputs!$B$33,0)))*(1-IF(AND(ArtifactsInput!$M$27,Inputs!$B$4="Chapter Hunt"),CHOOSE(ArtifactsInput!$N$27+1,20,24,28,32,36,40),0)/100)),0)</f>
        <v/>
      </c>
      <c r="R2746">
        <f>IF(AND(Inputs!$B$39&lt;&gt;"pvp",Inputs!$B$44&gt;0),IF(Inputs!$B$44&lt;=0,0,(INT(Inputs!$B$44/(IF(Inputs!$B$39="pvp",15,MAX(0.1,Skills!D19-IF(TRUE=TRUE,Inputs!$B$33,0)))*(1-IF(AND(ArtifactsInput!$M$27,Inputs!$B$4="Chapter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IFERROR(1/(IF(Inputs!$B$39="pvp",15,MAX(0.1,Skills!D20-IF(TRUE=TRUE,Inputs!$B$33,0)))*(1-IF(AND(ArtifactsInput!$M$27,Inputs!$B$4="Chapter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IFERROR(1/(IF(Inputs!$B$39="pvp",15,MAX(0.1,Skills!D21-IF(TRUE=TRUE,Inputs!$B$33,0)))*(1-IF(AND(ArtifactsInput!$M$27,Inputs!$B$4="Chapter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IFERROR(1/(IF(Inputs!$B$39="pvp",15,MAX(0.1,Skills!D22-IF(TRUE=TRUE,Inputs!$B$33,0)))*(1-IF(AND(ArtifactsInput!$M$27,Inputs!$B$4="Chapter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IFERROR(1/(IF(Inputs!$B$39="pvp",15,MAX(0.1,Skills!D23-IF(TRUE=TRUE,Inputs!$B$33,0)))*(1-IF(AND(ArtifactsInput!$M$27,Inputs!$B$4="Chapter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IFERROR(1/(IF(Inputs!$B$39="pvp",15,MAX(0.1,Skills!D24-IF(TRUE=TRUE,Inputs!$B$33,0)))*(1-IF(AND(ArtifactsInput!$M$27,Inputs!$B$4="Chapter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IFERROR(1/(IF(Inputs!$B$39="pvp",15,MAX(0.1,Skills!D25-IF(TRUE=TRUE,Inputs!$B$33,0)))*(1-IF(AND(ArtifactsInput!$M$27,Inputs!$B$4="Chapter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IFERROR(1/(IF(Inputs!$B$39="pvp",15,MAX(0.1,Skills!D26-IF(TRUE=TRUE,Inputs!$B$33,0)))*(1-IF(AND(ArtifactsInput!$M$27,Inputs!$B$4="Chapter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IFERROR(1/(IF(Inputs!$B$39="pvp",15,MAX(0.1,Skills!D27-IF(TRUE=TRUE,Inputs!$B$33,0)))*(1-IF(AND(ArtifactsInput!$M$27,Inputs!$B$4="Chapter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IFERROR(1/(IF(Inputs!$B$39="pvp",15,MAX(0.1,Skills!D28-IF(TRUE=TRUE,Inputs!$B$33,0)))*(1-IF(AND(ArtifactsInput!$M$27,Inputs!$B$4="Chapter Hunt"),CHOOSE(ArtifactsInput!$N$27+1,20,24,28,32,36,40),0)/100)),0)</f>
        <v/>
      </c>
      <c r="R2755">
        <f>IF(AND(Inputs!$B$39&lt;&gt;"pvp",Inputs!$B$44&gt;0),IF(Inputs!$B$44&lt;=0,0,(INT(Inputs!$B$44/(IF(Inputs!$B$39="pvp",15,MAX(0.1,Skills!D28-IF(TRUE=TRUE,Inputs!$B$33,0)))*(1-IF(AND(ArtifactsInput!$M$27,Inputs!$B$4="Chapter Hunt"),CHOOSE(ArtifactsInput!$N$27+1,20,24,28,32,36,40),0)/100)))+1)),0)</f>
        <v/>
      </c>
      <c r="S2755" t="n">
        <v>0</v>
      </c>
      <c r="U2755" t="n">
        <v>0</v>
      </c>
    </row>
    <row r="2757">
      <c r="A2757" t="inlineStr">
        <is>
          <t>Average Buff Multiplier</t>
        </is>
      </c>
      <c r="B2757">
        <f>(1+(IF(C2730=TRUE,F2730*IF(AND(Inputs!$B$39&lt;&gt;"pvp",Inputs!$B$44&gt;0),(((R2730-1)*MIN((Skills!S3*(1+((Inputs!$B$35+(ArtifactsInput!$M$7-ArtifactsInput!$M$7)*CHOOSE(ArtifactsInput!$N$7+1,6,7.2,8.4,9.6,10.8,12)))/100)),(1/Q2730))+MIN((Skills!S3*(1+((Inputs!$B$35+(ArtifactsInput!$M$7-ArtifactsInput!$M$7)*CHOOSE(ArtifactsInput!$N$7+1,6,7.2,8.4,9.6,10.8,12)))/100)),MAX(0,Inputs!$B$44-((R2730-1)*(1/Q2730)))))/Inputs!$B$44),IF(Inputs!$B$39="pvp",MIN((Skills!S3*(1+((Inputs!$B$35+(ArtifactsInput!$M$7-ArtifactsInput!$M$7)*CHOOSE(ArtifactsInput!$N$7+1,6,7.2,8.4,9.6,10.8,12)))/100)),15)/15,MIN(1,(Skills!S3*(1+((Inputs!$B$35+(ArtifactsInput!$M$7-ArtifactsInput!$M$7)*CHOOSE(ArtifactsInput!$N$7+1,6,7.2,8.4,9.6,10.8,12)))/100))/(1/Q2730)))),0)+IF(C2731=TRUE,F2731*IF(AND(Inputs!$B$39&lt;&gt;"pvp",Inputs!$B$44&gt;0),(((R2731-1)*MIN((Skills!S4*(1+((Inputs!$B$35+(ArtifactsInput!$M$7-ArtifactsInput!$M$7)*CHOOSE(ArtifactsInput!$N$7+1,6,7.2,8.4,9.6,10.8,12)))/100)),(1/Q2731))+MIN((Skills!S4*(1+((Inputs!$B$35+(ArtifactsInput!$M$7-ArtifactsInput!$M$7)*CHOOSE(ArtifactsInput!$N$7+1,6,7.2,8.4,9.6,10.8,12)))/100)),MAX(0,Inputs!$B$44-((R2731-1)*(1/Q2731)))))/Inputs!$B$44),IF(Inputs!$B$39="pvp",MIN((Skills!S4*(1+((Inputs!$B$35+(ArtifactsInput!$M$7-ArtifactsInput!$M$7)*CHOOSE(ArtifactsInput!$N$7+1,6,7.2,8.4,9.6,10.8,12)))/100)),15)/15,MIN(1,(Skills!S4*(1+((Inputs!$B$35+(ArtifactsInput!$M$7-ArtifactsInput!$M$7)*CHOOSE(ArtifactsInput!$N$7+1,6,7.2,8.4,9.6,10.8,12)))/100))/(1/Q2731)))),0)+IF(C2732=TRUE,F2732*IF(AND(Inputs!$B$39&lt;&gt;"pvp",Inputs!$B$44&gt;0),(((R2732-1)*MIN((Skills!S5*(1+((Inputs!$B$35+(ArtifactsInput!$M$7-ArtifactsInput!$M$7)*CHOOSE(ArtifactsInput!$N$7+1,6,7.2,8.4,9.6,10.8,12)))/100)),(1/Q2732))+MIN((Skills!S5*(1+((Inputs!$B$35+(ArtifactsInput!$M$7-ArtifactsInput!$M$7)*CHOOSE(ArtifactsInput!$N$7+1,6,7.2,8.4,9.6,10.8,12)))/100)),MAX(0,Inputs!$B$44-((R2732-1)*(1/Q2732)))))/Inputs!$B$44),IF(Inputs!$B$39="pvp",MIN((Skills!S5*(1+((Inputs!$B$35+(ArtifactsInput!$M$7-ArtifactsInput!$M$7)*CHOOSE(ArtifactsInput!$N$7+1,6,7.2,8.4,9.6,10.8,12)))/100)),15)/15,MIN(1,(Skills!S5*(1+((Inputs!$B$35+(ArtifactsInput!$M$7-ArtifactsInput!$M$7)*CHOOSE(ArtifactsInput!$N$7+1,6,7.2,8.4,9.6,10.8,12)))/100))/(1/Q2732)))),0)+IF(C2738=TRUE,F2738*IF(AND(Inputs!$B$39&lt;&gt;"pvp",Inputs!$B$44&gt;0),(((R2738-1)*MIN((Skills!S11*(1+((Inputs!$B$35+(ArtifactsInput!$M$7-ArtifactsInput!$M$7)*CHOOSE(ArtifactsInput!$N$7+1,6,7.2,8.4,9.6,10.8,12)))/100)),(1/Q2738))+MIN((Skills!S11*(1+((Inputs!$B$35+(ArtifactsInput!$M$7-ArtifactsInput!$M$7)*CHOOSE(ArtifactsInput!$N$7+1,6,7.2,8.4,9.6,10.8,12)))/100)),MAX(0,Inputs!$B$44-((R2738-1)*(1/Q2738)))))/Inputs!$B$44),IF(Inputs!$B$39="pvp",MIN((Skills!S11*(1+((Inputs!$B$35+(ArtifactsInput!$M$7-ArtifactsInput!$M$7)*CHOOSE(ArtifactsInput!$N$7+1,6,7.2,8.4,9.6,10.8,12)))/100)),15)/15,MIN(1,(Skills!S11*(1+((Inputs!$B$35+(ArtifactsInput!$M$7-ArtifactsInput!$M$7)*CHOOSE(ArtifactsInput!$N$7+1,6,7.2,8.4,9.6,10.8,12)))/100))/(1/Q2738)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MIN((Skills!S14*(1+((Inputs!$B$35+(ArtifactsInput!$M$7-ArtifactsInput!$M$7)*CHOOSE(ArtifactsInput!$N$7+1,6,7.2,8.4,9.6,10.8,12)))/100)),(1/Q2741))+MIN((Skills!S14*(1+((Inputs!$B$35+(ArtifactsInput!$M$7-ArtifactsInput!$M$7)*CHOOSE(ArtifactsInput!$N$7+1,6,7.2,8.4,9.6,10.8,12)))/100)),MAX(0,Inputs!$B$44-((R2741-1)*(1/Q2741)))))/Inputs!$B$44),IF(Inputs!$B$39="pvp",MIN((Skills!S14*(1+((Inputs!$B$35+(ArtifactsInput!$M$7-ArtifactsInput!$M$7)*CHOOSE(ArtifactsInput!$N$7+1,6,7.2,8.4,9.6,10.8,12)))/100)),15)/15,MIN(1,(Skills!S14*(1+((Inputs!$B$35+(ArtifactsInput!$M$7-ArtifactsInput!$M$7)*CHOOSE(ArtifactsInput!$N$7+1,6,7.2,8.4,9.6,10.8,12)))/100))/(1/Q2741))))/100),1)*IF(C2746=TRUE,(1+F2746*IF(AND(Inputs!$B$39&lt;&gt;"pvp",Inputs!$B$44&gt;0),(((R2746-1)*MIN((Skills!S19*(1+((Inputs!$B$35+(ArtifactsInput!$M$7-ArtifactsInput!$M$7)*CHOOSE(ArtifactsInput!$N$7+1,6,7.2,8.4,9.6,10.8,12)))/100)),(1/Q2746))+MIN((Skills!S19*(1+((Inputs!$B$35+(ArtifactsInput!$M$7-ArtifactsInput!$M$7)*CHOOSE(ArtifactsInput!$N$7+1,6,7.2,8.4,9.6,10.8,12)))/100)),MAX(0,Inputs!$B$44-((R2746-1)*(1/Q2746)))))/Inputs!$B$44),IF(Inputs!$B$39="pvp",MIN((Skills!S19*(1+((Inputs!$B$35+(ArtifactsInput!$M$7-ArtifactsInput!$M$7)*CHOOSE(ArtifactsInput!$N$7+1,6,7.2,8.4,9.6,10.8,12)))/100)),15)/15,MIN(1,(Skills!S19*(1+((Inputs!$B$35+(ArtifactsInput!$M$7-ArtifactsInput!$M$7)*CHOOSE(ArtifactsInput!$N$7+1,6,7.2,8.4,9.6,10.8,12)))/100))/(1/Q2746))))/100),1)</f>
        <v/>
      </c>
    </row>
    <row r="2758">
      <c r="A2758" t="inlineStr">
        <is>
          <t>Monster Damage Taken Bonus % (Holy Fountain)</t>
        </is>
      </c>
      <c r="B2758">
        <f>IF(Inputs!$B$3&gt;=68,20*IF(Inputs!$B$39="pvp",MIN((15*(1+((Inputs!$B$35+(ArtifactsInput!$M$7-ArtifactsInput!$M$7)*CHOOSE(ArtifactsInput!$N$7+1,6,7.2,8.4,9.6,10.8,12)))/100)),15)/15,MIN(1,(15*(1+((Inputs!$B$35+(ArtifactsInput!$M$7-ArtifactsInput!$M$7)*CHOOSE(ArtifactsInput!$N$7+1,6,7.2,8.4,9.6,10.8,12)))/100))/(1/Q2737))),0)</f>
        <v/>
      </c>
    </row>
    <row r="2759">
      <c r="A2759" t="inlineStr">
        <is>
          <t>Normal Monster Damage Bonus % (Holy Symbol)</t>
        </is>
      </c>
      <c r="B2759">
        <f>IF(C2739=TRUE,F2739*IF(AND(Inputs!$B$39&lt;&gt;"pvp",Inputs!$B$44&gt;0),(((R2739-1)*MIN((Skills!S12*(1+((Inputs!$B$35+(ArtifactsInput!$M$7-ArtifactsInput!$M$7)*CHOOSE(ArtifactsInput!$N$7+1,6,7.2,8.4,9.6,10.8,12)))/100)),(1/Q2739))+MIN((Skills!S12*(1+((Inputs!$B$35+(ArtifactsInput!$M$7-ArtifactsInput!$M$7)*CHOOSE(ArtifactsInput!$N$7+1,6,7.2,8.4,9.6,10.8,12)))/100)),MAX(0,Inputs!$B$44-((R2739-1)*(1/Q2739)))))/Inputs!$B$44),IF(Inputs!$B$39="pvp",MIN((Skills!S12*(1+((Inputs!$B$35+(ArtifactsInput!$M$7-ArtifactsInput!$M$7)*CHOOSE(ArtifactsInput!$N$7+1,6,7.2,8.4,9.6,10.8,12)))/100)),15)/15,MIN(1,(Skills!S12*(1+((Inputs!$B$35+(ArtifactsInput!$M$7-ArtifactsInput!$M$7)*CHOOSE(ArtifactsInput!$N$7+1,6,7.2,8.4,9.6,10.8,12)))/100))/(1/Q2739)))),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MIN((Skills!S28*(1+((Inputs!$B$35+(ArtifactsInput!$M$7-ArtifactsInput!$M$7)*CHOOSE(ArtifactsInput!$N$7+1,6,7.2,8.4,9.6,10.8,12)))/100)),(1/Q2755))+MIN((Skills!S28*(1+((Inputs!$B$35+(ArtifactsInput!$M$7-ArtifactsInput!$M$7)*CHOOSE(ArtifactsInput!$N$7+1,6,7.2,8.4,9.6,10.8,12)))/100)),MAX(0,Inputs!$B$44-((R2755-1)*(1/Q2755)))))/Inputs!$B$44),IF(Inputs!$B$39="pvp",MIN((Skills!S28*(1+((Inputs!$B$35+(ArtifactsInput!$M$7-ArtifactsInput!$M$7)*CHOOSE(ArtifactsInput!$N$7+1,6,7.2,8.4,9.6,10.8,12)))/100)),15)/15,MIN(1,(Skills!S28*(1+((Inputs!$B$35+(ArtifactsInput!$M$7-ArtifactsInput!$M$7)*CHOOSE(ArtifactsInput!$N$7+1,6,7.2,8.4,9.6,10.8,12)))/100))/(1/Q2755)))))</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MIN((Skills!S13*(1+((Inputs!$B$35+(ArtifactsInput!$M$7-ArtifactsInput!$M$7)*CHOOSE(ArtifactsInput!$N$7+1,6,7.2,8.4,9.6,10.8,12)))/100)),(1/Q2740))+MIN((Skills!S13*(1+((Inputs!$B$35+(ArtifactsInput!$M$7-ArtifactsInput!$M$7)*CHOOSE(ArtifactsInput!$N$7+1,6,7.2,8.4,9.6,10.8,12)))/100)),MAX(0,Inputs!$B$44-((R2740-1)*(1/Q2740)))))/Inputs!$B$44),IF(Inputs!$B$39="pvp",MIN((Skills!S13*(1+((Inputs!$B$35+(ArtifactsInput!$M$7-ArtifactsInput!$M$7)*CHOOSE(ArtifactsInput!$N$7+1,6,7.2,8.4,9.6,10.8,12)))/100)),15)/15,MIN(1,(Skills!S13*(1+((Inputs!$B$35+(ArtifactsInput!$M$7-ArtifactsInput!$M$7)*CHOOSE(ArtifactsInput!$N$7+1,6,7.2,8.4,9.6,10.8,12)))/100))/(1/Q2740)))),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IFERROR(1/(IF(Inputs!$B$39="pvp",15,MAX(0.1,Skills!D2-IF(TRUE=TRUE,Inputs!$B$33,0)))*(1-IF(AND(ArtifactsInput!$M$27,Inputs!$B$4="Chapter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IFERROR(1/(IF(Inputs!$B$39="pvp",15,MAX(0.1,Skills!D3-IF(TRUE=TRUE,Inputs!$B$33,0)))*(1-IF(AND(ArtifactsInput!$M$27,Inputs!$B$4="Chapter Hunt"),CHOOSE(ArtifactsInput!$N$27+1,20,24,28,32,36,40),0)/100)),0)</f>
        <v/>
      </c>
      <c r="R2775">
        <f>IF(AND(Inputs!$B$39&lt;&gt;"pvp",Inputs!$B$44&gt;0),IF(Inputs!$B$44&lt;=0,0,(INT(Inputs!$B$44/(IF(Inputs!$B$39="pvp",15,MAX(0.1,Skills!D3-IF(TRUE=TRUE,Inputs!$B$33,0)))*(1-IF(AND(ArtifactsInput!$M$27,Inputs!$B$4="Chapter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IFERROR(1/(IF(Inputs!$B$39="pvp",15,MAX(0.1,Skills!D4-IF(TRUE=TRUE,Inputs!$B$33,0)))*(1-IF(AND(ArtifactsInput!$M$27,Inputs!$B$4="Chapter Hunt"),CHOOSE(ArtifactsInput!$N$27+1,20,24,28,32,36,40),0)/100)),0)</f>
        <v/>
      </c>
      <c r="R2776">
        <f>IF(AND(Inputs!$B$39&lt;&gt;"pvp",Inputs!$B$44&gt;0),IF(Inputs!$B$44&lt;=0,0,(INT(Inputs!$B$44/(IF(Inputs!$B$39="pvp",15,MAX(0.1,Skills!D4-IF(TRUE=TRUE,Inputs!$B$33,0)))*(1-IF(AND(ArtifactsInput!$M$27,Inputs!$B$4="Chapter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IFERROR(1/(IF(Inputs!$B$39="pvp",15,MAX(0.1,Skills!D5-IF(TRUE=TRUE,Inputs!$B$33,0)))*(1-IF(AND(ArtifactsInput!$M$27,Inputs!$B$4="Chapter Hunt"),CHOOSE(ArtifactsInput!$N$27+1,20,24,28,32,36,40),0)/100)),0)</f>
        <v/>
      </c>
      <c r="R2777">
        <f>IF(AND(Inputs!$B$39&lt;&gt;"pvp",Inputs!$B$44&gt;0),IF(Inputs!$B$44&lt;=0,0,(INT(Inputs!$B$44/(IF(Inputs!$B$39="pvp",15,MAX(0.1,Skills!D5-IF(TRUE=TRUE,Inputs!$B$33,0)))*(1-IF(AND(ArtifactsInput!$M$27,Inputs!$B$4="Chapter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IFERROR(1/(IF(Inputs!$B$39="pvp",15,MAX(0.1,Skills!D6-IF(TRUE=TRUE,Inputs!$B$33,0)))*(1-IF(AND(ArtifactsInput!$M$27,Inputs!$B$4="Chapter Hunt"),CHOOSE(ArtifactsInput!$N$27+1,20,24,28,32,36,40),0)/100)),0)</f>
        <v/>
      </c>
      <c r="R2778">
        <f>IF(AND(Inputs!$B$39&lt;&gt;"pvp",Inputs!$B$44&gt;0),IF(MAX(0,Inputs!$B$44-B2812)&lt;=0,0,(INT(MAX(0,Inputs!$B$44-B2812)/(IF(Inputs!$B$39="pvp",15,MAX(0.1,Skills!D6-IF(TRUE=TRUE,Inputs!$B$33,0)))*(1-IF(AND(ArtifactsInput!$M$27,Inputs!$B$4="Chapter Hunt"),CHOOSE(ArtifactsInput!$N$27+1,20,24,28,32,36,40),0)/100)))+1)),0)</f>
        <v/>
      </c>
      <c r="S2778">
        <f>IF(C2778,(H2778*N2778*IF(AND(Inputs!$B$39&lt;&gt;"pvp",Inputs!$B$44&gt;0),((Skills!F6*((R2778-1)*IF(Skills!G6&gt;0,INT(Skills!H6/Skills!G6+0.000000001),1)+IF(Skills!G6&gt;0,INT(MIN(Skills!H6,MAX(0,MAX(0,Inputs!$B$44-B2812)-((R2778-1)*(IF(Inputs!$B$39="pvp",15,MAX(0.1,Skills!D6-IF(TRUE=TRUE,Inputs!$B$33,0)))*(1-IF(AND(ArtifactsInput!$M$27,Inputs!$B$4="Chapter Hunt"),CHOOSE(ArtifactsInput!$N$27+1,20,24,28,32,36,40),0)/100)))))/Skills!G6+0.000000001),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INT(Skills!H6/Skills!G6+0.000000001),1)+IF(Skills!G6&gt;0,INT(MIN(Skills!H6,MAX(0,MAX(0,Inputs!$B$44-B2812)-((R2778-1)*(IF(Inputs!$B$39="pvp",15,MAX(0.1,Skills!D6-IF(TRUE=TRUE,Inputs!$B$33,0)))*(1-IF(AND(ArtifactsInput!$M$27,Inputs!$B$4="Chapter Hunt"),CHOOSE(ArtifactsInput!$N$27+1,20,24,28,32,36,40),0)/100)))))/Skills!G6+0.000000001),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IFERROR(1/(IF(Inputs!$B$39="pvp",15,MAX(0.1,Skills!D7-IF(TRUE=TRUE,Inputs!$B$33,0)))*(1-IF(AND(ArtifactsInput!$M$27,Inputs!$B$4="Chapter Hunt"),CHOOSE(ArtifactsInput!$N$27+1,20,24,28,32,36,40),0)/100)),0)</f>
        <v/>
      </c>
      <c r="R2779">
        <f>IF(AND(Inputs!$B$39&lt;&gt;"pvp",Inputs!$B$44&gt;0),IF(MAX(0,Inputs!$B$44-B2812)&lt;=0,0,(INT(MAX(0,Inputs!$B$44-B2812)/(IF(Inputs!$B$39="pvp",15,MAX(0.1,Skills!D7-IF(TRUE=TRUE,Inputs!$B$33,0)))*(1-IF(AND(ArtifactsInput!$M$27,Inputs!$B$4="Chapter Hunt"),CHOOSE(ArtifactsInput!$N$27+1,20,24,28,32,36,40),0)/100)))+1)),0)</f>
        <v/>
      </c>
      <c r="S2779">
        <f>IF(C2779,H2779*N2779*IF(AND(Inputs!$B$39&lt;&gt;"pvp",Inputs!$B$44&gt;0),((Skills!F7*((R2779-1)*IF(Skills!G7&gt;0,INT(Skills!H7/Skills!G7+0.000000001),1)+IF(Skills!G7&gt;0,INT(MIN(Skills!H7,MAX(0,MAX(0,Inputs!$B$44-B2812)-((R2779-1)*(IF(Inputs!$B$39="pvp",15,MAX(0.1,Skills!D7-IF(TRUE=TRUE,Inputs!$B$33,0)))*(1-IF(AND(ArtifactsInput!$M$27,Inputs!$B$4="Chapter Hunt"),CHOOSE(ArtifactsInput!$N$27+1,20,24,28,32,36,40),0)/100)))))/Skills!G7+0.000000001),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IFERROR(1/(IF(Inputs!$B$39="pvp",15,MAX(0.1,Skills!D8-IF(TRUE=TRUE,Inputs!$B$33,0)))*(1-IF(AND(ArtifactsInput!$M$27,Inputs!$B$4="Chapter Hunt"),CHOOSE(ArtifactsInput!$N$27+1,20,24,28,32,36,40),0)/100)),0)</f>
        <v/>
      </c>
      <c r="R2780">
        <f>IF(AND(Inputs!$B$39&lt;&gt;"pvp",Inputs!$B$44&gt;0),IF(MAX(0,Inputs!$B$44-B2812)&lt;=0,0,(INT(MAX(0,Inputs!$B$44-B2812)/(IF(Inputs!$B$39="pvp",15,MAX(0.1,Skills!D8-IF(TRUE=TRUE,Inputs!$B$33,0)))*(1-IF(AND(ArtifactsInput!$M$27,Inputs!$B$4="Chapter Hunt"),CHOOSE(ArtifactsInput!$N$27+1,20,24,28,32,36,40),0)/100)))+1)),0)</f>
        <v/>
      </c>
      <c r="S2780">
        <f>IF(C2780,(H2780*N2780*IF(AND(Inputs!$B$39&lt;&gt;"pvp",Inputs!$B$44&gt;0),((Skills!F8*((R2780-1)*IF(Skills!G8&gt;0,INT(Skills!H8/Skills!G8+0.000000001),1)+IF(Skills!G8&gt;0,INT(MIN(Skills!H8,MAX(0,MAX(0,Inputs!$B$44-B2812)-((R2780-1)*(IF(Inputs!$B$39="pvp",15,MAX(0.1,Skills!D8-IF(TRUE=TRUE,Inputs!$B$33,0)))*(1-IF(AND(ArtifactsInput!$M$27,Inputs!$B$4="Chapter Hunt"),CHOOSE(ArtifactsInput!$N$27+1,20,24,28,32,36,40),0)/100)))))/Skills!G8+0.000000001),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INT(Skills!H8/Skills!G8+0.000000001),1)+IF(Skills!G8&gt;0,INT(MIN(Skills!H8,MAX(0,MAX(0,Inputs!$B$44-B2812)-((R2780-1)*(IF(Inputs!$B$39="pvp",15,MAX(0.1,Skills!D8-IF(TRUE=TRUE,Inputs!$B$33,0)))*(1-IF(AND(ArtifactsInput!$M$27,Inputs!$B$4="Chapter Hunt"),CHOOSE(ArtifactsInput!$N$27+1,20,24,28,32,36,40),0)/100)))))/Skills!G8+0.000000001),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IFERROR(1/(IF(Inputs!$B$39="pvp",15,MAX(0.1,Skills!D9-IF(TRUE=TRUE,Inputs!$B$33,0)))*(1-IF(AND(ArtifactsInput!$M$27,Inputs!$B$4="Chapter Hunt"),CHOOSE(ArtifactsInput!$N$27+1,20,24,28,32,36,40),0)/100)),0)</f>
        <v/>
      </c>
      <c r="R2781">
        <f>IF(AND(Inputs!$B$39&lt;&gt;"pvp",Inputs!$B$44&gt;0),IF(MAX(0,Inputs!$B$44-B2812)&lt;=0,0,(INT(MAX(0,Inputs!$B$44-B2812)/(IF(Inputs!$B$39="pvp",15,MAX(0.1,Skills!D9-IF(TRUE=TRUE,Inputs!$B$33,0)))*(1-IF(AND(ArtifactsInput!$M$27,Inputs!$B$4="Chapter Hunt"),CHOOSE(ArtifactsInput!$N$27+1,20,24,28,32,36,40),0)/100)))+1)),0)</f>
        <v/>
      </c>
      <c r="S2781">
        <f>IF(C2781,(H2781*N2781*IF(AND(Inputs!$B$39&lt;&gt;"pvp",Inputs!$B$44&gt;0),((Skills!F9*((R2781-1)*IF(Skills!G9&gt;0,INT(Skills!H9/Skills!G9+0.000000001),1)+IF(Skills!G9&gt;0,INT(MIN(Skills!H9,MAX(0,MAX(0,Inputs!$B$44-B2812)-((R2781-1)*(IF(Inputs!$B$39="pvp",15,MAX(0.1,Skills!D9-IF(TRUE=TRUE,Inputs!$B$33,0)))*(1-IF(AND(ArtifactsInput!$M$27,Inputs!$B$4="Chapter Hunt"),CHOOSE(ArtifactsInput!$N$27+1,20,24,28,32,36,40),0)/100)))))/Skills!G9+0.000000001),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INT(Skills!H9/Skills!G9+0.000000001),1)+IF(Skills!G9&gt;0,INT(MIN(Skills!H9,MAX(0,MAX(0,Inputs!$B$44-B2812)-((R2781-1)*(IF(Inputs!$B$39="pvp",15,MAX(0.1,Skills!D9-IF(TRUE=TRUE,Inputs!$B$33,0)))*(1-IF(AND(ArtifactsInput!$M$27,Inputs!$B$4="Chapter Hunt"),CHOOSE(ArtifactsInput!$N$27+1,20,24,28,32,36,40),0)/100)))))/Skills!G9+0.000000001),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IFERROR(1/(IF(Inputs!$B$39="pvp",15,MAX(0.1,Skills!D10-IF(TRUE=TRUE,Inputs!$B$33,0)))*(1-IF(AND(ArtifactsInput!$M$27,Inputs!$B$4="Chapter Hunt"),CHOOSE(ArtifactsInput!$N$27+1,20,24,28,32,36,40),0)/100)),0)</f>
        <v/>
      </c>
      <c r="R2782">
        <f>IF(AND(Inputs!$B$39&lt;&gt;"pvp",Inputs!$B$44&gt;0),IF(MAX(0,Inputs!$B$44-B2812)&lt;=0,0,(INT(MAX(0,Inputs!$B$44-B2812)/(IF(Inputs!$B$39="pvp",15,MAX(0.1,Skills!D10-IF(TRUE=TRUE,Inputs!$B$33,0)))*(1-IF(AND(ArtifactsInput!$M$27,Inputs!$B$4="Chapter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IFERROR(1/(IF(Inputs!$B$39="pvp",15,MAX(0.1,Skills!D11-IF(TRUE=TRUE,Inputs!$B$33,0)))*(1-IF(AND(ArtifactsInput!$M$27,Inputs!$B$4="Chapter Hunt"),CHOOSE(ArtifactsInput!$N$27+1,20,24,28,32,36,40),0)/100)),0)</f>
        <v/>
      </c>
      <c r="R2783">
        <f>IF(AND(Inputs!$B$39&lt;&gt;"pvp",Inputs!$B$44&gt;0),IF(Inputs!$B$44&lt;=0,0,(INT(Inputs!$B$44/(IF(Inputs!$B$39="pvp",15,MAX(0.1,Skills!D11-IF(TRUE=TRUE,Inputs!$B$33,0)))*(1-IF(AND(ArtifactsInput!$M$27,Inputs!$B$4="Chapter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IFERROR(1/(IF(Inputs!$B$39="pvp",15,MAX(0.1,Skills!D12-IF(TRUE=TRUE,Inputs!$B$33,0)))*(1-IF(AND(ArtifactsInput!$M$27,Inputs!$B$4="Chapter Hunt"),CHOOSE(ArtifactsInput!$N$27+1,20,24,28,32,36,40),0)/100)),0)</f>
        <v/>
      </c>
      <c r="R2784">
        <f>IF(AND(Inputs!$B$39&lt;&gt;"pvp",Inputs!$B$44&gt;0),IF(MAX(0,Inputs!$B$44-B2812)&lt;=0,0,(INT(MAX(0,Inputs!$B$44-B2812)/(IF(Inputs!$B$39="pvp",15,MAX(0.1,Skills!D12-IF(TRUE=TRUE,Inputs!$B$33,0)))*(1-IF(AND(ArtifactsInput!$M$27,Inputs!$B$4="Chapter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IFERROR(1/(IF(Inputs!$B$39="pvp",15,MAX(0.1,Skills!D13-IF(TRUE=TRUE,Inputs!$B$33,0)))*(1-IF(AND(ArtifactsInput!$M$27,Inputs!$B$4="Chapter Hunt"),CHOOSE(ArtifactsInput!$N$27+1,20,24,28,32,36,40),0)/100)),0)</f>
        <v/>
      </c>
      <c r="R2785">
        <f>IF(AND(Inputs!$B$39&lt;&gt;"pvp",Inputs!$B$44&gt;0),IF(MAX(0,Inputs!$B$44-B2812)&lt;=0,0,(INT(MAX(0,Inputs!$B$44-B2812)/(IF(Inputs!$B$39="pvp",15,MAX(0.1,Skills!D13-IF(TRUE=TRUE,Inputs!$B$33,0)))*(1-IF(AND(ArtifactsInput!$M$27,Inputs!$B$4="Chapter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IFERROR(1/(IF(Inputs!$B$39="pvp",15,MAX(0.1,Skills!D14-IF(TRUE=TRUE,Inputs!$B$33,0)))*(1-IF(AND(ArtifactsInput!$M$27,Inputs!$B$4="Chapter Hunt"),CHOOSE(ArtifactsInput!$N$27+1,20,24,28,32,36,40),0)/100)),0)</f>
        <v/>
      </c>
      <c r="R2786">
        <f>IF(AND(Inputs!$B$39&lt;&gt;"pvp",Inputs!$B$44&gt;0),IF(Inputs!$B$44&lt;=0,0,(INT(Inputs!$B$44/(IF(Inputs!$B$39="pvp",15,MAX(0.1,Skills!D14-IF(TRUE=TRUE,Inputs!$B$33,0)))*(1-IF(AND(ArtifactsInput!$M$27,Inputs!$B$4="Chapter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IFERROR(1/(IF(Inputs!$B$39="pvp",15,MAX(0.1,Skills!D15-IF(TRUE=TRUE,Inputs!$B$33,0)))*(1-IF(AND(ArtifactsInput!$M$27,Inputs!$B$4="Chapter Hunt"),CHOOSE(ArtifactsInput!$N$27+1,20,24,28,32,36,40),0)/100)),0)</f>
        <v/>
      </c>
      <c r="R2787" t="n">
        <v>0</v>
      </c>
      <c r="S2787">
        <f>IF(C2787,(Skills!F15*N2787*((IF(Inputs!$B$3&gt;=78,25,15)/100*B2808*10)/(1+IF(Inputs!$B$3&gt;=78,25,15)/100*B2808*IF(Inputs!$B$39="pvp",15,MAX(0.1,18-IF(TRUE=TRUE,Inputs!$B$33,0)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IF(Inputs!$B$39="pvp",15,MAX(0.1,18-IF(TRUE=TRUE,Inputs!$B$33,0)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IFERROR(1/(IF(Inputs!$B$39="pvp",15,MAX(0.1,Skills!D16-IF(TRUE=TRUE,Inputs!$B$33,0)))*(1-IF(AND(ArtifactsInput!$M$27,Inputs!$B$4="Chapter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IFERROR(1/(IF(Inputs!$B$39="pvp",15,MAX(0.1,Skills!D17-IF(TRUE=TRUE,Inputs!$B$33,0)))*(1-IF(AND(ArtifactsInput!$M$27,Inputs!$B$4="Chapter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IFERROR(1/(IF(Inputs!$B$39="pvp",15,MAX(0.1,Skills!D18-IF(TRUE=TRUE,Inputs!$B$33,0)))*(1-IF(AND(ArtifactsInput!$M$27,Inputs!$B$4="Chapter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IFERROR(1/(IF(Inputs!$B$39="pvp",15,MAX(0.1,Skills!D19-IF(TRUE=TRUE,Inputs!$B$33,0)))*(1-IF(AND(ArtifactsInput!$M$27,Inputs!$B$4="Chapter Hunt"),CHOOSE(ArtifactsInput!$N$27+1,20,24,28,32,36,40),0)/100)),0)</f>
        <v/>
      </c>
      <c r="R2791">
        <f>IF(AND(Inputs!$B$39&lt;&gt;"pvp",Inputs!$B$44&gt;0),IF(Inputs!$B$44&lt;=0,0,(INT(Inputs!$B$44/(IF(Inputs!$B$39="pvp",15,MAX(0.1,Skills!D19-IF(TRUE=TRUE,Inputs!$B$33,0)))*(1-IF(AND(ArtifactsInput!$M$27,Inputs!$B$4="Chapter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IFERROR(1/(IF(Inputs!$B$39="pvp",15,MAX(0.1,Skills!D20-IF(TRUE=TRUE,Inputs!$B$33,0)))*(1-IF(AND(ArtifactsInput!$M$27,Inputs!$B$4="Chapter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IFERROR(1/(IF(Inputs!$B$39="pvp",15,MAX(0.1,Skills!D21-IF(TRUE=TRUE,Inputs!$B$33,0)))*(1-IF(AND(ArtifactsInput!$M$27,Inputs!$B$4="Chapter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IFERROR(1/(IF(Inputs!$B$39="pvp",15,MAX(0.1,Skills!D22-IF(TRUE=TRUE,Inputs!$B$33,0)))*(1-IF(AND(ArtifactsInput!$M$27,Inputs!$B$4="Chapter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IFERROR(1/(IF(Inputs!$B$39="pvp",15,MAX(0.1,Skills!D23-IF(TRUE=TRUE,Inputs!$B$33,0)))*(1-IF(AND(ArtifactsInput!$M$27,Inputs!$B$4="Chapter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IFERROR(1/(IF(Inputs!$B$39="pvp",15,MAX(0.1,Skills!D24-IF(TRUE=TRUE,Inputs!$B$33,0)))*(1-IF(AND(ArtifactsInput!$M$27,Inputs!$B$4="Chapter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IFERROR(1/(IF(Inputs!$B$39="pvp",15,MAX(0.1,Skills!D25-IF(TRUE=TRUE,Inputs!$B$33,0)))*(1-IF(AND(ArtifactsInput!$M$27,Inputs!$B$4="Chapter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IFERROR(1/(IF(Inputs!$B$39="pvp",15,MAX(0.1,Skills!D26-IF(TRUE=TRUE,Inputs!$B$33,0)))*(1-IF(AND(ArtifactsInput!$M$27,Inputs!$B$4="Chapter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IFERROR(1/(IF(Inputs!$B$39="pvp",15,MAX(0.1,Skills!D27-IF(TRUE=TRUE,Inputs!$B$33,0)))*(1-IF(AND(ArtifactsInput!$M$27,Inputs!$B$4="Chapter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IFERROR(1/(IF(Inputs!$B$39="pvp",15,MAX(0.1,Skills!D28-IF(TRUE=TRUE,Inputs!$B$33,0)))*(1-IF(AND(ArtifactsInput!$M$27,Inputs!$B$4="Chapter Hunt"),CHOOSE(ArtifactsInput!$N$27+1,20,24,28,32,36,40),0)/100)),0)</f>
        <v/>
      </c>
      <c r="R2800">
        <f>IF(AND(Inputs!$B$39&lt;&gt;"pvp",Inputs!$B$44&gt;0),IF(Inputs!$B$44&lt;=0,0,(INT(Inputs!$B$44/(IF(Inputs!$B$39="pvp",15,MAX(0.1,Skills!D28-IF(TRUE=TRUE,Inputs!$B$33,0)))*(1-IF(AND(ArtifactsInput!$M$27,Inputs!$B$4="Chapter Hunt"),CHOOSE(ArtifactsInput!$N$27+1,20,24,28,32,36,40),0)/100)))+1)),0)</f>
        <v/>
      </c>
      <c r="S2800" t="n">
        <v>0</v>
      </c>
      <c r="U2800" t="n">
        <v>0</v>
      </c>
    </row>
    <row r="2802">
      <c r="A2802" t="inlineStr">
        <is>
          <t>Average Buff Multiplier</t>
        </is>
      </c>
      <c r="B2802">
        <f>(1+(IF(C2775=TRUE,F2775*IF(AND(Inputs!$B$39&lt;&gt;"pvp",Inputs!$B$44&gt;0),(((R2775-1)*MIN((Skills!S3*(1+((Inputs!$B$35+(ArtifactsInput!$M$7-ArtifactsInput!$M$7)*CHOOSE(ArtifactsInput!$N$7+1,6,7.2,8.4,9.6,10.8,12)))/100)),(1/Q2775))+MIN((Skills!S3*(1+((Inputs!$B$35+(ArtifactsInput!$M$7-ArtifactsInput!$M$7)*CHOOSE(ArtifactsInput!$N$7+1,6,7.2,8.4,9.6,10.8,12)))/100)),MAX(0,Inputs!$B$44-((R2775-1)*(1/Q2775)))))/Inputs!$B$44),IF(Inputs!$B$39="pvp",MIN((Skills!S3*(1+((Inputs!$B$35+(ArtifactsInput!$M$7-ArtifactsInput!$M$7)*CHOOSE(ArtifactsInput!$N$7+1,6,7.2,8.4,9.6,10.8,12)))/100)),15)/15,MIN(1,(Skills!S3*(1+((Inputs!$B$35+(ArtifactsInput!$M$7-ArtifactsInput!$M$7)*CHOOSE(ArtifactsInput!$N$7+1,6,7.2,8.4,9.6,10.8,12)))/100))/(1/Q2775)))),0)+IF(C2776=TRUE,F2776*IF(AND(Inputs!$B$39&lt;&gt;"pvp",Inputs!$B$44&gt;0),(((R2776-1)*MIN((Skills!S4*(1+((Inputs!$B$35+(ArtifactsInput!$M$7-ArtifactsInput!$M$7)*CHOOSE(ArtifactsInput!$N$7+1,6,7.2,8.4,9.6,10.8,12)))/100)),(1/Q2776))+MIN((Skills!S4*(1+((Inputs!$B$35+(ArtifactsInput!$M$7-ArtifactsInput!$M$7)*CHOOSE(ArtifactsInput!$N$7+1,6,7.2,8.4,9.6,10.8,12)))/100)),MAX(0,Inputs!$B$44-((R2776-1)*(1/Q2776)))))/Inputs!$B$44),IF(Inputs!$B$39="pvp",MIN((Skills!S4*(1+((Inputs!$B$35+(ArtifactsInput!$M$7-ArtifactsInput!$M$7)*CHOOSE(ArtifactsInput!$N$7+1,6,7.2,8.4,9.6,10.8,12)))/100)),15)/15,MIN(1,(Skills!S4*(1+((Inputs!$B$35+(ArtifactsInput!$M$7-ArtifactsInput!$M$7)*CHOOSE(ArtifactsInput!$N$7+1,6,7.2,8.4,9.6,10.8,12)))/100))/(1/Q2776)))),0)+IF(C2777=TRUE,F2777*IF(AND(Inputs!$B$39&lt;&gt;"pvp",Inputs!$B$44&gt;0),(((R2777-1)*MIN((Skills!S5*(1+((Inputs!$B$35+(ArtifactsInput!$M$7-ArtifactsInput!$M$7)*CHOOSE(ArtifactsInput!$N$7+1,6,7.2,8.4,9.6,10.8,12)))/100)),(1/Q2777))+MIN((Skills!S5*(1+((Inputs!$B$35+(ArtifactsInput!$M$7-ArtifactsInput!$M$7)*CHOOSE(ArtifactsInput!$N$7+1,6,7.2,8.4,9.6,10.8,12)))/100)),MAX(0,Inputs!$B$44-((R2777-1)*(1/Q2777)))))/Inputs!$B$44),IF(Inputs!$B$39="pvp",MIN((Skills!S5*(1+((Inputs!$B$35+(ArtifactsInput!$M$7-ArtifactsInput!$M$7)*CHOOSE(ArtifactsInput!$N$7+1,6,7.2,8.4,9.6,10.8,12)))/100)),15)/15,MIN(1,(Skills!S5*(1+((Inputs!$B$35+(ArtifactsInput!$M$7-ArtifactsInput!$M$7)*CHOOSE(ArtifactsInput!$N$7+1,6,7.2,8.4,9.6,10.8,12)))/100))/(1/Q2777)))),0)+IF(C2783=TRUE,F2783*IF(AND(Inputs!$B$39&lt;&gt;"pvp",Inputs!$B$44&gt;0),(((R2783-1)*MIN((Skills!S11*(1+((Inputs!$B$35+(ArtifactsInput!$M$7-ArtifactsInput!$M$7)*CHOOSE(ArtifactsInput!$N$7+1,6,7.2,8.4,9.6,10.8,12)))/100)),(1/Q2783))+MIN((Skills!S11*(1+((Inputs!$B$35+(ArtifactsInput!$M$7-ArtifactsInput!$M$7)*CHOOSE(ArtifactsInput!$N$7+1,6,7.2,8.4,9.6,10.8,12)))/100)),MAX(0,Inputs!$B$44-((R2783-1)*(1/Q2783)))))/Inputs!$B$44),IF(Inputs!$B$39="pvp",MIN((Skills!S11*(1+((Inputs!$B$35+(ArtifactsInput!$M$7-ArtifactsInput!$M$7)*CHOOSE(ArtifactsInput!$N$7+1,6,7.2,8.4,9.6,10.8,12)))/100)),15)/15,MIN(1,(Skills!S11*(1+((Inputs!$B$35+(ArtifactsInput!$M$7-ArtifactsInput!$M$7)*CHOOSE(ArtifactsInput!$N$7+1,6,7.2,8.4,9.6,10.8,12)))/100))/(1/Q2783)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MIN((Skills!S14*(1+((Inputs!$B$35+(ArtifactsInput!$M$7-ArtifactsInput!$M$7)*CHOOSE(ArtifactsInput!$N$7+1,6,7.2,8.4,9.6,10.8,12)))/100)),(1/Q2786))+MIN((Skills!S14*(1+((Inputs!$B$35+(ArtifactsInput!$M$7-ArtifactsInput!$M$7)*CHOOSE(ArtifactsInput!$N$7+1,6,7.2,8.4,9.6,10.8,12)))/100)),MAX(0,Inputs!$B$44-((R2786-1)*(1/Q2786)))))/Inputs!$B$44),IF(Inputs!$B$39="pvp",MIN((Skills!S14*(1+((Inputs!$B$35+(ArtifactsInput!$M$7-ArtifactsInput!$M$7)*CHOOSE(ArtifactsInput!$N$7+1,6,7.2,8.4,9.6,10.8,12)))/100)),15)/15,MIN(1,(Skills!S14*(1+((Inputs!$B$35+(ArtifactsInput!$M$7-ArtifactsInput!$M$7)*CHOOSE(ArtifactsInput!$N$7+1,6,7.2,8.4,9.6,10.8,12)))/100))/(1/Q2786))))/100),1)*IF(C2791=TRUE,(1+F2791*IF(AND(Inputs!$B$39&lt;&gt;"pvp",Inputs!$B$44&gt;0),(((R2791-1)*MIN((Skills!S19*(1+((Inputs!$B$35+(ArtifactsInput!$M$7-ArtifactsInput!$M$7)*CHOOSE(ArtifactsInput!$N$7+1,6,7.2,8.4,9.6,10.8,12)))/100)),(1/Q2791))+MIN((Skills!S19*(1+((Inputs!$B$35+(ArtifactsInput!$M$7-ArtifactsInput!$M$7)*CHOOSE(ArtifactsInput!$N$7+1,6,7.2,8.4,9.6,10.8,12)))/100)),MAX(0,Inputs!$B$44-((R2791-1)*(1/Q2791)))))/Inputs!$B$44),IF(Inputs!$B$39="pvp",MIN((Skills!S19*(1+((Inputs!$B$35+(ArtifactsInput!$M$7-ArtifactsInput!$M$7)*CHOOSE(ArtifactsInput!$N$7+1,6,7.2,8.4,9.6,10.8,12)))/100)),15)/15,MIN(1,(Skills!S19*(1+((Inputs!$B$35+(ArtifactsInput!$M$7-ArtifactsInput!$M$7)*CHOOSE(ArtifactsInput!$N$7+1,6,7.2,8.4,9.6,10.8,12)))/100))/(1/Q2791))))/100),1)</f>
        <v/>
      </c>
    </row>
    <row r="2803">
      <c r="A2803" t="inlineStr">
        <is>
          <t>Monster Damage Taken Bonus % (Holy Fountain)</t>
        </is>
      </c>
      <c r="B2803">
        <f>IF(Inputs!$B$3&gt;=68,20*IF(Inputs!$B$39="pvp",MIN((15*(1+((Inputs!$B$35+(ArtifactsInput!$M$7-ArtifactsInput!$M$7)*CHOOSE(ArtifactsInput!$N$7+1,6,7.2,8.4,9.6,10.8,12)))/100)),15)/15,MIN(1,(15*(1+((Inputs!$B$35+(ArtifactsInput!$M$7-ArtifactsInput!$M$7)*CHOOSE(ArtifactsInput!$N$7+1,6,7.2,8.4,9.6,10.8,12)))/100))/(1/Q2782))),0)</f>
        <v/>
      </c>
    </row>
    <row r="2804">
      <c r="A2804" t="inlineStr">
        <is>
          <t>Normal Monster Damage Bonus % (Holy Symbol)</t>
        </is>
      </c>
      <c r="B2804">
        <f>IF(C2784=TRUE,F2784*IF(AND(Inputs!$B$39&lt;&gt;"pvp",Inputs!$B$44&gt;0),(((R2784-1)*MIN((Skills!S12*(1+((Inputs!$B$35+(ArtifactsInput!$M$7-ArtifactsInput!$M$7)*CHOOSE(ArtifactsInput!$N$7+1,6,7.2,8.4,9.6,10.8,12)))/100)),(1/Q2784))+MIN((Skills!S12*(1+((Inputs!$B$35+(ArtifactsInput!$M$7-ArtifactsInput!$M$7)*CHOOSE(ArtifactsInput!$N$7+1,6,7.2,8.4,9.6,10.8,12)))/100)),MAX(0,Inputs!$B$44-((R2784-1)*(1/Q2784)))))/Inputs!$B$44),IF(Inputs!$B$39="pvp",MIN((Skills!S12*(1+((Inputs!$B$35+(ArtifactsInput!$M$7-ArtifactsInput!$M$7)*CHOOSE(ArtifactsInput!$N$7+1,6,7.2,8.4,9.6,10.8,12)))/100)),15)/15,MIN(1,(Skills!S12*(1+((Inputs!$B$35+(ArtifactsInput!$M$7-ArtifactsInput!$M$7)*CHOOSE(ArtifactsInput!$N$7+1,6,7.2,8.4,9.6,10.8,12)))/100))/(1/Q2784)))),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MIN((Skills!S28*(1+((Inputs!$B$35+(ArtifactsInput!$M$7-ArtifactsInput!$M$7)*CHOOSE(ArtifactsInput!$N$7+1,6,7.2,8.4,9.6,10.8,12)))/100)),(1/Q2800))+MIN((Skills!S28*(1+((Inputs!$B$35+(ArtifactsInput!$M$7-ArtifactsInput!$M$7)*CHOOSE(ArtifactsInput!$N$7+1,6,7.2,8.4,9.6,10.8,12)))/100)),MAX(0,Inputs!$B$44-((R2800-1)*(1/Q2800)))))/Inputs!$B$44),IF(Inputs!$B$39="pvp",MIN((Skills!S28*(1+((Inputs!$B$35+(ArtifactsInput!$M$7-ArtifactsInput!$M$7)*CHOOSE(ArtifactsInput!$N$7+1,6,7.2,8.4,9.6,10.8,12)))/100)),15)/15,MIN(1,(Skills!S28*(1+((Inputs!$B$35+(ArtifactsInput!$M$7-ArtifactsInput!$M$7)*CHOOSE(ArtifactsInput!$N$7+1,6,7.2,8.4,9.6,10.8,12)))/100))/(1/Q2800)))))</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MIN((Skills!S13*(1+((Inputs!$B$35+(ArtifactsInput!$M$7-ArtifactsInput!$M$7)*CHOOSE(ArtifactsInput!$N$7+1,6,7.2,8.4,9.6,10.8,12)))/100)),(1/Q2785))+MIN((Skills!S13*(1+((Inputs!$B$35+(ArtifactsInput!$M$7-ArtifactsInput!$M$7)*CHOOSE(ArtifactsInput!$N$7+1,6,7.2,8.4,9.6,10.8,12)))/100)),MAX(0,Inputs!$B$44-((R2785-1)*(1/Q2785)))))/Inputs!$B$44),IF(Inputs!$B$39="pvp",MIN((Skills!S13*(1+((Inputs!$B$35+(ArtifactsInput!$M$7-ArtifactsInput!$M$7)*CHOOSE(ArtifactsInput!$N$7+1,6,7.2,8.4,9.6,10.8,12)))/100)),15)/15,MIN(1,(Skills!S13*(1+((Inputs!$B$35+(ArtifactsInput!$M$7-ArtifactsInput!$M$7)*CHOOSE(ArtifactsInput!$N$7+1,6,7.2,8.4,9.6,10.8,12)))/100))/(1/Q2785)))),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IFERROR(1/(IF(Inputs!$B$39="pvp",15,MAX(0.1,Skills!D2-IF(TRUE=TRUE,Inputs!$B$33,0)))*(1-IF(AND(ArtifactsInput!$M$27,Inputs!$B$4="Chapter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IFERROR(1/(IF(Inputs!$B$39="pvp",15,MAX(0.1,Skills!D3-IF(TRUE=TRUE,Inputs!$B$33,0)))*(1-IF(AND(ArtifactsInput!$M$27,Inputs!$B$4="Chapter Hunt"),CHOOSE(ArtifactsInput!$N$27+1,20,24,28,32,36,40),0)/100)),0)</f>
        <v/>
      </c>
      <c r="R2820">
        <f>IF(AND(Inputs!$B$39&lt;&gt;"pvp",Inputs!$B$44&gt;0),IF(Inputs!$B$44&lt;=0,0,(INT(Inputs!$B$44/(IF(Inputs!$B$39="pvp",15,MAX(0.1,Skills!D3-IF(TRUE=TRUE,Inputs!$B$33,0)))*(1-IF(AND(ArtifactsInput!$M$27,Inputs!$B$4="Chapter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IFERROR(1/(IF(Inputs!$B$39="pvp",15,MAX(0.1,Skills!D4-IF(TRUE=TRUE,Inputs!$B$33,0)))*(1-IF(AND(ArtifactsInput!$M$27,Inputs!$B$4="Chapter Hunt"),CHOOSE(ArtifactsInput!$N$27+1,20,24,28,32,36,40),0)/100)),0)</f>
        <v/>
      </c>
      <c r="R2821">
        <f>IF(AND(Inputs!$B$39&lt;&gt;"pvp",Inputs!$B$44&gt;0),IF(Inputs!$B$44&lt;=0,0,(INT(Inputs!$B$44/(IF(Inputs!$B$39="pvp",15,MAX(0.1,Skills!D4-IF(TRUE=TRUE,Inputs!$B$33,0)))*(1-IF(AND(ArtifactsInput!$M$27,Inputs!$B$4="Chapter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IFERROR(1/(IF(Inputs!$B$39="pvp",15,MAX(0.1,Skills!D5-IF(TRUE=TRUE,Inputs!$B$33,0)))*(1-IF(AND(ArtifactsInput!$M$27,Inputs!$B$4="Chapter Hunt"),CHOOSE(ArtifactsInput!$N$27+1,20,24,28,32,36,40),0)/100)),0)</f>
        <v/>
      </c>
      <c r="R2822">
        <f>IF(AND(Inputs!$B$39&lt;&gt;"pvp",Inputs!$B$44&gt;0),IF(Inputs!$B$44&lt;=0,0,(INT(Inputs!$B$44/(IF(Inputs!$B$39="pvp",15,MAX(0.1,Skills!D5-IF(TRUE=TRUE,Inputs!$B$33,0)))*(1-IF(AND(ArtifactsInput!$M$27,Inputs!$B$4="Chapter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IFERROR(1/(IF(Inputs!$B$39="pvp",15,MAX(0.1,Skills!D6-IF(TRUE=TRUE,Inputs!$B$33,0)))*(1-IF(AND(ArtifactsInput!$M$27,Inputs!$B$4="Chapter Hunt"),CHOOSE(ArtifactsInput!$N$27+1,20,24,28,32,36,40),0)/100)),0)</f>
        <v/>
      </c>
      <c r="R2823">
        <f>IF(AND(Inputs!$B$39&lt;&gt;"pvp",Inputs!$B$44&gt;0),IF(MAX(0,Inputs!$B$44-B2857)&lt;=0,0,(INT(MAX(0,Inputs!$B$44-B2857)/(IF(Inputs!$B$39="pvp",15,MAX(0.1,Skills!D6-IF(TRUE=TRUE,Inputs!$B$33,0)))*(1-IF(AND(ArtifactsInput!$M$27,Inputs!$B$4="Chapter Hunt"),CHOOSE(ArtifactsInput!$N$27+1,20,24,28,32,36,40),0)/100)))+1)),0)</f>
        <v/>
      </c>
      <c r="S2823">
        <f>IF(C2823,(H2823*N2823*IF(AND(Inputs!$B$39&lt;&gt;"pvp",Inputs!$B$44&gt;0),((Skills!F6*((R2823-1)*IF(Skills!G6&gt;0,INT(Skills!H6/Skills!G6+0.000000001),1)+IF(Skills!G6&gt;0,INT(MIN(Skills!H6,MAX(0,MAX(0,Inputs!$B$44-B2857)-((R2823-1)*(IF(Inputs!$B$39="pvp",15,MAX(0.1,Skills!D6-IF(TRUE=TRUE,Inputs!$B$33,0)))*(1-IF(AND(ArtifactsInput!$M$27,Inputs!$B$4="Chapter Hunt"),CHOOSE(ArtifactsInput!$N$27+1,20,24,28,32,36,40),0)/100)))))/Skills!G6+0.000000001),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INT(Skills!H6/Skills!G6+0.000000001),1)+IF(Skills!G6&gt;0,INT(MIN(Skills!H6,MAX(0,MAX(0,Inputs!$B$44-B2857)-((R2823-1)*(IF(Inputs!$B$39="pvp",15,MAX(0.1,Skills!D6-IF(TRUE=TRUE,Inputs!$B$33,0)))*(1-IF(AND(ArtifactsInput!$M$27,Inputs!$B$4="Chapter Hunt"),CHOOSE(ArtifactsInput!$N$27+1,20,24,28,32,36,40),0)/100)))))/Skills!G6+0.000000001),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IFERROR(1/(IF(Inputs!$B$39="pvp",15,MAX(0.1,Skills!D7-IF(TRUE=TRUE,Inputs!$B$33,0)))*(1-IF(AND(ArtifactsInput!$M$27,Inputs!$B$4="Chapter Hunt"),CHOOSE(ArtifactsInput!$N$27+1,20,24,28,32,36,40),0)/100)),0)</f>
        <v/>
      </c>
      <c r="R2824">
        <f>IF(AND(Inputs!$B$39&lt;&gt;"pvp",Inputs!$B$44&gt;0),IF(MAX(0,Inputs!$B$44-B2857)&lt;=0,0,(INT(MAX(0,Inputs!$B$44-B2857)/(IF(Inputs!$B$39="pvp",15,MAX(0.1,Skills!D7-IF(TRUE=TRUE,Inputs!$B$33,0)))*(1-IF(AND(ArtifactsInput!$M$27,Inputs!$B$4="Chapter Hunt"),CHOOSE(ArtifactsInput!$N$27+1,20,24,28,32,36,40),0)/100)))+1)),0)</f>
        <v/>
      </c>
      <c r="S2824">
        <f>IF(C2824,H2824*N2824*IF(AND(Inputs!$B$39&lt;&gt;"pvp",Inputs!$B$44&gt;0),((Skills!F7*((R2824-1)*IF(Skills!G7&gt;0,INT(Skills!H7/Skills!G7+0.000000001),1)+IF(Skills!G7&gt;0,INT(MIN(Skills!H7,MAX(0,MAX(0,Inputs!$B$44-B2857)-((R2824-1)*(IF(Inputs!$B$39="pvp",15,MAX(0.1,Skills!D7-IF(TRUE=TRUE,Inputs!$B$33,0)))*(1-IF(AND(ArtifactsInput!$M$27,Inputs!$B$4="Chapter Hunt"),CHOOSE(ArtifactsInput!$N$27+1,20,24,28,32,36,40),0)/100)))))/Skills!G7+0.000000001),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IFERROR(1/(IF(Inputs!$B$39="pvp",15,MAX(0.1,Skills!D8-IF(TRUE=TRUE,Inputs!$B$33,0)))*(1-IF(AND(ArtifactsInput!$M$27,Inputs!$B$4="Chapter Hunt"),CHOOSE(ArtifactsInput!$N$27+1,20,24,28,32,36,40),0)/100)),0)</f>
        <v/>
      </c>
      <c r="R2825">
        <f>IF(AND(Inputs!$B$39&lt;&gt;"pvp",Inputs!$B$44&gt;0),IF(MAX(0,Inputs!$B$44-B2857)&lt;=0,0,(INT(MAX(0,Inputs!$B$44-B2857)/(IF(Inputs!$B$39="pvp",15,MAX(0.1,Skills!D8-IF(TRUE=TRUE,Inputs!$B$33,0)))*(1-IF(AND(ArtifactsInput!$M$27,Inputs!$B$4="Chapter Hunt"),CHOOSE(ArtifactsInput!$N$27+1,20,24,28,32,36,40),0)/100)))+1)),0)</f>
        <v/>
      </c>
      <c r="S2825">
        <f>IF(C2825,(H2825*N2825*IF(AND(Inputs!$B$39&lt;&gt;"pvp",Inputs!$B$44&gt;0),((Skills!F8*((R2825-1)*IF(Skills!G8&gt;0,INT(Skills!H8/Skills!G8+0.000000001),1)+IF(Skills!G8&gt;0,INT(MIN(Skills!H8,MAX(0,MAX(0,Inputs!$B$44-B2857)-((R2825-1)*(IF(Inputs!$B$39="pvp",15,MAX(0.1,Skills!D8-IF(TRUE=TRUE,Inputs!$B$33,0)))*(1-IF(AND(ArtifactsInput!$M$27,Inputs!$B$4="Chapter Hunt"),CHOOSE(ArtifactsInput!$N$27+1,20,24,28,32,36,40),0)/100)))))/Skills!G8+0.000000001),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INT(Skills!H8/Skills!G8+0.000000001),1)+IF(Skills!G8&gt;0,INT(MIN(Skills!H8,MAX(0,MAX(0,Inputs!$B$44-B2857)-((R2825-1)*(IF(Inputs!$B$39="pvp",15,MAX(0.1,Skills!D8-IF(TRUE=TRUE,Inputs!$B$33,0)))*(1-IF(AND(ArtifactsInput!$M$27,Inputs!$B$4="Chapter Hunt"),CHOOSE(ArtifactsInput!$N$27+1,20,24,28,32,36,40),0)/100)))))/Skills!G8+0.000000001),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IFERROR(1/(IF(Inputs!$B$39="pvp",15,MAX(0.1,Skills!D9-IF(TRUE=TRUE,Inputs!$B$33,0)))*(1-IF(AND(ArtifactsInput!$M$27,Inputs!$B$4="Chapter Hunt"),CHOOSE(ArtifactsInput!$N$27+1,20,24,28,32,36,40),0)/100)),0)</f>
        <v/>
      </c>
      <c r="R2826">
        <f>IF(AND(Inputs!$B$39&lt;&gt;"pvp",Inputs!$B$44&gt;0),IF(MAX(0,Inputs!$B$44-B2857)&lt;=0,0,(INT(MAX(0,Inputs!$B$44-B2857)/(IF(Inputs!$B$39="pvp",15,MAX(0.1,Skills!D9-IF(TRUE=TRUE,Inputs!$B$33,0)))*(1-IF(AND(ArtifactsInput!$M$27,Inputs!$B$4="Chapter Hunt"),CHOOSE(ArtifactsInput!$N$27+1,20,24,28,32,36,40),0)/100)))+1)),0)</f>
        <v/>
      </c>
      <c r="S2826">
        <f>IF(C2826,(H2826*N2826*IF(AND(Inputs!$B$39&lt;&gt;"pvp",Inputs!$B$44&gt;0),((Skills!F9*((R2826-1)*IF(Skills!G9&gt;0,INT(Skills!H9/Skills!G9+0.000000001),1)+IF(Skills!G9&gt;0,INT(MIN(Skills!H9,MAX(0,MAX(0,Inputs!$B$44-B2857)-((R2826-1)*(IF(Inputs!$B$39="pvp",15,MAX(0.1,Skills!D9-IF(TRUE=TRUE,Inputs!$B$33,0)))*(1-IF(AND(ArtifactsInput!$M$27,Inputs!$B$4="Chapter Hunt"),CHOOSE(ArtifactsInput!$N$27+1,20,24,28,32,36,40),0)/100)))))/Skills!G9+0.000000001),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INT(Skills!H9/Skills!G9+0.000000001),1)+IF(Skills!G9&gt;0,INT(MIN(Skills!H9,MAX(0,MAX(0,Inputs!$B$44-B2857)-((R2826-1)*(IF(Inputs!$B$39="pvp",15,MAX(0.1,Skills!D9-IF(TRUE=TRUE,Inputs!$B$33,0)))*(1-IF(AND(ArtifactsInput!$M$27,Inputs!$B$4="Chapter Hunt"),CHOOSE(ArtifactsInput!$N$27+1,20,24,28,32,36,40),0)/100)))))/Skills!G9+0.000000001),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IFERROR(1/(IF(Inputs!$B$39="pvp",15,MAX(0.1,Skills!D10-IF(TRUE=TRUE,Inputs!$B$33,0)))*(1-IF(AND(ArtifactsInput!$M$27,Inputs!$B$4="Chapter Hunt"),CHOOSE(ArtifactsInput!$N$27+1,20,24,28,32,36,40),0)/100)),0)</f>
        <v/>
      </c>
      <c r="R2827">
        <f>IF(AND(Inputs!$B$39&lt;&gt;"pvp",Inputs!$B$44&gt;0),IF(MAX(0,Inputs!$B$44-B2857)&lt;=0,0,(INT(MAX(0,Inputs!$B$44-B2857)/(IF(Inputs!$B$39="pvp",15,MAX(0.1,Skills!D10-IF(TRUE=TRUE,Inputs!$B$33,0)))*(1-IF(AND(ArtifactsInput!$M$27,Inputs!$B$4="Chapter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IFERROR(1/(IF(Inputs!$B$39="pvp",15,MAX(0.1,Skills!D11-IF(TRUE=TRUE,Inputs!$B$33,0)))*(1-IF(AND(ArtifactsInput!$M$27,Inputs!$B$4="Chapter Hunt"),CHOOSE(ArtifactsInput!$N$27+1,20,24,28,32,36,40),0)/100)),0)</f>
        <v/>
      </c>
      <c r="R2828">
        <f>IF(AND(Inputs!$B$39&lt;&gt;"pvp",Inputs!$B$44&gt;0),IF(Inputs!$B$44&lt;=0,0,(INT(Inputs!$B$44/(IF(Inputs!$B$39="pvp",15,MAX(0.1,Skills!D11-IF(TRUE=TRUE,Inputs!$B$33,0)))*(1-IF(AND(ArtifactsInput!$M$27,Inputs!$B$4="Chapter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IFERROR(1/(IF(Inputs!$B$39="pvp",15,MAX(0.1,Skills!D12-IF(TRUE=TRUE,Inputs!$B$33,0)))*(1-IF(AND(ArtifactsInput!$M$27,Inputs!$B$4="Chapter Hunt"),CHOOSE(ArtifactsInput!$N$27+1,20,24,28,32,36,40),0)/100)),0)</f>
        <v/>
      </c>
      <c r="R2829">
        <f>IF(AND(Inputs!$B$39&lt;&gt;"pvp",Inputs!$B$44&gt;0),IF(MAX(0,Inputs!$B$44-B2857)&lt;=0,0,(INT(MAX(0,Inputs!$B$44-B2857)/(IF(Inputs!$B$39="pvp",15,MAX(0.1,Skills!D12-IF(TRUE=TRUE,Inputs!$B$33,0)))*(1-IF(AND(ArtifactsInput!$M$27,Inputs!$B$4="Chapter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IFERROR(1/(IF(Inputs!$B$39="pvp",15,MAX(0.1,Skills!D13-IF(TRUE=TRUE,Inputs!$B$33,0)))*(1-IF(AND(ArtifactsInput!$M$27,Inputs!$B$4="Chapter Hunt"),CHOOSE(ArtifactsInput!$N$27+1,20,24,28,32,36,40),0)/100)),0)</f>
        <v/>
      </c>
      <c r="R2830">
        <f>IF(AND(Inputs!$B$39&lt;&gt;"pvp",Inputs!$B$44&gt;0),IF(MAX(0,Inputs!$B$44-B2857)&lt;=0,0,(INT(MAX(0,Inputs!$B$44-B2857)/(IF(Inputs!$B$39="pvp",15,MAX(0.1,Skills!D13-IF(TRUE=TRUE,Inputs!$B$33,0)))*(1-IF(AND(ArtifactsInput!$M$27,Inputs!$B$4="Chapter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IFERROR(1/(IF(Inputs!$B$39="pvp",15,MAX(0.1,Skills!D14-IF(TRUE=TRUE,Inputs!$B$33,0)))*(1-IF(AND(ArtifactsInput!$M$27,Inputs!$B$4="Chapter Hunt"),CHOOSE(ArtifactsInput!$N$27+1,20,24,28,32,36,40),0)/100)),0)</f>
        <v/>
      </c>
      <c r="R2831">
        <f>IF(AND(Inputs!$B$39&lt;&gt;"pvp",Inputs!$B$44&gt;0),IF(Inputs!$B$44&lt;=0,0,(INT(Inputs!$B$44/(IF(Inputs!$B$39="pvp",15,MAX(0.1,Skills!D14-IF(TRUE=TRUE,Inputs!$B$33,0)))*(1-IF(AND(ArtifactsInput!$M$27,Inputs!$B$4="Chapter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IFERROR(1/(IF(Inputs!$B$39="pvp",15,MAX(0.1,Skills!D15-IF(TRUE=TRUE,Inputs!$B$33,0)))*(1-IF(AND(ArtifactsInput!$M$27,Inputs!$B$4="Chapter Hunt"),CHOOSE(ArtifactsInput!$N$27+1,20,24,28,32,36,40),0)/100)),0)</f>
        <v/>
      </c>
      <c r="R2832" t="n">
        <v>0</v>
      </c>
      <c r="S2832">
        <f>IF(C2832,(Skills!F15*N2832*((IF(Inputs!$B$3&gt;=78,25,15)/100*B2853*10)/(1+IF(Inputs!$B$3&gt;=78,25,15)/100*B2853*IF(Inputs!$B$39="pvp",15,MAX(0.1,18-IF(TRUE=TRUE,Inputs!$B$33,0)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IF(Inputs!$B$39="pvp",15,MAX(0.1,18-IF(TRUE=TRUE,Inputs!$B$33,0)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IFERROR(1/(IF(Inputs!$B$39="pvp",15,MAX(0.1,Skills!D16-IF(TRUE=TRUE,Inputs!$B$33,0)))*(1-IF(AND(ArtifactsInput!$M$27,Inputs!$B$4="Chapter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IFERROR(1/(IF(Inputs!$B$39="pvp",15,MAX(0.1,Skills!D17-IF(TRUE=TRUE,Inputs!$B$33,0)))*(1-IF(AND(ArtifactsInput!$M$27,Inputs!$B$4="Chapter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IFERROR(1/(IF(Inputs!$B$39="pvp",15,MAX(0.1,Skills!D18-IF(TRUE=TRUE,Inputs!$B$33,0)))*(1-IF(AND(ArtifactsInput!$M$27,Inputs!$B$4="Chapter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IFERROR(1/(IF(Inputs!$B$39="pvp",15,MAX(0.1,Skills!D19-IF(TRUE=TRUE,Inputs!$B$33,0)))*(1-IF(AND(ArtifactsInput!$M$27,Inputs!$B$4="Chapter Hunt"),CHOOSE(ArtifactsInput!$N$27+1,20,24,28,32,36,40),0)/100)),0)</f>
        <v/>
      </c>
      <c r="R2836">
        <f>IF(AND(Inputs!$B$39&lt;&gt;"pvp",Inputs!$B$44&gt;0),IF(Inputs!$B$44&lt;=0,0,(INT(Inputs!$B$44/(IF(Inputs!$B$39="pvp",15,MAX(0.1,Skills!D19-IF(TRUE=TRUE,Inputs!$B$33,0)))*(1-IF(AND(ArtifactsInput!$M$27,Inputs!$B$4="Chapter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IFERROR(1/(IF(Inputs!$B$39="pvp",15,MAX(0.1,Skills!D20-IF(TRUE=TRUE,Inputs!$B$33,0)))*(1-IF(AND(ArtifactsInput!$M$27,Inputs!$B$4="Chapter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IFERROR(1/(IF(Inputs!$B$39="pvp",15,MAX(0.1,Skills!D21-IF(TRUE=TRUE,Inputs!$B$33,0)))*(1-IF(AND(ArtifactsInput!$M$27,Inputs!$B$4="Chapter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IFERROR(1/(IF(Inputs!$B$39="pvp",15,MAX(0.1,Skills!D22-IF(TRUE=TRUE,Inputs!$B$33,0)))*(1-IF(AND(ArtifactsInput!$M$27,Inputs!$B$4="Chapter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IFERROR(1/(IF(Inputs!$B$39="pvp",15,MAX(0.1,Skills!D23-IF(TRUE=TRUE,Inputs!$B$33,0)))*(1-IF(AND(ArtifactsInput!$M$27,Inputs!$B$4="Chapter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IFERROR(1/(IF(Inputs!$B$39="pvp",15,MAX(0.1,Skills!D24-IF(TRUE=TRUE,Inputs!$B$33,0)))*(1-IF(AND(ArtifactsInput!$M$27,Inputs!$B$4="Chapter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IFERROR(1/(IF(Inputs!$B$39="pvp",15,MAX(0.1,Skills!D25-IF(TRUE=TRUE,Inputs!$B$33,0)))*(1-IF(AND(ArtifactsInput!$M$27,Inputs!$B$4="Chapter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IFERROR(1/(IF(Inputs!$B$39="pvp",15,MAX(0.1,Skills!D26-IF(TRUE=TRUE,Inputs!$B$33,0)))*(1-IF(AND(ArtifactsInput!$M$27,Inputs!$B$4="Chapter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IFERROR(1/(IF(Inputs!$B$39="pvp",15,MAX(0.1,Skills!D27-IF(TRUE=TRUE,Inputs!$B$33,0)))*(1-IF(AND(ArtifactsInput!$M$27,Inputs!$B$4="Chapter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IFERROR(1/(IF(Inputs!$B$39="pvp",15,MAX(0.1,Skills!D28-IF(TRUE=TRUE,Inputs!$B$33,0)))*(1-IF(AND(ArtifactsInput!$M$27,Inputs!$B$4="Chapter Hunt"),CHOOSE(ArtifactsInput!$N$27+1,20,24,28,32,36,40),0)/100)),0)</f>
        <v/>
      </c>
      <c r="R2845">
        <f>IF(AND(Inputs!$B$39&lt;&gt;"pvp",Inputs!$B$44&gt;0),IF(Inputs!$B$44&lt;=0,0,(INT(Inputs!$B$44/(IF(Inputs!$B$39="pvp",15,MAX(0.1,Skills!D28-IF(TRUE=TRUE,Inputs!$B$33,0)))*(1-IF(AND(ArtifactsInput!$M$27,Inputs!$B$4="Chapter Hunt"),CHOOSE(ArtifactsInput!$N$27+1,20,24,28,32,36,40),0)/100)))+1)),0)</f>
        <v/>
      </c>
      <c r="S2845" t="n">
        <v>0</v>
      </c>
      <c r="U2845" t="n">
        <v>0</v>
      </c>
    </row>
    <row r="2847">
      <c r="A2847" t="inlineStr">
        <is>
          <t>Average Buff Multiplier</t>
        </is>
      </c>
      <c r="B2847">
        <f>(1+(IF(C2820=TRUE,F2820*IF(AND(Inputs!$B$39&lt;&gt;"pvp",Inputs!$B$44&gt;0),(((R2820-1)*MIN((Skills!S3*(1+((Inputs!$B$35+(ArtifactsInput!$M$7-ArtifactsInput!$M$7)*CHOOSE(ArtifactsInput!$N$7+1,6,7.2,8.4,9.6,10.8,12)))/100)),(1/Q2820))+MIN((Skills!S3*(1+((Inputs!$B$35+(ArtifactsInput!$M$7-ArtifactsInput!$M$7)*CHOOSE(ArtifactsInput!$N$7+1,6,7.2,8.4,9.6,10.8,12)))/100)),MAX(0,Inputs!$B$44-((R2820-1)*(1/Q2820)))))/Inputs!$B$44),IF(Inputs!$B$39="pvp",MIN((Skills!S3*(1+((Inputs!$B$35+(ArtifactsInput!$M$7-ArtifactsInput!$M$7)*CHOOSE(ArtifactsInput!$N$7+1,6,7.2,8.4,9.6,10.8,12)))/100)),15)/15,MIN(1,(Skills!S3*(1+((Inputs!$B$35+(ArtifactsInput!$M$7-ArtifactsInput!$M$7)*CHOOSE(ArtifactsInput!$N$7+1,6,7.2,8.4,9.6,10.8,12)))/100))/(1/Q2820)))),0)+IF(C2821=TRUE,F2821*IF(AND(Inputs!$B$39&lt;&gt;"pvp",Inputs!$B$44&gt;0),(((R2821-1)*MIN((Skills!S4*(1+((Inputs!$B$35+(ArtifactsInput!$M$7-ArtifactsInput!$M$7)*CHOOSE(ArtifactsInput!$N$7+1,6,7.2,8.4,9.6,10.8,12)))/100)),(1/Q2821))+MIN((Skills!S4*(1+((Inputs!$B$35+(ArtifactsInput!$M$7-ArtifactsInput!$M$7)*CHOOSE(ArtifactsInput!$N$7+1,6,7.2,8.4,9.6,10.8,12)))/100)),MAX(0,Inputs!$B$44-((R2821-1)*(1/Q2821)))))/Inputs!$B$44),IF(Inputs!$B$39="pvp",MIN((Skills!S4*(1+((Inputs!$B$35+(ArtifactsInput!$M$7-ArtifactsInput!$M$7)*CHOOSE(ArtifactsInput!$N$7+1,6,7.2,8.4,9.6,10.8,12)))/100)),15)/15,MIN(1,(Skills!S4*(1+((Inputs!$B$35+(ArtifactsInput!$M$7-ArtifactsInput!$M$7)*CHOOSE(ArtifactsInput!$N$7+1,6,7.2,8.4,9.6,10.8,12)))/100))/(1/Q2821)))),0)+IF(C2822=TRUE,F2822*IF(AND(Inputs!$B$39&lt;&gt;"pvp",Inputs!$B$44&gt;0),(((R2822-1)*MIN((Skills!S5*(1+((Inputs!$B$35+(ArtifactsInput!$M$7-ArtifactsInput!$M$7)*CHOOSE(ArtifactsInput!$N$7+1,6,7.2,8.4,9.6,10.8,12)))/100)),(1/Q2822))+MIN((Skills!S5*(1+((Inputs!$B$35+(ArtifactsInput!$M$7-ArtifactsInput!$M$7)*CHOOSE(ArtifactsInput!$N$7+1,6,7.2,8.4,9.6,10.8,12)))/100)),MAX(0,Inputs!$B$44-((R2822-1)*(1/Q2822)))))/Inputs!$B$44),IF(Inputs!$B$39="pvp",MIN((Skills!S5*(1+((Inputs!$B$35+(ArtifactsInput!$M$7-ArtifactsInput!$M$7)*CHOOSE(ArtifactsInput!$N$7+1,6,7.2,8.4,9.6,10.8,12)))/100)),15)/15,MIN(1,(Skills!S5*(1+((Inputs!$B$35+(ArtifactsInput!$M$7-ArtifactsInput!$M$7)*CHOOSE(ArtifactsInput!$N$7+1,6,7.2,8.4,9.6,10.8,12)))/100))/(1/Q2822)))),0)+IF(C2828=TRUE,F2828*IF(AND(Inputs!$B$39&lt;&gt;"pvp",Inputs!$B$44&gt;0),(((R2828-1)*MIN((Skills!S11*(1+((Inputs!$B$35+(ArtifactsInput!$M$7-ArtifactsInput!$M$7)*CHOOSE(ArtifactsInput!$N$7+1,6,7.2,8.4,9.6,10.8,12)))/100)),(1/Q2828))+MIN((Skills!S11*(1+((Inputs!$B$35+(ArtifactsInput!$M$7-ArtifactsInput!$M$7)*CHOOSE(ArtifactsInput!$N$7+1,6,7.2,8.4,9.6,10.8,12)))/100)),MAX(0,Inputs!$B$44-((R2828-1)*(1/Q2828)))))/Inputs!$B$44),IF(Inputs!$B$39="pvp",MIN((Skills!S11*(1+((Inputs!$B$35+(ArtifactsInput!$M$7-ArtifactsInput!$M$7)*CHOOSE(ArtifactsInput!$N$7+1,6,7.2,8.4,9.6,10.8,12)))/100)),15)/15,MIN(1,(Skills!S11*(1+((Inputs!$B$35+(ArtifactsInput!$M$7-ArtifactsInput!$M$7)*CHOOSE(ArtifactsInput!$N$7+1,6,7.2,8.4,9.6,10.8,12)))/100))/(1/Q2828)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MIN((Skills!S14*(1+((Inputs!$B$35+(ArtifactsInput!$M$7-ArtifactsInput!$M$7)*CHOOSE(ArtifactsInput!$N$7+1,6,7.2,8.4,9.6,10.8,12)))/100)),(1/Q2831))+MIN((Skills!S14*(1+((Inputs!$B$35+(ArtifactsInput!$M$7-ArtifactsInput!$M$7)*CHOOSE(ArtifactsInput!$N$7+1,6,7.2,8.4,9.6,10.8,12)))/100)),MAX(0,Inputs!$B$44-((R2831-1)*(1/Q2831)))))/Inputs!$B$44),IF(Inputs!$B$39="pvp",MIN((Skills!S14*(1+((Inputs!$B$35+(ArtifactsInput!$M$7-ArtifactsInput!$M$7)*CHOOSE(ArtifactsInput!$N$7+1,6,7.2,8.4,9.6,10.8,12)))/100)),15)/15,MIN(1,(Skills!S14*(1+((Inputs!$B$35+(ArtifactsInput!$M$7-ArtifactsInput!$M$7)*CHOOSE(ArtifactsInput!$N$7+1,6,7.2,8.4,9.6,10.8,12)))/100))/(1/Q2831))))/100),1)*IF(C2836=TRUE,(1+F2836*IF(AND(Inputs!$B$39&lt;&gt;"pvp",Inputs!$B$44&gt;0),(((R2836-1)*MIN((Skills!S19*(1+((Inputs!$B$35+(ArtifactsInput!$M$7-ArtifactsInput!$M$7)*CHOOSE(ArtifactsInput!$N$7+1,6,7.2,8.4,9.6,10.8,12)))/100)),(1/Q2836))+MIN((Skills!S19*(1+((Inputs!$B$35+(ArtifactsInput!$M$7-ArtifactsInput!$M$7)*CHOOSE(ArtifactsInput!$N$7+1,6,7.2,8.4,9.6,10.8,12)))/100)),MAX(0,Inputs!$B$44-((R2836-1)*(1/Q2836)))))/Inputs!$B$44),IF(Inputs!$B$39="pvp",MIN((Skills!S19*(1+((Inputs!$B$35+(ArtifactsInput!$M$7-ArtifactsInput!$M$7)*CHOOSE(ArtifactsInput!$N$7+1,6,7.2,8.4,9.6,10.8,12)))/100)),15)/15,MIN(1,(Skills!S19*(1+((Inputs!$B$35+(ArtifactsInput!$M$7-ArtifactsInput!$M$7)*CHOOSE(ArtifactsInput!$N$7+1,6,7.2,8.4,9.6,10.8,12)))/100))/(1/Q2836))))/100),1)</f>
        <v/>
      </c>
    </row>
    <row r="2848">
      <c r="A2848" t="inlineStr">
        <is>
          <t>Monster Damage Taken Bonus % (Holy Fountain)</t>
        </is>
      </c>
      <c r="B2848">
        <f>IF(Inputs!$B$3&gt;=68,20*IF(Inputs!$B$39="pvp",MIN((15*(1+((Inputs!$B$35+(ArtifactsInput!$M$7-ArtifactsInput!$M$7)*CHOOSE(ArtifactsInput!$N$7+1,6,7.2,8.4,9.6,10.8,12)))/100)),15)/15,MIN(1,(15*(1+((Inputs!$B$35+(ArtifactsInput!$M$7-ArtifactsInput!$M$7)*CHOOSE(ArtifactsInput!$N$7+1,6,7.2,8.4,9.6,10.8,12)))/100))/(1/Q2827))),0)</f>
        <v/>
      </c>
    </row>
    <row r="2849">
      <c r="A2849" t="inlineStr">
        <is>
          <t>Normal Monster Damage Bonus % (Holy Symbol)</t>
        </is>
      </c>
      <c r="B2849">
        <f>IF(C2829=TRUE,F2829*IF(AND(Inputs!$B$39&lt;&gt;"pvp",Inputs!$B$44&gt;0),(((R2829-1)*MIN((Skills!S12*(1+((Inputs!$B$35+(ArtifactsInput!$M$7-ArtifactsInput!$M$7)*CHOOSE(ArtifactsInput!$N$7+1,6,7.2,8.4,9.6,10.8,12)))/100)),(1/Q2829))+MIN((Skills!S12*(1+((Inputs!$B$35+(ArtifactsInput!$M$7-ArtifactsInput!$M$7)*CHOOSE(ArtifactsInput!$N$7+1,6,7.2,8.4,9.6,10.8,12)))/100)),MAX(0,Inputs!$B$44-((R2829-1)*(1/Q2829)))))/Inputs!$B$44),IF(Inputs!$B$39="pvp",MIN((Skills!S12*(1+((Inputs!$B$35+(ArtifactsInput!$M$7-ArtifactsInput!$M$7)*CHOOSE(ArtifactsInput!$N$7+1,6,7.2,8.4,9.6,10.8,12)))/100)),15)/15,MIN(1,(Skills!S12*(1+((Inputs!$B$35+(ArtifactsInput!$M$7-ArtifactsInput!$M$7)*CHOOSE(ArtifactsInput!$N$7+1,6,7.2,8.4,9.6,10.8,12)))/100))/(1/Q2829)))),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MIN((Skills!S28*(1+((Inputs!$B$35+(ArtifactsInput!$M$7-ArtifactsInput!$M$7)*CHOOSE(ArtifactsInput!$N$7+1,6,7.2,8.4,9.6,10.8,12)))/100)),(1/Q2845))+MIN((Skills!S28*(1+((Inputs!$B$35+(ArtifactsInput!$M$7-ArtifactsInput!$M$7)*CHOOSE(ArtifactsInput!$N$7+1,6,7.2,8.4,9.6,10.8,12)))/100)),MAX(0,Inputs!$B$44-((R2845-1)*(1/Q2845)))))/Inputs!$B$44),IF(Inputs!$B$39="pvp",MIN((Skills!S28*(1+((Inputs!$B$35+(ArtifactsInput!$M$7-ArtifactsInput!$M$7)*CHOOSE(ArtifactsInput!$N$7+1,6,7.2,8.4,9.6,10.8,12)))/100)),15)/15,MIN(1,(Skills!S28*(1+((Inputs!$B$35+(ArtifactsInput!$M$7-ArtifactsInput!$M$7)*CHOOSE(ArtifactsInput!$N$7+1,6,7.2,8.4,9.6,10.8,12)))/100))/(1/Q2845)))))</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MIN((Skills!S13*(1+((Inputs!$B$35+(ArtifactsInput!$M$7-ArtifactsInput!$M$7)*CHOOSE(ArtifactsInput!$N$7+1,6,7.2,8.4,9.6,10.8,12)))/100)),(1/Q2830))+MIN((Skills!S13*(1+((Inputs!$B$35+(ArtifactsInput!$M$7-ArtifactsInput!$M$7)*CHOOSE(ArtifactsInput!$N$7+1,6,7.2,8.4,9.6,10.8,12)))/100)),MAX(0,Inputs!$B$44-((R2830-1)*(1/Q2830)))))/Inputs!$B$44),IF(Inputs!$B$39="pvp",MIN((Skills!S13*(1+((Inputs!$B$35+(ArtifactsInput!$M$7-ArtifactsInput!$M$7)*CHOOSE(ArtifactsInput!$N$7+1,6,7.2,8.4,9.6,10.8,12)))/100)),15)/15,MIN(1,(Skills!S13*(1+((Inputs!$B$35+(ArtifactsInput!$M$7-ArtifactsInput!$M$7)*CHOOSE(ArtifactsInput!$N$7+1,6,7.2,8.4,9.6,10.8,12)))/100))/(1/Q2830)))),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IFERROR(1/(IF(Inputs!$B$39="pvp",15,MAX(0.1,Skills!D2-IF(TRUE=TRUE,Inputs!$B$33,0)))*(1-IF(AND(ArtifactsInput!$M$27,Inputs!$B$4="Chapter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IFERROR(1/(IF(Inputs!$B$39="pvp",15,MAX(0.1,Skills!D3-IF(TRUE=TRUE,Inputs!$B$33,0)))*(1-IF(AND(ArtifactsInput!$M$27,Inputs!$B$4="Chapter Hunt"),CHOOSE(ArtifactsInput!$N$27+1,20,24,28,32,36,40),0)/100)),0)</f>
        <v/>
      </c>
      <c r="R2865">
        <f>IF(AND(Inputs!$B$39&lt;&gt;"pvp",Inputs!$B$44&gt;0),IF(Inputs!$B$44&lt;=0,0,(INT(Inputs!$B$44/(IF(Inputs!$B$39="pvp",15,MAX(0.1,Skills!D3-IF(TRUE=TRUE,Inputs!$B$33,0)))*(1-IF(AND(ArtifactsInput!$M$27,Inputs!$B$4="Chapter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IFERROR(1/(IF(Inputs!$B$39="pvp",15,MAX(0.1,Skills!D4-IF(TRUE=TRUE,Inputs!$B$33,0)))*(1-IF(AND(ArtifactsInput!$M$27,Inputs!$B$4="Chapter Hunt"),CHOOSE(ArtifactsInput!$N$27+1,20,24,28,32,36,40),0)/100)),0)</f>
        <v/>
      </c>
      <c r="R2866">
        <f>IF(AND(Inputs!$B$39&lt;&gt;"pvp",Inputs!$B$44&gt;0),IF(Inputs!$B$44&lt;=0,0,(INT(Inputs!$B$44/(IF(Inputs!$B$39="pvp",15,MAX(0.1,Skills!D4-IF(TRUE=TRUE,Inputs!$B$33,0)))*(1-IF(AND(ArtifactsInput!$M$27,Inputs!$B$4="Chapter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IFERROR(1/(IF(Inputs!$B$39="pvp",15,MAX(0.1,Skills!D5-IF(TRUE=TRUE,Inputs!$B$33,0)))*(1-IF(AND(ArtifactsInput!$M$27,Inputs!$B$4="Chapter Hunt"),CHOOSE(ArtifactsInput!$N$27+1,20,24,28,32,36,40),0)/100)),0)</f>
        <v/>
      </c>
      <c r="R2867">
        <f>IF(AND(Inputs!$B$39&lt;&gt;"pvp",Inputs!$B$44&gt;0),IF(Inputs!$B$44&lt;=0,0,(INT(Inputs!$B$44/(IF(Inputs!$B$39="pvp",15,MAX(0.1,Skills!D5-IF(TRUE=TRUE,Inputs!$B$33,0)))*(1-IF(AND(ArtifactsInput!$M$27,Inputs!$B$4="Chapter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IFERROR(1/(IF(Inputs!$B$39="pvp",15,MAX(0.1,Skills!D6-IF(TRUE=TRUE,Inputs!$B$33,0)))*(1-IF(AND(ArtifactsInput!$M$27,Inputs!$B$4="Chapter Hunt"),CHOOSE(ArtifactsInput!$N$27+1,20,24,28,32,36,40),0)/100)),0)</f>
        <v/>
      </c>
      <c r="R2868">
        <f>IF(AND(Inputs!$B$39&lt;&gt;"pvp",Inputs!$B$44&gt;0),IF(MAX(0,Inputs!$B$44-B2902)&lt;=0,0,(INT(MAX(0,Inputs!$B$44-B2902)/(IF(Inputs!$B$39="pvp",15,MAX(0.1,Skills!D6-IF(TRUE=TRUE,Inputs!$B$33,0)))*(1-IF(AND(ArtifactsInput!$M$27,Inputs!$B$4="Chapter Hunt"),CHOOSE(ArtifactsInput!$N$27+1,20,24,28,32,36,40),0)/100)))+1)),0)</f>
        <v/>
      </c>
      <c r="S2868">
        <f>IF(C2868,(H2868*N2868*IF(AND(Inputs!$B$39&lt;&gt;"pvp",Inputs!$B$44&gt;0),((Skills!F6*((R2868-1)*IF(Skills!G6&gt;0,INT(Skills!H6/Skills!G6+0.000000001),1)+IF(Skills!G6&gt;0,INT(MIN(Skills!H6,MAX(0,MAX(0,Inputs!$B$44-B2902)-((R2868-1)*(IF(Inputs!$B$39="pvp",15,MAX(0.1,Skills!D6-IF(TRUE=TRUE,Inputs!$B$33,0)))*(1-IF(AND(ArtifactsInput!$M$27,Inputs!$B$4="Chapter Hunt"),CHOOSE(ArtifactsInput!$N$27+1,20,24,28,32,36,40),0)/100)))))/Skills!G6+0.000000001),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INT(Skills!H6/Skills!G6+0.000000001),1)+IF(Skills!G6&gt;0,INT(MIN(Skills!H6,MAX(0,MAX(0,Inputs!$B$44-B2902)-((R2868-1)*(IF(Inputs!$B$39="pvp",15,MAX(0.1,Skills!D6-IF(TRUE=TRUE,Inputs!$B$33,0)))*(1-IF(AND(ArtifactsInput!$M$27,Inputs!$B$4="Chapter Hunt"),CHOOSE(ArtifactsInput!$N$27+1,20,24,28,32,36,40),0)/100)))))/Skills!G6+0.000000001),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IFERROR(1/(IF(Inputs!$B$39="pvp",15,MAX(0.1,Skills!D7-IF(TRUE=TRUE,Inputs!$B$33,0)))*(1-IF(AND(ArtifactsInput!$M$27,Inputs!$B$4="Chapter Hunt"),CHOOSE(ArtifactsInput!$N$27+1,20,24,28,32,36,40),0)/100)),0)</f>
        <v/>
      </c>
      <c r="R2869">
        <f>IF(AND(Inputs!$B$39&lt;&gt;"pvp",Inputs!$B$44&gt;0),IF(MAX(0,Inputs!$B$44-B2902)&lt;=0,0,(INT(MAX(0,Inputs!$B$44-B2902)/(IF(Inputs!$B$39="pvp",15,MAX(0.1,Skills!D7-IF(TRUE=TRUE,Inputs!$B$33,0)))*(1-IF(AND(ArtifactsInput!$M$27,Inputs!$B$4="Chapter Hunt"),CHOOSE(ArtifactsInput!$N$27+1,20,24,28,32,36,40),0)/100)))+1)),0)</f>
        <v/>
      </c>
      <c r="S2869">
        <f>IF(C2869,H2869*N2869*IF(AND(Inputs!$B$39&lt;&gt;"pvp",Inputs!$B$44&gt;0),((Skills!F7*((R2869-1)*IF(Skills!G7&gt;0,INT(Skills!H7/Skills!G7+0.000000001),1)+IF(Skills!G7&gt;0,INT(MIN(Skills!H7,MAX(0,MAX(0,Inputs!$B$44-B2902)-((R2869-1)*(IF(Inputs!$B$39="pvp",15,MAX(0.1,Skills!D7-IF(TRUE=TRUE,Inputs!$B$33,0)))*(1-IF(AND(ArtifactsInput!$M$27,Inputs!$B$4="Chapter Hunt"),CHOOSE(ArtifactsInput!$N$27+1,20,24,28,32,36,40),0)/100)))))/Skills!G7+0.000000001),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IFERROR(1/(IF(Inputs!$B$39="pvp",15,MAX(0.1,Skills!D8-IF(TRUE=TRUE,Inputs!$B$33,0)))*(1-IF(AND(ArtifactsInput!$M$27,Inputs!$B$4="Chapter Hunt"),CHOOSE(ArtifactsInput!$N$27+1,20,24,28,32,36,40),0)/100)),0)</f>
        <v/>
      </c>
      <c r="R2870">
        <f>IF(AND(Inputs!$B$39&lt;&gt;"pvp",Inputs!$B$44&gt;0),IF(MAX(0,Inputs!$B$44-B2902)&lt;=0,0,(INT(MAX(0,Inputs!$B$44-B2902)/(IF(Inputs!$B$39="pvp",15,MAX(0.1,Skills!D8-IF(TRUE=TRUE,Inputs!$B$33,0)))*(1-IF(AND(ArtifactsInput!$M$27,Inputs!$B$4="Chapter Hunt"),CHOOSE(ArtifactsInput!$N$27+1,20,24,28,32,36,40),0)/100)))+1)),0)</f>
        <v/>
      </c>
      <c r="S2870">
        <f>IF(C2870,(H2870*N2870*IF(AND(Inputs!$B$39&lt;&gt;"pvp",Inputs!$B$44&gt;0),((Skills!F8*((R2870-1)*IF(Skills!G8&gt;0,INT(Skills!H8/Skills!G8+0.000000001),1)+IF(Skills!G8&gt;0,INT(MIN(Skills!H8,MAX(0,MAX(0,Inputs!$B$44-B2902)-((R2870-1)*(IF(Inputs!$B$39="pvp",15,MAX(0.1,Skills!D8-IF(TRUE=TRUE,Inputs!$B$33,0)))*(1-IF(AND(ArtifactsInput!$M$27,Inputs!$B$4="Chapter Hunt"),CHOOSE(ArtifactsInput!$N$27+1,20,24,28,32,36,40),0)/100)))))/Skills!G8+0.000000001),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INT(Skills!H8/Skills!G8+0.000000001),1)+IF(Skills!G8&gt;0,INT(MIN(Skills!H8,MAX(0,MAX(0,Inputs!$B$44-B2902)-((R2870-1)*(IF(Inputs!$B$39="pvp",15,MAX(0.1,Skills!D8-IF(TRUE=TRUE,Inputs!$B$33,0)))*(1-IF(AND(ArtifactsInput!$M$27,Inputs!$B$4="Chapter Hunt"),CHOOSE(ArtifactsInput!$N$27+1,20,24,28,32,36,40),0)/100)))))/Skills!G8+0.000000001),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IFERROR(1/(IF(Inputs!$B$39="pvp",15,MAX(0.1,Skills!D9-IF(TRUE=TRUE,Inputs!$B$33,0)))*(1-IF(AND(ArtifactsInput!$M$27,Inputs!$B$4="Chapter Hunt"),CHOOSE(ArtifactsInput!$N$27+1,20,24,28,32,36,40),0)/100)),0)</f>
        <v/>
      </c>
      <c r="R2871">
        <f>IF(AND(Inputs!$B$39&lt;&gt;"pvp",Inputs!$B$44&gt;0),IF(MAX(0,Inputs!$B$44-B2902)&lt;=0,0,(INT(MAX(0,Inputs!$B$44-B2902)/(IF(Inputs!$B$39="pvp",15,MAX(0.1,Skills!D9-IF(TRUE=TRUE,Inputs!$B$33,0)))*(1-IF(AND(ArtifactsInput!$M$27,Inputs!$B$4="Chapter Hunt"),CHOOSE(ArtifactsInput!$N$27+1,20,24,28,32,36,40),0)/100)))+1)),0)</f>
        <v/>
      </c>
      <c r="S2871">
        <f>IF(C2871,(H2871*N2871*IF(AND(Inputs!$B$39&lt;&gt;"pvp",Inputs!$B$44&gt;0),((Skills!F9*((R2871-1)*IF(Skills!G9&gt;0,INT(Skills!H9/Skills!G9+0.000000001),1)+IF(Skills!G9&gt;0,INT(MIN(Skills!H9,MAX(0,MAX(0,Inputs!$B$44-B2902)-((R2871-1)*(IF(Inputs!$B$39="pvp",15,MAX(0.1,Skills!D9-IF(TRUE=TRUE,Inputs!$B$33,0)))*(1-IF(AND(ArtifactsInput!$M$27,Inputs!$B$4="Chapter Hunt"),CHOOSE(ArtifactsInput!$N$27+1,20,24,28,32,36,40),0)/100)))))/Skills!G9+0.000000001),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INT(Skills!H9/Skills!G9+0.000000001),1)+IF(Skills!G9&gt;0,INT(MIN(Skills!H9,MAX(0,MAX(0,Inputs!$B$44-B2902)-((R2871-1)*(IF(Inputs!$B$39="pvp",15,MAX(0.1,Skills!D9-IF(TRUE=TRUE,Inputs!$B$33,0)))*(1-IF(AND(ArtifactsInput!$M$27,Inputs!$B$4="Chapter Hunt"),CHOOSE(ArtifactsInput!$N$27+1,20,24,28,32,36,40),0)/100)))))/Skills!G9+0.000000001),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IFERROR(1/(IF(Inputs!$B$39="pvp",15,MAX(0.1,Skills!D10-IF(TRUE=TRUE,Inputs!$B$33,0)))*(1-IF(AND(ArtifactsInput!$M$27,Inputs!$B$4="Chapter Hunt"),CHOOSE(ArtifactsInput!$N$27+1,20,24,28,32,36,40),0)/100)),0)</f>
        <v/>
      </c>
      <c r="R2872">
        <f>IF(AND(Inputs!$B$39&lt;&gt;"pvp",Inputs!$B$44&gt;0),IF(MAX(0,Inputs!$B$44-B2902)&lt;=0,0,(INT(MAX(0,Inputs!$B$44-B2902)/(IF(Inputs!$B$39="pvp",15,MAX(0.1,Skills!D10-IF(TRUE=TRUE,Inputs!$B$33,0)))*(1-IF(AND(ArtifactsInput!$M$27,Inputs!$B$4="Chapter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IFERROR(1/(IF(Inputs!$B$39="pvp",15,MAX(0.1,Skills!D11-IF(TRUE=TRUE,Inputs!$B$33,0)))*(1-IF(AND(ArtifactsInput!$M$27,Inputs!$B$4="Chapter Hunt"),CHOOSE(ArtifactsInput!$N$27+1,20,24,28,32,36,40),0)/100)),0)</f>
        <v/>
      </c>
      <c r="R2873">
        <f>IF(AND(Inputs!$B$39&lt;&gt;"pvp",Inputs!$B$44&gt;0),IF(Inputs!$B$44&lt;=0,0,(INT(Inputs!$B$44/(IF(Inputs!$B$39="pvp",15,MAX(0.1,Skills!D11-IF(TRUE=TRUE,Inputs!$B$33,0)))*(1-IF(AND(ArtifactsInput!$M$27,Inputs!$B$4="Chapter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IFERROR(1/(IF(Inputs!$B$39="pvp",15,MAX(0.1,Skills!D12-IF(TRUE=TRUE,Inputs!$B$33,0)))*(1-IF(AND(ArtifactsInput!$M$27,Inputs!$B$4="Chapter Hunt"),CHOOSE(ArtifactsInput!$N$27+1,20,24,28,32,36,40),0)/100)),0)</f>
        <v/>
      </c>
      <c r="R2874">
        <f>IF(AND(Inputs!$B$39&lt;&gt;"pvp",Inputs!$B$44&gt;0),IF(MAX(0,Inputs!$B$44-B2902)&lt;=0,0,(INT(MAX(0,Inputs!$B$44-B2902)/(IF(Inputs!$B$39="pvp",15,MAX(0.1,Skills!D12-IF(TRUE=TRUE,Inputs!$B$33,0)))*(1-IF(AND(ArtifactsInput!$M$27,Inputs!$B$4="Chapter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IFERROR(1/(IF(Inputs!$B$39="pvp",15,MAX(0.1,Skills!D13-IF(TRUE=TRUE,Inputs!$B$33,0)))*(1-IF(AND(ArtifactsInput!$M$27,Inputs!$B$4="Chapter Hunt"),CHOOSE(ArtifactsInput!$N$27+1,20,24,28,32,36,40),0)/100)),0)</f>
        <v/>
      </c>
      <c r="R2875">
        <f>IF(AND(Inputs!$B$39&lt;&gt;"pvp",Inputs!$B$44&gt;0),IF(MAX(0,Inputs!$B$44-B2902)&lt;=0,0,(INT(MAX(0,Inputs!$B$44-B2902)/(IF(Inputs!$B$39="pvp",15,MAX(0.1,Skills!D13-IF(TRUE=TRUE,Inputs!$B$33,0)))*(1-IF(AND(ArtifactsInput!$M$27,Inputs!$B$4="Chapter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IFERROR(1/(IF(Inputs!$B$39="pvp",15,MAX(0.1,Skills!D14-IF(TRUE=TRUE,Inputs!$B$33,0)))*(1-IF(AND(ArtifactsInput!$M$27,Inputs!$B$4="Chapter Hunt"),CHOOSE(ArtifactsInput!$N$27+1,20,24,28,32,36,40),0)/100)),0)</f>
        <v/>
      </c>
      <c r="R2876">
        <f>IF(AND(Inputs!$B$39&lt;&gt;"pvp",Inputs!$B$44&gt;0),IF(Inputs!$B$44&lt;=0,0,(INT(Inputs!$B$44/(IF(Inputs!$B$39="pvp",15,MAX(0.1,Skills!D14-IF(TRUE=TRUE,Inputs!$B$33,0)))*(1-IF(AND(ArtifactsInput!$M$27,Inputs!$B$4="Chapter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IFERROR(1/(IF(Inputs!$B$39="pvp",15,MAX(0.1,Skills!D15-IF(TRUE=TRUE,Inputs!$B$33,0)))*(1-IF(AND(ArtifactsInput!$M$27,Inputs!$B$4="Chapter Hunt"),CHOOSE(ArtifactsInput!$N$27+1,20,24,28,32,36,40),0)/100)),0)</f>
        <v/>
      </c>
      <c r="R2877" t="n">
        <v>0</v>
      </c>
      <c r="S2877">
        <f>IF(C2877,(Skills!F15*N2877*((IF(Inputs!$B$3&gt;=78,25,15)/100*B2898*10)/(1+IF(Inputs!$B$3&gt;=78,25,15)/100*B2898*IF(Inputs!$B$39="pvp",15,MAX(0.1,18-IF(TRUE=TRUE,Inputs!$B$33,0)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IF(Inputs!$B$39="pvp",15,MAX(0.1,18-IF(TRUE=TRUE,Inputs!$B$33,0)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IFERROR(1/(IF(Inputs!$B$39="pvp",15,MAX(0.1,Skills!D16-IF(TRUE=TRUE,Inputs!$B$33,0)))*(1-IF(AND(ArtifactsInput!$M$27,Inputs!$B$4="Chapter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IFERROR(1/(IF(Inputs!$B$39="pvp",15,MAX(0.1,Skills!D17-IF(TRUE=TRUE,Inputs!$B$33,0)))*(1-IF(AND(ArtifactsInput!$M$27,Inputs!$B$4="Chapter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IFERROR(1/(IF(Inputs!$B$39="pvp",15,MAX(0.1,Skills!D18-IF(TRUE=TRUE,Inputs!$B$33,0)))*(1-IF(AND(ArtifactsInput!$M$27,Inputs!$B$4="Chapter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IFERROR(1/(IF(Inputs!$B$39="pvp",15,MAX(0.1,Skills!D19-IF(TRUE=TRUE,Inputs!$B$33,0)))*(1-IF(AND(ArtifactsInput!$M$27,Inputs!$B$4="Chapter Hunt"),CHOOSE(ArtifactsInput!$N$27+1,20,24,28,32,36,40),0)/100)),0)</f>
        <v/>
      </c>
      <c r="R2881">
        <f>IF(AND(Inputs!$B$39&lt;&gt;"pvp",Inputs!$B$44&gt;0),IF(Inputs!$B$44&lt;=0,0,(INT(Inputs!$B$44/(IF(Inputs!$B$39="pvp",15,MAX(0.1,Skills!D19-IF(TRUE=TRUE,Inputs!$B$33,0)))*(1-IF(AND(ArtifactsInput!$M$27,Inputs!$B$4="Chapter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IFERROR(1/(IF(Inputs!$B$39="pvp",15,MAX(0.1,Skills!D20-IF(TRUE=TRUE,Inputs!$B$33,0)))*(1-IF(AND(ArtifactsInput!$M$27,Inputs!$B$4="Chapter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IFERROR(1/(IF(Inputs!$B$39="pvp",15,MAX(0.1,Skills!D21-IF(TRUE=TRUE,Inputs!$B$33,0)))*(1-IF(AND(ArtifactsInput!$M$27,Inputs!$B$4="Chapter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IFERROR(1/(IF(Inputs!$B$39="pvp",15,MAX(0.1,Skills!D22-IF(TRUE=TRUE,Inputs!$B$33,0)))*(1-IF(AND(ArtifactsInput!$M$27,Inputs!$B$4="Chapter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IFERROR(1/(IF(Inputs!$B$39="pvp",15,MAX(0.1,Skills!D23-IF(TRUE=TRUE,Inputs!$B$33,0)))*(1-IF(AND(ArtifactsInput!$M$27,Inputs!$B$4="Chapter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IFERROR(1/(IF(Inputs!$B$39="pvp",15,MAX(0.1,Skills!D24-IF(TRUE=TRUE,Inputs!$B$33,0)))*(1-IF(AND(ArtifactsInput!$M$27,Inputs!$B$4="Chapter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IFERROR(1/(IF(Inputs!$B$39="pvp",15,MAX(0.1,Skills!D25-IF(TRUE=TRUE,Inputs!$B$33,0)))*(1-IF(AND(ArtifactsInput!$M$27,Inputs!$B$4="Chapter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IFERROR(1/(IF(Inputs!$B$39="pvp",15,MAX(0.1,Skills!D26-IF(TRUE=TRUE,Inputs!$B$33,0)))*(1-IF(AND(ArtifactsInput!$M$27,Inputs!$B$4="Chapter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IFERROR(1/(IF(Inputs!$B$39="pvp",15,MAX(0.1,Skills!D27-IF(TRUE=TRUE,Inputs!$B$33,0)))*(1-IF(AND(ArtifactsInput!$M$27,Inputs!$B$4="Chapter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IFERROR(1/(IF(Inputs!$B$39="pvp",15,MAX(0.1,Skills!D28-IF(TRUE=TRUE,Inputs!$B$33,0)))*(1-IF(AND(ArtifactsInput!$M$27,Inputs!$B$4="Chapter Hunt"),CHOOSE(ArtifactsInput!$N$27+1,20,24,28,32,36,40),0)/100)),0)</f>
        <v/>
      </c>
      <c r="R2890">
        <f>IF(AND(Inputs!$B$39&lt;&gt;"pvp",Inputs!$B$44&gt;0),IF(Inputs!$B$44&lt;=0,0,(INT(Inputs!$B$44/(IF(Inputs!$B$39="pvp",15,MAX(0.1,Skills!D28-IF(TRUE=TRUE,Inputs!$B$33,0)))*(1-IF(AND(ArtifactsInput!$M$27,Inputs!$B$4="Chapter Hunt"),CHOOSE(ArtifactsInput!$N$27+1,20,24,28,32,36,40),0)/100)))+1)),0)</f>
        <v/>
      </c>
      <c r="S2890" t="n">
        <v>0</v>
      </c>
      <c r="U2890" t="n">
        <v>0</v>
      </c>
    </row>
    <row r="2892">
      <c r="A2892" t="inlineStr">
        <is>
          <t>Average Buff Multiplier</t>
        </is>
      </c>
      <c r="B2892">
        <f>(1+(IF(C2865=TRUE,F2865*IF(AND(Inputs!$B$39&lt;&gt;"pvp",Inputs!$B$44&gt;0),(((R2865-1)*MIN((Skills!S3*(1+((Inputs!$B$35+(ArtifactsInput!$M$7-ArtifactsInput!$M$7)*CHOOSE(ArtifactsInput!$N$7+1,6,7.2,8.4,9.6,10.8,12)))/100)),(1/Q2865))+MIN((Skills!S3*(1+((Inputs!$B$35+(ArtifactsInput!$M$7-ArtifactsInput!$M$7)*CHOOSE(ArtifactsInput!$N$7+1,6,7.2,8.4,9.6,10.8,12)))/100)),MAX(0,Inputs!$B$44-((R2865-1)*(1/Q2865)))))/Inputs!$B$44),IF(Inputs!$B$39="pvp",MIN((Skills!S3*(1+((Inputs!$B$35+(ArtifactsInput!$M$7-ArtifactsInput!$M$7)*CHOOSE(ArtifactsInput!$N$7+1,6,7.2,8.4,9.6,10.8,12)))/100)),15)/15,MIN(1,(Skills!S3*(1+((Inputs!$B$35+(ArtifactsInput!$M$7-ArtifactsInput!$M$7)*CHOOSE(ArtifactsInput!$N$7+1,6,7.2,8.4,9.6,10.8,12)))/100))/(1/Q2865)))),0)+IF(C2866=TRUE,F2866*IF(AND(Inputs!$B$39&lt;&gt;"pvp",Inputs!$B$44&gt;0),(((R2866-1)*MIN((Skills!S4*(1+((Inputs!$B$35+(ArtifactsInput!$M$7-ArtifactsInput!$M$7)*CHOOSE(ArtifactsInput!$N$7+1,6,7.2,8.4,9.6,10.8,12)))/100)),(1/Q2866))+MIN((Skills!S4*(1+((Inputs!$B$35+(ArtifactsInput!$M$7-ArtifactsInput!$M$7)*CHOOSE(ArtifactsInput!$N$7+1,6,7.2,8.4,9.6,10.8,12)))/100)),MAX(0,Inputs!$B$44-((R2866-1)*(1/Q2866)))))/Inputs!$B$44),IF(Inputs!$B$39="pvp",MIN((Skills!S4*(1+((Inputs!$B$35+(ArtifactsInput!$M$7-ArtifactsInput!$M$7)*CHOOSE(ArtifactsInput!$N$7+1,6,7.2,8.4,9.6,10.8,12)))/100)),15)/15,MIN(1,(Skills!S4*(1+((Inputs!$B$35+(ArtifactsInput!$M$7-ArtifactsInput!$M$7)*CHOOSE(ArtifactsInput!$N$7+1,6,7.2,8.4,9.6,10.8,12)))/100))/(1/Q2866)))),0)+IF(C2867=TRUE,F2867*IF(AND(Inputs!$B$39&lt;&gt;"pvp",Inputs!$B$44&gt;0),(((R2867-1)*MIN((Skills!S5*(1+((Inputs!$B$35+(ArtifactsInput!$M$7-ArtifactsInput!$M$7)*CHOOSE(ArtifactsInput!$N$7+1,6,7.2,8.4,9.6,10.8,12)))/100)),(1/Q2867))+MIN((Skills!S5*(1+((Inputs!$B$35+(ArtifactsInput!$M$7-ArtifactsInput!$M$7)*CHOOSE(ArtifactsInput!$N$7+1,6,7.2,8.4,9.6,10.8,12)))/100)),MAX(0,Inputs!$B$44-((R2867-1)*(1/Q2867)))))/Inputs!$B$44),IF(Inputs!$B$39="pvp",MIN((Skills!S5*(1+((Inputs!$B$35+(ArtifactsInput!$M$7-ArtifactsInput!$M$7)*CHOOSE(ArtifactsInput!$N$7+1,6,7.2,8.4,9.6,10.8,12)))/100)),15)/15,MIN(1,(Skills!S5*(1+((Inputs!$B$35+(ArtifactsInput!$M$7-ArtifactsInput!$M$7)*CHOOSE(ArtifactsInput!$N$7+1,6,7.2,8.4,9.6,10.8,12)))/100))/(1/Q2867)))),0)+IF(C2873=TRUE,F2873*IF(AND(Inputs!$B$39&lt;&gt;"pvp",Inputs!$B$44&gt;0),(((R2873-1)*MIN((Skills!S11*(1+((Inputs!$B$35+(ArtifactsInput!$M$7-ArtifactsInput!$M$7)*CHOOSE(ArtifactsInput!$N$7+1,6,7.2,8.4,9.6,10.8,12)))/100)),(1/Q2873))+MIN((Skills!S11*(1+((Inputs!$B$35+(ArtifactsInput!$M$7-ArtifactsInput!$M$7)*CHOOSE(ArtifactsInput!$N$7+1,6,7.2,8.4,9.6,10.8,12)))/100)),MAX(0,Inputs!$B$44-((R2873-1)*(1/Q2873)))))/Inputs!$B$44),IF(Inputs!$B$39="pvp",MIN((Skills!S11*(1+((Inputs!$B$35+(ArtifactsInput!$M$7-ArtifactsInput!$M$7)*CHOOSE(ArtifactsInput!$N$7+1,6,7.2,8.4,9.6,10.8,12)))/100)),15)/15,MIN(1,(Skills!S11*(1+((Inputs!$B$35+(ArtifactsInput!$M$7-ArtifactsInput!$M$7)*CHOOSE(ArtifactsInput!$N$7+1,6,7.2,8.4,9.6,10.8,12)))/100))/(1/Q2873)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MIN((Skills!S14*(1+((Inputs!$B$35+(ArtifactsInput!$M$7-ArtifactsInput!$M$7)*CHOOSE(ArtifactsInput!$N$7+1,6,7.2,8.4,9.6,10.8,12)))/100)),(1/Q2876))+MIN((Skills!S14*(1+((Inputs!$B$35+(ArtifactsInput!$M$7-ArtifactsInput!$M$7)*CHOOSE(ArtifactsInput!$N$7+1,6,7.2,8.4,9.6,10.8,12)))/100)),MAX(0,Inputs!$B$44-((R2876-1)*(1/Q2876)))))/Inputs!$B$44),IF(Inputs!$B$39="pvp",MIN((Skills!S14*(1+((Inputs!$B$35+(ArtifactsInput!$M$7-ArtifactsInput!$M$7)*CHOOSE(ArtifactsInput!$N$7+1,6,7.2,8.4,9.6,10.8,12)))/100)),15)/15,MIN(1,(Skills!S14*(1+((Inputs!$B$35+(ArtifactsInput!$M$7-ArtifactsInput!$M$7)*CHOOSE(ArtifactsInput!$N$7+1,6,7.2,8.4,9.6,10.8,12)))/100))/(1/Q2876))))/100),1)*IF(C2881=TRUE,(1+F2881*IF(AND(Inputs!$B$39&lt;&gt;"pvp",Inputs!$B$44&gt;0),(((R2881-1)*MIN((Skills!S19*(1+((Inputs!$B$35+(ArtifactsInput!$M$7-ArtifactsInput!$M$7)*CHOOSE(ArtifactsInput!$N$7+1,6,7.2,8.4,9.6,10.8,12)))/100)),(1/Q2881))+MIN((Skills!S19*(1+((Inputs!$B$35+(ArtifactsInput!$M$7-ArtifactsInput!$M$7)*CHOOSE(ArtifactsInput!$N$7+1,6,7.2,8.4,9.6,10.8,12)))/100)),MAX(0,Inputs!$B$44-((R2881-1)*(1/Q2881)))))/Inputs!$B$44),IF(Inputs!$B$39="pvp",MIN((Skills!S19*(1+((Inputs!$B$35+(ArtifactsInput!$M$7-ArtifactsInput!$M$7)*CHOOSE(ArtifactsInput!$N$7+1,6,7.2,8.4,9.6,10.8,12)))/100)),15)/15,MIN(1,(Skills!S19*(1+((Inputs!$B$35+(ArtifactsInput!$M$7-ArtifactsInput!$M$7)*CHOOSE(ArtifactsInput!$N$7+1,6,7.2,8.4,9.6,10.8,12)))/100))/(1/Q2881))))/100),1)</f>
        <v/>
      </c>
    </row>
    <row r="2893">
      <c r="A2893" t="inlineStr">
        <is>
          <t>Monster Damage Taken Bonus % (Holy Fountain)</t>
        </is>
      </c>
      <c r="B2893">
        <f>IF(Inputs!$B$3&gt;=68,20*IF(Inputs!$B$39="pvp",MIN((15*(1+((Inputs!$B$35+(ArtifactsInput!$M$7-ArtifactsInput!$M$7)*CHOOSE(ArtifactsInput!$N$7+1,6,7.2,8.4,9.6,10.8,12)))/100)),15)/15,MIN(1,(15*(1+((Inputs!$B$35+(ArtifactsInput!$M$7-ArtifactsInput!$M$7)*CHOOSE(ArtifactsInput!$N$7+1,6,7.2,8.4,9.6,10.8,12)))/100))/(1/Q2872))),0)</f>
        <v/>
      </c>
    </row>
    <row r="2894">
      <c r="A2894" t="inlineStr">
        <is>
          <t>Normal Monster Damage Bonus % (Holy Symbol)</t>
        </is>
      </c>
      <c r="B2894">
        <f>IF(C2874=TRUE,F2874*IF(AND(Inputs!$B$39&lt;&gt;"pvp",Inputs!$B$44&gt;0),(((R2874-1)*MIN((Skills!S12*(1+((Inputs!$B$35+(ArtifactsInput!$M$7-ArtifactsInput!$M$7)*CHOOSE(ArtifactsInput!$N$7+1,6,7.2,8.4,9.6,10.8,12)))/100)),(1/Q2874))+MIN((Skills!S12*(1+((Inputs!$B$35+(ArtifactsInput!$M$7-ArtifactsInput!$M$7)*CHOOSE(ArtifactsInput!$N$7+1,6,7.2,8.4,9.6,10.8,12)))/100)),MAX(0,Inputs!$B$44-((R2874-1)*(1/Q2874)))))/Inputs!$B$44),IF(Inputs!$B$39="pvp",MIN((Skills!S12*(1+((Inputs!$B$35+(ArtifactsInput!$M$7-ArtifactsInput!$M$7)*CHOOSE(ArtifactsInput!$N$7+1,6,7.2,8.4,9.6,10.8,12)))/100)),15)/15,MIN(1,(Skills!S12*(1+((Inputs!$B$35+(ArtifactsInput!$M$7-ArtifactsInput!$M$7)*CHOOSE(ArtifactsInput!$N$7+1,6,7.2,8.4,9.6,10.8,12)))/100))/(1/Q2874)))),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MIN((Skills!S28*(1+((Inputs!$B$35+(ArtifactsInput!$M$7-ArtifactsInput!$M$7)*CHOOSE(ArtifactsInput!$N$7+1,6,7.2,8.4,9.6,10.8,12)))/100)),(1/Q2890))+MIN((Skills!S28*(1+((Inputs!$B$35+(ArtifactsInput!$M$7-ArtifactsInput!$M$7)*CHOOSE(ArtifactsInput!$N$7+1,6,7.2,8.4,9.6,10.8,12)))/100)),MAX(0,Inputs!$B$44-((R2890-1)*(1/Q2890)))))/Inputs!$B$44),IF(Inputs!$B$39="pvp",MIN((Skills!S28*(1+((Inputs!$B$35+(ArtifactsInput!$M$7-ArtifactsInput!$M$7)*CHOOSE(ArtifactsInput!$N$7+1,6,7.2,8.4,9.6,10.8,12)))/100)),15)/15,MIN(1,(Skills!S28*(1+((Inputs!$B$35+(ArtifactsInput!$M$7-ArtifactsInput!$M$7)*CHOOSE(ArtifactsInput!$N$7+1,6,7.2,8.4,9.6,10.8,12)))/100))/(1/Q2890)))))</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MIN((Skills!S13*(1+((Inputs!$B$35+(ArtifactsInput!$M$7-ArtifactsInput!$M$7)*CHOOSE(ArtifactsInput!$N$7+1,6,7.2,8.4,9.6,10.8,12)))/100)),(1/Q2875))+MIN((Skills!S13*(1+((Inputs!$B$35+(ArtifactsInput!$M$7-ArtifactsInput!$M$7)*CHOOSE(ArtifactsInput!$N$7+1,6,7.2,8.4,9.6,10.8,12)))/100)),MAX(0,Inputs!$B$44-((R2875-1)*(1/Q2875)))))/Inputs!$B$44),IF(Inputs!$B$39="pvp",MIN((Skills!S13*(1+((Inputs!$B$35+(ArtifactsInput!$M$7-ArtifactsInput!$M$7)*CHOOSE(ArtifactsInput!$N$7+1,6,7.2,8.4,9.6,10.8,12)))/100)),15)/15,MIN(1,(Skills!S13*(1+((Inputs!$B$35+(ArtifactsInput!$M$7-ArtifactsInput!$M$7)*CHOOSE(ArtifactsInput!$N$7+1,6,7.2,8.4,9.6,10.8,12)))/100))/(1/Q2875)))),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IFERROR(1/(IF(Inputs!$B$39="pvp",15,MAX(0.1,Skills!D2-IF(TRUE=TRUE,0.5,0)))*(1-IF(AND(ArtifactsInput!$M$27,Inputs!$B$4="Chapter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IFERROR(1/(IF(Inputs!$B$39="pvp",15,MAX(0.1,Skills!D3-IF(TRUE=TRUE,0.5,0)))*(1-IF(AND(ArtifactsInput!$M$27,Inputs!$B$4="Chapter Hunt"),CHOOSE(ArtifactsInput!$N$27+1,20,24,28,32,36,40),0)/100)),0)</f>
        <v/>
      </c>
      <c r="R2924">
        <f>IF(AND(Inputs!$B$39&lt;&gt;"pvp",Inputs!$B$44&gt;0),IF(Inputs!$B$44&lt;=0,0,(INT(Inputs!$B$44/(IF(Inputs!$B$39="pvp",15,MAX(0.1,Skills!D3-IF(TRUE=TRUE,0.5,0)))*(1-IF(AND(ArtifactsInput!$M$27,Inputs!$B$4="Chapter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IFERROR(1/(IF(Inputs!$B$39="pvp",15,MAX(0.1,Skills!D4-IF(TRUE=TRUE,0.5,0)))*(1-IF(AND(ArtifactsInput!$M$27,Inputs!$B$4="Chapter Hunt"),CHOOSE(ArtifactsInput!$N$27+1,20,24,28,32,36,40),0)/100)),0)</f>
        <v/>
      </c>
      <c r="R2925">
        <f>IF(AND(Inputs!$B$39&lt;&gt;"pvp",Inputs!$B$44&gt;0),IF(Inputs!$B$44&lt;=0,0,(INT(Inputs!$B$44/(IF(Inputs!$B$39="pvp",15,MAX(0.1,Skills!D4-IF(TRUE=TRUE,0.5,0)))*(1-IF(AND(ArtifactsInput!$M$27,Inputs!$B$4="Chapter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IFERROR(1/(IF(Inputs!$B$39="pvp",15,MAX(0.1,Skills!D5-IF(TRUE=TRUE,0.5,0)))*(1-IF(AND(ArtifactsInput!$M$27,Inputs!$B$4="Chapter Hunt"),CHOOSE(ArtifactsInput!$N$27+1,20,24,28,32,36,40),0)/100)),0)</f>
        <v/>
      </c>
      <c r="R2926">
        <f>IF(AND(Inputs!$B$39&lt;&gt;"pvp",Inputs!$B$44&gt;0),IF(Inputs!$B$44&lt;=0,0,(INT(Inputs!$B$44/(IF(Inputs!$B$39="pvp",15,MAX(0.1,Skills!D5-IF(TRUE=TRUE,0.5,0)))*(1-IF(AND(ArtifactsInput!$M$27,Inputs!$B$4="Chapter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IFERROR(1/(IF(Inputs!$B$39="pvp",15,MAX(0.1,Skills!D6-IF(TRUE=TRUE,0.5,0)))*(1-IF(AND(ArtifactsInput!$M$27,Inputs!$B$4="Chapter Hunt"),CHOOSE(ArtifactsInput!$N$27+1,20,24,28,32,36,40),0)/100)),0)</f>
        <v/>
      </c>
      <c r="R2927">
        <f>IF(AND(Inputs!$B$39&lt;&gt;"pvp",Inputs!$B$44&gt;0),IF(MAX(0,Inputs!$B$44-B2961)&lt;=0,0,(INT(MAX(0,Inputs!$B$44-B2961)/(IF(Inputs!$B$39="pvp",15,MAX(0.1,Skills!D6-IF(TRUE=TRUE,0.5,0)))*(1-IF(AND(ArtifactsInput!$M$27,Inputs!$B$4="Chapter Hunt"),CHOOSE(ArtifactsInput!$N$27+1,20,24,28,32,36,40),0)/100)))+1)),0)</f>
        <v/>
      </c>
      <c r="S2927">
        <f>IF(C2927,(H2927*N2927*IF(AND(Inputs!$B$39&lt;&gt;"pvp",Inputs!$B$44&gt;0),((Skills!F6*((R2927-1)*IF(Skills!G6&gt;0,INT(Skills!H6/Skills!G6+0.000000001),1)+IF(Skills!G6&gt;0,INT(MIN(Skills!H6,MAX(0,MAX(0,Inputs!$B$44-B2961)-((R2927-1)*(IF(Inputs!$B$39="pvp",15,MAX(0.1,Skills!D6-IF(TRUE=TRUE,0.5,0)))*(1-IF(AND(ArtifactsInput!$M$27,Inputs!$B$4="Chapter Hunt"),CHOOSE(ArtifactsInput!$N$27+1,20,24,28,32,36,40),0)/100)))))/Skills!G6+0.000000001),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INT(Skills!H6/Skills!G6+0.000000001),1)+IF(Skills!G6&gt;0,INT(MIN(Skills!H6,MAX(0,MAX(0,Inputs!$B$44-B2961)-((R2927-1)*(IF(Inputs!$B$39="pvp",15,MAX(0.1,Skills!D6-IF(TRUE=TRUE,0.5,0)))*(1-IF(AND(ArtifactsInput!$M$27,Inputs!$B$4="Chapter Hunt"),CHOOSE(ArtifactsInput!$N$27+1,20,24,28,32,36,40),0)/100)))))/Skills!G6+0.000000001),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IFERROR(1/(IF(Inputs!$B$39="pvp",15,MAX(0.1,Skills!D7-IF(TRUE=TRUE,0.5,0)))*(1-IF(AND(ArtifactsInput!$M$27,Inputs!$B$4="Chapter Hunt"),CHOOSE(ArtifactsInput!$N$27+1,20,24,28,32,36,40),0)/100)),0)</f>
        <v/>
      </c>
      <c r="R2928">
        <f>IF(AND(Inputs!$B$39&lt;&gt;"pvp",Inputs!$B$44&gt;0),IF(MAX(0,Inputs!$B$44-B2961)&lt;=0,0,(INT(MAX(0,Inputs!$B$44-B2961)/(IF(Inputs!$B$39="pvp",15,MAX(0.1,Skills!D7-IF(TRUE=TRUE,0.5,0)))*(1-IF(AND(ArtifactsInput!$M$27,Inputs!$B$4="Chapter Hunt"),CHOOSE(ArtifactsInput!$N$27+1,20,24,28,32,36,40),0)/100)))+1)),0)</f>
        <v/>
      </c>
      <c r="S2928">
        <f>IF(C2928,H2928*N2928*IF(AND(Inputs!$B$39&lt;&gt;"pvp",Inputs!$B$44&gt;0),((Skills!F7*((R2928-1)*IF(Skills!G7&gt;0,INT(Skills!H7/Skills!G7+0.000000001),1)+IF(Skills!G7&gt;0,INT(MIN(Skills!H7,MAX(0,MAX(0,Inputs!$B$44-B2961)-((R2928-1)*(IF(Inputs!$B$39="pvp",15,MAX(0.1,Skills!D7-IF(TRUE=TRUE,0.5,0)))*(1-IF(AND(ArtifactsInput!$M$27,Inputs!$B$4="Chapter Hunt"),CHOOSE(ArtifactsInput!$N$27+1,20,24,28,32,36,40),0)/100)))))/Skills!G7+0.000000001),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IFERROR(1/(IF(Inputs!$B$39="pvp",15,MAX(0.1,Skills!D8-IF(TRUE=TRUE,0.5,0)))*(1-IF(AND(ArtifactsInput!$M$27,Inputs!$B$4="Chapter Hunt"),CHOOSE(ArtifactsInput!$N$27+1,20,24,28,32,36,40),0)/100)),0)</f>
        <v/>
      </c>
      <c r="R2929">
        <f>IF(AND(Inputs!$B$39&lt;&gt;"pvp",Inputs!$B$44&gt;0),IF(MAX(0,Inputs!$B$44-B2961)&lt;=0,0,(INT(MAX(0,Inputs!$B$44-B2961)/(IF(Inputs!$B$39="pvp",15,MAX(0.1,Skills!D8-IF(TRUE=TRUE,0.5,0)))*(1-IF(AND(ArtifactsInput!$M$27,Inputs!$B$4="Chapter Hunt"),CHOOSE(ArtifactsInput!$N$27+1,20,24,28,32,36,40),0)/100)))+1)),0)</f>
        <v/>
      </c>
      <c r="S2929">
        <f>IF(C2929,(H2929*N2929*IF(AND(Inputs!$B$39&lt;&gt;"pvp",Inputs!$B$44&gt;0),((Skills!F8*((R2929-1)*IF(Skills!G8&gt;0,INT(Skills!H8/Skills!G8+0.000000001),1)+IF(Skills!G8&gt;0,INT(MIN(Skills!H8,MAX(0,MAX(0,Inputs!$B$44-B2961)-((R2929-1)*(IF(Inputs!$B$39="pvp",15,MAX(0.1,Skills!D8-IF(TRUE=TRUE,0.5,0)))*(1-IF(AND(ArtifactsInput!$M$27,Inputs!$B$4="Chapter Hunt"),CHOOSE(ArtifactsInput!$N$27+1,20,24,28,32,36,40),0)/100)))))/Skills!G8+0.000000001),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INT(Skills!H8/Skills!G8+0.000000001),1)+IF(Skills!G8&gt;0,INT(MIN(Skills!H8,MAX(0,MAX(0,Inputs!$B$44-B2961)-((R2929-1)*(IF(Inputs!$B$39="pvp",15,MAX(0.1,Skills!D8-IF(TRUE=TRUE,0.5,0)))*(1-IF(AND(ArtifactsInput!$M$27,Inputs!$B$4="Chapter Hunt"),CHOOSE(ArtifactsInput!$N$27+1,20,24,28,32,36,40),0)/100)))))/Skills!G8+0.000000001),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IFERROR(1/(IF(Inputs!$B$39="pvp",15,MAX(0.1,Skills!D9-IF(TRUE=TRUE,0.5,0)))*(1-IF(AND(ArtifactsInput!$M$27,Inputs!$B$4="Chapter Hunt"),CHOOSE(ArtifactsInput!$N$27+1,20,24,28,32,36,40),0)/100)),0)</f>
        <v/>
      </c>
      <c r="R2930">
        <f>IF(AND(Inputs!$B$39&lt;&gt;"pvp",Inputs!$B$44&gt;0),IF(MAX(0,Inputs!$B$44-B2961)&lt;=0,0,(INT(MAX(0,Inputs!$B$44-B2961)/(IF(Inputs!$B$39="pvp",15,MAX(0.1,Skills!D9-IF(TRUE=TRUE,0.5,0)))*(1-IF(AND(ArtifactsInput!$M$27,Inputs!$B$4="Chapter Hunt"),CHOOSE(ArtifactsInput!$N$27+1,20,24,28,32,36,40),0)/100)))+1)),0)</f>
        <v/>
      </c>
      <c r="S2930">
        <f>IF(C2930,(H2930*N2930*IF(AND(Inputs!$B$39&lt;&gt;"pvp",Inputs!$B$44&gt;0),((Skills!F9*((R2930-1)*IF(Skills!G9&gt;0,INT(Skills!H9/Skills!G9+0.000000001),1)+IF(Skills!G9&gt;0,INT(MIN(Skills!H9,MAX(0,MAX(0,Inputs!$B$44-B2961)-((R2930-1)*(IF(Inputs!$B$39="pvp",15,MAX(0.1,Skills!D9-IF(TRUE=TRUE,0.5,0)))*(1-IF(AND(ArtifactsInput!$M$27,Inputs!$B$4="Chapter Hunt"),CHOOSE(ArtifactsInput!$N$27+1,20,24,28,32,36,40),0)/100)))))/Skills!G9+0.000000001),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INT(Skills!H9/Skills!G9+0.000000001),1)+IF(Skills!G9&gt;0,INT(MIN(Skills!H9,MAX(0,MAX(0,Inputs!$B$44-B2961)-((R2930-1)*(IF(Inputs!$B$39="pvp",15,MAX(0.1,Skills!D9-IF(TRUE=TRUE,0.5,0)))*(1-IF(AND(ArtifactsInput!$M$27,Inputs!$B$4="Chapter Hunt"),CHOOSE(ArtifactsInput!$N$27+1,20,24,28,32,36,40),0)/100)))))/Skills!G9+0.000000001),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IFERROR(1/(IF(Inputs!$B$39="pvp",15,MAX(0.1,Skills!D10-IF(TRUE=TRUE,0.5,0)))*(1-IF(AND(ArtifactsInput!$M$27,Inputs!$B$4="Chapter Hunt"),CHOOSE(ArtifactsInput!$N$27+1,20,24,28,32,36,40),0)/100)),0)</f>
        <v/>
      </c>
      <c r="R2931">
        <f>IF(AND(Inputs!$B$39&lt;&gt;"pvp",Inputs!$B$44&gt;0),IF(MAX(0,Inputs!$B$44-B2961)&lt;=0,0,(INT(MAX(0,Inputs!$B$44-B2961)/(IF(Inputs!$B$39="pvp",15,MAX(0.1,Skills!D10-IF(TRUE=TRUE,0.5,0)))*(1-IF(AND(ArtifactsInput!$M$27,Inputs!$B$4="Chapter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IFERROR(1/(IF(Inputs!$B$39="pvp",15,MAX(0.1,Skills!D11-IF(TRUE=TRUE,0.5,0)))*(1-IF(AND(ArtifactsInput!$M$27,Inputs!$B$4="Chapter Hunt"),CHOOSE(ArtifactsInput!$N$27+1,20,24,28,32,36,40),0)/100)),0)</f>
        <v/>
      </c>
      <c r="R2932">
        <f>IF(AND(Inputs!$B$39&lt;&gt;"pvp",Inputs!$B$44&gt;0),IF(Inputs!$B$44&lt;=0,0,(INT(Inputs!$B$44/(IF(Inputs!$B$39="pvp",15,MAX(0.1,Skills!D11-IF(TRUE=TRUE,0.5,0)))*(1-IF(AND(ArtifactsInput!$M$27,Inputs!$B$4="Chapter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IFERROR(1/(IF(Inputs!$B$39="pvp",15,MAX(0.1,Skills!D12-IF(TRUE=TRUE,0.5,0)))*(1-IF(AND(ArtifactsInput!$M$27,Inputs!$B$4="Chapter Hunt"),CHOOSE(ArtifactsInput!$N$27+1,20,24,28,32,36,40),0)/100)),0)</f>
        <v/>
      </c>
      <c r="R2933">
        <f>IF(AND(Inputs!$B$39&lt;&gt;"pvp",Inputs!$B$44&gt;0),IF(MAX(0,Inputs!$B$44-B2961)&lt;=0,0,(INT(MAX(0,Inputs!$B$44-B2961)/(IF(Inputs!$B$39="pvp",15,MAX(0.1,Skills!D12-IF(TRUE=TRUE,0.5,0)))*(1-IF(AND(ArtifactsInput!$M$27,Inputs!$B$4="Chapter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IFERROR(1/(IF(Inputs!$B$39="pvp",15,MAX(0.1,Skills!D13-IF(TRUE=TRUE,0.5,0)))*(1-IF(AND(ArtifactsInput!$M$27,Inputs!$B$4="Chapter Hunt"),CHOOSE(ArtifactsInput!$N$27+1,20,24,28,32,36,40),0)/100)),0)</f>
        <v/>
      </c>
      <c r="R2934">
        <f>IF(AND(Inputs!$B$39&lt;&gt;"pvp",Inputs!$B$44&gt;0),IF(MAX(0,Inputs!$B$44-B2961)&lt;=0,0,(INT(MAX(0,Inputs!$B$44-B2961)/(IF(Inputs!$B$39="pvp",15,MAX(0.1,Skills!D13-IF(TRUE=TRUE,0.5,0)))*(1-IF(AND(ArtifactsInput!$M$27,Inputs!$B$4="Chapter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IFERROR(1/(IF(Inputs!$B$39="pvp",15,MAX(0.1,Skills!D14-IF(TRUE=TRUE,0.5,0)))*(1-IF(AND(ArtifactsInput!$M$27,Inputs!$B$4="Chapter Hunt"),CHOOSE(ArtifactsInput!$N$27+1,20,24,28,32,36,40),0)/100)),0)</f>
        <v/>
      </c>
      <c r="R2935">
        <f>IF(AND(Inputs!$B$39&lt;&gt;"pvp",Inputs!$B$44&gt;0),IF(Inputs!$B$44&lt;=0,0,(INT(Inputs!$B$44/(IF(Inputs!$B$39="pvp",15,MAX(0.1,Skills!D14-IF(TRUE=TRUE,0.5,0)))*(1-IF(AND(ArtifactsInput!$M$27,Inputs!$B$4="Chapter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IFERROR(1/(IF(Inputs!$B$39="pvp",15,MAX(0.1,Skills!D15-IF(TRUE=TRUE,0.5,0)))*(1-IF(AND(ArtifactsInput!$M$27,Inputs!$B$4="Chapter Hunt"),CHOOSE(ArtifactsInput!$N$27+1,20,24,28,32,36,40),0)/100)),0)</f>
        <v/>
      </c>
      <c r="R2936" t="n">
        <v>0</v>
      </c>
      <c r="S2936">
        <f>IF(C2936,(Skills!F15*N2936*((IF(Inputs!$B$3&gt;=78,25,15)/100*B2957*10)/(1+IF(Inputs!$B$3&gt;=78,25,15)/100*B2957*IF(Inputs!$B$39="pvp",15,MAX(0.1,18-IF(TRUE=TRUE,0.5,0)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IF(Inputs!$B$39="pvp",15,MAX(0.1,18-IF(TRUE=TRUE,0.5,0)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IFERROR(1/(IF(Inputs!$B$39="pvp",15,MAX(0.1,Skills!D16-IF(TRUE=TRUE,0.5,0)))*(1-IF(AND(ArtifactsInput!$M$27,Inputs!$B$4="Chapter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IFERROR(1/(IF(Inputs!$B$39="pvp",15,MAX(0.1,Skills!D17-IF(TRUE=TRUE,0.5,0)))*(1-IF(AND(ArtifactsInput!$M$27,Inputs!$B$4="Chapter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IFERROR(1/(IF(Inputs!$B$39="pvp",15,MAX(0.1,Skills!D18-IF(TRUE=TRUE,0.5,0)))*(1-IF(AND(ArtifactsInput!$M$27,Inputs!$B$4="Chapter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IFERROR(1/(IF(Inputs!$B$39="pvp",15,MAX(0.1,Skills!D19-IF(TRUE=TRUE,0.5,0)))*(1-IF(AND(ArtifactsInput!$M$27,Inputs!$B$4="Chapter Hunt"),CHOOSE(ArtifactsInput!$N$27+1,20,24,28,32,36,40),0)/100)),0)</f>
        <v/>
      </c>
      <c r="R2940">
        <f>IF(AND(Inputs!$B$39&lt;&gt;"pvp",Inputs!$B$44&gt;0),IF(Inputs!$B$44&lt;=0,0,(INT(Inputs!$B$44/(IF(Inputs!$B$39="pvp",15,MAX(0.1,Skills!D19-IF(TRUE=TRUE,0.5,0)))*(1-IF(AND(ArtifactsInput!$M$27,Inputs!$B$4="Chapter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IFERROR(1/(IF(Inputs!$B$39="pvp",15,MAX(0.1,Skills!D20-IF(TRUE=TRUE,0.5,0)))*(1-IF(AND(ArtifactsInput!$M$27,Inputs!$B$4="Chapter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IFERROR(1/(IF(Inputs!$B$39="pvp",15,MAX(0.1,Skills!D21-IF(TRUE=TRUE,0.5,0)))*(1-IF(AND(ArtifactsInput!$M$27,Inputs!$B$4="Chapter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IFERROR(1/(IF(Inputs!$B$39="pvp",15,MAX(0.1,Skills!D22-IF(TRUE=TRUE,0.5,0)))*(1-IF(AND(ArtifactsInput!$M$27,Inputs!$B$4="Chapter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IFERROR(1/(IF(Inputs!$B$39="pvp",15,MAX(0.1,Skills!D23-IF(TRUE=TRUE,0.5,0)))*(1-IF(AND(ArtifactsInput!$M$27,Inputs!$B$4="Chapter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IFERROR(1/(IF(Inputs!$B$39="pvp",15,MAX(0.1,Skills!D24-IF(TRUE=TRUE,0.5,0)))*(1-IF(AND(ArtifactsInput!$M$27,Inputs!$B$4="Chapter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IFERROR(1/(IF(Inputs!$B$39="pvp",15,MAX(0.1,Skills!D25-IF(TRUE=TRUE,0.5,0)))*(1-IF(AND(ArtifactsInput!$M$27,Inputs!$B$4="Chapter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IFERROR(1/(IF(Inputs!$B$39="pvp",15,MAX(0.1,Skills!D26-IF(TRUE=TRUE,0.5,0)))*(1-IF(AND(ArtifactsInput!$M$27,Inputs!$B$4="Chapter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IFERROR(1/(IF(Inputs!$B$39="pvp",15,MAX(0.1,Skills!D27-IF(TRUE=TRUE,0.5,0)))*(1-IF(AND(ArtifactsInput!$M$27,Inputs!$B$4="Chapter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IFERROR(1/(IF(Inputs!$B$39="pvp",15,MAX(0.1,Skills!D28-IF(TRUE=TRUE,0.5,0)))*(1-IF(AND(ArtifactsInput!$M$27,Inputs!$B$4="Chapter Hunt"),CHOOSE(ArtifactsInput!$N$27+1,20,24,28,32,36,40),0)/100)),0)</f>
        <v/>
      </c>
      <c r="R2949">
        <f>IF(AND(Inputs!$B$39&lt;&gt;"pvp",Inputs!$B$44&gt;0),IF(Inputs!$B$44&lt;=0,0,(INT(Inputs!$B$44/(IF(Inputs!$B$39="pvp",15,MAX(0.1,Skills!D28-IF(TRUE=TRUE,0.5,0)))*(1-IF(AND(ArtifactsInput!$M$27,Inputs!$B$4="Chapter Hunt"),CHOOSE(ArtifactsInput!$N$27+1,20,24,28,32,36,40),0)/100)))+1)),0)</f>
        <v/>
      </c>
      <c r="S2949" t="n">
        <v>0</v>
      </c>
      <c r="U2949" t="n">
        <v>0</v>
      </c>
    </row>
    <row r="2951">
      <c r="A2951" t="inlineStr">
        <is>
          <t>Average Buff Multiplier</t>
        </is>
      </c>
      <c r="B2951">
        <f>(1+(IF(C2924=TRUE,F2924*IF(AND(Inputs!$B$39&lt;&gt;"pvp",Inputs!$B$44&gt;0),(((R2924-1)*MIN((Skills!S3*(1+((Inputs!$B$35+(ArtifactsInput!$M$7-ArtifactsInput!$M$7)*CHOOSE(ArtifactsInput!$N$7+1,6,7.2,8.4,9.6,10.8,12)))/100)),(1/Q2924))+MIN((Skills!S3*(1+((Inputs!$B$35+(ArtifactsInput!$M$7-ArtifactsInput!$M$7)*CHOOSE(ArtifactsInput!$N$7+1,6,7.2,8.4,9.6,10.8,12)))/100)),MAX(0,Inputs!$B$44-((R2924-1)*(1/Q2924)))))/Inputs!$B$44),IF(Inputs!$B$39="pvp",MIN((Skills!S3*(1+((Inputs!$B$35+(ArtifactsInput!$M$7-ArtifactsInput!$M$7)*CHOOSE(ArtifactsInput!$N$7+1,6,7.2,8.4,9.6,10.8,12)))/100)),15)/15,MIN(1,(Skills!S3*(1+((Inputs!$B$35+(ArtifactsInput!$M$7-ArtifactsInput!$M$7)*CHOOSE(ArtifactsInput!$N$7+1,6,7.2,8.4,9.6,10.8,12)))/100))/(1/Q2924)))),0)+IF(C2925=TRUE,F2925*IF(AND(Inputs!$B$39&lt;&gt;"pvp",Inputs!$B$44&gt;0),(((R2925-1)*MIN((Skills!S4*(1+((Inputs!$B$35+(ArtifactsInput!$M$7-ArtifactsInput!$M$7)*CHOOSE(ArtifactsInput!$N$7+1,6,7.2,8.4,9.6,10.8,12)))/100)),(1/Q2925))+MIN((Skills!S4*(1+((Inputs!$B$35+(ArtifactsInput!$M$7-ArtifactsInput!$M$7)*CHOOSE(ArtifactsInput!$N$7+1,6,7.2,8.4,9.6,10.8,12)))/100)),MAX(0,Inputs!$B$44-((R2925-1)*(1/Q2925)))))/Inputs!$B$44),IF(Inputs!$B$39="pvp",MIN((Skills!S4*(1+((Inputs!$B$35+(ArtifactsInput!$M$7-ArtifactsInput!$M$7)*CHOOSE(ArtifactsInput!$N$7+1,6,7.2,8.4,9.6,10.8,12)))/100)),15)/15,MIN(1,(Skills!S4*(1+((Inputs!$B$35+(ArtifactsInput!$M$7-ArtifactsInput!$M$7)*CHOOSE(ArtifactsInput!$N$7+1,6,7.2,8.4,9.6,10.8,12)))/100))/(1/Q2925)))),0)+IF(C2926=TRUE,F2926*IF(AND(Inputs!$B$39&lt;&gt;"pvp",Inputs!$B$44&gt;0),(((R2926-1)*MIN((Skills!S5*(1+((Inputs!$B$35+(ArtifactsInput!$M$7-ArtifactsInput!$M$7)*CHOOSE(ArtifactsInput!$N$7+1,6,7.2,8.4,9.6,10.8,12)))/100)),(1/Q2926))+MIN((Skills!S5*(1+((Inputs!$B$35+(ArtifactsInput!$M$7-ArtifactsInput!$M$7)*CHOOSE(ArtifactsInput!$N$7+1,6,7.2,8.4,9.6,10.8,12)))/100)),MAX(0,Inputs!$B$44-((R2926-1)*(1/Q2926)))))/Inputs!$B$44),IF(Inputs!$B$39="pvp",MIN((Skills!S5*(1+((Inputs!$B$35+(ArtifactsInput!$M$7-ArtifactsInput!$M$7)*CHOOSE(ArtifactsInput!$N$7+1,6,7.2,8.4,9.6,10.8,12)))/100)),15)/15,MIN(1,(Skills!S5*(1+((Inputs!$B$35+(ArtifactsInput!$M$7-ArtifactsInput!$M$7)*CHOOSE(ArtifactsInput!$N$7+1,6,7.2,8.4,9.6,10.8,12)))/100))/(1/Q2926)))),0)+IF(C2932=TRUE,F2932*IF(AND(Inputs!$B$39&lt;&gt;"pvp",Inputs!$B$44&gt;0),(((R2932-1)*MIN((Skills!S11*(1+((Inputs!$B$35+(ArtifactsInput!$M$7-ArtifactsInput!$M$7)*CHOOSE(ArtifactsInput!$N$7+1,6,7.2,8.4,9.6,10.8,12)))/100)),(1/Q2932))+MIN((Skills!S11*(1+((Inputs!$B$35+(ArtifactsInput!$M$7-ArtifactsInput!$M$7)*CHOOSE(ArtifactsInput!$N$7+1,6,7.2,8.4,9.6,10.8,12)))/100)),MAX(0,Inputs!$B$44-((R2932-1)*(1/Q2932)))))/Inputs!$B$44),IF(Inputs!$B$39="pvp",MIN((Skills!S11*(1+((Inputs!$B$35+(ArtifactsInput!$M$7-ArtifactsInput!$M$7)*CHOOSE(ArtifactsInput!$N$7+1,6,7.2,8.4,9.6,10.8,12)))/100)),15)/15,MIN(1,(Skills!S11*(1+((Inputs!$B$35+(ArtifactsInput!$M$7-ArtifactsInput!$M$7)*CHOOSE(ArtifactsInput!$N$7+1,6,7.2,8.4,9.6,10.8,12)))/100))/(1/Q2932)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MIN((Skills!S14*(1+((Inputs!$B$35+(ArtifactsInput!$M$7-ArtifactsInput!$M$7)*CHOOSE(ArtifactsInput!$N$7+1,6,7.2,8.4,9.6,10.8,12)))/100)),(1/Q2935))+MIN((Skills!S14*(1+((Inputs!$B$35+(ArtifactsInput!$M$7-ArtifactsInput!$M$7)*CHOOSE(ArtifactsInput!$N$7+1,6,7.2,8.4,9.6,10.8,12)))/100)),MAX(0,Inputs!$B$44-((R2935-1)*(1/Q2935)))))/Inputs!$B$44),IF(Inputs!$B$39="pvp",MIN((Skills!S14*(1+((Inputs!$B$35+(ArtifactsInput!$M$7-ArtifactsInput!$M$7)*CHOOSE(ArtifactsInput!$N$7+1,6,7.2,8.4,9.6,10.8,12)))/100)),15)/15,MIN(1,(Skills!S14*(1+((Inputs!$B$35+(ArtifactsInput!$M$7-ArtifactsInput!$M$7)*CHOOSE(ArtifactsInput!$N$7+1,6,7.2,8.4,9.6,10.8,12)))/100))/(1/Q2935))))/100),1)*IF(C2940=TRUE,(1+F2940*IF(AND(Inputs!$B$39&lt;&gt;"pvp",Inputs!$B$44&gt;0),(((R2940-1)*MIN((Skills!S19*(1+((Inputs!$B$35+(ArtifactsInput!$M$7-ArtifactsInput!$M$7)*CHOOSE(ArtifactsInput!$N$7+1,6,7.2,8.4,9.6,10.8,12)))/100)),(1/Q2940))+MIN((Skills!S19*(1+((Inputs!$B$35+(ArtifactsInput!$M$7-ArtifactsInput!$M$7)*CHOOSE(ArtifactsInput!$N$7+1,6,7.2,8.4,9.6,10.8,12)))/100)),MAX(0,Inputs!$B$44-((R2940-1)*(1/Q2940)))))/Inputs!$B$44),IF(Inputs!$B$39="pvp",MIN((Skills!S19*(1+((Inputs!$B$35+(ArtifactsInput!$M$7-ArtifactsInput!$M$7)*CHOOSE(ArtifactsInput!$N$7+1,6,7.2,8.4,9.6,10.8,12)))/100)),15)/15,MIN(1,(Skills!S19*(1+((Inputs!$B$35+(ArtifactsInput!$M$7-ArtifactsInput!$M$7)*CHOOSE(ArtifactsInput!$N$7+1,6,7.2,8.4,9.6,10.8,12)))/100))/(1/Q2940))))/100),1)</f>
        <v/>
      </c>
    </row>
    <row r="2952">
      <c r="A2952" t="inlineStr">
        <is>
          <t>Monster Damage Taken Bonus % (Holy Fountain)</t>
        </is>
      </c>
      <c r="B2952">
        <f>IF(Inputs!$B$3&gt;=68,20*IF(Inputs!$B$39="pvp",MIN((15*(1+((Inputs!$B$35+(ArtifactsInput!$M$7-ArtifactsInput!$M$7)*CHOOSE(ArtifactsInput!$N$7+1,6,7.2,8.4,9.6,10.8,12)))/100)),15)/15,MIN(1,(15*(1+((Inputs!$B$35+(ArtifactsInput!$M$7-ArtifactsInput!$M$7)*CHOOSE(ArtifactsInput!$N$7+1,6,7.2,8.4,9.6,10.8,12)))/100))/(1/Q2931))),0)</f>
        <v/>
      </c>
    </row>
    <row r="2953">
      <c r="A2953" t="inlineStr">
        <is>
          <t>Normal Monster Damage Bonus % (Holy Symbol)</t>
        </is>
      </c>
      <c r="B2953">
        <f>IF(C2933=TRUE,F2933*IF(AND(Inputs!$B$39&lt;&gt;"pvp",Inputs!$B$44&gt;0),(((R2933-1)*MIN((Skills!S12*(1+((Inputs!$B$35+(ArtifactsInput!$M$7-ArtifactsInput!$M$7)*CHOOSE(ArtifactsInput!$N$7+1,6,7.2,8.4,9.6,10.8,12)))/100)),(1/Q2933))+MIN((Skills!S12*(1+((Inputs!$B$35+(ArtifactsInput!$M$7-ArtifactsInput!$M$7)*CHOOSE(ArtifactsInput!$N$7+1,6,7.2,8.4,9.6,10.8,12)))/100)),MAX(0,Inputs!$B$44-((R2933-1)*(1/Q2933)))))/Inputs!$B$44),IF(Inputs!$B$39="pvp",MIN((Skills!S12*(1+((Inputs!$B$35+(ArtifactsInput!$M$7-ArtifactsInput!$M$7)*CHOOSE(ArtifactsInput!$N$7+1,6,7.2,8.4,9.6,10.8,12)))/100)),15)/15,MIN(1,(Skills!S12*(1+((Inputs!$B$35+(ArtifactsInput!$M$7-ArtifactsInput!$M$7)*CHOOSE(ArtifactsInput!$N$7+1,6,7.2,8.4,9.6,10.8,12)))/100))/(1/Q2933)))),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MIN((Skills!S28*(1+((Inputs!$B$35+(ArtifactsInput!$M$7-ArtifactsInput!$M$7)*CHOOSE(ArtifactsInput!$N$7+1,6,7.2,8.4,9.6,10.8,12)))/100)),(1/Q2949))+MIN((Skills!S28*(1+((Inputs!$B$35+(ArtifactsInput!$M$7-ArtifactsInput!$M$7)*CHOOSE(ArtifactsInput!$N$7+1,6,7.2,8.4,9.6,10.8,12)))/100)),MAX(0,Inputs!$B$44-((R2949-1)*(1/Q2949)))))/Inputs!$B$44),IF(Inputs!$B$39="pvp",MIN((Skills!S28*(1+((Inputs!$B$35+(ArtifactsInput!$M$7-ArtifactsInput!$M$7)*CHOOSE(ArtifactsInput!$N$7+1,6,7.2,8.4,9.6,10.8,12)))/100)),15)/15,MIN(1,(Skills!S28*(1+((Inputs!$B$35+(ArtifactsInput!$M$7-ArtifactsInput!$M$7)*CHOOSE(ArtifactsInput!$N$7+1,6,7.2,8.4,9.6,10.8,12)))/100))/(1/Q2949)))))</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MIN((Skills!S13*(1+((Inputs!$B$35+(ArtifactsInput!$M$7-ArtifactsInput!$M$7)*CHOOSE(ArtifactsInput!$N$7+1,6,7.2,8.4,9.6,10.8,12)))/100)),(1/Q2934))+MIN((Skills!S13*(1+((Inputs!$B$35+(ArtifactsInput!$M$7-ArtifactsInput!$M$7)*CHOOSE(ArtifactsInput!$N$7+1,6,7.2,8.4,9.6,10.8,12)))/100)),MAX(0,Inputs!$B$44-((R2934-1)*(1/Q2934)))))/Inputs!$B$44),IF(Inputs!$B$39="pvp",MIN((Skills!S13*(1+((Inputs!$B$35+(ArtifactsInput!$M$7-ArtifactsInput!$M$7)*CHOOSE(ArtifactsInput!$N$7+1,6,7.2,8.4,9.6,10.8,12)))/100)),15)/15,MIN(1,(Skills!S13*(1+((Inputs!$B$35+(ArtifactsInput!$M$7-ArtifactsInput!$M$7)*CHOOSE(ArtifactsInput!$N$7+1,6,7.2,8.4,9.6,10.8,12)))/100))/(1/Q2934)))),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IFERROR(1/(IF(Inputs!$B$39="pvp",15,MAX(0.1,Skills!D2-IF(TRUE=TRUE,1.0,0)))*(1-IF(AND(ArtifactsInput!$M$27,Inputs!$B$4="Chapter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IFERROR(1/(IF(Inputs!$B$39="pvp",15,MAX(0.1,Skills!D3-IF(TRUE=TRUE,1.0,0)))*(1-IF(AND(ArtifactsInput!$M$27,Inputs!$B$4="Chapter Hunt"),CHOOSE(ArtifactsInput!$N$27+1,20,24,28,32,36,40),0)/100)),0)</f>
        <v/>
      </c>
      <c r="R2969">
        <f>IF(AND(Inputs!$B$39&lt;&gt;"pvp",Inputs!$B$44&gt;0),IF(Inputs!$B$44&lt;=0,0,(INT(Inputs!$B$44/(IF(Inputs!$B$39="pvp",15,MAX(0.1,Skills!D3-IF(TRUE=TRUE,1.0,0)))*(1-IF(AND(ArtifactsInput!$M$27,Inputs!$B$4="Chapter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IFERROR(1/(IF(Inputs!$B$39="pvp",15,MAX(0.1,Skills!D4-IF(TRUE=TRUE,1.0,0)))*(1-IF(AND(ArtifactsInput!$M$27,Inputs!$B$4="Chapter Hunt"),CHOOSE(ArtifactsInput!$N$27+1,20,24,28,32,36,40),0)/100)),0)</f>
        <v/>
      </c>
      <c r="R2970">
        <f>IF(AND(Inputs!$B$39&lt;&gt;"pvp",Inputs!$B$44&gt;0),IF(Inputs!$B$44&lt;=0,0,(INT(Inputs!$B$44/(IF(Inputs!$B$39="pvp",15,MAX(0.1,Skills!D4-IF(TRUE=TRUE,1.0,0)))*(1-IF(AND(ArtifactsInput!$M$27,Inputs!$B$4="Chapter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IFERROR(1/(IF(Inputs!$B$39="pvp",15,MAX(0.1,Skills!D5-IF(TRUE=TRUE,1.0,0)))*(1-IF(AND(ArtifactsInput!$M$27,Inputs!$B$4="Chapter Hunt"),CHOOSE(ArtifactsInput!$N$27+1,20,24,28,32,36,40),0)/100)),0)</f>
        <v/>
      </c>
      <c r="R2971">
        <f>IF(AND(Inputs!$B$39&lt;&gt;"pvp",Inputs!$B$44&gt;0),IF(Inputs!$B$44&lt;=0,0,(INT(Inputs!$B$44/(IF(Inputs!$B$39="pvp",15,MAX(0.1,Skills!D5-IF(TRUE=TRUE,1.0,0)))*(1-IF(AND(ArtifactsInput!$M$27,Inputs!$B$4="Chapter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IFERROR(1/(IF(Inputs!$B$39="pvp",15,MAX(0.1,Skills!D6-IF(TRUE=TRUE,1.0,0)))*(1-IF(AND(ArtifactsInput!$M$27,Inputs!$B$4="Chapter Hunt"),CHOOSE(ArtifactsInput!$N$27+1,20,24,28,32,36,40),0)/100)),0)</f>
        <v/>
      </c>
      <c r="R2972">
        <f>IF(AND(Inputs!$B$39&lt;&gt;"pvp",Inputs!$B$44&gt;0),IF(MAX(0,Inputs!$B$44-B3006)&lt;=0,0,(INT(MAX(0,Inputs!$B$44-B3006)/(IF(Inputs!$B$39="pvp",15,MAX(0.1,Skills!D6-IF(TRUE=TRUE,1.0,0)))*(1-IF(AND(ArtifactsInput!$M$27,Inputs!$B$4="Chapter Hunt"),CHOOSE(ArtifactsInput!$N$27+1,20,24,28,32,36,40),0)/100)))+1)),0)</f>
        <v/>
      </c>
      <c r="S2972">
        <f>IF(C2972,(H2972*N2972*IF(AND(Inputs!$B$39&lt;&gt;"pvp",Inputs!$B$44&gt;0),((Skills!F6*((R2972-1)*IF(Skills!G6&gt;0,INT(Skills!H6/Skills!G6+0.000000001),1)+IF(Skills!G6&gt;0,INT(MIN(Skills!H6,MAX(0,MAX(0,Inputs!$B$44-B3006)-((R2972-1)*(IF(Inputs!$B$39="pvp",15,MAX(0.1,Skills!D6-IF(TRUE=TRUE,1.0,0)))*(1-IF(AND(ArtifactsInput!$M$27,Inputs!$B$4="Chapter Hunt"),CHOOSE(ArtifactsInput!$N$27+1,20,24,28,32,36,40),0)/100)))))/Skills!G6+0.000000001),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INT(Skills!H6/Skills!G6+0.000000001),1)+IF(Skills!G6&gt;0,INT(MIN(Skills!H6,MAX(0,MAX(0,Inputs!$B$44-B3006)-((R2972-1)*(IF(Inputs!$B$39="pvp",15,MAX(0.1,Skills!D6-IF(TRUE=TRUE,1.0,0)))*(1-IF(AND(ArtifactsInput!$M$27,Inputs!$B$4="Chapter Hunt"),CHOOSE(ArtifactsInput!$N$27+1,20,24,28,32,36,40),0)/100)))))/Skills!G6+0.000000001),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IFERROR(1/(IF(Inputs!$B$39="pvp",15,MAX(0.1,Skills!D7-IF(TRUE=TRUE,1.0,0)))*(1-IF(AND(ArtifactsInput!$M$27,Inputs!$B$4="Chapter Hunt"),CHOOSE(ArtifactsInput!$N$27+1,20,24,28,32,36,40),0)/100)),0)</f>
        <v/>
      </c>
      <c r="R2973">
        <f>IF(AND(Inputs!$B$39&lt;&gt;"pvp",Inputs!$B$44&gt;0),IF(MAX(0,Inputs!$B$44-B3006)&lt;=0,0,(INT(MAX(0,Inputs!$B$44-B3006)/(IF(Inputs!$B$39="pvp",15,MAX(0.1,Skills!D7-IF(TRUE=TRUE,1.0,0)))*(1-IF(AND(ArtifactsInput!$M$27,Inputs!$B$4="Chapter Hunt"),CHOOSE(ArtifactsInput!$N$27+1,20,24,28,32,36,40),0)/100)))+1)),0)</f>
        <v/>
      </c>
      <c r="S2973">
        <f>IF(C2973,H2973*N2973*IF(AND(Inputs!$B$39&lt;&gt;"pvp",Inputs!$B$44&gt;0),((Skills!F7*((R2973-1)*IF(Skills!G7&gt;0,INT(Skills!H7/Skills!G7+0.000000001),1)+IF(Skills!G7&gt;0,INT(MIN(Skills!H7,MAX(0,MAX(0,Inputs!$B$44-B3006)-((R2973-1)*(IF(Inputs!$B$39="pvp",15,MAX(0.1,Skills!D7-IF(TRUE=TRUE,1.0,0)))*(1-IF(AND(ArtifactsInput!$M$27,Inputs!$B$4="Chapter Hunt"),CHOOSE(ArtifactsInput!$N$27+1,20,24,28,32,36,40),0)/100)))))/Skills!G7+0.000000001),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IFERROR(1/(IF(Inputs!$B$39="pvp",15,MAX(0.1,Skills!D8-IF(TRUE=TRUE,1.0,0)))*(1-IF(AND(ArtifactsInput!$M$27,Inputs!$B$4="Chapter Hunt"),CHOOSE(ArtifactsInput!$N$27+1,20,24,28,32,36,40),0)/100)),0)</f>
        <v/>
      </c>
      <c r="R2974">
        <f>IF(AND(Inputs!$B$39&lt;&gt;"pvp",Inputs!$B$44&gt;0),IF(MAX(0,Inputs!$B$44-B3006)&lt;=0,0,(INT(MAX(0,Inputs!$B$44-B3006)/(IF(Inputs!$B$39="pvp",15,MAX(0.1,Skills!D8-IF(TRUE=TRUE,1.0,0)))*(1-IF(AND(ArtifactsInput!$M$27,Inputs!$B$4="Chapter Hunt"),CHOOSE(ArtifactsInput!$N$27+1,20,24,28,32,36,40),0)/100)))+1)),0)</f>
        <v/>
      </c>
      <c r="S2974">
        <f>IF(C2974,(H2974*N2974*IF(AND(Inputs!$B$39&lt;&gt;"pvp",Inputs!$B$44&gt;0),((Skills!F8*((R2974-1)*IF(Skills!G8&gt;0,INT(Skills!H8/Skills!G8+0.000000001),1)+IF(Skills!G8&gt;0,INT(MIN(Skills!H8,MAX(0,MAX(0,Inputs!$B$44-B3006)-((R2974-1)*(IF(Inputs!$B$39="pvp",15,MAX(0.1,Skills!D8-IF(TRUE=TRUE,1.0,0)))*(1-IF(AND(ArtifactsInput!$M$27,Inputs!$B$4="Chapter Hunt"),CHOOSE(ArtifactsInput!$N$27+1,20,24,28,32,36,40),0)/100)))))/Skills!G8+0.000000001),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INT(Skills!H8/Skills!G8+0.000000001),1)+IF(Skills!G8&gt;0,INT(MIN(Skills!H8,MAX(0,MAX(0,Inputs!$B$44-B3006)-((R2974-1)*(IF(Inputs!$B$39="pvp",15,MAX(0.1,Skills!D8-IF(TRUE=TRUE,1.0,0)))*(1-IF(AND(ArtifactsInput!$M$27,Inputs!$B$4="Chapter Hunt"),CHOOSE(ArtifactsInput!$N$27+1,20,24,28,32,36,40),0)/100)))))/Skills!G8+0.000000001),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IFERROR(1/(IF(Inputs!$B$39="pvp",15,MAX(0.1,Skills!D9-IF(TRUE=TRUE,1.0,0)))*(1-IF(AND(ArtifactsInput!$M$27,Inputs!$B$4="Chapter Hunt"),CHOOSE(ArtifactsInput!$N$27+1,20,24,28,32,36,40),0)/100)),0)</f>
        <v/>
      </c>
      <c r="R2975">
        <f>IF(AND(Inputs!$B$39&lt;&gt;"pvp",Inputs!$B$44&gt;0),IF(MAX(0,Inputs!$B$44-B3006)&lt;=0,0,(INT(MAX(0,Inputs!$B$44-B3006)/(IF(Inputs!$B$39="pvp",15,MAX(0.1,Skills!D9-IF(TRUE=TRUE,1.0,0)))*(1-IF(AND(ArtifactsInput!$M$27,Inputs!$B$4="Chapter Hunt"),CHOOSE(ArtifactsInput!$N$27+1,20,24,28,32,36,40),0)/100)))+1)),0)</f>
        <v/>
      </c>
      <c r="S2975">
        <f>IF(C2975,(H2975*N2975*IF(AND(Inputs!$B$39&lt;&gt;"pvp",Inputs!$B$44&gt;0),((Skills!F9*((R2975-1)*IF(Skills!G9&gt;0,INT(Skills!H9/Skills!G9+0.000000001),1)+IF(Skills!G9&gt;0,INT(MIN(Skills!H9,MAX(0,MAX(0,Inputs!$B$44-B3006)-((R2975-1)*(IF(Inputs!$B$39="pvp",15,MAX(0.1,Skills!D9-IF(TRUE=TRUE,1.0,0)))*(1-IF(AND(ArtifactsInput!$M$27,Inputs!$B$4="Chapter Hunt"),CHOOSE(ArtifactsInput!$N$27+1,20,24,28,32,36,40),0)/100)))))/Skills!G9+0.000000001),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INT(Skills!H9/Skills!G9+0.000000001),1)+IF(Skills!G9&gt;0,INT(MIN(Skills!H9,MAX(0,MAX(0,Inputs!$B$44-B3006)-((R2975-1)*(IF(Inputs!$B$39="pvp",15,MAX(0.1,Skills!D9-IF(TRUE=TRUE,1.0,0)))*(1-IF(AND(ArtifactsInput!$M$27,Inputs!$B$4="Chapter Hunt"),CHOOSE(ArtifactsInput!$N$27+1,20,24,28,32,36,40),0)/100)))))/Skills!G9+0.000000001),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IFERROR(1/(IF(Inputs!$B$39="pvp",15,MAX(0.1,Skills!D10-IF(TRUE=TRUE,1.0,0)))*(1-IF(AND(ArtifactsInput!$M$27,Inputs!$B$4="Chapter Hunt"),CHOOSE(ArtifactsInput!$N$27+1,20,24,28,32,36,40),0)/100)),0)</f>
        <v/>
      </c>
      <c r="R2976">
        <f>IF(AND(Inputs!$B$39&lt;&gt;"pvp",Inputs!$B$44&gt;0),IF(MAX(0,Inputs!$B$44-B3006)&lt;=0,0,(INT(MAX(0,Inputs!$B$44-B3006)/(IF(Inputs!$B$39="pvp",15,MAX(0.1,Skills!D10-IF(TRUE=TRUE,1.0,0)))*(1-IF(AND(ArtifactsInput!$M$27,Inputs!$B$4="Chapter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IFERROR(1/(IF(Inputs!$B$39="pvp",15,MAX(0.1,Skills!D11-IF(TRUE=TRUE,1.0,0)))*(1-IF(AND(ArtifactsInput!$M$27,Inputs!$B$4="Chapter Hunt"),CHOOSE(ArtifactsInput!$N$27+1,20,24,28,32,36,40),0)/100)),0)</f>
        <v/>
      </c>
      <c r="R2977">
        <f>IF(AND(Inputs!$B$39&lt;&gt;"pvp",Inputs!$B$44&gt;0),IF(Inputs!$B$44&lt;=0,0,(INT(Inputs!$B$44/(IF(Inputs!$B$39="pvp",15,MAX(0.1,Skills!D11-IF(TRUE=TRUE,1.0,0)))*(1-IF(AND(ArtifactsInput!$M$27,Inputs!$B$4="Chapter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IFERROR(1/(IF(Inputs!$B$39="pvp",15,MAX(0.1,Skills!D12-IF(TRUE=TRUE,1.0,0)))*(1-IF(AND(ArtifactsInput!$M$27,Inputs!$B$4="Chapter Hunt"),CHOOSE(ArtifactsInput!$N$27+1,20,24,28,32,36,40),0)/100)),0)</f>
        <v/>
      </c>
      <c r="R2978">
        <f>IF(AND(Inputs!$B$39&lt;&gt;"pvp",Inputs!$B$44&gt;0),IF(MAX(0,Inputs!$B$44-B3006)&lt;=0,0,(INT(MAX(0,Inputs!$B$44-B3006)/(IF(Inputs!$B$39="pvp",15,MAX(0.1,Skills!D12-IF(TRUE=TRUE,1.0,0)))*(1-IF(AND(ArtifactsInput!$M$27,Inputs!$B$4="Chapter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IFERROR(1/(IF(Inputs!$B$39="pvp",15,MAX(0.1,Skills!D13-IF(TRUE=TRUE,1.0,0)))*(1-IF(AND(ArtifactsInput!$M$27,Inputs!$B$4="Chapter Hunt"),CHOOSE(ArtifactsInput!$N$27+1,20,24,28,32,36,40),0)/100)),0)</f>
        <v/>
      </c>
      <c r="R2979">
        <f>IF(AND(Inputs!$B$39&lt;&gt;"pvp",Inputs!$B$44&gt;0),IF(MAX(0,Inputs!$B$44-B3006)&lt;=0,0,(INT(MAX(0,Inputs!$B$44-B3006)/(IF(Inputs!$B$39="pvp",15,MAX(0.1,Skills!D13-IF(TRUE=TRUE,1.0,0)))*(1-IF(AND(ArtifactsInput!$M$27,Inputs!$B$4="Chapter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IFERROR(1/(IF(Inputs!$B$39="pvp",15,MAX(0.1,Skills!D14-IF(TRUE=TRUE,1.0,0)))*(1-IF(AND(ArtifactsInput!$M$27,Inputs!$B$4="Chapter Hunt"),CHOOSE(ArtifactsInput!$N$27+1,20,24,28,32,36,40),0)/100)),0)</f>
        <v/>
      </c>
      <c r="R2980">
        <f>IF(AND(Inputs!$B$39&lt;&gt;"pvp",Inputs!$B$44&gt;0),IF(Inputs!$B$44&lt;=0,0,(INT(Inputs!$B$44/(IF(Inputs!$B$39="pvp",15,MAX(0.1,Skills!D14-IF(TRUE=TRUE,1.0,0)))*(1-IF(AND(ArtifactsInput!$M$27,Inputs!$B$4="Chapter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IFERROR(1/(IF(Inputs!$B$39="pvp",15,MAX(0.1,Skills!D15-IF(TRUE=TRUE,1.0,0)))*(1-IF(AND(ArtifactsInput!$M$27,Inputs!$B$4="Chapter Hunt"),CHOOSE(ArtifactsInput!$N$27+1,20,24,28,32,36,40),0)/100)),0)</f>
        <v/>
      </c>
      <c r="R2981" t="n">
        <v>0</v>
      </c>
      <c r="S2981">
        <f>IF(C2981,(Skills!F15*N2981*((IF(Inputs!$B$3&gt;=78,25,15)/100*B3002*10)/(1+IF(Inputs!$B$3&gt;=78,25,15)/100*B3002*IF(Inputs!$B$39="pvp",15,MAX(0.1,18-IF(TRUE=TRUE,1.0,0)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IF(Inputs!$B$39="pvp",15,MAX(0.1,18-IF(TRUE=TRUE,1.0,0)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IFERROR(1/(IF(Inputs!$B$39="pvp",15,MAX(0.1,Skills!D16-IF(TRUE=TRUE,1.0,0)))*(1-IF(AND(ArtifactsInput!$M$27,Inputs!$B$4="Chapter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IFERROR(1/(IF(Inputs!$B$39="pvp",15,MAX(0.1,Skills!D17-IF(TRUE=TRUE,1.0,0)))*(1-IF(AND(ArtifactsInput!$M$27,Inputs!$B$4="Chapter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IFERROR(1/(IF(Inputs!$B$39="pvp",15,MAX(0.1,Skills!D18-IF(TRUE=TRUE,1.0,0)))*(1-IF(AND(ArtifactsInput!$M$27,Inputs!$B$4="Chapter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IFERROR(1/(IF(Inputs!$B$39="pvp",15,MAX(0.1,Skills!D19-IF(TRUE=TRUE,1.0,0)))*(1-IF(AND(ArtifactsInput!$M$27,Inputs!$B$4="Chapter Hunt"),CHOOSE(ArtifactsInput!$N$27+1,20,24,28,32,36,40),0)/100)),0)</f>
        <v/>
      </c>
      <c r="R2985">
        <f>IF(AND(Inputs!$B$39&lt;&gt;"pvp",Inputs!$B$44&gt;0),IF(Inputs!$B$44&lt;=0,0,(INT(Inputs!$B$44/(IF(Inputs!$B$39="pvp",15,MAX(0.1,Skills!D19-IF(TRUE=TRUE,1.0,0)))*(1-IF(AND(ArtifactsInput!$M$27,Inputs!$B$4="Chapter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IFERROR(1/(IF(Inputs!$B$39="pvp",15,MAX(0.1,Skills!D20-IF(TRUE=TRUE,1.0,0)))*(1-IF(AND(ArtifactsInput!$M$27,Inputs!$B$4="Chapter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IFERROR(1/(IF(Inputs!$B$39="pvp",15,MAX(0.1,Skills!D21-IF(TRUE=TRUE,1.0,0)))*(1-IF(AND(ArtifactsInput!$M$27,Inputs!$B$4="Chapter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IFERROR(1/(IF(Inputs!$B$39="pvp",15,MAX(0.1,Skills!D22-IF(TRUE=TRUE,1.0,0)))*(1-IF(AND(ArtifactsInput!$M$27,Inputs!$B$4="Chapter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IFERROR(1/(IF(Inputs!$B$39="pvp",15,MAX(0.1,Skills!D23-IF(TRUE=TRUE,1.0,0)))*(1-IF(AND(ArtifactsInput!$M$27,Inputs!$B$4="Chapter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IFERROR(1/(IF(Inputs!$B$39="pvp",15,MAX(0.1,Skills!D24-IF(TRUE=TRUE,1.0,0)))*(1-IF(AND(ArtifactsInput!$M$27,Inputs!$B$4="Chapter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IFERROR(1/(IF(Inputs!$B$39="pvp",15,MAX(0.1,Skills!D25-IF(TRUE=TRUE,1.0,0)))*(1-IF(AND(ArtifactsInput!$M$27,Inputs!$B$4="Chapter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IFERROR(1/(IF(Inputs!$B$39="pvp",15,MAX(0.1,Skills!D26-IF(TRUE=TRUE,1.0,0)))*(1-IF(AND(ArtifactsInput!$M$27,Inputs!$B$4="Chapter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IFERROR(1/(IF(Inputs!$B$39="pvp",15,MAX(0.1,Skills!D27-IF(TRUE=TRUE,1.0,0)))*(1-IF(AND(ArtifactsInput!$M$27,Inputs!$B$4="Chapter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IFERROR(1/(IF(Inputs!$B$39="pvp",15,MAX(0.1,Skills!D28-IF(TRUE=TRUE,1.0,0)))*(1-IF(AND(ArtifactsInput!$M$27,Inputs!$B$4="Chapter Hunt"),CHOOSE(ArtifactsInput!$N$27+1,20,24,28,32,36,40),0)/100)),0)</f>
        <v/>
      </c>
      <c r="R2994">
        <f>IF(AND(Inputs!$B$39&lt;&gt;"pvp",Inputs!$B$44&gt;0),IF(Inputs!$B$44&lt;=0,0,(INT(Inputs!$B$44/(IF(Inputs!$B$39="pvp",15,MAX(0.1,Skills!D28-IF(TRUE=TRUE,1.0,0)))*(1-IF(AND(ArtifactsInput!$M$27,Inputs!$B$4="Chapter Hunt"),CHOOSE(ArtifactsInput!$N$27+1,20,24,28,32,36,40),0)/100)))+1)),0)</f>
        <v/>
      </c>
      <c r="S2994" t="n">
        <v>0</v>
      </c>
      <c r="U2994" t="n">
        <v>0</v>
      </c>
    </row>
    <row r="2996">
      <c r="A2996" t="inlineStr">
        <is>
          <t>Average Buff Multiplier</t>
        </is>
      </c>
      <c r="B2996">
        <f>(1+(IF(C2969=TRUE,F2969*IF(AND(Inputs!$B$39&lt;&gt;"pvp",Inputs!$B$44&gt;0),(((R2969-1)*MIN((Skills!S3*(1+((Inputs!$B$35+(ArtifactsInput!$M$7-ArtifactsInput!$M$7)*CHOOSE(ArtifactsInput!$N$7+1,6,7.2,8.4,9.6,10.8,12)))/100)),(1/Q2969))+MIN((Skills!S3*(1+((Inputs!$B$35+(ArtifactsInput!$M$7-ArtifactsInput!$M$7)*CHOOSE(ArtifactsInput!$N$7+1,6,7.2,8.4,9.6,10.8,12)))/100)),MAX(0,Inputs!$B$44-((R2969-1)*(1/Q2969)))))/Inputs!$B$44),IF(Inputs!$B$39="pvp",MIN((Skills!S3*(1+((Inputs!$B$35+(ArtifactsInput!$M$7-ArtifactsInput!$M$7)*CHOOSE(ArtifactsInput!$N$7+1,6,7.2,8.4,9.6,10.8,12)))/100)),15)/15,MIN(1,(Skills!S3*(1+((Inputs!$B$35+(ArtifactsInput!$M$7-ArtifactsInput!$M$7)*CHOOSE(ArtifactsInput!$N$7+1,6,7.2,8.4,9.6,10.8,12)))/100))/(1/Q2969)))),0)+IF(C2970=TRUE,F2970*IF(AND(Inputs!$B$39&lt;&gt;"pvp",Inputs!$B$44&gt;0),(((R2970-1)*MIN((Skills!S4*(1+((Inputs!$B$35+(ArtifactsInput!$M$7-ArtifactsInput!$M$7)*CHOOSE(ArtifactsInput!$N$7+1,6,7.2,8.4,9.6,10.8,12)))/100)),(1/Q2970))+MIN((Skills!S4*(1+((Inputs!$B$35+(ArtifactsInput!$M$7-ArtifactsInput!$M$7)*CHOOSE(ArtifactsInput!$N$7+1,6,7.2,8.4,9.6,10.8,12)))/100)),MAX(0,Inputs!$B$44-((R2970-1)*(1/Q2970)))))/Inputs!$B$44),IF(Inputs!$B$39="pvp",MIN((Skills!S4*(1+((Inputs!$B$35+(ArtifactsInput!$M$7-ArtifactsInput!$M$7)*CHOOSE(ArtifactsInput!$N$7+1,6,7.2,8.4,9.6,10.8,12)))/100)),15)/15,MIN(1,(Skills!S4*(1+((Inputs!$B$35+(ArtifactsInput!$M$7-ArtifactsInput!$M$7)*CHOOSE(ArtifactsInput!$N$7+1,6,7.2,8.4,9.6,10.8,12)))/100))/(1/Q2970)))),0)+IF(C2971=TRUE,F2971*IF(AND(Inputs!$B$39&lt;&gt;"pvp",Inputs!$B$44&gt;0),(((R2971-1)*MIN((Skills!S5*(1+((Inputs!$B$35+(ArtifactsInput!$M$7-ArtifactsInput!$M$7)*CHOOSE(ArtifactsInput!$N$7+1,6,7.2,8.4,9.6,10.8,12)))/100)),(1/Q2971))+MIN((Skills!S5*(1+((Inputs!$B$35+(ArtifactsInput!$M$7-ArtifactsInput!$M$7)*CHOOSE(ArtifactsInput!$N$7+1,6,7.2,8.4,9.6,10.8,12)))/100)),MAX(0,Inputs!$B$44-((R2971-1)*(1/Q2971)))))/Inputs!$B$44),IF(Inputs!$B$39="pvp",MIN((Skills!S5*(1+((Inputs!$B$35+(ArtifactsInput!$M$7-ArtifactsInput!$M$7)*CHOOSE(ArtifactsInput!$N$7+1,6,7.2,8.4,9.6,10.8,12)))/100)),15)/15,MIN(1,(Skills!S5*(1+((Inputs!$B$35+(ArtifactsInput!$M$7-ArtifactsInput!$M$7)*CHOOSE(ArtifactsInput!$N$7+1,6,7.2,8.4,9.6,10.8,12)))/100))/(1/Q2971)))),0)+IF(C2977=TRUE,F2977*IF(AND(Inputs!$B$39&lt;&gt;"pvp",Inputs!$B$44&gt;0),(((R2977-1)*MIN((Skills!S11*(1+((Inputs!$B$35+(ArtifactsInput!$M$7-ArtifactsInput!$M$7)*CHOOSE(ArtifactsInput!$N$7+1,6,7.2,8.4,9.6,10.8,12)))/100)),(1/Q2977))+MIN((Skills!S11*(1+((Inputs!$B$35+(ArtifactsInput!$M$7-ArtifactsInput!$M$7)*CHOOSE(ArtifactsInput!$N$7+1,6,7.2,8.4,9.6,10.8,12)))/100)),MAX(0,Inputs!$B$44-((R2977-1)*(1/Q2977)))))/Inputs!$B$44),IF(Inputs!$B$39="pvp",MIN((Skills!S11*(1+((Inputs!$B$35+(ArtifactsInput!$M$7-ArtifactsInput!$M$7)*CHOOSE(ArtifactsInput!$N$7+1,6,7.2,8.4,9.6,10.8,12)))/100)),15)/15,MIN(1,(Skills!S11*(1+((Inputs!$B$35+(ArtifactsInput!$M$7-ArtifactsInput!$M$7)*CHOOSE(ArtifactsInput!$N$7+1,6,7.2,8.4,9.6,10.8,12)))/100))/(1/Q2977)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MIN((Skills!S14*(1+((Inputs!$B$35+(ArtifactsInput!$M$7-ArtifactsInput!$M$7)*CHOOSE(ArtifactsInput!$N$7+1,6,7.2,8.4,9.6,10.8,12)))/100)),(1/Q2980))+MIN((Skills!S14*(1+((Inputs!$B$35+(ArtifactsInput!$M$7-ArtifactsInput!$M$7)*CHOOSE(ArtifactsInput!$N$7+1,6,7.2,8.4,9.6,10.8,12)))/100)),MAX(0,Inputs!$B$44-((R2980-1)*(1/Q2980)))))/Inputs!$B$44),IF(Inputs!$B$39="pvp",MIN((Skills!S14*(1+((Inputs!$B$35+(ArtifactsInput!$M$7-ArtifactsInput!$M$7)*CHOOSE(ArtifactsInput!$N$7+1,6,7.2,8.4,9.6,10.8,12)))/100)),15)/15,MIN(1,(Skills!S14*(1+((Inputs!$B$35+(ArtifactsInput!$M$7-ArtifactsInput!$M$7)*CHOOSE(ArtifactsInput!$N$7+1,6,7.2,8.4,9.6,10.8,12)))/100))/(1/Q2980))))/100),1)*IF(C2985=TRUE,(1+F2985*IF(AND(Inputs!$B$39&lt;&gt;"pvp",Inputs!$B$44&gt;0),(((R2985-1)*MIN((Skills!S19*(1+((Inputs!$B$35+(ArtifactsInput!$M$7-ArtifactsInput!$M$7)*CHOOSE(ArtifactsInput!$N$7+1,6,7.2,8.4,9.6,10.8,12)))/100)),(1/Q2985))+MIN((Skills!S19*(1+((Inputs!$B$35+(ArtifactsInput!$M$7-ArtifactsInput!$M$7)*CHOOSE(ArtifactsInput!$N$7+1,6,7.2,8.4,9.6,10.8,12)))/100)),MAX(0,Inputs!$B$44-((R2985-1)*(1/Q2985)))))/Inputs!$B$44),IF(Inputs!$B$39="pvp",MIN((Skills!S19*(1+((Inputs!$B$35+(ArtifactsInput!$M$7-ArtifactsInput!$M$7)*CHOOSE(ArtifactsInput!$N$7+1,6,7.2,8.4,9.6,10.8,12)))/100)),15)/15,MIN(1,(Skills!S19*(1+((Inputs!$B$35+(ArtifactsInput!$M$7-ArtifactsInput!$M$7)*CHOOSE(ArtifactsInput!$N$7+1,6,7.2,8.4,9.6,10.8,12)))/100))/(1/Q2985))))/100),1)</f>
        <v/>
      </c>
    </row>
    <row r="2997">
      <c r="A2997" t="inlineStr">
        <is>
          <t>Monster Damage Taken Bonus % (Holy Fountain)</t>
        </is>
      </c>
      <c r="B2997">
        <f>IF(Inputs!$B$3&gt;=68,20*IF(Inputs!$B$39="pvp",MIN((15*(1+((Inputs!$B$35+(ArtifactsInput!$M$7-ArtifactsInput!$M$7)*CHOOSE(ArtifactsInput!$N$7+1,6,7.2,8.4,9.6,10.8,12)))/100)),15)/15,MIN(1,(15*(1+((Inputs!$B$35+(ArtifactsInput!$M$7-ArtifactsInput!$M$7)*CHOOSE(ArtifactsInput!$N$7+1,6,7.2,8.4,9.6,10.8,12)))/100))/(1/Q2976))),0)</f>
        <v/>
      </c>
    </row>
    <row r="2998">
      <c r="A2998" t="inlineStr">
        <is>
          <t>Normal Monster Damage Bonus % (Holy Symbol)</t>
        </is>
      </c>
      <c r="B2998">
        <f>IF(C2978=TRUE,F2978*IF(AND(Inputs!$B$39&lt;&gt;"pvp",Inputs!$B$44&gt;0),(((R2978-1)*MIN((Skills!S12*(1+((Inputs!$B$35+(ArtifactsInput!$M$7-ArtifactsInput!$M$7)*CHOOSE(ArtifactsInput!$N$7+1,6,7.2,8.4,9.6,10.8,12)))/100)),(1/Q2978))+MIN((Skills!S12*(1+((Inputs!$B$35+(ArtifactsInput!$M$7-ArtifactsInput!$M$7)*CHOOSE(ArtifactsInput!$N$7+1,6,7.2,8.4,9.6,10.8,12)))/100)),MAX(0,Inputs!$B$44-((R2978-1)*(1/Q2978)))))/Inputs!$B$44),IF(Inputs!$B$39="pvp",MIN((Skills!S12*(1+((Inputs!$B$35+(ArtifactsInput!$M$7-ArtifactsInput!$M$7)*CHOOSE(ArtifactsInput!$N$7+1,6,7.2,8.4,9.6,10.8,12)))/100)),15)/15,MIN(1,(Skills!S12*(1+((Inputs!$B$35+(ArtifactsInput!$M$7-ArtifactsInput!$M$7)*CHOOSE(ArtifactsInput!$N$7+1,6,7.2,8.4,9.6,10.8,12)))/100))/(1/Q2978)))),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MIN((Skills!S28*(1+((Inputs!$B$35+(ArtifactsInput!$M$7-ArtifactsInput!$M$7)*CHOOSE(ArtifactsInput!$N$7+1,6,7.2,8.4,9.6,10.8,12)))/100)),(1/Q2994))+MIN((Skills!S28*(1+((Inputs!$B$35+(ArtifactsInput!$M$7-ArtifactsInput!$M$7)*CHOOSE(ArtifactsInput!$N$7+1,6,7.2,8.4,9.6,10.8,12)))/100)),MAX(0,Inputs!$B$44-((R2994-1)*(1/Q2994)))))/Inputs!$B$44),IF(Inputs!$B$39="pvp",MIN((Skills!S28*(1+((Inputs!$B$35+(ArtifactsInput!$M$7-ArtifactsInput!$M$7)*CHOOSE(ArtifactsInput!$N$7+1,6,7.2,8.4,9.6,10.8,12)))/100)),15)/15,MIN(1,(Skills!S28*(1+((Inputs!$B$35+(ArtifactsInput!$M$7-ArtifactsInput!$M$7)*CHOOSE(ArtifactsInput!$N$7+1,6,7.2,8.4,9.6,10.8,12)))/100))/(1/Q2994)))))</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MIN((Skills!S13*(1+((Inputs!$B$35+(ArtifactsInput!$M$7-ArtifactsInput!$M$7)*CHOOSE(ArtifactsInput!$N$7+1,6,7.2,8.4,9.6,10.8,12)))/100)),(1/Q2979))+MIN((Skills!S13*(1+((Inputs!$B$35+(ArtifactsInput!$M$7-ArtifactsInput!$M$7)*CHOOSE(ArtifactsInput!$N$7+1,6,7.2,8.4,9.6,10.8,12)))/100)),MAX(0,Inputs!$B$44-((R2979-1)*(1/Q2979)))))/Inputs!$B$44),IF(Inputs!$B$39="pvp",MIN((Skills!S13*(1+((Inputs!$B$35+(ArtifactsInput!$M$7-ArtifactsInput!$M$7)*CHOOSE(ArtifactsInput!$N$7+1,6,7.2,8.4,9.6,10.8,12)))/100)),15)/15,MIN(1,(Skills!S13*(1+((Inputs!$B$35+(ArtifactsInput!$M$7-ArtifactsInput!$M$7)*CHOOSE(ArtifactsInput!$N$7+1,6,7.2,8.4,9.6,10.8,12)))/100))/(1/Q2979)))),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IFERROR(1/(IF(Inputs!$B$39="pvp",15,MAX(0.1,Skills!D2-IF(TRUE=TRUE,1.5,0)))*(1-IF(AND(ArtifactsInput!$M$27,Inputs!$B$4="Chapter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IFERROR(1/(IF(Inputs!$B$39="pvp",15,MAX(0.1,Skills!D3-IF(TRUE=TRUE,1.5,0)))*(1-IF(AND(ArtifactsInput!$M$27,Inputs!$B$4="Chapter Hunt"),CHOOSE(ArtifactsInput!$N$27+1,20,24,28,32,36,40),0)/100)),0)</f>
        <v/>
      </c>
      <c r="R3014">
        <f>IF(AND(Inputs!$B$39&lt;&gt;"pvp",Inputs!$B$44&gt;0),IF(Inputs!$B$44&lt;=0,0,(INT(Inputs!$B$44/(IF(Inputs!$B$39="pvp",15,MAX(0.1,Skills!D3-IF(TRUE=TRUE,1.5,0)))*(1-IF(AND(ArtifactsInput!$M$27,Inputs!$B$4="Chapter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IFERROR(1/(IF(Inputs!$B$39="pvp",15,MAX(0.1,Skills!D4-IF(TRUE=TRUE,1.5,0)))*(1-IF(AND(ArtifactsInput!$M$27,Inputs!$B$4="Chapter Hunt"),CHOOSE(ArtifactsInput!$N$27+1,20,24,28,32,36,40),0)/100)),0)</f>
        <v/>
      </c>
      <c r="R3015">
        <f>IF(AND(Inputs!$B$39&lt;&gt;"pvp",Inputs!$B$44&gt;0),IF(Inputs!$B$44&lt;=0,0,(INT(Inputs!$B$44/(IF(Inputs!$B$39="pvp",15,MAX(0.1,Skills!D4-IF(TRUE=TRUE,1.5,0)))*(1-IF(AND(ArtifactsInput!$M$27,Inputs!$B$4="Chapter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IFERROR(1/(IF(Inputs!$B$39="pvp",15,MAX(0.1,Skills!D5-IF(TRUE=TRUE,1.5,0)))*(1-IF(AND(ArtifactsInput!$M$27,Inputs!$B$4="Chapter Hunt"),CHOOSE(ArtifactsInput!$N$27+1,20,24,28,32,36,40),0)/100)),0)</f>
        <v/>
      </c>
      <c r="R3016">
        <f>IF(AND(Inputs!$B$39&lt;&gt;"pvp",Inputs!$B$44&gt;0),IF(Inputs!$B$44&lt;=0,0,(INT(Inputs!$B$44/(IF(Inputs!$B$39="pvp",15,MAX(0.1,Skills!D5-IF(TRUE=TRUE,1.5,0)))*(1-IF(AND(ArtifactsInput!$M$27,Inputs!$B$4="Chapter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IFERROR(1/(IF(Inputs!$B$39="pvp",15,MAX(0.1,Skills!D6-IF(TRUE=TRUE,1.5,0)))*(1-IF(AND(ArtifactsInput!$M$27,Inputs!$B$4="Chapter Hunt"),CHOOSE(ArtifactsInput!$N$27+1,20,24,28,32,36,40),0)/100)),0)</f>
        <v/>
      </c>
      <c r="R3017">
        <f>IF(AND(Inputs!$B$39&lt;&gt;"pvp",Inputs!$B$44&gt;0),IF(MAX(0,Inputs!$B$44-B3051)&lt;=0,0,(INT(MAX(0,Inputs!$B$44-B3051)/(IF(Inputs!$B$39="pvp",15,MAX(0.1,Skills!D6-IF(TRUE=TRUE,1.5,0)))*(1-IF(AND(ArtifactsInput!$M$27,Inputs!$B$4="Chapter Hunt"),CHOOSE(ArtifactsInput!$N$27+1,20,24,28,32,36,40),0)/100)))+1)),0)</f>
        <v/>
      </c>
      <c r="S3017">
        <f>IF(C3017,(H3017*N3017*IF(AND(Inputs!$B$39&lt;&gt;"pvp",Inputs!$B$44&gt;0),((Skills!F6*((R3017-1)*IF(Skills!G6&gt;0,INT(Skills!H6/Skills!G6+0.000000001),1)+IF(Skills!G6&gt;0,INT(MIN(Skills!H6,MAX(0,MAX(0,Inputs!$B$44-B3051)-((R3017-1)*(IF(Inputs!$B$39="pvp",15,MAX(0.1,Skills!D6-IF(TRUE=TRUE,1.5,0)))*(1-IF(AND(ArtifactsInput!$M$27,Inputs!$B$4="Chapter Hunt"),CHOOSE(ArtifactsInput!$N$27+1,20,24,28,32,36,40),0)/100)))))/Skills!G6+0.000000001),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INT(Skills!H6/Skills!G6+0.000000001),1)+IF(Skills!G6&gt;0,INT(MIN(Skills!H6,MAX(0,MAX(0,Inputs!$B$44-B3051)-((R3017-1)*(IF(Inputs!$B$39="pvp",15,MAX(0.1,Skills!D6-IF(TRUE=TRUE,1.5,0)))*(1-IF(AND(ArtifactsInput!$M$27,Inputs!$B$4="Chapter Hunt"),CHOOSE(ArtifactsInput!$N$27+1,20,24,28,32,36,40),0)/100)))))/Skills!G6+0.000000001),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IFERROR(1/(IF(Inputs!$B$39="pvp",15,MAX(0.1,Skills!D7-IF(TRUE=TRUE,1.5,0)))*(1-IF(AND(ArtifactsInput!$M$27,Inputs!$B$4="Chapter Hunt"),CHOOSE(ArtifactsInput!$N$27+1,20,24,28,32,36,40),0)/100)),0)</f>
        <v/>
      </c>
      <c r="R3018">
        <f>IF(AND(Inputs!$B$39&lt;&gt;"pvp",Inputs!$B$44&gt;0),IF(MAX(0,Inputs!$B$44-B3051)&lt;=0,0,(INT(MAX(0,Inputs!$B$44-B3051)/(IF(Inputs!$B$39="pvp",15,MAX(0.1,Skills!D7-IF(TRUE=TRUE,1.5,0)))*(1-IF(AND(ArtifactsInput!$M$27,Inputs!$B$4="Chapter Hunt"),CHOOSE(ArtifactsInput!$N$27+1,20,24,28,32,36,40),0)/100)))+1)),0)</f>
        <v/>
      </c>
      <c r="S3018">
        <f>IF(C3018,H3018*N3018*IF(AND(Inputs!$B$39&lt;&gt;"pvp",Inputs!$B$44&gt;0),((Skills!F7*((R3018-1)*IF(Skills!G7&gt;0,INT(Skills!H7/Skills!G7+0.000000001),1)+IF(Skills!G7&gt;0,INT(MIN(Skills!H7,MAX(0,MAX(0,Inputs!$B$44-B3051)-((R3018-1)*(IF(Inputs!$B$39="pvp",15,MAX(0.1,Skills!D7-IF(TRUE=TRUE,1.5,0)))*(1-IF(AND(ArtifactsInput!$M$27,Inputs!$B$4="Chapter Hunt"),CHOOSE(ArtifactsInput!$N$27+1,20,24,28,32,36,40),0)/100)))))/Skills!G7+0.000000001),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IFERROR(1/(IF(Inputs!$B$39="pvp",15,MAX(0.1,Skills!D8-IF(TRUE=TRUE,1.5,0)))*(1-IF(AND(ArtifactsInput!$M$27,Inputs!$B$4="Chapter Hunt"),CHOOSE(ArtifactsInput!$N$27+1,20,24,28,32,36,40),0)/100)),0)</f>
        <v/>
      </c>
      <c r="R3019">
        <f>IF(AND(Inputs!$B$39&lt;&gt;"pvp",Inputs!$B$44&gt;0),IF(MAX(0,Inputs!$B$44-B3051)&lt;=0,0,(INT(MAX(0,Inputs!$B$44-B3051)/(IF(Inputs!$B$39="pvp",15,MAX(0.1,Skills!D8-IF(TRUE=TRUE,1.5,0)))*(1-IF(AND(ArtifactsInput!$M$27,Inputs!$B$4="Chapter Hunt"),CHOOSE(ArtifactsInput!$N$27+1,20,24,28,32,36,40),0)/100)))+1)),0)</f>
        <v/>
      </c>
      <c r="S3019">
        <f>IF(C3019,(H3019*N3019*IF(AND(Inputs!$B$39&lt;&gt;"pvp",Inputs!$B$44&gt;0),((Skills!F8*((R3019-1)*IF(Skills!G8&gt;0,INT(Skills!H8/Skills!G8+0.000000001),1)+IF(Skills!G8&gt;0,INT(MIN(Skills!H8,MAX(0,MAX(0,Inputs!$B$44-B3051)-((R3019-1)*(IF(Inputs!$B$39="pvp",15,MAX(0.1,Skills!D8-IF(TRUE=TRUE,1.5,0)))*(1-IF(AND(ArtifactsInput!$M$27,Inputs!$B$4="Chapter Hunt"),CHOOSE(ArtifactsInput!$N$27+1,20,24,28,32,36,40),0)/100)))))/Skills!G8+0.000000001),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INT(Skills!H8/Skills!G8+0.000000001),1)+IF(Skills!G8&gt;0,INT(MIN(Skills!H8,MAX(0,MAX(0,Inputs!$B$44-B3051)-((R3019-1)*(IF(Inputs!$B$39="pvp",15,MAX(0.1,Skills!D8-IF(TRUE=TRUE,1.5,0)))*(1-IF(AND(ArtifactsInput!$M$27,Inputs!$B$4="Chapter Hunt"),CHOOSE(ArtifactsInput!$N$27+1,20,24,28,32,36,40),0)/100)))))/Skills!G8+0.000000001),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IFERROR(1/(IF(Inputs!$B$39="pvp",15,MAX(0.1,Skills!D9-IF(TRUE=TRUE,1.5,0)))*(1-IF(AND(ArtifactsInput!$M$27,Inputs!$B$4="Chapter Hunt"),CHOOSE(ArtifactsInput!$N$27+1,20,24,28,32,36,40),0)/100)),0)</f>
        <v/>
      </c>
      <c r="R3020">
        <f>IF(AND(Inputs!$B$39&lt;&gt;"pvp",Inputs!$B$44&gt;0),IF(MAX(0,Inputs!$B$44-B3051)&lt;=0,0,(INT(MAX(0,Inputs!$B$44-B3051)/(IF(Inputs!$B$39="pvp",15,MAX(0.1,Skills!D9-IF(TRUE=TRUE,1.5,0)))*(1-IF(AND(ArtifactsInput!$M$27,Inputs!$B$4="Chapter Hunt"),CHOOSE(ArtifactsInput!$N$27+1,20,24,28,32,36,40),0)/100)))+1)),0)</f>
        <v/>
      </c>
      <c r="S3020">
        <f>IF(C3020,(H3020*N3020*IF(AND(Inputs!$B$39&lt;&gt;"pvp",Inputs!$B$44&gt;0),((Skills!F9*((R3020-1)*IF(Skills!G9&gt;0,INT(Skills!H9/Skills!G9+0.000000001),1)+IF(Skills!G9&gt;0,INT(MIN(Skills!H9,MAX(0,MAX(0,Inputs!$B$44-B3051)-((R3020-1)*(IF(Inputs!$B$39="pvp",15,MAX(0.1,Skills!D9-IF(TRUE=TRUE,1.5,0)))*(1-IF(AND(ArtifactsInput!$M$27,Inputs!$B$4="Chapter Hunt"),CHOOSE(ArtifactsInput!$N$27+1,20,24,28,32,36,40),0)/100)))))/Skills!G9+0.000000001),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INT(Skills!H9/Skills!G9+0.000000001),1)+IF(Skills!G9&gt;0,INT(MIN(Skills!H9,MAX(0,MAX(0,Inputs!$B$44-B3051)-((R3020-1)*(IF(Inputs!$B$39="pvp",15,MAX(0.1,Skills!D9-IF(TRUE=TRUE,1.5,0)))*(1-IF(AND(ArtifactsInput!$M$27,Inputs!$B$4="Chapter Hunt"),CHOOSE(ArtifactsInput!$N$27+1,20,24,28,32,36,40),0)/100)))))/Skills!G9+0.000000001),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IFERROR(1/(IF(Inputs!$B$39="pvp",15,MAX(0.1,Skills!D10-IF(TRUE=TRUE,1.5,0)))*(1-IF(AND(ArtifactsInput!$M$27,Inputs!$B$4="Chapter Hunt"),CHOOSE(ArtifactsInput!$N$27+1,20,24,28,32,36,40),0)/100)),0)</f>
        <v/>
      </c>
      <c r="R3021">
        <f>IF(AND(Inputs!$B$39&lt;&gt;"pvp",Inputs!$B$44&gt;0),IF(MAX(0,Inputs!$B$44-B3051)&lt;=0,0,(INT(MAX(0,Inputs!$B$44-B3051)/(IF(Inputs!$B$39="pvp",15,MAX(0.1,Skills!D10-IF(TRUE=TRUE,1.5,0)))*(1-IF(AND(ArtifactsInput!$M$27,Inputs!$B$4="Chapter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IFERROR(1/(IF(Inputs!$B$39="pvp",15,MAX(0.1,Skills!D11-IF(TRUE=TRUE,1.5,0)))*(1-IF(AND(ArtifactsInput!$M$27,Inputs!$B$4="Chapter Hunt"),CHOOSE(ArtifactsInput!$N$27+1,20,24,28,32,36,40),0)/100)),0)</f>
        <v/>
      </c>
      <c r="R3022">
        <f>IF(AND(Inputs!$B$39&lt;&gt;"pvp",Inputs!$B$44&gt;0),IF(Inputs!$B$44&lt;=0,0,(INT(Inputs!$B$44/(IF(Inputs!$B$39="pvp",15,MAX(0.1,Skills!D11-IF(TRUE=TRUE,1.5,0)))*(1-IF(AND(ArtifactsInput!$M$27,Inputs!$B$4="Chapter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IFERROR(1/(IF(Inputs!$B$39="pvp",15,MAX(0.1,Skills!D12-IF(TRUE=TRUE,1.5,0)))*(1-IF(AND(ArtifactsInput!$M$27,Inputs!$B$4="Chapter Hunt"),CHOOSE(ArtifactsInput!$N$27+1,20,24,28,32,36,40),0)/100)),0)</f>
        <v/>
      </c>
      <c r="R3023">
        <f>IF(AND(Inputs!$B$39&lt;&gt;"pvp",Inputs!$B$44&gt;0),IF(MAX(0,Inputs!$B$44-B3051)&lt;=0,0,(INT(MAX(0,Inputs!$B$44-B3051)/(IF(Inputs!$B$39="pvp",15,MAX(0.1,Skills!D12-IF(TRUE=TRUE,1.5,0)))*(1-IF(AND(ArtifactsInput!$M$27,Inputs!$B$4="Chapter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IFERROR(1/(IF(Inputs!$B$39="pvp",15,MAX(0.1,Skills!D13-IF(TRUE=TRUE,1.5,0)))*(1-IF(AND(ArtifactsInput!$M$27,Inputs!$B$4="Chapter Hunt"),CHOOSE(ArtifactsInput!$N$27+1,20,24,28,32,36,40),0)/100)),0)</f>
        <v/>
      </c>
      <c r="R3024">
        <f>IF(AND(Inputs!$B$39&lt;&gt;"pvp",Inputs!$B$44&gt;0),IF(MAX(0,Inputs!$B$44-B3051)&lt;=0,0,(INT(MAX(0,Inputs!$B$44-B3051)/(IF(Inputs!$B$39="pvp",15,MAX(0.1,Skills!D13-IF(TRUE=TRUE,1.5,0)))*(1-IF(AND(ArtifactsInput!$M$27,Inputs!$B$4="Chapter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IFERROR(1/(IF(Inputs!$B$39="pvp",15,MAX(0.1,Skills!D14-IF(TRUE=TRUE,1.5,0)))*(1-IF(AND(ArtifactsInput!$M$27,Inputs!$B$4="Chapter Hunt"),CHOOSE(ArtifactsInput!$N$27+1,20,24,28,32,36,40),0)/100)),0)</f>
        <v/>
      </c>
      <c r="R3025">
        <f>IF(AND(Inputs!$B$39&lt;&gt;"pvp",Inputs!$B$44&gt;0),IF(Inputs!$B$44&lt;=0,0,(INT(Inputs!$B$44/(IF(Inputs!$B$39="pvp",15,MAX(0.1,Skills!D14-IF(TRUE=TRUE,1.5,0)))*(1-IF(AND(ArtifactsInput!$M$27,Inputs!$B$4="Chapter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IFERROR(1/(IF(Inputs!$B$39="pvp",15,MAX(0.1,Skills!D15-IF(TRUE=TRUE,1.5,0)))*(1-IF(AND(ArtifactsInput!$M$27,Inputs!$B$4="Chapter Hunt"),CHOOSE(ArtifactsInput!$N$27+1,20,24,28,32,36,40),0)/100)),0)</f>
        <v/>
      </c>
      <c r="R3026" t="n">
        <v>0</v>
      </c>
      <c r="S3026">
        <f>IF(C3026,(Skills!F15*N3026*((IF(Inputs!$B$3&gt;=78,25,15)/100*B3047*10)/(1+IF(Inputs!$B$3&gt;=78,25,15)/100*B3047*IF(Inputs!$B$39="pvp",15,MAX(0.1,18-IF(TRUE=TRUE,1.5,0)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IF(Inputs!$B$39="pvp",15,MAX(0.1,18-IF(TRUE=TRUE,1.5,0)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IFERROR(1/(IF(Inputs!$B$39="pvp",15,MAX(0.1,Skills!D16-IF(TRUE=TRUE,1.5,0)))*(1-IF(AND(ArtifactsInput!$M$27,Inputs!$B$4="Chapter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IFERROR(1/(IF(Inputs!$B$39="pvp",15,MAX(0.1,Skills!D17-IF(TRUE=TRUE,1.5,0)))*(1-IF(AND(ArtifactsInput!$M$27,Inputs!$B$4="Chapter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IFERROR(1/(IF(Inputs!$B$39="pvp",15,MAX(0.1,Skills!D18-IF(TRUE=TRUE,1.5,0)))*(1-IF(AND(ArtifactsInput!$M$27,Inputs!$B$4="Chapter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IFERROR(1/(IF(Inputs!$B$39="pvp",15,MAX(0.1,Skills!D19-IF(TRUE=TRUE,1.5,0)))*(1-IF(AND(ArtifactsInput!$M$27,Inputs!$B$4="Chapter Hunt"),CHOOSE(ArtifactsInput!$N$27+1,20,24,28,32,36,40),0)/100)),0)</f>
        <v/>
      </c>
      <c r="R3030">
        <f>IF(AND(Inputs!$B$39&lt;&gt;"pvp",Inputs!$B$44&gt;0),IF(Inputs!$B$44&lt;=0,0,(INT(Inputs!$B$44/(IF(Inputs!$B$39="pvp",15,MAX(0.1,Skills!D19-IF(TRUE=TRUE,1.5,0)))*(1-IF(AND(ArtifactsInput!$M$27,Inputs!$B$4="Chapter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IFERROR(1/(IF(Inputs!$B$39="pvp",15,MAX(0.1,Skills!D20-IF(TRUE=TRUE,1.5,0)))*(1-IF(AND(ArtifactsInput!$M$27,Inputs!$B$4="Chapter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IFERROR(1/(IF(Inputs!$B$39="pvp",15,MAX(0.1,Skills!D21-IF(TRUE=TRUE,1.5,0)))*(1-IF(AND(ArtifactsInput!$M$27,Inputs!$B$4="Chapter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IFERROR(1/(IF(Inputs!$B$39="pvp",15,MAX(0.1,Skills!D22-IF(TRUE=TRUE,1.5,0)))*(1-IF(AND(ArtifactsInput!$M$27,Inputs!$B$4="Chapter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IFERROR(1/(IF(Inputs!$B$39="pvp",15,MAX(0.1,Skills!D23-IF(TRUE=TRUE,1.5,0)))*(1-IF(AND(ArtifactsInput!$M$27,Inputs!$B$4="Chapter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IFERROR(1/(IF(Inputs!$B$39="pvp",15,MAX(0.1,Skills!D24-IF(TRUE=TRUE,1.5,0)))*(1-IF(AND(ArtifactsInput!$M$27,Inputs!$B$4="Chapter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IFERROR(1/(IF(Inputs!$B$39="pvp",15,MAX(0.1,Skills!D25-IF(TRUE=TRUE,1.5,0)))*(1-IF(AND(ArtifactsInput!$M$27,Inputs!$B$4="Chapter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IFERROR(1/(IF(Inputs!$B$39="pvp",15,MAX(0.1,Skills!D26-IF(TRUE=TRUE,1.5,0)))*(1-IF(AND(ArtifactsInput!$M$27,Inputs!$B$4="Chapter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IFERROR(1/(IF(Inputs!$B$39="pvp",15,MAX(0.1,Skills!D27-IF(TRUE=TRUE,1.5,0)))*(1-IF(AND(ArtifactsInput!$M$27,Inputs!$B$4="Chapter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IFERROR(1/(IF(Inputs!$B$39="pvp",15,MAX(0.1,Skills!D28-IF(TRUE=TRUE,1.5,0)))*(1-IF(AND(ArtifactsInput!$M$27,Inputs!$B$4="Chapter Hunt"),CHOOSE(ArtifactsInput!$N$27+1,20,24,28,32,36,40),0)/100)),0)</f>
        <v/>
      </c>
      <c r="R3039">
        <f>IF(AND(Inputs!$B$39&lt;&gt;"pvp",Inputs!$B$44&gt;0),IF(Inputs!$B$44&lt;=0,0,(INT(Inputs!$B$44/(IF(Inputs!$B$39="pvp",15,MAX(0.1,Skills!D28-IF(TRUE=TRUE,1.5,0)))*(1-IF(AND(ArtifactsInput!$M$27,Inputs!$B$4="Chapter Hunt"),CHOOSE(ArtifactsInput!$N$27+1,20,24,28,32,36,40),0)/100)))+1)),0)</f>
        <v/>
      </c>
      <c r="S3039" t="n">
        <v>0</v>
      </c>
      <c r="U3039" t="n">
        <v>0</v>
      </c>
    </row>
    <row r="3041">
      <c r="A3041" t="inlineStr">
        <is>
          <t>Average Buff Multiplier</t>
        </is>
      </c>
      <c r="B3041">
        <f>(1+(IF(C3014=TRUE,F3014*IF(AND(Inputs!$B$39&lt;&gt;"pvp",Inputs!$B$44&gt;0),(((R3014-1)*MIN((Skills!S3*(1+((Inputs!$B$35+(ArtifactsInput!$M$7-ArtifactsInput!$M$7)*CHOOSE(ArtifactsInput!$N$7+1,6,7.2,8.4,9.6,10.8,12)))/100)),(1/Q3014))+MIN((Skills!S3*(1+((Inputs!$B$35+(ArtifactsInput!$M$7-ArtifactsInput!$M$7)*CHOOSE(ArtifactsInput!$N$7+1,6,7.2,8.4,9.6,10.8,12)))/100)),MAX(0,Inputs!$B$44-((R3014-1)*(1/Q3014)))))/Inputs!$B$44),IF(Inputs!$B$39="pvp",MIN((Skills!S3*(1+((Inputs!$B$35+(ArtifactsInput!$M$7-ArtifactsInput!$M$7)*CHOOSE(ArtifactsInput!$N$7+1,6,7.2,8.4,9.6,10.8,12)))/100)),15)/15,MIN(1,(Skills!S3*(1+((Inputs!$B$35+(ArtifactsInput!$M$7-ArtifactsInput!$M$7)*CHOOSE(ArtifactsInput!$N$7+1,6,7.2,8.4,9.6,10.8,12)))/100))/(1/Q3014)))),0)+IF(C3015=TRUE,F3015*IF(AND(Inputs!$B$39&lt;&gt;"pvp",Inputs!$B$44&gt;0),(((R3015-1)*MIN((Skills!S4*(1+((Inputs!$B$35+(ArtifactsInput!$M$7-ArtifactsInput!$M$7)*CHOOSE(ArtifactsInput!$N$7+1,6,7.2,8.4,9.6,10.8,12)))/100)),(1/Q3015))+MIN((Skills!S4*(1+((Inputs!$B$35+(ArtifactsInput!$M$7-ArtifactsInput!$M$7)*CHOOSE(ArtifactsInput!$N$7+1,6,7.2,8.4,9.6,10.8,12)))/100)),MAX(0,Inputs!$B$44-((R3015-1)*(1/Q3015)))))/Inputs!$B$44),IF(Inputs!$B$39="pvp",MIN((Skills!S4*(1+((Inputs!$B$35+(ArtifactsInput!$M$7-ArtifactsInput!$M$7)*CHOOSE(ArtifactsInput!$N$7+1,6,7.2,8.4,9.6,10.8,12)))/100)),15)/15,MIN(1,(Skills!S4*(1+((Inputs!$B$35+(ArtifactsInput!$M$7-ArtifactsInput!$M$7)*CHOOSE(ArtifactsInput!$N$7+1,6,7.2,8.4,9.6,10.8,12)))/100))/(1/Q3015)))),0)+IF(C3016=TRUE,F3016*IF(AND(Inputs!$B$39&lt;&gt;"pvp",Inputs!$B$44&gt;0),(((R3016-1)*MIN((Skills!S5*(1+((Inputs!$B$35+(ArtifactsInput!$M$7-ArtifactsInput!$M$7)*CHOOSE(ArtifactsInput!$N$7+1,6,7.2,8.4,9.6,10.8,12)))/100)),(1/Q3016))+MIN((Skills!S5*(1+((Inputs!$B$35+(ArtifactsInput!$M$7-ArtifactsInput!$M$7)*CHOOSE(ArtifactsInput!$N$7+1,6,7.2,8.4,9.6,10.8,12)))/100)),MAX(0,Inputs!$B$44-((R3016-1)*(1/Q3016)))))/Inputs!$B$44),IF(Inputs!$B$39="pvp",MIN((Skills!S5*(1+((Inputs!$B$35+(ArtifactsInput!$M$7-ArtifactsInput!$M$7)*CHOOSE(ArtifactsInput!$N$7+1,6,7.2,8.4,9.6,10.8,12)))/100)),15)/15,MIN(1,(Skills!S5*(1+((Inputs!$B$35+(ArtifactsInput!$M$7-ArtifactsInput!$M$7)*CHOOSE(ArtifactsInput!$N$7+1,6,7.2,8.4,9.6,10.8,12)))/100))/(1/Q3016)))),0)+IF(C3022=TRUE,F3022*IF(AND(Inputs!$B$39&lt;&gt;"pvp",Inputs!$B$44&gt;0),(((R3022-1)*MIN((Skills!S11*(1+((Inputs!$B$35+(ArtifactsInput!$M$7-ArtifactsInput!$M$7)*CHOOSE(ArtifactsInput!$N$7+1,6,7.2,8.4,9.6,10.8,12)))/100)),(1/Q3022))+MIN((Skills!S11*(1+((Inputs!$B$35+(ArtifactsInput!$M$7-ArtifactsInput!$M$7)*CHOOSE(ArtifactsInput!$N$7+1,6,7.2,8.4,9.6,10.8,12)))/100)),MAX(0,Inputs!$B$44-((R3022-1)*(1/Q3022)))))/Inputs!$B$44),IF(Inputs!$B$39="pvp",MIN((Skills!S11*(1+((Inputs!$B$35+(ArtifactsInput!$M$7-ArtifactsInput!$M$7)*CHOOSE(ArtifactsInput!$N$7+1,6,7.2,8.4,9.6,10.8,12)))/100)),15)/15,MIN(1,(Skills!S11*(1+((Inputs!$B$35+(ArtifactsInput!$M$7-ArtifactsInput!$M$7)*CHOOSE(ArtifactsInput!$N$7+1,6,7.2,8.4,9.6,10.8,12)))/100))/(1/Q3022)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MIN((Skills!S14*(1+((Inputs!$B$35+(ArtifactsInput!$M$7-ArtifactsInput!$M$7)*CHOOSE(ArtifactsInput!$N$7+1,6,7.2,8.4,9.6,10.8,12)))/100)),(1/Q3025))+MIN((Skills!S14*(1+((Inputs!$B$35+(ArtifactsInput!$M$7-ArtifactsInput!$M$7)*CHOOSE(ArtifactsInput!$N$7+1,6,7.2,8.4,9.6,10.8,12)))/100)),MAX(0,Inputs!$B$44-((R3025-1)*(1/Q3025)))))/Inputs!$B$44),IF(Inputs!$B$39="pvp",MIN((Skills!S14*(1+((Inputs!$B$35+(ArtifactsInput!$M$7-ArtifactsInput!$M$7)*CHOOSE(ArtifactsInput!$N$7+1,6,7.2,8.4,9.6,10.8,12)))/100)),15)/15,MIN(1,(Skills!S14*(1+((Inputs!$B$35+(ArtifactsInput!$M$7-ArtifactsInput!$M$7)*CHOOSE(ArtifactsInput!$N$7+1,6,7.2,8.4,9.6,10.8,12)))/100))/(1/Q3025))))/100),1)*IF(C3030=TRUE,(1+F3030*IF(AND(Inputs!$B$39&lt;&gt;"pvp",Inputs!$B$44&gt;0),(((R3030-1)*MIN((Skills!S19*(1+((Inputs!$B$35+(ArtifactsInput!$M$7-ArtifactsInput!$M$7)*CHOOSE(ArtifactsInput!$N$7+1,6,7.2,8.4,9.6,10.8,12)))/100)),(1/Q3030))+MIN((Skills!S19*(1+((Inputs!$B$35+(ArtifactsInput!$M$7-ArtifactsInput!$M$7)*CHOOSE(ArtifactsInput!$N$7+1,6,7.2,8.4,9.6,10.8,12)))/100)),MAX(0,Inputs!$B$44-((R3030-1)*(1/Q3030)))))/Inputs!$B$44),IF(Inputs!$B$39="pvp",MIN((Skills!S19*(1+((Inputs!$B$35+(ArtifactsInput!$M$7-ArtifactsInput!$M$7)*CHOOSE(ArtifactsInput!$N$7+1,6,7.2,8.4,9.6,10.8,12)))/100)),15)/15,MIN(1,(Skills!S19*(1+((Inputs!$B$35+(ArtifactsInput!$M$7-ArtifactsInput!$M$7)*CHOOSE(ArtifactsInput!$N$7+1,6,7.2,8.4,9.6,10.8,12)))/100))/(1/Q3030))))/100),1)</f>
        <v/>
      </c>
    </row>
    <row r="3042">
      <c r="A3042" t="inlineStr">
        <is>
          <t>Monster Damage Taken Bonus % (Holy Fountain)</t>
        </is>
      </c>
      <c r="B3042">
        <f>IF(Inputs!$B$3&gt;=68,20*IF(Inputs!$B$39="pvp",MIN((15*(1+((Inputs!$B$35+(ArtifactsInput!$M$7-ArtifactsInput!$M$7)*CHOOSE(ArtifactsInput!$N$7+1,6,7.2,8.4,9.6,10.8,12)))/100)),15)/15,MIN(1,(15*(1+((Inputs!$B$35+(ArtifactsInput!$M$7-ArtifactsInput!$M$7)*CHOOSE(ArtifactsInput!$N$7+1,6,7.2,8.4,9.6,10.8,12)))/100))/(1/Q3021))),0)</f>
        <v/>
      </c>
    </row>
    <row r="3043">
      <c r="A3043" t="inlineStr">
        <is>
          <t>Normal Monster Damage Bonus % (Holy Symbol)</t>
        </is>
      </c>
      <c r="B3043">
        <f>IF(C3023=TRUE,F3023*IF(AND(Inputs!$B$39&lt;&gt;"pvp",Inputs!$B$44&gt;0),(((R3023-1)*MIN((Skills!S12*(1+((Inputs!$B$35+(ArtifactsInput!$M$7-ArtifactsInput!$M$7)*CHOOSE(ArtifactsInput!$N$7+1,6,7.2,8.4,9.6,10.8,12)))/100)),(1/Q3023))+MIN((Skills!S12*(1+((Inputs!$B$35+(ArtifactsInput!$M$7-ArtifactsInput!$M$7)*CHOOSE(ArtifactsInput!$N$7+1,6,7.2,8.4,9.6,10.8,12)))/100)),MAX(0,Inputs!$B$44-((R3023-1)*(1/Q3023)))))/Inputs!$B$44),IF(Inputs!$B$39="pvp",MIN((Skills!S12*(1+((Inputs!$B$35+(ArtifactsInput!$M$7-ArtifactsInput!$M$7)*CHOOSE(ArtifactsInput!$N$7+1,6,7.2,8.4,9.6,10.8,12)))/100)),15)/15,MIN(1,(Skills!S12*(1+((Inputs!$B$35+(ArtifactsInput!$M$7-ArtifactsInput!$M$7)*CHOOSE(ArtifactsInput!$N$7+1,6,7.2,8.4,9.6,10.8,12)))/100))/(1/Q3023)))),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MIN((Skills!S28*(1+((Inputs!$B$35+(ArtifactsInput!$M$7-ArtifactsInput!$M$7)*CHOOSE(ArtifactsInput!$N$7+1,6,7.2,8.4,9.6,10.8,12)))/100)),(1/Q3039))+MIN((Skills!S28*(1+((Inputs!$B$35+(ArtifactsInput!$M$7-ArtifactsInput!$M$7)*CHOOSE(ArtifactsInput!$N$7+1,6,7.2,8.4,9.6,10.8,12)))/100)),MAX(0,Inputs!$B$44-((R3039-1)*(1/Q3039)))))/Inputs!$B$44),IF(Inputs!$B$39="pvp",MIN((Skills!S28*(1+((Inputs!$B$35+(ArtifactsInput!$M$7-ArtifactsInput!$M$7)*CHOOSE(ArtifactsInput!$N$7+1,6,7.2,8.4,9.6,10.8,12)))/100)),15)/15,MIN(1,(Skills!S28*(1+((Inputs!$B$35+(ArtifactsInput!$M$7-ArtifactsInput!$M$7)*CHOOSE(ArtifactsInput!$N$7+1,6,7.2,8.4,9.6,10.8,12)))/100))/(1/Q3039)))))</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MIN((Skills!S13*(1+((Inputs!$B$35+(ArtifactsInput!$M$7-ArtifactsInput!$M$7)*CHOOSE(ArtifactsInput!$N$7+1,6,7.2,8.4,9.6,10.8,12)))/100)),(1/Q3024))+MIN((Skills!S13*(1+((Inputs!$B$35+(ArtifactsInput!$M$7-ArtifactsInput!$M$7)*CHOOSE(ArtifactsInput!$N$7+1,6,7.2,8.4,9.6,10.8,12)))/100)),MAX(0,Inputs!$B$44-((R3024-1)*(1/Q3024)))))/Inputs!$B$44),IF(Inputs!$B$39="pvp",MIN((Skills!S13*(1+((Inputs!$B$35+(ArtifactsInput!$M$7-ArtifactsInput!$M$7)*CHOOSE(ArtifactsInput!$N$7+1,6,7.2,8.4,9.6,10.8,12)))/100)),15)/15,MIN(1,(Skills!S13*(1+((Inputs!$B$35+(ArtifactsInput!$M$7-ArtifactsInput!$M$7)*CHOOSE(ArtifactsInput!$N$7+1,6,7.2,8.4,9.6,10.8,12)))/100))/(1/Q3024)))),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IFERROR(1/(IF(Inputs!$B$39="pvp",15,MAX(0.1,Skills!D2-IF(TRUE=TRUE,2.0,0)))*(1-IF(AND(ArtifactsInput!$M$27,Inputs!$B$4="Chapter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IFERROR(1/(IF(Inputs!$B$39="pvp",15,MAX(0.1,Skills!D3-IF(TRUE=TRUE,2.0,0)))*(1-IF(AND(ArtifactsInput!$M$27,Inputs!$B$4="Chapter Hunt"),CHOOSE(ArtifactsInput!$N$27+1,20,24,28,32,36,40),0)/100)),0)</f>
        <v/>
      </c>
      <c r="R3059">
        <f>IF(AND(Inputs!$B$39&lt;&gt;"pvp",Inputs!$B$44&gt;0),IF(Inputs!$B$44&lt;=0,0,(INT(Inputs!$B$44/(IF(Inputs!$B$39="pvp",15,MAX(0.1,Skills!D3-IF(TRUE=TRUE,2.0,0)))*(1-IF(AND(ArtifactsInput!$M$27,Inputs!$B$4="Chapter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IFERROR(1/(IF(Inputs!$B$39="pvp",15,MAX(0.1,Skills!D4-IF(TRUE=TRUE,2.0,0)))*(1-IF(AND(ArtifactsInput!$M$27,Inputs!$B$4="Chapter Hunt"),CHOOSE(ArtifactsInput!$N$27+1,20,24,28,32,36,40),0)/100)),0)</f>
        <v/>
      </c>
      <c r="R3060">
        <f>IF(AND(Inputs!$B$39&lt;&gt;"pvp",Inputs!$B$44&gt;0),IF(Inputs!$B$44&lt;=0,0,(INT(Inputs!$B$44/(IF(Inputs!$B$39="pvp",15,MAX(0.1,Skills!D4-IF(TRUE=TRUE,2.0,0)))*(1-IF(AND(ArtifactsInput!$M$27,Inputs!$B$4="Chapter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IFERROR(1/(IF(Inputs!$B$39="pvp",15,MAX(0.1,Skills!D5-IF(TRUE=TRUE,2.0,0)))*(1-IF(AND(ArtifactsInput!$M$27,Inputs!$B$4="Chapter Hunt"),CHOOSE(ArtifactsInput!$N$27+1,20,24,28,32,36,40),0)/100)),0)</f>
        <v/>
      </c>
      <c r="R3061">
        <f>IF(AND(Inputs!$B$39&lt;&gt;"pvp",Inputs!$B$44&gt;0),IF(Inputs!$B$44&lt;=0,0,(INT(Inputs!$B$44/(IF(Inputs!$B$39="pvp",15,MAX(0.1,Skills!D5-IF(TRUE=TRUE,2.0,0)))*(1-IF(AND(ArtifactsInput!$M$27,Inputs!$B$4="Chapter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IFERROR(1/(IF(Inputs!$B$39="pvp",15,MAX(0.1,Skills!D6-IF(TRUE=TRUE,2.0,0)))*(1-IF(AND(ArtifactsInput!$M$27,Inputs!$B$4="Chapter Hunt"),CHOOSE(ArtifactsInput!$N$27+1,20,24,28,32,36,40),0)/100)),0)</f>
        <v/>
      </c>
      <c r="R3062">
        <f>IF(AND(Inputs!$B$39&lt;&gt;"pvp",Inputs!$B$44&gt;0),IF(MAX(0,Inputs!$B$44-B3096)&lt;=0,0,(INT(MAX(0,Inputs!$B$44-B3096)/(IF(Inputs!$B$39="pvp",15,MAX(0.1,Skills!D6-IF(TRUE=TRUE,2.0,0)))*(1-IF(AND(ArtifactsInput!$M$27,Inputs!$B$4="Chapter Hunt"),CHOOSE(ArtifactsInput!$N$27+1,20,24,28,32,36,40),0)/100)))+1)),0)</f>
        <v/>
      </c>
      <c r="S3062">
        <f>IF(C3062,(H3062*N3062*IF(AND(Inputs!$B$39&lt;&gt;"pvp",Inputs!$B$44&gt;0),((Skills!F6*((R3062-1)*IF(Skills!G6&gt;0,INT(Skills!H6/Skills!G6+0.000000001),1)+IF(Skills!G6&gt;0,INT(MIN(Skills!H6,MAX(0,MAX(0,Inputs!$B$44-B3096)-((R3062-1)*(IF(Inputs!$B$39="pvp",15,MAX(0.1,Skills!D6-IF(TRUE=TRUE,2.0,0)))*(1-IF(AND(ArtifactsInput!$M$27,Inputs!$B$4="Chapter Hunt"),CHOOSE(ArtifactsInput!$N$27+1,20,24,28,32,36,40),0)/100)))))/Skills!G6+0.000000001),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INT(Skills!H6/Skills!G6+0.000000001),1)+IF(Skills!G6&gt;0,INT(MIN(Skills!H6,MAX(0,MAX(0,Inputs!$B$44-B3096)-((R3062-1)*(IF(Inputs!$B$39="pvp",15,MAX(0.1,Skills!D6-IF(TRUE=TRUE,2.0,0)))*(1-IF(AND(ArtifactsInput!$M$27,Inputs!$B$4="Chapter Hunt"),CHOOSE(ArtifactsInput!$N$27+1,20,24,28,32,36,40),0)/100)))))/Skills!G6+0.000000001),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IFERROR(1/(IF(Inputs!$B$39="pvp",15,MAX(0.1,Skills!D7-IF(TRUE=TRUE,2.0,0)))*(1-IF(AND(ArtifactsInput!$M$27,Inputs!$B$4="Chapter Hunt"),CHOOSE(ArtifactsInput!$N$27+1,20,24,28,32,36,40),0)/100)),0)</f>
        <v/>
      </c>
      <c r="R3063">
        <f>IF(AND(Inputs!$B$39&lt;&gt;"pvp",Inputs!$B$44&gt;0),IF(MAX(0,Inputs!$B$44-B3096)&lt;=0,0,(INT(MAX(0,Inputs!$B$44-B3096)/(IF(Inputs!$B$39="pvp",15,MAX(0.1,Skills!D7-IF(TRUE=TRUE,2.0,0)))*(1-IF(AND(ArtifactsInput!$M$27,Inputs!$B$4="Chapter Hunt"),CHOOSE(ArtifactsInput!$N$27+1,20,24,28,32,36,40),0)/100)))+1)),0)</f>
        <v/>
      </c>
      <c r="S3063">
        <f>IF(C3063,H3063*N3063*IF(AND(Inputs!$B$39&lt;&gt;"pvp",Inputs!$B$44&gt;0),((Skills!F7*((R3063-1)*IF(Skills!G7&gt;0,INT(Skills!H7/Skills!G7+0.000000001),1)+IF(Skills!G7&gt;0,INT(MIN(Skills!H7,MAX(0,MAX(0,Inputs!$B$44-B3096)-((R3063-1)*(IF(Inputs!$B$39="pvp",15,MAX(0.1,Skills!D7-IF(TRUE=TRUE,2.0,0)))*(1-IF(AND(ArtifactsInput!$M$27,Inputs!$B$4="Chapter Hunt"),CHOOSE(ArtifactsInput!$N$27+1,20,24,28,32,36,40),0)/100)))))/Skills!G7+0.000000001),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IFERROR(1/(IF(Inputs!$B$39="pvp",15,MAX(0.1,Skills!D8-IF(TRUE=TRUE,2.0,0)))*(1-IF(AND(ArtifactsInput!$M$27,Inputs!$B$4="Chapter Hunt"),CHOOSE(ArtifactsInput!$N$27+1,20,24,28,32,36,40),0)/100)),0)</f>
        <v/>
      </c>
      <c r="R3064">
        <f>IF(AND(Inputs!$B$39&lt;&gt;"pvp",Inputs!$B$44&gt;0),IF(MAX(0,Inputs!$B$44-B3096)&lt;=0,0,(INT(MAX(0,Inputs!$B$44-B3096)/(IF(Inputs!$B$39="pvp",15,MAX(0.1,Skills!D8-IF(TRUE=TRUE,2.0,0)))*(1-IF(AND(ArtifactsInput!$M$27,Inputs!$B$4="Chapter Hunt"),CHOOSE(ArtifactsInput!$N$27+1,20,24,28,32,36,40),0)/100)))+1)),0)</f>
        <v/>
      </c>
      <c r="S3064">
        <f>IF(C3064,(H3064*N3064*IF(AND(Inputs!$B$39&lt;&gt;"pvp",Inputs!$B$44&gt;0),((Skills!F8*((R3064-1)*IF(Skills!G8&gt;0,INT(Skills!H8/Skills!G8+0.000000001),1)+IF(Skills!G8&gt;0,INT(MIN(Skills!H8,MAX(0,MAX(0,Inputs!$B$44-B3096)-((R3064-1)*(IF(Inputs!$B$39="pvp",15,MAX(0.1,Skills!D8-IF(TRUE=TRUE,2.0,0)))*(1-IF(AND(ArtifactsInput!$M$27,Inputs!$B$4="Chapter Hunt"),CHOOSE(ArtifactsInput!$N$27+1,20,24,28,32,36,40),0)/100)))))/Skills!G8+0.000000001),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INT(Skills!H8/Skills!G8+0.000000001),1)+IF(Skills!G8&gt;0,INT(MIN(Skills!H8,MAX(0,MAX(0,Inputs!$B$44-B3096)-((R3064-1)*(IF(Inputs!$B$39="pvp",15,MAX(0.1,Skills!D8-IF(TRUE=TRUE,2.0,0)))*(1-IF(AND(ArtifactsInput!$M$27,Inputs!$B$4="Chapter Hunt"),CHOOSE(ArtifactsInput!$N$27+1,20,24,28,32,36,40),0)/100)))))/Skills!G8+0.000000001),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IFERROR(1/(IF(Inputs!$B$39="pvp",15,MAX(0.1,Skills!D9-IF(TRUE=TRUE,2.0,0)))*(1-IF(AND(ArtifactsInput!$M$27,Inputs!$B$4="Chapter Hunt"),CHOOSE(ArtifactsInput!$N$27+1,20,24,28,32,36,40),0)/100)),0)</f>
        <v/>
      </c>
      <c r="R3065">
        <f>IF(AND(Inputs!$B$39&lt;&gt;"pvp",Inputs!$B$44&gt;0),IF(MAX(0,Inputs!$B$44-B3096)&lt;=0,0,(INT(MAX(0,Inputs!$B$44-B3096)/(IF(Inputs!$B$39="pvp",15,MAX(0.1,Skills!D9-IF(TRUE=TRUE,2.0,0)))*(1-IF(AND(ArtifactsInput!$M$27,Inputs!$B$4="Chapter Hunt"),CHOOSE(ArtifactsInput!$N$27+1,20,24,28,32,36,40),0)/100)))+1)),0)</f>
        <v/>
      </c>
      <c r="S3065">
        <f>IF(C3065,(H3065*N3065*IF(AND(Inputs!$B$39&lt;&gt;"pvp",Inputs!$B$44&gt;0),((Skills!F9*((R3065-1)*IF(Skills!G9&gt;0,INT(Skills!H9/Skills!G9+0.000000001),1)+IF(Skills!G9&gt;0,INT(MIN(Skills!H9,MAX(0,MAX(0,Inputs!$B$44-B3096)-((R3065-1)*(IF(Inputs!$B$39="pvp",15,MAX(0.1,Skills!D9-IF(TRUE=TRUE,2.0,0)))*(1-IF(AND(ArtifactsInput!$M$27,Inputs!$B$4="Chapter Hunt"),CHOOSE(ArtifactsInput!$N$27+1,20,24,28,32,36,40),0)/100)))))/Skills!G9+0.000000001),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INT(Skills!H9/Skills!G9+0.000000001),1)+IF(Skills!G9&gt;0,INT(MIN(Skills!H9,MAX(0,MAX(0,Inputs!$B$44-B3096)-((R3065-1)*(IF(Inputs!$B$39="pvp",15,MAX(0.1,Skills!D9-IF(TRUE=TRUE,2.0,0)))*(1-IF(AND(ArtifactsInput!$M$27,Inputs!$B$4="Chapter Hunt"),CHOOSE(ArtifactsInput!$N$27+1,20,24,28,32,36,40),0)/100)))))/Skills!G9+0.000000001),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IFERROR(1/(IF(Inputs!$B$39="pvp",15,MAX(0.1,Skills!D10-IF(TRUE=TRUE,2.0,0)))*(1-IF(AND(ArtifactsInput!$M$27,Inputs!$B$4="Chapter Hunt"),CHOOSE(ArtifactsInput!$N$27+1,20,24,28,32,36,40),0)/100)),0)</f>
        <v/>
      </c>
      <c r="R3066">
        <f>IF(AND(Inputs!$B$39&lt;&gt;"pvp",Inputs!$B$44&gt;0),IF(MAX(0,Inputs!$B$44-B3096)&lt;=0,0,(INT(MAX(0,Inputs!$B$44-B3096)/(IF(Inputs!$B$39="pvp",15,MAX(0.1,Skills!D10-IF(TRUE=TRUE,2.0,0)))*(1-IF(AND(ArtifactsInput!$M$27,Inputs!$B$4="Chapter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IFERROR(1/(IF(Inputs!$B$39="pvp",15,MAX(0.1,Skills!D11-IF(TRUE=TRUE,2.0,0)))*(1-IF(AND(ArtifactsInput!$M$27,Inputs!$B$4="Chapter Hunt"),CHOOSE(ArtifactsInput!$N$27+1,20,24,28,32,36,40),0)/100)),0)</f>
        <v/>
      </c>
      <c r="R3067">
        <f>IF(AND(Inputs!$B$39&lt;&gt;"pvp",Inputs!$B$44&gt;0),IF(Inputs!$B$44&lt;=0,0,(INT(Inputs!$B$44/(IF(Inputs!$B$39="pvp",15,MAX(0.1,Skills!D11-IF(TRUE=TRUE,2.0,0)))*(1-IF(AND(ArtifactsInput!$M$27,Inputs!$B$4="Chapter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IFERROR(1/(IF(Inputs!$B$39="pvp",15,MAX(0.1,Skills!D12-IF(TRUE=TRUE,2.0,0)))*(1-IF(AND(ArtifactsInput!$M$27,Inputs!$B$4="Chapter Hunt"),CHOOSE(ArtifactsInput!$N$27+1,20,24,28,32,36,40),0)/100)),0)</f>
        <v/>
      </c>
      <c r="R3068">
        <f>IF(AND(Inputs!$B$39&lt;&gt;"pvp",Inputs!$B$44&gt;0),IF(MAX(0,Inputs!$B$44-B3096)&lt;=0,0,(INT(MAX(0,Inputs!$B$44-B3096)/(IF(Inputs!$B$39="pvp",15,MAX(0.1,Skills!D12-IF(TRUE=TRUE,2.0,0)))*(1-IF(AND(ArtifactsInput!$M$27,Inputs!$B$4="Chapter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IFERROR(1/(IF(Inputs!$B$39="pvp",15,MAX(0.1,Skills!D13-IF(TRUE=TRUE,2.0,0)))*(1-IF(AND(ArtifactsInput!$M$27,Inputs!$B$4="Chapter Hunt"),CHOOSE(ArtifactsInput!$N$27+1,20,24,28,32,36,40),0)/100)),0)</f>
        <v/>
      </c>
      <c r="R3069">
        <f>IF(AND(Inputs!$B$39&lt;&gt;"pvp",Inputs!$B$44&gt;0),IF(MAX(0,Inputs!$B$44-B3096)&lt;=0,0,(INT(MAX(0,Inputs!$B$44-B3096)/(IF(Inputs!$B$39="pvp",15,MAX(0.1,Skills!D13-IF(TRUE=TRUE,2.0,0)))*(1-IF(AND(ArtifactsInput!$M$27,Inputs!$B$4="Chapter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IFERROR(1/(IF(Inputs!$B$39="pvp",15,MAX(0.1,Skills!D14-IF(TRUE=TRUE,2.0,0)))*(1-IF(AND(ArtifactsInput!$M$27,Inputs!$B$4="Chapter Hunt"),CHOOSE(ArtifactsInput!$N$27+1,20,24,28,32,36,40),0)/100)),0)</f>
        <v/>
      </c>
      <c r="R3070">
        <f>IF(AND(Inputs!$B$39&lt;&gt;"pvp",Inputs!$B$44&gt;0),IF(Inputs!$B$44&lt;=0,0,(INT(Inputs!$B$44/(IF(Inputs!$B$39="pvp",15,MAX(0.1,Skills!D14-IF(TRUE=TRUE,2.0,0)))*(1-IF(AND(ArtifactsInput!$M$27,Inputs!$B$4="Chapter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IFERROR(1/(IF(Inputs!$B$39="pvp",15,MAX(0.1,Skills!D15-IF(TRUE=TRUE,2.0,0)))*(1-IF(AND(ArtifactsInput!$M$27,Inputs!$B$4="Chapter Hunt"),CHOOSE(ArtifactsInput!$N$27+1,20,24,28,32,36,40),0)/100)),0)</f>
        <v/>
      </c>
      <c r="R3071" t="n">
        <v>0</v>
      </c>
      <c r="S3071">
        <f>IF(C3071,(Skills!F15*N3071*((IF(Inputs!$B$3&gt;=78,25,15)/100*B3092*10)/(1+IF(Inputs!$B$3&gt;=78,25,15)/100*B3092*IF(Inputs!$B$39="pvp",15,MAX(0.1,18-IF(TRUE=TRUE,2.0,0)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IF(Inputs!$B$39="pvp",15,MAX(0.1,18-IF(TRUE=TRUE,2.0,0)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IFERROR(1/(IF(Inputs!$B$39="pvp",15,MAX(0.1,Skills!D16-IF(TRUE=TRUE,2.0,0)))*(1-IF(AND(ArtifactsInput!$M$27,Inputs!$B$4="Chapter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IFERROR(1/(IF(Inputs!$B$39="pvp",15,MAX(0.1,Skills!D17-IF(TRUE=TRUE,2.0,0)))*(1-IF(AND(ArtifactsInput!$M$27,Inputs!$B$4="Chapter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IFERROR(1/(IF(Inputs!$B$39="pvp",15,MAX(0.1,Skills!D18-IF(TRUE=TRUE,2.0,0)))*(1-IF(AND(ArtifactsInput!$M$27,Inputs!$B$4="Chapter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IFERROR(1/(IF(Inputs!$B$39="pvp",15,MAX(0.1,Skills!D19-IF(TRUE=TRUE,2.0,0)))*(1-IF(AND(ArtifactsInput!$M$27,Inputs!$B$4="Chapter Hunt"),CHOOSE(ArtifactsInput!$N$27+1,20,24,28,32,36,40),0)/100)),0)</f>
        <v/>
      </c>
      <c r="R3075">
        <f>IF(AND(Inputs!$B$39&lt;&gt;"pvp",Inputs!$B$44&gt;0),IF(Inputs!$B$44&lt;=0,0,(INT(Inputs!$B$44/(IF(Inputs!$B$39="pvp",15,MAX(0.1,Skills!D19-IF(TRUE=TRUE,2.0,0)))*(1-IF(AND(ArtifactsInput!$M$27,Inputs!$B$4="Chapter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IFERROR(1/(IF(Inputs!$B$39="pvp",15,MAX(0.1,Skills!D20-IF(TRUE=TRUE,2.0,0)))*(1-IF(AND(ArtifactsInput!$M$27,Inputs!$B$4="Chapter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IFERROR(1/(IF(Inputs!$B$39="pvp",15,MAX(0.1,Skills!D21-IF(TRUE=TRUE,2.0,0)))*(1-IF(AND(ArtifactsInput!$M$27,Inputs!$B$4="Chapter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IFERROR(1/(IF(Inputs!$B$39="pvp",15,MAX(0.1,Skills!D22-IF(TRUE=TRUE,2.0,0)))*(1-IF(AND(ArtifactsInput!$M$27,Inputs!$B$4="Chapter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IFERROR(1/(IF(Inputs!$B$39="pvp",15,MAX(0.1,Skills!D23-IF(TRUE=TRUE,2.0,0)))*(1-IF(AND(ArtifactsInput!$M$27,Inputs!$B$4="Chapter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IFERROR(1/(IF(Inputs!$B$39="pvp",15,MAX(0.1,Skills!D24-IF(TRUE=TRUE,2.0,0)))*(1-IF(AND(ArtifactsInput!$M$27,Inputs!$B$4="Chapter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IFERROR(1/(IF(Inputs!$B$39="pvp",15,MAX(0.1,Skills!D25-IF(TRUE=TRUE,2.0,0)))*(1-IF(AND(ArtifactsInput!$M$27,Inputs!$B$4="Chapter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IFERROR(1/(IF(Inputs!$B$39="pvp",15,MAX(0.1,Skills!D26-IF(TRUE=TRUE,2.0,0)))*(1-IF(AND(ArtifactsInput!$M$27,Inputs!$B$4="Chapter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IFERROR(1/(IF(Inputs!$B$39="pvp",15,MAX(0.1,Skills!D27-IF(TRUE=TRUE,2.0,0)))*(1-IF(AND(ArtifactsInput!$M$27,Inputs!$B$4="Chapter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IFERROR(1/(IF(Inputs!$B$39="pvp",15,MAX(0.1,Skills!D28-IF(TRUE=TRUE,2.0,0)))*(1-IF(AND(ArtifactsInput!$M$27,Inputs!$B$4="Chapter Hunt"),CHOOSE(ArtifactsInput!$N$27+1,20,24,28,32,36,40),0)/100)),0)</f>
        <v/>
      </c>
      <c r="R3084">
        <f>IF(AND(Inputs!$B$39&lt;&gt;"pvp",Inputs!$B$44&gt;0),IF(Inputs!$B$44&lt;=0,0,(INT(Inputs!$B$44/(IF(Inputs!$B$39="pvp",15,MAX(0.1,Skills!D28-IF(TRUE=TRUE,2.0,0)))*(1-IF(AND(ArtifactsInput!$M$27,Inputs!$B$4="Chapter Hunt"),CHOOSE(ArtifactsInput!$N$27+1,20,24,28,32,36,40),0)/100)))+1)),0)</f>
        <v/>
      </c>
      <c r="S3084" t="n">
        <v>0</v>
      </c>
      <c r="U3084" t="n">
        <v>0</v>
      </c>
    </row>
    <row r="3086">
      <c r="A3086" t="inlineStr">
        <is>
          <t>Average Buff Multiplier</t>
        </is>
      </c>
      <c r="B3086">
        <f>(1+(IF(C3059=TRUE,F3059*IF(AND(Inputs!$B$39&lt;&gt;"pvp",Inputs!$B$44&gt;0),(((R3059-1)*MIN((Skills!S3*(1+((Inputs!$B$35+(ArtifactsInput!$M$7-ArtifactsInput!$M$7)*CHOOSE(ArtifactsInput!$N$7+1,6,7.2,8.4,9.6,10.8,12)))/100)),(1/Q3059))+MIN((Skills!S3*(1+((Inputs!$B$35+(ArtifactsInput!$M$7-ArtifactsInput!$M$7)*CHOOSE(ArtifactsInput!$N$7+1,6,7.2,8.4,9.6,10.8,12)))/100)),MAX(0,Inputs!$B$44-((R3059-1)*(1/Q3059)))))/Inputs!$B$44),IF(Inputs!$B$39="pvp",MIN((Skills!S3*(1+((Inputs!$B$35+(ArtifactsInput!$M$7-ArtifactsInput!$M$7)*CHOOSE(ArtifactsInput!$N$7+1,6,7.2,8.4,9.6,10.8,12)))/100)),15)/15,MIN(1,(Skills!S3*(1+((Inputs!$B$35+(ArtifactsInput!$M$7-ArtifactsInput!$M$7)*CHOOSE(ArtifactsInput!$N$7+1,6,7.2,8.4,9.6,10.8,12)))/100))/(1/Q3059)))),0)+IF(C3060=TRUE,F3060*IF(AND(Inputs!$B$39&lt;&gt;"pvp",Inputs!$B$44&gt;0),(((R3060-1)*MIN((Skills!S4*(1+((Inputs!$B$35+(ArtifactsInput!$M$7-ArtifactsInput!$M$7)*CHOOSE(ArtifactsInput!$N$7+1,6,7.2,8.4,9.6,10.8,12)))/100)),(1/Q3060))+MIN((Skills!S4*(1+((Inputs!$B$35+(ArtifactsInput!$M$7-ArtifactsInput!$M$7)*CHOOSE(ArtifactsInput!$N$7+1,6,7.2,8.4,9.6,10.8,12)))/100)),MAX(0,Inputs!$B$44-((R3060-1)*(1/Q3060)))))/Inputs!$B$44),IF(Inputs!$B$39="pvp",MIN((Skills!S4*(1+((Inputs!$B$35+(ArtifactsInput!$M$7-ArtifactsInput!$M$7)*CHOOSE(ArtifactsInput!$N$7+1,6,7.2,8.4,9.6,10.8,12)))/100)),15)/15,MIN(1,(Skills!S4*(1+((Inputs!$B$35+(ArtifactsInput!$M$7-ArtifactsInput!$M$7)*CHOOSE(ArtifactsInput!$N$7+1,6,7.2,8.4,9.6,10.8,12)))/100))/(1/Q3060)))),0)+IF(C3061=TRUE,F3061*IF(AND(Inputs!$B$39&lt;&gt;"pvp",Inputs!$B$44&gt;0),(((R3061-1)*MIN((Skills!S5*(1+((Inputs!$B$35+(ArtifactsInput!$M$7-ArtifactsInput!$M$7)*CHOOSE(ArtifactsInput!$N$7+1,6,7.2,8.4,9.6,10.8,12)))/100)),(1/Q3061))+MIN((Skills!S5*(1+((Inputs!$B$35+(ArtifactsInput!$M$7-ArtifactsInput!$M$7)*CHOOSE(ArtifactsInput!$N$7+1,6,7.2,8.4,9.6,10.8,12)))/100)),MAX(0,Inputs!$B$44-((R3061-1)*(1/Q3061)))))/Inputs!$B$44),IF(Inputs!$B$39="pvp",MIN((Skills!S5*(1+((Inputs!$B$35+(ArtifactsInput!$M$7-ArtifactsInput!$M$7)*CHOOSE(ArtifactsInput!$N$7+1,6,7.2,8.4,9.6,10.8,12)))/100)),15)/15,MIN(1,(Skills!S5*(1+((Inputs!$B$35+(ArtifactsInput!$M$7-ArtifactsInput!$M$7)*CHOOSE(ArtifactsInput!$N$7+1,6,7.2,8.4,9.6,10.8,12)))/100))/(1/Q3061)))),0)+IF(C3067=TRUE,F3067*IF(AND(Inputs!$B$39&lt;&gt;"pvp",Inputs!$B$44&gt;0),(((R3067-1)*MIN((Skills!S11*(1+((Inputs!$B$35+(ArtifactsInput!$M$7-ArtifactsInput!$M$7)*CHOOSE(ArtifactsInput!$N$7+1,6,7.2,8.4,9.6,10.8,12)))/100)),(1/Q3067))+MIN((Skills!S11*(1+((Inputs!$B$35+(ArtifactsInput!$M$7-ArtifactsInput!$M$7)*CHOOSE(ArtifactsInput!$N$7+1,6,7.2,8.4,9.6,10.8,12)))/100)),MAX(0,Inputs!$B$44-((R3067-1)*(1/Q3067)))))/Inputs!$B$44),IF(Inputs!$B$39="pvp",MIN((Skills!S11*(1+((Inputs!$B$35+(ArtifactsInput!$M$7-ArtifactsInput!$M$7)*CHOOSE(ArtifactsInput!$N$7+1,6,7.2,8.4,9.6,10.8,12)))/100)),15)/15,MIN(1,(Skills!S11*(1+((Inputs!$B$35+(ArtifactsInput!$M$7-ArtifactsInput!$M$7)*CHOOSE(ArtifactsInput!$N$7+1,6,7.2,8.4,9.6,10.8,12)))/100))/(1/Q3067)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MIN((Skills!S14*(1+((Inputs!$B$35+(ArtifactsInput!$M$7-ArtifactsInput!$M$7)*CHOOSE(ArtifactsInput!$N$7+1,6,7.2,8.4,9.6,10.8,12)))/100)),(1/Q3070))+MIN((Skills!S14*(1+((Inputs!$B$35+(ArtifactsInput!$M$7-ArtifactsInput!$M$7)*CHOOSE(ArtifactsInput!$N$7+1,6,7.2,8.4,9.6,10.8,12)))/100)),MAX(0,Inputs!$B$44-((R3070-1)*(1/Q3070)))))/Inputs!$B$44),IF(Inputs!$B$39="pvp",MIN((Skills!S14*(1+((Inputs!$B$35+(ArtifactsInput!$M$7-ArtifactsInput!$M$7)*CHOOSE(ArtifactsInput!$N$7+1,6,7.2,8.4,9.6,10.8,12)))/100)),15)/15,MIN(1,(Skills!S14*(1+((Inputs!$B$35+(ArtifactsInput!$M$7-ArtifactsInput!$M$7)*CHOOSE(ArtifactsInput!$N$7+1,6,7.2,8.4,9.6,10.8,12)))/100))/(1/Q3070))))/100),1)*IF(C3075=TRUE,(1+F3075*IF(AND(Inputs!$B$39&lt;&gt;"pvp",Inputs!$B$44&gt;0),(((R3075-1)*MIN((Skills!S19*(1+((Inputs!$B$35+(ArtifactsInput!$M$7-ArtifactsInput!$M$7)*CHOOSE(ArtifactsInput!$N$7+1,6,7.2,8.4,9.6,10.8,12)))/100)),(1/Q3075))+MIN((Skills!S19*(1+((Inputs!$B$35+(ArtifactsInput!$M$7-ArtifactsInput!$M$7)*CHOOSE(ArtifactsInput!$N$7+1,6,7.2,8.4,9.6,10.8,12)))/100)),MAX(0,Inputs!$B$44-((R3075-1)*(1/Q3075)))))/Inputs!$B$44),IF(Inputs!$B$39="pvp",MIN((Skills!S19*(1+((Inputs!$B$35+(ArtifactsInput!$M$7-ArtifactsInput!$M$7)*CHOOSE(ArtifactsInput!$N$7+1,6,7.2,8.4,9.6,10.8,12)))/100)),15)/15,MIN(1,(Skills!S19*(1+((Inputs!$B$35+(ArtifactsInput!$M$7-ArtifactsInput!$M$7)*CHOOSE(ArtifactsInput!$N$7+1,6,7.2,8.4,9.6,10.8,12)))/100))/(1/Q3075))))/100),1)</f>
        <v/>
      </c>
    </row>
    <row r="3087">
      <c r="A3087" t="inlineStr">
        <is>
          <t>Monster Damage Taken Bonus % (Holy Fountain)</t>
        </is>
      </c>
      <c r="B3087">
        <f>IF(Inputs!$B$3&gt;=68,20*IF(Inputs!$B$39="pvp",MIN((15*(1+((Inputs!$B$35+(ArtifactsInput!$M$7-ArtifactsInput!$M$7)*CHOOSE(ArtifactsInput!$N$7+1,6,7.2,8.4,9.6,10.8,12)))/100)),15)/15,MIN(1,(15*(1+((Inputs!$B$35+(ArtifactsInput!$M$7-ArtifactsInput!$M$7)*CHOOSE(ArtifactsInput!$N$7+1,6,7.2,8.4,9.6,10.8,12)))/100))/(1/Q3066))),0)</f>
        <v/>
      </c>
    </row>
    <row r="3088">
      <c r="A3088" t="inlineStr">
        <is>
          <t>Normal Monster Damage Bonus % (Holy Symbol)</t>
        </is>
      </c>
      <c r="B3088">
        <f>IF(C3068=TRUE,F3068*IF(AND(Inputs!$B$39&lt;&gt;"pvp",Inputs!$B$44&gt;0),(((R3068-1)*MIN((Skills!S12*(1+((Inputs!$B$35+(ArtifactsInput!$M$7-ArtifactsInput!$M$7)*CHOOSE(ArtifactsInput!$N$7+1,6,7.2,8.4,9.6,10.8,12)))/100)),(1/Q3068))+MIN((Skills!S12*(1+((Inputs!$B$35+(ArtifactsInput!$M$7-ArtifactsInput!$M$7)*CHOOSE(ArtifactsInput!$N$7+1,6,7.2,8.4,9.6,10.8,12)))/100)),MAX(0,Inputs!$B$44-((R3068-1)*(1/Q3068)))))/Inputs!$B$44),IF(Inputs!$B$39="pvp",MIN((Skills!S12*(1+((Inputs!$B$35+(ArtifactsInput!$M$7-ArtifactsInput!$M$7)*CHOOSE(ArtifactsInput!$N$7+1,6,7.2,8.4,9.6,10.8,12)))/100)),15)/15,MIN(1,(Skills!S12*(1+((Inputs!$B$35+(ArtifactsInput!$M$7-ArtifactsInput!$M$7)*CHOOSE(ArtifactsInput!$N$7+1,6,7.2,8.4,9.6,10.8,12)))/100))/(1/Q3068)))),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MIN((Skills!S28*(1+((Inputs!$B$35+(ArtifactsInput!$M$7-ArtifactsInput!$M$7)*CHOOSE(ArtifactsInput!$N$7+1,6,7.2,8.4,9.6,10.8,12)))/100)),(1/Q3084))+MIN((Skills!S28*(1+((Inputs!$B$35+(ArtifactsInput!$M$7-ArtifactsInput!$M$7)*CHOOSE(ArtifactsInput!$N$7+1,6,7.2,8.4,9.6,10.8,12)))/100)),MAX(0,Inputs!$B$44-((R3084-1)*(1/Q3084)))))/Inputs!$B$44),IF(Inputs!$B$39="pvp",MIN((Skills!S28*(1+((Inputs!$B$35+(ArtifactsInput!$M$7-ArtifactsInput!$M$7)*CHOOSE(ArtifactsInput!$N$7+1,6,7.2,8.4,9.6,10.8,12)))/100)),15)/15,MIN(1,(Skills!S28*(1+((Inputs!$B$35+(ArtifactsInput!$M$7-ArtifactsInput!$M$7)*CHOOSE(ArtifactsInput!$N$7+1,6,7.2,8.4,9.6,10.8,12)))/100))/(1/Q3084)))))</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MIN((Skills!S13*(1+((Inputs!$B$35+(ArtifactsInput!$M$7-ArtifactsInput!$M$7)*CHOOSE(ArtifactsInput!$N$7+1,6,7.2,8.4,9.6,10.8,12)))/100)),(1/Q3069))+MIN((Skills!S13*(1+((Inputs!$B$35+(ArtifactsInput!$M$7-ArtifactsInput!$M$7)*CHOOSE(ArtifactsInput!$N$7+1,6,7.2,8.4,9.6,10.8,12)))/100)),MAX(0,Inputs!$B$44-((R3069-1)*(1/Q3069)))))/Inputs!$B$44),IF(Inputs!$B$39="pvp",MIN((Skills!S13*(1+((Inputs!$B$35+(ArtifactsInput!$M$7-ArtifactsInput!$M$7)*CHOOSE(ArtifactsInput!$N$7+1,6,7.2,8.4,9.6,10.8,12)))/100)),15)/15,MIN(1,(Skills!S13*(1+((Inputs!$B$35+(ArtifactsInput!$M$7-ArtifactsInput!$M$7)*CHOOSE(ArtifactsInput!$N$7+1,6,7.2,8.4,9.6,10.8,12)))/100))/(1/Q3069)))),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IFERROR(1/(IF(Inputs!$B$39="pvp",15,MAX(0.1,Skills!D2-IF(TRUE=TRUE,2.5,0)))*(1-IF(AND(ArtifactsInput!$M$27,Inputs!$B$4="Chapter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IFERROR(1/(IF(Inputs!$B$39="pvp",15,MAX(0.1,Skills!D3-IF(TRUE=TRUE,2.5,0)))*(1-IF(AND(ArtifactsInput!$M$27,Inputs!$B$4="Chapter Hunt"),CHOOSE(ArtifactsInput!$N$27+1,20,24,28,32,36,40),0)/100)),0)</f>
        <v/>
      </c>
      <c r="R3104">
        <f>IF(AND(Inputs!$B$39&lt;&gt;"pvp",Inputs!$B$44&gt;0),IF(Inputs!$B$44&lt;=0,0,(INT(Inputs!$B$44/(IF(Inputs!$B$39="pvp",15,MAX(0.1,Skills!D3-IF(TRUE=TRUE,2.5,0)))*(1-IF(AND(ArtifactsInput!$M$27,Inputs!$B$4="Chapter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IFERROR(1/(IF(Inputs!$B$39="pvp",15,MAX(0.1,Skills!D4-IF(TRUE=TRUE,2.5,0)))*(1-IF(AND(ArtifactsInput!$M$27,Inputs!$B$4="Chapter Hunt"),CHOOSE(ArtifactsInput!$N$27+1,20,24,28,32,36,40),0)/100)),0)</f>
        <v/>
      </c>
      <c r="R3105">
        <f>IF(AND(Inputs!$B$39&lt;&gt;"pvp",Inputs!$B$44&gt;0),IF(Inputs!$B$44&lt;=0,0,(INT(Inputs!$B$44/(IF(Inputs!$B$39="pvp",15,MAX(0.1,Skills!D4-IF(TRUE=TRUE,2.5,0)))*(1-IF(AND(ArtifactsInput!$M$27,Inputs!$B$4="Chapter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IFERROR(1/(IF(Inputs!$B$39="pvp",15,MAX(0.1,Skills!D5-IF(TRUE=TRUE,2.5,0)))*(1-IF(AND(ArtifactsInput!$M$27,Inputs!$B$4="Chapter Hunt"),CHOOSE(ArtifactsInput!$N$27+1,20,24,28,32,36,40),0)/100)),0)</f>
        <v/>
      </c>
      <c r="R3106">
        <f>IF(AND(Inputs!$B$39&lt;&gt;"pvp",Inputs!$B$44&gt;0),IF(Inputs!$B$44&lt;=0,0,(INT(Inputs!$B$44/(IF(Inputs!$B$39="pvp",15,MAX(0.1,Skills!D5-IF(TRUE=TRUE,2.5,0)))*(1-IF(AND(ArtifactsInput!$M$27,Inputs!$B$4="Chapter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IFERROR(1/(IF(Inputs!$B$39="pvp",15,MAX(0.1,Skills!D6-IF(TRUE=TRUE,2.5,0)))*(1-IF(AND(ArtifactsInput!$M$27,Inputs!$B$4="Chapter Hunt"),CHOOSE(ArtifactsInput!$N$27+1,20,24,28,32,36,40),0)/100)),0)</f>
        <v/>
      </c>
      <c r="R3107">
        <f>IF(AND(Inputs!$B$39&lt;&gt;"pvp",Inputs!$B$44&gt;0),IF(MAX(0,Inputs!$B$44-B3141)&lt;=0,0,(INT(MAX(0,Inputs!$B$44-B3141)/(IF(Inputs!$B$39="pvp",15,MAX(0.1,Skills!D6-IF(TRUE=TRUE,2.5,0)))*(1-IF(AND(ArtifactsInput!$M$27,Inputs!$B$4="Chapter Hunt"),CHOOSE(ArtifactsInput!$N$27+1,20,24,28,32,36,40),0)/100)))+1)),0)</f>
        <v/>
      </c>
      <c r="S3107">
        <f>IF(C3107,(H3107*N3107*IF(AND(Inputs!$B$39&lt;&gt;"pvp",Inputs!$B$44&gt;0),((Skills!F6*((R3107-1)*IF(Skills!G6&gt;0,INT(Skills!H6/Skills!G6+0.000000001),1)+IF(Skills!G6&gt;0,INT(MIN(Skills!H6,MAX(0,MAX(0,Inputs!$B$44-B3141)-((R3107-1)*(IF(Inputs!$B$39="pvp",15,MAX(0.1,Skills!D6-IF(TRUE=TRUE,2.5,0)))*(1-IF(AND(ArtifactsInput!$M$27,Inputs!$B$4="Chapter Hunt"),CHOOSE(ArtifactsInput!$N$27+1,20,24,28,32,36,40),0)/100)))))/Skills!G6+0.000000001),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INT(Skills!H6/Skills!G6+0.000000001),1)+IF(Skills!G6&gt;0,INT(MIN(Skills!H6,MAX(0,MAX(0,Inputs!$B$44-B3141)-((R3107-1)*(IF(Inputs!$B$39="pvp",15,MAX(0.1,Skills!D6-IF(TRUE=TRUE,2.5,0)))*(1-IF(AND(ArtifactsInput!$M$27,Inputs!$B$4="Chapter Hunt"),CHOOSE(ArtifactsInput!$N$27+1,20,24,28,32,36,40),0)/100)))))/Skills!G6+0.000000001),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IFERROR(1/(IF(Inputs!$B$39="pvp",15,MAX(0.1,Skills!D7-IF(TRUE=TRUE,2.5,0)))*(1-IF(AND(ArtifactsInput!$M$27,Inputs!$B$4="Chapter Hunt"),CHOOSE(ArtifactsInput!$N$27+1,20,24,28,32,36,40),0)/100)),0)</f>
        <v/>
      </c>
      <c r="R3108">
        <f>IF(AND(Inputs!$B$39&lt;&gt;"pvp",Inputs!$B$44&gt;0),IF(MAX(0,Inputs!$B$44-B3141)&lt;=0,0,(INT(MAX(0,Inputs!$B$44-B3141)/(IF(Inputs!$B$39="pvp",15,MAX(0.1,Skills!D7-IF(TRUE=TRUE,2.5,0)))*(1-IF(AND(ArtifactsInput!$M$27,Inputs!$B$4="Chapter Hunt"),CHOOSE(ArtifactsInput!$N$27+1,20,24,28,32,36,40),0)/100)))+1)),0)</f>
        <v/>
      </c>
      <c r="S3108">
        <f>IF(C3108,H3108*N3108*IF(AND(Inputs!$B$39&lt;&gt;"pvp",Inputs!$B$44&gt;0),((Skills!F7*((R3108-1)*IF(Skills!G7&gt;0,INT(Skills!H7/Skills!G7+0.000000001),1)+IF(Skills!G7&gt;0,INT(MIN(Skills!H7,MAX(0,MAX(0,Inputs!$B$44-B3141)-((R3108-1)*(IF(Inputs!$B$39="pvp",15,MAX(0.1,Skills!D7-IF(TRUE=TRUE,2.5,0)))*(1-IF(AND(ArtifactsInput!$M$27,Inputs!$B$4="Chapter Hunt"),CHOOSE(ArtifactsInput!$N$27+1,20,24,28,32,36,40),0)/100)))))/Skills!G7+0.000000001),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IFERROR(1/(IF(Inputs!$B$39="pvp",15,MAX(0.1,Skills!D8-IF(TRUE=TRUE,2.5,0)))*(1-IF(AND(ArtifactsInput!$M$27,Inputs!$B$4="Chapter Hunt"),CHOOSE(ArtifactsInput!$N$27+1,20,24,28,32,36,40),0)/100)),0)</f>
        <v/>
      </c>
      <c r="R3109">
        <f>IF(AND(Inputs!$B$39&lt;&gt;"pvp",Inputs!$B$44&gt;0),IF(MAX(0,Inputs!$B$44-B3141)&lt;=0,0,(INT(MAX(0,Inputs!$B$44-B3141)/(IF(Inputs!$B$39="pvp",15,MAX(0.1,Skills!D8-IF(TRUE=TRUE,2.5,0)))*(1-IF(AND(ArtifactsInput!$M$27,Inputs!$B$4="Chapter Hunt"),CHOOSE(ArtifactsInput!$N$27+1,20,24,28,32,36,40),0)/100)))+1)),0)</f>
        <v/>
      </c>
      <c r="S3109">
        <f>IF(C3109,(H3109*N3109*IF(AND(Inputs!$B$39&lt;&gt;"pvp",Inputs!$B$44&gt;0),((Skills!F8*((R3109-1)*IF(Skills!G8&gt;0,INT(Skills!H8/Skills!G8+0.000000001),1)+IF(Skills!G8&gt;0,INT(MIN(Skills!H8,MAX(0,MAX(0,Inputs!$B$44-B3141)-((R3109-1)*(IF(Inputs!$B$39="pvp",15,MAX(0.1,Skills!D8-IF(TRUE=TRUE,2.5,0)))*(1-IF(AND(ArtifactsInput!$M$27,Inputs!$B$4="Chapter Hunt"),CHOOSE(ArtifactsInput!$N$27+1,20,24,28,32,36,40),0)/100)))))/Skills!G8+0.000000001),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INT(Skills!H8/Skills!G8+0.000000001),1)+IF(Skills!G8&gt;0,INT(MIN(Skills!H8,MAX(0,MAX(0,Inputs!$B$44-B3141)-((R3109-1)*(IF(Inputs!$B$39="pvp",15,MAX(0.1,Skills!D8-IF(TRUE=TRUE,2.5,0)))*(1-IF(AND(ArtifactsInput!$M$27,Inputs!$B$4="Chapter Hunt"),CHOOSE(ArtifactsInput!$N$27+1,20,24,28,32,36,40),0)/100)))))/Skills!G8+0.000000001),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IFERROR(1/(IF(Inputs!$B$39="pvp",15,MAX(0.1,Skills!D9-IF(TRUE=TRUE,2.5,0)))*(1-IF(AND(ArtifactsInput!$M$27,Inputs!$B$4="Chapter Hunt"),CHOOSE(ArtifactsInput!$N$27+1,20,24,28,32,36,40),0)/100)),0)</f>
        <v/>
      </c>
      <c r="R3110">
        <f>IF(AND(Inputs!$B$39&lt;&gt;"pvp",Inputs!$B$44&gt;0),IF(MAX(0,Inputs!$B$44-B3141)&lt;=0,0,(INT(MAX(0,Inputs!$B$44-B3141)/(IF(Inputs!$B$39="pvp",15,MAX(0.1,Skills!D9-IF(TRUE=TRUE,2.5,0)))*(1-IF(AND(ArtifactsInput!$M$27,Inputs!$B$4="Chapter Hunt"),CHOOSE(ArtifactsInput!$N$27+1,20,24,28,32,36,40),0)/100)))+1)),0)</f>
        <v/>
      </c>
      <c r="S3110">
        <f>IF(C3110,(H3110*N3110*IF(AND(Inputs!$B$39&lt;&gt;"pvp",Inputs!$B$44&gt;0),((Skills!F9*((R3110-1)*IF(Skills!G9&gt;0,INT(Skills!H9/Skills!G9+0.000000001),1)+IF(Skills!G9&gt;0,INT(MIN(Skills!H9,MAX(0,MAX(0,Inputs!$B$44-B3141)-((R3110-1)*(IF(Inputs!$B$39="pvp",15,MAX(0.1,Skills!D9-IF(TRUE=TRUE,2.5,0)))*(1-IF(AND(ArtifactsInput!$M$27,Inputs!$B$4="Chapter Hunt"),CHOOSE(ArtifactsInput!$N$27+1,20,24,28,32,36,40),0)/100)))))/Skills!G9+0.000000001),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INT(Skills!H9/Skills!G9+0.000000001),1)+IF(Skills!G9&gt;0,INT(MIN(Skills!H9,MAX(0,MAX(0,Inputs!$B$44-B3141)-((R3110-1)*(IF(Inputs!$B$39="pvp",15,MAX(0.1,Skills!D9-IF(TRUE=TRUE,2.5,0)))*(1-IF(AND(ArtifactsInput!$M$27,Inputs!$B$4="Chapter Hunt"),CHOOSE(ArtifactsInput!$N$27+1,20,24,28,32,36,40),0)/100)))))/Skills!G9+0.000000001),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IFERROR(1/(IF(Inputs!$B$39="pvp",15,MAX(0.1,Skills!D10-IF(TRUE=TRUE,2.5,0)))*(1-IF(AND(ArtifactsInput!$M$27,Inputs!$B$4="Chapter Hunt"),CHOOSE(ArtifactsInput!$N$27+1,20,24,28,32,36,40),0)/100)),0)</f>
        <v/>
      </c>
      <c r="R3111">
        <f>IF(AND(Inputs!$B$39&lt;&gt;"pvp",Inputs!$B$44&gt;0),IF(MAX(0,Inputs!$B$44-B3141)&lt;=0,0,(INT(MAX(0,Inputs!$B$44-B3141)/(IF(Inputs!$B$39="pvp",15,MAX(0.1,Skills!D10-IF(TRUE=TRUE,2.5,0)))*(1-IF(AND(ArtifactsInput!$M$27,Inputs!$B$4="Chapter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IFERROR(1/(IF(Inputs!$B$39="pvp",15,MAX(0.1,Skills!D11-IF(TRUE=TRUE,2.5,0)))*(1-IF(AND(ArtifactsInput!$M$27,Inputs!$B$4="Chapter Hunt"),CHOOSE(ArtifactsInput!$N$27+1,20,24,28,32,36,40),0)/100)),0)</f>
        <v/>
      </c>
      <c r="R3112">
        <f>IF(AND(Inputs!$B$39&lt;&gt;"pvp",Inputs!$B$44&gt;0),IF(Inputs!$B$44&lt;=0,0,(INT(Inputs!$B$44/(IF(Inputs!$B$39="pvp",15,MAX(0.1,Skills!D11-IF(TRUE=TRUE,2.5,0)))*(1-IF(AND(ArtifactsInput!$M$27,Inputs!$B$4="Chapter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IFERROR(1/(IF(Inputs!$B$39="pvp",15,MAX(0.1,Skills!D12-IF(TRUE=TRUE,2.5,0)))*(1-IF(AND(ArtifactsInput!$M$27,Inputs!$B$4="Chapter Hunt"),CHOOSE(ArtifactsInput!$N$27+1,20,24,28,32,36,40),0)/100)),0)</f>
        <v/>
      </c>
      <c r="R3113">
        <f>IF(AND(Inputs!$B$39&lt;&gt;"pvp",Inputs!$B$44&gt;0),IF(MAX(0,Inputs!$B$44-B3141)&lt;=0,0,(INT(MAX(0,Inputs!$B$44-B3141)/(IF(Inputs!$B$39="pvp",15,MAX(0.1,Skills!D12-IF(TRUE=TRUE,2.5,0)))*(1-IF(AND(ArtifactsInput!$M$27,Inputs!$B$4="Chapter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IFERROR(1/(IF(Inputs!$B$39="pvp",15,MAX(0.1,Skills!D13-IF(TRUE=TRUE,2.5,0)))*(1-IF(AND(ArtifactsInput!$M$27,Inputs!$B$4="Chapter Hunt"),CHOOSE(ArtifactsInput!$N$27+1,20,24,28,32,36,40),0)/100)),0)</f>
        <v/>
      </c>
      <c r="R3114">
        <f>IF(AND(Inputs!$B$39&lt;&gt;"pvp",Inputs!$B$44&gt;0),IF(MAX(0,Inputs!$B$44-B3141)&lt;=0,0,(INT(MAX(0,Inputs!$B$44-B3141)/(IF(Inputs!$B$39="pvp",15,MAX(0.1,Skills!D13-IF(TRUE=TRUE,2.5,0)))*(1-IF(AND(ArtifactsInput!$M$27,Inputs!$B$4="Chapter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IFERROR(1/(IF(Inputs!$B$39="pvp",15,MAX(0.1,Skills!D14-IF(TRUE=TRUE,2.5,0)))*(1-IF(AND(ArtifactsInput!$M$27,Inputs!$B$4="Chapter Hunt"),CHOOSE(ArtifactsInput!$N$27+1,20,24,28,32,36,40),0)/100)),0)</f>
        <v/>
      </c>
      <c r="R3115">
        <f>IF(AND(Inputs!$B$39&lt;&gt;"pvp",Inputs!$B$44&gt;0),IF(Inputs!$B$44&lt;=0,0,(INT(Inputs!$B$44/(IF(Inputs!$B$39="pvp",15,MAX(0.1,Skills!D14-IF(TRUE=TRUE,2.5,0)))*(1-IF(AND(ArtifactsInput!$M$27,Inputs!$B$4="Chapter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IFERROR(1/(IF(Inputs!$B$39="pvp",15,MAX(0.1,Skills!D15-IF(TRUE=TRUE,2.5,0)))*(1-IF(AND(ArtifactsInput!$M$27,Inputs!$B$4="Chapter Hunt"),CHOOSE(ArtifactsInput!$N$27+1,20,24,28,32,36,40),0)/100)),0)</f>
        <v/>
      </c>
      <c r="R3116" t="n">
        <v>0</v>
      </c>
      <c r="S3116">
        <f>IF(C3116,(Skills!F15*N3116*((IF(Inputs!$B$3&gt;=78,25,15)/100*B3137*10)/(1+IF(Inputs!$B$3&gt;=78,25,15)/100*B3137*IF(Inputs!$B$39="pvp",15,MAX(0.1,18-IF(TRUE=TRUE,2.5,0)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IF(Inputs!$B$39="pvp",15,MAX(0.1,18-IF(TRUE=TRUE,2.5,0)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IFERROR(1/(IF(Inputs!$B$39="pvp",15,MAX(0.1,Skills!D16-IF(TRUE=TRUE,2.5,0)))*(1-IF(AND(ArtifactsInput!$M$27,Inputs!$B$4="Chapter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IFERROR(1/(IF(Inputs!$B$39="pvp",15,MAX(0.1,Skills!D17-IF(TRUE=TRUE,2.5,0)))*(1-IF(AND(ArtifactsInput!$M$27,Inputs!$B$4="Chapter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IFERROR(1/(IF(Inputs!$B$39="pvp",15,MAX(0.1,Skills!D18-IF(TRUE=TRUE,2.5,0)))*(1-IF(AND(ArtifactsInput!$M$27,Inputs!$B$4="Chapter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IFERROR(1/(IF(Inputs!$B$39="pvp",15,MAX(0.1,Skills!D19-IF(TRUE=TRUE,2.5,0)))*(1-IF(AND(ArtifactsInput!$M$27,Inputs!$B$4="Chapter Hunt"),CHOOSE(ArtifactsInput!$N$27+1,20,24,28,32,36,40),0)/100)),0)</f>
        <v/>
      </c>
      <c r="R3120">
        <f>IF(AND(Inputs!$B$39&lt;&gt;"pvp",Inputs!$B$44&gt;0),IF(Inputs!$B$44&lt;=0,0,(INT(Inputs!$B$44/(IF(Inputs!$B$39="pvp",15,MAX(0.1,Skills!D19-IF(TRUE=TRUE,2.5,0)))*(1-IF(AND(ArtifactsInput!$M$27,Inputs!$B$4="Chapter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IFERROR(1/(IF(Inputs!$B$39="pvp",15,MAX(0.1,Skills!D20-IF(TRUE=TRUE,2.5,0)))*(1-IF(AND(ArtifactsInput!$M$27,Inputs!$B$4="Chapter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IFERROR(1/(IF(Inputs!$B$39="pvp",15,MAX(0.1,Skills!D21-IF(TRUE=TRUE,2.5,0)))*(1-IF(AND(ArtifactsInput!$M$27,Inputs!$B$4="Chapter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IFERROR(1/(IF(Inputs!$B$39="pvp",15,MAX(0.1,Skills!D22-IF(TRUE=TRUE,2.5,0)))*(1-IF(AND(ArtifactsInput!$M$27,Inputs!$B$4="Chapter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IFERROR(1/(IF(Inputs!$B$39="pvp",15,MAX(0.1,Skills!D23-IF(TRUE=TRUE,2.5,0)))*(1-IF(AND(ArtifactsInput!$M$27,Inputs!$B$4="Chapter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IFERROR(1/(IF(Inputs!$B$39="pvp",15,MAX(0.1,Skills!D24-IF(TRUE=TRUE,2.5,0)))*(1-IF(AND(ArtifactsInput!$M$27,Inputs!$B$4="Chapter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IFERROR(1/(IF(Inputs!$B$39="pvp",15,MAX(0.1,Skills!D25-IF(TRUE=TRUE,2.5,0)))*(1-IF(AND(ArtifactsInput!$M$27,Inputs!$B$4="Chapter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IFERROR(1/(IF(Inputs!$B$39="pvp",15,MAX(0.1,Skills!D26-IF(TRUE=TRUE,2.5,0)))*(1-IF(AND(ArtifactsInput!$M$27,Inputs!$B$4="Chapter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IFERROR(1/(IF(Inputs!$B$39="pvp",15,MAX(0.1,Skills!D27-IF(TRUE=TRUE,2.5,0)))*(1-IF(AND(ArtifactsInput!$M$27,Inputs!$B$4="Chapter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IFERROR(1/(IF(Inputs!$B$39="pvp",15,MAX(0.1,Skills!D28-IF(TRUE=TRUE,2.5,0)))*(1-IF(AND(ArtifactsInput!$M$27,Inputs!$B$4="Chapter Hunt"),CHOOSE(ArtifactsInput!$N$27+1,20,24,28,32,36,40),0)/100)),0)</f>
        <v/>
      </c>
      <c r="R3129">
        <f>IF(AND(Inputs!$B$39&lt;&gt;"pvp",Inputs!$B$44&gt;0),IF(Inputs!$B$44&lt;=0,0,(INT(Inputs!$B$44/(IF(Inputs!$B$39="pvp",15,MAX(0.1,Skills!D28-IF(TRUE=TRUE,2.5,0)))*(1-IF(AND(ArtifactsInput!$M$27,Inputs!$B$4="Chapter Hunt"),CHOOSE(ArtifactsInput!$N$27+1,20,24,28,32,36,40),0)/100)))+1)),0)</f>
        <v/>
      </c>
      <c r="S3129" t="n">
        <v>0</v>
      </c>
      <c r="U3129" t="n">
        <v>0</v>
      </c>
    </row>
    <row r="3131">
      <c r="A3131" t="inlineStr">
        <is>
          <t>Average Buff Multiplier</t>
        </is>
      </c>
      <c r="B3131">
        <f>(1+(IF(C3104=TRUE,F3104*IF(AND(Inputs!$B$39&lt;&gt;"pvp",Inputs!$B$44&gt;0),(((R3104-1)*MIN((Skills!S3*(1+((Inputs!$B$35+(ArtifactsInput!$M$7-ArtifactsInput!$M$7)*CHOOSE(ArtifactsInput!$N$7+1,6,7.2,8.4,9.6,10.8,12)))/100)),(1/Q3104))+MIN((Skills!S3*(1+((Inputs!$B$35+(ArtifactsInput!$M$7-ArtifactsInput!$M$7)*CHOOSE(ArtifactsInput!$N$7+1,6,7.2,8.4,9.6,10.8,12)))/100)),MAX(0,Inputs!$B$44-((R3104-1)*(1/Q3104)))))/Inputs!$B$44),IF(Inputs!$B$39="pvp",MIN((Skills!S3*(1+((Inputs!$B$35+(ArtifactsInput!$M$7-ArtifactsInput!$M$7)*CHOOSE(ArtifactsInput!$N$7+1,6,7.2,8.4,9.6,10.8,12)))/100)),15)/15,MIN(1,(Skills!S3*(1+((Inputs!$B$35+(ArtifactsInput!$M$7-ArtifactsInput!$M$7)*CHOOSE(ArtifactsInput!$N$7+1,6,7.2,8.4,9.6,10.8,12)))/100))/(1/Q3104)))),0)+IF(C3105=TRUE,F3105*IF(AND(Inputs!$B$39&lt;&gt;"pvp",Inputs!$B$44&gt;0),(((R3105-1)*MIN((Skills!S4*(1+((Inputs!$B$35+(ArtifactsInput!$M$7-ArtifactsInput!$M$7)*CHOOSE(ArtifactsInput!$N$7+1,6,7.2,8.4,9.6,10.8,12)))/100)),(1/Q3105))+MIN((Skills!S4*(1+((Inputs!$B$35+(ArtifactsInput!$M$7-ArtifactsInput!$M$7)*CHOOSE(ArtifactsInput!$N$7+1,6,7.2,8.4,9.6,10.8,12)))/100)),MAX(0,Inputs!$B$44-((R3105-1)*(1/Q3105)))))/Inputs!$B$44),IF(Inputs!$B$39="pvp",MIN((Skills!S4*(1+((Inputs!$B$35+(ArtifactsInput!$M$7-ArtifactsInput!$M$7)*CHOOSE(ArtifactsInput!$N$7+1,6,7.2,8.4,9.6,10.8,12)))/100)),15)/15,MIN(1,(Skills!S4*(1+((Inputs!$B$35+(ArtifactsInput!$M$7-ArtifactsInput!$M$7)*CHOOSE(ArtifactsInput!$N$7+1,6,7.2,8.4,9.6,10.8,12)))/100))/(1/Q3105)))),0)+IF(C3106=TRUE,F3106*IF(AND(Inputs!$B$39&lt;&gt;"pvp",Inputs!$B$44&gt;0),(((R3106-1)*MIN((Skills!S5*(1+((Inputs!$B$35+(ArtifactsInput!$M$7-ArtifactsInput!$M$7)*CHOOSE(ArtifactsInput!$N$7+1,6,7.2,8.4,9.6,10.8,12)))/100)),(1/Q3106))+MIN((Skills!S5*(1+((Inputs!$B$35+(ArtifactsInput!$M$7-ArtifactsInput!$M$7)*CHOOSE(ArtifactsInput!$N$7+1,6,7.2,8.4,9.6,10.8,12)))/100)),MAX(0,Inputs!$B$44-((R3106-1)*(1/Q3106)))))/Inputs!$B$44),IF(Inputs!$B$39="pvp",MIN((Skills!S5*(1+((Inputs!$B$35+(ArtifactsInput!$M$7-ArtifactsInput!$M$7)*CHOOSE(ArtifactsInput!$N$7+1,6,7.2,8.4,9.6,10.8,12)))/100)),15)/15,MIN(1,(Skills!S5*(1+((Inputs!$B$35+(ArtifactsInput!$M$7-ArtifactsInput!$M$7)*CHOOSE(ArtifactsInput!$N$7+1,6,7.2,8.4,9.6,10.8,12)))/100))/(1/Q3106)))),0)+IF(C3112=TRUE,F3112*IF(AND(Inputs!$B$39&lt;&gt;"pvp",Inputs!$B$44&gt;0),(((R3112-1)*MIN((Skills!S11*(1+((Inputs!$B$35+(ArtifactsInput!$M$7-ArtifactsInput!$M$7)*CHOOSE(ArtifactsInput!$N$7+1,6,7.2,8.4,9.6,10.8,12)))/100)),(1/Q3112))+MIN((Skills!S11*(1+((Inputs!$B$35+(ArtifactsInput!$M$7-ArtifactsInput!$M$7)*CHOOSE(ArtifactsInput!$N$7+1,6,7.2,8.4,9.6,10.8,12)))/100)),MAX(0,Inputs!$B$44-((R3112-1)*(1/Q3112)))))/Inputs!$B$44),IF(Inputs!$B$39="pvp",MIN((Skills!S11*(1+((Inputs!$B$35+(ArtifactsInput!$M$7-ArtifactsInput!$M$7)*CHOOSE(ArtifactsInput!$N$7+1,6,7.2,8.4,9.6,10.8,12)))/100)),15)/15,MIN(1,(Skills!S11*(1+((Inputs!$B$35+(ArtifactsInput!$M$7-ArtifactsInput!$M$7)*CHOOSE(ArtifactsInput!$N$7+1,6,7.2,8.4,9.6,10.8,12)))/100))/(1/Q3112)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MIN((Skills!S14*(1+((Inputs!$B$35+(ArtifactsInput!$M$7-ArtifactsInput!$M$7)*CHOOSE(ArtifactsInput!$N$7+1,6,7.2,8.4,9.6,10.8,12)))/100)),(1/Q3115))+MIN((Skills!S14*(1+((Inputs!$B$35+(ArtifactsInput!$M$7-ArtifactsInput!$M$7)*CHOOSE(ArtifactsInput!$N$7+1,6,7.2,8.4,9.6,10.8,12)))/100)),MAX(0,Inputs!$B$44-((R3115-1)*(1/Q3115)))))/Inputs!$B$44),IF(Inputs!$B$39="pvp",MIN((Skills!S14*(1+((Inputs!$B$35+(ArtifactsInput!$M$7-ArtifactsInput!$M$7)*CHOOSE(ArtifactsInput!$N$7+1,6,7.2,8.4,9.6,10.8,12)))/100)),15)/15,MIN(1,(Skills!S14*(1+((Inputs!$B$35+(ArtifactsInput!$M$7-ArtifactsInput!$M$7)*CHOOSE(ArtifactsInput!$N$7+1,6,7.2,8.4,9.6,10.8,12)))/100))/(1/Q3115))))/100),1)*IF(C3120=TRUE,(1+F3120*IF(AND(Inputs!$B$39&lt;&gt;"pvp",Inputs!$B$44&gt;0),(((R3120-1)*MIN((Skills!S19*(1+((Inputs!$B$35+(ArtifactsInput!$M$7-ArtifactsInput!$M$7)*CHOOSE(ArtifactsInput!$N$7+1,6,7.2,8.4,9.6,10.8,12)))/100)),(1/Q3120))+MIN((Skills!S19*(1+((Inputs!$B$35+(ArtifactsInput!$M$7-ArtifactsInput!$M$7)*CHOOSE(ArtifactsInput!$N$7+1,6,7.2,8.4,9.6,10.8,12)))/100)),MAX(0,Inputs!$B$44-((R3120-1)*(1/Q3120)))))/Inputs!$B$44),IF(Inputs!$B$39="pvp",MIN((Skills!S19*(1+((Inputs!$B$35+(ArtifactsInput!$M$7-ArtifactsInput!$M$7)*CHOOSE(ArtifactsInput!$N$7+1,6,7.2,8.4,9.6,10.8,12)))/100)),15)/15,MIN(1,(Skills!S19*(1+((Inputs!$B$35+(ArtifactsInput!$M$7-ArtifactsInput!$M$7)*CHOOSE(ArtifactsInput!$N$7+1,6,7.2,8.4,9.6,10.8,12)))/100))/(1/Q3120))))/100),1)</f>
        <v/>
      </c>
    </row>
    <row r="3132">
      <c r="A3132" t="inlineStr">
        <is>
          <t>Monster Damage Taken Bonus % (Holy Fountain)</t>
        </is>
      </c>
      <c r="B3132">
        <f>IF(Inputs!$B$3&gt;=68,20*IF(Inputs!$B$39="pvp",MIN((15*(1+((Inputs!$B$35+(ArtifactsInput!$M$7-ArtifactsInput!$M$7)*CHOOSE(ArtifactsInput!$N$7+1,6,7.2,8.4,9.6,10.8,12)))/100)),15)/15,MIN(1,(15*(1+((Inputs!$B$35+(ArtifactsInput!$M$7-ArtifactsInput!$M$7)*CHOOSE(ArtifactsInput!$N$7+1,6,7.2,8.4,9.6,10.8,12)))/100))/(1/Q3111))),0)</f>
        <v/>
      </c>
    </row>
    <row r="3133">
      <c r="A3133" t="inlineStr">
        <is>
          <t>Normal Monster Damage Bonus % (Holy Symbol)</t>
        </is>
      </c>
      <c r="B3133">
        <f>IF(C3113=TRUE,F3113*IF(AND(Inputs!$B$39&lt;&gt;"pvp",Inputs!$B$44&gt;0),(((R3113-1)*MIN((Skills!S12*(1+((Inputs!$B$35+(ArtifactsInput!$M$7-ArtifactsInput!$M$7)*CHOOSE(ArtifactsInput!$N$7+1,6,7.2,8.4,9.6,10.8,12)))/100)),(1/Q3113))+MIN((Skills!S12*(1+((Inputs!$B$35+(ArtifactsInput!$M$7-ArtifactsInput!$M$7)*CHOOSE(ArtifactsInput!$N$7+1,6,7.2,8.4,9.6,10.8,12)))/100)),MAX(0,Inputs!$B$44-((R3113-1)*(1/Q3113)))))/Inputs!$B$44),IF(Inputs!$B$39="pvp",MIN((Skills!S12*(1+((Inputs!$B$35+(ArtifactsInput!$M$7-ArtifactsInput!$M$7)*CHOOSE(ArtifactsInput!$N$7+1,6,7.2,8.4,9.6,10.8,12)))/100)),15)/15,MIN(1,(Skills!S12*(1+((Inputs!$B$35+(ArtifactsInput!$M$7-ArtifactsInput!$M$7)*CHOOSE(ArtifactsInput!$N$7+1,6,7.2,8.4,9.6,10.8,12)))/100))/(1/Q3113)))),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MIN((Skills!S28*(1+((Inputs!$B$35+(ArtifactsInput!$M$7-ArtifactsInput!$M$7)*CHOOSE(ArtifactsInput!$N$7+1,6,7.2,8.4,9.6,10.8,12)))/100)),(1/Q3129))+MIN((Skills!S28*(1+((Inputs!$B$35+(ArtifactsInput!$M$7-ArtifactsInput!$M$7)*CHOOSE(ArtifactsInput!$N$7+1,6,7.2,8.4,9.6,10.8,12)))/100)),MAX(0,Inputs!$B$44-((R3129-1)*(1/Q3129)))))/Inputs!$B$44),IF(Inputs!$B$39="pvp",MIN((Skills!S28*(1+((Inputs!$B$35+(ArtifactsInput!$M$7-ArtifactsInput!$M$7)*CHOOSE(ArtifactsInput!$N$7+1,6,7.2,8.4,9.6,10.8,12)))/100)),15)/15,MIN(1,(Skills!S28*(1+((Inputs!$B$35+(ArtifactsInput!$M$7-ArtifactsInput!$M$7)*CHOOSE(ArtifactsInput!$N$7+1,6,7.2,8.4,9.6,10.8,12)))/100))/(1/Q3129)))))</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MIN((Skills!S13*(1+((Inputs!$B$35+(ArtifactsInput!$M$7-ArtifactsInput!$M$7)*CHOOSE(ArtifactsInput!$N$7+1,6,7.2,8.4,9.6,10.8,12)))/100)),(1/Q3114))+MIN((Skills!S13*(1+((Inputs!$B$35+(ArtifactsInput!$M$7-ArtifactsInput!$M$7)*CHOOSE(ArtifactsInput!$N$7+1,6,7.2,8.4,9.6,10.8,12)))/100)),MAX(0,Inputs!$B$44-((R3114-1)*(1/Q3114)))))/Inputs!$B$44),IF(Inputs!$B$39="pvp",MIN((Skills!S13*(1+((Inputs!$B$35+(ArtifactsInput!$M$7-ArtifactsInput!$M$7)*CHOOSE(ArtifactsInput!$N$7+1,6,7.2,8.4,9.6,10.8,12)))/100)),15)/15,MIN(1,(Skills!S13*(1+((Inputs!$B$35+(ArtifactsInput!$M$7-ArtifactsInput!$M$7)*CHOOSE(ArtifactsInput!$N$7+1,6,7.2,8.4,9.6,10.8,12)))/100))/(1/Q3114)))),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IFERROR(1/(IF(Inputs!$B$39="pvp",15,MAX(0.1,Skills!D2-IF(TRUE=TRUE,3.0,0)))*(1-IF(AND(ArtifactsInput!$M$27,Inputs!$B$4="Chapter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IFERROR(1/(IF(Inputs!$B$39="pvp",15,MAX(0.1,Skills!D3-IF(TRUE=TRUE,3.0,0)))*(1-IF(AND(ArtifactsInput!$M$27,Inputs!$B$4="Chapter Hunt"),CHOOSE(ArtifactsInput!$N$27+1,20,24,28,32,36,40),0)/100)),0)</f>
        <v/>
      </c>
      <c r="R3149">
        <f>IF(AND(Inputs!$B$39&lt;&gt;"pvp",Inputs!$B$44&gt;0),IF(Inputs!$B$44&lt;=0,0,(INT(Inputs!$B$44/(IF(Inputs!$B$39="pvp",15,MAX(0.1,Skills!D3-IF(TRUE=TRUE,3.0,0)))*(1-IF(AND(ArtifactsInput!$M$27,Inputs!$B$4="Chapter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IFERROR(1/(IF(Inputs!$B$39="pvp",15,MAX(0.1,Skills!D4-IF(TRUE=TRUE,3.0,0)))*(1-IF(AND(ArtifactsInput!$M$27,Inputs!$B$4="Chapter Hunt"),CHOOSE(ArtifactsInput!$N$27+1,20,24,28,32,36,40),0)/100)),0)</f>
        <v/>
      </c>
      <c r="R3150">
        <f>IF(AND(Inputs!$B$39&lt;&gt;"pvp",Inputs!$B$44&gt;0),IF(Inputs!$B$44&lt;=0,0,(INT(Inputs!$B$44/(IF(Inputs!$B$39="pvp",15,MAX(0.1,Skills!D4-IF(TRUE=TRUE,3.0,0)))*(1-IF(AND(ArtifactsInput!$M$27,Inputs!$B$4="Chapter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IFERROR(1/(IF(Inputs!$B$39="pvp",15,MAX(0.1,Skills!D5-IF(TRUE=TRUE,3.0,0)))*(1-IF(AND(ArtifactsInput!$M$27,Inputs!$B$4="Chapter Hunt"),CHOOSE(ArtifactsInput!$N$27+1,20,24,28,32,36,40),0)/100)),0)</f>
        <v/>
      </c>
      <c r="R3151">
        <f>IF(AND(Inputs!$B$39&lt;&gt;"pvp",Inputs!$B$44&gt;0),IF(Inputs!$B$44&lt;=0,0,(INT(Inputs!$B$44/(IF(Inputs!$B$39="pvp",15,MAX(0.1,Skills!D5-IF(TRUE=TRUE,3.0,0)))*(1-IF(AND(ArtifactsInput!$M$27,Inputs!$B$4="Chapter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IFERROR(1/(IF(Inputs!$B$39="pvp",15,MAX(0.1,Skills!D6-IF(TRUE=TRUE,3.0,0)))*(1-IF(AND(ArtifactsInput!$M$27,Inputs!$B$4="Chapter Hunt"),CHOOSE(ArtifactsInput!$N$27+1,20,24,28,32,36,40),0)/100)),0)</f>
        <v/>
      </c>
      <c r="R3152">
        <f>IF(AND(Inputs!$B$39&lt;&gt;"pvp",Inputs!$B$44&gt;0),IF(MAX(0,Inputs!$B$44-B3186)&lt;=0,0,(INT(MAX(0,Inputs!$B$44-B3186)/(IF(Inputs!$B$39="pvp",15,MAX(0.1,Skills!D6-IF(TRUE=TRUE,3.0,0)))*(1-IF(AND(ArtifactsInput!$M$27,Inputs!$B$4="Chapter Hunt"),CHOOSE(ArtifactsInput!$N$27+1,20,24,28,32,36,40),0)/100)))+1)),0)</f>
        <v/>
      </c>
      <c r="S3152">
        <f>IF(C3152,(H3152*N3152*IF(AND(Inputs!$B$39&lt;&gt;"pvp",Inputs!$B$44&gt;0),((Skills!F6*((R3152-1)*IF(Skills!G6&gt;0,INT(Skills!H6/Skills!G6+0.000000001),1)+IF(Skills!G6&gt;0,INT(MIN(Skills!H6,MAX(0,MAX(0,Inputs!$B$44-B3186)-((R3152-1)*(IF(Inputs!$B$39="pvp",15,MAX(0.1,Skills!D6-IF(TRUE=TRUE,3.0,0)))*(1-IF(AND(ArtifactsInput!$M$27,Inputs!$B$4="Chapter Hunt"),CHOOSE(ArtifactsInput!$N$27+1,20,24,28,32,36,40),0)/100)))))/Skills!G6+0.000000001),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INT(Skills!H6/Skills!G6+0.000000001),1)+IF(Skills!G6&gt;0,INT(MIN(Skills!H6,MAX(0,MAX(0,Inputs!$B$44-B3186)-((R3152-1)*(IF(Inputs!$B$39="pvp",15,MAX(0.1,Skills!D6-IF(TRUE=TRUE,3.0,0)))*(1-IF(AND(ArtifactsInput!$M$27,Inputs!$B$4="Chapter Hunt"),CHOOSE(ArtifactsInput!$N$27+1,20,24,28,32,36,40),0)/100)))))/Skills!G6+0.000000001),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IFERROR(1/(IF(Inputs!$B$39="pvp",15,MAX(0.1,Skills!D7-IF(TRUE=TRUE,3.0,0)))*(1-IF(AND(ArtifactsInput!$M$27,Inputs!$B$4="Chapter Hunt"),CHOOSE(ArtifactsInput!$N$27+1,20,24,28,32,36,40),0)/100)),0)</f>
        <v/>
      </c>
      <c r="R3153">
        <f>IF(AND(Inputs!$B$39&lt;&gt;"pvp",Inputs!$B$44&gt;0),IF(MAX(0,Inputs!$B$44-B3186)&lt;=0,0,(INT(MAX(0,Inputs!$B$44-B3186)/(IF(Inputs!$B$39="pvp",15,MAX(0.1,Skills!D7-IF(TRUE=TRUE,3.0,0)))*(1-IF(AND(ArtifactsInput!$M$27,Inputs!$B$4="Chapter Hunt"),CHOOSE(ArtifactsInput!$N$27+1,20,24,28,32,36,40),0)/100)))+1)),0)</f>
        <v/>
      </c>
      <c r="S3153">
        <f>IF(C3153,H3153*N3153*IF(AND(Inputs!$B$39&lt;&gt;"pvp",Inputs!$B$44&gt;0),((Skills!F7*((R3153-1)*IF(Skills!G7&gt;0,INT(Skills!H7/Skills!G7+0.000000001),1)+IF(Skills!G7&gt;0,INT(MIN(Skills!H7,MAX(0,MAX(0,Inputs!$B$44-B3186)-((R3153-1)*(IF(Inputs!$B$39="pvp",15,MAX(0.1,Skills!D7-IF(TRUE=TRUE,3.0,0)))*(1-IF(AND(ArtifactsInput!$M$27,Inputs!$B$4="Chapter Hunt"),CHOOSE(ArtifactsInput!$N$27+1,20,24,28,32,36,40),0)/100)))))/Skills!G7+0.000000001),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IFERROR(1/(IF(Inputs!$B$39="pvp",15,MAX(0.1,Skills!D8-IF(TRUE=TRUE,3.0,0)))*(1-IF(AND(ArtifactsInput!$M$27,Inputs!$B$4="Chapter Hunt"),CHOOSE(ArtifactsInput!$N$27+1,20,24,28,32,36,40),0)/100)),0)</f>
        <v/>
      </c>
      <c r="R3154">
        <f>IF(AND(Inputs!$B$39&lt;&gt;"pvp",Inputs!$B$44&gt;0),IF(MAX(0,Inputs!$B$44-B3186)&lt;=0,0,(INT(MAX(0,Inputs!$B$44-B3186)/(IF(Inputs!$B$39="pvp",15,MAX(0.1,Skills!D8-IF(TRUE=TRUE,3.0,0)))*(1-IF(AND(ArtifactsInput!$M$27,Inputs!$B$4="Chapter Hunt"),CHOOSE(ArtifactsInput!$N$27+1,20,24,28,32,36,40),0)/100)))+1)),0)</f>
        <v/>
      </c>
      <c r="S3154">
        <f>IF(C3154,(H3154*N3154*IF(AND(Inputs!$B$39&lt;&gt;"pvp",Inputs!$B$44&gt;0),((Skills!F8*((R3154-1)*IF(Skills!G8&gt;0,INT(Skills!H8/Skills!G8+0.000000001),1)+IF(Skills!G8&gt;0,INT(MIN(Skills!H8,MAX(0,MAX(0,Inputs!$B$44-B3186)-((R3154-1)*(IF(Inputs!$B$39="pvp",15,MAX(0.1,Skills!D8-IF(TRUE=TRUE,3.0,0)))*(1-IF(AND(ArtifactsInput!$M$27,Inputs!$B$4="Chapter Hunt"),CHOOSE(ArtifactsInput!$N$27+1,20,24,28,32,36,40),0)/100)))))/Skills!G8+0.000000001),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INT(Skills!H8/Skills!G8+0.000000001),1)+IF(Skills!G8&gt;0,INT(MIN(Skills!H8,MAX(0,MAX(0,Inputs!$B$44-B3186)-((R3154-1)*(IF(Inputs!$B$39="pvp",15,MAX(0.1,Skills!D8-IF(TRUE=TRUE,3.0,0)))*(1-IF(AND(ArtifactsInput!$M$27,Inputs!$B$4="Chapter Hunt"),CHOOSE(ArtifactsInput!$N$27+1,20,24,28,32,36,40),0)/100)))))/Skills!G8+0.000000001),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IFERROR(1/(IF(Inputs!$B$39="pvp",15,MAX(0.1,Skills!D9-IF(TRUE=TRUE,3.0,0)))*(1-IF(AND(ArtifactsInput!$M$27,Inputs!$B$4="Chapter Hunt"),CHOOSE(ArtifactsInput!$N$27+1,20,24,28,32,36,40),0)/100)),0)</f>
        <v/>
      </c>
      <c r="R3155">
        <f>IF(AND(Inputs!$B$39&lt;&gt;"pvp",Inputs!$B$44&gt;0),IF(MAX(0,Inputs!$B$44-B3186)&lt;=0,0,(INT(MAX(0,Inputs!$B$44-B3186)/(IF(Inputs!$B$39="pvp",15,MAX(0.1,Skills!D9-IF(TRUE=TRUE,3.0,0)))*(1-IF(AND(ArtifactsInput!$M$27,Inputs!$B$4="Chapter Hunt"),CHOOSE(ArtifactsInput!$N$27+1,20,24,28,32,36,40),0)/100)))+1)),0)</f>
        <v/>
      </c>
      <c r="S3155">
        <f>IF(C3155,(H3155*N3155*IF(AND(Inputs!$B$39&lt;&gt;"pvp",Inputs!$B$44&gt;0),((Skills!F9*((R3155-1)*IF(Skills!G9&gt;0,INT(Skills!H9/Skills!G9+0.000000001),1)+IF(Skills!G9&gt;0,INT(MIN(Skills!H9,MAX(0,MAX(0,Inputs!$B$44-B3186)-((R3155-1)*(IF(Inputs!$B$39="pvp",15,MAX(0.1,Skills!D9-IF(TRUE=TRUE,3.0,0)))*(1-IF(AND(ArtifactsInput!$M$27,Inputs!$B$4="Chapter Hunt"),CHOOSE(ArtifactsInput!$N$27+1,20,24,28,32,36,40),0)/100)))))/Skills!G9+0.000000001),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INT(Skills!H9/Skills!G9+0.000000001),1)+IF(Skills!G9&gt;0,INT(MIN(Skills!H9,MAX(0,MAX(0,Inputs!$B$44-B3186)-((R3155-1)*(IF(Inputs!$B$39="pvp",15,MAX(0.1,Skills!D9-IF(TRUE=TRUE,3.0,0)))*(1-IF(AND(ArtifactsInput!$M$27,Inputs!$B$4="Chapter Hunt"),CHOOSE(ArtifactsInput!$N$27+1,20,24,28,32,36,40),0)/100)))))/Skills!G9+0.000000001),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IFERROR(1/(IF(Inputs!$B$39="pvp",15,MAX(0.1,Skills!D10-IF(TRUE=TRUE,3.0,0)))*(1-IF(AND(ArtifactsInput!$M$27,Inputs!$B$4="Chapter Hunt"),CHOOSE(ArtifactsInput!$N$27+1,20,24,28,32,36,40),0)/100)),0)</f>
        <v/>
      </c>
      <c r="R3156">
        <f>IF(AND(Inputs!$B$39&lt;&gt;"pvp",Inputs!$B$44&gt;0),IF(MAX(0,Inputs!$B$44-B3186)&lt;=0,0,(INT(MAX(0,Inputs!$B$44-B3186)/(IF(Inputs!$B$39="pvp",15,MAX(0.1,Skills!D10-IF(TRUE=TRUE,3.0,0)))*(1-IF(AND(ArtifactsInput!$M$27,Inputs!$B$4="Chapter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IFERROR(1/(IF(Inputs!$B$39="pvp",15,MAX(0.1,Skills!D11-IF(TRUE=TRUE,3.0,0)))*(1-IF(AND(ArtifactsInput!$M$27,Inputs!$B$4="Chapter Hunt"),CHOOSE(ArtifactsInput!$N$27+1,20,24,28,32,36,40),0)/100)),0)</f>
        <v/>
      </c>
      <c r="R3157">
        <f>IF(AND(Inputs!$B$39&lt;&gt;"pvp",Inputs!$B$44&gt;0),IF(Inputs!$B$44&lt;=0,0,(INT(Inputs!$B$44/(IF(Inputs!$B$39="pvp",15,MAX(0.1,Skills!D11-IF(TRUE=TRUE,3.0,0)))*(1-IF(AND(ArtifactsInput!$M$27,Inputs!$B$4="Chapter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IFERROR(1/(IF(Inputs!$B$39="pvp",15,MAX(0.1,Skills!D12-IF(TRUE=TRUE,3.0,0)))*(1-IF(AND(ArtifactsInput!$M$27,Inputs!$B$4="Chapter Hunt"),CHOOSE(ArtifactsInput!$N$27+1,20,24,28,32,36,40),0)/100)),0)</f>
        <v/>
      </c>
      <c r="R3158">
        <f>IF(AND(Inputs!$B$39&lt;&gt;"pvp",Inputs!$B$44&gt;0),IF(MAX(0,Inputs!$B$44-B3186)&lt;=0,0,(INT(MAX(0,Inputs!$B$44-B3186)/(IF(Inputs!$B$39="pvp",15,MAX(0.1,Skills!D12-IF(TRUE=TRUE,3.0,0)))*(1-IF(AND(ArtifactsInput!$M$27,Inputs!$B$4="Chapter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IFERROR(1/(IF(Inputs!$B$39="pvp",15,MAX(0.1,Skills!D13-IF(TRUE=TRUE,3.0,0)))*(1-IF(AND(ArtifactsInput!$M$27,Inputs!$B$4="Chapter Hunt"),CHOOSE(ArtifactsInput!$N$27+1,20,24,28,32,36,40),0)/100)),0)</f>
        <v/>
      </c>
      <c r="R3159">
        <f>IF(AND(Inputs!$B$39&lt;&gt;"pvp",Inputs!$B$44&gt;0),IF(MAX(0,Inputs!$B$44-B3186)&lt;=0,0,(INT(MAX(0,Inputs!$B$44-B3186)/(IF(Inputs!$B$39="pvp",15,MAX(0.1,Skills!D13-IF(TRUE=TRUE,3.0,0)))*(1-IF(AND(ArtifactsInput!$M$27,Inputs!$B$4="Chapter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IFERROR(1/(IF(Inputs!$B$39="pvp",15,MAX(0.1,Skills!D14-IF(TRUE=TRUE,3.0,0)))*(1-IF(AND(ArtifactsInput!$M$27,Inputs!$B$4="Chapter Hunt"),CHOOSE(ArtifactsInput!$N$27+1,20,24,28,32,36,40),0)/100)),0)</f>
        <v/>
      </c>
      <c r="R3160">
        <f>IF(AND(Inputs!$B$39&lt;&gt;"pvp",Inputs!$B$44&gt;0),IF(Inputs!$B$44&lt;=0,0,(INT(Inputs!$B$44/(IF(Inputs!$B$39="pvp",15,MAX(0.1,Skills!D14-IF(TRUE=TRUE,3.0,0)))*(1-IF(AND(ArtifactsInput!$M$27,Inputs!$B$4="Chapter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IFERROR(1/(IF(Inputs!$B$39="pvp",15,MAX(0.1,Skills!D15-IF(TRUE=TRUE,3.0,0)))*(1-IF(AND(ArtifactsInput!$M$27,Inputs!$B$4="Chapter Hunt"),CHOOSE(ArtifactsInput!$N$27+1,20,24,28,32,36,40),0)/100)),0)</f>
        <v/>
      </c>
      <c r="R3161" t="n">
        <v>0</v>
      </c>
      <c r="S3161">
        <f>IF(C3161,(Skills!F15*N3161*((IF(Inputs!$B$3&gt;=78,25,15)/100*B3182*10)/(1+IF(Inputs!$B$3&gt;=78,25,15)/100*B3182*IF(Inputs!$B$39="pvp",15,MAX(0.1,18-IF(TRUE=TRUE,3.0,0)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IF(Inputs!$B$39="pvp",15,MAX(0.1,18-IF(TRUE=TRUE,3.0,0)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IFERROR(1/(IF(Inputs!$B$39="pvp",15,MAX(0.1,Skills!D16-IF(TRUE=TRUE,3.0,0)))*(1-IF(AND(ArtifactsInput!$M$27,Inputs!$B$4="Chapter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IFERROR(1/(IF(Inputs!$B$39="pvp",15,MAX(0.1,Skills!D17-IF(TRUE=TRUE,3.0,0)))*(1-IF(AND(ArtifactsInput!$M$27,Inputs!$B$4="Chapter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IFERROR(1/(IF(Inputs!$B$39="pvp",15,MAX(0.1,Skills!D18-IF(TRUE=TRUE,3.0,0)))*(1-IF(AND(ArtifactsInput!$M$27,Inputs!$B$4="Chapter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IFERROR(1/(IF(Inputs!$B$39="pvp",15,MAX(0.1,Skills!D19-IF(TRUE=TRUE,3.0,0)))*(1-IF(AND(ArtifactsInput!$M$27,Inputs!$B$4="Chapter Hunt"),CHOOSE(ArtifactsInput!$N$27+1,20,24,28,32,36,40),0)/100)),0)</f>
        <v/>
      </c>
      <c r="R3165">
        <f>IF(AND(Inputs!$B$39&lt;&gt;"pvp",Inputs!$B$44&gt;0),IF(Inputs!$B$44&lt;=0,0,(INT(Inputs!$B$44/(IF(Inputs!$B$39="pvp",15,MAX(0.1,Skills!D19-IF(TRUE=TRUE,3.0,0)))*(1-IF(AND(ArtifactsInput!$M$27,Inputs!$B$4="Chapter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IFERROR(1/(IF(Inputs!$B$39="pvp",15,MAX(0.1,Skills!D20-IF(TRUE=TRUE,3.0,0)))*(1-IF(AND(ArtifactsInput!$M$27,Inputs!$B$4="Chapter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IFERROR(1/(IF(Inputs!$B$39="pvp",15,MAX(0.1,Skills!D21-IF(TRUE=TRUE,3.0,0)))*(1-IF(AND(ArtifactsInput!$M$27,Inputs!$B$4="Chapter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IFERROR(1/(IF(Inputs!$B$39="pvp",15,MAX(0.1,Skills!D22-IF(TRUE=TRUE,3.0,0)))*(1-IF(AND(ArtifactsInput!$M$27,Inputs!$B$4="Chapter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IFERROR(1/(IF(Inputs!$B$39="pvp",15,MAX(0.1,Skills!D23-IF(TRUE=TRUE,3.0,0)))*(1-IF(AND(ArtifactsInput!$M$27,Inputs!$B$4="Chapter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IFERROR(1/(IF(Inputs!$B$39="pvp",15,MAX(0.1,Skills!D24-IF(TRUE=TRUE,3.0,0)))*(1-IF(AND(ArtifactsInput!$M$27,Inputs!$B$4="Chapter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IFERROR(1/(IF(Inputs!$B$39="pvp",15,MAX(0.1,Skills!D25-IF(TRUE=TRUE,3.0,0)))*(1-IF(AND(ArtifactsInput!$M$27,Inputs!$B$4="Chapter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IFERROR(1/(IF(Inputs!$B$39="pvp",15,MAX(0.1,Skills!D26-IF(TRUE=TRUE,3.0,0)))*(1-IF(AND(ArtifactsInput!$M$27,Inputs!$B$4="Chapter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IFERROR(1/(IF(Inputs!$B$39="pvp",15,MAX(0.1,Skills!D27-IF(TRUE=TRUE,3.0,0)))*(1-IF(AND(ArtifactsInput!$M$27,Inputs!$B$4="Chapter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IFERROR(1/(IF(Inputs!$B$39="pvp",15,MAX(0.1,Skills!D28-IF(TRUE=TRUE,3.0,0)))*(1-IF(AND(ArtifactsInput!$M$27,Inputs!$B$4="Chapter Hunt"),CHOOSE(ArtifactsInput!$N$27+1,20,24,28,32,36,40),0)/100)),0)</f>
        <v/>
      </c>
      <c r="R3174">
        <f>IF(AND(Inputs!$B$39&lt;&gt;"pvp",Inputs!$B$44&gt;0),IF(Inputs!$B$44&lt;=0,0,(INT(Inputs!$B$44/(IF(Inputs!$B$39="pvp",15,MAX(0.1,Skills!D28-IF(TRUE=TRUE,3.0,0)))*(1-IF(AND(ArtifactsInput!$M$27,Inputs!$B$4="Chapter Hunt"),CHOOSE(ArtifactsInput!$N$27+1,20,24,28,32,36,40),0)/100)))+1)),0)</f>
        <v/>
      </c>
      <c r="S3174" t="n">
        <v>0</v>
      </c>
      <c r="U3174" t="n">
        <v>0</v>
      </c>
    </row>
    <row r="3176">
      <c r="A3176" t="inlineStr">
        <is>
          <t>Average Buff Multiplier</t>
        </is>
      </c>
      <c r="B3176">
        <f>(1+(IF(C3149=TRUE,F3149*IF(AND(Inputs!$B$39&lt;&gt;"pvp",Inputs!$B$44&gt;0),(((R3149-1)*MIN((Skills!S3*(1+((Inputs!$B$35+(ArtifactsInput!$M$7-ArtifactsInput!$M$7)*CHOOSE(ArtifactsInput!$N$7+1,6,7.2,8.4,9.6,10.8,12)))/100)),(1/Q3149))+MIN((Skills!S3*(1+((Inputs!$B$35+(ArtifactsInput!$M$7-ArtifactsInput!$M$7)*CHOOSE(ArtifactsInput!$N$7+1,6,7.2,8.4,9.6,10.8,12)))/100)),MAX(0,Inputs!$B$44-((R3149-1)*(1/Q3149)))))/Inputs!$B$44),IF(Inputs!$B$39="pvp",MIN((Skills!S3*(1+((Inputs!$B$35+(ArtifactsInput!$M$7-ArtifactsInput!$M$7)*CHOOSE(ArtifactsInput!$N$7+1,6,7.2,8.4,9.6,10.8,12)))/100)),15)/15,MIN(1,(Skills!S3*(1+((Inputs!$B$35+(ArtifactsInput!$M$7-ArtifactsInput!$M$7)*CHOOSE(ArtifactsInput!$N$7+1,6,7.2,8.4,9.6,10.8,12)))/100))/(1/Q3149)))),0)+IF(C3150=TRUE,F3150*IF(AND(Inputs!$B$39&lt;&gt;"pvp",Inputs!$B$44&gt;0),(((R3150-1)*MIN((Skills!S4*(1+((Inputs!$B$35+(ArtifactsInput!$M$7-ArtifactsInput!$M$7)*CHOOSE(ArtifactsInput!$N$7+1,6,7.2,8.4,9.6,10.8,12)))/100)),(1/Q3150))+MIN((Skills!S4*(1+((Inputs!$B$35+(ArtifactsInput!$M$7-ArtifactsInput!$M$7)*CHOOSE(ArtifactsInput!$N$7+1,6,7.2,8.4,9.6,10.8,12)))/100)),MAX(0,Inputs!$B$44-((R3150-1)*(1/Q3150)))))/Inputs!$B$44),IF(Inputs!$B$39="pvp",MIN((Skills!S4*(1+((Inputs!$B$35+(ArtifactsInput!$M$7-ArtifactsInput!$M$7)*CHOOSE(ArtifactsInput!$N$7+1,6,7.2,8.4,9.6,10.8,12)))/100)),15)/15,MIN(1,(Skills!S4*(1+((Inputs!$B$35+(ArtifactsInput!$M$7-ArtifactsInput!$M$7)*CHOOSE(ArtifactsInput!$N$7+1,6,7.2,8.4,9.6,10.8,12)))/100))/(1/Q3150)))),0)+IF(C3151=TRUE,F3151*IF(AND(Inputs!$B$39&lt;&gt;"pvp",Inputs!$B$44&gt;0),(((R3151-1)*MIN((Skills!S5*(1+((Inputs!$B$35+(ArtifactsInput!$M$7-ArtifactsInput!$M$7)*CHOOSE(ArtifactsInput!$N$7+1,6,7.2,8.4,9.6,10.8,12)))/100)),(1/Q3151))+MIN((Skills!S5*(1+((Inputs!$B$35+(ArtifactsInput!$M$7-ArtifactsInput!$M$7)*CHOOSE(ArtifactsInput!$N$7+1,6,7.2,8.4,9.6,10.8,12)))/100)),MAX(0,Inputs!$B$44-((R3151-1)*(1/Q3151)))))/Inputs!$B$44),IF(Inputs!$B$39="pvp",MIN((Skills!S5*(1+((Inputs!$B$35+(ArtifactsInput!$M$7-ArtifactsInput!$M$7)*CHOOSE(ArtifactsInput!$N$7+1,6,7.2,8.4,9.6,10.8,12)))/100)),15)/15,MIN(1,(Skills!S5*(1+((Inputs!$B$35+(ArtifactsInput!$M$7-ArtifactsInput!$M$7)*CHOOSE(ArtifactsInput!$N$7+1,6,7.2,8.4,9.6,10.8,12)))/100))/(1/Q3151)))),0)+IF(C3157=TRUE,F3157*IF(AND(Inputs!$B$39&lt;&gt;"pvp",Inputs!$B$44&gt;0),(((R3157-1)*MIN((Skills!S11*(1+((Inputs!$B$35+(ArtifactsInput!$M$7-ArtifactsInput!$M$7)*CHOOSE(ArtifactsInput!$N$7+1,6,7.2,8.4,9.6,10.8,12)))/100)),(1/Q3157))+MIN((Skills!S11*(1+((Inputs!$B$35+(ArtifactsInput!$M$7-ArtifactsInput!$M$7)*CHOOSE(ArtifactsInput!$N$7+1,6,7.2,8.4,9.6,10.8,12)))/100)),MAX(0,Inputs!$B$44-((R3157-1)*(1/Q3157)))))/Inputs!$B$44),IF(Inputs!$B$39="pvp",MIN((Skills!S11*(1+((Inputs!$B$35+(ArtifactsInput!$M$7-ArtifactsInput!$M$7)*CHOOSE(ArtifactsInput!$N$7+1,6,7.2,8.4,9.6,10.8,12)))/100)),15)/15,MIN(1,(Skills!S11*(1+((Inputs!$B$35+(ArtifactsInput!$M$7-ArtifactsInput!$M$7)*CHOOSE(ArtifactsInput!$N$7+1,6,7.2,8.4,9.6,10.8,12)))/100))/(1/Q3157)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MIN((Skills!S14*(1+((Inputs!$B$35+(ArtifactsInput!$M$7-ArtifactsInput!$M$7)*CHOOSE(ArtifactsInput!$N$7+1,6,7.2,8.4,9.6,10.8,12)))/100)),(1/Q3160))+MIN((Skills!S14*(1+((Inputs!$B$35+(ArtifactsInput!$M$7-ArtifactsInput!$M$7)*CHOOSE(ArtifactsInput!$N$7+1,6,7.2,8.4,9.6,10.8,12)))/100)),MAX(0,Inputs!$B$44-((R3160-1)*(1/Q3160)))))/Inputs!$B$44),IF(Inputs!$B$39="pvp",MIN((Skills!S14*(1+((Inputs!$B$35+(ArtifactsInput!$M$7-ArtifactsInput!$M$7)*CHOOSE(ArtifactsInput!$N$7+1,6,7.2,8.4,9.6,10.8,12)))/100)),15)/15,MIN(1,(Skills!S14*(1+((Inputs!$B$35+(ArtifactsInput!$M$7-ArtifactsInput!$M$7)*CHOOSE(ArtifactsInput!$N$7+1,6,7.2,8.4,9.6,10.8,12)))/100))/(1/Q3160))))/100),1)*IF(C3165=TRUE,(1+F3165*IF(AND(Inputs!$B$39&lt;&gt;"pvp",Inputs!$B$44&gt;0),(((R3165-1)*MIN((Skills!S19*(1+((Inputs!$B$35+(ArtifactsInput!$M$7-ArtifactsInput!$M$7)*CHOOSE(ArtifactsInput!$N$7+1,6,7.2,8.4,9.6,10.8,12)))/100)),(1/Q3165))+MIN((Skills!S19*(1+((Inputs!$B$35+(ArtifactsInput!$M$7-ArtifactsInput!$M$7)*CHOOSE(ArtifactsInput!$N$7+1,6,7.2,8.4,9.6,10.8,12)))/100)),MAX(0,Inputs!$B$44-((R3165-1)*(1/Q3165)))))/Inputs!$B$44),IF(Inputs!$B$39="pvp",MIN((Skills!S19*(1+((Inputs!$B$35+(ArtifactsInput!$M$7-ArtifactsInput!$M$7)*CHOOSE(ArtifactsInput!$N$7+1,6,7.2,8.4,9.6,10.8,12)))/100)),15)/15,MIN(1,(Skills!S19*(1+((Inputs!$B$35+(ArtifactsInput!$M$7-ArtifactsInput!$M$7)*CHOOSE(ArtifactsInput!$N$7+1,6,7.2,8.4,9.6,10.8,12)))/100))/(1/Q3165))))/100),1)</f>
        <v/>
      </c>
    </row>
    <row r="3177">
      <c r="A3177" t="inlineStr">
        <is>
          <t>Monster Damage Taken Bonus % (Holy Fountain)</t>
        </is>
      </c>
      <c r="B3177">
        <f>IF(Inputs!$B$3&gt;=68,20*IF(Inputs!$B$39="pvp",MIN((15*(1+((Inputs!$B$35+(ArtifactsInput!$M$7-ArtifactsInput!$M$7)*CHOOSE(ArtifactsInput!$N$7+1,6,7.2,8.4,9.6,10.8,12)))/100)),15)/15,MIN(1,(15*(1+((Inputs!$B$35+(ArtifactsInput!$M$7-ArtifactsInput!$M$7)*CHOOSE(ArtifactsInput!$N$7+1,6,7.2,8.4,9.6,10.8,12)))/100))/(1/Q3156))),0)</f>
        <v/>
      </c>
    </row>
    <row r="3178">
      <c r="A3178" t="inlineStr">
        <is>
          <t>Normal Monster Damage Bonus % (Holy Symbol)</t>
        </is>
      </c>
      <c r="B3178">
        <f>IF(C3158=TRUE,F3158*IF(AND(Inputs!$B$39&lt;&gt;"pvp",Inputs!$B$44&gt;0),(((R3158-1)*MIN((Skills!S12*(1+((Inputs!$B$35+(ArtifactsInput!$M$7-ArtifactsInput!$M$7)*CHOOSE(ArtifactsInput!$N$7+1,6,7.2,8.4,9.6,10.8,12)))/100)),(1/Q3158))+MIN((Skills!S12*(1+((Inputs!$B$35+(ArtifactsInput!$M$7-ArtifactsInput!$M$7)*CHOOSE(ArtifactsInput!$N$7+1,6,7.2,8.4,9.6,10.8,12)))/100)),MAX(0,Inputs!$B$44-((R3158-1)*(1/Q3158)))))/Inputs!$B$44),IF(Inputs!$B$39="pvp",MIN((Skills!S12*(1+((Inputs!$B$35+(ArtifactsInput!$M$7-ArtifactsInput!$M$7)*CHOOSE(ArtifactsInput!$N$7+1,6,7.2,8.4,9.6,10.8,12)))/100)),15)/15,MIN(1,(Skills!S12*(1+((Inputs!$B$35+(ArtifactsInput!$M$7-ArtifactsInput!$M$7)*CHOOSE(ArtifactsInput!$N$7+1,6,7.2,8.4,9.6,10.8,12)))/100))/(1/Q3158)))),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MIN((Skills!S28*(1+((Inputs!$B$35+(ArtifactsInput!$M$7-ArtifactsInput!$M$7)*CHOOSE(ArtifactsInput!$N$7+1,6,7.2,8.4,9.6,10.8,12)))/100)),(1/Q3174))+MIN((Skills!S28*(1+((Inputs!$B$35+(ArtifactsInput!$M$7-ArtifactsInput!$M$7)*CHOOSE(ArtifactsInput!$N$7+1,6,7.2,8.4,9.6,10.8,12)))/100)),MAX(0,Inputs!$B$44-((R3174-1)*(1/Q3174)))))/Inputs!$B$44),IF(Inputs!$B$39="pvp",MIN((Skills!S28*(1+((Inputs!$B$35+(ArtifactsInput!$M$7-ArtifactsInput!$M$7)*CHOOSE(ArtifactsInput!$N$7+1,6,7.2,8.4,9.6,10.8,12)))/100)),15)/15,MIN(1,(Skills!S28*(1+((Inputs!$B$35+(ArtifactsInput!$M$7-ArtifactsInput!$M$7)*CHOOSE(ArtifactsInput!$N$7+1,6,7.2,8.4,9.6,10.8,12)))/100))/(1/Q3174)))))</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MIN((Skills!S13*(1+((Inputs!$B$35+(ArtifactsInput!$M$7-ArtifactsInput!$M$7)*CHOOSE(ArtifactsInput!$N$7+1,6,7.2,8.4,9.6,10.8,12)))/100)),(1/Q3159))+MIN((Skills!S13*(1+((Inputs!$B$35+(ArtifactsInput!$M$7-ArtifactsInput!$M$7)*CHOOSE(ArtifactsInput!$N$7+1,6,7.2,8.4,9.6,10.8,12)))/100)),MAX(0,Inputs!$B$44-((R3159-1)*(1/Q3159)))))/Inputs!$B$44),IF(Inputs!$B$39="pvp",MIN((Skills!S13*(1+((Inputs!$B$35+(ArtifactsInput!$M$7-ArtifactsInput!$M$7)*CHOOSE(ArtifactsInput!$N$7+1,6,7.2,8.4,9.6,10.8,12)))/100)),15)/15,MIN(1,(Skills!S13*(1+((Inputs!$B$35+(ArtifactsInput!$M$7-ArtifactsInput!$M$7)*CHOOSE(ArtifactsInput!$N$7+1,6,7.2,8.4,9.6,10.8,12)))/100))/(1/Q3159)))),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IFERROR(1/(IF(Inputs!$B$39="pvp",15,MAX(0.1,Skills!D2-IF(TRUE=TRUE,3.5,0)))*(1-IF(AND(ArtifactsInput!$M$27,Inputs!$B$4="Chapter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IFERROR(1/(IF(Inputs!$B$39="pvp",15,MAX(0.1,Skills!D3-IF(TRUE=TRUE,3.5,0)))*(1-IF(AND(ArtifactsInput!$M$27,Inputs!$B$4="Chapter Hunt"),CHOOSE(ArtifactsInput!$N$27+1,20,24,28,32,36,40),0)/100)),0)</f>
        <v/>
      </c>
      <c r="R3194">
        <f>IF(AND(Inputs!$B$39&lt;&gt;"pvp",Inputs!$B$44&gt;0),IF(Inputs!$B$44&lt;=0,0,(INT(Inputs!$B$44/(IF(Inputs!$B$39="pvp",15,MAX(0.1,Skills!D3-IF(TRUE=TRUE,3.5,0)))*(1-IF(AND(ArtifactsInput!$M$27,Inputs!$B$4="Chapter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IFERROR(1/(IF(Inputs!$B$39="pvp",15,MAX(0.1,Skills!D4-IF(TRUE=TRUE,3.5,0)))*(1-IF(AND(ArtifactsInput!$M$27,Inputs!$B$4="Chapter Hunt"),CHOOSE(ArtifactsInput!$N$27+1,20,24,28,32,36,40),0)/100)),0)</f>
        <v/>
      </c>
      <c r="R3195">
        <f>IF(AND(Inputs!$B$39&lt;&gt;"pvp",Inputs!$B$44&gt;0),IF(Inputs!$B$44&lt;=0,0,(INT(Inputs!$B$44/(IF(Inputs!$B$39="pvp",15,MAX(0.1,Skills!D4-IF(TRUE=TRUE,3.5,0)))*(1-IF(AND(ArtifactsInput!$M$27,Inputs!$B$4="Chapter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IFERROR(1/(IF(Inputs!$B$39="pvp",15,MAX(0.1,Skills!D5-IF(TRUE=TRUE,3.5,0)))*(1-IF(AND(ArtifactsInput!$M$27,Inputs!$B$4="Chapter Hunt"),CHOOSE(ArtifactsInput!$N$27+1,20,24,28,32,36,40),0)/100)),0)</f>
        <v/>
      </c>
      <c r="R3196">
        <f>IF(AND(Inputs!$B$39&lt;&gt;"pvp",Inputs!$B$44&gt;0),IF(Inputs!$B$44&lt;=0,0,(INT(Inputs!$B$44/(IF(Inputs!$B$39="pvp",15,MAX(0.1,Skills!D5-IF(TRUE=TRUE,3.5,0)))*(1-IF(AND(ArtifactsInput!$M$27,Inputs!$B$4="Chapter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IFERROR(1/(IF(Inputs!$B$39="pvp",15,MAX(0.1,Skills!D6-IF(TRUE=TRUE,3.5,0)))*(1-IF(AND(ArtifactsInput!$M$27,Inputs!$B$4="Chapter Hunt"),CHOOSE(ArtifactsInput!$N$27+1,20,24,28,32,36,40),0)/100)),0)</f>
        <v/>
      </c>
      <c r="R3197">
        <f>IF(AND(Inputs!$B$39&lt;&gt;"pvp",Inputs!$B$44&gt;0),IF(MAX(0,Inputs!$B$44-B3231)&lt;=0,0,(INT(MAX(0,Inputs!$B$44-B3231)/(IF(Inputs!$B$39="pvp",15,MAX(0.1,Skills!D6-IF(TRUE=TRUE,3.5,0)))*(1-IF(AND(ArtifactsInput!$M$27,Inputs!$B$4="Chapter Hunt"),CHOOSE(ArtifactsInput!$N$27+1,20,24,28,32,36,40),0)/100)))+1)),0)</f>
        <v/>
      </c>
      <c r="S3197">
        <f>IF(C3197,(H3197*N3197*IF(AND(Inputs!$B$39&lt;&gt;"pvp",Inputs!$B$44&gt;0),((Skills!F6*((R3197-1)*IF(Skills!G6&gt;0,INT(Skills!H6/Skills!G6+0.000000001),1)+IF(Skills!G6&gt;0,INT(MIN(Skills!H6,MAX(0,MAX(0,Inputs!$B$44-B3231)-((R3197-1)*(IF(Inputs!$B$39="pvp",15,MAX(0.1,Skills!D6-IF(TRUE=TRUE,3.5,0)))*(1-IF(AND(ArtifactsInput!$M$27,Inputs!$B$4="Chapter Hunt"),CHOOSE(ArtifactsInput!$N$27+1,20,24,28,32,36,40),0)/100)))))/Skills!G6+0.000000001),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INT(Skills!H6/Skills!G6+0.000000001),1)+IF(Skills!G6&gt;0,INT(MIN(Skills!H6,MAX(0,MAX(0,Inputs!$B$44-B3231)-((R3197-1)*(IF(Inputs!$B$39="pvp",15,MAX(0.1,Skills!D6-IF(TRUE=TRUE,3.5,0)))*(1-IF(AND(ArtifactsInput!$M$27,Inputs!$B$4="Chapter Hunt"),CHOOSE(ArtifactsInput!$N$27+1,20,24,28,32,36,40),0)/100)))))/Skills!G6+0.000000001),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IFERROR(1/(IF(Inputs!$B$39="pvp",15,MAX(0.1,Skills!D7-IF(TRUE=TRUE,3.5,0)))*(1-IF(AND(ArtifactsInput!$M$27,Inputs!$B$4="Chapter Hunt"),CHOOSE(ArtifactsInput!$N$27+1,20,24,28,32,36,40),0)/100)),0)</f>
        <v/>
      </c>
      <c r="R3198">
        <f>IF(AND(Inputs!$B$39&lt;&gt;"pvp",Inputs!$B$44&gt;0),IF(MAX(0,Inputs!$B$44-B3231)&lt;=0,0,(INT(MAX(0,Inputs!$B$44-B3231)/(IF(Inputs!$B$39="pvp",15,MAX(0.1,Skills!D7-IF(TRUE=TRUE,3.5,0)))*(1-IF(AND(ArtifactsInput!$M$27,Inputs!$B$4="Chapter Hunt"),CHOOSE(ArtifactsInput!$N$27+1,20,24,28,32,36,40),0)/100)))+1)),0)</f>
        <v/>
      </c>
      <c r="S3198">
        <f>IF(C3198,H3198*N3198*IF(AND(Inputs!$B$39&lt;&gt;"pvp",Inputs!$B$44&gt;0),((Skills!F7*((R3198-1)*IF(Skills!G7&gt;0,INT(Skills!H7/Skills!G7+0.000000001),1)+IF(Skills!G7&gt;0,INT(MIN(Skills!H7,MAX(0,MAX(0,Inputs!$B$44-B3231)-((R3198-1)*(IF(Inputs!$B$39="pvp",15,MAX(0.1,Skills!D7-IF(TRUE=TRUE,3.5,0)))*(1-IF(AND(ArtifactsInput!$M$27,Inputs!$B$4="Chapter Hunt"),CHOOSE(ArtifactsInput!$N$27+1,20,24,28,32,36,40),0)/100)))))/Skills!G7+0.000000001),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IFERROR(1/(IF(Inputs!$B$39="pvp",15,MAX(0.1,Skills!D8-IF(TRUE=TRUE,3.5,0)))*(1-IF(AND(ArtifactsInput!$M$27,Inputs!$B$4="Chapter Hunt"),CHOOSE(ArtifactsInput!$N$27+1,20,24,28,32,36,40),0)/100)),0)</f>
        <v/>
      </c>
      <c r="R3199">
        <f>IF(AND(Inputs!$B$39&lt;&gt;"pvp",Inputs!$B$44&gt;0),IF(MAX(0,Inputs!$B$44-B3231)&lt;=0,0,(INT(MAX(0,Inputs!$B$44-B3231)/(IF(Inputs!$B$39="pvp",15,MAX(0.1,Skills!D8-IF(TRUE=TRUE,3.5,0)))*(1-IF(AND(ArtifactsInput!$M$27,Inputs!$B$4="Chapter Hunt"),CHOOSE(ArtifactsInput!$N$27+1,20,24,28,32,36,40),0)/100)))+1)),0)</f>
        <v/>
      </c>
      <c r="S3199">
        <f>IF(C3199,(H3199*N3199*IF(AND(Inputs!$B$39&lt;&gt;"pvp",Inputs!$B$44&gt;0),((Skills!F8*((R3199-1)*IF(Skills!G8&gt;0,INT(Skills!H8/Skills!G8+0.000000001),1)+IF(Skills!G8&gt;0,INT(MIN(Skills!H8,MAX(0,MAX(0,Inputs!$B$44-B3231)-((R3199-1)*(IF(Inputs!$B$39="pvp",15,MAX(0.1,Skills!D8-IF(TRUE=TRUE,3.5,0)))*(1-IF(AND(ArtifactsInput!$M$27,Inputs!$B$4="Chapter Hunt"),CHOOSE(ArtifactsInput!$N$27+1,20,24,28,32,36,40),0)/100)))))/Skills!G8+0.000000001),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INT(Skills!H8/Skills!G8+0.000000001),1)+IF(Skills!G8&gt;0,INT(MIN(Skills!H8,MAX(0,MAX(0,Inputs!$B$44-B3231)-((R3199-1)*(IF(Inputs!$B$39="pvp",15,MAX(0.1,Skills!D8-IF(TRUE=TRUE,3.5,0)))*(1-IF(AND(ArtifactsInput!$M$27,Inputs!$B$4="Chapter Hunt"),CHOOSE(ArtifactsInput!$N$27+1,20,24,28,32,36,40),0)/100)))))/Skills!G8+0.000000001),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IFERROR(1/(IF(Inputs!$B$39="pvp",15,MAX(0.1,Skills!D9-IF(TRUE=TRUE,3.5,0)))*(1-IF(AND(ArtifactsInput!$M$27,Inputs!$B$4="Chapter Hunt"),CHOOSE(ArtifactsInput!$N$27+1,20,24,28,32,36,40),0)/100)),0)</f>
        <v/>
      </c>
      <c r="R3200">
        <f>IF(AND(Inputs!$B$39&lt;&gt;"pvp",Inputs!$B$44&gt;0),IF(MAX(0,Inputs!$B$44-B3231)&lt;=0,0,(INT(MAX(0,Inputs!$B$44-B3231)/(IF(Inputs!$B$39="pvp",15,MAX(0.1,Skills!D9-IF(TRUE=TRUE,3.5,0)))*(1-IF(AND(ArtifactsInput!$M$27,Inputs!$B$4="Chapter Hunt"),CHOOSE(ArtifactsInput!$N$27+1,20,24,28,32,36,40),0)/100)))+1)),0)</f>
        <v/>
      </c>
      <c r="S3200">
        <f>IF(C3200,(H3200*N3200*IF(AND(Inputs!$B$39&lt;&gt;"pvp",Inputs!$B$44&gt;0),((Skills!F9*((R3200-1)*IF(Skills!G9&gt;0,INT(Skills!H9/Skills!G9+0.000000001),1)+IF(Skills!G9&gt;0,INT(MIN(Skills!H9,MAX(0,MAX(0,Inputs!$B$44-B3231)-((R3200-1)*(IF(Inputs!$B$39="pvp",15,MAX(0.1,Skills!D9-IF(TRUE=TRUE,3.5,0)))*(1-IF(AND(ArtifactsInput!$M$27,Inputs!$B$4="Chapter Hunt"),CHOOSE(ArtifactsInput!$N$27+1,20,24,28,32,36,40),0)/100)))))/Skills!G9+0.000000001),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INT(Skills!H9/Skills!G9+0.000000001),1)+IF(Skills!G9&gt;0,INT(MIN(Skills!H9,MAX(0,MAX(0,Inputs!$B$44-B3231)-((R3200-1)*(IF(Inputs!$B$39="pvp",15,MAX(0.1,Skills!D9-IF(TRUE=TRUE,3.5,0)))*(1-IF(AND(ArtifactsInput!$M$27,Inputs!$B$4="Chapter Hunt"),CHOOSE(ArtifactsInput!$N$27+1,20,24,28,32,36,40),0)/100)))))/Skills!G9+0.000000001),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IFERROR(1/(IF(Inputs!$B$39="pvp",15,MAX(0.1,Skills!D10-IF(TRUE=TRUE,3.5,0)))*(1-IF(AND(ArtifactsInput!$M$27,Inputs!$B$4="Chapter Hunt"),CHOOSE(ArtifactsInput!$N$27+1,20,24,28,32,36,40),0)/100)),0)</f>
        <v/>
      </c>
      <c r="R3201">
        <f>IF(AND(Inputs!$B$39&lt;&gt;"pvp",Inputs!$B$44&gt;0),IF(MAX(0,Inputs!$B$44-B3231)&lt;=0,0,(INT(MAX(0,Inputs!$B$44-B3231)/(IF(Inputs!$B$39="pvp",15,MAX(0.1,Skills!D10-IF(TRUE=TRUE,3.5,0)))*(1-IF(AND(ArtifactsInput!$M$27,Inputs!$B$4="Chapter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IFERROR(1/(IF(Inputs!$B$39="pvp",15,MAX(0.1,Skills!D11-IF(TRUE=TRUE,3.5,0)))*(1-IF(AND(ArtifactsInput!$M$27,Inputs!$B$4="Chapter Hunt"),CHOOSE(ArtifactsInput!$N$27+1,20,24,28,32,36,40),0)/100)),0)</f>
        <v/>
      </c>
      <c r="R3202">
        <f>IF(AND(Inputs!$B$39&lt;&gt;"pvp",Inputs!$B$44&gt;0),IF(Inputs!$B$44&lt;=0,0,(INT(Inputs!$B$44/(IF(Inputs!$B$39="pvp",15,MAX(0.1,Skills!D11-IF(TRUE=TRUE,3.5,0)))*(1-IF(AND(ArtifactsInput!$M$27,Inputs!$B$4="Chapter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IFERROR(1/(IF(Inputs!$B$39="pvp",15,MAX(0.1,Skills!D12-IF(TRUE=TRUE,3.5,0)))*(1-IF(AND(ArtifactsInput!$M$27,Inputs!$B$4="Chapter Hunt"),CHOOSE(ArtifactsInput!$N$27+1,20,24,28,32,36,40),0)/100)),0)</f>
        <v/>
      </c>
      <c r="R3203">
        <f>IF(AND(Inputs!$B$39&lt;&gt;"pvp",Inputs!$B$44&gt;0),IF(MAX(0,Inputs!$B$44-B3231)&lt;=0,0,(INT(MAX(0,Inputs!$B$44-B3231)/(IF(Inputs!$B$39="pvp",15,MAX(0.1,Skills!D12-IF(TRUE=TRUE,3.5,0)))*(1-IF(AND(ArtifactsInput!$M$27,Inputs!$B$4="Chapter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IFERROR(1/(IF(Inputs!$B$39="pvp",15,MAX(0.1,Skills!D13-IF(TRUE=TRUE,3.5,0)))*(1-IF(AND(ArtifactsInput!$M$27,Inputs!$B$4="Chapter Hunt"),CHOOSE(ArtifactsInput!$N$27+1,20,24,28,32,36,40),0)/100)),0)</f>
        <v/>
      </c>
      <c r="R3204">
        <f>IF(AND(Inputs!$B$39&lt;&gt;"pvp",Inputs!$B$44&gt;0),IF(MAX(0,Inputs!$B$44-B3231)&lt;=0,0,(INT(MAX(0,Inputs!$B$44-B3231)/(IF(Inputs!$B$39="pvp",15,MAX(0.1,Skills!D13-IF(TRUE=TRUE,3.5,0)))*(1-IF(AND(ArtifactsInput!$M$27,Inputs!$B$4="Chapter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IFERROR(1/(IF(Inputs!$B$39="pvp",15,MAX(0.1,Skills!D14-IF(TRUE=TRUE,3.5,0)))*(1-IF(AND(ArtifactsInput!$M$27,Inputs!$B$4="Chapter Hunt"),CHOOSE(ArtifactsInput!$N$27+1,20,24,28,32,36,40),0)/100)),0)</f>
        <v/>
      </c>
      <c r="R3205">
        <f>IF(AND(Inputs!$B$39&lt;&gt;"pvp",Inputs!$B$44&gt;0),IF(Inputs!$B$44&lt;=0,0,(INT(Inputs!$B$44/(IF(Inputs!$B$39="pvp",15,MAX(0.1,Skills!D14-IF(TRUE=TRUE,3.5,0)))*(1-IF(AND(ArtifactsInput!$M$27,Inputs!$B$4="Chapter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IFERROR(1/(IF(Inputs!$B$39="pvp",15,MAX(0.1,Skills!D15-IF(TRUE=TRUE,3.5,0)))*(1-IF(AND(ArtifactsInput!$M$27,Inputs!$B$4="Chapter Hunt"),CHOOSE(ArtifactsInput!$N$27+1,20,24,28,32,36,40),0)/100)),0)</f>
        <v/>
      </c>
      <c r="R3206" t="n">
        <v>0</v>
      </c>
      <c r="S3206">
        <f>IF(C3206,(Skills!F15*N3206*((IF(Inputs!$B$3&gt;=78,25,15)/100*B3227*10)/(1+IF(Inputs!$B$3&gt;=78,25,15)/100*B3227*IF(Inputs!$B$39="pvp",15,MAX(0.1,18-IF(TRUE=TRUE,3.5,0)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IF(Inputs!$B$39="pvp",15,MAX(0.1,18-IF(TRUE=TRUE,3.5,0)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IFERROR(1/(IF(Inputs!$B$39="pvp",15,MAX(0.1,Skills!D16-IF(TRUE=TRUE,3.5,0)))*(1-IF(AND(ArtifactsInput!$M$27,Inputs!$B$4="Chapter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IFERROR(1/(IF(Inputs!$B$39="pvp",15,MAX(0.1,Skills!D17-IF(TRUE=TRUE,3.5,0)))*(1-IF(AND(ArtifactsInput!$M$27,Inputs!$B$4="Chapter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IFERROR(1/(IF(Inputs!$B$39="pvp",15,MAX(0.1,Skills!D18-IF(TRUE=TRUE,3.5,0)))*(1-IF(AND(ArtifactsInput!$M$27,Inputs!$B$4="Chapter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IFERROR(1/(IF(Inputs!$B$39="pvp",15,MAX(0.1,Skills!D19-IF(TRUE=TRUE,3.5,0)))*(1-IF(AND(ArtifactsInput!$M$27,Inputs!$B$4="Chapter Hunt"),CHOOSE(ArtifactsInput!$N$27+1,20,24,28,32,36,40),0)/100)),0)</f>
        <v/>
      </c>
      <c r="R3210">
        <f>IF(AND(Inputs!$B$39&lt;&gt;"pvp",Inputs!$B$44&gt;0),IF(Inputs!$B$44&lt;=0,0,(INT(Inputs!$B$44/(IF(Inputs!$B$39="pvp",15,MAX(0.1,Skills!D19-IF(TRUE=TRUE,3.5,0)))*(1-IF(AND(ArtifactsInput!$M$27,Inputs!$B$4="Chapter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IFERROR(1/(IF(Inputs!$B$39="pvp",15,MAX(0.1,Skills!D20-IF(TRUE=TRUE,3.5,0)))*(1-IF(AND(ArtifactsInput!$M$27,Inputs!$B$4="Chapter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IFERROR(1/(IF(Inputs!$B$39="pvp",15,MAX(0.1,Skills!D21-IF(TRUE=TRUE,3.5,0)))*(1-IF(AND(ArtifactsInput!$M$27,Inputs!$B$4="Chapter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IFERROR(1/(IF(Inputs!$B$39="pvp",15,MAX(0.1,Skills!D22-IF(TRUE=TRUE,3.5,0)))*(1-IF(AND(ArtifactsInput!$M$27,Inputs!$B$4="Chapter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IFERROR(1/(IF(Inputs!$B$39="pvp",15,MAX(0.1,Skills!D23-IF(TRUE=TRUE,3.5,0)))*(1-IF(AND(ArtifactsInput!$M$27,Inputs!$B$4="Chapter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IFERROR(1/(IF(Inputs!$B$39="pvp",15,MAX(0.1,Skills!D24-IF(TRUE=TRUE,3.5,0)))*(1-IF(AND(ArtifactsInput!$M$27,Inputs!$B$4="Chapter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IFERROR(1/(IF(Inputs!$B$39="pvp",15,MAX(0.1,Skills!D25-IF(TRUE=TRUE,3.5,0)))*(1-IF(AND(ArtifactsInput!$M$27,Inputs!$B$4="Chapter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IFERROR(1/(IF(Inputs!$B$39="pvp",15,MAX(0.1,Skills!D26-IF(TRUE=TRUE,3.5,0)))*(1-IF(AND(ArtifactsInput!$M$27,Inputs!$B$4="Chapter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IFERROR(1/(IF(Inputs!$B$39="pvp",15,MAX(0.1,Skills!D27-IF(TRUE=TRUE,3.5,0)))*(1-IF(AND(ArtifactsInput!$M$27,Inputs!$B$4="Chapter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IFERROR(1/(IF(Inputs!$B$39="pvp",15,MAX(0.1,Skills!D28-IF(TRUE=TRUE,3.5,0)))*(1-IF(AND(ArtifactsInput!$M$27,Inputs!$B$4="Chapter Hunt"),CHOOSE(ArtifactsInput!$N$27+1,20,24,28,32,36,40),0)/100)),0)</f>
        <v/>
      </c>
      <c r="R3219">
        <f>IF(AND(Inputs!$B$39&lt;&gt;"pvp",Inputs!$B$44&gt;0),IF(Inputs!$B$44&lt;=0,0,(INT(Inputs!$B$44/(IF(Inputs!$B$39="pvp",15,MAX(0.1,Skills!D28-IF(TRUE=TRUE,3.5,0)))*(1-IF(AND(ArtifactsInput!$M$27,Inputs!$B$4="Chapter Hunt"),CHOOSE(ArtifactsInput!$N$27+1,20,24,28,32,36,40),0)/100)))+1)),0)</f>
        <v/>
      </c>
      <c r="S3219" t="n">
        <v>0</v>
      </c>
      <c r="U3219" t="n">
        <v>0</v>
      </c>
    </row>
    <row r="3221">
      <c r="A3221" t="inlineStr">
        <is>
          <t>Average Buff Multiplier</t>
        </is>
      </c>
      <c r="B3221">
        <f>(1+(IF(C3194=TRUE,F3194*IF(AND(Inputs!$B$39&lt;&gt;"pvp",Inputs!$B$44&gt;0),(((R3194-1)*MIN((Skills!S3*(1+((Inputs!$B$35+(ArtifactsInput!$M$7-ArtifactsInput!$M$7)*CHOOSE(ArtifactsInput!$N$7+1,6,7.2,8.4,9.6,10.8,12)))/100)),(1/Q3194))+MIN((Skills!S3*(1+((Inputs!$B$35+(ArtifactsInput!$M$7-ArtifactsInput!$M$7)*CHOOSE(ArtifactsInput!$N$7+1,6,7.2,8.4,9.6,10.8,12)))/100)),MAX(0,Inputs!$B$44-((R3194-1)*(1/Q3194)))))/Inputs!$B$44),IF(Inputs!$B$39="pvp",MIN((Skills!S3*(1+((Inputs!$B$35+(ArtifactsInput!$M$7-ArtifactsInput!$M$7)*CHOOSE(ArtifactsInput!$N$7+1,6,7.2,8.4,9.6,10.8,12)))/100)),15)/15,MIN(1,(Skills!S3*(1+((Inputs!$B$35+(ArtifactsInput!$M$7-ArtifactsInput!$M$7)*CHOOSE(ArtifactsInput!$N$7+1,6,7.2,8.4,9.6,10.8,12)))/100))/(1/Q3194)))),0)+IF(C3195=TRUE,F3195*IF(AND(Inputs!$B$39&lt;&gt;"pvp",Inputs!$B$44&gt;0),(((R3195-1)*MIN((Skills!S4*(1+((Inputs!$B$35+(ArtifactsInput!$M$7-ArtifactsInput!$M$7)*CHOOSE(ArtifactsInput!$N$7+1,6,7.2,8.4,9.6,10.8,12)))/100)),(1/Q3195))+MIN((Skills!S4*(1+((Inputs!$B$35+(ArtifactsInput!$M$7-ArtifactsInput!$M$7)*CHOOSE(ArtifactsInput!$N$7+1,6,7.2,8.4,9.6,10.8,12)))/100)),MAX(0,Inputs!$B$44-((R3195-1)*(1/Q3195)))))/Inputs!$B$44),IF(Inputs!$B$39="pvp",MIN((Skills!S4*(1+((Inputs!$B$35+(ArtifactsInput!$M$7-ArtifactsInput!$M$7)*CHOOSE(ArtifactsInput!$N$7+1,6,7.2,8.4,9.6,10.8,12)))/100)),15)/15,MIN(1,(Skills!S4*(1+((Inputs!$B$35+(ArtifactsInput!$M$7-ArtifactsInput!$M$7)*CHOOSE(ArtifactsInput!$N$7+1,6,7.2,8.4,9.6,10.8,12)))/100))/(1/Q3195)))),0)+IF(C3196=TRUE,F3196*IF(AND(Inputs!$B$39&lt;&gt;"pvp",Inputs!$B$44&gt;0),(((R3196-1)*MIN((Skills!S5*(1+((Inputs!$B$35+(ArtifactsInput!$M$7-ArtifactsInput!$M$7)*CHOOSE(ArtifactsInput!$N$7+1,6,7.2,8.4,9.6,10.8,12)))/100)),(1/Q3196))+MIN((Skills!S5*(1+((Inputs!$B$35+(ArtifactsInput!$M$7-ArtifactsInput!$M$7)*CHOOSE(ArtifactsInput!$N$7+1,6,7.2,8.4,9.6,10.8,12)))/100)),MAX(0,Inputs!$B$44-((R3196-1)*(1/Q3196)))))/Inputs!$B$44),IF(Inputs!$B$39="pvp",MIN((Skills!S5*(1+((Inputs!$B$35+(ArtifactsInput!$M$7-ArtifactsInput!$M$7)*CHOOSE(ArtifactsInput!$N$7+1,6,7.2,8.4,9.6,10.8,12)))/100)),15)/15,MIN(1,(Skills!S5*(1+((Inputs!$B$35+(ArtifactsInput!$M$7-ArtifactsInput!$M$7)*CHOOSE(ArtifactsInput!$N$7+1,6,7.2,8.4,9.6,10.8,12)))/100))/(1/Q3196)))),0)+IF(C3202=TRUE,F3202*IF(AND(Inputs!$B$39&lt;&gt;"pvp",Inputs!$B$44&gt;0),(((R3202-1)*MIN((Skills!S11*(1+((Inputs!$B$35+(ArtifactsInput!$M$7-ArtifactsInput!$M$7)*CHOOSE(ArtifactsInput!$N$7+1,6,7.2,8.4,9.6,10.8,12)))/100)),(1/Q3202))+MIN((Skills!S11*(1+((Inputs!$B$35+(ArtifactsInput!$M$7-ArtifactsInput!$M$7)*CHOOSE(ArtifactsInput!$N$7+1,6,7.2,8.4,9.6,10.8,12)))/100)),MAX(0,Inputs!$B$44-((R3202-1)*(1/Q3202)))))/Inputs!$B$44),IF(Inputs!$B$39="pvp",MIN((Skills!S11*(1+((Inputs!$B$35+(ArtifactsInput!$M$7-ArtifactsInput!$M$7)*CHOOSE(ArtifactsInput!$N$7+1,6,7.2,8.4,9.6,10.8,12)))/100)),15)/15,MIN(1,(Skills!S11*(1+((Inputs!$B$35+(ArtifactsInput!$M$7-ArtifactsInput!$M$7)*CHOOSE(ArtifactsInput!$N$7+1,6,7.2,8.4,9.6,10.8,12)))/100))/(1/Q3202)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MIN((Skills!S14*(1+((Inputs!$B$35+(ArtifactsInput!$M$7-ArtifactsInput!$M$7)*CHOOSE(ArtifactsInput!$N$7+1,6,7.2,8.4,9.6,10.8,12)))/100)),(1/Q3205))+MIN((Skills!S14*(1+((Inputs!$B$35+(ArtifactsInput!$M$7-ArtifactsInput!$M$7)*CHOOSE(ArtifactsInput!$N$7+1,6,7.2,8.4,9.6,10.8,12)))/100)),MAX(0,Inputs!$B$44-((R3205-1)*(1/Q3205)))))/Inputs!$B$44),IF(Inputs!$B$39="pvp",MIN((Skills!S14*(1+((Inputs!$B$35+(ArtifactsInput!$M$7-ArtifactsInput!$M$7)*CHOOSE(ArtifactsInput!$N$7+1,6,7.2,8.4,9.6,10.8,12)))/100)),15)/15,MIN(1,(Skills!S14*(1+((Inputs!$B$35+(ArtifactsInput!$M$7-ArtifactsInput!$M$7)*CHOOSE(ArtifactsInput!$N$7+1,6,7.2,8.4,9.6,10.8,12)))/100))/(1/Q3205))))/100),1)*IF(C3210=TRUE,(1+F3210*IF(AND(Inputs!$B$39&lt;&gt;"pvp",Inputs!$B$44&gt;0),(((R3210-1)*MIN((Skills!S19*(1+((Inputs!$B$35+(ArtifactsInput!$M$7-ArtifactsInput!$M$7)*CHOOSE(ArtifactsInput!$N$7+1,6,7.2,8.4,9.6,10.8,12)))/100)),(1/Q3210))+MIN((Skills!S19*(1+((Inputs!$B$35+(ArtifactsInput!$M$7-ArtifactsInput!$M$7)*CHOOSE(ArtifactsInput!$N$7+1,6,7.2,8.4,9.6,10.8,12)))/100)),MAX(0,Inputs!$B$44-((R3210-1)*(1/Q3210)))))/Inputs!$B$44),IF(Inputs!$B$39="pvp",MIN((Skills!S19*(1+((Inputs!$B$35+(ArtifactsInput!$M$7-ArtifactsInput!$M$7)*CHOOSE(ArtifactsInput!$N$7+1,6,7.2,8.4,9.6,10.8,12)))/100)),15)/15,MIN(1,(Skills!S19*(1+((Inputs!$B$35+(ArtifactsInput!$M$7-ArtifactsInput!$M$7)*CHOOSE(ArtifactsInput!$N$7+1,6,7.2,8.4,9.6,10.8,12)))/100))/(1/Q3210))))/100),1)</f>
        <v/>
      </c>
    </row>
    <row r="3222">
      <c r="A3222" t="inlineStr">
        <is>
          <t>Monster Damage Taken Bonus % (Holy Fountain)</t>
        </is>
      </c>
      <c r="B3222">
        <f>IF(Inputs!$B$3&gt;=68,20*IF(Inputs!$B$39="pvp",MIN((15*(1+((Inputs!$B$35+(ArtifactsInput!$M$7-ArtifactsInput!$M$7)*CHOOSE(ArtifactsInput!$N$7+1,6,7.2,8.4,9.6,10.8,12)))/100)),15)/15,MIN(1,(15*(1+((Inputs!$B$35+(ArtifactsInput!$M$7-ArtifactsInput!$M$7)*CHOOSE(ArtifactsInput!$N$7+1,6,7.2,8.4,9.6,10.8,12)))/100))/(1/Q3201))),0)</f>
        <v/>
      </c>
    </row>
    <row r="3223">
      <c r="A3223" t="inlineStr">
        <is>
          <t>Normal Monster Damage Bonus % (Holy Symbol)</t>
        </is>
      </c>
      <c r="B3223">
        <f>IF(C3203=TRUE,F3203*IF(AND(Inputs!$B$39&lt;&gt;"pvp",Inputs!$B$44&gt;0),(((R3203-1)*MIN((Skills!S12*(1+((Inputs!$B$35+(ArtifactsInput!$M$7-ArtifactsInput!$M$7)*CHOOSE(ArtifactsInput!$N$7+1,6,7.2,8.4,9.6,10.8,12)))/100)),(1/Q3203))+MIN((Skills!S12*(1+((Inputs!$B$35+(ArtifactsInput!$M$7-ArtifactsInput!$M$7)*CHOOSE(ArtifactsInput!$N$7+1,6,7.2,8.4,9.6,10.8,12)))/100)),MAX(0,Inputs!$B$44-((R3203-1)*(1/Q3203)))))/Inputs!$B$44),IF(Inputs!$B$39="pvp",MIN((Skills!S12*(1+((Inputs!$B$35+(ArtifactsInput!$M$7-ArtifactsInput!$M$7)*CHOOSE(ArtifactsInput!$N$7+1,6,7.2,8.4,9.6,10.8,12)))/100)),15)/15,MIN(1,(Skills!S12*(1+((Inputs!$B$35+(ArtifactsInput!$M$7-ArtifactsInput!$M$7)*CHOOSE(ArtifactsInput!$N$7+1,6,7.2,8.4,9.6,10.8,12)))/100))/(1/Q3203)))),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MIN((Skills!S28*(1+((Inputs!$B$35+(ArtifactsInput!$M$7-ArtifactsInput!$M$7)*CHOOSE(ArtifactsInput!$N$7+1,6,7.2,8.4,9.6,10.8,12)))/100)),(1/Q3219))+MIN((Skills!S28*(1+((Inputs!$B$35+(ArtifactsInput!$M$7-ArtifactsInput!$M$7)*CHOOSE(ArtifactsInput!$N$7+1,6,7.2,8.4,9.6,10.8,12)))/100)),MAX(0,Inputs!$B$44-((R3219-1)*(1/Q3219)))))/Inputs!$B$44),IF(Inputs!$B$39="pvp",MIN((Skills!S28*(1+((Inputs!$B$35+(ArtifactsInput!$M$7-ArtifactsInput!$M$7)*CHOOSE(ArtifactsInput!$N$7+1,6,7.2,8.4,9.6,10.8,12)))/100)),15)/15,MIN(1,(Skills!S28*(1+((Inputs!$B$35+(ArtifactsInput!$M$7-ArtifactsInput!$M$7)*CHOOSE(ArtifactsInput!$N$7+1,6,7.2,8.4,9.6,10.8,12)))/100))/(1/Q3219)))))</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MIN((Skills!S13*(1+((Inputs!$B$35+(ArtifactsInput!$M$7-ArtifactsInput!$M$7)*CHOOSE(ArtifactsInput!$N$7+1,6,7.2,8.4,9.6,10.8,12)))/100)),(1/Q3204))+MIN((Skills!S13*(1+((Inputs!$B$35+(ArtifactsInput!$M$7-ArtifactsInput!$M$7)*CHOOSE(ArtifactsInput!$N$7+1,6,7.2,8.4,9.6,10.8,12)))/100)),MAX(0,Inputs!$B$44-((R3204-1)*(1/Q3204)))))/Inputs!$B$44),IF(Inputs!$B$39="pvp",MIN((Skills!S13*(1+((Inputs!$B$35+(ArtifactsInput!$M$7-ArtifactsInput!$M$7)*CHOOSE(ArtifactsInput!$N$7+1,6,7.2,8.4,9.6,10.8,12)))/100)),15)/15,MIN(1,(Skills!S13*(1+((Inputs!$B$35+(ArtifactsInput!$M$7-ArtifactsInput!$M$7)*CHOOSE(ArtifactsInput!$N$7+1,6,7.2,8.4,9.6,10.8,12)))/100))/(1/Q3204)))),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IFERROR(1/(IF(Inputs!$B$39="pvp",15,MAX(0.1,Skills!D2-IF(TRUE=TRUE,4.0,0)))*(1-IF(AND(ArtifactsInput!$M$27,Inputs!$B$4="Chapter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IFERROR(1/(IF(Inputs!$B$39="pvp",15,MAX(0.1,Skills!D3-IF(TRUE=TRUE,4.0,0)))*(1-IF(AND(ArtifactsInput!$M$27,Inputs!$B$4="Chapter Hunt"),CHOOSE(ArtifactsInput!$N$27+1,20,24,28,32,36,40),0)/100)),0)</f>
        <v/>
      </c>
      <c r="R3239">
        <f>IF(AND(Inputs!$B$39&lt;&gt;"pvp",Inputs!$B$44&gt;0),IF(Inputs!$B$44&lt;=0,0,(INT(Inputs!$B$44/(IF(Inputs!$B$39="pvp",15,MAX(0.1,Skills!D3-IF(TRUE=TRUE,4.0,0)))*(1-IF(AND(ArtifactsInput!$M$27,Inputs!$B$4="Chapter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IFERROR(1/(IF(Inputs!$B$39="pvp",15,MAX(0.1,Skills!D4-IF(TRUE=TRUE,4.0,0)))*(1-IF(AND(ArtifactsInput!$M$27,Inputs!$B$4="Chapter Hunt"),CHOOSE(ArtifactsInput!$N$27+1,20,24,28,32,36,40),0)/100)),0)</f>
        <v/>
      </c>
      <c r="R3240">
        <f>IF(AND(Inputs!$B$39&lt;&gt;"pvp",Inputs!$B$44&gt;0),IF(Inputs!$B$44&lt;=0,0,(INT(Inputs!$B$44/(IF(Inputs!$B$39="pvp",15,MAX(0.1,Skills!D4-IF(TRUE=TRUE,4.0,0)))*(1-IF(AND(ArtifactsInput!$M$27,Inputs!$B$4="Chapter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IFERROR(1/(IF(Inputs!$B$39="pvp",15,MAX(0.1,Skills!D5-IF(TRUE=TRUE,4.0,0)))*(1-IF(AND(ArtifactsInput!$M$27,Inputs!$B$4="Chapter Hunt"),CHOOSE(ArtifactsInput!$N$27+1,20,24,28,32,36,40),0)/100)),0)</f>
        <v/>
      </c>
      <c r="R3241">
        <f>IF(AND(Inputs!$B$39&lt;&gt;"pvp",Inputs!$B$44&gt;0),IF(Inputs!$B$44&lt;=0,0,(INT(Inputs!$B$44/(IF(Inputs!$B$39="pvp",15,MAX(0.1,Skills!D5-IF(TRUE=TRUE,4.0,0)))*(1-IF(AND(ArtifactsInput!$M$27,Inputs!$B$4="Chapter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IFERROR(1/(IF(Inputs!$B$39="pvp",15,MAX(0.1,Skills!D6-IF(TRUE=TRUE,4.0,0)))*(1-IF(AND(ArtifactsInput!$M$27,Inputs!$B$4="Chapter Hunt"),CHOOSE(ArtifactsInput!$N$27+1,20,24,28,32,36,40),0)/100)),0)</f>
        <v/>
      </c>
      <c r="R3242">
        <f>IF(AND(Inputs!$B$39&lt;&gt;"pvp",Inputs!$B$44&gt;0),IF(MAX(0,Inputs!$B$44-B3276)&lt;=0,0,(INT(MAX(0,Inputs!$B$44-B3276)/(IF(Inputs!$B$39="pvp",15,MAX(0.1,Skills!D6-IF(TRUE=TRUE,4.0,0)))*(1-IF(AND(ArtifactsInput!$M$27,Inputs!$B$4="Chapter Hunt"),CHOOSE(ArtifactsInput!$N$27+1,20,24,28,32,36,40),0)/100)))+1)),0)</f>
        <v/>
      </c>
      <c r="S3242">
        <f>IF(C3242,(H3242*N3242*IF(AND(Inputs!$B$39&lt;&gt;"pvp",Inputs!$B$44&gt;0),((Skills!F6*((R3242-1)*IF(Skills!G6&gt;0,INT(Skills!H6/Skills!G6+0.000000001),1)+IF(Skills!G6&gt;0,INT(MIN(Skills!H6,MAX(0,MAX(0,Inputs!$B$44-B3276)-((R3242-1)*(IF(Inputs!$B$39="pvp",15,MAX(0.1,Skills!D6-IF(TRUE=TRUE,4.0,0)))*(1-IF(AND(ArtifactsInput!$M$27,Inputs!$B$4="Chapter Hunt"),CHOOSE(ArtifactsInput!$N$27+1,20,24,28,32,36,40),0)/100)))))/Skills!G6+0.000000001),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INT(Skills!H6/Skills!G6+0.000000001),1)+IF(Skills!G6&gt;0,INT(MIN(Skills!H6,MAX(0,MAX(0,Inputs!$B$44-B3276)-((R3242-1)*(IF(Inputs!$B$39="pvp",15,MAX(0.1,Skills!D6-IF(TRUE=TRUE,4.0,0)))*(1-IF(AND(ArtifactsInput!$M$27,Inputs!$B$4="Chapter Hunt"),CHOOSE(ArtifactsInput!$N$27+1,20,24,28,32,36,40),0)/100)))))/Skills!G6+0.000000001),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IFERROR(1/(IF(Inputs!$B$39="pvp",15,MAX(0.1,Skills!D7-IF(TRUE=TRUE,4.0,0)))*(1-IF(AND(ArtifactsInput!$M$27,Inputs!$B$4="Chapter Hunt"),CHOOSE(ArtifactsInput!$N$27+1,20,24,28,32,36,40),0)/100)),0)</f>
        <v/>
      </c>
      <c r="R3243">
        <f>IF(AND(Inputs!$B$39&lt;&gt;"pvp",Inputs!$B$44&gt;0),IF(MAX(0,Inputs!$B$44-B3276)&lt;=0,0,(INT(MAX(0,Inputs!$B$44-B3276)/(IF(Inputs!$B$39="pvp",15,MAX(0.1,Skills!D7-IF(TRUE=TRUE,4.0,0)))*(1-IF(AND(ArtifactsInput!$M$27,Inputs!$B$4="Chapter Hunt"),CHOOSE(ArtifactsInput!$N$27+1,20,24,28,32,36,40),0)/100)))+1)),0)</f>
        <v/>
      </c>
      <c r="S3243">
        <f>IF(C3243,H3243*N3243*IF(AND(Inputs!$B$39&lt;&gt;"pvp",Inputs!$B$44&gt;0),((Skills!F7*((R3243-1)*IF(Skills!G7&gt;0,INT(Skills!H7/Skills!G7+0.000000001),1)+IF(Skills!G7&gt;0,INT(MIN(Skills!H7,MAX(0,MAX(0,Inputs!$B$44-B3276)-((R3243-1)*(IF(Inputs!$B$39="pvp",15,MAX(0.1,Skills!D7-IF(TRUE=TRUE,4.0,0)))*(1-IF(AND(ArtifactsInput!$M$27,Inputs!$B$4="Chapter Hunt"),CHOOSE(ArtifactsInput!$N$27+1,20,24,28,32,36,40),0)/100)))))/Skills!G7+0.000000001),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IFERROR(1/(IF(Inputs!$B$39="pvp",15,MAX(0.1,Skills!D8-IF(TRUE=TRUE,4.0,0)))*(1-IF(AND(ArtifactsInput!$M$27,Inputs!$B$4="Chapter Hunt"),CHOOSE(ArtifactsInput!$N$27+1,20,24,28,32,36,40),0)/100)),0)</f>
        <v/>
      </c>
      <c r="R3244">
        <f>IF(AND(Inputs!$B$39&lt;&gt;"pvp",Inputs!$B$44&gt;0),IF(MAX(0,Inputs!$B$44-B3276)&lt;=0,0,(INT(MAX(0,Inputs!$B$44-B3276)/(IF(Inputs!$B$39="pvp",15,MAX(0.1,Skills!D8-IF(TRUE=TRUE,4.0,0)))*(1-IF(AND(ArtifactsInput!$M$27,Inputs!$B$4="Chapter Hunt"),CHOOSE(ArtifactsInput!$N$27+1,20,24,28,32,36,40),0)/100)))+1)),0)</f>
        <v/>
      </c>
      <c r="S3244">
        <f>IF(C3244,(H3244*N3244*IF(AND(Inputs!$B$39&lt;&gt;"pvp",Inputs!$B$44&gt;0),((Skills!F8*((R3244-1)*IF(Skills!G8&gt;0,INT(Skills!H8/Skills!G8+0.000000001),1)+IF(Skills!G8&gt;0,INT(MIN(Skills!H8,MAX(0,MAX(0,Inputs!$B$44-B3276)-((R3244-1)*(IF(Inputs!$B$39="pvp",15,MAX(0.1,Skills!D8-IF(TRUE=TRUE,4.0,0)))*(1-IF(AND(ArtifactsInput!$M$27,Inputs!$B$4="Chapter Hunt"),CHOOSE(ArtifactsInput!$N$27+1,20,24,28,32,36,40),0)/100)))))/Skills!G8+0.000000001),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INT(Skills!H8/Skills!G8+0.000000001),1)+IF(Skills!G8&gt;0,INT(MIN(Skills!H8,MAX(0,MAX(0,Inputs!$B$44-B3276)-((R3244-1)*(IF(Inputs!$B$39="pvp",15,MAX(0.1,Skills!D8-IF(TRUE=TRUE,4.0,0)))*(1-IF(AND(ArtifactsInput!$M$27,Inputs!$B$4="Chapter Hunt"),CHOOSE(ArtifactsInput!$N$27+1,20,24,28,32,36,40),0)/100)))))/Skills!G8+0.000000001),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IFERROR(1/(IF(Inputs!$B$39="pvp",15,MAX(0.1,Skills!D9-IF(TRUE=TRUE,4.0,0)))*(1-IF(AND(ArtifactsInput!$M$27,Inputs!$B$4="Chapter Hunt"),CHOOSE(ArtifactsInput!$N$27+1,20,24,28,32,36,40),0)/100)),0)</f>
        <v/>
      </c>
      <c r="R3245">
        <f>IF(AND(Inputs!$B$39&lt;&gt;"pvp",Inputs!$B$44&gt;0),IF(MAX(0,Inputs!$B$44-B3276)&lt;=0,0,(INT(MAX(0,Inputs!$B$44-B3276)/(IF(Inputs!$B$39="pvp",15,MAX(0.1,Skills!D9-IF(TRUE=TRUE,4.0,0)))*(1-IF(AND(ArtifactsInput!$M$27,Inputs!$B$4="Chapter Hunt"),CHOOSE(ArtifactsInput!$N$27+1,20,24,28,32,36,40),0)/100)))+1)),0)</f>
        <v/>
      </c>
      <c r="S3245">
        <f>IF(C3245,(H3245*N3245*IF(AND(Inputs!$B$39&lt;&gt;"pvp",Inputs!$B$44&gt;0),((Skills!F9*((R3245-1)*IF(Skills!G9&gt;0,INT(Skills!H9/Skills!G9+0.000000001),1)+IF(Skills!G9&gt;0,INT(MIN(Skills!H9,MAX(0,MAX(0,Inputs!$B$44-B3276)-((R3245-1)*(IF(Inputs!$B$39="pvp",15,MAX(0.1,Skills!D9-IF(TRUE=TRUE,4.0,0)))*(1-IF(AND(ArtifactsInput!$M$27,Inputs!$B$4="Chapter Hunt"),CHOOSE(ArtifactsInput!$N$27+1,20,24,28,32,36,40),0)/100)))))/Skills!G9+0.000000001),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INT(Skills!H9/Skills!G9+0.000000001),1)+IF(Skills!G9&gt;0,INT(MIN(Skills!H9,MAX(0,MAX(0,Inputs!$B$44-B3276)-((R3245-1)*(IF(Inputs!$B$39="pvp",15,MAX(0.1,Skills!D9-IF(TRUE=TRUE,4.0,0)))*(1-IF(AND(ArtifactsInput!$M$27,Inputs!$B$4="Chapter Hunt"),CHOOSE(ArtifactsInput!$N$27+1,20,24,28,32,36,40),0)/100)))))/Skills!G9+0.000000001),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IFERROR(1/(IF(Inputs!$B$39="pvp",15,MAX(0.1,Skills!D10-IF(TRUE=TRUE,4.0,0)))*(1-IF(AND(ArtifactsInput!$M$27,Inputs!$B$4="Chapter Hunt"),CHOOSE(ArtifactsInput!$N$27+1,20,24,28,32,36,40),0)/100)),0)</f>
        <v/>
      </c>
      <c r="R3246">
        <f>IF(AND(Inputs!$B$39&lt;&gt;"pvp",Inputs!$B$44&gt;0),IF(MAX(0,Inputs!$B$44-B3276)&lt;=0,0,(INT(MAX(0,Inputs!$B$44-B3276)/(IF(Inputs!$B$39="pvp",15,MAX(0.1,Skills!D10-IF(TRUE=TRUE,4.0,0)))*(1-IF(AND(ArtifactsInput!$M$27,Inputs!$B$4="Chapter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IFERROR(1/(IF(Inputs!$B$39="pvp",15,MAX(0.1,Skills!D11-IF(TRUE=TRUE,4.0,0)))*(1-IF(AND(ArtifactsInput!$M$27,Inputs!$B$4="Chapter Hunt"),CHOOSE(ArtifactsInput!$N$27+1,20,24,28,32,36,40),0)/100)),0)</f>
        <v/>
      </c>
      <c r="R3247">
        <f>IF(AND(Inputs!$B$39&lt;&gt;"pvp",Inputs!$B$44&gt;0),IF(Inputs!$B$44&lt;=0,0,(INT(Inputs!$B$44/(IF(Inputs!$B$39="pvp",15,MAX(0.1,Skills!D11-IF(TRUE=TRUE,4.0,0)))*(1-IF(AND(ArtifactsInput!$M$27,Inputs!$B$4="Chapter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IFERROR(1/(IF(Inputs!$B$39="pvp",15,MAX(0.1,Skills!D12-IF(TRUE=TRUE,4.0,0)))*(1-IF(AND(ArtifactsInput!$M$27,Inputs!$B$4="Chapter Hunt"),CHOOSE(ArtifactsInput!$N$27+1,20,24,28,32,36,40),0)/100)),0)</f>
        <v/>
      </c>
      <c r="R3248">
        <f>IF(AND(Inputs!$B$39&lt;&gt;"pvp",Inputs!$B$44&gt;0),IF(MAX(0,Inputs!$B$44-B3276)&lt;=0,0,(INT(MAX(0,Inputs!$B$44-B3276)/(IF(Inputs!$B$39="pvp",15,MAX(0.1,Skills!D12-IF(TRUE=TRUE,4.0,0)))*(1-IF(AND(ArtifactsInput!$M$27,Inputs!$B$4="Chapter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IFERROR(1/(IF(Inputs!$B$39="pvp",15,MAX(0.1,Skills!D13-IF(TRUE=TRUE,4.0,0)))*(1-IF(AND(ArtifactsInput!$M$27,Inputs!$B$4="Chapter Hunt"),CHOOSE(ArtifactsInput!$N$27+1,20,24,28,32,36,40),0)/100)),0)</f>
        <v/>
      </c>
      <c r="R3249">
        <f>IF(AND(Inputs!$B$39&lt;&gt;"pvp",Inputs!$B$44&gt;0),IF(MAX(0,Inputs!$B$44-B3276)&lt;=0,0,(INT(MAX(0,Inputs!$B$44-B3276)/(IF(Inputs!$B$39="pvp",15,MAX(0.1,Skills!D13-IF(TRUE=TRUE,4.0,0)))*(1-IF(AND(ArtifactsInput!$M$27,Inputs!$B$4="Chapter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IFERROR(1/(IF(Inputs!$B$39="pvp",15,MAX(0.1,Skills!D14-IF(TRUE=TRUE,4.0,0)))*(1-IF(AND(ArtifactsInput!$M$27,Inputs!$B$4="Chapter Hunt"),CHOOSE(ArtifactsInput!$N$27+1,20,24,28,32,36,40),0)/100)),0)</f>
        <v/>
      </c>
      <c r="R3250">
        <f>IF(AND(Inputs!$B$39&lt;&gt;"pvp",Inputs!$B$44&gt;0),IF(Inputs!$B$44&lt;=0,0,(INT(Inputs!$B$44/(IF(Inputs!$B$39="pvp",15,MAX(0.1,Skills!D14-IF(TRUE=TRUE,4.0,0)))*(1-IF(AND(ArtifactsInput!$M$27,Inputs!$B$4="Chapter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IFERROR(1/(IF(Inputs!$B$39="pvp",15,MAX(0.1,Skills!D15-IF(TRUE=TRUE,4.0,0)))*(1-IF(AND(ArtifactsInput!$M$27,Inputs!$B$4="Chapter Hunt"),CHOOSE(ArtifactsInput!$N$27+1,20,24,28,32,36,40),0)/100)),0)</f>
        <v/>
      </c>
      <c r="R3251" t="n">
        <v>0</v>
      </c>
      <c r="S3251">
        <f>IF(C3251,(Skills!F15*N3251*((IF(Inputs!$B$3&gt;=78,25,15)/100*B3272*10)/(1+IF(Inputs!$B$3&gt;=78,25,15)/100*B3272*IF(Inputs!$B$39="pvp",15,MAX(0.1,18-IF(TRUE=TRUE,4.0,0)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IF(Inputs!$B$39="pvp",15,MAX(0.1,18-IF(TRUE=TRUE,4.0,0)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IFERROR(1/(IF(Inputs!$B$39="pvp",15,MAX(0.1,Skills!D16-IF(TRUE=TRUE,4.0,0)))*(1-IF(AND(ArtifactsInput!$M$27,Inputs!$B$4="Chapter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IFERROR(1/(IF(Inputs!$B$39="pvp",15,MAX(0.1,Skills!D17-IF(TRUE=TRUE,4.0,0)))*(1-IF(AND(ArtifactsInput!$M$27,Inputs!$B$4="Chapter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IFERROR(1/(IF(Inputs!$B$39="pvp",15,MAX(0.1,Skills!D18-IF(TRUE=TRUE,4.0,0)))*(1-IF(AND(ArtifactsInput!$M$27,Inputs!$B$4="Chapter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IFERROR(1/(IF(Inputs!$B$39="pvp",15,MAX(0.1,Skills!D19-IF(TRUE=TRUE,4.0,0)))*(1-IF(AND(ArtifactsInput!$M$27,Inputs!$B$4="Chapter Hunt"),CHOOSE(ArtifactsInput!$N$27+1,20,24,28,32,36,40),0)/100)),0)</f>
        <v/>
      </c>
      <c r="R3255">
        <f>IF(AND(Inputs!$B$39&lt;&gt;"pvp",Inputs!$B$44&gt;0),IF(Inputs!$B$44&lt;=0,0,(INT(Inputs!$B$44/(IF(Inputs!$B$39="pvp",15,MAX(0.1,Skills!D19-IF(TRUE=TRUE,4.0,0)))*(1-IF(AND(ArtifactsInput!$M$27,Inputs!$B$4="Chapter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IFERROR(1/(IF(Inputs!$B$39="pvp",15,MAX(0.1,Skills!D20-IF(TRUE=TRUE,4.0,0)))*(1-IF(AND(ArtifactsInput!$M$27,Inputs!$B$4="Chapter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IFERROR(1/(IF(Inputs!$B$39="pvp",15,MAX(0.1,Skills!D21-IF(TRUE=TRUE,4.0,0)))*(1-IF(AND(ArtifactsInput!$M$27,Inputs!$B$4="Chapter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IFERROR(1/(IF(Inputs!$B$39="pvp",15,MAX(0.1,Skills!D22-IF(TRUE=TRUE,4.0,0)))*(1-IF(AND(ArtifactsInput!$M$27,Inputs!$B$4="Chapter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IFERROR(1/(IF(Inputs!$B$39="pvp",15,MAX(0.1,Skills!D23-IF(TRUE=TRUE,4.0,0)))*(1-IF(AND(ArtifactsInput!$M$27,Inputs!$B$4="Chapter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IFERROR(1/(IF(Inputs!$B$39="pvp",15,MAX(0.1,Skills!D24-IF(TRUE=TRUE,4.0,0)))*(1-IF(AND(ArtifactsInput!$M$27,Inputs!$B$4="Chapter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IFERROR(1/(IF(Inputs!$B$39="pvp",15,MAX(0.1,Skills!D25-IF(TRUE=TRUE,4.0,0)))*(1-IF(AND(ArtifactsInput!$M$27,Inputs!$B$4="Chapter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IFERROR(1/(IF(Inputs!$B$39="pvp",15,MAX(0.1,Skills!D26-IF(TRUE=TRUE,4.0,0)))*(1-IF(AND(ArtifactsInput!$M$27,Inputs!$B$4="Chapter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IFERROR(1/(IF(Inputs!$B$39="pvp",15,MAX(0.1,Skills!D27-IF(TRUE=TRUE,4.0,0)))*(1-IF(AND(ArtifactsInput!$M$27,Inputs!$B$4="Chapter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IFERROR(1/(IF(Inputs!$B$39="pvp",15,MAX(0.1,Skills!D28-IF(TRUE=TRUE,4.0,0)))*(1-IF(AND(ArtifactsInput!$M$27,Inputs!$B$4="Chapter Hunt"),CHOOSE(ArtifactsInput!$N$27+1,20,24,28,32,36,40),0)/100)),0)</f>
        <v/>
      </c>
      <c r="R3264">
        <f>IF(AND(Inputs!$B$39&lt;&gt;"pvp",Inputs!$B$44&gt;0),IF(Inputs!$B$44&lt;=0,0,(INT(Inputs!$B$44/(IF(Inputs!$B$39="pvp",15,MAX(0.1,Skills!D28-IF(TRUE=TRUE,4.0,0)))*(1-IF(AND(ArtifactsInput!$M$27,Inputs!$B$4="Chapter Hunt"),CHOOSE(ArtifactsInput!$N$27+1,20,24,28,32,36,40),0)/100)))+1)),0)</f>
        <v/>
      </c>
      <c r="S3264" t="n">
        <v>0</v>
      </c>
      <c r="U3264" t="n">
        <v>0</v>
      </c>
    </row>
    <row r="3266">
      <c r="A3266" t="inlineStr">
        <is>
          <t>Average Buff Multiplier</t>
        </is>
      </c>
      <c r="B3266">
        <f>(1+(IF(C3239=TRUE,F3239*IF(AND(Inputs!$B$39&lt;&gt;"pvp",Inputs!$B$44&gt;0),(((R3239-1)*MIN((Skills!S3*(1+((Inputs!$B$35+(ArtifactsInput!$M$7-ArtifactsInput!$M$7)*CHOOSE(ArtifactsInput!$N$7+1,6,7.2,8.4,9.6,10.8,12)))/100)),(1/Q3239))+MIN((Skills!S3*(1+((Inputs!$B$35+(ArtifactsInput!$M$7-ArtifactsInput!$M$7)*CHOOSE(ArtifactsInput!$N$7+1,6,7.2,8.4,9.6,10.8,12)))/100)),MAX(0,Inputs!$B$44-((R3239-1)*(1/Q3239)))))/Inputs!$B$44),IF(Inputs!$B$39="pvp",MIN((Skills!S3*(1+((Inputs!$B$35+(ArtifactsInput!$M$7-ArtifactsInput!$M$7)*CHOOSE(ArtifactsInput!$N$7+1,6,7.2,8.4,9.6,10.8,12)))/100)),15)/15,MIN(1,(Skills!S3*(1+((Inputs!$B$35+(ArtifactsInput!$M$7-ArtifactsInput!$M$7)*CHOOSE(ArtifactsInput!$N$7+1,6,7.2,8.4,9.6,10.8,12)))/100))/(1/Q3239)))),0)+IF(C3240=TRUE,F3240*IF(AND(Inputs!$B$39&lt;&gt;"pvp",Inputs!$B$44&gt;0),(((R3240-1)*MIN((Skills!S4*(1+((Inputs!$B$35+(ArtifactsInput!$M$7-ArtifactsInput!$M$7)*CHOOSE(ArtifactsInput!$N$7+1,6,7.2,8.4,9.6,10.8,12)))/100)),(1/Q3240))+MIN((Skills!S4*(1+((Inputs!$B$35+(ArtifactsInput!$M$7-ArtifactsInput!$M$7)*CHOOSE(ArtifactsInput!$N$7+1,6,7.2,8.4,9.6,10.8,12)))/100)),MAX(0,Inputs!$B$44-((R3240-1)*(1/Q3240)))))/Inputs!$B$44),IF(Inputs!$B$39="pvp",MIN((Skills!S4*(1+((Inputs!$B$35+(ArtifactsInput!$M$7-ArtifactsInput!$M$7)*CHOOSE(ArtifactsInput!$N$7+1,6,7.2,8.4,9.6,10.8,12)))/100)),15)/15,MIN(1,(Skills!S4*(1+((Inputs!$B$35+(ArtifactsInput!$M$7-ArtifactsInput!$M$7)*CHOOSE(ArtifactsInput!$N$7+1,6,7.2,8.4,9.6,10.8,12)))/100))/(1/Q3240)))),0)+IF(C3241=TRUE,F3241*IF(AND(Inputs!$B$39&lt;&gt;"pvp",Inputs!$B$44&gt;0),(((R3241-1)*MIN((Skills!S5*(1+((Inputs!$B$35+(ArtifactsInput!$M$7-ArtifactsInput!$M$7)*CHOOSE(ArtifactsInput!$N$7+1,6,7.2,8.4,9.6,10.8,12)))/100)),(1/Q3241))+MIN((Skills!S5*(1+((Inputs!$B$35+(ArtifactsInput!$M$7-ArtifactsInput!$M$7)*CHOOSE(ArtifactsInput!$N$7+1,6,7.2,8.4,9.6,10.8,12)))/100)),MAX(0,Inputs!$B$44-((R3241-1)*(1/Q3241)))))/Inputs!$B$44),IF(Inputs!$B$39="pvp",MIN((Skills!S5*(1+((Inputs!$B$35+(ArtifactsInput!$M$7-ArtifactsInput!$M$7)*CHOOSE(ArtifactsInput!$N$7+1,6,7.2,8.4,9.6,10.8,12)))/100)),15)/15,MIN(1,(Skills!S5*(1+((Inputs!$B$35+(ArtifactsInput!$M$7-ArtifactsInput!$M$7)*CHOOSE(ArtifactsInput!$N$7+1,6,7.2,8.4,9.6,10.8,12)))/100))/(1/Q3241)))),0)+IF(C3247=TRUE,F3247*IF(AND(Inputs!$B$39&lt;&gt;"pvp",Inputs!$B$44&gt;0),(((R3247-1)*MIN((Skills!S11*(1+((Inputs!$B$35+(ArtifactsInput!$M$7-ArtifactsInput!$M$7)*CHOOSE(ArtifactsInput!$N$7+1,6,7.2,8.4,9.6,10.8,12)))/100)),(1/Q3247))+MIN((Skills!S11*(1+((Inputs!$B$35+(ArtifactsInput!$M$7-ArtifactsInput!$M$7)*CHOOSE(ArtifactsInput!$N$7+1,6,7.2,8.4,9.6,10.8,12)))/100)),MAX(0,Inputs!$B$44-((R3247-1)*(1/Q3247)))))/Inputs!$B$44),IF(Inputs!$B$39="pvp",MIN((Skills!S11*(1+((Inputs!$B$35+(ArtifactsInput!$M$7-ArtifactsInput!$M$7)*CHOOSE(ArtifactsInput!$N$7+1,6,7.2,8.4,9.6,10.8,12)))/100)),15)/15,MIN(1,(Skills!S11*(1+((Inputs!$B$35+(ArtifactsInput!$M$7-ArtifactsInput!$M$7)*CHOOSE(ArtifactsInput!$N$7+1,6,7.2,8.4,9.6,10.8,12)))/100))/(1/Q3247)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MIN((Skills!S14*(1+((Inputs!$B$35+(ArtifactsInput!$M$7-ArtifactsInput!$M$7)*CHOOSE(ArtifactsInput!$N$7+1,6,7.2,8.4,9.6,10.8,12)))/100)),(1/Q3250))+MIN((Skills!S14*(1+((Inputs!$B$35+(ArtifactsInput!$M$7-ArtifactsInput!$M$7)*CHOOSE(ArtifactsInput!$N$7+1,6,7.2,8.4,9.6,10.8,12)))/100)),MAX(0,Inputs!$B$44-((R3250-1)*(1/Q3250)))))/Inputs!$B$44),IF(Inputs!$B$39="pvp",MIN((Skills!S14*(1+((Inputs!$B$35+(ArtifactsInput!$M$7-ArtifactsInput!$M$7)*CHOOSE(ArtifactsInput!$N$7+1,6,7.2,8.4,9.6,10.8,12)))/100)),15)/15,MIN(1,(Skills!S14*(1+((Inputs!$B$35+(ArtifactsInput!$M$7-ArtifactsInput!$M$7)*CHOOSE(ArtifactsInput!$N$7+1,6,7.2,8.4,9.6,10.8,12)))/100))/(1/Q3250))))/100),1)*IF(C3255=TRUE,(1+F3255*IF(AND(Inputs!$B$39&lt;&gt;"pvp",Inputs!$B$44&gt;0),(((R3255-1)*MIN((Skills!S19*(1+((Inputs!$B$35+(ArtifactsInput!$M$7-ArtifactsInput!$M$7)*CHOOSE(ArtifactsInput!$N$7+1,6,7.2,8.4,9.6,10.8,12)))/100)),(1/Q3255))+MIN((Skills!S19*(1+((Inputs!$B$35+(ArtifactsInput!$M$7-ArtifactsInput!$M$7)*CHOOSE(ArtifactsInput!$N$7+1,6,7.2,8.4,9.6,10.8,12)))/100)),MAX(0,Inputs!$B$44-((R3255-1)*(1/Q3255)))))/Inputs!$B$44),IF(Inputs!$B$39="pvp",MIN((Skills!S19*(1+((Inputs!$B$35+(ArtifactsInput!$M$7-ArtifactsInput!$M$7)*CHOOSE(ArtifactsInput!$N$7+1,6,7.2,8.4,9.6,10.8,12)))/100)),15)/15,MIN(1,(Skills!S19*(1+((Inputs!$B$35+(ArtifactsInput!$M$7-ArtifactsInput!$M$7)*CHOOSE(ArtifactsInput!$N$7+1,6,7.2,8.4,9.6,10.8,12)))/100))/(1/Q3255))))/100),1)</f>
        <v/>
      </c>
    </row>
    <row r="3267">
      <c r="A3267" t="inlineStr">
        <is>
          <t>Monster Damage Taken Bonus % (Holy Fountain)</t>
        </is>
      </c>
      <c r="B3267">
        <f>IF(Inputs!$B$3&gt;=68,20*IF(Inputs!$B$39="pvp",MIN((15*(1+((Inputs!$B$35+(ArtifactsInput!$M$7-ArtifactsInput!$M$7)*CHOOSE(ArtifactsInput!$N$7+1,6,7.2,8.4,9.6,10.8,12)))/100)),15)/15,MIN(1,(15*(1+((Inputs!$B$35+(ArtifactsInput!$M$7-ArtifactsInput!$M$7)*CHOOSE(ArtifactsInput!$N$7+1,6,7.2,8.4,9.6,10.8,12)))/100))/(1/Q3246))),0)</f>
        <v/>
      </c>
    </row>
    <row r="3268">
      <c r="A3268" t="inlineStr">
        <is>
          <t>Normal Monster Damage Bonus % (Holy Symbol)</t>
        </is>
      </c>
      <c r="B3268">
        <f>IF(C3248=TRUE,F3248*IF(AND(Inputs!$B$39&lt;&gt;"pvp",Inputs!$B$44&gt;0),(((R3248-1)*MIN((Skills!S12*(1+((Inputs!$B$35+(ArtifactsInput!$M$7-ArtifactsInput!$M$7)*CHOOSE(ArtifactsInput!$N$7+1,6,7.2,8.4,9.6,10.8,12)))/100)),(1/Q3248))+MIN((Skills!S12*(1+((Inputs!$B$35+(ArtifactsInput!$M$7-ArtifactsInput!$M$7)*CHOOSE(ArtifactsInput!$N$7+1,6,7.2,8.4,9.6,10.8,12)))/100)),MAX(0,Inputs!$B$44-((R3248-1)*(1/Q3248)))))/Inputs!$B$44),IF(Inputs!$B$39="pvp",MIN((Skills!S12*(1+((Inputs!$B$35+(ArtifactsInput!$M$7-ArtifactsInput!$M$7)*CHOOSE(ArtifactsInput!$N$7+1,6,7.2,8.4,9.6,10.8,12)))/100)),15)/15,MIN(1,(Skills!S12*(1+((Inputs!$B$35+(ArtifactsInput!$M$7-ArtifactsInput!$M$7)*CHOOSE(ArtifactsInput!$N$7+1,6,7.2,8.4,9.6,10.8,12)))/100))/(1/Q3248)))),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MIN((Skills!S28*(1+((Inputs!$B$35+(ArtifactsInput!$M$7-ArtifactsInput!$M$7)*CHOOSE(ArtifactsInput!$N$7+1,6,7.2,8.4,9.6,10.8,12)))/100)),(1/Q3264))+MIN((Skills!S28*(1+((Inputs!$B$35+(ArtifactsInput!$M$7-ArtifactsInput!$M$7)*CHOOSE(ArtifactsInput!$N$7+1,6,7.2,8.4,9.6,10.8,12)))/100)),MAX(0,Inputs!$B$44-((R3264-1)*(1/Q3264)))))/Inputs!$B$44),IF(Inputs!$B$39="pvp",MIN((Skills!S28*(1+((Inputs!$B$35+(ArtifactsInput!$M$7-ArtifactsInput!$M$7)*CHOOSE(ArtifactsInput!$N$7+1,6,7.2,8.4,9.6,10.8,12)))/100)),15)/15,MIN(1,(Skills!S28*(1+((Inputs!$B$35+(ArtifactsInput!$M$7-ArtifactsInput!$M$7)*CHOOSE(ArtifactsInput!$N$7+1,6,7.2,8.4,9.6,10.8,12)))/100))/(1/Q3264)))))</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MIN((Skills!S13*(1+((Inputs!$B$35+(ArtifactsInput!$M$7-ArtifactsInput!$M$7)*CHOOSE(ArtifactsInput!$N$7+1,6,7.2,8.4,9.6,10.8,12)))/100)),(1/Q3249))+MIN((Skills!S13*(1+((Inputs!$B$35+(ArtifactsInput!$M$7-ArtifactsInput!$M$7)*CHOOSE(ArtifactsInput!$N$7+1,6,7.2,8.4,9.6,10.8,12)))/100)),MAX(0,Inputs!$B$44-((R3249-1)*(1/Q3249)))))/Inputs!$B$44),IF(Inputs!$B$39="pvp",MIN((Skills!S13*(1+((Inputs!$B$35+(ArtifactsInput!$M$7-ArtifactsInput!$M$7)*CHOOSE(ArtifactsInput!$N$7+1,6,7.2,8.4,9.6,10.8,12)))/100)),15)/15,MIN(1,(Skills!S13*(1+((Inputs!$B$35+(ArtifactsInput!$M$7-ArtifactsInput!$M$7)*CHOOSE(ArtifactsInput!$N$7+1,6,7.2,8.4,9.6,10.8,12)))/100))/(1/Q3249)))),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IFERROR(1/(IF(Inputs!$B$39="pvp",15,MAX(0.1,Skills!D2-IF(TRUE=TRUE,4.5,0)))*(1-IF(AND(ArtifactsInput!$M$27,Inputs!$B$4="Chapter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IFERROR(1/(IF(Inputs!$B$39="pvp",15,MAX(0.1,Skills!D3-IF(TRUE=TRUE,4.5,0)))*(1-IF(AND(ArtifactsInput!$M$27,Inputs!$B$4="Chapter Hunt"),CHOOSE(ArtifactsInput!$N$27+1,20,24,28,32,36,40),0)/100)),0)</f>
        <v/>
      </c>
      <c r="R3284">
        <f>IF(AND(Inputs!$B$39&lt;&gt;"pvp",Inputs!$B$44&gt;0),IF(Inputs!$B$44&lt;=0,0,(INT(Inputs!$B$44/(IF(Inputs!$B$39="pvp",15,MAX(0.1,Skills!D3-IF(TRUE=TRUE,4.5,0)))*(1-IF(AND(ArtifactsInput!$M$27,Inputs!$B$4="Chapter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IFERROR(1/(IF(Inputs!$B$39="pvp",15,MAX(0.1,Skills!D4-IF(TRUE=TRUE,4.5,0)))*(1-IF(AND(ArtifactsInput!$M$27,Inputs!$B$4="Chapter Hunt"),CHOOSE(ArtifactsInput!$N$27+1,20,24,28,32,36,40),0)/100)),0)</f>
        <v/>
      </c>
      <c r="R3285">
        <f>IF(AND(Inputs!$B$39&lt;&gt;"pvp",Inputs!$B$44&gt;0),IF(Inputs!$B$44&lt;=0,0,(INT(Inputs!$B$44/(IF(Inputs!$B$39="pvp",15,MAX(0.1,Skills!D4-IF(TRUE=TRUE,4.5,0)))*(1-IF(AND(ArtifactsInput!$M$27,Inputs!$B$4="Chapter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IFERROR(1/(IF(Inputs!$B$39="pvp",15,MAX(0.1,Skills!D5-IF(TRUE=TRUE,4.5,0)))*(1-IF(AND(ArtifactsInput!$M$27,Inputs!$B$4="Chapter Hunt"),CHOOSE(ArtifactsInput!$N$27+1,20,24,28,32,36,40),0)/100)),0)</f>
        <v/>
      </c>
      <c r="R3286">
        <f>IF(AND(Inputs!$B$39&lt;&gt;"pvp",Inputs!$B$44&gt;0),IF(Inputs!$B$44&lt;=0,0,(INT(Inputs!$B$44/(IF(Inputs!$B$39="pvp",15,MAX(0.1,Skills!D5-IF(TRUE=TRUE,4.5,0)))*(1-IF(AND(ArtifactsInput!$M$27,Inputs!$B$4="Chapter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IFERROR(1/(IF(Inputs!$B$39="pvp",15,MAX(0.1,Skills!D6-IF(TRUE=TRUE,4.5,0)))*(1-IF(AND(ArtifactsInput!$M$27,Inputs!$B$4="Chapter Hunt"),CHOOSE(ArtifactsInput!$N$27+1,20,24,28,32,36,40),0)/100)),0)</f>
        <v/>
      </c>
      <c r="R3287">
        <f>IF(AND(Inputs!$B$39&lt;&gt;"pvp",Inputs!$B$44&gt;0),IF(MAX(0,Inputs!$B$44-B3321)&lt;=0,0,(INT(MAX(0,Inputs!$B$44-B3321)/(IF(Inputs!$B$39="pvp",15,MAX(0.1,Skills!D6-IF(TRUE=TRUE,4.5,0)))*(1-IF(AND(ArtifactsInput!$M$27,Inputs!$B$4="Chapter Hunt"),CHOOSE(ArtifactsInput!$N$27+1,20,24,28,32,36,40),0)/100)))+1)),0)</f>
        <v/>
      </c>
      <c r="S3287">
        <f>IF(C3287,(H3287*N3287*IF(AND(Inputs!$B$39&lt;&gt;"pvp",Inputs!$B$44&gt;0),((Skills!F6*((R3287-1)*IF(Skills!G6&gt;0,INT(Skills!H6/Skills!G6+0.000000001),1)+IF(Skills!G6&gt;0,INT(MIN(Skills!H6,MAX(0,MAX(0,Inputs!$B$44-B3321)-((R3287-1)*(IF(Inputs!$B$39="pvp",15,MAX(0.1,Skills!D6-IF(TRUE=TRUE,4.5,0)))*(1-IF(AND(ArtifactsInput!$M$27,Inputs!$B$4="Chapter Hunt"),CHOOSE(ArtifactsInput!$N$27+1,20,24,28,32,36,40),0)/100)))))/Skills!G6+0.000000001),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INT(Skills!H6/Skills!G6+0.000000001),1)+IF(Skills!G6&gt;0,INT(MIN(Skills!H6,MAX(0,MAX(0,Inputs!$B$44-B3321)-((R3287-1)*(IF(Inputs!$B$39="pvp",15,MAX(0.1,Skills!D6-IF(TRUE=TRUE,4.5,0)))*(1-IF(AND(ArtifactsInput!$M$27,Inputs!$B$4="Chapter Hunt"),CHOOSE(ArtifactsInput!$N$27+1,20,24,28,32,36,40),0)/100)))))/Skills!G6+0.000000001),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IFERROR(1/(IF(Inputs!$B$39="pvp",15,MAX(0.1,Skills!D7-IF(TRUE=TRUE,4.5,0)))*(1-IF(AND(ArtifactsInput!$M$27,Inputs!$B$4="Chapter Hunt"),CHOOSE(ArtifactsInput!$N$27+1,20,24,28,32,36,40),0)/100)),0)</f>
        <v/>
      </c>
      <c r="R3288">
        <f>IF(AND(Inputs!$B$39&lt;&gt;"pvp",Inputs!$B$44&gt;0),IF(MAX(0,Inputs!$B$44-B3321)&lt;=0,0,(INT(MAX(0,Inputs!$B$44-B3321)/(IF(Inputs!$B$39="pvp",15,MAX(0.1,Skills!D7-IF(TRUE=TRUE,4.5,0)))*(1-IF(AND(ArtifactsInput!$M$27,Inputs!$B$4="Chapter Hunt"),CHOOSE(ArtifactsInput!$N$27+1,20,24,28,32,36,40),0)/100)))+1)),0)</f>
        <v/>
      </c>
      <c r="S3288">
        <f>IF(C3288,H3288*N3288*IF(AND(Inputs!$B$39&lt;&gt;"pvp",Inputs!$B$44&gt;0),((Skills!F7*((R3288-1)*IF(Skills!G7&gt;0,INT(Skills!H7/Skills!G7+0.000000001),1)+IF(Skills!G7&gt;0,INT(MIN(Skills!H7,MAX(0,MAX(0,Inputs!$B$44-B3321)-((R3288-1)*(IF(Inputs!$B$39="pvp",15,MAX(0.1,Skills!D7-IF(TRUE=TRUE,4.5,0)))*(1-IF(AND(ArtifactsInput!$M$27,Inputs!$B$4="Chapter Hunt"),CHOOSE(ArtifactsInput!$N$27+1,20,24,28,32,36,40),0)/100)))))/Skills!G7+0.000000001),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IFERROR(1/(IF(Inputs!$B$39="pvp",15,MAX(0.1,Skills!D8-IF(TRUE=TRUE,4.5,0)))*(1-IF(AND(ArtifactsInput!$M$27,Inputs!$B$4="Chapter Hunt"),CHOOSE(ArtifactsInput!$N$27+1,20,24,28,32,36,40),0)/100)),0)</f>
        <v/>
      </c>
      <c r="R3289">
        <f>IF(AND(Inputs!$B$39&lt;&gt;"pvp",Inputs!$B$44&gt;0),IF(MAX(0,Inputs!$B$44-B3321)&lt;=0,0,(INT(MAX(0,Inputs!$B$44-B3321)/(IF(Inputs!$B$39="pvp",15,MAX(0.1,Skills!D8-IF(TRUE=TRUE,4.5,0)))*(1-IF(AND(ArtifactsInput!$M$27,Inputs!$B$4="Chapter Hunt"),CHOOSE(ArtifactsInput!$N$27+1,20,24,28,32,36,40),0)/100)))+1)),0)</f>
        <v/>
      </c>
      <c r="S3289">
        <f>IF(C3289,(H3289*N3289*IF(AND(Inputs!$B$39&lt;&gt;"pvp",Inputs!$B$44&gt;0),((Skills!F8*((R3289-1)*IF(Skills!G8&gt;0,INT(Skills!H8/Skills!G8+0.000000001),1)+IF(Skills!G8&gt;0,INT(MIN(Skills!H8,MAX(0,MAX(0,Inputs!$B$44-B3321)-((R3289-1)*(IF(Inputs!$B$39="pvp",15,MAX(0.1,Skills!D8-IF(TRUE=TRUE,4.5,0)))*(1-IF(AND(ArtifactsInput!$M$27,Inputs!$B$4="Chapter Hunt"),CHOOSE(ArtifactsInput!$N$27+1,20,24,28,32,36,40),0)/100)))))/Skills!G8+0.000000001),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INT(Skills!H8/Skills!G8+0.000000001),1)+IF(Skills!G8&gt;0,INT(MIN(Skills!H8,MAX(0,MAX(0,Inputs!$B$44-B3321)-((R3289-1)*(IF(Inputs!$B$39="pvp",15,MAX(0.1,Skills!D8-IF(TRUE=TRUE,4.5,0)))*(1-IF(AND(ArtifactsInput!$M$27,Inputs!$B$4="Chapter Hunt"),CHOOSE(ArtifactsInput!$N$27+1,20,24,28,32,36,40),0)/100)))))/Skills!G8+0.000000001),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IFERROR(1/(IF(Inputs!$B$39="pvp",15,MAX(0.1,Skills!D9-IF(TRUE=TRUE,4.5,0)))*(1-IF(AND(ArtifactsInput!$M$27,Inputs!$B$4="Chapter Hunt"),CHOOSE(ArtifactsInput!$N$27+1,20,24,28,32,36,40),0)/100)),0)</f>
        <v/>
      </c>
      <c r="R3290">
        <f>IF(AND(Inputs!$B$39&lt;&gt;"pvp",Inputs!$B$44&gt;0),IF(MAX(0,Inputs!$B$44-B3321)&lt;=0,0,(INT(MAX(0,Inputs!$B$44-B3321)/(IF(Inputs!$B$39="pvp",15,MAX(0.1,Skills!D9-IF(TRUE=TRUE,4.5,0)))*(1-IF(AND(ArtifactsInput!$M$27,Inputs!$B$4="Chapter Hunt"),CHOOSE(ArtifactsInput!$N$27+1,20,24,28,32,36,40),0)/100)))+1)),0)</f>
        <v/>
      </c>
      <c r="S3290">
        <f>IF(C3290,(H3290*N3290*IF(AND(Inputs!$B$39&lt;&gt;"pvp",Inputs!$B$44&gt;0),((Skills!F9*((R3290-1)*IF(Skills!G9&gt;0,INT(Skills!H9/Skills!G9+0.000000001),1)+IF(Skills!G9&gt;0,INT(MIN(Skills!H9,MAX(0,MAX(0,Inputs!$B$44-B3321)-((R3290-1)*(IF(Inputs!$B$39="pvp",15,MAX(0.1,Skills!D9-IF(TRUE=TRUE,4.5,0)))*(1-IF(AND(ArtifactsInput!$M$27,Inputs!$B$4="Chapter Hunt"),CHOOSE(ArtifactsInput!$N$27+1,20,24,28,32,36,40),0)/100)))))/Skills!G9+0.000000001),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INT(Skills!H9/Skills!G9+0.000000001),1)+IF(Skills!G9&gt;0,INT(MIN(Skills!H9,MAX(0,MAX(0,Inputs!$B$44-B3321)-((R3290-1)*(IF(Inputs!$B$39="pvp",15,MAX(0.1,Skills!D9-IF(TRUE=TRUE,4.5,0)))*(1-IF(AND(ArtifactsInput!$M$27,Inputs!$B$4="Chapter Hunt"),CHOOSE(ArtifactsInput!$N$27+1,20,24,28,32,36,40),0)/100)))))/Skills!G9+0.000000001),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IFERROR(1/(IF(Inputs!$B$39="pvp",15,MAX(0.1,Skills!D10-IF(TRUE=TRUE,4.5,0)))*(1-IF(AND(ArtifactsInput!$M$27,Inputs!$B$4="Chapter Hunt"),CHOOSE(ArtifactsInput!$N$27+1,20,24,28,32,36,40),0)/100)),0)</f>
        <v/>
      </c>
      <c r="R3291">
        <f>IF(AND(Inputs!$B$39&lt;&gt;"pvp",Inputs!$B$44&gt;0),IF(MAX(0,Inputs!$B$44-B3321)&lt;=0,0,(INT(MAX(0,Inputs!$B$44-B3321)/(IF(Inputs!$B$39="pvp",15,MAX(0.1,Skills!D10-IF(TRUE=TRUE,4.5,0)))*(1-IF(AND(ArtifactsInput!$M$27,Inputs!$B$4="Chapter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IFERROR(1/(IF(Inputs!$B$39="pvp",15,MAX(0.1,Skills!D11-IF(TRUE=TRUE,4.5,0)))*(1-IF(AND(ArtifactsInput!$M$27,Inputs!$B$4="Chapter Hunt"),CHOOSE(ArtifactsInput!$N$27+1,20,24,28,32,36,40),0)/100)),0)</f>
        <v/>
      </c>
      <c r="R3292">
        <f>IF(AND(Inputs!$B$39&lt;&gt;"pvp",Inputs!$B$44&gt;0),IF(Inputs!$B$44&lt;=0,0,(INT(Inputs!$B$44/(IF(Inputs!$B$39="pvp",15,MAX(0.1,Skills!D11-IF(TRUE=TRUE,4.5,0)))*(1-IF(AND(ArtifactsInput!$M$27,Inputs!$B$4="Chapter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IFERROR(1/(IF(Inputs!$B$39="pvp",15,MAX(0.1,Skills!D12-IF(TRUE=TRUE,4.5,0)))*(1-IF(AND(ArtifactsInput!$M$27,Inputs!$B$4="Chapter Hunt"),CHOOSE(ArtifactsInput!$N$27+1,20,24,28,32,36,40),0)/100)),0)</f>
        <v/>
      </c>
      <c r="R3293">
        <f>IF(AND(Inputs!$B$39&lt;&gt;"pvp",Inputs!$B$44&gt;0),IF(MAX(0,Inputs!$B$44-B3321)&lt;=0,0,(INT(MAX(0,Inputs!$B$44-B3321)/(IF(Inputs!$B$39="pvp",15,MAX(0.1,Skills!D12-IF(TRUE=TRUE,4.5,0)))*(1-IF(AND(ArtifactsInput!$M$27,Inputs!$B$4="Chapter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IFERROR(1/(IF(Inputs!$B$39="pvp",15,MAX(0.1,Skills!D13-IF(TRUE=TRUE,4.5,0)))*(1-IF(AND(ArtifactsInput!$M$27,Inputs!$B$4="Chapter Hunt"),CHOOSE(ArtifactsInput!$N$27+1,20,24,28,32,36,40),0)/100)),0)</f>
        <v/>
      </c>
      <c r="R3294">
        <f>IF(AND(Inputs!$B$39&lt;&gt;"pvp",Inputs!$B$44&gt;0),IF(MAX(0,Inputs!$B$44-B3321)&lt;=0,0,(INT(MAX(0,Inputs!$B$44-B3321)/(IF(Inputs!$B$39="pvp",15,MAX(0.1,Skills!D13-IF(TRUE=TRUE,4.5,0)))*(1-IF(AND(ArtifactsInput!$M$27,Inputs!$B$4="Chapter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IFERROR(1/(IF(Inputs!$B$39="pvp",15,MAX(0.1,Skills!D14-IF(TRUE=TRUE,4.5,0)))*(1-IF(AND(ArtifactsInput!$M$27,Inputs!$B$4="Chapter Hunt"),CHOOSE(ArtifactsInput!$N$27+1,20,24,28,32,36,40),0)/100)),0)</f>
        <v/>
      </c>
      <c r="R3295">
        <f>IF(AND(Inputs!$B$39&lt;&gt;"pvp",Inputs!$B$44&gt;0),IF(Inputs!$B$44&lt;=0,0,(INT(Inputs!$B$44/(IF(Inputs!$B$39="pvp",15,MAX(0.1,Skills!D14-IF(TRUE=TRUE,4.5,0)))*(1-IF(AND(ArtifactsInput!$M$27,Inputs!$B$4="Chapter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IFERROR(1/(IF(Inputs!$B$39="pvp",15,MAX(0.1,Skills!D15-IF(TRUE=TRUE,4.5,0)))*(1-IF(AND(ArtifactsInput!$M$27,Inputs!$B$4="Chapter Hunt"),CHOOSE(ArtifactsInput!$N$27+1,20,24,28,32,36,40),0)/100)),0)</f>
        <v/>
      </c>
      <c r="R3296" t="n">
        <v>0</v>
      </c>
      <c r="S3296">
        <f>IF(C3296,(Skills!F15*N3296*((IF(Inputs!$B$3&gt;=78,25,15)/100*B3317*10)/(1+IF(Inputs!$B$3&gt;=78,25,15)/100*B3317*IF(Inputs!$B$39="pvp",15,MAX(0.1,18-IF(TRUE=TRUE,4.5,0)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IF(Inputs!$B$39="pvp",15,MAX(0.1,18-IF(TRUE=TRUE,4.5,0)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IFERROR(1/(IF(Inputs!$B$39="pvp",15,MAX(0.1,Skills!D16-IF(TRUE=TRUE,4.5,0)))*(1-IF(AND(ArtifactsInput!$M$27,Inputs!$B$4="Chapter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IFERROR(1/(IF(Inputs!$B$39="pvp",15,MAX(0.1,Skills!D17-IF(TRUE=TRUE,4.5,0)))*(1-IF(AND(ArtifactsInput!$M$27,Inputs!$B$4="Chapter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IFERROR(1/(IF(Inputs!$B$39="pvp",15,MAX(0.1,Skills!D18-IF(TRUE=TRUE,4.5,0)))*(1-IF(AND(ArtifactsInput!$M$27,Inputs!$B$4="Chapter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IFERROR(1/(IF(Inputs!$B$39="pvp",15,MAX(0.1,Skills!D19-IF(TRUE=TRUE,4.5,0)))*(1-IF(AND(ArtifactsInput!$M$27,Inputs!$B$4="Chapter Hunt"),CHOOSE(ArtifactsInput!$N$27+1,20,24,28,32,36,40),0)/100)),0)</f>
        <v/>
      </c>
      <c r="R3300">
        <f>IF(AND(Inputs!$B$39&lt;&gt;"pvp",Inputs!$B$44&gt;0),IF(Inputs!$B$44&lt;=0,0,(INT(Inputs!$B$44/(IF(Inputs!$B$39="pvp",15,MAX(0.1,Skills!D19-IF(TRUE=TRUE,4.5,0)))*(1-IF(AND(ArtifactsInput!$M$27,Inputs!$B$4="Chapter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IFERROR(1/(IF(Inputs!$B$39="pvp",15,MAX(0.1,Skills!D20-IF(TRUE=TRUE,4.5,0)))*(1-IF(AND(ArtifactsInput!$M$27,Inputs!$B$4="Chapter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IFERROR(1/(IF(Inputs!$B$39="pvp",15,MAX(0.1,Skills!D21-IF(TRUE=TRUE,4.5,0)))*(1-IF(AND(ArtifactsInput!$M$27,Inputs!$B$4="Chapter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IFERROR(1/(IF(Inputs!$B$39="pvp",15,MAX(0.1,Skills!D22-IF(TRUE=TRUE,4.5,0)))*(1-IF(AND(ArtifactsInput!$M$27,Inputs!$B$4="Chapter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IFERROR(1/(IF(Inputs!$B$39="pvp",15,MAX(0.1,Skills!D23-IF(TRUE=TRUE,4.5,0)))*(1-IF(AND(ArtifactsInput!$M$27,Inputs!$B$4="Chapter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IFERROR(1/(IF(Inputs!$B$39="pvp",15,MAX(0.1,Skills!D24-IF(TRUE=TRUE,4.5,0)))*(1-IF(AND(ArtifactsInput!$M$27,Inputs!$B$4="Chapter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IFERROR(1/(IF(Inputs!$B$39="pvp",15,MAX(0.1,Skills!D25-IF(TRUE=TRUE,4.5,0)))*(1-IF(AND(ArtifactsInput!$M$27,Inputs!$B$4="Chapter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IFERROR(1/(IF(Inputs!$B$39="pvp",15,MAX(0.1,Skills!D26-IF(TRUE=TRUE,4.5,0)))*(1-IF(AND(ArtifactsInput!$M$27,Inputs!$B$4="Chapter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IFERROR(1/(IF(Inputs!$B$39="pvp",15,MAX(0.1,Skills!D27-IF(TRUE=TRUE,4.5,0)))*(1-IF(AND(ArtifactsInput!$M$27,Inputs!$B$4="Chapter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IFERROR(1/(IF(Inputs!$B$39="pvp",15,MAX(0.1,Skills!D28-IF(TRUE=TRUE,4.5,0)))*(1-IF(AND(ArtifactsInput!$M$27,Inputs!$B$4="Chapter Hunt"),CHOOSE(ArtifactsInput!$N$27+1,20,24,28,32,36,40),0)/100)),0)</f>
        <v/>
      </c>
      <c r="R3309">
        <f>IF(AND(Inputs!$B$39&lt;&gt;"pvp",Inputs!$B$44&gt;0),IF(Inputs!$B$44&lt;=0,0,(INT(Inputs!$B$44/(IF(Inputs!$B$39="pvp",15,MAX(0.1,Skills!D28-IF(TRUE=TRUE,4.5,0)))*(1-IF(AND(ArtifactsInput!$M$27,Inputs!$B$4="Chapter Hunt"),CHOOSE(ArtifactsInput!$N$27+1,20,24,28,32,36,40),0)/100)))+1)),0)</f>
        <v/>
      </c>
      <c r="S3309" t="n">
        <v>0</v>
      </c>
      <c r="U3309" t="n">
        <v>0</v>
      </c>
    </row>
    <row r="3311">
      <c r="A3311" t="inlineStr">
        <is>
          <t>Average Buff Multiplier</t>
        </is>
      </c>
      <c r="B3311">
        <f>(1+(IF(C3284=TRUE,F3284*IF(AND(Inputs!$B$39&lt;&gt;"pvp",Inputs!$B$44&gt;0),(((R3284-1)*MIN((Skills!S3*(1+((Inputs!$B$35+(ArtifactsInput!$M$7-ArtifactsInput!$M$7)*CHOOSE(ArtifactsInput!$N$7+1,6,7.2,8.4,9.6,10.8,12)))/100)),(1/Q3284))+MIN((Skills!S3*(1+((Inputs!$B$35+(ArtifactsInput!$M$7-ArtifactsInput!$M$7)*CHOOSE(ArtifactsInput!$N$7+1,6,7.2,8.4,9.6,10.8,12)))/100)),MAX(0,Inputs!$B$44-((R3284-1)*(1/Q3284)))))/Inputs!$B$44),IF(Inputs!$B$39="pvp",MIN((Skills!S3*(1+((Inputs!$B$35+(ArtifactsInput!$M$7-ArtifactsInput!$M$7)*CHOOSE(ArtifactsInput!$N$7+1,6,7.2,8.4,9.6,10.8,12)))/100)),15)/15,MIN(1,(Skills!S3*(1+((Inputs!$B$35+(ArtifactsInput!$M$7-ArtifactsInput!$M$7)*CHOOSE(ArtifactsInput!$N$7+1,6,7.2,8.4,9.6,10.8,12)))/100))/(1/Q3284)))),0)+IF(C3285=TRUE,F3285*IF(AND(Inputs!$B$39&lt;&gt;"pvp",Inputs!$B$44&gt;0),(((R3285-1)*MIN((Skills!S4*(1+((Inputs!$B$35+(ArtifactsInput!$M$7-ArtifactsInput!$M$7)*CHOOSE(ArtifactsInput!$N$7+1,6,7.2,8.4,9.6,10.8,12)))/100)),(1/Q3285))+MIN((Skills!S4*(1+((Inputs!$B$35+(ArtifactsInput!$M$7-ArtifactsInput!$M$7)*CHOOSE(ArtifactsInput!$N$7+1,6,7.2,8.4,9.6,10.8,12)))/100)),MAX(0,Inputs!$B$44-((R3285-1)*(1/Q3285)))))/Inputs!$B$44),IF(Inputs!$B$39="pvp",MIN((Skills!S4*(1+((Inputs!$B$35+(ArtifactsInput!$M$7-ArtifactsInput!$M$7)*CHOOSE(ArtifactsInput!$N$7+1,6,7.2,8.4,9.6,10.8,12)))/100)),15)/15,MIN(1,(Skills!S4*(1+((Inputs!$B$35+(ArtifactsInput!$M$7-ArtifactsInput!$M$7)*CHOOSE(ArtifactsInput!$N$7+1,6,7.2,8.4,9.6,10.8,12)))/100))/(1/Q3285)))),0)+IF(C3286=TRUE,F3286*IF(AND(Inputs!$B$39&lt;&gt;"pvp",Inputs!$B$44&gt;0),(((R3286-1)*MIN((Skills!S5*(1+((Inputs!$B$35+(ArtifactsInput!$M$7-ArtifactsInput!$M$7)*CHOOSE(ArtifactsInput!$N$7+1,6,7.2,8.4,9.6,10.8,12)))/100)),(1/Q3286))+MIN((Skills!S5*(1+((Inputs!$B$35+(ArtifactsInput!$M$7-ArtifactsInput!$M$7)*CHOOSE(ArtifactsInput!$N$7+1,6,7.2,8.4,9.6,10.8,12)))/100)),MAX(0,Inputs!$B$44-((R3286-1)*(1/Q3286)))))/Inputs!$B$44),IF(Inputs!$B$39="pvp",MIN((Skills!S5*(1+((Inputs!$B$35+(ArtifactsInput!$M$7-ArtifactsInput!$M$7)*CHOOSE(ArtifactsInput!$N$7+1,6,7.2,8.4,9.6,10.8,12)))/100)),15)/15,MIN(1,(Skills!S5*(1+((Inputs!$B$35+(ArtifactsInput!$M$7-ArtifactsInput!$M$7)*CHOOSE(ArtifactsInput!$N$7+1,6,7.2,8.4,9.6,10.8,12)))/100))/(1/Q3286)))),0)+IF(C3292=TRUE,F3292*IF(AND(Inputs!$B$39&lt;&gt;"pvp",Inputs!$B$44&gt;0),(((R3292-1)*MIN((Skills!S11*(1+((Inputs!$B$35+(ArtifactsInput!$M$7-ArtifactsInput!$M$7)*CHOOSE(ArtifactsInput!$N$7+1,6,7.2,8.4,9.6,10.8,12)))/100)),(1/Q3292))+MIN((Skills!S11*(1+((Inputs!$B$35+(ArtifactsInput!$M$7-ArtifactsInput!$M$7)*CHOOSE(ArtifactsInput!$N$7+1,6,7.2,8.4,9.6,10.8,12)))/100)),MAX(0,Inputs!$B$44-((R3292-1)*(1/Q3292)))))/Inputs!$B$44),IF(Inputs!$B$39="pvp",MIN((Skills!S11*(1+((Inputs!$B$35+(ArtifactsInput!$M$7-ArtifactsInput!$M$7)*CHOOSE(ArtifactsInput!$N$7+1,6,7.2,8.4,9.6,10.8,12)))/100)),15)/15,MIN(1,(Skills!S11*(1+((Inputs!$B$35+(ArtifactsInput!$M$7-ArtifactsInput!$M$7)*CHOOSE(ArtifactsInput!$N$7+1,6,7.2,8.4,9.6,10.8,12)))/100))/(1/Q3292)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MIN((Skills!S14*(1+((Inputs!$B$35+(ArtifactsInput!$M$7-ArtifactsInput!$M$7)*CHOOSE(ArtifactsInput!$N$7+1,6,7.2,8.4,9.6,10.8,12)))/100)),(1/Q3295))+MIN((Skills!S14*(1+((Inputs!$B$35+(ArtifactsInput!$M$7-ArtifactsInput!$M$7)*CHOOSE(ArtifactsInput!$N$7+1,6,7.2,8.4,9.6,10.8,12)))/100)),MAX(0,Inputs!$B$44-((R3295-1)*(1/Q3295)))))/Inputs!$B$44),IF(Inputs!$B$39="pvp",MIN((Skills!S14*(1+((Inputs!$B$35+(ArtifactsInput!$M$7-ArtifactsInput!$M$7)*CHOOSE(ArtifactsInput!$N$7+1,6,7.2,8.4,9.6,10.8,12)))/100)),15)/15,MIN(1,(Skills!S14*(1+((Inputs!$B$35+(ArtifactsInput!$M$7-ArtifactsInput!$M$7)*CHOOSE(ArtifactsInput!$N$7+1,6,7.2,8.4,9.6,10.8,12)))/100))/(1/Q3295))))/100),1)*IF(C3300=TRUE,(1+F3300*IF(AND(Inputs!$B$39&lt;&gt;"pvp",Inputs!$B$44&gt;0),(((R3300-1)*MIN((Skills!S19*(1+((Inputs!$B$35+(ArtifactsInput!$M$7-ArtifactsInput!$M$7)*CHOOSE(ArtifactsInput!$N$7+1,6,7.2,8.4,9.6,10.8,12)))/100)),(1/Q3300))+MIN((Skills!S19*(1+((Inputs!$B$35+(ArtifactsInput!$M$7-ArtifactsInput!$M$7)*CHOOSE(ArtifactsInput!$N$7+1,6,7.2,8.4,9.6,10.8,12)))/100)),MAX(0,Inputs!$B$44-((R3300-1)*(1/Q3300)))))/Inputs!$B$44),IF(Inputs!$B$39="pvp",MIN((Skills!S19*(1+((Inputs!$B$35+(ArtifactsInput!$M$7-ArtifactsInput!$M$7)*CHOOSE(ArtifactsInput!$N$7+1,6,7.2,8.4,9.6,10.8,12)))/100)),15)/15,MIN(1,(Skills!S19*(1+((Inputs!$B$35+(ArtifactsInput!$M$7-ArtifactsInput!$M$7)*CHOOSE(ArtifactsInput!$N$7+1,6,7.2,8.4,9.6,10.8,12)))/100))/(1/Q3300))))/100),1)</f>
        <v/>
      </c>
    </row>
    <row r="3312">
      <c r="A3312" t="inlineStr">
        <is>
          <t>Monster Damage Taken Bonus % (Holy Fountain)</t>
        </is>
      </c>
      <c r="B3312">
        <f>IF(Inputs!$B$3&gt;=68,20*IF(Inputs!$B$39="pvp",MIN((15*(1+((Inputs!$B$35+(ArtifactsInput!$M$7-ArtifactsInput!$M$7)*CHOOSE(ArtifactsInput!$N$7+1,6,7.2,8.4,9.6,10.8,12)))/100)),15)/15,MIN(1,(15*(1+((Inputs!$B$35+(ArtifactsInput!$M$7-ArtifactsInput!$M$7)*CHOOSE(ArtifactsInput!$N$7+1,6,7.2,8.4,9.6,10.8,12)))/100))/(1/Q3291))),0)</f>
        <v/>
      </c>
    </row>
    <row r="3313">
      <c r="A3313" t="inlineStr">
        <is>
          <t>Normal Monster Damage Bonus % (Holy Symbol)</t>
        </is>
      </c>
      <c r="B3313">
        <f>IF(C3293=TRUE,F3293*IF(AND(Inputs!$B$39&lt;&gt;"pvp",Inputs!$B$44&gt;0),(((R3293-1)*MIN((Skills!S12*(1+((Inputs!$B$35+(ArtifactsInput!$M$7-ArtifactsInput!$M$7)*CHOOSE(ArtifactsInput!$N$7+1,6,7.2,8.4,9.6,10.8,12)))/100)),(1/Q3293))+MIN((Skills!S12*(1+((Inputs!$B$35+(ArtifactsInput!$M$7-ArtifactsInput!$M$7)*CHOOSE(ArtifactsInput!$N$7+1,6,7.2,8.4,9.6,10.8,12)))/100)),MAX(0,Inputs!$B$44-((R3293-1)*(1/Q3293)))))/Inputs!$B$44),IF(Inputs!$B$39="pvp",MIN((Skills!S12*(1+((Inputs!$B$35+(ArtifactsInput!$M$7-ArtifactsInput!$M$7)*CHOOSE(ArtifactsInput!$N$7+1,6,7.2,8.4,9.6,10.8,12)))/100)),15)/15,MIN(1,(Skills!S12*(1+((Inputs!$B$35+(ArtifactsInput!$M$7-ArtifactsInput!$M$7)*CHOOSE(ArtifactsInput!$N$7+1,6,7.2,8.4,9.6,10.8,12)))/100))/(1/Q3293)))),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MIN((Skills!S28*(1+((Inputs!$B$35+(ArtifactsInput!$M$7-ArtifactsInput!$M$7)*CHOOSE(ArtifactsInput!$N$7+1,6,7.2,8.4,9.6,10.8,12)))/100)),(1/Q3309))+MIN((Skills!S28*(1+((Inputs!$B$35+(ArtifactsInput!$M$7-ArtifactsInput!$M$7)*CHOOSE(ArtifactsInput!$N$7+1,6,7.2,8.4,9.6,10.8,12)))/100)),MAX(0,Inputs!$B$44-((R3309-1)*(1/Q3309)))))/Inputs!$B$44),IF(Inputs!$B$39="pvp",MIN((Skills!S28*(1+((Inputs!$B$35+(ArtifactsInput!$M$7-ArtifactsInput!$M$7)*CHOOSE(ArtifactsInput!$N$7+1,6,7.2,8.4,9.6,10.8,12)))/100)),15)/15,MIN(1,(Skills!S28*(1+((Inputs!$B$35+(ArtifactsInput!$M$7-ArtifactsInput!$M$7)*CHOOSE(ArtifactsInput!$N$7+1,6,7.2,8.4,9.6,10.8,12)))/100))/(1/Q3309)))))</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MIN((Skills!S13*(1+((Inputs!$B$35+(ArtifactsInput!$M$7-ArtifactsInput!$M$7)*CHOOSE(ArtifactsInput!$N$7+1,6,7.2,8.4,9.6,10.8,12)))/100)),(1/Q3294))+MIN((Skills!S13*(1+((Inputs!$B$35+(ArtifactsInput!$M$7-ArtifactsInput!$M$7)*CHOOSE(ArtifactsInput!$N$7+1,6,7.2,8.4,9.6,10.8,12)))/100)),MAX(0,Inputs!$B$44-((R3294-1)*(1/Q3294)))))/Inputs!$B$44),IF(Inputs!$B$39="pvp",MIN((Skills!S13*(1+((Inputs!$B$35+(ArtifactsInput!$M$7-ArtifactsInput!$M$7)*CHOOSE(ArtifactsInput!$N$7+1,6,7.2,8.4,9.6,10.8,12)))/100)),15)/15,MIN(1,(Skills!S13*(1+((Inputs!$B$35+(ArtifactsInput!$M$7-ArtifactsInput!$M$7)*CHOOSE(ArtifactsInput!$N$7+1,6,7.2,8.4,9.6,10.8,12)))/100))/(1/Q3294)))),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IFERROR(1/(IF(Inputs!$B$39="pvp",15,MAX(0.1,Skills!D2-IF(TRUE=TRUE,5.0,0)))*(1-IF(AND(ArtifactsInput!$M$27,Inputs!$B$4="Chapter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IFERROR(1/(IF(Inputs!$B$39="pvp",15,MAX(0.1,Skills!D3-IF(TRUE=TRUE,5.0,0)))*(1-IF(AND(ArtifactsInput!$M$27,Inputs!$B$4="Chapter Hunt"),CHOOSE(ArtifactsInput!$N$27+1,20,24,28,32,36,40),0)/100)),0)</f>
        <v/>
      </c>
      <c r="R3329">
        <f>IF(AND(Inputs!$B$39&lt;&gt;"pvp",Inputs!$B$44&gt;0),IF(Inputs!$B$44&lt;=0,0,(INT(Inputs!$B$44/(IF(Inputs!$B$39="pvp",15,MAX(0.1,Skills!D3-IF(TRUE=TRUE,5.0,0)))*(1-IF(AND(ArtifactsInput!$M$27,Inputs!$B$4="Chapter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IFERROR(1/(IF(Inputs!$B$39="pvp",15,MAX(0.1,Skills!D4-IF(TRUE=TRUE,5.0,0)))*(1-IF(AND(ArtifactsInput!$M$27,Inputs!$B$4="Chapter Hunt"),CHOOSE(ArtifactsInput!$N$27+1,20,24,28,32,36,40),0)/100)),0)</f>
        <v/>
      </c>
      <c r="R3330">
        <f>IF(AND(Inputs!$B$39&lt;&gt;"pvp",Inputs!$B$44&gt;0),IF(Inputs!$B$44&lt;=0,0,(INT(Inputs!$B$44/(IF(Inputs!$B$39="pvp",15,MAX(0.1,Skills!D4-IF(TRUE=TRUE,5.0,0)))*(1-IF(AND(ArtifactsInput!$M$27,Inputs!$B$4="Chapter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IFERROR(1/(IF(Inputs!$B$39="pvp",15,MAX(0.1,Skills!D5-IF(TRUE=TRUE,5.0,0)))*(1-IF(AND(ArtifactsInput!$M$27,Inputs!$B$4="Chapter Hunt"),CHOOSE(ArtifactsInput!$N$27+1,20,24,28,32,36,40),0)/100)),0)</f>
        <v/>
      </c>
      <c r="R3331">
        <f>IF(AND(Inputs!$B$39&lt;&gt;"pvp",Inputs!$B$44&gt;0),IF(Inputs!$B$44&lt;=0,0,(INT(Inputs!$B$44/(IF(Inputs!$B$39="pvp",15,MAX(0.1,Skills!D5-IF(TRUE=TRUE,5.0,0)))*(1-IF(AND(ArtifactsInput!$M$27,Inputs!$B$4="Chapter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IFERROR(1/(IF(Inputs!$B$39="pvp",15,MAX(0.1,Skills!D6-IF(TRUE=TRUE,5.0,0)))*(1-IF(AND(ArtifactsInput!$M$27,Inputs!$B$4="Chapter Hunt"),CHOOSE(ArtifactsInput!$N$27+1,20,24,28,32,36,40),0)/100)),0)</f>
        <v/>
      </c>
      <c r="R3332">
        <f>IF(AND(Inputs!$B$39&lt;&gt;"pvp",Inputs!$B$44&gt;0),IF(MAX(0,Inputs!$B$44-B3366)&lt;=0,0,(INT(MAX(0,Inputs!$B$44-B3366)/(IF(Inputs!$B$39="pvp",15,MAX(0.1,Skills!D6-IF(TRUE=TRUE,5.0,0)))*(1-IF(AND(ArtifactsInput!$M$27,Inputs!$B$4="Chapter Hunt"),CHOOSE(ArtifactsInput!$N$27+1,20,24,28,32,36,40),0)/100)))+1)),0)</f>
        <v/>
      </c>
      <c r="S3332">
        <f>IF(C3332,(H3332*N3332*IF(AND(Inputs!$B$39&lt;&gt;"pvp",Inputs!$B$44&gt;0),((Skills!F6*((R3332-1)*IF(Skills!G6&gt;0,INT(Skills!H6/Skills!G6+0.000000001),1)+IF(Skills!G6&gt;0,INT(MIN(Skills!H6,MAX(0,MAX(0,Inputs!$B$44-B3366)-((R3332-1)*(IF(Inputs!$B$39="pvp",15,MAX(0.1,Skills!D6-IF(TRUE=TRUE,5.0,0)))*(1-IF(AND(ArtifactsInput!$M$27,Inputs!$B$4="Chapter Hunt"),CHOOSE(ArtifactsInput!$N$27+1,20,24,28,32,36,40),0)/100)))))/Skills!G6+0.000000001),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INT(Skills!H6/Skills!G6+0.000000001),1)+IF(Skills!G6&gt;0,INT(MIN(Skills!H6,MAX(0,MAX(0,Inputs!$B$44-B3366)-((R3332-1)*(IF(Inputs!$B$39="pvp",15,MAX(0.1,Skills!D6-IF(TRUE=TRUE,5.0,0)))*(1-IF(AND(ArtifactsInput!$M$27,Inputs!$B$4="Chapter Hunt"),CHOOSE(ArtifactsInput!$N$27+1,20,24,28,32,36,40),0)/100)))))/Skills!G6+0.000000001),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IFERROR(1/(IF(Inputs!$B$39="pvp",15,MAX(0.1,Skills!D7-IF(TRUE=TRUE,5.0,0)))*(1-IF(AND(ArtifactsInput!$M$27,Inputs!$B$4="Chapter Hunt"),CHOOSE(ArtifactsInput!$N$27+1,20,24,28,32,36,40),0)/100)),0)</f>
        <v/>
      </c>
      <c r="R3333">
        <f>IF(AND(Inputs!$B$39&lt;&gt;"pvp",Inputs!$B$44&gt;0),IF(MAX(0,Inputs!$B$44-B3366)&lt;=0,0,(INT(MAX(0,Inputs!$B$44-B3366)/(IF(Inputs!$B$39="pvp",15,MAX(0.1,Skills!D7-IF(TRUE=TRUE,5.0,0)))*(1-IF(AND(ArtifactsInput!$M$27,Inputs!$B$4="Chapter Hunt"),CHOOSE(ArtifactsInput!$N$27+1,20,24,28,32,36,40),0)/100)))+1)),0)</f>
        <v/>
      </c>
      <c r="S3333">
        <f>IF(C3333,H3333*N3333*IF(AND(Inputs!$B$39&lt;&gt;"pvp",Inputs!$B$44&gt;0),((Skills!F7*((R3333-1)*IF(Skills!G7&gt;0,INT(Skills!H7/Skills!G7+0.000000001),1)+IF(Skills!G7&gt;0,INT(MIN(Skills!H7,MAX(0,MAX(0,Inputs!$B$44-B3366)-((R3333-1)*(IF(Inputs!$B$39="pvp",15,MAX(0.1,Skills!D7-IF(TRUE=TRUE,5.0,0)))*(1-IF(AND(ArtifactsInput!$M$27,Inputs!$B$4="Chapter Hunt"),CHOOSE(ArtifactsInput!$N$27+1,20,24,28,32,36,40),0)/100)))))/Skills!G7+0.000000001),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IFERROR(1/(IF(Inputs!$B$39="pvp",15,MAX(0.1,Skills!D8-IF(TRUE=TRUE,5.0,0)))*(1-IF(AND(ArtifactsInput!$M$27,Inputs!$B$4="Chapter Hunt"),CHOOSE(ArtifactsInput!$N$27+1,20,24,28,32,36,40),0)/100)),0)</f>
        <v/>
      </c>
      <c r="R3334">
        <f>IF(AND(Inputs!$B$39&lt;&gt;"pvp",Inputs!$B$44&gt;0),IF(MAX(0,Inputs!$B$44-B3366)&lt;=0,0,(INT(MAX(0,Inputs!$B$44-B3366)/(IF(Inputs!$B$39="pvp",15,MAX(0.1,Skills!D8-IF(TRUE=TRUE,5.0,0)))*(1-IF(AND(ArtifactsInput!$M$27,Inputs!$B$4="Chapter Hunt"),CHOOSE(ArtifactsInput!$N$27+1,20,24,28,32,36,40),0)/100)))+1)),0)</f>
        <v/>
      </c>
      <c r="S3334">
        <f>IF(C3334,(H3334*N3334*IF(AND(Inputs!$B$39&lt;&gt;"pvp",Inputs!$B$44&gt;0),((Skills!F8*((R3334-1)*IF(Skills!G8&gt;0,INT(Skills!H8/Skills!G8+0.000000001),1)+IF(Skills!G8&gt;0,INT(MIN(Skills!H8,MAX(0,MAX(0,Inputs!$B$44-B3366)-((R3334-1)*(IF(Inputs!$B$39="pvp",15,MAX(0.1,Skills!D8-IF(TRUE=TRUE,5.0,0)))*(1-IF(AND(ArtifactsInput!$M$27,Inputs!$B$4="Chapter Hunt"),CHOOSE(ArtifactsInput!$N$27+1,20,24,28,32,36,40),0)/100)))))/Skills!G8+0.000000001),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INT(Skills!H8/Skills!G8+0.000000001),1)+IF(Skills!G8&gt;0,INT(MIN(Skills!H8,MAX(0,MAX(0,Inputs!$B$44-B3366)-((R3334-1)*(IF(Inputs!$B$39="pvp",15,MAX(0.1,Skills!D8-IF(TRUE=TRUE,5.0,0)))*(1-IF(AND(ArtifactsInput!$M$27,Inputs!$B$4="Chapter Hunt"),CHOOSE(ArtifactsInput!$N$27+1,20,24,28,32,36,40),0)/100)))))/Skills!G8+0.000000001),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IFERROR(1/(IF(Inputs!$B$39="pvp",15,MAX(0.1,Skills!D9-IF(TRUE=TRUE,5.0,0)))*(1-IF(AND(ArtifactsInput!$M$27,Inputs!$B$4="Chapter Hunt"),CHOOSE(ArtifactsInput!$N$27+1,20,24,28,32,36,40),0)/100)),0)</f>
        <v/>
      </c>
      <c r="R3335">
        <f>IF(AND(Inputs!$B$39&lt;&gt;"pvp",Inputs!$B$44&gt;0),IF(MAX(0,Inputs!$B$44-B3366)&lt;=0,0,(INT(MAX(0,Inputs!$B$44-B3366)/(IF(Inputs!$B$39="pvp",15,MAX(0.1,Skills!D9-IF(TRUE=TRUE,5.0,0)))*(1-IF(AND(ArtifactsInput!$M$27,Inputs!$B$4="Chapter Hunt"),CHOOSE(ArtifactsInput!$N$27+1,20,24,28,32,36,40),0)/100)))+1)),0)</f>
        <v/>
      </c>
      <c r="S3335">
        <f>IF(C3335,(H3335*N3335*IF(AND(Inputs!$B$39&lt;&gt;"pvp",Inputs!$B$44&gt;0),((Skills!F9*((R3335-1)*IF(Skills!G9&gt;0,INT(Skills!H9/Skills!G9+0.000000001),1)+IF(Skills!G9&gt;0,INT(MIN(Skills!H9,MAX(0,MAX(0,Inputs!$B$44-B3366)-((R3335-1)*(IF(Inputs!$B$39="pvp",15,MAX(0.1,Skills!D9-IF(TRUE=TRUE,5.0,0)))*(1-IF(AND(ArtifactsInput!$M$27,Inputs!$B$4="Chapter Hunt"),CHOOSE(ArtifactsInput!$N$27+1,20,24,28,32,36,40),0)/100)))))/Skills!G9+0.000000001),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INT(Skills!H9/Skills!G9+0.000000001),1)+IF(Skills!G9&gt;0,INT(MIN(Skills!H9,MAX(0,MAX(0,Inputs!$B$44-B3366)-((R3335-1)*(IF(Inputs!$B$39="pvp",15,MAX(0.1,Skills!D9-IF(TRUE=TRUE,5.0,0)))*(1-IF(AND(ArtifactsInput!$M$27,Inputs!$B$4="Chapter Hunt"),CHOOSE(ArtifactsInput!$N$27+1,20,24,28,32,36,40),0)/100)))))/Skills!G9+0.000000001),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IFERROR(1/(IF(Inputs!$B$39="pvp",15,MAX(0.1,Skills!D10-IF(TRUE=TRUE,5.0,0)))*(1-IF(AND(ArtifactsInput!$M$27,Inputs!$B$4="Chapter Hunt"),CHOOSE(ArtifactsInput!$N$27+1,20,24,28,32,36,40),0)/100)),0)</f>
        <v/>
      </c>
      <c r="R3336">
        <f>IF(AND(Inputs!$B$39&lt;&gt;"pvp",Inputs!$B$44&gt;0),IF(MAX(0,Inputs!$B$44-B3366)&lt;=0,0,(INT(MAX(0,Inputs!$B$44-B3366)/(IF(Inputs!$B$39="pvp",15,MAX(0.1,Skills!D10-IF(TRUE=TRUE,5.0,0)))*(1-IF(AND(ArtifactsInput!$M$27,Inputs!$B$4="Chapter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IFERROR(1/(IF(Inputs!$B$39="pvp",15,MAX(0.1,Skills!D11-IF(TRUE=TRUE,5.0,0)))*(1-IF(AND(ArtifactsInput!$M$27,Inputs!$B$4="Chapter Hunt"),CHOOSE(ArtifactsInput!$N$27+1,20,24,28,32,36,40),0)/100)),0)</f>
        <v/>
      </c>
      <c r="R3337">
        <f>IF(AND(Inputs!$B$39&lt;&gt;"pvp",Inputs!$B$44&gt;0),IF(Inputs!$B$44&lt;=0,0,(INT(Inputs!$B$44/(IF(Inputs!$B$39="pvp",15,MAX(0.1,Skills!D11-IF(TRUE=TRUE,5.0,0)))*(1-IF(AND(ArtifactsInput!$M$27,Inputs!$B$4="Chapter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IFERROR(1/(IF(Inputs!$B$39="pvp",15,MAX(0.1,Skills!D12-IF(TRUE=TRUE,5.0,0)))*(1-IF(AND(ArtifactsInput!$M$27,Inputs!$B$4="Chapter Hunt"),CHOOSE(ArtifactsInput!$N$27+1,20,24,28,32,36,40),0)/100)),0)</f>
        <v/>
      </c>
      <c r="R3338">
        <f>IF(AND(Inputs!$B$39&lt;&gt;"pvp",Inputs!$B$44&gt;0),IF(MAX(0,Inputs!$B$44-B3366)&lt;=0,0,(INT(MAX(0,Inputs!$B$44-B3366)/(IF(Inputs!$B$39="pvp",15,MAX(0.1,Skills!D12-IF(TRUE=TRUE,5.0,0)))*(1-IF(AND(ArtifactsInput!$M$27,Inputs!$B$4="Chapter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IFERROR(1/(IF(Inputs!$B$39="pvp",15,MAX(0.1,Skills!D13-IF(TRUE=TRUE,5.0,0)))*(1-IF(AND(ArtifactsInput!$M$27,Inputs!$B$4="Chapter Hunt"),CHOOSE(ArtifactsInput!$N$27+1,20,24,28,32,36,40),0)/100)),0)</f>
        <v/>
      </c>
      <c r="R3339">
        <f>IF(AND(Inputs!$B$39&lt;&gt;"pvp",Inputs!$B$44&gt;0),IF(MAX(0,Inputs!$B$44-B3366)&lt;=0,0,(INT(MAX(0,Inputs!$B$44-B3366)/(IF(Inputs!$B$39="pvp",15,MAX(0.1,Skills!D13-IF(TRUE=TRUE,5.0,0)))*(1-IF(AND(ArtifactsInput!$M$27,Inputs!$B$4="Chapter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IFERROR(1/(IF(Inputs!$B$39="pvp",15,MAX(0.1,Skills!D14-IF(TRUE=TRUE,5.0,0)))*(1-IF(AND(ArtifactsInput!$M$27,Inputs!$B$4="Chapter Hunt"),CHOOSE(ArtifactsInput!$N$27+1,20,24,28,32,36,40),0)/100)),0)</f>
        <v/>
      </c>
      <c r="R3340">
        <f>IF(AND(Inputs!$B$39&lt;&gt;"pvp",Inputs!$B$44&gt;0),IF(Inputs!$B$44&lt;=0,0,(INT(Inputs!$B$44/(IF(Inputs!$B$39="pvp",15,MAX(0.1,Skills!D14-IF(TRUE=TRUE,5.0,0)))*(1-IF(AND(ArtifactsInput!$M$27,Inputs!$B$4="Chapter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IFERROR(1/(IF(Inputs!$B$39="pvp",15,MAX(0.1,Skills!D15-IF(TRUE=TRUE,5.0,0)))*(1-IF(AND(ArtifactsInput!$M$27,Inputs!$B$4="Chapter Hunt"),CHOOSE(ArtifactsInput!$N$27+1,20,24,28,32,36,40),0)/100)),0)</f>
        <v/>
      </c>
      <c r="R3341" t="n">
        <v>0</v>
      </c>
      <c r="S3341">
        <f>IF(C3341,(Skills!F15*N3341*((IF(Inputs!$B$3&gt;=78,25,15)/100*B3362*10)/(1+IF(Inputs!$B$3&gt;=78,25,15)/100*B3362*IF(Inputs!$B$39="pvp",15,MAX(0.1,18-IF(TRUE=TRUE,5.0,0)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IF(Inputs!$B$39="pvp",15,MAX(0.1,18-IF(TRUE=TRUE,5.0,0)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IFERROR(1/(IF(Inputs!$B$39="pvp",15,MAX(0.1,Skills!D16-IF(TRUE=TRUE,5.0,0)))*(1-IF(AND(ArtifactsInput!$M$27,Inputs!$B$4="Chapter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IFERROR(1/(IF(Inputs!$B$39="pvp",15,MAX(0.1,Skills!D17-IF(TRUE=TRUE,5.0,0)))*(1-IF(AND(ArtifactsInput!$M$27,Inputs!$B$4="Chapter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IFERROR(1/(IF(Inputs!$B$39="pvp",15,MAX(0.1,Skills!D18-IF(TRUE=TRUE,5.0,0)))*(1-IF(AND(ArtifactsInput!$M$27,Inputs!$B$4="Chapter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IFERROR(1/(IF(Inputs!$B$39="pvp",15,MAX(0.1,Skills!D19-IF(TRUE=TRUE,5.0,0)))*(1-IF(AND(ArtifactsInput!$M$27,Inputs!$B$4="Chapter Hunt"),CHOOSE(ArtifactsInput!$N$27+1,20,24,28,32,36,40),0)/100)),0)</f>
        <v/>
      </c>
      <c r="R3345">
        <f>IF(AND(Inputs!$B$39&lt;&gt;"pvp",Inputs!$B$44&gt;0),IF(Inputs!$B$44&lt;=0,0,(INT(Inputs!$B$44/(IF(Inputs!$B$39="pvp",15,MAX(0.1,Skills!D19-IF(TRUE=TRUE,5.0,0)))*(1-IF(AND(ArtifactsInput!$M$27,Inputs!$B$4="Chapter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IFERROR(1/(IF(Inputs!$B$39="pvp",15,MAX(0.1,Skills!D20-IF(TRUE=TRUE,5.0,0)))*(1-IF(AND(ArtifactsInput!$M$27,Inputs!$B$4="Chapter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IFERROR(1/(IF(Inputs!$B$39="pvp",15,MAX(0.1,Skills!D21-IF(TRUE=TRUE,5.0,0)))*(1-IF(AND(ArtifactsInput!$M$27,Inputs!$B$4="Chapter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IFERROR(1/(IF(Inputs!$B$39="pvp",15,MAX(0.1,Skills!D22-IF(TRUE=TRUE,5.0,0)))*(1-IF(AND(ArtifactsInput!$M$27,Inputs!$B$4="Chapter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IFERROR(1/(IF(Inputs!$B$39="pvp",15,MAX(0.1,Skills!D23-IF(TRUE=TRUE,5.0,0)))*(1-IF(AND(ArtifactsInput!$M$27,Inputs!$B$4="Chapter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IFERROR(1/(IF(Inputs!$B$39="pvp",15,MAX(0.1,Skills!D24-IF(TRUE=TRUE,5.0,0)))*(1-IF(AND(ArtifactsInput!$M$27,Inputs!$B$4="Chapter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IFERROR(1/(IF(Inputs!$B$39="pvp",15,MAX(0.1,Skills!D25-IF(TRUE=TRUE,5.0,0)))*(1-IF(AND(ArtifactsInput!$M$27,Inputs!$B$4="Chapter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IFERROR(1/(IF(Inputs!$B$39="pvp",15,MAX(0.1,Skills!D26-IF(TRUE=TRUE,5.0,0)))*(1-IF(AND(ArtifactsInput!$M$27,Inputs!$B$4="Chapter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IFERROR(1/(IF(Inputs!$B$39="pvp",15,MAX(0.1,Skills!D27-IF(TRUE=TRUE,5.0,0)))*(1-IF(AND(ArtifactsInput!$M$27,Inputs!$B$4="Chapter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IFERROR(1/(IF(Inputs!$B$39="pvp",15,MAX(0.1,Skills!D28-IF(TRUE=TRUE,5.0,0)))*(1-IF(AND(ArtifactsInput!$M$27,Inputs!$B$4="Chapter Hunt"),CHOOSE(ArtifactsInput!$N$27+1,20,24,28,32,36,40),0)/100)),0)</f>
        <v/>
      </c>
      <c r="R3354">
        <f>IF(AND(Inputs!$B$39&lt;&gt;"pvp",Inputs!$B$44&gt;0),IF(Inputs!$B$44&lt;=0,0,(INT(Inputs!$B$44/(IF(Inputs!$B$39="pvp",15,MAX(0.1,Skills!D28-IF(TRUE=TRUE,5.0,0)))*(1-IF(AND(ArtifactsInput!$M$27,Inputs!$B$4="Chapter Hunt"),CHOOSE(ArtifactsInput!$N$27+1,20,24,28,32,36,40),0)/100)))+1)),0)</f>
        <v/>
      </c>
      <c r="S3354" t="n">
        <v>0</v>
      </c>
      <c r="U3354" t="n">
        <v>0</v>
      </c>
    </row>
    <row r="3356">
      <c r="A3356" t="inlineStr">
        <is>
          <t>Average Buff Multiplier</t>
        </is>
      </c>
      <c r="B3356">
        <f>(1+(IF(C3329=TRUE,F3329*IF(AND(Inputs!$B$39&lt;&gt;"pvp",Inputs!$B$44&gt;0),(((R3329-1)*MIN((Skills!S3*(1+((Inputs!$B$35+(ArtifactsInput!$M$7-ArtifactsInput!$M$7)*CHOOSE(ArtifactsInput!$N$7+1,6,7.2,8.4,9.6,10.8,12)))/100)),(1/Q3329))+MIN((Skills!S3*(1+((Inputs!$B$35+(ArtifactsInput!$M$7-ArtifactsInput!$M$7)*CHOOSE(ArtifactsInput!$N$7+1,6,7.2,8.4,9.6,10.8,12)))/100)),MAX(0,Inputs!$B$44-((R3329-1)*(1/Q3329)))))/Inputs!$B$44),IF(Inputs!$B$39="pvp",MIN((Skills!S3*(1+((Inputs!$B$35+(ArtifactsInput!$M$7-ArtifactsInput!$M$7)*CHOOSE(ArtifactsInput!$N$7+1,6,7.2,8.4,9.6,10.8,12)))/100)),15)/15,MIN(1,(Skills!S3*(1+((Inputs!$B$35+(ArtifactsInput!$M$7-ArtifactsInput!$M$7)*CHOOSE(ArtifactsInput!$N$7+1,6,7.2,8.4,9.6,10.8,12)))/100))/(1/Q3329)))),0)+IF(C3330=TRUE,F3330*IF(AND(Inputs!$B$39&lt;&gt;"pvp",Inputs!$B$44&gt;0),(((R3330-1)*MIN((Skills!S4*(1+((Inputs!$B$35+(ArtifactsInput!$M$7-ArtifactsInput!$M$7)*CHOOSE(ArtifactsInput!$N$7+1,6,7.2,8.4,9.6,10.8,12)))/100)),(1/Q3330))+MIN((Skills!S4*(1+((Inputs!$B$35+(ArtifactsInput!$M$7-ArtifactsInput!$M$7)*CHOOSE(ArtifactsInput!$N$7+1,6,7.2,8.4,9.6,10.8,12)))/100)),MAX(0,Inputs!$B$44-((R3330-1)*(1/Q3330)))))/Inputs!$B$44),IF(Inputs!$B$39="pvp",MIN((Skills!S4*(1+((Inputs!$B$35+(ArtifactsInput!$M$7-ArtifactsInput!$M$7)*CHOOSE(ArtifactsInput!$N$7+1,6,7.2,8.4,9.6,10.8,12)))/100)),15)/15,MIN(1,(Skills!S4*(1+((Inputs!$B$35+(ArtifactsInput!$M$7-ArtifactsInput!$M$7)*CHOOSE(ArtifactsInput!$N$7+1,6,7.2,8.4,9.6,10.8,12)))/100))/(1/Q3330)))),0)+IF(C3331=TRUE,F3331*IF(AND(Inputs!$B$39&lt;&gt;"pvp",Inputs!$B$44&gt;0),(((R3331-1)*MIN((Skills!S5*(1+((Inputs!$B$35+(ArtifactsInput!$M$7-ArtifactsInput!$M$7)*CHOOSE(ArtifactsInput!$N$7+1,6,7.2,8.4,9.6,10.8,12)))/100)),(1/Q3331))+MIN((Skills!S5*(1+((Inputs!$B$35+(ArtifactsInput!$M$7-ArtifactsInput!$M$7)*CHOOSE(ArtifactsInput!$N$7+1,6,7.2,8.4,9.6,10.8,12)))/100)),MAX(0,Inputs!$B$44-((R3331-1)*(1/Q3331)))))/Inputs!$B$44),IF(Inputs!$B$39="pvp",MIN((Skills!S5*(1+((Inputs!$B$35+(ArtifactsInput!$M$7-ArtifactsInput!$M$7)*CHOOSE(ArtifactsInput!$N$7+1,6,7.2,8.4,9.6,10.8,12)))/100)),15)/15,MIN(1,(Skills!S5*(1+((Inputs!$B$35+(ArtifactsInput!$M$7-ArtifactsInput!$M$7)*CHOOSE(ArtifactsInput!$N$7+1,6,7.2,8.4,9.6,10.8,12)))/100))/(1/Q3331)))),0)+IF(C3337=TRUE,F3337*IF(AND(Inputs!$B$39&lt;&gt;"pvp",Inputs!$B$44&gt;0),(((R3337-1)*MIN((Skills!S11*(1+((Inputs!$B$35+(ArtifactsInput!$M$7-ArtifactsInput!$M$7)*CHOOSE(ArtifactsInput!$N$7+1,6,7.2,8.4,9.6,10.8,12)))/100)),(1/Q3337))+MIN((Skills!S11*(1+((Inputs!$B$35+(ArtifactsInput!$M$7-ArtifactsInput!$M$7)*CHOOSE(ArtifactsInput!$N$7+1,6,7.2,8.4,9.6,10.8,12)))/100)),MAX(0,Inputs!$B$44-((R3337-1)*(1/Q3337)))))/Inputs!$B$44),IF(Inputs!$B$39="pvp",MIN((Skills!S11*(1+((Inputs!$B$35+(ArtifactsInput!$M$7-ArtifactsInput!$M$7)*CHOOSE(ArtifactsInput!$N$7+1,6,7.2,8.4,9.6,10.8,12)))/100)),15)/15,MIN(1,(Skills!S11*(1+((Inputs!$B$35+(ArtifactsInput!$M$7-ArtifactsInput!$M$7)*CHOOSE(ArtifactsInput!$N$7+1,6,7.2,8.4,9.6,10.8,12)))/100))/(1/Q3337)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MIN((Skills!S14*(1+((Inputs!$B$35+(ArtifactsInput!$M$7-ArtifactsInput!$M$7)*CHOOSE(ArtifactsInput!$N$7+1,6,7.2,8.4,9.6,10.8,12)))/100)),(1/Q3340))+MIN((Skills!S14*(1+((Inputs!$B$35+(ArtifactsInput!$M$7-ArtifactsInput!$M$7)*CHOOSE(ArtifactsInput!$N$7+1,6,7.2,8.4,9.6,10.8,12)))/100)),MAX(0,Inputs!$B$44-((R3340-1)*(1/Q3340)))))/Inputs!$B$44),IF(Inputs!$B$39="pvp",MIN((Skills!S14*(1+((Inputs!$B$35+(ArtifactsInput!$M$7-ArtifactsInput!$M$7)*CHOOSE(ArtifactsInput!$N$7+1,6,7.2,8.4,9.6,10.8,12)))/100)),15)/15,MIN(1,(Skills!S14*(1+((Inputs!$B$35+(ArtifactsInput!$M$7-ArtifactsInput!$M$7)*CHOOSE(ArtifactsInput!$N$7+1,6,7.2,8.4,9.6,10.8,12)))/100))/(1/Q3340))))/100),1)*IF(C3345=TRUE,(1+F3345*IF(AND(Inputs!$B$39&lt;&gt;"pvp",Inputs!$B$44&gt;0),(((R3345-1)*MIN((Skills!S19*(1+((Inputs!$B$35+(ArtifactsInput!$M$7-ArtifactsInput!$M$7)*CHOOSE(ArtifactsInput!$N$7+1,6,7.2,8.4,9.6,10.8,12)))/100)),(1/Q3345))+MIN((Skills!S19*(1+((Inputs!$B$35+(ArtifactsInput!$M$7-ArtifactsInput!$M$7)*CHOOSE(ArtifactsInput!$N$7+1,6,7.2,8.4,9.6,10.8,12)))/100)),MAX(0,Inputs!$B$44-((R3345-1)*(1/Q3345)))))/Inputs!$B$44),IF(Inputs!$B$39="pvp",MIN((Skills!S19*(1+((Inputs!$B$35+(ArtifactsInput!$M$7-ArtifactsInput!$M$7)*CHOOSE(ArtifactsInput!$N$7+1,6,7.2,8.4,9.6,10.8,12)))/100)),15)/15,MIN(1,(Skills!S19*(1+((Inputs!$B$35+(ArtifactsInput!$M$7-ArtifactsInput!$M$7)*CHOOSE(ArtifactsInput!$N$7+1,6,7.2,8.4,9.6,10.8,12)))/100))/(1/Q3345))))/100),1)</f>
        <v/>
      </c>
    </row>
    <row r="3357">
      <c r="A3357" t="inlineStr">
        <is>
          <t>Monster Damage Taken Bonus % (Holy Fountain)</t>
        </is>
      </c>
      <c r="B3357">
        <f>IF(Inputs!$B$3&gt;=68,20*IF(Inputs!$B$39="pvp",MIN((15*(1+((Inputs!$B$35+(ArtifactsInput!$M$7-ArtifactsInput!$M$7)*CHOOSE(ArtifactsInput!$N$7+1,6,7.2,8.4,9.6,10.8,12)))/100)),15)/15,MIN(1,(15*(1+((Inputs!$B$35+(ArtifactsInput!$M$7-ArtifactsInput!$M$7)*CHOOSE(ArtifactsInput!$N$7+1,6,7.2,8.4,9.6,10.8,12)))/100))/(1/Q3336))),0)</f>
        <v/>
      </c>
    </row>
    <row r="3358">
      <c r="A3358" t="inlineStr">
        <is>
          <t>Normal Monster Damage Bonus % (Holy Symbol)</t>
        </is>
      </c>
      <c r="B3358">
        <f>IF(C3338=TRUE,F3338*IF(AND(Inputs!$B$39&lt;&gt;"pvp",Inputs!$B$44&gt;0),(((R3338-1)*MIN((Skills!S12*(1+((Inputs!$B$35+(ArtifactsInput!$M$7-ArtifactsInput!$M$7)*CHOOSE(ArtifactsInput!$N$7+1,6,7.2,8.4,9.6,10.8,12)))/100)),(1/Q3338))+MIN((Skills!S12*(1+((Inputs!$B$35+(ArtifactsInput!$M$7-ArtifactsInput!$M$7)*CHOOSE(ArtifactsInput!$N$7+1,6,7.2,8.4,9.6,10.8,12)))/100)),MAX(0,Inputs!$B$44-((R3338-1)*(1/Q3338)))))/Inputs!$B$44),IF(Inputs!$B$39="pvp",MIN((Skills!S12*(1+((Inputs!$B$35+(ArtifactsInput!$M$7-ArtifactsInput!$M$7)*CHOOSE(ArtifactsInput!$N$7+1,6,7.2,8.4,9.6,10.8,12)))/100)),15)/15,MIN(1,(Skills!S12*(1+((Inputs!$B$35+(ArtifactsInput!$M$7-ArtifactsInput!$M$7)*CHOOSE(ArtifactsInput!$N$7+1,6,7.2,8.4,9.6,10.8,12)))/100))/(1/Q3338)))),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MIN((Skills!S28*(1+((Inputs!$B$35+(ArtifactsInput!$M$7-ArtifactsInput!$M$7)*CHOOSE(ArtifactsInput!$N$7+1,6,7.2,8.4,9.6,10.8,12)))/100)),(1/Q3354))+MIN((Skills!S28*(1+((Inputs!$B$35+(ArtifactsInput!$M$7-ArtifactsInput!$M$7)*CHOOSE(ArtifactsInput!$N$7+1,6,7.2,8.4,9.6,10.8,12)))/100)),MAX(0,Inputs!$B$44-((R3354-1)*(1/Q3354)))))/Inputs!$B$44),IF(Inputs!$B$39="pvp",MIN((Skills!S28*(1+((Inputs!$B$35+(ArtifactsInput!$M$7-ArtifactsInput!$M$7)*CHOOSE(ArtifactsInput!$N$7+1,6,7.2,8.4,9.6,10.8,12)))/100)),15)/15,MIN(1,(Skills!S28*(1+((Inputs!$B$35+(ArtifactsInput!$M$7-ArtifactsInput!$M$7)*CHOOSE(ArtifactsInput!$N$7+1,6,7.2,8.4,9.6,10.8,12)))/100))/(1/Q3354)))))</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MIN((Skills!S13*(1+((Inputs!$B$35+(ArtifactsInput!$M$7-ArtifactsInput!$M$7)*CHOOSE(ArtifactsInput!$N$7+1,6,7.2,8.4,9.6,10.8,12)))/100)),(1/Q3339))+MIN((Skills!S13*(1+((Inputs!$B$35+(ArtifactsInput!$M$7-ArtifactsInput!$M$7)*CHOOSE(ArtifactsInput!$N$7+1,6,7.2,8.4,9.6,10.8,12)))/100)),MAX(0,Inputs!$B$44-((R3339-1)*(1/Q3339)))))/Inputs!$B$44),IF(Inputs!$B$39="pvp",MIN((Skills!S13*(1+((Inputs!$B$35+(ArtifactsInput!$M$7-ArtifactsInput!$M$7)*CHOOSE(ArtifactsInput!$N$7+1,6,7.2,8.4,9.6,10.8,12)))/100)),15)/15,MIN(1,(Skills!S13*(1+((Inputs!$B$35+(ArtifactsInput!$M$7-ArtifactsInput!$M$7)*CHOOSE(ArtifactsInput!$N$7+1,6,7.2,8.4,9.6,10.8,12)))/100))/(1/Q3339)))),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%",IF(AND(Inputs!$B$10+Artifacts!$B$32&gt;=100,NOT(ArtifactsInput!$M$42),NOT(ArtifactsInput!$M$24)),Sensitivity!H17,Sensitivity!H16),IF(B6="Critical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%",IF(AND(Inputs!$B$10+Artifacts!$B$32&gt;=100,NOT(ArtifactsInput!$M$42),NOT(ArtifactsInput!$M$24)),Sensitivity!H17,Sensitivity!H16),IF(I6="Critical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%",IF(AND(Inputs!$B$10+Artifacts!$B$32&gt;=100,NOT(ArtifactsInput!$M$42),NOT(ArtifactsInput!$M$24)),Sensitivity!H17,Sensitivity!H16),IF(B7="Critical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%",IF(AND(Inputs!$B$10+Artifacts!$B$32&gt;=100,NOT(ArtifactsInput!$M$42),NOT(ArtifactsInput!$M$24)),Sensitivity!H17,Sensitivity!H16),IF(I7="Critical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%",IF(AND(Inputs!$B$10+Artifacts!$B$32&gt;=100,NOT(ArtifactsInput!$M$42),NOT(ArtifactsInput!$M$24)),Sensitivity!H17,Sensitivity!H16),IF(B8="Critical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%",IF(AND(Inputs!$B$10+Artifacts!$B$32&gt;=100,NOT(ArtifactsInput!$M$42),NOT(ArtifactsInput!$M$24)),Sensitivity!H17,Sensitivity!H16),IF(I8="Critical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%",IF(AND(Inputs!$B$10+Artifacts!$B$32&gt;=100,NOT(ArtifactsInput!$M$42),NOT(ArtifactsInput!$M$24)),Sensitivity!H17,Sensitivity!H16),IF(B9="Critical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%",IF(AND(Inputs!$B$10+Artifacts!$B$32&gt;=100,NOT(ArtifactsInput!$M$42),NOT(ArtifactsInput!$M$24)),Sensitivity!H17,Sensitivity!H16),IF(I9="Critical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%",IF(AND(Inputs!$B$10+Artifacts!$B$32&gt;=100,NOT(ArtifactsInput!$M$42),NOT(ArtifactsInput!$M$24)),Sensitivity!H17,Sensitivity!H16),IF(B10="Critical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%",IF(AND(Inputs!$B$10+Artifacts!$B$32&gt;=100,NOT(ArtifactsInput!$M$42),NOT(ArtifactsInput!$M$24)),Sensitivity!H17,Sensitivity!H16),IF(I10="Critical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IF(AND(Inputs!$B$10+Artifacts!$B$32&gt;=100,NOT(ArtifactsInput!$M$42),NOT(ArtifactsInput!$M$24)),Sensitivity!H17,Sensitivity!H16)</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IF(AND(Inputs!$B$10+Artifacts!$B$32&gt;=100,NOT(ArtifactsInput!$M$42),NOT(ArtifactsInput!$M$24)),Sensitivity!H17,Sensitivity!H16)</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IF(AND(Inputs!$B$10+Artifacts!$B$32&gt;=100,NOT(ArtifactsInput!$M$42),NOT(ArtifactsInput!$M$24)),Sensitivity!H17,Sensitivity!H16)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IF(AND(Inputs!$B$10+Artifacts!$B$32&gt;=100,NOT(ArtifactsInput!$M$42),NOT(ArtifactsInput!$M$24)),Sensitivity!H17,Sensitivity!H16)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IF(AND(Inputs!$B$10+Artifacts!$B$32&gt;=100,NOT(ArtifactsInput!$M$42),NOT(ArtifactsInput!$M$24)),Sensitivity!H17,Sensitivity!H16)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IF(AND(Inputs!$B$10+Artifacts!$B$32&gt;=100,NOT(ArtifactsInput!$M$42),NOT(ArtifactsInput!$M$24)),Sensitivity!H17,Sensitivity!H16)</f>
        <v/>
      </c>
    </row>
    <row r="67">
      <c r="A67" t="inlineStr">
        <is>
          <t>ALL</t>
        </is>
      </c>
      <c r="B67" t="inlineStr">
        <is>
          <t>rare</t>
        </is>
      </c>
      <c r="C67" t="n">
        <v>2</v>
      </c>
      <c r="D67" t="inlineStr">
        <is>
          <t>Critical Rate %</t>
        </is>
      </c>
      <c r="E67" t="n">
        <v>4.5</v>
      </c>
      <c r="F67" t="n">
        <v>0.6</v>
      </c>
      <c r="G67" t="b">
        <v>1</v>
      </c>
      <c r="H67">
        <f>IF(AND(Inputs!$B$10+Artifacts!$B$32&gt;=100,NOT(ArtifactsInput!$M$42),NOT(ArtifactsInput!$M$24)),Sensitivity!H17,Sensitivity!H16)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IF(AND(Inputs!$B$10+Artifacts!$B$32&gt;=100,NOT(ArtifactsInput!$M$42),NOT(ArtifactsInput!$M$24)),Sensitivity!H17,Sensitivity!H16)</f>
        <v/>
      </c>
    </row>
    <row r="99">
      <c r="A99" t="inlineStr">
        <is>
          <t>ALL</t>
        </is>
      </c>
      <c r="B99" t="inlineStr">
        <is>
          <t>rare</t>
        </is>
      </c>
      <c r="C99" t="n">
        <v>3</v>
      </c>
      <c r="D99" t="inlineStr">
        <is>
          <t>Critical Rate %</t>
        </is>
      </c>
      <c r="E99" t="n">
        <v>4.5</v>
      </c>
      <c r="F99" t="n">
        <v>0.2</v>
      </c>
      <c r="G99" t="b">
        <v>1</v>
      </c>
      <c r="H99">
        <f>IF(AND(Inputs!$B$10+Artifacts!$B$32&gt;=100,NOT(ArtifactsInput!$M$42),NOT(ArtifactsInput!$M$24)),Sensitivity!H17,Sensitivity!H16)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IF(AND(Inputs!$B$10+Artifacts!$B$32&gt;=100,NOT(ArtifactsInput!$M$42),NOT(ArtifactsInput!$M$24)),Sensitivity!H17,Sensitivity!H16)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IF(AND(Inputs!$B$10+Artifacts!$B$32&gt;=100,NOT(ArtifactsInput!$M$42),NOT(ArtifactsInput!$M$24)),Sensitivity!H17,Sensitivity!H16)</f>
        <v/>
      </c>
    </row>
    <row r="147">
      <c r="A147" t="inlineStr">
        <is>
          <t>ALL</t>
        </is>
      </c>
      <c r="B147" t="inlineStr">
        <is>
          <t>epic</t>
        </is>
      </c>
      <c r="C147" t="n">
        <v>2</v>
      </c>
      <c r="D147" t="inlineStr">
        <is>
          <t>Critical Rate %</t>
        </is>
      </c>
      <c r="E147" t="n">
        <v>6</v>
      </c>
      <c r="F147" t="n">
        <v>0.6</v>
      </c>
      <c r="G147" t="b">
        <v>1</v>
      </c>
      <c r="H147">
        <f>IF(AND(Inputs!$B$10+Artifacts!$B$32&gt;=100,NOT(ArtifactsInput!$M$42),NOT(ArtifactsInput!$M$24)),Sensitivity!H17,Sensitivity!H16)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IF(AND(Inputs!$B$10+Artifacts!$B$32&gt;=100,NOT(ArtifactsInput!$M$42),NOT(ArtifactsInput!$M$24)),Sensitivity!H17,Sensitivity!H16)</f>
        <v/>
      </c>
    </row>
    <row r="179">
      <c r="A179" t="inlineStr">
        <is>
          <t>ALL</t>
        </is>
      </c>
      <c r="B179" t="inlineStr">
        <is>
          <t>epic</t>
        </is>
      </c>
      <c r="C179" t="n">
        <v>3</v>
      </c>
      <c r="D179" t="inlineStr">
        <is>
          <t>Critical Rate %</t>
        </is>
      </c>
      <c r="E179" t="n">
        <v>6</v>
      </c>
      <c r="F179" t="n">
        <v>0.2</v>
      </c>
      <c r="G179" t="b">
        <v>1</v>
      </c>
      <c r="H179">
        <f>IF(AND(Inputs!$B$10+Artifacts!$B$32&gt;=100,NOT(ArtifactsInput!$M$42),NOT(ArtifactsInput!$M$24)),Sensitivity!H17,Sensitivity!H16)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IF(AND(Inputs!$B$10+Artifacts!$B$32&gt;=100,NOT(ArtifactsInput!$M$42),NOT(ArtifactsInput!$M$24)),Sensitivity!H17,Sensitivity!H16)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IF(AND(Inputs!$B$10+Artifacts!$B$32&gt;=100,NOT(ArtifactsInput!$M$42),NOT(ArtifactsInput!$M$24)),Sensitivity!H17,Sensitivity!H16)</f>
        <v/>
      </c>
    </row>
    <row r="227">
      <c r="A227" t="inlineStr">
        <is>
          <t>ALL</t>
        </is>
      </c>
      <c r="B227" t="inlineStr">
        <is>
          <t>unique</t>
        </is>
      </c>
      <c r="C227" t="n">
        <v>2</v>
      </c>
      <c r="D227" t="inlineStr">
        <is>
          <t>Critical Rate %</t>
        </is>
      </c>
      <c r="E227" t="n">
        <v>9</v>
      </c>
      <c r="F227" t="n">
        <v>0.6</v>
      </c>
      <c r="G227" t="b">
        <v>1</v>
      </c>
      <c r="H227">
        <f>IF(AND(Inputs!$B$10+Artifacts!$B$32&gt;=100,NOT(ArtifactsInput!$M$42),NOT(ArtifactsInput!$M$24)),Sensitivity!H17,Sensitivity!H16)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IF(AND(Inputs!$B$10+Artifacts!$B$32&gt;=100,NOT(ArtifactsInput!$M$42),NOT(ArtifactsInput!$M$24)),Sensitivity!H17,Sensitivity!H16)</f>
        <v/>
      </c>
    </row>
    <row r="259">
      <c r="A259" t="inlineStr">
        <is>
          <t>ALL</t>
        </is>
      </c>
      <c r="B259" t="inlineStr">
        <is>
          <t>unique</t>
        </is>
      </c>
      <c r="C259" t="n">
        <v>3</v>
      </c>
      <c r="D259" t="inlineStr">
        <is>
          <t>Critical Rate %</t>
        </is>
      </c>
      <c r="E259" t="n">
        <v>9</v>
      </c>
      <c r="F259" t="n">
        <v>0.2</v>
      </c>
      <c r="G259" t="b">
        <v>1</v>
      </c>
      <c r="H259">
        <f>IF(AND(Inputs!$B$10+Artifacts!$B$32&gt;=100,NOT(ArtifactsInput!$M$42),NOT(ArtifactsInput!$M$24)),Sensitivity!H17,Sensitivity!H16)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IF(AND(Inputs!$B$10+Artifacts!$B$32&gt;=100,NOT(ArtifactsInput!$M$42),NOT(ArtifactsInput!$M$24)),Sensitivity!H17,Sensitivity!H16)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IF(AND(Inputs!$B$10+Artifacts!$B$32&gt;=100,NOT(ArtifactsInput!$M$42),NOT(ArtifactsInput!$M$24)),Sensitivity!H17,Sensitivity!H16)</f>
        <v/>
      </c>
    </row>
    <row r="307">
      <c r="A307" t="inlineStr">
        <is>
          <t>ALL</t>
        </is>
      </c>
      <c r="B307" t="inlineStr">
        <is>
          <t>legendary</t>
        </is>
      </c>
      <c r="C307" t="n">
        <v>2</v>
      </c>
      <c r="D307" t="inlineStr">
        <is>
          <t>Critical Rate %</t>
        </is>
      </c>
      <c r="E307" t="n">
        <v>12</v>
      </c>
      <c r="F307" t="n">
        <v>0.6</v>
      </c>
      <c r="G307" t="b">
        <v>1</v>
      </c>
      <c r="H307">
        <f>IF(AND(Inputs!$B$10+Artifacts!$B$32&gt;=100,NOT(ArtifactsInput!$M$42),NOT(ArtifactsInput!$M$24)),Sensitivity!H17,Sensitivity!H16)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IF(AND(Inputs!$B$10+Artifacts!$B$32&gt;=100,NOT(ArtifactsInput!$M$42),NOT(ArtifactsInput!$M$24)),Sensitivity!H17,Sensitivity!H16)</f>
        <v/>
      </c>
    </row>
    <row r="339">
      <c r="A339" t="inlineStr">
        <is>
          <t>ALL</t>
        </is>
      </c>
      <c r="B339" t="inlineStr">
        <is>
          <t>legendary</t>
        </is>
      </c>
      <c r="C339" t="n">
        <v>3</v>
      </c>
      <c r="D339" t="inlineStr">
        <is>
          <t>Critical Rate %</t>
        </is>
      </c>
      <c r="E339" t="n">
        <v>12</v>
      </c>
      <c r="F339" t="n">
        <v>0.2</v>
      </c>
      <c r="G339" t="b">
        <v>1</v>
      </c>
      <c r="H339">
        <f>IF(AND(Inputs!$B$10+Artifacts!$B$32&gt;=100,NOT(ArtifactsInput!$M$42),NOT(ArtifactsInput!$M$24)),Sensitivity!H17,Sensitivity!H16)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IF(AND(Inputs!$B$10+Artifacts!$B$32&gt;=100,NOT(ArtifactsInput!$M$42),NOT(ArtifactsInput!$M$24)),Sensitivity!H17,Sensitivity!H16)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IF(AND(Inputs!$B$10+Artifacts!$B$32&gt;=100,NOT(ArtifactsInput!$M$42),NOT(ArtifactsInput!$M$24)),Sensitivity!H17,Sensitivity!H16)</f>
        <v/>
      </c>
    </row>
    <row r="387">
      <c r="A387" t="inlineStr">
        <is>
          <t>ALL</t>
        </is>
      </c>
      <c r="B387" t="inlineStr">
        <is>
          <t>mystic</t>
        </is>
      </c>
      <c r="C387" t="n">
        <v>2</v>
      </c>
      <c r="D387" t="inlineStr">
        <is>
          <t>Critical Rate %</t>
        </is>
      </c>
      <c r="E387" t="n">
        <v>15</v>
      </c>
      <c r="F387" t="n">
        <v>0.6</v>
      </c>
      <c r="G387" t="b">
        <v>1</v>
      </c>
      <c r="H387">
        <f>IF(AND(Inputs!$B$10+Artifacts!$B$32&gt;=100,NOT(ArtifactsInput!$M$42),NOT(ArtifactsInput!$M$24)),Sensitivity!H17,Sensitivity!H16)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IF(AND(Inputs!$B$10+Artifacts!$B$32&gt;=100,NOT(ArtifactsInput!$M$42),NOT(ArtifactsInput!$M$24)),Sensitivity!H17,Sensitivity!H16)</f>
        <v/>
      </c>
    </row>
    <row r="419">
      <c r="A419" t="inlineStr">
        <is>
          <t>ALL</t>
        </is>
      </c>
      <c r="B419" t="inlineStr">
        <is>
          <t>mystic</t>
        </is>
      </c>
      <c r="C419" t="n">
        <v>3</v>
      </c>
      <c r="D419" t="inlineStr">
        <is>
          <t>Critical Rate %</t>
        </is>
      </c>
      <c r="E419" t="n">
        <v>15</v>
      </c>
      <c r="F419" t="n">
        <v>0.2</v>
      </c>
      <c r="G419" t="b">
        <v>1</v>
      </c>
      <c r="H419">
        <f>IF(AND(Inputs!$B$10+Artifacts!$B$32&gt;=100,NOT(ArtifactsInput!$M$42),NOT(ArtifactsInput!$M$24)),Sensitivity!H17,Sensitivity!H16)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2026-10-22T16:26:39Z</dcterms:created>
  <dcterms:modified xsi:type="dcterms:W3CDTF">2026-10-22T16:26:39Z</dcterms:modified>
</cp:coreProperties>
</file>