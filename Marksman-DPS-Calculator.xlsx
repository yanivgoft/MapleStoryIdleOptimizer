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Marksman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Critical Shot, Archer Mastery, Bow Acceleration, Physical Training, Bow Mastery, Extreme Archery/Reckless Hunt: Bow's own Final Damage component, Armor Break, Bow Expert, and Soul Arrow: Bow's own DEX/Attack bonuses are always-on passives assumed to already be reflected in your own Inputs stat entries — only their Sensitivity marginal delta (what changes if their mastery level differs from what you assumed) is modeled live, matching this project's established convention (see build_shadower_workbook.py's own README). Soul Arrow: Bow's flat DEX bonus specifically has NO Sensitivity delta row (no percentage-bucket exists for a flat sub-stat bonus in this template) — just assume your own Inputs!Flat DEX already includes it.</t>
        </is>
      </c>
    </row>
    <row r="11">
      <c r="A11" s="2" t="inlineStr">
        <is>
          <t>Concentration ("Focused Fury" in the Aug 13 patch notes — same skill, wiki and Nexon's own English patch notes use different names) and Mortal Blow are both modeled at steady-state maximum stacks/uptime once unlocked, not as exact stack-timer/hit-counter state machines — the same simplification tier as every other accumulating-stack mechanic in this project.</t>
        </is>
      </c>
    </row>
    <row r="12">
      <c r="A12" s="2" t="inlineStr">
        <is>
          <t>Arrow Platter's per-level damage curve is confirmed via idle.maplestorywiki.net/w/Quiver_Flow (the skill's real curve lives under an old/alternate page name — its current-name page, .../w/Arrow_Platter, is a wiki content bug rendering Wind Arrow II's data instead). Its real cooldown (40s, not 60s) came from that same page's infobox.</t>
        </is>
      </c>
    </row>
    <row r="13">
      <c r="A13" s="2" t="inlineStr">
        <is>
          <t>Quiver Cartridge's Attack-Speed-scaled tick rate uses the English wiki wording ('up to 0.4 times based on Attack Speed') over the Korean text's disagreeing 'up to 2x', per user direction — tick multiplier = 1+0.4*(TotalAS%/150), same 150%-AS cap as Actions Per Second. Flash Mirage's own Attack-Speed-scaled activation-chance text is separately still too vague/self-contradictory (English vs. Korean disagree) to model precisely — it uses a flat, non-AS-scaled proc rate instead, flagged as a simplification.</t>
        </is>
      </c>
    </row>
    <row r="14">
      <c r="A14" s="2" t="inlineStr">
        <is>
          <t>Final Attack: Bow + Advanced Final Attack are folded into Empowered Piercing Arrow's own coefficient as a steady-state average addition, not modeled as an independent damage pipeline with its own separate Final Damage chain.</t>
        </is>
      </c>
    </row>
    <row r="15">
      <c r="A15" s="2" t="inlineStr">
        <is>
          <t>Maple Hero's own per-level scaling curve is confirmed via idle.maplestorywiki.net/w/Maple_Hero_(Marksman) — all three target skills (Arrow Platter/Phoenix/Covering Fire) scale by the identical ratio at every level, so one shared curve covers all three.</t>
        </is>
      </c>
    </row>
    <row r="16">
      <c r="A16" s="2" t="inlineStr">
        <is>
          <t>Monster Type blends Boss/Normal Monster Damage% by the Chapter Breakthrough weight %; PvP forces a fixed 15-second window regardless of the Fixed Fight Duration input.</t>
        </is>
      </c>
    </row>
    <row r="17">
      <c r="A17" s="2" t="inlineStr">
        <is>
          <t>Not modeled (out of scope): all forms of crowd control, Accuracy, Evasion, Defense reduction/penetration debuffs on the character's own Defense stat, movement speed, Illusion Step's own Evasion/damage-taken-reduction phase, and Companion Summoning Time.</t>
        </is>
      </c>
    </row>
    <row r="18">
      <c r="A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16" customWidth="1" min="2" max="2"/>
  </cols>
  <sheetData>
    <row r="1">
      <c r="A1" s="4" t="inlineStr">
        <is>
          <t>Marksman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Archer Mastery/Bow Acceleration)</t>
        </is>
      </c>
      <c r="B10" s="6" t="n">
        <v>0</v>
      </c>
    </row>
    <row r="11">
      <c r="A11" s="5" t="inlineStr">
        <is>
          <t>Flat DEX (include Soul Arrow: Bow's own bonus if unlocked)</t>
        </is>
      </c>
      <c r="B11" s="6" t="n">
        <v>0</v>
      </c>
    </row>
    <row r="12">
      <c r="A12" s="5" t="inlineStr">
        <is>
          <t>DEX %</t>
        </is>
      </c>
      <c r="B12" s="6" t="n">
        <v>0</v>
      </c>
    </row>
    <row r="13">
      <c r="A13" s="5" t="inlineStr">
        <is>
          <t>STR</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9"/>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NormalMonsterTargets</t>
        </is>
      </c>
      <c r="S1" s="8" t="inlineStr">
        <is>
          <t>BuffTargetStat</t>
        </is>
      </c>
      <c r="T1" s="8" t="inlineStr">
        <is>
          <t>BuffDuration(s)</t>
        </is>
      </c>
      <c r="U1" s="8" t="inlineStr">
        <is>
          <t>TriggersBoltSurplus</t>
        </is>
      </c>
      <c r="V1" s="8" t="inlineStr">
        <is>
          <t>MapleHeroBase(tenths%)</t>
        </is>
      </c>
      <c r="W1" s="8" t="inlineStr">
        <is>
          <t>MapleHeroFactorIndex</t>
        </is>
      </c>
      <c r="X1" s="8" t="inlineStr">
        <is>
          <t>Note</t>
        </is>
      </c>
    </row>
    <row r="2">
      <c r="A2" t="inlineStr">
        <is>
          <t>EMPOWERED_PIERCING_ARROW</t>
        </is>
      </c>
      <c r="B2" t="inlineStr">
        <is>
          <t>Empowered Piercing Arrow</t>
        </is>
      </c>
      <c r="C2" t="n">
        <v>4</v>
      </c>
      <c r="D2" t="inlineStr"/>
      <c r="E2" t="b">
        <v>0</v>
      </c>
      <c r="F2" t="n">
        <v>1</v>
      </c>
      <c r="G2">
        <f>IF(Inputs!$B$3&gt;=134,6,5)</f>
        <v/>
      </c>
      <c r="H2" t="n">
        <v>0</v>
      </c>
      <c r="I2" t="n">
        <v>0</v>
      </c>
      <c r="J2" t="n">
        <v>100</v>
      </c>
      <c r="K2" t="n">
        <v>1</v>
      </c>
      <c r="L2" t="n">
        <v>2900</v>
      </c>
      <c r="M2" t="n">
        <v>21</v>
      </c>
      <c r="N2" t="b">
        <v>1</v>
      </c>
      <c r="O2">
        <f>Calc!F3*IF(Calc!C3=TRUE,1,0)/100*(1+Calc!F4*IF(Calc!C4=TRUE,1,0)/100)*25+SUMPRODUCT((Inputs!$B$3&gt;={98,104,113,118,126,130})*{10,1,1,1,1,1})</f>
        <v/>
      </c>
      <c r="P2">
        <f>SUMPRODUCT((Inputs!$B$3&gt;={108,122})*{10,10})</f>
        <v/>
      </c>
      <c r="Q2" t="n">
        <v>0</v>
      </c>
      <c r="R2">
        <f>6+Inputs!$B$32</f>
        <v/>
      </c>
      <c r="S2" t="inlineStr"/>
      <c r="T2" t="n">
        <v>0</v>
      </c>
      <c r="U2" t="b">
        <v>1</v>
      </c>
      <c r="V2" t="inlineStr"/>
      <c r="W2" t="inlineStr"/>
      <c r="X2" t="inlineStr">
        <is>
          <t>4th-job basic-attack effect (supersedes Piercing Arrow/Piercing Arrow II/Arrow Blow, confirmed identical wiki wording — 290% damage to 6 target(s) in front 5 time(s) — to every other class's own 4th-job basic attack, including Bowmaster's own Arrow Stream). factorIndex 21, baseDamage 2900 tenths%. HitsPerCast = 5 (the wiki's own 'time(s)' figure), bumping to 6 once Mastery Lv.134 'Empowered Piercing Arrow - Strike' unlocks (confirmed via Marksman/Mastery this session — same pattern/level as Bowmaster's own Arrow Stream and Night Lord's own Showdown). SkillMasteryBonus% combines Final Attack: Crossbow + Advanced Final Attack's own steady-state contribution (ProcChance x AdditionalDamage% x (1+AdvancedFD%/100) x 25, the x25 converting Final Attack's own attack-triggered percentage into an equivalent addition to Empowered Piercing Arrow's per-hit coefficient at its own 5-hit-per-cast rate) PLUS the real level-gated Damage mastery chain (98/104/113/118/126/130, cumulative +10/11/12/13/14/15% per the wiki's own tooltip display — level_gated_sum uses DELTA increments (10, then +1 five times) to reproduce that cumulative curve, not the raw displayed percentages summed directly, same convention as Night Lord's own Showdown mastery and Bowmaster's own Arrow Stream mastery; an earlier version of this row summed the raw displayed values directly, giving a wrong 75% total instead of the correct 15% — caught and fixed during this session's own cross-check against Night Lord's established precedent). MasteryBossDamage% is the real Boss Monster Damage mastery sum (+10/10% at Lv.108/122, 20% total). TriggersBoltSurplus=TRUE — this row's own HitRate(perSec) feeds Bolt Surplus's combined dual-trigger rate.</t>
        </is>
      </c>
    </row>
    <row r="3">
      <c r="A3" t="inlineStr">
        <is>
          <t>FINAL_ATTACK_CROSSBOW_HELPER</t>
        </is>
      </c>
      <c r="B3" t="inlineStr">
        <is>
          <t>Final Attack: Crossbow (helper)</t>
        </is>
      </c>
      <c r="C3" t="n">
        <v>2</v>
      </c>
      <c r="D3" t="inlineStr"/>
      <c r="E3" t="b">
        <v>0</v>
      </c>
      <c r="F3" t="n">
        <v>1</v>
      </c>
      <c r="G3" t="n">
        <v>1</v>
      </c>
      <c r="H3" t="n">
        <v>0</v>
      </c>
      <c r="I3" t="n">
        <v>0</v>
      </c>
      <c r="J3" t="n">
        <v>100</v>
      </c>
      <c r="K3" t="n">
        <v>1</v>
      </c>
      <c r="L3" t="n">
        <v>350</v>
      </c>
      <c r="M3" t="n">
        <v>21</v>
      </c>
      <c r="N3" t="b">
        <v>1</v>
      </c>
      <c r="O3">
        <f>SUMPRODUCT((Inputs!$B$3&gt;={52})*{50})</f>
        <v/>
      </c>
      <c r="P3" t="n">
        <v>0</v>
      </c>
      <c r="Q3" t="n">
        <v>0</v>
      </c>
      <c r="R3" t="n">
        <v>0</v>
      </c>
      <c r="S3" t="inlineStr"/>
      <c r="T3" t="n">
        <v>0</v>
      </c>
      <c r="U3" t="b">
        <v>0</v>
      </c>
      <c r="V3" t="inlineStr"/>
      <c r="W3" t="inlineStr"/>
      <c r="X3" t="inlineStr">
        <is>
          <t>Helper row only (no independent O-column DPS) — feeds Empowered Piercing Arrow's own coefficient. 25% chance, 35%-&gt;49% additional damage (levels 1-100), shared-value-different-key w/ Bowmaster's own Final Attack: Bow (confirmed identical curve via its own individual page). factorIndex 21, baseDamage 350 tenths%. Mastery Lv.52 'Final Attack - Damage' +50% (real SkillMasteryBonus%, confirmed via Marksman/Mastery this session — a bonus Bowmaster's own equivalent helper row may also be missing, not checked this session). Not otherwise patched (Aug 13 2026 patch notes make no mention of this skill).</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SUMPRODUCT((Inputs!$B$3&gt;={111})*{50})</f>
        <v/>
      </c>
      <c r="P4" t="n">
        <v>0</v>
      </c>
      <c r="Q4" t="n">
        <v>0</v>
      </c>
      <c r="R4" t="n">
        <v>0</v>
      </c>
      <c r="S4" t="inlineStr"/>
      <c r="T4" t="n">
        <v>0</v>
      </c>
      <c r="U4" t="b">
        <v>0</v>
      </c>
      <c r="V4" t="inlineStr"/>
      <c r="W4" t="inlineStr"/>
      <c r="X4" t="inlineStr">
        <is>
          <t>Helper row only — feeds Empowered Piercing Arrow's own coefficient (Final Attack's own Final Damage bonus). +500%-&gt;900% FD (levels 1-200), shared verbatim w/ Bowmaster (confirmed identical curve via its own individual page). factorIndex 21, baseDamage 5000 tenths%. Mastery Lv.111 'Advanced Final Attack - Enhance' +50% (real SkillMasteryBonus%, confirmed via Marksman/Mastery this session — Bowmaster's own equivalent helper row is missing this bonus, flagged for the coordinator, not fixed here).</t>
        </is>
      </c>
    </row>
    <row r="5">
      <c r="A5" t="inlineStr">
        <is>
          <t>COVERING_FIRE</t>
        </is>
      </c>
      <c r="B5" t="inlineStr">
        <is>
          <t>Covering Fire</t>
        </is>
      </c>
      <c r="C5" t="n">
        <v>1</v>
      </c>
      <c r="D5" t="n">
        <v>19</v>
      </c>
      <c r="E5" t="b">
        <v>1</v>
      </c>
      <c r="F5" t="n">
        <v>1</v>
      </c>
      <c r="G5" t="n">
        <v>3</v>
      </c>
      <c r="H5" t="n">
        <v>0</v>
      </c>
      <c r="I5" t="n">
        <v>0</v>
      </c>
      <c r="J5" t="n">
        <v>100</v>
      </c>
      <c r="K5" t="n">
        <v>1</v>
      </c>
      <c r="L5" t="n">
        <v>2500</v>
      </c>
      <c r="M5" t="n">
        <v>12</v>
      </c>
      <c r="N5" t="b">
        <v>1</v>
      </c>
      <c r="O5">
        <f>SUMPRODUCT((Inputs!$B$3&gt;={39})*{50})</f>
        <v/>
      </c>
      <c r="P5" t="n">
        <v>0</v>
      </c>
      <c r="Q5" t="n">
        <v>0</v>
      </c>
      <c r="R5" t="n">
        <v>1</v>
      </c>
      <c r="S5" t="inlineStr"/>
      <c r="T5" t="n">
        <v>0</v>
      </c>
      <c r="U5" t="b">
        <v>0</v>
      </c>
      <c r="V5" t="n">
        <v>250</v>
      </c>
      <c r="W5" t="n">
        <v>0</v>
      </c>
      <c r="X5" t="inlineStr">
        <is>
          <t>Shared verbatim w/ Bowmaster (identical name AND numbers both classes, confirmed via its own Marksman-side page 'Retreat_Shot' this session, and via the patch notes' own shared 'Covering Fire' entry). 250%-&gt;375% damage x3 hits (levels 1-100), 19s cooldown. factorIndex 12, baseDamage 2500 tenths%. Mastery Lv.39 'Covering Fire - Damage' +50% (real SkillMasteryBonus%). Patched: skill use range +~20% (not modeled). Maple Hero target — see MAPLE_HERO_RATIOS (biggest share, 4x Bolt Burst's own share).</t>
        </is>
      </c>
    </row>
    <row r="6">
      <c r="A6" t="inlineStr">
        <is>
          <t>BOLT_BURST</t>
        </is>
      </c>
      <c r="B6" t="inlineStr">
        <is>
          <t>Bolt Burst</t>
        </is>
      </c>
      <c r="C6" t="n">
        <v>3</v>
      </c>
      <c r="D6" t="n">
        <v>21</v>
      </c>
      <c r="E6" t="b">
        <v>1</v>
      </c>
      <c r="F6" t="n">
        <v>1</v>
      </c>
      <c r="G6" t="n">
        <v>3</v>
      </c>
      <c r="H6" t="n">
        <v>0</v>
      </c>
      <c r="I6" t="n">
        <v>0</v>
      </c>
      <c r="J6" t="n">
        <v>100</v>
      </c>
      <c r="K6" t="n">
        <v>1</v>
      </c>
      <c r="L6" t="n">
        <v>4500</v>
      </c>
      <c r="M6" t="n">
        <v>12</v>
      </c>
      <c r="N6" t="b">
        <v>1</v>
      </c>
      <c r="O6">
        <f>SUMPRODUCT((Inputs!$B$3&gt;={66})*{50})</f>
        <v/>
      </c>
      <c r="P6" t="n">
        <v>0</v>
      </c>
      <c r="Q6" t="n">
        <v>0</v>
      </c>
      <c r="R6" t="n">
        <v>10</v>
      </c>
      <c r="S6" t="inlineStr"/>
      <c r="T6" t="n">
        <v>0</v>
      </c>
      <c r="U6" t="b">
        <v>0</v>
      </c>
      <c r="V6" t="n">
        <v>250</v>
      </c>
      <c r="W6" t="n">
        <v>0</v>
      </c>
      <c r="X6" t="inlineStr">
        <is>
          <t>Real page name is 'Bolt Flash' (confirmed via the Marksman/Skills overview page's own &lt;a href&gt; link — same 'display name differs from page slug' pattern as Bowmaster's own Arrow Platter/Quiver Flow, though this page itself is NOT bugged, its content matches its own infobox/description correctly). 'Shoots arrows in multiple directions to deal 450% damage to 10 nearby target(s) 3 time(s)', 21s cooldown. PATCHED: base damage 380%-&gt;450% (curve rescaled 450/380=1.1842x before reverse-engineering — factorIndex 12, baseDamage 4500 tenths% already reflects the patched value), attack range +~15% (not modeled). Mastery Lv.66 'Bolt Burst - Damage' +50% (real SkillMasteryBonus%). Maple Hero target — see MAPLE_HERO_RATIOS.</t>
        </is>
      </c>
    </row>
    <row r="7">
      <c r="A7" t="inlineStr">
        <is>
          <t>FROSTPREY</t>
        </is>
      </c>
      <c r="B7" t="inlineStr">
        <is>
          <t>Frostprey</t>
        </is>
      </c>
      <c r="C7" t="n">
        <v>3</v>
      </c>
      <c r="D7">
        <f>IF(Inputs!$B$3&gt;=102,60*0.6,60)</f>
        <v/>
      </c>
      <c r="E7" t="b">
        <v>1</v>
      </c>
      <c r="F7" t="n">
        <v>1</v>
      </c>
      <c r="G7" t="n">
        <v>1</v>
      </c>
      <c r="H7" t="n">
        <v>1.5</v>
      </c>
      <c r="I7" t="n">
        <v>30</v>
      </c>
      <c r="J7" t="n">
        <v>100</v>
      </c>
      <c r="K7" t="n">
        <v>1</v>
      </c>
      <c r="L7" t="n">
        <v>3000</v>
      </c>
      <c r="M7" t="n">
        <v>12</v>
      </c>
      <c r="N7" t="b">
        <v>1</v>
      </c>
      <c r="O7">
        <f>SUMPRODUCT((Inputs!$B$3&gt;={80})*{50})</f>
        <v/>
      </c>
      <c r="P7" t="n">
        <v>0</v>
      </c>
      <c r="Q7">
        <f>IF(Inputs!$B$3&gt;=92,100,0)</f>
        <v/>
      </c>
      <c r="R7">
        <f>3+IF(Inputs!$B$3&gt;=76,2,0)</f>
        <v/>
      </c>
      <c r="S7" t="inlineStr"/>
      <c r="T7" t="n">
        <v>0</v>
      </c>
      <c r="U7" t="b">
        <v>0</v>
      </c>
      <c r="V7" t="n">
        <v>250</v>
      </c>
      <c r="W7" t="n">
        <v>0</v>
      </c>
      <c r="X7" t="inlineStr">
        <is>
          <t>Real page name is 'Freezer' (confirmed via the Marksman/Skills overview page's own href link — same page-name-differs-from-display-name pattern as Bowmaster's own Arrow Platter/Quiver Flow). Summons Frostprey, attacks nearby targets on a periodic tick (EffectiveHits = HitsPerCast x (ActiveWindow/ICD), same mechanism as FP-Mage/ILM's own summon rows and Bowmaster's own Phoenix). PATCHED: hit interval 3s-&gt;1.5s (baked into ICD(s) directly, confirmed via the PDF as belonging to Frostprey itself, not Bolt Burst — resolves the prior session's own Frostprey/Bolt Burst pairing ambiguity), damage 600%-&gt;300% (curve rescaled 300/600=0.5x before reverse-engineering — factorIndex 12, baseDamage 3000 tenths% already reflects the patched value), freeze chance 20%-&gt;10% (CC, not modeled), duration 20s-&gt;30s (target detection range +~25% not modeled). Cooldown 60s, Mastery Lv.102 'Frostprey - Reuse' -50%-&gt;-40% per the patch (this session's own live wiki fetch confirms the mastery sits at level 102, not the PDF section header's stated 'Lv.104' — same judgment call Bowmaster's own build already made for its analogous Phoenix - Reuse mastery, trusting the wiki's level-threshold table over the PDF's own row-label level). Mastery Lv.76 'Frostprey - Target' +2 targets (base 3, wiki-confirmed — NOT the same +3 Bowmaster's own Phoenix gets at its own Lv.76 slot, a genuine per-class difference despite the shared level number), Lv.80 'Frostprey - Damage' +50% (real SkillMasteryBonus%), Lv.92 'Frostprey - Normal Monster Damage' +100%p (own MasteryNormalDamage%, scoped to this row only — not the global bucket). Maple Hero target — see MAPLE_HERO_RATIOS.</t>
        </is>
      </c>
    </row>
    <row r="8">
      <c r="A8" t="inlineStr">
        <is>
          <t>MAPLE_HERO_HELPER</t>
        </is>
      </c>
      <c r="B8" t="inlineStr">
        <is>
          <t>Maple Hero (helper)</t>
        </is>
      </c>
      <c r="C8" t="n">
        <v>4</v>
      </c>
      <c r="D8" t="inlineStr"/>
      <c r="E8" t="b">
        <v>0</v>
      </c>
      <c r="F8" t="n">
        <v>1</v>
      </c>
      <c r="G8" t="n">
        <v>1</v>
      </c>
      <c r="H8" t="n">
        <v>0</v>
      </c>
      <c r="I8" t="n">
        <v>0</v>
      </c>
      <c r="J8" t="n">
        <v>100</v>
      </c>
      <c r="K8" t="n">
        <v>1</v>
      </c>
      <c r="L8" t="n">
        <v>250</v>
      </c>
      <c r="M8" t="n">
        <v>23</v>
      </c>
      <c r="N8" t="b">
        <v>1</v>
      </c>
      <c r="O8" t="n">
        <v>0</v>
      </c>
      <c r="P8" t="n">
        <v>0</v>
      </c>
      <c r="Q8" t="n">
        <v>0</v>
      </c>
      <c r="R8" t="n">
        <v>0</v>
      </c>
      <c r="S8" t="inlineStr"/>
      <c r="T8" t="n">
        <v>0</v>
      </c>
      <c r="U8" t="b">
        <v>0</v>
      </c>
      <c r="V8" t="inlineStr"/>
      <c r="W8" t="inlineStr"/>
      <c r="X8" t="inlineStr">
        <is>
          <t>Shared ratio-feeder row (see MAPLE_HERO_RATIOS) for Bolt Burst/Frostprey/Covering Fire's own Final Damage chains — mirrors Shadower's own MAPLE_HERO_SHADOWER mechanism and Bowmaster's own MAPLE_HERO_HELPER. Confirmed this session via idle.maplestorywiki.net/w/Maple_Hero_(Marksman): uses the EXACT SAME numbers as Maple Hero (Bowmaster) at every level (not just the same ratio-shape), so this row's own (baseDamage, factorIndex) tuple is reused verbatim (factorIndex 23/baseDamage 250 tenths%, 0% residual). No independent DPS row of its own (Calc columns J-N blank/0, only D/E/F computed, read directly by each target row's own K-column formula — same 'no independent row' pattern as Shadower's own Maple Hero).</t>
        </is>
      </c>
    </row>
    <row r="9">
      <c r="A9" t="inlineStr">
        <is>
          <t>SNIPE</t>
        </is>
      </c>
      <c r="B9" t="inlineStr">
        <is>
          <t>Snipe</t>
        </is>
      </c>
      <c r="C9" t="n">
        <v>4</v>
      </c>
      <c r="D9" t="n">
        <v>12</v>
      </c>
      <c r="E9" t="b">
        <v>1</v>
      </c>
      <c r="F9" t="n">
        <v>1</v>
      </c>
      <c r="G9" t="n">
        <v>1</v>
      </c>
      <c r="H9" t="n">
        <v>0</v>
      </c>
      <c r="I9" t="n">
        <v>0</v>
      </c>
      <c r="J9" t="n">
        <v>100</v>
      </c>
      <c r="K9" t="n">
        <v>1</v>
      </c>
      <c r="L9" t="n">
        <v>38000</v>
      </c>
      <c r="M9" t="n">
        <v>12</v>
      </c>
      <c r="N9" t="b">
        <v>1</v>
      </c>
      <c r="O9">
        <f>SUMPRODUCT((Inputs!$B$3&gt;={106})*{50})+IF(Inputs!$B$3&gt;=134,570*(Calc!E9/1000),0)</f>
        <v/>
      </c>
      <c r="P9" t="n">
        <v>0</v>
      </c>
      <c r="Q9" t="n">
        <v>0</v>
      </c>
      <c r="R9" t="n">
        <v>1</v>
      </c>
      <c r="S9" t="inlineStr"/>
      <c r="T9" t="n">
        <v>0</v>
      </c>
      <c r="U9" t="b">
        <v>1</v>
      </c>
      <c r="V9" t="inlineStr"/>
      <c r="W9" t="inlineStr"/>
      <c r="X9" t="inlineStr">
        <is>
          <t>Single-target big hit: 'Aims at the target's vital point to deal 3800% damage', 12s cooldown (own wiki infobox), not patched. factorIndex 12, baseDamage 38000 tenths% (3800%-&gt;7600%, levels 1-200). Mastery Lv.106 'Snipe - Damage' +50% (real SkillMasteryBonus%). Mastery Lv.134 'Snipe - Empowered' (confirmed by user, not the wiki's own raw table order which mis-parsed as 132 due to this entry's unusually multi-part description cell): 'Leaves a mark on targets damaged by Snipe. When attacking marked targets with Snipe, deals {#expr:5700*(1+x*0.005)}% damage (Damage increases with Snipe skill level)' — resolves cleanly (0.44% max deviation) to the SAME factorIndex 12 as Snipe's own base curve, baseDamage 5700 tenths%, so it reuses Snipe's own Calc!E factor-lookup cell directly rather than needing a separate FactorTable lookup. Modeled at the same steady-state-always-active convention as Concentration/Mortal Blow, per user direction ('it's the same rate as the Snipe skill') — the mark persists across the single-target rotation this project already assumes, so every steady-state Snipe cast after unlock also deals this additive bonus. TriggersBoltSurplus=TRUE — this row's own HitRate(perSec) feeds Bolt Surplus's combined dual-trigger rate alongside Empowered Piercing Arrow.</t>
        </is>
      </c>
    </row>
    <row r="10">
      <c r="A10" t="inlineStr">
        <is>
          <t>BOLT_SURPLUS</t>
        </is>
      </c>
      <c r="B10" t="inlineStr">
        <is>
          <t>Bolt Surplus</t>
        </is>
      </c>
      <c r="C10" t="n">
        <v>4</v>
      </c>
      <c r="D10" t="inlineStr"/>
      <c r="E10" t="b">
        <v>0</v>
      </c>
      <c r="F10" t="n">
        <v>1</v>
      </c>
      <c r="G10">
        <f>2+IF(Inputs!$B$3&gt;=136,1,0)</f>
        <v/>
      </c>
      <c r="H10" t="n">
        <v>0</v>
      </c>
      <c r="I10" t="n">
        <v>0</v>
      </c>
      <c r="J10" t="n">
        <v>15</v>
      </c>
      <c r="K10" t="n">
        <v>1</v>
      </c>
      <c r="L10" t="n">
        <v>6500</v>
      </c>
      <c r="M10" t="n">
        <v>21</v>
      </c>
      <c r="N10" t="b">
        <v>1</v>
      </c>
      <c r="O10">
        <f>SUMPRODUCT((Inputs!$B$3&gt;={120})*{50})</f>
        <v/>
      </c>
      <c r="P10" t="n">
        <v>0</v>
      </c>
      <c r="Q10" t="n">
        <v>0</v>
      </c>
      <c r="R10">
        <f>3+IF(Inputs!$B$3&gt;=136,2,0)</f>
        <v/>
      </c>
      <c r="S10" t="inlineStr"/>
      <c r="T10" t="n">
        <v>0</v>
      </c>
      <c r="U10" t="b">
        <v>0</v>
      </c>
      <c r="V10" t="inlineStr"/>
      <c r="W10" t="inlineStr"/>
      <c r="X10" t="inlineStr">
        <is>
          <t>Dual-trigger proc: 'When attacking with Empowered Piercing Arrow and Snipe, an extra explosion occurs with a 15% [chance] to deal 650% damage to 3 nearby target(s) 2 time(s)', own wiki infobox lists 'Cooldown: 0.1 sec' (functionally non-restrictive vs. its own 15% proc gate — modeled with NO Cooldown(s) field at all, like Shadower's own Toxic Venom, since its O-column DPS bypasses the normal per-row cooldown/rate machinery entirely). Combined trigger rate = the summed per-second hit rate of every row flagged TriggersBoltSurplus=TRUE (Empowered Piercing Arrow + Snipe) — same SUMPRODUCT-over-a-boolean-column mechanism as Shadower's own TriggersToxicVenom, applied here to exactly two specific trigger sources instead of every damage row. Not patched. factorIndex 21, baseDamage 6500 tenths% (650%-&gt;1170%, levels 1-200). Mastery Lv.120 'Bolt Surplus - Damage' +50% (real SkillMasteryBonus%), Lv.136 'Bolt Surplus - Strike &amp; Target' +1 strike/+2 targets (HitsPerCast 2-&gt;3, NormalMonsterTargets 3-&gt;5, both live level-gated once Lv.136 hits).</t>
        </is>
      </c>
    </row>
    <row r="11">
      <c r="A11" t="inlineStr">
        <is>
          <t>ARROW_ILLUSION</t>
        </is>
      </c>
      <c r="B11" t="inlineStr">
        <is>
          <t>Arrow Illusion</t>
        </is>
      </c>
      <c r="C11" t="n">
        <v>4</v>
      </c>
      <c r="D11" t="n">
        <v>45</v>
      </c>
      <c r="E11" t="b">
        <v>1</v>
      </c>
      <c r="F11" t="n">
        <v>1</v>
      </c>
      <c r="G11" t="n">
        <v>1</v>
      </c>
      <c r="H11" t="n">
        <v>1.5</v>
      </c>
      <c r="I11" t="n">
        <v>25</v>
      </c>
      <c r="J11" t="n">
        <v>100</v>
      </c>
      <c r="K11" t="n">
        <v>1</v>
      </c>
      <c r="L11" t="n">
        <v>12000</v>
      </c>
      <c r="M11" t="n">
        <v>12</v>
      </c>
      <c r="N11" t="b">
        <v>1</v>
      </c>
      <c r="O11">
        <f>SUMPRODUCT((Inputs!$B$3&gt;={128})*{50})</f>
        <v/>
      </c>
      <c r="P11" t="n">
        <v>0</v>
      </c>
      <c r="Q11" t="n">
        <v>0</v>
      </c>
      <c r="R11" t="n">
        <v>10</v>
      </c>
      <c r="S11" t="inlineStr"/>
      <c r="T11" t="n">
        <v>0</v>
      </c>
      <c r="U11" t="b">
        <v>0</v>
      </c>
      <c r="V11" t="inlineStr"/>
      <c r="W11" t="inlineStr"/>
      <c r="X11" t="inlineStr">
        <is>
          <t>Channeled turret: 'Summons an illusionary arrow...binds nearby targets for 3 sec (CC, not modeled), and attacks 10 nearby target(s) every 3 sec for 25 sec to deal 2400% damage', 45s cooldown (own wiki infobox), same EffectiveHits tick mechanism as Frostprey/Bowmaster's own Phoenix. PATCHED: hit interval 3s-&gt;1.5s (baked into ICD(s)), damage 2400%-&gt;1200% (curve rescaled 1200/2400=0.5x before reverse-engineering — factorIndex 12, baseDamage 12000 tenths% already reflects the patched value), added 'max 1 placement at a time' (self-uptime cap already implicit in this project's single-instance summon treatment, no code change needed). Mastery Lv.128 'Arrow Illusion - Damage' +50% (real SkillMasteryBonus%; the same mastery tier also adds a bind-on-expiry CC effect, not modeled).</t>
        </is>
      </c>
    </row>
    <row r="12">
      <c r="A12" t="inlineStr">
        <is>
          <t>BLINK_BOLT</t>
        </is>
      </c>
      <c r="B12" t="inlineStr">
        <is>
          <t>Blink Bolt</t>
        </is>
      </c>
      <c r="C12" t="n">
        <v>3</v>
      </c>
      <c r="D12" t="inlineStr"/>
      <c r="E12" t="b">
        <v>0</v>
      </c>
      <c r="F12" t="n">
        <v>1</v>
      </c>
      <c r="G12" t="n">
        <v>1</v>
      </c>
      <c r="H12" t="n">
        <v>0</v>
      </c>
      <c r="I12" t="n">
        <v>0</v>
      </c>
      <c r="J12" t="n">
        <v>100</v>
      </c>
      <c r="K12" t="n">
        <v>1</v>
      </c>
      <c r="L12" t="n">
        <v>250</v>
      </c>
      <c r="M12" t="n">
        <v>22</v>
      </c>
      <c r="N12" t="b">
        <v>1</v>
      </c>
      <c r="O12" t="n">
        <v>0</v>
      </c>
      <c r="P12" t="n">
        <v>0</v>
      </c>
      <c r="Q12" t="n">
        <v>0</v>
      </c>
      <c r="R12" t="n">
        <v>0</v>
      </c>
      <c r="S12" t="inlineStr">
        <is>
          <t>ATTACK</t>
        </is>
      </c>
      <c r="T12" t="n">
        <v>0</v>
      </c>
      <c r="U12" t="b">
        <v>0</v>
      </c>
      <c r="V12" t="inlineStr"/>
      <c r="W12" t="inlineStr"/>
      <c r="X12" t="inlineStr">
        <is>
          <t>'Creates a special mark for 30 sec. While the mark lasts, increases Attack by 25%-&gt;40% (levels 1-200). When you use this skill again, you move to the mark's location and the mark disappears.' Own wiki infobox confirms Cooldown=10s (matches the prior session's own direct confirmation) — but the skill's own description is a TOGGLE (recast consumes/teleports the mark, ending the buff), not a typical refresh-on-recast buff like Nimble Feet. FLAGGED modeling caveat: this row is modeled as an unconditional always-on Attack% contribution (no duty-cycle/uptime computation at all, same treatment as Marksmanship's own unconditional half) per this session's directive to use the plan's own stated assumption ('since duration(30s) &gt; cooldown(10s), effectively a permanent buff at full uptime') rather than modeling the toggle mechanic's real alternating on/off behavior in auto-combat, which could plausibly yield a lower ~50% uptime instead — a human should revisit this if real gameplay data suggests otherwise. Not patched. factorIndex 22, baseDamage 250 tenths%. Teleport-movement component out of scope.</t>
        </is>
      </c>
    </row>
    <row r="13">
      <c r="A13" t="inlineStr">
        <is>
          <t>MARKSMANSHIP_BASE</t>
        </is>
      </c>
      <c r="B13" t="inlineStr">
        <is>
          <t>Marksmanship (unconditional half)</t>
        </is>
      </c>
      <c r="C13" t="n">
        <v>3</v>
      </c>
      <c r="D13" t="inlineStr"/>
      <c r="E13" t="b">
        <v>0</v>
      </c>
      <c r="F13" t="n">
        <v>1</v>
      </c>
      <c r="G13" t="n">
        <v>1</v>
      </c>
      <c r="H13" t="n">
        <v>0</v>
      </c>
      <c r="I13" t="n">
        <v>0</v>
      </c>
      <c r="J13" t="n">
        <v>100</v>
      </c>
      <c r="K13" t="n">
        <v>1</v>
      </c>
      <c r="L13" t="n">
        <v>100</v>
      </c>
      <c r="M13" t="n">
        <v>22</v>
      </c>
      <c r="N13" t="b">
        <v>1</v>
      </c>
      <c r="O13" t="n">
        <v>0</v>
      </c>
      <c r="P13" t="n">
        <v>0</v>
      </c>
      <c r="Q13" t="n">
        <v>0</v>
      </c>
      <c r="R13" t="n">
        <v>0</v>
      </c>
      <c r="S13" t="inlineStr">
        <is>
          <t>ATTACK</t>
        </is>
      </c>
      <c r="T13" t="n">
        <v>0</v>
      </c>
      <c r="U13" t="b">
        <v>0</v>
      </c>
      <c r="V13" t="inlineStr"/>
      <c r="W13" t="inlineStr"/>
      <c r="X13" t="inlineStr">
        <is>
          <t>PATCHED: 'Base Attack +10%, additional +10% when 1 target' replaces the old flat '+20% at 1 target only' wording — modeled as two separate rows (this unconditional half + MARKSMANSHIP_COND's conditional half), summed additively into the same Attack% bucket as Illusion Step (Verification item 6 — these must never multiply against each other). Half of the wiki's own pre-patch curve (10%-&gt;16%, levels 1-200), assumed symmetric 50/50 split at every level (the patch note only confirms the level-1 split, 10/10) — factorIndex 22, baseDamage 100 tenths%. Shared verbatim w/ Bowmaster (identical name, wording, and numbers confirmed both classes via the patch notes' own shared 'Marksmanship' entry, and via this session's own live fetch of Marksman's own Marksmanship page).</t>
        </is>
      </c>
    </row>
    <row r="14">
      <c r="A14" t="inlineStr">
        <is>
          <t>MARKSMANSHIP_COND</t>
        </is>
      </c>
      <c r="B14" t="inlineStr">
        <is>
          <t>Marksmanship (conditional half, 1 target)</t>
        </is>
      </c>
      <c r="C14" t="n">
        <v>3</v>
      </c>
      <c r="D14" t="inlineStr"/>
      <c r="E14" t="b">
        <v>0</v>
      </c>
      <c r="F14" t="n">
        <v>1</v>
      </c>
      <c r="G14" t="n">
        <v>1</v>
      </c>
      <c r="H14" t="n">
        <v>0</v>
      </c>
      <c r="I14" t="n">
        <v>0</v>
      </c>
      <c r="J14" t="n">
        <v>100</v>
      </c>
      <c r="K14" t="n">
        <v>1</v>
      </c>
      <c r="L14" t="n">
        <v>100</v>
      </c>
      <c r="M14" t="n">
        <v>22</v>
      </c>
      <c r="N14" t="b">
        <v>1</v>
      </c>
      <c r="O14" t="n">
        <v>0</v>
      </c>
      <c r="P14" t="n">
        <v>0</v>
      </c>
      <c r="Q14" t="n">
        <v>0</v>
      </c>
      <c r="R14" t="n">
        <v>0</v>
      </c>
      <c r="S14" t="inlineStr">
        <is>
          <t>ATTACK_COND_1TARGET</t>
        </is>
      </c>
      <c r="T14" t="n">
        <v>0</v>
      </c>
      <c r="U14" t="b">
        <v>0</v>
      </c>
      <c r="V14" t="inlineStr"/>
      <c r="W14" t="inlineStr"/>
      <c r="X14" t="inlineStr">
        <is>
          <t>Conditional half of Marksmanship's own patched Attack% bonus — blended via the same monster_blend_expr helper already used for Boss/Normal Monster Damage% (boss/pvp -&gt; full value, normal -&gt; 0, breakthrough -&gt; weighted), applied to the Attack% bucket instead. Same curve/tuple as MARKSMANSHIP_BASE (factorIndex 22, baseDamage 100 tenths%).</t>
        </is>
      </c>
    </row>
    <row r="15">
      <c r="A15" t="inlineStr">
        <is>
          <t>ILLUSION_STEP</t>
        </is>
      </c>
      <c r="B15" t="inlineStr">
        <is>
          <t>Illusion Step</t>
        </is>
      </c>
      <c r="C15" t="n">
        <v>4</v>
      </c>
      <c r="D15" t="n">
        <v>24</v>
      </c>
      <c r="E15" t="b">
        <v>0</v>
      </c>
      <c r="F15" t="n">
        <v>1</v>
      </c>
      <c r="G15" t="n">
        <v>1</v>
      </c>
      <c r="H15" t="n">
        <v>0</v>
      </c>
      <c r="I15" t="n">
        <v>0</v>
      </c>
      <c r="J15" t="n">
        <v>100</v>
      </c>
      <c r="K15" t="n">
        <v>1</v>
      </c>
      <c r="L15" t="n">
        <v>140</v>
      </c>
      <c r="M15" t="n">
        <v>22</v>
      </c>
      <c r="N15" t="b">
        <v>1</v>
      </c>
      <c r="O15" t="n">
        <v>0</v>
      </c>
      <c r="P15" t="n">
        <v>0</v>
      </c>
      <c r="Q15" t="n">
        <v>0</v>
      </c>
      <c r="R15" t="n">
        <v>0</v>
      </c>
      <c r="S15" t="inlineStr">
        <is>
          <t>ATTACK</t>
        </is>
      </c>
      <c r="T15" t="n">
        <v>15</v>
      </c>
      <c r="U15" t="b">
        <v>0</v>
      </c>
      <c r="V15" t="inlineStr"/>
      <c r="W15" t="inlineStr"/>
      <c r="X15" t="inlineStr">
        <is>
          <t>Cycling passive: Attack+14%-&gt;22.4% for 15s, then swaps to Evasion+15-&gt;24/damage taken -10%-&gt;16% for 9s (not modeled — those components have no mechanic anywhere in this calculator). Modeled as a duty-cycled buff (Cooldown(s)=24 = full 15+9s cycle length, BuffDuration(s)=15 = the Attack-active portion, giving a 0.625 duty-cycle uptime) — same buff_uptime machinery as every other timed buff in this project. factorIndex 22, baseDamage 140 tenths%. Not patched. Shared verbatim w/ Bowmaster (confirmed via this session's own live fetch of Marksman's own Illusion Step page).</t>
        </is>
      </c>
    </row>
    <row r="16">
      <c r="A16" t="inlineStr">
        <is>
          <t>SHARP_EYES</t>
        </is>
      </c>
      <c r="B16" t="inlineStr">
        <is>
          <t>Sharp Eyes</t>
        </is>
      </c>
      <c r="C16" t="n">
        <v>4</v>
      </c>
      <c r="D16" t="n">
        <v>35</v>
      </c>
      <c r="E16" t="b">
        <v>1</v>
      </c>
      <c r="F16" t="n">
        <v>1</v>
      </c>
      <c r="G16" t="n">
        <v>1</v>
      </c>
      <c r="H16" t="n">
        <v>0</v>
      </c>
      <c r="I16" t="n">
        <v>0</v>
      </c>
      <c r="J16" t="n">
        <v>100</v>
      </c>
      <c r="K16" t="n">
        <v>1</v>
      </c>
      <c r="L16" t="n">
        <v>400</v>
      </c>
      <c r="M16" t="n">
        <v>21</v>
      </c>
      <c r="N16" t="b">
        <v>1</v>
      </c>
      <c r="O16" t="n">
        <v>0</v>
      </c>
      <c r="P16" t="n">
        <v>0</v>
      </c>
      <c r="Q16" t="n">
        <v>0</v>
      </c>
      <c r="R16" t="n">
        <v>0</v>
      </c>
      <c r="S16" t="inlineStr">
        <is>
          <t>CRIT_DAMAGE</t>
        </is>
      </c>
      <c r="T16" t="n">
        <v>18</v>
      </c>
      <c r="U16" t="b">
        <v>0</v>
      </c>
      <c r="V16" t="inlineStr"/>
      <c r="W16" t="inlineStr"/>
      <c r="X16" t="inlineStr">
        <is>
          <t>Self-inclusive ally buff (matches Bishop's own 'allied players' precedent) — flat +20% Crit Rate (non-scaling, not represented in this row's own BaseDamage/FactorIndex; added directly as a hardcoded 20 in the Crit-Rate-bonus accumulator formula in build_summary_sheet) + scaling Crit Damage +40%-&gt;72% (levels 1-200, this row's own curve — factorIndex 21, baseDamage 400 tenths%) for 18s, cooldown 35s. Not patched. Shared verbatim w/ Bowmaster (confirmed via this session's own live fetch of Marksman's own Sharp Eyes page).</t>
        </is>
      </c>
    </row>
    <row r="17">
      <c r="A17" t="inlineStr">
        <is>
          <t>MORTAL_BLOW</t>
        </is>
      </c>
      <c r="B17" t="inlineStr">
        <is>
          <t>Mortal Blow</t>
        </is>
      </c>
      <c r="C17" t="n">
        <v>3</v>
      </c>
      <c r="D17" t="inlineStr"/>
      <c r="E17" t="b">
        <v>0</v>
      </c>
      <c r="F17" t="n">
        <v>1</v>
      </c>
      <c r="G17" t="n">
        <v>1</v>
      </c>
      <c r="H17" t="n">
        <v>0</v>
      </c>
      <c r="I17" t="n">
        <v>0</v>
      </c>
      <c r="J17" t="n">
        <v>100</v>
      </c>
      <c r="K17" t="n">
        <v>1</v>
      </c>
      <c r="L17" t="n">
        <v>120</v>
      </c>
      <c r="M17" t="n">
        <v>22</v>
      </c>
      <c r="N17" t="b">
        <v>1</v>
      </c>
      <c r="O17" t="n">
        <v>0</v>
      </c>
      <c r="P17" t="n">
        <v>0</v>
      </c>
      <c r="Q17" t="n">
        <v>0</v>
      </c>
      <c r="R17" t="n">
        <v>0</v>
      </c>
      <c r="S17" t="inlineStr">
        <is>
          <t>FINAL_DAMAGE</t>
        </is>
      </c>
      <c r="T17" t="n">
        <v>0</v>
      </c>
      <c r="U17" t="b">
        <v>0</v>
      </c>
      <c r="V17" t="inlineStr"/>
      <c r="W17" t="inlineStr"/>
      <c r="X17" t="inlineStr">
        <is>
          <t>Upon attacking a target directly 40 times, +10%-&gt;16%(pre-patch curve) FD for 5s. Modeled at steady state (assumed always active once unlocked), not an exact hit-counter/timer state machine — same simplification tier every other steady-state buff in this project uses. PATCHED: base 10%-&gt;12% (curve rescaled 12/10=1.2x before reverse-engineering — factorIndex 22, baseDamage 120 tenths% already reflects the patched value). Shared verbatim w/ Bowmaster (confirmed via this session's own live fetch of Marksman's own Mortal Blow page).</t>
        </is>
      </c>
    </row>
    <row r="18">
      <c r="A18" t="inlineStr">
        <is>
          <t>NIMBLE_FEET</t>
        </is>
      </c>
      <c r="B18" t="inlineStr">
        <is>
          <t>Nimble Feet</t>
        </is>
      </c>
      <c r="C18" t="n">
        <v>1</v>
      </c>
      <c r="D18" t="n">
        <v>60</v>
      </c>
      <c r="E18" t="b">
        <v>1</v>
      </c>
      <c r="F18" t="n">
        <v>1</v>
      </c>
      <c r="G18" t="n">
        <v>1</v>
      </c>
      <c r="H18" t="n">
        <v>0</v>
      </c>
      <c r="I18" t="n">
        <v>0</v>
      </c>
      <c r="J18" t="n">
        <v>100</v>
      </c>
      <c r="K18" t="n">
        <v>1</v>
      </c>
      <c r="L18" t="n">
        <v>150</v>
      </c>
      <c r="M18" t="n">
        <v>0</v>
      </c>
      <c r="N18" t="b">
        <v>0</v>
      </c>
      <c r="O18" t="n">
        <v>0</v>
      </c>
      <c r="P18" t="n">
        <v>0</v>
      </c>
      <c r="Q18" t="n">
        <v>0</v>
      </c>
      <c r="R18" t="n">
        <v>1</v>
      </c>
      <c r="S18" t="inlineStr">
        <is>
          <t>ATTACK_SPEED</t>
        </is>
      </c>
      <c r="T18" t="n">
        <v>15</v>
      </c>
      <c r="U18" t="b">
        <v>0</v>
      </c>
      <c r="V18" t="inlineStr"/>
      <c r="W18" t="inlineStr"/>
      <c r="X18" t="inlineStr">
        <is>
          <t>Shared cross-tree verbatim w/ Night Lord/Shadower/FP-Mage/Bowmaster (byte-identical wiki wording — '+15% Attack Speed, +10% Speed for 15 sec'). Flat +15% Attack Speed / +10% Speed for 15s, 60s cooldown, non-scaling. FactorIndex unused placeholder.</t>
        </is>
      </c>
    </row>
    <row r="19">
      <c r="A19" t="inlineStr">
        <is>
          <t>CRITICAL_SHOT</t>
        </is>
      </c>
      <c r="B19" t="inlineStr">
        <is>
          <t>Critical Shot</t>
        </is>
      </c>
      <c r="C19" t="n">
        <v>1</v>
      </c>
      <c r="D19" t="inlineStr"/>
      <c r="E19" t="b">
        <v>0</v>
      </c>
      <c r="F19" t="n">
        <v>1</v>
      </c>
      <c r="G19" t="n">
        <v>1</v>
      </c>
      <c r="H19" t="n">
        <v>0</v>
      </c>
      <c r="I19" t="n">
        <v>0</v>
      </c>
      <c r="J19" t="n">
        <v>100</v>
      </c>
      <c r="K19" t="n">
        <v>1</v>
      </c>
      <c r="L19" t="n">
        <v>50</v>
      </c>
      <c r="M19" t="n">
        <v>22</v>
      </c>
      <c r="N19" t="b">
        <v>1</v>
      </c>
      <c r="O19" t="n">
        <v>0</v>
      </c>
      <c r="P19" t="n">
        <v>0</v>
      </c>
      <c r="Q19" t="n">
        <v>0</v>
      </c>
      <c r="R19" t="n">
        <v>0</v>
      </c>
      <c r="S19" t="inlineStr">
        <is>
          <t>CRIT_RATE</t>
        </is>
      </c>
      <c r="T19" t="n">
        <v>0</v>
      </c>
      <c r="U19" t="b">
        <v>0</v>
      </c>
      <c r="V19" t="inlineStr"/>
      <c r="W19" t="inlineStr"/>
      <c r="X19" t="inlineStr">
        <is>
          <t>Magic Critical pattern — already baked into Inputs!CRIT_RATE%; feeds the 1st-Job Skill Level Bonus delta. factorIndex 22, baseDamage 50 tenths% (5%-&gt;6.5%, levels 1-100). Shared verbatim w/ Bowmaster (byte-identical wiki wording, confirmed both classes).</t>
        </is>
      </c>
    </row>
    <row r="20">
      <c r="A20" t="inlineStr">
        <is>
          <t>ARCHER_MASTERY</t>
        </is>
      </c>
      <c r="B20" t="inlineStr">
        <is>
          <t>Archer Mastery (Attack Speed)</t>
        </is>
      </c>
      <c r="C20" t="n">
        <v>1</v>
      </c>
      <c r="D20" t="inlineStr"/>
      <c r="E20" t="b">
        <v>0</v>
      </c>
      <c r="F20" t="n">
        <v>1</v>
      </c>
      <c r="G20" t="n">
        <v>1</v>
      </c>
      <c r="H20" t="n">
        <v>0</v>
      </c>
      <c r="I20" t="n">
        <v>0</v>
      </c>
      <c r="J20" t="n">
        <v>100</v>
      </c>
      <c r="K20" t="n">
        <v>1</v>
      </c>
      <c r="L20" t="n">
        <v>50</v>
      </c>
      <c r="M20" t="n">
        <v>22</v>
      </c>
      <c r="N20" t="b">
        <v>1</v>
      </c>
      <c r="O20" t="n">
        <v>0</v>
      </c>
      <c r="P20" t="n">
        <v>0</v>
      </c>
      <c r="Q20" t="n">
        <v>0</v>
      </c>
      <c r="R20" t="n">
        <v>0</v>
      </c>
      <c r="S20" t="inlineStr">
        <is>
          <t>ATTACK_SPEED</t>
        </is>
      </c>
      <c r="T20" t="n">
        <v>0</v>
      </c>
      <c r="U20" t="b">
        <v>0</v>
      </c>
      <c r="V20" t="inlineStr"/>
      <c r="W20" t="inlineStr"/>
      <c r="X20" t="inlineStr">
        <is>
          <t>Magic Critical pattern — already baked into Inputs!ATTACK_SPEED%; feeds the 1st-Job Skill Level Bonus delta. factorIndex 22, baseDamage 50 tenths% (5%-&gt;6.5%, levels 1-100). Own Speed component not modeled. Shared verbatim w/ Bowmaster (byte-identical wiki wording).</t>
        </is>
      </c>
    </row>
    <row r="21">
      <c r="A21" t="inlineStr">
        <is>
          <t>CROSSBOW_ACCELERATION</t>
        </is>
      </c>
      <c r="B21" t="inlineStr">
        <is>
          <t>Crossbow Acceleration</t>
        </is>
      </c>
      <c r="C21" t="n">
        <v>2</v>
      </c>
      <c r="D21" t="inlineStr"/>
      <c r="E21" t="b">
        <v>0</v>
      </c>
      <c r="F21" t="n">
        <v>1</v>
      </c>
      <c r="G21" t="n">
        <v>1</v>
      </c>
      <c r="H21" t="n">
        <v>0</v>
      </c>
      <c r="I21" t="n">
        <v>0</v>
      </c>
      <c r="J21" t="n">
        <v>100</v>
      </c>
      <c r="K21" t="n">
        <v>1</v>
      </c>
      <c r="L21" t="n">
        <v>50</v>
      </c>
      <c r="M21" t="n">
        <v>22</v>
      </c>
      <c r="N21" t="b">
        <v>1</v>
      </c>
      <c r="O21" t="n">
        <v>0</v>
      </c>
      <c r="P21" t="n">
        <v>0</v>
      </c>
      <c r="Q21" t="n">
        <v>0</v>
      </c>
      <c r="R21" t="n">
        <v>0</v>
      </c>
      <c r="S21" t="inlineStr">
        <is>
          <t>ATTACK_SPEED</t>
        </is>
      </c>
      <c r="T21" t="n">
        <v>0</v>
      </c>
      <c r="U21" t="b">
        <v>0</v>
      </c>
      <c r="V21" t="inlineStr"/>
      <c r="W21" t="inlineStr"/>
      <c r="X21" t="inlineStr">
        <is>
          <t>Real page name is 'Crossbow_Acceleration' (not 'Agile_Crossbows', despite that being the skill's own display name on the Marksman/Skills overview page — confirmed via the overview page's own href link). Magic Critical pattern — already baked into Inputs!ATTACK_SPEED%; feeds the 2nd-Job Skill Level Bonus delta. factorIndex 22, baseDamage 50 tenths% (5%-&gt;6.5%, levels 1-100). Shared-value-different-key w/ Bowmaster's own Bow Acceleration (confirmed identical curve via its own individual page).</t>
        </is>
      </c>
    </row>
    <row r="22">
      <c r="A22" t="inlineStr">
        <is>
          <t>PHYSICAL_TRAINING</t>
        </is>
      </c>
      <c r="B22" t="inlineStr">
        <is>
          <t>Physical Training</t>
        </is>
      </c>
      <c r="C22" t="n">
        <v>2</v>
      </c>
      <c r="D22" t="inlineStr"/>
      <c r="E22" t="b">
        <v>0</v>
      </c>
      <c r="F22" t="n">
        <v>1</v>
      </c>
      <c r="G22" t="n">
        <v>1</v>
      </c>
      <c r="H22" t="n">
        <v>0</v>
      </c>
      <c r="I22" t="n">
        <v>0</v>
      </c>
      <c r="J22" t="n">
        <v>100</v>
      </c>
      <c r="K22" t="n">
        <v>1</v>
      </c>
      <c r="L22" t="n">
        <v>100</v>
      </c>
      <c r="M22" t="n">
        <v>22</v>
      </c>
      <c r="N22" t="b">
        <v>1</v>
      </c>
      <c r="O22" t="n">
        <v>0</v>
      </c>
      <c r="P22" t="n">
        <v>0</v>
      </c>
      <c r="Q22" t="n">
        <v>0</v>
      </c>
      <c r="R22" t="n">
        <v>0</v>
      </c>
      <c r="S22" t="inlineStr">
        <is>
          <t>BASIC_ATTACK_DAMAGE</t>
        </is>
      </c>
      <c r="T22" t="n">
        <v>0</v>
      </c>
      <c r="U22" t="b">
        <v>0</v>
      </c>
      <c r="V22" t="inlineStr"/>
      <c r="W22" t="inlineStr"/>
      <c r="X22" t="inlineStr">
        <is>
          <t>Magic Critical pattern — already baked into Inputs!BASIC_ATTACK_DAMAGE%; feeds the 2nd-Job Skill Level Bonus delta. factorIndex 22, baseDamage 100 tenths% (10%-&gt;13%, levels 1-100). Shared verbatim w/ Bowmaster (byte-identical wiki wording, confirmed both classes).</t>
        </is>
      </c>
    </row>
    <row r="23">
      <c r="A23" t="inlineStr">
        <is>
          <t>CROSSBOW_MASTERY</t>
        </is>
      </c>
      <c r="B23" t="inlineStr">
        <is>
          <t>Crossbow Mastery</t>
        </is>
      </c>
      <c r="C23" t="n">
        <v>2</v>
      </c>
      <c r="D23" t="inlineStr"/>
      <c r="E23" t="b">
        <v>0</v>
      </c>
      <c r="F23" t="n">
        <v>1</v>
      </c>
      <c r="G23" t="n">
        <v>1</v>
      </c>
      <c r="H23" t="n">
        <v>0</v>
      </c>
      <c r="I23" t="n">
        <v>0</v>
      </c>
      <c r="J23" t="n">
        <v>100</v>
      </c>
      <c r="K23" t="n">
        <v>1</v>
      </c>
      <c r="L23" t="n">
        <v>150</v>
      </c>
      <c r="M23" t="n">
        <v>22</v>
      </c>
      <c r="N23" t="b">
        <v>1</v>
      </c>
      <c r="O23" t="n">
        <v>0</v>
      </c>
      <c r="P23" t="n">
        <v>0</v>
      </c>
      <c r="Q23" t="n">
        <v>0</v>
      </c>
      <c r="R23" t="n">
        <v>0</v>
      </c>
      <c r="S23" t="inlineStr">
        <is>
          <t>MIN_DAMAGE</t>
        </is>
      </c>
      <c r="T23" t="n">
        <v>0</v>
      </c>
      <c r="U23" t="b">
        <v>0</v>
      </c>
      <c r="V23" t="inlineStr"/>
      <c r="W23" t="inlineStr"/>
      <c r="X23" t="inlineStr">
        <is>
          <t>Magic Critical pattern — already baked into Inputs!MIN_DAMAGE%; feeds the 2nd-Job Skill Level Bonus delta. factorIndex 22, baseDamage 150 tenths% (15%-&gt;19.5%, levels 1-100). Shared-value-different-key w/ Bowmaster's own Bow Mastery (confirmed identical curve via its own individual page).</t>
        </is>
      </c>
    </row>
    <row r="24">
      <c r="A24" t="inlineStr">
        <is>
          <t>RECKLESS_HUNT_CROSSBOW</t>
        </is>
      </c>
      <c r="B24" t="inlineStr">
        <is>
          <t>Extreme Archery / Reckless Hunt: Crossbow</t>
        </is>
      </c>
      <c r="C24" t="n">
        <v>3</v>
      </c>
      <c r="D24" t="inlineStr"/>
      <c r="E24" t="b">
        <v>0</v>
      </c>
      <c r="F24" t="n">
        <v>1</v>
      </c>
      <c r="G24" t="n">
        <v>1</v>
      </c>
      <c r="H24" t="n">
        <v>0</v>
      </c>
      <c r="I24" t="n">
        <v>0</v>
      </c>
      <c r="J24" t="n">
        <v>100</v>
      </c>
      <c r="K24" t="n">
        <v>1</v>
      </c>
      <c r="L24" t="n">
        <v>150</v>
      </c>
      <c r="M24" t="n">
        <v>22</v>
      </c>
      <c r="N24" t="b">
        <v>1</v>
      </c>
      <c r="O24" t="n">
        <v>0</v>
      </c>
      <c r="P24" t="n">
        <v>0</v>
      </c>
      <c r="Q24" t="n">
        <v>0</v>
      </c>
      <c r="R24" t="n">
        <v>0</v>
      </c>
      <c r="S24" t="inlineStr">
        <is>
          <t>FINAL_DAMAGE</t>
        </is>
      </c>
      <c r="T24" t="n">
        <v>0</v>
      </c>
      <c r="U24" t="b">
        <v>0</v>
      </c>
      <c r="V24" t="inlineStr"/>
      <c r="W24" t="inlineStr"/>
      <c r="X24" t="inlineStr">
        <is>
          <t>Own Final Damage component only (Defense reduction not modeled — no Defense mechanic exists anywhere in this calculator). Magic Critical pattern — already baked into Inputs!FINAL_DAMAGE%; feeds the 3rd-Job Skill Level Bonus delta. factorIndex 22, baseDamage 150 tenths% (15%-&gt;24%, levels 1-200). PATCHED name: wiki still shows 'Extreme Archery: Crossbow', Aug 13 patch notes confirm current name 'Reckless Hunt: Crossbow' (-10%-&gt;-5% Defense, not modeled either way; FD component itself unpatched). Shared-value-different-key w/ Bowmaster's own Reckless Hunt: Bow (confirmed identical curve via its own individual page).</t>
        </is>
      </c>
    </row>
    <row r="25">
      <c r="A25" t="inlineStr">
        <is>
          <t>LAST_MAN_STANDING_FD</t>
        </is>
      </c>
      <c r="B25" t="inlineStr">
        <is>
          <t>Last Man Standing (base FD)</t>
        </is>
      </c>
      <c r="C25" t="n">
        <v>4</v>
      </c>
      <c r="D25" t="inlineStr"/>
      <c r="E25" t="b">
        <v>0</v>
      </c>
      <c r="F25" t="n">
        <v>1</v>
      </c>
      <c r="G25" t="n">
        <v>1</v>
      </c>
      <c r="H25" t="n">
        <v>0</v>
      </c>
      <c r="I25" t="n">
        <v>0</v>
      </c>
      <c r="J25" t="n">
        <v>100</v>
      </c>
      <c r="K25" t="n">
        <v>1</v>
      </c>
      <c r="L25" t="n">
        <v>150</v>
      </c>
      <c r="M25" t="n">
        <v>22</v>
      </c>
      <c r="N25" t="b">
        <v>1</v>
      </c>
      <c r="O25" t="n">
        <v>0</v>
      </c>
      <c r="P25" t="n">
        <v>0</v>
      </c>
      <c r="Q25" t="n">
        <v>0</v>
      </c>
      <c r="R25" t="n">
        <v>0</v>
      </c>
      <c r="S25" t="inlineStr">
        <is>
          <t>FINAL_DAMAGE</t>
        </is>
      </c>
      <c r="T25" t="n">
        <v>0</v>
      </c>
      <c r="U25" t="b">
        <v>0</v>
      </c>
      <c r="V25" t="inlineStr"/>
      <c r="W25" t="inlineStr"/>
      <c r="X25" t="inlineStr">
        <is>
          <t>Marksman's own 4th-job Final-Damage passive slot (NOT shared with Bowmaster's Armor Break — a genuinely different mechanic per the plan). 'Increases Final Damage by 15%-&gt;24% (levels 1-200). If there is 1 enemy, additionally increased by 5%-&gt;8.9%.' This row models the unconditional base-FD half; see LAST_MAN_STANDING_COND for the conditional 1-enemy half. Magic Critical pattern — already baked into Inputs!FINAL_DAMAGE%; feeds the 4th-Job Skill Level Bonus delta. factorIndex 22, baseDamage 150 tenths%. Not patched.</t>
        </is>
      </c>
    </row>
    <row r="26">
      <c r="A26" t="inlineStr">
        <is>
          <t>LAST_MAN_STANDING_COND</t>
        </is>
      </c>
      <c r="B26" t="inlineStr">
        <is>
          <t>Last Man Standing (1-enemy conditional FD)</t>
        </is>
      </c>
      <c r="C26" t="n">
        <v>4</v>
      </c>
      <c r="D26" t="inlineStr"/>
      <c r="E26" t="b">
        <v>0</v>
      </c>
      <c r="F26" t="n">
        <v>1</v>
      </c>
      <c r="G26" t="n">
        <v>1</v>
      </c>
      <c r="H26" t="n">
        <v>0</v>
      </c>
      <c r="I26" t="n">
        <v>0</v>
      </c>
      <c r="J26" t="n">
        <v>100</v>
      </c>
      <c r="K26" t="n">
        <v>1</v>
      </c>
      <c r="L26" t="n">
        <v>50</v>
      </c>
      <c r="M26" t="n">
        <v>22</v>
      </c>
      <c r="N26" t="b">
        <v>1</v>
      </c>
      <c r="O26" t="n">
        <v>0</v>
      </c>
      <c r="P26" t="n">
        <v>0</v>
      </c>
      <c r="Q26" t="n">
        <v>0</v>
      </c>
      <c r="R26" t="n">
        <v>0</v>
      </c>
      <c r="S26" t="inlineStr">
        <is>
          <t>FINAL_DAMAGE</t>
        </is>
      </c>
      <c r="T26" t="n">
        <v>0</v>
      </c>
      <c r="U26" t="b">
        <v>0</v>
      </c>
      <c r="V26" t="inlineStr"/>
      <c r="W26" t="inlineStr"/>
      <c r="X26" t="inlineStr">
        <is>
          <t>Conditional +5%-&gt;6.9%(levels 1-140, own confirmed curve range) Final Damage half of Last Man Standing, active only at 1 target (boss or pvp — confirmed by user). Modeled as a LIVE row, same monster_blend_expr mechanism as Marksmanship's own conditional Attack% half (full value at boss/pvp, zero at normal, weighted at breakthrough), folded additively into R_MORTAL_BLOW_BONUS's own Final Damage bucket alongside Mortal Blow — an earlier version of this row assumed Final Damage had no per-monster-type blend mechanism and left it flat/baked into Inputs, which was wrong; the same blend mechanism Attack% already uses applies here too, just added as another multiplicative-chain contributor instead of an Attack%-bucket one. factorIndex 22, baseDamage 50 tenths%.</t>
        </is>
      </c>
    </row>
    <row r="27">
      <c r="A27" t="inlineStr">
        <is>
          <t>CROSSBOW_EXPERT_SKILL</t>
        </is>
      </c>
      <c r="B27" t="inlineStr">
        <is>
          <t>Crossbow Expert (Skill Damage)</t>
        </is>
      </c>
      <c r="C27" t="n">
        <v>4</v>
      </c>
      <c r="D27" t="inlineStr"/>
      <c r="E27" t="b">
        <v>0</v>
      </c>
      <c r="F27" t="n">
        <v>1</v>
      </c>
      <c r="G27" t="n">
        <v>1</v>
      </c>
      <c r="H27" t="n">
        <v>0</v>
      </c>
      <c r="I27" t="n">
        <v>0</v>
      </c>
      <c r="J27" t="n">
        <v>100</v>
      </c>
      <c r="K27" t="n">
        <v>1</v>
      </c>
      <c r="L27" t="n">
        <v>150</v>
      </c>
      <c r="M27" t="n">
        <v>22</v>
      </c>
      <c r="N27" t="b">
        <v>1</v>
      </c>
      <c r="O27" t="n">
        <v>0</v>
      </c>
      <c r="P27" t="n">
        <v>0</v>
      </c>
      <c r="Q27" t="n">
        <v>0</v>
      </c>
      <c r="R27" t="n">
        <v>0</v>
      </c>
      <c r="S27" t="inlineStr">
        <is>
          <t>SKILL_DAMAGE</t>
        </is>
      </c>
      <c r="T27" t="n">
        <v>0</v>
      </c>
      <c r="U27" t="b">
        <v>0</v>
      </c>
      <c r="V27" t="inlineStr"/>
      <c r="W27" t="inlineStr"/>
      <c r="X27" t="inlineStr">
        <is>
          <t>Magic Critical pattern — already baked into Inputs!SKILL_DAMAGE%; feeds the 4th-Job Skill Level Bonus delta (Skill Damage side). factorIndex 22, baseDamage 150 tenths% (15%-&gt;24%, levels 1-200). Not patched. Shared-value-different-key w/ Bowmaster's own Bow Expert (confirmed identical curve via its own individual page).</t>
        </is>
      </c>
    </row>
    <row r="28">
      <c r="A28" t="inlineStr">
        <is>
          <t>CROSSBOW_EXPERT_MAXDMG</t>
        </is>
      </c>
      <c r="B28" t="inlineStr">
        <is>
          <t>Crossbow Expert (Max Damage Multiplier)</t>
        </is>
      </c>
      <c r="C28" t="n">
        <v>4</v>
      </c>
      <c r="D28" t="inlineStr"/>
      <c r="E28" t="b">
        <v>0</v>
      </c>
      <c r="F28" t="n">
        <v>1</v>
      </c>
      <c r="G28" t="n">
        <v>1</v>
      </c>
      <c r="H28" t="n">
        <v>0</v>
      </c>
      <c r="I28" t="n">
        <v>0</v>
      </c>
      <c r="J28" t="n">
        <v>100</v>
      </c>
      <c r="K28" t="n">
        <v>1</v>
      </c>
      <c r="L28" t="n">
        <v>200</v>
      </c>
      <c r="M28" t="n">
        <v>22</v>
      </c>
      <c r="N28" t="b">
        <v>1</v>
      </c>
      <c r="O28" t="n">
        <v>0</v>
      </c>
      <c r="P28" t="n">
        <v>0</v>
      </c>
      <c r="Q28" t="n">
        <v>0</v>
      </c>
      <c r="R28" t="n">
        <v>0</v>
      </c>
      <c r="S28" t="inlineStr">
        <is>
          <t>MAX_DAMAGE</t>
        </is>
      </c>
      <c r="T28" t="n">
        <v>0</v>
      </c>
      <c r="U28" t="b">
        <v>0</v>
      </c>
      <c r="V28" t="inlineStr"/>
      <c r="W28" t="inlineStr"/>
      <c r="X28" t="inlineStr">
        <is>
          <t>Same skill as Crossbow Expert (Skill Damage) above, +20%-&gt;32% Max Damage Multiplier. Magic Critical pattern — already baked into Inputs!MAX_DAMAGE%; feeds the 4th-Job Skill Level Bonus delta (Max Damage Multiplier side). factorIndex 22, baseDamage 200 tenths%.</t>
        </is>
      </c>
    </row>
    <row r="29">
      <c r="A29" t="inlineStr">
        <is>
          <t>SOUL_ARROW_CROSSBOW_ATK</t>
        </is>
      </c>
      <c r="B29" t="inlineStr">
        <is>
          <t>Soul Arrow: Crossbow (Attack%)</t>
        </is>
      </c>
      <c r="C29" t="n">
        <v>2</v>
      </c>
      <c r="D29" t="inlineStr"/>
      <c r="E29" t="b">
        <v>0</v>
      </c>
      <c r="F29" t="n">
        <v>1</v>
      </c>
      <c r="G29" t="n">
        <v>1</v>
      </c>
      <c r="H29" t="n">
        <v>0</v>
      </c>
      <c r="I29" t="n">
        <v>0</v>
      </c>
      <c r="J29" t="n">
        <v>100</v>
      </c>
      <c r="K29" t="n">
        <v>1</v>
      </c>
      <c r="L29" t="n">
        <v>120</v>
      </c>
      <c r="M29" t="n">
        <v>22</v>
      </c>
      <c r="N29" t="b">
        <v>1</v>
      </c>
      <c r="O29" t="n">
        <v>0</v>
      </c>
      <c r="P29" t="n">
        <v>0</v>
      </c>
      <c r="Q29" t="n">
        <v>0</v>
      </c>
      <c r="R29" t="n">
        <v>0</v>
      </c>
      <c r="S29" t="inlineStr">
        <is>
          <t>ATTACK</t>
        </is>
      </c>
      <c r="T29" t="n">
        <v>0</v>
      </c>
      <c r="U29" t="b">
        <v>0</v>
      </c>
      <c r="V29" t="inlineStr"/>
      <c r="W29" t="inlineStr"/>
      <c r="X29" t="inlineStr">
        <is>
          <t>Genuinely different mechanic from Bowmaster's own Soul Arrow: Bow (flat Attack%, no AS-scaling, no DEX bonus at all — per the plan's own NOT-shared list). Own scaling curve confirmed via its individual page (10%-&gt;13% pre-patch), PATCHED 10%-&gt;12% at level 1 (curve rescaled 12/10=1.2x before reverse-engineering — factorIndex 22, baseDamage 120 tenths% already reflects the patched value). Magic Critical pattern — already baked into Inputs!ATTACK_PCT (folds into the attack_mult delta bucket, same slot as Shadower's own Channel Karma); feeds the 2nd-Job Skill Level Bonus delta.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Summary!$B$65)/100)*(1+(IF(Skills!A2="EMPOWERED_PIERCING_ARROW",Inputs!$B$16,Inputs!$B$17))/100)*(Summary!$B$57*I2)</f>
        <v/>
      </c>
      <c r="L2">
        <f>K2*(MIN(Inputs!$B$21,Inputs!$B$22)/100+Inputs!$B$22/100)/2</f>
        <v/>
      </c>
      <c r="M2">
        <f>L2*(1+(Inputs!$B$9+Summary!$B$64)/100)</f>
        <v/>
      </c>
      <c r="N2">
        <f>L2*(1-MIN((Inputs!$B$8+Summary!$B$58),100)/100)+M2*(MIN((Inputs!$B$8+Summary!$B$58),100)/100)</f>
        <v/>
      </c>
      <c r="O2">
        <f>IF(C2,Skills!G2*N2*Summary!$B$63*IF(Inputs!$B$4="pvp",1,(1-Summary!$B$55)*(1)+Summary!$B$55*(MIN(Skills!R2,Inputs!$B$37))),0)</f>
        <v/>
      </c>
      <c r="P2">
        <f>IF(Summary!$B$3=0,0,O2/Summary!$B$3)</f>
        <v/>
      </c>
      <c r="Q2" t="n">
        <v>0</v>
      </c>
      <c r="R2" t="n">
        <v>0</v>
      </c>
      <c r="S2">
        <f>IFERROR(O2/N2,0)</f>
        <v/>
      </c>
    </row>
    <row r="3">
      <c r="A3">
        <f>Skills!A3</f>
        <v/>
      </c>
      <c r="B3">
        <f>Skills!B3</f>
        <v/>
      </c>
      <c r="C3">
        <f>Inputs!$B$3&gt;=50</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Inputs!$B$3&gt;=105</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row>
    <row r="5">
      <c r="A5">
        <f>Skills!A5</f>
        <v/>
      </c>
      <c r="B5">
        <f>Skills!B5</f>
        <v/>
      </c>
      <c r="C5">
        <f>Inputs!$B$3&gt;=35</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Summary!$B$50*(F5/100)</f>
        <v/>
      </c>
      <c r="K5">
        <f>J5*(1+Summary!$B$51/100)*(1+Inputs!$B$14/100)*(1+IF(Inputs!$B$4="pvp",0,(1-Summary!$B$55)*(Inputs!$B$19+Skills!P5+Summary!$B$59)+Summary!$B$55*(Inputs!$B$20+Skills!Q5+Summary!$B$59))/100)*(1+Inputs!$B$15/100)*(5000/(6000+Inputs!$B$7*(1-Inputs!$B$18/100)))*(1+(Inputs!$B$23+Summary!$B$65)/100)*(1+4.0*IF(C8=TRUE,F8,0)/100)*(1+(IF(Skills!A5="EMPOWERED_PIERCING_ARROW",Inputs!$B$16,Inputs!$B$17))/100)*(Summary!$B$57*I5)</f>
        <v/>
      </c>
      <c r="L5">
        <f>K5*(MIN(Inputs!$B$21,Inputs!$B$22)/100+Inputs!$B$22/100)/2</f>
        <v/>
      </c>
      <c r="M5">
        <f>L5*(1+(Inputs!$B$9+Summary!$B$64)/100)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R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Inputs!$B$3&gt;=63</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Summary!$B$65)/100)*(1+1.0*IF(C8=TRUE,F8,0)/100)*(1+(IF(Skills!A6="EMPOWERED_PIERCING_ARROW",Inputs!$B$16,Inputs!$B$17))/100)*(Summary!$B$57*I6)</f>
        <v/>
      </c>
      <c r="L6">
        <f>K6*(MIN(Inputs!$B$21,Inputs!$B$22)/100+Inputs!$B$22/100)/2</f>
        <v/>
      </c>
      <c r="M6">
        <f>L6*(1+(Inputs!$B$9+Summary!$B$64)/100)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R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Inputs!$B$3&gt;=69</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Summary!$B$50*(F7/100)</f>
        <v/>
      </c>
      <c r="K7">
        <f>J7*(1+Summary!$B$51/100)*(1+Inputs!$B$14/100)*(1+IF(Inputs!$B$4="pvp",0,(1-Summary!$B$55)*(Inputs!$B$19+Skills!P7+Summary!$B$59)+Summary!$B$55*(Inputs!$B$20+Skills!Q7+Summary!$B$59))/100)*(1+Inputs!$B$15/100)*(5000/(6000+Inputs!$B$7*(1-Inputs!$B$18/100)))*(1+(Inputs!$B$23+Summary!$B$65)/100)*(1+1.2*IF(C8=TRUE,F8,0)/100)*(1+(IF(Skills!A7="EMPOWERED_PIERCING_ARROW",Inputs!$B$16,Inputs!$B$17))/100)*(Summary!$B$57*I7)</f>
        <v/>
      </c>
      <c r="L7">
        <f>K7*(MIN(Inputs!$B$21,Inputs!$B$22)/100+Inputs!$B$22/100)/2</f>
        <v/>
      </c>
      <c r="M7">
        <f>L7*(1+(Inputs!$B$9+Summary!$B$64)/100)</f>
        <v/>
      </c>
      <c r="N7">
        <f>L7*(1-MIN((Inputs!$B$8+Summary!$B$58),100)/100)+M7*(MIN((Inputs!$B$8+Summary!$B$58),100)/100)</f>
        <v/>
      </c>
      <c r="O7">
        <f>IF(C7,H7*N7*IF(AND(Inputs!$B$4&lt;&gt;"pvp",Inputs!$B$35&gt;0),((Skills!G7*((R7-1)*IF(Skills!H7&gt;0,Skills!I7/Skills!H7,1)+IF(Skills!H7&gt;0,MIN(Skills!I7,MAX(0,Inputs!$B$35-((R7-1)*IF(Inputs!$B$4="pvp",15,MAX(0.1,Skills!D7-IF(Skills!E7=TRUE,Inputs!$B$31,0))))))/Skills!H7,1)))/Inputs!$B$35),G7*Q7)*IF(Inputs!$B$4="pvp",1,(1-Summary!$B$55)*(1)+Summary!$B$55*(MIN(Skills!R7,Inputs!$B$37))),0)</f>
        <v/>
      </c>
      <c r="P7">
        <f>IF(Summary!$B$3=0,0,O7/Summary!$B$3)</f>
        <v/>
      </c>
      <c r="Q7">
        <f>IFERROR(1/IF(Inputs!$B$4="pvp",15,MAX(0.1,Skills!D7-IF(Skills!E7=TRUE,Inputs!$B$31,0))),0)</f>
        <v/>
      </c>
      <c r="R7">
        <f>IF(AND(Inputs!$B$4&lt;&gt;"pvp",Inputs!$B$35&gt;0),(INT(Inputs!$B$35/IF(Inputs!$B$4="pvp",15,MAX(0.1,Skills!D7-IF(Skills!E7=TRUE,Inputs!$B$31,0))))+1),0)</f>
        <v/>
      </c>
      <c r="S7">
        <f>IFERROR(O7/N7,0)</f>
        <v/>
      </c>
    </row>
    <row r="8">
      <c r="A8">
        <f>Skills!A8</f>
        <v/>
      </c>
      <c r="B8">
        <f>Skills!B8</f>
        <v/>
      </c>
      <c r="C8">
        <f>Inputs!$B$3&gt;=100</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t="inlineStr"/>
      <c r="H8" t="inlineStr"/>
      <c r="I8" t="inlineStr">
        <is>
          <t>1</t>
        </is>
      </c>
      <c r="J8" t="inlineStr"/>
      <c r="K8" t="inlineStr"/>
      <c r="L8" t="inlineStr"/>
      <c r="M8" t="inlineStr"/>
      <c r="N8" t="inlineStr"/>
      <c r="O8" t="inlineStr"/>
      <c r="P8" t="inlineStr"/>
      <c r="Q8" t="inlineStr"/>
      <c r="R8" t="inlineStr"/>
      <c r="S8" t="inlineStr"/>
    </row>
    <row r="9">
      <c r="A9">
        <f>Skills!A9</f>
        <v/>
      </c>
      <c r="B9">
        <f>Skills!B9</f>
        <v/>
      </c>
      <c r="C9">
        <f>Inputs!$B$3&gt;=103</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Summary!$B$65)/100)*(1+(IF(Skills!A9="EMPOWERED_PIERCING_ARROW",Inputs!$B$16,Inputs!$B$17))/100)*(Summary!$B$57*I9)</f>
        <v/>
      </c>
      <c r="L9">
        <f>K9*(MIN(Inputs!$B$21,Inputs!$B$22)/100+Inputs!$B$22/100)/2</f>
        <v/>
      </c>
      <c r="M9">
        <f>L9*(1+(Inputs!$B$9+Summary!$B$64)/100)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R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Inputs!$B$3&gt;=107</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Summary!$B$50*(F10/100)</f>
        <v/>
      </c>
      <c r="K10">
        <f>J10*(1+Summary!$B$51/100)*(1+Inputs!$B$14/100)*(1+IF(Inputs!$B$4="pvp",0,(1-Summary!$B$55)*(Inputs!$B$19+Skills!P10+Summary!$B$59)+Summary!$B$55*(Inputs!$B$20+Skills!Q10+Summary!$B$59))/100)*(1+Inputs!$B$15/100)*(5000/(6000+Inputs!$B$7*(1-Inputs!$B$18/100)))*(1+(Inputs!$B$23+Summary!$B$65)/100)*(1+(IF(Skills!A10="EMPOWERED_PIERCING_ARROW",Inputs!$B$16,Inputs!$B$17))/100)*(Summary!$B$57*I10)</f>
        <v/>
      </c>
      <c r="L10">
        <f>K10*(MIN(Inputs!$B$21,Inputs!$B$22)/100+Inputs!$B$22/100)/2</f>
        <v/>
      </c>
      <c r="M10">
        <f>L10*(1+(Inputs!$B$9+Summary!$B$64)/100)</f>
        <v/>
      </c>
      <c r="N10">
        <f>L10*(1-MIN((Inputs!$B$8+Summary!$B$58),100)/100)+M10*(MIN((Inputs!$B$8+Summary!$B$58),100)/100)</f>
        <v/>
      </c>
      <c r="O10">
        <f>IF(C10,0.15*SUMPRODUCT((Skills!U2:U29=TRUE)*(Calc!C2:C29=TRUE)*Calc!S2:S29)*Skills!G10*N10*IF(Inputs!$B$4="pvp",1,(1-Summary!$B$55)*(1)+Summary!$B$55*(MIN(Skills!R10,Inputs!$B$37))),0)</f>
        <v/>
      </c>
      <c r="P10">
        <f>IF(Summary!$B$3=0,0,O10/Summary!$B$3)</f>
        <v/>
      </c>
      <c r="Q10" t="n">
        <v>0</v>
      </c>
      <c r="R10" t="n">
        <v>0</v>
      </c>
      <c r="S10" t="n">
        <v>0</v>
      </c>
    </row>
    <row r="11">
      <c r="A11">
        <f>Skills!A11</f>
        <v/>
      </c>
      <c r="B11">
        <f>Skills!B11</f>
        <v/>
      </c>
      <c r="C11">
        <f>Inputs!$B$3&gt;=110</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Summary!$B$50*(F11/100)</f>
        <v/>
      </c>
      <c r="K11">
        <f>J11*(1+Summary!$B$51/100)*(1+Inputs!$B$14/100)*(1+IF(Inputs!$B$4="pvp",0,(1-Summary!$B$55)*(Inputs!$B$19+Skills!P11+Summary!$B$59)+Summary!$B$55*(Inputs!$B$20+Skills!Q11+Summary!$B$59))/100)*(1+Inputs!$B$15/100)*(5000/(6000+Inputs!$B$7*(1-Inputs!$B$18/100)))*(1+(Inputs!$B$23+Summary!$B$65)/100)*(1+(IF(Skills!A11="EMPOWERED_PIERCING_ARROW",Inputs!$B$16,Inputs!$B$17))/100)*(Summary!$B$57*I11)</f>
        <v/>
      </c>
      <c r="L11">
        <f>K11*(MIN(Inputs!$B$21,Inputs!$B$22)/100+Inputs!$B$22/100)/2</f>
        <v/>
      </c>
      <c r="M11">
        <f>L11*(1+(Inputs!$B$9+Summary!$B$64)/100)</f>
        <v/>
      </c>
      <c r="N11">
        <f>L11*(1-MIN((Inputs!$B$8+Summary!$B$58),100)/100)+M11*(MIN((Inputs!$B$8+Summary!$B$58),100)/100)</f>
        <v/>
      </c>
      <c r="O11">
        <f>IF(C11,H11*N11*IF(AND(Inputs!$B$4&lt;&gt;"pvp",Inputs!$B$35&gt;0),((Skills!G11*((R11-1)*IF(Skills!H11&gt;0,Skills!I11/Skills!H11,1)+IF(Skills!H11&gt;0,MIN(Skills!I11,MAX(0,Inputs!$B$35-((R11-1)*IF(Inputs!$B$4="pvp",15,MAX(0.1,Skills!D11-IF(Skills!E11=TRUE,Inputs!$B$31,0))))))/Skills!H11,1)))/Inputs!$B$35),G11*Q11)*IF(Inputs!$B$4="pvp",1,(1-Summary!$B$55)*(1)+Summary!$B$55*(MIN(Skills!R11,Inputs!$B$37))),0)</f>
        <v/>
      </c>
      <c r="P11">
        <f>IF(Summary!$B$3=0,0,O11/Summary!$B$3)</f>
        <v/>
      </c>
      <c r="Q11">
        <f>IFERROR(1/IF(Inputs!$B$4="pvp",15,MAX(0.1,Skills!D11-IF(Skills!E11=TRUE,Inputs!$B$31,0))),0)</f>
        <v/>
      </c>
      <c r="R11">
        <f>IF(AND(Inputs!$B$4&lt;&gt;"pvp",Inputs!$B$35&gt;0),(INT(Inputs!$B$35/IF(Inputs!$B$4="pvp",15,MAX(0.1,Skills!D11-IF(Skills!E11=TRUE,Inputs!$B$31,0))))+1),0)</f>
        <v/>
      </c>
      <c r="S11">
        <f>IFERROR(O11/N11,0)</f>
        <v/>
      </c>
    </row>
    <row r="12">
      <c r="A12">
        <f>Skills!A12</f>
        <v/>
      </c>
      <c r="B12">
        <f>Skills!B12</f>
        <v/>
      </c>
      <c r="C12">
        <f>Inputs!$B$3&gt;=60</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f>Skills!G12*IF(Skills!H12&gt;0,Skills!I12/Skills!H12,1)</f>
        <v/>
      </c>
      <c r="H12">
        <f>1-(1-Skills!J12/100)^Skills!K12</f>
        <v/>
      </c>
      <c r="I12" t="inlineStr">
        <is>
          <t>1</t>
        </is>
      </c>
      <c r="J12" t="inlineStr"/>
      <c r="K12" t="inlineStr"/>
      <c r="L12" t="inlineStr"/>
      <c r="M12" t="inlineStr"/>
      <c r="N12" t="inlineStr"/>
      <c r="O12" t="n">
        <v>0</v>
      </c>
      <c r="P12">
        <f>IF(Summary!$B$3=0,0,O12/Summary!$B$3)</f>
        <v/>
      </c>
      <c r="Q12" t="n">
        <v>0</v>
      </c>
      <c r="R12" t="n">
        <v>0</v>
      </c>
      <c r="S12">
        <f>IFERROR(O12/N12,0)</f>
        <v/>
      </c>
    </row>
    <row r="13">
      <c r="A13">
        <f>Skills!A13</f>
        <v/>
      </c>
      <c r="B13">
        <f>Skills!B13</f>
        <v/>
      </c>
      <c r="C13">
        <f>Inputs!$B$3&gt;=74</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t="inlineStr"/>
      <c r="K13" t="inlineStr"/>
      <c r="L13" t="inlineStr"/>
      <c r="M13" t="inlineStr"/>
      <c r="N13" t="inlineStr"/>
      <c r="O13" t="n">
        <v>0</v>
      </c>
      <c r="P13">
        <f>IF(Summary!$B$3=0,0,O13/Summary!$B$3)</f>
        <v/>
      </c>
      <c r="Q13" t="n">
        <v>0</v>
      </c>
      <c r="R13" t="n">
        <v>0</v>
      </c>
      <c r="S13">
        <f>IFERROR(O13/N13,0)</f>
        <v/>
      </c>
    </row>
    <row r="14">
      <c r="A14">
        <f>Skills!A14</f>
        <v/>
      </c>
      <c r="B14">
        <f>Skills!B14</f>
        <v/>
      </c>
      <c r="C14">
        <f>Inputs!$B$3&gt;=74</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t="inlineStr"/>
      <c r="K14" t="inlineStr"/>
      <c r="L14" t="inlineStr"/>
      <c r="M14" t="inlineStr"/>
      <c r="N14" t="inlineStr"/>
      <c r="O14" t="n">
        <v>0</v>
      </c>
      <c r="P14">
        <f>IF(Summary!$B$3=0,0,O14/Summary!$B$3)</f>
        <v/>
      </c>
      <c r="Q14" t="n">
        <v>0</v>
      </c>
      <c r="R14" t="n">
        <v>0</v>
      </c>
      <c r="S14">
        <f>IFERROR(O14/N14,0)</f>
        <v/>
      </c>
    </row>
    <row r="15">
      <c r="A15">
        <f>Skills!A15</f>
        <v/>
      </c>
      <c r="B15">
        <f>Skills!B15</f>
        <v/>
      </c>
      <c r="C15">
        <f>Inputs!$B$3&gt;=117</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f>Skills!G15*IF(Skills!H15&gt;0,Skills!I15/Skills!H15,1)</f>
        <v/>
      </c>
      <c r="H15">
        <f>1-(1-Skills!J15/100)^Skills!K15</f>
        <v/>
      </c>
      <c r="I15" t="inlineStr">
        <is>
          <t>1</t>
        </is>
      </c>
      <c r="J15" t="inlineStr"/>
      <c r="K15" t="inlineStr"/>
      <c r="L15" t="inlineStr"/>
      <c r="M15" t="inlineStr"/>
      <c r="N15" t="inlineStr"/>
      <c r="O15" t="n">
        <v>0</v>
      </c>
      <c r="P15">
        <f>IF(Summary!$B$3=0,0,O15/Summary!$B$3)</f>
        <v/>
      </c>
      <c r="Q15">
        <f>IFERROR(1/IF(Inputs!$B$4="pvp",15,MAX(0.1,Skills!D15-IF(Skills!E15=TRUE,Inputs!$B$31,0))),0)</f>
        <v/>
      </c>
      <c r="R15">
        <f>IF(AND(Inputs!$B$4&lt;&gt;"pvp",Inputs!$B$35&gt;0),(INT(Inputs!$B$35/IF(Inputs!$B$4="pvp",15,MAX(0.1,Skills!D15-IF(Skills!E15=TRUE,Inputs!$B$31,0))))+1),0)</f>
        <v/>
      </c>
      <c r="S15">
        <f>IFERROR(O15/N15,0)</f>
        <v/>
      </c>
    </row>
    <row r="16">
      <c r="A16">
        <f>Skills!A16</f>
        <v/>
      </c>
      <c r="B16">
        <f>Skills!B16</f>
        <v/>
      </c>
      <c r="C16">
        <f>Inputs!$B$3&gt;=115</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f>Skills!G16*IF(Skills!H16&gt;0,Skills!I16/Skills!H16,1)</f>
        <v/>
      </c>
      <c r="H16">
        <f>1-(1-Skills!J16/100)^Skills!K16</f>
        <v/>
      </c>
      <c r="I16" t="inlineStr">
        <is>
          <t>1</t>
        </is>
      </c>
      <c r="J16" t="inlineStr"/>
      <c r="K16" t="inlineStr"/>
      <c r="L16" t="inlineStr"/>
      <c r="M16" t="inlineStr"/>
      <c r="N16" t="inlineStr"/>
      <c r="O16" t="n">
        <v>0</v>
      </c>
      <c r="P16">
        <f>IF(Summary!$B$3=0,0,O16/Summary!$B$3)</f>
        <v/>
      </c>
      <c r="Q16">
        <f>IFERROR(1/IF(Inputs!$B$4="pvp",15,MAX(0.1,Skills!D16-IF(Skills!E16=TRUE,Inputs!$B$31,0))),0)</f>
        <v/>
      </c>
      <c r="R16">
        <f>IF(AND(Inputs!$B$4&lt;&gt;"pvp",Inputs!$B$35&gt;0),(INT(Inputs!$B$35/IF(Inputs!$B$4="pvp",15,MAX(0.1,Skills!D16-IF(Skills!E16=TRUE,Inputs!$B$31,0))))+1),0)</f>
        <v/>
      </c>
      <c r="S16">
        <f>IFERROR(O16/N16,0)</f>
        <v/>
      </c>
    </row>
    <row r="17">
      <c r="A17">
        <f>Skills!A17</f>
        <v/>
      </c>
      <c r="B17">
        <f>Skills!B17</f>
        <v/>
      </c>
      <c r="C17">
        <f>Inputs!$B$3&gt;=72</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t="n">
        <v>0</v>
      </c>
      <c r="R17" t="n">
        <v>0</v>
      </c>
      <c r="S17">
        <f>IFERROR(O17/N17,0)</f>
        <v/>
      </c>
    </row>
    <row r="18">
      <c r="A18">
        <f>Skills!A18</f>
        <v/>
      </c>
      <c r="B18">
        <f>Skills!B18</f>
        <v/>
      </c>
      <c r="C18">
        <f>TRUE</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f>IFERROR(1/IF(Inputs!$B$4="pvp",15,MAX(0.1,Skills!D18-IF(Skills!E18=TRUE,Inputs!$B$31,0))),0)</f>
        <v/>
      </c>
      <c r="R18">
        <f>IF(AND(Inputs!$B$4&lt;&gt;"pvp",Inputs!$B$35&gt;0),(INT(Inputs!$B$35/IF(Inputs!$B$4="pvp",15,MAX(0.1,Skills!D18-IF(Skills!E18=TRUE,Inputs!$B$31,0))))+1),0)</f>
        <v/>
      </c>
      <c r="S18">
        <f>IFERROR(O18/N18,0)</f>
        <v/>
      </c>
    </row>
    <row r="19">
      <c r="A19">
        <f>Skills!A19</f>
        <v/>
      </c>
      <c r="B19">
        <f>Skills!B19</f>
        <v/>
      </c>
      <c r="C19">
        <f>Inputs!$B$3&gt;=15</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t="n">
        <v>0</v>
      </c>
      <c r="R19" t="n">
        <v>0</v>
      </c>
      <c r="S19">
        <f>IFERROR(O19/N19,0)</f>
        <v/>
      </c>
    </row>
    <row r="20">
      <c r="A20">
        <f>Skills!A20</f>
        <v/>
      </c>
      <c r="B20">
        <f>Skills!B20</f>
        <v/>
      </c>
      <c r="C20">
        <f>Inputs!$B$3&gt;=10</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t="n">
        <v>0</v>
      </c>
      <c r="R20" t="n">
        <v>0</v>
      </c>
      <c r="S20">
        <f>IFERROR(O20/N20,0)</f>
        <v/>
      </c>
    </row>
    <row r="21">
      <c r="A21">
        <f>Skills!A21</f>
        <v/>
      </c>
      <c r="B21">
        <f>Skills!B21</f>
        <v/>
      </c>
      <c r="C21">
        <f>Inputs!$B$3&gt;=33</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t="n">
        <v>0</v>
      </c>
      <c r="R21" t="n">
        <v>0</v>
      </c>
      <c r="S21">
        <f>IFERROR(O21/N21,0)</f>
        <v/>
      </c>
    </row>
    <row r="22">
      <c r="A22">
        <f>Skills!A22</f>
        <v/>
      </c>
      <c r="B22">
        <f>Skills!B22</f>
        <v/>
      </c>
      <c r="C22">
        <f>Inputs!$B$3&gt;=38</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Inputs!$B$3&gt;=43</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Inputs!$B$3&gt;=75</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t="n">
        <v>0</v>
      </c>
      <c r="P24">
        <f>IF(Summary!$B$3=0,0,O24/Summary!$B$3)</f>
        <v/>
      </c>
      <c r="Q24" t="n">
        <v>0</v>
      </c>
      <c r="R24" t="n">
        <v>0</v>
      </c>
      <c r="S24">
        <f>IFERROR(O24/N24,0)</f>
        <v/>
      </c>
    </row>
    <row r="25">
      <c r="A25">
        <f>Skills!A25</f>
        <v/>
      </c>
      <c r="B25">
        <f>Skills!B25</f>
        <v/>
      </c>
      <c r="C25">
        <f>Inputs!$B$3&gt;=125</f>
        <v/>
      </c>
      <c r="D25">
        <f>IF(Skills!C25=1,60+Inputs!$B$24+Inputs!$B$28,IF(Skills!C25=2,90+Inputs!$B$25+Inputs!$B$28,IF(Skills!C25=3,120+Inputs!$B$26+Inputs!$B$28,MAX(0,(Inputs!$B$3-100)*3)+Inputs!$B$27+Inputs!$B$28)))</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t="n">
        <v>0</v>
      </c>
      <c r="P25">
        <f>IF(Summary!$B$3=0,0,O25/Summary!$B$3)</f>
        <v/>
      </c>
      <c r="Q25" t="n">
        <v>0</v>
      </c>
      <c r="R25" t="n">
        <v>0</v>
      </c>
      <c r="S25">
        <f>IFERROR(O25/N25,0)</f>
        <v/>
      </c>
    </row>
    <row r="26">
      <c r="A26">
        <f>Skills!A26</f>
        <v/>
      </c>
      <c r="B26">
        <f>Skills!B26</f>
        <v/>
      </c>
      <c r="C26">
        <f>Inputs!$B$3&gt;=125</f>
        <v/>
      </c>
      <c r="D26">
        <f>IF(Skills!C26=1,60+Inputs!$B$24+Inputs!$B$28,IF(Skills!C26=2,90+Inputs!$B$25+Inputs!$B$28,IF(Skills!C26=3,120+Inputs!$B$26+Inputs!$B$28,MAX(0,(Inputs!$B$3-100)*3)+Inputs!$B$27+Inputs!$B$28)))</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t="n">
        <v>0</v>
      </c>
      <c r="P26">
        <f>IF(Summary!$B$3=0,0,O26/Summary!$B$3)</f>
        <v/>
      </c>
      <c r="Q26" t="n">
        <v>0</v>
      </c>
      <c r="R26" t="n">
        <v>0</v>
      </c>
      <c r="S26">
        <f>IFERROR(O26/N26,0)</f>
        <v/>
      </c>
    </row>
    <row r="27">
      <c r="A27">
        <f>Skills!A27</f>
        <v/>
      </c>
      <c r="B27">
        <f>Skills!B27</f>
        <v/>
      </c>
      <c r="C27">
        <f>Inputs!$B$3&gt;=120</f>
        <v/>
      </c>
      <c r="D27">
        <f>IF(Skills!C27=1,60+Inputs!$B$24+Inputs!$B$28,IF(Skills!C27=2,90+Inputs!$B$25+Inputs!$B$28,IF(Skills!C27=3,120+Inputs!$B$26+Inputs!$B$28,MAX(0,(Inputs!$B$3-100)*3)+Inputs!$B$27+Inputs!$B$28)))</f>
        <v/>
      </c>
      <c r="E27">
        <f>INDEX(FactorTable!$B$2:$Y$301, MATCH(ROUND(MIN(300,MAX(1,D27)),0), FactorTable!$A$2:$A$301,0), Skills!M27+1)</f>
        <v/>
      </c>
      <c r="F27">
        <f>IF(Skills!N27=TRUE,(Skills!L27/10)*(E27/1000),Skills!L27/10)+Skills!O27</f>
        <v/>
      </c>
      <c r="G27">
        <f>Skills!G27*IF(Skills!H27&gt;0,Skills!I27/Skills!H27,1)</f>
        <v/>
      </c>
      <c r="H27">
        <f>1-(1-Skills!J27/100)^Skills!K27</f>
        <v/>
      </c>
      <c r="I27" t="inlineStr">
        <is>
          <t>1</t>
        </is>
      </c>
      <c r="J27" t="inlineStr"/>
      <c r="K27" t="inlineStr"/>
      <c r="L27" t="inlineStr"/>
      <c r="M27" t="inlineStr"/>
      <c r="N27" t="inlineStr"/>
      <c r="O27" t="n">
        <v>0</v>
      </c>
      <c r="P27">
        <f>IF(Summary!$B$3=0,0,O27/Summary!$B$3)</f>
        <v/>
      </c>
      <c r="Q27" t="n">
        <v>0</v>
      </c>
      <c r="R27" t="n">
        <v>0</v>
      </c>
      <c r="S27">
        <f>IFERROR(O27/N27,0)</f>
        <v/>
      </c>
    </row>
    <row r="28">
      <c r="A28">
        <f>Skills!A28</f>
        <v/>
      </c>
      <c r="B28">
        <f>Skills!B28</f>
        <v/>
      </c>
      <c r="C28">
        <f>Inputs!$B$3&gt;=120</f>
        <v/>
      </c>
      <c r="D28">
        <f>IF(Skills!C28=1,60+Inputs!$B$24+Inputs!$B$28,IF(Skills!C28=2,90+Inputs!$B$25+Inputs!$B$28,IF(Skills!C28=3,120+Inputs!$B$26+Inputs!$B$28,MAX(0,(Inputs!$B$3-100)*3)+Inputs!$B$27+Inputs!$B$28)))</f>
        <v/>
      </c>
      <c r="E28">
        <f>INDEX(FactorTable!$B$2:$Y$301, MATCH(ROUND(MIN(300,MAX(1,D28)),0), FactorTable!$A$2:$A$301,0), Skills!M28+1)</f>
        <v/>
      </c>
      <c r="F28">
        <f>IF(Skills!N28=TRUE,(Skills!L28/10)*(E28/1000),Skills!L28/10)+Skills!O28</f>
        <v/>
      </c>
      <c r="G28">
        <f>Skills!G28*IF(Skills!H28&gt;0,Skills!I28/Skills!H28,1)</f>
        <v/>
      </c>
      <c r="H28">
        <f>1-(1-Skills!J28/100)^Skills!K28</f>
        <v/>
      </c>
      <c r="I28" t="inlineStr">
        <is>
          <t>1</t>
        </is>
      </c>
      <c r="J28" t="inlineStr"/>
      <c r="K28" t="inlineStr"/>
      <c r="L28" t="inlineStr"/>
      <c r="M28" t="inlineStr"/>
      <c r="N28" t="inlineStr"/>
      <c r="O28" t="n">
        <v>0</v>
      </c>
      <c r="P28">
        <f>IF(Summary!$B$3=0,0,O28/Summary!$B$3)</f>
        <v/>
      </c>
      <c r="Q28" t="n">
        <v>0</v>
      </c>
      <c r="R28" t="n">
        <v>0</v>
      </c>
      <c r="S28">
        <f>IFERROR(O28/N28,0)</f>
        <v/>
      </c>
    </row>
    <row r="29">
      <c r="A29">
        <f>Skills!A29</f>
        <v/>
      </c>
      <c r="B29">
        <f>Skills!B29</f>
        <v/>
      </c>
      <c r="C29">
        <f>Inputs!$B$3&gt;=45</f>
        <v/>
      </c>
      <c r="D29">
        <f>IF(Skills!C29=1,60+Inputs!$B$24+Inputs!$B$28,IF(Skills!C29=2,90+Inputs!$B$25+Inputs!$B$28,IF(Skills!C29=3,120+Inputs!$B$26+Inputs!$B$28,MAX(0,(Inputs!$B$3-100)*3)+Inputs!$B$27+Inputs!$B$28)))</f>
        <v/>
      </c>
      <c r="E29">
        <f>INDEX(FactorTable!$B$2:$Y$301, MATCH(ROUND(MIN(300,MAX(1,D29)),0), FactorTable!$A$2:$A$301,0), Skills!M29+1)</f>
        <v/>
      </c>
      <c r="F29">
        <f>IF(Skills!N29=TRUE,(Skills!L29/10)*(E29/1000),Skills!L29/10)+Skills!O29</f>
        <v/>
      </c>
      <c r="G29">
        <f>Skills!G29*IF(Skills!H29&gt;0,Skills!I29/Skills!H29,1)</f>
        <v/>
      </c>
      <c r="H29">
        <f>1-(1-Skills!J29/100)^Skills!K29</f>
        <v/>
      </c>
      <c r="I29" t="inlineStr">
        <is>
          <t>1</t>
        </is>
      </c>
      <c r="J29" t="inlineStr"/>
      <c r="K29" t="inlineStr"/>
      <c r="L29" t="inlineStr"/>
      <c r="M29" t="inlineStr"/>
      <c r="N29" t="inlineStr"/>
      <c r="O29" t="n">
        <v>0</v>
      </c>
      <c r="P29">
        <f>IF(Summary!$B$3=0,0,O29/Summary!$B$3)</f>
        <v/>
      </c>
      <c r="Q29" t="n">
        <v>0</v>
      </c>
      <c r="R29" t="n">
        <v>0</v>
      </c>
      <c r="S29">
        <f>IFERROR(O29/N29,0)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Marksman — DPS Summary</t>
        </is>
      </c>
    </row>
    <row r="3">
      <c r="A3" s="9" t="inlineStr">
        <is>
          <t>TOTAL DPS</t>
        </is>
      </c>
      <c r="B3" s="9">
        <f>SUM(Calc!O2:O29)</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Calc!B5</f>
        <v/>
      </c>
      <c r="B8">
        <f>Calc!O5</f>
        <v/>
      </c>
      <c r="C8">
        <f>Calc!P5*100</f>
        <v/>
      </c>
    </row>
    <row r="9">
      <c r="A9">
        <f>Calc!B6</f>
        <v/>
      </c>
      <c r="B9">
        <f>Calc!O6</f>
        <v/>
      </c>
      <c r="C9">
        <f>Calc!P6*100</f>
        <v/>
      </c>
    </row>
    <row r="10">
      <c r="A10">
        <f>Calc!B7</f>
        <v/>
      </c>
      <c r="B10">
        <f>Calc!O7</f>
        <v/>
      </c>
      <c r="C10">
        <f>Calc!P7*100</f>
        <v/>
      </c>
    </row>
    <row r="11">
      <c r="A11">
        <f>Calc!B9</f>
        <v/>
      </c>
      <c r="B11">
        <f>Calc!O9</f>
        <v/>
      </c>
      <c r="C11">
        <f>Calc!P9*100</f>
        <v/>
      </c>
    </row>
    <row r="12">
      <c r="A12">
        <f>Calc!B10</f>
        <v/>
      </c>
      <c r="B12">
        <f>Calc!O10</f>
        <v/>
      </c>
      <c r="C12">
        <f>Calc!P10*100</f>
        <v/>
      </c>
    </row>
    <row r="13">
      <c r="A13">
        <f>Calc!B11</f>
        <v/>
      </c>
      <c r="B13">
        <f>Calc!O11</f>
        <v/>
      </c>
      <c r="C13">
        <f>Calc!P11*100</f>
        <v/>
      </c>
    </row>
    <row r="14">
      <c r="A14" s="7" t="inlineStr">
        <is>
          <t>Marginal DPS &amp; Stat Value (see Sensitivity for full detail)</t>
        </is>
      </c>
    </row>
    <row r="16">
      <c r="A16" s="8" t="inlineStr">
        <is>
          <t>Stat</t>
        </is>
      </c>
      <c r="B16" s="8" t="inlineStr">
        <is>
          <t>DPS per +1</t>
        </is>
      </c>
      <c r="C16" s="8" t="inlineStr">
        <is>
          <t>Units per +1% DPS</t>
        </is>
      </c>
    </row>
    <row r="17">
      <c r="A17">
        <f>Sensitivity!A5</f>
        <v/>
      </c>
      <c r="B17">
        <f>Sensitivity!H5</f>
        <v/>
      </c>
      <c r="C17">
        <f>Sensitivity!B5</f>
        <v/>
      </c>
    </row>
    <row r="18">
      <c r="A18">
        <f>Sensitivity!A6</f>
        <v/>
      </c>
      <c r="B18">
        <f>Sensitivity!H6</f>
        <v/>
      </c>
      <c r="C18">
        <f>Sensitivity!B6</f>
        <v/>
      </c>
    </row>
    <row r="19">
      <c r="A19">
        <f>Sensitivity!A7</f>
        <v/>
      </c>
      <c r="B19">
        <f>Sensitivity!H7</f>
        <v/>
      </c>
      <c r="C19">
        <f>Sensitivity!B7</f>
        <v/>
      </c>
    </row>
    <row r="20">
      <c r="A20">
        <f>Sensitivity!A8</f>
        <v/>
      </c>
      <c r="B20">
        <f>Sensitivity!H8</f>
        <v/>
      </c>
      <c r="C20">
        <f>Sensitivity!B8</f>
        <v/>
      </c>
    </row>
    <row r="21">
      <c r="A21">
        <f>Sensitivity!A9</f>
        <v/>
      </c>
      <c r="B21">
        <f>Sensitivity!H9</f>
        <v/>
      </c>
      <c r="C21">
        <f>Sensitivity!B9</f>
        <v/>
      </c>
    </row>
    <row r="22">
      <c r="A22">
        <f>Sensitivity!A10</f>
        <v/>
      </c>
      <c r="B22">
        <f>Sensitivity!H10</f>
        <v/>
      </c>
      <c r="C22">
        <f>Sensitivity!B10</f>
        <v/>
      </c>
    </row>
    <row r="23">
      <c r="A23">
        <f>Sensitivity!A11</f>
        <v/>
      </c>
      <c r="B23">
        <f>Sensitivity!H11</f>
        <v/>
      </c>
      <c r="C23">
        <f>Sensitivity!B11</f>
        <v/>
      </c>
    </row>
    <row r="24">
      <c r="A24">
        <f>Sensitivity!A12</f>
        <v/>
      </c>
      <c r="B24">
        <f>Sensitivity!H12</f>
        <v/>
      </c>
      <c r="C24">
        <f>Sensitivity!B12</f>
        <v/>
      </c>
    </row>
    <row r="25">
      <c r="A25">
        <f>Sensitivity!A13</f>
        <v/>
      </c>
      <c r="B25">
        <f>Sensitivity!H13</f>
        <v/>
      </c>
      <c r="C25">
        <f>Sensitivity!B13</f>
        <v/>
      </c>
    </row>
    <row r="26">
      <c r="A26">
        <f>Sensitivity!A14</f>
        <v/>
      </c>
      <c r="B26">
        <f>Sensitivity!H14</f>
        <v/>
      </c>
      <c r="C26">
        <f>Sensitivity!B14</f>
        <v/>
      </c>
    </row>
    <row r="27">
      <c r="A27">
        <f>Sensitivity!A15</f>
        <v/>
      </c>
      <c r="B27">
        <f>Sensitivity!H15</f>
        <v/>
      </c>
      <c r="C27">
        <f>Sensitivity!B15</f>
        <v/>
      </c>
    </row>
    <row r="28">
      <c r="A28">
        <f>Sensitivity!A16</f>
        <v/>
      </c>
      <c r="B28">
        <f>Sensitivity!H16</f>
        <v/>
      </c>
      <c r="C28">
        <f>Sensitivity!B16</f>
        <v/>
      </c>
    </row>
    <row r="29">
      <c r="A29">
        <f>Sensitivity!A17</f>
        <v/>
      </c>
      <c r="B29">
        <f>Sensitivity!H17</f>
        <v/>
      </c>
      <c r="C29">
        <f>Sensitivity!B17</f>
        <v/>
      </c>
    </row>
    <row r="30">
      <c r="A30">
        <f>Sensitivity!A18</f>
        <v/>
      </c>
      <c r="B30">
        <f>Sensitivity!H18</f>
        <v/>
      </c>
      <c r="C30">
        <f>Sensitivity!B18</f>
        <v/>
      </c>
    </row>
    <row r="31">
      <c r="A31">
        <f>Sensitivity!A19</f>
        <v/>
      </c>
      <c r="B31">
        <f>Sensitivity!H19</f>
        <v/>
      </c>
      <c r="C31">
        <f>Sensitivity!B19</f>
        <v/>
      </c>
    </row>
    <row r="32">
      <c r="A32">
        <f>Sensitivity!A20</f>
        <v/>
      </c>
      <c r="B32">
        <f>Sensitivity!H20</f>
        <v/>
      </c>
      <c r="C32">
        <f>Sensitivity!B20</f>
        <v/>
      </c>
    </row>
    <row r="33">
      <c r="A33">
        <f>Sensitivity!A21</f>
        <v/>
      </c>
      <c r="B33">
        <f>Sensitivity!H21</f>
        <v/>
      </c>
      <c r="C33">
        <f>Sensitivity!B21</f>
        <v/>
      </c>
    </row>
    <row r="34">
      <c r="A34">
        <f>Sensitivity!A22</f>
        <v/>
      </c>
      <c r="B34">
        <f>Sensitivity!H22</f>
        <v/>
      </c>
      <c r="C34">
        <f>Sensitivity!B22</f>
        <v/>
      </c>
    </row>
    <row r="35">
      <c r="A35">
        <f>Sensitivity!A23</f>
        <v/>
      </c>
      <c r="B35">
        <f>Sensitivity!H23</f>
        <v/>
      </c>
      <c r="C35">
        <f>Sensitivity!B23</f>
        <v/>
      </c>
    </row>
    <row r="36">
      <c r="A36">
        <f>Sensitivity!A24</f>
        <v/>
      </c>
      <c r="B36">
        <f>Sensitivity!H24</f>
        <v/>
      </c>
      <c r="C36">
        <f>Sensitivity!B24</f>
        <v/>
      </c>
    </row>
    <row r="37">
      <c r="A37">
        <f>Sensitivity!A25</f>
        <v/>
      </c>
      <c r="B37">
        <f>Sensitivity!H25</f>
        <v/>
      </c>
      <c r="C37">
        <f>Sensitivity!B25</f>
        <v/>
      </c>
    </row>
    <row r="38">
      <c r="A38">
        <f>Sensitivity!A26</f>
        <v/>
      </c>
      <c r="B38">
        <f>Sensitivity!H26</f>
        <v/>
      </c>
      <c r="C38">
        <f>Sensitivity!B26</f>
        <v/>
      </c>
    </row>
    <row r="39">
      <c r="A39">
        <f>Sensitivity!A27</f>
        <v/>
      </c>
      <c r="B39">
        <f>Sensitivity!H27</f>
        <v/>
      </c>
      <c r="C39">
        <f>Sensitivity!B27</f>
        <v/>
      </c>
    </row>
    <row r="40">
      <c r="A40">
        <f>Sensitivity!A28</f>
        <v/>
      </c>
      <c r="B40">
        <f>Sensitivity!H28</f>
        <v/>
      </c>
      <c r="C40">
        <f>Sensitivity!B28</f>
        <v/>
      </c>
    </row>
    <row r="41">
      <c r="A41">
        <f>Sensitivity!A29</f>
        <v/>
      </c>
      <c r="B41">
        <f>Sensitivity!H29</f>
        <v/>
      </c>
      <c r="C41">
        <f>Sensitivity!B29</f>
        <v/>
      </c>
    </row>
    <row r="42">
      <c r="A42">
        <f>Sensitivity!A30</f>
        <v/>
      </c>
      <c r="B42">
        <f>Sensitivity!H30</f>
        <v/>
      </c>
      <c r="C42">
        <f>Sensitivity!B30</f>
        <v/>
      </c>
    </row>
    <row r="49">
      <c r="A49" s="7" t="inlineStr">
        <is>
          <t>Derived Values (read-only, computed from Inputs)</t>
        </is>
      </c>
    </row>
    <row r="50">
      <c r="A50" t="inlineStr">
        <is>
          <t>ATTACK (= Flat ATTACK x (1+ATTACK%/100))</t>
        </is>
      </c>
      <c r="B50">
        <f>Inputs!$B$5*(1+Inputs!$B$6/100)</f>
        <v/>
      </c>
    </row>
    <row r="51">
      <c r="A51" t="inlineStr">
        <is>
          <t>STAT_DAMAGE % (= 1% of total DEX + 0.25% of STR)</t>
        </is>
      </c>
      <c r="B51">
        <f>(Inputs!$B$11*(1+Inputs!$B$12/100))*0.01+Inputs!$B$13*0.0025</f>
        <v/>
      </c>
    </row>
    <row r="52">
      <c r="A52" t="inlineStr">
        <is>
          <t>Basic Attack (Empowered Piercing Arrow) Input Level (4th job formula)</t>
        </is>
      </c>
      <c r="B52">
        <f>MAX(0,(Inputs!$B$3-100)*3)+Inputs!$B$27+Inputs!$B$28</f>
        <v/>
      </c>
    </row>
    <row r="53">
      <c r="A53" t="inlineStr">
        <is>
          <t>Basic Attack Factor (factorIndex 21, universal 4th-job basic attack)</t>
        </is>
      </c>
      <c r="B53">
        <f>INDEX(FactorTable!$B$2:$Y$301, MATCH(ROUND(MIN(300,MAX(1,Summary!$B$52)),0), FactorTable!$A$2:$A$301,0), 22)</f>
        <v/>
      </c>
    </row>
    <row r="54">
      <c r="A54" t="inlineStr">
        <is>
          <t>SKILL_COEFFICIENT — Empowered Piercing Arrow base coefficient % (before bonuses)</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Attack%% Bucket Multiplier (Marksmanship base+conditional + Illusion Step + Blink Bolt, summed additively)</t>
        </is>
      </c>
      <c r="B57">
        <f>1+(((Calc!C13=TRUE)*Calc!F13)+((Calc!C14=TRUE)*IF(Inputs!$B$4="pvp",Calc!F14,(1-Summary!$B$55)*(Calc!F14)+Summary!$B$55*(0)))+((Calc!C15=TRUE)*Calc!F15*IF(AND(Inputs!$B$4&lt;&gt;"pvp",Inputs!$B$35&gt;0),(((Calc!R15-1)*(Skills!T15*(1+Inputs!$B$33/100))+MIN((Skills!T15*(1+Inputs!$B$33/100)),MAX(0,Inputs!$B$35-((Calc!R15-1)*Skills!D15))))/Inputs!$B$35),IF(Inputs!$B$4="pvp",MIN((Skills!T15*(1+Inputs!$B$33/100)),15)/15,(Skills!T15*(1+Inputs!$B$33/100))/Skills!D15)))+((Calc!C12=TRUE)*Calc!F12))/100</f>
        <v/>
      </c>
    </row>
    <row r="58">
      <c r="A58" t="inlineStr">
        <is>
          <t>Global Crit Rate Bonus % (Sharp Eyes, flat 20, duty-cycle averaged)</t>
        </is>
      </c>
      <c r="B58">
        <f>(Calc!C16=TRUE)*20*IF(AND(Inputs!$B$4&lt;&gt;"pvp",Inputs!$B$35&gt;0),(((Calc!R16-1)*(Skills!T16*(1+Inputs!$B$33/100))+MIN((Skills!T16*(1+Inputs!$B$33/100)),MAX(0,Inputs!$B$35-((Calc!R16-1)*Skills!D16))))/Inputs!$B$35),IF(Inputs!$B$4="pvp",MIN((Skills!T16*(1+Inputs!$B$33/100)),15)/15,(Skills!T16*(1+Inputs!$B$33/100))/Skills!D16))</f>
        <v/>
      </c>
    </row>
    <row r="59">
      <c r="A59" t="inlineStr">
        <is>
          <t>Global Monster Damage-Taken Bonus % (unused — no such source exists in this kit)</t>
        </is>
      </c>
      <c r="B59" t="n">
        <v>0</v>
      </c>
    </row>
    <row r="60">
      <c r="A60" t="inlineStr">
        <is>
          <t>Attack Speed Buff Bonus % (Nimble Feet, duty-cycle averaged)</t>
        </is>
      </c>
      <c r="B60">
        <f>((Calc!C18=TRUE)*Calc!F18*IF(AND(Inputs!$B$4&lt;&gt;"pvp",Inputs!$B$35&gt;0),(((Calc!R18-1)*(Skills!T18*(1+Inputs!$B$33/100))+MIN((Skills!T18*(1+Inputs!$B$33/100)),MAX(0,Inputs!$B$35-((Calc!R18-1)*Skills!D18))))/Inputs!$B$35),IF(Inputs!$B$4="pvp",MIN((Skills!T18*(1+Inputs!$B$33/100)),15)/15,(Skills!T18*(1+Inputs!$B$33/100))/Skills!D18)))</f>
        <v/>
      </c>
    </row>
    <row r="61">
      <c r="A61" t="inlineStr">
        <is>
          <t>Actions Per Second</t>
        </is>
      </c>
      <c r="B61">
        <f>1+MIN(150,150*(1-(1-Inputs!$B$10/150)*(1-B60/150)))/100</f>
        <v/>
      </c>
    </row>
    <row r="62">
      <c r="A62" t="inlineStr">
        <is>
          <t>Skill + Buff Cast Rate (subtracted from Empowered Piercing Arrow, 1/s)</t>
        </is>
      </c>
      <c r="B62">
        <f>IF(AND(Inputs!$B$4&lt;&gt;"pvp",Inputs!$B$35&gt;0),SUMPRODUCT((Skills!E2:E29=TRUE)*(Calc!C2:C29=TRUE)*Calc!R2:R29*Skills!F2:F29)/Inputs!$B$35,SUMPRODUCT((Skills!E2:E29=TRUE)*(Calc!C2:C29=TRUE)*Calc!Q2:Q29*Skills!F2:F29))</f>
        <v/>
      </c>
    </row>
    <row r="63">
      <c r="A63" t="inlineStr">
        <is>
          <t>Empowered Piercing Arrow (Basic Attack) Casts Per Second</t>
        </is>
      </c>
      <c r="B63">
        <f>MAX(0,B61-B62)</f>
        <v/>
      </c>
    </row>
    <row r="64">
      <c r="A64" t="inlineStr">
        <is>
          <t>Global Critical Damage Bonus % (Sharp Eyes scaling — Marksman has no Concentration-equivalent stacking passive)</t>
        </is>
      </c>
      <c r="B64">
        <f>(Calc!C16=TRUE)*Calc!F16*IF(AND(Inputs!$B$4&lt;&gt;"pvp",Inputs!$B$35&gt;0),(((Calc!R16-1)*(Skills!T16*(1+Inputs!$B$33/100))+MIN((Skills!T16*(1+Inputs!$B$33/100)),MAX(0,Inputs!$B$35-((Calc!R16-1)*Skills!D16))))/Inputs!$B$35),IF(Inputs!$B$4="pvp",MIN((Skills!T16*(1+Inputs!$B$33/100)),15)/15,(Skills!T16*(1+Inputs!$B$33/100))/Skills!D16))</f>
        <v/>
      </c>
    </row>
    <row r="65">
      <c r="A65" t="inlineStr">
        <is>
          <t>Global Final Damage Bonus % (Mortal Blow steady-state + Last Man Standing conditional half, boss/pvp-blended)</t>
        </is>
      </c>
      <c r="B65">
        <f>(Calc!C17=TRUE)*Calc!F17+((Calc!C26=TRUE)*IF(Inputs!$B$4="pvp",Calc!F26,(1-Summary!$B$55)*(Calc!F26)+Summary!$B$55*(0)))</f>
        <v/>
      </c>
    </row>
    <row r="66">
      <c r="A66" t="inlineStr">
        <is>
          <t>Empowered Piercing Arrow (Basic Attack) DPS</t>
        </is>
      </c>
      <c r="B66">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148"/>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DEX</t>
        </is>
      </c>
      <c r="B5">
        <f>IFERROR(1/(I5-100),"n/a")</f>
        <v/>
      </c>
      <c r="C5" t="inlineStr">
        <is>
          <t>flat</t>
        </is>
      </c>
      <c r="D5">
        <f>Inputs!$B$11</f>
        <v/>
      </c>
      <c r="E5">
        <f>(Inputs!$B$11+1)</f>
        <v/>
      </c>
      <c r="F5">
        <f>Summary!$B$3</f>
        <v/>
      </c>
      <c r="G5">
        <f>B73</f>
        <v/>
      </c>
      <c r="H5">
        <f>G5-F5</f>
        <v/>
      </c>
      <c r="I5">
        <f>IF(F5=0,0,G5/F5*100)</f>
        <v/>
      </c>
    </row>
    <row r="6">
      <c r="A6" t="inlineStr">
        <is>
          <t>DEX %</t>
        </is>
      </c>
      <c r="B6">
        <f>IFERROR(1/(I6-100),"n/a")</f>
        <v/>
      </c>
      <c r="C6" t="inlineStr">
        <is>
          <t>pct</t>
        </is>
      </c>
      <c r="D6">
        <f>Inputs!$B$12</f>
        <v/>
      </c>
      <c r="E6">
        <f>(Inputs!$B$12+1)</f>
        <v/>
      </c>
      <c r="F6">
        <f>Summary!$B$3</f>
        <v/>
      </c>
      <c r="G6">
        <f>B116</f>
        <v/>
      </c>
      <c r="H6">
        <f>G6-F6</f>
        <v/>
      </c>
      <c r="I6">
        <f>IF(F6=0,0,G6/F6*100)</f>
        <v/>
      </c>
    </row>
    <row r="7">
      <c r="A7" t="inlineStr">
        <is>
          <t>STR</t>
        </is>
      </c>
      <c r="B7">
        <f>IFERROR(1/(I7-100),"n/a")</f>
        <v/>
      </c>
      <c r="C7" t="inlineStr">
        <is>
          <t>flat</t>
        </is>
      </c>
      <c r="D7">
        <f>Inputs!$B$13</f>
        <v/>
      </c>
      <c r="E7">
        <f>(Inputs!$B$13+1)</f>
        <v/>
      </c>
      <c r="F7">
        <f>Summary!$B$3</f>
        <v/>
      </c>
      <c r="G7">
        <f>B159</f>
        <v/>
      </c>
      <c r="H7">
        <f>G7-F7</f>
        <v/>
      </c>
      <c r="I7">
        <f>IF(F7=0,0,G7/F7*100)</f>
        <v/>
      </c>
    </row>
    <row r="8">
      <c r="A8" t="inlineStr">
        <is>
          <t>DAMAGE %</t>
        </is>
      </c>
      <c r="B8">
        <f>IFERROR(1/(I8-100),"n/a")</f>
        <v/>
      </c>
      <c r="C8" t="inlineStr">
        <is>
          <t>pct</t>
        </is>
      </c>
      <c r="D8">
        <f>Inputs!$B$14</f>
        <v/>
      </c>
      <c r="E8">
        <f>(Inputs!$B$14+1)</f>
        <v/>
      </c>
      <c r="F8">
        <f>Summary!$B$3</f>
        <v/>
      </c>
      <c r="G8">
        <f>B202</f>
        <v/>
      </c>
      <c r="H8">
        <f>G8-F8</f>
        <v/>
      </c>
      <c r="I8">
        <f>IF(F8=0,0,G8/F8*100)</f>
        <v/>
      </c>
    </row>
    <row r="9">
      <c r="A9" t="inlineStr">
        <is>
          <t>DAMAGE_AMP %</t>
        </is>
      </c>
      <c r="B9">
        <f>IFERROR(1/(I9-100),"n/a")</f>
        <v/>
      </c>
      <c r="C9" t="inlineStr">
        <is>
          <t>pct</t>
        </is>
      </c>
      <c r="D9">
        <f>Inputs!$B$15</f>
        <v/>
      </c>
      <c r="E9">
        <f>(Inputs!$B$15+1)</f>
        <v/>
      </c>
      <c r="F9">
        <f>Summary!$B$3</f>
        <v/>
      </c>
      <c r="G9">
        <f>B245</f>
        <v/>
      </c>
      <c r="H9">
        <f>G9-F9</f>
        <v/>
      </c>
      <c r="I9">
        <f>IF(F9=0,0,G9/F9*100)</f>
        <v/>
      </c>
    </row>
    <row r="10">
      <c r="A10" t="inlineStr">
        <is>
          <t>BOSS_DAMAGE %</t>
        </is>
      </c>
      <c r="B10">
        <f>IFERROR(1/(I10-100),"n/a")</f>
        <v/>
      </c>
      <c r="C10" t="inlineStr">
        <is>
          <t>pct</t>
        </is>
      </c>
      <c r="D10">
        <f>Inputs!$B$19</f>
        <v/>
      </c>
      <c r="E10">
        <f>(Inputs!$B$19+1)</f>
        <v/>
      </c>
      <c r="F10">
        <f>Summary!$B$3</f>
        <v/>
      </c>
      <c r="G10">
        <f>B288</f>
        <v/>
      </c>
      <c r="H10">
        <f>G10-F10</f>
        <v/>
      </c>
      <c r="I10">
        <f>IF(F10=0,0,G10/F10*100)</f>
        <v/>
      </c>
    </row>
    <row r="11">
      <c r="A11" t="inlineStr">
        <is>
          <t>NORMAL_DAMAGE %</t>
        </is>
      </c>
      <c r="B11">
        <f>IFERROR(1/(I11-100),"n/a")</f>
        <v/>
      </c>
      <c r="C11" t="inlineStr">
        <is>
          <t>pct</t>
        </is>
      </c>
      <c r="D11">
        <f>Inputs!$B$20</f>
        <v/>
      </c>
      <c r="E11">
        <f>(Inputs!$B$20+1)</f>
        <v/>
      </c>
      <c r="F11">
        <f>Summary!$B$3</f>
        <v/>
      </c>
      <c r="G11">
        <f>B331</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B374</f>
        <v/>
      </c>
      <c r="H12">
        <f>G12-F12</f>
        <v/>
      </c>
      <c r="I12">
        <f>IF(F12=0,0,G12/F12*100)</f>
        <v/>
      </c>
    </row>
    <row r="13">
      <c r="A13" t="inlineStr">
        <is>
          <t>MIN_DAMAGE %</t>
        </is>
      </c>
      <c r="B13">
        <f>IFERROR(1/(I13-100),"n/a")</f>
        <v/>
      </c>
      <c r="C13" t="inlineStr">
        <is>
          <t>pct</t>
        </is>
      </c>
      <c r="D13">
        <f>Inputs!$B$21</f>
        <v/>
      </c>
      <c r="E13">
        <f>(Inputs!$B$21+1)</f>
        <v/>
      </c>
      <c r="F13">
        <f>Summary!$B$3</f>
        <v/>
      </c>
      <c r="G13">
        <f>B417</f>
        <v/>
      </c>
      <c r="H13">
        <f>G13-F13</f>
        <v/>
      </c>
      <c r="I13">
        <f>IF(F13=0,0,G13/F13*100)</f>
        <v/>
      </c>
    </row>
    <row r="14">
      <c r="A14" t="inlineStr">
        <is>
          <t>MAX_DAMAGE %</t>
        </is>
      </c>
      <c r="B14">
        <f>IFERROR(1/(I14-100),"n/a")</f>
        <v/>
      </c>
      <c r="C14" t="inlineStr">
        <is>
          <t>pct</t>
        </is>
      </c>
      <c r="D14">
        <f>Inputs!$B$22</f>
        <v/>
      </c>
      <c r="E14">
        <f>(Inputs!$B$22+1)</f>
        <v/>
      </c>
      <c r="F14">
        <f>Summary!$B$3</f>
        <v/>
      </c>
      <c r="G14">
        <f>B460</f>
        <v/>
      </c>
      <c r="H14">
        <f>G14-F14</f>
        <v/>
      </c>
      <c r="I14">
        <f>IF(F14=0,0,G14/F14*100)</f>
        <v/>
      </c>
    </row>
    <row r="15">
      <c r="A15" t="inlineStr">
        <is>
          <t>CRIT_RATE %</t>
        </is>
      </c>
      <c r="B15">
        <f>IFERROR(1/(I15-100),"n/a")</f>
        <v/>
      </c>
      <c r="C15" t="inlineStr">
        <is>
          <t>pct</t>
        </is>
      </c>
      <c r="D15">
        <f>Inputs!$B$8</f>
        <v/>
      </c>
      <c r="E15">
        <f>(Inputs!$B$8+1)</f>
        <v/>
      </c>
      <c r="F15">
        <f>Summary!$B$3</f>
        <v/>
      </c>
      <c r="G15">
        <f>B503</f>
        <v/>
      </c>
      <c r="H15">
        <f>G15-F15</f>
        <v/>
      </c>
      <c r="I15">
        <f>IF(F15=0,0,G15/F15*100)</f>
        <v/>
      </c>
    </row>
    <row r="16">
      <c r="A16" t="inlineStr">
        <is>
          <t>CRIT_DAMAGE %</t>
        </is>
      </c>
      <c r="B16">
        <f>IFERROR(1/(I16-100),"n/a")</f>
        <v/>
      </c>
      <c r="C16" t="inlineStr">
        <is>
          <t>pct</t>
        </is>
      </c>
      <c r="D16">
        <f>Inputs!$B$9</f>
        <v/>
      </c>
      <c r="E16">
        <f>(Inputs!$B$9+1)</f>
        <v/>
      </c>
      <c r="F16">
        <f>Summary!$B$3</f>
        <v/>
      </c>
      <c r="G16">
        <f>B546</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B589</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B632</f>
        <v/>
      </c>
      <c r="H18">
        <f>G18-F18</f>
        <v/>
      </c>
      <c r="I18">
        <f>IF(F18=0,0,G18/F18*100)</f>
        <v/>
      </c>
    </row>
    <row r="19">
      <c r="A19" t="inlineStr">
        <is>
          <t>BASIC_ATTACK_DAMAGE %</t>
        </is>
      </c>
      <c r="B19">
        <f>IFERROR(1/(I19-100),"n/a")</f>
        <v/>
      </c>
      <c r="C19" t="inlineStr">
        <is>
          <t>pct</t>
        </is>
      </c>
      <c r="D19">
        <f>Inputs!$B$16</f>
        <v/>
      </c>
      <c r="E19">
        <f>(Inputs!$B$16+1)</f>
        <v/>
      </c>
      <c r="F19">
        <f>Summary!$B$3</f>
        <v/>
      </c>
      <c r="G19">
        <f>B675</f>
        <v/>
      </c>
      <c r="H19">
        <f>G19-F19</f>
        <v/>
      </c>
      <c r="I19">
        <f>IF(F19=0,0,G19/F19*100)</f>
        <v/>
      </c>
    </row>
    <row r="20">
      <c r="A20" t="inlineStr">
        <is>
          <t>SKILL_DAMAGE %</t>
        </is>
      </c>
      <c r="B20">
        <f>IFERROR(1/(I20-100),"n/a")</f>
        <v/>
      </c>
      <c r="C20" t="inlineStr">
        <is>
          <t>pct</t>
        </is>
      </c>
      <c r="D20">
        <f>Inputs!$B$17</f>
        <v/>
      </c>
      <c r="E20">
        <f>(Inputs!$B$17+1)</f>
        <v/>
      </c>
      <c r="F20">
        <f>Summary!$B$3</f>
        <v/>
      </c>
      <c r="G20">
        <f>B718</f>
        <v/>
      </c>
      <c r="H20">
        <f>G20-F20</f>
        <v/>
      </c>
      <c r="I20">
        <f>IF(F20=0,0,G20/F20*100)</f>
        <v/>
      </c>
    </row>
    <row r="21">
      <c r="A21" t="inlineStr">
        <is>
          <t>Skill Level Bonus — 1st Job</t>
        </is>
      </c>
      <c r="B21">
        <f>IFERROR(1/(I21-100),"n/a")</f>
        <v/>
      </c>
      <c r="C21" t="inlineStr">
        <is>
          <t>level</t>
        </is>
      </c>
      <c r="D21">
        <f>Inputs!$B$24</f>
        <v/>
      </c>
      <c r="E21">
        <f>(Inputs!$B$24+1)</f>
        <v/>
      </c>
      <c r="F21">
        <f>Summary!$B$3</f>
        <v/>
      </c>
      <c r="G21">
        <f>B761</f>
        <v/>
      </c>
      <c r="H21">
        <f>G21-F21</f>
        <v/>
      </c>
      <c r="I21">
        <f>IF(F21=0,0,G21/F21*100)</f>
        <v/>
      </c>
    </row>
    <row r="22">
      <c r="A22" t="inlineStr">
        <is>
          <t>Skill Level Bonus — 2nd Job</t>
        </is>
      </c>
      <c r="B22">
        <f>IFERROR(1/(I22-100),"n/a")</f>
        <v/>
      </c>
      <c r="C22" t="inlineStr">
        <is>
          <t>level</t>
        </is>
      </c>
      <c r="D22">
        <f>Inputs!$B$25</f>
        <v/>
      </c>
      <c r="E22">
        <f>(Inputs!$B$25+1)</f>
        <v/>
      </c>
      <c r="F22">
        <f>Summary!$B$3</f>
        <v/>
      </c>
      <c r="G22">
        <f>B804</f>
        <v/>
      </c>
      <c r="H22">
        <f>G22-F22</f>
        <v/>
      </c>
      <c r="I22">
        <f>IF(F22=0,0,G22/F22*100)</f>
        <v/>
      </c>
    </row>
    <row r="23">
      <c r="A23" t="inlineStr">
        <is>
          <t>Skill Level Bonus — 3rd Job</t>
        </is>
      </c>
      <c r="B23">
        <f>IFERROR(1/(I23-100),"n/a")</f>
        <v/>
      </c>
      <c r="C23" t="inlineStr">
        <is>
          <t>level</t>
        </is>
      </c>
      <c r="D23">
        <f>Inputs!$B$26</f>
        <v/>
      </c>
      <c r="E23">
        <f>(Inputs!$B$26+1)</f>
        <v/>
      </c>
      <c r="F23">
        <f>Summary!$B$3</f>
        <v/>
      </c>
      <c r="G23">
        <f>B847</f>
        <v/>
      </c>
      <c r="H23">
        <f>G23-F23</f>
        <v/>
      </c>
      <c r="I23">
        <f>IF(F23=0,0,G23/F23*100)</f>
        <v/>
      </c>
    </row>
    <row r="24">
      <c r="A24" t="inlineStr">
        <is>
          <t>Skill Level Bonus — 4th Job</t>
        </is>
      </c>
      <c r="B24">
        <f>IFERROR(1/(I24-100),"n/a")</f>
        <v/>
      </c>
      <c r="C24" t="inlineStr">
        <is>
          <t>level</t>
        </is>
      </c>
      <c r="D24">
        <f>Inputs!$B$27</f>
        <v/>
      </c>
      <c r="E24">
        <f>(Inputs!$B$27+1)</f>
        <v/>
      </c>
      <c r="F24">
        <f>Summary!$B$3</f>
        <v/>
      </c>
      <c r="G24">
        <f>B890</f>
        <v/>
      </c>
      <c r="H24">
        <f>G24-F24</f>
        <v/>
      </c>
      <c r="I24">
        <f>IF(F24=0,0,G24/F24*100)</f>
        <v/>
      </c>
    </row>
    <row r="25">
      <c r="A25" t="inlineStr">
        <is>
          <t>Skill Level Bonus — All Skills</t>
        </is>
      </c>
      <c r="B25">
        <f>IFERROR(1/(I25-100),"n/a")</f>
        <v/>
      </c>
      <c r="C25" t="inlineStr">
        <is>
          <t>level</t>
        </is>
      </c>
      <c r="D25">
        <f>Inputs!$B$28</f>
        <v/>
      </c>
      <c r="E25">
        <f>(Inputs!$B$28+1)</f>
        <v/>
      </c>
      <c r="F25">
        <f>Summary!$B$3</f>
        <v/>
      </c>
      <c r="G25">
        <f>B933</f>
        <v/>
      </c>
      <c r="H25">
        <f>G25-F25</f>
        <v/>
      </c>
      <c r="I25">
        <f>IF(F25=0,0,G25/F25*100)</f>
        <v/>
      </c>
    </row>
    <row r="26">
      <c r="A26" t="inlineStr">
        <is>
          <t>Flat ATTACK</t>
        </is>
      </c>
      <c r="B26">
        <f>IFERROR(1/(I26-100),"n/a")</f>
        <v/>
      </c>
      <c r="C26" t="inlineStr">
        <is>
          <t>flat</t>
        </is>
      </c>
      <c r="D26">
        <f>Inputs!$B$5</f>
        <v/>
      </c>
      <c r="E26">
        <f>(Inputs!$B$5+1)</f>
        <v/>
      </c>
      <c r="F26">
        <f>Summary!$B$3</f>
        <v/>
      </c>
      <c r="G26">
        <f>B976</f>
        <v/>
      </c>
      <c r="H26">
        <f>G26-F26</f>
        <v/>
      </c>
      <c r="I26">
        <f>IF(F26=0,0,G26/F26*100)</f>
        <v/>
      </c>
    </row>
    <row r="27">
      <c r="A27" t="inlineStr">
        <is>
          <t>ATTACK %</t>
        </is>
      </c>
      <c r="B27">
        <f>IFERROR(1/(I27-100),"n/a")</f>
        <v/>
      </c>
      <c r="C27" t="inlineStr">
        <is>
          <t>pct</t>
        </is>
      </c>
      <c r="D27">
        <f>Inputs!$B$6</f>
        <v/>
      </c>
      <c r="E27">
        <f>(Inputs!$B$6+1)</f>
        <v/>
      </c>
      <c r="F27">
        <f>Summary!$B$3</f>
        <v/>
      </c>
      <c r="G27">
        <f>B1019</f>
        <v/>
      </c>
      <c r="H27">
        <f>G27-F27</f>
        <v/>
      </c>
      <c r="I27">
        <f>IF(F27=0,0,G27/F27*100)</f>
        <v/>
      </c>
    </row>
    <row r="28">
      <c r="A28" t="inlineStr">
        <is>
          <t>Skill Cooldown Decrease (seconds)</t>
        </is>
      </c>
      <c r="B28">
        <f>IFERROR(1/(I28-100),"n/a")</f>
        <v/>
      </c>
      <c r="C28" t="inlineStr">
        <is>
          <t>flat</t>
        </is>
      </c>
      <c r="D28">
        <f>Inputs!$B$31</f>
        <v/>
      </c>
      <c r="E28">
        <f>(Inputs!$B$31+1)</f>
        <v/>
      </c>
      <c r="F28">
        <f>Summary!$B$3</f>
        <v/>
      </c>
      <c r="G28">
        <f>B1062</f>
        <v/>
      </c>
      <c r="H28">
        <f>G28-F28</f>
        <v/>
      </c>
      <c r="I28">
        <f>IF(F28=0,0,G28/F28*100)</f>
        <v/>
      </c>
    </row>
    <row r="29">
      <c r="A29" t="inlineStr">
        <is>
          <t>Basic Attack Target Increase (flat)</t>
        </is>
      </c>
      <c r="B29">
        <f>IFERROR(1/(I29-100),"n/a")</f>
        <v/>
      </c>
      <c r="C29" t="inlineStr">
        <is>
          <t>flat</t>
        </is>
      </c>
      <c r="D29">
        <f>Inputs!$B$32</f>
        <v/>
      </c>
      <c r="E29">
        <f>(Inputs!$B$32+1)</f>
        <v/>
      </c>
      <c r="F29">
        <f>Summary!$B$3</f>
        <v/>
      </c>
      <c r="G29">
        <f>B1105</f>
        <v/>
      </c>
      <c r="H29">
        <f>G29-F29</f>
        <v/>
      </c>
      <c r="I29">
        <f>IF(F29=0,0,G29/F29*100)</f>
        <v/>
      </c>
    </row>
    <row r="30">
      <c r="A30" t="inlineStr">
        <is>
          <t>Buff Duration Increase %</t>
        </is>
      </c>
      <c r="B30">
        <f>IFERROR(1/(I30-100),"n/a")</f>
        <v/>
      </c>
      <c r="C30" t="inlineStr">
        <is>
          <t>pct</t>
        </is>
      </c>
      <c r="D30">
        <f>Inputs!$B$33</f>
        <v/>
      </c>
      <c r="E30">
        <f>(Inputs!$B$33+1)</f>
        <v/>
      </c>
      <c r="F30">
        <f>Summary!$B$3</f>
        <v/>
      </c>
      <c r="G30">
        <f>B1148</f>
        <v/>
      </c>
      <c r="H30">
        <f>G30-F30</f>
        <v/>
      </c>
      <c r="I30">
        <f>IF(F30=0,0,G30/F30*100)</f>
        <v/>
      </c>
    </row>
    <row r="33">
      <c r="A33" s="5" t="inlineStr">
        <is>
          <t>Stat: Flat DEX</t>
        </is>
      </c>
    </row>
    <row r="34">
      <c r="A34" s="8" t="inlineStr">
        <is>
          <t>Key</t>
        </is>
      </c>
      <c r="B34" s="8" t="inlineStr">
        <is>
          <t>Name</t>
        </is>
      </c>
      <c r="C34" s="8" t="inlineStr">
        <is>
          <t>Unlocked</t>
        </is>
      </c>
      <c r="D34" s="8" t="inlineStr">
        <is>
          <t>InputLevel</t>
        </is>
      </c>
      <c r="E34" s="8" t="inlineStr">
        <is>
          <t>Factor</t>
        </is>
      </c>
      <c r="F34" s="8" t="inlineStr">
        <is>
          <t>CoefficientPercent</t>
        </is>
      </c>
      <c r="G34" s="8" t="inlineStr">
        <is>
          <t>EffectiveHits</t>
        </is>
      </c>
      <c r="H34" s="8" t="inlineStr">
        <is>
          <t>ProcProbability</t>
        </is>
      </c>
      <c r="I34" s="8" t="inlineStr">
        <is>
          <t>MapleHeroMultiplier</t>
        </is>
      </c>
      <c r="J34" s="8" t="inlineStr">
        <is>
          <t>BaseDamage</t>
        </is>
      </c>
      <c r="K34" s="8" t="inlineStr">
        <is>
          <t>BaseHitDamage</t>
        </is>
      </c>
      <c r="L34" s="8" t="inlineStr">
        <is>
          <t>NonCritAvg</t>
        </is>
      </c>
      <c r="M34" s="8" t="inlineStr">
        <is>
          <t>CritAvg</t>
        </is>
      </c>
      <c r="N34" s="8" t="inlineStr">
        <is>
          <t>ExpectedDamage(perHit)</t>
        </is>
      </c>
      <c r="O34" s="8" t="inlineStr">
        <is>
          <t>DPS</t>
        </is>
      </c>
      <c r="P34" s="8" t="inlineStr">
        <is>
          <t>% of Total</t>
        </is>
      </c>
      <c r="Q34" s="8" t="inlineStr">
        <is>
          <t>InvCooldown</t>
        </is>
      </c>
      <c r="R34" s="8" t="inlineStr">
        <is>
          <t>CastsInFight</t>
        </is>
      </c>
      <c r="S34" s="8" t="inlineStr">
        <is>
          <t>HitRate(perSec)</t>
        </is>
      </c>
      <c r="U34" t="inlineStr">
        <is>
          <t>helpers</t>
        </is>
      </c>
    </row>
    <row r="35">
      <c r="A35">
        <f>Skills!A2</f>
        <v/>
      </c>
      <c r="B35">
        <f>Skills!B2</f>
        <v/>
      </c>
      <c r="C35">
        <f>Inputs!$B$3&gt;=100</f>
        <v/>
      </c>
      <c r="D35" t="inlineStr"/>
      <c r="E35" t="inlineStr"/>
      <c r="F35">
        <f>U37+Skills!O2</f>
        <v/>
      </c>
      <c r="G35">
        <f>Skills!G2*IF(Skills!H2&gt;0,Skills!I2/Skills!H2,1)</f>
        <v/>
      </c>
      <c r="H35">
        <f>1-(1-Skills!J2/100)^Skills!K2</f>
        <v/>
      </c>
      <c r="I35" t="inlineStr">
        <is>
          <t>1</t>
        </is>
      </c>
      <c r="J35">
        <f>(Inputs!$B$5*(1+Inputs!$B$6/100))*(F35/100)</f>
        <v/>
      </c>
      <c r="K35">
        <f>J35*(1+(((Inputs!$B$11+1)*(1+Inputs!$B$12/100))*0.01+Inputs!$B$13*0.0025)/100)*(1+Inputs!$B$14/100)*(1+IF(Inputs!$B$4="pvp",0,(1-Summary!$B$55)*(Inputs!$B$19+0+Skills!P2)+Summary!$B$55*(Inputs!$B$20+Skills!Q2))/100)*(1+Inputs!$B$15/100)*(5000/(6000+Inputs!$B$7*(1-(Inputs!$B$18+0)/100)))*(1+(Inputs!$B$23+((C57=TRUE)*(F57-Calc!F24))+((C58=TRUE)*(F58-Calc!F25))+B71)/100)*(1+(IF(Skills!A2="EMPOWERED_PIERCING_ARROW",Inputs!$B$16+((C55=TRUE)*(F55-Calc!F22)),Inputs!$B$17+((C60=TRUE)*(F60-Calc!F27))))/100)*((1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I35)</f>
        <v/>
      </c>
      <c r="L35">
        <f>K35*(MIN(Inputs!$B$21+((C56=TRUE)*(F56-Calc!F23)),Inputs!$B$22+((C61=TRUE)*(F61-Calc!F28)))/100+(Inputs!$B$22+((C61=TRUE)*(F61-Calc!F28)))/100)/2</f>
        <v/>
      </c>
      <c r="M35">
        <f>L35*(1+(Inputs!$B$9+0+B70)/100)</f>
        <v/>
      </c>
      <c r="N35">
        <f>L35*(1-MIN((Inputs!$B$8+((C52=TRUE)*(F52-Calc!F19))+B65),100)/100)+M35*(MIN((Inputs!$B$8+((C52=TRUE)*(F52-Calc!F19))+B65),100)/100)</f>
        <v/>
      </c>
      <c r="O35">
        <f>IF(C35,Skills!G2*N35*B69*IF(Inputs!$B$4="pvp",1,(1-Summary!$B$55)*(1)+Summary!$B$55*(MIN((6+Inputs!$B$32),Inputs!$B$37))),0)</f>
        <v/>
      </c>
      <c r="P35">
        <f>IF(B73=0,0,O35/B73)</f>
        <v/>
      </c>
      <c r="Q35" t="n">
        <v>0</v>
      </c>
      <c r="R35" t="n">
        <v>0</v>
      </c>
      <c r="S35">
        <f>IFERROR(O35/N35,0)</f>
        <v/>
      </c>
      <c r="U35">
        <f>MAX(0,(Inputs!$B$3-100)*3)+Inputs!$B$27+Inputs!$B$28</f>
        <v/>
      </c>
    </row>
    <row r="36">
      <c r="A36">
        <f>Skills!A3</f>
        <v/>
      </c>
      <c r="B36">
        <f>Skills!B3</f>
        <v/>
      </c>
      <c r="C36">
        <f>Inputs!$B$3&gt;=50</f>
        <v/>
      </c>
      <c r="D36">
        <f>IF(Skills!C3=1,60+Inputs!$B$24+Inputs!$B$28,IF(Skills!C3=2,90+Inputs!$B$25+Inputs!$B$28,IF(Skills!C3=3,120+Inputs!$B$26+Inputs!$B$28,MAX(0,(Inputs!$B$3-100)*3)+Inputs!$B$27+Inputs!$B$28)))</f>
        <v/>
      </c>
      <c r="E36">
        <f>INDEX(FactorTable!$B$2:$Y$301, MATCH(ROUND(MIN(300,MAX(1,D36)),0), FactorTable!$A$2:$A$301,0), Skills!M3+1)</f>
        <v/>
      </c>
      <c r="F36">
        <f>IF(Skills!N3=TRUE,(Skills!L3/10)*(E36/1000),Skills!L3/10)+Skills!O3</f>
        <v/>
      </c>
      <c r="G36" t="inlineStr"/>
      <c r="H36" t="inlineStr"/>
      <c r="I36" t="inlineStr">
        <is>
          <t>1</t>
        </is>
      </c>
      <c r="J36" t="inlineStr"/>
      <c r="K36" t="inlineStr"/>
      <c r="L36" t="inlineStr"/>
      <c r="M36" t="inlineStr"/>
      <c r="N36" t="inlineStr"/>
      <c r="O36" t="inlineStr"/>
      <c r="P36" t="inlineStr"/>
      <c r="Q36" t="inlineStr"/>
      <c r="R36" t="inlineStr"/>
      <c r="S36" t="inlineStr"/>
      <c r="U36">
        <f>INDEX(FactorTable!$B$2:$Y$301, MATCH(ROUND(MIN(300,MAX(1,U35)),0), FactorTable!$A$2:$A$301,0), 22)</f>
        <v/>
      </c>
    </row>
    <row r="37">
      <c r="A37">
        <f>Skills!A4</f>
        <v/>
      </c>
      <c r="B37">
        <f>Skills!B4</f>
        <v/>
      </c>
      <c r="C37">
        <f>Inputs!$B$3&gt;=105</f>
        <v/>
      </c>
      <c r="D37">
        <f>IF(Skills!C4=1,60+Inputs!$B$24+Inputs!$B$28,IF(Skills!C4=2,90+Inputs!$B$25+Inputs!$B$28,IF(Skills!C4=3,120+Inputs!$B$26+Inputs!$B$28,MAX(0,(Inputs!$B$3-100)*3)+Inputs!$B$27+Inputs!$B$28)))</f>
        <v/>
      </c>
      <c r="E37">
        <f>INDEX(FactorTable!$B$2:$Y$301, MATCH(ROUND(MIN(300,MAX(1,D37)),0), FactorTable!$A$2:$A$301,0), Skills!M4+1)</f>
        <v/>
      </c>
      <c r="F37">
        <f>IF(Skills!N4=TRUE,(Skills!L4/10)*(E37/1000),Skills!L4/10)+Skills!O4</f>
        <v/>
      </c>
      <c r="G37" t="inlineStr"/>
      <c r="H37" t="inlineStr"/>
      <c r="I37" t="inlineStr">
        <is>
          <t>1</t>
        </is>
      </c>
      <c r="J37" t="inlineStr"/>
      <c r="K37" t="inlineStr"/>
      <c r="L37" t="inlineStr"/>
      <c r="M37" t="inlineStr"/>
      <c r="N37" t="inlineStr"/>
      <c r="O37" t="inlineStr"/>
      <c r="P37" t="inlineStr"/>
      <c r="Q37" t="inlineStr"/>
      <c r="R37" t="inlineStr"/>
      <c r="S37" t="inlineStr"/>
      <c r="U37">
        <f>290*U36/1000</f>
        <v/>
      </c>
    </row>
    <row r="38">
      <c r="A38">
        <f>Skills!A5</f>
        <v/>
      </c>
      <c r="B38">
        <f>Skills!B5</f>
        <v/>
      </c>
      <c r="C38">
        <f>Inputs!$B$3&gt;=35</f>
        <v/>
      </c>
      <c r="D38">
        <f>IF(Skills!C5=1,60+Inputs!$B$24+Inputs!$B$28,IF(Skills!C5=2,90+Inputs!$B$25+Inputs!$B$28,IF(Skills!C5=3,120+Inputs!$B$26+Inputs!$B$28,MAX(0,(Inputs!$B$3-100)*3)+Inputs!$B$27+Inputs!$B$28)))</f>
        <v/>
      </c>
      <c r="E38">
        <f>INDEX(FactorTable!$B$2:$Y$301, MATCH(ROUND(MIN(300,MAX(1,D38)),0), FactorTable!$A$2:$A$301,0), Skills!M5+1)</f>
        <v/>
      </c>
      <c r="F38">
        <f>IF(Skills!N5=TRUE,(Skills!L5/10)*(E38/1000),Skills!L5/10)+Skills!O5</f>
        <v/>
      </c>
      <c r="G38">
        <f>Skills!G5*IF(Skills!H5&gt;0,Skills!I5/Skills!H5,1)</f>
        <v/>
      </c>
      <c r="H38">
        <f>1-(1-Skills!J5/100)^Skills!K5</f>
        <v/>
      </c>
      <c r="I38" t="inlineStr">
        <is>
          <t>1</t>
        </is>
      </c>
      <c r="J38">
        <f>(Inputs!$B$5*(1+Inputs!$B$6/100))*(F38/100)</f>
        <v/>
      </c>
      <c r="K38">
        <f>J38*(1+(((Inputs!$B$11+1)*(1+Inputs!$B$12/100))*0.01+Inputs!$B$13*0.0025)/100)*(1+Inputs!$B$14/100)*(1+IF(Inputs!$B$4="pvp",0,(1-Summary!$B$55)*(Inputs!$B$19+0+Skills!P5)+Summary!$B$55*(Inputs!$B$20+Skills!Q5))/100)*(1+Inputs!$B$15/100)*(5000/(6000+Inputs!$B$7*(1-(Inputs!$B$18+0)/100)))*(1+(Inputs!$B$23+((C57=TRUE)*(F57-Calc!F24))+((C58=TRUE)*(F58-Calc!F25))+B71)/100)*(1+4.0*IF(C41=TRUE,F41,0)/100)*(1+(IF(Skills!A5="EMPOWERED_PIERCING_ARROW",Inputs!$B$16+((C55=TRUE)*(F55-Calc!F22)),Inputs!$B$17+((C60=TRUE)*(F60-Calc!F27))))/100)*((1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I38)</f>
        <v/>
      </c>
      <c r="L38">
        <f>K38*(MIN(Inputs!$B$21+((C56=TRUE)*(F56-Calc!F23)),Inputs!$B$22+((C61=TRUE)*(F61-Calc!F28)))/100+(Inputs!$B$22+((C61=TRUE)*(F61-Calc!F28)))/100)/2</f>
        <v/>
      </c>
      <c r="M38">
        <f>L38*(1+(Inputs!$B$9+0+B70)/100)</f>
        <v/>
      </c>
      <c r="N38">
        <f>L38*(1-MIN((Inputs!$B$8+((C52=TRUE)*(F52-Calc!F19))+B65),100)/100)+M38*(MIN((Inputs!$B$8+((C52=TRUE)*(F52-Calc!F19))+B65),100)/100)</f>
        <v/>
      </c>
      <c r="O38">
        <f>IF(C38,H38*N38*IF(AND(Inputs!$B$4&lt;&gt;"pvp",Inputs!$B$35&gt;0),((Skills!G5*((R38-1)*IF(Skills!H5&gt;0,Skills!I5/Skills!H5,1)+IF(Skills!H5&gt;0,MIN(Skills!I5,MAX(0,Inputs!$B$35-((R38-1)*IF(Inputs!$B$4="pvp",15,MAX(0.1,Skills!D5-IF(Skills!E5=TRUE,Inputs!$B$31,0))))))/Skills!H5,1)))/Inputs!$B$35),G38*Q38)*IF(Inputs!$B$4="pvp",1,(1-Summary!$B$55)*(1)+Summary!$B$55*(MIN(Skills!R5,Inputs!$B$37))),0)</f>
        <v/>
      </c>
      <c r="P38">
        <f>IF(B73=0,0,O38/B73)</f>
        <v/>
      </c>
      <c r="Q38">
        <f>IFERROR(1/IF(Inputs!$B$4="pvp",15,MAX(0.1,Skills!D5-IF(Skills!E5=TRUE,Inputs!$B$31,0))),0)</f>
        <v/>
      </c>
      <c r="R38">
        <f>IF(AND(Inputs!$B$4&lt;&gt;"pvp",Inputs!$B$35&gt;0),(INT(Inputs!$B$35/IF(Inputs!$B$4="pvp",15,MAX(0.1,Skills!D5-IF(Skills!E5=TRUE,Inputs!$B$31,0))))+1),0)</f>
        <v/>
      </c>
      <c r="S38">
        <f>IFERROR(O38/N38,0)</f>
        <v/>
      </c>
    </row>
    <row r="39">
      <c r="A39">
        <f>Skills!A6</f>
        <v/>
      </c>
      <c r="B39">
        <f>Skills!B6</f>
        <v/>
      </c>
      <c r="C39">
        <f>Inputs!$B$3&gt;=63</f>
        <v/>
      </c>
      <c r="D39">
        <f>IF(Skills!C6=1,60+Inputs!$B$24+Inputs!$B$28,IF(Skills!C6=2,90+Inputs!$B$25+Inputs!$B$28,IF(Skills!C6=3,120+Inputs!$B$26+Inputs!$B$28,MAX(0,(Inputs!$B$3-100)*3)+Inputs!$B$27+Inputs!$B$28)))</f>
        <v/>
      </c>
      <c r="E39">
        <f>INDEX(FactorTable!$B$2:$Y$301, MATCH(ROUND(MIN(300,MAX(1,D39)),0), FactorTable!$A$2:$A$301,0), Skills!M6+1)</f>
        <v/>
      </c>
      <c r="F39">
        <f>IF(Skills!N6=TRUE,(Skills!L6/10)*(E39/1000),Skills!L6/10)+Skills!O6</f>
        <v/>
      </c>
      <c r="G39">
        <f>Skills!G6*IF(Skills!H6&gt;0,Skills!I6/Skills!H6,1)</f>
        <v/>
      </c>
      <c r="H39">
        <f>1-(1-Skills!J6/100)^Skills!K6</f>
        <v/>
      </c>
      <c r="I39" t="inlineStr">
        <is>
          <t>1</t>
        </is>
      </c>
      <c r="J39">
        <f>(Inputs!$B$5*(1+Inputs!$B$6/100))*(F39/100)</f>
        <v/>
      </c>
      <c r="K39">
        <f>J39*(1+(((Inputs!$B$11+1)*(1+Inputs!$B$12/100))*0.01+Inputs!$B$13*0.0025)/100)*(1+Inputs!$B$14/100)*(1+IF(Inputs!$B$4="pvp",0,(1-Summary!$B$55)*(Inputs!$B$19+0+Skills!P6)+Summary!$B$55*(Inputs!$B$20+Skills!Q6))/100)*(1+Inputs!$B$15/100)*(5000/(6000+Inputs!$B$7*(1-(Inputs!$B$18+0)/100)))*(1+(Inputs!$B$23+((C57=TRUE)*(F57-Calc!F24))+((C58=TRUE)*(F58-Calc!F25))+B71)/100)*(1+1.0*IF(C41=TRUE,F41,0)/100)*(1+(IF(Skills!A6="EMPOWERED_PIERCING_ARROW",Inputs!$B$16+((C55=TRUE)*(F55-Calc!F22)),Inputs!$B$17+((C60=TRUE)*(F60-Calc!F27))))/100)*((1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I39)</f>
        <v/>
      </c>
      <c r="L39">
        <f>K39*(MIN(Inputs!$B$21+((C56=TRUE)*(F56-Calc!F23)),Inputs!$B$22+((C61=TRUE)*(F61-Calc!F28)))/100+(Inputs!$B$22+((C61=TRUE)*(F61-Calc!F28)))/100)/2</f>
        <v/>
      </c>
      <c r="M39">
        <f>L39*(1+(Inputs!$B$9+0+B70)/100)</f>
        <v/>
      </c>
      <c r="N39">
        <f>L39*(1-MIN((Inputs!$B$8+((C52=TRUE)*(F52-Calc!F19))+B65),100)/100)+M39*(MIN((Inputs!$B$8+((C52=TRUE)*(F52-Calc!F19))+B65),100)/100)</f>
        <v/>
      </c>
      <c r="O39">
        <f>IF(C39,H39*N39*IF(AND(Inputs!$B$4&lt;&gt;"pvp",Inputs!$B$35&gt;0),((Skills!G6*((R39-1)*IF(Skills!H6&gt;0,Skills!I6/Skills!H6,1)+IF(Skills!H6&gt;0,MIN(Skills!I6,MAX(0,Inputs!$B$35-((R39-1)*IF(Inputs!$B$4="pvp",15,MAX(0.1,Skills!D6-IF(Skills!E6=TRUE,Inputs!$B$31,0))))))/Skills!H6,1)))/Inputs!$B$35),G39*Q39)*IF(Inputs!$B$4="pvp",1,(1-Summary!$B$55)*(1)+Summary!$B$55*(MIN(Skills!R6,Inputs!$B$37))),0)</f>
        <v/>
      </c>
      <c r="P39">
        <f>IF(B73=0,0,O39/B73)</f>
        <v/>
      </c>
      <c r="Q39">
        <f>IFERROR(1/IF(Inputs!$B$4="pvp",15,MAX(0.1,Skills!D6-IF(Skills!E6=TRUE,Inputs!$B$31,0))),0)</f>
        <v/>
      </c>
      <c r="R39">
        <f>IF(AND(Inputs!$B$4&lt;&gt;"pvp",Inputs!$B$35&gt;0),(INT(Inputs!$B$35/IF(Inputs!$B$4="pvp",15,MAX(0.1,Skills!D6-IF(Skills!E6=TRUE,Inputs!$B$31,0))))+1),0)</f>
        <v/>
      </c>
      <c r="S39">
        <f>IFERROR(O39/N39,0)</f>
        <v/>
      </c>
    </row>
    <row r="40">
      <c r="A40">
        <f>Skills!A7</f>
        <v/>
      </c>
      <c r="B40">
        <f>Skills!B7</f>
        <v/>
      </c>
      <c r="C40">
        <f>Inputs!$B$3&gt;=69</f>
        <v/>
      </c>
      <c r="D40">
        <f>IF(Skills!C7=1,60+Inputs!$B$24+Inputs!$B$28,IF(Skills!C7=2,90+Inputs!$B$25+Inputs!$B$28,IF(Skills!C7=3,120+Inputs!$B$26+Inputs!$B$28,MAX(0,(Inputs!$B$3-100)*3)+Inputs!$B$27+Inputs!$B$28)))</f>
        <v/>
      </c>
      <c r="E40">
        <f>INDEX(FactorTable!$B$2:$Y$301, MATCH(ROUND(MIN(300,MAX(1,D40)),0), FactorTable!$A$2:$A$301,0), Skills!M7+1)</f>
        <v/>
      </c>
      <c r="F40">
        <f>IF(Skills!N7=TRUE,(Skills!L7/10)*(E40/1000),Skills!L7/10)+Skills!O7</f>
        <v/>
      </c>
      <c r="G40">
        <f>Skills!G7*IF(Skills!H7&gt;0,Skills!I7/Skills!H7,1)</f>
        <v/>
      </c>
      <c r="H40">
        <f>1-(1-Skills!J7/100)^Skills!K7</f>
        <v/>
      </c>
      <c r="I40" t="inlineStr">
        <is>
          <t>1</t>
        </is>
      </c>
      <c r="J40">
        <f>(Inputs!$B$5*(1+Inputs!$B$6/100))*(F40/100)</f>
        <v/>
      </c>
      <c r="K40">
        <f>J40*(1+(((Inputs!$B$11+1)*(1+Inputs!$B$12/100))*0.01+Inputs!$B$13*0.0025)/100)*(1+Inputs!$B$14/100)*(1+IF(Inputs!$B$4="pvp",0,(1-Summary!$B$55)*(Inputs!$B$19+0+Skills!P7)+Summary!$B$55*(Inputs!$B$20+Skills!Q7))/100)*(1+Inputs!$B$15/100)*(5000/(6000+Inputs!$B$7*(1-(Inputs!$B$18+0)/100)))*(1+(Inputs!$B$23+((C57=TRUE)*(F57-Calc!F24))+((C58=TRUE)*(F58-Calc!F25))+B71)/100)*(1+1.2*IF(C41=TRUE,F41,0)/100)*(1+(IF(Skills!A7="EMPOWERED_PIERCING_ARROW",Inputs!$B$16+((C55=TRUE)*(F55-Calc!F22)),Inputs!$B$17+((C60=TRUE)*(F60-Calc!F27))))/100)*((1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I40)</f>
        <v/>
      </c>
      <c r="L40">
        <f>K40*(MIN(Inputs!$B$21+((C56=TRUE)*(F56-Calc!F23)),Inputs!$B$22+((C61=TRUE)*(F61-Calc!F28)))/100+(Inputs!$B$22+((C61=TRUE)*(F61-Calc!F28)))/100)/2</f>
        <v/>
      </c>
      <c r="M40">
        <f>L40*(1+(Inputs!$B$9+0+B70)/100)</f>
        <v/>
      </c>
      <c r="N40">
        <f>L40*(1-MIN((Inputs!$B$8+((C52=TRUE)*(F52-Calc!F19))+B65),100)/100)+M40*(MIN((Inputs!$B$8+((C52=TRUE)*(F52-Calc!F19))+B65),100)/100)</f>
        <v/>
      </c>
      <c r="O40">
        <f>IF(C40,H40*N40*IF(AND(Inputs!$B$4&lt;&gt;"pvp",Inputs!$B$35&gt;0),((Skills!G7*((R40-1)*IF(Skills!H7&gt;0,Skills!I7/Skills!H7,1)+IF(Skills!H7&gt;0,MIN(Skills!I7,MAX(0,Inputs!$B$35-((R40-1)*IF(Inputs!$B$4="pvp",15,MAX(0.1,Skills!D7-IF(Skills!E7=TRUE,Inputs!$B$31,0))))))/Skills!H7,1)))/Inputs!$B$35),G40*Q40)*IF(Inputs!$B$4="pvp",1,(1-Summary!$B$55)*(1)+Summary!$B$55*(MIN(Skills!R7,Inputs!$B$37))),0)</f>
        <v/>
      </c>
      <c r="P40">
        <f>IF(B73=0,0,O40/B73)</f>
        <v/>
      </c>
      <c r="Q40">
        <f>IFERROR(1/IF(Inputs!$B$4="pvp",15,MAX(0.1,Skills!D7-IF(Skills!E7=TRUE,Inputs!$B$31,0))),0)</f>
        <v/>
      </c>
      <c r="R40">
        <f>IF(AND(Inputs!$B$4&lt;&gt;"pvp",Inputs!$B$35&gt;0),(INT(Inputs!$B$35/IF(Inputs!$B$4="pvp",15,MAX(0.1,Skills!D7-IF(Skills!E7=TRUE,Inputs!$B$31,0))))+1),0)</f>
        <v/>
      </c>
      <c r="S40">
        <f>IFERROR(O40/N40,0)</f>
        <v/>
      </c>
    </row>
    <row r="41">
      <c r="A41">
        <f>Skills!A8</f>
        <v/>
      </c>
      <c r="B41">
        <f>Skills!B8</f>
        <v/>
      </c>
      <c r="C41">
        <f>Inputs!$B$3&gt;=100</f>
        <v/>
      </c>
      <c r="D41">
        <f>IF(Skills!C8=1,60+Inputs!$B$24+Inputs!$B$28,IF(Skills!C8=2,90+Inputs!$B$25+Inputs!$B$28,IF(Skills!C8=3,120+Inputs!$B$26+Inputs!$B$28,MAX(0,(Inputs!$B$3-100)*3)+Inputs!$B$27+Inputs!$B$28)))</f>
        <v/>
      </c>
      <c r="E41">
        <f>INDEX(FactorTable!$B$2:$Y$301, MATCH(ROUND(MIN(300,MAX(1,D41)),0), FactorTable!$A$2:$A$301,0), Skills!M8+1)</f>
        <v/>
      </c>
      <c r="F41">
        <f>IF(Skills!N8=TRUE,(Skills!L8/10)*(E41/1000),Skills!L8/10)+Skills!O8</f>
        <v/>
      </c>
      <c r="G41" t="inlineStr"/>
      <c r="H41" t="inlineStr"/>
      <c r="I41" t="inlineStr">
        <is>
          <t>1</t>
        </is>
      </c>
      <c r="J41" t="inlineStr"/>
      <c r="K41" t="inlineStr"/>
      <c r="L41" t="inlineStr"/>
      <c r="M41" t="inlineStr"/>
      <c r="N41" t="inlineStr"/>
      <c r="O41" t="inlineStr"/>
      <c r="P41" t="inlineStr"/>
      <c r="Q41" t="inlineStr"/>
      <c r="R41" t="inlineStr"/>
      <c r="S41" t="inlineStr"/>
    </row>
    <row r="42">
      <c r="A42">
        <f>Skills!A9</f>
        <v/>
      </c>
      <c r="B42">
        <f>Skills!B9</f>
        <v/>
      </c>
      <c r="C42">
        <f>Inputs!$B$3&gt;=103</f>
        <v/>
      </c>
      <c r="D42">
        <f>IF(Skills!C9=1,60+Inputs!$B$24+Inputs!$B$28,IF(Skills!C9=2,90+Inputs!$B$25+Inputs!$B$28,IF(Skills!C9=3,120+Inputs!$B$26+Inputs!$B$28,MAX(0,(Inputs!$B$3-100)*3)+Inputs!$B$27+Inputs!$B$28)))</f>
        <v/>
      </c>
      <c r="E42">
        <f>INDEX(FactorTable!$B$2:$Y$301, MATCH(ROUND(MIN(300,MAX(1,D42)),0), FactorTable!$A$2:$A$301,0), Skills!M9+1)</f>
        <v/>
      </c>
      <c r="F42">
        <f>IF(Skills!N9=TRUE,(Skills!L9/10)*(E42/1000),Skills!L9/10)+Skills!O9</f>
        <v/>
      </c>
      <c r="G42">
        <f>Skills!G9*IF(Skills!H9&gt;0,Skills!I9/Skills!H9,1)</f>
        <v/>
      </c>
      <c r="H42">
        <f>1-(1-Skills!J9/100)^Skills!K9</f>
        <v/>
      </c>
      <c r="I42" t="inlineStr">
        <is>
          <t>1</t>
        </is>
      </c>
      <c r="J42">
        <f>(Inputs!$B$5*(1+Inputs!$B$6/100))*(F42/100)</f>
        <v/>
      </c>
      <c r="K42">
        <f>J42*(1+(((Inputs!$B$11+1)*(1+Inputs!$B$12/100))*0.01+Inputs!$B$13*0.0025)/100)*(1+Inputs!$B$14/100)*(1+IF(Inputs!$B$4="pvp",0,(1-Summary!$B$55)*(Inputs!$B$19+0+Skills!P9)+Summary!$B$55*(Inputs!$B$20+Skills!Q9))/100)*(1+Inputs!$B$15/100)*(5000/(6000+Inputs!$B$7*(1-(Inputs!$B$18+0)/100)))*(1+(Inputs!$B$23+((C57=TRUE)*(F57-Calc!F24))+((C58=TRUE)*(F58-Calc!F25))+B71)/100)*(1+(IF(Skills!A9="EMPOWERED_PIERCING_ARROW",Inputs!$B$16+((C55=TRUE)*(F55-Calc!F22)),Inputs!$B$17+((C60=TRUE)*(F60-Calc!F27))))/100)*((1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I42)</f>
        <v/>
      </c>
      <c r="L42">
        <f>K42*(MIN(Inputs!$B$21+((C56=TRUE)*(F56-Calc!F23)),Inputs!$B$22+((C61=TRUE)*(F61-Calc!F28)))/100+(Inputs!$B$22+((C61=TRUE)*(F61-Calc!F28)))/100)/2</f>
        <v/>
      </c>
      <c r="M42">
        <f>L42*(1+(Inputs!$B$9+0+B70)/100)</f>
        <v/>
      </c>
      <c r="N42">
        <f>L42*(1-MIN((Inputs!$B$8+((C52=TRUE)*(F52-Calc!F19))+B65),100)/100)+M42*(MIN((Inputs!$B$8+((C52=TRUE)*(F52-Calc!F19))+B65),100)/100)</f>
        <v/>
      </c>
      <c r="O42">
        <f>IF(C42,H42*N42*IF(AND(Inputs!$B$4&lt;&gt;"pvp",Inputs!$B$35&gt;0),((Skills!G9*((R42-1)*IF(Skills!H9&gt;0,Skills!I9/Skills!H9,1)+IF(Skills!H9&gt;0,MIN(Skills!I9,MAX(0,Inputs!$B$35-((R42-1)*IF(Inputs!$B$4="pvp",15,MAX(0.1,Skills!D9-IF(Skills!E9=TRUE,Inputs!$B$31,0))))))/Skills!H9,1)))/Inputs!$B$35),G42*Q42)*IF(Inputs!$B$4="pvp",1,(1-Summary!$B$55)*(1)+Summary!$B$55*(MIN(Skills!R9,Inputs!$B$37))),0)</f>
        <v/>
      </c>
      <c r="P42">
        <f>IF(B73=0,0,O42/B73)</f>
        <v/>
      </c>
      <c r="Q42">
        <f>IFERROR(1/IF(Inputs!$B$4="pvp",15,MAX(0.1,Skills!D9-IF(Skills!E9=TRUE,Inputs!$B$31,0))),0)</f>
        <v/>
      </c>
      <c r="R42">
        <f>IF(AND(Inputs!$B$4&lt;&gt;"pvp",Inputs!$B$35&gt;0),(INT(Inputs!$B$35/IF(Inputs!$B$4="pvp",15,MAX(0.1,Skills!D9-IF(Skills!E9=TRUE,Inputs!$B$31,0))))+1),0)</f>
        <v/>
      </c>
      <c r="S42">
        <f>IFERROR(O42/N42,0)</f>
        <v/>
      </c>
    </row>
    <row r="43">
      <c r="A43">
        <f>Skills!A10</f>
        <v/>
      </c>
      <c r="B43">
        <f>Skills!B10</f>
        <v/>
      </c>
      <c r="C43">
        <f>Inputs!$B$3&gt;=107</f>
        <v/>
      </c>
      <c r="D43">
        <f>IF(Skills!C10=1,60+Inputs!$B$24+Inputs!$B$28,IF(Skills!C10=2,90+Inputs!$B$25+Inputs!$B$28,IF(Skills!C10=3,120+Inputs!$B$26+Inputs!$B$28,MAX(0,(Inputs!$B$3-100)*3)+Inputs!$B$27+Inputs!$B$28)))</f>
        <v/>
      </c>
      <c r="E43">
        <f>INDEX(FactorTable!$B$2:$Y$301, MATCH(ROUND(MIN(300,MAX(1,D43)),0), FactorTable!$A$2:$A$301,0), Skills!M10+1)</f>
        <v/>
      </c>
      <c r="F43">
        <f>IF(Skills!N10=TRUE,(Skills!L10/10)*(E43/1000),Skills!L10/10)+Skills!O10</f>
        <v/>
      </c>
      <c r="G43">
        <f>Skills!G10*IF(Skills!H10&gt;0,Skills!I10/Skills!H10,1)</f>
        <v/>
      </c>
      <c r="H43">
        <f>1-(1-Skills!J10/100)^Skills!K10</f>
        <v/>
      </c>
      <c r="I43" t="inlineStr">
        <is>
          <t>1</t>
        </is>
      </c>
      <c r="J43">
        <f>(Inputs!$B$5*(1+Inputs!$B$6/100))*(F43/100)</f>
        <v/>
      </c>
      <c r="K43">
        <f>J43*(1+(((Inputs!$B$11+1)*(1+Inputs!$B$12/100))*0.01+Inputs!$B$13*0.0025)/100)*(1+Inputs!$B$14/100)*(1+IF(Inputs!$B$4="pvp",0,(1-Summary!$B$55)*(Inputs!$B$19+0+Skills!P10)+Summary!$B$55*(Inputs!$B$20+Skills!Q10))/100)*(1+Inputs!$B$15/100)*(5000/(6000+Inputs!$B$7*(1-(Inputs!$B$18+0)/100)))*(1+(Inputs!$B$23+((C57=TRUE)*(F57-Calc!F24))+((C58=TRUE)*(F58-Calc!F25))+B71)/100)*(1+(IF(Skills!A10="EMPOWERED_PIERCING_ARROW",Inputs!$B$16+((C55=TRUE)*(F55-Calc!F22)),Inputs!$B$17+((C60=TRUE)*(F60-Calc!F27))))/100)*((1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I43)</f>
        <v/>
      </c>
      <c r="L43">
        <f>K43*(MIN(Inputs!$B$21+((C56=TRUE)*(F56-Calc!F23)),Inputs!$B$22+((C61=TRUE)*(F61-Calc!F28)))/100+(Inputs!$B$22+((C61=TRUE)*(F61-Calc!F28)))/100)/2</f>
        <v/>
      </c>
      <c r="M43">
        <f>L43*(1+(Inputs!$B$9+0+B70)/100)</f>
        <v/>
      </c>
      <c r="N43">
        <f>L43*(1-MIN((Inputs!$B$8+((C52=TRUE)*(F52-Calc!F19))+B65),100)/100)+M43*(MIN((Inputs!$B$8+((C52=TRUE)*(F52-Calc!F19))+B65),100)/100)</f>
        <v/>
      </c>
      <c r="O43">
        <f>IF(C43,0.15*SUMPRODUCT((Skills!U2:U29=TRUE)*(C35:C62=TRUE)*S35:S62)*Skills!G10*N43*IF(Inputs!$B$4="pvp",1,(1-Summary!$B$55)*(1)+Summary!$B$55*(MIN(Skills!R10,Inputs!$B$37))),0)</f>
        <v/>
      </c>
      <c r="P43">
        <f>IF(B73=0,0,O43/B73)</f>
        <v/>
      </c>
      <c r="Q43" t="n">
        <v>0</v>
      </c>
      <c r="R43" t="n">
        <v>0</v>
      </c>
      <c r="S43" t="n">
        <v>0</v>
      </c>
    </row>
    <row r="44">
      <c r="A44">
        <f>Skills!A11</f>
        <v/>
      </c>
      <c r="B44">
        <f>Skills!B11</f>
        <v/>
      </c>
      <c r="C44">
        <f>Inputs!$B$3&gt;=110</f>
        <v/>
      </c>
      <c r="D44">
        <f>IF(Skills!C11=1,60+Inputs!$B$24+Inputs!$B$28,IF(Skills!C11=2,90+Inputs!$B$25+Inputs!$B$28,IF(Skills!C11=3,120+Inputs!$B$26+Inputs!$B$28,MAX(0,(Inputs!$B$3-100)*3)+Inputs!$B$27+Inputs!$B$28)))</f>
        <v/>
      </c>
      <c r="E44">
        <f>INDEX(FactorTable!$B$2:$Y$301, MATCH(ROUND(MIN(300,MAX(1,D44)),0), FactorTable!$A$2:$A$301,0), Skills!M11+1)</f>
        <v/>
      </c>
      <c r="F44">
        <f>IF(Skills!N11=TRUE,(Skills!L11/10)*(E44/1000),Skills!L11/10)+Skills!O11</f>
        <v/>
      </c>
      <c r="G44">
        <f>Skills!G11*IF(Skills!H11&gt;0,Skills!I11/Skills!H11,1)</f>
        <v/>
      </c>
      <c r="H44">
        <f>1-(1-Skills!J11/100)^Skills!K11</f>
        <v/>
      </c>
      <c r="I44" t="inlineStr">
        <is>
          <t>1</t>
        </is>
      </c>
      <c r="J44">
        <f>(Inputs!$B$5*(1+Inputs!$B$6/100))*(F44/100)</f>
        <v/>
      </c>
      <c r="K44">
        <f>J44*(1+(((Inputs!$B$11+1)*(1+Inputs!$B$12/100))*0.01+Inputs!$B$13*0.0025)/100)*(1+Inputs!$B$14/100)*(1+IF(Inputs!$B$4="pvp",0,(1-Summary!$B$55)*(Inputs!$B$19+0+Skills!P11)+Summary!$B$55*(Inputs!$B$20+Skills!Q11))/100)*(1+Inputs!$B$15/100)*(5000/(6000+Inputs!$B$7*(1-(Inputs!$B$18+0)/100)))*(1+(Inputs!$B$23+((C57=TRUE)*(F57-Calc!F24))+((C58=TRUE)*(F58-Calc!F25))+B71)/100)*(1+(IF(Skills!A11="EMPOWERED_PIERCING_ARROW",Inputs!$B$16+((C55=TRUE)*(F55-Calc!F22)),Inputs!$B$17+((C60=TRUE)*(F60-Calc!F27))))/100)*((1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I44)</f>
        <v/>
      </c>
      <c r="L44">
        <f>K44*(MIN(Inputs!$B$21+((C56=TRUE)*(F56-Calc!F23)),Inputs!$B$22+((C61=TRUE)*(F61-Calc!F28)))/100+(Inputs!$B$22+((C61=TRUE)*(F61-Calc!F28)))/100)/2</f>
        <v/>
      </c>
      <c r="M44">
        <f>L44*(1+(Inputs!$B$9+0+B70)/100)</f>
        <v/>
      </c>
      <c r="N44">
        <f>L44*(1-MIN((Inputs!$B$8+((C52=TRUE)*(F52-Calc!F19))+B65),100)/100)+M44*(MIN((Inputs!$B$8+((C52=TRUE)*(F52-Calc!F19))+B65),100)/100)</f>
        <v/>
      </c>
      <c r="O44">
        <f>IF(C44,H44*N44*IF(AND(Inputs!$B$4&lt;&gt;"pvp",Inputs!$B$35&gt;0),((Skills!G11*((R44-1)*IF(Skills!H11&gt;0,Skills!I11/Skills!H11,1)+IF(Skills!H11&gt;0,MIN(Skills!I11,MAX(0,Inputs!$B$35-((R44-1)*IF(Inputs!$B$4="pvp",15,MAX(0.1,Skills!D11-IF(Skills!E11=TRUE,Inputs!$B$31,0))))))/Skills!H11,1)))/Inputs!$B$35),G44*Q44)*IF(Inputs!$B$4="pvp",1,(1-Summary!$B$55)*(1)+Summary!$B$55*(MIN(Skills!R11,Inputs!$B$37))),0)</f>
        <v/>
      </c>
      <c r="P44">
        <f>IF(B73=0,0,O44/B73)</f>
        <v/>
      </c>
      <c r="Q44">
        <f>IFERROR(1/IF(Inputs!$B$4="pvp",15,MAX(0.1,Skills!D11-IF(Skills!E11=TRUE,Inputs!$B$31,0))),0)</f>
        <v/>
      </c>
      <c r="R44">
        <f>IF(AND(Inputs!$B$4&lt;&gt;"pvp",Inputs!$B$35&gt;0),(INT(Inputs!$B$35/IF(Inputs!$B$4="pvp",15,MAX(0.1,Skills!D11-IF(Skills!E11=TRUE,Inputs!$B$31,0))))+1),0)</f>
        <v/>
      </c>
      <c r="S44">
        <f>IFERROR(O44/N44,0)</f>
        <v/>
      </c>
    </row>
    <row r="45">
      <c r="A45">
        <f>Skills!A12</f>
        <v/>
      </c>
      <c r="B45">
        <f>Skills!B12</f>
        <v/>
      </c>
      <c r="C45">
        <f>Inputs!$B$3&gt;=60</f>
        <v/>
      </c>
      <c r="D45">
        <f>IF(Skills!C12=1,60+Inputs!$B$24+Inputs!$B$28,IF(Skills!C12=2,90+Inputs!$B$25+Inputs!$B$28,IF(Skills!C12=3,120+Inputs!$B$26+Inputs!$B$28,MAX(0,(Inputs!$B$3-100)*3)+Inputs!$B$27+Inputs!$B$28)))</f>
        <v/>
      </c>
      <c r="E45">
        <f>INDEX(FactorTable!$B$2:$Y$301, MATCH(ROUND(MIN(300,MAX(1,D45)),0), FactorTable!$A$2:$A$301,0), Skills!M12+1)</f>
        <v/>
      </c>
      <c r="F45">
        <f>IF(Skills!N12=TRUE,(Skills!L12/10)*(E45/1000),Skills!L12/10)+Skills!O12</f>
        <v/>
      </c>
      <c r="G45">
        <f>Skills!G12*IF(Skills!H12&gt;0,Skills!I12/Skills!H12,1)</f>
        <v/>
      </c>
      <c r="H45">
        <f>1-(1-Skills!J12/100)^Skills!K12</f>
        <v/>
      </c>
      <c r="I45" t="inlineStr">
        <is>
          <t>1</t>
        </is>
      </c>
      <c r="J45" t="inlineStr"/>
      <c r="K45" t="inlineStr"/>
      <c r="L45" t="inlineStr"/>
      <c r="M45" t="inlineStr"/>
      <c r="N45" t="inlineStr"/>
      <c r="O45" t="n">
        <v>0</v>
      </c>
      <c r="P45">
        <f>IF(B73=0,0,O45/B73)</f>
        <v/>
      </c>
      <c r="Q45" t="n">
        <v>0</v>
      </c>
      <c r="R45" t="n">
        <v>0</v>
      </c>
      <c r="S45">
        <f>IFERROR(O45/N45,0)</f>
        <v/>
      </c>
    </row>
    <row r="46">
      <c r="A46">
        <f>Skills!A13</f>
        <v/>
      </c>
      <c r="B46">
        <f>Skills!B13</f>
        <v/>
      </c>
      <c r="C46">
        <f>Inputs!$B$3&gt;=74</f>
        <v/>
      </c>
      <c r="D46">
        <f>IF(Skills!C13=1,60+Inputs!$B$24+Inputs!$B$28,IF(Skills!C13=2,90+Inputs!$B$25+Inputs!$B$28,IF(Skills!C13=3,120+Inputs!$B$26+Inputs!$B$28,MAX(0,(Inputs!$B$3-100)*3)+Inputs!$B$27+Inputs!$B$28)))</f>
        <v/>
      </c>
      <c r="E46">
        <f>INDEX(FactorTable!$B$2:$Y$301, MATCH(ROUND(MIN(300,MAX(1,D46)),0), FactorTable!$A$2:$A$301,0), Skills!M13+1)</f>
        <v/>
      </c>
      <c r="F46">
        <f>IF(Skills!N13=TRUE,(Skills!L13/10)*(E46/1000),Skills!L13/10)+Skills!O13</f>
        <v/>
      </c>
      <c r="G46">
        <f>Skills!G13*IF(Skills!H13&gt;0,Skills!I13/Skills!H13,1)</f>
        <v/>
      </c>
      <c r="H46">
        <f>1-(1-Skills!J13/100)^Skills!K13</f>
        <v/>
      </c>
      <c r="I46" t="inlineStr">
        <is>
          <t>1</t>
        </is>
      </c>
      <c r="J46" t="inlineStr"/>
      <c r="K46" t="inlineStr"/>
      <c r="L46" t="inlineStr"/>
      <c r="M46" t="inlineStr"/>
      <c r="N46" t="inlineStr"/>
      <c r="O46" t="n">
        <v>0</v>
      </c>
      <c r="P46">
        <f>IF(B73=0,0,O46/B73)</f>
        <v/>
      </c>
      <c r="Q46" t="n">
        <v>0</v>
      </c>
      <c r="R46" t="n">
        <v>0</v>
      </c>
      <c r="S46">
        <f>IFERROR(O46/N46,0)</f>
        <v/>
      </c>
    </row>
    <row r="47">
      <c r="A47">
        <f>Skills!A14</f>
        <v/>
      </c>
      <c r="B47">
        <f>Skills!B14</f>
        <v/>
      </c>
      <c r="C47">
        <f>Inputs!$B$3&gt;=74</f>
        <v/>
      </c>
      <c r="D47">
        <f>IF(Skills!C14=1,60+Inputs!$B$24+Inputs!$B$28,IF(Skills!C14=2,90+Inputs!$B$25+Inputs!$B$28,IF(Skills!C14=3,120+Inputs!$B$26+Inputs!$B$28,MAX(0,(Inputs!$B$3-100)*3)+Inputs!$B$27+Inputs!$B$28)))</f>
        <v/>
      </c>
      <c r="E47">
        <f>INDEX(FactorTable!$B$2:$Y$301, MATCH(ROUND(MIN(300,MAX(1,D47)),0), FactorTable!$A$2:$A$301,0), Skills!M14+1)</f>
        <v/>
      </c>
      <c r="F47">
        <f>IF(Skills!N14=TRUE,(Skills!L14/10)*(E47/1000),Skills!L14/10)+Skills!O14</f>
        <v/>
      </c>
      <c r="G47">
        <f>Skills!G14*IF(Skills!H14&gt;0,Skills!I14/Skills!H14,1)</f>
        <v/>
      </c>
      <c r="H47">
        <f>1-(1-Skills!J14/100)^Skills!K14</f>
        <v/>
      </c>
      <c r="I47" t="inlineStr">
        <is>
          <t>1</t>
        </is>
      </c>
      <c r="J47" t="inlineStr"/>
      <c r="K47" t="inlineStr"/>
      <c r="L47" t="inlineStr"/>
      <c r="M47" t="inlineStr"/>
      <c r="N47" t="inlineStr"/>
      <c r="O47" t="n">
        <v>0</v>
      </c>
      <c r="P47">
        <f>IF(B73=0,0,O47/B73)</f>
        <v/>
      </c>
      <c r="Q47" t="n">
        <v>0</v>
      </c>
      <c r="R47" t="n">
        <v>0</v>
      </c>
      <c r="S47">
        <f>IFERROR(O47/N47,0)</f>
        <v/>
      </c>
    </row>
    <row r="48">
      <c r="A48">
        <f>Skills!A15</f>
        <v/>
      </c>
      <c r="B48">
        <f>Skills!B15</f>
        <v/>
      </c>
      <c r="C48">
        <f>Inputs!$B$3&gt;=117</f>
        <v/>
      </c>
      <c r="D48">
        <f>IF(Skills!C15=1,60+Inputs!$B$24+Inputs!$B$28,IF(Skills!C15=2,90+Inputs!$B$25+Inputs!$B$28,IF(Skills!C15=3,120+Inputs!$B$26+Inputs!$B$28,MAX(0,(Inputs!$B$3-100)*3)+Inputs!$B$27+Inputs!$B$28)))</f>
        <v/>
      </c>
      <c r="E48">
        <f>INDEX(FactorTable!$B$2:$Y$301, MATCH(ROUND(MIN(300,MAX(1,D48)),0), FactorTable!$A$2:$A$301,0), Skills!M15+1)</f>
        <v/>
      </c>
      <c r="F48">
        <f>IF(Skills!N15=TRUE,(Skills!L15/10)*(E48/1000),Skills!L15/10)+Skills!O15</f>
        <v/>
      </c>
      <c r="G48">
        <f>Skills!G15*IF(Skills!H15&gt;0,Skills!I15/Skills!H15,1)</f>
        <v/>
      </c>
      <c r="H48">
        <f>1-(1-Skills!J15/100)^Skills!K15</f>
        <v/>
      </c>
      <c r="I48" t="inlineStr">
        <is>
          <t>1</t>
        </is>
      </c>
      <c r="J48" t="inlineStr"/>
      <c r="K48" t="inlineStr"/>
      <c r="L48" t="inlineStr"/>
      <c r="M48" t="inlineStr"/>
      <c r="N48" t="inlineStr"/>
      <c r="O48" t="n">
        <v>0</v>
      </c>
      <c r="P48">
        <f>IF(B73=0,0,O48/B73)</f>
        <v/>
      </c>
      <c r="Q48">
        <f>IFERROR(1/IF(Inputs!$B$4="pvp",15,MAX(0.1,Skills!D15-IF(Skills!E15=TRUE,Inputs!$B$31,0))),0)</f>
        <v/>
      </c>
      <c r="R48">
        <f>IF(AND(Inputs!$B$4&lt;&gt;"pvp",Inputs!$B$35&gt;0),(INT(Inputs!$B$35/IF(Inputs!$B$4="pvp",15,MAX(0.1,Skills!D15-IF(Skills!E15=TRUE,Inputs!$B$31,0))))+1),0)</f>
        <v/>
      </c>
      <c r="S48">
        <f>IFERROR(O48/N48,0)</f>
        <v/>
      </c>
    </row>
    <row r="49">
      <c r="A49">
        <f>Skills!A16</f>
        <v/>
      </c>
      <c r="B49">
        <f>Skills!B16</f>
        <v/>
      </c>
      <c r="C49">
        <f>Inputs!$B$3&gt;=115</f>
        <v/>
      </c>
      <c r="D49">
        <f>IF(Skills!C16=1,60+Inputs!$B$24+Inputs!$B$28,IF(Skills!C16=2,90+Inputs!$B$25+Inputs!$B$28,IF(Skills!C16=3,120+Inputs!$B$26+Inputs!$B$28,MAX(0,(Inputs!$B$3-100)*3)+Inputs!$B$27+Inputs!$B$28)))</f>
        <v/>
      </c>
      <c r="E49">
        <f>INDEX(FactorTable!$B$2:$Y$301, MATCH(ROUND(MIN(300,MAX(1,D49)),0), FactorTable!$A$2:$A$301,0), Skills!M16+1)</f>
        <v/>
      </c>
      <c r="F49">
        <f>IF(Skills!N16=TRUE,(Skills!L16/10)*(E49/1000),Skills!L16/10)+Skills!O16</f>
        <v/>
      </c>
      <c r="G49">
        <f>Skills!G16*IF(Skills!H16&gt;0,Skills!I16/Skills!H16,1)</f>
        <v/>
      </c>
      <c r="H49">
        <f>1-(1-Skills!J16/100)^Skills!K16</f>
        <v/>
      </c>
      <c r="I49" t="inlineStr">
        <is>
          <t>1</t>
        </is>
      </c>
      <c r="J49" t="inlineStr"/>
      <c r="K49" t="inlineStr"/>
      <c r="L49" t="inlineStr"/>
      <c r="M49" t="inlineStr"/>
      <c r="N49" t="inlineStr"/>
      <c r="O49" t="n">
        <v>0</v>
      </c>
      <c r="P49">
        <f>IF(B73=0,0,O49/B73)</f>
        <v/>
      </c>
      <c r="Q49">
        <f>IFERROR(1/IF(Inputs!$B$4="pvp",15,MAX(0.1,Skills!D16-IF(Skills!E16=TRUE,Inputs!$B$31,0))),0)</f>
        <v/>
      </c>
      <c r="R49">
        <f>IF(AND(Inputs!$B$4&lt;&gt;"pvp",Inputs!$B$35&gt;0),(INT(Inputs!$B$35/IF(Inputs!$B$4="pvp",15,MAX(0.1,Skills!D16-IF(Skills!E16=TRUE,Inputs!$B$31,0))))+1),0)</f>
        <v/>
      </c>
      <c r="S49">
        <f>IFERROR(O49/N49,0)</f>
        <v/>
      </c>
    </row>
    <row r="50">
      <c r="A50">
        <f>Skills!A17</f>
        <v/>
      </c>
      <c r="B50">
        <f>Skills!B17</f>
        <v/>
      </c>
      <c r="C50">
        <f>Inputs!$B$3&gt;=72</f>
        <v/>
      </c>
      <c r="D50">
        <f>IF(Skills!C17=1,60+Inputs!$B$24+Inputs!$B$28,IF(Skills!C17=2,90+Inputs!$B$25+Inputs!$B$28,IF(Skills!C17=3,120+Inputs!$B$26+Inputs!$B$28,MAX(0,(Inputs!$B$3-100)*3)+Inputs!$B$27+Inputs!$B$28)))</f>
        <v/>
      </c>
      <c r="E50">
        <f>INDEX(FactorTable!$B$2:$Y$301, MATCH(ROUND(MIN(300,MAX(1,D50)),0), FactorTable!$A$2:$A$301,0), Skills!M17+1)</f>
        <v/>
      </c>
      <c r="F50">
        <f>IF(Skills!N17=TRUE,(Skills!L17/10)*(E50/1000),Skills!L17/10)+Skills!O17</f>
        <v/>
      </c>
      <c r="G50">
        <f>Skills!G17*IF(Skills!H17&gt;0,Skills!I17/Skills!H17,1)</f>
        <v/>
      </c>
      <c r="H50">
        <f>1-(1-Skills!J17/100)^Skills!K17</f>
        <v/>
      </c>
      <c r="I50" t="inlineStr">
        <is>
          <t>1</t>
        </is>
      </c>
      <c r="J50" t="inlineStr"/>
      <c r="K50" t="inlineStr"/>
      <c r="L50" t="inlineStr"/>
      <c r="M50" t="inlineStr"/>
      <c r="N50" t="inlineStr"/>
      <c r="O50" t="n">
        <v>0</v>
      </c>
      <c r="P50">
        <f>IF(B73=0,0,O50/B73)</f>
        <v/>
      </c>
      <c r="Q50" t="n">
        <v>0</v>
      </c>
      <c r="R50" t="n">
        <v>0</v>
      </c>
      <c r="S50">
        <f>IFERROR(O50/N50,0)</f>
        <v/>
      </c>
    </row>
    <row r="51">
      <c r="A51">
        <f>Skills!A18</f>
        <v/>
      </c>
      <c r="B51">
        <f>Skills!B18</f>
        <v/>
      </c>
      <c r="C51">
        <f>TRUE</f>
        <v/>
      </c>
      <c r="D51">
        <f>IF(Skills!C18=1,60+Inputs!$B$24+Inputs!$B$28,IF(Skills!C18=2,90+Inputs!$B$25+Inputs!$B$28,IF(Skills!C18=3,120+Inputs!$B$26+Inputs!$B$28,MAX(0,(Inputs!$B$3-100)*3)+Inputs!$B$27+Inputs!$B$28)))</f>
        <v/>
      </c>
      <c r="E51">
        <f>INDEX(FactorTable!$B$2:$Y$301, MATCH(ROUND(MIN(300,MAX(1,D51)),0), FactorTable!$A$2:$A$301,0), Skills!M18+1)</f>
        <v/>
      </c>
      <c r="F51">
        <f>IF(Skills!N18=TRUE,(Skills!L18/10)*(E51/1000),Skills!L18/10)+Skills!O18</f>
        <v/>
      </c>
      <c r="G51">
        <f>Skills!G18*IF(Skills!H18&gt;0,Skills!I18/Skills!H18,1)</f>
        <v/>
      </c>
      <c r="H51">
        <f>1-(1-Skills!J18/100)^Skills!K18</f>
        <v/>
      </c>
      <c r="I51" t="inlineStr">
        <is>
          <t>1</t>
        </is>
      </c>
      <c r="J51" t="inlineStr"/>
      <c r="K51" t="inlineStr"/>
      <c r="L51" t="inlineStr"/>
      <c r="M51" t="inlineStr"/>
      <c r="N51" t="inlineStr"/>
      <c r="O51" t="n">
        <v>0</v>
      </c>
      <c r="P51">
        <f>IF(B73=0,0,O51/B73)</f>
        <v/>
      </c>
      <c r="Q51">
        <f>IFERROR(1/IF(Inputs!$B$4="pvp",15,MAX(0.1,Skills!D18-IF(Skills!E18=TRUE,Inputs!$B$31,0))),0)</f>
        <v/>
      </c>
      <c r="R51">
        <f>IF(AND(Inputs!$B$4&lt;&gt;"pvp",Inputs!$B$35&gt;0),(INT(Inputs!$B$35/IF(Inputs!$B$4="pvp",15,MAX(0.1,Skills!D18-IF(Skills!E18=TRUE,Inputs!$B$31,0))))+1),0)</f>
        <v/>
      </c>
      <c r="S51">
        <f>IFERROR(O51/N51,0)</f>
        <v/>
      </c>
    </row>
    <row r="52">
      <c r="A52">
        <f>Skills!A19</f>
        <v/>
      </c>
      <c r="B52">
        <f>Skills!B19</f>
        <v/>
      </c>
      <c r="C52">
        <f>Inputs!$B$3&gt;=15</f>
        <v/>
      </c>
      <c r="D52">
        <f>IF(Skills!C19=1,60+Inputs!$B$24+Inputs!$B$28,IF(Skills!C19=2,90+Inputs!$B$25+Inputs!$B$28,IF(Skills!C19=3,120+Inputs!$B$26+Inputs!$B$28,MAX(0,(Inputs!$B$3-100)*3)+Inputs!$B$27+Inputs!$B$28)))</f>
        <v/>
      </c>
      <c r="E52">
        <f>INDEX(FactorTable!$B$2:$Y$301, MATCH(ROUND(MIN(300,MAX(1,D52)),0), FactorTable!$A$2:$A$301,0), Skills!M19+1)</f>
        <v/>
      </c>
      <c r="F52">
        <f>IF(Skills!N19=TRUE,(Skills!L19/10)*(E52/1000),Skills!L19/10)+Skills!O19</f>
        <v/>
      </c>
      <c r="G52">
        <f>Skills!G19*IF(Skills!H19&gt;0,Skills!I19/Skills!H19,1)</f>
        <v/>
      </c>
      <c r="H52">
        <f>1-(1-Skills!J19/100)^Skills!K19</f>
        <v/>
      </c>
      <c r="I52" t="inlineStr">
        <is>
          <t>1</t>
        </is>
      </c>
      <c r="J52" t="inlineStr"/>
      <c r="K52" t="inlineStr"/>
      <c r="L52" t="inlineStr"/>
      <c r="M52" t="inlineStr"/>
      <c r="N52" t="inlineStr"/>
      <c r="O52" t="n">
        <v>0</v>
      </c>
      <c r="P52">
        <f>IF(B73=0,0,O52/B73)</f>
        <v/>
      </c>
      <c r="Q52" t="n">
        <v>0</v>
      </c>
      <c r="R52" t="n">
        <v>0</v>
      </c>
      <c r="S52">
        <f>IFERROR(O52/N52,0)</f>
        <v/>
      </c>
    </row>
    <row r="53">
      <c r="A53">
        <f>Skills!A20</f>
        <v/>
      </c>
      <c r="B53">
        <f>Skills!B20</f>
        <v/>
      </c>
      <c r="C53">
        <f>Inputs!$B$3&gt;=10</f>
        <v/>
      </c>
      <c r="D53">
        <f>IF(Skills!C20=1,60+Inputs!$B$24+Inputs!$B$28,IF(Skills!C20=2,90+Inputs!$B$25+Inputs!$B$28,IF(Skills!C20=3,120+Inputs!$B$26+Inputs!$B$28,MAX(0,(Inputs!$B$3-100)*3)+Inputs!$B$27+Inputs!$B$28)))</f>
        <v/>
      </c>
      <c r="E53">
        <f>INDEX(FactorTable!$B$2:$Y$301, MATCH(ROUND(MIN(300,MAX(1,D53)),0), FactorTable!$A$2:$A$301,0), Skills!M20+1)</f>
        <v/>
      </c>
      <c r="F53">
        <f>IF(Skills!N20=TRUE,(Skills!L20/10)*(E53/1000),Skills!L20/10)+Skills!O20</f>
        <v/>
      </c>
      <c r="G53">
        <f>Skills!G20*IF(Skills!H20&gt;0,Skills!I20/Skills!H20,1)</f>
        <v/>
      </c>
      <c r="H53">
        <f>1-(1-Skills!J20/100)^Skills!K20</f>
        <v/>
      </c>
      <c r="I53" t="inlineStr">
        <is>
          <t>1</t>
        </is>
      </c>
      <c r="J53" t="inlineStr"/>
      <c r="K53" t="inlineStr"/>
      <c r="L53" t="inlineStr"/>
      <c r="M53" t="inlineStr"/>
      <c r="N53" t="inlineStr"/>
      <c r="O53" t="n">
        <v>0</v>
      </c>
      <c r="P53">
        <f>IF(B73=0,0,O53/B73)</f>
        <v/>
      </c>
      <c r="Q53" t="n">
        <v>0</v>
      </c>
      <c r="R53" t="n">
        <v>0</v>
      </c>
      <c r="S53">
        <f>IFERROR(O53/N53,0)</f>
        <v/>
      </c>
    </row>
    <row r="54">
      <c r="A54">
        <f>Skills!A21</f>
        <v/>
      </c>
      <c r="B54">
        <f>Skills!B21</f>
        <v/>
      </c>
      <c r="C54">
        <f>Inputs!$B$3&gt;=33</f>
        <v/>
      </c>
      <c r="D54">
        <f>IF(Skills!C21=1,60+Inputs!$B$24+Inputs!$B$28,IF(Skills!C21=2,90+Inputs!$B$25+Inputs!$B$28,IF(Skills!C21=3,120+Inputs!$B$26+Inputs!$B$28,MAX(0,(Inputs!$B$3-100)*3)+Inputs!$B$27+Inputs!$B$28)))</f>
        <v/>
      </c>
      <c r="E54">
        <f>INDEX(FactorTable!$B$2:$Y$301, MATCH(ROUND(MIN(300,MAX(1,D54)),0), FactorTable!$A$2:$A$301,0), Skills!M21+1)</f>
        <v/>
      </c>
      <c r="F54">
        <f>IF(Skills!N21=TRUE,(Skills!L21/10)*(E54/1000),Skills!L21/10)+Skills!O21</f>
        <v/>
      </c>
      <c r="G54">
        <f>Skills!G21*IF(Skills!H21&gt;0,Skills!I21/Skills!H21,1)</f>
        <v/>
      </c>
      <c r="H54">
        <f>1-(1-Skills!J21/100)^Skills!K21</f>
        <v/>
      </c>
      <c r="I54" t="inlineStr">
        <is>
          <t>1</t>
        </is>
      </c>
      <c r="J54" t="inlineStr"/>
      <c r="K54" t="inlineStr"/>
      <c r="L54" t="inlineStr"/>
      <c r="M54" t="inlineStr"/>
      <c r="N54" t="inlineStr"/>
      <c r="O54" t="n">
        <v>0</v>
      </c>
      <c r="P54">
        <f>IF(B73=0,0,O54/B73)</f>
        <v/>
      </c>
      <c r="Q54" t="n">
        <v>0</v>
      </c>
      <c r="R54" t="n">
        <v>0</v>
      </c>
      <c r="S54">
        <f>IFERROR(O54/N54,0)</f>
        <v/>
      </c>
    </row>
    <row r="55">
      <c r="A55">
        <f>Skills!A22</f>
        <v/>
      </c>
      <c r="B55">
        <f>Skills!B22</f>
        <v/>
      </c>
      <c r="C55">
        <f>Inputs!$B$3&gt;=38</f>
        <v/>
      </c>
      <c r="D55">
        <f>IF(Skills!C22=1,60+Inputs!$B$24+Inputs!$B$28,IF(Skills!C22=2,90+Inputs!$B$25+Inputs!$B$28,IF(Skills!C22=3,120+Inputs!$B$26+Inputs!$B$28,MAX(0,(Inputs!$B$3-100)*3)+Inputs!$B$27+Inputs!$B$28)))</f>
        <v/>
      </c>
      <c r="E55">
        <f>INDEX(FactorTable!$B$2:$Y$301, MATCH(ROUND(MIN(300,MAX(1,D55)),0), FactorTable!$A$2:$A$301,0), Skills!M22+1)</f>
        <v/>
      </c>
      <c r="F55">
        <f>IF(Skills!N22=TRUE,(Skills!L22/10)*(E55/1000),Skills!L22/10)+Skills!O22</f>
        <v/>
      </c>
      <c r="G55">
        <f>Skills!G22*IF(Skills!H22&gt;0,Skills!I22/Skills!H22,1)</f>
        <v/>
      </c>
      <c r="H55">
        <f>1-(1-Skills!J22/100)^Skills!K22</f>
        <v/>
      </c>
      <c r="I55" t="inlineStr">
        <is>
          <t>1</t>
        </is>
      </c>
      <c r="J55" t="inlineStr"/>
      <c r="K55" t="inlineStr"/>
      <c r="L55" t="inlineStr"/>
      <c r="M55" t="inlineStr"/>
      <c r="N55" t="inlineStr"/>
      <c r="O55" t="n">
        <v>0</v>
      </c>
      <c r="P55">
        <f>IF(B73=0,0,O55/B73)</f>
        <v/>
      </c>
      <c r="Q55" t="n">
        <v>0</v>
      </c>
      <c r="R55" t="n">
        <v>0</v>
      </c>
      <c r="S55">
        <f>IFERROR(O55/N55,0)</f>
        <v/>
      </c>
    </row>
    <row r="56">
      <c r="A56">
        <f>Skills!A23</f>
        <v/>
      </c>
      <c r="B56">
        <f>Skills!B23</f>
        <v/>
      </c>
      <c r="C56">
        <f>Inputs!$B$3&gt;=43</f>
        <v/>
      </c>
      <c r="D56">
        <f>IF(Skills!C23=1,60+Inputs!$B$24+Inputs!$B$28,IF(Skills!C23=2,90+Inputs!$B$25+Inputs!$B$28,IF(Skills!C23=3,120+Inputs!$B$26+Inputs!$B$28,MAX(0,(Inputs!$B$3-100)*3)+Inputs!$B$27+Inputs!$B$28)))</f>
        <v/>
      </c>
      <c r="E56">
        <f>INDEX(FactorTable!$B$2:$Y$301, MATCH(ROUND(MIN(300,MAX(1,D56)),0), FactorTable!$A$2:$A$301,0), Skills!M23+1)</f>
        <v/>
      </c>
      <c r="F56">
        <f>IF(Skills!N23=TRUE,(Skills!L23/10)*(E56/1000),Skills!L23/10)+Skills!O23</f>
        <v/>
      </c>
      <c r="G56">
        <f>Skills!G23*IF(Skills!H23&gt;0,Skills!I23/Skills!H23,1)</f>
        <v/>
      </c>
      <c r="H56">
        <f>1-(1-Skills!J23/100)^Skills!K23</f>
        <v/>
      </c>
      <c r="I56" t="inlineStr">
        <is>
          <t>1</t>
        </is>
      </c>
      <c r="J56" t="inlineStr"/>
      <c r="K56" t="inlineStr"/>
      <c r="L56" t="inlineStr"/>
      <c r="M56" t="inlineStr"/>
      <c r="N56" t="inlineStr"/>
      <c r="O56" t="n">
        <v>0</v>
      </c>
      <c r="P56">
        <f>IF(B73=0,0,O56/B73)</f>
        <v/>
      </c>
      <c r="Q56" t="n">
        <v>0</v>
      </c>
      <c r="R56" t="n">
        <v>0</v>
      </c>
      <c r="S56">
        <f>IFERROR(O56/N56,0)</f>
        <v/>
      </c>
    </row>
    <row r="57">
      <c r="A57">
        <f>Skills!A24</f>
        <v/>
      </c>
      <c r="B57">
        <f>Skills!B24</f>
        <v/>
      </c>
      <c r="C57">
        <f>Inputs!$B$3&gt;=75</f>
        <v/>
      </c>
      <c r="D57">
        <f>IF(Skills!C24=1,60+Inputs!$B$24+Inputs!$B$28,IF(Skills!C24=2,90+Inputs!$B$25+Inputs!$B$28,IF(Skills!C24=3,120+Inputs!$B$26+Inputs!$B$28,MAX(0,(Inputs!$B$3-100)*3)+Inputs!$B$27+Inputs!$B$28)))</f>
        <v/>
      </c>
      <c r="E57">
        <f>INDEX(FactorTable!$B$2:$Y$301, MATCH(ROUND(MIN(300,MAX(1,D57)),0), FactorTable!$A$2:$A$301,0), Skills!M24+1)</f>
        <v/>
      </c>
      <c r="F57">
        <f>IF(Skills!N24=TRUE,(Skills!L24/10)*(E57/1000),Skills!L24/10)+Skills!O24</f>
        <v/>
      </c>
      <c r="G57">
        <f>Skills!G24*IF(Skills!H24&gt;0,Skills!I24/Skills!H24,1)</f>
        <v/>
      </c>
      <c r="H57">
        <f>1-(1-Skills!J24/100)^Skills!K24</f>
        <v/>
      </c>
      <c r="I57" t="inlineStr">
        <is>
          <t>1</t>
        </is>
      </c>
      <c r="J57" t="inlineStr"/>
      <c r="K57" t="inlineStr"/>
      <c r="L57" t="inlineStr"/>
      <c r="M57" t="inlineStr"/>
      <c r="N57" t="inlineStr"/>
      <c r="O57" t="n">
        <v>0</v>
      </c>
      <c r="P57">
        <f>IF(B73=0,0,O57/B73)</f>
        <v/>
      </c>
      <c r="Q57" t="n">
        <v>0</v>
      </c>
      <c r="R57" t="n">
        <v>0</v>
      </c>
      <c r="S57">
        <f>IFERROR(O57/N57,0)</f>
        <v/>
      </c>
    </row>
    <row r="58">
      <c r="A58">
        <f>Skills!A25</f>
        <v/>
      </c>
      <c r="B58">
        <f>Skills!B25</f>
        <v/>
      </c>
      <c r="C58">
        <f>Inputs!$B$3&gt;=125</f>
        <v/>
      </c>
      <c r="D58">
        <f>IF(Skills!C25=1,60+Inputs!$B$24+Inputs!$B$28,IF(Skills!C25=2,90+Inputs!$B$25+Inputs!$B$28,IF(Skills!C25=3,120+Inputs!$B$26+Inputs!$B$28,MAX(0,(Inputs!$B$3-100)*3)+Inputs!$B$27+Inputs!$B$28)))</f>
        <v/>
      </c>
      <c r="E58">
        <f>INDEX(FactorTable!$B$2:$Y$301, MATCH(ROUND(MIN(300,MAX(1,D58)),0), FactorTable!$A$2:$A$301,0), Skills!M25+1)</f>
        <v/>
      </c>
      <c r="F58">
        <f>IF(Skills!N25=TRUE,(Skills!L25/10)*(E58/1000),Skills!L25/10)+Skills!O25</f>
        <v/>
      </c>
      <c r="G58">
        <f>Skills!G25*IF(Skills!H25&gt;0,Skills!I25/Skills!H25,1)</f>
        <v/>
      </c>
      <c r="H58">
        <f>1-(1-Skills!J25/100)^Skills!K25</f>
        <v/>
      </c>
      <c r="I58" t="inlineStr">
        <is>
          <t>1</t>
        </is>
      </c>
      <c r="J58" t="inlineStr"/>
      <c r="K58" t="inlineStr"/>
      <c r="L58" t="inlineStr"/>
      <c r="M58" t="inlineStr"/>
      <c r="N58" t="inlineStr"/>
      <c r="O58" t="n">
        <v>0</v>
      </c>
      <c r="P58">
        <f>IF(B73=0,0,O58/B73)</f>
        <v/>
      </c>
      <c r="Q58" t="n">
        <v>0</v>
      </c>
      <c r="R58" t="n">
        <v>0</v>
      </c>
      <c r="S58">
        <f>IFERROR(O58/N58,0)</f>
        <v/>
      </c>
    </row>
    <row r="59">
      <c r="A59">
        <f>Skills!A26</f>
        <v/>
      </c>
      <c r="B59">
        <f>Skills!B26</f>
        <v/>
      </c>
      <c r="C59">
        <f>Inputs!$B$3&gt;=125</f>
        <v/>
      </c>
      <c r="D59">
        <f>IF(Skills!C26=1,60+Inputs!$B$24+Inputs!$B$28,IF(Skills!C26=2,90+Inputs!$B$25+Inputs!$B$28,IF(Skills!C26=3,120+Inputs!$B$26+Inputs!$B$28,MAX(0,(Inputs!$B$3-100)*3)+Inputs!$B$27+Inputs!$B$28)))</f>
        <v/>
      </c>
      <c r="E59">
        <f>INDEX(FactorTable!$B$2:$Y$301, MATCH(ROUND(MIN(300,MAX(1,D59)),0), FactorTable!$A$2:$A$301,0), Skills!M26+1)</f>
        <v/>
      </c>
      <c r="F59">
        <f>IF(Skills!N26=TRUE,(Skills!L26/10)*(E59/1000),Skills!L26/10)+Skills!O26</f>
        <v/>
      </c>
      <c r="G59">
        <f>Skills!G26*IF(Skills!H26&gt;0,Skills!I26/Skills!H26,1)</f>
        <v/>
      </c>
      <c r="H59">
        <f>1-(1-Skills!J26/100)^Skills!K26</f>
        <v/>
      </c>
      <c r="I59" t="inlineStr">
        <is>
          <t>1</t>
        </is>
      </c>
      <c r="J59" t="inlineStr"/>
      <c r="K59" t="inlineStr"/>
      <c r="L59" t="inlineStr"/>
      <c r="M59" t="inlineStr"/>
      <c r="N59" t="inlineStr"/>
      <c r="O59" t="n">
        <v>0</v>
      </c>
      <c r="P59">
        <f>IF(B73=0,0,O59/B73)</f>
        <v/>
      </c>
      <c r="Q59" t="n">
        <v>0</v>
      </c>
      <c r="R59" t="n">
        <v>0</v>
      </c>
      <c r="S59">
        <f>IFERROR(O59/N59,0)</f>
        <v/>
      </c>
    </row>
    <row r="60">
      <c r="A60">
        <f>Skills!A27</f>
        <v/>
      </c>
      <c r="B60">
        <f>Skills!B27</f>
        <v/>
      </c>
      <c r="C60">
        <f>Inputs!$B$3&gt;=120</f>
        <v/>
      </c>
      <c r="D60">
        <f>IF(Skills!C27=1,60+Inputs!$B$24+Inputs!$B$28,IF(Skills!C27=2,90+Inputs!$B$25+Inputs!$B$28,IF(Skills!C27=3,120+Inputs!$B$26+Inputs!$B$28,MAX(0,(Inputs!$B$3-100)*3)+Inputs!$B$27+Inputs!$B$28)))</f>
        <v/>
      </c>
      <c r="E60">
        <f>INDEX(FactorTable!$B$2:$Y$301, MATCH(ROUND(MIN(300,MAX(1,D60)),0), FactorTable!$A$2:$A$301,0), Skills!M27+1)</f>
        <v/>
      </c>
      <c r="F60">
        <f>IF(Skills!N27=TRUE,(Skills!L27/10)*(E60/1000),Skills!L27/10)+Skills!O27</f>
        <v/>
      </c>
      <c r="G60">
        <f>Skills!G27*IF(Skills!H27&gt;0,Skills!I27/Skills!H27,1)</f>
        <v/>
      </c>
      <c r="H60">
        <f>1-(1-Skills!J27/100)^Skills!K27</f>
        <v/>
      </c>
      <c r="I60" t="inlineStr">
        <is>
          <t>1</t>
        </is>
      </c>
      <c r="J60" t="inlineStr"/>
      <c r="K60" t="inlineStr"/>
      <c r="L60" t="inlineStr"/>
      <c r="M60" t="inlineStr"/>
      <c r="N60" t="inlineStr"/>
      <c r="O60" t="n">
        <v>0</v>
      </c>
      <c r="P60">
        <f>IF(B73=0,0,O60/B73)</f>
        <v/>
      </c>
      <c r="Q60" t="n">
        <v>0</v>
      </c>
      <c r="R60" t="n">
        <v>0</v>
      </c>
      <c r="S60">
        <f>IFERROR(O60/N60,0)</f>
        <v/>
      </c>
    </row>
    <row r="61">
      <c r="A61">
        <f>Skills!A28</f>
        <v/>
      </c>
      <c r="B61">
        <f>Skills!B28</f>
        <v/>
      </c>
      <c r="C61">
        <f>Inputs!$B$3&gt;=120</f>
        <v/>
      </c>
      <c r="D61">
        <f>IF(Skills!C28=1,60+Inputs!$B$24+Inputs!$B$28,IF(Skills!C28=2,90+Inputs!$B$25+Inputs!$B$28,IF(Skills!C28=3,120+Inputs!$B$26+Inputs!$B$28,MAX(0,(Inputs!$B$3-100)*3)+Inputs!$B$27+Inputs!$B$28)))</f>
        <v/>
      </c>
      <c r="E61">
        <f>INDEX(FactorTable!$B$2:$Y$301, MATCH(ROUND(MIN(300,MAX(1,D61)),0), FactorTable!$A$2:$A$301,0), Skills!M28+1)</f>
        <v/>
      </c>
      <c r="F61">
        <f>IF(Skills!N28=TRUE,(Skills!L28/10)*(E61/1000),Skills!L28/10)+Skills!O28</f>
        <v/>
      </c>
      <c r="G61">
        <f>Skills!G28*IF(Skills!H28&gt;0,Skills!I28/Skills!H28,1)</f>
        <v/>
      </c>
      <c r="H61">
        <f>1-(1-Skills!J28/100)^Skills!K28</f>
        <v/>
      </c>
      <c r="I61" t="inlineStr">
        <is>
          <t>1</t>
        </is>
      </c>
      <c r="J61" t="inlineStr"/>
      <c r="K61" t="inlineStr"/>
      <c r="L61" t="inlineStr"/>
      <c r="M61" t="inlineStr"/>
      <c r="N61" t="inlineStr"/>
      <c r="O61" t="n">
        <v>0</v>
      </c>
      <c r="P61">
        <f>IF(B73=0,0,O61/B73)</f>
        <v/>
      </c>
      <c r="Q61" t="n">
        <v>0</v>
      </c>
      <c r="R61" t="n">
        <v>0</v>
      </c>
      <c r="S61">
        <f>IFERROR(O61/N61,0)</f>
        <v/>
      </c>
    </row>
    <row r="62">
      <c r="A62">
        <f>Skills!A29</f>
        <v/>
      </c>
      <c r="B62">
        <f>Skills!B29</f>
        <v/>
      </c>
      <c r="C62">
        <f>Inputs!$B$3&gt;=45</f>
        <v/>
      </c>
      <c r="D62">
        <f>IF(Skills!C29=1,60+Inputs!$B$24+Inputs!$B$28,IF(Skills!C29=2,90+Inputs!$B$25+Inputs!$B$28,IF(Skills!C29=3,120+Inputs!$B$26+Inputs!$B$28,MAX(0,(Inputs!$B$3-100)*3)+Inputs!$B$27+Inputs!$B$28)))</f>
        <v/>
      </c>
      <c r="E62">
        <f>INDEX(FactorTable!$B$2:$Y$301, MATCH(ROUND(MIN(300,MAX(1,D62)),0), FactorTable!$A$2:$A$301,0), Skills!M29+1)</f>
        <v/>
      </c>
      <c r="F62">
        <f>IF(Skills!N29=TRUE,(Skills!L29/10)*(E62/1000),Skills!L29/10)+Skills!O29</f>
        <v/>
      </c>
      <c r="G62">
        <f>Skills!G29*IF(Skills!H29&gt;0,Skills!I29/Skills!H29,1)</f>
        <v/>
      </c>
      <c r="H62">
        <f>1-(1-Skills!J29/100)^Skills!K29</f>
        <v/>
      </c>
      <c r="I62" t="inlineStr">
        <is>
          <t>1</t>
        </is>
      </c>
      <c r="J62" t="inlineStr"/>
      <c r="K62" t="inlineStr"/>
      <c r="L62" t="inlineStr"/>
      <c r="M62" t="inlineStr"/>
      <c r="N62" t="inlineStr"/>
      <c r="O62" t="n">
        <v>0</v>
      </c>
      <c r="P62">
        <f>IF(B73=0,0,O62/B73)</f>
        <v/>
      </c>
      <c r="Q62" t="n">
        <v>0</v>
      </c>
      <c r="R62" t="n">
        <v>0</v>
      </c>
      <c r="S62">
        <f>IFERROR(O62/N62,0)</f>
        <v/>
      </c>
    </row>
    <row r="64">
      <c r="A64" t="inlineStr">
        <is>
          <t>Attack% Bucket Multiplier</t>
        </is>
      </c>
      <c r="B64">
        <f>(1+(((C46=TRUE)*F46)+((C47=TRUE)*IF(Inputs!$B$4="pvp",F47,(1-Summary!$B$55)*(F47)+Summary!$B$55*(0)))+((C48=TRUE)*F48*IF(AND(Inputs!$B$4&lt;&gt;"pvp",Inputs!$B$35&gt;0),(((S48-1)*(Skills!T15*(1+Inputs!$B$33/100))+MIN((Skills!T15*(1+Inputs!$B$33/100)),MAX(0,Inputs!$B$35-((S48-1)*Skills!D15))))/Inputs!$B$35),IF(Inputs!$B$4="pvp",MIN((Skills!T15*(1+Inputs!$B$33/100)),15)/15,(Skills!T15*(1+Inputs!$B$33/100))/Skills!D15)))+((C45=TRUE)*F45)+((C62=TRUE)*(F62-Calc!F29)))/100)</f>
        <v/>
      </c>
    </row>
    <row r="65">
      <c r="A65" t="inlineStr">
        <is>
          <t>Global Crit Rate Bonus %</t>
        </is>
      </c>
      <c r="B65">
        <f>(C49=TRUE)*20*IF(AND(Inputs!$B$4&lt;&gt;"pvp",Inputs!$B$35&gt;0),(((S49-1)*(Skills!T16*(1+Inputs!$B$33/100))+MIN((Skills!T16*(1+Inputs!$B$33/100)),MAX(0,Inputs!$B$35-((S49-1)*Skills!D16))))/Inputs!$B$35),IF(Inputs!$B$4="pvp",MIN((Skills!T16*(1+Inputs!$B$33/100)),15)/15,(Skills!T16*(1+Inputs!$B$33/100))/Skills!D16))</f>
        <v/>
      </c>
    </row>
    <row r="66">
      <c r="A66" t="inlineStr">
        <is>
          <t>Attack Speed Buff Bonus %</t>
        </is>
      </c>
      <c r="B66">
        <f>((C51=TRUE)*F51*IF(AND(Inputs!$B$4&lt;&gt;"pvp",Inputs!$B$35&gt;0),(((S51-1)*(Skills!T18*(1+Inputs!$B$33/100))+MIN((Skills!T18*(1+Inputs!$B$33/100)),MAX(0,Inputs!$B$35-((S51-1)*Skills!D18))))/Inputs!$B$35),IF(Inputs!$B$4="pvp",MIN((Skills!T18*(1+Inputs!$B$33/100)),15)/15,(Skills!T18*(1+Inputs!$B$33/100))/Skills!D18)))</f>
        <v/>
      </c>
    </row>
    <row r="67">
      <c r="A67" t="inlineStr">
        <is>
          <t>Actions Per Second</t>
        </is>
      </c>
      <c r="B67">
        <f>1+MIN(150,150*(1-(1-(Inputs!$B$10+((C53=TRUE)*(F53-Calc!F20))+((C54=TRUE)*(F54-Calc!F21)))/150)*(1-B66/150)))/100</f>
        <v/>
      </c>
    </row>
    <row r="68">
      <c r="A68" t="inlineStr">
        <is>
          <t>Skill + Buff Cast Rate</t>
        </is>
      </c>
      <c r="B68">
        <f>IF(AND(Inputs!$B$4&lt;&gt;"pvp",Inputs!$B$35&gt;0),SUMPRODUCT((Skills!E2:E29=TRUE)*(C35:C62=TRUE)*R35:R62*Skills!F2:F29)/Inputs!$B$35,SUMPRODUCT((Skills!E2:E29=TRUE)*(C35:C62=TRUE)*Q35:Q62*Skills!F2:F29))</f>
        <v/>
      </c>
    </row>
    <row r="69">
      <c r="A69" t="inlineStr">
        <is>
          <t>Empowered Piercing Arrow Casts Per Second</t>
        </is>
      </c>
      <c r="B69">
        <f>MAX(0,B67-B68)</f>
        <v/>
      </c>
    </row>
    <row r="70">
      <c r="A70" t="inlineStr">
        <is>
          <t>Global Critical Damage Bonus % (Sharp Eyes)</t>
        </is>
      </c>
      <c r="B70">
        <f>(C49=TRUE)*F49*IF(AND(Inputs!$B$4&lt;&gt;"pvp",Inputs!$B$35&gt;0),(((S49-1)*(Skills!T16*(1+Inputs!$B$33/100))+MIN((Skills!T16*(1+Inputs!$B$33/100)),MAX(0,Inputs!$B$35-((S49-1)*Skills!D16))))/Inputs!$B$35),IF(Inputs!$B$4="pvp",MIN((Skills!T16*(1+Inputs!$B$33/100)),15)/15,(Skills!T16*(1+Inputs!$B$33/100))/Skills!D16))</f>
        <v/>
      </c>
    </row>
    <row r="71">
      <c r="A71" t="inlineStr">
        <is>
          <t>Global Final Damage Bonus % (Mortal Blow + Last Man Standing conditional half)</t>
        </is>
      </c>
      <c r="B71">
        <f>(C50=TRUE)*F50+((C59=TRUE)*IF(Inputs!$B$4="pvp",F59,(1-Summary!$B$55)*(F59)+Summary!$B$55*(0)))</f>
        <v/>
      </c>
    </row>
    <row r="73">
      <c r="A73" s="5" t="inlineStr">
        <is>
          <t>TOTAL DPS</t>
        </is>
      </c>
      <c r="B73" s="5">
        <f>SUM(O35:O62)</f>
        <v/>
      </c>
    </row>
    <row r="76">
      <c r="A76" s="5" t="inlineStr">
        <is>
          <t>Stat: DEX %</t>
        </is>
      </c>
    </row>
    <row r="77">
      <c r="A77" s="8" t="inlineStr">
        <is>
          <t>Key</t>
        </is>
      </c>
      <c r="B77" s="8" t="inlineStr">
        <is>
          <t>Name</t>
        </is>
      </c>
      <c r="C77" s="8" t="inlineStr">
        <is>
          <t>Unlocked</t>
        </is>
      </c>
      <c r="D77" s="8" t="inlineStr">
        <is>
          <t>InputLevel</t>
        </is>
      </c>
      <c r="E77" s="8" t="inlineStr">
        <is>
          <t>Factor</t>
        </is>
      </c>
      <c r="F77" s="8" t="inlineStr">
        <is>
          <t>CoefficientPercent</t>
        </is>
      </c>
      <c r="G77" s="8" t="inlineStr">
        <is>
          <t>EffectiveHits</t>
        </is>
      </c>
      <c r="H77" s="8" t="inlineStr">
        <is>
          <t>ProcProbability</t>
        </is>
      </c>
      <c r="I77" s="8" t="inlineStr">
        <is>
          <t>MapleHeroMultiplier</t>
        </is>
      </c>
      <c r="J77" s="8" t="inlineStr">
        <is>
          <t>BaseDamage</t>
        </is>
      </c>
      <c r="K77" s="8" t="inlineStr">
        <is>
          <t>BaseHitDamage</t>
        </is>
      </c>
      <c r="L77" s="8" t="inlineStr">
        <is>
          <t>NonCritAvg</t>
        </is>
      </c>
      <c r="M77" s="8" t="inlineStr">
        <is>
          <t>CritAvg</t>
        </is>
      </c>
      <c r="N77" s="8" t="inlineStr">
        <is>
          <t>ExpectedDamage(perHit)</t>
        </is>
      </c>
      <c r="O77" s="8" t="inlineStr">
        <is>
          <t>DPS</t>
        </is>
      </c>
      <c r="P77" s="8" t="inlineStr">
        <is>
          <t>% of Total</t>
        </is>
      </c>
      <c r="Q77" s="8" t="inlineStr">
        <is>
          <t>InvCooldown</t>
        </is>
      </c>
      <c r="R77" s="8" t="inlineStr">
        <is>
          <t>CastsInFight</t>
        </is>
      </c>
      <c r="S77" s="8" t="inlineStr">
        <is>
          <t>HitRate(perSec)</t>
        </is>
      </c>
      <c r="U77" t="inlineStr">
        <is>
          <t>helpers</t>
        </is>
      </c>
    </row>
    <row r="78">
      <c r="A78">
        <f>Skills!A2</f>
        <v/>
      </c>
      <c r="B78">
        <f>Skills!B2</f>
        <v/>
      </c>
      <c r="C78">
        <f>Inputs!$B$3&gt;=100</f>
        <v/>
      </c>
      <c r="D78" t="inlineStr"/>
      <c r="E78" t="inlineStr"/>
      <c r="F78">
        <f>U80+Skills!O2</f>
        <v/>
      </c>
      <c r="G78">
        <f>Skills!G2*IF(Skills!H2&gt;0,Skills!I2/Skills!H2,1)</f>
        <v/>
      </c>
      <c r="H78">
        <f>1-(1-Skills!J2/100)^Skills!K2</f>
        <v/>
      </c>
      <c r="I78" t="inlineStr">
        <is>
          <t>1</t>
        </is>
      </c>
      <c r="J78">
        <f>(Inputs!$B$5*(1+Inputs!$B$6/100))*(F78/100)</f>
        <v/>
      </c>
      <c r="K78">
        <f>J78*(1+((Inputs!$B$11*(1+(Inputs!$B$12+1)/100))*0.01+Inputs!$B$13*0.0025)/100)*(1+Inputs!$B$14/100)*(1+IF(Inputs!$B$4="pvp",0,(1-Summary!$B$55)*(Inputs!$B$19+0+Skills!P2)+Summary!$B$55*(Inputs!$B$20+Skills!Q2))/100)*(1+Inputs!$B$15/100)*(5000/(6000+Inputs!$B$7*(1-(Inputs!$B$18+0)/100)))*(1+(Inputs!$B$23+((C100=TRUE)*(F100-Calc!F24))+((C101=TRUE)*(F101-Calc!F25))+B114)/100)*(1+(IF(Skills!A2="EMPOWERED_PIERCING_ARROW",Inputs!$B$16+((C98=TRUE)*(F98-Calc!F22)),Inputs!$B$17+((C103=TRUE)*(F103-Calc!F27))))/100)*((1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I78)</f>
        <v/>
      </c>
      <c r="L78">
        <f>K78*(MIN(Inputs!$B$21+((C99=TRUE)*(F99-Calc!F23)),Inputs!$B$22+((C104=TRUE)*(F104-Calc!F28)))/100+(Inputs!$B$22+((C104=TRUE)*(F104-Calc!F28)))/100)/2</f>
        <v/>
      </c>
      <c r="M78">
        <f>L78*(1+(Inputs!$B$9+0+B113)/100)</f>
        <v/>
      </c>
      <c r="N78">
        <f>L78*(1-MIN((Inputs!$B$8+((C95=TRUE)*(F95-Calc!F19))+B108),100)/100)+M78*(MIN((Inputs!$B$8+((C95=TRUE)*(F95-Calc!F19))+B108),100)/100)</f>
        <v/>
      </c>
      <c r="O78">
        <f>IF(C78,Skills!G2*N78*B112*IF(Inputs!$B$4="pvp",1,(1-Summary!$B$55)*(1)+Summary!$B$55*(MIN((6+Inputs!$B$32),Inputs!$B$37))),0)</f>
        <v/>
      </c>
      <c r="P78">
        <f>IF(B116=0,0,O78/B116)</f>
        <v/>
      </c>
      <c r="Q78" t="n">
        <v>0</v>
      </c>
      <c r="R78" t="n">
        <v>0</v>
      </c>
      <c r="S78">
        <f>IFERROR(O78/N78,0)</f>
        <v/>
      </c>
      <c r="U78">
        <f>MAX(0,(Inputs!$B$3-100)*3)+Inputs!$B$27+Inputs!$B$28</f>
        <v/>
      </c>
    </row>
    <row r="79">
      <c r="A79">
        <f>Skills!A3</f>
        <v/>
      </c>
      <c r="B79">
        <f>Skills!B3</f>
        <v/>
      </c>
      <c r="C79">
        <f>Inputs!$B$3&gt;=50</f>
        <v/>
      </c>
      <c r="D79">
        <f>IF(Skills!C3=1,60+Inputs!$B$24+Inputs!$B$28,IF(Skills!C3=2,90+Inputs!$B$25+Inputs!$B$28,IF(Skills!C3=3,120+Inputs!$B$26+Inputs!$B$28,MAX(0,(Inputs!$B$3-100)*3)+Inputs!$B$27+Inputs!$B$28)))</f>
        <v/>
      </c>
      <c r="E79">
        <f>INDEX(FactorTable!$B$2:$Y$301, MATCH(ROUND(MIN(300,MAX(1,D79)),0), FactorTable!$A$2:$A$301,0), Skills!M3+1)</f>
        <v/>
      </c>
      <c r="F79">
        <f>IF(Skills!N3=TRUE,(Skills!L3/10)*(E79/1000),Skills!L3/10)+Skills!O3</f>
        <v/>
      </c>
      <c r="G79" t="inlineStr"/>
      <c r="H79" t="inlineStr"/>
      <c r="I79" t="inlineStr">
        <is>
          <t>1</t>
        </is>
      </c>
      <c r="J79" t="inlineStr"/>
      <c r="K79" t="inlineStr"/>
      <c r="L79" t="inlineStr"/>
      <c r="M79" t="inlineStr"/>
      <c r="N79" t="inlineStr"/>
      <c r="O79" t="inlineStr"/>
      <c r="P79" t="inlineStr"/>
      <c r="Q79" t="inlineStr"/>
      <c r="R79" t="inlineStr"/>
      <c r="S79" t="inlineStr"/>
      <c r="U79">
        <f>INDEX(FactorTable!$B$2:$Y$301, MATCH(ROUND(MIN(300,MAX(1,U78)),0), FactorTable!$A$2:$A$301,0), 22)</f>
        <v/>
      </c>
    </row>
    <row r="80">
      <c r="A80">
        <f>Skills!A4</f>
        <v/>
      </c>
      <c r="B80">
        <f>Skills!B4</f>
        <v/>
      </c>
      <c r="C80">
        <f>Inputs!$B$3&gt;=105</f>
        <v/>
      </c>
      <c r="D80">
        <f>IF(Skills!C4=1,60+Inputs!$B$24+Inputs!$B$28,IF(Skills!C4=2,90+Inputs!$B$25+Inputs!$B$28,IF(Skills!C4=3,120+Inputs!$B$26+Inputs!$B$28,MAX(0,(Inputs!$B$3-100)*3)+Inputs!$B$27+Inputs!$B$28)))</f>
        <v/>
      </c>
      <c r="E80">
        <f>INDEX(FactorTable!$B$2:$Y$301, MATCH(ROUND(MIN(300,MAX(1,D80)),0), FactorTable!$A$2:$A$301,0), Skills!M4+1)</f>
        <v/>
      </c>
      <c r="F80">
        <f>IF(Skills!N4=TRUE,(Skills!L4/10)*(E80/1000),Skills!L4/10)+Skills!O4</f>
        <v/>
      </c>
      <c r="G80" t="inlineStr"/>
      <c r="H80" t="inlineStr"/>
      <c r="I80" t="inlineStr">
        <is>
          <t>1</t>
        </is>
      </c>
      <c r="J80" t="inlineStr"/>
      <c r="K80" t="inlineStr"/>
      <c r="L80" t="inlineStr"/>
      <c r="M80" t="inlineStr"/>
      <c r="N80" t="inlineStr"/>
      <c r="O80" t="inlineStr"/>
      <c r="P80" t="inlineStr"/>
      <c r="Q80" t="inlineStr"/>
      <c r="R80" t="inlineStr"/>
      <c r="S80" t="inlineStr"/>
      <c r="U80">
        <f>290*U79/1000</f>
        <v/>
      </c>
    </row>
    <row r="81">
      <c r="A81">
        <f>Skills!A5</f>
        <v/>
      </c>
      <c r="B81">
        <f>Skills!B5</f>
        <v/>
      </c>
      <c r="C81">
        <f>Inputs!$B$3&gt;=35</f>
        <v/>
      </c>
      <c r="D81">
        <f>IF(Skills!C5=1,60+Inputs!$B$24+Inputs!$B$28,IF(Skills!C5=2,90+Inputs!$B$25+Inputs!$B$28,IF(Skills!C5=3,120+Inputs!$B$26+Inputs!$B$28,MAX(0,(Inputs!$B$3-100)*3)+Inputs!$B$27+Inputs!$B$28)))</f>
        <v/>
      </c>
      <c r="E81">
        <f>INDEX(FactorTable!$B$2:$Y$301, MATCH(ROUND(MIN(300,MAX(1,D81)),0), FactorTable!$A$2:$A$301,0), Skills!M5+1)</f>
        <v/>
      </c>
      <c r="F81">
        <f>IF(Skills!N5=TRUE,(Skills!L5/10)*(E81/1000),Skills!L5/10)+Skills!O5</f>
        <v/>
      </c>
      <c r="G81">
        <f>Skills!G5*IF(Skills!H5&gt;0,Skills!I5/Skills!H5,1)</f>
        <v/>
      </c>
      <c r="H81">
        <f>1-(1-Skills!J5/100)^Skills!K5</f>
        <v/>
      </c>
      <c r="I81" t="inlineStr">
        <is>
          <t>1</t>
        </is>
      </c>
      <c r="J81">
        <f>(Inputs!$B$5*(1+Inputs!$B$6/100))*(F81/100)</f>
        <v/>
      </c>
      <c r="K81">
        <f>J81*(1+((Inputs!$B$11*(1+(Inputs!$B$12+1)/100))*0.01+Inputs!$B$13*0.0025)/100)*(1+Inputs!$B$14/100)*(1+IF(Inputs!$B$4="pvp",0,(1-Summary!$B$55)*(Inputs!$B$19+0+Skills!P5)+Summary!$B$55*(Inputs!$B$20+Skills!Q5))/100)*(1+Inputs!$B$15/100)*(5000/(6000+Inputs!$B$7*(1-(Inputs!$B$18+0)/100)))*(1+(Inputs!$B$23+((C100=TRUE)*(F100-Calc!F24))+((C101=TRUE)*(F101-Calc!F25))+B114)/100)*(1+4.0*IF(C84=TRUE,F84,0)/100)*(1+(IF(Skills!A5="EMPOWERED_PIERCING_ARROW",Inputs!$B$16+((C98=TRUE)*(F98-Calc!F22)),Inputs!$B$17+((C103=TRUE)*(F103-Calc!F27))))/100)*((1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I81)</f>
        <v/>
      </c>
      <c r="L81">
        <f>K81*(MIN(Inputs!$B$21+((C99=TRUE)*(F99-Calc!F23)),Inputs!$B$22+((C104=TRUE)*(F104-Calc!F28)))/100+(Inputs!$B$22+((C104=TRUE)*(F104-Calc!F28)))/100)/2</f>
        <v/>
      </c>
      <c r="M81">
        <f>L81*(1+(Inputs!$B$9+0+B113)/100)</f>
        <v/>
      </c>
      <c r="N81">
        <f>L81*(1-MIN((Inputs!$B$8+((C95=TRUE)*(F95-Calc!F19))+B108),100)/100)+M81*(MIN((Inputs!$B$8+((C95=TRUE)*(F95-Calc!F19))+B108),100)/100)</f>
        <v/>
      </c>
      <c r="O81">
        <f>IF(C81,H81*N81*IF(AND(Inputs!$B$4&lt;&gt;"pvp",Inputs!$B$35&gt;0),((Skills!G5*((R81-1)*IF(Skills!H5&gt;0,Skills!I5/Skills!H5,1)+IF(Skills!H5&gt;0,MIN(Skills!I5,MAX(0,Inputs!$B$35-((R81-1)*IF(Inputs!$B$4="pvp",15,MAX(0.1,Skills!D5-IF(Skills!E5=TRUE,Inputs!$B$31,0))))))/Skills!H5,1)))/Inputs!$B$35),G81*Q81)*IF(Inputs!$B$4="pvp",1,(1-Summary!$B$55)*(1)+Summary!$B$55*(MIN(Skills!R5,Inputs!$B$37))),0)</f>
        <v/>
      </c>
      <c r="P81">
        <f>IF(B116=0,0,O81/B116)</f>
        <v/>
      </c>
      <c r="Q81">
        <f>IFERROR(1/IF(Inputs!$B$4="pvp",15,MAX(0.1,Skills!D5-IF(Skills!E5=TRUE,Inputs!$B$31,0))),0)</f>
        <v/>
      </c>
      <c r="R81">
        <f>IF(AND(Inputs!$B$4&lt;&gt;"pvp",Inputs!$B$35&gt;0),(INT(Inputs!$B$35/IF(Inputs!$B$4="pvp",15,MAX(0.1,Skills!D5-IF(Skills!E5=TRUE,Inputs!$B$31,0))))+1),0)</f>
        <v/>
      </c>
      <c r="S81">
        <f>IFERROR(O81/N81,0)</f>
        <v/>
      </c>
    </row>
    <row r="82">
      <c r="A82">
        <f>Skills!A6</f>
        <v/>
      </c>
      <c r="B82">
        <f>Skills!B6</f>
        <v/>
      </c>
      <c r="C82">
        <f>Inputs!$B$3&gt;=63</f>
        <v/>
      </c>
      <c r="D82">
        <f>IF(Skills!C6=1,60+Inputs!$B$24+Inputs!$B$28,IF(Skills!C6=2,90+Inputs!$B$25+Inputs!$B$28,IF(Skills!C6=3,120+Inputs!$B$26+Inputs!$B$28,MAX(0,(Inputs!$B$3-100)*3)+Inputs!$B$27+Inputs!$B$28)))</f>
        <v/>
      </c>
      <c r="E82">
        <f>INDEX(FactorTable!$B$2:$Y$301, MATCH(ROUND(MIN(300,MAX(1,D82)),0), FactorTable!$A$2:$A$301,0), Skills!M6+1)</f>
        <v/>
      </c>
      <c r="F82">
        <f>IF(Skills!N6=TRUE,(Skills!L6/10)*(E82/1000),Skills!L6/10)+Skills!O6</f>
        <v/>
      </c>
      <c r="G82">
        <f>Skills!G6*IF(Skills!H6&gt;0,Skills!I6/Skills!H6,1)</f>
        <v/>
      </c>
      <c r="H82">
        <f>1-(1-Skills!J6/100)^Skills!K6</f>
        <v/>
      </c>
      <c r="I82" t="inlineStr">
        <is>
          <t>1</t>
        </is>
      </c>
      <c r="J82">
        <f>(Inputs!$B$5*(1+Inputs!$B$6/100))*(F82/100)</f>
        <v/>
      </c>
      <c r="K82">
        <f>J82*(1+((Inputs!$B$11*(1+(Inputs!$B$12+1)/100))*0.01+Inputs!$B$13*0.0025)/100)*(1+Inputs!$B$14/100)*(1+IF(Inputs!$B$4="pvp",0,(1-Summary!$B$55)*(Inputs!$B$19+0+Skills!P6)+Summary!$B$55*(Inputs!$B$20+Skills!Q6))/100)*(1+Inputs!$B$15/100)*(5000/(6000+Inputs!$B$7*(1-(Inputs!$B$18+0)/100)))*(1+(Inputs!$B$23+((C100=TRUE)*(F100-Calc!F24))+((C101=TRUE)*(F101-Calc!F25))+B114)/100)*(1+1.0*IF(C84=TRUE,F84,0)/100)*(1+(IF(Skills!A6="EMPOWERED_PIERCING_ARROW",Inputs!$B$16+((C98=TRUE)*(F98-Calc!F22)),Inputs!$B$17+((C103=TRUE)*(F103-Calc!F27))))/100)*((1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I82)</f>
        <v/>
      </c>
      <c r="L82">
        <f>K82*(MIN(Inputs!$B$21+((C99=TRUE)*(F99-Calc!F23)),Inputs!$B$22+((C104=TRUE)*(F104-Calc!F28)))/100+(Inputs!$B$22+((C104=TRUE)*(F104-Calc!F28)))/100)/2</f>
        <v/>
      </c>
      <c r="M82">
        <f>L82*(1+(Inputs!$B$9+0+B113)/100)</f>
        <v/>
      </c>
      <c r="N82">
        <f>L82*(1-MIN((Inputs!$B$8+((C95=TRUE)*(F95-Calc!F19))+B108),100)/100)+M82*(MIN((Inputs!$B$8+((C95=TRUE)*(F95-Calc!F19))+B108),100)/100)</f>
        <v/>
      </c>
      <c r="O82">
        <f>IF(C82,H82*N82*IF(AND(Inputs!$B$4&lt;&gt;"pvp",Inputs!$B$35&gt;0),((Skills!G6*((R82-1)*IF(Skills!H6&gt;0,Skills!I6/Skills!H6,1)+IF(Skills!H6&gt;0,MIN(Skills!I6,MAX(0,Inputs!$B$35-((R82-1)*IF(Inputs!$B$4="pvp",15,MAX(0.1,Skills!D6-IF(Skills!E6=TRUE,Inputs!$B$31,0))))))/Skills!H6,1)))/Inputs!$B$35),G82*Q82)*IF(Inputs!$B$4="pvp",1,(1-Summary!$B$55)*(1)+Summary!$B$55*(MIN(Skills!R6,Inputs!$B$37))),0)</f>
        <v/>
      </c>
      <c r="P82">
        <f>IF(B116=0,0,O82/B116)</f>
        <v/>
      </c>
      <c r="Q82">
        <f>IFERROR(1/IF(Inputs!$B$4="pvp",15,MAX(0.1,Skills!D6-IF(Skills!E6=TRUE,Inputs!$B$31,0))),0)</f>
        <v/>
      </c>
      <c r="R82">
        <f>IF(AND(Inputs!$B$4&lt;&gt;"pvp",Inputs!$B$35&gt;0),(INT(Inputs!$B$35/IF(Inputs!$B$4="pvp",15,MAX(0.1,Skills!D6-IF(Skills!E6=TRUE,Inputs!$B$31,0))))+1),0)</f>
        <v/>
      </c>
      <c r="S82">
        <f>IFERROR(O82/N82,0)</f>
        <v/>
      </c>
    </row>
    <row r="83">
      <c r="A83">
        <f>Skills!A7</f>
        <v/>
      </c>
      <c r="B83">
        <f>Skills!B7</f>
        <v/>
      </c>
      <c r="C83">
        <f>Inputs!$B$3&gt;=69</f>
        <v/>
      </c>
      <c r="D83">
        <f>IF(Skills!C7=1,60+Inputs!$B$24+Inputs!$B$28,IF(Skills!C7=2,90+Inputs!$B$25+Inputs!$B$28,IF(Skills!C7=3,120+Inputs!$B$26+Inputs!$B$28,MAX(0,(Inputs!$B$3-100)*3)+Inputs!$B$27+Inputs!$B$28)))</f>
        <v/>
      </c>
      <c r="E83">
        <f>INDEX(FactorTable!$B$2:$Y$301, MATCH(ROUND(MIN(300,MAX(1,D83)),0), FactorTable!$A$2:$A$301,0), Skills!M7+1)</f>
        <v/>
      </c>
      <c r="F83">
        <f>IF(Skills!N7=TRUE,(Skills!L7/10)*(E83/1000),Skills!L7/10)+Skills!O7</f>
        <v/>
      </c>
      <c r="G83">
        <f>Skills!G7*IF(Skills!H7&gt;0,Skills!I7/Skills!H7,1)</f>
        <v/>
      </c>
      <c r="H83">
        <f>1-(1-Skills!J7/100)^Skills!K7</f>
        <v/>
      </c>
      <c r="I83" t="inlineStr">
        <is>
          <t>1</t>
        </is>
      </c>
      <c r="J83">
        <f>(Inputs!$B$5*(1+Inputs!$B$6/100))*(F83/100)</f>
        <v/>
      </c>
      <c r="K83">
        <f>J83*(1+((Inputs!$B$11*(1+(Inputs!$B$12+1)/100))*0.01+Inputs!$B$13*0.0025)/100)*(1+Inputs!$B$14/100)*(1+IF(Inputs!$B$4="pvp",0,(1-Summary!$B$55)*(Inputs!$B$19+0+Skills!P7)+Summary!$B$55*(Inputs!$B$20+Skills!Q7))/100)*(1+Inputs!$B$15/100)*(5000/(6000+Inputs!$B$7*(1-(Inputs!$B$18+0)/100)))*(1+(Inputs!$B$23+((C100=TRUE)*(F100-Calc!F24))+((C101=TRUE)*(F101-Calc!F25))+B114)/100)*(1+1.2*IF(C84=TRUE,F84,0)/100)*(1+(IF(Skills!A7="EMPOWERED_PIERCING_ARROW",Inputs!$B$16+((C98=TRUE)*(F98-Calc!F22)),Inputs!$B$17+((C103=TRUE)*(F103-Calc!F27))))/100)*((1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I83)</f>
        <v/>
      </c>
      <c r="L83">
        <f>K83*(MIN(Inputs!$B$21+((C99=TRUE)*(F99-Calc!F23)),Inputs!$B$22+((C104=TRUE)*(F104-Calc!F28)))/100+(Inputs!$B$22+((C104=TRUE)*(F104-Calc!F28)))/100)/2</f>
        <v/>
      </c>
      <c r="M83">
        <f>L83*(1+(Inputs!$B$9+0+B113)/100)</f>
        <v/>
      </c>
      <c r="N83">
        <f>L83*(1-MIN((Inputs!$B$8+((C95=TRUE)*(F95-Calc!F19))+B108),100)/100)+M83*(MIN((Inputs!$B$8+((C95=TRUE)*(F95-Calc!F19))+B108),100)/100)</f>
        <v/>
      </c>
      <c r="O83">
        <f>IF(C83,H83*N83*IF(AND(Inputs!$B$4&lt;&gt;"pvp",Inputs!$B$35&gt;0),((Skills!G7*((R83-1)*IF(Skills!H7&gt;0,Skills!I7/Skills!H7,1)+IF(Skills!H7&gt;0,MIN(Skills!I7,MAX(0,Inputs!$B$35-((R83-1)*IF(Inputs!$B$4="pvp",15,MAX(0.1,Skills!D7-IF(Skills!E7=TRUE,Inputs!$B$31,0))))))/Skills!H7,1)))/Inputs!$B$35),G83*Q83)*IF(Inputs!$B$4="pvp",1,(1-Summary!$B$55)*(1)+Summary!$B$55*(MIN(Skills!R7,Inputs!$B$37))),0)</f>
        <v/>
      </c>
      <c r="P83">
        <f>IF(B116=0,0,O83/B116)</f>
        <v/>
      </c>
      <c r="Q83">
        <f>IFERROR(1/IF(Inputs!$B$4="pvp",15,MAX(0.1,Skills!D7-IF(Skills!E7=TRUE,Inputs!$B$31,0))),0)</f>
        <v/>
      </c>
      <c r="R83">
        <f>IF(AND(Inputs!$B$4&lt;&gt;"pvp",Inputs!$B$35&gt;0),(INT(Inputs!$B$35/IF(Inputs!$B$4="pvp",15,MAX(0.1,Skills!D7-IF(Skills!E7=TRUE,Inputs!$B$31,0))))+1),0)</f>
        <v/>
      </c>
      <c r="S83">
        <f>IFERROR(O83/N83,0)</f>
        <v/>
      </c>
    </row>
    <row r="84">
      <c r="A84">
        <f>Skills!A8</f>
        <v/>
      </c>
      <c r="B84">
        <f>Skills!B8</f>
        <v/>
      </c>
      <c r="C84">
        <f>Inputs!$B$3&gt;=100</f>
        <v/>
      </c>
      <c r="D84">
        <f>IF(Skills!C8=1,60+Inputs!$B$24+Inputs!$B$28,IF(Skills!C8=2,90+Inputs!$B$25+Inputs!$B$28,IF(Skills!C8=3,120+Inputs!$B$26+Inputs!$B$28,MAX(0,(Inputs!$B$3-100)*3)+Inputs!$B$27+Inputs!$B$28)))</f>
        <v/>
      </c>
      <c r="E84">
        <f>INDEX(FactorTable!$B$2:$Y$301, MATCH(ROUND(MIN(300,MAX(1,D84)),0), FactorTable!$A$2:$A$301,0), Skills!M8+1)</f>
        <v/>
      </c>
      <c r="F84">
        <f>IF(Skills!N8=TRUE,(Skills!L8/10)*(E84/1000),Skills!L8/10)+Skills!O8</f>
        <v/>
      </c>
      <c r="G84" t="inlineStr"/>
      <c r="H84" t="inlineStr"/>
      <c r="I84" t="inlineStr">
        <is>
          <t>1</t>
        </is>
      </c>
      <c r="J84" t="inlineStr"/>
      <c r="K84" t="inlineStr"/>
      <c r="L84" t="inlineStr"/>
      <c r="M84" t="inlineStr"/>
      <c r="N84" t="inlineStr"/>
      <c r="O84" t="inlineStr"/>
      <c r="P84" t="inlineStr"/>
      <c r="Q84" t="inlineStr"/>
      <c r="R84" t="inlineStr"/>
      <c r="S84" t="inlineStr"/>
    </row>
    <row r="85">
      <c r="A85">
        <f>Skills!A9</f>
        <v/>
      </c>
      <c r="B85">
        <f>Skills!B9</f>
        <v/>
      </c>
      <c r="C85">
        <f>Inputs!$B$3&gt;=103</f>
        <v/>
      </c>
      <c r="D85">
        <f>IF(Skills!C9=1,60+Inputs!$B$24+Inputs!$B$28,IF(Skills!C9=2,90+Inputs!$B$25+Inputs!$B$28,IF(Skills!C9=3,120+Inputs!$B$26+Inputs!$B$28,MAX(0,(Inputs!$B$3-100)*3)+Inputs!$B$27+Inputs!$B$28)))</f>
        <v/>
      </c>
      <c r="E85">
        <f>INDEX(FactorTable!$B$2:$Y$301, MATCH(ROUND(MIN(300,MAX(1,D85)),0), FactorTable!$A$2:$A$301,0), Skills!M9+1)</f>
        <v/>
      </c>
      <c r="F85">
        <f>IF(Skills!N9=TRUE,(Skills!L9/10)*(E85/1000),Skills!L9/10)+Skills!O9</f>
        <v/>
      </c>
      <c r="G85">
        <f>Skills!G9*IF(Skills!H9&gt;0,Skills!I9/Skills!H9,1)</f>
        <v/>
      </c>
      <c r="H85">
        <f>1-(1-Skills!J9/100)^Skills!K9</f>
        <v/>
      </c>
      <c r="I85" t="inlineStr">
        <is>
          <t>1</t>
        </is>
      </c>
      <c r="J85">
        <f>(Inputs!$B$5*(1+Inputs!$B$6/100))*(F85/100)</f>
        <v/>
      </c>
      <c r="K85">
        <f>J85*(1+((Inputs!$B$11*(1+(Inputs!$B$12+1)/100))*0.01+Inputs!$B$13*0.0025)/100)*(1+Inputs!$B$14/100)*(1+IF(Inputs!$B$4="pvp",0,(1-Summary!$B$55)*(Inputs!$B$19+0+Skills!P9)+Summary!$B$55*(Inputs!$B$20+Skills!Q9))/100)*(1+Inputs!$B$15/100)*(5000/(6000+Inputs!$B$7*(1-(Inputs!$B$18+0)/100)))*(1+(Inputs!$B$23+((C100=TRUE)*(F100-Calc!F24))+((C101=TRUE)*(F101-Calc!F25))+B114)/100)*(1+(IF(Skills!A9="EMPOWERED_PIERCING_ARROW",Inputs!$B$16+((C98=TRUE)*(F98-Calc!F22)),Inputs!$B$17+((C103=TRUE)*(F103-Calc!F27))))/100)*((1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I85)</f>
        <v/>
      </c>
      <c r="L85">
        <f>K85*(MIN(Inputs!$B$21+((C99=TRUE)*(F99-Calc!F23)),Inputs!$B$22+((C104=TRUE)*(F104-Calc!F28)))/100+(Inputs!$B$22+((C104=TRUE)*(F104-Calc!F28)))/100)/2</f>
        <v/>
      </c>
      <c r="M85">
        <f>L85*(1+(Inputs!$B$9+0+B113)/100)</f>
        <v/>
      </c>
      <c r="N85">
        <f>L85*(1-MIN((Inputs!$B$8+((C95=TRUE)*(F95-Calc!F19))+B108),100)/100)+M85*(MIN((Inputs!$B$8+((C95=TRUE)*(F95-Calc!F19))+B108),100)/100)</f>
        <v/>
      </c>
      <c r="O85">
        <f>IF(C85,H85*N85*IF(AND(Inputs!$B$4&lt;&gt;"pvp",Inputs!$B$35&gt;0),((Skills!G9*((R85-1)*IF(Skills!H9&gt;0,Skills!I9/Skills!H9,1)+IF(Skills!H9&gt;0,MIN(Skills!I9,MAX(0,Inputs!$B$35-((R85-1)*IF(Inputs!$B$4="pvp",15,MAX(0.1,Skills!D9-IF(Skills!E9=TRUE,Inputs!$B$31,0))))))/Skills!H9,1)))/Inputs!$B$35),G85*Q85)*IF(Inputs!$B$4="pvp",1,(1-Summary!$B$55)*(1)+Summary!$B$55*(MIN(Skills!R9,Inputs!$B$37))),0)</f>
        <v/>
      </c>
      <c r="P85">
        <f>IF(B116=0,0,O85/B116)</f>
        <v/>
      </c>
      <c r="Q85">
        <f>IFERROR(1/IF(Inputs!$B$4="pvp",15,MAX(0.1,Skills!D9-IF(Skills!E9=TRUE,Inputs!$B$31,0))),0)</f>
        <v/>
      </c>
      <c r="R85">
        <f>IF(AND(Inputs!$B$4&lt;&gt;"pvp",Inputs!$B$35&gt;0),(INT(Inputs!$B$35/IF(Inputs!$B$4="pvp",15,MAX(0.1,Skills!D9-IF(Skills!E9=TRUE,Inputs!$B$31,0))))+1),0)</f>
        <v/>
      </c>
      <c r="S85">
        <f>IFERROR(O85/N85,0)</f>
        <v/>
      </c>
    </row>
    <row r="86">
      <c r="A86">
        <f>Skills!A10</f>
        <v/>
      </c>
      <c r="B86">
        <f>Skills!B10</f>
        <v/>
      </c>
      <c r="C86">
        <f>Inputs!$B$3&gt;=107</f>
        <v/>
      </c>
      <c r="D86">
        <f>IF(Skills!C10=1,60+Inputs!$B$24+Inputs!$B$28,IF(Skills!C10=2,90+Inputs!$B$25+Inputs!$B$28,IF(Skills!C10=3,120+Inputs!$B$26+Inputs!$B$28,MAX(0,(Inputs!$B$3-100)*3)+Inputs!$B$27+Inputs!$B$28)))</f>
        <v/>
      </c>
      <c r="E86">
        <f>INDEX(FactorTable!$B$2:$Y$301, MATCH(ROUND(MIN(300,MAX(1,D86)),0), FactorTable!$A$2:$A$301,0), Skills!M10+1)</f>
        <v/>
      </c>
      <c r="F86">
        <f>IF(Skills!N10=TRUE,(Skills!L10/10)*(E86/1000),Skills!L10/10)+Skills!O10</f>
        <v/>
      </c>
      <c r="G86">
        <f>Skills!G10*IF(Skills!H10&gt;0,Skills!I10/Skills!H10,1)</f>
        <v/>
      </c>
      <c r="H86">
        <f>1-(1-Skills!J10/100)^Skills!K10</f>
        <v/>
      </c>
      <c r="I86" t="inlineStr">
        <is>
          <t>1</t>
        </is>
      </c>
      <c r="J86">
        <f>(Inputs!$B$5*(1+Inputs!$B$6/100))*(F86/100)</f>
        <v/>
      </c>
      <c r="K86">
        <f>J86*(1+((Inputs!$B$11*(1+(Inputs!$B$12+1)/100))*0.01+Inputs!$B$13*0.0025)/100)*(1+Inputs!$B$14/100)*(1+IF(Inputs!$B$4="pvp",0,(1-Summary!$B$55)*(Inputs!$B$19+0+Skills!P10)+Summary!$B$55*(Inputs!$B$20+Skills!Q10))/100)*(1+Inputs!$B$15/100)*(5000/(6000+Inputs!$B$7*(1-(Inputs!$B$18+0)/100)))*(1+(Inputs!$B$23+((C100=TRUE)*(F100-Calc!F24))+((C101=TRUE)*(F101-Calc!F25))+B114)/100)*(1+(IF(Skills!A10="EMPOWERED_PIERCING_ARROW",Inputs!$B$16+((C98=TRUE)*(F98-Calc!F22)),Inputs!$B$17+((C103=TRUE)*(F103-Calc!F27))))/100)*((1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I86)</f>
        <v/>
      </c>
      <c r="L86">
        <f>K86*(MIN(Inputs!$B$21+((C99=TRUE)*(F99-Calc!F23)),Inputs!$B$22+((C104=TRUE)*(F104-Calc!F28)))/100+(Inputs!$B$22+((C104=TRUE)*(F104-Calc!F28)))/100)/2</f>
        <v/>
      </c>
      <c r="M86">
        <f>L86*(1+(Inputs!$B$9+0+B113)/100)</f>
        <v/>
      </c>
      <c r="N86">
        <f>L86*(1-MIN((Inputs!$B$8+((C95=TRUE)*(F95-Calc!F19))+B108),100)/100)+M86*(MIN((Inputs!$B$8+((C95=TRUE)*(F95-Calc!F19))+B108),100)/100)</f>
        <v/>
      </c>
      <c r="O86">
        <f>IF(C86,0.15*SUMPRODUCT((Skills!U2:U29=TRUE)*(C78:C105=TRUE)*S78:S105)*Skills!G10*N86*IF(Inputs!$B$4="pvp",1,(1-Summary!$B$55)*(1)+Summary!$B$55*(MIN(Skills!R10,Inputs!$B$37))),0)</f>
        <v/>
      </c>
      <c r="P86">
        <f>IF(B116=0,0,O86/B116)</f>
        <v/>
      </c>
      <c r="Q86" t="n">
        <v>0</v>
      </c>
      <c r="R86" t="n">
        <v>0</v>
      </c>
      <c r="S86" t="n">
        <v>0</v>
      </c>
    </row>
    <row r="87">
      <c r="A87">
        <f>Skills!A11</f>
        <v/>
      </c>
      <c r="B87">
        <f>Skills!B11</f>
        <v/>
      </c>
      <c r="C87">
        <f>Inputs!$B$3&gt;=110</f>
        <v/>
      </c>
      <c r="D87">
        <f>IF(Skills!C11=1,60+Inputs!$B$24+Inputs!$B$28,IF(Skills!C11=2,90+Inputs!$B$25+Inputs!$B$28,IF(Skills!C11=3,120+Inputs!$B$26+Inputs!$B$28,MAX(0,(Inputs!$B$3-100)*3)+Inputs!$B$27+Inputs!$B$28)))</f>
        <v/>
      </c>
      <c r="E87">
        <f>INDEX(FactorTable!$B$2:$Y$301, MATCH(ROUND(MIN(300,MAX(1,D87)),0), FactorTable!$A$2:$A$301,0), Skills!M11+1)</f>
        <v/>
      </c>
      <c r="F87">
        <f>IF(Skills!N11=TRUE,(Skills!L11/10)*(E87/1000),Skills!L11/10)+Skills!O11</f>
        <v/>
      </c>
      <c r="G87">
        <f>Skills!G11*IF(Skills!H11&gt;0,Skills!I11/Skills!H11,1)</f>
        <v/>
      </c>
      <c r="H87">
        <f>1-(1-Skills!J11/100)^Skills!K11</f>
        <v/>
      </c>
      <c r="I87" t="inlineStr">
        <is>
          <t>1</t>
        </is>
      </c>
      <c r="J87">
        <f>(Inputs!$B$5*(1+Inputs!$B$6/100))*(F87/100)</f>
        <v/>
      </c>
      <c r="K87">
        <f>J87*(1+((Inputs!$B$11*(1+(Inputs!$B$12+1)/100))*0.01+Inputs!$B$13*0.0025)/100)*(1+Inputs!$B$14/100)*(1+IF(Inputs!$B$4="pvp",0,(1-Summary!$B$55)*(Inputs!$B$19+0+Skills!P11)+Summary!$B$55*(Inputs!$B$20+Skills!Q11))/100)*(1+Inputs!$B$15/100)*(5000/(6000+Inputs!$B$7*(1-(Inputs!$B$18+0)/100)))*(1+(Inputs!$B$23+((C100=TRUE)*(F100-Calc!F24))+((C101=TRUE)*(F101-Calc!F25))+B114)/100)*(1+(IF(Skills!A11="EMPOWERED_PIERCING_ARROW",Inputs!$B$16+((C98=TRUE)*(F98-Calc!F22)),Inputs!$B$17+((C103=TRUE)*(F103-Calc!F27))))/100)*((1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I87)</f>
        <v/>
      </c>
      <c r="L87">
        <f>K87*(MIN(Inputs!$B$21+((C99=TRUE)*(F99-Calc!F23)),Inputs!$B$22+((C104=TRUE)*(F104-Calc!F28)))/100+(Inputs!$B$22+((C104=TRUE)*(F104-Calc!F28)))/100)/2</f>
        <v/>
      </c>
      <c r="M87">
        <f>L87*(1+(Inputs!$B$9+0+B113)/100)</f>
        <v/>
      </c>
      <c r="N87">
        <f>L87*(1-MIN((Inputs!$B$8+((C95=TRUE)*(F95-Calc!F19))+B108),100)/100)+M87*(MIN((Inputs!$B$8+((C95=TRUE)*(F95-Calc!F19))+B108),100)/100)</f>
        <v/>
      </c>
      <c r="O87">
        <f>IF(C87,H87*N87*IF(AND(Inputs!$B$4&lt;&gt;"pvp",Inputs!$B$35&gt;0),((Skills!G11*((R87-1)*IF(Skills!H11&gt;0,Skills!I11/Skills!H11,1)+IF(Skills!H11&gt;0,MIN(Skills!I11,MAX(0,Inputs!$B$35-((R87-1)*IF(Inputs!$B$4="pvp",15,MAX(0.1,Skills!D11-IF(Skills!E11=TRUE,Inputs!$B$31,0))))))/Skills!H11,1)))/Inputs!$B$35),G87*Q87)*IF(Inputs!$B$4="pvp",1,(1-Summary!$B$55)*(1)+Summary!$B$55*(MIN(Skills!R11,Inputs!$B$37))),0)</f>
        <v/>
      </c>
      <c r="P87">
        <f>IF(B116=0,0,O87/B116)</f>
        <v/>
      </c>
      <c r="Q87">
        <f>IFERROR(1/IF(Inputs!$B$4="pvp",15,MAX(0.1,Skills!D11-IF(Skills!E11=TRUE,Inputs!$B$31,0))),0)</f>
        <v/>
      </c>
      <c r="R87">
        <f>IF(AND(Inputs!$B$4&lt;&gt;"pvp",Inputs!$B$35&gt;0),(INT(Inputs!$B$35/IF(Inputs!$B$4="pvp",15,MAX(0.1,Skills!D11-IF(Skills!E11=TRUE,Inputs!$B$31,0))))+1),0)</f>
        <v/>
      </c>
      <c r="S87">
        <f>IFERROR(O87/N87,0)</f>
        <v/>
      </c>
    </row>
    <row r="88">
      <c r="A88">
        <f>Skills!A12</f>
        <v/>
      </c>
      <c r="B88">
        <f>Skills!B12</f>
        <v/>
      </c>
      <c r="C88">
        <f>Inputs!$B$3&gt;=60</f>
        <v/>
      </c>
      <c r="D88">
        <f>IF(Skills!C12=1,60+Inputs!$B$24+Inputs!$B$28,IF(Skills!C12=2,90+Inputs!$B$25+Inputs!$B$28,IF(Skills!C12=3,120+Inputs!$B$26+Inputs!$B$28,MAX(0,(Inputs!$B$3-100)*3)+Inputs!$B$27+Inputs!$B$28)))</f>
        <v/>
      </c>
      <c r="E88">
        <f>INDEX(FactorTable!$B$2:$Y$301, MATCH(ROUND(MIN(300,MAX(1,D88)),0), FactorTable!$A$2:$A$301,0), Skills!M12+1)</f>
        <v/>
      </c>
      <c r="F88">
        <f>IF(Skills!N12=TRUE,(Skills!L12/10)*(E88/1000),Skills!L12/10)+Skills!O12</f>
        <v/>
      </c>
      <c r="G88">
        <f>Skills!G12*IF(Skills!H12&gt;0,Skills!I12/Skills!H12,1)</f>
        <v/>
      </c>
      <c r="H88">
        <f>1-(1-Skills!J12/100)^Skills!K12</f>
        <v/>
      </c>
      <c r="I88" t="inlineStr">
        <is>
          <t>1</t>
        </is>
      </c>
      <c r="J88" t="inlineStr"/>
      <c r="K88" t="inlineStr"/>
      <c r="L88" t="inlineStr"/>
      <c r="M88" t="inlineStr"/>
      <c r="N88" t="inlineStr"/>
      <c r="O88" t="n">
        <v>0</v>
      </c>
      <c r="P88">
        <f>IF(B116=0,0,O88/B116)</f>
        <v/>
      </c>
      <c r="Q88" t="n">
        <v>0</v>
      </c>
      <c r="R88" t="n">
        <v>0</v>
      </c>
      <c r="S88">
        <f>IFERROR(O88/N88,0)</f>
        <v/>
      </c>
    </row>
    <row r="89">
      <c r="A89">
        <f>Skills!A13</f>
        <v/>
      </c>
      <c r="B89">
        <f>Skills!B13</f>
        <v/>
      </c>
      <c r="C89">
        <f>Inputs!$B$3&gt;=74</f>
        <v/>
      </c>
      <c r="D89">
        <f>IF(Skills!C13=1,60+Inputs!$B$24+Inputs!$B$28,IF(Skills!C13=2,90+Inputs!$B$25+Inputs!$B$28,IF(Skills!C13=3,120+Inputs!$B$26+Inputs!$B$28,MAX(0,(Inputs!$B$3-100)*3)+Inputs!$B$27+Inputs!$B$28)))</f>
        <v/>
      </c>
      <c r="E89">
        <f>INDEX(FactorTable!$B$2:$Y$301, MATCH(ROUND(MIN(300,MAX(1,D89)),0), FactorTable!$A$2:$A$301,0), Skills!M13+1)</f>
        <v/>
      </c>
      <c r="F89">
        <f>IF(Skills!N13=TRUE,(Skills!L13/10)*(E89/1000),Skills!L13/10)+Skills!O13</f>
        <v/>
      </c>
      <c r="G89">
        <f>Skills!G13*IF(Skills!H13&gt;0,Skills!I13/Skills!H13,1)</f>
        <v/>
      </c>
      <c r="H89">
        <f>1-(1-Skills!J13/100)^Skills!K13</f>
        <v/>
      </c>
      <c r="I89" t="inlineStr">
        <is>
          <t>1</t>
        </is>
      </c>
      <c r="J89" t="inlineStr"/>
      <c r="K89" t="inlineStr"/>
      <c r="L89" t="inlineStr"/>
      <c r="M89" t="inlineStr"/>
      <c r="N89" t="inlineStr"/>
      <c r="O89" t="n">
        <v>0</v>
      </c>
      <c r="P89">
        <f>IF(B116=0,0,O89/B116)</f>
        <v/>
      </c>
      <c r="Q89" t="n">
        <v>0</v>
      </c>
      <c r="R89" t="n">
        <v>0</v>
      </c>
      <c r="S89">
        <f>IFERROR(O89/N89,0)</f>
        <v/>
      </c>
    </row>
    <row r="90">
      <c r="A90">
        <f>Skills!A14</f>
        <v/>
      </c>
      <c r="B90">
        <f>Skills!B14</f>
        <v/>
      </c>
      <c r="C90">
        <f>Inputs!$B$3&gt;=74</f>
        <v/>
      </c>
      <c r="D90">
        <f>IF(Skills!C14=1,60+Inputs!$B$24+Inputs!$B$28,IF(Skills!C14=2,90+Inputs!$B$25+Inputs!$B$28,IF(Skills!C14=3,120+Inputs!$B$26+Inputs!$B$28,MAX(0,(Inputs!$B$3-100)*3)+Inputs!$B$27+Inputs!$B$28)))</f>
        <v/>
      </c>
      <c r="E90">
        <f>INDEX(FactorTable!$B$2:$Y$301, MATCH(ROUND(MIN(300,MAX(1,D90)),0), FactorTable!$A$2:$A$301,0), Skills!M14+1)</f>
        <v/>
      </c>
      <c r="F90">
        <f>IF(Skills!N14=TRUE,(Skills!L14/10)*(E90/1000),Skills!L14/10)+Skills!O14</f>
        <v/>
      </c>
      <c r="G90">
        <f>Skills!G14*IF(Skills!H14&gt;0,Skills!I14/Skills!H14,1)</f>
        <v/>
      </c>
      <c r="H90">
        <f>1-(1-Skills!J14/100)^Skills!K14</f>
        <v/>
      </c>
      <c r="I90" t="inlineStr">
        <is>
          <t>1</t>
        </is>
      </c>
      <c r="J90" t="inlineStr"/>
      <c r="K90" t="inlineStr"/>
      <c r="L90" t="inlineStr"/>
      <c r="M90" t="inlineStr"/>
      <c r="N90" t="inlineStr"/>
      <c r="O90" t="n">
        <v>0</v>
      </c>
      <c r="P90">
        <f>IF(B116=0,0,O90/B116)</f>
        <v/>
      </c>
      <c r="Q90" t="n">
        <v>0</v>
      </c>
      <c r="R90" t="n">
        <v>0</v>
      </c>
      <c r="S90">
        <f>IFERROR(O90/N90,0)</f>
        <v/>
      </c>
    </row>
    <row r="91">
      <c r="A91">
        <f>Skills!A15</f>
        <v/>
      </c>
      <c r="B91">
        <f>Skills!B15</f>
        <v/>
      </c>
      <c r="C91">
        <f>Inputs!$B$3&gt;=117</f>
        <v/>
      </c>
      <c r="D91">
        <f>IF(Skills!C15=1,60+Inputs!$B$24+Inputs!$B$28,IF(Skills!C15=2,90+Inputs!$B$25+Inputs!$B$28,IF(Skills!C15=3,120+Inputs!$B$26+Inputs!$B$28,MAX(0,(Inputs!$B$3-100)*3)+Inputs!$B$27+Inputs!$B$28)))</f>
        <v/>
      </c>
      <c r="E91">
        <f>INDEX(FactorTable!$B$2:$Y$301, MATCH(ROUND(MIN(300,MAX(1,D91)),0), FactorTable!$A$2:$A$301,0), Skills!M15+1)</f>
        <v/>
      </c>
      <c r="F91">
        <f>IF(Skills!N15=TRUE,(Skills!L15/10)*(E91/1000),Skills!L15/10)+Skills!O15</f>
        <v/>
      </c>
      <c r="G91">
        <f>Skills!G15*IF(Skills!H15&gt;0,Skills!I15/Skills!H15,1)</f>
        <v/>
      </c>
      <c r="H91">
        <f>1-(1-Skills!J15/100)^Skills!K15</f>
        <v/>
      </c>
      <c r="I91" t="inlineStr">
        <is>
          <t>1</t>
        </is>
      </c>
      <c r="J91" t="inlineStr"/>
      <c r="K91" t="inlineStr"/>
      <c r="L91" t="inlineStr"/>
      <c r="M91" t="inlineStr"/>
      <c r="N91" t="inlineStr"/>
      <c r="O91" t="n">
        <v>0</v>
      </c>
      <c r="P91">
        <f>IF(B116=0,0,O91/B116)</f>
        <v/>
      </c>
      <c r="Q91">
        <f>IFERROR(1/IF(Inputs!$B$4="pvp",15,MAX(0.1,Skills!D15-IF(Skills!E15=TRUE,Inputs!$B$31,0))),0)</f>
        <v/>
      </c>
      <c r="R91">
        <f>IF(AND(Inputs!$B$4&lt;&gt;"pvp",Inputs!$B$35&gt;0),(INT(Inputs!$B$35/IF(Inputs!$B$4="pvp",15,MAX(0.1,Skills!D15-IF(Skills!E15=TRUE,Inputs!$B$31,0))))+1),0)</f>
        <v/>
      </c>
      <c r="S91">
        <f>IFERROR(O91/N91,0)</f>
        <v/>
      </c>
    </row>
    <row r="92">
      <c r="A92">
        <f>Skills!A16</f>
        <v/>
      </c>
      <c r="B92">
        <f>Skills!B16</f>
        <v/>
      </c>
      <c r="C92">
        <f>Inputs!$B$3&gt;=115</f>
        <v/>
      </c>
      <c r="D92">
        <f>IF(Skills!C16=1,60+Inputs!$B$24+Inputs!$B$28,IF(Skills!C16=2,90+Inputs!$B$25+Inputs!$B$28,IF(Skills!C16=3,120+Inputs!$B$26+Inputs!$B$28,MAX(0,(Inputs!$B$3-100)*3)+Inputs!$B$27+Inputs!$B$28)))</f>
        <v/>
      </c>
      <c r="E92">
        <f>INDEX(FactorTable!$B$2:$Y$301, MATCH(ROUND(MIN(300,MAX(1,D92)),0), FactorTable!$A$2:$A$301,0), Skills!M16+1)</f>
        <v/>
      </c>
      <c r="F92">
        <f>IF(Skills!N16=TRUE,(Skills!L16/10)*(E92/1000),Skills!L16/10)+Skills!O16</f>
        <v/>
      </c>
      <c r="G92">
        <f>Skills!G16*IF(Skills!H16&gt;0,Skills!I16/Skills!H16,1)</f>
        <v/>
      </c>
      <c r="H92">
        <f>1-(1-Skills!J16/100)^Skills!K16</f>
        <v/>
      </c>
      <c r="I92" t="inlineStr">
        <is>
          <t>1</t>
        </is>
      </c>
      <c r="J92" t="inlineStr"/>
      <c r="K92" t="inlineStr"/>
      <c r="L92" t="inlineStr"/>
      <c r="M92" t="inlineStr"/>
      <c r="N92" t="inlineStr"/>
      <c r="O92" t="n">
        <v>0</v>
      </c>
      <c r="P92">
        <f>IF(B116=0,0,O92/B116)</f>
        <v/>
      </c>
      <c r="Q92">
        <f>IFERROR(1/IF(Inputs!$B$4="pvp",15,MAX(0.1,Skills!D16-IF(Skills!E16=TRUE,Inputs!$B$31,0))),0)</f>
        <v/>
      </c>
      <c r="R92">
        <f>IF(AND(Inputs!$B$4&lt;&gt;"pvp",Inputs!$B$35&gt;0),(INT(Inputs!$B$35/IF(Inputs!$B$4="pvp",15,MAX(0.1,Skills!D16-IF(Skills!E16=TRUE,Inputs!$B$31,0))))+1),0)</f>
        <v/>
      </c>
      <c r="S92">
        <f>IFERROR(O92/N92,0)</f>
        <v/>
      </c>
    </row>
    <row r="93">
      <c r="A93">
        <f>Skills!A17</f>
        <v/>
      </c>
      <c r="B93">
        <f>Skills!B17</f>
        <v/>
      </c>
      <c r="C93">
        <f>Inputs!$B$3&gt;=72</f>
        <v/>
      </c>
      <c r="D93">
        <f>IF(Skills!C17=1,60+Inputs!$B$24+Inputs!$B$28,IF(Skills!C17=2,90+Inputs!$B$25+Inputs!$B$28,IF(Skills!C17=3,120+Inputs!$B$26+Inputs!$B$28,MAX(0,(Inputs!$B$3-100)*3)+Inputs!$B$27+Inputs!$B$28)))</f>
        <v/>
      </c>
      <c r="E93">
        <f>INDEX(FactorTable!$B$2:$Y$301, MATCH(ROUND(MIN(300,MAX(1,D93)),0), FactorTable!$A$2:$A$301,0), Skills!M17+1)</f>
        <v/>
      </c>
      <c r="F93">
        <f>IF(Skills!N17=TRUE,(Skills!L17/10)*(E93/1000),Skills!L17/10)+Skills!O17</f>
        <v/>
      </c>
      <c r="G93">
        <f>Skills!G17*IF(Skills!H17&gt;0,Skills!I17/Skills!H17,1)</f>
        <v/>
      </c>
      <c r="H93">
        <f>1-(1-Skills!J17/100)^Skills!K17</f>
        <v/>
      </c>
      <c r="I93" t="inlineStr">
        <is>
          <t>1</t>
        </is>
      </c>
      <c r="J93" t="inlineStr"/>
      <c r="K93" t="inlineStr"/>
      <c r="L93" t="inlineStr"/>
      <c r="M93" t="inlineStr"/>
      <c r="N93" t="inlineStr"/>
      <c r="O93" t="n">
        <v>0</v>
      </c>
      <c r="P93">
        <f>IF(B116=0,0,O93/B116)</f>
        <v/>
      </c>
      <c r="Q93" t="n">
        <v>0</v>
      </c>
      <c r="R93" t="n">
        <v>0</v>
      </c>
      <c r="S93">
        <f>IFERROR(O93/N93,0)</f>
        <v/>
      </c>
    </row>
    <row r="94">
      <c r="A94">
        <f>Skills!A18</f>
        <v/>
      </c>
      <c r="B94">
        <f>Skills!B18</f>
        <v/>
      </c>
      <c r="C94">
        <f>TRUE</f>
        <v/>
      </c>
      <c r="D94">
        <f>IF(Skills!C18=1,60+Inputs!$B$24+Inputs!$B$28,IF(Skills!C18=2,90+Inputs!$B$25+Inputs!$B$28,IF(Skills!C18=3,120+Inputs!$B$26+Inputs!$B$28,MAX(0,(Inputs!$B$3-100)*3)+Inputs!$B$27+Inputs!$B$28)))</f>
        <v/>
      </c>
      <c r="E94">
        <f>INDEX(FactorTable!$B$2:$Y$301, MATCH(ROUND(MIN(300,MAX(1,D94)),0), FactorTable!$A$2:$A$301,0), Skills!M18+1)</f>
        <v/>
      </c>
      <c r="F94">
        <f>IF(Skills!N18=TRUE,(Skills!L18/10)*(E94/1000),Skills!L18/10)+Skills!O18</f>
        <v/>
      </c>
      <c r="G94">
        <f>Skills!G18*IF(Skills!H18&gt;0,Skills!I18/Skills!H18,1)</f>
        <v/>
      </c>
      <c r="H94">
        <f>1-(1-Skills!J18/100)^Skills!K18</f>
        <v/>
      </c>
      <c r="I94" t="inlineStr">
        <is>
          <t>1</t>
        </is>
      </c>
      <c r="J94" t="inlineStr"/>
      <c r="K94" t="inlineStr"/>
      <c r="L94" t="inlineStr"/>
      <c r="M94" t="inlineStr"/>
      <c r="N94" t="inlineStr"/>
      <c r="O94" t="n">
        <v>0</v>
      </c>
      <c r="P94">
        <f>IF(B116=0,0,O94/B116)</f>
        <v/>
      </c>
      <c r="Q94">
        <f>IFERROR(1/IF(Inputs!$B$4="pvp",15,MAX(0.1,Skills!D18-IF(Skills!E18=TRUE,Inputs!$B$31,0))),0)</f>
        <v/>
      </c>
      <c r="R94">
        <f>IF(AND(Inputs!$B$4&lt;&gt;"pvp",Inputs!$B$35&gt;0),(INT(Inputs!$B$35/IF(Inputs!$B$4="pvp",15,MAX(0.1,Skills!D18-IF(Skills!E18=TRUE,Inputs!$B$31,0))))+1),0)</f>
        <v/>
      </c>
      <c r="S94">
        <f>IFERROR(O94/N94,0)</f>
        <v/>
      </c>
    </row>
    <row r="95">
      <c r="A95">
        <f>Skills!A19</f>
        <v/>
      </c>
      <c r="B95">
        <f>Skills!B19</f>
        <v/>
      </c>
      <c r="C95">
        <f>Inputs!$B$3&gt;=15</f>
        <v/>
      </c>
      <c r="D95">
        <f>IF(Skills!C19=1,60+Inputs!$B$24+Inputs!$B$28,IF(Skills!C19=2,90+Inputs!$B$25+Inputs!$B$28,IF(Skills!C19=3,120+Inputs!$B$26+Inputs!$B$28,MAX(0,(Inputs!$B$3-100)*3)+Inputs!$B$27+Inputs!$B$28)))</f>
        <v/>
      </c>
      <c r="E95">
        <f>INDEX(FactorTable!$B$2:$Y$301, MATCH(ROUND(MIN(300,MAX(1,D95)),0), FactorTable!$A$2:$A$301,0), Skills!M19+1)</f>
        <v/>
      </c>
      <c r="F95">
        <f>IF(Skills!N19=TRUE,(Skills!L19/10)*(E95/1000),Skills!L19/10)+Skills!O19</f>
        <v/>
      </c>
      <c r="G95">
        <f>Skills!G19*IF(Skills!H19&gt;0,Skills!I19/Skills!H19,1)</f>
        <v/>
      </c>
      <c r="H95">
        <f>1-(1-Skills!J19/100)^Skills!K19</f>
        <v/>
      </c>
      <c r="I95" t="inlineStr">
        <is>
          <t>1</t>
        </is>
      </c>
      <c r="J95" t="inlineStr"/>
      <c r="K95" t="inlineStr"/>
      <c r="L95" t="inlineStr"/>
      <c r="M95" t="inlineStr"/>
      <c r="N95" t="inlineStr"/>
      <c r="O95" t="n">
        <v>0</v>
      </c>
      <c r="P95">
        <f>IF(B116=0,0,O95/B116)</f>
        <v/>
      </c>
      <c r="Q95" t="n">
        <v>0</v>
      </c>
      <c r="R95" t="n">
        <v>0</v>
      </c>
      <c r="S95">
        <f>IFERROR(O95/N95,0)</f>
        <v/>
      </c>
    </row>
    <row r="96">
      <c r="A96">
        <f>Skills!A20</f>
        <v/>
      </c>
      <c r="B96">
        <f>Skills!B20</f>
        <v/>
      </c>
      <c r="C96">
        <f>Inputs!$B$3&gt;=10</f>
        <v/>
      </c>
      <c r="D96">
        <f>IF(Skills!C20=1,60+Inputs!$B$24+Inputs!$B$28,IF(Skills!C20=2,90+Inputs!$B$25+Inputs!$B$28,IF(Skills!C20=3,120+Inputs!$B$26+Inputs!$B$28,MAX(0,(Inputs!$B$3-100)*3)+Inputs!$B$27+Inputs!$B$28)))</f>
        <v/>
      </c>
      <c r="E96">
        <f>INDEX(FactorTable!$B$2:$Y$301, MATCH(ROUND(MIN(300,MAX(1,D96)),0), FactorTable!$A$2:$A$301,0), Skills!M20+1)</f>
        <v/>
      </c>
      <c r="F96">
        <f>IF(Skills!N20=TRUE,(Skills!L20/10)*(E96/1000),Skills!L20/10)+Skills!O20</f>
        <v/>
      </c>
      <c r="G96">
        <f>Skills!G20*IF(Skills!H20&gt;0,Skills!I20/Skills!H20,1)</f>
        <v/>
      </c>
      <c r="H96">
        <f>1-(1-Skills!J20/100)^Skills!K20</f>
        <v/>
      </c>
      <c r="I96" t="inlineStr">
        <is>
          <t>1</t>
        </is>
      </c>
      <c r="J96" t="inlineStr"/>
      <c r="K96" t="inlineStr"/>
      <c r="L96" t="inlineStr"/>
      <c r="M96" t="inlineStr"/>
      <c r="N96" t="inlineStr"/>
      <c r="O96" t="n">
        <v>0</v>
      </c>
      <c r="P96">
        <f>IF(B116=0,0,O96/B116)</f>
        <v/>
      </c>
      <c r="Q96" t="n">
        <v>0</v>
      </c>
      <c r="R96" t="n">
        <v>0</v>
      </c>
      <c r="S96">
        <f>IFERROR(O96/N96,0)</f>
        <v/>
      </c>
    </row>
    <row r="97">
      <c r="A97">
        <f>Skills!A21</f>
        <v/>
      </c>
      <c r="B97">
        <f>Skills!B21</f>
        <v/>
      </c>
      <c r="C97">
        <f>Inputs!$B$3&gt;=33</f>
        <v/>
      </c>
      <c r="D97">
        <f>IF(Skills!C21=1,60+Inputs!$B$24+Inputs!$B$28,IF(Skills!C21=2,90+Inputs!$B$25+Inputs!$B$28,IF(Skills!C21=3,120+Inputs!$B$26+Inputs!$B$28,MAX(0,(Inputs!$B$3-100)*3)+Inputs!$B$27+Inputs!$B$28)))</f>
        <v/>
      </c>
      <c r="E97">
        <f>INDEX(FactorTable!$B$2:$Y$301, MATCH(ROUND(MIN(300,MAX(1,D97)),0), FactorTable!$A$2:$A$301,0), Skills!M21+1)</f>
        <v/>
      </c>
      <c r="F97">
        <f>IF(Skills!N21=TRUE,(Skills!L21/10)*(E97/1000),Skills!L21/10)+Skills!O21</f>
        <v/>
      </c>
      <c r="G97">
        <f>Skills!G21*IF(Skills!H21&gt;0,Skills!I21/Skills!H21,1)</f>
        <v/>
      </c>
      <c r="H97">
        <f>1-(1-Skills!J21/100)^Skills!K21</f>
        <v/>
      </c>
      <c r="I97" t="inlineStr">
        <is>
          <t>1</t>
        </is>
      </c>
      <c r="J97" t="inlineStr"/>
      <c r="K97" t="inlineStr"/>
      <c r="L97" t="inlineStr"/>
      <c r="M97" t="inlineStr"/>
      <c r="N97" t="inlineStr"/>
      <c r="O97" t="n">
        <v>0</v>
      </c>
      <c r="P97">
        <f>IF(B116=0,0,O97/B116)</f>
        <v/>
      </c>
      <c r="Q97" t="n">
        <v>0</v>
      </c>
      <c r="R97" t="n">
        <v>0</v>
      </c>
      <c r="S97">
        <f>IFERROR(O97/N97,0)</f>
        <v/>
      </c>
    </row>
    <row r="98">
      <c r="A98">
        <f>Skills!A22</f>
        <v/>
      </c>
      <c r="B98">
        <f>Skills!B22</f>
        <v/>
      </c>
      <c r="C98">
        <f>Inputs!$B$3&gt;=38</f>
        <v/>
      </c>
      <c r="D98">
        <f>IF(Skills!C22=1,60+Inputs!$B$24+Inputs!$B$28,IF(Skills!C22=2,90+Inputs!$B$25+Inputs!$B$28,IF(Skills!C22=3,120+Inputs!$B$26+Inputs!$B$28,MAX(0,(Inputs!$B$3-100)*3)+Inputs!$B$27+Inputs!$B$28)))</f>
        <v/>
      </c>
      <c r="E98">
        <f>INDEX(FactorTable!$B$2:$Y$301, MATCH(ROUND(MIN(300,MAX(1,D98)),0), FactorTable!$A$2:$A$301,0), Skills!M22+1)</f>
        <v/>
      </c>
      <c r="F98">
        <f>IF(Skills!N22=TRUE,(Skills!L22/10)*(E98/1000),Skills!L22/10)+Skills!O22</f>
        <v/>
      </c>
      <c r="G98">
        <f>Skills!G22*IF(Skills!H22&gt;0,Skills!I22/Skills!H22,1)</f>
        <v/>
      </c>
      <c r="H98">
        <f>1-(1-Skills!J22/100)^Skills!K22</f>
        <v/>
      </c>
      <c r="I98" t="inlineStr">
        <is>
          <t>1</t>
        </is>
      </c>
      <c r="J98" t="inlineStr"/>
      <c r="K98" t="inlineStr"/>
      <c r="L98" t="inlineStr"/>
      <c r="M98" t="inlineStr"/>
      <c r="N98" t="inlineStr"/>
      <c r="O98" t="n">
        <v>0</v>
      </c>
      <c r="P98">
        <f>IF(B116=0,0,O98/B116)</f>
        <v/>
      </c>
      <c r="Q98" t="n">
        <v>0</v>
      </c>
      <c r="R98" t="n">
        <v>0</v>
      </c>
      <c r="S98">
        <f>IFERROR(O98/N98,0)</f>
        <v/>
      </c>
    </row>
    <row r="99">
      <c r="A99">
        <f>Skills!A23</f>
        <v/>
      </c>
      <c r="B99">
        <f>Skills!B23</f>
        <v/>
      </c>
      <c r="C99">
        <f>Inputs!$B$3&gt;=43</f>
        <v/>
      </c>
      <c r="D99">
        <f>IF(Skills!C23=1,60+Inputs!$B$24+Inputs!$B$28,IF(Skills!C23=2,90+Inputs!$B$25+Inputs!$B$28,IF(Skills!C23=3,120+Inputs!$B$26+Inputs!$B$28,MAX(0,(Inputs!$B$3-100)*3)+Inputs!$B$27+Inputs!$B$28)))</f>
        <v/>
      </c>
      <c r="E99">
        <f>INDEX(FactorTable!$B$2:$Y$301, MATCH(ROUND(MIN(300,MAX(1,D99)),0), FactorTable!$A$2:$A$301,0), Skills!M23+1)</f>
        <v/>
      </c>
      <c r="F99">
        <f>IF(Skills!N23=TRUE,(Skills!L23/10)*(E99/1000),Skills!L23/10)+Skills!O23</f>
        <v/>
      </c>
      <c r="G99">
        <f>Skills!G23*IF(Skills!H23&gt;0,Skills!I23/Skills!H23,1)</f>
        <v/>
      </c>
      <c r="H99">
        <f>1-(1-Skills!J23/100)^Skills!K23</f>
        <v/>
      </c>
      <c r="I99" t="inlineStr">
        <is>
          <t>1</t>
        </is>
      </c>
      <c r="J99" t="inlineStr"/>
      <c r="K99" t="inlineStr"/>
      <c r="L99" t="inlineStr"/>
      <c r="M99" t="inlineStr"/>
      <c r="N99" t="inlineStr"/>
      <c r="O99" t="n">
        <v>0</v>
      </c>
      <c r="P99">
        <f>IF(B116=0,0,O99/B116)</f>
        <v/>
      </c>
      <c r="Q99" t="n">
        <v>0</v>
      </c>
      <c r="R99" t="n">
        <v>0</v>
      </c>
      <c r="S99">
        <f>IFERROR(O99/N99,0)</f>
        <v/>
      </c>
    </row>
    <row r="100">
      <c r="A100">
        <f>Skills!A24</f>
        <v/>
      </c>
      <c r="B100">
        <f>Skills!B24</f>
        <v/>
      </c>
      <c r="C100">
        <f>Inputs!$B$3&gt;=75</f>
        <v/>
      </c>
      <c r="D100">
        <f>IF(Skills!C24=1,60+Inputs!$B$24+Inputs!$B$28,IF(Skills!C24=2,90+Inputs!$B$25+Inputs!$B$28,IF(Skills!C24=3,120+Inputs!$B$26+Inputs!$B$28,MAX(0,(Inputs!$B$3-100)*3)+Inputs!$B$27+Inputs!$B$28)))</f>
        <v/>
      </c>
      <c r="E100">
        <f>INDEX(FactorTable!$B$2:$Y$301, MATCH(ROUND(MIN(300,MAX(1,D100)),0), FactorTable!$A$2:$A$301,0), Skills!M24+1)</f>
        <v/>
      </c>
      <c r="F100">
        <f>IF(Skills!N24=TRUE,(Skills!L24/10)*(E100/1000),Skills!L24/10)+Skills!O24</f>
        <v/>
      </c>
      <c r="G100">
        <f>Skills!G24*IF(Skills!H24&gt;0,Skills!I24/Skills!H24,1)</f>
        <v/>
      </c>
      <c r="H100">
        <f>1-(1-Skills!J24/100)^Skills!K24</f>
        <v/>
      </c>
      <c r="I100" t="inlineStr">
        <is>
          <t>1</t>
        </is>
      </c>
      <c r="J100" t="inlineStr"/>
      <c r="K100" t="inlineStr"/>
      <c r="L100" t="inlineStr"/>
      <c r="M100" t="inlineStr"/>
      <c r="N100" t="inlineStr"/>
      <c r="O100" t="n">
        <v>0</v>
      </c>
      <c r="P100">
        <f>IF(B116=0,0,O100/B116)</f>
        <v/>
      </c>
      <c r="Q100" t="n">
        <v>0</v>
      </c>
      <c r="R100" t="n">
        <v>0</v>
      </c>
      <c r="S100">
        <f>IFERROR(O100/N100,0)</f>
        <v/>
      </c>
    </row>
    <row r="101">
      <c r="A101">
        <f>Skills!A25</f>
        <v/>
      </c>
      <c r="B101">
        <f>Skills!B25</f>
        <v/>
      </c>
      <c r="C101">
        <f>Inputs!$B$3&gt;=125</f>
        <v/>
      </c>
      <c r="D101">
        <f>IF(Skills!C25=1,60+Inputs!$B$24+Inputs!$B$28,IF(Skills!C25=2,90+Inputs!$B$25+Inputs!$B$28,IF(Skills!C25=3,120+Inputs!$B$26+Inputs!$B$28,MAX(0,(Inputs!$B$3-100)*3)+Inputs!$B$27+Inputs!$B$28)))</f>
        <v/>
      </c>
      <c r="E101">
        <f>INDEX(FactorTable!$B$2:$Y$301, MATCH(ROUND(MIN(300,MAX(1,D101)),0), FactorTable!$A$2:$A$301,0), Skills!M25+1)</f>
        <v/>
      </c>
      <c r="F101">
        <f>IF(Skills!N25=TRUE,(Skills!L25/10)*(E101/1000),Skills!L25/10)+Skills!O25</f>
        <v/>
      </c>
      <c r="G101">
        <f>Skills!G25*IF(Skills!H25&gt;0,Skills!I25/Skills!H25,1)</f>
        <v/>
      </c>
      <c r="H101">
        <f>1-(1-Skills!J25/100)^Skills!K25</f>
        <v/>
      </c>
      <c r="I101" t="inlineStr">
        <is>
          <t>1</t>
        </is>
      </c>
      <c r="J101" t="inlineStr"/>
      <c r="K101" t="inlineStr"/>
      <c r="L101" t="inlineStr"/>
      <c r="M101" t="inlineStr"/>
      <c r="N101" t="inlineStr"/>
      <c r="O101" t="n">
        <v>0</v>
      </c>
      <c r="P101">
        <f>IF(B116=0,0,O101/B116)</f>
        <v/>
      </c>
      <c r="Q101" t="n">
        <v>0</v>
      </c>
      <c r="R101" t="n">
        <v>0</v>
      </c>
      <c r="S101">
        <f>IFERROR(O101/N101,0)</f>
        <v/>
      </c>
    </row>
    <row r="102">
      <c r="A102">
        <f>Skills!A26</f>
        <v/>
      </c>
      <c r="B102">
        <f>Skills!B26</f>
        <v/>
      </c>
      <c r="C102">
        <f>Inputs!$B$3&gt;=125</f>
        <v/>
      </c>
      <c r="D102">
        <f>IF(Skills!C26=1,60+Inputs!$B$24+Inputs!$B$28,IF(Skills!C26=2,90+Inputs!$B$25+Inputs!$B$28,IF(Skills!C26=3,120+Inputs!$B$26+Inputs!$B$28,MAX(0,(Inputs!$B$3-100)*3)+Inputs!$B$27+Inputs!$B$28)))</f>
        <v/>
      </c>
      <c r="E102">
        <f>INDEX(FactorTable!$B$2:$Y$301, MATCH(ROUND(MIN(300,MAX(1,D102)),0), FactorTable!$A$2:$A$301,0), Skills!M26+1)</f>
        <v/>
      </c>
      <c r="F102">
        <f>IF(Skills!N26=TRUE,(Skills!L26/10)*(E102/1000),Skills!L26/10)+Skills!O26</f>
        <v/>
      </c>
      <c r="G102">
        <f>Skills!G26*IF(Skills!H26&gt;0,Skills!I26/Skills!H26,1)</f>
        <v/>
      </c>
      <c r="H102">
        <f>1-(1-Skills!J26/100)^Skills!K26</f>
        <v/>
      </c>
      <c r="I102" t="inlineStr">
        <is>
          <t>1</t>
        </is>
      </c>
      <c r="J102" t="inlineStr"/>
      <c r="K102" t="inlineStr"/>
      <c r="L102" t="inlineStr"/>
      <c r="M102" t="inlineStr"/>
      <c r="N102" t="inlineStr"/>
      <c r="O102" t="n">
        <v>0</v>
      </c>
      <c r="P102">
        <f>IF(B116=0,0,O102/B116)</f>
        <v/>
      </c>
      <c r="Q102" t="n">
        <v>0</v>
      </c>
      <c r="R102" t="n">
        <v>0</v>
      </c>
      <c r="S102">
        <f>IFERROR(O102/N102,0)</f>
        <v/>
      </c>
    </row>
    <row r="103">
      <c r="A103">
        <f>Skills!A27</f>
        <v/>
      </c>
      <c r="B103">
        <f>Skills!B27</f>
        <v/>
      </c>
      <c r="C103">
        <f>Inputs!$B$3&gt;=120</f>
        <v/>
      </c>
      <c r="D103">
        <f>IF(Skills!C27=1,60+Inputs!$B$24+Inputs!$B$28,IF(Skills!C27=2,90+Inputs!$B$25+Inputs!$B$28,IF(Skills!C27=3,120+Inputs!$B$26+Inputs!$B$28,MAX(0,(Inputs!$B$3-100)*3)+Inputs!$B$27+Inputs!$B$28)))</f>
        <v/>
      </c>
      <c r="E103">
        <f>INDEX(FactorTable!$B$2:$Y$301, MATCH(ROUND(MIN(300,MAX(1,D103)),0), FactorTable!$A$2:$A$301,0), Skills!M27+1)</f>
        <v/>
      </c>
      <c r="F103">
        <f>IF(Skills!N27=TRUE,(Skills!L27/10)*(E103/1000),Skills!L27/10)+Skills!O27</f>
        <v/>
      </c>
      <c r="G103">
        <f>Skills!G27*IF(Skills!H27&gt;0,Skills!I27/Skills!H27,1)</f>
        <v/>
      </c>
      <c r="H103">
        <f>1-(1-Skills!J27/100)^Skills!K27</f>
        <v/>
      </c>
      <c r="I103" t="inlineStr">
        <is>
          <t>1</t>
        </is>
      </c>
      <c r="J103" t="inlineStr"/>
      <c r="K103" t="inlineStr"/>
      <c r="L103" t="inlineStr"/>
      <c r="M103" t="inlineStr"/>
      <c r="N103" t="inlineStr"/>
      <c r="O103" t="n">
        <v>0</v>
      </c>
      <c r="P103">
        <f>IF(B116=0,0,O103/B116)</f>
        <v/>
      </c>
      <c r="Q103" t="n">
        <v>0</v>
      </c>
      <c r="R103" t="n">
        <v>0</v>
      </c>
      <c r="S103">
        <f>IFERROR(O103/N103,0)</f>
        <v/>
      </c>
    </row>
    <row r="104">
      <c r="A104">
        <f>Skills!A28</f>
        <v/>
      </c>
      <c r="B104">
        <f>Skills!B28</f>
        <v/>
      </c>
      <c r="C104">
        <f>Inputs!$B$3&gt;=120</f>
        <v/>
      </c>
      <c r="D104">
        <f>IF(Skills!C28=1,60+Inputs!$B$24+Inputs!$B$28,IF(Skills!C28=2,90+Inputs!$B$25+Inputs!$B$28,IF(Skills!C28=3,120+Inputs!$B$26+Inputs!$B$28,MAX(0,(Inputs!$B$3-100)*3)+Inputs!$B$27+Inputs!$B$28)))</f>
        <v/>
      </c>
      <c r="E104">
        <f>INDEX(FactorTable!$B$2:$Y$301, MATCH(ROUND(MIN(300,MAX(1,D104)),0), FactorTable!$A$2:$A$301,0), Skills!M28+1)</f>
        <v/>
      </c>
      <c r="F104">
        <f>IF(Skills!N28=TRUE,(Skills!L28/10)*(E104/1000),Skills!L28/10)+Skills!O28</f>
        <v/>
      </c>
      <c r="G104">
        <f>Skills!G28*IF(Skills!H28&gt;0,Skills!I28/Skills!H28,1)</f>
        <v/>
      </c>
      <c r="H104">
        <f>1-(1-Skills!J28/100)^Skills!K28</f>
        <v/>
      </c>
      <c r="I104" t="inlineStr">
        <is>
          <t>1</t>
        </is>
      </c>
      <c r="J104" t="inlineStr"/>
      <c r="K104" t="inlineStr"/>
      <c r="L104" t="inlineStr"/>
      <c r="M104" t="inlineStr"/>
      <c r="N104" t="inlineStr"/>
      <c r="O104" t="n">
        <v>0</v>
      </c>
      <c r="P104">
        <f>IF(B116=0,0,O104/B116)</f>
        <v/>
      </c>
      <c r="Q104" t="n">
        <v>0</v>
      </c>
      <c r="R104" t="n">
        <v>0</v>
      </c>
      <c r="S104">
        <f>IFERROR(O104/N104,0)</f>
        <v/>
      </c>
    </row>
    <row r="105">
      <c r="A105">
        <f>Skills!A29</f>
        <v/>
      </c>
      <c r="B105">
        <f>Skills!B29</f>
        <v/>
      </c>
      <c r="C105">
        <f>Inputs!$B$3&gt;=45</f>
        <v/>
      </c>
      <c r="D105">
        <f>IF(Skills!C29=1,60+Inputs!$B$24+Inputs!$B$28,IF(Skills!C29=2,90+Inputs!$B$25+Inputs!$B$28,IF(Skills!C29=3,120+Inputs!$B$26+Inputs!$B$28,MAX(0,(Inputs!$B$3-100)*3)+Inputs!$B$27+Inputs!$B$28)))</f>
        <v/>
      </c>
      <c r="E105">
        <f>INDEX(FactorTable!$B$2:$Y$301, MATCH(ROUND(MIN(300,MAX(1,D105)),0), FactorTable!$A$2:$A$301,0), Skills!M29+1)</f>
        <v/>
      </c>
      <c r="F105">
        <f>IF(Skills!N29=TRUE,(Skills!L29/10)*(E105/1000),Skills!L29/10)+Skills!O29</f>
        <v/>
      </c>
      <c r="G105">
        <f>Skills!G29*IF(Skills!H29&gt;0,Skills!I29/Skills!H29,1)</f>
        <v/>
      </c>
      <c r="H105">
        <f>1-(1-Skills!J29/100)^Skills!K29</f>
        <v/>
      </c>
      <c r="I105" t="inlineStr">
        <is>
          <t>1</t>
        </is>
      </c>
      <c r="J105" t="inlineStr"/>
      <c r="K105" t="inlineStr"/>
      <c r="L105" t="inlineStr"/>
      <c r="M105" t="inlineStr"/>
      <c r="N105" t="inlineStr"/>
      <c r="O105" t="n">
        <v>0</v>
      </c>
      <c r="P105">
        <f>IF(B116=0,0,O105/B116)</f>
        <v/>
      </c>
      <c r="Q105" t="n">
        <v>0</v>
      </c>
      <c r="R105" t="n">
        <v>0</v>
      </c>
      <c r="S105">
        <f>IFERROR(O105/N105,0)</f>
        <v/>
      </c>
    </row>
    <row r="107">
      <c r="A107" t="inlineStr">
        <is>
          <t>Attack% Bucket Multiplier</t>
        </is>
      </c>
      <c r="B107">
        <f>(1+(((C89=TRUE)*F89)+((C90=TRUE)*IF(Inputs!$B$4="pvp",F90,(1-Summary!$B$55)*(F90)+Summary!$B$55*(0)))+((C91=TRUE)*F91*IF(AND(Inputs!$B$4&lt;&gt;"pvp",Inputs!$B$35&gt;0),(((S91-1)*(Skills!T15*(1+Inputs!$B$33/100))+MIN((Skills!T15*(1+Inputs!$B$33/100)),MAX(0,Inputs!$B$35-((S91-1)*Skills!D15))))/Inputs!$B$35),IF(Inputs!$B$4="pvp",MIN((Skills!T15*(1+Inputs!$B$33/100)),15)/15,(Skills!T15*(1+Inputs!$B$33/100))/Skills!D15)))+((C88=TRUE)*F88)+((C105=TRUE)*(F105-Calc!F29)))/100)</f>
        <v/>
      </c>
    </row>
    <row r="108">
      <c r="A108" t="inlineStr">
        <is>
          <t>Global Crit Rate Bonus %</t>
        </is>
      </c>
      <c r="B108">
        <f>(C92=TRUE)*20*IF(AND(Inputs!$B$4&lt;&gt;"pvp",Inputs!$B$35&gt;0),(((S92-1)*(Skills!T16*(1+Inputs!$B$33/100))+MIN((Skills!T16*(1+Inputs!$B$33/100)),MAX(0,Inputs!$B$35-((S92-1)*Skills!D16))))/Inputs!$B$35),IF(Inputs!$B$4="pvp",MIN((Skills!T16*(1+Inputs!$B$33/100)),15)/15,(Skills!T16*(1+Inputs!$B$33/100))/Skills!D16))</f>
        <v/>
      </c>
    </row>
    <row r="109">
      <c r="A109" t="inlineStr">
        <is>
          <t>Attack Speed Buff Bonus %</t>
        </is>
      </c>
      <c r="B109">
        <f>((C94=TRUE)*F94*IF(AND(Inputs!$B$4&lt;&gt;"pvp",Inputs!$B$35&gt;0),(((S94-1)*(Skills!T18*(1+Inputs!$B$33/100))+MIN((Skills!T18*(1+Inputs!$B$33/100)),MAX(0,Inputs!$B$35-((S94-1)*Skills!D18))))/Inputs!$B$35),IF(Inputs!$B$4="pvp",MIN((Skills!T18*(1+Inputs!$B$33/100)),15)/15,(Skills!T18*(1+Inputs!$B$33/100))/Skills!D18)))</f>
        <v/>
      </c>
    </row>
    <row r="110">
      <c r="A110" t="inlineStr">
        <is>
          <t>Actions Per Second</t>
        </is>
      </c>
      <c r="B110">
        <f>1+MIN(150,150*(1-(1-(Inputs!$B$10+((C96=TRUE)*(F96-Calc!F20))+((C97=TRUE)*(F97-Calc!F21)))/150)*(1-B109/150)))/100</f>
        <v/>
      </c>
    </row>
    <row r="111">
      <c r="A111" t="inlineStr">
        <is>
          <t>Skill + Buff Cast Rate</t>
        </is>
      </c>
      <c r="B111">
        <f>IF(AND(Inputs!$B$4&lt;&gt;"pvp",Inputs!$B$35&gt;0),SUMPRODUCT((Skills!E2:E29=TRUE)*(C78:C105=TRUE)*R78:R105*Skills!F2:F29)/Inputs!$B$35,SUMPRODUCT((Skills!E2:E29=TRUE)*(C78:C105=TRUE)*Q78:Q105*Skills!F2:F29))</f>
        <v/>
      </c>
    </row>
    <row r="112">
      <c r="A112" t="inlineStr">
        <is>
          <t>Empowered Piercing Arrow Casts Per Second</t>
        </is>
      </c>
      <c r="B112">
        <f>MAX(0,B110-B111)</f>
        <v/>
      </c>
    </row>
    <row r="113">
      <c r="A113" t="inlineStr">
        <is>
          <t>Global Critical Damage Bonus % (Sharp Eyes)</t>
        </is>
      </c>
      <c r="B113">
        <f>(C92=TRUE)*F92*IF(AND(Inputs!$B$4&lt;&gt;"pvp",Inputs!$B$35&gt;0),(((S92-1)*(Skills!T16*(1+Inputs!$B$33/100))+MIN((Skills!T16*(1+Inputs!$B$33/100)),MAX(0,Inputs!$B$35-((S92-1)*Skills!D16))))/Inputs!$B$35),IF(Inputs!$B$4="pvp",MIN((Skills!T16*(1+Inputs!$B$33/100)),15)/15,(Skills!T16*(1+Inputs!$B$33/100))/Skills!D16))</f>
        <v/>
      </c>
    </row>
    <row r="114">
      <c r="A114" t="inlineStr">
        <is>
          <t>Global Final Damage Bonus % (Mortal Blow + Last Man Standing conditional half)</t>
        </is>
      </c>
      <c r="B114">
        <f>(C93=TRUE)*F93+((C102=TRUE)*IF(Inputs!$B$4="pvp",F102,(1-Summary!$B$55)*(F102)+Summary!$B$55*(0)))</f>
        <v/>
      </c>
    </row>
    <row r="116">
      <c r="A116" s="5" t="inlineStr">
        <is>
          <t>TOTAL DPS</t>
        </is>
      </c>
      <c r="B116" s="5">
        <f>SUM(O78:O105)</f>
        <v/>
      </c>
    </row>
    <row r="119">
      <c r="A119" s="5" t="inlineStr">
        <is>
          <t>Stat: STR</t>
        </is>
      </c>
    </row>
    <row r="120">
      <c r="A120" s="8" t="inlineStr">
        <is>
          <t>Key</t>
        </is>
      </c>
      <c r="B120" s="8" t="inlineStr">
        <is>
          <t>Name</t>
        </is>
      </c>
      <c r="C120" s="8" t="inlineStr">
        <is>
          <t>Unlocked</t>
        </is>
      </c>
      <c r="D120" s="8" t="inlineStr">
        <is>
          <t>InputLevel</t>
        </is>
      </c>
      <c r="E120" s="8" t="inlineStr">
        <is>
          <t>Factor</t>
        </is>
      </c>
      <c r="F120" s="8" t="inlineStr">
        <is>
          <t>CoefficientPercent</t>
        </is>
      </c>
      <c r="G120" s="8" t="inlineStr">
        <is>
          <t>EffectiveHits</t>
        </is>
      </c>
      <c r="H120" s="8" t="inlineStr">
        <is>
          <t>ProcProbability</t>
        </is>
      </c>
      <c r="I120" s="8" t="inlineStr">
        <is>
          <t>MapleHeroMultiplier</t>
        </is>
      </c>
      <c r="J120" s="8" t="inlineStr">
        <is>
          <t>BaseDamage</t>
        </is>
      </c>
      <c r="K120" s="8" t="inlineStr">
        <is>
          <t>BaseHitDamage</t>
        </is>
      </c>
      <c r="L120" s="8" t="inlineStr">
        <is>
          <t>NonCritAvg</t>
        </is>
      </c>
      <c r="M120" s="8" t="inlineStr">
        <is>
          <t>CritAvg</t>
        </is>
      </c>
      <c r="N120" s="8" t="inlineStr">
        <is>
          <t>ExpectedDamage(perHit)</t>
        </is>
      </c>
      <c r="O120" s="8" t="inlineStr">
        <is>
          <t>DPS</t>
        </is>
      </c>
      <c r="P120" s="8" t="inlineStr">
        <is>
          <t>% of Total</t>
        </is>
      </c>
      <c r="Q120" s="8" t="inlineStr">
        <is>
          <t>InvCooldown</t>
        </is>
      </c>
      <c r="R120" s="8" t="inlineStr">
        <is>
          <t>CastsInFight</t>
        </is>
      </c>
      <c r="S120" s="8" t="inlineStr">
        <is>
          <t>HitRate(perSec)</t>
        </is>
      </c>
      <c r="U120" t="inlineStr">
        <is>
          <t>helpers</t>
        </is>
      </c>
    </row>
    <row r="121">
      <c r="A121">
        <f>Skills!A2</f>
        <v/>
      </c>
      <c r="B121">
        <f>Skills!B2</f>
        <v/>
      </c>
      <c r="C121">
        <f>Inputs!$B$3&gt;=100</f>
        <v/>
      </c>
      <c r="D121" t="inlineStr"/>
      <c r="E121" t="inlineStr"/>
      <c r="F121">
        <f>U123+Skills!O2</f>
        <v/>
      </c>
      <c r="G121">
        <f>Skills!G2*IF(Skills!H2&gt;0,Skills!I2/Skills!H2,1)</f>
        <v/>
      </c>
      <c r="H121">
        <f>1-(1-Skills!J2/100)^Skills!K2</f>
        <v/>
      </c>
      <c r="I121" t="inlineStr">
        <is>
          <t>1</t>
        </is>
      </c>
      <c r="J121">
        <f>(Inputs!$B$5*(1+Inputs!$B$6/100))*(F121/100)</f>
        <v/>
      </c>
      <c r="K121">
        <f>J121*(1+((Inputs!$B$11*(1+Inputs!$B$12/100))*0.01+(Inputs!$B$13+1)*0.0025)/100)*(1+Inputs!$B$14/100)*(1+IF(Inputs!$B$4="pvp",0,(1-Summary!$B$55)*(Inputs!$B$19+0+Skills!P2)+Summary!$B$55*(Inputs!$B$20+Skills!Q2))/100)*(1+Inputs!$B$15/100)*(5000/(6000+Inputs!$B$7*(1-(Inputs!$B$18+0)/100)))*(1+(Inputs!$B$23+((C143=TRUE)*(F143-Calc!F24))+((C144=TRUE)*(F144-Calc!F25))+B157)/100)*(1+(IF(Skills!A2="EMPOWERED_PIERCING_ARROW",Inputs!$B$16+((C141=TRUE)*(F141-Calc!F22)),Inputs!$B$17+((C146=TRUE)*(F146-Calc!F27))))/100)*((1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I121)</f>
        <v/>
      </c>
      <c r="L121">
        <f>K121*(MIN(Inputs!$B$21+((C142=TRUE)*(F142-Calc!F23)),Inputs!$B$22+((C147=TRUE)*(F147-Calc!F28)))/100+(Inputs!$B$22+((C147=TRUE)*(F147-Calc!F28)))/100)/2</f>
        <v/>
      </c>
      <c r="M121">
        <f>L121*(1+(Inputs!$B$9+0+B156)/100)</f>
        <v/>
      </c>
      <c r="N121">
        <f>L121*(1-MIN((Inputs!$B$8+((C138=TRUE)*(F138-Calc!F19))+B151),100)/100)+M121*(MIN((Inputs!$B$8+((C138=TRUE)*(F138-Calc!F19))+B151),100)/100)</f>
        <v/>
      </c>
      <c r="O121">
        <f>IF(C121,Skills!G2*N121*B155*IF(Inputs!$B$4="pvp",1,(1-Summary!$B$55)*(1)+Summary!$B$55*(MIN((6+Inputs!$B$32),Inputs!$B$37))),0)</f>
        <v/>
      </c>
      <c r="P121">
        <f>IF(B159=0,0,O121/B159)</f>
        <v/>
      </c>
      <c r="Q121" t="n">
        <v>0</v>
      </c>
      <c r="R121" t="n">
        <v>0</v>
      </c>
      <c r="S121">
        <f>IFERROR(O121/N121,0)</f>
        <v/>
      </c>
      <c r="U121">
        <f>MAX(0,(Inputs!$B$3-100)*3)+Inputs!$B$27+Inputs!$B$28</f>
        <v/>
      </c>
    </row>
    <row r="122">
      <c r="A122">
        <f>Skills!A3</f>
        <v/>
      </c>
      <c r="B122">
        <f>Skills!B3</f>
        <v/>
      </c>
      <c r="C122">
        <f>Inputs!$B$3&gt;=50</f>
        <v/>
      </c>
      <c r="D122">
        <f>IF(Skills!C3=1,60+Inputs!$B$24+Inputs!$B$28,IF(Skills!C3=2,90+Inputs!$B$25+Inputs!$B$28,IF(Skills!C3=3,120+Inputs!$B$26+Inputs!$B$28,MAX(0,(Inputs!$B$3-100)*3)+Inputs!$B$27+Inputs!$B$28)))</f>
        <v/>
      </c>
      <c r="E122">
        <f>INDEX(FactorTable!$B$2:$Y$301, MATCH(ROUND(MIN(300,MAX(1,D122)),0), FactorTable!$A$2:$A$301,0), Skills!M3+1)</f>
        <v/>
      </c>
      <c r="F122">
        <f>IF(Skills!N3=TRUE,(Skills!L3/10)*(E122/1000),Skills!L3/10)+Skills!O3</f>
        <v/>
      </c>
      <c r="G122" t="inlineStr"/>
      <c r="H122" t="inlineStr"/>
      <c r="I122" t="inlineStr">
        <is>
          <t>1</t>
        </is>
      </c>
      <c r="J122" t="inlineStr"/>
      <c r="K122" t="inlineStr"/>
      <c r="L122" t="inlineStr"/>
      <c r="M122" t="inlineStr"/>
      <c r="N122" t="inlineStr"/>
      <c r="O122" t="inlineStr"/>
      <c r="P122" t="inlineStr"/>
      <c r="Q122" t="inlineStr"/>
      <c r="R122" t="inlineStr"/>
      <c r="S122" t="inlineStr"/>
      <c r="U122">
        <f>INDEX(FactorTable!$B$2:$Y$301, MATCH(ROUND(MIN(300,MAX(1,U121)),0), FactorTable!$A$2:$A$301,0), 22)</f>
        <v/>
      </c>
    </row>
    <row r="123">
      <c r="A123">
        <f>Skills!A4</f>
        <v/>
      </c>
      <c r="B123">
        <f>Skills!B4</f>
        <v/>
      </c>
      <c r="C123">
        <f>Inputs!$B$3&gt;=105</f>
        <v/>
      </c>
      <c r="D123">
        <f>IF(Skills!C4=1,60+Inputs!$B$24+Inputs!$B$28,IF(Skills!C4=2,90+Inputs!$B$25+Inputs!$B$28,IF(Skills!C4=3,120+Inputs!$B$26+Inputs!$B$28,MAX(0,(Inputs!$B$3-100)*3)+Inputs!$B$27+Inputs!$B$28)))</f>
        <v/>
      </c>
      <c r="E123">
        <f>INDEX(FactorTable!$B$2:$Y$301, MATCH(ROUND(MIN(300,MAX(1,D123)),0), FactorTable!$A$2:$A$301,0), Skills!M4+1)</f>
        <v/>
      </c>
      <c r="F123">
        <f>IF(Skills!N4=TRUE,(Skills!L4/10)*(E123/1000),Skills!L4/10)+Skills!O4</f>
        <v/>
      </c>
      <c r="G123" t="inlineStr"/>
      <c r="H123" t="inlineStr"/>
      <c r="I123" t="inlineStr">
        <is>
          <t>1</t>
        </is>
      </c>
      <c r="J123" t="inlineStr"/>
      <c r="K123" t="inlineStr"/>
      <c r="L123" t="inlineStr"/>
      <c r="M123" t="inlineStr"/>
      <c r="N123" t="inlineStr"/>
      <c r="O123" t="inlineStr"/>
      <c r="P123" t="inlineStr"/>
      <c r="Q123" t="inlineStr"/>
      <c r="R123" t="inlineStr"/>
      <c r="S123" t="inlineStr"/>
      <c r="U123">
        <f>290*U122/1000</f>
        <v/>
      </c>
    </row>
    <row r="124">
      <c r="A124">
        <f>Skills!A5</f>
        <v/>
      </c>
      <c r="B124">
        <f>Skills!B5</f>
        <v/>
      </c>
      <c r="C124">
        <f>Inputs!$B$3&gt;=35</f>
        <v/>
      </c>
      <c r="D124">
        <f>IF(Skills!C5=1,60+Inputs!$B$24+Inputs!$B$28,IF(Skills!C5=2,90+Inputs!$B$25+Inputs!$B$28,IF(Skills!C5=3,120+Inputs!$B$26+Inputs!$B$28,MAX(0,(Inputs!$B$3-100)*3)+Inputs!$B$27+Inputs!$B$28)))</f>
        <v/>
      </c>
      <c r="E124">
        <f>INDEX(FactorTable!$B$2:$Y$301, MATCH(ROUND(MIN(300,MAX(1,D124)),0), FactorTable!$A$2:$A$301,0), Skills!M5+1)</f>
        <v/>
      </c>
      <c r="F124">
        <f>IF(Skills!N5=TRUE,(Skills!L5/10)*(E124/1000),Skills!L5/10)+Skills!O5</f>
        <v/>
      </c>
      <c r="G124">
        <f>Skills!G5*IF(Skills!H5&gt;0,Skills!I5/Skills!H5,1)</f>
        <v/>
      </c>
      <c r="H124">
        <f>1-(1-Skills!J5/100)^Skills!K5</f>
        <v/>
      </c>
      <c r="I124" t="inlineStr">
        <is>
          <t>1</t>
        </is>
      </c>
      <c r="J124">
        <f>(Inputs!$B$5*(1+Inputs!$B$6/100))*(F124/100)</f>
        <v/>
      </c>
      <c r="K124">
        <f>J124*(1+((Inputs!$B$11*(1+Inputs!$B$12/100))*0.01+(Inputs!$B$13+1)*0.0025)/100)*(1+Inputs!$B$14/100)*(1+IF(Inputs!$B$4="pvp",0,(1-Summary!$B$55)*(Inputs!$B$19+0+Skills!P5)+Summary!$B$55*(Inputs!$B$20+Skills!Q5))/100)*(1+Inputs!$B$15/100)*(5000/(6000+Inputs!$B$7*(1-(Inputs!$B$18+0)/100)))*(1+(Inputs!$B$23+((C143=TRUE)*(F143-Calc!F24))+((C144=TRUE)*(F144-Calc!F25))+B157)/100)*(1+4.0*IF(C127=TRUE,F127,0)/100)*(1+(IF(Skills!A5="EMPOWERED_PIERCING_ARROW",Inputs!$B$16+((C141=TRUE)*(F141-Calc!F22)),Inputs!$B$17+((C146=TRUE)*(F146-Calc!F27))))/100)*((1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I124)</f>
        <v/>
      </c>
      <c r="L124">
        <f>K124*(MIN(Inputs!$B$21+((C142=TRUE)*(F142-Calc!F23)),Inputs!$B$22+((C147=TRUE)*(F147-Calc!F28)))/100+(Inputs!$B$22+((C147=TRUE)*(F147-Calc!F28)))/100)/2</f>
        <v/>
      </c>
      <c r="M124">
        <f>L124*(1+(Inputs!$B$9+0+B156)/100)</f>
        <v/>
      </c>
      <c r="N124">
        <f>L124*(1-MIN((Inputs!$B$8+((C138=TRUE)*(F138-Calc!F19))+B151),100)/100)+M124*(MIN((Inputs!$B$8+((C138=TRUE)*(F138-Calc!F19))+B151),100)/100)</f>
        <v/>
      </c>
      <c r="O124">
        <f>IF(C124,H124*N124*IF(AND(Inputs!$B$4&lt;&gt;"pvp",Inputs!$B$35&gt;0),((Skills!G5*((R124-1)*IF(Skills!H5&gt;0,Skills!I5/Skills!H5,1)+IF(Skills!H5&gt;0,MIN(Skills!I5,MAX(0,Inputs!$B$35-((R124-1)*IF(Inputs!$B$4="pvp",15,MAX(0.1,Skills!D5-IF(Skills!E5=TRUE,Inputs!$B$31,0))))))/Skills!H5,1)))/Inputs!$B$35),G124*Q124)*IF(Inputs!$B$4="pvp",1,(1-Summary!$B$55)*(1)+Summary!$B$55*(MIN(Skills!R5,Inputs!$B$37))),0)</f>
        <v/>
      </c>
      <c r="P124">
        <f>IF(B159=0,0,O124/B159)</f>
        <v/>
      </c>
      <c r="Q124">
        <f>IFERROR(1/IF(Inputs!$B$4="pvp",15,MAX(0.1,Skills!D5-IF(Skills!E5=TRUE,Inputs!$B$31,0))),0)</f>
        <v/>
      </c>
      <c r="R124">
        <f>IF(AND(Inputs!$B$4&lt;&gt;"pvp",Inputs!$B$35&gt;0),(INT(Inputs!$B$35/IF(Inputs!$B$4="pvp",15,MAX(0.1,Skills!D5-IF(Skills!E5=TRUE,Inputs!$B$31,0))))+1),0)</f>
        <v/>
      </c>
      <c r="S124">
        <f>IFERROR(O124/N124,0)</f>
        <v/>
      </c>
    </row>
    <row r="125">
      <c r="A125">
        <f>Skills!A6</f>
        <v/>
      </c>
      <c r="B125">
        <f>Skills!B6</f>
        <v/>
      </c>
      <c r="C125">
        <f>Inputs!$B$3&gt;=63</f>
        <v/>
      </c>
      <c r="D125">
        <f>IF(Skills!C6=1,60+Inputs!$B$24+Inputs!$B$28,IF(Skills!C6=2,90+Inputs!$B$25+Inputs!$B$28,IF(Skills!C6=3,120+Inputs!$B$26+Inputs!$B$28,MAX(0,(Inputs!$B$3-100)*3)+Inputs!$B$27+Inputs!$B$28)))</f>
        <v/>
      </c>
      <c r="E125">
        <f>INDEX(FactorTable!$B$2:$Y$301, MATCH(ROUND(MIN(300,MAX(1,D125)),0), FactorTable!$A$2:$A$301,0), Skills!M6+1)</f>
        <v/>
      </c>
      <c r="F125">
        <f>IF(Skills!N6=TRUE,(Skills!L6/10)*(E125/1000),Skills!L6/10)+Skills!O6</f>
        <v/>
      </c>
      <c r="G125">
        <f>Skills!G6*IF(Skills!H6&gt;0,Skills!I6/Skills!H6,1)</f>
        <v/>
      </c>
      <c r="H125">
        <f>1-(1-Skills!J6/100)^Skills!K6</f>
        <v/>
      </c>
      <c r="I125" t="inlineStr">
        <is>
          <t>1</t>
        </is>
      </c>
      <c r="J125">
        <f>(Inputs!$B$5*(1+Inputs!$B$6/100))*(F125/100)</f>
        <v/>
      </c>
      <c r="K125">
        <f>J125*(1+((Inputs!$B$11*(1+Inputs!$B$12/100))*0.01+(Inputs!$B$13+1)*0.0025)/100)*(1+Inputs!$B$14/100)*(1+IF(Inputs!$B$4="pvp",0,(1-Summary!$B$55)*(Inputs!$B$19+0+Skills!P6)+Summary!$B$55*(Inputs!$B$20+Skills!Q6))/100)*(1+Inputs!$B$15/100)*(5000/(6000+Inputs!$B$7*(1-(Inputs!$B$18+0)/100)))*(1+(Inputs!$B$23+((C143=TRUE)*(F143-Calc!F24))+((C144=TRUE)*(F144-Calc!F25))+B157)/100)*(1+1.0*IF(C127=TRUE,F127,0)/100)*(1+(IF(Skills!A6="EMPOWERED_PIERCING_ARROW",Inputs!$B$16+((C141=TRUE)*(F141-Calc!F22)),Inputs!$B$17+((C146=TRUE)*(F146-Calc!F27))))/100)*((1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I125)</f>
        <v/>
      </c>
      <c r="L125">
        <f>K125*(MIN(Inputs!$B$21+((C142=TRUE)*(F142-Calc!F23)),Inputs!$B$22+((C147=TRUE)*(F147-Calc!F28)))/100+(Inputs!$B$22+((C147=TRUE)*(F147-Calc!F28)))/100)/2</f>
        <v/>
      </c>
      <c r="M125">
        <f>L125*(1+(Inputs!$B$9+0+B156)/100)</f>
        <v/>
      </c>
      <c r="N125">
        <f>L125*(1-MIN((Inputs!$B$8+((C138=TRUE)*(F138-Calc!F19))+B151),100)/100)+M125*(MIN((Inputs!$B$8+((C138=TRUE)*(F138-Calc!F19))+B151),100)/100)</f>
        <v/>
      </c>
      <c r="O125">
        <f>IF(C125,H125*N125*IF(AND(Inputs!$B$4&lt;&gt;"pvp",Inputs!$B$35&gt;0),((Skills!G6*((R125-1)*IF(Skills!H6&gt;0,Skills!I6/Skills!H6,1)+IF(Skills!H6&gt;0,MIN(Skills!I6,MAX(0,Inputs!$B$35-((R125-1)*IF(Inputs!$B$4="pvp",15,MAX(0.1,Skills!D6-IF(Skills!E6=TRUE,Inputs!$B$31,0))))))/Skills!H6,1)))/Inputs!$B$35),G125*Q125)*IF(Inputs!$B$4="pvp",1,(1-Summary!$B$55)*(1)+Summary!$B$55*(MIN(Skills!R6,Inputs!$B$37))),0)</f>
        <v/>
      </c>
      <c r="P125">
        <f>IF(B159=0,0,O125/B159)</f>
        <v/>
      </c>
      <c r="Q125">
        <f>IFERROR(1/IF(Inputs!$B$4="pvp",15,MAX(0.1,Skills!D6-IF(Skills!E6=TRUE,Inputs!$B$31,0))),0)</f>
        <v/>
      </c>
      <c r="R125">
        <f>IF(AND(Inputs!$B$4&lt;&gt;"pvp",Inputs!$B$35&gt;0),(INT(Inputs!$B$35/IF(Inputs!$B$4="pvp",15,MAX(0.1,Skills!D6-IF(Skills!E6=TRUE,Inputs!$B$31,0))))+1),0)</f>
        <v/>
      </c>
      <c r="S125">
        <f>IFERROR(O125/N125,0)</f>
        <v/>
      </c>
    </row>
    <row r="126">
      <c r="A126">
        <f>Skills!A7</f>
        <v/>
      </c>
      <c r="B126">
        <f>Skills!B7</f>
        <v/>
      </c>
      <c r="C126">
        <f>Inputs!$B$3&gt;=69</f>
        <v/>
      </c>
      <c r="D126">
        <f>IF(Skills!C7=1,60+Inputs!$B$24+Inputs!$B$28,IF(Skills!C7=2,90+Inputs!$B$25+Inputs!$B$28,IF(Skills!C7=3,120+Inputs!$B$26+Inputs!$B$28,MAX(0,(Inputs!$B$3-100)*3)+Inputs!$B$27+Inputs!$B$28)))</f>
        <v/>
      </c>
      <c r="E126">
        <f>INDEX(FactorTable!$B$2:$Y$301, MATCH(ROUND(MIN(300,MAX(1,D126)),0), FactorTable!$A$2:$A$301,0), Skills!M7+1)</f>
        <v/>
      </c>
      <c r="F126">
        <f>IF(Skills!N7=TRUE,(Skills!L7/10)*(E126/1000),Skills!L7/10)+Skills!O7</f>
        <v/>
      </c>
      <c r="G126">
        <f>Skills!G7*IF(Skills!H7&gt;0,Skills!I7/Skills!H7,1)</f>
        <v/>
      </c>
      <c r="H126">
        <f>1-(1-Skills!J7/100)^Skills!K7</f>
        <v/>
      </c>
      <c r="I126" t="inlineStr">
        <is>
          <t>1</t>
        </is>
      </c>
      <c r="J126">
        <f>(Inputs!$B$5*(1+Inputs!$B$6/100))*(F126/100)</f>
        <v/>
      </c>
      <c r="K126">
        <f>J126*(1+((Inputs!$B$11*(1+Inputs!$B$12/100))*0.01+(Inputs!$B$13+1)*0.0025)/100)*(1+Inputs!$B$14/100)*(1+IF(Inputs!$B$4="pvp",0,(1-Summary!$B$55)*(Inputs!$B$19+0+Skills!P7)+Summary!$B$55*(Inputs!$B$20+Skills!Q7))/100)*(1+Inputs!$B$15/100)*(5000/(6000+Inputs!$B$7*(1-(Inputs!$B$18+0)/100)))*(1+(Inputs!$B$23+((C143=TRUE)*(F143-Calc!F24))+((C144=TRUE)*(F144-Calc!F25))+B157)/100)*(1+1.2*IF(C127=TRUE,F127,0)/100)*(1+(IF(Skills!A7="EMPOWERED_PIERCING_ARROW",Inputs!$B$16+((C141=TRUE)*(F141-Calc!F22)),Inputs!$B$17+((C146=TRUE)*(F146-Calc!F27))))/100)*((1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I126)</f>
        <v/>
      </c>
      <c r="L126">
        <f>K126*(MIN(Inputs!$B$21+((C142=TRUE)*(F142-Calc!F23)),Inputs!$B$22+((C147=TRUE)*(F147-Calc!F28)))/100+(Inputs!$B$22+((C147=TRUE)*(F147-Calc!F28)))/100)/2</f>
        <v/>
      </c>
      <c r="M126">
        <f>L126*(1+(Inputs!$B$9+0+B156)/100)</f>
        <v/>
      </c>
      <c r="N126">
        <f>L126*(1-MIN((Inputs!$B$8+((C138=TRUE)*(F138-Calc!F19))+B151),100)/100)+M126*(MIN((Inputs!$B$8+((C138=TRUE)*(F138-Calc!F19))+B151),100)/100)</f>
        <v/>
      </c>
      <c r="O126">
        <f>IF(C126,H126*N126*IF(AND(Inputs!$B$4&lt;&gt;"pvp",Inputs!$B$35&gt;0),((Skills!G7*((R126-1)*IF(Skills!H7&gt;0,Skills!I7/Skills!H7,1)+IF(Skills!H7&gt;0,MIN(Skills!I7,MAX(0,Inputs!$B$35-((R126-1)*IF(Inputs!$B$4="pvp",15,MAX(0.1,Skills!D7-IF(Skills!E7=TRUE,Inputs!$B$31,0))))))/Skills!H7,1)))/Inputs!$B$35),G126*Q126)*IF(Inputs!$B$4="pvp",1,(1-Summary!$B$55)*(1)+Summary!$B$55*(MIN(Skills!R7,Inputs!$B$37))),0)</f>
        <v/>
      </c>
      <c r="P126">
        <f>IF(B159=0,0,O126/B159)</f>
        <v/>
      </c>
      <c r="Q126">
        <f>IFERROR(1/IF(Inputs!$B$4="pvp",15,MAX(0.1,Skills!D7-IF(Skills!E7=TRUE,Inputs!$B$31,0))),0)</f>
        <v/>
      </c>
      <c r="R126">
        <f>IF(AND(Inputs!$B$4&lt;&gt;"pvp",Inputs!$B$35&gt;0),(INT(Inputs!$B$35/IF(Inputs!$B$4="pvp",15,MAX(0.1,Skills!D7-IF(Skills!E7=TRUE,Inputs!$B$31,0))))+1),0)</f>
        <v/>
      </c>
      <c r="S126">
        <f>IFERROR(O126/N126,0)</f>
        <v/>
      </c>
    </row>
    <row r="127">
      <c r="A127">
        <f>Skills!A8</f>
        <v/>
      </c>
      <c r="B127">
        <f>Skills!B8</f>
        <v/>
      </c>
      <c r="C127">
        <f>Inputs!$B$3&gt;=100</f>
        <v/>
      </c>
      <c r="D127">
        <f>IF(Skills!C8=1,60+Inputs!$B$24+Inputs!$B$28,IF(Skills!C8=2,90+Inputs!$B$25+Inputs!$B$28,IF(Skills!C8=3,120+Inputs!$B$26+Inputs!$B$28,MAX(0,(Inputs!$B$3-100)*3)+Inputs!$B$27+Inputs!$B$28)))</f>
        <v/>
      </c>
      <c r="E127">
        <f>INDEX(FactorTable!$B$2:$Y$301, MATCH(ROUND(MIN(300,MAX(1,D127)),0), FactorTable!$A$2:$A$301,0), Skills!M8+1)</f>
        <v/>
      </c>
      <c r="F127">
        <f>IF(Skills!N8=TRUE,(Skills!L8/10)*(E127/1000),Skills!L8/10)+Skills!O8</f>
        <v/>
      </c>
      <c r="G127" t="inlineStr"/>
      <c r="H127" t="inlineStr"/>
      <c r="I127" t="inlineStr">
        <is>
          <t>1</t>
        </is>
      </c>
      <c r="J127" t="inlineStr"/>
      <c r="K127" t="inlineStr"/>
      <c r="L127" t="inlineStr"/>
      <c r="M127" t="inlineStr"/>
      <c r="N127" t="inlineStr"/>
      <c r="O127" t="inlineStr"/>
      <c r="P127" t="inlineStr"/>
      <c r="Q127" t="inlineStr"/>
      <c r="R127" t="inlineStr"/>
      <c r="S127" t="inlineStr"/>
    </row>
    <row r="128">
      <c r="A128">
        <f>Skills!A9</f>
        <v/>
      </c>
      <c r="B128">
        <f>Skills!B9</f>
        <v/>
      </c>
      <c r="C128">
        <f>Inputs!$B$3&gt;=103</f>
        <v/>
      </c>
      <c r="D128">
        <f>IF(Skills!C9=1,60+Inputs!$B$24+Inputs!$B$28,IF(Skills!C9=2,90+Inputs!$B$25+Inputs!$B$28,IF(Skills!C9=3,120+Inputs!$B$26+Inputs!$B$28,MAX(0,(Inputs!$B$3-100)*3)+Inputs!$B$27+Inputs!$B$28)))</f>
        <v/>
      </c>
      <c r="E128">
        <f>INDEX(FactorTable!$B$2:$Y$301, MATCH(ROUND(MIN(300,MAX(1,D128)),0), FactorTable!$A$2:$A$301,0), Skills!M9+1)</f>
        <v/>
      </c>
      <c r="F128">
        <f>IF(Skills!N9=TRUE,(Skills!L9/10)*(E128/1000),Skills!L9/10)+Skills!O9</f>
        <v/>
      </c>
      <c r="G128">
        <f>Skills!G9*IF(Skills!H9&gt;0,Skills!I9/Skills!H9,1)</f>
        <v/>
      </c>
      <c r="H128">
        <f>1-(1-Skills!J9/100)^Skills!K9</f>
        <v/>
      </c>
      <c r="I128" t="inlineStr">
        <is>
          <t>1</t>
        </is>
      </c>
      <c r="J128">
        <f>(Inputs!$B$5*(1+Inputs!$B$6/100))*(F128/100)</f>
        <v/>
      </c>
      <c r="K128">
        <f>J128*(1+((Inputs!$B$11*(1+Inputs!$B$12/100))*0.01+(Inputs!$B$13+1)*0.0025)/100)*(1+Inputs!$B$14/100)*(1+IF(Inputs!$B$4="pvp",0,(1-Summary!$B$55)*(Inputs!$B$19+0+Skills!P9)+Summary!$B$55*(Inputs!$B$20+Skills!Q9))/100)*(1+Inputs!$B$15/100)*(5000/(6000+Inputs!$B$7*(1-(Inputs!$B$18+0)/100)))*(1+(Inputs!$B$23+((C143=TRUE)*(F143-Calc!F24))+((C144=TRUE)*(F144-Calc!F25))+B157)/100)*(1+(IF(Skills!A9="EMPOWERED_PIERCING_ARROW",Inputs!$B$16+((C141=TRUE)*(F141-Calc!F22)),Inputs!$B$17+((C146=TRUE)*(F146-Calc!F27))))/100)*((1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I128)</f>
        <v/>
      </c>
      <c r="L128">
        <f>K128*(MIN(Inputs!$B$21+((C142=TRUE)*(F142-Calc!F23)),Inputs!$B$22+((C147=TRUE)*(F147-Calc!F28)))/100+(Inputs!$B$22+((C147=TRUE)*(F147-Calc!F28)))/100)/2</f>
        <v/>
      </c>
      <c r="M128">
        <f>L128*(1+(Inputs!$B$9+0+B156)/100)</f>
        <v/>
      </c>
      <c r="N128">
        <f>L128*(1-MIN((Inputs!$B$8+((C138=TRUE)*(F138-Calc!F19))+B151),100)/100)+M128*(MIN((Inputs!$B$8+((C138=TRUE)*(F138-Calc!F19))+B151),100)/100)</f>
        <v/>
      </c>
      <c r="O128">
        <f>IF(C128,H128*N128*IF(AND(Inputs!$B$4&lt;&gt;"pvp",Inputs!$B$35&gt;0),((Skills!G9*((R128-1)*IF(Skills!H9&gt;0,Skills!I9/Skills!H9,1)+IF(Skills!H9&gt;0,MIN(Skills!I9,MAX(0,Inputs!$B$35-((R128-1)*IF(Inputs!$B$4="pvp",15,MAX(0.1,Skills!D9-IF(Skills!E9=TRUE,Inputs!$B$31,0))))))/Skills!H9,1)))/Inputs!$B$35),G128*Q128)*IF(Inputs!$B$4="pvp",1,(1-Summary!$B$55)*(1)+Summary!$B$55*(MIN(Skills!R9,Inputs!$B$37))),0)</f>
        <v/>
      </c>
      <c r="P128">
        <f>IF(B159=0,0,O128/B159)</f>
        <v/>
      </c>
      <c r="Q128">
        <f>IFERROR(1/IF(Inputs!$B$4="pvp",15,MAX(0.1,Skills!D9-IF(Skills!E9=TRUE,Inputs!$B$31,0))),0)</f>
        <v/>
      </c>
      <c r="R128">
        <f>IF(AND(Inputs!$B$4&lt;&gt;"pvp",Inputs!$B$35&gt;0),(INT(Inputs!$B$35/IF(Inputs!$B$4="pvp",15,MAX(0.1,Skills!D9-IF(Skills!E9=TRUE,Inputs!$B$31,0))))+1),0)</f>
        <v/>
      </c>
      <c r="S128">
        <f>IFERROR(O128/N128,0)</f>
        <v/>
      </c>
    </row>
    <row r="129">
      <c r="A129">
        <f>Skills!A10</f>
        <v/>
      </c>
      <c r="B129">
        <f>Skills!B10</f>
        <v/>
      </c>
      <c r="C129">
        <f>Inputs!$B$3&gt;=107</f>
        <v/>
      </c>
      <c r="D129">
        <f>IF(Skills!C10=1,60+Inputs!$B$24+Inputs!$B$28,IF(Skills!C10=2,90+Inputs!$B$25+Inputs!$B$28,IF(Skills!C10=3,120+Inputs!$B$26+Inputs!$B$28,MAX(0,(Inputs!$B$3-100)*3)+Inputs!$B$27+Inputs!$B$28)))</f>
        <v/>
      </c>
      <c r="E129">
        <f>INDEX(FactorTable!$B$2:$Y$301, MATCH(ROUND(MIN(300,MAX(1,D129)),0), FactorTable!$A$2:$A$301,0), Skills!M10+1)</f>
        <v/>
      </c>
      <c r="F129">
        <f>IF(Skills!N10=TRUE,(Skills!L10/10)*(E129/1000),Skills!L10/10)+Skills!O10</f>
        <v/>
      </c>
      <c r="G129">
        <f>Skills!G10*IF(Skills!H10&gt;0,Skills!I10/Skills!H10,1)</f>
        <v/>
      </c>
      <c r="H129">
        <f>1-(1-Skills!J10/100)^Skills!K10</f>
        <v/>
      </c>
      <c r="I129" t="inlineStr">
        <is>
          <t>1</t>
        </is>
      </c>
      <c r="J129">
        <f>(Inputs!$B$5*(1+Inputs!$B$6/100))*(F129/100)</f>
        <v/>
      </c>
      <c r="K129">
        <f>J129*(1+((Inputs!$B$11*(1+Inputs!$B$12/100))*0.01+(Inputs!$B$13+1)*0.0025)/100)*(1+Inputs!$B$14/100)*(1+IF(Inputs!$B$4="pvp",0,(1-Summary!$B$55)*(Inputs!$B$19+0+Skills!P10)+Summary!$B$55*(Inputs!$B$20+Skills!Q10))/100)*(1+Inputs!$B$15/100)*(5000/(6000+Inputs!$B$7*(1-(Inputs!$B$18+0)/100)))*(1+(Inputs!$B$23+((C143=TRUE)*(F143-Calc!F24))+((C144=TRUE)*(F144-Calc!F25))+B157)/100)*(1+(IF(Skills!A10="EMPOWERED_PIERCING_ARROW",Inputs!$B$16+((C141=TRUE)*(F141-Calc!F22)),Inputs!$B$17+((C146=TRUE)*(F146-Calc!F27))))/100)*((1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I129)</f>
        <v/>
      </c>
      <c r="L129">
        <f>K129*(MIN(Inputs!$B$21+((C142=TRUE)*(F142-Calc!F23)),Inputs!$B$22+((C147=TRUE)*(F147-Calc!F28)))/100+(Inputs!$B$22+((C147=TRUE)*(F147-Calc!F28)))/100)/2</f>
        <v/>
      </c>
      <c r="M129">
        <f>L129*(1+(Inputs!$B$9+0+B156)/100)</f>
        <v/>
      </c>
      <c r="N129">
        <f>L129*(1-MIN((Inputs!$B$8+((C138=TRUE)*(F138-Calc!F19))+B151),100)/100)+M129*(MIN((Inputs!$B$8+((C138=TRUE)*(F138-Calc!F19))+B151),100)/100)</f>
        <v/>
      </c>
      <c r="O129">
        <f>IF(C129,0.15*SUMPRODUCT((Skills!U2:U29=TRUE)*(C121:C148=TRUE)*S121:S148)*Skills!G10*N129*IF(Inputs!$B$4="pvp",1,(1-Summary!$B$55)*(1)+Summary!$B$55*(MIN(Skills!R10,Inputs!$B$37))),0)</f>
        <v/>
      </c>
      <c r="P129">
        <f>IF(B159=0,0,O129/B159)</f>
        <v/>
      </c>
      <c r="Q129" t="n">
        <v>0</v>
      </c>
      <c r="R129" t="n">
        <v>0</v>
      </c>
      <c r="S129" t="n">
        <v>0</v>
      </c>
    </row>
    <row r="130">
      <c r="A130">
        <f>Skills!A11</f>
        <v/>
      </c>
      <c r="B130">
        <f>Skills!B11</f>
        <v/>
      </c>
      <c r="C130">
        <f>Inputs!$B$3&gt;=110</f>
        <v/>
      </c>
      <c r="D130">
        <f>IF(Skills!C11=1,60+Inputs!$B$24+Inputs!$B$28,IF(Skills!C11=2,90+Inputs!$B$25+Inputs!$B$28,IF(Skills!C11=3,120+Inputs!$B$26+Inputs!$B$28,MAX(0,(Inputs!$B$3-100)*3)+Inputs!$B$27+Inputs!$B$28)))</f>
        <v/>
      </c>
      <c r="E130">
        <f>INDEX(FactorTable!$B$2:$Y$301, MATCH(ROUND(MIN(300,MAX(1,D130)),0), FactorTable!$A$2:$A$301,0), Skills!M11+1)</f>
        <v/>
      </c>
      <c r="F130">
        <f>IF(Skills!N11=TRUE,(Skills!L11/10)*(E130/1000),Skills!L11/10)+Skills!O11</f>
        <v/>
      </c>
      <c r="G130">
        <f>Skills!G11*IF(Skills!H11&gt;0,Skills!I11/Skills!H11,1)</f>
        <v/>
      </c>
      <c r="H130">
        <f>1-(1-Skills!J11/100)^Skills!K11</f>
        <v/>
      </c>
      <c r="I130" t="inlineStr">
        <is>
          <t>1</t>
        </is>
      </c>
      <c r="J130">
        <f>(Inputs!$B$5*(1+Inputs!$B$6/100))*(F130/100)</f>
        <v/>
      </c>
      <c r="K130">
        <f>J130*(1+((Inputs!$B$11*(1+Inputs!$B$12/100))*0.01+(Inputs!$B$13+1)*0.0025)/100)*(1+Inputs!$B$14/100)*(1+IF(Inputs!$B$4="pvp",0,(1-Summary!$B$55)*(Inputs!$B$19+0+Skills!P11)+Summary!$B$55*(Inputs!$B$20+Skills!Q11))/100)*(1+Inputs!$B$15/100)*(5000/(6000+Inputs!$B$7*(1-(Inputs!$B$18+0)/100)))*(1+(Inputs!$B$23+((C143=TRUE)*(F143-Calc!F24))+((C144=TRUE)*(F144-Calc!F25))+B157)/100)*(1+(IF(Skills!A11="EMPOWERED_PIERCING_ARROW",Inputs!$B$16+((C141=TRUE)*(F141-Calc!F22)),Inputs!$B$17+((C146=TRUE)*(F146-Calc!F27))))/100)*((1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I130)</f>
        <v/>
      </c>
      <c r="L130">
        <f>K130*(MIN(Inputs!$B$21+((C142=TRUE)*(F142-Calc!F23)),Inputs!$B$22+((C147=TRUE)*(F147-Calc!F28)))/100+(Inputs!$B$22+((C147=TRUE)*(F147-Calc!F28)))/100)/2</f>
        <v/>
      </c>
      <c r="M130">
        <f>L130*(1+(Inputs!$B$9+0+B156)/100)</f>
        <v/>
      </c>
      <c r="N130">
        <f>L130*(1-MIN((Inputs!$B$8+((C138=TRUE)*(F138-Calc!F19))+B151),100)/100)+M130*(MIN((Inputs!$B$8+((C138=TRUE)*(F138-Calc!F19))+B151),100)/100)</f>
        <v/>
      </c>
      <c r="O130">
        <f>IF(C130,H130*N130*IF(AND(Inputs!$B$4&lt;&gt;"pvp",Inputs!$B$35&gt;0),((Skills!G11*((R130-1)*IF(Skills!H11&gt;0,Skills!I11/Skills!H11,1)+IF(Skills!H11&gt;0,MIN(Skills!I11,MAX(0,Inputs!$B$35-((R130-1)*IF(Inputs!$B$4="pvp",15,MAX(0.1,Skills!D11-IF(Skills!E11=TRUE,Inputs!$B$31,0))))))/Skills!H11,1)))/Inputs!$B$35),G130*Q130)*IF(Inputs!$B$4="pvp",1,(1-Summary!$B$55)*(1)+Summary!$B$55*(MIN(Skills!R11,Inputs!$B$37))),0)</f>
        <v/>
      </c>
      <c r="P130">
        <f>IF(B159=0,0,O130/B159)</f>
        <v/>
      </c>
      <c r="Q130">
        <f>IFERROR(1/IF(Inputs!$B$4="pvp",15,MAX(0.1,Skills!D11-IF(Skills!E11=TRUE,Inputs!$B$31,0))),0)</f>
        <v/>
      </c>
      <c r="R130">
        <f>IF(AND(Inputs!$B$4&lt;&gt;"pvp",Inputs!$B$35&gt;0),(INT(Inputs!$B$35/IF(Inputs!$B$4="pvp",15,MAX(0.1,Skills!D11-IF(Skills!E11=TRUE,Inputs!$B$31,0))))+1),0)</f>
        <v/>
      </c>
      <c r="S130">
        <f>IFERROR(O130/N130,0)</f>
        <v/>
      </c>
    </row>
    <row r="131">
      <c r="A131">
        <f>Skills!A12</f>
        <v/>
      </c>
      <c r="B131">
        <f>Skills!B12</f>
        <v/>
      </c>
      <c r="C131">
        <f>Inputs!$B$3&gt;=60</f>
        <v/>
      </c>
      <c r="D131">
        <f>IF(Skills!C12=1,60+Inputs!$B$24+Inputs!$B$28,IF(Skills!C12=2,90+Inputs!$B$25+Inputs!$B$28,IF(Skills!C12=3,120+Inputs!$B$26+Inputs!$B$28,MAX(0,(Inputs!$B$3-100)*3)+Inputs!$B$27+Inputs!$B$28)))</f>
        <v/>
      </c>
      <c r="E131">
        <f>INDEX(FactorTable!$B$2:$Y$301, MATCH(ROUND(MIN(300,MAX(1,D131)),0), FactorTable!$A$2:$A$301,0), Skills!M12+1)</f>
        <v/>
      </c>
      <c r="F131">
        <f>IF(Skills!N12=TRUE,(Skills!L12/10)*(E131/1000),Skills!L12/10)+Skills!O12</f>
        <v/>
      </c>
      <c r="G131">
        <f>Skills!G12*IF(Skills!H12&gt;0,Skills!I12/Skills!H12,1)</f>
        <v/>
      </c>
      <c r="H131">
        <f>1-(1-Skills!J12/100)^Skills!K12</f>
        <v/>
      </c>
      <c r="I131" t="inlineStr">
        <is>
          <t>1</t>
        </is>
      </c>
      <c r="J131" t="inlineStr"/>
      <c r="K131" t="inlineStr"/>
      <c r="L131" t="inlineStr"/>
      <c r="M131" t="inlineStr"/>
      <c r="N131" t="inlineStr"/>
      <c r="O131" t="n">
        <v>0</v>
      </c>
      <c r="P131">
        <f>IF(B159=0,0,O131/B159)</f>
        <v/>
      </c>
      <c r="Q131" t="n">
        <v>0</v>
      </c>
      <c r="R131" t="n">
        <v>0</v>
      </c>
      <c r="S131">
        <f>IFERROR(O131/N131,0)</f>
        <v/>
      </c>
    </row>
    <row r="132">
      <c r="A132">
        <f>Skills!A13</f>
        <v/>
      </c>
      <c r="B132">
        <f>Skills!B13</f>
        <v/>
      </c>
      <c r="C132">
        <f>Inputs!$B$3&gt;=74</f>
        <v/>
      </c>
      <c r="D132">
        <f>IF(Skills!C13=1,60+Inputs!$B$24+Inputs!$B$28,IF(Skills!C13=2,90+Inputs!$B$25+Inputs!$B$28,IF(Skills!C13=3,120+Inputs!$B$26+Inputs!$B$28,MAX(0,(Inputs!$B$3-100)*3)+Inputs!$B$27+Inputs!$B$28)))</f>
        <v/>
      </c>
      <c r="E132">
        <f>INDEX(FactorTable!$B$2:$Y$301, MATCH(ROUND(MIN(300,MAX(1,D132)),0), FactorTable!$A$2:$A$301,0), Skills!M13+1)</f>
        <v/>
      </c>
      <c r="F132">
        <f>IF(Skills!N13=TRUE,(Skills!L13/10)*(E132/1000),Skills!L13/10)+Skills!O13</f>
        <v/>
      </c>
      <c r="G132">
        <f>Skills!G13*IF(Skills!H13&gt;0,Skills!I13/Skills!H13,1)</f>
        <v/>
      </c>
      <c r="H132">
        <f>1-(1-Skills!J13/100)^Skills!K13</f>
        <v/>
      </c>
      <c r="I132" t="inlineStr">
        <is>
          <t>1</t>
        </is>
      </c>
      <c r="J132" t="inlineStr"/>
      <c r="K132" t="inlineStr"/>
      <c r="L132" t="inlineStr"/>
      <c r="M132" t="inlineStr"/>
      <c r="N132" t="inlineStr"/>
      <c r="O132" t="n">
        <v>0</v>
      </c>
      <c r="P132">
        <f>IF(B159=0,0,O132/B159)</f>
        <v/>
      </c>
      <c r="Q132" t="n">
        <v>0</v>
      </c>
      <c r="R132" t="n">
        <v>0</v>
      </c>
      <c r="S132">
        <f>IFERROR(O132/N132,0)</f>
        <v/>
      </c>
    </row>
    <row r="133">
      <c r="A133">
        <f>Skills!A14</f>
        <v/>
      </c>
      <c r="B133">
        <f>Skills!B14</f>
        <v/>
      </c>
      <c r="C133">
        <f>Inputs!$B$3&gt;=74</f>
        <v/>
      </c>
      <c r="D133">
        <f>IF(Skills!C14=1,60+Inputs!$B$24+Inputs!$B$28,IF(Skills!C14=2,90+Inputs!$B$25+Inputs!$B$28,IF(Skills!C14=3,120+Inputs!$B$26+Inputs!$B$28,MAX(0,(Inputs!$B$3-100)*3)+Inputs!$B$27+Inputs!$B$28)))</f>
        <v/>
      </c>
      <c r="E133">
        <f>INDEX(FactorTable!$B$2:$Y$301, MATCH(ROUND(MIN(300,MAX(1,D133)),0), FactorTable!$A$2:$A$301,0), Skills!M14+1)</f>
        <v/>
      </c>
      <c r="F133">
        <f>IF(Skills!N14=TRUE,(Skills!L14/10)*(E133/1000),Skills!L14/10)+Skills!O14</f>
        <v/>
      </c>
      <c r="G133">
        <f>Skills!G14*IF(Skills!H14&gt;0,Skills!I14/Skills!H14,1)</f>
        <v/>
      </c>
      <c r="H133">
        <f>1-(1-Skills!J14/100)^Skills!K14</f>
        <v/>
      </c>
      <c r="I133" t="inlineStr">
        <is>
          <t>1</t>
        </is>
      </c>
      <c r="J133" t="inlineStr"/>
      <c r="K133" t="inlineStr"/>
      <c r="L133" t="inlineStr"/>
      <c r="M133" t="inlineStr"/>
      <c r="N133" t="inlineStr"/>
      <c r="O133" t="n">
        <v>0</v>
      </c>
      <c r="P133">
        <f>IF(B159=0,0,O133/B159)</f>
        <v/>
      </c>
      <c r="Q133" t="n">
        <v>0</v>
      </c>
      <c r="R133" t="n">
        <v>0</v>
      </c>
      <c r="S133">
        <f>IFERROR(O133/N133,0)</f>
        <v/>
      </c>
    </row>
    <row r="134">
      <c r="A134">
        <f>Skills!A15</f>
        <v/>
      </c>
      <c r="B134">
        <f>Skills!B15</f>
        <v/>
      </c>
      <c r="C134">
        <f>Inputs!$B$3&gt;=117</f>
        <v/>
      </c>
      <c r="D134">
        <f>IF(Skills!C15=1,60+Inputs!$B$24+Inputs!$B$28,IF(Skills!C15=2,90+Inputs!$B$25+Inputs!$B$28,IF(Skills!C15=3,120+Inputs!$B$26+Inputs!$B$28,MAX(0,(Inputs!$B$3-100)*3)+Inputs!$B$27+Inputs!$B$28)))</f>
        <v/>
      </c>
      <c r="E134">
        <f>INDEX(FactorTable!$B$2:$Y$301, MATCH(ROUND(MIN(300,MAX(1,D134)),0), FactorTable!$A$2:$A$301,0), Skills!M15+1)</f>
        <v/>
      </c>
      <c r="F134">
        <f>IF(Skills!N15=TRUE,(Skills!L15/10)*(E134/1000),Skills!L15/10)+Skills!O15</f>
        <v/>
      </c>
      <c r="G134">
        <f>Skills!G15*IF(Skills!H15&gt;0,Skills!I15/Skills!H15,1)</f>
        <v/>
      </c>
      <c r="H134">
        <f>1-(1-Skills!J15/100)^Skills!K15</f>
        <v/>
      </c>
      <c r="I134" t="inlineStr">
        <is>
          <t>1</t>
        </is>
      </c>
      <c r="J134" t="inlineStr"/>
      <c r="K134" t="inlineStr"/>
      <c r="L134" t="inlineStr"/>
      <c r="M134" t="inlineStr"/>
      <c r="N134" t="inlineStr"/>
      <c r="O134" t="n">
        <v>0</v>
      </c>
      <c r="P134">
        <f>IF(B159=0,0,O134/B159)</f>
        <v/>
      </c>
      <c r="Q134">
        <f>IFERROR(1/IF(Inputs!$B$4="pvp",15,MAX(0.1,Skills!D15-IF(Skills!E15=TRUE,Inputs!$B$31,0))),0)</f>
        <v/>
      </c>
      <c r="R134">
        <f>IF(AND(Inputs!$B$4&lt;&gt;"pvp",Inputs!$B$35&gt;0),(INT(Inputs!$B$35/IF(Inputs!$B$4="pvp",15,MAX(0.1,Skills!D15-IF(Skills!E15=TRUE,Inputs!$B$31,0))))+1),0)</f>
        <v/>
      </c>
      <c r="S134">
        <f>IFERROR(O134/N134,0)</f>
        <v/>
      </c>
    </row>
    <row r="135">
      <c r="A135">
        <f>Skills!A16</f>
        <v/>
      </c>
      <c r="B135">
        <f>Skills!B16</f>
        <v/>
      </c>
      <c r="C135">
        <f>Inputs!$B$3&gt;=115</f>
        <v/>
      </c>
      <c r="D135">
        <f>IF(Skills!C16=1,60+Inputs!$B$24+Inputs!$B$28,IF(Skills!C16=2,90+Inputs!$B$25+Inputs!$B$28,IF(Skills!C16=3,120+Inputs!$B$26+Inputs!$B$28,MAX(0,(Inputs!$B$3-100)*3)+Inputs!$B$27+Inputs!$B$28)))</f>
        <v/>
      </c>
      <c r="E135">
        <f>INDEX(FactorTable!$B$2:$Y$301, MATCH(ROUND(MIN(300,MAX(1,D135)),0), FactorTable!$A$2:$A$301,0), Skills!M16+1)</f>
        <v/>
      </c>
      <c r="F135">
        <f>IF(Skills!N16=TRUE,(Skills!L16/10)*(E135/1000),Skills!L16/10)+Skills!O16</f>
        <v/>
      </c>
      <c r="G135">
        <f>Skills!G16*IF(Skills!H16&gt;0,Skills!I16/Skills!H16,1)</f>
        <v/>
      </c>
      <c r="H135">
        <f>1-(1-Skills!J16/100)^Skills!K16</f>
        <v/>
      </c>
      <c r="I135" t="inlineStr">
        <is>
          <t>1</t>
        </is>
      </c>
      <c r="J135" t="inlineStr"/>
      <c r="K135" t="inlineStr"/>
      <c r="L135" t="inlineStr"/>
      <c r="M135" t="inlineStr"/>
      <c r="N135" t="inlineStr"/>
      <c r="O135" t="n">
        <v>0</v>
      </c>
      <c r="P135">
        <f>IF(B159=0,0,O135/B159)</f>
        <v/>
      </c>
      <c r="Q135">
        <f>IFERROR(1/IF(Inputs!$B$4="pvp",15,MAX(0.1,Skills!D16-IF(Skills!E16=TRUE,Inputs!$B$31,0))),0)</f>
        <v/>
      </c>
      <c r="R135">
        <f>IF(AND(Inputs!$B$4&lt;&gt;"pvp",Inputs!$B$35&gt;0),(INT(Inputs!$B$35/IF(Inputs!$B$4="pvp",15,MAX(0.1,Skills!D16-IF(Skills!E16=TRUE,Inputs!$B$31,0))))+1),0)</f>
        <v/>
      </c>
      <c r="S135">
        <f>IFERROR(O135/N135,0)</f>
        <v/>
      </c>
    </row>
    <row r="136">
      <c r="A136">
        <f>Skills!A17</f>
        <v/>
      </c>
      <c r="B136">
        <f>Skills!B17</f>
        <v/>
      </c>
      <c r="C136">
        <f>Inputs!$B$3&gt;=72</f>
        <v/>
      </c>
      <c r="D136">
        <f>IF(Skills!C17=1,60+Inputs!$B$24+Inputs!$B$28,IF(Skills!C17=2,90+Inputs!$B$25+Inputs!$B$28,IF(Skills!C17=3,120+Inputs!$B$26+Inputs!$B$28,MAX(0,(Inputs!$B$3-100)*3)+Inputs!$B$27+Inputs!$B$28)))</f>
        <v/>
      </c>
      <c r="E136">
        <f>INDEX(FactorTable!$B$2:$Y$301, MATCH(ROUND(MIN(300,MAX(1,D136)),0), FactorTable!$A$2:$A$301,0), Skills!M17+1)</f>
        <v/>
      </c>
      <c r="F136">
        <f>IF(Skills!N17=TRUE,(Skills!L17/10)*(E136/1000),Skills!L17/10)+Skills!O17</f>
        <v/>
      </c>
      <c r="G136">
        <f>Skills!G17*IF(Skills!H17&gt;0,Skills!I17/Skills!H17,1)</f>
        <v/>
      </c>
      <c r="H136">
        <f>1-(1-Skills!J17/100)^Skills!K17</f>
        <v/>
      </c>
      <c r="I136" t="inlineStr">
        <is>
          <t>1</t>
        </is>
      </c>
      <c r="J136" t="inlineStr"/>
      <c r="K136" t="inlineStr"/>
      <c r="L136" t="inlineStr"/>
      <c r="M136" t="inlineStr"/>
      <c r="N136" t="inlineStr"/>
      <c r="O136" t="n">
        <v>0</v>
      </c>
      <c r="P136">
        <f>IF(B159=0,0,O136/B159)</f>
        <v/>
      </c>
      <c r="Q136" t="n">
        <v>0</v>
      </c>
      <c r="R136" t="n">
        <v>0</v>
      </c>
      <c r="S136">
        <f>IFERROR(O136/N136,0)</f>
        <v/>
      </c>
    </row>
    <row r="137">
      <c r="A137">
        <f>Skills!A18</f>
        <v/>
      </c>
      <c r="B137">
        <f>Skills!B18</f>
        <v/>
      </c>
      <c r="C137">
        <f>TRUE</f>
        <v/>
      </c>
      <c r="D137">
        <f>IF(Skills!C18=1,60+Inputs!$B$24+Inputs!$B$28,IF(Skills!C18=2,90+Inputs!$B$25+Inputs!$B$28,IF(Skills!C18=3,120+Inputs!$B$26+Inputs!$B$28,MAX(0,(Inputs!$B$3-100)*3)+Inputs!$B$27+Inputs!$B$28)))</f>
        <v/>
      </c>
      <c r="E137">
        <f>INDEX(FactorTable!$B$2:$Y$301, MATCH(ROUND(MIN(300,MAX(1,D137)),0), FactorTable!$A$2:$A$301,0), Skills!M18+1)</f>
        <v/>
      </c>
      <c r="F137">
        <f>IF(Skills!N18=TRUE,(Skills!L18/10)*(E137/1000),Skills!L18/10)+Skills!O18</f>
        <v/>
      </c>
      <c r="G137">
        <f>Skills!G18*IF(Skills!H18&gt;0,Skills!I18/Skills!H18,1)</f>
        <v/>
      </c>
      <c r="H137">
        <f>1-(1-Skills!J18/100)^Skills!K18</f>
        <v/>
      </c>
      <c r="I137" t="inlineStr">
        <is>
          <t>1</t>
        </is>
      </c>
      <c r="J137" t="inlineStr"/>
      <c r="K137" t="inlineStr"/>
      <c r="L137" t="inlineStr"/>
      <c r="M137" t="inlineStr"/>
      <c r="N137" t="inlineStr"/>
      <c r="O137" t="n">
        <v>0</v>
      </c>
      <c r="P137">
        <f>IF(B159=0,0,O137/B159)</f>
        <v/>
      </c>
      <c r="Q137">
        <f>IFERROR(1/IF(Inputs!$B$4="pvp",15,MAX(0.1,Skills!D18-IF(Skills!E18=TRUE,Inputs!$B$31,0))),0)</f>
        <v/>
      </c>
      <c r="R137">
        <f>IF(AND(Inputs!$B$4&lt;&gt;"pvp",Inputs!$B$35&gt;0),(INT(Inputs!$B$35/IF(Inputs!$B$4="pvp",15,MAX(0.1,Skills!D18-IF(Skills!E18=TRUE,Inputs!$B$31,0))))+1),0)</f>
        <v/>
      </c>
      <c r="S137">
        <f>IFERROR(O137/N137,0)</f>
        <v/>
      </c>
    </row>
    <row r="138">
      <c r="A138">
        <f>Skills!A19</f>
        <v/>
      </c>
      <c r="B138">
        <f>Skills!B19</f>
        <v/>
      </c>
      <c r="C138">
        <f>Inputs!$B$3&gt;=15</f>
        <v/>
      </c>
      <c r="D138">
        <f>IF(Skills!C19=1,60+Inputs!$B$24+Inputs!$B$28,IF(Skills!C19=2,90+Inputs!$B$25+Inputs!$B$28,IF(Skills!C19=3,120+Inputs!$B$26+Inputs!$B$28,MAX(0,(Inputs!$B$3-100)*3)+Inputs!$B$27+Inputs!$B$28)))</f>
        <v/>
      </c>
      <c r="E138">
        <f>INDEX(FactorTable!$B$2:$Y$301, MATCH(ROUND(MIN(300,MAX(1,D138)),0), FactorTable!$A$2:$A$301,0), Skills!M19+1)</f>
        <v/>
      </c>
      <c r="F138">
        <f>IF(Skills!N19=TRUE,(Skills!L19/10)*(E138/1000),Skills!L19/10)+Skills!O19</f>
        <v/>
      </c>
      <c r="G138">
        <f>Skills!G19*IF(Skills!H19&gt;0,Skills!I19/Skills!H19,1)</f>
        <v/>
      </c>
      <c r="H138">
        <f>1-(1-Skills!J19/100)^Skills!K19</f>
        <v/>
      </c>
      <c r="I138" t="inlineStr">
        <is>
          <t>1</t>
        </is>
      </c>
      <c r="J138" t="inlineStr"/>
      <c r="K138" t="inlineStr"/>
      <c r="L138" t="inlineStr"/>
      <c r="M138" t="inlineStr"/>
      <c r="N138" t="inlineStr"/>
      <c r="O138" t="n">
        <v>0</v>
      </c>
      <c r="P138">
        <f>IF(B159=0,0,O138/B159)</f>
        <v/>
      </c>
      <c r="Q138" t="n">
        <v>0</v>
      </c>
      <c r="R138" t="n">
        <v>0</v>
      </c>
      <c r="S138">
        <f>IFERROR(O138/N138,0)</f>
        <v/>
      </c>
    </row>
    <row r="139">
      <c r="A139">
        <f>Skills!A20</f>
        <v/>
      </c>
      <c r="B139">
        <f>Skills!B20</f>
        <v/>
      </c>
      <c r="C139">
        <f>Inputs!$B$3&gt;=10</f>
        <v/>
      </c>
      <c r="D139">
        <f>IF(Skills!C20=1,60+Inputs!$B$24+Inputs!$B$28,IF(Skills!C20=2,90+Inputs!$B$25+Inputs!$B$28,IF(Skills!C20=3,120+Inputs!$B$26+Inputs!$B$28,MAX(0,(Inputs!$B$3-100)*3)+Inputs!$B$27+Inputs!$B$28)))</f>
        <v/>
      </c>
      <c r="E139">
        <f>INDEX(FactorTable!$B$2:$Y$301, MATCH(ROUND(MIN(300,MAX(1,D139)),0), FactorTable!$A$2:$A$301,0), Skills!M20+1)</f>
        <v/>
      </c>
      <c r="F139">
        <f>IF(Skills!N20=TRUE,(Skills!L20/10)*(E139/1000),Skills!L20/10)+Skills!O20</f>
        <v/>
      </c>
      <c r="G139">
        <f>Skills!G20*IF(Skills!H20&gt;0,Skills!I20/Skills!H20,1)</f>
        <v/>
      </c>
      <c r="H139">
        <f>1-(1-Skills!J20/100)^Skills!K20</f>
        <v/>
      </c>
      <c r="I139" t="inlineStr">
        <is>
          <t>1</t>
        </is>
      </c>
      <c r="J139" t="inlineStr"/>
      <c r="K139" t="inlineStr"/>
      <c r="L139" t="inlineStr"/>
      <c r="M139" t="inlineStr"/>
      <c r="N139" t="inlineStr"/>
      <c r="O139" t="n">
        <v>0</v>
      </c>
      <c r="P139">
        <f>IF(B159=0,0,O139/B159)</f>
        <v/>
      </c>
      <c r="Q139" t="n">
        <v>0</v>
      </c>
      <c r="R139" t="n">
        <v>0</v>
      </c>
      <c r="S139">
        <f>IFERROR(O139/N139,0)</f>
        <v/>
      </c>
    </row>
    <row r="140">
      <c r="A140">
        <f>Skills!A21</f>
        <v/>
      </c>
      <c r="B140">
        <f>Skills!B21</f>
        <v/>
      </c>
      <c r="C140">
        <f>Inputs!$B$3&gt;=33</f>
        <v/>
      </c>
      <c r="D140">
        <f>IF(Skills!C21=1,60+Inputs!$B$24+Inputs!$B$28,IF(Skills!C21=2,90+Inputs!$B$25+Inputs!$B$28,IF(Skills!C21=3,120+Inputs!$B$26+Inputs!$B$28,MAX(0,(Inputs!$B$3-100)*3)+Inputs!$B$27+Inputs!$B$28)))</f>
        <v/>
      </c>
      <c r="E140">
        <f>INDEX(FactorTable!$B$2:$Y$301, MATCH(ROUND(MIN(300,MAX(1,D140)),0), FactorTable!$A$2:$A$301,0), Skills!M21+1)</f>
        <v/>
      </c>
      <c r="F140">
        <f>IF(Skills!N21=TRUE,(Skills!L21/10)*(E140/1000),Skills!L21/10)+Skills!O21</f>
        <v/>
      </c>
      <c r="G140">
        <f>Skills!G21*IF(Skills!H21&gt;0,Skills!I21/Skills!H21,1)</f>
        <v/>
      </c>
      <c r="H140">
        <f>1-(1-Skills!J21/100)^Skills!K21</f>
        <v/>
      </c>
      <c r="I140" t="inlineStr">
        <is>
          <t>1</t>
        </is>
      </c>
      <c r="J140" t="inlineStr"/>
      <c r="K140" t="inlineStr"/>
      <c r="L140" t="inlineStr"/>
      <c r="M140" t="inlineStr"/>
      <c r="N140" t="inlineStr"/>
      <c r="O140" t="n">
        <v>0</v>
      </c>
      <c r="P140">
        <f>IF(B159=0,0,O140/B159)</f>
        <v/>
      </c>
      <c r="Q140" t="n">
        <v>0</v>
      </c>
      <c r="R140" t="n">
        <v>0</v>
      </c>
      <c r="S140">
        <f>IFERROR(O140/N140,0)</f>
        <v/>
      </c>
    </row>
    <row r="141">
      <c r="A141">
        <f>Skills!A22</f>
        <v/>
      </c>
      <c r="B141">
        <f>Skills!B22</f>
        <v/>
      </c>
      <c r="C141">
        <f>Inputs!$B$3&gt;=38</f>
        <v/>
      </c>
      <c r="D141">
        <f>IF(Skills!C22=1,60+Inputs!$B$24+Inputs!$B$28,IF(Skills!C22=2,90+Inputs!$B$25+Inputs!$B$28,IF(Skills!C22=3,120+Inputs!$B$26+Inputs!$B$28,MAX(0,(Inputs!$B$3-100)*3)+Inputs!$B$27+Inputs!$B$28)))</f>
        <v/>
      </c>
      <c r="E141">
        <f>INDEX(FactorTable!$B$2:$Y$301, MATCH(ROUND(MIN(300,MAX(1,D141)),0), FactorTable!$A$2:$A$301,0), Skills!M22+1)</f>
        <v/>
      </c>
      <c r="F141">
        <f>IF(Skills!N22=TRUE,(Skills!L22/10)*(E141/1000),Skills!L22/10)+Skills!O22</f>
        <v/>
      </c>
      <c r="G141">
        <f>Skills!G22*IF(Skills!H22&gt;0,Skills!I22/Skills!H22,1)</f>
        <v/>
      </c>
      <c r="H141">
        <f>1-(1-Skills!J22/100)^Skills!K22</f>
        <v/>
      </c>
      <c r="I141" t="inlineStr">
        <is>
          <t>1</t>
        </is>
      </c>
      <c r="J141" t="inlineStr"/>
      <c r="K141" t="inlineStr"/>
      <c r="L141" t="inlineStr"/>
      <c r="M141" t="inlineStr"/>
      <c r="N141" t="inlineStr"/>
      <c r="O141" t="n">
        <v>0</v>
      </c>
      <c r="P141">
        <f>IF(B159=0,0,O141/B159)</f>
        <v/>
      </c>
      <c r="Q141" t="n">
        <v>0</v>
      </c>
      <c r="R141" t="n">
        <v>0</v>
      </c>
      <c r="S141">
        <f>IFERROR(O141/N141,0)</f>
        <v/>
      </c>
    </row>
    <row r="142">
      <c r="A142">
        <f>Skills!A23</f>
        <v/>
      </c>
      <c r="B142">
        <f>Skills!B23</f>
        <v/>
      </c>
      <c r="C142">
        <f>Inputs!$B$3&gt;=43</f>
        <v/>
      </c>
      <c r="D142">
        <f>IF(Skills!C23=1,60+Inputs!$B$24+Inputs!$B$28,IF(Skills!C23=2,90+Inputs!$B$25+Inputs!$B$28,IF(Skills!C23=3,120+Inputs!$B$26+Inputs!$B$28,MAX(0,(Inputs!$B$3-100)*3)+Inputs!$B$27+Inputs!$B$28)))</f>
        <v/>
      </c>
      <c r="E142">
        <f>INDEX(FactorTable!$B$2:$Y$301, MATCH(ROUND(MIN(300,MAX(1,D142)),0), FactorTable!$A$2:$A$301,0), Skills!M23+1)</f>
        <v/>
      </c>
      <c r="F142">
        <f>IF(Skills!N23=TRUE,(Skills!L23/10)*(E142/1000),Skills!L23/10)+Skills!O23</f>
        <v/>
      </c>
      <c r="G142">
        <f>Skills!G23*IF(Skills!H23&gt;0,Skills!I23/Skills!H23,1)</f>
        <v/>
      </c>
      <c r="H142">
        <f>1-(1-Skills!J23/100)^Skills!K23</f>
        <v/>
      </c>
      <c r="I142" t="inlineStr">
        <is>
          <t>1</t>
        </is>
      </c>
      <c r="J142" t="inlineStr"/>
      <c r="K142" t="inlineStr"/>
      <c r="L142" t="inlineStr"/>
      <c r="M142" t="inlineStr"/>
      <c r="N142" t="inlineStr"/>
      <c r="O142" t="n">
        <v>0</v>
      </c>
      <c r="P142">
        <f>IF(B159=0,0,O142/B159)</f>
        <v/>
      </c>
      <c r="Q142" t="n">
        <v>0</v>
      </c>
      <c r="R142" t="n">
        <v>0</v>
      </c>
      <c r="S142">
        <f>IFERROR(O142/N142,0)</f>
        <v/>
      </c>
    </row>
    <row r="143">
      <c r="A143">
        <f>Skills!A24</f>
        <v/>
      </c>
      <c r="B143">
        <f>Skills!B24</f>
        <v/>
      </c>
      <c r="C143">
        <f>Inputs!$B$3&gt;=75</f>
        <v/>
      </c>
      <c r="D143">
        <f>IF(Skills!C24=1,60+Inputs!$B$24+Inputs!$B$28,IF(Skills!C24=2,90+Inputs!$B$25+Inputs!$B$28,IF(Skills!C24=3,120+Inputs!$B$26+Inputs!$B$28,MAX(0,(Inputs!$B$3-100)*3)+Inputs!$B$27+Inputs!$B$28)))</f>
        <v/>
      </c>
      <c r="E143">
        <f>INDEX(FactorTable!$B$2:$Y$301, MATCH(ROUND(MIN(300,MAX(1,D143)),0), FactorTable!$A$2:$A$301,0), Skills!M24+1)</f>
        <v/>
      </c>
      <c r="F143">
        <f>IF(Skills!N24=TRUE,(Skills!L24/10)*(E143/1000),Skills!L24/10)+Skills!O24</f>
        <v/>
      </c>
      <c r="G143">
        <f>Skills!G24*IF(Skills!H24&gt;0,Skills!I24/Skills!H24,1)</f>
        <v/>
      </c>
      <c r="H143">
        <f>1-(1-Skills!J24/100)^Skills!K24</f>
        <v/>
      </c>
      <c r="I143" t="inlineStr">
        <is>
          <t>1</t>
        </is>
      </c>
      <c r="J143" t="inlineStr"/>
      <c r="K143" t="inlineStr"/>
      <c r="L143" t="inlineStr"/>
      <c r="M143" t="inlineStr"/>
      <c r="N143" t="inlineStr"/>
      <c r="O143" t="n">
        <v>0</v>
      </c>
      <c r="P143">
        <f>IF(B159=0,0,O143/B159)</f>
        <v/>
      </c>
      <c r="Q143" t="n">
        <v>0</v>
      </c>
      <c r="R143" t="n">
        <v>0</v>
      </c>
      <c r="S143">
        <f>IFERROR(O143/N143,0)</f>
        <v/>
      </c>
    </row>
    <row r="144">
      <c r="A144">
        <f>Skills!A25</f>
        <v/>
      </c>
      <c r="B144">
        <f>Skills!B25</f>
        <v/>
      </c>
      <c r="C144">
        <f>Inputs!$B$3&gt;=125</f>
        <v/>
      </c>
      <c r="D144">
        <f>IF(Skills!C25=1,60+Inputs!$B$24+Inputs!$B$28,IF(Skills!C25=2,90+Inputs!$B$25+Inputs!$B$28,IF(Skills!C25=3,120+Inputs!$B$26+Inputs!$B$28,MAX(0,(Inputs!$B$3-100)*3)+Inputs!$B$27+Inputs!$B$28)))</f>
        <v/>
      </c>
      <c r="E144">
        <f>INDEX(FactorTable!$B$2:$Y$301, MATCH(ROUND(MIN(300,MAX(1,D144)),0), FactorTable!$A$2:$A$301,0), Skills!M25+1)</f>
        <v/>
      </c>
      <c r="F144">
        <f>IF(Skills!N25=TRUE,(Skills!L25/10)*(E144/1000),Skills!L25/10)+Skills!O25</f>
        <v/>
      </c>
      <c r="G144">
        <f>Skills!G25*IF(Skills!H25&gt;0,Skills!I25/Skills!H25,1)</f>
        <v/>
      </c>
      <c r="H144">
        <f>1-(1-Skills!J25/100)^Skills!K25</f>
        <v/>
      </c>
      <c r="I144" t="inlineStr">
        <is>
          <t>1</t>
        </is>
      </c>
      <c r="J144" t="inlineStr"/>
      <c r="K144" t="inlineStr"/>
      <c r="L144" t="inlineStr"/>
      <c r="M144" t="inlineStr"/>
      <c r="N144" t="inlineStr"/>
      <c r="O144" t="n">
        <v>0</v>
      </c>
      <c r="P144">
        <f>IF(B159=0,0,O144/B159)</f>
        <v/>
      </c>
      <c r="Q144" t="n">
        <v>0</v>
      </c>
      <c r="R144" t="n">
        <v>0</v>
      </c>
      <c r="S144">
        <f>IFERROR(O144/N144,0)</f>
        <v/>
      </c>
    </row>
    <row r="145">
      <c r="A145">
        <f>Skills!A26</f>
        <v/>
      </c>
      <c r="B145">
        <f>Skills!B26</f>
        <v/>
      </c>
      <c r="C145">
        <f>Inputs!$B$3&gt;=125</f>
        <v/>
      </c>
      <c r="D145">
        <f>IF(Skills!C26=1,60+Inputs!$B$24+Inputs!$B$28,IF(Skills!C26=2,90+Inputs!$B$25+Inputs!$B$28,IF(Skills!C26=3,120+Inputs!$B$26+Inputs!$B$28,MAX(0,(Inputs!$B$3-100)*3)+Inputs!$B$27+Inputs!$B$28)))</f>
        <v/>
      </c>
      <c r="E145">
        <f>INDEX(FactorTable!$B$2:$Y$301, MATCH(ROUND(MIN(300,MAX(1,D145)),0), FactorTable!$A$2:$A$301,0), Skills!M26+1)</f>
        <v/>
      </c>
      <c r="F145">
        <f>IF(Skills!N26=TRUE,(Skills!L26/10)*(E145/1000),Skills!L26/10)+Skills!O26</f>
        <v/>
      </c>
      <c r="G145">
        <f>Skills!G26*IF(Skills!H26&gt;0,Skills!I26/Skills!H26,1)</f>
        <v/>
      </c>
      <c r="H145">
        <f>1-(1-Skills!J26/100)^Skills!K26</f>
        <v/>
      </c>
      <c r="I145" t="inlineStr">
        <is>
          <t>1</t>
        </is>
      </c>
      <c r="J145" t="inlineStr"/>
      <c r="K145" t="inlineStr"/>
      <c r="L145" t="inlineStr"/>
      <c r="M145" t="inlineStr"/>
      <c r="N145" t="inlineStr"/>
      <c r="O145" t="n">
        <v>0</v>
      </c>
      <c r="P145">
        <f>IF(B159=0,0,O145/B159)</f>
        <v/>
      </c>
      <c r="Q145" t="n">
        <v>0</v>
      </c>
      <c r="R145" t="n">
        <v>0</v>
      </c>
      <c r="S145">
        <f>IFERROR(O145/N145,0)</f>
        <v/>
      </c>
    </row>
    <row r="146">
      <c r="A146">
        <f>Skills!A27</f>
        <v/>
      </c>
      <c r="B146">
        <f>Skills!B27</f>
        <v/>
      </c>
      <c r="C146">
        <f>Inputs!$B$3&gt;=120</f>
        <v/>
      </c>
      <c r="D146">
        <f>IF(Skills!C27=1,60+Inputs!$B$24+Inputs!$B$28,IF(Skills!C27=2,90+Inputs!$B$25+Inputs!$B$28,IF(Skills!C27=3,120+Inputs!$B$26+Inputs!$B$28,MAX(0,(Inputs!$B$3-100)*3)+Inputs!$B$27+Inputs!$B$28)))</f>
        <v/>
      </c>
      <c r="E146">
        <f>INDEX(FactorTable!$B$2:$Y$301, MATCH(ROUND(MIN(300,MAX(1,D146)),0), FactorTable!$A$2:$A$301,0), Skills!M27+1)</f>
        <v/>
      </c>
      <c r="F146">
        <f>IF(Skills!N27=TRUE,(Skills!L27/10)*(E146/1000),Skills!L27/10)+Skills!O27</f>
        <v/>
      </c>
      <c r="G146">
        <f>Skills!G27*IF(Skills!H27&gt;0,Skills!I27/Skills!H27,1)</f>
        <v/>
      </c>
      <c r="H146">
        <f>1-(1-Skills!J27/100)^Skills!K27</f>
        <v/>
      </c>
      <c r="I146" t="inlineStr">
        <is>
          <t>1</t>
        </is>
      </c>
      <c r="J146" t="inlineStr"/>
      <c r="K146" t="inlineStr"/>
      <c r="L146" t="inlineStr"/>
      <c r="M146" t="inlineStr"/>
      <c r="N146" t="inlineStr"/>
      <c r="O146" t="n">
        <v>0</v>
      </c>
      <c r="P146">
        <f>IF(B159=0,0,O146/B159)</f>
        <v/>
      </c>
      <c r="Q146" t="n">
        <v>0</v>
      </c>
      <c r="R146" t="n">
        <v>0</v>
      </c>
      <c r="S146">
        <f>IFERROR(O146/N146,0)</f>
        <v/>
      </c>
    </row>
    <row r="147">
      <c r="A147">
        <f>Skills!A28</f>
        <v/>
      </c>
      <c r="B147">
        <f>Skills!B28</f>
        <v/>
      </c>
      <c r="C147">
        <f>Inputs!$B$3&gt;=120</f>
        <v/>
      </c>
      <c r="D147">
        <f>IF(Skills!C28=1,60+Inputs!$B$24+Inputs!$B$28,IF(Skills!C28=2,90+Inputs!$B$25+Inputs!$B$28,IF(Skills!C28=3,120+Inputs!$B$26+Inputs!$B$28,MAX(0,(Inputs!$B$3-100)*3)+Inputs!$B$27+Inputs!$B$28)))</f>
        <v/>
      </c>
      <c r="E147">
        <f>INDEX(FactorTable!$B$2:$Y$301, MATCH(ROUND(MIN(300,MAX(1,D147)),0), FactorTable!$A$2:$A$301,0), Skills!M28+1)</f>
        <v/>
      </c>
      <c r="F147">
        <f>IF(Skills!N28=TRUE,(Skills!L28/10)*(E147/1000),Skills!L28/10)+Skills!O28</f>
        <v/>
      </c>
      <c r="G147">
        <f>Skills!G28*IF(Skills!H28&gt;0,Skills!I28/Skills!H28,1)</f>
        <v/>
      </c>
      <c r="H147">
        <f>1-(1-Skills!J28/100)^Skills!K28</f>
        <v/>
      </c>
      <c r="I147" t="inlineStr">
        <is>
          <t>1</t>
        </is>
      </c>
      <c r="J147" t="inlineStr"/>
      <c r="K147" t="inlineStr"/>
      <c r="L147" t="inlineStr"/>
      <c r="M147" t="inlineStr"/>
      <c r="N147" t="inlineStr"/>
      <c r="O147" t="n">
        <v>0</v>
      </c>
      <c r="P147">
        <f>IF(B159=0,0,O147/B159)</f>
        <v/>
      </c>
      <c r="Q147" t="n">
        <v>0</v>
      </c>
      <c r="R147" t="n">
        <v>0</v>
      </c>
      <c r="S147">
        <f>IFERROR(O147/N147,0)</f>
        <v/>
      </c>
    </row>
    <row r="148">
      <c r="A148">
        <f>Skills!A29</f>
        <v/>
      </c>
      <c r="B148">
        <f>Skills!B29</f>
        <v/>
      </c>
      <c r="C148">
        <f>Inputs!$B$3&gt;=45</f>
        <v/>
      </c>
      <c r="D148">
        <f>IF(Skills!C29=1,60+Inputs!$B$24+Inputs!$B$28,IF(Skills!C29=2,90+Inputs!$B$25+Inputs!$B$28,IF(Skills!C29=3,120+Inputs!$B$26+Inputs!$B$28,MAX(0,(Inputs!$B$3-100)*3)+Inputs!$B$27+Inputs!$B$28)))</f>
        <v/>
      </c>
      <c r="E148">
        <f>INDEX(FactorTable!$B$2:$Y$301, MATCH(ROUND(MIN(300,MAX(1,D148)),0), FactorTable!$A$2:$A$301,0), Skills!M29+1)</f>
        <v/>
      </c>
      <c r="F148">
        <f>IF(Skills!N29=TRUE,(Skills!L29/10)*(E148/1000),Skills!L29/10)+Skills!O29</f>
        <v/>
      </c>
      <c r="G148">
        <f>Skills!G29*IF(Skills!H29&gt;0,Skills!I29/Skills!H29,1)</f>
        <v/>
      </c>
      <c r="H148">
        <f>1-(1-Skills!J29/100)^Skills!K29</f>
        <v/>
      </c>
      <c r="I148" t="inlineStr">
        <is>
          <t>1</t>
        </is>
      </c>
      <c r="J148" t="inlineStr"/>
      <c r="K148" t="inlineStr"/>
      <c r="L148" t="inlineStr"/>
      <c r="M148" t="inlineStr"/>
      <c r="N148" t="inlineStr"/>
      <c r="O148" t="n">
        <v>0</v>
      </c>
      <c r="P148">
        <f>IF(B159=0,0,O148/B159)</f>
        <v/>
      </c>
      <c r="Q148" t="n">
        <v>0</v>
      </c>
      <c r="R148" t="n">
        <v>0</v>
      </c>
      <c r="S148">
        <f>IFERROR(O148/N148,0)</f>
        <v/>
      </c>
    </row>
    <row r="150">
      <c r="A150" t="inlineStr">
        <is>
          <t>Attack% Bucket Multiplier</t>
        </is>
      </c>
      <c r="B150">
        <f>(1+(((C132=TRUE)*F132)+((C133=TRUE)*IF(Inputs!$B$4="pvp",F133,(1-Summary!$B$55)*(F133)+Summary!$B$55*(0)))+((C134=TRUE)*F134*IF(AND(Inputs!$B$4&lt;&gt;"pvp",Inputs!$B$35&gt;0),(((S134-1)*(Skills!T15*(1+Inputs!$B$33/100))+MIN((Skills!T15*(1+Inputs!$B$33/100)),MAX(0,Inputs!$B$35-((S134-1)*Skills!D15))))/Inputs!$B$35),IF(Inputs!$B$4="pvp",MIN((Skills!T15*(1+Inputs!$B$33/100)),15)/15,(Skills!T15*(1+Inputs!$B$33/100))/Skills!D15)))+((C131=TRUE)*F131)+((C148=TRUE)*(F148-Calc!F29)))/100)</f>
        <v/>
      </c>
    </row>
    <row r="151">
      <c r="A151" t="inlineStr">
        <is>
          <t>Global Crit Rate Bonus %</t>
        </is>
      </c>
      <c r="B151">
        <f>(C135=TRUE)*20*IF(AND(Inputs!$B$4&lt;&gt;"pvp",Inputs!$B$35&gt;0),(((S135-1)*(Skills!T16*(1+Inputs!$B$33/100))+MIN((Skills!T16*(1+Inputs!$B$33/100)),MAX(0,Inputs!$B$35-((S135-1)*Skills!D16))))/Inputs!$B$35),IF(Inputs!$B$4="pvp",MIN((Skills!T16*(1+Inputs!$B$33/100)),15)/15,(Skills!T16*(1+Inputs!$B$33/100))/Skills!D16))</f>
        <v/>
      </c>
    </row>
    <row r="152">
      <c r="A152" t="inlineStr">
        <is>
          <t>Attack Speed Buff Bonus %</t>
        </is>
      </c>
      <c r="B152">
        <f>((C137=TRUE)*F137*IF(AND(Inputs!$B$4&lt;&gt;"pvp",Inputs!$B$35&gt;0),(((S137-1)*(Skills!T18*(1+Inputs!$B$33/100))+MIN((Skills!T18*(1+Inputs!$B$33/100)),MAX(0,Inputs!$B$35-((S137-1)*Skills!D18))))/Inputs!$B$35),IF(Inputs!$B$4="pvp",MIN((Skills!T18*(1+Inputs!$B$33/100)),15)/15,(Skills!T18*(1+Inputs!$B$33/100))/Skills!D18)))</f>
        <v/>
      </c>
    </row>
    <row r="153">
      <c r="A153" t="inlineStr">
        <is>
          <t>Actions Per Second</t>
        </is>
      </c>
      <c r="B153">
        <f>1+MIN(150,150*(1-(1-(Inputs!$B$10+((C139=TRUE)*(F139-Calc!F20))+((C140=TRUE)*(F140-Calc!F21)))/150)*(1-B152/150)))/100</f>
        <v/>
      </c>
    </row>
    <row r="154">
      <c r="A154" t="inlineStr">
        <is>
          <t>Skill + Buff Cast Rate</t>
        </is>
      </c>
      <c r="B154">
        <f>IF(AND(Inputs!$B$4&lt;&gt;"pvp",Inputs!$B$35&gt;0),SUMPRODUCT((Skills!E2:E29=TRUE)*(C121:C148=TRUE)*R121:R148*Skills!F2:F29)/Inputs!$B$35,SUMPRODUCT((Skills!E2:E29=TRUE)*(C121:C148=TRUE)*Q121:Q148*Skills!F2:F29))</f>
        <v/>
      </c>
    </row>
    <row r="155">
      <c r="A155" t="inlineStr">
        <is>
          <t>Empowered Piercing Arrow Casts Per Second</t>
        </is>
      </c>
      <c r="B155">
        <f>MAX(0,B153-B154)</f>
        <v/>
      </c>
    </row>
    <row r="156">
      <c r="A156" t="inlineStr">
        <is>
          <t>Global Critical Damage Bonus % (Sharp Eyes)</t>
        </is>
      </c>
      <c r="B156">
        <f>(C135=TRUE)*F135*IF(AND(Inputs!$B$4&lt;&gt;"pvp",Inputs!$B$35&gt;0),(((S135-1)*(Skills!T16*(1+Inputs!$B$33/100))+MIN((Skills!T16*(1+Inputs!$B$33/100)),MAX(0,Inputs!$B$35-((S135-1)*Skills!D16))))/Inputs!$B$35),IF(Inputs!$B$4="pvp",MIN((Skills!T16*(1+Inputs!$B$33/100)),15)/15,(Skills!T16*(1+Inputs!$B$33/100))/Skills!D16))</f>
        <v/>
      </c>
    </row>
    <row r="157">
      <c r="A157" t="inlineStr">
        <is>
          <t>Global Final Damage Bonus % (Mortal Blow + Last Man Standing conditional half)</t>
        </is>
      </c>
      <c r="B157">
        <f>(C136=TRUE)*F136+((C145=TRUE)*IF(Inputs!$B$4="pvp",F145,(1-Summary!$B$55)*(F145)+Summary!$B$55*(0)))</f>
        <v/>
      </c>
    </row>
    <row r="159">
      <c r="A159" s="5" t="inlineStr">
        <is>
          <t>TOTAL DPS</t>
        </is>
      </c>
      <c r="B159" s="5">
        <f>SUM(O121:O148)</f>
        <v/>
      </c>
    </row>
    <row r="162">
      <c r="A162" s="5" t="inlineStr">
        <is>
          <t>Stat: DAMAGE %</t>
        </is>
      </c>
    </row>
    <row r="163">
      <c r="A163" s="8" t="inlineStr">
        <is>
          <t>Key</t>
        </is>
      </c>
      <c r="B163" s="8" t="inlineStr">
        <is>
          <t>Name</t>
        </is>
      </c>
      <c r="C163" s="8" t="inlineStr">
        <is>
          <t>Unlocked</t>
        </is>
      </c>
      <c r="D163" s="8" t="inlineStr">
        <is>
          <t>InputLevel</t>
        </is>
      </c>
      <c r="E163" s="8" t="inlineStr">
        <is>
          <t>Factor</t>
        </is>
      </c>
      <c r="F163" s="8" t="inlineStr">
        <is>
          <t>CoefficientPercent</t>
        </is>
      </c>
      <c r="G163" s="8" t="inlineStr">
        <is>
          <t>EffectiveHits</t>
        </is>
      </c>
      <c r="H163" s="8" t="inlineStr">
        <is>
          <t>ProcProbability</t>
        </is>
      </c>
      <c r="I163" s="8" t="inlineStr">
        <is>
          <t>MapleHeroMultiplier</t>
        </is>
      </c>
      <c r="J163" s="8" t="inlineStr">
        <is>
          <t>BaseDamage</t>
        </is>
      </c>
      <c r="K163" s="8" t="inlineStr">
        <is>
          <t>BaseHitDamage</t>
        </is>
      </c>
      <c r="L163" s="8" t="inlineStr">
        <is>
          <t>NonCritAvg</t>
        </is>
      </c>
      <c r="M163" s="8" t="inlineStr">
        <is>
          <t>CritAvg</t>
        </is>
      </c>
      <c r="N163" s="8" t="inlineStr">
        <is>
          <t>ExpectedDamage(perHit)</t>
        </is>
      </c>
      <c r="O163" s="8" t="inlineStr">
        <is>
          <t>DPS</t>
        </is>
      </c>
      <c r="P163" s="8" t="inlineStr">
        <is>
          <t>% of Total</t>
        </is>
      </c>
      <c r="Q163" s="8" t="inlineStr">
        <is>
          <t>InvCooldown</t>
        </is>
      </c>
      <c r="R163" s="8" t="inlineStr">
        <is>
          <t>CastsInFight</t>
        </is>
      </c>
      <c r="S163" s="8" t="inlineStr">
        <is>
          <t>HitRate(perSec)</t>
        </is>
      </c>
      <c r="U163" t="inlineStr">
        <is>
          <t>helpers</t>
        </is>
      </c>
    </row>
    <row r="164">
      <c r="A164">
        <f>Skills!A2</f>
        <v/>
      </c>
      <c r="B164">
        <f>Skills!B2</f>
        <v/>
      </c>
      <c r="C164">
        <f>Inputs!$B$3&gt;=100</f>
        <v/>
      </c>
      <c r="D164" t="inlineStr"/>
      <c r="E164" t="inlineStr"/>
      <c r="F164">
        <f>U166+Skills!O2</f>
        <v/>
      </c>
      <c r="G164">
        <f>Skills!G2*IF(Skills!H2&gt;0,Skills!I2/Skills!H2,1)</f>
        <v/>
      </c>
      <c r="H164">
        <f>1-(1-Skills!J2/100)^Skills!K2</f>
        <v/>
      </c>
      <c r="I164" t="inlineStr">
        <is>
          <t>1</t>
        </is>
      </c>
      <c r="J164">
        <f>(Inputs!$B$5*(1+Inputs!$B$6/100))*(F164/100)</f>
        <v/>
      </c>
      <c r="K164">
        <f>J164*(1+((Inputs!$B$11*(1+Inputs!$B$12/100))*0.01+Inputs!$B$13*0.0025)/100)*(1+(Inputs!$B$14+1)/100)*(1+IF(Inputs!$B$4="pvp",0,(1-Summary!$B$55)*(Inputs!$B$19+0+Skills!P2)+Summary!$B$55*(Inputs!$B$20+Skills!Q2))/100)*(1+Inputs!$B$15/100)*(5000/(6000+Inputs!$B$7*(1-(Inputs!$B$18+0)/100)))*(1+(Inputs!$B$23+((C186=TRUE)*(F186-Calc!F24))+((C187=TRUE)*(F187-Calc!F25))+B200)/100)*(1+(IF(Skills!A2="EMPOWERED_PIERCING_ARROW",Inputs!$B$16+((C184=TRUE)*(F184-Calc!F22)),Inputs!$B$17+((C189=TRUE)*(F189-Calc!F27))))/100)*((1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I164)</f>
        <v/>
      </c>
      <c r="L164">
        <f>K164*(MIN(Inputs!$B$21+((C185=TRUE)*(F185-Calc!F23)),Inputs!$B$22+((C190=TRUE)*(F190-Calc!F28)))/100+(Inputs!$B$22+((C190=TRUE)*(F190-Calc!F28)))/100)/2</f>
        <v/>
      </c>
      <c r="M164">
        <f>L164*(1+(Inputs!$B$9+0+B199)/100)</f>
        <v/>
      </c>
      <c r="N164">
        <f>L164*(1-MIN((Inputs!$B$8+((C181=TRUE)*(F181-Calc!F19))+B194),100)/100)+M164*(MIN((Inputs!$B$8+((C181=TRUE)*(F181-Calc!F19))+B194),100)/100)</f>
        <v/>
      </c>
      <c r="O164">
        <f>IF(C164,Skills!G2*N164*B198*IF(Inputs!$B$4="pvp",1,(1-Summary!$B$55)*(1)+Summary!$B$55*(MIN((6+Inputs!$B$32),Inputs!$B$37))),0)</f>
        <v/>
      </c>
      <c r="P164">
        <f>IF(B202=0,0,O164/B202)</f>
        <v/>
      </c>
      <c r="Q164" t="n">
        <v>0</v>
      </c>
      <c r="R164" t="n">
        <v>0</v>
      </c>
      <c r="S164">
        <f>IFERROR(O164/N164,0)</f>
        <v/>
      </c>
      <c r="U164">
        <f>MAX(0,(Inputs!$B$3-100)*3)+Inputs!$B$27+Inputs!$B$28</f>
        <v/>
      </c>
    </row>
    <row r="165">
      <c r="A165">
        <f>Skills!A3</f>
        <v/>
      </c>
      <c r="B165">
        <f>Skills!B3</f>
        <v/>
      </c>
      <c r="C165">
        <f>Inputs!$B$3&gt;=50</f>
        <v/>
      </c>
      <c r="D165">
        <f>IF(Skills!C3=1,60+Inputs!$B$24+Inputs!$B$28,IF(Skills!C3=2,90+Inputs!$B$25+Inputs!$B$28,IF(Skills!C3=3,120+Inputs!$B$26+Inputs!$B$28,MAX(0,(Inputs!$B$3-100)*3)+Inputs!$B$27+Inputs!$B$28)))</f>
        <v/>
      </c>
      <c r="E165">
        <f>INDEX(FactorTable!$B$2:$Y$301, MATCH(ROUND(MIN(300,MAX(1,D165)),0), FactorTable!$A$2:$A$301,0), Skills!M3+1)</f>
        <v/>
      </c>
      <c r="F165">
        <f>IF(Skills!N3=TRUE,(Skills!L3/10)*(E165/1000),Skills!L3/10)+Skills!O3</f>
        <v/>
      </c>
      <c r="G165" t="inlineStr"/>
      <c r="H165" t="inlineStr"/>
      <c r="I165" t="inlineStr">
        <is>
          <t>1</t>
        </is>
      </c>
      <c r="J165" t="inlineStr"/>
      <c r="K165" t="inlineStr"/>
      <c r="L165" t="inlineStr"/>
      <c r="M165" t="inlineStr"/>
      <c r="N165" t="inlineStr"/>
      <c r="O165" t="inlineStr"/>
      <c r="P165" t="inlineStr"/>
      <c r="Q165" t="inlineStr"/>
      <c r="R165" t="inlineStr"/>
      <c r="S165" t="inlineStr"/>
      <c r="U165">
        <f>INDEX(FactorTable!$B$2:$Y$301, MATCH(ROUND(MIN(300,MAX(1,U164)),0), FactorTable!$A$2:$A$301,0), 22)</f>
        <v/>
      </c>
    </row>
    <row r="166">
      <c r="A166">
        <f>Skills!A4</f>
        <v/>
      </c>
      <c r="B166">
        <f>Skills!B4</f>
        <v/>
      </c>
      <c r="C166">
        <f>Inputs!$B$3&gt;=105</f>
        <v/>
      </c>
      <c r="D166">
        <f>IF(Skills!C4=1,60+Inputs!$B$24+Inputs!$B$28,IF(Skills!C4=2,90+Inputs!$B$25+Inputs!$B$28,IF(Skills!C4=3,120+Inputs!$B$26+Inputs!$B$28,MAX(0,(Inputs!$B$3-100)*3)+Inputs!$B$27+Inputs!$B$28)))</f>
        <v/>
      </c>
      <c r="E166">
        <f>INDEX(FactorTable!$B$2:$Y$301, MATCH(ROUND(MIN(300,MAX(1,D166)),0), FactorTable!$A$2:$A$301,0), Skills!M4+1)</f>
        <v/>
      </c>
      <c r="F166">
        <f>IF(Skills!N4=TRUE,(Skills!L4/10)*(E166/1000),Skills!L4/10)+Skills!O4</f>
        <v/>
      </c>
      <c r="G166" t="inlineStr"/>
      <c r="H166" t="inlineStr"/>
      <c r="I166" t="inlineStr">
        <is>
          <t>1</t>
        </is>
      </c>
      <c r="J166" t="inlineStr"/>
      <c r="K166" t="inlineStr"/>
      <c r="L166" t="inlineStr"/>
      <c r="M166" t="inlineStr"/>
      <c r="N166" t="inlineStr"/>
      <c r="O166" t="inlineStr"/>
      <c r="P166" t="inlineStr"/>
      <c r="Q166" t="inlineStr"/>
      <c r="R166" t="inlineStr"/>
      <c r="S166" t="inlineStr"/>
      <c r="U166">
        <f>290*U165/1000</f>
        <v/>
      </c>
    </row>
    <row r="167">
      <c r="A167">
        <f>Skills!A5</f>
        <v/>
      </c>
      <c r="B167">
        <f>Skills!B5</f>
        <v/>
      </c>
      <c r="C167">
        <f>Inputs!$B$3&gt;=35</f>
        <v/>
      </c>
      <c r="D167">
        <f>IF(Skills!C5=1,60+Inputs!$B$24+Inputs!$B$28,IF(Skills!C5=2,90+Inputs!$B$25+Inputs!$B$28,IF(Skills!C5=3,120+Inputs!$B$26+Inputs!$B$28,MAX(0,(Inputs!$B$3-100)*3)+Inputs!$B$27+Inputs!$B$28)))</f>
        <v/>
      </c>
      <c r="E167">
        <f>INDEX(FactorTable!$B$2:$Y$301, MATCH(ROUND(MIN(300,MAX(1,D167)),0), FactorTable!$A$2:$A$301,0), Skills!M5+1)</f>
        <v/>
      </c>
      <c r="F167">
        <f>IF(Skills!N5=TRUE,(Skills!L5/10)*(E167/1000),Skills!L5/10)+Skills!O5</f>
        <v/>
      </c>
      <c r="G167">
        <f>Skills!G5*IF(Skills!H5&gt;0,Skills!I5/Skills!H5,1)</f>
        <v/>
      </c>
      <c r="H167">
        <f>1-(1-Skills!J5/100)^Skills!K5</f>
        <v/>
      </c>
      <c r="I167" t="inlineStr">
        <is>
          <t>1</t>
        </is>
      </c>
      <c r="J167">
        <f>(Inputs!$B$5*(1+Inputs!$B$6/100))*(F167/100)</f>
        <v/>
      </c>
      <c r="K167">
        <f>J167*(1+((Inputs!$B$11*(1+Inputs!$B$12/100))*0.01+Inputs!$B$13*0.0025)/100)*(1+(Inputs!$B$14+1)/100)*(1+IF(Inputs!$B$4="pvp",0,(1-Summary!$B$55)*(Inputs!$B$19+0+Skills!P5)+Summary!$B$55*(Inputs!$B$20+Skills!Q5))/100)*(1+Inputs!$B$15/100)*(5000/(6000+Inputs!$B$7*(1-(Inputs!$B$18+0)/100)))*(1+(Inputs!$B$23+((C186=TRUE)*(F186-Calc!F24))+((C187=TRUE)*(F187-Calc!F25))+B200)/100)*(1+4.0*IF(C170=TRUE,F170,0)/100)*(1+(IF(Skills!A5="EMPOWERED_PIERCING_ARROW",Inputs!$B$16+((C184=TRUE)*(F184-Calc!F22)),Inputs!$B$17+((C189=TRUE)*(F189-Calc!F27))))/100)*((1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I167)</f>
        <v/>
      </c>
      <c r="L167">
        <f>K167*(MIN(Inputs!$B$21+((C185=TRUE)*(F185-Calc!F23)),Inputs!$B$22+((C190=TRUE)*(F190-Calc!F28)))/100+(Inputs!$B$22+((C190=TRUE)*(F190-Calc!F28)))/100)/2</f>
        <v/>
      </c>
      <c r="M167">
        <f>L167*(1+(Inputs!$B$9+0+B199)/100)</f>
        <v/>
      </c>
      <c r="N167">
        <f>L167*(1-MIN((Inputs!$B$8+((C181=TRUE)*(F181-Calc!F19))+B194),100)/100)+M167*(MIN((Inputs!$B$8+((C181=TRUE)*(F181-Calc!F19))+B194),100)/100)</f>
        <v/>
      </c>
      <c r="O167">
        <f>IF(C167,H167*N167*IF(AND(Inputs!$B$4&lt;&gt;"pvp",Inputs!$B$35&gt;0),((Skills!G5*((R167-1)*IF(Skills!H5&gt;0,Skills!I5/Skills!H5,1)+IF(Skills!H5&gt;0,MIN(Skills!I5,MAX(0,Inputs!$B$35-((R167-1)*IF(Inputs!$B$4="pvp",15,MAX(0.1,Skills!D5-IF(Skills!E5=TRUE,Inputs!$B$31,0))))))/Skills!H5,1)))/Inputs!$B$35),G167*Q167)*IF(Inputs!$B$4="pvp",1,(1-Summary!$B$55)*(1)+Summary!$B$55*(MIN(Skills!R5,Inputs!$B$37))),0)</f>
        <v/>
      </c>
      <c r="P167">
        <f>IF(B202=0,0,O167/B202)</f>
        <v/>
      </c>
      <c r="Q167">
        <f>IFERROR(1/IF(Inputs!$B$4="pvp",15,MAX(0.1,Skills!D5-IF(Skills!E5=TRUE,Inputs!$B$31,0))),0)</f>
        <v/>
      </c>
      <c r="R167">
        <f>IF(AND(Inputs!$B$4&lt;&gt;"pvp",Inputs!$B$35&gt;0),(INT(Inputs!$B$35/IF(Inputs!$B$4="pvp",15,MAX(0.1,Skills!D5-IF(Skills!E5=TRUE,Inputs!$B$31,0))))+1),0)</f>
        <v/>
      </c>
      <c r="S167">
        <f>IFERROR(O167/N167,0)</f>
        <v/>
      </c>
    </row>
    <row r="168">
      <c r="A168">
        <f>Skills!A6</f>
        <v/>
      </c>
      <c r="B168">
        <f>Skills!B6</f>
        <v/>
      </c>
      <c r="C168">
        <f>Inputs!$B$3&gt;=63</f>
        <v/>
      </c>
      <c r="D168">
        <f>IF(Skills!C6=1,60+Inputs!$B$24+Inputs!$B$28,IF(Skills!C6=2,90+Inputs!$B$25+Inputs!$B$28,IF(Skills!C6=3,120+Inputs!$B$26+Inputs!$B$28,MAX(0,(Inputs!$B$3-100)*3)+Inputs!$B$27+Inputs!$B$28)))</f>
        <v/>
      </c>
      <c r="E168">
        <f>INDEX(FactorTable!$B$2:$Y$301, MATCH(ROUND(MIN(300,MAX(1,D168)),0), FactorTable!$A$2:$A$301,0), Skills!M6+1)</f>
        <v/>
      </c>
      <c r="F168">
        <f>IF(Skills!N6=TRUE,(Skills!L6/10)*(E168/1000),Skills!L6/10)+Skills!O6</f>
        <v/>
      </c>
      <c r="G168">
        <f>Skills!G6*IF(Skills!H6&gt;0,Skills!I6/Skills!H6,1)</f>
        <v/>
      </c>
      <c r="H168">
        <f>1-(1-Skills!J6/100)^Skills!K6</f>
        <v/>
      </c>
      <c r="I168" t="inlineStr">
        <is>
          <t>1</t>
        </is>
      </c>
      <c r="J168">
        <f>(Inputs!$B$5*(1+Inputs!$B$6/100))*(F168/100)</f>
        <v/>
      </c>
      <c r="K168">
        <f>J168*(1+((Inputs!$B$11*(1+Inputs!$B$12/100))*0.01+Inputs!$B$13*0.0025)/100)*(1+(Inputs!$B$14+1)/100)*(1+IF(Inputs!$B$4="pvp",0,(1-Summary!$B$55)*(Inputs!$B$19+0+Skills!P6)+Summary!$B$55*(Inputs!$B$20+Skills!Q6))/100)*(1+Inputs!$B$15/100)*(5000/(6000+Inputs!$B$7*(1-(Inputs!$B$18+0)/100)))*(1+(Inputs!$B$23+((C186=TRUE)*(F186-Calc!F24))+((C187=TRUE)*(F187-Calc!F25))+B200)/100)*(1+1.0*IF(C170=TRUE,F170,0)/100)*(1+(IF(Skills!A6="EMPOWERED_PIERCING_ARROW",Inputs!$B$16+((C184=TRUE)*(F184-Calc!F22)),Inputs!$B$17+((C189=TRUE)*(F189-Calc!F27))))/100)*((1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I168)</f>
        <v/>
      </c>
      <c r="L168">
        <f>K168*(MIN(Inputs!$B$21+((C185=TRUE)*(F185-Calc!F23)),Inputs!$B$22+((C190=TRUE)*(F190-Calc!F28)))/100+(Inputs!$B$22+((C190=TRUE)*(F190-Calc!F28)))/100)/2</f>
        <v/>
      </c>
      <c r="M168">
        <f>L168*(1+(Inputs!$B$9+0+B199)/100)</f>
        <v/>
      </c>
      <c r="N168">
        <f>L168*(1-MIN((Inputs!$B$8+((C181=TRUE)*(F181-Calc!F19))+B194),100)/100)+M168*(MIN((Inputs!$B$8+((C181=TRUE)*(F181-Calc!F19))+B194),100)/100)</f>
        <v/>
      </c>
      <c r="O168">
        <f>IF(C168,H168*N168*IF(AND(Inputs!$B$4&lt;&gt;"pvp",Inputs!$B$35&gt;0),((Skills!G6*((R168-1)*IF(Skills!H6&gt;0,Skills!I6/Skills!H6,1)+IF(Skills!H6&gt;0,MIN(Skills!I6,MAX(0,Inputs!$B$35-((R168-1)*IF(Inputs!$B$4="pvp",15,MAX(0.1,Skills!D6-IF(Skills!E6=TRUE,Inputs!$B$31,0))))))/Skills!H6,1)))/Inputs!$B$35),G168*Q168)*IF(Inputs!$B$4="pvp",1,(1-Summary!$B$55)*(1)+Summary!$B$55*(MIN(Skills!R6,Inputs!$B$37))),0)</f>
        <v/>
      </c>
      <c r="P168">
        <f>IF(B202=0,0,O168/B202)</f>
        <v/>
      </c>
      <c r="Q168">
        <f>IFERROR(1/IF(Inputs!$B$4="pvp",15,MAX(0.1,Skills!D6-IF(Skills!E6=TRUE,Inputs!$B$31,0))),0)</f>
        <v/>
      </c>
      <c r="R168">
        <f>IF(AND(Inputs!$B$4&lt;&gt;"pvp",Inputs!$B$35&gt;0),(INT(Inputs!$B$35/IF(Inputs!$B$4="pvp",15,MAX(0.1,Skills!D6-IF(Skills!E6=TRUE,Inputs!$B$31,0))))+1),0)</f>
        <v/>
      </c>
      <c r="S168">
        <f>IFERROR(O168/N168,0)</f>
        <v/>
      </c>
    </row>
    <row r="169">
      <c r="A169">
        <f>Skills!A7</f>
        <v/>
      </c>
      <c r="B169">
        <f>Skills!B7</f>
        <v/>
      </c>
      <c r="C169">
        <f>Inputs!$B$3&gt;=69</f>
        <v/>
      </c>
      <c r="D169">
        <f>IF(Skills!C7=1,60+Inputs!$B$24+Inputs!$B$28,IF(Skills!C7=2,90+Inputs!$B$25+Inputs!$B$28,IF(Skills!C7=3,120+Inputs!$B$26+Inputs!$B$28,MAX(0,(Inputs!$B$3-100)*3)+Inputs!$B$27+Inputs!$B$28)))</f>
        <v/>
      </c>
      <c r="E169">
        <f>INDEX(FactorTable!$B$2:$Y$301, MATCH(ROUND(MIN(300,MAX(1,D169)),0), FactorTable!$A$2:$A$301,0), Skills!M7+1)</f>
        <v/>
      </c>
      <c r="F169">
        <f>IF(Skills!N7=TRUE,(Skills!L7/10)*(E169/1000),Skills!L7/10)+Skills!O7</f>
        <v/>
      </c>
      <c r="G169">
        <f>Skills!G7*IF(Skills!H7&gt;0,Skills!I7/Skills!H7,1)</f>
        <v/>
      </c>
      <c r="H169">
        <f>1-(1-Skills!J7/100)^Skills!K7</f>
        <v/>
      </c>
      <c r="I169" t="inlineStr">
        <is>
          <t>1</t>
        </is>
      </c>
      <c r="J169">
        <f>(Inputs!$B$5*(1+Inputs!$B$6/100))*(F169/100)</f>
        <v/>
      </c>
      <c r="K169">
        <f>J169*(1+((Inputs!$B$11*(1+Inputs!$B$12/100))*0.01+Inputs!$B$13*0.0025)/100)*(1+(Inputs!$B$14+1)/100)*(1+IF(Inputs!$B$4="pvp",0,(1-Summary!$B$55)*(Inputs!$B$19+0+Skills!P7)+Summary!$B$55*(Inputs!$B$20+Skills!Q7))/100)*(1+Inputs!$B$15/100)*(5000/(6000+Inputs!$B$7*(1-(Inputs!$B$18+0)/100)))*(1+(Inputs!$B$23+((C186=TRUE)*(F186-Calc!F24))+((C187=TRUE)*(F187-Calc!F25))+B200)/100)*(1+1.2*IF(C170=TRUE,F170,0)/100)*(1+(IF(Skills!A7="EMPOWERED_PIERCING_ARROW",Inputs!$B$16+((C184=TRUE)*(F184-Calc!F22)),Inputs!$B$17+((C189=TRUE)*(F189-Calc!F27))))/100)*((1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I169)</f>
        <v/>
      </c>
      <c r="L169">
        <f>K169*(MIN(Inputs!$B$21+((C185=TRUE)*(F185-Calc!F23)),Inputs!$B$22+((C190=TRUE)*(F190-Calc!F28)))/100+(Inputs!$B$22+((C190=TRUE)*(F190-Calc!F28)))/100)/2</f>
        <v/>
      </c>
      <c r="M169">
        <f>L169*(1+(Inputs!$B$9+0+B199)/100)</f>
        <v/>
      </c>
      <c r="N169">
        <f>L169*(1-MIN((Inputs!$B$8+((C181=TRUE)*(F181-Calc!F19))+B194),100)/100)+M169*(MIN((Inputs!$B$8+((C181=TRUE)*(F181-Calc!F19))+B194),100)/100)</f>
        <v/>
      </c>
      <c r="O169">
        <f>IF(C169,H169*N169*IF(AND(Inputs!$B$4&lt;&gt;"pvp",Inputs!$B$35&gt;0),((Skills!G7*((R169-1)*IF(Skills!H7&gt;0,Skills!I7/Skills!H7,1)+IF(Skills!H7&gt;0,MIN(Skills!I7,MAX(0,Inputs!$B$35-((R169-1)*IF(Inputs!$B$4="pvp",15,MAX(0.1,Skills!D7-IF(Skills!E7=TRUE,Inputs!$B$31,0))))))/Skills!H7,1)))/Inputs!$B$35),G169*Q169)*IF(Inputs!$B$4="pvp",1,(1-Summary!$B$55)*(1)+Summary!$B$55*(MIN(Skills!R7,Inputs!$B$37))),0)</f>
        <v/>
      </c>
      <c r="P169">
        <f>IF(B202=0,0,O169/B202)</f>
        <v/>
      </c>
      <c r="Q169">
        <f>IFERROR(1/IF(Inputs!$B$4="pvp",15,MAX(0.1,Skills!D7-IF(Skills!E7=TRUE,Inputs!$B$31,0))),0)</f>
        <v/>
      </c>
      <c r="R169">
        <f>IF(AND(Inputs!$B$4&lt;&gt;"pvp",Inputs!$B$35&gt;0),(INT(Inputs!$B$35/IF(Inputs!$B$4="pvp",15,MAX(0.1,Skills!D7-IF(Skills!E7=TRUE,Inputs!$B$31,0))))+1),0)</f>
        <v/>
      </c>
      <c r="S169">
        <f>IFERROR(O169/N169,0)</f>
        <v/>
      </c>
    </row>
    <row r="170">
      <c r="A170">
        <f>Skills!A8</f>
        <v/>
      </c>
      <c r="B170">
        <f>Skills!B8</f>
        <v/>
      </c>
      <c r="C170">
        <f>Inputs!$B$3&gt;=100</f>
        <v/>
      </c>
      <c r="D170">
        <f>IF(Skills!C8=1,60+Inputs!$B$24+Inputs!$B$28,IF(Skills!C8=2,90+Inputs!$B$25+Inputs!$B$28,IF(Skills!C8=3,120+Inputs!$B$26+Inputs!$B$28,MAX(0,(Inputs!$B$3-100)*3)+Inputs!$B$27+Inputs!$B$28)))</f>
        <v/>
      </c>
      <c r="E170">
        <f>INDEX(FactorTable!$B$2:$Y$301, MATCH(ROUND(MIN(300,MAX(1,D170)),0), FactorTable!$A$2:$A$301,0), Skills!M8+1)</f>
        <v/>
      </c>
      <c r="F170">
        <f>IF(Skills!N8=TRUE,(Skills!L8/10)*(E170/1000),Skills!L8/10)+Skills!O8</f>
        <v/>
      </c>
      <c r="G170" t="inlineStr"/>
      <c r="H170" t="inlineStr"/>
      <c r="I170" t="inlineStr">
        <is>
          <t>1</t>
        </is>
      </c>
      <c r="J170" t="inlineStr"/>
      <c r="K170" t="inlineStr"/>
      <c r="L170" t="inlineStr"/>
      <c r="M170" t="inlineStr"/>
      <c r="N170" t="inlineStr"/>
      <c r="O170" t="inlineStr"/>
      <c r="P170" t="inlineStr"/>
      <c r="Q170" t="inlineStr"/>
      <c r="R170" t="inlineStr"/>
      <c r="S170" t="inlineStr"/>
    </row>
    <row r="171">
      <c r="A171">
        <f>Skills!A9</f>
        <v/>
      </c>
      <c r="B171">
        <f>Skills!B9</f>
        <v/>
      </c>
      <c r="C171">
        <f>Inputs!$B$3&gt;=103</f>
        <v/>
      </c>
      <c r="D171">
        <f>IF(Skills!C9=1,60+Inputs!$B$24+Inputs!$B$28,IF(Skills!C9=2,90+Inputs!$B$25+Inputs!$B$28,IF(Skills!C9=3,120+Inputs!$B$26+Inputs!$B$28,MAX(0,(Inputs!$B$3-100)*3)+Inputs!$B$27+Inputs!$B$28)))</f>
        <v/>
      </c>
      <c r="E171">
        <f>INDEX(FactorTable!$B$2:$Y$301, MATCH(ROUND(MIN(300,MAX(1,D171)),0), FactorTable!$A$2:$A$301,0), Skills!M9+1)</f>
        <v/>
      </c>
      <c r="F171">
        <f>IF(Skills!N9=TRUE,(Skills!L9/10)*(E171/1000),Skills!L9/10)+Skills!O9</f>
        <v/>
      </c>
      <c r="G171">
        <f>Skills!G9*IF(Skills!H9&gt;0,Skills!I9/Skills!H9,1)</f>
        <v/>
      </c>
      <c r="H171">
        <f>1-(1-Skills!J9/100)^Skills!K9</f>
        <v/>
      </c>
      <c r="I171" t="inlineStr">
        <is>
          <t>1</t>
        </is>
      </c>
      <c r="J171">
        <f>(Inputs!$B$5*(1+Inputs!$B$6/100))*(F171/100)</f>
        <v/>
      </c>
      <c r="K171">
        <f>J171*(1+((Inputs!$B$11*(1+Inputs!$B$12/100))*0.01+Inputs!$B$13*0.0025)/100)*(1+(Inputs!$B$14+1)/100)*(1+IF(Inputs!$B$4="pvp",0,(1-Summary!$B$55)*(Inputs!$B$19+0+Skills!P9)+Summary!$B$55*(Inputs!$B$20+Skills!Q9))/100)*(1+Inputs!$B$15/100)*(5000/(6000+Inputs!$B$7*(1-(Inputs!$B$18+0)/100)))*(1+(Inputs!$B$23+((C186=TRUE)*(F186-Calc!F24))+((C187=TRUE)*(F187-Calc!F25))+B200)/100)*(1+(IF(Skills!A9="EMPOWERED_PIERCING_ARROW",Inputs!$B$16+((C184=TRUE)*(F184-Calc!F22)),Inputs!$B$17+((C189=TRUE)*(F189-Calc!F27))))/100)*((1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I171)</f>
        <v/>
      </c>
      <c r="L171">
        <f>K171*(MIN(Inputs!$B$21+((C185=TRUE)*(F185-Calc!F23)),Inputs!$B$22+((C190=TRUE)*(F190-Calc!F28)))/100+(Inputs!$B$22+((C190=TRUE)*(F190-Calc!F28)))/100)/2</f>
        <v/>
      </c>
      <c r="M171">
        <f>L171*(1+(Inputs!$B$9+0+B199)/100)</f>
        <v/>
      </c>
      <c r="N171">
        <f>L171*(1-MIN((Inputs!$B$8+((C181=TRUE)*(F181-Calc!F19))+B194),100)/100)+M171*(MIN((Inputs!$B$8+((C181=TRUE)*(F181-Calc!F19))+B194),100)/100)</f>
        <v/>
      </c>
      <c r="O171">
        <f>IF(C171,H171*N171*IF(AND(Inputs!$B$4&lt;&gt;"pvp",Inputs!$B$35&gt;0),((Skills!G9*((R171-1)*IF(Skills!H9&gt;0,Skills!I9/Skills!H9,1)+IF(Skills!H9&gt;0,MIN(Skills!I9,MAX(0,Inputs!$B$35-((R171-1)*IF(Inputs!$B$4="pvp",15,MAX(0.1,Skills!D9-IF(Skills!E9=TRUE,Inputs!$B$31,0))))))/Skills!H9,1)))/Inputs!$B$35),G171*Q171)*IF(Inputs!$B$4="pvp",1,(1-Summary!$B$55)*(1)+Summary!$B$55*(MIN(Skills!R9,Inputs!$B$37))),0)</f>
        <v/>
      </c>
      <c r="P171">
        <f>IF(B202=0,0,O171/B202)</f>
        <v/>
      </c>
      <c r="Q171">
        <f>IFERROR(1/IF(Inputs!$B$4="pvp",15,MAX(0.1,Skills!D9-IF(Skills!E9=TRUE,Inputs!$B$31,0))),0)</f>
        <v/>
      </c>
      <c r="R171">
        <f>IF(AND(Inputs!$B$4&lt;&gt;"pvp",Inputs!$B$35&gt;0),(INT(Inputs!$B$35/IF(Inputs!$B$4="pvp",15,MAX(0.1,Skills!D9-IF(Skills!E9=TRUE,Inputs!$B$31,0))))+1),0)</f>
        <v/>
      </c>
      <c r="S171">
        <f>IFERROR(O171/N171,0)</f>
        <v/>
      </c>
    </row>
    <row r="172">
      <c r="A172">
        <f>Skills!A10</f>
        <v/>
      </c>
      <c r="B172">
        <f>Skills!B10</f>
        <v/>
      </c>
      <c r="C172">
        <f>Inputs!$B$3&gt;=107</f>
        <v/>
      </c>
      <c r="D172">
        <f>IF(Skills!C10=1,60+Inputs!$B$24+Inputs!$B$28,IF(Skills!C10=2,90+Inputs!$B$25+Inputs!$B$28,IF(Skills!C10=3,120+Inputs!$B$26+Inputs!$B$28,MAX(0,(Inputs!$B$3-100)*3)+Inputs!$B$27+Inputs!$B$28)))</f>
        <v/>
      </c>
      <c r="E172">
        <f>INDEX(FactorTable!$B$2:$Y$301, MATCH(ROUND(MIN(300,MAX(1,D172)),0), FactorTable!$A$2:$A$301,0), Skills!M10+1)</f>
        <v/>
      </c>
      <c r="F172">
        <f>IF(Skills!N10=TRUE,(Skills!L10/10)*(E172/1000),Skills!L10/10)+Skills!O10</f>
        <v/>
      </c>
      <c r="G172">
        <f>Skills!G10*IF(Skills!H10&gt;0,Skills!I10/Skills!H10,1)</f>
        <v/>
      </c>
      <c r="H172">
        <f>1-(1-Skills!J10/100)^Skills!K10</f>
        <v/>
      </c>
      <c r="I172" t="inlineStr">
        <is>
          <t>1</t>
        </is>
      </c>
      <c r="J172">
        <f>(Inputs!$B$5*(1+Inputs!$B$6/100))*(F172/100)</f>
        <v/>
      </c>
      <c r="K172">
        <f>J172*(1+((Inputs!$B$11*(1+Inputs!$B$12/100))*0.01+Inputs!$B$13*0.0025)/100)*(1+(Inputs!$B$14+1)/100)*(1+IF(Inputs!$B$4="pvp",0,(1-Summary!$B$55)*(Inputs!$B$19+0+Skills!P10)+Summary!$B$55*(Inputs!$B$20+Skills!Q10))/100)*(1+Inputs!$B$15/100)*(5000/(6000+Inputs!$B$7*(1-(Inputs!$B$18+0)/100)))*(1+(Inputs!$B$23+((C186=TRUE)*(F186-Calc!F24))+((C187=TRUE)*(F187-Calc!F25))+B200)/100)*(1+(IF(Skills!A10="EMPOWERED_PIERCING_ARROW",Inputs!$B$16+((C184=TRUE)*(F184-Calc!F22)),Inputs!$B$17+((C189=TRUE)*(F189-Calc!F27))))/100)*((1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I172)</f>
        <v/>
      </c>
      <c r="L172">
        <f>K172*(MIN(Inputs!$B$21+((C185=TRUE)*(F185-Calc!F23)),Inputs!$B$22+((C190=TRUE)*(F190-Calc!F28)))/100+(Inputs!$B$22+((C190=TRUE)*(F190-Calc!F28)))/100)/2</f>
        <v/>
      </c>
      <c r="M172">
        <f>L172*(1+(Inputs!$B$9+0+B199)/100)</f>
        <v/>
      </c>
      <c r="N172">
        <f>L172*(1-MIN((Inputs!$B$8+((C181=TRUE)*(F181-Calc!F19))+B194),100)/100)+M172*(MIN((Inputs!$B$8+((C181=TRUE)*(F181-Calc!F19))+B194),100)/100)</f>
        <v/>
      </c>
      <c r="O172">
        <f>IF(C172,0.15*SUMPRODUCT((Skills!U2:U29=TRUE)*(C164:C191=TRUE)*S164:S191)*Skills!G10*N172*IF(Inputs!$B$4="pvp",1,(1-Summary!$B$55)*(1)+Summary!$B$55*(MIN(Skills!R10,Inputs!$B$37))),0)</f>
        <v/>
      </c>
      <c r="P172">
        <f>IF(B202=0,0,O172/B202)</f>
        <v/>
      </c>
      <c r="Q172" t="n">
        <v>0</v>
      </c>
      <c r="R172" t="n">
        <v>0</v>
      </c>
      <c r="S172" t="n">
        <v>0</v>
      </c>
    </row>
    <row r="173">
      <c r="A173">
        <f>Skills!A11</f>
        <v/>
      </c>
      <c r="B173">
        <f>Skills!B11</f>
        <v/>
      </c>
      <c r="C173">
        <f>Inputs!$B$3&gt;=110</f>
        <v/>
      </c>
      <c r="D173">
        <f>IF(Skills!C11=1,60+Inputs!$B$24+Inputs!$B$28,IF(Skills!C11=2,90+Inputs!$B$25+Inputs!$B$28,IF(Skills!C11=3,120+Inputs!$B$26+Inputs!$B$28,MAX(0,(Inputs!$B$3-100)*3)+Inputs!$B$27+Inputs!$B$28)))</f>
        <v/>
      </c>
      <c r="E173">
        <f>INDEX(FactorTable!$B$2:$Y$301, MATCH(ROUND(MIN(300,MAX(1,D173)),0), FactorTable!$A$2:$A$301,0), Skills!M11+1)</f>
        <v/>
      </c>
      <c r="F173">
        <f>IF(Skills!N11=TRUE,(Skills!L11/10)*(E173/1000),Skills!L11/10)+Skills!O11</f>
        <v/>
      </c>
      <c r="G173">
        <f>Skills!G11*IF(Skills!H11&gt;0,Skills!I11/Skills!H11,1)</f>
        <v/>
      </c>
      <c r="H173">
        <f>1-(1-Skills!J11/100)^Skills!K11</f>
        <v/>
      </c>
      <c r="I173" t="inlineStr">
        <is>
          <t>1</t>
        </is>
      </c>
      <c r="J173">
        <f>(Inputs!$B$5*(1+Inputs!$B$6/100))*(F173/100)</f>
        <v/>
      </c>
      <c r="K173">
        <f>J173*(1+((Inputs!$B$11*(1+Inputs!$B$12/100))*0.01+Inputs!$B$13*0.0025)/100)*(1+(Inputs!$B$14+1)/100)*(1+IF(Inputs!$B$4="pvp",0,(1-Summary!$B$55)*(Inputs!$B$19+0+Skills!P11)+Summary!$B$55*(Inputs!$B$20+Skills!Q11))/100)*(1+Inputs!$B$15/100)*(5000/(6000+Inputs!$B$7*(1-(Inputs!$B$18+0)/100)))*(1+(Inputs!$B$23+((C186=TRUE)*(F186-Calc!F24))+((C187=TRUE)*(F187-Calc!F25))+B200)/100)*(1+(IF(Skills!A11="EMPOWERED_PIERCING_ARROW",Inputs!$B$16+((C184=TRUE)*(F184-Calc!F22)),Inputs!$B$17+((C189=TRUE)*(F189-Calc!F27))))/100)*((1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I173)</f>
        <v/>
      </c>
      <c r="L173">
        <f>K173*(MIN(Inputs!$B$21+((C185=TRUE)*(F185-Calc!F23)),Inputs!$B$22+((C190=TRUE)*(F190-Calc!F28)))/100+(Inputs!$B$22+((C190=TRUE)*(F190-Calc!F28)))/100)/2</f>
        <v/>
      </c>
      <c r="M173">
        <f>L173*(1+(Inputs!$B$9+0+B199)/100)</f>
        <v/>
      </c>
      <c r="N173">
        <f>L173*(1-MIN((Inputs!$B$8+((C181=TRUE)*(F181-Calc!F19))+B194),100)/100)+M173*(MIN((Inputs!$B$8+((C181=TRUE)*(F181-Calc!F19))+B194),100)/100)</f>
        <v/>
      </c>
      <c r="O173">
        <f>IF(C173,H173*N173*IF(AND(Inputs!$B$4&lt;&gt;"pvp",Inputs!$B$35&gt;0),((Skills!G11*((R173-1)*IF(Skills!H11&gt;0,Skills!I11/Skills!H11,1)+IF(Skills!H11&gt;0,MIN(Skills!I11,MAX(0,Inputs!$B$35-((R173-1)*IF(Inputs!$B$4="pvp",15,MAX(0.1,Skills!D11-IF(Skills!E11=TRUE,Inputs!$B$31,0))))))/Skills!H11,1)))/Inputs!$B$35),G173*Q173)*IF(Inputs!$B$4="pvp",1,(1-Summary!$B$55)*(1)+Summary!$B$55*(MIN(Skills!R11,Inputs!$B$37))),0)</f>
        <v/>
      </c>
      <c r="P173">
        <f>IF(B202=0,0,O173/B202)</f>
        <v/>
      </c>
      <c r="Q173">
        <f>IFERROR(1/IF(Inputs!$B$4="pvp",15,MAX(0.1,Skills!D11-IF(Skills!E11=TRUE,Inputs!$B$31,0))),0)</f>
        <v/>
      </c>
      <c r="R173">
        <f>IF(AND(Inputs!$B$4&lt;&gt;"pvp",Inputs!$B$35&gt;0),(INT(Inputs!$B$35/IF(Inputs!$B$4="pvp",15,MAX(0.1,Skills!D11-IF(Skills!E11=TRUE,Inputs!$B$31,0))))+1),0)</f>
        <v/>
      </c>
      <c r="S173">
        <f>IFERROR(O173/N173,0)</f>
        <v/>
      </c>
    </row>
    <row r="174">
      <c r="A174">
        <f>Skills!A12</f>
        <v/>
      </c>
      <c r="B174">
        <f>Skills!B12</f>
        <v/>
      </c>
      <c r="C174">
        <f>Inputs!$B$3&gt;=60</f>
        <v/>
      </c>
      <c r="D174">
        <f>IF(Skills!C12=1,60+Inputs!$B$24+Inputs!$B$28,IF(Skills!C12=2,90+Inputs!$B$25+Inputs!$B$28,IF(Skills!C12=3,120+Inputs!$B$26+Inputs!$B$28,MAX(0,(Inputs!$B$3-100)*3)+Inputs!$B$27+Inputs!$B$28)))</f>
        <v/>
      </c>
      <c r="E174">
        <f>INDEX(FactorTable!$B$2:$Y$301, MATCH(ROUND(MIN(300,MAX(1,D174)),0), FactorTable!$A$2:$A$301,0), Skills!M12+1)</f>
        <v/>
      </c>
      <c r="F174">
        <f>IF(Skills!N12=TRUE,(Skills!L12/10)*(E174/1000),Skills!L12/10)+Skills!O12</f>
        <v/>
      </c>
      <c r="G174">
        <f>Skills!G12*IF(Skills!H12&gt;0,Skills!I12/Skills!H12,1)</f>
        <v/>
      </c>
      <c r="H174">
        <f>1-(1-Skills!J12/100)^Skills!K12</f>
        <v/>
      </c>
      <c r="I174" t="inlineStr">
        <is>
          <t>1</t>
        </is>
      </c>
      <c r="J174" t="inlineStr"/>
      <c r="K174" t="inlineStr"/>
      <c r="L174" t="inlineStr"/>
      <c r="M174" t="inlineStr"/>
      <c r="N174" t="inlineStr"/>
      <c r="O174" t="n">
        <v>0</v>
      </c>
      <c r="P174">
        <f>IF(B202=0,0,O174/B202)</f>
        <v/>
      </c>
      <c r="Q174" t="n">
        <v>0</v>
      </c>
      <c r="R174" t="n">
        <v>0</v>
      </c>
      <c r="S174">
        <f>IFERROR(O174/N174,0)</f>
        <v/>
      </c>
    </row>
    <row r="175">
      <c r="A175">
        <f>Skills!A13</f>
        <v/>
      </c>
      <c r="B175">
        <f>Skills!B13</f>
        <v/>
      </c>
      <c r="C175">
        <f>Inputs!$B$3&gt;=74</f>
        <v/>
      </c>
      <c r="D175">
        <f>IF(Skills!C13=1,60+Inputs!$B$24+Inputs!$B$28,IF(Skills!C13=2,90+Inputs!$B$25+Inputs!$B$28,IF(Skills!C13=3,120+Inputs!$B$26+Inputs!$B$28,MAX(0,(Inputs!$B$3-100)*3)+Inputs!$B$27+Inputs!$B$28)))</f>
        <v/>
      </c>
      <c r="E175">
        <f>INDEX(FactorTable!$B$2:$Y$301, MATCH(ROUND(MIN(300,MAX(1,D175)),0), FactorTable!$A$2:$A$301,0), Skills!M13+1)</f>
        <v/>
      </c>
      <c r="F175">
        <f>IF(Skills!N13=TRUE,(Skills!L13/10)*(E175/1000),Skills!L13/10)+Skills!O13</f>
        <v/>
      </c>
      <c r="G175">
        <f>Skills!G13*IF(Skills!H13&gt;0,Skills!I13/Skills!H13,1)</f>
        <v/>
      </c>
      <c r="H175">
        <f>1-(1-Skills!J13/100)^Skills!K13</f>
        <v/>
      </c>
      <c r="I175" t="inlineStr">
        <is>
          <t>1</t>
        </is>
      </c>
      <c r="J175" t="inlineStr"/>
      <c r="K175" t="inlineStr"/>
      <c r="L175" t="inlineStr"/>
      <c r="M175" t="inlineStr"/>
      <c r="N175" t="inlineStr"/>
      <c r="O175" t="n">
        <v>0</v>
      </c>
      <c r="P175">
        <f>IF(B202=0,0,O175/B202)</f>
        <v/>
      </c>
      <c r="Q175" t="n">
        <v>0</v>
      </c>
      <c r="R175" t="n">
        <v>0</v>
      </c>
      <c r="S175">
        <f>IFERROR(O175/N175,0)</f>
        <v/>
      </c>
    </row>
    <row r="176">
      <c r="A176">
        <f>Skills!A14</f>
        <v/>
      </c>
      <c r="B176">
        <f>Skills!B14</f>
        <v/>
      </c>
      <c r="C176">
        <f>Inputs!$B$3&gt;=74</f>
        <v/>
      </c>
      <c r="D176">
        <f>IF(Skills!C14=1,60+Inputs!$B$24+Inputs!$B$28,IF(Skills!C14=2,90+Inputs!$B$25+Inputs!$B$28,IF(Skills!C14=3,120+Inputs!$B$26+Inputs!$B$28,MAX(0,(Inputs!$B$3-100)*3)+Inputs!$B$27+Inputs!$B$28)))</f>
        <v/>
      </c>
      <c r="E176">
        <f>INDEX(FactorTable!$B$2:$Y$301, MATCH(ROUND(MIN(300,MAX(1,D176)),0), FactorTable!$A$2:$A$301,0), Skills!M14+1)</f>
        <v/>
      </c>
      <c r="F176">
        <f>IF(Skills!N14=TRUE,(Skills!L14/10)*(E176/1000),Skills!L14/10)+Skills!O14</f>
        <v/>
      </c>
      <c r="G176">
        <f>Skills!G14*IF(Skills!H14&gt;0,Skills!I14/Skills!H14,1)</f>
        <v/>
      </c>
      <c r="H176">
        <f>1-(1-Skills!J14/100)^Skills!K14</f>
        <v/>
      </c>
      <c r="I176" t="inlineStr">
        <is>
          <t>1</t>
        </is>
      </c>
      <c r="J176" t="inlineStr"/>
      <c r="K176" t="inlineStr"/>
      <c r="L176" t="inlineStr"/>
      <c r="M176" t="inlineStr"/>
      <c r="N176" t="inlineStr"/>
      <c r="O176" t="n">
        <v>0</v>
      </c>
      <c r="P176">
        <f>IF(B202=0,0,O176/B202)</f>
        <v/>
      </c>
      <c r="Q176" t="n">
        <v>0</v>
      </c>
      <c r="R176" t="n">
        <v>0</v>
      </c>
      <c r="S176">
        <f>IFERROR(O176/N176,0)</f>
        <v/>
      </c>
    </row>
    <row r="177">
      <c r="A177">
        <f>Skills!A15</f>
        <v/>
      </c>
      <c r="B177">
        <f>Skills!B15</f>
        <v/>
      </c>
      <c r="C177">
        <f>Inputs!$B$3&gt;=117</f>
        <v/>
      </c>
      <c r="D177">
        <f>IF(Skills!C15=1,60+Inputs!$B$24+Inputs!$B$28,IF(Skills!C15=2,90+Inputs!$B$25+Inputs!$B$28,IF(Skills!C15=3,120+Inputs!$B$26+Inputs!$B$28,MAX(0,(Inputs!$B$3-100)*3)+Inputs!$B$27+Inputs!$B$28)))</f>
        <v/>
      </c>
      <c r="E177">
        <f>INDEX(FactorTable!$B$2:$Y$301, MATCH(ROUND(MIN(300,MAX(1,D177)),0), FactorTable!$A$2:$A$301,0), Skills!M15+1)</f>
        <v/>
      </c>
      <c r="F177">
        <f>IF(Skills!N15=TRUE,(Skills!L15/10)*(E177/1000),Skills!L15/10)+Skills!O15</f>
        <v/>
      </c>
      <c r="G177">
        <f>Skills!G15*IF(Skills!H15&gt;0,Skills!I15/Skills!H15,1)</f>
        <v/>
      </c>
      <c r="H177">
        <f>1-(1-Skills!J15/100)^Skills!K15</f>
        <v/>
      </c>
      <c r="I177" t="inlineStr">
        <is>
          <t>1</t>
        </is>
      </c>
      <c r="J177" t="inlineStr"/>
      <c r="K177" t="inlineStr"/>
      <c r="L177" t="inlineStr"/>
      <c r="M177" t="inlineStr"/>
      <c r="N177" t="inlineStr"/>
      <c r="O177" t="n">
        <v>0</v>
      </c>
      <c r="P177">
        <f>IF(B202=0,0,O177/B202)</f>
        <v/>
      </c>
      <c r="Q177">
        <f>IFERROR(1/IF(Inputs!$B$4="pvp",15,MAX(0.1,Skills!D15-IF(Skills!E15=TRUE,Inputs!$B$31,0))),0)</f>
        <v/>
      </c>
      <c r="R177">
        <f>IF(AND(Inputs!$B$4&lt;&gt;"pvp",Inputs!$B$35&gt;0),(INT(Inputs!$B$35/IF(Inputs!$B$4="pvp",15,MAX(0.1,Skills!D15-IF(Skills!E15=TRUE,Inputs!$B$31,0))))+1),0)</f>
        <v/>
      </c>
      <c r="S177">
        <f>IFERROR(O177/N177,0)</f>
        <v/>
      </c>
    </row>
    <row r="178">
      <c r="A178">
        <f>Skills!A16</f>
        <v/>
      </c>
      <c r="B178">
        <f>Skills!B16</f>
        <v/>
      </c>
      <c r="C178">
        <f>Inputs!$B$3&gt;=115</f>
        <v/>
      </c>
      <c r="D178">
        <f>IF(Skills!C16=1,60+Inputs!$B$24+Inputs!$B$28,IF(Skills!C16=2,90+Inputs!$B$25+Inputs!$B$28,IF(Skills!C16=3,120+Inputs!$B$26+Inputs!$B$28,MAX(0,(Inputs!$B$3-100)*3)+Inputs!$B$27+Inputs!$B$28)))</f>
        <v/>
      </c>
      <c r="E178">
        <f>INDEX(FactorTable!$B$2:$Y$301, MATCH(ROUND(MIN(300,MAX(1,D178)),0), FactorTable!$A$2:$A$301,0), Skills!M16+1)</f>
        <v/>
      </c>
      <c r="F178">
        <f>IF(Skills!N16=TRUE,(Skills!L16/10)*(E178/1000),Skills!L16/10)+Skills!O16</f>
        <v/>
      </c>
      <c r="G178">
        <f>Skills!G16*IF(Skills!H16&gt;0,Skills!I16/Skills!H16,1)</f>
        <v/>
      </c>
      <c r="H178">
        <f>1-(1-Skills!J16/100)^Skills!K16</f>
        <v/>
      </c>
      <c r="I178" t="inlineStr">
        <is>
          <t>1</t>
        </is>
      </c>
      <c r="J178" t="inlineStr"/>
      <c r="K178" t="inlineStr"/>
      <c r="L178" t="inlineStr"/>
      <c r="M178" t="inlineStr"/>
      <c r="N178" t="inlineStr"/>
      <c r="O178" t="n">
        <v>0</v>
      </c>
      <c r="P178">
        <f>IF(B202=0,0,O178/B202)</f>
        <v/>
      </c>
      <c r="Q178">
        <f>IFERROR(1/IF(Inputs!$B$4="pvp",15,MAX(0.1,Skills!D16-IF(Skills!E16=TRUE,Inputs!$B$31,0))),0)</f>
        <v/>
      </c>
      <c r="R178">
        <f>IF(AND(Inputs!$B$4&lt;&gt;"pvp",Inputs!$B$35&gt;0),(INT(Inputs!$B$35/IF(Inputs!$B$4="pvp",15,MAX(0.1,Skills!D16-IF(Skills!E16=TRUE,Inputs!$B$31,0))))+1),0)</f>
        <v/>
      </c>
      <c r="S178">
        <f>IFERROR(O178/N178,0)</f>
        <v/>
      </c>
    </row>
    <row r="179">
      <c r="A179">
        <f>Skills!A17</f>
        <v/>
      </c>
      <c r="B179">
        <f>Skills!B17</f>
        <v/>
      </c>
      <c r="C179">
        <f>Inputs!$B$3&gt;=72</f>
        <v/>
      </c>
      <c r="D179">
        <f>IF(Skills!C17=1,60+Inputs!$B$24+Inputs!$B$28,IF(Skills!C17=2,90+Inputs!$B$25+Inputs!$B$28,IF(Skills!C17=3,120+Inputs!$B$26+Inputs!$B$28,MAX(0,(Inputs!$B$3-100)*3)+Inputs!$B$27+Inputs!$B$28)))</f>
        <v/>
      </c>
      <c r="E179">
        <f>INDEX(FactorTable!$B$2:$Y$301, MATCH(ROUND(MIN(300,MAX(1,D179)),0), FactorTable!$A$2:$A$301,0), Skills!M17+1)</f>
        <v/>
      </c>
      <c r="F179">
        <f>IF(Skills!N17=TRUE,(Skills!L17/10)*(E179/1000),Skills!L17/10)+Skills!O17</f>
        <v/>
      </c>
      <c r="G179">
        <f>Skills!G17*IF(Skills!H17&gt;0,Skills!I17/Skills!H17,1)</f>
        <v/>
      </c>
      <c r="H179">
        <f>1-(1-Skills!J17/100)^Skills!K17</f>
        <v/>
      </c>
      <c r="I179" t="inlineStr">
        <is>
          <t>1</t>
        </is>
      </c>
      <c r="J179" t="inlineStr"/>
      <c r="K179" t="inlineStr"/>
      <c r="L179" t="inlineStr"/>
      <c r="M179" t="inlineStr"/>
      <c r="N179" t="inlineStr"/>
      <c r="O179" t="n">
        <v>0</v>
      </c>
      <c r="P179">
        <f>IF(B202=0,0,O179/B202)</f>
        <v/>
      </c>
      <c r="Q179" t="n">
        <v>0</v>
      </c>
      <c r="R179" t="n">
        <v>0</v>
      </c>
      <c r="S179">
        <f>IFERROR(O179/N179,0)</f>
        <v/>
      </c>
    </row>
    <row r="180">
      <c r="A180">
        <f>Skills!A18</f>
        <v/>
      </c>
      <c r="B180">
        <f>Skills!B18</f>
        <v/>
      </c>
      <c r="C180">
        <f>TRUE</f>
        <v/>
      </c>
      <c r="D180">
        <f>IF(Skills!C18=1,60+Inputs!$B$24+Inputs!$B$28,IF(Skills!C18=2,90+Inputs!$B$25+Inputs!$B$28,IF(Skills!C18=3,120+Inputs!$B$26+Inputs!$B$28,MAX(0,(Inputs!$B$3-100)*3)+Inputs!$B$27+Inputs!$B$28)))</f>
        <v/>
      </c>
      <c r="E180">
        <f>INDEX(FactorTable!$B$2:$Y$301, MATCH(ROUND(MIN(300,MAX(1,D180)),0), FactorTable!$A$2:$A$301,0), Skills!M18+1)</f>
        <v/>
      </c>
      <c r="F180">
        <f>IF(Skills!N18=TRUE,(Skills!L18/10)*(E180/1000),Skills!L18/10)+Skills!O18</f>
        <v/>
      </c>
      <c r="G180">
        <f>Skills!G18*IF(Skills!H18&gt;0,Skills!I18/Skills!H18,1)</f>
        <v/>
      </c>
      <c r="H180">
        <f>1-(1-Skills!J18/100)^Skills!K18</f>
        <v/>
      </c>
      <c r="I180" t="inlineStr">
        <is>
          <t>1</t>
        </is>
      </c>
      <c r="J180" t="inlineStr"/>
      <c r="K180" t="inlineStr"/>
      <c r="L180" t="inlineStr"/>
      <c r="M180" t="inlineStr"/>
      <c r="N180" t="inlineStr"/>
      <c r="O180" t="n">
        <v>0</v>
      </c>
      <c r="P180">
        <f>IF(B202=0,0,O180/B202)</f>
        <v/>
      </c>
      <c r="Q180">
        <f>IFERROR(1/IF(Inputs!$B$4="pvp",15,MAX(0.1,Skills!D18-IF(Skills!E18=TRUE,Inputs!$B$31,0))),0)</f>
        <v/>
      </c>
      <c r="R180">
        <f>IF(AND(Inputs!$B$4&lt;&gt;"pvp",Inputs!$B$35&gt;0),(INT(Inputs!$B$35/IF(Inputs!$B$4="pvp",15,MAX(0.1,Skills!D18-IF(Skills!E18=TRUE,Inputs!$B$31,0))))+1),0)</f>
        <v/>
      </c>
      <c r="S180">
        <f>IFERROR(O180/N180,0)</f>
        <v/>
      </c>
    </row>
    <row r="181">
      <c r="A181">
        <f>Skills!A19</f>
        <v/>
      </c>
      <c r="B181">
        <f>Skills!B19</f>
        <v/>
      </c>
      <c r="C181">
        <f>Inputs!$B$3&gt;=15</f>
        <v/>
      </c>
      <c r="D181">
        <f>IF(Skills!C19=1,60+Inputs!$B$24+Inputs!$B$28,IF(Skills!C19=2,90+Inputs!$B$25+Inputs!$B$28,IF(Skills!C19=3,120+Inputs!$B$26+Inputs!$B$28,MAX(0,(Inputs!$B$3-100)*3)+Inputs!$B$27+Inputs!$B$28)))</f>
        <v/>
      </c>
      <c r="E181">
        <f>INDEX(FactorTable!$B$2:$Y$301, MATCH(ROUND(MIN(300,MAX(1,D181)),0), FactorTable!$A$2:$A$301,0), Skills!M19+1)</f>
        <v/>
      </c>
      <c r="F181">
        <f>IF(Skills!N19=TRUE,(Skills!L19/10)*(E181/1000),Skills!L19/10)+Skills!O19</f>
        <v/>
      </c>
      <c r="G181">
        <f>Skills!G19*IF(Skills!H19&gt;0,Skills!I19/Skills!H19,1)</f>
        <v/>
      </c>
      <c r="H181">
        <f>1-(1-Skills!J19/100)^Skills!K19</f>
        <v/>
      </c>
      <c r="I181" t="inlineStr">
        <is>
          <t>1</t>
        </is>
      </c>
      <c r="J181" t="inlineStr"/>
      <c r="K181" t="inlineStr"/>
      <c r="L181" t="inlineStr"/>
      <c r="M181" t="inlineStr"/>
      <c r="N181" t="inlineStr"/>
      <c r="O181" t="n">
        <v>0</v>
      </c>
      <c r="P181">
        <f>IF(B202=0,0,O181/B202)</f>
        <v/>
      </c>
      <c r="Q181" t="n">
        <v>0</v>
      </c>
      <c r="R181" t="n">
        <v>0</v>
      </c>
      <c r="S181">
        <f>IFERROR(O181/N181,0)</f>
        <v/>
      </c>
    </row>
    <row r="182">
      <c r="A182">
        <f>Skills!A20</f>
        <v/>
      </c>
      <c r="B182">
        <f>Skills!B20</f>
        <v/>
      </c>
      <c r="C182">
        <f>Inputs!$B$3&gt;=10</f>
        <v/>
      </c>
      <c r="D182">
        <f>IF(Skills!C20=1,60+Inputs!$B$24+Inputs!$B$28,IF(Skills!C20=2,90+Inputs!$B$25+Inputs!$B$28,IF(Skills!C20=3,120+Inputs!$B$26+Inputs!$B$28,MAX(0,(Inputs!$B$3-100)*3)+Inputs!$B$27+Inputs!$B$28)))</f>
        <v/>
      </c>
      <c r="E182">
        <f>INDEX(FactorTable!$B$2:$Y$301, MATCH(ROUND(MIN(300,MAX(1,D182)),0), FactorTable!$A$2:$A$301,0), Skills!M20+1)</f>
        <v/>
      </c>
      <c r="F182">
        <f>IF(Skills!N20=TRUE,(Skills!L20/10)*(E182/1000),Skills!L20/10)+Skills!O20</f>
        <v/>
      </c>
      <c r="G182">
        <f>Skills!G20*IF(Skills!H20&gt;0,Skills!I20/Skills!H20,1)</f>
        <v/>
      </c>
      <c r="H182">
        <f>1-(1-Skills!J20/100)^Skills!K20</f>
        <v/>
      </c>
      <c r="I182" t="inlineStr">
        <is>
          <t>1</t>
        </is>
      </c>
      <c r="J182" t="inlineStr"/>
      <c r="K182" t="inlineStr"/>
      <c r="L182" t="inlineStr"/>
      <c r="M182" t="inlineStr"/>
      <c r="N182" t="inlineStr"/>
      <c r="O182" t="n">
        <v>0</v>
      </c>
      <c r="P182">
        <f>IF(B202=0,0,O182/B202)</f>
        <v/>
      </c>
      <c r="Q182" t="n">
        <v>0</v>
      </c>
      <c r="R182" t="n">
        <v>0</v>
      </c>
      <c r="S182">
        <f>IFERROR(O182/N182,0)</f>
        <v/>
      </c>
    </row>
    <row r="183">
      <c r="A183">
        <f>Skills!A21</f>
        <v/>
      </c>
      <c r="B183">
        <f>Skills!B21</f>
        <v/>
      </c>
      <c r="C183">
        <f>Inputs!$B$3&gt;=33</f>
        <v/>
      </c>
      <c r="D183">
        <f>IF(Skills!C21=1,60+Inputs!$B$24+Inputs!$B$28,IF(Skills!C21=2,90+Inputs!$B$25+Inputs!$B$28,IF(Skills!C21=3,120+Inputs!$B$26+Inputs!$B$28,MAX(0,(Inputs!$B$3-100)*3)+Inputs!$B$27+Inputs!$B$28)))</f>
        <v/>
      </c>
      <c r="E183">
        <f>INDEX(FactorTable!$B$2:$Y$301, MATCH(ROUND(MIN(300,MAX(1,D183)),0), FactorTable!$A$2:$A$301,0), Skills!M21+1)</f>
        <v/>
      </c>
      <c r="F183">
        <f>IF(Skills!N21=TRUE,(Skills!L21/10)*(E183/1000),Skills!L21/10)+Skills!O21</f>
        <v/>
      </c>
      <c r="G183">
        <f>Skills!G21*IF(Skills!H21&gt;0,Skills!I21/Skills!H21,1)</f>
        <v/>
      </c>
      <c r="H183">
        <f>1-(1-Skills!J21/100)^Skills!K21</f>
        <v/>
      </c>
      <c r="I183" t="inlineStr">
        <is>
          <t>1</t>
        </is>
      </c>
      <c r="J183" t="inlineStr"/>
      <c r="K183" t="inlineStr"/>
      <c r="L183" t="inlineStr"/>
      <c r="M183" t="inlineStr"/>
      <c r="N183" t="inlineStr"/>
      <c r="O183" t="n">
        <v>0</v>
      </c>
      <c r="P183">
        <f>IF(B202=0,0,O183/B202)</f>
        <v/>
      </c>
      <c r="Q183" t="n">
        <v>0</v>
      </c>
      <c r="R183" t="n">
        <v>0</v>
      </c>
      <c r="S183">
        <f>IFERROR(O183/N183,0)</f>
        <v/>
      </c>
    </row>
    <row r="184">
      <c r="A184">
        <f>Skills!A22</f>
        <v/>
      </c>
      <c r="B184">
        <f>Skills!B22</f>
        <v/>
      </c>
      <c r="C184">
        <f>Inputs!$B$3&gt;=38</f>
        <v/>
      </c>
      <c r="D184">
        <f>IF(Skills!C22=1,60+Inputs!$B$24+Inputs!$B$28,IF(Skills!C22=2,90+Inputs!$B$25+Inputs!$B$28,IF(Skills!C22=3,120+Inputs!$B$26+Inputs!$B$28,MAX(0,(Inputs!$B$3-100)*3)+Inputs!$B$27+Inputs!$B$28)))</f>
        <v/>
      </c>
      <c r="E184">
        <f>INDEX(FactorTable!$B$2:$Y$301, MATCH(ROUND(MIN(300,MAX(1,D184)),0), FactorTable!$A$2:$A$301,0), Skills!M22+1)</f>
        <v/>
      </c>
      <c r="F184">
        <f>IF(Skills!N22=TRUE,(Skills!L22/10)*(E184/1000),Skills!L22/10)+Skills!O22</f>
        <v/>
      </c>
      <c r="G184">
        <f>Skills!G22*IF(Skills!H22&gt;0,Skills!I22/Skills!H22,1)</f>
        <v/>
      </c>
      <c r="H184">
        <f>1-(1-Skills!J22/100)^Skills!K22</f>
        <v/>
      </c>
      <c r="I184" t="inlineStr">
        <is>
          <t>1</t>
        </is>
      </c>
      <c r="J184" t="inlineStr"/>
      <c r="K184" t="inlineStr"/>
      <c r="L184" t="inlineStr"/>
      <c r="M184" t="inlineStr"/>
      <c r="N184" t="inlineStr"/>
      <c r="O184" t="n">
        <v>0</v>
      </c>
      <c r="P184">
        <f>IF(B202=0,0,O184/B202)</f>
        <v/>
      </c>
      <c r="Q184" t="n">
        <v>0</v>
      </c>
      <c r="R184" t="n">
        <v>0</v>
      </c>
      <c r="S184">
        <f>IFERROR(O184/N184,0)</f>
        <v/>
      </c>
    </row>
    <row r="185">
      <c r="A185">
        <f>Skills!A23</f>
        <v/>
      </c>
      <c r="B185">
        <f>Skills!B23</f>
        <v/>
      </c>
      <c r="C185">
        <f>Inputs!$B$3&gt;=43</f>
        <v/>
      </c>
      <c r="D185">
        <f>IF(Skills!C23=1,60+Inputs!$B$24+Inputs!$B$28,IF(Skills!C23=2,90+Inputs!$B$25+Inputs!$B$28,IF(Skills!C23=3,120+Inputs!$B$26+Inputs!$B$28,MAX(0,(Inputs!$B$3-100)*3)+Inputs!$B$27+Inputs!$B$28)))</f>
        <v/>
      </c>
      <c r="E185">
        <f>INDEX(FactorTable!$B$2:$Y$301, MATCH(ROUND(MIN(300,MAX(1,D185)),0), FactorTable!$A$2:$A$301,0), Skills!M23+1)</f>
        <v/>
      </c>
      <c r="F185">
        <f>IF(Skills!N23=TRUE,(Skills!L23/10)*(E185/1000),Skills!L23/10)+Skills!O23</f>
        <v/>
      </c>
      <c r="G185">
        <f>Skills!G23*IF(Skills!H23&gt;0,Skills!I23/Skills!H23,1)</f>
        <v/>
      </c>
      <c r="H185">
        <f>1-(1-Skills!J23/100)^Skills!K23</f>
        <v/>
      </c>
      <c r="I185" t="inlineStr">
        <is>
          <t>1</t>
        </is>
      </c>
      <c r="J185" t="inlineStr"/>
      <c r="K185" t="inlineStr"/>
      <c r="L185" t="inlineStr"/>
      <c r="M185" t="inlineStr"/>
      <c r="N185" t="inlineStr"/>
      <c r="O185" t="n">
        <v>0</v>
      </c>
      <c r="P185">
        <f>IF(B202=0,0,O185/B202)</f>
        <v/>
      </c>
      <c r="Q185" t="n">
        <v>0</v>
      </c>
      <c r="R185" t="n">
        <v>0</v>
      </c>
      <c r="S185">
        <f>IFERROR(O185/N185,0)</f>
        <v/>
      </c>
    </row>
    <row r="186">
      <c r="A186">
        <f>Skills!A24</f>
        <v/>
      </c>
      <c r="B186">
        <f>Skills!B24</f>
        <v/>
      </c>
      <c r="C186">
        <f>Inputs!$B$3&gt;=75</f>
        <v/>
      </c>
      <c r="D186">
        <f>IF(Skills!C24=1,60+Inputs!$B$24+Inputs!$B$28,IF(Skills!C24=2,90+Inputs!$B$25+Inputs!$B$28,IF(Skills!C24=3,120+Inputs!$B$26+Inputs!$B$28,MAX(0,(Inputs!$B$3-100)*3)+Inputs!$B$27+Inputs!$B$28)))</f>
        <v/>
      </c>
      <c r="E186">
        <f>INDEX(FactorTable!$B$2:$Y$301, MATCH(ROUND(MIN(300,MAX(1,D186)),0), FactorTable!$A$2:$A$301,0), Skills!M24+1)</f>
        <v/>
      </c>
      <c r="F186">
        <f>IF(Skills!N24=TRUE,(Skills!L24/10)*(E186/1000),Skills!L24/10)+Skills!O24</f>
        <v/>
      </c>
      <c r="G186">
        <f>Skills!G24*IF(Skills!H24&gt;0,Skills!I24/Skills!H24,1)</f>
        <v/>
      </c>
      <c r="H186">
        <f>1-(1-Skills!J24/100)^Skills!K24</f>
        <v/>
      </c>
      <c r="I186" t="inlineStr">
        <is>
          <t>1</t>
        </is>
      </c>
      <c r="J186" t="inlineStr"/>
      <c r="K186" t="inlineStr"/>
      <c r="L186" t="inlineStr"/>
      <c r="M186" t="inlineStr"/>
      <c r="N186" t="inlineStr"/>
      <c r="O186" t="n">
        <v>0</v>
      </c>
      <c r="P186">
        <f>IF(B202=0,0,O186/B202)</f>
        <v/>
      </c>
      <c r="Q186" t="n">
        <v>0</v>
      </c>
      <c r="R186" t="n">
        <v>0</v>
      </c>
      <c r="S186">
        <f>IFERROR(O186/N186,0)</f>
        <v/>
      </c>
    </row>
    <row r="187">
      <c r="A187">
        <f>Skills!A25</f>
        <v/>
      </c>
      <c r="B187">
        <f>Skills!B25</f>
        <v/>
      </c>
      <c r="C187">
        <f>Inputs!$B$3&gt;=125</f>
        <v/>
      </c>
      <c r="D187">
        <f>IF(Skills!C25=1,60+Inputs!$B$24+Inputs!$B$28,IF(Skills!C25=2,90+Inputs!$B$25+Inputs!$B$28,IF(Skills!C25=3,120+Inputs!$B$26+Inputs!$B$28,MAX(0,(Inputs!$B$3-100)*3)+Inputs!$B$27+Inputs!$B$28)))</f>
        <v/>
      </c>
      <c r="E187">
        <f>INDEX(FactorTable!$B$2:$Y$301, MATCH(ROUND(MIN(300,MAX(1,D187)),0), FactorTable!$A$2:$A$301,0), Skills!M25+1)</f>
        <v/>
      </c>
      <c r="F187">
        <f>IF(Skills!N25=TRUE,(Skills!L25/10)*(E187/1000),Skills!L25/10)+Skills!O25</f>
        <v/>
      </c>
      <c r="G187">
        <f>Skills!G25*IF(Skills!H25&gt;0,Skills!I25/Skills!H25,1)</f>
        <v/>
      </c>
      <c r="H187">
        <f>1-(1-Skills!J25/100)^Skills!K25</f>
        <v/>
      </c>
      <c r="I187" t="inlineStr">
        <is>
          <t>1</t>
        </is>
      </c>
      <c r="J187" t="inlineStr"/>
      <c r="K187" t="inlineStr"/>
      <c r="L187" t="inlineStr"/>
      <c r="M187" t="inlineStr"/>
      <c r="N187" t="inlineStr"/>
      <c r="O187" t="n">
        <v>0</v>
      </c>
      <c r="P187">
        <f>IF(B202=0,0,O187/B202)</f>
        <v/>
      </c>
      <c r="Q187" t="n">
        <v>0</v>
      </c>
      <c r="R187" t="n">
        <v>0</v>
      </c>
      <c r="S187">
        <f>IFERROR(O187/N187,0)</f>
        <v/>
      </c>
    </row>
    <row r="188">
      <c r="A188">
        <f>Skills!A26</f>
        <v/>
      </c>
      <c r="B188">
        <f>Skills!B26</f>
        <v/>
      </c>
      <c r="C188">
        <f>Inputs!$B$3&gt;=125</f>
        <v/>
      </c>
      <c r="D188">
        <f>IF(Skills!C26=1,60+Inputs!$B$24+Inputs!$B$28,IF(Skills!C26=2,90+Inputs!$B$25+Inputs!$B$28,IF(Skills!C26=3,120+Inputs!$B$26+Inputs!$B$28,MAX(0,(Inputs!$B$3-100)*3)+Inputs!$B$27+Inputs!$B$28)))</f>
        <v/>
      </c>
      <c r="E188">
        <f>INDEX(FactorTable!$B$2:$Y$301, MATCH(ROUND(MIN(300,MAX(1,D188)),0), FactorTable!$A$2:$A$301,0), Skills!M26+1)</f>
        <v/>
      </c>
      <c r="F188">
        <f>IF(Skills!N26=TRUE,(Skills!L26/10)*(E188/1000),Skills!L26/10)+Skills!O26</f>
        <v/>
      </c>
      <c r="G188">
        <f>Skills!G26*IF(Skills!H26&gt;0,Skills!I26/Skills!H26,1)</f>
        <v/>
      </c>
      <c r="H188">
        <f>1-(1-Skills!J26/100)^Skills!K26</f>
        <v/>
      </c>
      <c r="I188" t="inlineStr">
        <is>
          <t>1</t>
        </is>
      </c>
      <c r="J188" t="inlineStr"/>
      <c r="K188" t="inlineStr"/>
      <c r="L188" t="inlineStr"/>
      <c r="M188" t="inlineStr"/>
      <c r="N188" t="inlineStr"/>
      <c r="O188" t="n">
        <v>0</v>
      </c>
      <c r="P188">
        <f>IF(B202=0,0,O188/B202)</f>
        <v/>
      </c>
      <c r="Q188" t="n">
        <v>0</v>
      </c>
      <c r="R188" t="n">
        <v>0</v>
      </c>
      <c r="S188">
        <f>IFERROR(O188/N188,0)</f>
        <v/>
      </c>
    </row>
    <row r="189">
      <c r="A189">
        <f>Skills!A27</f>
        <v/>
      </c>
      <c r="B189">
        <f>Skills!B27</f>
        <v/>
      </c>
      <c r="C189">
        <f>Inputs!$B$3&gt;=120</f>
        <v/>
      </c>
      <c r="D189">
        <f>IF(Skills!C27=1,60+Inputs!$B$24+Inputs!$B$28,IF(Skills!C27=2,90+Inputs!$B$25+Inputs!$B$28,IF(Skills!C27=3,120+Inputs!$B$26+Inputs!$B$28,MAX(0,(Inputs!$B$3-100)*3)+Inputs!$B$27+Inputs!$B$28)))</f>
        <v/>
      </c>
      <c r="E189">
        <f>INDEX(FactorTable!$B$2:$Y$301, MATCH(ROUND(MIN(300,MAX(1,D189)),0), FactorTable!$A$2:$A$301,0), Skills!M27+1)</f>
        <v/>
      </c>
      <c r="F189">
        <f>IF(Skills!N27=TRUE,(Skills!L27/10)*(E189/1000),Skills!L27/10)+Skills!O27</f>
        <v/>
      </c>
      <c r="G189">
        <f>Skills!G27*IF(Skills!H27&gt;0,Skills!I27/Skills!H27,1)</f>
        <v/>
      </c>
      <c r="H189">
        <f>1-(1-Skills!J27/100)^Skills!K27</f>
        <v/>
      </c>
      <c r="I189" t="inlineStr">
        <is>
          <t>1</t>
        </is>
      </c>
      <c r="J189" t="inlineStr"/>
      <c r="K189" t="inlineStr"/>
      <c r="L189" t="inlineStr"/>
      <c r="M189" t="inlineStr"/>
      <c r="N189" t="inlineStr"/>
      <c r="O189" t="n">
        <v>0</v>
      </c>
      <c r="P189">
        <f>IF(B202=0,0,O189/B202)</f>
        <v/>
      </c>
      <c r="Q189" t="n">
        <v>0</v>
      </c>
      <c r="R189" t="n">
        <v>0</v>
      </c>
      <c r="S189">
        <f>IFERROR(O189/N189,0)</f>
        <v/>
      </c>
    </row>
    <row r="190">
      <c r="A190">
        <f>Skills!A28</f>
        <v/>
      </c>
      <c r="B190">
        <f>Skills!B28</f>
        <v/>
      </c>
      <c r="C190">
        <f>Inputs!$B$3&gt;=120</f>
        <v/>
      </c>
      <c r="D190">
        <f>IF(Skills!C28=1,60+Inputs!$B$24+Inputs!$B$28,IF(Skills!C28=2,90+Inputs!$B$25+Inputs!$B$28,IF(Skills!C28=3,120+Inputs!$B$26+Inputs!$B$28,MAX(0,(Inputs!$B$3-100)*3)+Inputs!$B$27+Inputs!$B$28)))</f>
        <v/>
      </c>
      <c r="E190">
        <f>INDEX(FactorTable!$B$2:$Y$301, MATCH(ROUND(MIN(300,MAX(1,D190)),0), FactorTable!$A$2:$A$301,0), Skills!M28+1)</f>
        <v/>
      </c>
      <c r="F190">
        <f>IF(Skills!N28=TRUE,(Skills!L28/10)*(E190/1000),Skills!L28/10)+Skills!O28</f>
        <v/>
      </c>
      <c r="G190">
        <f>Skills!G28*IF(Skills!H28&gt;0,Skills!I28/Skills!H28,1)</f>
        <v/>
      </c>
      <c r="H190">
        <f>1-(1-Skills!J28/100)^Skills!K28</f>
        <v/>
      </c>
      <c r="I190" t="inlineStr">
        <is>
          <t>1</t>
        </is>
      </c>
      <c r="J190" t="inlineStr"/>
      <c r="K190" t="inlineStr"/>
      <c r="L190" t="inlineStr"/>
      <c r="M190" t="inlineStr"/>
      <c r="N190" t="inlineStr"/>
      <c r="O190" t="n">
        <v>0</v>
      </c>
      <c r="P190">
        <f>IF(B202=0,0,O190/B202)</f>
        <v/>
      </c>
      <c r="Q190" t="n">
        <v>0</v>
      </c>
      <c r="R190" t="n">
        <v>0</v>
      </c>
      <c r="S190">
        <f>IFERROR(O190/N190,0)</f>
        <v/>
      </c>
    </row>
    <row r="191">
      <c r="A191">
        <f>Skills!A29</f>
        <v/>
      </c>
      <c r="B191">
        <f>Skills!B29</f>
        <v/>
      </c>
      <c r="C191">
        <f>Inputs!$B$3&gt;=45</f>
        <v/>
      </c>
      <c r="D191">
        <f>IF(Skills!C29=1,60+Inputs!$B$24+Inputs!$B$28,IF(Skills!C29=2,90+Inputs!$B$25+Inputs!$B$28,IF(Skills!C29=3,120+Inputs!$B$26+Inputs!$B$28,MAX(0,(Inputs!$B$3-100)*3)+Inputs!$B$27+Inputs!$B$28)))</f>
        <v/>
      </c>
      <c r="E191">
        <f>INDEX(FactorTable!$B$2:$Y$301, MATCH(ROUND(MIN(300,MAX(1,D191)),0), FactorTable!$A$2:$A$301,0), Skills!M29+1)</f>
        <v/>
      </c>
      <c r="F191">
        <f>IF(Skills!N29=TRUE,(Skills!L29/10)*(E191/1000),Skills!L29/10)+Skills!O29</f>
        <v/>
      </c>
      <c r="G191">
        <f>Skills!G29*IF(Skills!H29&gt;0,Skills!I29/Skills!H29,1)</f>
        <v/>
      </c>
      <c r="H191">
        <f>1-(1-Skills!J29/100)^Skills!K29</f>
        <v/>
      </c>
      <c r="I191" t="inlineStr">
        <is>
          <t>1</t>
        </is>
      </c>
      <c r="J191" t="inlineStr"/>
      <c r="K191" t="inlineStr"/>
      <c r="L191" t="inlineStr"/>
      <c r="M191" t="inlineStr"/>
      <c r="N191" t="inlineStr"/>
      <c r="O191" t="n">
        <v>0</v>
      </c>
      <c r="P191">
        <f>IF(B202=0,0,O191/B202)</f>
        <v/>
      </c>
      <c r="Q191" t="n">
        <v>0</v>
      </c>
      <c r="R191" t="n">
        <v>0</v>
      </c>
      <c r="S191">
        <f>IFERROR(O191/N191,0)</f>
        <v/>
      </c>
    </row>
    <row r="193">
      <c r="A193" t="inlineStr">
        <is>
          <t>Attack% Bucket Multiplier</t>
        </is>
      </c>
      <c r="B193">
        <f>(1+(((C175=TRUE)*F175)+((C176=TRUE)*IF(Inputs!$B$4="pvp",F176,(1-Summary!$B$55)*(F176)+Summary!$B$55*(0)))+((C177=TRUE)*F177*IF(AND(Inputs!$B$4&lt;&gt;"pvp",Inputs!$B$35&gt;0),(((S177-1)*(Skills!T15*(1+Inputs!$B$33/100))+MIN((Skills!T15*(1+Inputs!$B$33/100)),MAX(0,Inputs!$B$35-((S177-1)*Skills!D15))))/Inputs!$B$35),IF(Inputs!$B$4="pvp",MIN((Skills!T15*(1+Inputs!$B$33/100)),15)/15,(Skills!T15*(1+Inputs!$B$33/100))/Skills!D15)))+((C174=TRUE)*F174)+((C191=TRUE)*(F191-Calc!F29)))/100)</f>
        <v/>
      </c>
    </row>
    <row r="194">
      <c r="A194" t="inlineStr">
        <is>
          <t>Global Crit Rate Bonus %</t>
        </is>
      </c>
      <c r="B194">
        <f>(C178=TRUE)*20*IF(AND(Inputs!$B$4&lt;&gt;"pvp",Inputs!$B$35&gt;0),(((S178-1)*(Skills!T16*(1+Inputs!$B$33/100))+MIN((Skills!T16*(1+Inputs!$B$33/100)),MAX(0,Inputs!$B$35-((S178-1)*Skills!D16))))/Inputs!$B$35),IF(Inputs!$B$4="pvp",MIN((Skills!T16*(1+Inputs!$B$33/100)),15)/15,(Skills!T16*(1+Inputs!$B$33/100))/Skills!D16))</f>
        <v/>
      </c>
    </row>
    <row r="195">
      <c r="A195" t="inlineStr">
        <is>
          <t>Attack Speed Buff Bonus %</t>
        </is>
      </c>
      <c r="B195">
        <f>((C180=TRUE)*F180*IF(AND(Inputs!$B$4&lt;&gt;"pvp",Inputs!$B$35&gt;0),(((S180-1)*(Skills!T18*(1+Inputs!$B$33/100))+MIN((Skills!T18*(1+Inputs!$B$33/100)),MAX(0,Inputs!$B$35-((S180-1)*Skills!D18))))/Inputs!$B$35),IF(Inputs!$B$4="pvp",MIN((Skills!T18*(1+Inputs!$B$33/100)),15)/15,(Skills!T18*(1+Inputs!$B$33/100))/Skills!D18)))</f>
        <v/>
      </c>
    </row>
    <row r="196">
      <c r="A196" t="inlineStr">
        <is>
          <t>Actions Per Second</t>
        </is>
      </c>
      <c r="B196">
        <f>1+MIN(150,150*(1-(1-(Inputs!$B$10+((C182=TRUE)*(F182-Calc!F20))+((C183=TRUE)*(F183-Calc!F21)))/150)*(1-B195/150)))/100</f>
        <v/>
      </c>
    </row>
    <row r="197">
      <c r="A197" t="inlineStr">
        <is>
          <t>Skill + Buff Cast Rate</t>
        </is>
      </c>
      <c r="B197">
        <f>IF(AND(Inputs!$B$4&lt;&gt;"pvp",Inputs!$B$35&gt;0),SUMPRODUCT((Skills!E2:E29=TRUE)*(C164:C191=TRUE)*R164:R191*Skills!F2:F29)/Inputs!$B$35,SUMPRODUCT((Skills!E2:E29=TRUE)*(C164:C191=TRUE)*Q164:Q191*Skills!F2:F29))</f>
        <v/>
      </c>
    </row>
    <row r="198">
      <c r="A198" t="inlineStr">
        <is>
          <t>Empowered Piercing Arrow Casts Per Second</t>
        </is>
      </c>
      <c r="B198">
        <f>MAX(0,B196-B197)</f>
        <v/>
      </c>
    </row>
    <row r="199">
      <c r="A199" t="inlineStr">
        <is>
          <t>Global Critical Damage Bonus % (Sharp Eyes)</t>
        </is>
      </c>
      <c r="B199">
        <f>(C178=TRUE)*F178*IF(AND(Inputs!$B$4&lt;&gt;"pvp",Inputs!$B$35&gt;0),(((S178-1)*(Skills!T16*(1+Inputs!$B$33/100))+MIN((Skills!T16*(1+Inputs!$B$33/100)),MAX(0,Inputs!$B$35-((S178-1)*Skills!D16))))/Inputs!$B$35),IF(Inputs!$B$4="pvp",MIN((Skills!T16*(1+Inputs!$B$33/100)),15)/15,(Skills!T16*(1+Inputs!$B$33/100))/Skills!D16))</f>
        <v/>
      </c>
    </row>
    <row r="200">
      <c r="A200" t="inlineStr">
        <is>
          <t>Global Final Damage Bonus % (Mortal Blow + Last Man Standing conditional half)</t>
        </is>
      </c>
      <c r="B200">
        <f>(C179=TRUE)*F179+((C188=TRUE)*IF(Inputs!$B$4="pvp",F188,(1-Summary!$B$55)*(F188)+Summary!$B$55*(0)))</f>
        <v/>
      </c>
    </row>
    <row r="202">
      <c r="A202" s="5" t="inlineStr">
        <is>
          <t>TOTAL DPS</t>
        </is>
      </c>
      <c r="B202" s="5">
        <f>SUM(O164:O191)</f>
        <v/>
      </c>
    </row>
    <row r="205">
      <c r="A205" s="5" t="inlineStr">
        <is>
          <t>Stat: DAMAGE_AMP %</t>
        </is>
      </c>
    </row>
    <row r="206">
      <c r="A206" s="8" t="inlineStr">
        <is>
          <t>Key</t>
        </is>
      </c>
      <c r="B206" s="8" t="inlineStr">
        <is>
          <t>Name</t>
        </is>
      </c>
      <c r="C206" s="8" t="inlineStr">
        <is>
          <t>Unlocked</t>
        </is>
      </c>
      <c r="D206" s="8" t="inlineStr">
        <is>
          <t>InputLevel</t>
        </is>
      </c>
      <c r="E206" s="8" t="inlineStr">
        <is>
          <t>Factor</t>
        </is>
      </c>
      <c r="F206" s="8" t="inlineStr">
        <is>
          <t>CoefficientPercent</t>
        </is>
      </c>
      <c r="G206" s="8" t="inlineStr">
        <is>
          <t>EffectiveHits</t>
        </is>
      </c>
      <c r="H206" s="8" t="inlineStr">
        <is>
          <t>ProcProbability</t>
        </is>
      </c>
      <c r="I206" s="8" t="inlineStr">
        <is>
          <t>MapleHeroMultiplier</t>
        </is>
      </c>
      <c r="J206" s="8" t="inlineStr">
        <is>
          <t>BaseDamage</t>
        </is>
      </c>
      <c r="K206" s="8" t="inlineStr">
        <is>
          <t>BaseHitDamage</t>
        </is>
      </c>
      <c r="L206" s="8" t="inlineStr">
        <is>
          <t>NonCritAvg</t>
        </is>
      </c>
      <c r="M206" s="8" t="inlineStr">
        <is>
          <t>CritAvg</t>
        </is>
      </c>
      <c r="N206" s="8" t="inlineStr">
        <is>
          <t>ExpectedDamage(perHit)</t>
        </is>
      </c>
      <c r="O206" s="8" t="inlineStr">
        <is>
          <t>DPS</t>
        </is>
      </c>
      <c r="P206" s="8" t="inlineStr">
        <is>
          <t>% of Total</t>
        </is>
      </c>
      <c r="Q206" s="8" t="inlineStr">
        <is>
          <t>InvCooldown</t>
        </is>
      </c>
      <c r="R206" s="8" t="inlineStr">
        <is>
          <t>CastsInFight</t>
        </is>
      </c>
      <c r="S206" s="8" t="inlineStr">
        <is>
          <t>HitRate(perSec)</t>
        </is>
      </c>
      <c r="U206" t="inlineStr">
        <is>
          <t>helpers</t>
        </is>
      </c>
    </row>
    <row r="207">
      <c r="A207">
        <f>Skills!A2</f>
        <v/>
      </c>
      <c r="B207">
        <f>Skills!B2</f>
        <v/>
      </c>
      <c r="C207">
        <f>Inputs!$B$3&gt;=100</f>
        <v/>
      </c>
      <c r="D207" t="inlineStr"/>
      <c r="E207" t="inlineStr"/>
      <c r="F207">
        <f>U209+Skills!O2</f>
        <v/>
      </c>
      <c r="G207">
        <f>Skills!G2*IF(Skills!H2&gt;0,Skills!I2/Skills!H2,1)</f>
        <v/>
      </c>
      <c r="H207">
        <f>1-(1-Skills!J2/100)^Skills!K2</f>
        <v/>
      </c>
      <c r="I207" t="inlineStr">
        <is>
          <t>1</t>
        </is>
      </c>
      <c r="J207">
        <f>(Inputs!$B$5*(1+Inputs!$B$6/100))*(F207/100)</f>
        <v/>
      </c>
      <c r="K207">
        <f>J207*(1+((Inputs!$B$11*(1+Inputs!$B$12/100))*0.01+Inputs!$B$13*0.0025)/100)*(1+Inputs!$B$14/100)*(1+IF(Inputs!$B$4="pvp",0,(1-Summary!$B$55)*(Inputs!$B$19+0+Skills!P2)+Summary!$B$55*(Inputs!$B$20+Skills!Q2))/100)*(1+(Inputs!$B$15+1)/100)*(5000/(6000+Inputs!$B$7*(1-(Inputs!$B$18+0)/100)))*(1+(Inputs!$B$23+((C229=TRUE)*(F229-Calc!F24))+((C230=TRUE)*(F230-Calc!F25))+B243)/100)*(1+(IF(Skills!A2="EMPOWERED_PIERCING_ARROW",Inputs!$B$16+((C227=TRUE)*(F227-Calc!F22)),Inputs!$B$17+((C232=TRUE)*(F232-Calc!F27))))/100)*((1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I207)</f>
        <v/>
      </c>
      <c r="L207">
        <f>K207*(MIN(Inputs!$B$21+((C228=TRUE)*(F228-Calc!F23)),Inputs!$B$22+((C233=TRUE)*(F233-Calc!F28)))/100+(Inputs!$B$22+((C233=TRUE)*(F233-Calc!F28)))/100)/2</f>
        <v/>
      </c>
      <c r="M207">
        <f>L207*(1+(Inputs!$B$9+0+B242)/100)</f>
        <v/>
      </c>
      <c r="N207">
        <f>L207*(1-MIN((Inputs!$B$8+((C224=TRUE)*(F224-Calc!F19))+B237),100)/100)+M207*(MIN((Inputs!$B$8+((C224=TRUE)*(F224-Calc!F19))+B237),100)/100)</f>
        <v/>
      </c>
      <c r="O207">
        <f>IF(C207,Skills!G2*N207*B241*IF(Inputs!$B$4="pvp",1,(1-Summary!$B$55)*(1)+Summary!$B$55*(MIN((6+Inputs!$B$32),Inputs!$B$37))),0)</f>
        <v/>
      </c>
      <c r="P207">
        <f>IF(B245=0,0,O207/B245)</f>
        <v/>
      </c>
      <c r="Q207" t="n">
        <v>0</v>
      </c>
      <c r="R207" t="n">
        <v>0</v>
      </c>
      <c r="S207">
        <f>IFERROR(O207/N207,0)</f>
        <v/>
      </c>
      <c r="U207">
        <f>MAX(0,(Inputs!$B$3-100)*3)+Inputs!$B$27+Inputs!$B$28</f>
        <v/>
      </c>
    </row>
    <row r="208">
      <c r="A208">
        <f>Skills!A3</f>
        <v/>
      </c>
      <c r="B208">
        <f>Skills!B3</f>
        <v/>
      </c>
      <c r="C208">
        <f>Inputs!$B$3&gt;=50</f>
        <v/>
      </c>
      <c r="D208">
        <f>IF(Skills!C3=1,60+Inputs!$B$24+Inputs!$B$28,IF(Skills!C3=2,90+Inputs!$B$25+Inputs!$B$28,IF(Skills!C3=3,120+Inputs!$B$26+Inputs!$B$28,MAX(0,(Inputs!$B$3-100)*3)+Inputs!$B$27+Inputs!$B$28)))</f>
        <v/>
      </c>
      <c r="E208">
        <f>INDEX(FactorTable!$B$2:$Y$301, MATCH(ROUND(MIN(300,MAX(1,D208)),0), FactorTable!$A$2:$A$301,0), Skills!M3+1)</f>
        <v/>
      </c>
      <c r="F208">
        <f>IF(Skills!N3=TRUE,(Skills!L3/10)*(E208/1000),Skills!L3/10)+Skills!O3</f>
        <v/>
      </c>
      <c r="G208" t="inlineStr"/>
      <c r="H208" t="inlineStr"/>
      <c r="I208" t="inlineStr">
        <is>
          <t>1</t>
        </is>
      </c>
      <c r="J208" t="inlineStr"/>
      <c r="K208" t="inlineStr"/>
      <c r="L208" t="inlineStr"/>
      <c r="M208" t="inlineStr"/>
      <c r="N208" t="inlineStr"/>
      <c r="O208" t="inlineStr"/>
      <c r="P208" t="inlineStr"/>
      <c r="Q208" t="inlineStr"/>
      <c r="R208" t="inlineStr"/>
      <c r="S208" t="inlineStr"/>
      <c r="U208">
        <f>INDEX(FactorTable!$B$2:$Y$301, MATCH(ROUND(MIN(300,MAX(1,U207)),0), FactorTable!$A$2:$A$301,0), 22)</f>
        <v/>
      </c>
    </row>
    <row r="209">
      <c r="A209">
        <f>Skills!A4</f>
        <v/>
      </c>
      <c r="B209">
        <f>Skills!B4</f>
        <v/>
      </c>
      <c r="C209">
        <f>Inputs!$B$3&gt;=105</f>
        <v/>
      </c>
      <c r="D209">
        <f>IF(Skills!C4=1,60+Inputs!$B$24+Inputs!$B$28,IF(Skills!C4=2,90+Inputs!$B$25+Inputs!$B$28,IF(Skills!C4=3,120+Inputs!$B$26+Inputs!$B$28,MAX(0,(Inputs!$B$3-100)*3)+Inputs!$B$27+Inputs!$B$28)))</f>
        <v/>
      </c>
      <c r="E209">
        <f>INDEX(FactorTable!$B$2:$Y$301, MATCH(ROUND(MIN(300,MAX(1,D209)),0), FactorTable!$A$2:$A$301,0), Skills!M4+1)</f>
        <v/>
      </c>
      <c r="F209">
        <f>IF(Skills!N4=TRUE,(Skills!L4/10)*(E209/1000),Skills!L4/10)+Skills!O4</f>
        <v/>
      </c>
      <c r="G209" t="inlineStr"/>
      <c r="H209" t="inlineStr"/>
      <c r="I209" t="inlineStr">
        <is>
          <t>1</t>
        </is>
      </c>
      <c r="J209" t="inlineStr"/>
      <c r="K209" t="inlineStr"/>
      <c r="L209" t="inlineStr"/>
      <c r="M209" t="inlineStr"/>
      <c r="N209" t="inlineStr"/>
      <c r="O209" t="inlineStr"/>
      <c r="P209" t="inlineStr"/>
      <c r="Q209" t="inlineStr"/>
      <c r="R209" t="inlineStr"/>
      <c r="S209" t="inlineStr"/>
      <c r="U209">
        <f>290*U208/1000</f>
        <v/>
      </c>
    </row>
    <row r="210">
      <c r="A210">
        <f>Skills!A5</f>
        <v/>
      </c>
      <c r="B210">
        <f>Skills!B5</f>
        <v/>
      </c>
      <c r="C210">
        <f>Inputs!$B$3&gt;=35</f>
        <v/>
      </c>
      <c r="D210">
        <f>IF(Skills!C5=1,60+Inputs!$B$24+Inputs!$B$28,IF(Skills!C5=2,90+Inputs!$B$25+Inputs!$B$28,IF(Skills!C5=3,120+Inputs!$B$26+Inputs!$B$28,MAX(0,(Inputs!$B$3-100)*3)+Inputs!$B$27+Inputs!$B$28)))</f>
        <v/>
      </c>
      <c r="E210">
        <f>INDEX(FactorTable!$B$2:$Y$301, MATCH(ROUND(MIN(300,MAX(1,D210)),0), FactorTable!$A$2:$A$301,0), Skills!M5+1)</f>
        <v/>
      </c>
      <c r="F210">
        <f>IF(Skills!N5=TRUE,(Skills!L5/10)*(E210/1000),Skills!L5/10)+Skills!O5</f>
        <v/>
      </c>
      <c r="G210">
        <f>Skills!G5*IF(Skills!H5&gt;0,Skills!I5/Skills!H5,1)</f>
        <v/>
      </c>
      <c r="H210">
        <f>1-(1-Skills!J5/100)^Skills!K5</f>
        <v/>
      </c>
      <c r="I210" t="inlineStr">
        <is>
          <t>1</t>
        </is>
      </c>
      <c r="J210">
        <f>(Inputs!$B$5*(1+Inputs!$B$6/100))*(F210/100)</f>
        <v/>
      </c>
      <c r="K210">
        <f>J210*(1+((Inputs!$B$11*(1+Inputs!$B$12/100))*0.01+Inputs!$B$13*0.0025)/100)*(1+Inputs!$B$14/100)*(1+IF(Inputs!$B$4="pvp",0,(1-Summary!$B$55)*(Inputs!$B$19+0+Skills!P5)+Summary!$B$55*(Inputs!$B$20+Skills!Q5))/100)*(1+(Inputs!$B$15+1)/100)*(5000/(6000+Inputs!$B$7*(1-(Inputs!$B$18+0)/100)))*(1+(Inputs!$B$23+((C229=TRUE)*(F229-Calc!F24))+((C230=TRUE)*(F230-Calc!F25))+B243)/100)*(1+4.0*IF(C213=TRUE,F213,0)/100)*(1+(IF(Skills!A5="EMPOWERED_PIERCING_ARROW",Inputs!$B$16+((C227=TRUE)*(F227-Calc!F22)),Inputs!$B$17+((C232=TRUE)*(F232-Calc!F27))))/100)*((1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I210)</f>
        <v/>
      </c>
      <c r="L210">
        <f>K210*(MIN(Inputs!$B$21+((C228=TRUE)*(F228-Calc!F23)),Inputs!$B$22+((C233=TRUE)*(F233-Calc!F28)))/100+(Inputs!$B$22+((C233=TRUE)*(F233-Calc!F28)))/100)/2</f>
        <v/>
      </c>
      <c r="M210">
        <f>L210*(1+(Inputs!$B$9+0+B242)/100)</f>
        <v/>
      </c>
      <c r="N210">
        <f>L210*(1-MIN((Inputs!$B$8+((C224=TRUE)*(F224-Calc!F19))+B237),100)/100)+M210*(MIN((Inputs!$B$8+((C224=TRUE)*(F224-Calc!F19))+B237),100)/100)</f>
        <v/>
      </c>
      <c r="O210">
        <f>IF(C210,H210*N210*IF(AND(Inputs!$B$4&lt;&gt;"pvp",Inputs!$B$35&gt;0),((Skills!G5*((R210-1)*IF(Skills!H5&gt;0,Skills!I5/Skills!H5,1)+IF(Skills!H5&gt;0,MIN(Skills!I5,MAX(0,Inputs!$B$35-((R210-1)*IF(Inputs!$B$4="pvp",15,MAX(0.1,Skills!D5-IF(Skills!E5=TRUE,Inputs!$B$31,0))))))/Skills!H5,1)))/Inputs!$B$35),G210*Q210)*IF(Inputs!$B$4="pvp",1,(1-Summary!$B$55)*(1)+Summary!$B$55*(MIN(Skills!R5,Inputs!$B$37))),0)</f>
        <v/>
      </c>
      <c r="P210">
        <f>IF(B245=0,0,O210/B245)</f>
        <v/>
      </c>
      <c r="Q210">
        <f>IFERROR(1/IF(Inputs!$B$4="pvp",15,MAX(0.1,Skills!D5-IF(Skills!E5=TRUE,Inputs!$B$31,0))),0)</f>
        <v/>
      </c>
      <c r="R210">
        <f>IF(AND(Inputs!$B$4&lt;&gt;"pvp",Inputs!$B$35&gt;0),(INT(Inputs!$B$35/IF(Inputs!$B$4="pvp",15,MAX(0.1,Skills!D5-IF(Skills!E5=TRUE,Inputs!$B$31,0))))+1),0)</f>
        <v/>
      </c>
      <c r="S210">
        <f>IFERROR(O210/N210,0)</f>
        <v/>
      </c>
    </row>
    <row r="211">
      <c r="A211">
        <f>Skills!A6</f>
        <v/>
      </c>
      <c r="B211">
        <f>Skills!B6</f>
        <v/>
      </c>
      <c r="C211">
        <f>Inputs!$B$3&gt;=63</f>
        <v/>
      </c>
      <c r="D211">
        <f>IF(Skills!C6=1,60+Inputs!$B$24+Inputs!$B$28,IF(Skills!C6=2,90+Inputs!$B$25+Inputs!$B$28,IF(Skills!C6=3,120+Inputs!$B$26+Inputs!$B$28,MAX(0,(Inputs!$B$3-100)*3)+Inputs!$B$27+Inputs!$B$28)))</f>
        <v/>
      </c>
      <c r="E211">
        <f>INDEX(FactorTable!$B$2:$Y$301, MATCH(ROUND(MIN(300,MAX(1,D211)),0), FactorTable!$A$2:$A$301,0), Skills!M6+1)</f>
        <v/>
      </c>
      <c r="F211">
        <f>IF(Skills!N6=TRUE,(Skills!L6/10)*(E211/1000),Skills!L6/10)+Skills!O6</f>
        <v/>
      </c>
      <c r="G211">
        <f>Skills!G6*IF(Skills!H6&gt;0,Skills!I6/Skills!H6,1)</f>
        <v/>
      </c>
      <c r="H211">
        <f>1-(1-Skills!J6/100)^Skills!K6</f>
        <v/>
      </c>
      <c r="I211" t="inlineStr">
        <is>
          <t>1</t>
        </is>
      </c>
      <c r="J211">
        <f>(Inputs!$B$5*(1+Inputs!$B$6/100))*(F211/100)</f>
        <v/>
      </c>
      <c r="K211">
        <f>J211*(1+((Inputs!$B$11*(1+Inputs!$B$12/100))*0.01+Inputs!$B$13*0.0025)/100)*(1+Inputs!$B$14/100)*(1+IF(Inputs!$B$4="pvp",0,(1-Summary!$B$55)*(Inputs!$B$19+0+Skills!P6)+Summary!$B$55*(Inputs!$B$20+Skills!Q6))/100)*(1+(Inputs!$B$15+1)/100)*(5000/(6000+Inputs!$B$7*(1-(Inputs!$B$18+0)/100)))*(1+(Inputs!$B$23+((C229=TRUE)*(F229-Calc!F24))+((C230=TRUE)*(F230-Calc!F25))+B243)/100)*(1+1.0*IF(C213=TRUE,F213,0)/100)*(1+(IF(Skills!A6="EMPOWERED_PIERCING_ARROW",Inputs!$B$16+((C227=TRUE)*(F227-Calc!F22)),Inputs!$B$17+((C232=TRUE)*(F232-Calc!F27))))/100)*((1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I211)</f>
        <v/>
      </c>
      <c r="L211">
        <f>K211*(MIN(Inputs!$B$21+((C228=TRUE)*(F228-Calc!F23)),Inputs!$B$22+((C233=TRUE)*(F233-Calc!F28)))/100+(Inputs!$B$22+((C233=TRUE)*(F233-Calc!F28)))/100)/2</f>
        <v/>
      </c>
      <c r="M211">
        <f>L211*(1+(Inputs!$B$9+0+B242)/100)</f>
        <v/>
      </c>
      <c r="N211">
        <f>L211*(1-MIN((Inputs!$B$8+((C224=TRUE)*(F224-Calc!F19))+B237),100)/100)+M211*(MIN((Inputs!$B$8+((C224=TRUE)*(F224-Calc!F19))+B237),100)/100)</f>
        <v/>
      </c>
      <c r="O211">
        <f>IF(C211,H211*N211*IF(AND(Inputs!$B$4&lt;&gt;"pvp",Inputs!$B$35&gt;0),((Skills!G6*((R211-1)*IF(Skills!H6&gt;0,Skills!I6/Skills!H6,1)+IF(Skills!H6&gt;0,MIN(Skills!I6,MAX(0,Inputs!$B$35-((R211-1)*IF(Inputs!$B$4="pvp",15,MAX(0.1,Skills!D6-IF(Skills!E6=TRUE,Inputs!$B$31,0))))))/Skills!H6,1)))/Inputs!$B$35),G211*Q211)*IF(Inputs!$B$4="pvp",1,(1-Summary!$B$55)*(1)+Summary!$B$55*(MIN(Skills!R6,Inputs!$B$37))),0)</f>
        <v/>
      </c>
      <c r="P211">
        <f>IF(B245=0,0,O211/B245)</f>
        <v/>
      </c>
      <c r="Q211">
        <f>IFERROR(1/IF(Inputs!$B$4="pvp",15,MAX(0.1,Skills!D6-IF(Skills!E6=TRUE,Inputs!$B$31,0))),0)</f>
        <v/>
      </c>
      <c r="R211">
        <f>IF(AND(Inputs!$B$4&lt;&gt;"pvp",Inputs!$B$35&gt;0),(INT(Inputs!$B$35/IF(Inputs!$B$4="pvp",15,MAX(0.1,Skills!D6-IF(Skills!E6=TRUE,Inputs!$B$31,0))))+1),0)</f>
        <v/>
      </c>
      <c r="S211">
        <f>IFERROR(O211/N211,0)</f>
        <v/>
      </c>
    </row>
    <row r="212">
      <c r="A212">
        <f>Skills!A7</f>
        <v/>
      </c>
      <c r="B212">
        <f>Skills!B7</f>
        <v/>
      </c>
      <c r="C212">
        <f>Inputs!$B$3&gt;=69</f>
        <v/>
      </c>
      <c r="D212">
        <f>IF(Skills!C7=1,60+Inputs!$B$24+Inputs!$B$28,IF(Skills!C7=2,90+Inputs!$B$25+Inputs!$B$28,IF(Skills!C7=3,120+Inputs!$B$26+Inputs!$B$28,MAX(0,(Inputs!$B$3-100)*3)+Inputs!$B$27+Inputs!$B$28)))</f>
        <v/>
      </c>
      <c r="E212">
        <f>INDEX(FactorTable!$B$2:$Y$301, MATCH(ROUND(MIN(300,MAX(1,D212)),0), FactorTable!$A$2:$A$301,0), Skills!M7+1)</f>
        <v/>
      </c>
      <c r="F212">
        <f>IF(Skills!N7=TRUE,(Skills!L7/10)*(E212/1000),Skills!L7/10)+Skills!O7</f>
        <v/>
      </c>
      <c r="G212">
        <f>Skills!G7*IF(Skills!H7&gt;0,Skills!I7/Skills!H7,1)</f>
        <v/>
      </c>
      <c r="H212">
        <f>1-(1-Skills!J7/100)^Skills!K7</f>
        <v/>
      </c>
      <c r="I212" t="inlineStr">
        <is>
          <t>1</t>
        </is>
      </c>
      <c r="J212">
        <f>(Inputs!$B$5*(1+Inputs!$B$6/100))*(F212/100)</f>
        <v/>
      </c>
      <c r="K212">
        <f>J212*(1+((Inputs!$B$11*(1+Inputs!$B$12/100))*0.01+Inputs!$B$13*0.0025)/100)*(1+Inputs!$B$14/100)*(1+IF(Inputs!$B$4="pvp",0,(1-Summary!$B$55)*(Inputs!$B$19+0+Skills!P7)+Summary!$B$55*(Inputs!$B$20+Skills!Q7))/100)*(1+(Inputs!$B$15+1)/100)*(5000/(6000+Inputs!$B$7*(1-(Inputs!$B$18+0)/100)))*(1+(Inputs!$B$23+((C229=TRUE)*(F229-Calc!F24))+((C230=TRUE)*(F230-Calc!F25))+B243)/100)*(1+1.2*IF(C213=TRUE,F213,0)/100)*(1+(IF(Skills!A7="EMPOWERED_PIERCING_ARROW",Inputs!$B$16+((C227=TRUE)*(F227-Calc!F22)),Inputs!$B$17+((C232=TRUE)*(F232-Calc!F27))))/100)*((1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I212)</f>
        <v/>
      </c>
      <c r="L212">
        <f>K212*(MIN(Inputs!$B$21+((C228=TRUE)*(F228-Calc!F23)),Inputs!$B$22+((C233=TRUE)*(F233-Calc!F28)))/100+(Inputs!$B$22+((C233=TRUE)*(F233-Calc!F28)))/100)/2</f>
        <v/>
      </c>
      <c r="M212">
        <f>L212*(1+(Inputs!$B$9+0+B242)/100)</f>
        <v/>
      </c>
      <c r="N212">
        <f>L212*(1-MIN((Inputs!$B$8+((C224=TRUE)*(F224-Calc!F19))+B237),100)/100)+M212*(MIN((Inputs!$B$8+((C224=TRUE)*(F224-Calc!F19))+B237),100)/100)</f>
        <v/>
      </c>
      <c r="O212">
        <f>IF(C212,H212*N212*IF(AND(Inputs!$B$4&lt;&gt;"pvp",Inputs!$B$35&gt;0),((Skills!G7*((R212-1)*IF(Skills!H7&gt;0,Skills!I7/Skills!H7,1)+IF(Skills!H7&gt;0,MIN(Skills!I7,MAX(0,Inputs!$B$35-((R212-1)*IF(Inputs!$B$4="pvp",15,MAX(0.1,Skills!D7-IF(Skills!E7=TRUE,Inputs!$B$31,0))))))/Skills!H7,1)))/Inputs!$B$35),G212*Q212)*IF(Inputs!$B$4="pvp",1,(1-Summary!$B$55)*(1)+Summary!$B$55*(MIN(Skills!R7,Inputs!$B$37))),0)</f>
        <v/>
      </c>
      <c r="P212">
        <f>IF(B245=0,0,O212/B245)</f>
        <v/>
      </c>
      <c r="Q212">
        <f>IFERROR(1/IF(Inputs!$B$4="pvp",15,MAX(0.1,Skills!D7-IF(Skills!E7=TRUE,Inputs!$B$31,0))),0)</f>
        <v/>
      </c>
      <c r="R212">
        <f>IF(AND(Inputs!$B$4&lt;&gt;"pvp",Inputs!$B$35&gt;0),(INT(Inputs!$B$35/IF(Inputs!$B$4="pvp",15,MAX(0.1,Skills!D7-IF(Skills!E7=TRUE,Inputs!$B$31,0))))+1),0)</f>
        <v/>
      </c>
      <c r="S212">
        <f>IFERROR(O212/N212,0)</f>
        <v/>
      </c>
    </row>
    <row r="213">
      <c r="A213">
        <f>Skills!A8</f>
        <v/>
      </c>
      <c r="B213">
        <f>Skills!B8</f>
        <v/>
      </c>
      <c r="C213">
        <f>Inputs!$B$3&gt;=100</f>
        <v/>
      </c>
      <c r="D213">
        <f>IF(Skills!C8=1,60+Inputs!$B$24+Inputs!$B$28,IF(Skills!C8=2,90+Inputs!$B$25+Inputs!$B$28,IF(Skills!C8=3,120+Inputs!$B$26+Inputs!$B$28,MAX(0,(Inputs!$B$3-100)*3)+Inputs!$B$27+Inputs!$B$28)))</f>
        <v/>
      </c>
      <c r="E213">
        <f>INDEX(FactorTable!$B$2:$Y$301, MATCH(ROUND(MIN(300,MAX(1,D213)),0), FactorTable!$A$2:$A$301,0), Skills!M8+1)</f>
        <v/>
      </c>
      <c r="F213">
        <f>IF(Skills!N8=TRUE,(Skills!L8/10)*(E213/1000),Skills!L8/10)+Skills!O8</f>
        <v/>
      </c>
      <c r="G213" t="inlineStr"/>
      <c r="H213" t="inlineStr"/>
      <c r="I213" t="inlineStr">
        <is>
          <t>1</t>
        </is>
      </c>
      <c r="J213" t="inlineStr"/>
      <c r="K213" t="inlineStr"/>
      <c r="L213" t="inlineStr"/>
      <c r="M213" t="inlineStr"/>
      <c r="N213" t="inlineStr"/>
      <c r="O213" t="inlineStr"/>
      <c r="P213" t="inlineStr"/>
      <c r="Q213" t="inlineStr"/>
      <c r="R213" t="inlineStr"/>
      <c r="S213" t="inlineStr"/>
    </row>
    <row r="214">
      <c r="A214">
        <f>Skills!A9</f>
        <v/>
      </c>
      <c r="B214">
        <f>Skills!B9</f>
        <v/>
      </c>
      <c r="C214">
        <f>Inputs!$B$3&gt;=103</f>
        <v/>
      </c>
      <c r="D214">
        <f>IF(Skills!C9=1,60+Inputs!$B$24+Inputs!$B$28,IF(Skills!C9=2,90+Inputs!$B$25+Inputs!$B$28,IF(Skills!C9=3,120+Inputs!$B$26+Inputs!$B$28,MAX(0,(Inputs!$B$3-100)*3)+Inputs!$B$27+Inputs!$B$28)))</f>
        <v/>
      </c>
      <c r="E214">
        <f>INDEX(FactorTable!$B$2:$Y$301, MATCH(ROUND(MIN(300,MAX(1,D214)),0), FactorTable!$A$2:$A$301,0), Skills!M9+1)</f>
        <v/>
      </c>
      <c r="F214">
        <f>IF(Skills!N9=TRUE,(Skills!L9/10)*(E214/1000),Skills!L9/10)+Skills!O9</f>
        <v/>
      </c>
      <c r="G214">
        <f>Skills!G9*IF(Skills!H9&gt;0,Skills!I9/Skills!H9,1)</f>
        <v/>
      </c>
      <c r="H214">
        <f>1-(1-Skills!J9/100)^Skills!K9</f>
        <v/>
      </c>
      <c r="I214" t="inlineStr">
        <is>
          <t>1</t>
        </is>
      </c>
      <c r="J214">
        <f>(Inputs!$B$5*(1+Inputs!$B$6/100))*(F214/100)</f>
        <v/>
      </c>
      <c r="K214">
        <f>J214*(1+((Inputs!$B$11*(1+Inputs!$B$12/100))*0.01+Inputs!$B$13*0.0025)/100)*(1+Inputs!$B$14/100)*(1+IF(Inputs!$B$4="pvp",0,(1-Summary!$B$55)*(Inputs!$B$19+0+Skills!P9)+Summary!$B$55*(Inputs!$B$20+Skills!Q9))/100)*(1+(Inputs!$B$15+1)/100)*(5000/(6000+Inputs!$B$7*(1-(Inputs!$B$18+0)/100)))*(1+(Inputs!$B$23+((C229=TRUE)*(F229-Calc!F24))+((C230=TRUE)*(F230-Calc!F25))+B243)/100)*(1+(IF(Skills!A9="EMPOWERED_PIERCING_ARROW",Inputs!$B$16+((C227=TRUE)*(F227-Calc!F22)),Inputs!$B$17+((C232=TRUE)*(F232-Calc!F27))))/100)*((1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I214)</f>
        <v/>
      </c>
      <c r="L214">
        <f>K214*(MIN(Inputs!$B$21+((C228=TRUE)*(F228-Calc!F23)),Inputs!$B$22+((C233=TRUE)*(F233-Calc!F28)))/100+(Inputs!$B$22+((C233=TRUE)*(F233-Calc!F28)))/100)/2</f>
        <v/>
      </c>
      <c r="M214">
        <f>L214*(1+(Inputs!$B$9+0+B242)/100)</f>
        <v/>
      </c>
      <c r="N214">
        <f>L214*(1-MIN((Inputs!$B$8+((C224=TRUE)*(F224-Calc!F19))+B237),100)/100)+M214*(MIN((Inputs!$B$8+((C224=TRUE)*(F224-Calc!F19))+B237),100)/100)</f>
        <v/>
      </c>
      <c r="O214">
        <f>IF(C214,H214*N214*IF(AND(Inputs!$B$4&lt;&gt;"pvp",Inputs!$B$35&gt;0),((Skills!G9*((R214-1)*IF(Skills!H9&gt;0,Skills!I9/Skills!H9,1)+IF(Skills!H9&gt;0,MIN(Skills!I9,MAX(0,Inputs!$B$35-((R214-1)*IF(Inputs!$B$4="pvp",15,MAX(0.1,Skills!D9-IF(Skills!E9=TRUE,Inputs!$B$31,0))))))/Skills!H9,1)))/Inputs!$B$35),G214*Q214)*IF(Inputs!$B$4="pvp",1,(1-Summary!$B$55)*(1)+Summary!$B$55*(MIN(Skills!R9,Inputs!$B$37))),0)</f>
        <v/>
      </c>
      <c r="P214">
        <f>IF(B245=0,0,O214/B245)</f>
        <v/>
      </c>
      <c r="Q214">
        <f>IFERROR(1/IF(Inputs!$B$4="pvp",15,MAX(0.1,Skills!D9-IF(Skills!E9=TRUE,Inputs!$B$31,0))),0)</f>
        <v/>
      </c>
      <c r="R214">
        <f>IF(AND(Inputs!$B$4&lt;&gt;"pvp",Inputs!$B$35&gt;0),(INT(Inputs!$B$35/IF(Inputs!$B$4="pvp",15,MAX(0.1,Skills!D9-IF(Skills!E9=TRUE,Inputs!$B$31,0))))+1),0)</f>
        <v/>
      </c>
      <c r="S214">
        <f>IFERROR(O214/N214,0)</f>
        <v/>
      </c>
    </row>
    <row r="215">
      <c r="A215">
        <f>Skills!A10</f>
        <v/>
      </c>
      <c r="B215">
        <f>Skills!B10</f>
        <v/>
      </c>
      <c r="C215">
        <f>Inputs!$B$3&gt;=107</f>
        <v/>
      </c>
      <c r="D215">
        <f>IF(Skills!C10=1,60+Inputs!$B$24+Inputs!$B$28,IF(Skills!C10=2,90+Inputs!$B$25+Inputs!$B$28,IF(Skills!C10=3,120+Inputs!$B$26+Inputs!$B$28,MAX(0,(Inputs!$B$3-100)*3)+Inputs!$B$27+Inputs!$B$28)))</f>
        <v/>
      </c>
      <c r="E215">
        <f>INDEX(FactorTable!$B$2:$Y$301, MATCH(ROUND(MIN(300,MAX(1,D215)),0), FactorTable!$A$2:$A$301,0), Skills!M10+1)</f>
        <v/>
      </c>
      <c r="F215">
        <f>IF(Skills!N10=TRUE,(Skills!L10/10)*(E215/1000),Skills!L10/10)+Skills!O10</f>
        <v/>
      </c>
      <c r="G215">
        <f>Skills!G10*IF(Skills!H10&gt;0,Skills!I10/Skills!H10,1)</f>
        <v/>
      </c>
      <c r="H215">
        <f>1-(1-Skills!J10/100)^Skills!K10</f>
        <v/>
      </c>
      <c r="I215" t="inlineStr">
        <is>
          <t>1</t>
        </is>
      </c>
      <c r="J215">
        <f>(Inputs!$B$5*(1+Inputs!$B$6/100))*(F215/100)</f>
        <v/>
      </c>
      <c r="K215">
        <f>J215*(1+((Inputs!$B$11*(1+Inputs!$B$12/100))*0.01+Inputs!$B$13*0.0025)/100)*(1+Inputs!$B$14/100)*(1+IF(Inputs!$B$4="pvp",0,(1-Summary!$B$55)*(Inputs!$B$19+0+Skills!P10)+Summary!$B$55*(Inputs!$B$20+Skills!Q10))/100)*(1+(Inputs!$B$15+1)/100)*(5000/(6000+Inputs!$B$7*(1-(Inputs!$B$18+0)/100)))*(1+(Inputs!$B$23+((C229=TRUE)*(F229-Calc!F24))+((C230=TRUE)*(F230-Calc!F25))+B243)/100)*(1+(IF(Skills!A10="EMPOWERED_PIERCING_ARROW",Inputs!$B$16+((C227=TRUE)*(F227-Calc!F22)),Inputs!$B$17+((C232=TRUE)*(F232-Calc!F27))))/100)*((1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I215)</f>
        <v/>
      </c>
      <c r="L215">
        <f>K215*(MIN(Inputs!$B$21+((C228=TRUE)*(F228-Calc!F23)),Inputs!$B$22+((C233=TRUE)*(F233-Calc!F28)))/100+(Inputs!$B$22+((C233=TRUE)*(F233-Calc!F28)))/100)/2</f>
        <v/>
      </c>
      <c r="M215">
        <f>L215*(1+(Inputs!$B$9+0+B242)/100)</f>
        <v/>
      </c>
      <c r="N215">
        <f>L215*(1-MIN((Inputs!$B$8+((C224=TRUE)*(F224-Calc!F19))+B237),100)/100)+M215*(MIN((Inputs!$B$8+((C224=TRUE)*(F224-Calc!F19))+B237),100)/100)</f>
        <v/>
      </c>
      <c r="O215">
        <f>IF(C215,0.15*SUMPRODUCT((Skills!U2:U29=TRUE)*(C207:C234=TRUE)*S207:S234)*Skills!G10*N215*IF(Inputs!$B$4="pvp",1,(1-Summary!$B$55)*(1)+Summary!$B$55*(MIN(Skills!R10,Inputs!$B$37))),0)</f>
        <v/>
      </c>
      <c r="P215">
        <f>IF(B245=0,0,O215/B245)</f>
        <v/>
      </c>
      <c r="Q215" t="n">
        <v>0</v>
      </c>
      <c r="R215" t="n">
        <v>0</v>
      </c>
      <c r="S215" t="n">
        <v>0</v>
      </c>
    </row>
    <row r="216">
      <c r="A216">
        <f>Skills!A11</f>
        <v/>
      </c>
      <c r="B216">
        <f>Skills!B11</f>
        <v/>
      </c>
      <c r="C216">
        <f>Inputs!$B$3&gt;=110</f>
        <v/>
      </c>
      <c r="D216">
        <f>IF(Skills!C11=1,60+Inputs!$B$24+Inputs!$B$28,IF(Skills!C11=2,90+Inputs!$B$25+Inputs!$B$28,IF(Skills!C11=3,120+Inputs!$B$26+Inputs!$B$28,MAX(0,(Inputs!$B$3-100)*3)+Inputs!$B$27+Inputs!$B$28)))</f>
        <v/>
      </c>
      <c r="E216">
        <f>INDEX(FactorTable!$B$2:$Y$301, MATCH(ROUND(MIN(300,MAX(1,D216)),0), FactorTable!$A$2:$A$301,0), Skills!M11+1)</f>
        <v/>
      </c>
      <c r="F216">
        <f>IF(Skills!N11=TRUE,(Skills!L11/10)*(E216/1000),Skills!L11/10)+Skills!O11</f>
        <v/>
      </c>
      <c r="G216">
        <f>Skills!G11*IF(Skills!H11&gt;0,Skills!I11/Skills!H11,1)</f>
        <v/>
      </c>
      <c r="H216">
        <f>1-(1-Skills!J11/100)^Skills!K11</f>
        <v/>
      </c>
      <c r="I216" t="inlineStr">
        <is>
          <t>1</t>
        </is>
      </c>
      <c r="J216">
        <f>(Inputs!$B$5*(1+Inputs!$B$6/100))*(F216/100)</f>
        <v/>
      </c>
      <c r="K216">
        <f>J216*(1+((Inputs!$B$11*(1+Inputs!$B$12/100))*0.01+Inputs!$B$13*0.0025)/100)*(1+Inputs!$B$14/100)*(1+IF(Inputs!$B$4="pvp",0,(1-Summary!$B$55)*(Inputs!$B$19+0+Skills!P11)+Summary!$B$55*(Inputs!$B$20+Skills!Q11))/100)*(1+(Inputs!$B$15+1)/100)*(5000/(6000+Inputs!$B$7*(1-(Inputs!$B$18+0)/100)))*(1+(Inputs!$B$23+((C229=TRUE)*(F229-Calc!F24))+((C230=TRUE)*(F230-Calc!F25))+B243)/100)*(1+(IF(Skills!A11="EMPOWERED_PIERCING_ARROW",Inputs!$B$16+((C227=TRUE)*(F227-Calc!F22)),Inputs!$B$17+((C232=TRUE)*(F232-Calc!F27))))/100)*((1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I216)</f>
        <v/>
      </c>
      <c r="L216">
        <f>K216*(MIN(Inputs!$B$21+((C228=TRUE)*(F228-Calc!F23)),Inputs!$B$22+((C233=TRUE)*(F233-Calc!F28)))/100+(Inputs!$B$22+((C233=TRUE)*(F233-Calc!F28)))/100)/2</f>
        <v/>
      </c>
      <c r="M216">
        <f>L216*(1+(Inputs!$B$9+0+B242)/100)</f>
        <v/>
      </c>
      <c r="N216">
        <f>L216*(1-MIN((Inputs!$B$8+((C224=TRUE)*(F224-Calc!F19))+B237),100)/100)+M216*(MIN((Inputs!$B$8+((C224=TRUE)*(F224-Calc!F19))+B237),100)/100)</f>
        <v/>
      </c>
      <c r="O216">
        <f>IF(C216,H216*N216*IF(AND(Inputs!$B$4&lt;&gt;"pvp",Inputs!$B$35&gt;0),((Skills!G11*((R216-1)*IF(Skills!H11&gt;0,Skills!I11/Skills!H11,1)+IF(Skills!H11&gt;0,MIN(Skills!I11,MAX(0,Inputs!$B$35-((R216-1)*IF(Inputs!$B$4="pvp",15,MAX(0.1,Skills!D11-IF(Skills!E11=TRUE,Inputs!$B$31,0))))))/Skills!H11,1)))/Inputs!$B$35),G216*Q216)*IF(Inputs!$B$4="pvp",1,(1-Summary!$B$55)*(1)+Summary!$B$55*(MIN(Skills!R11,Inputs!$B$37))),0)</f>
        <v/>
      </c>
      <c r="P216">
        <f>IF(B245=0,0,O216/B245)</f>
        <v/>
      </c>
      <c r="Q216">
        <f>IFERROR(1/IF(Inputs!$B$4="pvp",15,MAX(0.1,Skills!D11-IF(Skills!E11=TRUE,Inputs!$B$31,0))),0)</f>
        <v/>
      </c>
      <c r="R216">
        <f>IF(AND(Inputs!$B$4&lt;&gt;"pvp",Inputs!$B$35&gt;0),(INT(Inputs!$B$35/IF(Inputs!$B$4="pvp",15,MAX(0.1,Skills!D11-IF(Skills!E11=TRUE,Inputs!$B$31,0))))+1),0)</f>
        <v/>
      </c>
      <c r="S216">
        <f>IFERROR(O216/N216,0)</f>
        <v/>
      </c>
    </row>
    <row r="217">
      <c r="A217">
        <f>Skills!A12</f>
        <v/>
      </c>
      <c r="B217">
        <f>Skills!B12</f>
        <v/>
      </c>
      <c r="C217">
        <f>Inputs!$B$3&gt;=60</f>
        <v/>
      </c>
      <c r="D217">
        <f>IF(Skills!C12=1,60+Inputs!$B$24+Inputs!$B$28,IF(Skills!C12=2,90+Inputs!$B$25+Inputs!$B$28,IF(Skills!C12=3,120+Inputs!$B$26+Inputs!$B$28,MAX(0,(Inputs!$B$3-100)*3)+Inputs!$B$27+Inputs!$B$28)))</f>
        <v/>
      </c>
      <c r="E217">
        <f>INDEX(FactorTable!$B$2:$Y$301, MATCH(ROUND(MIN(300,MAX(1,D217)),0), FactorTable!$A$2:$A$301,0), Skills!M12+1)</f>
        <v/>
      </c>
      <c r="F217">
        <f>IF(Skills!N12=TRUE,(Skills!L12/10)*(E217/1000),Skills!L12/10)+Skills!O12</f>
        <v/>
      </c>
      <c r="G217">
        <f>Skills!G12*IF(Skills!H12&gt;0,Skills!I12/Skills!H12,1)</f>
        <v/>
      </c>
      <c r="H217">
        <f>1-(1-Skills!J12/100)^Skills!K12</f>
        <v/>
      </c>
      <c r="I217" t="inlineStr">
        <is>
          <t>1</t>
        </is>
      </c>
      <c r="J217" t="inlineStr"/>
      <c r="K217" t="inlineStr"/>
      <c r="L217" t="inlineStr"/>
      <c r="M217" t="inlineStr"/>
      <c r="N217" t="inlineStr"/>
      <c r="O217" t="n">
        <v>0</v>
      </c>
      <c r="P217">
        <f>IF(B245=0,0,O217/B245)</f>
        <v/>
      </c>
      <c r="Q217" t="n">
        <v>0</v>
      </c>
      <c r="R217" t="n">
        <v>0</v>
      </c>
      <c r="S217">
        <f>IFERROR(O217/N217,0)</f>
        <v/>
      </c>
    </row>
    <row r="218">
      <c r="A218">
        <f>Skills!A13</f>
        <v/>
      </c>
      <c r="B218">
        <f>Skills!B13</f>
        <v/>
      </c>
      <c r="C218">
        <f>Inputs!$B$3&gt;=74</f>
        <v/>
      </c>
      <c r="D218">
        <f>IF(Skills!C13=1,60+Inputs!$B$24+Inputs!$B$28,IF(Skills!C13=2,90+Inputs!$B$25+Inputs!$B$28,IF(Skills!C13=3,120+Inputs!$B$26+Inputs!$B$28,MAX(0,(Inputs!$B$3-100)*3)+Inputs!$B$27+Inputs!$B$28)))</f>
        <v/>
      </c>
      <c r="E218">
        <f>INDEX(FactorTable!$B$2:$Y$301, MATCH(ROUND(MIN(300,MAX(1,D218)),0), FactorTable!$A$2:$A$301,0), Skills!M13+1)</f>
        <v/>
      </c>
      <c r="F218">
        <f>IF(Skills!N13=TRUE,(Skills!L13/10)*(E218/1000),Skills!L13/10)+Skills!O13</f>
        <v/>
      </c>
      <c r="G218">
        <f>Skills!G13*IF(Skills!H13&gt;0,Skills!I13/Skills!H13,1)</f>
        <v/>
      </c>
      <c r="H218">
        <f>1-(1-Skills!J13/100)^Skills!K13</f>
        <v/>
      </c>
      <c r="I218" t="inlineStr">
        <is>
          <t>1</t>
        </is>
      </c>
      <c r="J218" t="inlineStr"/>
      <c r="K218" t="inlineStr"/>
      <c r="L218" t="inlineStr"/>
      <c r="M218" t="inlineStr"/>
      <c r="N218" t="inlineStr"/>
      <c r="O218" t="n">
        <v>0</v>
      </c>
      <c r="P218">
        <f>IF(B245=0,0,O218/B245)</f>
        <v/>
      </c>
      <c r="Q218" t="n">
        <v>0</v>
      </c>
      <c r="R218" t="n">
        <v>0</v>
      </c>
      <c r="S218">
        <f>IFERROR(O218/N218,0)</f>
        <v/>
      </c>
    </row>
    <row r="219">
      <c r="A219">
        <f>Skills!A14</f>
        <v/>
      </c>
      <c r="B219">
        <f>Skills!B14</f>
        <v/>
      </c>
      <c r="C219">
        <f>Inputs!$B$3&gt;=74</f>
        <v/>
      </c>
      <c r="D219">
        <f>IF(Skills!C14=1,60+Inputs!$B$24+Inputs!$B$28,IF(Skills!C14=2,90+Inputs!$B$25+Inputs!$B$28,IF(Skills!C14=3,120+Inputs!$B$26+Inputs!$B$28,MAX(0,(Inputs!$B$3-100)*3)+Inputs!$B$27+Inputs!$B$28)))</f>
        <v/>
      </c>
      <c r="E219">
        <f>INDEX(FactorTable!$B$2:$Y$301, MATCH(ROUND(MIN(300,MAX(1,D219)),0), FactorTable!$A$2:$A$301,0), Skills!M14+1)</f>
        <v/>
      </c>
      <c r="F219">
        <f>IF(Skills!N14=TRUE,(Skills!L14/10)*(E219/1000),Skills!L14/10)+Skills!O14</f>
        <v/>
      </c>
      <c r="G219">
        <f>Skills!G14*IF(Skills!H14&gt;0,Skills!I14/Skills!H14,1)</f>
        <v/>
      </c>
      <c r="H219">
        <f>1-(1-Skills!J14/100)^Skills!K14</f>
        <v/>
      </c>
      <c r="I219" t="inlineStr">
        <is>
          <t>1</t>
        </is>
      </c>
      <c r="J219" t="inlineStr"/>
      <c r="K219" t="inlineStr"/>
      <c r="L219" t="inlineStr"/>
      <c r="M219" t="inlineStr"/>
      <c r="N219" t="inlineStr"/>
      <c r="O219" t="n">
        <v>0</v>
      </c>
      <c r="P219">
        <f>IF(B245=0,0,O219/B245)</f>
        <v/>
      </c>
      <c r="Q219" t="n">
        <v>0</v>
      </c>
      <c r="R219" t="n">
        <v>0</v>
      </c>
      <c r="S219">
        <f>IFERROR(O219/N219,0)</f>
        <v/>
      </c>
    </row>
    <row r="220">
      <c r="A220">
        <f>Skills!A15</f>
        <v/>
      </c>
      <c r="B220">
        <f>Skills!B15</f>
        <v/>
      </c>
      <c r="C220">
        <f>Inputs!$B$3&gt;=117</f>
        <v/>
      </c>
      <c r="D220">
        <f>IF(Skills!C15=1,60+Inputs!$B$24+Inputs!$B$28,IF(Skills!C15=2,90+Inputs!$B$25+Inputs!$B$28,IF(Skills!C15=3,120+Inputs!$B$26+Inputs!$B$28,MAX(0,(Inputs!$B$3-100)*3)+Inputs!$B$27+Inputs!$B$28)))</f>
        <v/>
      </c>
      <c r="E220">
        <f>INDEX(FactorTable!$B$2:$Y$301, MATCH(ROUND(MIN(300,MAX(1,D220)),0), FactorTable!$A$2:$A$301,0), Skills!M15+1)</f>
        <v/>
      </c>
      <c r="F220">
        <f>IF(Skills!N15=TRUE,(Skills!L15/10)*(E220/1000),Skills!L15/10)+Skills!O15</f>
        <v/>
      </c>
      <c r="G220">
        <f>Skills!G15*IF(Skills!H15&gt;0,Skills!I15/Skills!H15,1)</f>
        <v/>
      </c>
      <c r="H220">
        <f>1-(1-Skills!J15/100)^Skills!K15</f>
        <v/>
      </c>
      <c r="I220" t="inlineStr">
        <is>
          <t>1</t>
        </is>
      </c>
      <c r="J220" t="inlineStr"/>
      <c r="K220" t="inlineStr"/>
      <c r="L220" t="inlineStr"/>
      <c r="M220" t="inlineStr"/>
      <c r="N220" t="inlineStr"/>
      <c r="O220" t="n">
        <v>0</v>
      </c>
      <c r="P220">
        <f>IF(B245=0,0,O220/B245)</f>
        <v/>
      </c>
      <c r="Q220">
        <f>IFERROR(1/IF(Inputs!$B$4="pvp",15,MAX(0.1,Skills!D15-IF(Skills!E15=TRUE,Inputs!$B$31,0))),0)</f>
        <v/>
      </c>
      <c r="R220">
        <f>IF(AND(Inputs!$B$4&lt;&gt;"pvp",Inputs!$B$35&gt;0),(INT(Inputs!$B$35/IF(Inputs!$B$4="pvp",15,MAX(0.1,Skills!D15-IF(Skills!E15=TRUE,Inputs!$B$31,0))))+1),0)</f>
        <v/>
      </c>
      <c r="S220">
        <f>IFERROR(O220/N220,0)</f>
        <v/>
      </c>
    </row>
    <row r="221">
      <c r="A221">
        <f>Skills!A16</f>
        <v/>
      </c>
      <c r="B221">
        <f>Skills!B16</f>
        <v/>
      </c>
      <c r="C221">
        <f>Inputs!$B$3&gt;=115</f>
        <v/>
      </c>
      <c r="D221">
        <f>IF(Skills!C16=1,60+Inputs!$B$24+Inputs!$B$28,IF(Skills!C16=2,90+Inputs!$B$25+Inputs!$B$28,IF(Skills!C16=3,120+Inputs!$B$26+Inputs!$B$28,MAX(0,(Inputs!$B$3-100)*3)+Inputs!$B$27+Inputs!$B$28)))</f>
        <v/>
      </c>
      <c r="E221">
        <f>INDEX(FactorTable!$B$2:$Y$301, MATCH(ROUND(MIN(300,MAX(1,D221)),0), FactorTable!$A$2:$A$301,0), Skills!M16+1)</f>
        <v/>
      </c>
      <c r="F221">
        <f>IF(Skills!N16=TRUE,(Skills!L16/10)*(E221/1000),Skills!L16/10)+Skills!O16</f>
        <v/>
      </c>
      <c r="G221">
        <f>Skills!G16*IF(Skills!H16&gt;0,Skills!I16/Skills!H16,1)</f>
        <v/>
      </c>
      <c r="H221">
        <f>1-(1-Skills!J16/100)^Skills!K16</f>
        <v/>
      </c>
      <c r="I221" t="inlineStr">
        <is>
          <t>1</t>
        </is>
      </c>
      <c r="J221" t="inlineStr"/>
      <c r="K221" t="inlineStr"/>
      <c r="L221" t="inlineStr"/>
      <c r="M221" t="inlineStr"/>
      <c r="N221" t="inlineStr"/>
      <c r="O221" t="n">
        <v>0</v>
      </c>
      <c r="P221">
        <f>IF(B245=0,0,O221/B245)</f>
        <v/>
      </c>
      <c r="Q221">
        <f>IFERROR(1/IF(Inputs!$B$4="pvp",15,MAX(0.1,Skills!D16-IF(Skills!E16=TRUE,Inputs!$B$31,0))),0)</f>
        <v/>
      </c>
      <c r="R221">
        <f>IF(AND(Inputs!$B$4&lt;&gt;"pvp",Inputs!$B$35&gt;0),(INT(Inputs!$B$35/IF(Inputs!$B$4="pvp",15,MAX(0.1,Skills!D16-IF(Skills!E16=TRUE,Inputs!$B$31,0))))+1),0)</f>
        <v/>
      </c>
      <c r="S221">
        <f>IFERROR(O221/N221,0)</f>
        <v/>
      </c>
    </row>
    <row r="222">
      <c r="A222">
        <f>Skills!A17</f>
        <v/>
      </c>
      <c r="B222">
        <f>Skills!B17</f>
        <v/>
      </c>
      <c r="C222">
        <f>Inputs!$B$3&gt;=72</f>
        <v/>
      </c>
      <c r="D222">
        <f>IF(Skills!C17=1,60+Inputs!$B$24+Inputs!$B$28,IF(Skills!C17=2,90+Inputs!$B$25+Inputs!$B$28,IF(Skills!C17=3,120+Inputs!$B$26+Inputs!$B$28,MAX(0,(Inputs!$B$3-100)*3)+Inputs!$B$27+Inputs!$B$28)))</f>
        <v/>
      </c>
      <c r="E222">
        <f>INDEX(FactorTable!$B$2:$Y$301, MATCH(ROUND(MIN(300,MAX(1,D222)),0), FactorTable!$A$2:$A$301,0), Skills!M17+1)</f>
        <v/>
      </c>
      <c r="F222">
        <f>IF(Skills!N17=TRUE,(Skills!L17/10)*(E222/1000),Skills!L17/10)+Skills!O17</f>
        <v/>
      </c>
      <c r="G222">
        <f>Skills!G17*IF(Skills!H17&gt;0,Skills!I17/Skills!H17,1)</f>
        <v/>
      </c>
      <c r="H222">
        <f>1-(1-Skills!J17/100)^Skills!K17</f>
        <v/>
      </c>
      <c r="I222" t="inlineStr">
        <is>
          <t>1</t>
        </is>
      </c>
      <c r="J222" t="inlineStr"/>
      <c r="K222" t="inlineStr"/>
      <c r="L222" t="inlineStr"/>
      <c r="M222" t="inlineStr"/>
      <c r="N222" t="inlineStr"/>
      <c r="O222" t="n">
        <v>0</v>
      </c>
      <c r="P222">
        <f>IF(B245=0,0,O222/B245)</f>
        <v/>
      </c>
      <c r="Q222" t="n">
        <v>0</v>
      </c>
      <c r="R222" t="n">
        <v>0</v>
      </c>
      <c r="S222">
        <f>IFERROR(O222/N222,0)</f>
        <v/>
      </c>
    </row>
    <row r="223">
      <c r="A223">
        <f>Skills!A18</f>
        <v/>
      </c>
      <c r="B223">
        <f>Skills!B18</f>
        <v/>
      </c>
      <c r="C223">
        <f>TRUE</f>
        <v/>
      </c>
      <c r="D223">
        <f>IF(Skills!C18=1,60+Inputs!$B$24+Inputs!$B$28,IF(Skills!C18=2,90+Inputs!$B$25+Inputs!$B$28,IF(Skills!C18=3,120+Inputs!$B$26+Inputs!$B$28,MAX(0,(Inputs!$B$3-100)*3)+Inputs!$B$27+Inputs!$B$28)))</f>
        <v/>
      </c>
      <c r="E223">
        <f>INDEX(FactorTable!$B$2:$Y$301, MATCH(ROUND(MIN(300,MAX(1,D223)),0), FactorTable!$A$2:$A$301,0), Skills!M18+1)</f>
        <v/>
      </c>
      <c r="F223">
        <f>IF(Skills!N18=TRUE,(Skills!L18/10)*(E223/1000),Skills!L18/10)+Skills!O18</f>
        <v/>
      </c>
      <c r="G223">
        <f>Skills!G18*IF(Skills!H18&gt;0,Skills!I18/Skills!H18,1)</f>
        <v/>
      </c>
      <c r="H223">
        <f>1-(1-Skills!J18/100)^Skills!K18</f>
        <v/>
      </c>
      <c r="I223" t="inlineStr">
        <is>
          <t>1</t>
        </is>
      </c>
      <c r="J223" t="inlineStr"/>
      <c r="K223" t="inlineStr"/>
      <c r="L223" t="inlineStr"/>
      <c r="M223" t="inlineStr"/>
      <c r="N223" t="inlineStr"/>
      <c r="O223" t="n">
        <v>0</v>
      </c>
      <c r="P223">
        <f>IF(B245=0,0,O223/B245)</f>
        <v/>
      </c>
      <c r="Q223">
        <f>IFERROR(1/IF(Inputs!$B$4="pvp",15,MAX(0.1,Skills!D18-IF(Skills!E18=TRUE,Inputs!$B$31,0))),0)</f>
        <v/>
      </c>
      <c r="R223">
        <f>IF(AND(Inputs!$B$4&lt;&gt;"pvp",Inputs!$B$35&gt;0),(INT(Inputs!$B$35/IF(Inputs!$B$4="pvp",15,MAX(0.1,Skills!D18-IF(Skills!E18=TRUE,Inputs!$B$31,0))))+1),0)</f>
        <v/>
      </c>
      <c r="S223">
        <f>IFERROR(O223/N223,0)</f>
        <v/>
      </c>
    </row>
    <row r="224">
      <c r="A224">
        <f>Skills!A19</f>
        <v/>
      </c>
      <c r="B224">
        <f>Skills!B19</f>
        <v/>
      </c>
      <c r="C224">
        <f>Inputs!$B$3&gt;=15</f>
        <v/>
      </c>
      <c r="D224">
        <f>IF(Skills!C19=1,60+Inputs!$B$24+Inputs!$B$28,IF(Skills!C19=2,90+Inputs!$B$25+Inputs!$B$28,IF(Skills!C19=3,120+Inputs!$B$26+Inputs!$B$28,MAX(0,(Inputs!$B$3-100)*3)+Inputs!$B$27+Inputs!$B$28)))</f>
        <v/>
      </c>
      <c r="E224">
        <f>INDEX(FactorTable!$B$2:$Y$301, MATCH(ROUND(MIN(300,MAX(1,D224)),0), FactorTable!$A$2:$A$301,0), Skills!M19+1)</f>
        <v/>
      </c>
      <c r="F224">
        <f>IF(Skills!N19=TRUE,(Skills!L19/10)*(E224/1000),Skills!L19/10)+Skills!O19</f>
        <v/>
      </c>
      <c r="G224">
        <f>Skills!G19*IF(Skills!H19&gt;0,Skills!I19/Skills!H19,1)</f>
        <v/>
      </c>
      <c r="H224">
        <f>1-(1-Skills!J19/100)^Skills!K19</f>
        <v/>
      </c>
      <c r="I224" t="inlineStr">
        <is>
          <t>1</t>
        </is>
      </c>
      <c r="J224" t="inlineStr"/>
      <c r="K224" t="inlineStr"/>
      <c r="L224" t="inlineStr"/>
      <c r="M224" t="inlineStr"/>
      <c r="N224" t="inlineStr"/>
      <c r="O224" t="n">
        <v>0</v>
      </c>
      <c r="P224">
        <f>IF(B245=0,0,O224/B245)</f>
        <v/>
      </c>
      <c r="Q224" t="n">
        <v>0</v>
      </c>
      <c r="R224" t="n">
        <v>0</v>
      </c>
      <c r="S224">
        <f>IFERROR(O224/N224,0)</f>
        <v/>
      </c>
    </row>
    <row r="225">
      <c r="A225">
        <f>Skills!A20</f>
        <v/>
      </c>
      <c r="B225">
        <f>Skills!B20</f>
        <v/>
      </c>
      <c r="C225">
        <f>Inputs!$B$3&gt;=10</f>
        <v/>
      </c>
      <c r="D225">
        <f>IF(Skills!C20=1,60+Inputs!$B$24+Inputs!$B$28,IF(Skills!C20=2,90+Inputs!$B$25+Inputs!$B$28,IF(Skills!C20=3,120+Inputs!$B$26+Inputs!$B$28,MAX(0,(Inputs!$B$3-100)*3)+Inputs!$B$27+Inputs!$B$28)))</f>
        <v/>
      </c>
      <c r="E225">
        <f>INDEX(FactorTable!$B$2:$Y$301, MATCH(ROUND(MIN(300,MAX(1,D225)),0), FactorTable!$A$2:$A$301,0), Skills!M20+1)</f>
        <v/>
      </c>
      <c r="F225">
        <f>IF(Skills!N20=TRUE,(Skills!L20/10)*(E225/1000),Skills!L20/10)+Skills!O20</f>
        <v/>
      </c>
      <c r="G225">
        <f>Skills!G20*IF(Skills!H20&gt;0,Skills!I20/Skills!H20,1)</f>
        <v/>
      </c>
      <c r="H225">
        <f>1-(1-Skills!J20/100)^Skills!K20</f>
        <v/>
      </c>
      <c r="I225" t="inlineStr">
        <is>
          <t>1</t>
        </is>
      </c>
      <c r="J225" t="inlineStr"/>
      <c r="K225" t="inlineStr"/>
      <c r="L225" t="inlineStr"/>
      <c r="M225" t="inlineStr"/>
      <c r="N225" t="inlineStr"/>
      <c r="O225" t="n">
        <v>0</v>
      </c>
      <c r="P225">
        <f>IF(B245=0,0,O225/B245)</f>
        <v/>
      </c>
      <c r="Q225" t="n">
        <v>0</v>
      </c>
      <c r="R225" t="n">
        <v>0</v>
      </c>
      <c r="S225">
        <f>IFERROR(O225/N225,0)</f>
        <v/>
      </c>
    </row>
    <row r="226">
      <c r="A226">
        <f>Skills!A21</f>
        <v/>
      </c>
      <c r="B226">
        <f>Skills!B21</f>
        <v/>
      </c>
      <c r="C226">
        <f>Inputs!$B$3&gt;=33</f>
        <v/>
      </c>
      <c r="D226">
        <f>IF(Skills!C21=1,60+Inputs!$B$24+Inputs!$B$28,IF(Skills!C21=2,90+Inputs!$B$25+Inputs!$B$28,IF(Skills!C21=3,120+Inputs!$B$26+Inputs!$B$28,MAX(0,(Inputs!$B$3-100)*3)+Inputs!$B$27+Inputs!$B$28)))</f>
        <v/>
      </c>
      <c r="E226">
        <f>INDEX(FactorTable!$B$2:$Y$301, MATCH(ROUND(MIN(300,MAX(1,D226)),0), FactorTable!$A$2:$A$301,0), Skills!M21+1)</f>
        <v/>
      </c>
      <c r="F226">
        <f>IF(Skills!N21=TRUE,(Skills!L21/10)*(E226/1000),Skills!L21/10)+Skills!O21</f>
        <v/>
      </c>
      <c r="G226">
        <f>Skills!G21*IF(Skills!H21&gt;0,Skills!I21/Skills!H21,1)</f>
        <v/>
      </c>
      <c r="H226">
        <f>1-(1-Skills!J21/100)^Skills!K21</f>
        <v/>
      </c>
      <c r="I226" t="inlineStr">
        <is>
          <t>1</t>
        </is>
      </c>
      <c r="J226" t="inlineStr"/>
      <c r="K226" t="inlineStr"/>
      <c r="L226" t="inlineStr"/>
      <c r="M226" t="inlineStr"/>
      <c r="N226" t="inlineStr"/>
      <c r="O226" t="n">
        <v>0</v>
      </c>
      <c r="P226">
        <f>IF(B245=0,0,O226/B245)</f>
        <v/>
      </c>
      <c r="Q226" t="n">
        <v>0</v>
      </c>
      <c r="R226" t="n">
        <v>0</v>
      </c>
      <c r="S226">
        <f>IFERROR(O226/N226,0)</f>
        <v/>
      </c>
    </row>
    <row r="227">
      <c r="A227">
        <f>Skills!A22</f>
        <v/>
      </c>
      <c r="B227">
        <f>Skills!B22</f>
        <v/>
      </c>
      <c r="C227">
        <f>Inputs!$B$3&gt;=38</f>
        <v/>
      </c>
      <c r="D227">
        <f>IF(Skills!C22=1,60+Inputs!$B$24+Inputs!$B$28,IF(Skills!C22=2,90+Inputs!$B$25+Inputs!$B$28,IF(Skills!C22=3,120+Inputs!$B$26+Inputs!$B$28,MAX(0,(Inputs!$B$3-100)*3)+Inputs!$B$27+Inputs!$B$28)))</f>
        <v/>
      </c>
      <c r="E227">
        <f>INDEX(FactorTable!$B$2:$Y$301, MATCH(ROUND(MIN(300,MAX(1,D227)),0), FactorTable!$A$2:$A$301,0), Skills!M22+1)</f>
        <v/>
      </c>
      <c r="F227">
        <f>IF(Skills!N22=TRUE,(Skills!L22/10)*(E227/1000),Skills!L22/10)+Skills!O22</f>
        <v/>
      </c>
      <c r="G227">
        <f>Skills!G22*IF(Skills!H22&gt;0,Skills!I22/Skills!H22,1)</f>
        <v/>
      </c>
      <c r="H227">
        <f>1-(1-Skills!J22/100)^Skills!K22</f>
        <v/>
      </c>
      <c r="I227" t="inlineStr">
        <is>
          <t>1</t>
        </is>
      </c>
      <c r="J227" t="inlineStr"/>
      <c r="K227" t="inlineStr"/>
      <c r="L227" t="inlineStr"/>
      <c r="M227" t="inlineStr"/>
      <c r="N227" t="inlineStr"/>
      <c r="O227" t="n">
        <v>0</v>
      </c>
      <c r="P227">
        <f>IF(B245=0,0,O227/B245)</f>
        <v/>
      </c>
      <c r="Q227" t="n">
        <v>0</v>
      </c>
      <c r="R227" t="n">
        <v>0</v>
      </c>
      <c r="S227">
        <f>IFERROR(O227/N227,0)</f>
        <v/>
      </c>
    </row>
    <row r="228">
      <c r="A228">
        <f>Skills!A23</f>
        <v/>
      </c>
      <c r="B228">
        <f>Skills!B23</f>
        <v/>
      </c>
      <c r="C228">
        <f>Inputs!$B$3&gt;=43</f>
        <v/>
      </c>
      <c r="D228">
        <f>IF(Skills!C23=1,60+Inputs!$B$24+Inputs!$B$28,IF(Skills!C23=2,90+Inputs!$B$25+Inputs!$B$28,IF(Skills!C23=3,120+Inputs!$B$26+Inputs!$B$28,MAX(0,(Inputs!$B$3-100)*3)+Inputs!$B$27+Inputs!$B$28)))</f>
        <v/>
      </c>
      <c r="E228">
        <f>INDEX(FactorTable!$B$2:$Y$301, MATCH(ROUND(MIN(300,MAX(1,D228)),0), FactorTable!$A$2:$A$301,0), Skills!M23+1)</f>
        <v/>
      </c>
      <c r="F228">
        <f>IF(Skills!N23=TRUE,(Skills!L23/10)*(E228/1000),Skills!L23/10)+Skills!O23</f>
        <v/>
      </c>
      <c r="G228">
        <f>Skills!G23*IF(Skills!H23&gt;0,Skills!I23/Skills!H23,1)</f>
        <v/>
      </c>
      <c r="H228">
        <f>1-(1-Skills!J23/100)^Skills!K23</f>
        <v/>
      </c>
      <c r="I228" t="inlineStr">
        <is>
          <t>1</t>
        </is>
      </c>
      <c r="J228" t="inlineStr"/>
      <c r="K228" t="inlineStr"/>
      <c r="L228" t="inlineStr"/>
      <c r="M228" t="inlineStr"/>
      <c r="N228" t="inlineStr"/>
      <c r="O228" t="n">
        <v>0</v>
      </c>
      <c r="P228">
        <f>IF(B245=0,0,O228/B245)</f>
        <v/>
      </c>
      <c r="Q228" t="n">
        <v>0</v>
      </c>
      <c r="R228" t="n">
        <v>0</v>
      </c>
      <c r="S228">
        <f>IFERROR(O228/N228,0)</f>
        <v/>
      </c>
    </row>
    <row r="229">
      <c r="A229">
        <f>Skills!A24</f>
        <v/>
      </c>
      <c r="B229">
        <f>Skills!B24</f>
        <v/>
      </c>
      <c r="C229">
        <f>Inputs!$B$3&gt;=75</f>
        <v/>
      </c>
      <c r="D229">
        <f>IF(Skills!C24=1,60+Inputs!$B$24+Inputs!$B$28,IF(Skills!C24=2,90+Inputs!$B$25+Inputs!$B$28,IF(Skills!C24=3,120+Inputs!$B$26+Inputs!$B$28,MAX(0,(Inputs!$B$3-100)*3)+Inputs!$B$27+Inputs!$B$28)))</f>
        <v/>
      </c>
      <c r="E229">
        <f>INDEX(FactorTable!$B$2:$Y$301, MATCH(ROUND(MIN(300,MAX(1,D229)),0), FactorTable!$A$2:$A$301,0), Skills!M24+1)</f>
        <v/>
      </c>
      <c r="F229">
        <f>IF(Skills!N24=TRUE,(Skills!L24/10)*(E229/1000),Skills!L24/10)+Skills!O24</f>
        <v/>
      </c>
      <c r="G229">
        <f>Skills!G24*IF(Skills!H24&gt;0,Skills!I24/Skills!H24,1)</f>
        <v/>
      </c>
      <c r="H229">
        <f>1-(1-Skills!J24/100)^Skills!K24</f>
        <v/>
      </c>
      <c r="I229" t="inlineStr">
        <is>
          <t>1</t>
        </is>
      </c>
      <c r="J229" t="inlineStr"/>
      <c r="K229" t="inlineStr"/>
      <c r="L229" t="inlineStr"/>
      <c r="M229" t="inlineStr"/>
      <c r="N229" t="inlineStr"/>
      <c r="O229" t="n">
        <v>0</v>
      </c>
      <c r="P229">
        <f>IF(B245=0,0,O229/B245)</f>
        <v/>
      </c>
      <c r="Q229" t="n">
        <v>0</v>
      </c>
      <c r="R229" t="n">
        <v>0</v>
      </c>
      <c r="S229">
        <f>IFERROR(O229/N229,0)</f>
        <v/>
      </c>
    </row>
    <row r="230">
      <c r="A230">
        <f>Skills!A25</f>
        <v/>
      </c>
      <c r="B230">
        <f>Skills!B25</f>
        <v/>
      </c>
      <c r="C230">
        <f>Inputs!$B$3&gt;=125</f>
        <v/>
      </c>
      <c r="D230">
        <f>IF(Skills!C25=1,60+Inputs!$B$24+Inputs!$B$28,IF(Skills!C25=2,90+Inputs!$B$25+Inputs!$B$28,IF(Skills!C25=3,120+Inputs!$B$26+Inputs!$B$28,MAX(0,(Inputs!$B$3-100)*3)+Inputs!$B$27+Inputs!$B$28)))</f>
        <v/>
      </c>
      <c r="E230">
        <f>INDEX(FactorTable!$B$2:$Y$301, MATCH(ROUND(MIN(300,MAX(1,D230)),0), FactorTable!$A$2:$A$301,0), Skills!M25+1)</f>
        <v/>
      </c>
      <c r="F230">
        <f>IF(Skills!N25=TRUE,(Skills!L25/10)*(E230/1000),Skills!L25/10)+Skills!O25</f>
        <v/>
      </c>
      <c r="G230">
        <f>Skills!G25*IF(Skills!H25&gt;0,Skills!I25/Skills!H25,1)</f>
        <v/>
      </c>
      <c r="H230">
        <f>1-(1-Skills!J25/100)^Skills!K25</f>
        <v/>
      </c>
      <c r="I230" t="inlineStr">
        <is>
          <t>1</t>
        </is>
      </c>
      <c r="J230" t="inlineStr"/>
      <c r="K230" t="inlineStr"/>
      <c r="L230" t="inlineStr"/>
      <c r="M230" t="inlineStr"/>
      <c r="N230" t="inlineStr"/>
      <c r="O230" t="n">
        <v>0</v>
      </c>
      <c r="P230">
        <f>IF(B245=0,0,O230/B245)</f>
        <v/>
      </c>
      <c r="Q230" t="n">
        <v>0</v>
      </c>
      <c r="R230" t="n">
        <v>0</v>
      </c>
      <c r="S230">
        <f>IFERROR(O230/N230,0)</f>
        <v/>
      </c>
    </row>
    <row r="231">
      <c r="A231">
        <f>Skills!A26</f>
        <v/>
      </c>
      <c r="B231">
        <f>Skills!B26</f>
        <v/>
      </c>
      <c r="C231">
        <f>Inputs!$B$3&gt;=125</f>
        <v/>
      </c>
      <c r="D231">
        <f>IF(Skills!C26=1,60+Inputs!$B$24+Inputs!$B$28,IF(Skills!C26=2,90+Inputs!$B$25+Inputs!$B$28,IF(Skills!C26=3,120+Inputs!$B$26+Inputs!$B$28,MAX(0,(Inputs!$B$3-100)*3)+Inputs!$B$27+Inputs!$B$28)))</f>
        <v/>
      </c>
      <c r="E231">
        <f>INDEX(FactorTable!$B$2:$Y$301, MATCH(ROUND(MIN(300,MAX(1,D231)),0), FactorTable!$A$2:$A$301,0), Skills!M26+1)</f>
        <v/>
      </c>
      <c r="F231">
        <f>IF(Skills!N26=TRUE,(Skills!L26/10)*(E231/1000),Skills!L26/10)+Skills!O26</f>
        <v/>
      </c>
      <c r="G231">
        <f>Skills!G26*IF(Skills!H26&gt;0,Skills!I26/Skills!H26,1)</f>
        <v/>
      </c>
      <c r="H231">
        <f>1-(1-Skills!J26/100)^Skills!K26</f>
        <v/>
      </c>
      <c r="I231" t="inlineStr">
        <is>
          <t>1</t>
        </is>
      </c>
      <c r="J231" t="inlineStr"/>
      <c r="K231" t="inlineStr"/>
      <c r="L231" t="inlineStr"/>
      <c r="M231" t="inlineStr"/>
      <c r="N231" t="inlineStr"/>
      <c r="O231" t="n">
        <v>0</v>
      </c>
      <c r="P231">
        <f>IF(B245=0,0,O231/B245)</f>
        <v/>
      </c>
      <c r="Q231" t="n">
        <v>0</v>
      </c>
      <c r="R231" t="n">
        <v>0</v>
      </c>
      <c r="S231">
        <f>IFERROR(O231/N231,0)</f>
        <v/>
      </c>
    </row>
    <row r="232">
      <c r="A232">
        <f>Skills!A27</f>
        <v/>
      </c>
      <c r="B232">
        <f>Skills!B27</f>
        <v/>
      </c>
      <c r="C232">
        <f>Inputs!$B$3&gt;=120</f>
        <v/>
      </c>
      <c r="D232">
        <f>IF(Skills!C27=1,60+Inputs!$B$24+Inputs!$B$28,IF(Skills!C27=2,90+Inputs!$B$25+Inputs!$B$28,IF(Skills!C27=3,120+Inputs!$B$26+Inputs!$B$28,MAX(0,(Inputs!$B$3-100)*3)+Inputs!$B$27+Inputs!$B$28)))</f>
        <v/>
      </c>
      <c r="E232">
        <f>INDEX(FactorTable!$B$2:$Y$301, MATCH(ROUND(MIN(300,MAX(1,D232)),0), FactorTable!$A$2:$A$301,0), Skills!M27+1)</f>
        <v/>
      </c>
      <c r="F232">
        <f>IF(Skills!N27=TRUE,(Skills!L27/10)*(E232/1000),Skills!L27/10)+Skills!O27</f>
        <v/>
      </c>
      <c r="G232">
        <f>Skills!G27*IF(Skills!H27&gt;0,Skills!I27/Skills!H27,1)</f>
        <v/>
      </c>
      <c r="H232">
        <f>1-(1-Skills!J27/100)^Skills!K27</f>
        <v/>
      </c>
      <c r="I232" t="inlineStr">
        <is>
          <t>1</t>
        </is>
      </c>
      <c r="J232" t="inlineStr"/>
      <c r="K232" t="inlineStr"/>
      <c r="L232" t="inlineStr"/>
      <c r="M232" t="inlineStr"/>
      <c r="N232" t="inlineStr"/>
      <c r="O232" t="n">
        <v>0</v>
      </c>
      <c r="P232">
        <f>IF(B245=0,0,O232/B245)</f>
        <v/>
      </c>
      <c r="Q232" t="n">
        <v>0</v>
      </c>
      <c r="R232" t="n">
        <v>0</v>
      </c>
      <c r="S232">
        <f>IFERROR(O232/N232,0)</f>
        <v/>
      </c>
    </row>
    <row r="233">
      <c r="A233">
        <f>Skills!A28</f>
        <v/>
      </c>
      <c r="B233">
        <f>Skills!B28</f>
        <v/>
      </c>
      <c r="C233">
        <f>Inputs!$B$3&gt;=120</f>
        <v/>
      </c>
      <c r="D233">
        <f>IF(Skills!C28=1,60+Inputs!$B$24+Inputs!$B$28,IF(Skills!C28=2,90+Inputs!$B$25+Inputs!$B$28,IF(Skills!C28=3,120+Inputs!$B$26+Inputs!$B$28,MAX(0,(Inputs!$B$3-100)*3)+Inputs!$B$27+Inputs!$B$28)))</f>
        <v/>
      </c>
      <c r="E233">
        <f>INDEX(FactorTable!$B$2:$Y$301, MATCH(ROUND(MIN(300,MAX(1,D233)),0), FactorTable!$A$2:$A$301,0), Skills!M28+1)</f>
        <v/>
      </c>
      <c r="F233">
        <f>IF(Skills!N28=TRUE,(Skills!L28/10)*(E233/1000),Skills!L28/10)+Skills!O28</f>
        <v/>
      </c>
      <c r="G233">
        <f>Skills!G28*IF(Skills!H28&gt;0,Skills!I28/Skills!H28,1)</f>
        <v/>
      </c>
      <c r="H233">
        <f>1-(1-Skills!J28/100)^Skills!K28</f>
        <v/>
      </c>
      <c r="I233" t="inlineStr">
        <is>
          <t>1</t>
        </is>
      </c>
      <c r="J233" t="inlineStr"/>
      <c r="K233" t="inlineStr"/>
      <c r="L233" t="inlineStr"/>
      <c r="M233" t="inlineStr"/>
      <c r="N233" t="inlineStr"/>
      <c r="O233" t="n">
        <v>0</v>
      </c>
      <c r="P233">
        <f>IF(B245=0,0,O233/B245)</f>
        <v/>
      </c>
      <c r="Q233" t="n">
        <v>0</v>
      </c>
      <c r="R233" t="n">
        <v>0</v>
      </c>
      <c r="S233">
        <f>IFERROR(O233/N233,0)</f>
        <v/>
      </c>
    </row>
    <row r="234">
      <c r="A234">
        <f>Skills!A29</f>
        <v/>
      </c>
      <c r="B234">
        <f>Skills!B29</f>
        <v/>
      </c>
      <c r="C234">
        <f>Inputs!$B$3&gt;=45</f>
        <v/>
      </c>
      <c r="D234">
        <f>IF(Skills!C29=1,60+Inputs!$B$24+Inputs!$B$28,IF(Skills!C29=2,90+Inputs!$B$25+Inputs!$B$28,IF(Skills!C29=3,120+Inputs!$B$26+Inputs!$B$28,MAX(0,(Inputs!$B$3-100)*3)+Inputs!$B$27+Inputs!$B$28)))</f>
        <v/>
      </c>
      <c r="E234">
        <f>INDEX(FactorTable!$B$2:$Y$301, MATCH(ROUND(MIN(300,MAX(1,D234)),0), FactorTable!$A$2:$A$301,0), Skills!M29+1)</f>
        <v/>
      </c>
      <c r="F234">
        <f>IF(Skills!N29=TRUE,(Skills!L29/10)*(E234/1000),Skills!L29/10)+Skills!O29</f>
        <v/>
      </c>
      <c r="G234">
        <f>Skills!G29*IF(Skills!H29&gt;0,Skills!I29/Skills!H29,1)</f>
        <v/>
      </c>
      <c r="H234">
        <f>1-(1-Skills!J29/100)^Skills!K29</f>
        <v/>
      </c>
      <c r="I234" t="inlineStr">
        <is>
          <t>1</t>
        </is>
      </c>
      <c r="J234" t="inlineStr"/>
      <c r="K234" t="inlineStr"/>
      <c r="L234" t="inlineStr"/>
      <c r="M234" t="inlineStr"/>
      <c r="N234" t="inlineStr"/>
      <c r="O234" t="n">
        <v>0</v>
      </c>
      <c r="P234">
        <f>IF(B245=0,0,O234/B245)</f>
        <v/>
      </c>
      <c r="Q234" t="n">
        <v>0</v>
      </c>
      <c r="R234" t="n">
        <v>0</v>
      </c>
      <c r="S234">
        <f>IFERROR(O234/N234,0)</f>
        <v/>
      </c>
    </row>
    <row r="236">
      <c r="A236" t="inlineStr">
        <is>
          <t>Attack% Bucket Multiplier</t>
        </is>
      </c>
      <c r="B236">
        <f>(1+(((C218=TRUE)*F218)+((C219=TRUE)*IF(Inputs!$B$4="pvp",F219,(1-Summary!$B$55)*(F219)+Summary!$B$55*(0)))+((C220=TRUE)*F220*IF(AND(Inputs!$B$4&lt;&gt;"pvp",Inputs!$B$35&gt;0),(((S220-1)*(Skills!T15*(1+Inputs!$B$33/100))+MIN((Skills!T15*(1+Inputs!$B$33/100)),MAX(0,Inputs!$B$35-((S220-1)*Skills!D15))))/Inputs!$B$35),IF(Inputs!$B$4="pvp",MIN((Skills!T15*(1+Inputs!$B$33/100)),15)/15,(Skills!T15*(1+Inputs!$B$33/100))/Skills!D15)))+((C217=TRUE)*F217)+((C234=TRUE)*(F234-Calc!F29)))/100)</f>
        <v/>
      </c>
    </row>
    <row r="237">
      <c r="A237" t="inlineStr">
        <is>
          <t>Global Crit Rate Bonus %</t>
        </is>
      </c>
      <c r="B237">
        <f>(C221=TRUE)*20*IF(AND(Inputs!$B$4&lt;&gt;"pvp",Inputs!$B$35&gt;0),(((S221-1)*(Skills!T16*(1+Inputs!$B$33/100))+MIN((Skills!T16*(1+Inputs!$B$33/100)),MAX(0,Inputs!$B$35-((S221-1)*Skills!D16))))/Inputs!$B$35),IF(Inputs!$B$4="pvp",MIN((Skills!T16*(1+Inputs!$B$33/100)),15)/15,(Skills!T16*(1+Inputs!$B$33/100))/Skills!D16))</f>
        <v/>
      </c>
    </row>
    <row r="238">
      <c r="A238" t="inlineStr">
        <is>
          <t>Attack Speed Buff Bonus %</t>
        </is>
      </c>
      <c r="B238">
        <f>((C223=TRUE)*F223*IF(AND(Inputs!$B$4&lt;&gt;"pvp",Inputs!$B$35&gt;0),(((S223-1)*(Skills!T18*(1+Inputs!$B$33/100))+MIN((Skills!T18*(1+Inputs!$B$33/100)),MAX(0,Inputs!$B$35-((S223-1)*Skills!D18))))/Inputs!$B$35),IF(Inputs!$B$4="pvp",MIN((Skills!T18*(1+Inputs!$B$33/100)),15)/15,(Skills!T18*(1+Inputs!$B$33/100))/Skills!D18)))</f>
        <v/>
      </c>
    </row>
    <row r="239">
      <c r="A239" t="inlineStr">
        <is>
          <t>Actions Per Second</t>
        </is>
      </c>
      <c r="B239">
        <f>1+MIN(150,150*(1-(1-(Inputs!$B$10+((C225=TRUE)*(F225-Calc!F20))+((C226=TRUE)*(F226-Calc!F21)))/150)*(1-B238/150)))/100</f>
        <v/>
      </c>
    </row>
    <row r="240">
      <c r="A240" t="inlineStr">
        <is>
          <t>Skill + Buff Cast Rate</t>
        </is>
      </c>
      <c r="B240">
        <f>IF(AND(Inputs!$B$4&lt;&gt;"pvp",Inputs!$B$35&gt;0),SUMPRODUCT((Skills!E2:E29=TRUE)*(C207:C234=TRUE)*R207:R234*Skills!F2:F29)/Inputs!$B$35,SUMPRODUCT((Skills!E2:E29=TRUE)*(C207:C234=TRUE)*Q207:Q234*Skills!F2:F29))</f>
        <v/>
      </c>
    </row>
    <row r="241">
      <c r="A241" t="inlineStr">
        <is>
          <t>Empowered Piercing Arrow Casts Per Second</t>
        </is>
      </c>
      <c r="B241">
        <f>MAX(0,B239-B240)</f>
        <v/>
      </c>
    </row>
    <row r="242">
      <c r="A242" t="inlineStr">
        <is>
          <t>Global Critical Damage Bonus % (Sharp Eyes)</t>
        </is>
      </c>
      <c r="B242">
        <f>(C221=TRUE)*F221*IF(AND(Inputs!$B$4&lt;&gt;"pvp",Inputs!$B$35&gt;0),(((S221-1)*(Skills!T16*(1+Inputs!$B$33/100))+MIN((Skills!T16*(1+Inputs!$B$33/100)),MAX(0,Inputs!$B$35-((S221-1)*Skills!D16))))/Inputs!$B$35),IF(Inputs!$B$4="pvp",MIN((Skills!T16*(1+Inputs!$B$33/100)),15)/15,(Skills!T16*(1+Inputs!$B$33/100))/Skills!D16))</f>
        <v/>
      </c>
    </row>
    <row r="243">
      <c r="A243" t="inlineStr">
        <is>
          <t>Global Final Damage Bonus % (Mortal Blow + Last Man Standing conditional half)</t>
        </is>
      </c>
      <c r="B243">
        <f>(C222=TRUE)*F222+((C231=TRUE)*IF(Inputs!$B$4="pvp",F231,(1-Summary!$B$55)*(F231)+Summary!$B$55*(0)))</f>
        <v/>
      </c>
    </row>
    <row r="245">
      <c r="A245" s="5" t="inlineStr">
        <is>
          <t>TOTAL DPS</t>
        </is>
      </c>
      <c r="B245" s="5">
        <f>SUM(O207:O234)</f>
        <v/>
      </c>
    </row>
    <row r="248">
      <c r="A248" s="5" t="inlineStr">
        <is>
          <t>Stat: BOSS_DAMAGE %</t>
        </is>
      </c>
    </row>
    <row r="249">
      <c r="A249" s="8" t="inlineStr">
        <is>
          <t>Key</t>
        </is>
      </c>
      <c r="B249" s="8" t="inlineStr">
        <is>
          <t>Name</t>
        </is>
      </c>
      <c r="C249" s="8" t="inlineStr">
        <is>
          <t>Unlocked</t>
        </is>
      </c>
      <c r="D249" s="8" t="inlineStr">
        <is>
          <t>InputLevel</t>
        </is>
      </c>
      <c r="E249" s="8" t="inlineStr">
        <is>
          <t>Factor</t>
        </is>
      </c>
      <c r="F249" s="8" t="inlineStr">
        <is>
          <t>CoefficientPercent</t>
        </is>
      </c>
      <c r="G249" s="8" t="inlineStr">
        <is>
          <t>EffectiveHits</t>
        </is>
      </c>
      <c r="H249" s="8" t="inlineStr">
        <is>
          <t>ProcProbability</t>
        </is>
      </c>
      <c r="I249" s="8" t="inlineStr">
        <is>
          <t>MapleHeroMultiplier</t>
        </is>
      </c>
      <c r="J249" s="8" t="inlineStr">
        <is>
          <t>BaseDamage</t>
        </is>
      </c>
      <c r="K249" s="8" t="inlineStr">
        <is>
          <t>BaseHitDamage</t>
        </is>
      </c>
      <c r="L249" s="8" t="inlineStr">
        <is>
          <t>NonCritAvg</t>
        </is>
      </c>
      <c r="M249" s="8" t="inlineStr">
        <is>
          <t>CritAvg</t>
        </is>
      </c>
      <c r="N249" s="8" t="inlineStr">
        <is>
          <t>ExpectedDamage(perHit)</t>
        </is>
      </c>
      <c r="O249" s="8" t="inlineStr">
        <is>
          <t>DPS</t>
        </is>
      </c>
      <c r="P249" s="8" t="inlineStr">
        <is>
          <t>% of Total</t>
        </is>
      </c>
      <c r="Q249" s="8" t="inlineStr">
        <is>
          <t>InvCooldown</t>
        </is>
      </c>
      <c r="R249" s="8" t="inlineStr">
        <is>
          <t>CastsInFight</t>
        </is>
      </c>
      <c r="S249" s="8" t="inlineStr">
        <is>
          <t>HitRate(perSec)</t>
        </is>
      </c>
      <c r="U249" t="inlineStr">
        <is>
          <t>helpers</t>
        </is>
      </c>
    </row>
    <row r="250">
      <c r="A250">
        <f>Skills!A2</f>
        <v/>
      </c>
      <c r="B250">
        <f>Skills!B2</f>
        <v/>
      </c>
      <c r="C250">
        <f>Inputs!$B$3&gt;=100</f>
        <v/>
      </c>
      <c r="D250" t="inlineStr"/>
      <c r="E250" t="inlineStr"/>
      <c r="F250">
        <f>U252+Skills!O2</f>
        <v/>
      </c>
      <c r="G250">
        <f>Skills!G2*IF(Skills!H2&gt;0,Skills!I2/Skills!H2,1)</f>
        <v/>
      </c>
      <c r="H250">
        <f>1-(1-Skills!J2/100)^Skills!K2</f>
        <v/>
      </c>
      <c r="I250" t="inlineStr">
        <is>
          <t>1</t>
        </is>
      </c>
      <c r="J250">
        <f>(Inputs!$B$5*(1+Inputs!$B$6/100))*(F250/100)</f>
        <v/>
      </c>
      <c r="K250">
        <f>J250*(1+((Inputs!$B$11*(1+Inputs!$B$12/100))*0.01+Inputs!$B$13*0.0025)/100)*(1+Inputs!$B$14/100)*(1+IF(Inputs!$B$4="pvp",0,(1-Summary!$B$55)*((Inputs!$B$19+1)+0+Skills!P2)+Summary!$B$55*(Inputs!$B$20+Skills!Q2))/100)*(1+Inputs!$B$15/100)*(5000/(6000+Inputs!$B$7*(1-(Inputs!$B$18+0)/100)))*(1+(Inputs!$B$23+((C272=TRUE)*(F272-Calc!F24))+((C273=TRUE)*(F273-Calc!F25))+B286)/100)*(1+(IF(Skills!A2="EMPOWERED_PIERCING_ARROW",Inputs!$B$16+((C270=TRUE)*(F270-Calc!F22)),Inputs!$B$17+((C275=TRUE)*(F275-Calc!F27))))/100)*((1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I250)</f>
        <v/>
      </c>
      <c r="L250">
        <f>K250*(MIN(Inputs!$B$21+((C271=TRUE)*(F271-Calc!F23)),Inputs!$B$22+((C276=TRUE)*(F276-Calc!F28)))/100+(Inputs!$B$22+((C276=TRUE)*(F276-Calc!F28)))/100)/2</f>
        <v/>
      </c>
      <c r="M250">
        <f>L250*(1+(Inputs!$B$9+0+B285)/100)</f>
        <v/>
      </c>
      <c r="N250">
        <f>L250*(1-MIN((Inputs!$B$8+((C267=TRUE)*(F267-Calc!F19))+B280),100)/100)+M250*(MIN((Inputs!$B$8+((C267=TRUE)*(F267-Calc!F19))+B280),100)/100)</f>
        <v/>
      </c>
      <c r="O250">
        <f>IF(C250,Skills!G2*N250*B284*IF(Inputs!$B$4="pvp",1,(1-Summary!$B$55)*(1)+Summary!$B$55*(MIN((6+Inputs!$B$32),Inputs!$B$37))),0)</f>
        <v/>
      </c>
      <c r="P250">
        <f>IF(B288=0,0,O250/B288)</f>
        <v/>
      </c>
      <c r="Q250" t="n">
        <v>0</v>
      </c>
      <c r="R250" t="n">
        <v>0</v>
      </c>
      <c r="S250">
        <f>IFERROR(O250/N250,0)</f>
        <v/>
      </c>
      <c r="U250">
        <f>MAX(0,(Inputs!$B$3-100)*3)+Inputs!$B$27+Inputs!$B$28</f>
        <v/>
      </c>
    </row>
    <row r="251">
      <c r="A251">
        <f>Skills!A3</f>
        <v/>
      </c>
      <c r="B251">
        <f>Skills!B3</f>
        <v/>
      </c>
      <c r="C251">
        <f>Inputs!$B$3&gt;=50</f>
        <v/>
      </c>
      <c r="D251">
        <f>IF(Skills!C3=1,60+Inputs!$B$24+Inputs!$B$28,IF(Skills!C3=2,90+Inputs!$B$25+Inputs!$B$28,IF(Skills!C3=3,120+Inputs!$B$26+Inputs!$B$28,MAX(0,(Inputs!$B$3-100)*3)+Inputs!$B$27+Inputs!$B$28)))</f>
        <v/>
      </c>
      <c r="E251">
        <f>INDEX(FactorTable!$B$2:$Y$301, MATCH(ROUND(MIN(300,MAX(1,D251)),0), FactorTable!$A$2:$A$301,0), Skills!M3+1)</f>
        <v/>
      </c>
      <c r="F251">
        <f>IF(Skills!N3=TRUE,(Skills!L3/10)*(E251/1000),Skills!L3/10)+Skills!O3</f>
        <v/>
      </c>
      <c r="G251" t="inlineStr"/>
      <c r="H251" t="inlineStr"/>
      <c r="I251" t="inlineStr">
        <is>
          <t>1</t>
        </is>
      </c>
      <c r="J251" t="inlineStr"/>
      <c r="K251" t="inlineStr"/>
      <c r="L251" t="inlineStr"/>
      <c r="M251" t="inlineStr"/>
      <c r="N251" t="inlineStr"/>
      <c r="O251" t="inlineStr"/>
      <c r="P251" t="inlineStr"/>
      <c r="Q251" t="inlineStr"/>
      <c r="R251" t="inlineStr"/>
      <c r="S251" t="inlineStr"/>
      <c r="U251">
        <f>INDEX(FactorTable!$B$2:$Y$301, MATCH(ROUND(MIN(300,MAX(1,U250)),0), FactorTable!$A$2:$A$301,0), 22)</f>
        <v/>
      </c>
    </row>
    <row r="252">
      <c r="A252">
        <f>Skills!A4</f>
        <v/>
      </c>
      <c r="B252">
        <f>Skills!B4</f>
        <v/>
      </c>
      <c r="C252">
        <f>Inputs!$B$3&gt;=105</f>
        <v/>
      </c>
      <c r="D252">
        <f>IF(Skills!C4=1,60+Inputs!$B$24+Inputs!$B$28,IF(Skills!C4=2,90+Inputs!$B$25+Inputs!$B$28,IF(Skills!C4=3,120+Inputs!$B$26+Inputs!$B$28,MAX(0,(Inputs!$B$3-100)*3)+Inputs!$B$27+Inputs!$B$28)))</f>
        <v/>
      </c>
      <c r="E252">
        <f>INDEX(FactorTable!$B$2:$Y$301, MATCH(ROUND(MIN(300,MAX(1,D252)),0), FactorTable!$A$2:$A$301,0), Skills!M4+1)</f>
        <v/>
      </c>
      <c r="F252">
        <f>IF(Skills!N4=TRUE,(Skills!L4/10)*(E252/1000),Skills!L4/10)+Skills!O4</f>
        <v/>
      </c>
      <c r="G252" t="inlineStr"/>
      <c r="H252" t="inlineStr"/>
      <c r="I252" t="inlineStr">
        <is>
          <t>1</t>
        </is>
      </c>
      <c r="J252" t="inlineStr"/>
      <c r="K252" t="inlineStr"/>
      <c r="L252" t="inlineStr"/>
      <c r="M252" t="inlineStr"/>
      <c r="N252" t="inlineStr"/>
      <c r="O252" t="inlineStr"/>
      <c r="P252" t="inlineStr"/>
      <c r="Q252" t="inlineStr"/>
      <c r="R252" t="inlineStr"/>
      <c r="S252" t="inlineStr"/>
      <c r="U252">
        <f>290*U251/1000</f>
        <v/>
      </c>
    </row>
    <row r="253">
      <c r="A253">
        <f>Skills!A5</f>
        <v/>
      </c>
      <c r="B253">
        <f>Skills!B5</f>
        <v/>
      </c>
      <c r="C253">
        <f>Inputs!$B$3&gt;=35</f>
        <v/>
      </c>
      <c r="D253">
        <f>IF(Skills!C5=1,60+Inputs!$B$24+Inputs!$B$28,IF(Skills!C5=2,90+Inputs!$B$25+Inputs!$B$28,IF(Skills!C5=3,120+Inputs!$B$26+Inputs!$B$28,MAX(0,(Inputs!$B$3-100)*3)+Inputs!$B$27+Inputs!$B$28)))</f>
        <v/>
      </c>
      <c r="E253">
        <f>INDEX(FactorTable!$B$2:$Y$301, MATCH(ROUND(MIN(300,MAX(1,D253)),0), FactorTable!$A$2:$A$301,0), Skills!M5+1)</f>
        <v/>
      </c>
      <c r="F253">
        <f>IF(Skills!N5=TRUE,(Skills!L5/10)*(E253/1000),Skills!L5/10)+Skills!O5</f>
        <v/>
      </c>
      <c r="G253">
        <f>Skills!G5*IF(Skills!H5&gt;0,Skills!I5/Skills!H5,1)</f>
        <v/>
      </c>
      <c r="H253">
        <f>1-(1-Skills!J5/100)^Skills!K5</f>
        <v/>
      </c>
      <c r="I253" t="inlineStr">
        <is>
          <t>1</t>
        </is>
      </c>
      <c r="J253">
        <f>(Inputs!$B$5*(1+Inputs!$B$6/100))*(F253/100)</f>
        <v/>
      </c>
      <c r="K253">
        <f>J253*(1+((Inputs!$B$11*(1+Inputs!$B$12/100))*0.01+Inputs!$B$13*0.0025)/100)*(1+Inputs!$B$14/100)*(1+IF(Inputs!$B$4="pvp",0,(1-Summary!$B$55)*((Inputs!$B$19+1)+0+Skills!P5)+Summary!$B$55*(Inputs!$B$20+Skills!Q5))/100)*(1+Inputs!$B$15/100)*(5000/(6000+Inputs!$B$7*(1-(Inputs!$B$18+0)/100)))*(1+(Inputs!$B$23+((C272=TRUE)*(F272-Calc!F24))+((C273=TRUE)*(F273-Calc!F25))+B286)/100)*(1+4.0*IF(C256=TRUE,F256,0)/100)*(1+(IF(Skills!A5="EMPOWERED_PIERCING_ARROW",Inputs!$B$16+((C270=TRUE)*(F270-Calc!F22)),Inputs!$B$17+((C275=TRUE)*(F275-Calc!F27))))/100)*((1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I253)</f>
        <v/>
      </c>
      <c r="L253">
        <f>K253*(MIN(Inputs!$B$21+((C271=TRUE)*(F271-Calc!F23)),Inputs!$B$22+((C276=TRUE)*(F276-Calc!F28)))/100+(Inputs!$B$22+((C276=TRUE)*(F276-Calc!F28)))/100)/2</f>
        <v/>
      </c>
      <c r="M253">
        <f>L253*(1+(Inputs!$B$9+0+B285)/100)</f>
        <v/>
      </c>
      <c r="N253">
        <f>L253*(1-MIN((Inputs!$B$8+((C267=TRUE)*(F267-Calc!F19))+B280),100)/100)+M253*(MIN((Inputs!$B$8+((C267=TRUE)*(F267-Calc!F19))+B280),100)/100)</f>
        <v/>
      </c>
      <c r="O253">
        <f>IF(C253,H253*N253*IF(AND(Inputs!$B$4&lt;&gt;"pvp",Inputs!$B$35&gt;0),((Skills!G5*((R253-1)*IF(Skills!H5&gt;0,Skills!I5/Skills!H5,1)+IF(Skills!H5&gt;0,MIN(Skills!I5,MAX(0,Inputs!$B$35-((R253-1)*IF(Inputs!$B$4="pvp",15,MAX(0.1,Skills!D5-IF(Skills!E5=TRUE,Inputs!$B$31,0))))))/Skills!H5,1)))/Inputs!$B$35),G253*Q253)*IF(Inputs!$B$4="pvp",1,(1-Summary!$B$55)*(1)+Summary!$B$55*(MIN(Skills!R5,Inputs!$B$37))),0)</f>
        <v/>
      </c>
      <c r="P253">
        <f>IF(B288=0,0,O253/B288)</f>
        <v/>
      </c>
      <c r="Q253">
        <f>IFERROR(1/IF(Inputs!$B$4="pvp",15,MAX(0.1,Skills!D5-IF(Skills!E5=TRUE,Inputs!$B$31,0))),0)</f>
        <v/>
      </c>
      <c r="R253">
        <f>IF(AND(Inputs!$B$4&lt;&gt;"pvp",Inputs!$B$35&gt;0),(INT(Inputs!$B$35/IF(Inputs!$B$4="pvp",15,MAX(0.1,Skills!D5-IF(Skills!E5=TRUE,Inputs!$B$31,0))))+1),0)</f>
        <v/>
      </c>
      <c r="S253">
        <f>IFERROR(O253/N253,0)</f>
        <v/>
      </c>
    </row>
    <row r="254">
      <c r="A254">
        <f>Skills!A6</f>
        <v/>
      </c>
      <c r="B254">
        <f>Skills!B6</f>
        <v/>
      </c>
      <c r="C254">
        <f>Inputs!$B$3&gt;=63</f>
        <v/>
      </c>
      <c r="D254">
        <f>IF(Skills!C6=1,60+Inputs!$B$24+Inputs!$B$28,IF(Skills!C6=2,90+Inputs!$B$25+Inputs!$B$28,IF(Skills!C6=3,120+Inputs!$B$26+Inputs!$B$28,MAX(0,(Inputs!$B$3-100)*3)+Inputs!$B$27+Inputs!$B$28)))</f>
        <v/>
      </c>
      <c r="E254">
        <f>INDEX(FactorTable!$B$2:$Y$301, MATCH(ROUND(MIN(300,MAX(1,D254)),0), FactorTable!$A$2:$A$301,0), Skills!M6+1)</f>
        <v/>
      </c>
      <c r="F254">
        <f>IF(Skills!N6=TRUE,(Skills!L6/10)*(E254/1000),Skills!L6/10)+Skills!O6</f>
        <v/>
      </c>
      <c r="G254">
        <f>Skills!G6*IF(Skills!H6&gt;0,Skills!I6/Skills!H6,1)</f>
        <v/>
      </c>
      <c r="H254">
        <f>1-(1-Skills!J6/100)^Skills!K6</f>
        <v/>
      </c>
      <c r="I254" t="inlineStr">
        <is>
          <t>1</t>
        </is>
      </c>
      <c r="J254">
        <f>(Inputs!$B$5*(1+Inputs!$B$6/100))*(F254/100)</f>
        <v/>
      </c>
      <c r="K254">
        <f>J254*(1+((Inputs!$B$11*(1+Inputs!$B$12/100))*0.01+Inputs!$B$13*0.0025)/100)*(1+Inputs!$B$14/100)*(1+IF(Inputs!$B$4="pvp",0,(1-Summary!$B$55)*((Inputs!$B$19+1)+0+Skills!P6)+Summary!$B$55*(Inputs!$B$20+Skills!Q6))/100)*(1+Inputs!$B$15/100)*(5000/(6000+Inputs!$B$7*(1-(Inputs!$B$18+0)/100)))*(1+(Inputs!$B$23+((C272=TRUE)*(F272-Calc!F24))+((C273=TRUE)*(F273-Calc!F25))+B286)/100)*(1+1.0*IF(C256=TRUE,F256,0)/100)*(1+(IF(Skills!A6="EMPOWERED_PIERCING_ARROW",Inputs!$B$16+((C270=TRUE)*(F270-Calc!F22)),Inputs!$B$17+((C275=TRUE)*(F275-Calc!F27))))/100)*((1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I254)</f>
        <v/>
      </c>
      <c r="L254">
        <f>K254*(MIN(Inputs!$B$21+((C271=TRUE)*(F271-Calc!F23)),Inputs!$B$22+((C276=TRUE)*(F276-Calc!F28)))/100+(Inputs!$B$22+((C276=TRUE)*(F276-Calc!F28)))/100)/2</f>
        <v/>
      </c>
      <c r="M254">
        <f>L254*(1+(Inputs!$B$9+0+B285)/100)</f>
        <v/>
      </c>
      <c r="N254">
        <f>L254*(1-MIN((Inputs!$B$8+((C267=TRUE)*(F267-Calc!F19))+B280),100)/100)+M254*(MIN((Inputs!$B$8+((C267=TRUE)*(F267-Calc!F19))+B280),100)/100)</f>
        <v/>
      </c>
      <c r="O254">
        <f>IF(C254,H254*N254*IF(AND(Inputs!$B$4&lt;&gt;"pvp",Inputs!$B$35&gt;0),((Skills!G6*((R254-1)*IF(Skills!H6&gt;0,Skills!I6/Skills!H6,1)+IF(Skills!H6&gt;0,MIN(Skills!I6,MAX(0,Inputs!$B$35-((R254-1)*IF(Inputs!$B$4="pvp",15,MAX(0.1,Skills!D6-IF(Skills!E6=TRUE,Inputs!$B$31,0))))))/Skills!H6,1)))/Inputs!$B$35),G254*Q254)*IF(Inputs!$B$4="pvp",1,(1-Summary!$B$55)*(1)+Summary!$B$55*(MIN(Skills!R6,Inputs!$B$37))),0)</f>
        <v/>
      </c>
      <c r="P254">
        <f>IF(B288=0,0,O254/B288)</f>
        <v/>
      </c>
      <c r="Q254">
        <f>IFERROR(1/IF(Inputs!$B$4="pvp",15,MAX(0.1,Skills!D6-IF(Skills!E6=TRUE,Inputs!$B$31,0))),0)</f>
        <v/>
      </c>
      <c r="R254">
        <f>IF(AND(Inputs!$B$4&lt;&gt;"pvp",Inputs!$B$35&gt;0),(INT(Inputs!$B$35/IF(Inputs!$B$4="pvp",15,MAX(0.1,Skills!D6-IF(Skills!E6=TRUE,Inputs!$B$31,0))))+1),0)</f>
        <v/>
      </c>
      <c r="S254">
        <f>IFERROR(O254/N254,0)</f>
        <v/>
      </c>
    </row>
    <row r="255">
      <c r="A255">
        <f>Skills!A7</f>
        <v/>
      </c>
      <c r="B255">
        <f>Skills!B7</f>
        <v/>
      </c>
      <c r="C255">
        <f>Inputs!$B$3&gt;=69</f>
        <v/>
      </c>
      <c r="D255">
        <f>IF(Skills!C7=1,60+Inputs!$B$24+Inputs!$B$28,IF(Skills!C7=2,90+Inputs!$B$25+Inputs!$B$28,IF(Skills!C7=3,120+Inputs!$B$26+Inputs!$B$28,MAX(0,(Inputs!$B$3-100)*3)+Inputs!$B$27+Inputs!$B$28)))</f>
        <v/>
      </c>
      <c r="E255">
        <f>INDEX(FactorTable!$B$2:$Y$301, MATCH(ROUND(MIN(300,MAX(1,D255)),0), FactorTable!$A$2:$A$301,0), Skills!M7+1)</f>
        <v/>
      </c>
      <c r="F255">
        <f>IF(Skills!N7=TRUE,(Skills!L7/10)*(E255/1000),Skills!L7/10)+Skills!O7</f>
        <v/>
      </c>
      <c r="G255">
        <f>Skills!G7*IF(Skills!H7&gt;0,Skills!I7/Skills!H7,1)</f>
        <v/>
      </c>
      <c r="H255">
        <f>1-(1-Skills!J7/100)^Skills!K7</f>
        <v/>
      </c>
      <c r="I255" t="inlineStr">
        <is>
          <t>1</t>
        </is>
      </c>
      <c r="J255">
        <f>(Inputs!$B$5*(1+Inputs!$B$6/100))*(F255/100)</f>
        <v/>
      </c>
      <c r="K255">
        <f>J255*(1+((Inputs!$B$11*(1+Inputs!$B$12/100))*0.01+Inputs!$B$13*0.0025)/100)*(1+Inputs!$B$14/100)*(1+IF(Inputs!$B$4="pvp",0,(1-Summary!$B$55)*((Inputs!$B$19+1)+0+Skills!P7)+Summary!$B$55*(Inputs!$B$20+Skills!Q7))/100)*(1+Inputs!$B$15/100)*(5000/(6000+Inputs!$B$7*(1-(Inputs!$B$18+0)/100)))*(1+(Inputs!$B$23+((C272=TRUE)*(F272-Calc!F24))+((C273=TRUE)*(F273-Calc!F25))+B286)/100)*(1+1.2*IF(C256=TRUE,F256,0)/100)*(1+(IF(Skills!A7="EMPOWERED_PIERCING_ARROW",Inputs!$B$16+((C270=TRUE)*(F270-Calc!F22)),Inputs!$B$17+((C275=TRUE)*(F275-Calc!F27))))/100)*((1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I255)</f>
        <v/>
      </c>
      <c r="L255">
        <f>K255*(MIN(Inputs!$B$21+((C271=TRUE)*(F271-Calc!F23)),Inputs!$B$22+((C276=TRUE)*(F276-Calc!F28)))/100+(Inputs!$B$22+((C276=TRUE)*(F276-Calc!F28)))/100)/2</f>
        <v/>
      </c>
      <c r="M255">
        <f>L255*(1+(Inputs!$B$9+0+B285)/100)</f>
        <v/>
      </c>
      <c r="N255">
        <f>L255*(1-MIN((Inputs!$B$8+((C267=TRUE)*(F267-Calc!F19))+B280),100)/100)+M255*(MIN((Inputs!$B$8+((C267=TRUE)*(F267-Calc!F19))+B280),100)/100)</f>
        <v/>
      </c>
      <c r="O255">
        <f>IF(C255,H255*N255*IF(AND(Inputs!$B$4&lt;&gt;"pvp",Inputs!$B$35&gt;0),((Skills!G7*((R255-1)*IF(Skills!H7&gt;0,Skills!I7/Skills!H7,1)+IF(Skills!H7&gt;0,MIN(Skills!I7,MAX(0,Inputs!$B$35-((R255-1)*IF(Inputs!$B$4="pvp",15,MAX(0.1,Skills!D7-IF(Skills!E7=TRUE,Inputs!$B$31,0))))))/Skills!H7,1)))/Inputs!$B$35),G255*Q255)*IF(Inputs!$B$4="pvp",1,(1-Summary!$B$55)*(1)+Summary!$B$55*(MIN(Skills!R7,Inputs!$B$37))),0)</f>
        <v/>
      </c>
      <c r="P255">
        <f>IF(B288=0,0,O255/B288)</f>
        <v/>
      </c>
      <c r="Q255">
        <f>IFERROR(1/IF(Inputs!$B$4="pvp",15,MAX(0.1,Skills!D7-IF(Skills!E7=TRUE,Inputs!$B$31,0))),0)</f>
        <v/>
      </c>
      <c r="R255">
        <f>IF(AND(Inputs!$B$4&lt;&gt;"pvp",Inputs!$B$35&gt;0),(INT(Inputs!$B$35/IF(Inputs!$B$4="pvp",15,MAX(0.1,Skills!D7-IF(Skills!E7=TRUE,Inputs!$B$31,0))))+1),0)</f>
        <v/>
      </c>
      <c r="S255">
        <f>IFERROR(O255/N255,0)</f>
        <v/>
      </c>
    </row>
    <row r="256">
      <c r="A256">
        <f>Skills!A8</f>
        <v/>
      </c>
      <c r="B256">
        <f>Skills!B8</f>
        <v/>
      </c>
      <c r="C256">
        <f>Inputs!$B$3&gt;=100</f>
        <v/>
      </c>
      <c r="D256">
        <f>IF(Skills!C8=1,60+Inputs!$B$24+Inputs!$B$28,IF(Skills!C8=2,90+Inputs!$B$25+Inputs!$B$28,IF(Skills!C8=3,120+Inputs!$B$26+Inputs!$B$28,MAX(0,(Inputs!$B$3-100)*3)+Inputs!$B$27+Inputs!$B$28)))</f>
        <v/>
      </c>
      <c r="E256">
        <f>INDEX(FactorTable!$B$2:$Y$301, MATCH(ROUND(MIN(300,MAX(1,D256)),0), FactorTable!$A$2:$A$301,0), Skills!M8+1)</f>
        <v/>
      </c>
      <c r="F256">
        <f>IF(Skills!N8=TRUE,(Skills!L8/10)*(E256/1000),Skills!L8/10)+Skills!O8</f>
        <v/>
      </c>
      <c r="G256" t="inlineStr"/>
      <c r="H256" t="inlineStr"/>
      <c r="I256" t="inlineStr">
        <is>
          <t>1</t>
        </is>
      </c>
      <c r="J256" t="inlineStr"/>
      <c r="K256" t="inlineStr"/>
      <c r="L256" t="inlineStr"/>
      <c r="M256" t="inlineStr"/>
      <c r="N256" t="inlineStr"/>
      <c r="O256" t="inlineStr"/>
      <c r="P256" t="inlineStr"/>
      <c r="Q256" t="inlineStr"/>
      <c r="R256" t="inlineStr"/>
      <c r="S256" t="inlineStr"/>
    </row>
    <row r="257">
      <c r="A257">
        <f>Skills!A9</f>
        <v/>
      </c>
      <c r="B257">
        <f>Skills!B9</f>
        <v/>
      </c>
      <c r="C257">
        <f>Inputs!$B$3&gt;=103</f>
        <v/>
      </c>
      <c r="D257">
        <f>IF(Skills!C9=1,60+Inputs!$B$24+Inputs!$B$28,IF(Skills!C9=2,90+Inputs!$B$25+Inputs!$B$28,IF(Skills!C9=3,120+Inputs!$B$26+Inputs!$B$28,MAX(0,(Inputs!$B$3-100)*3)+Inputs!$B$27+Inputs!$B$28)))</f>
        <v/>
      </c>
      <c r="E257">
        <f>INDEX(FactorTable!$B$2:$Y$301, MATCH(ROUND(MIN(300,MAX(1,D257)),0), FactorTable!$A$2:$A$301,0), Skills!M9+1)</f>
        <v/>
      </c>
      <c r="F257">
        <f>IF(Skills!N9=TRUE,(Skills!L9/10)*(E257/1000),Skills!L9/10)+Skills!O9</f>
        <v/>
      </c>
      <c r="G257">
        <f>Skills!G9*IF(Skills!H9&gt;0,Skills!I9/Skills!H9,1)</f>
        <v/>
      </c>
      <c r="H257">
        <f>1-(1-Skills!J9/100)^Skills!K9</f>
        <v/>
      </c>
      <c r="I257" t="inlineStr">
        <is>
          <t>1</t>
        </is>
      </c>
      <c r="J257">
        <f>(Inputs!$B$5*(1+Inputs!$B$6/100))*(F257/100)</f>
        <v/>
      </c>
      <c r="K257">
        <f>J257*(1+((Inputs!$B$11*(1+Inputs!$B$12/100))*0.01+Inputs!$B$13*0.0025)/100)*(1+Inputs!$B$14/100)*(1+IF(Inputs!$B$4="pvp",0,(1-Summary!$B$55)*((Inputs!$B$19+1)+0+Skills!P9)+Summary!$B$55*(Inputs!$B$20+Skills!Q9))/100)*(1+Inputs!$B$15/100)*(5000/(6000+Inputs!$B$7*(1-(Inputs!$B$18+0)/100)))*(1+(Inputs!$B$23+((C272=TRUE)*(F272-Calc!F24))+((C273=TRUE)*(F273-Calc!F25))+B286)/100)*(1+(IF(Skills!A9="EMPOWERED_PIERCING_ARROW",Inputs!$B$16+((C270=TRUE)*(F270-Calc!F22)),Inputs!$B$17+((C275=TRUE)*(F275-Calc!F27))))/100)*((1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I257)</f>
        <v/>
      </c>
      <c r="L257">
        <f>K257*(MIN(Inputs!$B$21+((C271=TRUE)*(F271-Calc!F23)),Inputs!$B$22+((C276=TRUE)*(F276-Calc!F28)))/100+(Inputs!$B$22+((C276=TRUE)*(F276-Calc!F28)))/100)/2</f>
        <v/>
      </c>
      <c r="M257">
        <f>L257*(1+(Inputs!$B$9+0+B285)/100)</f>
        <v/>
      </c>
      <c r="N257">
        <f>L257*(1-MIN((Inputs!$B$8+((C267=TRUE)*(F267-Calc!F19))+B280),100)/100)+M257*(MIN((Inputs!$B$8+((C267=TRUE)*(F267-Calc!F19))+B280),100)/100)</f>
        <v/>
      </c>
      <c r="O257">
        <f>IF(C257,H257*N257*IF(AND(Inputs!$B$4&lt;&gt;"pvp",Inputs!$B$35&gt;0),((Skills!G9*((R257-1)*IF(Skills!H9&gt;0,Skills!I9/Skills!H9,1)+IF(Skills!H9&gt;0,MIN(Skills!I9,MAX(0,Inputs!$B$35-((R257-1)*IF(Inputs!$B$4="pvp",15,MAX(0.1,Skills!D9-IF(Skills!E9=TRUE,Inputs!$B$31,0))))))/Skills!H9,1)))/Inputs!$B$35),G257*Q257)*IF(Inputs!$B$4="pvp",1,(1-Summary!$B$55)*(1)+Summary!$B$55*(MIN(Skills!R9,Inputs!$B$37))),0)</f>
        <v/>
      </c>
      <c r="P257">
        <f>IF(B288=0,0,O257/B288)</f>
        <v/>
      </c>
      <c r="Q257">
        <f>IFERROR(1/IF(Inputs!$B$4="pvp",15,MAX(0.1,Skills!D9-IF(Skills!E9=TRUE,Inputs!$B$31,0))),0)</f>
        <v/>
      </c>
      <c r="R257">
        <f>IF(AND(Inputs!$B$4&lt;&gt;"pvp",Inputs!$B$35&gt;0),(INT(Inputs!$B$35/IF(Inputs!$B$4="pvp",15,MAX(0.1,Skills!D9-IF(Skills!E9=TRUE,Inputs!$B$31,0))))+1),0)</f>
        <v/>
      </c>
      <c r="S257">
        <f>IFERROR(O257/N257,0)</f>
        <v/>
      </c>
    </row>
    <row r="258">
      <c r="A258">
        <f>Skills!A10</f>
        <v/>
      </c>
      <c r="B258">
        <f>Skills!B10</f>
        <v/>
      </c>
      <c r="C258">
        <f>Inputs!$B$3&gt;=107</f>
        <v/>
      </c>
      <c r="D258">
        <f>IF(Skills!C10=1,60+Inputs!$B$24+Inputs!$B$28,IF(Skills!C10=2,90+Inputs!$B$25+Inputs!$B$28,IF(Skills!C10=3,120+Inputs!$B$26+Inputs!$B$28,MAX(0,(Inputs!$B$3-100)*3)+Inputs!$B$27+Inputs!$B$28)))</f>
        <v/>
      </c>
      <c r="E258">
        <f>INDEX(FactorTable!$B$2:$Y$301, MATCH(ROUND(MIN(300,MAX(1,D258)),0), FactorTable!$A$2:$A$301,0), Skills!M10+1)</f>
        <v/>
      </c>
      <c r="F258">
        <f>IF(Skills!N10=TRUE,(Skills!L10/10)*(E258/1000),Skills!L10/10)+Skills!O10</f>
        <v/>
      </c>
      <c r="G258">
        <f>Skills!G10*IF(Skills!H10&gt;0,Skills!I10/Skills!H10,1)</f>
        <v/>
      </c>
      <c r="H258">
        <f>1-(1-Skills!J10/100)^Skills!K10</f>
        <v/>
      </c>
      <c r="I258" t="inlineStr">
        <is>
          <t>1</t>
        </is>
      </c>
      <c r="J258">
        <f>(Inputs!$B$5*(1+Inputs!$B$6/100))*(F258/100)</f>
        <v/>
      </c>
      <c r="K258">
        <f>J258*(1+((Inputs!$B$11*(1+Inputs!$B$12/100))*0.01+Inputs!$B$13*0.0025)/100)*(1+Inputs!$B$14/100)*(1+IF(Inputs!$B$4="pvp",0,(1-Summary!$B$55)*((Inputs!$B$19+1)+0+Skills!P10)+Summary!$B$55*(Inputs!$B$20+Skills!Q10))/100)*(1+Inputs!$B$15/100)*(5000/(6000+Inputs!$B$7*(1-(Inputs!$B$18+0)/100)))*(1+(Inputs!$B$23+((C272=TRUE)*(F272-Calc!F24))+((C273=TRUE)*(F273-Calc!F25))+B286)/100)*(1+(IF(Skills!A10="EMPOWERED_PIERCING_ARROW",Inputs!$B$16+((C270=TRUE)*(F270-Calc!F22)),Inputs!$B$17+((C275=TRUE)*(F275-Calc!F27))))/100)*((1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I258)</f>
        <v/>
      </c>
      <c r="L258">
        <f>K258*(MIN(Inputs!$B$21+((C271=TRUE)*(F271-Calc!F23)),Inputs!$B$22+((C276=TRUE)*(F276-Calc!F28)))/100+(Inputs!$B$22+((C276=TRUE)*(F276-Calc!F28)))/100)/2</f>
        <v/>
      </c>
      <c r="M258">
        <f>L258*(1+(Inputs!$B$9+0+B285)/100)</f>
        <v/>
      </c>
      <c r="N258">
        <f>L258*(1-MIN((Inputs!$B$8+((C267=TRUE)*(F267-Calc!F19))+B280),100)/100)+M258*(MIN((Inputs!$B$8+((C267=TRUE)*(F267-Calc!F19))+B280),100)/100)</f>
        <v/>
      </c>
      <c r="O258">
        <f>IF(C258,0.15*SUMPRODUCT((Skills!U2:U29=TRUE)*(C250:C277=TRUE)*S250:S277)*Skills!G10*N258*IF(Inputs!$B$4="pvp",1,(1-Summary!$B$55)*(1)+Summary!$B$55*(MIN(Skills!R10,Inputs!$B$37))),0)</f>
        <v/>
      </c>
      <c r="P258">
        <f>IF(B288=0,0,O258/B288)</f>
        <v/>
      </c>
      <c r="Q258" t="n">
        <v>0</v>
      </c>
      <c r="R258" t="n">
        <v>0</v>
      </c>
      <c r="S258" t="n">
        <v>0</v>
      </c>
    </row>
    <row r="259">
      <c r="A259">
        <f>Skills!A11</f>
        <v/>
      </c>
      <c r="B259">
        <f>Skills!B11</f>
        <v/>
      </c>
      <c r="C259">
        <f>Inputs!$B$3&gt;=110</f>
        <v/>
      </c>
      <c r="D259">
        <f>IF(Skills!C11=1,60+Inputs!$B$24+Inputs!$B$28,IF(Skills!C11=2,90+Inputs!$B$25+Inputs!$B$28,IF(Skills!C11=3,120+Inputs!$B$26+Inputs!$B$28,MAX(0,(Inputs!$B$3-100)*3)+Inputs!$B$27+Inputs!$B$28)))</f>
        <v/>
      </c>
      <c r="E259">
        <f>INDEX(FactorTable!$B$2:$Y$301, MATCH(ROUND(MIN(300,MAX(1,D259)),0), FactorTable!$A$2:$A$301,0), Skills!M11+1)</f>
        <v/>
      </c>
      <c r="F259">
        <f>IF(Skills!N11=TRUE,(Skills!L11/10)*(E259/1000),Skills!L11/10)+Skills!O11</f>
        <v/>
      </c>
      <c r="G259">
        <f>Skills!G11*IF(Skills!H11&gt;0,Skills!I11/Skills!H11,1)</f>
        <v/>
      </c>
      <c r="H259">
        <f>1-(1-Skills!J11/100)^Skills!K11</f>
        <v/>
      </c>
      <c r="I259" t="inlineStr">
        <is>
          <t>1</t>
        </is>
      </c>
      <c r="J259">
        <f>(Inputs!$B$5*(1+Inputs!$B$6/100))*(F259/100)</f>
        <v/>
      </c>
      <c r="K259">
        <f>J259*(1+((Inputs!$B$11*(1+Inputs!$B$12/100))*0.01+Inputs!$B$13*0.0025)/100)*(1+Inputs!$B$14/100)*(1+IF(Inputs!$B$4="pvp",0,(1-Summary!$B$55)*((Inputs!$B$19+1)+0+Skills!P11)+Summary!$B$55*(Inputs!$B$20+Skills!Q11))/100)*(1+Inputs!$B$15/100)*(5000/(6000+Inputs!$B$7*(1-(Inputs!$B$18+0)/100)))*(1+(Inputs!$B$23+((C272=TRUE)*(F272-Calc!F24))+((C273=TRUE)*(F273-Calc!F25))+B286)/100)*(1+(IF(Skills!A11="EMPOWERED_PIERCING_ARROW",Inputs!$B$16+((C270=TRUE)*(F270-Calc!F22)),Inputs!$B$17+((C275=TRUE)*(F275-Calc!F27))))/100)*((1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I259)</f>
        <v/>
      </c>
      <c r="L259">
        <f>K259*(MIN(Inputs!$B$21+((C271=TRUE)*(F271-Calc!F23)),Inputs!$B$22+((C276=TRUE)*(F276-Calc!F28)))/100+(Inputs!$B$22+((C276=TRUE)*(F276-Calc!F28)))/100)/2</f>
        <v/>
      </c>
      <c r="M259">
        <f>L259*(1+(Inputs!$B$9+0+B285)/100)</f>
        <v/>
      </c>
      <c r="N259">
        <f>L259*(1-MIN((Inputs!$B$8+((C267=TRUE)*(F267-Calc!F19))+B280),100)/100)+M259*(MIN((Inputs!$B$8+((C267=TRUE)*(F267-Calc!F19))+B280),100)/100)</f>
        <v/>
      </c>
      <c r="O259">
        <f>IF(C259,H259*N259*IF(AND(Inputs!$B$4&lt;&gt;"pvp",Inputs!$B$35&gt;0),((Skills!G11*((R259-1)*IF(Skills!H11&gt;0,Skills!I11/Skills!H11,1)+IF(Skills!H11&gt;0,MIN(Skills!I11,MAX(0,Inputs!$B$35-((R259-1)*IF(Inputs!$B$4="pvp",15,MAX(0.1,Skills!D11-IF(Skills!E11=TRUE,Inputs!$B$31,0))))))/Skills!H11,1)))/Inputs!$B$35),G259*Q259)*IF(Inputs!$B$4="pvp",1,(1-Summary!$B$55)*(1)+Summary!$B$55*(MIN(Skills!R11,Inputs!$B$37))),0)</f>
        <v/>
      </c>
      <c r="P259">
        <f>IF(B288=0,0,O259/B288)</f>
        <v/>
      </c>
      <c r="Q259">
        <f>IFERROR(1/IF(Inputs!$B$4="pvp",15,MAX(0.1,Skills!D11-IF(Skills!E11=TRUE,Inputs!$B$31,0))),0)</f>
        <v/>
      </c>
      <c r="R259">
        <f>IF(AND(Inputs!$B$4&lt;&gt;"pvp",Inputs!$B$35&gt;0),(INT(Inputs!$B$35/IF(Inputs!$B$4="pvp",15,MAX(0.1,Skills!D11-IF(Skills!E11=TRUE,Inputs!$B$31,0))))+1),0)</f>
        <v/>
      </c>
      <c r="S259">
        <f>IFERROR(O259/N259,0)</f>
        <v/>
      </c>
    </row>
    <row r="260">
      <c r="A260">
        <f>Skills!A12</f>
        <v/>
      </c>
      <c r="B260">
        <f>Skills!B12</f>
        <v/>
      </c>
      <c r="C260">
        <f>Inputs!$B$3&gt;=60</f>
        <v/>
      </c>
      <c r="D260">
        <f>IF(Skills!C12=1,60+Inputs!$B$24+Inputs!$B$28,IF(Skills!C12=2,90+Inputs!$B$25+Inputs!$B$28,IF(Skills!C12=3,120+Inputs!$B$26+Inputs!$B$28,MAX(0,(Inputs!$B$3-100)*3)+Inputs!$B$27+Inputs!$B$28)))</f>
        <v/>
      </c>
      <c r="E260">
        <f>INDEX(FactorTable!$B$2:$Y$301, MATCH(ROUND(MIN(300,MAX(1,D260)),0), FactorTable!$A$2:$A$301,0), Skills!M12+1)</f>
        <v/>
      </c>
      <c r="F260">
        <f>IF(Skills!N12=TRUE,(Skills!L12/10)*(E260/1000),Skills!L12/10)+Skills!O12</f>
        <v/>
      </c>
      <c r="G260">
        <f>Skills!G12*IF(Skills!H12&gt;0,Skills!I12/Skills!H12,1)</f>
        <v/>
      </c>
      <c r="H260">
        <f>1-(1-Skills!J12/100)^Skills!K12</f>
        <v/>
      </c>
      <c r="I260" t="inlineStr">
        <is>
          <t>1</t>
        </is>
      </c>
      <c r="J260" t="inlineStr"/>
      <c r="K260" t="inlineStr"/>
      <c r="L260" t="inlineStr"/>
      <c r="M260" t="inlineStr"/>
      <c r="N260" t="inlineStr"/>
      <c r="O260" t="n">
        <v>0</v>
      </c>
      <c r="P260">
        <f>IF(B288=0,0,O260/B288)</f>
        <v/>
      </c>
      <c r="Q260" t="n">
        <v>0</v>
      </c>
      <c r="R260" t="n">
        <v>0</v>
      </c>
      <c r="S260">
        <f>IFERROR(O260/N260,0)</f>
        <v/>
      </c>
    </row>
    <row r="261">
      <c r="A261">
        <f>Skills!A13</f>
        <v/>
      </c>
      <c r="B261">
        <f>Skills!B13</f>
        <v/>
      </c>
      <c r="C261">
        <f>Inputs!$B$3&gt;=74</f>
        <v/>
      </c>
      <c r="D261">
        <f>IF(Skills!C13=1,60+Inputs!$B$24+Inputs!$B$28,IF(Skills!C13=2,90+Inputs!$B$25+Inputs!$B$28,IF(Skills!C13=3,120+Inputs!$B$26+Inputs!$B$28,MAX(0,(Inputs!$B$3-100)*3)+Inputs!$B$27+Inputs!$B$28)))</f>
        <v/>
      </c>
      <c r="E261">
        <f>INDEX(FactorTable!$B$2:$Y$301, MATCH(ROUND(MIN(300,MAX(1,D261)),0), FactorTable!$A$2:$A$301,0), Skills!M13+1)</f>
        <v/>
      </c>
      <c r="F261">
        <f>IF(Skills!N13=TRUE,(Skills!L13/10)*(E261/1000),Skills!L13/10)+Skills!O13</f>
        <v/>
      </c>
      <c r="G261">
        <f>Skills!G13*IF(Skills!H13&gt;0,Skills!I13/Skills!H13,1)</f>
        <v/>
      </c>
      <c r="H261">
        <f>1-(1-Skills!J13/100)^Skills!K13</f>
        <v/>
      </c>
      <c r="I261" t="inlineStr">
        <is>
          <t>1</t>
        </is>
      </c>
      <c r="J261" t="inlineStr"/>
      <c r="K261" t="inlineStr"/>
      <c r="L261" t="inlineStr"/>
      <c r="M261" t="inlineStr"/>
      <c r="N261" t="inlineStr"/>
      <c r="O261" t="n">
        <v>0</v>
      </c>
      <c r="P261">
        <f>IF(B288=0,0,O261/B288)</f>
        <v/>
      </c>
      <c r="Q261" t="n">
        <v>0</v>
      </c>
      <c r="R261" t="n">
        <v>0</v>
      </c>
      <c r="S261">
        <f>IFERROR(O261/N261,0)</f>
        <v/>
      </c>
    </row>
    <row r="262">
      <c r="A262">
        <f>Skills!A14</f>
        <v/>
      </c>
      <c r="B262">
        <f>Skills!B14</f>
        <v/>
      </c>
      <c r="C262">
        <f>Inputs!$B$3&gt;=74</f>
        <v/>
      </c>
      <c r="D262">
        <f>IF(Skills!C14=1,60+Inputs!$B$24+Inputs!$B$28,IF(Skills!C14=2,90+Inputs!$B$25+Inputs!$B$28,IF(Skills!C14=3,120+Inputs!$B$26+Inputs!$B$28,MAX(0,(Inputs!$B$3-100)*3)+Inputs!$B$27+Inputs!$B$28)))</f>
        <v/>
      </c>
      <c r="E262">
        <f>INDEX(FactorTable!$B$2:$Y$301, MATCH(ROUND(MIN(300,MAX(1,D262)),0), FactorTable!$A$2:$A$301,0), Skills!M14+1)</f>
        <v/>
      </c>
      <c r="F262">
        <f>IF(Skills!N14=TRUE,(Skills!L14/10)*(E262/1000),Skills!L14/10)+Skills!O14</f>
        <v/>
      </c>
      <c r="G262">
        <f>Skills!G14*IF(Skills!H14&gt;0,Skills!I14/Skills!H14,1)</f>
        <v/>
      </c>
      <c r="H262">
        <f>1-(1-Skills!J14/100)^Skills!K14</f>
        <v/>
      </c>
      <c r="I262" t="inlineStr">
        <is>
          <t>1</t>
        </is>
      </c>
      <c r="J262" t="inlineStr"/>
      <c r="K262" t="inlineStr"/>
      <c r="L262" t="inlineStr"/>
      <c r="M262" t="inlineStr"/>
      <c r="N262" t="inlineStr"/>
      <c r="O262" t="n">
        <v>0</v>
      </c>
      <c r="P262">
        <f>IF(B288=0,0,O262/B288)</f>
        <v/>
      </c>
      <c r="Q262" t="n">
        <v>0</v>
      </c>
      <c r="R262" t="n">
        <v>0</v>
      </c>
      <c r="S262">
        <f>IFERROR(O262/N262,0)</f>
        <v/>
      </c>
    </row>
    <row r="263">
      <c r="A263">
        <f>Skills!A15</f>
        <v/>
      </c>
      <c r="B263">
        <f>Skills!B15</f>
        <v/>
      </c>
      <c r="C263">
        <f>Inputs!$B$3&gt;=117</f>
        <v/>
      </c>
      <c r="D263">
        <f>IF(Skills!C15=1,60+Inputs!$B$24+Inputs!$B$28,IF(Skills!C15=2,90+Inputs!$B$25+Inputs!$B$28,IF(Skills!C15=3,120+Inputs!$B$26+Inputs!$B$28,MAX(0,(Inputs!$B$3-100)*3)+Inputs!$B$27+Inputs!$B$28)))</f>
        <v/>
      </c>
      <c r="E263">
        <f>INDEX(FactorTable!$B$2:$Y$301, MATCH(ROUND(MIN(300,MAX(1,D263)),0), FactorTable!$A$2:$A$301,0), Skills!M15+1)</f>
        <v/>
      </c>
      <c r="F263">
        <f>IF(Skills!N15=TRUE,(Skills!L15/10)*(E263/1000),Skills!L15/10)+Skills!O15</f>
        <v/>
      </c>
      <c r="G263">
        <f>Skills!G15*IF(Skills!H15&gt;0,Skills!I15/Skills!H15,1)</f>
        <v/>
      </c>
      <c r="H263">
        <f>1-(1-Skills!J15/100)^Skills!K15</f>
        <v/>
      </c>
      <c r="I263" t="inlineStr">
        <is>
          <t>1</t>
        </is>
      </c>
      <c r="J263" t="inlineStr"/>
      <c r="K263" t="inlineStr"/>
      <c r="L263" t="inlineStr"/>
      <c r="M263" t="inlineStr"/>
      <c r="N263" t="inlineStr"/>
      <c r="O263" t="n">
        <v>0</v>
      </c>
      <c r="P263">
        <f>IF(B288=0,0,O263/B288)</f>
        <v/>
      </c>
      <c r="Q263">
        <f>IFERROR(1/IF(Inputs!$B$4="pvp",15,MAX(0.1,Skills!D15-IF(Skills!E15=TRUE,Inputs!$B$31,0))),0)</f>
        <v/>
      </c>
      <c r="R263">
        <f>IF(AND(Inputs!$B$4&lt;&gt;"pvp",Inputs!$B$35&gt;0),(INT(Inputs!$B$35/IF(Inputs!$B$4="pvp",15,MAX(0.1,Skills!D15-IF(Skills!E15=TRUE,Inputs!$B$31,0))))+1),0)</f>
        <v/>
      </c>
      <c r="S263">
        <f>IFERROR(O263/N263,0)</f>
        <v/>
      </c>
    </row>
    <row r="264">
      <c r="A264">
        <f>Skills!A16</f>
        <v/>
      </c>
      <c r="B264">
        <f>Skills!B16</f>
        <v/>
      </c>
      <c r="C264">
        <f>Inputs!$B$3&gt;=115</f>
        <v/>
      </c>
      <c r="D264">
        <f>IF(Skills!C16=1,60+Inputs!$B$24+Inputs!$B$28,IF(Skills!C16=2,90+Inputs!$B$25+Inputs!$B$28,IF(Skills!C16=3,120+Inputs!$B$26+Inputs!$B$28,MAX(0,(Inputs!$B$3-100)*3)+Inputs!$B$27+Inputs!$B$28)))</f>
        <v/>
      </c>
      <c r="E264">
        <f>INDEX(FactorTable!$B$2:$Y$301, MATCH(ROUND(MIN(300,MAX(1,D264)),0), FactorTable!$A$2:$A$301,0), Skills!M16+1)</f>
        <v/>
      </c>
      <c r="F264">
        <f>IF(Skills!N16=TRUE,(Skills!L16/10)*(E264/1000),Skills!L16/10)+Skills!O16</f>
        <v/>
      </c>
      <c r="G264">
        <f>Skills!G16*IF(Skills!H16&gt;0,Skills!I16/Skills!H16,1)</f>
        <v/>
      </c>
      <c r="H264">
        <f>1-(1-Skills!J16/100)^Skills!K16</f>
        <v/>
      </c>
      <c r="I264" t="inlineStr">
        <is>
          <t>1</t>
        </is>
      </c>
      <c r="J264" t="inlineStr"/>
      <c r="K264" t="inlineStr"/>
      <c r="L264" t="inlineStr"/>
      <c r="M264" t="inlineStr"/>
      <c r="N264" t="inlineStr"/>
      <c r="O264" t="n">
        <v>0</v>
      </c>
      <c r="P264">
        <f>IF(B288=0,0,O264/B288)</f>
        <v/>
      </c>
      <c r="Q264">
        <f>IFERROR(1/IF(Inputs!$B$4="pvp",15,MAX(0.1,Skills!D16-IF(Skills!E16=TRUE,Inputs!$B$31,0))),0)</f>
        <v/>
      </c>
      <c r="R264">
        <f>IF(AND(Inputs!$B$4&lt;&gt;"pvp",Inputs!$B$35&gt;0),(INT(Inputs!$B$35/IF(Inputs!$B$4="pvp",15,MAX(0.1,Skills!D16-IF(Skills!E16=TRUE,Inputs!$B$31,0))))+1),0)</f>
        <v/>
      </c>
      <c r="S264">
        <f>IFERROR(O264/N264,0)</f>
        <v/>
      </c>
    </row>
    <row r="265">
      <c r="A265">
        <f>Skills!A17</f>
        <v/>
      </c>
      <c r="B265">
        <f>Skills!B17</f>
        <v/>
      </c>
      <c r="C265">
        <f>Inputs!$B$3&gt;=72</f>
        <v/>
      </c>
      <c r="D265">
        <f>IF(Skills!C17=1,60+Inputs!$B$24+Inputs!$B$28,IF(Skills!C17=2,90+Inputs!$B$25+Inputs!$B$28,IF(Skills!C17=3,120+Inputs!$B$26+Inputs!$B$28,MAX(0,(Inputs!$B$3-100)*3)+Inputs!$B$27+Inputs!$B$28)))</f>
        <v/>
      </c>
      <c r="E265">
        <f>INDEX(FactorTable!$B$2:$Y$301, MATCH(ROUND(MIN(300,MAX(1,D265)),0), FactorTable!$A$2:$A$301,0), Skills!M17+1)</f>
        <v/>
      </c>
      <c r="F265">
        <f>IF(Skills!N17=TRUE,(Skills!L17/10)*(E265/1000),Skills!L17/10)+Skills!O17</f>
        <v/>
      </c>
      <c r="G265">
        <f>Skills!G17*IF(Skills!H17&gt;0,Skills!I17/Skills!H17,1)</f>
        <v/>
      </c>
      <c r="H265">
        <f>1-(1-Skills!J17/100)^Skills!K17</f>
        <v/>
      </c>
      <c r="I265" t="inlineStr">
        <is>
          <t>1</t>
        </is>
      </c>
      <c r="J265" t="inlineStr"/>
      <c r="K265" t="inlineStr"/>
      <c r="L265" t="inlineStr"/>
      <c r="M265" t="inlineStr"/>
      <c r="N265" t="inlineStr"/>
      <c r="O265" t="n">
        <v>0</v>
      </c>
      <c r="P265">
        <f>IF(B288=0,0,O265/B288)</f>
        <v/>
      </c>
      <c r="Q265" t="n">
        <v>0</v>
      </c>
      <c r="R265" t="n">
        <v>0</v>
      </c>
      <c r="S265">
        <f>IFERROR(O265/N265,0)</f>
        <v/>
      </c>
    </row>
    <row r="266">
      <c r="A266">
        <f>Skills!A18</f>
        <v/>
      </c>
      <c r="B266">
        <f>Skills!B18</f>
        <v/>
      </c>
      <c r="C266">
        <f>TRUE</f>
        <v/>
      </c>
      <c r="D266">
        <f>IF(Skills!C18=1,60+Inputs!$B$24+Inputs!$B$28,IF(Skills!C18=2,90+Inputs!$B$25+Inputs!$B$28,IF(Skills!C18=3,120+Inputs!$B$26+Inputs!$B$28,MAX(0,(Inputs!$B$3-100)*3)+Inputs!$B$27+Inputs!$B$28)))</f>
        <v/>
      </c>
      <c r="E266">
        <f>INDEX(FactorTable!$B$2:$Y$301, MATCH(ROUND(MIN(300,MAX(1,D266)),0), FactorTable!$A$2:$A$301,0), Skills!M18+1)</f>
        <v/>
      </c>
      <c r="F266">
        <f>IF(Skills!N18=TRUE,(Skills!L18/10)*(E266/1000),Skills!L18/10)+Skills!O18</f>
        <v/>
      </c>
      <c r="G266">
        <f>Skills!G18*IF(Skills!H18&gt;0,Skills!I18/Skills!H18,1)</f>
        <v/>
      </c>
      <c r="H266">
        <f>1-(1-Skills!J18/100)^Skills!K18</f>
        <v/>
      </c>
      <c r="I266" t="inlineStr">
        <is>
          <t>1</t>
        </is>
      </c>
      <c r="J266" t="inlineStr"/>
      <c r="K266" t="inlineStr"/>
      <c r="L266" t="inlineStr"/>
      <c r="M266" t="inlineStr"/>
      <c r="N266" t="inlineStr"/>
      <c r="O266" t="n">
        <v>0</v>
      </c>
      <c r="P266">
        <f>IF(B288=0,0,O266/B288)</f>
        <v/>
      </c>
      <c r="Q266">
        <f>IFERROR(1/IF(Inputs!$B$4="pvp",15,MAX(0.1,Skills!D18-IF(Skills!E18=TRUE,Inputs!$B$31,0))),0)</f>
        <v/>
      </c>
      <c r="R266">
        <f>IF(AND(Inputs!$B$4&lt;&gt;"pvp",Inputs!$B$35&gt;0),(INT(Inputs!$B$35/IF(Inputs!$B$4="pvp",15,MAX(0.1,Skills!D18-IF(Skills!E18=TRUE,Inputs!$B$31,0))))+1),0)</f>
        <v/>
      </c>
      <c r="S266">
        <f>IFERROR(O266/N266,0)</f>
        <v/>
      </c>
    </row>
    <row r="267">
      <c r="A267">
        <f>Skills!A19</f>
        <v/>
      </c>
      <c r="B267">
        <f>Skills!B19</f>
        <v/>
      </c>
      <c r="C267">
        <f>Inputs!$B$3&gt;=15</f>
        <v/>
      </c>
      <c r="D267">
        <f>IF(Skills!C19=1,60+Inputs!$B$24+Inputs!$B$28,IF(Skills!C19=2,90+Inputs!$B$25+Inputs!$B$28,IF(Skills!C19=3,120+Inputs!$B$26+Inputs!$B$28,MAX(0,(Inputs!$B$3-100)*3)+Inputs!$B$27+Inputs!$B$28)))</f>
        <v/>
      </c>
      <c r="E267">
        <f>INDEX(FactorTable!$B$2:$Y$301, MATCH(ROUND(MIN(300,MAX(1,D267)),0), FactorTable!$A$2:$A$301,0), Skills!M19+1)</f>
        <v/>
      </c>
      <c r="F267">
        <f>IF(Skills!N19=TRUE,(Skills!L19/10)*(E267/1000),Skills!L19/10)+Skills!O19</f>
        <v/>
      </c>
      <c r="G267">
        <f>Skills!G19*IF(Skills!H19&gt;0,Skills!I19/Skills!H19,1)</f>
        <v/>
      </c>
      <c r="H267">
        <f>1-(1-Skills!J19/100)^Skills!K19</f>
        <v/>
      </c>
      <c r="I267" t="inlineStr">
        <is>
          <t>1</t>
        </is>
      </c>
      <c r="J267" t="inlineStr"/>
      <c r="K267" t="inlineStr"/>
      <c r="L267" t="inlineStr"/>
      <c r="M267" t="inlineStr"/>
      <c r="N267" t="inlineStr"/>
      <c r="O267" t="n">
        <v>0</v>
      </c>
      <c r="P267">
        <f>IF(B288=0,0,O267/B288)</f>
        <v/>
      </c>
      <c r="Q267" t="n">
        <v>0</v>
      </c>
      <c r="R267" t="n">
        <v>0</v>
      </c>
      <c r="S267">
        <f>IFERROR(O267/N267,0)</f>
        <v/>
      </c>
    </row>
    <row r="268">
      <c r="A268">
        <f>Skills!A20</f>
        <v/>
      </c>
      <c r="B268">
        <f>Skills!B20</f>
        <v/>
      </c>
      <c r="C268">
        <f>Inputs!$B$3&gt;=10</f>
        <v/>
      </c>
      <c r="D268">
        <f>IF(Skills!C20=1,60+Inputs!$B$24+Inputs!$B$28,IF(Skills!C20=2,90+Inputs!$B$25+Inputs!$B$28,IF(Skills!C20=3,120+Inputs!$B$26+Inputs!$B$28,MAX(0,(Inputs!$B$3-100)*3)+Inputs!$B$27+Inputs!$B$28)))</f>
        <v/>
      </c>
      <c r="E268">
        <f>INDEX(FactorTable!$B$2:$Y$301, MATCH(ROUND(MIN(300,MAX(1,D268)),0), FactorTable!$A$2:$A$301,0), Skills!M20+1)</f>
        <v/>
      </c>
      <c r="F268">
        <f>IF(Skills!N20=TRUE,(Skills!L20/10)*(E268/1000),Skills!L20/10)+Skills!O20</f>
        <v/>
      </c>
      <c r="G268">
        <f>Skills!G20*IF(Skills!H20&gt;0,Skills!I20/Skills!H20,1)</f>
        <v/>
      </c>
      <c r="H268">
        <f>1-(1-Skills!J20/100)^Skills!K20</f>
        <v/>
      </c>
      <c r="I268" t="inlineStr">
        <is>
          <t>1</t>
        </is>
      </c>
      <c r="J268" t="inlineStr"/>
      <c r="K268" t="inlineStr"/>
      <c r="L268" t="inlineStr"/>
      <c r="M268" t="inlineStr"/>
      <c r="N268" t="inlineStr"/>
      <c r="O268" t="n">
        <v>0</v>
      </c>
      <c r="P268">
        <f>IF(B288=0,0,O268/B288)</f>
        <v/>
      </c>
      <c r="Q268" t="n">
        <v>0</v>
      </c>
      <c r="R268" t="n">
        <v>0</v>
      </c>
      <c r="S268">
        <f>IFERROR(O268/N268,0)</f>
        <v/>
      </c>
    </row>
    <row r="269">
      <c r="A269">
        <f>Skills!A21</f>
        <v/>
      </c>
      <c r="B269">
        <f>Skills!B21</f>
        <v/>
      </c>
      <c r="C269">
        <f>Inputs!$B$3&gt;=33</f>
        <v/>
      </c>
      <c r="D269">
        <f>IF(Skills!C21=1,60+Inputs!$B$24+Inputs!$B$28,IF(Skills!C21=2,90+Inputs!$B$25+Inputs!$B$28,IF(Skills!C21=3,120+Inputs!$B$26+Inputs!$B$28,MAX(0,(Inputs!$B$3-100)*3)+Inputs!$B$27+Inputs!$B$28)))</f>
        <v/>
      </c>
      <c r="E269">
        <f>INDEX(FactorTable!$B$2:$Y$301, MATCH(ROUND(MIN(300,MAX(1,D269)),0), FactorTable!$A$2:$A$301,0), Skills!M21+1)</f>
        <v/>
      </c>
      <c r="F269">
        <f>IF(Skills!N21=TRUE,(Skills!L21/10)*(E269/1000),Skills!L21/10)+Skills!O21</f>
        <v/>
      </c>
      <c r="G269">
        <f>Skills!G21*IF(Skills!H21&gt;0,Skills!I21/Skills!H21,1)</f>
        <v/>
      </c>
      <c r="H269">
        <f>1-(1-Skills!J21/100)^Skills!K21</f>
        <v/>
      </c>
      <c r="I269" t="inlineStr">
        <is>
          <t>1</t>
        </is>
      </c>
      <c r="J269" t="inlineStr"/>
      <c r="K269" t="inlineStr"/>
      <c r="L269" t="inlineStr"/>
      <c r="M269" t="inlineStr"/>
      <c r="N269" t="inlineStr"/>
      <c r="O269" t="n">
        <v>0</v>
      </c>
      <c r="P269">
        <f>IF(B288=0,0,O269/B288)</f>
        <v/>
      </c>
      <c r="Q269" t="n">
        <v>0</v>
      </c>
      <c r="R269" t="n">
        <v>0</v>
      </c>
      <c r="S269">
        <f>IFERROR(O269/N269,0)</f>
        <v/>
      </c>
    </row>
    <row r="270">
      <c r="A270">
        <f>Skills!A22</f>
        <v/>
      </c>
      <c r="B270">
        <f>Skills!B22</f>
        <v/>
      </c>
      <c r="C270">
        <f>Inputs!$B$3&gt;=38</f>
        <v/>
      </c>
      <c r="D270">
        <f>IF(Skills!C22=1,60+Inputs!$B$24+Inputs!$B$28,IF(Skills!C22=2,90+Inputs!$B$25+Inputs!$B$28,IF(Skills!C22=3,120+Inputs!$B$26+Inputs!$B$28,MAX(0,(Inputs!$B$3-100)*3)+Inputs!$B$27+Inputs!$B$28)))</f>
        <v/>
      </c>
      <c r="E270">
        <f>INDEX(FactorTable!$B$2:$Y$301, MATCH(ROUND(MIN(300,MAX(1,D270)),0), FactorTable!$A$2:$A$301,0), Skills!M22+1)</f>
        <v/>
      </c>
      <c r="F270">
        <f>IF(Skills!N22=TRUE,(Skills!L22/10)*(E270/1000),Skills!L22/10)+Skills!O22</f>
        <v/>
      </c>
      <c r="G270">
        <f>Skills!G22*IF(Skills!H22&gt;0,Skills!I22/Skills!H22,1)</f>
        <v/>
      </c>
      <c r="H270">
        <f>1-(1-Skills!J22/100)^Skills!K22</f>
        <v/>
      </c>
      <c r="I270" t="inlineStr">
        <is>
          <t>1</t>
        </is>
      </c>
      <c r="J270" t="inlineStr"/>
      <c r="K270" t="inlineStr"/>
      <c r="L270" t="inlineStr"/>
      <c r="M270" t="inlineStr"/>
      <c r="N270" t="inlineStr"/>
      <c r="O270" t="n">
        <v>0</v>
      </c>
      <c r="P270">
        <f>IF(B288=0,0,O270/B288)</f>
        <v/>
      </c>
      <c r="Q270" t="n">
        <v>0</v>
      </c>
      <c r="R270" t="n">
        <v>0</v>
      </c>
      <c r="S270">
        <f>IFERROR(O270/N270,0)</f>
        <v/>
      </c>
    </row>
    <row r="271">
      <c r="A271">
        <f>Skills!A23</f>
        <v/>
      </c>
      <c r="B271">
        <f>Skills!B23</f>
        <v/>
      </c>
      <c r="C271">
        <f>Inputs!$B$3&gt;=43</f>
        <v/>
      </c>
      <c r="D271">
        <f>IF(Skills!C23=1,60+Inputs!$B$24+Inputs!$B$28,IF(Skills!C23=2,90+Inputs!$B$25+Inputs!$B$28,IF(Skills!C23=3,120+Inputs!$B$26+Inputs!$B$28,MAX(0,(Inputs!$B$3-100)*3)+Inputs!$B$27+Inputs!$B$28)))</f>
        <v/>
      </c>
      <c r="E271">
        <f>INDEX(FactorTable!$B$2:$Y$301, MATCH(ROUND(MIN(300,MAX(1,D271)),0), FactorTable!$A$2:$A$301,0), Skills!M23+1)</f>
        <v/>
      </c>
      <c r="F271">
        <f>IF(Skills!N23=TRUE,(Skills!L23/10)*(E271/1000),Skills!L23/10)+Skills!O23</f>
        <v/>
      </c>
      <c r="G271">
        <f>Skills!G23*IF(Skills!H23&gt;0,Skills!I23/Skills!H23,1)</f>
        <v/>
      </c>
      <c r="H271">
        <f>1-(1-Skills!J23/100)^Skills!K23</f>
        <v/>
      </c>
      <c r="I271" t="inlineStr">
        <is>
          <t>1</t>
        </is>
      </c>
      <c r="J271" t="inlineStr"/>
      <c r="K271" t="inlineStr"/>
      <c r="L271" t="inlineStr"/>
      <c r="M271" t="inlineStr"/>
      <c r="N271" t="inlineStr"/>
      <c r="O271" t="n">
        <v>0</v>
      </c>
      <c r="P271">
        <f>IF(B288=0,0,O271/B288)</f>
        <v/>
      </c>
      <c r="Q271" t="n">
        <v>0</v>
      </c>
      <c r="R271" t="n">
        <v>0</v>
      </c>
      <c r="S271">
        <f>IFERROR(O271/N271,0)</f>
        <v/>
      </c>
    </row>
    <row r="272">
      <c r="A272">
        <f>Skills!A24</f>
        <v/>
      </c>
      <c r="B272">
        <f>Skills!B24</f>
        <v/>
      </c>
      <c r="C272">
        <f>Inputs!$B$3&gt;=75</f>
        <v/>
      </c>
      <c r="D272">
        <f>IF(Skills!C24=1,60+Inputs!$B$24+Inputs!$B$28,IF(Skills!C24=2,90+Inputs!$B$25+Inputs!$B$28,IF(Skills!C24=3,120+Inputs!$B$26+Inputs!$B$28,MAX(0,(Inputs!$B$3-100)*3)+Inputs!$B$27+Inputs!$B$28)))</f>
        <v/>
      </c>
      <c r="E272">
        <f>INDEX(FactorTable!$B$2:$Y$301, MATCH(ROUND(MIN(300,MAX(1,D272)),0), FactorTable!$A$2:$A$301,0), Skills!M24+1)</f>
        <v/>
      </c>
      <c r="F272">
        <f>IF(Skills!N24=TRUE,(Skills!L24/10)*(E272/1000),Skills!L24/10)+Skills!O24</f>
        <v/>
      </c>
      <c r="G272">
        <f>Skills!G24*IF(Skills!H24&gt;0,Skills!I24/Skills!H24,1)</f>
        <v/>
      </c>
      <c r="H272">
        <f>1-(1-Skills!J24/100)^Skills!K24</f>
        <v/>
      </c>
      <c r="I272" t="inlineStr">
        <is>
          <t>1</t>
        </is>
      </c>
      <c r="J272" t="inlineStr"/>
      <c r="K272" t="inlineStr"/>
      <c r="L272" t="inlineStr"/>
      <c r="M272" t="inlineStr"/>
      <c r="N272" t="inlineStr"/>
      <c r="O272" t="n">
        <v>0</v>
      </c>
      <c r="P272">
        <f>IF(B288=0,0,O272/B288)</f>
        <v/>
      </c>
      <c r="Q272" t="n">
        <v>0</v>
      </c>
      <c r="R272" t="n">
        <v>0</v>
      </c>
      <c r="S272">
        <f>IFERROR(O272/N272,0)</f>
        <v/>
      </c>
    </row>
    <row r="273">
      <c r="A273">
        <f>Skills!A25</f>
        <v/>
      </c>
      <c r="B273">
        <f>Skills!B25</f>
        <v/>
      </c>
      <c r="C273">
        <f>Inputs!$B$3&gt;=125</f>
        <v/>
      </c>
      <c r="D273">
        <f>IF(Skills!C25=1,60+Inputs!$B$24+Inputs!$B$28,IF(Skills!C25=2,90+Inputs!$B$25+Inputs!$B$28,IF(Skills!C25=3,120+Inputs!$B$26+Inputs!$B$28,MAX(0,(Inputs!$B$3-100)*3)+Inputs!$B$27+Inputs!$B$28)))</f>
        <v/>
      </c>
      <c r="E273">
        <f>INDEX(FactorTable!$B$2:$Y$301, MATCH(ROUND(MIN(300,MAX(1,D273)),0), FactorTable!$A$2:$A$301,0), Skills!M25+1)</f>
        <v/>
      </c>
      <c r="F273">
        <f>IF(Skills!N25=TRUE,(Skills!L25/10)*(E273/1000),Skills!L25/10)+Skills!O25</f>
        <v/>
      </c>
      <c r="G273">
        <f>Skills!G25*IF(Skills!H25&gt;0,Skills!I25/Skills!H25,1)</f>
        <v/>
      </c>
      <c r="H273">
        <f>1-(1-Skills!J25/100)^Skills!K25</f>
        <v/>
      </c>
      <c r="I273" t="inlineStr">
        <is>
          <t>1</t>
        </is>
      </c>
      <c r="J273" t="inlineStr"/>
      <c r="K273" t="inlineStr"/>
      <c r="L273" t="inlineStr"/>
      <c r="M273" t="inlineStr"/>
      <c r="N273" t="inlineStr"/>
      <c r="O273" t="n">
        <v>0</v>
      </c>
      <c r="P273">
        <f>IF(B288=0,0,O273/B288)</f>
        <v/>
      </c>
      <c r="Q273" t="n">
        <v>0</v>
      </c>
      <c r="R273" t="n">
        <v>0</v>
      </c>
      <c r="S273">
        <f>IFERROR(O273/N273,0)</f>
        <v/>
      </c>
    </row>
    <row r="274">
      <c r="A274">
        <f>Skills!A26</f>
        <v/>
      </c>
      <c r="B274">
        <f>Skills!B26</f>
        <v/>
      </c>
      <c r="C274">
        <f>Inputs!$B$3&gt;=125</f>
        <v/>
      </c>
      <c r="D274">
        <f>IF(Skills!C26=1,60+Inputs!$B$24+Inputs!$B$28,IF(Skills!C26=2,90+Inputs!$B$25+Inputs!$B$28,IF(Skills!C26=3,120+Inputs!$B$26+Inputs!$B$28,MAX(0,(Inputs!$B$3-100)*3)+Inputs!$B$27+Inputs!$B$28)))</f>
        <v/>
      </c>
      <c r="E274">
        <f>INDEX(FactorTable!$B$2:$Y$301, MATCH(ROUND(MIN(300,MAX(1,D274)),0), FactorTable!$A$2:$A$301,0), Skills!M26+1)</f>
        <v/>
      </c>
      <c r="F274">
        <f>IF(Skills!N26=TRUE,(Skills!L26/10)*(E274/1000),Skills!L26/10)+Skills!O26</f>
        <v/>
      </c>
      <c r="G274">
        <f>Skills!G26*IF(Skills!H26&gt;0,Skills!I26/Skills!H26,1)</f>
        <v/>
      </c>
      <c r="H274">
        <f>1-(1-Skills!J26/100)^Skills!K26</f>
        <v/>
      </c>
      <c r="I274" t="inlineStr">
        <is>
          <t>1</t>
        </is>
      </c>
      <c r="J274" t="inlineStr"/>
      <c r="K274" t="inlineStr"/>
      <c r="L274" t="inlineStr"/>
      <c r="M274" t="inlineStr"/>
      <c r="N274" t="inlineStr"/>
      <c r="O274" t="n">
        <v>0</v>
      </c>
      <c r="P274">
        <f>IF(B288=0,0,O274/B288)</f>
        <v/>
      </c>
      <c r="Q274" t="n">
        <v>0</v>
      </c>
      <c r="R274" t="n">
        <v>0</v>
      </c>
      <c r="S274">
        <f>IFERROR(O274/N274,0)</f>
        <v/>
      </c>
    </row>
    <row r="275">
      <c r="A275">
        <f>Skills!A27</f>
        <v/>
      </c>
      <c r="B275">
        <f>Skills!B27</f>
        <v/>
      </c>
      <c r="C275">
        <f>Inputs!$B$3&gt;=120</f>
        <v/>
      </c>
      <c r="D275">
        <f>IF(Skills!C27=1,60+Inputs!$B$24+Inputs!$B$28,IF(Skills!C27=2,90+Inputs!$B$25+Inputs!$B$28,IF(Skills!C27=3,120+Inputs!$B$26+Inputs!$B$28,MAX(0,(Inputs!$B$3-100)*3)+Inputs!$B$27+Inputs!$B$28)))</f>
        <v/>
      </c>
      <c r="E275">
        <f>INDEX(FactorTable!$B$2:$Y$301, MATCH(ROUND(MIN(300,MAX(1,D275)),0), FactorTable!$A$2:$A$301,0), Skills!M27+1)</f>
        <v/>
      </c>
      <c r="F275">
        <f>IF(Skills!N27=TRUE,(Skills!L27/10)*(E275/1000),Skills!L27/10)+Skills!O27</f>
        <v/>
      </c>
      <c r="G275">
        <f>Skills!G27*IF(Skills!H27&gt;0,Skills!I27/Skills!H27,1)</f>
        <v/>
      </c>
      <c r="H275">
        <f>1-(1-Skills!J27/100)^Skills!K27</f>
        <v/>
      </c>
      <c r="I275" t="inlineStr">
        <is>
          <t>1</t>
        </is>
      </c>
      <c r="J275" t="inlineStr"/>
      <c r="K275" t="inlineStr"/>
      <c r="L275" t="inlineStr"/>
      <c r="M275" t="inlineStr"/>
      <c r="N275" t="inlineStr"/>
      <c r="O275" t="n">
        <v>0</v>
      </c>
      <c r="P275">
        <f>IF(B288=0,0,O275/B288)</f>
        <v/>
      </c>
      <c r="Q275" t="n">
        <v>0</v>
      </c>
      <c r="R275" t="n">
        <v>0</v>
      </c>
      <c r="S275">
        <f>IFERROR(O275/N275,0)</f>
        <v/>
      </c>
    </row>
    <row r="276">
      <c r="A276">
        <f>Skills!A28</f>
        <v/>
      </c>
      <c r="B276">
        <f>Skills!B28</f>
        <v/>
      </c>
      <c r="C276">
        <f>Inputs!$B$3&gt;=120</f>
        <v/>
      </c>
      <c r="D276">
        <f>IF(Skills!C28=1,60+Inputs!$B$24+Inputs!$B$28,IF(Skills!C28=2,90+Inputs!$B$25+Inputs!$B$28,IF(Skills!C28=3,120+Inputs!$B$26+Inputs!$B$28,MAX(0,(Inputs!$B$3-100)*3)+Inputs!$B$27+Inputs!$B$28)))</f>
        <v/>
      </c>
      <c r="E276">
        <f>INDEX(FactorTable!$B$2:$Y$301, MATCH(ROUND(MIN(300,MAX(1,D276)),0), FactorTable!$A$2:$A$301,0), Skills!M28+1)</f>
        <v/>
      </c>
      <c r="F276">
        <f>IF(Skills!N28=TRUE,(Skills!L28/10)*(E276/1000),Skills!L28/10)+Skills!O28</f>
        <v/>
      </c>
      <c r="G276">
        <f>Skills!G28*IF(Skills!H28&gt;0,Skills!I28/Skills!H28,1)</f>
        <v/>
      </c>
      <c r="H276">
        <f>1-(1-Skills!J28/100)^Skills!K28</f>
        <v/>
      </c>
      <c r="I276" t="inlineStr">
        <is>
          <t>1</t>
        </is>
      </c>
      <c r="J276" t="inlineStr"/>
      <c r="K276" t="inlineStr"/>
      <c r="L276" t="inlineStr"/>
      <c r="M276" t="inlineStr"/>
      <c r="N276" t="inlineStr"/>
      <c r="O276" t="n">
        <v>0</v>
      </c>
      <c r="P276">
        <f>IF(B288=0,0,O276/B288)</f>
        <v/>
      </c>
      <c r="Q276" t="n">
        <v>0</v>
      </c>
      <c r="R276" t="n">
        <v>0</v>
      </c>
      <c r="S276">
        <f>IFERROR(O276/N276,0)</f>
        <v/>
      </c>
    </row>
    <row r="277">
      <c r="A277">
        <f>Skills!A29</f>
        <v/>
      </c>
      <c r="B277">
        <f>Skills!B29</f>
        <v/>
      </c>
      <c r="C277">
        <f>Inputs!$B$3&gt;=45</f>
        <v/>
      </c>
      <c r="D277">
        <f>IF(Skills!C29=1,60+Inputs!$B$24+Inputs!$B$28,IF(Skills!C29=2,90+Inputs!$B$25+Inputs!$B$28,IF(Skills!C29=3,120+Inputs!$B$26+Inputs!$B$28,MAX(0,(Inputs!$B$3-100)*3)+Inputs!$B$27+Inputs!$B$28)))</f>
        <v/>
      </c>
      <c r="E277">
        <f>INDEX(FactorTable!$B$2:$Y$301, MATCH(ROUND(MIN(300,MAX(1,D277)),0), FactorTable!$A$2:$A$301,0), Skills!M29+1)</f>
        <v/>
      </c>
      <c r="F277">
        <f>IF(Skills!N29=TRUE,(Skills!L29/10)*(E277/1000),Skills!L29/10)+Skills!O29</f>
        <v/>
      </c>
      <c r="G277">
        <f>Skills!G29*IF(Skills!H29&gt;0,Skills!I29/Skills!H29,1)</f>
        <v/>
      </c>
      <c r="H277">
        <f>1-(1-Skills!J29/100)^Skills!K29</f>
        <v/>
      </c>
      <c r="I277" t="inlineStr">
        <is>
          <t>1</t>
        </is>
      </c>
      <c r="J277" t="inlineStr"/>
      <c r="K277" t="inlineStr"/>
      <c r="L277" t="inlineStr"/>
      <c r="M277" t="inlineStr"/>
      <c r="N277" t="inlineStr"/>
      <c r="O277" t="n">
        <v>0</v>
      </c>
      <c r="P277">
        <f>IF(B288=0,0,O277/B288)</f>
        <v/>
      </c>
      <c r="Q277" t="n">
        <v>0</v>
      </c>
      <c r="R277" t="n">
        <v>0</v>
      </c>
      <c r="S277">
        <f>IFERROR(O277/N277,0)</f>
        <v/>
      </c>
    </row>
    <row r="279">
      <c r="A279" t="inlineStr">
        <is>
          <t>Attack% Bucket Multiplier</t>
        </is>
      </c>
      <c r="B279">
        <f>(1+(((C261=TRUE)*F261)+((C262=TRUE)*IF(Inputs!$B$4="pvp",F262,(1-Summary!$B$55)*(F262)+Summary!$B$55*(0)))+((C263=TRUE)*F263*IF(AND(Inputs!$B$4&lt;&gt;"pvp",Inputs!$B$35&gt;0),(((S263-1)*(Skills!T15*(1+Inputs!$B$33/100))+MIN((Skills!T15*(1+Inputs!$B$33/100)),MAX(0,Inputs!$B$35-((S263-1)*Skills!D15))))/Inputs!$B$35),IF(Inputs!$B$4="pvp",MIN((Skills!T15*(1+Inputs!$B$33/100)),15)/15,(Skills!T15*(1+Inputs!$B$33/100))/Skills!D15)))+((C260=TRUE)*F260)+((C277=TRUE)*(F277-Calc!F29)))/100)</f>
        <v/>
      </c>
    </row>
    <row r="280">
      <c r="A280" t="inlineStr">
        <is>
          <t>Global Crit Rate Bonus %</t>
        </is>
      </c>
      <c r="B280">
        <f>(C264=TRUE)*20*IF(AND(Inputs!$B$4&lt;&gt;"pvp",Inputs!$B$35&gt;0),(((S264-1)*(Skills!T16*(1+Inputs!$B$33/100))+MIN((Skills!T16*(1+Inputs!$B$33/100)),MAX(0,Inputs!$B$35-((S264-1)*Skills!D16))))/Inputs!$B$35),IF(Inputs!$B$4="pvp",MIN((Skills!T16*(1+Inputs!$B$33/100)),15)/15,(Skills!T16*(1+Inputs!$B$33/100))/Skills!D16))</f>
        <v/>
      </c>
    </row>
    <row r="281">
      <c r="A281" t="inlineStr">
        <is>
          <t>Attack Speed Buff Bonus %</t>
        </is>
      </c>
      <c r="B281">
        <f>((C266=TRUE)*F266*IF(AND(Inputs!$B$4&lt;&gt;"pvp",Inputs!$B$35&gt;0),(((S266-1)*(Skills!T18*(1+Inputs!$B$33/100))+MIN((Skills!T18*(1+Inputs!$B$33/100)),MAX(0,Inputs!$B$35-((S266-1)*Skills!D18))))/Inputs!$B$35),IF(Inputs!$B$4="pvp",MIN((Skills!T18*(1+Inputs!$B$33/100)),15)/15,(Skills!T18*(1+Inputs!$B$33/100))/Skills!D18)))</f>
        <v/>
      </c>
    </row>
    <row r="282">
      <c r="A282" t="inlineStr">
        <is>
          <t>Actions Per Second</t>
        </is>
      </c>
      <c r="B282">
        <f>1+MIN(150,150*(1-(1-(Inputs!$B$10+((C268=TRUE)*(F268-Calc!F20))+((C269=TRUE)*(F269-Calc!F21)))/150)*(1-B281/150)))/100</f>
        <v/>
      </c>
    </row>
    <row r="283">
      <c r="A283" t="inlineStr">
        <is>
          <t>Skill + Buff Cast Rate</t>
        </is>
      </c>
      <c r="B283">
        <f>IF(AND(Inputs!$B$4&lt;&gt;"pvp",Inputs!$B$35&gt;0),SUMPRODUCT((Skills!E2:E29=TRUE)*(C250:C277=TRUE)*R250:R277*Skills!F2:F29)/Inputs!$B$35,SUMPRODUCT((Skills!E2:E29=TRUE)*(C250:C277=TRUE)*Q250:Q277*Skills!F2:F29))</f>
        <v/>
      </c>
    </row>
    <row r="284">
      <c r="A284" t="inlineStr">
        <is>
          <t>Empowered Piercing Arrow Casts Per Second</t>
        </is>
      </c>
      <c r="B284">
        <f>MAX(0,B282-B283)</f>
        <v/>
      </c>
    </row>
    <row r="285">
      <c r="A285" t="inlineStr">
        <is>
          <t>Global Critical Damage Bonus % (Sharp Eyes)</t>
        </is>
      </c>
      <c r="B285">
        <f>(C264=TRUE)*F264*IF(AND(Inputs!$B$4&lt;&gt;"pvp",Inputs!$B$35&gt;0),(((S264-1)*(Skills!T16*(1+Inputs!$B$33/100))+MIN((Skills!T16*(1+Inputs!$B$33/100)),MAX(0,Inputs!$B$35-((S264-1)*Skills!D16))))/Inputs!$B$35),IF(Inputs!$B$4="pvp",MIN((Skills!T16*(1+Inputs!$B$33/100)),15)/15,(Skills!T16*(1+Inputs!$B$33/100))/Skills!D16))</f>
        <v/>
      </c>
    </row>
    <row r="286">
      <c r="A286" t="inlineStr">
        <is>
          <t>Global Final Damage Bonus % (Mortal Blow + Last Man Standing conditional half)</t>
        </is>
      </c>
      <c r="B286">
        <f>(C265=TRUE)*F265+((C274=TRUE)*IF(Inputs!$B$4="pvp",F274,(1-Summary!$B$55)*(F274)+Summary!$B$55*(0)))</f>
        <v/>
      </c>
    </row>
    <row r="288">
      <c r="A288" s="5" t="inlineStr">
        <is>
          <t>TOTAL DPS</t>
        </is>
      </c>
      <c r="B288" s="5">
        <f>SUM(O250:O277)</f>
        <v/>
      </c>
    </row>
    <row r="291">
      <c r="A291" s="5" t="inlineStr">
        <is>
          <t>Stat: NORMAL_DAMAGE %</t>
        </is>
      </c>
    </row>
    <row r="292">
      <c r="A292" s="8" t="inlineStr">
        <is>
          <t>Key</t>
        </is>
      </c>
      <c r="B292" s="8" t="inlineStr">
        <is>
          <t>Name</t>
        </is>
      </c>
      <c r="C292" s="8" t="inlineStr">
        <is>
          <t>Unlocked</t>
        </is>
      </c>
      <c r="D292" s="8" t="inlineStr">
        <is>
          <t>InputLevel</t>
        </is>
      </c>
      <c r="E292" s="8" t="inlineStr">
        <is>
          <t>Factor</t>
        </is>
      </c>
      <c r="F292" s="8" t="inlineStr">
        <is>
          <t>CoefficientPercent</t>
        </is>
      </c>
      <c r="G292" s="8" t="inlineStr">
        <is>
          <t>EffectiveHits</t>
        </is>
      </c>
      <c r="H292" s="8" t="inlineStr">
        <is>
          <t>ProcProbability</t>
        </is>
      </c>
      <c r="I292" s="8" t="inlineStr">
        <is>
          <t>MapleHeroMultiplier</t>
        </is>
      </c>
      <c r="J292" s="8" t="inlineStr">
        <is>
          <t>BaseDamage</t>
        </is>
      </c>
      <c r="K292" s="8" t="inlineStr">
        <is>
          <t>BaseHitDamage</t>
        </is>
      </c>
      <c r="L292" s="8" t="inlineStr">
        <is>
          <t>NonCritAvg</t>
        </is>
      </c>
      <c r="M292" s="8" t="inlineStr">
        <is>
          <t>CritAvg</t>
        </is>
      </c>
      <c r="N292" s="8" t="inlineStr">
        <is>
          <t>ExpectedDamage(perHit)</t>
        </is>
      </c>
      <c r="O292" s="8" t="inlineStr">
        <is>
          <t>DPS</t>
        </is>
      </c>
      <c r="P292" s="8" t="inlineStr">
        <is>
          <t>% of Total</t>
        </is>
      </c>
      <c r="Q292" s="8" t="inlineStr">
        <is>
          <t>InvCooldown</t>
        </is>
      </c>
      <c r="R292" s="8" t="inlineStr">
        <is>
          <t>CastsInFight</t>
        </is>
      </c>
      <c r="S292" s="8" t="inlineStr">
        <is>
          <t>HitRate(perSec)</t>
        </is>
      </c>
      <c r="U292" t="inlineStr">
        <is>
          <t>helpers</t>
        </is>
      </c>
    </row>
    <row r="293">
      <c r="A293">
        <f>Skills!A2</f>
        <v/>
      </c>
      <c r="B293">
        <f>Skills!B2</f>
        <v/>
      </c>
      <c r="C293">
        <f>Inputs!$B$3&gt;=100</f>
        <v/>
      </c>
      <c r="D293" t="inlineStr"/>
      <c r="E293" t="inlineStr"/>
      <c r="F293">
        <f>U295+Skills!O2</f>
        <v/>
      </c>
      <c r="G293">
        <f>Skills!G2*IF(Skills!H2&gt;0,Skills!I2/Skills!H2,1)</f>
        <v/>
      </c>
      <c r="H293">
        <f>1-(1-Skills!J2/100)^Skills!K2</f>
        <v/>
      </c>
      <c r="I293" t="inlineStr">
        <is>
          <t>1</t>
        </is>
      </c>
      <c r="J293">
        <f>(Inputs!$B$5*(1+Inputs!$B$6/100))*(F293/100)</f>
        <v/>
      </c>
      <c r="K293">
        <f>J293*(1+((Inputs!$B$11*(1+Inputs!$B$12/100))*0.01+Inputs!$B$13*0.0025)/100)*(1+Inputs!$B$14/100)*(1+IF(Inputs!$B$4="pvp",0,(1-Summary!$B$55)*(Inputs!$B$19+0+Skills!P2)+Summary!$B$55*((Inputs!$B$20+1)+Skills!Q2))/100)*(1+Inputs!$B$15/100)*(5000/(6000+Inputs!$B$7*(1-(Inputs!$B$18+0)/100)))*(1+(Inputs!$B$23+((C315=TRUE)*(F315-Calc!F24))+((C316=TRUE)*(F316-Calc!F25))+B329)/100)*(1+(IF(Skills!A2="EMPOWERED_PIERCING_ARROW",Inputs!$B$16+((C313=TRUE)*(F313-Calc!F22)),Inputs!$B$17+((C318=TRUE)*(F318-Calc!F27))))/100)*((1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I293)</f>
        <v/>
      </c>
      <c r="L293">
        <f>K293*(MIN(Inputs!$B$21+((C314=TRUE)*(F314-Calc!F23)),Inputs!$B$22+((C319=TRUE)*(F319-Calc!F28)))/100+(Inputs!$B$22+((C319=TRUE)*(F319-Calc!F28)))/100)/2</f>
        <v/>
      </c>
      <c r="M293">
        <f>L293*(1+(Inputs!$B$9+0+B328)/100)</f>
        <v/>
      </c>
      <c r="N293">
        <f>L293*(1-MIN((Inputs!$B$8+((C310=TRUE)*(F310-Calc!F19))+B323),100)/100)+M293*(MIN((Inputs!$B$8+((C310=TRUE)*(F310-Calc!F19))+B323),100)/100)</f>
        <v/>
      </c>
      <c r="O293">
        <f>IF(C293,Skills!G2*N293*B327*IF(Inputs!$B$4="pvp",1,(1-Summary!$B$55)*(1)+Summary!$B$55*(MIN((6+Inputs!$B$32),Inputs!$B$37))),0)</f>
        <v/>
      </c>
      <c r="P293">
        <f>IF(B331=0,0,O293/B331)</f>
        <v/>
      </c>
      <c r="Q293" t="n">
        <v>0</v>
      </c>
      <c r="R293" t="n">
        <v>0</v>
      </c>
      <c r="S293">
        <f>IFERROR(O293/N293,0)</f>
        <v/>
      </c>
      <c r="U293">
        <f>MAX(0,(Inputs!$B$3-100)*3)+Inputs!$B$27+Inputs!$B$28</f>
        <v/>
      </c>
    </row>
    <row r="294">
      <c r="A294">
        <f>Skills!A3</f>
        <v/>
      </c>
      <c r="B294">
        <f>Skills!B3</f>
        <v/>
      </c>
      <c r="C294">
        <f>Inputs!$B$3&gt;=50</f>
        <v/>
      </c>
      <c r="D294">
        <f>IF(Skills!C3=1,60+Inputs!$B$24+Inputs!$B$28,IF(Skills!C3=2,90+Inputs!$B$25+Inputs!$B$28,IF(Skills!C3=3,120+Inputs!$B$26+Inputs!$B$28,MAX(0,(Inputs!$B$3-100)*3)+Inputs!$B$27+Inputs!$B$28)))</f>
        <v/>
      </c>
      <c r="E294">
        <f>INDEX(FactorTable!$B$2:$Y$301, MATCH(ROUND(MIN(300,MAX(1,D294)),0), FactorTable!$A$2:$A$301,0), Skills!M3+1)</f>
        <v/>
      </c>
      <c r="F294">
        <f>IF(Skills!N3=TRUE,(Skills!L3/10)*(E294/1000),Skills!L3/10)+Skills!O3</f>
        <v/>
      </c>
      <c r="G294" t="inlineStr"/>
      <c r="H294" t="inlineStr"/>
      <c r="I294" t="inlineStr">
        <is>
          <t>1</t>
        </is>
      </c>
      <c r="J294" t="inlineStr"/>
      <c r="K294" t="inlineStr"/>
      <c r="L294" t="inlineStr"/>
      <c r="M294" t="inlineStr"/>
      <c r="N294" t="inlineStr"/>
      <c r="O294" t="inlineStr"/>
      <c r="P294" t="inlineStr"/>
      <c r="Q294" t="inlineStr"/>
      <c r="R294" t="inlineStr"/>
      <c r="S294" t="inlineStr"/>
      <c r="U294">
        <f>INDEX(FactorTable!$B$2:$Y$301, MATCH(ROUND(MIN(300,MAX(1,U293)),0), FactorTable!$A$2:$A$301,0), 22)</f>
        <v/>
      </c>
    </row>
    <row r="295">
      <c r="A295">
        <f>Skills!A4</f>
        <v/>
      </c>
      <c r="B295">
        <f>Skills!B4</f>
        <v/>
      </c>
      <c r="C295">
        <f>Inputs!$B$3&gt;=105</f>
        <v/>
      </c>
      <c r="D295">
        <f>IF(Skills!C4=1,60+Inputs!$B$24+Inputs!$B$28,IF(Skills!C4=2,90+Inputs!$B$25+Inputs!$B$28,IF(Skills!C4=3,120+Inputs!$B$26+Inputs!$B$28,MAX(0,(Inputs!$B$3-100)*3)+Inputs!$B$27+Inputs!$B$28)))</f>
        <v/>
      </c>
      <c r="E295">
        <f>INDEX(FactorTable!$B$2:$Y$301, MATCH(ROUND(MIN(300,MAX(1,D295)),0), FactorTable!$A$2:$A$301,0), Skills!M4+1)</f>
        <v/>
      </c>
      <c r="F295">
        <f>IF(Skills!N4=TRUE,(Skills!L4/10)*(E295/1000),Skills!L4/10)+Skills!O4</f>
        <v/>
      </c>
      <c r="G295" t="inlineStr"/>
      <c r="H295" t="inlineStr"/>
      <c r="I295" t="inlineStr">
        <is>
          <t>1</t>
        </is>
      </c>
      <c r="J295" t="inlineStr"/>
      <c r="K295" t="inlineStr"/>
      <c r="L295" t="inlineStr"/>
      <c r="M295" t="inlineStr"/>
      <c r="N295" t="inlineStr"/>
      <c r="O295" t="inlineStr"/>
      <c r="P295" t="inlineStr"/>
      <c r="Q295" t="inlineStr"/>
      <c r="R295" t="inlineStr"/>
      <c r="S295" t="inlineStr"/>
      <c r="U295">
        <f>290*U294/1000</f>
        <v/>
      </c>
    </row>
    <row r="296">
      <c r="A296">
        <f>Skills!A5</f>
        <v/>
      </c>
      <c r="B296">
        <f>Skills!B5</f>
        <v/>
      </c>
      <c r="C296">
        <f>Inputs!$B$3&gt;=35</f>
        <v/>
      </c>
      <c r="D296">
        <f>IF(Skills!C5=1,60+Inputs!$B$24+Inputs!$B$28,IF(Skills!C5=2,90+Inputs!$B$25+Inputs!$B$28,IF(Skills!C5=3,120+Inputs!$B$26+Inputs!$B$28,MAX(0,(Inputs!$B$3-100)*3)+Inputs!$B$27+Inputs!$B$28)))</f>
        <v/>
      </c>
      <c r="E296">
        <f>INDEX(FactorTable!$B$2:$Y$301, MATCH(ROUND(MIN(300,MAX(1,D296)),0), FactorTable!$A$2:$A$301,0), Skills!M5+1)</f>
        <v/>
      </c>
      <c r="F296">
        <f>IF(Skills!N5=TRUE,(Skills!L5/10)*(E296/1000),Skills!L5/10)+Skills!O5</f>
        <v/>
      </c>
      <c r="G296">
        <f>Skills!G5*IF(Skills!H5&gt;0,Skills!I5/Skills!H5,1)</f>
        <v/>
      </c>
      <c r="H296">
        <f>1-(1-Skills!J5/100)^Skills!K5</f>
        <v/>
      </c>
      <c r="I296" t="inlineStr">
        <is>
          <t>1</t>
        </is>
      </c>
      <c r="J296">
        <f>(Inputs!$B$5*(1+Inputs!$B$6/100))*(F296/100)</f>
        <v/>
      </c>
      <c r="K296">
        <f>J296*(1+((Inputs!$B$11*(1+Inputs!$B$12/100))*0.01+Inputs!$B$13*0.0025)/100)*(1+Inputs!$B$14/100)*(1+IF(Inputs!$B$4="pvp",0,(1-Summary!$B$55)*(Inputs!$B$19+0+Skills!P5)+Summary!$B$55*((Inputs!$B$20+1)+Skills!Q5))/100)*(1+Inputs!$B$15/100)*(5000/(6000+Inputs!$B$7*(1-(Inputs!$B$18+0)/100)))*(1+(Inputs!$B$23+((C315=TRUE)*(F315-Calc!F24))+((C316=TRUE)*(F316-Calc!F25))+B329)/100)*(1+4.0*IF(C299=TRUE,F299,0)/100)*(1+(IF(Skills!A5="EMPOWERED_PIERCING_ARROW",Inputs!$B$16+((C313=TRUE)*(F313-Calc!F22)),Inputs!$B$17+((C318=TRUE)*(F318-Calc!F27))))/100)*((1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I296)</f>
        <v/>
      </c>
      <c r="L296">
        <f>K296*(MIN(Inputs!$B$21+((C314=TRUE)*(F314-Calc!F23)),Inputs!$B$22+((C319=TRUE)*(F319-Calc!F28)))/100+(Inputs!$B$22+((C319=TRUE)*(F319-Calc!F28)))/100)/2</f>
        <v/>
      </c>
      <c r="M296">
        <f>L296*(1+(Inputs!$B$9+0+B328)/100)</f>
        <v/>
      </c>
      <c r="N296">
        <f>L296*(1-MIN((Inputs!$B$8+((C310=TRUE)*(F310-Calc!F19))+B323),100)/100)+M296*(MIN((Inputs!$B$8+((C310=TRUE)*(F310-Calc!F19))+B323),100)/100)</f>
        <v/>
      </c>
      <c r="O296">
        <f>IF(C296,H296*N296*IF(AND(Inputs!$B$4&lt;&gt;"pvp",Inputs!$B$35&gt;0),((Skills!G5*((R296-1)*IF(Skills!H5&gt;0,Skills!I5/Skills!H5,1)+IF(Skills!H5&gt;0,MIN(Skills!I5,MAX(0,Inputs!$B$35-((R296-1)*IF(Inputs!$B$4="pvp",15,MAX(0.1,Skills!D5-IF(Skills!E5=TRUE,Inputs!$B$31,0))))))/Skills!H5,1)))/Inputs!$B$35),G296*Q296)*IF(Inputs!$B$4="pvp",1,(1-Summary!$B$55)*(1)+Summary!$B$55*(MIN(Skills!R5,Inputs!$B$37))),0)</f>
        <v/>
      </c>
      <c r="P296">
        <f>IF(B331=0,0,O296/B331)</f>
        <v/>
      </c>
      <c r="Q296">
        <f>IFERROR(1/IF(Inputs!$B$4="pvp",15,MAX(0.1,Skills!D5-IF(Skills!E5=TRUE,Inputs!$B$31,0))),0)</f>
        <v/>
      </c>
      <c r="R296">
        <f>IF(AND(Inputs!$B$4&lt;&gt;"pvp",Inputs!$B$35&gt;0),(INT(Inputs!$B$35/IF(Inputs!$B$4="pvp",15,MAX(0.1,Skills!D5-IF(Skills!E5=TRUE,Inputs!$B$31,0))))+1),0)</f>
        <v/>
      </c>
      <c r="S296">
        <f>IFERROR(O296/N296,0)</f>
        <v/>
      </c>
    </row>
    <row r="297">
      <c r="A297">
        <f>Skills!A6</f>
        <v/>
      </c>
      <c r="B297">
        <f>Skills!B6</f>
        <v/>
      </c>
      <c r="C297">
        <f>Inputs!$B$3&gt;=63</f>
        <v/>
      </c>
      <c r="D297">
        <f>IF(Skills!C6=1,60+Inputs!$B$24+Inputs!$B$28,IF(Skills!C6=2,90+Inputs!$B$25+Inputs!$B$28,IF(Skills!C6=3,120+Inputs!$B$26+Inputs!$B$28,MAX(0,(Inputs!$B$3-100)*3)+Inputs!$B$27+Inputs!$B$28)))</f>
        <v/>
      </c>
      <c r="E297">
        <f>INDEX(FactorTable!$B$2:$Y$301, MATCH(ROUND(MIN(300,MAX(1,D297)),0), FactorTable!$A$2:$A$301,0), Skills!M6+1)</f>
        <v/>
      </c>
      <c r="F297">
        <f>IF(Skills!N6=TRUE,(Skills!L6/10)*(E297/1000),Skills!L6/10)+Skills!O6</f>
        <v/>
      </c>
      <c r="G297">
        <f>Skills!G6*IF(Skills!H6&gt;0,Skills!I6/Skills!H6,1)</f>
        <v/>
      </c>
      <c r="H297">
        <f>1-(1-Skills!J6/100)^Skills!K6</f>
        <v/>
      </c>
      <c r="I297" t="inlineStr">
        <is>
          <t>1</t>
        </is>
      </c>
      <c r="J297">
        <f>(Inputs!$B$5*(1+Inputs!$B$6/100))*(F297/100)</f>
        <v/>
      </c>
      <c r="K297">
        <f>J297*(1+((Inputs!$B$11*(1+Inputs!$B$12/100))*0.01+Inputs!$B$13*0.0025)/100)*(1+Inputs!$B$14/100)*(1+IF(Inputs!$B$4="pvp",0,(1-Summary!$B$55)*(Inputs!$B$19+0+Skills!P6)+Summary!$B$55*((Inputs!$B$20+1)+Skills!Q6))/100)*(1+Inputs!$B$15/100)*(5000/(6000+Inputs!$B$7*(1-(Inputs!$B$18+0)/100)))*(1+(Inputs!$B$23+((C315=TRUE)*(F315-Calc!F24))+((C316=TRUE)*(F316-Calc!F25))+B329)/100)*(1+1.0*IF(C299=TRUE,F299,0)/100)*(1+(IF(Skills!A6="EMPOWERED_PIERCING_ARROW",Inputs!$B$16+((C313=TRUE)*(F313-Calc!F22)),Inputs!$B$17+((C318=TRUE)*(F318-Calc!F27))))/100)*((1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I297)</f>
        <v/>
      </c>
      <c r="L297">
        <f>K297*(MIN(Inputs!$B$21+((C314=TRUE)*(F314-Calc!F23)),Inputs!$B$22+((C319=TRUE)*(F319-Calc!F28)))/100+(Inputs!$B$22+((C319=TRUE)*(F319-Calc!F28)))/100)/2</f>
        <v/>
      </c>
      <c r="M297">
        <f>L297*(1+(Inputs!$B$9+0+B328)/100)</f>
        <v/>
      </c>
      <c r="N297">
        <f>L297*(1-MIN((Inputs!$B$8+((C310=TRUE)*(F310-Calc!F19))+B323),100)/100)+M297*(MIN((Inputs!$B$8+((C310=TRUE)*(F310-Calc!F19))+B323),100)/100)</f>
        <v/>
      </c>
      <c r="O297">
        <f>IF(C297,H297*N297*IF(AND(Inputs!$B$4&lt;&gt;"pvp",Inputs!$B$35&gt;0),((Skills!G6*((R297-1)*IF(Skills!H6&gt;0,Skills!I6/Skills!H6,1)+IF(Skills!H6&gt;0,MIN(Skills!I6,MAX(0,Inputs!$B$35-((R297-1)*IF(Inputs!$B$4="pvp",15,MAX(0.1,Skills!D6-IF(Skills!E6=TRUE,Inputs!$B$31,0))))))/Skills!H6,1)))/Inputs!$B$35),G297*Q297)*IF(Inputs!$B$4="pvp",1,(1-Summary!$B$55)*(1)+Summary!$B$55*(MIN(Skills!R6,Inputs!$B$37))),0)</f>
        <v/>
      </c>
      <c r="P297">
        <f>IF(B331=0,0,O297/B331)</f>
        <v/>
      </c>
      <c r="Q297">
        <f>IFERROR(1/IF(Inputs!$B$4="pvp",15,MAX(0.1,Skills!D6-IF(Skills!E6=TRUE,Inputs!$B$31,0))),0)</f>
        <v/>
      </c>
      <c r="R297">
        <f>IF(AND(Inputs!$B$4&lt;&gt;"pvp",Inputs!$B$35&gt;0),(INT(Inputs!$B$35/IF(Inputs!$B$4="pvp",15,MAX(0.1,Skills!D6-IF(Skills!E6=TRUE,Inputs!$B$31,0))))+1),0)</f>
        <v/>
      </c>
      <c r="S297">
        <f>IFERROR(O297/N297,0)</f>
        <v/>
      </c>
    </row>
    <row r="298">
      <c r="A298">
        <f>Skills!A7</f>
        <v/>
      </c>
      <c r="B298">
        <f>Skills!B7</f>
        <v/>
      </c>
      <c r="C298">
        <f>Inputs!$B$3&gt;=69</f>
        <v/>
      </c>
      <c r="D298">
        <f>IF(Skills!C7=1,60+Inputs!$B$24+Inputs!$B$28,IF(Skills!C7=2,90+Inputs!$B$25+Inputs!$B$28,IF(Skills!C7=3,120+Inputs!$B$26+Inputs!$B$28,MAX(0,(Inputs!$B$3-100)*3)+Inputs!$B$27+Inputs!$B$28)))</f>
        <v/>
      </c>
      <c r="E298">
        <f>INDEX(FactorTable!$B$2:$Y$301, MATCH(ROUND(MIN(300,MAX(1,D298)),0), FactorTable!$A$2:$A$301,0), Skills!M7+1)</f>
        <v/>
      </c>
      <c r="F298">
        <f>IF(Skills!N7=TRUE,(Skills!L7/10)*(E298/1000),Skills!L7/10)+Skills!O7</f>
        <v/>
      </c>
      <c r="G298">
        <f>Skills!G7*IF(Skills!H7&gt;0,Skills!I7/Skills!H7,1)</f>
        <v/>
      </c>
      <c r="H298">
        <f>1-(1-Skills!J7/100)^Skills!K7</f>
        <v/>
      </c>
      <c r="I298" t="inlineStr">
        <is>
          <t>1</t>
        </is>
      </c>
      <c r="J298">
        <f>(Inputs!$B$5*(1+Inputs!$B$6/100))*(F298/100)</f>
        <v/>
      </c>
      <c r="K298">
        <f>J298*(1+((Inputs!$B$11*(1+Inputs!$B$12/100))*0.01+Inputs!$B$13*0.0025)/100)*(1+Inputs!$B$14/100)*(1+IF(Inputs!$B$4="pvp",0,(1-Summary!$B$55)*(Inputs!$B$19+0+Skills!P7)+Summary!$B$55*((Inputs!$B$20+1)+Skills!Q7))/100)*(1+Inputs!$B$15/100)*(5000/(6000+Inputs!$B$7*(1-(Inputs!$B$18+0)/100)))*(1+(Inputs!$B$23+((C315=TRUE)*(F315-Calc!F24))+((C316=TRUE)*(F316-Calc!F25))+B329)/100)*(1+1.2*IF(C299=TRUE,F299,0)/100)*(1+(IF(Skills!A7="EMPOWERED_PIERCING_ARROW",Inputs!$B$16+((C313=TRUE)*(F313-Calc!F22)),Inputs!$B$17+((C318=TRUE)*(F318-Calc!F27))))/100)*((1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I298)</f>
        <v/>
      </c>
      <c r="L298">
        <f>K298*(MIN(Inputs!$B$21+((C314=TRUE)*(F314-Calc!F23)),Inputs!$B$22+((C319=TRUE)*(F319-Calc!F28)))/100+(Inputs!$B$22+((C319=TRUE)*(F319-Calc!F28)))/100)/2</f>
        <v/>
      </c>
      <c r="M298">
        <f>L298*(1+(Inputs!$B$9+0+B328)/100)</f>
        <v/>
      </c>
      <c r="N298">
        <f>L298*(1-MIN((Inputs!$B$8+((C310=TRUE)*(F310-Calc!F19))+B323),100)/100)+M298*(MIN((Inputs!$B$8+((C310=TRUE)*(F310-Calc!F19))+B323),100)/100)</f>
        <v/>
      </c>
      <c r="O298">
        <f>IF(C298,H298*N298*IF(AND(Inputs!$B$4&lt;&gt;"pvp",Inputs!$B$35&gt;0),((Skills!G7*((R298-1)*IF(Skills!H7&gt;0,Skills!I7/Skills!H7,1)+IF(Skills!H7&gt;0,MIN(Skills!I7,MAX(0,Inputs!$B$35-((R298-1)*IF(Inputs!$B$4="pvp",15,MAX(0.1,Skills!D7-IF(Skills!E7=TRUE,Inputs!$B$31,0))))))/Skills!H7,1)))/Inputs!$B$35),G298*Q298)*IF(Inputs!$B$4="pvp",1,(1-Summary!$B$55)*(1)+Summary!$B$55*(MIN(Skills!R7,Inputs!$B$37))),0)</f>
        <v/>
      </c>
      <c r="P298">
        <f>IF(B331=0,0,O298/B331)</f>
        <v/>
      </c>
      <c r="Q298">
        <f>IFERROR(1/IF(Inputs!$B$4="pvp",15,MAX(0.1,Skills!D7-IF(Skills!E7=TRUE,Inputs!$B$31,0))),0)</f>
        <v/>
      </c>
      <c r="R298">
        <f>IF(AND(Inputs!$B$4&lt;&gt;"pvp",Inputs!$B$35&gt;0),(INT(Inputs!$B$35/IF(Inputs!$B$4="pvp",15,MAX(0.1,Skills!D7-IF(Skills!E7=TRUE,Inputs!$B$31,0))))+1),0)</f>
        <v/>
      </c>
      <c r="S298">
        <f>IFERROR(O298/N298,0)</f>
        <v/>
      </c>
    </row>
    <row r="299">
      <c r="A299">
        <f>Skills!A8</f>
        <v/>
      </c>
      <c r="B299">
        <f>Skills!B8</f>
        <v/>
      </c>
      <c r="C299">
        <f>Inputs!$B$3&gt;=100</f>
        <v/>
      </c>
      <c r="D299">
        <f>IF(Skills!C8=1,60+Inputs!$B$24+Inputs!$B$28,IF(Skills!C8=2,90+Inputs!$B$25+Inputs!$B$28,IF(Skills!C8=3,120+Inputs!$B$26+Inputs!$B$28,MAX(0,(Inputs!$B$3-100)*3)+Inputs!$B$27+Inputs!$B$28)))</f>
        <v/>
      </c>
      <c r="E299">
        <f>INDEX(FactorTable!$B$2:$Y$301, MATCH(ROUND(MIN(300,MAX(1,D299)),0), FactorTable!$A$2:$A$301,0), Skills!M8+1)</f>
        <v/>
      </c>
      <c r="F299">
        <f>IF(Skills!N8=TRUE,(Skills!L8/10)*(E299/1000),Skills!L8/10)+Skills!O8</f>
        <v/>
      </c>
      <c r="G299" t="inlineStr"/>
      <c r="H299" t="inlineStr"/>
      <c r="I299" t="inlineStr">
        <is>
          <t>1</t>
        </is>
      </c>
      <c r="J299" t="inlineStr"/>
      <c r="K299" t="inlineStr"/>
      <c r="L299" t="inlineStr"/>
      <c r="M299" t="inlineStr"/>
      <c r="N299" t="inlineStr"/>
      <c r="O299" t="inlineStr"/>
      <c r="P299" t="inlineStr"/>
      <c r="Q299" t="inlineStr"/>
      <c r="R299" t="inlineStr"/>
      <c r="S299" t="inlineStr"/>
    </row>
    <row r="300">
      <c r="A300">
        <f>Skills!A9</f>
        <v/>
      </c>
      <c r="B300">
        <f>Skills!B9</f>
        <v/>
      </c>
      <c r="C300">
        <f>Inputs!$B$3&gt;=103</f>
        <v/>
      </c>
      <c r="D300">
        <f>IF(Skills!C9=1,60+Inputs!$B$24+Inputs!$B$28,IF(Skills!C9=2,90+Inputs!$B$25+Inputs!$B$28,IF(Skills!C9=3,120+Inputs!$B$26+Inputs!$B$28,MAX(0,(Inputs!$B$3-100)*3)+Inputs!$B$27+Inputs!$B$28)))</f>
        <v/>
      </c>
      <c r="E300">
        <f>INDEX(FactorTable!$B$2:$Y$301, MATCH(ROUND(MIN(300,MAX(1,D300)),0), FactorTable!$A$2:$A$301,0), Skills!M9+1)</f>
        <v/>
      </c>
      <c r="F300">
        <f>IF(Skills!N9=TRUE,(Skills!L9/10)*(E300/1000),Skills!L9/10)+Skills!O9</f>
        <v/>
      </c>
      <c r="G300">
        <f>Skills!G9*IF(Skills!H9&gt;0,Skills!I9/Skills!H9,1)</f>
        <v/>
      </c>
      <c r="H300">
        <f>1-(1-Skills!J9/100)^Skills!K9</f>
        <v/>
      </c>
      <c r="I300" t="inlineStr">
        <is>
          <t>1</t>
        </is>
      </c>
      <c r="J300">
        <f>(Inputs!$B$5*(1+Inputs!$B$6/100))*(F300/100)</f>
        <v/>
      </c>
      <c r="K300">
        <f>J300*(1+((Inputs!$B$11*(1+Inputs!$B$12/100))*0.01+Inputs!$B$13*0.0025)/100)*(1+Inputs!$B$14/100)*(1+IF(Inputs!$B$4="pvp",0,(1-Summary!$B$55)*(Inputs!$B$19+0+Skills!P9)+Summary!$B$55*((Inputs!$B$20+1)+Skills!Q9))/100)*(1+Inputs!$B$15/100)*(5000/(6000+Inputs!$B$7*(1-(Inputs!$B$18+0)/100)))*(1+(Inputs!$B$23+((C315=TRUE)*(F315-Calc!F24))+((C316=TRUE)*(F316-Calc!F25))+B329)/100)*(1+(IF(Skills!A9="EMPOWERED_PIERCING_ARROW",Inputs!$B$16+((C313=TRUE)*(F313-Calc!F22)),Inputs!$B$17+((C318=TRUE)*(F318-Calc!F27))))/100)*((1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I300)</f>
        <v/>
      </c>
      <c r="L300">
        <f>K300*(MIN(Inputs!$B$21+((C314=TRUE)*(F314-Calc!F23)),Inputs!$B$22+((C319=TRUE)*(F319-Calc!F28)))/100+(Inputs!$B$22+((C319=TRUE)*(F319-Calc!F28)))/100)/2</f>
        <v/>
      </c>
      <c r="M300">
        <f>L300*(1+(Inputs!$B$9+0+B328)/100)</f>
        <v/>
      </c>
      <c r="N300">
        <f>L300*(1-MIN((Inputs!$B$8+((C310=TRUE)*(F310-Calc!F19))+B323),100)/100)+M300*(MIN((Inputs!$B$8+((C310=TRUE)*(F310-Calc!F19))+B323),100)/100)</f>
        <v/>
      </c>
      <c r="O300">
        <f>IF(C300,H300*N300*IF(AND(Inputs!$B$4&lt;&gt;"pvp",Inputs!$B$35&gt;0),((Skills!G9*((R300-1)*IF(Skills!H9&gt;0,Skills!I9/Skills!H9,1)+IF(Skills!H9&gt;0,MIN(Skills!I9,MAX(0,Inputs!$B$35-((R300-1)*IF(Inputs!$B$4="pvp",15,MAX(0.1,Skills!D9-IF(Skills!E9=TRUE,Inputs!$B$31,0))))))/Skills!H9,1)))/Inputs!$B$35),G300*Q300)*IF(Inputs!$B$4="pvp",1,(1-Summary!$B$55)*(1)+Summary!$B$55*(MIN(Skills!R9,Inputs!$B$37))),0)</f>
        <v/>
      </c>
      <c r="P300">
        <f>IF(B331=0,0,O300/B331)</f>
        <v/>
      </c>
      <c r="Q300">
        <f>IFERROR(1/IF(Inputs!$B$4="pvp",15,MAX(0.1,Skills!D9-IF(Skills!E9=TRUE,Inputs!$B$31,0))),0)</f>
        <v/>
      </c>
      <c r="R300">
        <f>IF(AND(Inputs!$B$4&lt;&gt;"pvp",Inputs!$B$35&gt;0),(INT(Inputs!$B$35/IF(Inputs!$B$4="pvp",15,MAX(0.1,Skills!D9-IF(Skills!E9=TRUE,Inputs!$B$31,0))))+1),0)</f>
        <v/>
      </c>
      <c r="S300">
        <f>IFERROR(O300/N300,0)</f>
        <v/>
      </c>
    </row>
    <row r="301">
      <c r="A301">
        <f>Skills!A10</f>
        <v/>
      </c>
      <c r="B301">
        <f>Skills!B10</f>
        <v/>
      </c>
      <c r="C301">
        <f>Inputs!$B$3&gt;=107</f>
        <v/>
      </c>
      <c r="D301">
        <f>IF(Skills!C10=1,60+Inputs!$B$24+Inputs!$B$28,IF(Skills!C10=2,90+Inputs!$B$25+Inputs!$B$28,IF(Skills!C10=3,120+Inputs!$B$26+Inputs!$B$28,MAX(0,(Inputs!$B$3-100)*3)+Inputs!$B$27+Inputs!$B$28)))</f>
        <v/>
      </c>
      <c r="E301">
        <f>INDEX(FactorTable!$B$2:$Y$301, MATCH(ROUND(MIN(300,MAX(1,D301)),0), FactorTable!$A$2:$A$301,0), Skills!M10+1)</f>
        <v/>
      </c>
      <c r="F301">
        <f>IF(Skills!N10=TRUE,(Skills!L10/10)*(E301/1000),Skills!L10/10)+Skills!O10</f>
        <v/>
      </c>
      <c r="G301">
        <f>Skills!G10*IF(Skills!H10&gt;0,Skills!I10/Skills!H10,1)</f>
        <v/>
      </c>
      <c r="H301">
        <f>1-(1-Skills!J10/100)^Skills!K10</f>
        <v/>
      </c>
      <c r="I301" t="inlineStr">
        <is>
          <t>1</t>
        </is>
      </c>
      <c r="J301">
        <f>(Inputs!$B$5*(1+Inputs!$B$6/100))*(F301/100)</f>
        <v/>
      </c>
      <c r="K301">
        <f>J301*(1+((Inputs!$B$11*(1+Inputs!$B$12/100))*0.01+Inputs!$B$13*0.0025)/100)*(1+Inputs!$B$14/100)*(1+IF(Inputs!$B$4="pvp",0,(1-Summary!$B$55)*(Inputs!$B$19+0+Skills!P10)+Summary!$B$55*((Inputs!$B$20+1)+Skills!Q10))/100)*(1+Inputs!$B$15/100)*(5000/(6000+Inputs!$B$7*(1-(Inputs!$B$18+0)/100)))*(1+(Inputs!$B$23+((C315=TRUE)*(F315-Calc!F24))+((C316=TRUE)*(F316-Calc!F25))+B329)/100)*(1+(IF(Skills!A10="EMPOWERED_PIERCING_ARROW",Inputs!$B$16+((C313=TRUE)*(F313-Calc!F22)),Inputs!$B$17+((C318=TRUE)*(F318-Calc!F27))))/100)*((1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I301)</f>
        <v/>
      </c>
      <c r="L301">
        <f>K301*(MIN(Inputs!$B$21+((C314=TRUE)*(F314-Calc!F23)),Inputs!$B$22+((C319=TRUE)*(F319-Calc!F28)))/100+(Inputs!$B$22+((C319=TRUE)*(F319-Calc!F28)))/100)/2</f>
        <v/>
      </c>
      <c r="M301">
        <f>L301*(1+(Inputs!$B$9+0+B328)/100)</f>
        <v/>
      </c>
      <c r="N301">
        <f>L301*(1-MIN((Inputs!$B$8+((C310=TRUE)*(F310-Calc!F19))+B323),100)/100)+M301*(MIN((Inputs!$B$8+((C310=TRUE)*(F310-Calc!F19))+B323),100)/100)</f>
        <v/>
      </c>
      <c r="O301">
        <f>IF(C301,0.15*SUMPRODUCT((Skills!U2:U29=TRUE)*(C293:C320=TRUE)*S293:S320)*Skills!G10*N301*IF(Inputs!$B$4="pvp",1,(1-Summary!$B$55)*(1)+Summary!$B$55*(MIN(Skills!R10,Inputs!$B$37))),0)</f>
        <v/>
      </c>
      <c r="P301">
        <f>IF(B331=0,0,O301/B331)</f>
        <v/>
      </c>
      <c r="Q301" t="n">
        <v>0</v>
      </c>
      <c r="R301" t="n">
        <v>0</v>
      </c>
      <c r="S301" t="n">
        <v>0</v>
      </c>
    </row>
    <row r="302">
      <c r="A302">
        <f>Skills!A11</f>
        <v/>
      </c>
      <c r="B302">
        <f>Skills!B11</f>
        <v/>
      </c>
      <c r="C302">
        <f>Inputs!$B$3&gt;=110</f>
        <v/>
      </c>
      <c r="D302">
        <f>IF(Skills!C11=1,60+Inputs!$B$24+Inputs!$B$28,IF(Skills!C11=2,90+Inputs!$B$25+Inputs!$B$28,IF(Skills!C11=3,120+Inputs!$B$26+Inputs!$B$28,MAX(0,(Inputs!$B$3-100)*3)+Inputs!$B$27+Inputs!$B$28)))</f>
        <v/>
      </c>
      <c r="E302">
        <f>INDEX(FactorTable!$B$2:$Y$301, MATCH(ROUND(MIN(300,MAX(1,D302)),0), FactorTable!$A$2:$A$301,0), Skills!M11+1)</f>
        <v/>
      </c>
      <c r="F302">
        <f>IF(Skills!N11=TRUE,(Skills!L11/10)*(E302/1000),Skills!L11/10)+Skills!O11</f>
        <v/>
      </c>
      <c r="G302">
        <f>Skills!G11*IF(Skills!H11&gt;0,Skills!I11/Skills!H11,1)</f>
        <v/>
      </c>
      <c r="H302">
        <f>1-(1-Skills!J11/100)^Skills!K11</f>
        <v/>
      </c>
      <c r="I302" t="inlineStr">
        <is>
          <t>1</t>
        </is>
      </c>
      <c r="J302">
        <f>(Inputs!$B$5*(1+Inputs!$B$6/100))*(F302/100)</f>
        <v/>
      </c>
      <c r="K302">
        <f>J302*(1+((Inputs!$B$11*(1+Inputs!$B$12/100))*0.01+Inputs!$B$13*0.0025)/100)*(1+Inputs!$B$14/100)*(1+IF(Inputs!$B$4="pvp",0,(1-Summary!$B$55)*(Inputs!$B$19+0+Skills!P11)+Summary!$B$55*((Inputs!$B$20+1)+Skills!Q11))/100)*(1+Inputs!$B$15/100)*(5000/(6000+Inputs!$B$7*(1-(Inputs!$B$18+0)/100)))*(1+(Inputs!$B$23+((C315=TRUE)*(F315-Calc!F24))+((C316=TRUE)*(F316-Calc!F25))+B329)/100)*(1+(IF(Skills!A11="EMPOWERED_PIERCING_ARROW",Inputs!$B$16+((C313=TRUE)*(F313-Calc!F22)),Inputs!$B$17+((C318=TRUE)*(F318-Calc!F27))))/100)*((1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I302)</f>
        <v/>
      </c>
      <c r="L302">
        <f>K302*(MIN(Inputs!$B$21+((C314=TRUE)*(F314-Calc!F23)),Inputs!$B$22+((C319=TRUE)*(F319-Calc!F28)))/100+(Inputs!$B$22+((C319=TRUE)*(F319-Calc!F28)))/100)/2</f>
        <v/>
      </c>
      <c r="M302">
        <f>L302*(1+(Inputs!$B$9+0+B328)/100)</f>
        <v/>
      </c>
      <c r="N302">
        <f>L302*(1-MIN((Inputs!$B$8+((C310=TRUE)*(F310-Calc!F19))+B323),100)/100)+M302*(MIN((Inputs!$B$8+((C310=TRUE)*(F310-Calc!F19))+B323),100)/100)</f>
        <v/>
      </c>
      <c r="O302">
        <f>IF(C302,H302*N302*IF(AND(Inputs!$B$4&lt;&gt;"pvp",Inputs!$B$35&gt;0),((Skills!G11*((R302-1)*IF(Skills!H11&gt;0,Skills!I11/Skills!H11,1)+IF(Skills!H11&gt;0,MIN(Skills!I11,MAX(0,Inputs!$B$35-((R302-1)*IF(Inputs!$B$4="pvp",15,MAX(0.1,Skills!D11-IF(Skills!E11=TRUE,Inputs!$B$31,0))))))/Skills!H11,1)))/Inputs!$B$35),G302*Q302)*IF(Inputs!$B$4="pvp",1,(1-Summary!$B$55)*(1)+Summary!$B$55*(MIN(Skills!R11,Inputs!$B$37))),0)</f>
        <v/>
      </c>
      <c r="P302">
        <f>IF(B331=0,0,O302/B331)</f>
        <v/>
      </c>
      <c r="Q302">
        <f>IFERROR(1/IF(Inputs!$B$4="pvp",15,MAX(0.1,Skills!D11-IF(Skills!E11=TRUE,Inputs!$B$31,0))),0)</f>
        <v/>
      </c>
      <c r="R302">
        <f>IF(AND(Inputs!$B$4&lt;&gt;"pvp",Inputs!$B$35&gt;0),(INT(Inputs!$B$35/IF(Inputs!$B$4="pvp",15,MAX(0.1,Skills!D11-IF(Skills!E11=TRUE,Inputs!$B$31,0))))+1),0)</f>
        <v/>
      </c>
      <c r="S302">
        <f>IFERROR(O302/N302,0)</f>
        <v/>
      </c>
    </row>
    <row r="303">
      <c r="A303">
        <f>Skills!A12</f>
        <v/>
      </c>
      <c r="B303">
        <f>Skills!B12</f>
        <v/>
      </c>
      <c r="C303">
        <f>Inputs!$B$3&gt;=60</f>
        <v/>
      </c>
      <c r="D303">
        <f>IF(Skills!C12=1,60+Inputs!$B$24+Inputs!$B$28,IF(Skills!C12=2,90+Inputs!$B$25+Inputs!$B$28,IF(Skills!C12=3,120+Inputs!$B$26+Inputs!$B$28,MAX(0,(Inputs!$B$3-100)*3)+Inputs!$B$27+Inputs!$B$28)))</f>
        <v/>
      </c>
      <c r="E303">
        <f>INDEX(FactorTable!$B$2:$Y$301, MATCH(ROUND(MIN(300,MAX(1,D303)),0), FactorTable!$A$2:$A$301,0), Skills!M12+1)</f>
        <v/>
      </c>
      <c r="F303">
        <f>IF(Skills!N12=TRUE,(Skills!L12/10)*(E303/1000),Skills!L12/10)+Skills!O12</f>
        <v/>
      </c>
      <c r="G303">
        <f>Skills!G12*IF(Skills!H12&gt;0,Skills!I12/Skills!H12,1)</f>
        <v/>
      </c>
      <c r="H303">
        <f>1-(1-Skills!J12/100)^Skills!K12</f>
        <v/>
      </c>
      <c r="I303" t="inlineStr">
        <is>
          <t>1</t>
        </is>
      </c>
      <c r="J303" t="inlineStr"/>
      <c r="K303" t="inlineStr"/>
      <c r="L303" t="inlineStr"/>
      <c r="M303" t="inlineStr"/>
      <c r="N303" t="inlineStr"/>
      <c r="O303" t="n">
        <v>0</v>
      </c>
      <c r="P303">
        <f>IF(B331=0,0,O303/B331)</f>
        <v/>
      </c>
      <c r="Q303" t="n">
        <v>0</v>
      </c>
      <c r="R303" t="n">
        <v>0</v>
      </c>
      <c r="S303">
        <f>IFERROR(O303/N303,0)</f>
        <v/>
      </c>
    </row>
    <row r="304">
      <c r="A304">
        <f>Skills!A13</f>
        <v/>
      </c>
      <c r="B304">
        <f>Skills!B13</f>
        <v/>
      </c>
      <c r="C304">
        <f>Inputs!$B$3&gt;=74</f>
        <v/>
      </c>
      <c r="D304">
        <f>IF(Skills!C13=1,60+Inputs!$B$24+Inputs!$B$28,IF(Skills!C13=2,90+Inputs!$B$25+Inputs!$B$28,IF(Skills!C13=3,120+Inputs!$B$26+Inputs!$B$28,MAX(0,(Inputs!$B$3-100)*3)+Inputs!$B$27+Inputs!$B$28)))</f>
        <v/>
      </c>
      <c r="E304">
        <f>INDEX(FactorTable!$B$2:$Y$301, MATCH(ROUND(MIN(300,MAX(1,D304)),0), FactorTable!$A$2:$A$301,0), Skills!M13+1)</f>
        <v/>
      </c>
      <c r="F304">
        <f>IF(Skills!N13=TRUE,(Skills!L13/10)*(E304/1000),Skills!L13/10)+Skills!O13</f>
        <v/>
      </c>
      <c r="G304">
        <f>Skills!G13*IF(Skills!H13&gt;0,Skills!I13/Skills!H13,1)</f>
        <v/>
      </c>
      <c r="H304">
        <f>1-(1-Skills!J13/100)^Skills!K13</f>
        <v/>
      </c>
      <c r="I304" t="inlineStr">
        <is>
          <t>1</t>
        </is>
      </c>
      <c r="J304" t="inlineStr"/>
      <c r="K304" t="inlineStr"/>
      <c r="L304" t="inlineStr"/>
      <c r="M304" t="inlineStr"/>
      <c r="N304" t="inlineStr"/>
      <c r="O304" t="n">
        <v>0</v>
      </c>
      <c r="P304">
        <f>IF(B331=0,0,O304/B331)</f>
        <v/>
      </c>
      <c r="Q304" t="n">
        <v>0</v>
      </c>
      <c r="R304" t="n">
        <v>0</v>
      </c>
      <c r="S304">
        <f>IFERROR(O304/N304,0)</f>
        <v/>
      </c>
    </row>
    <row r="305">
      <c r="A305">
        <f>Skills!A14</f>
        <v/>
      </c>
      <c r="B305">
        <f>Skills!B14</f>
        <v/>
      </c>
      <c r="C305">
        <f>Inputs!$B$3&gt;=74</f>
        <v/>
      </c>
      <c r="D305">
        <f>IF(Skills!C14=1,60+Inputs!$B$24+Inputs!$B$28,IF(Skills!C14=2,90+Inputs!$B$25+Inputs!$B$28,IF(Skills!C14=3,120+Inputs!$B$26+Inputs!$B$28,MAX(0,(Inputs!$B$3-100)*3)+Inputs!$B$27+Inputs!$B$28)))</f>
        <v/>
      </c>
      <c r="E305">
        <f>INDEX(FactorTable!$B$2:$Y$301, MATCH(ROUND(MIN(300,MAX(1,D305)),0), FactorTable!$A$2:$A$301,0), Skills!M14+1)</f>
        <v/>
      </c>
      <c r="F305">
        <f>IF(Skills!N14=TRUE,(Skills!L14/10)*(E305/1000),Skills!L14/10)+Skills!O14</f>
        <v/>
      </c>
      <c r="G305">
        <f>Skills!G14*IF(Skills!H14&gt;0,Skills!I14/Skills!H14,1)</f>
        <v/>
      </c>
      <c r="H305">
        <f>1-(1-Skills!J14/100)^Skills!K14</f>
        <v/>
      </c>
      <c r="I305" t="inlineStr">
        <is>
          <t>1</t>
        </is>
      </c>
      <c r="J305" t="inlineStr"/>
      <c r="K305" t="inlineStr"/>
      <c r="L305" t="inlineStr"/>
      <c r="M305" t="inlineStr"/>
      <c r="N305" t="inlineStr"/>
      <c r="O305" t="n">
        <v>0</v>
      </c>
      <c r="P305">
        <f>IF(B331=0,0,O305/B331)</f>
        <v/>
      </c>
      <c r="Q305" t="n">
        <v>0</v>
      </c>
      <c r="R305" t="n">
        <v>0</v>
      </c>
      <c r="S305">
        <f>IFERROR(O305/N305,0)</f>
        <v/>
      </c>
    </row>
    <row r="306">
      <c r="A306">
        <f>Skills!A15</f>
        <v/>
      </c>
      <c r="B306">
        <f>Skills!B15</f>
        <v/>
      </c>
      <c r="C306">
        <f>Inputs!$B$3&gt;=117</f>
        <v/>
      </c>
      <c r="D306">
        <f>IF(Skills!C15=1,60+Inputs!$B$24+Inputs!$B$28,IF(Skills!C15=2,90+Inputs!$B$25+Inputs!$B$28,IF(Skills!C15=3,120+Inputs!$B$26+Inputs!$B$28,MAX(0,(Inputs!$B$3-100)*3)+Inputs!$B$27+Inputs!$B$28)))</f>
        <v/>
      </c>
      <c r="E306">
        <f>INDEX(FactorTable!$B$2:$Y$301, MATCH(ROUND(MIN(300,MAX(1,D306)),0), FactorTable!$A$2:$A$301,0), Skills!M15+1)</f>
        <v/>
      </c>
      <c r="F306">
        <f>IF(Skills!N15=TRUE,(Skills!L15/10)*(E306/1000),Skills!L15/10)+Skills!O15</f>
        <v/>
      </c>
      <c r="G306">
        <f>Skills!G15*IF(Skills!H15&gt;0,Skills!I15/Skills!H15,1)</f>
        <v/>
      </c>
      <c r="H306">
        <f>1-(1-Skills!J15/100)^Skills!K15</f>
        <v/>
      </c>
      <c r="I306" t="inlineStr">
        <is>
          <t>1</t>
        </is>
      </c>
      <c r="J306" t="inlineStr"/>
      <c r="K306" t="inlineStr"/>
      <c r="L306" t="inlineStr"/>
      <c r="M306" t="inlineStr"/>
      <c r="N306" t="inlineStr"/>
      <c r="O306" t="n">
        <v>0</v>
      </c>
      <c r="P306">
        <f>IF(B331=0,0,O306/B331)</f>
        <v/>
      </c>
      <c r="Q306">
        <f>IFERROR(1/IF(Inputs!$B$4="pvp",15,MAX(0.1,Skills!D15-IF(Skills!E15=TRUE,Inputs!$B$31,0))),0)</f>
        <v/>
      </c>
      <c r="R306">
        <f>IF(AND(Inputs!$B$4&lt;&gt;"pvp",Inputs!$B$35&gt;0),(INT(Inputs!$B$35/IF(Inputs!$B$4="pvp",15,MAX(0.1,Skills!D15-IF(Skills!E15=TRUE,Inputs!$B$31,0))))+1),0)</f>
        <v/>
      </c>
      <c r="S306">
        <f>IFERROR(O306/N306,0)</f>
        <v/>
      </c>
    </row>
    <row r="307">
      <c r="A307">
        <f>Skills!A16</f>
        <v/>
      </c>
      <c r="B307">
        <f>Skills!B16</f>
        <v/>
      </c>
      <c r="C307">
        <f>Inputs!$B$3&gt;=115</f>
        <v/>
      </c>
      <c r="D307">
        <f>IF(Skills!C16=1,60+Inputs!$B$24+Inputs!$B$28,IF(Skills!C16=2,90+Inputs!$B$25+Inputs!$B$28,IF(Skills!C16=3,120+Inputs!$B$26+Inputs!$B$28,MAX(0,(Inputs!$B$3-100)*3)+Inputs!$B$27+Inputs!$B$28)))</f>
        <v/>
      </c>
      <c r="E307">
        <f>INDEX(FactorTable!$B$2:$Y$301, MATCH(ROUND(MIN(300,MAX(1,D307)),0), FactorTable!$A$2:$A$301,0), Skills!M16+1)</f>
        <v/>
      </c>
      <c r="F307">
        <f>IF(Skills!N16=TRUE,(Skills!L16/10)*(E307/1000),Skills!L16/10)+Skills!O16</f>
        <v/>
      </c>
      <c r="G307">
        <f>Skills!G16*IF(Skills!H16&gt;0,Skills!I16/Skills!H16,1)</f>
        <v/>
      </c>
      <c r="H307">
        <f>1-(1-Skills!J16/100)^Skills!K16</f>
        <v/>
      </c>
      <c r="I307" t="inlineStr">
        <is>
          <t>1</t>
        </is>
      </c>
      <c r="J307" t="inlineStr"/>
      <c r="K307" t="inlineStr"/>
      <c r="L307" t="inlineStr"/>
      <c r="M307" t="inlineStr"/>
      <c r="N307" t="inlineStr"/>
      <c r="O307" t="n">
        <v>0</v>
      </c>
      <c r="P307">
        <f>IF(B331=0,0,O307/B331)</f>
        <v/>
      </c>
      <c r="Q307">
        <f>IFERROR(1/IF(Inputs!$B$4="pvp",15,MAX(0.1,Skills!D16-IF(Skills!E16=TRUE,Inputs!$B$31,0))),0)</f>
        <v/>
      </c>
      <c r="R307">
        <f>IF(AND(Inputs!$B$4&lt;&gt;"pvp",Inputs!$B$35&gt;0),(INT(Inputs!$B$35/IF(Inputs!$B$4="pvp",15,MAX(0.1,Skills!D16-IF(Skills!E16=TRUE,Inputs!$B$31,0))))+1),0)</f>
        <v/>
      </c>
      <c r="S307">
        <f>IFERROR(O307/N307,0)</f>
        <v/>
      </c>
    </row>
    <row r="308">
      <c r="A308">
        <f>Skills!A17</f>
        <v/>
      </c>
      <c r="B308">
        <f>Skills!B17</f>
        <v/>
      </c>
      <c r="C308">
        <f>Inputs!$B$3&gt;=72</f>
        <v/>
      </c>
      <c r="D308">
        <f>IF(Skills!C17=1,60+Inputs!$B$24+Inputs!$B$28,IF(Skills!C17=2,90+Inputs!$B$25+Inputs!$B$28,IF(Skills!C17=3,120+Inputs!$B$26+Inputs!$B$28,MAX(0,(Inputs!$B$3-100)*3)+Inputs!$B$27+Inputs!$B$28)))</f>
        <v/>
      </c>
      <c r="E308">
        <f>INDEX(FactorTable!$B$2:$Y$301, MATCH(ROUND(MIN(300,MAX(1,D308)),0), FactorTable!$A$2:$A$301,0), Skills!M17+1)</f>
        <v/>
      </c>
      <c r="F308">
        <f>IF(Skills!N17=TRUE,(Skills!L17/10)*(E308/1000),Skills!L17/10)+Skills!O17</f>
        <v/>
      </c>
      <c r="G308">
        <f>Skills!G17*IF(Skills!H17&gt;0,Skills!I17/Skills!H17,1)</f>
        <v/>
      </c>
      <c r="H308">
        <f>1-(1-Skills!J17/100)^Skills!K17</f>
        <v/>
      </c>
      <c r="I308" t="inlineStr">
        <is>
          <t>1</t>
        </is>
      </c>
      <c r="J308" t="inlineStr"/>
      <c r="K308" t="inlineStr"/>
      <c r="L308" t="inlineStr"/>
      <c r="M308" t="inlineStr"/>
      <c r="N308" t="inlineStr"/>
      <c r="O308" t="n">
        <v>0</v>
      </c>
      <c r="P308">
        <f>IF(B331=0,0,O308/B331)</f>
        <v/>
      </c>
      <c r="Q308" t="n">
        <v>0</v>
      </c>
      <c r="R308" t="n">
        <v>0</v>
      </c>
      <c r="S308">
        <f>IFERROR(O308/N308,0)</f>
        <v/>
      </c>
    </row>
    <row r="309">
      <c r="A309">
        <f>Skills!A18</f>
        <v/>
      </c>
      <c r="B309">
        <f>Skills!B18</f>
        <v/>
      </c>
      <c r="C309">
        <f>TRUE</f>
        <v/>
      </c>
      <c r="D309">
        <f>IF(Skills!C18=1,60+Inputs!$B$24+Inputs!$B$28,IF(Skills!C18=2,90+Inputs!$B$25+Inputs!$B$28,IF(Skills!C18=3,120+Inputs!$B$26+Inputs!$B$28,MAX(0,(Inputs!$B$3-100)*3)+Inputs!$B$27+Inputs!$B$28)))</f>
        <v/>
      </c>
      <c r="E309">
        <f>INDEX(FactorTable!$B$2:$Y$301, MATCH(ROUND(MIN(300,MAX(1,D309)),0), FactorTable!$A$2:$A$301,0), Skills!M18+1)</f>
        <v/>
      </c>
      <c r="F309">
        <f>IF(Skills!N18=TRUE,(Skills!L18/10)*(E309/1000),Skills!L18/10)+Skills!O18</f>
        <v/>
      </c>
      <c r="G309">
        <f>Skills!G18*IF(Skills!H18&gt;0,Skills!I18/Skills!H18,1)</f>
        <v/>
      </c>
      <c r="H309">
        <f>1-(1-Skills!J18/100)^Skills!K18</f>
        <v/>
      </c>
      <c r="I309" t="inlineStr">
        <is>
          <t>1</t>
        </is>
      </c>
      <c r="J309" t="inlineStr"/>
      <c r="K309" t="inlineStr"/>
      <c r="L309" t="inlineStr"/>
      <c r="M309" t="inlineStr"/>
      <c r="N309" t="inlineStr"/>
      <c r="O309" t="n">
        <v>0</v>
      </c>
      <c r="P309">
        <f>IF(B331=0,0,O309/B331)</f>
        <v/>
      </c>
      <c r="Q309">
        <f>IFERROR(1/IF(Inputs!$B$4="pvp",15,MAX(0.1,Skills!D18-IF(Skills!E18=TRUE,Inputs!$B$31,0))),0)</f>
        <v/>
      </c>
      <c r="R309">
        <f>IF(AND(Inputs!$B$4&lt;&gt;"pvp",Inputs!$B$35&gt;0),(INT(Inputs!$B$35/IF(Inputs!$B$4="pvp",15,MAX(0.1,Skills!D18-IF(Skills!E18=TRUE,Inputs!$B$31,0))))+1),0)</f>
        <v/>
      </c>
      <c r="S309">
        <f>IFERROR(O309/N309,0)</f>
        <v/>
      </c>
    </row>
    <row r="310">
      <c r="A310">
        <f>Skills!A19</f>
        <v/>
      </c>
      <c r="B310">
        <f>Skills!B19</f>
        <v/>
      </c>
      <c r="C310">
        <f>Inputs!$B$3&gt;=15</f>
        <v/>
      </c>
      <c r="D310">
        <f>IF(Skills!C19=1,60+Inputs!$B$24+Inputs!$B$28,IF(Skills!C19=2,90+Inputs!$B$25+Inputs!$B$28,IF(Skills!C19=3,120+Inputs!$B$26+Inputs!$B$28,MAX(0,(Inputs!$B$3-100)*3)+Inputs!$B$27+Inputs!$B$28)))</f>
        <v/>
      </c>
      <c r="E310">
        <f>INDEX(FactorTable!$B$2:$Y$301, MATCH(ROUND(MIN(300,MAX(1,D310)),0), FactorTable!$A$2:$A$301,0), Skills!M19+1)</f>
        <v/>
      </c>
      <c r="F310">
        <f>IF(Skills!N19=TRUE,(Skills!L19/10)*(E310/1000),Skills!L19/10)+Skills!O19</f>
        <v/>
      </c>
      <c r="G310">
        <f>Skills!G19*IF(Skills!H19&gt;0,Skills!I19/Skills!H19,1)</f>
        <v/>
      </c>
      <c r="H310">
        <f>1-(1-Skills!J19/100)^Skills!K19</f>
        <v/>
      </c>
      <c r="I310" t="inlineStr">
        <is>
          <t>1</t>
        </is>
      </c>
      <c r="J310" t="inlineStr"/>
      <c r="K310" t="inlineStr"/>
      <c r="L310" t="inlineStr"/>
      <c r="M310" t="inlineStr"/>
      <c r="N310" t="inlineStr"/>
      <c r="O310" t="n">
        <v>0</v>
      </c>
      <c r="P310">
        <f>IF(B331=0,0,O310/B331)</f>
        <v/>
      </c>
      <c r="Q310" t="n">
        <v>0</v>
      </c>
      <c r="R310" t="n">
        <v>0</v>
      </c>
      <c r="S310">
        <f>IFERROR(O310/N310,0)</f>
        <v/>
      </c>
    </row>
    <row r="311">
      <c r="A311">
        <f>Skills!A20</f>
        <v/>
      </c>
      <c r="B311">
        <f>Skills!B20</f>
        <v/>
      </c>
      <c r="C311">
        <f>Inputs!$B$3&gt;=10</f>
        <v/>
      </c>
      <c r="D311">
        <f>IF(Skills!C20=1,60+Inputs!$B$24+Inputs!$B$28,IF(Skills!C20=2,90+Inputs!$B$25+Inputs!$B$28,IF(Skills!C20=3,120+Inputs!$B$26+Inputs!$B$28,MAX(0,(Inputs!$B$3-100)*3)+Inputs!$B$27+Inputs!$B$28)))</f>
        <v/>
      </c>
      <c r="E311">
        <f>INDEX(FactorTable!$B$2:$Y$301, MATCH(ROUND(MIN(300,MAX(1,D311)),0), FactorTable!$A$2:$A$301,0), Skills!M20+1)</f>
        <v/>
      </c>
      <c r="F311">
        <f>IF(Skills!N20=TRUE,(Skills!L20/10)*(E311/1000),Skills!L20/10)+Skills!O20</f>
        <v/>
      </c>
      <c r="G311">
        <f>Skills!G20*IF(Skills!H20&gt;0,Skills!I20/Skills!H20,1)</f>
        <v/>
      </c>
      <c r="H311">
        <f>1-(1-Skills!J20/100)^Skills!K20</f>
        <v/>
      </c>
      <c r="I311" t="inlineStr">
        <is>
          <t>1</t>
        </is>
      </c>
      <c r="J311" t="inlineStr"/>
      <c r="K311" t="inlineStr"/>
      <c r="L311" t="inlineStr"/>
      <c r="M311" t="inlineStr"/>
      <c r="N311" t="inlineStr"/>
      <c r="O311" t="n">
        <v>0</v>
      </c>
      <c r="P311">
        <f>IF(B331=0,0,O311/B331)</f>
        <v/>
      </c>
      <c r="Q311" t="n">
        <v>0</v>
      </c>
      <c r="R311" t="n">
        <v>0</v>
      </c>
      <c r="S311">
        <f>IFERROR(O311/N311,0)</f>
        <v/>
      </c>
    </row>
    <row r="312">
      <c r="A312">
        <f>Skills!A21</f>
        <v/>
      </c>
      <c r="B312">
        <f>Skills!B21</f>
        <v/>
      </c>
      <c r="C312">
        <f>Inputs!$B$3&gt;=33</f>
        <v/>
      </c>
      <c r="D312">
        <f>IF(Skills!C21=1,60+Inputs!$B$24+Inputs!$B$28,IF(Skills!C21=2,90+Inputs!$B$25+Inputs!$B$28,IF(Skills!C21=3,120+Inputs!$B$26+Inputs!$B$28,MAX(0,(Inputs!$B$3-100)*3)+Inputs!$B$27+Inputs!$B$28)))</f>
        <v/>
      </c>
      <c r="E312">
        <f>INDEX(FactorTable!$B$2:$Y$301, MATCH(ROUND(MIN(300,MAX(1,D312)),0), FactorTable!$A$2:$A$301,0), Skills!M21+1)</f>
        <v/>
      </c>
      <c r="F312">
        <f>IF(Skills!N21=TRUE,(Skills!L21/10)*(E312/1000),Skills!L21/10)+Skills!O21</f>
        <v/>
      </c>
      <c r="G312">
        <f>Skills!G21*IF(Skills!H21&gt;0,Skills!I21/Skills!H21,1)</f>
        <v/>
      </c>
      <c r="H312">
        <f>1-(1-Skills!J21/100)^Skills!K21</f>
        <v/>
      </c>
      <c r="I312" t="inlineStr">
        <is>
          <t>1</t>
        </is>
      </c>
      <c r="J312" t="inlineStr"/>
      <c r="K312" t="inlineStr"/>
      <c r="L312" t="inlineStr"/>
      <c r="M312" t="inlineStr"/>
      <c r="N312" t="inlineStr"/>
      <c r="O312" t="n">
        <v>0</v>
      </c>
      <c r="P312">
        <f>IF(B331=0,0,O312/B331)</f>
        <v/>
      </c>
      <c r="Q312" t="n">
        <v>0</v>
      </c>
      <c r="R312" t="n">
        <v>0</v>
      </c>
      <c r="S312">
        <f>IFERROR(O312/N312,0)</f>
        <v/>
      </c>
    </row>
    <row r="313">
      <c r="A313">
        <f>Skills!A22</f>
        <v/>
      </c>
      <c r="B313">
        <f>Skills!B22</f>
        <v/>
      </c>
      <c r="C313">
        <f>Inputs!$B$3&gt;=38</f>
        <v/>
      </c>
      <c r="D313">
        <f>IF(Skills!C22=1,60+Inputs!$B$24+Inputs!$B$28,IF(Skills!C22=2,90+Inputs!$B$25+Inputs!$B$28,IF(Skills!C22=3,120+Inputs!$B$26+Inputs!$B$28,MAX(0,(Inputs!$B$3-100)*3)+Inputs!$B$27+Inputs!$B$28)))</f>
        <v/>
      </c>
      <c r="E313">
        <f>INDEX(FactorTable!$B$2:$Y$301, MATCH(ROUND(MIN(300,MAX(1,D313)),0), FactorTable!$A$2:$A$301,0), Skills!M22+1)</f>
        <v/>
      </c>
      <c r="F313">
        <f>IF(Skills!N22=TRUE,(Skills!L22/10)*(E313/1000),Skills!L22/10)+Skills!O22</f>
        <v/>
      </c>
      <c r="G313">
        <f>Skills!G22*IF(Skills!H22&gt;0,Skills!I22/Skills!H22,1)</f>
        <v/>
      </c>
      <c r="H313">
        <f>1-(1-Skills!J22/100)^Skills!K22</f>
        <v/>
      </c>
      <c r="I313" t="inlineStr">
        <is>
          <t>1</t>
        </is>
      </c>
      <c r="J313" t="inlineStr"/>
      <c r="K313" t="inlineStr"/>
      <c r="L313" t="inlineStr"/>
      <c r="M313" t="inlineStr"/>
      <c r="N313" t="inlineStr"/>
      <c r="O313" t="n">
        <v>0</v>
      </c>
      <c r="P313">
        <f>IF(B331=0,0,O313/B331)</f>
        <v/>
      </c>
      <c r="Q313" t="n">
        <v>0</v>
      </c>
      <c r="R313" t="n">
        <v>0</v>
      </c>
      <c r="S313">
        <f>IFERROR(O313/N313,0)</f>
        <v/>
      </c>
    </row>
    <row r="314">
      <c r="A314">
        <f>Skills!A23</f>
        <v/>
      </c>
      <c r="B314">
        <f>Skills!B23</f>
        <v/>
      </c>
      <c r="C314">
        <f>Inputs!$B$3&gt;=43</f>
        <v/>
      </c>
      <c r="D314">
        <f>IF(Skills!C23=1,60+Inputs!$B$24+Inputs!$B$28,IF(Skills!C23=2,90+Inputs!$B$25+Inputs!$B$28,IF(Skills!C23=3,120+Inputs!$B$26+Inputs!$B$28,MAX(0,(Inputs!$B$3-100)*3)+Inputs!$B$27+Inputs!$B$28)))</f>
        <v/>
      </c>
      <c r="E314">
        <f>INDEX(FactorTable!$B$2:$Y$301, MATCH(ROUND(MIN(300,MAX(1,D314)),0), FactorTable!$A$2:$A$301,0), Skills!M23+1)</f>
        <v/>
      </c>
      <c r="F314">
        <f>IF(Skills!N23=TRUE,(Skills!L23/10)*(E314/1000),Skills!L23/10)+Skills!O23</f>
        <v/>
      </c>
      <c r="G314">
        <f>Skills!G23*IF(Skills!H23&gt;0,Skills!I23/Skills!H23,1)</f>
        <v/>
      </c>
      <c r="H314">
        <f>1-(1-Skills!J23/100)^Skills!K23</f>
        <v/>
      </c>
      <c r="I314" t="inlineStr">
        <is>
          <t>1</t>
        </is>
      </c>
      <c r="J314" t="inlineStr"/>
      <c r="K314" t="inlineStr"/>
      <c r="L314" t="inlineStr"/>
      <c r="M314" t="inlineStr"/>
      <c r="N314" t="inlineStr"/>
      <c r="O314" t="n">
        <v>0</v>
      </c>
      <c r="P314">
        <f>IF(B331=0,0,O314/B331)</f>
        <v/>
      </c>
      <c r="Q314" t="n">
        <v>0</v>
      </c>
      <c r="R314" t="n">
        <v>0</v>
      </c>
      <c r="S314">
        <f>IFERROR(O314/N314,0)</f>
        <v/>
      </c>
    </row>
    <row r="315">
      <c r="A315">
        <f>Skills!A24</f>
        <v/>
      </c>
      <c r="B315">
        <f>Skills!B24</f>
        <v/>
      </c>
      <c r="C315">
        <f>Inputs!$B$3&gt;=75</f>
        <v/>
      </c>
      <c r="D315">
        <f>IF(Skills!C24=1,60+Inputs!$B$24+Inputs!$B$28,IF(Skills!C24=2,90+Inputs!$B$25+Inputs!$B$28,IF(Skills!C24=3,120+Inputs!$B$26+Inputs!$B$28,MAX(0,(Inputs!$B$3-100)*3)+Inputs!$B$27+Inputs!$B$28)))</f>
        <v/>
      </c>
      <c r="E315">
        <f>INDEX(FactorTable!$B$2:$Y$301, MATCH(ROUND(MIN(300,MAX(1,D315)),0), FactorTable!$A$2:$A$301,0), Skills!M24+1)</f>
        <v/>
      </c>
      <c r="F315">
        <f>IF(Skills!N24=TRUE,(Skills!L24/10)*(E315/1000),Skills!L24/10)+Skills!O24</f>
        <v/>
      </c>
      <c r="G315">
        <f>Skills!G24*IF(Skills!H24&gt;0,Skills!I24/Skills!H24,1)</f>
        <v/>
      </c>
      <c r="H315">
        <f>1-(1-Skills!J24/100)^Skills!K24</f>
        <v/>
      </c>
      <c r="I315" t="inlineStr">
        <is>
          <t>1</t>
        </is>
      </c>
      <c r="J315" t="inlineStr"/>
      <c r="K315" t="inlineStr"/>
      <c r="L315" t="inlineStr"/>
      <c r="M315" t="inlineStr"/>
      <c r="N315" t="inlineStr"/>
      <c r="O315" t="n">
        <v>0</v>
      </c>
      <c r="P315">
        <f>IF(B331=0,0,O315/B331)</f>
        <v/>
      </c>
      <c r="Q315" t="n">
        <v>0</v>
      </c>
      <c r="R315" t="n">
        <v>0</v>
      </c>
      <c r="S315">
        <f>IFERROR(O315/N315,0)</f>
        <v/>
      </c>
    </row>
    <row r="316">
      <c r="A316">
        <f>Skills!A25</f>
        <v/>
      </c>
      <c r="B316">
        <f>Skills!B25</f>
        <v/>
      </c>
      <c r="C316">
        <f>Inputs!$B$3&gt;=125</f>
        <v/>
      </c>
      <c r="D316">
        <f>IF(Skills!C25=1,60+Inputs!$B$24+Inputs!$B$28,IF(Skills!C25=2,90+Inputs!$B$25+Inputs!$B$28,IF(Skills!C25=3,120+Inputs!$B$26+Inputs!$B$28,MAX(0,(Inputs!$B$3-100)*3)+Inputs!$B$27+Inputs!$B$28)))</f>
        <v/>
      </c>
      <c r="E316">
        <f>INDEX(FactorTable!$B$2:$Y$301, MATCH(ROUND(MIN(300,MAX(1,D316)),0), FactorTable!$A$2:$A$301,0), Skills!M25+1)</f>
        <v/>
      </c>
      <c r="F316">
        <f>IF(Skills!N25=TRUE,(Skills!L25/10)*(E316/1000),Skills!L25/10)+Skills!O25</f>
        <v/>
      </c>
      <c r="G316">
        <f>Skills!G25*IF(Skills!H25&gt;0,Skills!I25/Skills!H25,1)</f>
        <v/>
      </c>
      <c r="H316">
        <f>1-(1-Skills!J25/100)^Skills!K25</f>
        <v/>
      </c>
      <c r="I316" t="inlineStr">
        <is>
          <t>1</t>
        </is>
      </c>
      <c r="J316" t="inlineStr"/>
      <c r="K316" t="inlineStr"/>
      <c r="L316" t="inlineStr"/>
      <c r="M316" t="inlineStr"/>
      <c r="N316" t="inlineStr"/>
      <c r="O316" t="n">
        <v>0</v>
      </c>
      <c r="P316">
        <f>IF(B331=0,0,O316/B331)</f>
        <v/>
      </c>
      <c r="Q316" t="n">
        <v>0</v>
      </c>
      <c r="R316" t="n">
        <v>0</v>
      </c>
      <c r="S316">
        <f>IFERROR(O316/N316,0)</f>
        <v/>
      </c>
    </row>
    <row r="317">
      <c r="A317">
        <f>Skills!A26</f>
        <v/>
      </c>
      <c r="B317">
        <f>Skills!B26</f>
        <v/>
      </c>
      <c r="C317">
        <f>Inputs!$B$3&gt;=125</f>
        <v/>
      </c>
      <c r="D317">
        <f>IF(Skills!C26=1,60+Inputs!$B$24+Inputs!$B$28,IF(Skills!C26=2,90+Inputs!$B$25+Inputs!$B$28,IF(Skills!C26=3,120+Inputs!$B$26+Inputs!$B$28,MAX(0,(Inputs!$B$3-100)*3)+Inputs!$B$27+Inputs!$B$28)))</f>
        <v/>
      </c>
      <c r="E317">
        <f>INDEX(FactorTable!$B$2:$Y$301, MATCH(ROUND(MIN(300,MAX(1,D317)),0), FactorTable!$A$2:$A$301,0), Skills!M26+1)</f>
        <v/>
      </c>
      <c r="F317">
        <f>IF(Skills!N26=TRUE,(Skills!L26/10)*(E317/1000),Skills!L26/10)+Skills!O26</f>
        <v/>
      </c>
      <c r="G317">
        <f>Skills!G26*IF(Skills!H26&gt;0,Skills!I26/Skills!H26,1)</f>
        <v/>
      </c>
      <c r="H317">
        <f>1-(1-Skills!J26/100)^Skills!K26</f>
        <v/>
      </c>
      <c r="I317" t="inlineStr">
        <is>
          <t>1</t>
        </is>
      </c>
      <c r="J317" t="inlineStr"/>
      <c r="K317" t="inlineStr"/>
      <c r="L317" t="inlineStr"/>
      <c r="M317" t="inlineStr"/>
      <c r="N317" t="inlineStr"/>
      <c r="O317" t="n">
        <v>0</v>
      </c>
      <c r="P317">
        <f>IF(B331=0,0,O317/B331)</f>
        <v/>
      </c>
      <c r="Q317" t="n">
        <v>0</v>
      </c>
      <c r="R317" t="n">
        <v>0</v>
      </c>
      <c r="S317">
        <f>IFERROR(O317/N317,0)</f>
        <v/>
      </c>
    </row>
    <row r="318">
      <c r="A318">
        <f>Skills!A27</f>
        <v/>
      </c>
      <c r="B318">
        <f>Skills!B27</f>
        <v/>
      </c>
      <c r="C318">
        <f>Inputs!$B$3&gt;=120</f>
        <v/>
      </c>
      <c r="D318">
        <f>IF(Skills!C27=1,60+Inputs!$B$24+Inputs!$B$28,IF(Skills!C27=2,90+Inputs!$B$25+Inputs!$B$28,IF(Skills!C27=3,120+Inputs!$B$26+Inputs!$B$28,MAX(0,(Inputs!$B$3-100)*3)+Inputs!$B$27+Inputs!$B$28)))</f>
        <v/>
      </c>
      <c r="E318">
        <f>INDEX(FactorTable!$B$2:$Y$301, MATCH(ROUND(MIN(300,MAX(1,D318)),0), FactorTable!$A$2:$A$301,0), Skills!M27+1)</f>
        <v/>
      </c>
      <c r="F318">
        <f>IF(Skills!N27=TRUE,(Skills!L27/10)*(E318/1000),Skills!L27/10)+Skills!O27</f>
        <v/>
      </c>
      <c r="G318">
        <f>Skills!G27*IF(Skills!H27&gt;0,Skills!I27/Skills!H27,1)</f>
        <v/>
      </c>
      <c r="H318">
        <f>1-(1-Skills!J27/100)^Skills!K27</f>
        <v/>
      </c>
      <c r="I318" t="inlineStr">
        <is>
          <t>1</t>
        </is>
      </c>
      <c r="J318" t="inlineStr"/>
      <c r="K318" t="inlineStr"/>
      <c r="L318" t="inlineStr"/>
      <c r="M318" t="inlineStr"/>
      <c r="N318" t="inlineStr"/>
      <c r="O318" t="n">
        <v>0</v>
      </c>
      <c r="P318">
        <f>IF(B331=0,0,O318/B331)</f>
        <v/>
      </c>
      <c r="Q318" t="n">
        <v>0</v>
      </c>
      <c r="R318" t="n">
        <v>0</v>
      </c>
      <c r="S318">
        <f>IFERROR(O318/N318,0)</f>
        <v/>
      </c>
    </row>
    <row r="319">
      <c r="A319">
        <f>Skills!A28</f>
        <v/>
      </c>
      <c r="B319">
        <f>Skills!B28</f>
        <v/>
      </c>
      <c r="C319">
        <f>Inputs!$B$3&gt;=120</f>
        <v/>
      </c>
      <c r="D319">
        <f>IF(Skills!C28=1,60+Inputs!$B$24+Inputs!$B$28,IF(Skills!C28=2,90+Inputs!$B$25+Inputs!$B$28,IF(Skills!C28=3,120+Inputs!$B$26+Inputs!$B$28,MAX(0,(Inputs!$B$3-100)*3)+Inputs!$B$27+Inputs!$B$28)))</f>
        <v/>
      </c>
      <c r="E319">
        <f>INDEX(FactorTable!$B$2:$Y$301, MATCH(ROUND(MIN(300,MAX(1,D319)),0), FactorTable!$A$2:$A$301,0), Skills!M28+1)</f>
        <v/>
      </c>
      <c r="F319">
        <f>IF(Skills!N28=TRUE,(Skills!L28/10)*(E319/1000),Skills!L28/10)+Skills!O28</f>
        <v/>
      </c>
      <c r="G319">
        <f>Skills!G28*IF(Skills!H28&gt;0,Skills!I28/Skills!H28,1)</f>
        <v/>
      </c>
      <c r="H319">
        <f>1-(1-Skills!J28/100)^Skills!K28</f>
        <v/>
      </c>
      <c r="I319" t="inlineStr">
        <is>
          <t>1</t>
        </is>
      </c>
      <c r="J319" t="inlineStr"/>
      <c r="K319" t="inlineStr"/>
      <c r="L319" t="inlineStr"/>
      <c r="M319" t="inlineStr"/>
      <c r="N319" t="inlineStr"/>
      <c r="O319" t="n">
        <v>0</v>
      </c>
      <c r="P319">
        <f>IF(B331=0,0,O319/B331)</f>
        <v/>
      </c>
      <c r="Q319" t="n">
        <v>0</v>
      </c>
      <c r="R319" t="n">
        <v>0</v>
      </c>
      <c r="S319">
        <f>IFERROR(O319/N319,0)</f>
        <v/>
      </c>
    </row>
    <row r="320">
      <c r="A320">
        <f>Skills!A29</f>
        <v/>
      </c>
      <c r="B320">
        <f>Skills!B29</f>
        <v/>
      </c>
      <c r="C320">
        <f>Inputs!$B$3&gt;=45</f>
        <v/>
      </c>
      <c r="D320">
        <f>IF(Skills!C29=1,60+Inputs!$B$24+Inputs!$B$28,IF(Skills!C29=2,90+Inputs!$B$25+Inputs!$B$28,IF(Skills!C29=3,120+Inputs!$B$26+Inputs!$B$28,MAX(0,(Inputs!$B$3-100)*3)+Inputs!$B$27+Inputs!$B$28)))</f>
        <v/>
      </c>
      <c r="E320">
        <f>INDEX(FactorTable!$B$2:$Y$301, MATCH(ROUND(MIN(300,MAX(1,D320)),0), FactorTable!$A$2:$A$301,0), Skills!M29+1)</f>
        <v/>
      </c>
      <c r="F320">
        <f>IF(Skills!N29=TRUE,(Skills!L29/10)*(E320/1000),Skills!L29/10)+Skills!O29</f>
        <v/>
      </c>
      <c r="G320">
        <f>Skills!G29*IF(Skills!H29&gt;0,Skills!I29/Skills!H29,1)</f>
        <v/>
      </c>
      <c r="H320">
        <f>1-(1-Skills!J29/100)^Skills!K29</f>
        <v/>
      </c>
      <c r="I320" t="inlineStr">
        <is>
          <t>1</t>
        </is>
      </c>
      <c r="J320" t="inlineStr"/>
      <c r="K320" t="inlineStr"/>
      <c r="L320" t="inlineStr"/>
      <c r="M320" t="inlineStr"/>
      <c r="N320" t="inlineStr"/>
      <c r="O320" t="n">
        <v>0</v>
      </c>
      <c r="P320">
        <f>IF(B331=0,0,O320/B331)</f>
        <v/>
      </c>
      <c r="Q320" t="n">
        <v>0</v>
      </c>
      <c r="R320" t="n">
        <v>0</v>
      </c>
      <c r="S320">
        <f>IFERROR(O320/N320,0)</f>
        <v/>
      </c>
    </row>
    <row r="322">
      <c r="A322" t="inlineStr">
        <is>
          <t>Attack% Bucket Multiplier</t>
        </is>
      </c>
      <c r="B322">
        <f>(1+(((C304=TRUE)*F304)+((C305=TRUE)*IF(Inputs!$B$4="pvp",F305,(1-Summary!$B$55)*(F305)+Summary!$B$55*(0)))+((C306=TRUE)*F306*IF(AND(Inputs!$B$4&lt;&gt;"pvp",Inputs!$B$35&gt;0),(((S306-1)*(Skills!T15*(1+Inputs!$B$33/100))+MIN((Skills!T15*(1+Inputs!$B$33/100)),MAX(0,Inputs!$B$35-((S306-1)*Skills!D15))))/Inputs!$B$35),IF(Inputs!$B$4="pvp",MIN((Skills!T15*(1+Inputs!$B$33/100)),15)/15,(Skills!T15*(1+Inputs!$B$33/100))/Skills!D15)))+((C303=TRUE)*F303)+((C320=TRUE)*(F320-Calc!F29)))/100)</f>
        <v/>
      </c>
    </row>
    <row r="323">
      <c r="A323" t="inlineStr">
        <is>
          <t>Global Crit Rate Bonus %</t>
        </is>
      </c>
      <c r="B323">
        <f>(C307=TRUE)*20*IF(AND(Inputs!$B$4&lt;&gt;"pvp",Inputs!$B$35&gt;0),(((S307-1)*(Skills!T16*(1+Inputs!$B$33/100))+MIN((Skills!T16*(1+Inputs!$B$33/100)),MAX(0,Inputs!$B$35-((S307-1)*Skills!D16))))/Inputs!$B$35),IF(Inputs!$B$4="pvp",MIN((Skills!T16*(1+Inputs!$B$33/100)),15)/15,(Skills!T16*(1+Inputs!$B$33/100))/Skills!D16))</f>
        <v/>
      </c>
    </row>
    <row r="324">
      <c r="A324" t="inlineStr">
        <is>
          <t>Attack Speed Buff Bonus %</t>
        </is>
      </c>
      <c r="B324">
        <f>((C309=TRUE)*F309*IF(AND(Inputs!$B$4&lt;&gt;"pvp",Inputs!$B$35&gt;0),(((S309-1)*(Skills!T18*(1+Inputs!$B$33/100))+MIN((Skills!T18*(1+Inputs!$B$33/100)),MAX(0,Inputs!$B$35-((S309-1)*Skills!D18))))/Inputs!$B$35),IF(Inputs!$B$4="pvp",MIN((Skills!T18*(1+Inputs!$B$33/100)),15)/15,(Skills!T18*(1+Inputs!$B$33/100))/Skills!D18)))</f>
        <v/>
      </c>
    </row>
    <row r="325">
      <c r="A325" t="inlineStr">
        <is>
          <t>Actions Per Second</t>
        </is>
      </c>
      <c r="B325">
        <f>1+MIN(150,150*(1-(1-(Inputs!$B$10+((C311=TRUE)*(F311-Calc!F20))+((C312=TRUE)*(F312-Calc!F21)))/150)*(1-B324/150)))/100</f>
        <v/>
      </c>
    </row>
    <row r="326">
      <c r="A326" t="inlineStr">
        <is>
          <t>Skill + Buff Cast Rate</t>
        </is>
      </c>
      <c r="B326">
        <f>IF(AND(Inputs!$B$4&lt;&gt;"pvp",Inputs!$B$35&gt;0),SUMPRODUCT((Skills!E2:E29=TRUE)*(C293:C320=TRUE)*R293:R320*Skills!F2:F29)/Inputs!$B$35,SUMPRODUCT((Skills!E2:E29=TRUE)*(C293:C320=TRUE)*Q293:Q320*Skills!F2:F29))</f>
        <v/>
      </c>
    </row>
    <row r="327">
      <c r="A327" t="inlineStr">
        <is>
          <t>Empowered Piercing Arrow Casts Per Second</t>
        </is>
      </c>
      <c r="B327">
        <f>MAX(0,B325-B326)</f>
        <v/>
      </c>
    </row>
    <row r="328">
      <c r="A328" t="inlineStr">
        <is>
          <t>Global Critical Damage Bonus % (Sharp Eyes)</t>
        </is>
      </c>
      <c r="B328">
        <f>(C307=TRUE)*F307*IF(AND(Inputs!$B$4&lt;&gt;"pvp",Inputs!$B$35&gt;0),(((S307-1)*(Skills!T16*(1+Inputs!$B$33/100))+MIN((Skills!T16*(1+Inputs!$B$33/100)),MAX(0,Inputs!$B$35-((S307-1)*Skills!D16))))/Inputs!$B$35),IF(Inputs!$B$4="pvp",MIN((Skills!T16*(1+Inputs!$B$33/100)),15)/15,(Skills!T16*(1+Inputs!$B$33/100))/Skills!D16))</f>
        <v/>
      </c>
    </row>
    <row r="329">
      <c r="A329" t="inlineStr">
        <is>
          <t>Global Final Damage Bonus % (Mortal Blow + Last Man Standing conditional half)</t>
        </is>
      </c>
      <c r="B329">
        <f>(C308=TRUE)*F308+((C317=TRUE)*IF(Inputs!$B$4="pvp",F317,(1-Summary!$B$55)*(F317)+Summary!$B$55*(0)))</f>
        <v/>
      </c>
    </row>
    <row r="331">
      <c r="A331" s="5" t="inlineStr">
        <is>
          <t>TOTAL DPS</t>
        </is>
      </c>
      <c r="B331" s="5">
        <f>SUM(O293:O320)</f>
        <v/>
      </c>
    </row>
    <row r="334">
      <c r="A334" s="5" t="inlineStr">
        <is>
          <t>Stat: FINAL_DAMAGE % (multiplicative source)</t>
        </is>
      </c>
    </row>
    <row r="335">
      <c r="A335" s="8" t="inlineStr">
        <is>
          <t>Key</t>
        </is>
      </c>
      <c r="B335" s="8" t="inlineStr">
        <is>
          <t>Name</t>
        </is>
      </c>
      <c r="C335" s="8" t="inlineStr">
        <is>
          <t>Unlocked</t>
        </is>
      </c>
      <c r="D335" s="8" t="inlineStr">
        <is>
          <t>InputLevel</t>
        </is>
      </c>
      <c r="E335" s="8" t="inlineStr">
        <is>
          <t>Factor</t>
        </is>
      </c>
      <c r="F335" s="8" t="inlineStr">
        <is>
          <t>CoefficientPercent</t>
        </is>
      </c>
      <c r="G335" s="8" t="inlineStr">
        <is>
          <t>EffectiveHits</t>
        </is>
      </c>
      <c r="H335" s="8" t="inlineStr">
        <is>
          <t>ProcProbability</t>
        </is>
      </c>
      <c r="I335" s="8" t="inlineStr">
        <is>
          <t>MapleHeroMultiplier</t>
        </is>
      </c>
      <c r="J335" s="8" t="inlineStr">
        <is>
          <t>BaseDamage</t>
        </is>
      </c>
      <c r="K335" s="8" t="inlineStr">
        <is>
          <t>BaseHitDamage</t>
        </is>
      </c>
      <c r="L335" s="8" t="inlineStr">
        <is>
          <t>NonCritAvg</t>
        </is>
      </c>
      <c r="M335" s="8" t="inlineStr">
        <is>
          <t>CritAvg</t>
        </is>
      </c>
      <c r="N335" s="8" t="inlineStr">
        <is>
          <t>ExpectedDamage(perHit)</t>
        </is>
      </c>
      <c r="O335" s="8" t="inlineStr">
        <is>
          <t>DPS</t>
        </is>
      </c>
      <c r="P335" s="8" t="inlineStr">
        <is>
          <t>% of Total</t>
        </is>
      </c>
      <c r="Q335" s="8" t="inlineStr">
        <is>
          <t>InvCooldown</t>
        </is>
      </c>
      <c r="R335" s="8" t="inlineStr">
        <is>
          <t>CastsInFight</t>
        </is>
      </c>
      <c r="S335" s="8" t="inlineStr">
        <is>
          <t>HitRate(perSec)</t>
        </is>
      </c>
      <c r="U335" t="inlineStr">
        <is>
          <t>helpers</t>
        </is>
      </c>
    </row>
    <row r="336">
      <c r="A336">
        <f>Skills!A2</f>
        <v/>
      </c>
      <c r="B336">
        <f>Skills!B2</f>
        <v/>
      </c>
      <c r="C336">
        <f>Inputs!$B$3&gt;=100</f>
        <v/>
      </c>
      <c r="D336" t="inlineStr"/>
      <c r="E336" t="inlineStr"/>
      <c r="F336">
        <f>U338+Skills!O2</f>
        <v/>
      </c>
      <c r="G336">
        <f>Skills!G2*IF(Skills!H2&gt;0,Skills!I2/Skills!H2,1)</f>
        <v/>
      </c>
      <c r="H336">
        <f>1-(1-Skills!J2/100)^Skills!K2</f>
        <v/>
      </c>
      <c r="I336" t="inlineStr">
        <is>
          <t>1</t>
        </is>
      </c>
      <c r="J336">
        <f>(Inputs!$B$5*(1+Inputs!$B$6/100))*(F336/100)</f>
        <v/>
      </c>
      <c r="K336">
        <f>J336*(1+((Inputs!$B$11*(1+Inputs!$B$12/100))*0.01+Inputs!$B$13*0.0025)/100)*(1+Inputs!$B$14/100)*(1+IF(Inputs!$B$4="pvp",0,(1-Summary!$B$55)*(Inputs!$B$19+0+Skills!P2)+Summary!$B$55*(Inputs!$B$20+Skills!Q2))/100)*(1+Inputs!$B$15/100)*(5000/(6000+Inputs!$B$7*(1-(Inputs!$B$18+0)/100)))*(1+(((((1+Inputs!$B$23/100)*(1.01))-1)*100)+((C358=TRUE)*(F358-Calc!F24))+((C359=TRUE)*(F359-Calc!F25))+B372)/100)*(1+(IF(Skills!A2="EMPOWERED_PIERCING_ARROW",Inputs!$B$16+((C356=TRUE)*(F356-Calc!F22)),Inputs!$B$17+((C361=TRUE)*(F361-Calc!F27))))/100)*((1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I336)</f>
        <v/>
      </c>
      <c r="L336">
        <f>K336*(MIN(Inputs!$B$21+((C357=TRUE)*(F357-Calc!F23)),Inputs!$B$22+((C362=TRUE)*(F362-Calc!F28)))/100+(Inputs!$B$22+((C362=TRUE)*(F362-Calc!F28)))/100)/2</f>
        <v/>
      </c>
      <c r="M336">
        <f>L336*(1+(Inputs!$B$9+0+B371)/100)</f>
        <v/>
      </c>
      <c r="N336">
        <f>L336*(1-MIN((Inputs!$B$8+((C353=TRUE)*(F353-Calc!F19))+B366),100)/100)+M336*(MIN((Inputs!$B$8+((C353=TRUE)*(F353-Calc!F19))+B366),100)/100)</f>
        <v/>
      </c>
      <c r="O336">
        <f>IF(C336,Skills!G2*N336*B370*IF(Inputs!$B$4="pvp",1,(1-Summary!$B$55)*(1)+Summary!$B$55*(MIN((6+Inputs!$B$32),Inputs!$B$37))),0)</f>
        <v/>
      </c>
      <c r="P336">
        <f>IF(B374=0,0,O336/B374)</f>
        <v/>
      </c>
      <c r="Q336" t="n">
        <v>0</v>
      </c>
      <c r="R336" t="n">
        <v>0</v>
      </c>
      <c r="S336">
        <f>IFERROR(O336/N336,0)</f>
        <v/>
      </c>
      <c r="U336">
        <f>MAX(0,(Inputs!$B$3-100)*3)+Inputs!$B$27+Inputs!$B$28</f>
        <v/>
      </c>
    </row>
    <row r="337">
      <c r="A337">
        <f>Skills!A3</f>
        <v/>
      </c>
      <c r="B337">
        <f>Skills!B3</f>
        <v/>
      </c>
      <c r="C337">
        <f>Inputs!$B$3&gt;=50</f>
        <v/>
      </c>
      <c r="D337">
        <f>IF(Skills!C3=1,60+Inputs!$B$24+Inputs!$B$28,IF(Skills!C3=2,90+Inputs!$B$25+Inputs!$B$28,IF(Skills!C3=3,120+Inputs!$B$26+Inputs!$B$28,MAX(0,(Inputs!$B$3-100)*3)+Inputs!$B$27+Inputs!$B$28)))</f>
        <v/>
      </c>
      <c r="E337">
        <f>INDEX(FactorTable!$B$2:$Y$301, MATCH(ROUND(MIN(300,MAX(1,D337)),0), FactorTable!$A$2:$A$301,0), Skills!M3+1)</f>
        <v/>
      </c>
      <c r="F337">
        <f>IF(Skills!N3=TRUE,(Skills!L3/10)*(E337/1000),Skills!L3/10)+Skills!O3</f>
        <v/>
      </c>
      <c r="G337" t="inlineStr"/>
      <c r="H337" t="inlineStr"/>
      <c r="I337" t="inlineStr">
        <is>
          <t>1</t>
        </is>
      </c>
      <c r="J337" t="inlineStr"/>
      <c r="K337" t="inlineStr"/>
      <c r="L337" t="inlineStr"/>
      <c r="M337" t="inlineStr"/>
      <c r="N337" t="inlineStr"/>
      <c r="O337" t="inlineStr"/>
      <c r="P337" t="inlineStr"/>
      <c r="Q337" t="inlineStr"/>
      <c r="R337" t="inlineStr"/>
      <c r="S337" t="inlineStr"/>
      <c r="U337">
        <f>INDEX(FactorTable!$B$2:$Y$301, MATCH(ROUND(MIN(300,MAX(1,U336)),0), FactorTable!$A$2:$A$301,0), 22)</f>
        <v/>
      </c>
    </row>
    <row r="338">
      <c r="A338">
        <f>Skills!A4</f>
        <v/>
      </c>
      <c r="B338">
        <f>Skills!B4</f>
        <v/>
      </c>
      <c r="C338">
        <f>Inputs!$B$3&gt;=105</f>
        <v/>
      </c>
      <c r="D338">
        <f>IF(Skills!C4=1,60+Inputs!$B$24+Inputs!$B$28,IF(Skills!C4=2,90+Inputs!$B$25+Inputs!$B$28,IF(Skills!C4=3,120+Inputs!$B$26+Inputs!$B$28,MAX(0,(Inputs!$B$3-100)*3)+Inputs!$B$27+Inputs!$B$28)))</f>
        <v/>
      </c>
      <c r="E338">
        <f>INDEX(FactorTable!$B$2:$Y$301, MATCH(ROUND(MIN(300,MAX(1,D338)),0), FactorTable!$A$2:$A$301,0), Skills!M4+1)</f>
        <v/>
      </c>
      <c r="F338">
        <f>IF(Skills!N4=TRUE,(Skills!L4/10)*(E338/1000),Skills!L4/10)+Skills!O4</f>
        <v/>
      </c>
      <c r="G338" t="inlineStr"/>
      <c r="H338" t="inlineStr"/>
      <c r="I338" t="inlineStr">
        <is>
          <t>1</t>
        </is>
      </c>
      <c r="J338" t="inlineStr"/>
      <c r="K338" t="inlineStr"/>
      <c r="L338" t="inlineStr"/>
      <c r="M338" t="inlineStr"/>
      <c r="N338" t="inlineStr"/>
      <c r="O338" t="inlineStr"/>
      <c r="P338" t="inlineStr"/>
      <c r="Q338" t="inlineStr"/>
      <c r="R338" t="inlineStr"/>
      <c r="S338" t="inlineStr"/>
      <c r="U338">
        <f>290*U337/1000</f>
        <v/>
      </c>
    </row>
    <row r="339">
      <c r="A339">
        <f>Skills!A5</f>
        <v/>
      </c>
      <c r="B339">
        <f>Skills!B5</f>
        <v/>
      </c>
      <c r="C339">
        <f>Inputs!$B$3&gt;=35</f>
        <v/>
      </c>
      <c r="D339">
        <f>IF(Skills!C5=1,60+Inputs!$B$24+Inputs!$B$28,IF(Skills!C5=2,90+Inputs!$B$25+Inputs!$B$28,IF(Skills!C5=3,120+Inputs!$B$26+Inputs!$B$28,MAX(0,(Inputs!$B$3-100)*3)+Inputs!$B$27+Inputs!$B$28)))</f>
        <v/>
      </c>
      <c r="E339">
        <f>INDEX(FactorTable!$B$2:$Y$301, MATCH(ROUND(MIN(300,MAX(1,D339)),0), FactorTable!$A$2:$A$301,0), Skills!M5+1)</f>
        <v/>
      </c>
      <c r="F339">
        <f>IF(Skills!N5=TRUE,(Skills!L5/10)*(E339/1000),Skills!L5/10)+Skills!O5</f>
        <v/>
      </c>
      <c r="G339">
        <f>Skills!G5*IF(Skills!H5&gt;0,Skills!I5/Skills!H5,1)</f>
        <v/>
      </c>
      <c r="H339">
        <f>1-(1-Skills!J5/100)^Skills!K5</f>
        <v/>
      </c>
      <c r="I339" t="inlineStr">
        <is>
          <t>1</t>
        </is>
      </c>
      <c r="J339">
        <f>(Inputs!$B$5*(1+Inputs!$B$6/100))*(F339/100)</f>
        <v/>
      </c>
      <c r="K339">
        <f>J339*(1+((Inputs!$B$11*(1+Inputs!$B$12/100))*0.01+Inputs!$B$13*0.0025)/100)*(1+Inputs!$B$14/100)*(1+IF(Inputs!$B$4="pvp",0,(1-Summary!$B$55)*(Inputs!$B$19+0+Skills!P5)+Summary!$B$55*(Inputs!$B$20+Skills!Q5))/100)*(1+Inputs!$B$15/100)*(5000/(6000+Inputs!$B$7*(1-(Inputs!$B$18+0)/100)))*(1+(((((1+Inputs!$B$23/100)*(1.01))-1)*100)+((C358=TRUE)*(F358-Calc!F24))+((C359=TRUE)*(F359-Calc!F25))+B372)/100)*(1+4.0*IF(C342=TRUE,F342,0)/100)*(1+(IF(Skills!A5="EMPOWERED_PIERCING_ARROW",Inputs!$B$16+((C356=TRUE)*(F356-Calc!F22)),Inputs!$B$17+((C361=TRUE)*(F361-Calc!F27))))/100)*((1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I339)</f>
        <v/>
      </c>
      <c r="L339">
        <f>K339*(MIN(Inputs!$B$21+((C357=TRUE)*(F357-Calc!F23)),Inputs!$B$22+((C362=TRUE)*(F362-Calc!F28)))/100+(Inputs!$B$22+((C362=TRUE)*(F362-Calc!F28)))/100)/2</f>
        <v/>
      </c>
      <c r="M339">
        <f>L339*(1+(Inputs!$B$9+0+B371)/100)</f>
        <v/>
      </c>
      <c r="N339">
        <f>L339*(1-MIN((Inputs!$B$8+((C353=TRUE)*(F353-Calc!F19))+B366),100)/100)+M339*(MIN((Inputs!$B$8+((C353=TRUE)*(F353-Calc!F19))+B366),100)/100)</f>
        <v/>
      </c>
      <c r="O339">
        <f>IF(C339,H339*N339*IF(AND(Inputs!$B$4&lt;&gt;"pvp",Inputs!$B$35&gt;0),((Skills!G5*((R339-1)*IF(Skills!H5&gt;0,Skills!I5/Skills!H5,1)+IF(Skills!H5&gt;0,MIN(Skills!I5,MAX(0,Inputs!$B$35-((R339-1)*IF(Inputs!$B$4="pvp",15,MAX(0.1,Skills!D5-IF(Skills!E5=TRUE,Inputs!$B$31,0))))))/Skills!H5,1)))/Inputs!$B$35),G339*Q339)*IF(Inputs!$B$4="pvp",1,(1-Summary!$B$55)*(1)+Summary!$B$55*(MIN(Skills!R5,Inputs!$B$37))),0)</f>
        <v/>
      </c>
      <c r="P339">
        <f>IF(B374=0,0,O339/B374)</f>
        <v/>
      </c>
      <c r="Q339">
        <f>IFERROR(1/IF(Inputs!$B$4="pvp",15,MAX(0.1,Skills!D5-IF(Skills!E5=TRUE,Inputs!$B$31,0))),0)</f>
        <v/>
      </c>
      <c r="R339">
        <f>IF(AND(Inputs!$B$4&lt;&gt;"pvp",Inputs!$B$35&gt;0),(INT(Inputs!$B$35/IF(Inputs!$B$4="pvp",15,MAX(0.1,Skills!D5-IF(Skills!E5=TRUE,Inputs!$B$31,0))))+1),0)</f>
        <v/>
      </c>
      <c r="S339">
        <f>IFERROR(O339/N339,0)</f>
        <v/>
      </c>
    </row>
    <row r="340">
      <c r="A340">
        <f>Skills!A6</f>
        <v/>
      </c>
      <c r="B340">
        <f>Skills!B6</f>
        <v/>
      </c>
      <c r="C340">
        <f>Inputs!$B$3&gt;=63</f>
        <v/>
      </c>
      <c r="D340">
        <f>IF(Skills!C6=1,60+Inputs!$B$24+Inputs!$B$28,IF(Skills!C6=2,90+Inputs!$B$25+Inputs!$B$28,IF(Skills!C6=3,120+Inputs!$B$26+Inputs!$B$28,MAX(0,(Inputs!$B$3-100)*3)+Inputs!$B$27+Inputs!$B$28)))</f>
        <v/>
      </c>
      <c r="E340">
        <f>INDEX(FactorTable!$B$2:$Y$301, MATCH(ROUND(MIN(300,MAX(1,D340)),0), FactorTable!$A$2:$A$301,0), Skills!M6+1)</f>
        <v/>
      </c>
      <c r="F340">
        <f>IF(Skills!N6=TRUE,(Skills!L6/10)*(E340/1000),Skills!L6/10)+Skills!O6</f>
        <v/>
      </c>
      <c r="G340">
        <f>Skills!G6*IF(Skills!H6&gt;0,Skills!I6/Skills!H6,1)</f>
        <v/>
      </c>
      <c r="H340">
        <f>1-(1-Skills!J6/100)^Skills!K6</f>
        <v/>
      </c>
      <c r="I340" t="inlineStr">
        <is>
          <t>1</t>
        </is>
      </c>
      <c r="J340">
        <f>(Inputs!$B$5*(1+Inputs!$B$6/100))*(F340/100)</f>
        <v/>
      </c>
      <c r="K340">
        <f>J340*(1+((Inputs!$B$11*(1+Inputs!$B$12/100))*0.01+Inputs!$B$13*0.0025)/100)*(1+Inputs!$B$14/100)*(1+IF(Inputs!$B$4="pvp",0,(1-Summary!$B$55)*(Inputs!$B$19+0+Skills!P6)+Summary!$B$55*(Inputs!$B$20+Skills!Q6))/100)*(1+Inputs!$B$15/100)*(5000/(6000+Inputs!$B$7*(1-(Inputs!$B$18+0)/100)))*(1+(((((1+Inputs!$B$23/100)*(1.01))-1)*100)+((C358=TRUE)*(F358-Calc!F24))+((C359=TRUE)*(F359-Calc!F25))+B372)/100)*(1+1.0*IF(C342=TRUE,F342,0)/100)*(1+(IF(Skills!A6="EMPOWERED_PIERCING_ARROW",Inputs!$B$16+((C356=TRUE)*(F356-Calc!F22)),Inputs!$B$17+((C361=TRUE)*(F361-Calc!F27))))/100)*((1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I340)</f>
        <v/>
      </c>
      <c r="L340">
        <f>K340*(MIN(Inputs!$B$21+((C357=TRUE)*(F357-Calc!F23)),Inputs!$B$22+((C362=TRUE)*(F362-Calc!F28)))/100+(Inputs!$B$22+((C362=TRUE)*(F362-Calc!F28)))/100)/2</f>
        <v/>
      </c>
      <c r="M340">
        <f>L340*(1+(Inputs!$B$9+0+B371)/100)</f>
        <v/>
      </c>
      <c r="N340">
        <f>L340*(1-MIN((Inputs!$B$8+((C353=TRUE)*(F353-Calc!F19))+B366),100)/100)+M340*(MIN((Inputs!$B$8+((C353=TRUE)*(F353-Calc!F19))+B366),100)/100)</f>
        <v/>
      </c>
      <c r="O340">
        <f>IF(C340,H340*N340*IF(AND(Inputs!$B$4&lt;&gt;"pvp",Inputs!$B$35&gt;0),((Skills!G6*((R340-1)*IF(Skills!H6&gt;0,Skills!I6/Skills!H6,1)+IF(Skills!H6&gt;0,MIN(Skills!I6,MAX(0,Inputs!$B$35-((R340-1)*IF(Inputs!$B$4="pvp",15,MAX(0.1,Skills!D6-IF(Skills!E6=TRUE,Inputs!$B$31,0))))))/Skills!H6,1)))/Inputs!$B$35),G340*Q340)*IF(Inputs!$B$4="pvp",1,(1-Summary!$B$55)*(1)+Summary!$B$55*(MIN(Skills!R6,Inputs!$B$37))),0)</f>
        <v/>
      </c>
      <c r="P340">
        <f>IF(B374=0,0,O340/B374)</f>
        <v/>
      </c>
      <c r="Q340">
        <f>IFERROR(1/IF(Inputs!$B$4="pvp",15,MAX(0.1,Skills!D6-IF(Skills!E6=TRUE,Inputs!$B$31,0))),0)</f>
        <v/>
      </c>
      <c r="R340">
        <f>IF(AND(Inputs!$B$4&lt;&gt;"pvp",Inputs!$B$35&gt;0),(INT(Inputs!$B$35/IF(Inputs!$B$4="pvp",15,MAX(0.1,Skills!D6-IF(Skills!E6=TRUE,Inputs!$B$31,0))))+1),0)</f>
        <v/>
      </c>
      <c r="S340">
        <f>IFERROR(O340/N340,0)</f>
        <v/>
      </c>
    </row>
    <row r="341">
      <c r="A341">
        <f>Skills!A7</f>
        <v/>
      </c>
      <c r="B341">
        <f>Skills!B7</f>
        <v/>
      </c>
      <c r="C341">
        <f>Inputs!$B$3&gt;=69</f>
        <v/>
      </c>
      <c r="D341">
        <f>IF(Skills!C7=1,60+Inputs!$B$24+Inputs!$B$28,IF(Skills!C7=2,90+Inputs!$B$25+Inputs!$B$28,IF(Skills!C7=3,120+Inputs!$B$26+Inputs!$B$28,MAX(0,(Inputs!$B$3-100)*3)+Inputs!$B$27+Inputs!$B$28)))</f>
        <v/>
      </c>
      <c r="E341">
        <f>INDEX(FactorTable!$B$2:$Y$301, MATCH(ROUND(MIN(300,MAX(1,D341)),0), FactorTable!$A$2:$A$301,0), Skills!M7+1)</f>
        <v/>
      </c>
      <c r="F341">
        <f>IF(Skills!N7=TRUE,(Skills!L7/10)*(E341/1000),Skills!L7/10)+Skills!O7</f>
        <v/>
      </c>
      <c r="G341">
        <f>Skills!G7*IF(Skills!H7&gt;0,Skills!I7/Skills!H7,1)</f>
        <v/>
      </c>
      <c r="H341">
        <f>1-(1-Skills!J7/100)^Skills!K7</f>
        <v/>
      </c>
      <c r="I341" t="inlineStr">
        <is>
          <t>1</t>
        </is>
      </c>
      <c r="J341">
        <f>(Inputs!$B$5*(1+Inputs!$B$6/100))*(F341/100)</f>
        <v/>
      </c>
      <c r="K341">
        <f>J341*(1+((Inputs!$B$11*(1+Inputs!$B$12/100))*0.01+Inputs!$B$13*0.0025)/100)*(1+Inputs!$B$14/100)*(1+IF(Inputs!$B$4="pvp",0,(1-Summary!$B$55)*(Inputs!$B$19+0+Skills!P7)+Summary!$B$55*(Inputs!$B$20+Skills!Q7))/100)*(1+Inputs!$B$15/100)*(5000/(6000+Inputs!$B$7*(1-(Inputs!$B$18+0)/100)))*(1+(((((1+Inputs!$B$23/100)*(1.01))-1)*100)+((C358=TRUE)*(F358-Calc!F24))+((C359=TRUE)*(F359-Calc!F25))+B372)/100)*(1+1.2*IF(C342=TRUE,F342,0)/100)*(1+(IF(Skills!A7="EMPOWERED_PIERCING_ARROW",Inputs!$B$16+((C356=TRUE)*(F356-Calc!F22)),Inputs!$B$17+((C361=TRUE)*(F361-Calc!F27))))/100)*((1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I341)</f>
        <v/>
      </c>
      <c r="L341">
        <f>K341*(MIN(Inputs!$B$21+((C357=TRUE)*(F357-Calc!F23)),Inputs!$B$22+((C362=TRUE)*(F362-Calc!F28)))/100+(Inputs!$B$22+((C362=TRUE)*(F362-Calc!F28)))/100)/2</f>
        <v/>
      </c>
      <c r="M341">
        <f>L341*(1+(Inputs!$B$9+0+B371)/100)</f>
        <v/>
      </c>
      <c r="N341">
        <f>L341*(1-MIN((Inputs!$B$8+((C353=TRUE)*(F353-Calc!F19))+B366),100)/100)+M341*(MIN((Inputs!$B$8+((C353=TRUE)*(F353-Calc!F19))+B366),100)/100)</f>
        <v/>
      </c>
      <c r="O341">
        <f>IF(C341,H341*N341*IF(AND(Inputs!$B$4&lt;&gt;"pvp",Inputs!$B$35&gt;0),((Skills!G7*((R341-1)*IF(Skills!H7&gt;0,Skills!I7/Skills!H7,1)+IF(Skills!H7&gt;0,MIN(Skills!I7,MAX(0,Inputs!$B$35-((R341-1)*IF(Inputs!$B$4="pvp",15,MAX(0.1,Skills!D7-IF(Skills!E7=TRUE,Inputs!$B$31,0))))))/Skills!H7,1)))/Inputs!$B$35),G341*Q341)*IF(Inputs!$B$4="pvp",1,(1-Summary!$B$55)*(1)+Summary!$B$55*(MIN(Skills!R7,Inputs!$B$37))),0)</f>
        <v/>
      </c>
      <c r="P341">
        <f>IF(B374=0,0,O341/B374)</f>
        <v/>
      </c>
      <c r="Q341">
        <f>IFERROR(1/IF(Inputs!$B$4="pvp",15,MAX(0.1,Skills!D7-IF(Skills!E7=TRUE,Inputs!$B$31,0))),0)</f>
        <v/>
      </c>
      <c r="R341">
        <f>IF(AND(Inputs!$B$4&lt;&gt;"pvp",Inputs!$B$35&gt;0),(INT(Inputs!$B$35/IF(Inputs!$B$4="pvp",15,MAX(0.1,Skills!D7-IF(Skills!E7=TRUE,Inputs!$B$31,0))))+1),0)</f>
        <v/>
      </c>
      <c r="S341">
        <f>IFERROR(O341/N341,0)</f>
        <v/>
      </c>
    </row>
    <row r="342">
      <c r="A342">
        <f>Skills!A8</f>
        <v/>
      </c>
      <c r="B342">
        <f>Skills!B8</f>
        <v/>
      </c>
      <c r="C342">
        <f>Inputs!$B$3&gt;=100</f>
        <v/>
      </c>
      <c r="D342">
        <f>IF(Skills!C8=1,60+Inputs!$B$24+Inputs!$B$28,IF(Skills!C8=2,90+Inputs!$B$25+Inputs!$B$28,IF(Skills!C8=3,120+Inputs!$B$26+Inputs!$B$28,MAX(0,(Inputs!$B$3-100)*3)+Inputs!$B$27+Inputs!$B$28)))</f>
        <v/>
      </c>
      <c r="E342">
        <f>INDEX(FactorTable!$B$2:$Y$301, MATCH(ROUND(MIN(300,MAX(1,D342)),0), FactorTable!$A$2:$A$301,0), Skills!M8+1)</f>
        <v/>
      </c>
      <c r="F342">
        <f>IF(Skills!N8=TRUE,(Skills!L8/10)*(E342/1000),Skills!L8/10)+Skills!O8</f>
        <v/>
      </c>
      <c r="G342" t="inlineStr"/>
      <c r="H342" t="inlineStr"/>
      <c r="I342" t="inlineStr">
        <is>
          <t>1</t>
        </is>
      </c>
      <c r="J342" t="inlineStr"/>
      <c r="K342" t="inlineStr"/>
      <c r="L342" t="inlineStr"/>
      <c r="M342" t="inlineStr"/>
      <c r="N342" t="inlineStr"/>
      <c r="O342" t="inlineStr"/>
      <c r="P342" t="inlineStr"/>
      <c r="Q342" t="inlineStr"/>
      <c r="R342" t="inlineStr"/>
      <c r="S342" t="inlineStr"/>
    </row>
    <row r="343">
      <c r="A343">
        <f>Skills!A9</f>
        <v/>
      </c>
      <c r="B343">
        <f>Skills!B9</f>
        <v/>
      </c>
      <c r="C343">
        <f>Inputs!$B$3&gt;=103</f>
        <v/>
      </c>
      <c r="D343">
        <f>IF(Skills!C9=1,60+Inputs!$B$24+Inputs!$B$28,IF(Skills!C9=2,90+Inputs!$B$25+Inputs!$B$28,IF(Skills!C9=3,120+Inputs!$B$26+Inputs!$B$28,MAX(0,(Inputs!$B$3-100)*3)+Inputs!$B$27+Inputs!$B$28)))</f>
        <v/>
      </c>
      <c r="E343">
        <f>INDEX(FactorTable!$B$2:$Y$301, MATCH(ROUND(MIN(300,MAX(1,D343)),0), FactorTable!$A$2:$A$301,0), Skills!M9+1)</f>
        <v/>
      </c>
      <c r="F343">
        <f>IF(Skills!N9=TRUE,(Skills!L9/10)*(E343/1000),Skills!L9/10)+Skills!O9</f>
        <v/>
      </c>
      <c r="G343">
        <f>Skills!G9*IF(Skills!H9&gt;0,Skills!I9/Skills!H9,1)</f>
        <v/>
      </c>
      <c r="H343">
        <f>1-(1-Skills!J9/100)^Skills!K9</f>
        <v/>
      </c>
      <c r="I343" t="inlineStr">
        <is>
          <t>1</t>
        </is>
      </c>
      <c r="J343">
        <f>(Inputs!$B$5*(1+Inputs!$B$6/100))*(F343/100)</f>
        <v/>
      </c>
      <c r="K343">
        <f>J343*(1+((Inputs!$B$11*(1+Inputs!$B$12/100))*0.01+Inputs!$B$13*0.0025)/100)*(1+Inputs!$B$14/100)*(1+IF(Inputs!$B$4="pvp",0,(1-Summary!$B$55)*(Inputs!$B$19+0+Skills!P9)+Summary!$B$55*(Inputs!$B$20+Skills!Q9))/100)*(1+Inputs!$B$15/100)*(5000/(6000+Inputs!$B$7*(1-(Inputs!$B$18+0)/100)))*(1+(((((1+Inputs!$B$23/100)*(1.01))-1)*100)+((C358=TRUE)*(F358-Calc!F24))+((C359=TRUE)*(F359-Calc!F25))+B372)/100)*(1+(IF(Skills!A9="EMPOWERED_PIERCING_ARROW",Inputs!$B$16+((C356=TRUE)*(F356-Calc!F22)),Inputs!$B$17+((C361=TRUE)*(F361-Calc!F27))))/100)*((1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I343)</f>
        <v/>
      </c>
      <c r="L343">
        <f>K343*(MIN(Inputs!$B$21+((C357=TRUE)*(F357-Calc!F23)),Inputs!$B$22+((C362=TRUE)*(F362-Calc!F28)))/100+(Inputs!$B$22+((C362=TRUE)*(F362-Calc!F28)))/100)/2</f>
        <v/>
      </c>
      <c r="M343">
        <f>L343*(1+(Inputs!$B$9+0+B371)/100)</f>
        <v/>
      </c>
      <c r="N343">
        <f>L343*(1-MIN((Inputs!$B$8+((C353=TRUE)*(F353-Calc!F19))+B366),100)/100)+M343*(MIN((Inputs!$B$8+((C353=TRUE)*(F353-Calc!F19))+B366),100)/100)</f>
        <v/>
      </c>
      <c r="O343">
        <f>IF(C343,H343*N343*IF(AND(Inputs!$B$4&lt;&gt;"pvp",Inputs!$B$35&gt;0),((Skills!G9*((R343-1)*IF(Skills!H9&gt;0,Skills!I9/Skills!H9,1)+IF(Skills!H9&gt;0,MIN(Skills!I9,MAX(0,Inputs!$B$35-((R343-1)*IF(Inputs!$B$4="pvp",15,MAX(0.1,Skills!D9-IF(Skills!E9=TRUE,Inputs!$B$31,0))))))/Skills!H9,1)))/Inputs!$B$35),G343*Q343)*IF(Inputs!$B$4="pvp",1,(1-Summary!$B$55)*(1)+Summary!$B$55*(MIN(Skills!R9,Inputs!$B$37))),0)</f>
        <v/>
      </c>
      <c r="P343">
        <f>IF(B374=0,0,O343/B374)</f>
        <v/>
      </c>
      <c r="Q343">
        <f>IFERROR(1/IF(Inputs!$B$4="pvp",15,MAX(0.1,Skills!D9-IF(Skills!E9=TRUE,Inputs!$B$31,0))),0)</f>
        <v/>
      </c>
      <c r="R343">
        <f>IF(AND(Inputs!$B$4&lt;&gt;"pvp",Inputs!$B$35&gt;0),(INT(Inputs!$B$35/IF(Inputs!$B$4="pvp",15,MAX(0.1,Skills!D9-IF(Skills!E9=TRUE,Inputs!$B$31,0))))+1),0)</f>
        <v/>
      </c>
      <c r="S343">
        <f>IFERROR(O343/N343,0)</f>
        <v/>
      </c>
    </row>
    <row r="344">
      <c r="A344">
        <f>Skills!A10</f>
        <v/>
      </c>
      <c r="B344">
        <f>Skills!B10</f>
        <v/>
      </c>
      <c r="C344">
        <f>Inputs!$B$3&gt;=107</f>
        <v/>
      </c>
      <c r="D344">
        <f>IF(Skills!C10=1,60+Inputs!$B$24+Inputs!$B$28,IF(Skills!C10=2,90+Inputs!$B$25+Inputs!$B$28,IF(Skills!C10=3,120+Inputs!$B$26+Inputs!$B$28,MAX(0,(Inputs!$B$3-100)*3)+Inputs!$B$27+Inputs!$B$28)))</f>
        <v/>
      </c>
      <c r="E344">
        <f>INDEX(FactorTable!$B$2:$Y$301, MATCH(ROUND(MIN(300,MAX(1,D344)),0), FactorTable!$A$2:$A$301,0), Skills!M10+1)</f>
        <v/>
      </c>
      <c r="F344">
        <f>IF(Skills!N10=TRUE,(Skills!L10/10)*(E344/1000),Skills!L10/10)+Skills!O10</f>
        <v/>
      </c>
      <c r="G344">
        <f>Skills!G10*IF(Skills!H10&gt;0,Skills!I10/Skills!H10,1)</f>
        <v/>
      </c>
      <c r="H344">
        <f>1-(1-Skills!J10/100)^Skills!K10</f>
        <v/>
      </c>
      <c r="I344" t="inlineStr">
        <is>
          <t>1</t>
        </is>
      </c>
      <c r="J344">
        <f>(Inputs!$B$5*(1+Inputs!$B$6/100))*(F344/100)</f>
        <v/>
      </c>
      <c r="K344">
        <f>J344*(1+((Inputs!$B$11*(1+Inputs!$B$12/100))*0.01+Inputs!$B$13*0.0025)/100)*(1+Inputs!$B$14/100)*(1+IF(Inputs!$B$4="pvp",0,(1-Summary!$B$55)*(Inputs!$B$19+0+Skills!P10)+Summary!$B$55*(Inputs!$B$20+Skills!Q10))/100)*(1+Inputs!$B$15/100)*(5000/(6000+Inputs!$B$7*(1-(Inputs!$B$18+0)/100)))*(1+(((((1+Inputs!$B$23/100)*(1.01))-1)*100)+((C358=TRUE)*(F358-Calc!F24))+((C359=TRUE)*(F359-Calc!F25))+B372)/100)*(1+(IF(Skills!A10="EMPOWERED_PIERCING_ARROW",Inputs!$B$16+((C356=TRUE)*(F356-Calc!F22)),Inputs!$B$17+((C361=TRUE)*(F361-Calc!F27))))/100)*((1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I344)</f>
        <v/>
      </c>
      <c r="L344">
        <f>K344*(MIN(Inputs!$B$21+((C357=TRUE)*(F357-Calc!F23)),Inputs!$B$22+((C362=TRUE)*(F362-Calc!F28)))/100+(Inputs!$B$22+((C362=TRUE)*(F362-Calc!F28)))/100)/2</f>
        <v/>
      </c>
      <c r="M344">
        <f>L344*(1+(Inputs!$B$9+0+B371)/100)</f>
        <v/>
      </c>
      <c r="N344">
        <f>L344*(1-MIN((Inputs!$B$8+((C353=TRUE)*(F353-Calc!F19))+B366),100)/100)+M344*(MIN((Inputs!$B$8+((C353=TRUE)*(F353-Calc!F19))+B366),100)/100)</f>
        <v/>
      </c>
      <c r="O344">
        <f>IF(C344,0.15*SUMPRODUCT((Skills!U2:U29=TRUE)*(C336:C363=TRUE)*S336:S363)*Skills!G10*N344*IF(Inputs!$B$4="pvp",1,(1-Summary!$B$55)*(1)+Summary!$B$55*(MIN(Skills!R10,Inputs!$B$37))),0)</f>
        <v/>
      </c>
      <c r="P344">
        <f>IF(B374=0,0,O344/B374)</f>
        <v/>
      </c>
      <c r="Q344" t="n">
        <v>0</v>
      </c>
      <c r="R344" t="n">
        <v>0</v>
      </c>
      <c r="S344" t="n">
        <v>0</v>
      </c>
    </row>
    <row r="345">
      <c r="A345">
        <f>Skills!A11</f>
        <v/>
      </c>
      <c r="B345">
        <f>Skills!B11</f>
        <v/>
      </c>
      <c r="C345">
        <f>Inputs!$B$3&gt;=110</f>
        <v/>
      </c>
      <c r="D345">
        <f>IF(Skills!C11=1,60+Inputs!$B$24+Inputs!$B$28,IF(Skills!C11=2,90+Inputs!$B$25+Inputs!$B$28,IF(Skills!C11=3,120+Inputs!$B$26+Inputs!$B$28,MAX(0,(Inputs!$B$3-100)*3)+Inputs!$B$27+Inputs!$B$28)))</f>
        <v/>
      </c>
      <c r="E345">
        <f>INDEX(FactorTable!$B$2:$Y$301, MATCH(ROUND(MIN(300,MAX(1,D345)),0), FactorTable!$A$2:$A$301,0), Skills!M11+1)</f>
        <v/>
      </c>
      <c r="F345">
        <f>IF(Skills!N11=TRUE,(Skills!L11/10)*(E345/1000),Skills!L11/10)+Skills!O11</f>
        <v/>
      </c>
      <c r="G345">
        <f>Skills!G11*IF(Skills!H11&gt;0,Skills!I11/Skills!H11,1)</f>
        <v/>
      </c>
      <c r="H345">
        <f>1-(1-Skills!J11/100)^Skills!K11</f>
        <v/>
      </c>
      <c r="I345" t="inlineStr">
        <is>
          <t>1</t>
        </is>
      </c>
      <c r="J345">
        <f>(Inputs!$B$5*(1+Inputs!$B$6/100))*(F345/100)</f>
        <v/>
      </c>
      <c r="K345">
        <f>J345*(1+((Inputs!$B$11*(1+Inputs!$B$12/100))*0.01+Inputs!$B$13*0.0025)/100)*(1+Inputs!$B$14/100)*(1+IF(Inputs!$B$4="pvp",0,(1-Summary!$B$55)*(Inputs!$B$19+0+Skills!P11)+Summary!$B$55*(Inputs!$B$20+Skills!Q11))/100)*(1+Inputs!$B$15/100)*(5000/(6000+Inputs!$B$7*(1-(Inputs!$B$18+0)/100)))*(1+(((((1+Inputs!$B$23/100)*(1.01))-1)*100)+((C358=TRUE)*(F358-Calc!F24))+((C359=TRUE)*(F359-Calc!F25))+B372)/100)*(1+(IF(Skills!A11="EMPOWERED_PIERCING_ARROW",Inputs!$B$16+((C356=TRUE)*(F356-Calc!F22)),Inputs!$B$17+((C361=TRUE)*(F361-Calc!F27))))/100)*((1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I345)</f>
        <v/>
      </c>
      <c r="L345">
        <f>K345*(MIN(Inputs!$B$21+((C357=TRUE)*(F357-Calc!F23)),Inputs!$B$22+((C362=TRUE)*(F362-Calc!F28)))/100+(Inputs!$B$22+((C362=TRUE)*(F362-Calc!F28)))/100)/2</f>
        <v/>
      </c>
      <c r="M345">
        <f>L345*(1+(Inputs!$B$9+0+B371)/100)</f>
        <v/>
      </c>
      <c r="N345">
        <f>L345*(1-MIN((Inputs!$B$8+((C353=TRUE)*(F353-Calc!F19))+B366),100)/100)+M345*(MIN((Inputs!$B$8+((C353=TRUE)*(F353-Calc!F19))+B366),100)/100)</f>
        <v/>
      </c>
      <c r="O345">
        <f>IF(C345,H345*N345*IF(AND(Inputs!$B$4&lt;&gt;"pvp",Inputs!$B$35&gt;0),((Skills!G11*((R345-1)*IF(Skills!H11&gt;0,Skills!I11/Skills!H11,1)+IF(Skills!H11&gt;0,MIN(Skills!I11,MAX(0,Inputs!$B$35-((R345-1)*IF(Inputs!$B$4="pvp",15,MAX(0.1,Skills!D11-IF(Skills!E11=TRUE,Inputs!$B$31,0))))))/Skills!H11,1)))/Inputs!$B$35),G345*Q345)*IF(Inputs!$B$4="pvp",1,(1-Summary!$B$55)*(1)+Summary!$B$55*(MIN(Skills!R11,Inputs!$B$37))),0)</f>
        <v/>
      </c>
      <c r="P345">
        <f>IF(B374=0,0,O345/B374)</f>
        <v/>
      </c>
      <c r="Q345">
        <f>IFERROR(1/IF(Inputs!$B$4="pvp",15,MAX(0.1,Skills!D11-IF(Skills!E11=TRUE,Inputs!$B$31,0))),0)</f>
        <v/>
      </c>
      <c r="R345">
        <f>IF(AND(Inputs!$B$4&lt;&gt;"pvp",Inputs!$B$35&gt;0),(INT(Inputs!$B$35/IF(Inputs!$B$4="pvp",15,MAX(0.1,Skills!D11-IF(Skills!E11=TRUE,Inputs!$B$31,0))))+1),0)</f>
        <v/>
      </c>
      <c r="S345">
        <f>IFERROR(O345/N345,0)</f>
        <v/>
      </c>
    </row>
    <row r="346">
      <c r="A346">
        <f>Skills!A12</f>
        <v/>
      </c>
      <c r="B346">
        <f>Skills!B12</f>
        <v/>
      </c>
      <c r="C346">
        <f>Inputs!$B$3&gt;=60</f>
        <v/>
      </c>
      <c r="D346">
        <f>IF(Skills!C12=1,60+Inputs!$B$24+Inputs!$B$28,IF(Skills!C12=2,90+Inputs!$B$25+Inputs!$B$28,IF(Skills!C12=3,120+Inputs!$B$26+Inputs!$B$28,MAX(0,(Inputs!$B$3-100)*3)+Inputs!$B$27+Inputs!$B$28)))</f>
        <v/>
      </c>
      <c r="E346">
        <f>INDEX(FactorTable!$B$2:$Y$301, MATCH(ROUND(MIN(300,MAX(1,D346)),0), FactorTable!$A$2:$A$301,0), Skills!M12+1)</f>
        <v/>
      </c>
      <c r="F346">
        <f>IF(Skills!N12=TRUE,(Skills!L12/10)*(E346/1000),Skills!L12/10)+Skills!O12</f>
        <v/>
      </c>
      <c r="G346">
        <f>Skills!G12*IF(Skills!H12&gt;0,Skills!I12/Skills!H12,1)</f>
        <v/>
      </c>
      <c r="H346">
        <f>1-(1-Skills!J12/100)^Skills!K12</f>
        <v/>
      </c>
      <c r="I346" t="inlineStr">
        <is>
          <t>1</t>
        </is>
      </c>
      <c r="J346" t="inlineStr"/>
      <c r="K346" t="inlineStr"/>
      <c r="L346" t="inlineStr"/>
      <c r="M346" t="inlineStr"/>
      <c r="N346" t="inlineStr"/>
      <c r="O346" t="n">
        <v>0</v>
      </c>
      <c r="P346">
        <f>IF(B374=0,0,O346/B374)</f>
        <v/>
      </c>
      <c r="Q346" t="n">
        <v>0</v>
      </c>
      <c r="R346" t="n">
        <v>0</v>
      </c>
      <c r="S346">
        <f>IFERROR(O346/N346,0)</f>
        <v/>
      </c>
    </row>
    <row r="347">
      <c r="A347">
        <f>Skills!A13</f>
        <v/>
      </c>
      <c r="B347">
        <f>Skills!B13</f>
        <v/>
      </c>
      <c r="C347">
        <f>Inputs!$B$3&gt;=74</f>
        <v/>
      </c>
      <c r="D347">
        <f>IF(Skills!C13=1,60+Inputs!$B$24+Inputs!$B$28,IF(Skills!C13=2,90+Inputs!$B$25+Inputs!$B$28,IF(Skills!C13=3,120+Inputs!$B$26+Inputs!$B$28,MAX(0,(Inputs!$B$3-100)*3)+Inputs!$B$27+Inputs!$B$28)))</f>
        <v/>
      </c>
      <c r="E347">
        <f>INDEX(FactorTable!$B$2:$Y$301, MATCH(ROUND(MIN(300,MAX(1,D347)),0), FactorTable!$A$2:$A$301,0), Skills!M13+1)</f>
        <v/>
      </c>
      <c r="F347">
        <f>IF(Skills!N13=TRUE,(Skills!L13/10)*(E347/1000),Skills!L13/10)+Skills!O13</f>
        <v/>
      </c>
      <c r="G347">
        <f>Skills!G13*IF(Skills!H13&gt;0,Skills!I13/Skills!H13,1)</f>
        <v/>
      </c>
      <c r="H347">
        <f>1-(1-Skills!J13/100)^Skills!K13</f>
        <v/>
      </c>
      <c r="I347" t="inlineStr">
        <is>
          <t>1</t>
        </is>
      </c>
      <c r="J347" t="inlineStr"/>
      <c r="K347" t="inlineStr"/>
      <c r="L347" t="inlineStr"/>
      <c r="M347" t="inlineStr"/>
      <c r="N347" t="inlineStr"/>
      <c r="O347" t="n">
        <v>0</v>
      </c>
      <c r="P347">
        <f>IF(B374=0,0,O347/B374)</f>
        <v/>
      </c>
      <c r="Q347" t="n">
        <v>0</v>
      </c>
      <c r="R347" t="n">
        <v>0</v>
      </c>
      <c r="S347">
        <f>IFERROR(O347/N347,0)</f>
        <v/>
      </c>
    </row>
    <row r="348">
      <c r="A348">
        <f>Skills!A14</f>
        <v/>
      </c>
      <c r="B348">
        <f>Skills!B14</f>
        <v/>
      </c>
      <c r="C348">
        <f>Inputs!$B$3&gt;=74</f>
        <v/>
      </c>
      <c r="D348">
        <f>IF(Skills!C14=1,60+Inputs!$B$24+Inputs!$B$28,IF(Skills!C14=2,90+Inputs!$B$25+Inputs!$B$28,IF(Skills!C14=3,120+Inputs!$B$26+Inputs!$B$28,MAX(0,(Inputs!$B$3-100)*3)+Inputs!$B$27+Inputs!$B$28)))</f>
        <v/>
      </c>
      <c r="E348">
        <f>INDEX(FactorTable!$B$2:$Y$301, MATCH(ROUND(MIN(300,MAX(1,D348)),0), FactorTable!$A$2:$A$301,0), Skills!M14+1)</f>
        <v/>
      </c>
      <c r="F348">
        <f>IF(Skills!N14=TRUE,(Skills!L14/10)*(E348/1000),Skills!L14/10)+Skills!O14</f>
        <v/>
      </c>
      <c r="G348">
        <f>Skills!G14*IF(Skills!H14&gt;0,Skills!I14/Skills!H14,1)</f>
        <v/>
      </c>
      <c r="H348">
        <f>1-(1-Skills!J14/100)^Skills!K14</f>
        <v/>
      </c>
      <c r="I348" t="inlineStr">
        <is>
          <t>1</t>
        </is>
      </c>
      <c r="J348" t="inlineStr"/>
      <c r="K348" t="inlineStr"/>
      <c r="L348" t="inlineStr"/>
      <c r="M348" t="inlineStr"/>
      <c r="N348" t="inlineStr"/>
      <c r="O348" t="n">
        <v>0</v>
      </c>
      <c r="P348">
        <f>IF(B374=0,0,O348/B374)</f>
        <v/>
      </c>
      <c r="Q348" t="n">
        <v>0</v>
      </c>
      <c r="R348" t="n">
        <v>0</v>
      </c>
      <c r="S348">
        <f>IFERROR(O348/N348,0)</f>
        <v/>
      </c>
    </row>
    <row r="349">
      <c r="A349">
        <f>Skills!A15</f>
        <v/>
      </c>
      <c r="B349">
        <f>Skills!B15</f>
        <v/>
      </c>
      <c r="C349">
        <f>Inputs!$B$3&gt;=117</f>
        <v/>
      </c>
      <c r="D349">
        <f>IF(Skills!C15=1,60+Inputs!$B$24+Inputs!$B$28,IF(Skills!C15=2,90+Inputs!$B$25+Inputs!$B$28,IF(Skills!C15=3,120+Inputs!$B$26+Inputs!$B$28,MAX(0,(Inputs!$B$3-100)*3)+Inputs!$B$27+Inputs!$B$28)))</f>
        <v/>
      </c>
      <c r="E349">
        <f>INDEX(FactorTable!$B$2:$Y$301, MATCH(ROUND(MIN(300,MAX(1,D349)),0), FactorTable!$A$2:$A$301,0), Skills!M15+1)</f>
        <v/>
      </c>
      <c r="F349">
        <f>IF(Skills!N15=TRUE,(Skills!L15/10)*(E349/1000),Skills!L15/10)+Skills!O15</f>
        <v/>
      </c>
      <c r="G349">
        <f>Skills!G15*IF(Skills!H15&gt;0,Skills!I15/Skills!H15,1)</f>
        <v/>
      </c>
      <c r="H349">
        <f>1-(1-Skills!J15/100)^Skills!K15</f>
        <v/>
      </c>
      <c r="I349" t="inlineStr">
        <is>
          <t>1</t>
        </is>
      </c>
      <c r="J349" t="inlineStr"/>
      <c r="K349" t="inlineStr"/>
      <c r="L349" t="inlineStr"/>
      <c r="M349" t="inlineStr"/>
      <c r="N349" t="inlineStr"/>
      <c r="O349" t="n">
        <v>0</v>
      </c>
      <c r="P349">
        <f>IF(B374=0,0,O349/B374)</f>
        <v/>
      </c>
      <c r="Q349">
        <f>IFERROR(1/IF(Inputs!$B$4="pvp",15,MAX(0.1,Skills!D15-IF(Skills!E15=TRUE,Inputs!$B$31,0))),0)</f>
        <v/>
      </c>
      <c r="R349">
        <f>IF(AND(Inputs!$B$4&lt;&gt;"pvp",Inputs!$B$35&gt;0),(INT(Inputs!$B$35/IF(Inputs!$B$4="pvp",15,MAX(0.1,Skills!D15-IF(Skills!E15=TRUE,Inputs!$B$31,0))))+1),0)</f>
        <v/>
      </c>
      <c r="S349">
        <f>IFERROR(O349/N349,0)</f>
        <v/>
      </c>
    </row>
    <row r="350">
      <c r="A350">
        <f>Skills!A16</f>
        <v/>
      </c>
      <c r="B350">
        <f>Skills!B16</f>
        <v/>
      </c>
      <c r="C350">
        <f>Inputs!$B$3&gt;=115</f>
        <v/>
      </c>
      <c r="D350">
        <f>IF(Skills!C16=1,60+Inputs!$B$24+Inputs!$B$28,IF(Skills!C16=2,90+Inputs!$B$25+Inputs!$B$28,IF(Skills!C16=3,120+Inputs!$B$26+Inputs!$B$28,MAX(0,(Inputs!$B$3-100)*3)+Inputs!$B$27+Inputs!$B$28)))</f>
        <v/>
      </c>
      <c r="E350">
        <f>INDEX(FactorTable!$B$2:$Y$301, MATCH(ROUND(MIN(300,MAX(1,D350)),0), FactorTable!$A$2:$A$301,0), Skills!M16+1)</f>
        <v/>
      </c>
      <c r="F350">
        <f>IF(Skills!N16=TRUE,(Skills!L16/10)*(E350/1000),Skills!L16/10)+Skills!O16</f>
        <v/>
      </c>
      <c r="G350">
        <f>Skills!G16*IF(Skills!H16&gt;0,Skills!I16/Skills!H16,1)</f>
        <v/>
      </c>
      <c r="H350">
        <f>1-(1-Skills!J16/100)^Skills!K16</f>
        <v/>
      </c>
      <c r="I350" t="inlineStr">
        <is>
          <t>1</t>
        </is>
      </c>
      <c r="J350" t="inlineStr"/>
      <c r="K350" t="inlineStr"/>
      <c r="L350" t="inlineStr"/>
      <c r="M350" t="inlineStr"/>
      <c r="N350" t="inlineStr"/>
      <c r="O350" t="n">
        <v>0</v>
      </c>
      <c r="P350">
        <f>IF(B374=0,0,O350/B374)</f>
        <v/>
      </c>
      <c r="Q350">
        <f>IFERROR(1/IF(Inputs!$B$4="pvp",15,MAX(0.1,Skills!D16-IF(Skills!E16=TRUE,Inputs!$B$31,0))),0)</f>
        <v/>
      </c>
      <c r="R350">
        <f>IF(AND(Inputs!$B$4&lt;&gt;"pvp",Inputs!$B$35&gt;0),(INT(Inputs!$B$35/IF(Inputs!$B$4="pvp",15,MAX(0.1,Skills!D16-IF(Skills!E16=TRUE,Inputs!$B$31,0))))+1),0)</f>
        <v/>
      </c>
      <c r="S350">
        <f>IFERROR(O350/N350,0)</f>
        <v/>
      </c>
    </row>
    <row r="351">
      <c r="A351">
        <f>Skills!A17</f>
        <v/>
      </c>
      <c r="B351">
        <f>Skills!B17</f>
        <v/>
      </c>
      <c r="C351">
        <f>Inputs!$B$3&gt;=72</f>
        <v/>
      </c>
      <c r="D351">
        <f>IF(Skills!C17=1,60+Inputs!$B$24+Inputs!$B$28,IF(Skills!C17=2,90+Inputs!$B$25+Inputs!$B$28,IF(Skills!C17=3,120+Inputs!$B$26+Inputs!$B$28,MAX(0,(Inputs!$B$3-100)*3)+Inputs!$B$27+Inputs!$B$28)))</f>
        <v/>
      </c>
      <c r="E351">
        <f>INDEX(FactorTable!$B$2:$Y$301, MATCH(ROUND(MIN(300,MAX(1,D351)),0), FactorTable!$A$2:$A$301,0), Skills!M17+1)</f>
        <v/>
      </c>
      <c r="F351">
        <f>IF(Skills!N17=TRUE,(Skills!L17/10)*(E351/1000),Skills!L17/10)+Skills!O17</f>
        <v/>
      </c>
      <c r="G351">
        <f>Skills!G17*IF(Skills!H17&gt;0,Skills!I17/Skills!H17,1)</f>
        <v/>
      </c>
      <c r="H351">
        <f>1-(1-Skills!J17/100)^Skills!K17</f>
        <v/>
      </c>
      <c r="I351" t="inlineStr">
        <is>
          <t>1</t>
        </is>
      </c>
      <c r="J351" t="inlineStr"/>
      <c r="K351" t="inlineStr"/>
      <c r="L351" t="inlineStr"/>
      <c r="M351" t="inlineStr"/>
      <c r="N351" t="inlineStr"/>
      <c r="O351" t="n">
        <v>0</v>
      </c>
      <c r="P351">
        <f>IF(B374=0,0,O351/B374)</f>
        <v/>
      </c>
      <c r="Q351" t="n">
        <v>0</v>
      </c>
      <c r="R351" t="n">
        <v>0</v>
      </c>
      <c r="S351">
        <f>IFERROR(O351/N351,0)</f>
        <v/>
      </c>
    </row>
    <row r="352">
      <c r="A352">
        <f>Skills!A18</f>
        <v/>
      </c>
      <c r="B352">
        <f>Skills!B18</f>
        <v/>
      </c>
      <c r="C352">
        <f>TRUE</f>
        <v/>
      </c>
      <c r="D352">
        <f>IF(Skills!C18=1,60+Inputs!$B$24+Inputs!$B$28,IF(Skills!C18=2,90+Inputs!$B$25+Inputs!$B$28,IF(Skills!C18=3,120+Inputs!$B$26+Inputs!$B$28,MAX(0,(Inputs!$B$3-100)*3)+Inputs!$B$27+Inputs!$B$28)))</f>
        <v/>
      </c>
      <c r="E352">
        <f>INDEX(FactorTable!$B$2:$Y$301, MATCH(ROUND(MIN(300,MAX(1,D352)),0), FactorTable!$A$2:$A$301,0), Skills!M18+1)</f>
        <v/>
      </c>
      <c r="F352">
        <f>IF(Skills!N18=TRUE,(Skills!L18/10)*(E352/1000),Skills!L18/10)+Skills!O18</f>
        <v/>
      </c>
      <c r="G352">
        <f>Skills!G18*IF(Skills!H18&gt;0,Skills!I18/Skills!H18,1)</f>
        <v/>
      </c>
      <c r="H352">
        <f>1-(1-Skills!J18/100)^Skills!K18</f>
        <v/>
      </c>
      <c r="I352" t="inlineStr">
        <is>
          <t>1</t>
        </is>
      </c>
      <c r="J352" t="inlineStr"/>
      <c r="K352" t="inlineStr"/>
      <c r="L352" t="inlineStr"/>
      <c r="M352" t="inlineStr"/>
      <c r="N352" t="inlineStr"/>
      <c r="O352" t="n">
        <v>0</v>
      </c>
      <c r="P352">
        <f>IF(B374=0,0,O352/B374)</f>
        <v/>
      </c>
      <c r="Q352">
        <f>IFERROR(1/IF(Inputs!$B$4="pvp",15,MAX(0.1,Skills!D18-IF(Skills!E18=TRUE,Inputs!$B$31,0))),0)</f>
        <v/>
      </c>
      <c r="R352">
        <f>IF(AND(Inputs!$B$4&lt;&gt;"pvp",Inputs!$B$35&gt;0),(INT(Inputs!$B$35/IF(Inputs!$B$4="pvp",15,MAX(0.1,Skills!D18-IF(Skills!E18=TRUE,Inputs!$B$31,0))))+1),0)</f>
        <v/>
      </c>
      <c r="S352">
        <f>IFERROR(O352/N352,0)</f>
        <v/>
      </c>
    </row>
    <row r="353">
      <c r="A353">
        <f>Skills!A19</f>
        <v/>
      </c>
      <c r="B353">
        <f>Skills!B19</f>
        <v/>
      </c>
      <c r="C353">
        <f>Inputs!$B$3&gt;=15</f>
        <v/>
      </c>
      <c r="D353">
        <f>IF(Skills!C19=1,60+Inputs!$B$24+Inputs!$B$28,IF(Skills!C19=2,90+Inputs!$B$25+Inputs!$B$28,IF(Skills!C19=3,120+Inputs!$B$26+Inputs!$B$28,MAX(0,(Inputs!$B$3-100)*3)+Inputs!$B$27+Inputs!$B$28)))</f>
        <v/>
      </c>
      <c r="E353">
        <f>INDEX(FactorTable!$B$2:$Y$301, MATCH(ROUND(MIN(300,MAX(1,D353)),0), FactorTable!$A$2:$A$301,0), Skills!M19+1)</f>
        <v/>
      </c>
      <c r="F353">
        <f>IF(Skills!N19=TRUE,(Skills!L19/10)*(E353/1000),Skills!L19/10)+Skills!O19</f>
        <v/>
      </c>
      <c r="G353">
        <f>Skills!G19*IF(Skills!H19&gt;0,Skills!I19/Skills!H19,1)</f>
        <v/>
      </c>
      <c r="H353">
        <f>1-(1-Skills!J19/100)^Skills!K19</f>
        <v/>
      </c>
      <c r="I353" t="inlineStr">
        <is>
          <t>1</t>
        </is>
      </c>
      <c r="J353" t="inlineStr"/>
      <c r="K353" t="inlineStr"/>
      <c r="L353" t="inlineStr"/>
      <c r="M353" t="inlineStr"/>
      <c r="N353" t="inlineStr"/>
      <c r="O353" t="n">
        <v>0</v>
      </c>
      <c r="P353">
        <f>IF(B374=0,0,O353/B374)</f>
        <v/>
      </c>
      <c r="Q353" t="n">
        <v>0</v>
      </c>
      <c r="R353" t="n">
        <v>0</v>
      </c>
      <c r="S353">
        <f>IFERROR(O353/N353,0)</f>
        <v/>
      </c>
    </row>
    <row r="354">
      <c r="A354">
        <f>Skills!A20</f>
        <v/>
      </c>
      <c r="B354">
        <f>Skills!B20</f>
        <v/>
      </c>
      <c r="C354">
        <f>Inputs!$B$3&gt;=10</f>
        <v/>
      </c>
      <c r="D354">
        <f>IF(Skills!C20=1,60+Inputs!$B$24+Inputs!$B$28,IF(Skills!C20=2,90+Inputs!$B$25+Inputs!$B$28,IF(Skills!C20=3,120+Inputs!$B$26+Inputs!$B$28,MAX(0,(Inputs!$B$3-100)*3)+Inputs!$B$27+Inputs!$B$28)))</f>
        <v/>
      </c>
      <c r="E354">
        <f>INDEX(FactorTable!$B$2:$Y$301, MATCH(ROUND(MIN(300,MAX(1,D354)),0), FactorTable!$A$2:$A$301,0), Skills!M20+1)</f>
        <v/>
      </c>
      <c r="F354">
        <f>IF(Skills!N20=TRUE,(Skills!L20/10)*(E354/1000),Skills!L20/10)+Skills!O20</f>
        <v/>
      </c>
      <c r="G354">
        <f>Skills!G20*IF(Skills!H20&gt;0,Skills!I20/Skills!H20,1)</f>
        <v/>
      </c>
      <c r="H354">
        <f>1-(1-Skills!J20/100)^Skills!K20</f>
        <v/>
      </c>
      <c r="I354" t="inlineStr">
        <is>
          <t>1</t>
        </is>
      </c>
      <c r="J354" t="inlineStr"/>
      <c r="K354" t="inlineStr"/>
      <c r="L354" t="inlineStr"/>
      <c r="M354" t="inlineStr"/>
      <c r="N354" t="inlineStr"/>
      <c r="O354" t="n">
        <v>0</v>
      </c>
      <c r="P354">
        <f>IF(B374=0,0,O354/B374)</f>
        <v/>
      </c>
      <c r="Q354" t="n">
        <v>0</v>
      </c>
      <c r="R354" t="n">
        <v>0</v>
      </c>
      <c r="S354">
        <f>IFERROR(O354/N354,0)</f>
        <v/>
      </c>
    </row>
    <row r="355">
      <c r="A355">
        <f>Skills!A21</f>
        <v/>
      </c>
      <c r="B355">
        <f>Skills!B21</f>
        <v/>
      </c>
      <c r="C355">
        <f>Inputs!$B$3&gt;=33</f>
        <v/>
      </c>
      <c r="D355">
        <f>IF(Skills!C21=1,60+Inputs!$B$24+Inputs!$B$28,IF(Skills!C21=2,90+Inputs!$B$25+Inputs!$B$28,IF(Skills!C21=3,120+Inputs!$B$26+Inputs!$B$28,MAX(0,(Inputs!$B$3-100)*3)+Inputs!$B$27+Inputs!$B$28)))</f>
        <v/>
      </c>
      <c r="E355">
        <f>INDEX(FactorTable!$B$2:$Y$301, MATCH(ROUND(MIN(300,MAX(1,D355)),0), FactorTable!$A$2:$A$301,0), Skills!M21+1)</f>
        <v/>
      </c>
      <c r="F355">
        <f>IF(Skills!N21=TRUE,(Skills!L21/10)*(E355/1000),Skills!L21/10)+Skills!O21</f>
        <v/>
      </c>
      <c r="G355">
        <f>Skills!G21*IF(Skills!H21&gt;0,Skills!I21/Skills!H21,1)</f>
        <v/>
      </c>
      <c r="H355">
        <f>1-(1-Skills!J21/100)^Skills!K21</f>
        <v/>
      </c>
      <c r="I355" t="inlineStr">
        <is>
          <t>1</t>
        </is>
      </c>
      <c r="J355" t="inlineStr"/>
      <c r="K355" t="inlineStr"/>
      <c r="L355" t="inlineStr"/>
      <c r="M355" t="inlineStr"/>
      <c r="N355" t="inlineStr"/>
      <c r="O355" t="n">
        <v>0</v>
      </c>
      <c r="P355">
        <f>IF(B374=0,0,O355/B374)</f>
        <v/>
      </c>
      <c r="Q355" t="n">
        <v>0</v>
      </c>
      <c r="R355" t="n">
        <v>0</v>
      </c>
      <c r="S355">
        <f>IFERROR(O355/N355,0)</f>
        <v/>
      </c>
    </row>
    <row r="356">
      <c r="A356">
        <f>Skills!A22</f>
        <v/>
      </c>
      <c r="B356">
        <f>Skills!B22</f>
        <v/>
      </c>
      <c r="C356">
        <f>Inputs!$B$3&gt;=38</f>
        <v/>
      </c>
      <c r="D356">
        <f>IF(Skills!C22=1,60+Inputs!$B$24+Inputs!$B$28,IF(Skills!C22=2,90+Inputs!$B$25+Inputs!$B$28,IF(Skills!C22=3,120+Inputs!$B$26+Inputs!$B$28,MAX(0,(Inputs!$B$3-100)*3)+Inputs!$B$27+Inputs!$B$28)))</f>
        <v/>
      </c>
      <c r="E356">
        <f>INDEX(FactorTable!$B$2:$Y$301, MATCH(ROUND(MIN(300,MAX(1,D356)),0), FactorTable!$A$2:$A$301,0), Skills!M22+1)</f>
        <v/>
      </c>
      <c r="F356">
        <f>IF(Skills!N22=TRUE,(Skills!L22/10)*(E356/1000),Skills!L22/10)+Skills!O22</f>
        <v/>
      </c>
      <c r="G356">
        <f>Skills!G22*IF(Skills!H22&gt;0,Skills!I22/Skills!H22,1)</f>
        <v/>
      </c>
      <c r="H356">
        <f>1-(1-Skills!J22/100)^Skills!K22</f>
        <v/>
      </c>
      <c r="I356" t="inlineStr">
        <is>
          <t>1</t>
        </is>
      </c>
      <c r="J356" t="inlineStr"/>
      <c r="K356" t="inlineStr"/>
      <c r="L356" t="inlineStr"/>
      <c r="M356" t="inlineStr"/>
      <c r="N356" t="inlineStr"/>
      <c r="O356" t="n">
        <v>0</v>
      </c>
      <c r="P356">
        <f>IF(B374=0,0,O356/B374)</f>
        <v/>
      </c>
      <c r="Q356" t="n">
        <v>0</v>
      </c>
      <c r="R356" t="n">
        <v>0</v>
      </c>
      <c r="S356">
        <f>IFERROR(O356/N356,0)</f>
        <v/>
      </c>
    </row>
    <row r="357">
      <c r="A357">
        <f>Skills!A23</f>
        <v/>
      </c>
      <c r="B357">
        <f>Skills!B23</f>
        <v/>
      </c>
      <c r="C357">
        <f>Inputs!$B$3&gt;=43</f>
        <v/>
      </c>
      <c r="D357">
        <f>IF(Skills!C23=1,60+Inputs!$B$24+Inputs!$B$28,IF(Skills!C23=2,90+Inputs!$B$25+Inputs!$B$28,IF(Skills!C23=3,120+Inputs!$B$26+Inputs!$B$28,MAX(0,(Inputs!$B$3-100)*3)+Inputs!$B$27+Inputs!$B$28)))</f>
        <v/>
      </c>
      <c r="E357">
        <f>INDEX(FactorTable!$B$2:$Y$301, MATCH(ROUND(MIN(300,MAX(1,D357)),0), FactorTable!$A$2:$A$301,0), Skills!M23+1)</f>
        <v/>
      </c>
      <c r="F357">
        <f>IF(Skills!N23=TRUE,(Skills!L23/10)*(E357/1000),Skills!L23/10)+Skills!O23</f>
        <v/>
      </c>
      <c r="G357">
        <f>Skills!G23*IF(Skills!H23&gt;0,Skills!I23/Skills!H23,1)</f>
        <v/>
      </c>
      <c r="H357">
        <f>1-(1-Skills!J23/100)^Skills!K23</f>
        <v/>
      </c>
      <c r="I357" t="inlineStr">
        <is>
          <t>1</t>
        </is>
      </c>
      <c r="J357" t="inlineStr"/>
      <c r="K357" t="inlineStr"/>
      <c r="L357" t="inlineStr"/>
      <c r="M357" t="inlineStr"/>
      <c r="N357" t="inlineStr"/>
      <c r="O357" t="n">
        <v>0</v>
      </c>
      <c r="P357">
        <f>IF(B374=0,0,O357/B374)</f>
        <v/>
      </c>
      <c r="Q357" t="n">
        <v>0</v>
      </c>
      <c r="R357" t="n">
        <v>0</v>
      </c>
      <c r="S357">
        <f>IFERROR(O357/N357,0)</f>
        <v/>
      </c>
    </row>
    <row r="358">
      <c r="A358">
        <f>Skills!A24</f>
        <v/>
      </c>
      <c r="B358">
        <f>Skills!B24</f>
        <v/>
      </c>
      <c r="C358">
        <f>Inputs!$B$3&gt;=75</f>
        <v/>
      </c>
      <c r="D358">
        <f>IF(Skills!C24=1,60+Inputs!$B$24+Inputs!$B$28,IF(Skills!C24=2,90+Inputs!$B$25+Inputs!$B$28,IF(Skills!C24=3,120+Inputs!$B$26+Inputs!$B$28,MAX(0,(Inputs!$B$3-100)*3)+Inputs!$B$27+Inputs!$B$28)))</f>
        <v/>
      </c>
      <c r="E358">
        <f>INDEX(FactorTable!$B$2:$Y$301, MATCH(ROUND(MIN(300,MAX(1,D358)),0), FactorTable!$A$2:$A$301,0), Skills!M24+1)</f>
        <v/>
      </c>
      <c r="F358">
        <f>IF(Skills!N24=TRUE,(Skills!L24/10)*(E358/1000),Skills!L24/10)+Skills!O24</f>
        <v/>
      </c>
      <c r="G358">
        <f>Skills!G24*IF(Skills!H24&gt;0,Skills!I24/Skills!H24,1)</f>
        <v/>
      </c>
      <c r="H358">
        <f>1-(1-Skills!J24/100)^Skills!K24</f>
        <v/>
      </c>
      <c r="I358" t="inlineStr">
        <is>
          <t>1</t>
        </is>
      </c>
      <c r="J358" t="inlineStr"/>
      <c r="K358" t="inlineStr"/>
      <c r="L358" t="inlineStr"/>
      <c r="M358" t="inlineStr"/>
      <c r="N358" t="inlineStr"/>
      <c r="O358" t="n">
        <v>0</v>
      </c>
      <c r="P358">
        <f>IF(B374=0,0,O358/B374)</f>
        <v/>
      </c>
      <c r="Q358" t="n">
        <v>0</v>
      </c>
      <c r="R358" t="n">
        <v>0</v>
      </c>
      <c r="S358">
        <f>IFERROR(O358/N358,0)</f>
        <v/>
      </c>
    </row>
    <row r="359">
      <c r="A359">
        <f>Skills!A25</f>
        <v/>
      </c>
      <c r="B359">
        <f>Skills!B25</f>
        <v/>
      </c>
      <c r="C359">
        <f>Inputs!$B$3&gt;=125</f>
        <v/>
      </c>
      <c r="D359">
        <f>IF(Skills!C25=1,60+Inputs!$B$24+Inputs!$B$28,IF(Skills!C25=2,90+Inputs!$B$25+Inputs!$B$28,IF(Skills!C25=3,120+Inputs!$B$26+Inputs!$B$28,MAX(0,(Inputs!$B$3-100)*3)+Inputs!$B$27+Inputs!$B$28)))</f>
        <v/>
      </c>
      <c r="E359">
        <f>INDEX(FactorTable!$B$2:$Y$301, MATCH(ROUND(MIN(300,MAX(1,D359)),0), FactorTable!$A$2:$A$301,0), Skills!M25+1)</f>
        <v/>
      </c>
      <c r="F359">
        <f>IF(Skills!N25=TRUE,(Skills!L25/10)*(E359/1000),Skills!L25/10)+Skills!O25</f>
        <v/>
      </c>
      <c r="G359">
        <f>Skills!G25*IF(Skills!H25&gt;0,Skills!I25/Skills!H25,1)</f>
        <v/>
      </c>
      <c r="H359">
        <f>1-(1-Skills!J25/100)^Skills!K25</f>
        <v/>
      </c>
      <c r="I359" t="inlineStr">
        <is>
          <t>1</t>
        </is>
      </c>
      <c r="J359" t="inlineStr"/>
      <c r="K359" t="inlineStr"/>
      <c r="L359" t="inlineStr"/>
      <c r="M359" t="inlineStr"/>
      <c r="N359" t="inlineStr"/>
      <c r="O359" t="n">
        <v>0</v>
      </c>
      <c r="P359">
        <f>IF(B374=0,0,O359/B374)</f>
        <v/>
      </c>
      <c r="Q359" t="n">
        <v>0</v>
      </c>
      <c r="R359" t="n">
        <v>0</v>
      </c>
      <c r="S359">
        <f>IFERROR(O359/N359,0)</f>
        <v/>
      </c>
    </row>
    <row r="360">
      <c r="A360">
        <f>Skills!A26</f>
        <v/>
      </c>
      <c r="B360">
        <f>Skills!B26</f>
        <v/>
      </c>
      <c r="C360">
        <f>Inputs!$B$3&gt;=125</f>
        <v/>
      </c>
      <c r="D360">
        <f>IF(Skills!C26=1,60+Inputs!$B$24+Inputs!$B$28,IF(Skills!C26=2,90+Inputs!$B$25+Inputs!$B$28,IF(Skills!C26=3,120+Inputs!$B$26+Inputs!$B$28,MAX(0,(Inputs!$B$3-100)*3)+Inputs!$B$27+Inputs!$B$28)))</f>
        <v/>
      </c>
      <c r="E360">
        <f>INDEX(FactorTable!$B$2:$Y$301, MATCH(ROUND(MIN(300,MAX(1,D360)),0), FactorTable!$A$2:$A$301,0), Skills!M26+1)</f>
        <v/>
      </c>
      <c r="F360">
        <f>IF(Skills!N26=TRUE,(Skills!L26/10)*(E360/1000),Skills!L26/10)+Skills!O26</f>
        <v/>
      </c>
      <c r="G360">
        <f>Skills!G26*IF(Skills!H26&gt;0,Skills!I26/Skills!H26,1)</f>
        <v/>
      </c>
      <c r="H360">
        <f>1-(1-Skills!J26/100)^Skills!K26</f>
        <v/>
      </c>
      <c r="I360" t="inlineStr">
        <is>
          <t>1</t>
        </is>
      </c>
      <c r="J360" t="inlineStr"/>
      <c r="K360" t="inlineStr"/>
      <c r="L360" t="inlineStr"/>
      <c r="M360" t="inlineStr"/>
      <c r="N360" t="inlineStr"/>
      <c r="O360" t="n">
        <v>0</v>
      </c>
      <c r="P360">
        <f>IF(B374=0,0,O360/B374)</f>
        <v/>
      </c>
      <c r="Q360" t="n">
        <v>0</v>
      </c>
      <c r="R360" t="n">
        <v>0</v>
      </c>
      <c r="S360">
        <f>IFERROR(O360/N360,0)</f>
        <v/>
      </c>
    </row>
    <row r="361">
      <c r="A361">
        <f>Skills!A27</f>
        <v/>
      </c>
      <c r="B361">
        <f>Skills!B27</f>
        <v/>
      </c>
      <c r="C361">
        <f>Inputs!$B$3&gt;=120</f>
        <v/>
      </c>
      <c r="D361">
        <f>IF(Skills!C27=1,60+Inputs!$B$24+Inputs!$B$28,IF(Skills!C27=2,90+Inputs!$B$25+Inputs!$B$28,IF(Skills!C27=3,120+Inputs!$B$26+Inputs!$B$28,MAX(0,(Inputs!$B$3-100)*3)+Inputs!$B$27+Inputs!$B$28)))</f>
        <v/>
      </c>
      <c r="E361">
        <f>INDEX(FactorTable!$B$2:$Y$301, MATCH(ROUND(MIN(300,MAX(1,D361)),0), FactorTable!$A$2:$A$301,0), Skills!M27+1)</f>
        <v/>
      </c>
      <c r="F361">
        <f>IF(Skills!N27=TRUE,(Skills!L27/10)*(E361/1000),Skills!L27/10)+Skills!O27</f>
        <v/>
      </c>
      <c r="G361">
        <f>Skills!G27*IF(Skills!H27&gt;0,Skills!I27/Skills!H27,1)</f>
        <v/>
      </c>
      <c r="H361">
        <f>1-(1-Skills!J27/100)^Skills!K27</f>
        <v/>
      </c>
      <c r="I361" t="inlineStr">
        <is>
          <t>1</t>
        </is>
      </c>
      <c r="J361" t="inlineStr"/>
      <c r="K361" t="inlineStr"/>
      <c r="L361" t="inlineStr"/>
      <c r="M361" t="inlineStr"/>
      <c r="N361" t="inlineStr"/>
      <c r="O361" t="n">
        <v>0</v>
      </c>
      <c r="P361">
        <f>IF(B374=0,0,O361/B374)</f>
        <v/>
      </c>
      <c r="Q361" t="n">
        <v>0</v>
      </c>
      <c r="R361" t="n">
        <v>0</v>
      </c>
      <c r="S361">
        <f>IFERROR(O361/N361,0)</f>
        <v/>
      </c>
    </row>
    <row r="362">
      <c r="A362">
        <f>Skills!A28</f>
        <v/>
      </c>
      <c r="B362">
        <f>Skills!B28</f>
        <v/>
      </c>
      <c r="C362">
        <f>Inputs!$B$3&gt;=120</f>
        <v/>
      </c>
      <c r="D362">
        <f>IF(Skills!C28=1,60+Inputs!$B$24+Inputs!$B$28,IF(Skills!C28=2,90+Inputs!$B$25+Inputs!$B$28,IF(Skills!C28=3,120+Inputs!$B$26+Inputs!$B$28,MAX(0,(Inputs!$B$3-100)*3)+Inputs!$B$27+Inputs!$B$28)))</f>
        <v/>
      </c>
      <c r="E362">
        <f>INDEX(FactorTable!$B$2:$Y$301, MATCH(ROUND(MIN(300,MAX(1,D362)),0), FactorTable!$A$2:$A$301,0), Skills!M28+1)</f>
        <v/>
      </c>
      <c r="F362">
        <f>IF(Skills!N28=TRUE,(Skills!L28/10)*(E362/1000),Skills!L28/10)+Skills!O28</f>
        <v/>
      </c>
      <c r="G362">
        <f>Skills!G28*IF(Skills!H28&gt;0,Skills!I28/Skills!H28,1)</f>
        <v/>
      </c>
      <c r="H362">
        <f>1-(1-Skills!J28/100)^Skills!K28</f>
        <v/>
      </c>
      <c r="I362" t="inlineStr">
        <is>
          <t>1</t>
        </is>
      </c>
      <c r="J362" t="inlineStr"/>
      <c r="K362" t="inlineStr"/>
      <c r="L362" t="inlineStr"/>
      <c r="M362" t="inlineStr"/>
      <c r="N362" t="inlineStr"/>
      <c r="O362" t="n">
        <v>0</v>
      </c>
      <c r="P362">
        <f>IF(B374=0,0,O362/B374)</f>
        <v/>
      </c>
      <c r="Q362" t="n">
        <v>0</v>
      </c>
      <c r="R362" t="n">
        <v>0</v>
      </c>
      <c r="S362">
        <f>IFERROR(O362/N362,0)</f>
        <v/>
      </c>
    </row>
    <row r="363">
      <c r="A363">
        <f>Skills!A29</f>
        <v/>
      </c>
      <c r="B363">
        <f>Skills!B29</f>
        <v/>
      </c>
      <c r="C363">
        <f>Inputs!$B$3&gt;=45</f>
        <v/>
      </c>
      <c r="D363">
        <f>IF(Skills!C29=1,60+Inputs!$B$24+Inputs!$B$28,IF(Skills!C29=2,90+Inputs!$B$25+Inputs!$B$28,IF(Skills!C29=3,120+Inputs!$B$26+Inputs!$B$28,MAX(0,(Inputs!$B$3-100)*3)+Inputs!$B$27+Inputs!$B$28)))</f>
        <v/>
      </c>
      <c r="E363">
        <f>INDEX(FactorTable!$B$2:$Y$301, MATCH(ROUND(MIN(300,MAX(1,D363)),0), FactorTable!$A$2:$A$301,0), Skills!M29+1)</f>
        <v/>
      </c>
      <c r="F363">
        <f>IF(Skills!N29=TRUE,(Skills!L29/10)*(E363/1000),Skills!L29/10)+Skills!O29</f>
        <v/>
      </c>
      <c r="G363">
        <f>Skills!G29*IF(Skills!H29&gt;0,Skills!I29/Skills!H29,1)</f>
        <v/>
      </c>
      <c r="H363">
        <f>1-(1-Skills!J29/100)^Skills!K29</f>
        <v/>
      </c>
      <c r="I363" t="inlineStr">
        <is>
          <t>1</t>
        </is>
      </c>
      <c r="J363" t="inlineStr"/>
      <c r="K363" t="inlineStr"/>
      <c r="L363" t="inlineStr"/>
      <c r="M363" t="inlineStr"/>
      <c r="N363" t="inlineStr"/>
      <c r="O363" t="n">
        <v>0</v>
      </c>
      <c r="P363">
        <f>IF(B374=0,0,O363/B374)</f>
        <v/>
      </c>
      <c r="Q363" t="n">
        <v>0</v>
      </c>
      <c r="R363" t="n">
        <v>0</v>
      </c>
      <c r="S363">
        <f>IFERROR(O363/N363,0)</f>
        <v/>
      </c>
    </row>
    <row r="365">
      <c r="A365" t="inlineStr">
        <is>
          <t>Attack% Bucket Multiplier</t>
        </is>
      </c>
      <c r="B365">
        <f>(1+(((C347=TRUE)*F347)+((C348=TRUE)*IF(Inputs!$B$4="pvp",F348,(1-Summary!$B$55)*(F348)+Summary!$B$55*(0)))+((C349=TRUE)*F349*IF(AND(Inputs!$B$4&lt;&gt;"pvp",Inputs!$B$35&gt;0),(((S349-1)*(Skills!T15*(1+Inputs!$B$33/100))+MIN((Skills!T15*(1+Inputs!$B$33/100)),MAX(0,Inputs!$B$35-((S349-1)*Skills!D15))))/Inputs!$B$35),IF(Inputs!$B$4="pvp",MIN((Skills!T15*(1+Inputs!$B$33/100)),15)/15,(Skills!T15*(1+Inputs!$B$33/100))/Skills!D15)))+((C346=TRUE)*F346)+((C363=TRUE)*(F363-Calc!F29)))/100)</f>
        <v/>
      </c>
    </row>
    <row r="366">
      <c r="A366" t="inlineStr">
        <is>
          <t>Global Crit Rate Bonus %</t>
        </is>
      </c>
      <c r="B366">
        <f>(C350=TRUE)*20*IF(AND(Inputs!$B$4&lt;&gt;"pvp",Inputs!$B$35&gt;0),(((S350-1)*(Skills!T16*(1+Inputs!$B$33/100))+MIN((Skills!T16*(1+Inputs!$B$33/100)),MAX(0,Inputs!$B$35-((S350-1)*Skills!D16))))/Inputs!$B$35),IF(Inputs!$B$4="pvp",MIN((Skills!T16*(1+Inputs!$B$33/100)),15)/15,(Skills!T16*(1+Inputs!$B$33/100))/Skills!D16))</f>
        <v/>
      </c>
    </row>
    <row r="367">
      <c r="A367" t="inlineStr">
        <is>
          <t>Attack Speed Buff Bonus %</t>
        </is>
      </c>
      <c r="B367">
        <f>((C352=TRUE)*F352*IF(AND(Inputs!$B$4&lt;&gt;"pvp",Inputs!$B$35&gt;0),(((S352-1)*(Skills!T18*(1+Inputs!$B$33/100))+MIN((Skills!T18*(1+Inputs!$B$33/100)),MAX(0,Inputs!$B$35-((S352-1)*Skills!D18))))/Inputs!$B$35),IF(Inputs!$B$4="pvp",MIN((Skills!T18*(1+Inputs!$B$33/100)),15)/15,(Skills!T18*(1+Inputs!$B$33/100))/Skills!D18)))</f>
        <v/>
      </c>
    </row>
    <row r="368">
      <c r="A368" t="inlineStr">
        <is>
          <t>Actions Per Second</t>
        </is>
      </c>
      <c r="B368">
        <f>1+MIN(150,150*(1-(1-(Inputs!$B$10+((C354=TRUE)*(F354-Calc!F20))+((C355=TRUE)*(F355-Calc!F21)))/150)*(1-B367/150)))/100</f>
        <v/>
      </c>
    </row>
    <row r="369">
      <c r="A369" t="inlineStr">
        <is>
          <t>Skill + Buff Cast Rate</t>
        </is>
      </c>
      <c r="B369">
        <f>IF(AND(Inputs!$B$4&lt;&gt;"pvp",Inputs!$B$35&gt;0),SUMPRODUCT((Skills!E2:E29=TRUE)*(C336:C363=TRUE)*R336:R363*Skills!F2:F29)/Inputs!$B$35,SUMPRODUCT((Skills!E2:E29=TRUE)*(C336:C363=TRUE)*Q336:Q363*Skills!F2:F29))</f>
        <v/>
      </c>
    </row>
    <row r="370">
      <c r="A370" t="inlineStr">
        <is>
          <t>Empowered Piercing Arrow Casts Per Second</t>
        </is>
      </c>
      <c r="B370">
        <f>MAX(0,B368-B369)</f>
        <v/>
      </c>
    </row>
    <row r="371">
      <c r="A371" t="inlineStr">
        <is>
          <t>Global Critical Damage Bonus % (Sharp Eyes)</t>
        </is>
      </c>
      <c r="B371">
        <f>(C350=TRUE)*F350*IF(AND(Inputs!$B$4&lt;&gt;"pvp",Inputs!$B$35&gt;0),(((S350-1)*(Skills!T16*(1+Inputs!$B$33/100))+MIN((Skills!T16*(1+Inputs!$B$33/100)),MAX(0,Inputs!$B$35-((S350-1)*Skills!D16))))/Inputs!$B$35),IF(Inputs!$B$4="pvp",MIN((Skills!T16*(1+Inputs!$B$33/100)),15)/15,(Skills!T16*(1+Inputs!$B$33/100))/Skills!D16))</f>
        <v/>
      </c>
    </row>
    <row r="372">
      <c r="A372" t="inlineStr">
        <is>
          <t>Global Final Damage Bonus % (Mortal Blow + Last Man Standing conditional half)</t>
        </is>
      </c>
      <c r="B372">
        <f>(C351=TRUE)*F351+((C360=TRUE)*IF(Inputs!$B$4="pvp",F360,(1-Summary!$B$55)*(F360)+Summary!$B$55*(0)))</f>
        <v/>
      </c>
    </row>
    <row r="374">
      <c r="A374" s="5" t="inlineStr">
        <is>
          <t>TOTAL DPS</t>
        </is>
      </c>
      <c r="B374" s="5">
        <f>SUM(O336:O363)</f>
        <v/>
      </c>
    </row>
    <row r="377">
      <c r="A377" s="5" t="inlineStr">
        <is>
          <t>Stat: MIN_DAMAGE %</t>
        </is>
      </c>
    </row>
    <row r="378">
      <c r="A378" s="8" t="inlineStr">
        <is>
          <t>Key</t>
        </is>
      </c>
      <c r="B378" s="8" t="inlineStr">
        <is>
          <t>Name</t>
        </is>
      </c>
      <c r="C378" s="8" t="inlineStr">
        <is>
          <t>Unlocked</t>
        </is>
      </c>
      <c r="D378" s="8" t="inlineStr">
        <is>
          <t>InputLevel</t>
        </is>
      </c>
      <c r="E378" s="8" t="inlineStr">
        <is>
          <t>Factor</t>
        </is>
      </c>
      <c r="F378" s="8" t="inlineStr">
        <is>
          <t>CoefficientPercent</t>
        </is>
      </c>
      <c r="G378" s="8" t="inlineStr">
        <is>
          <t>EffectiveHits</t>
        </is>
      </c>
      <c r="H378" s="8" t="inlineStr">
        <is>
          <t>ProcProbability</t>
        </is>
      </c>
      <c r="I378" s="8" t="inlineStr">
        <is>
          <t>MapleHeroMultiplier</t>
        </is>
      </c>
      <c r="J378" s="8" t="inlineStr">
        <is>
          <t>BaseDamage</t>
        </is>
      </c>
      <c r="K378" s="8" t="inlineStr">
        <is>
          <t>BaseHitDamage</t>
        </is>
      </c>
      <c r="L378" s="8" t="inlineStr">
        <is>
          <t>NonCritAvg</t>
        </is>
      </c>
      <c r="M378" s="8" t="inlineStr">
        <is>
          <t>CritAvg</t>
        </is>
      </c>
      <c r="N378" s="8" t="inlineStr">
        <is>
          <t>ExpectedDamage(perHit)</t>
        </is>
      </c>
      <c r="O378" s="8" t="inlineStr">
        <is>
          <t>DPS</t>
        </is>
      </c>
      <c r="P378" s="8" t="inlineStr">
        <is>
          <t>% of Total</t>
        </is>
      </c>
      <c r="Q378" s="8" t="inlineStr">
        <is>
          <t>InvCooldown</t>
        </is>
      </c>
      <c r="R378" s="8" t="inlineStr">
        <is>
          <t>CastsInFight</t>
        </is>
      </c>
      <c r="S378" s="8" t="inlineStr">
        <is>
          <t>HitRate(perSec)</t>
        </is>
      </c>
      <c r="U378" t="inlineStr">
        <is>
          <t>helpers</t>
        </is>
      </c>
    </row>
    <row r="379">
      <c r="A379">
        <f>Skills!A2</f>
        <v/>
      </c>
      <c r="B379">
        <f>Skills!B2</f>
        <v/>
      </c>
      <c r="C379">
        <f>Inputs!$B$3&gt;=100</f>
        <v/>
      </c>
      <c r="D379" t="inlineStr"/>
      <c r="E379" t="inlineStr"/>
      <c r="F379">
        <f>U381+Skills!O2</f>
        <v/>
      </c>
      <c r="G379">
        <f>Skills!G2*IF(Skills!H2&gt;0,Skills!I2/Skills!H2,1)</f>
        <v/>
      </c>
      <c r="H379">
        <f>1-(1-Skills!J2/100)^Skills!K2</f>
        <v/>
      </c>
      <c r="I379" t="inlineStr">
        <is>
          <t>1</t>
        </is>
      </c>
      <c r="J379">
        <f>(Inputs!$B$5*(1+Inputs!$B$6/100))*(F379/100)</f>
        <v/>
      </c>
      <c r="K379">
        <f>J379*(1+((Inputs!$B$11*(1+Inputs!$B$12/100))*0.01+Inputs!$B$13*0.0025)/100)*(1+Inputs!$B$14/100)*(1+IF(Inputs!$B$4="pvp",0,(1-Summary!$B$55)*(Inputs!$B$19+0+Skills!P2)+Summary!$B$55*(Inputs!$B$20+Skills!Q2))/100)*(1+Inputs!$B$15/100)*(5000/(6000+Inputs!$B$7*(1-(Inputs!$B$18+0)/100)))*(1+(Inputs!$B$23+((C401=TRUE)*(F401-Calc!F24))+((C402=TRUE)*(F402-Calc!F25))+B415)/100)*(1+(IF(Skills!A2="EMPOWERED_PIERCING_ARROW",Inputs!$B$16+((C399=TRUE)*(F399-Calc!F22)),Inputs!$B$17+((C404=TRUE)*(F404-Calc!F27))))/100)*((1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I379)</f>
        <v/>
      </c>
      <c r="L379">
        <f>K379*(MIN((Inputs!$B$21+1)+((C400=TRUE)*(F400-Calc!F23)),Inputs!$B$22+((C405=TRUE)*(F405-Calc!F28)))/100+(Inputs!$B$22+((C405=TRUE)*(F405-Calc!F28)))/100)/2</f>
        <v/>
      </c>
      <c r="M379">
        <f>L379*(1+(Inputs!$B$9+0+B414)/100)</f>
        <v/>
      </c>
      <c r="N379">
        <f>L379*(1-MIN((Inputs!$B$8+((C396=TRUE)*(F396-Calc!F19))+B409),100)/100)+M379*(MIN((Inputs!$B$8+((C396=TRUE)*(F396-Calc!F19))+B409),100)/100)</f>
        <v/>
      </c>
      <c r="O379">
        <f>IF(C379,Skills!G2*N379*B413*IF(Inputs!$B$4="pvp",1,(1-Summary!$B$55)*(1)+Summary!$B$55*(MIN((6+Inputs!$B$32),Inputs!$B$37))),0)</f>
        <v/>
      </c>
      <c r="P379">
        <f>IF(B417=0,0,O379/B417)</f>
        <v/>
      </c>
      <c r="Q379" t="n">
        <v>0</v>
      </c>
      <c r="R379" t="n">
        <v>0</v>
      </c>
      <c r="S379">
        <f>IFERROR(O379/N379,0)</f>
        <v/>
      </c>
      <c r="U379">
        <f>MAX(0,(Inputs!$B$3-100)*3)+Inputs!$B$27+Inputs!$B$28</f>
        <v/>
      </c>
    </row>
    <row r="380">
      <c r="A380">
        <f>Skills!A3</f>
        <v/>
      </c>
      <c r="B380">
        <f>Skills!B3</f>
        <v/>
      </c>
      <c r="C380">
        <f>Inputs!$B$3&gt;=50</f>
        <v/>
      </c>
      <c r="D380">
        <f>IF(Skills!C3=1,60+Inputs!$B$24+Inputs!$B$28,IF(Skills!C3=2,90+Inputs!$B$25+Inputs!$B$28,IF(Skills!C3=3,120+Inputs!$B$26+Inputs!$B$28,MAX(0,(Inputs!$B$3-100)*3)+Inputs!$B$27+Inputs!$B$28)))</f>
        <v/>
      </c>
      <c r="E380">
        <f>INDEX(FactorTable!$B$2:$Y$301, MATCH(ROUND(MIN(300,MAX(1,D380)),0), FactorTable!$A$2:$A$301,0), Skills!M3+1)</f>
        <v/>
      </c>
      <c r="F380">
        <f>IF(Skills!N3=TRUE,(Skills!L3/10)*(E380/1000),Skills!L3/10)+Skills!O3</f>
        <v/>
      </c>
      <c r="G380" t="inlineStr"/>
      <c r="H380" t="inlineStr"/>
      <c r="I380" t="inlineStr">
        <is>
          <t>1</t>
        </is>
      </c>
      <c r="J380" t="inlineStr"/>
      <c r="K380" t="inlineStr"/>
      <c r="L380" t="inlineStr"/>
      <c r="M380" t="inlineStr"/>
      <c r="N380" t="inlineStr"/>
      <c r="O380" t="inlineStr"/>
      <c r="P380" t="inlineStr"/>
      <c r="Q380" t="inlineStr"/>
      <c r="R380" t="inlineStr"/>
      <c r="S380" t="inlineStr"/>
      <c r="U380">
        <f>INDEX(FactorTable!$B$2:$Y$301, MATCH(ROUND(MIN(300,MAX(1,U379)),0), FactorTable!$A$2:$A$301,0), 22)</f>
        <v/>
      </c>
    </row>
    <row r="381">
      <c r="A381">
        <f>Skills!A4</f>
        <v/>
      </c>
      <c r="B381">
        <f>Skills!B4</f>
        <v/>
      </c>
      <c r="C381">
        <f>Inputs!$B$3&gt;=105</f>
        <v/>
      </c>
      <c r="D381">
        <f>IF(Skills!C4=1,60+Inputs!$B$24+Inputs!$B$28,IF(Skills!C4=2,90+Inputs!$B$25+Inputs!$B$28,IF(Skills!C4=3,120+Inputs!$B$26+Inputs!$B$28,MAX(0,(Inputs!$B$3-100)*3)+Inputs!$B$27+Inputs!$B$28)))</f>
        <v/>
      </c>
      <c r="E381">
        <f>INDEX(FactorTable!$B$2:$Y$301, MATCH(ROUND(MIN(300,MAX(1,D381)),0), FactorTable!$A$2:$A$301,0), Skills!M4+1)</f>
        <v/>
      </c>
      <c r="F381">
        <f>IF(Skills!N4=TRUE,(Skills!L4/10)*(E381/1000),Skills!L4/10)+Skills!O4</f>
        <v/>
      </c>
      <c r="G381" t="inlineStr"/>
      <c r="H381" t="inlineStr"/>
      <c r="I381" t="inlineStr">
        <is>
          <t>1</t>
        </is>
      </c>
      <c r="J381" t="inlineStr"/>
      <c r="K381" t="inlineStr"/>
      <c r="L381" t="inlineStr"/>
      <c r="M381" t="inlineStr"/>
      <c r="N381" t="inlineStr"/>
      <c r="O381" t="inlineStr"/>
      <c r="P381" t="inlineStr"/>
      <c r="Q381" t="inlineStr"/>
      <c r="R381" t="inlineStr"/>
      <c r="S381" t="inlineStr"/>
      <c r="U381">
        <f>290*U380/1000</f>
        <v/>
      </c>
    </row>
    <row r="382">
      <c r="A382">
        <f>Skills!A5</f>
        <v/>
      </c>
      <c r="B382">
        <f>Skills!B5</f>
        <v/>
      </c>
      <c r="C382">
        <f>Inputs!$B$3&gt;=35</f>
        <v/>
      </c>
      <c r="D382">
        <f>IF(Skills!C5=1,60+Inputs!$B$24+Inputs!$B$28,IF(Skills!C5=2,90+Inputs!$B$25+Inputs!$B$28,IF(Skills!C5=3,120+Inputs!$B$26+Inputs!$B$28,MAX(0,(Inputs!$B$3-100)*3)+Inputs!$B$27+Inputs!$B$28)))</f>
        <v/>
      </c>
      <c r="E382">
        <f>INDEX(FactorTable!$B$2:$Y$301, MATCH(ROUND(MIN(300,MAX(1,D382)),0), FactorTable!$A$2:$A$301,0), Skills!M5+1)</f>
        <v/>
      </c>
      <c r="F382">
        <f>IF(Skills!N5=TRUE,(Skills!L5/10)*(E382/1000),Skills!L5/10)+Skills!O5</f>
        <v/>
      </c>
      <c r="G382">
        <f>Skills!G5*IF(Skills!H5&gt;0,Skills!I5/Skills!H5,1)</f>
        <v/>
      </c>
      <c r="H382">
        <f>1-(1-Skills!J5/100)^Skills!K5</f>
        <v/>
      </c>
      <c r="I382" t="inlineStr">
        <is>
          <t>1</t>
        </is>
      </c>
      <c r="J382">
        <f>(Inputs!$B$5*(1+Inputs!$B$6/100))*(F382/100)</f>
        <v/>
      </c>
      <c r="K382">
        <f>J382*(1+((Inputs!$B$11*(1+Inputs!$B$12/100))*0.01+Inputs!$B$13*0.0025)/100)*(1+Inputs!$B$14/100)*(1+IF(Inputs!$B$4="pvp",0,(1-Summary!$B$55)*(Inputs!$B$19+0+Skills!P5)+Summary!$B$55*(Inputs!$B$20+Skills!Q5))/100)*(1+Inputs!$B$15/100)*(5000/(6000+Inputs!$B$7*(1-(Inputs!$B$18+0)/100)))*(1+(Inputs!$B$23+((C401=TRUE)*(F401-Calc!F24))+((C402=TRUE)*(F402-Calc!F25))+B415)/100)*(1+4.0*IF(C385=TRUE,F385,0)/100)*(1+(IF(Skills!A5="EMPOWERED_PIERCING_ARROW",Inputs!$B$16+((C399=TRUE)*(F399-Calc!F22)),Inputs!$B$17+((C404=TRUE)*(F404-Calc!F27))))/100)*((1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I382)</f>
        <v/>
      </c>
      <c r="L382">
        <f>K382*(MIN((Inputs!$B$21+1)+((C400=TRUE)*(F400-Calc!F23)),Inputs!$B$22+((C405=TRUE)*(F405-Calc!F28)))/100+(Inputs!$B$22+((C405=TRUE)*(F405-Calc!F28)))/100)/2</f>
        <v/>
      </c>
      <c r="M382">
        <f>L382*(1+(Inputs!$B$9+0+B414)/100)</f>
        <v/>
      </c>
      <c r="N382">
        <f>L382*(1-MIN((Inputs!$B$8+((C396=TRUE)*(F396-Calc!F19))+B409),100)/100)+M382*(MIN((Inputs!$B$8+((C396=TRUE)*(F396-Calc!F19))+B409),100)/100)</f>
        <v/>
      </c>
      <c r="O382">
        <f>IF(C382,H382*N382*IF(AND(Inputs!$B$4&lt;&gt;"pvp",Inputs!$B$35&gt;0),((Skills!G5*((R382-1)*IF(Skills!H5&gt;0,Skills!I5/Skills!H5,1)+IF(Skills!H5&gt;0,MIN(Skills!I5,MAX(0,Inputs!$B$35-((R382-1)*IF(Inputs!$B$4="pvp",15,MAX(0.1,Skills!D5-IF(Skills!E5=TRUE,Inputs!$B$31,0))))))/Skills!H5,1)))/Inputs!$B$35),G382*Q382)*IF(Inputs!$B$4="pvp",1,(1-Summary!$B$55)*(1)+Summary!$B$55*(MIN(Skills!R5,Inputs!$B$37))),0)</f>
        <v/>
      </c>
      <c r="P382">
        <f>IF(B417=0,0,O382/B417)</f>
        <v/>
      </c>
      <c r="Q382">
        <f>IFERROR(1/IF(Inputs!$B$4="pvp",15,MAX(0.1,Skills!D5-IF(Skills!E5=TRUE,Inputs!$B$31,0))),0)</f>
        <v/>
      </c>
      <c r="R382">
        <f>IF(AND(Inputs!$B$4&lt;&gt;"pvp",Inputs!$B$35&gt;0),(INT(Inputs!$B$35/IF(Inputs!$B$4="pvp",15,MAX(0.1,Skills!D5-IF(Skills!E5=TRUE,Inputs!$B$31,0))))+1),0)</f>
        <v/>
      </c>
      <c r="S382">
        <f>IFERROR(O382/N382,0)</f>
        <v/>
      </c>
    </row>
    <row r="383">
      <c r="A383">
        <f>Skills!A6</f>
        <v/>
      </c>
      <c r="B383">
        <f>Skills!B6</f>
        <v/>
      </c>
      <c r="C383">
        <f>Inputs!$B$3&gt;=63</f>
        <v/>
      </c>
      <c r="D383">
        <f>IF(Skills!C6=1,60+Inputs!$B$24+Inputs!$B$28,IF(Skills!C6=2,90+Inputs!$B$25+Inputs!$B$28,IF(Skills!C6=3,120+Inputs!$B$26+Inputs!$B$28,MAX(0,(Inputs!$B$3-100)*3)+Inputs!$B$27+Inputs!$B$28)))</f>
        <v/>
      </c>
      <c r="E383">
        <f>INDEX(FactorTable!$B$2:$Y$301, MATCH(ROUND(MIN(300,MAX(1,D383)),0), FactorTable!$A$2:$A$301,0), Skills!M6+1)</f>
        <v/>
      </c>
      <c r="F383">
        <f>IF(Skills!N6=TRUE,(Skills!L6/10)*(E383/1000),Skills!L6/10)+Skills!O6</f>
        <v/>
      </c>
      <c r="G383">
        <f>Skills!G6*IF(Skills!H6&gt;0,Skills!I6/Skills!H6,1)</f>
        <v/>
      </c>
      <c r="H383">
        <f>1-(1-Skills!J6/100)^Skills!K6</f>
        <v/>
      </c>
      <c r="I383" t="inlineStr">
        <is>
          <t>1</t>
        </is>
      </c>
      <c r="J383">
        <f>(Inputs!$B$5*(1+Inputs!$B$6/100))*(F383/100)</f>
        <v/>
      </c>
      <c r="K383">
        <f>J383*(1+((Inputs!$B$11*(1+Inputs!$B$12/100))*0.01+Inputs!$B$13*0.0025)/100)*(1+Inputs!$B$14/100)*(1+IF(Inputs!$B$4="pvp",0,(1-Summary!$B$55)*(Inputs!$B$19+0+Skills!P6)+Summary!$B$55*(Inputs!$B$20+Skills!Q6))/100)*(1+Inputs!$B$15/100)*(5000/(6000+Inputs!$B$7*(1-(Inputs!$B$18+0)/100)))*(1+(Inputs!$B$23+((C401=TRUE)*(F401-Calc!F24))+((C402=TRUE)*(F402-Calc!F25))+B415)/100)*(1+1.0*IF(C385=TRUE,F385,0)/100)*(1+(IF(Skills!A6="EMPOWERED_PIERCING_ARROW",Inputs!$B$16+((C399=TRUE)*(F399-Calc!F22)),Inputs!$B$17+((C404=TRUE)*(F404-Calc!F27))))/100)*((1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I383)</f>
        <v/>
      </c>
      <c r="L383">
        <f>K383*(MIN((Inputs!$B$21+1)+((C400=TRUE)*(F400-Calc!F23)),Inputs!$B$22+((C405=TRUE)*(F405-Calc!F28)))/100+(Inputs!$B$22+((C405=TRUE)*(F405-Calc!F28)))/100)/2</f>
        <v/>
      </c>
      <c r="M383">
        <f>L383*(1+(Inputs!$B$9+0+B414)/100)</f>
        <v/>
      </c>
      <c r="N383">
        <f>L383*(1-MIN((Inputs!$B$8+((C396=TRUE)*(F396-Calc!F19))+B409),100)/100)+M383*(MIN((Inputs!$B$8+((C396=TRUE)*(F396-Calc!F19))+B409),100)/100)</f>
        <v/>
      </c>
      <c r="O383">
        <f>IF(C383,H383*N383*IF(AND(Inputs!$B$4&lt;&gt;"pvp",Inputs!$B$35&gt;0),((Skills!G6*((R383-1)*IF(Skills!H6&gt;0,Skills!I6/Skills!H6,1)+IF(Skills!H6&gt;0,MIN(Skills!I6,MAX(0,Inputs!$B$35-((R383-1)*IF(Inputs!$B$4="pvp",15,MAX(0.1,Skills!D6-IF(Skills!E6=TRUE,Inputs!$B$31,0))))))/Skills!H6,1)))/Inputs!$B$35),G383*Q383)*IF(Inputs!$B$4="pvp",1,(1-Summary!$B$55)*(1)+Summary!$B$55*(MIN(Skills!R6,Inputs!$B$37))),0)</f>
        <v/>
      </c>
      <c r="P383">
        <f>IF(B417=0,0,O383/B417)</f>
        <v/>
      </c>
      <c r="Q383">
        <f>IFERROR(1/IF(Inputs!$B$4="pvp",15,MAX(0.1,Skills!D6-IF(Skills!E6=TRUE,Inputs!$B$31,0))),0)</f>
        <v/>
      </c>
      <c r="R383">
        <f>IF(AND(Inputs!$B$4&lt;&gt;"pvp",Inputs!$B$35&gt;0),(INT(Inputs!$B$35/IF(Inputs!$B$4="pvp",15,MAX(0.1,Skills!D6-IF(Skills!E6=TRUE,Inputs!$B$31,0))))+1),0)</f>
        <v/>
      </c>
      <c r="S383">
        <f>IFERROR(O383/N383,0)</f>
        <v/>
      </c>
    </row>
    <row r="384">
      <c r="A384">
        <f>Skills!A7</f>
        <v/>
      </c>
      <c r="B384">
        <f>Skills!B7</f>
        <v/>
      </c>
      <c r="C384">
        <f>Inputs!$B$3&gt;=69</f>
        <v/>
      </c>
      <c r="D384">
        <f>IF(Skills!C7=1,60+Inputs!$B$24+Inputs!$B$28,IF(Skills!C7=2,90+Inputs!$B$25+Inputs!$B$28,IF(Skills!C7=3,120+Inputs!$B$26+Inputs!$B$28,MAX(0,(Inputs!$B$3-100)*3)+Inputs!$B$27+Inputs!$B$28)))</f>
        <v/>
      </c>
      <c r="E384">
        <f>INDEX(FactorTable!$B$2:$Y$301, MATCH(ROUND(MIN(300,MAX(1,D384)),0), FactorTable!$A$2:$A$301,0), Skills!M7+1)</f>
        <v/>
      </c>
      <c r="F384">
        <f>IF(Skills!N7=TRUE,(Skills!L7/10)*(E384/1000),Skills!L7/10)+Skills!O7</f>
        <v/>
      </c>
      <c r="G384">
        <f>Skills!G7*IF(Skills!H7&gt;0,Skills!I7/Skills!H7,1)</f>
        <v/>
      </c>
      <c r="H384">
        <f>1-(1-Skills!J7/100)^Skills!K7</f>
        <v/>
      </c>
      <c r="I384" t="inlineStr">
        <is>
          <t>1</t>
        </is>
      </c>
      <c r="J384">
        <f>(Inputs!$B$5*(1+Inputs!$B$6/100))*(F384/100)</f>
        <v/>
      </c>
      <c r="K384">
        <f>J384*(1+((Inputs!$B$11*(1+Inputs!$B$12/100))*0.01+Inputs!$B$13*0.0025)/100)*(1+Inputs!$B$14/100)*(1+IF(Inputs!$B$4="pvp",0,(1-Summary!$B$55)*(Inputs!$B$19+0+Skills!P7)+Summary!$B$55*(Inputs!$B$20+Skills!Q7))/100)*(1+Inputs!$B$15/100)*(5000/(6000+Inputs!$B$7*(1-(Inputs!$B$18+0)/100)))*(1+(Inputs!$B$23+((C401=TRUE)*(F401-Calc!F24))+((C402=TRUE)*(F402-Calc!F25))+B415)/100)*(1+1.2*IF(C385=TRUE,F385,0)/100)*(1+(IF(Skills!A7="EMPOWERED_PIERCING_ARROW",Inputs!$B$16+((C399=TRUE)*(F399-Calc!F22)),Inputs!$B$17+((C404=TRUE)*(F404-Calc!F27))))/100)*((1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I384)</f>
        <v/>
      </c>
      <c r="L384">
        <f>K384*(MIN((Inputs!$B$21+1)+((C400=TRUE)*(F400-Calc!F23)),Inputs!$B$22+((C405=TRUE)*(F405-Calc!F28)))/100+(Inputs!$B$22+((C405=TRUE)*(F405-Calc!F28)))/100)/2</f>
        <v/>
      </c>
      <c r="M384">
        <f>L384*(1+(Inputs!$B$9+0+B414)/100)</f>
        <v/>
      </c>
      <c r="N384">
        <f>L384*(1-MIN((Inputs!$B$8+((C396=TRUE)*(F396-Calc!F19))+B409),100)/100)+M384*(MIN((Inputs!$B$8+((C396=TRUE)*(F396-Calc!F19))+B409),100)/100)</f>
        <v/>
      </c>
      <c r="O384">
        <f>IF(C384,H384*N384*IF(AND(Inputs!$B$4&lt;&gt;"pvp",Inputs!$B$35&gt;0),((Skills!G7*((R384-1)*IF(Skills!H7&gt;0,Skills!I7/Skills!H7,1)+IF(Skills!H7&gt;0,MIN(Skills!I7,MAX(0,Inputs!$B$35-((R384-1)*IF(Inputs!$B$4="pvp",15,MAX(0.1,Skills!D7-IF(Skills!E7=TRUE,Inputs!$B$31,0))))))/Skills!H7,1)))/Inputs!$B$35),G384*Q384)*IF(Inputs!$B$4="pvp",1,(1-Summary!$B$55)*(1)+Summary!$B$55*(MIN(Skills!R7,Inputs!$B$37))),0)</f>
        <v/>
      </c>
      <c r="P384">
        <f>IF(B417=0,0,O384/B417)</f>
        <v/>
      </c>
      <c r="Q384">
        <f>IFERROR(1/IF(Inputs!$B$4="pvp",15,MAX(0.1,Skills!D7-IF(Skills!E7=TRUE,Inputs!$B$31,0))),0)</f>
        <v/>
      </c>
      <c r="R384">
        <f>IF(AND(Inputs!$B$4&lt;&gt;"pvp",Inputs!$B$35&gt;0),(INT(Inputs!$B$35/IF(Inputs!$B$4="pvp",15,MAX(0.1,Skills!D7-IF(Skills!E7=TRUE,Inputs!$B$31,0))))+1),0)</f>
        <v/>
      </c>
      <c r="S384">
        <f>IFERROR(O384/N384,0)</f>
        <v/>
      </c>
    </row>
    <row r="385">
      <c r="A385">
        <f>Skills!A8</f>
        <v/>
      </c>
      <c r="B385">
        <f>Skills!B8</f>
        <v/>
      </c>
      <c r="C385">
        <f>Inputs!$B$3&gt;=100</f>
        <v/>
      </c>
      <c r="D385">
        <f>IF(Skills!C8=1,60+Inputs!$B$24+Inputs!$B$28,IF(Skills!C8=2,90+Inputs!$B$25+Inputs!$B$28,IF(Skills!C8=3,120+Inputs!$B$26+Inputs!$B$28,MAX(0,(Inputs!$B$3-100)*3)+Inputs!$B$27+Inputs!$B$28)))</f>
        <v/>
      </c>
      <c r="E385">
        <f>INDEX(FactorTable!$B$2:$Y$301, MATCH(ROUND(MIN(300,MAX(1,D385)),0), FactorTable!$A$2:$A$301,0), Skills!M8+1)</f>
        <v/>
      </c>
      <c r="F385">
        <f>IF(Skills!N8=TRUE,(Skills!L8/10)*(E385/1000),Skills!L8/10)+Skills!O8</f>
        <v/>
      </c>
      <c r="G385" t="inlineStr"/>
      <c r="H385" t="inlineStr"/>
      <c r="I385" t="inlineStr">
        <is>
          <t>1</t>
        </is>
      </c>
      <c r="J385" t="inlineStr"/>
      <c r="K385" t="inlineStr"/>
      <c r="L385" t="inlineStr"/>
      <c r="M385" t="inlineStr"/>
      <c r="N385" t="inlineStr"/>
      <c r="O385" t="inlineStr"/>
      <c r="P385" t="inlineStr"/>
      <c r="Q385" t="inlineStr"/>
      <c r="R385" t="inlineStr"/>
      <c r="S385" t="inlineStr"/>
    </row>
    <row r="386">
      <c r="A386">
        <f>Skills!A9</f>
        <v/>
      </c>
      <c r="B386">
        <f>Skills!B9</f>
        <v/>
      </c>
      <c r="C386">
        <f>Inputs!$B$3&gt;=103</f>
        <v/>
      </c>
      <c r="D386">
        <f>IF(Skills!C9=1,60+Inputs!$B$24+Inputs!$B$28,IF(Skills!C9=2,90+Inputs!$B$25+Inputs!$B$28,IF(Skills!C9=3,120+Inputs!$B$26+Inputs!$B$28,MAX(0,(Inputs!$B$3-100)*3)+Inputs!$B$27+Inputs!$B$28)))</f>
        <v/>
      </c>
      <c r="E386">
        <f>INDEX(FactorTable!$B$2:$Y$301, MATCH(ROUND(MIN(300,MAX(1,D386)),0), FactorTable!$A$2:$A$301,0), Skills!M9+1)</f>
        <v/>
      </c>
      <c r="F386">
        <f>IF(Skills!N9=TRUE,(Skills!L9/10)*(E386/1000),Skills!L9/10)+Skills!O9</f>
        <v/>
      </c>
      <c r="G386">
        <f>Skills!G9*IF(Skills!H9&gt;0,Skills!I9/Skills!H9,1)</f>
        <v/>
      </c>
      <c r="H386">
        <f>1-(1-Skills!J9/100)^Skills!K9</f>
        <v/>
      </c>
      <c r="I386" t="inlineStr">
        <is>
          <t>1</t>
        </is>
      </c>
      <c r="J386">
        <f>(Inputs!$B$5*(1+Inputs!$B$6/100))*(F386/100)</f>
        <v/>
      </c>
      <c r="K386">
        <f>J386*(1+((Inputs!$B$11*(1+Inputs!$B$12/100))*0.01+Inputs!$B$13*0.0025)/100)*(1+Inputs!$B$14/100)*(1+IF(Inputs!$B$4="pvp",0,(1-Summary!$B$55)*(Inputs!$B$19+0+Skills!P9)+Summary!$B$55*(Inputs!$B$20+Skills!Q9))/100)*(1+Inputs!$B$15/100)*(5000/(6000+Inputs!$B$7*(1-(Inputs!$B$18+0)/100)))*(1+(Inputs!$B$23+((C401=TRUE)*(F401-Calc!F24))+((C402=TRUE)*(F402-Calc!F25))+B415)/100)*(1+(IF(Skills!A9="EMPOWERED_PIERCING_ARROW",Inputs!$B$16+((C399=TRUE)*(F399-Calc!F22)),Inputs!$B$17+((C404=TRUE)*(F404-Calc!F27))))/100)*((1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I386)</f>
        <v/>
      </c>
      <c r="L386">
        <f>K386*(MIN((Inputs!$B$21+1)+((C400=TRUE)*(F400-Calc!F23)),Inputs!$B$22+((C405=TRUE)*(F405-Calc!F28)))/100+(Inputs!$B$22+((C405=TRUE)*(F405-Calc!F28)))/100)/2</f>
        <v/>
      </c>
      <c r="M386">
        <f>L386*(1+(Inputs!$B$9+0+B414)/100)</f>
        <v/>
      </c>
      <c r="N386">
        <f>L386*(1-MIN((Inputs!$B$8+((C396=TRUE)*(F396-Calc!F19))+B409),100)/100)+M386*(MIN((Inputs!$B$8+((C396=TRUE)*(F396-Calc!F19))+B409),100)/100)</f>
        <v/>
      </c>
      <c r="O386">
        <f>IF(C386,H386*N386*IF(AND(Inputs!$B$4&lt;&gt;"pvp",Inputs!$B$35&gt;0),((Skills!G9*((R386-1)*IF(Skills!H9&gt;0,Skills!I9/Skills!H9,1)+IF(Skills!H9&gt;0,MIN(Skills!I9,MAX(0,Inputs!$B$35-((R386-1)*IF(Inputs!$B$4="pvp",15,MAX(0.1,Skills!D9-IF(Skills!E9=TRUE,Inputs!$B$31,0))))))/Skills!H9,1)))/Inputs!$B$35),G386*Q386)*IF(Inputs!$B$4="pvp",1,(1-Summary!$B$55)*(1)+Summary!$B$55*(MIN(Skills!R9,Inputs!$B$37))),0)</f>
        <v/>
      </c>
      <c r="P386">
        <f>IF(B417=0,0,O386/B417)</f>
        <v/>
      </c>
      <c r="Q386">
        <f>IFERROR(1/IF(Inputs!$B$4="pvp",15,MAX(0.1,Skills!D9-IF(Skills!E9=TRUE,Inputs!$B$31,0))),0)</f>
        <v/>
      </c>
      <c r="R386">
        <f>IF(AND(Inputs!$B$4&lt;&gt;"pvp",Inputs!$B$35&gt;0),(INT(Inputs!$B$35/IF(Inputs!$B$4="pvp",15,MAX(0.1,Skills!D9-IF(Skills!E9=TRUE,Inputs!$B$31,0))))+1),0)</f>
        <v/>
      </c>
      <c r="S386">
        <f>IFERROR(O386/N386,0)</f>
        <v/>
      </c>
    </row>
    <row r="387">
      <c r="A387">
        <f>Skills!A10</f>
        <v/>
      </c>
      <c r="B387">
        <f>Skills!B10</f>
        <v/>
      </c>
      <c r="C387">
        <f>Inputs!$B$3&gt;=107</f>
        <v/>
      </c>
      <c r="D387">
        <f>IF(Skills!C10=1,60+Inputs!$B$24+Inputs!$B$28,IF(Skills!C10=2,90+Inputs!$B$25+Inputs!$B$28,IF(Skills!C10=3,120+Inputs!$B$26+Inputs!$B$28,MAX(0,(Inputs!$B$3-100)*3)+Inputs!$B$27+Inputs!$B$28)))</f>
        <v/>
      </c>
      <c r="E387">
        <f>INDEX(FactorTable!$B$2:$Y$301, MATCH(ROUND(MIN(300,MAX(1,D387)),0), FactorTable!$A$2:$A$301,0), Skills!M10+1)</f>
        <v/>
      </c>
      <c r="F387">
        <f>IF(Skills!N10=TRUE,(Skills!L10/10)*(E387/1000),Skills!L10/10)+Skills!O10</f>
        <v/>
      </c>
      <c r="G387">
        <f>Skills!G10*IF(Skills!H10&gt;0,Skills!I10/Skills!H10,1)</f>
        <v/>
      </c>
      <c r="H387">
        <f>1-(1-Skills!J10/100)^Skills!K10</f>
        <v/>
      </c>
      <c r="I387" t="inlineStr">
        <is>
          <t>1</t>
        </is>
      </c>
      <c r="J387">
        <f>(Inputs!$B$5*(1+Inputs!$B$6/100))*(F387/100)</f>
        <v/>
      </c>
      <c r="K387">
        <f>J387*(1+((Inputs!$B$11*(1+Inputs!$B$12/100))*0.01+Inputs!$B$13*0.0025)/100)*(1+Inputs!$B$14/100)*(1+IF(Inputs!$B$4="pvp",0,(1-Summary!$B$55)*(Inputs!$B$19+0+Skills!P10)+Summary!$B$55*(Inputs!$B$20+Skills!Q10))/100)*(1+Inputs!$B$15/100)*(5000/(6000+Inputs!$B$7*(1-(Inputs!$B$18+0)/100)))*(1+(Inputs!$B$23+((C401=TRUE)*(F401-Calc!F24))+((C402=TRUE)*(F402-Calc!F25))+B415)/100)*(1+(IF(Skills!A10="EMPOWERED_PIERCING_ARROW",Inputs!$B$16+((C399=TRUE)*(F399-Calc!F22)),Inputs!$B$17+((C404=TRUE)*(F404-Calc!F27))))/100)*((1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I387)</f>
        <v/>
      </c>
      <c r="L387">
        <f>K387*(MIN((Inputs!$B$21+1)+((C400=TRUE)*(F400-Calc!F23)),Inputs!$B$22+((C405=TRUE)*(F405-Calc!F28)))/100+(Inputs!$B$22+((C405=TRUE)*(F405-Calc!F28)))/100)/2</f>
        <v/>
      </c>
      <c r="M387">
        <f>L387*(1+(Inputs!$B$9+0+B414)/100)</f>
        <v/>
      </c>
      <c r="N387">
        <f>L387*(1-MIN((Inputs!$B$8+((C396=TRUE)*(F396-Calc!F19))+B409),100)/100)+M387*(MIN((Inputs!$B$8+((C396=TRUE)*(F396-Calc!F19))+B409),100)/100)</f>
        <v/>
      </c>
      <c r="O387">
        <f>IF(C387,0.15*SUMPRODUCT((Skills!U2:U29=TRUE)*(C379:C406=TRUE)*S379:S406)*Skills!G10*N387*IF(Inputs!$B$4="pvp",1,(1-Summary!$B$55)*(1)+Summary!$B$55*(MIN(Skills!R10,Inputs!$B$37))),0)</f>
        <v/>
      </c>
      <c r="P387">
        <f>IF(B417=0,0,O387/B417)</f>
        <v/>
      </c>
      <c r="Q387" t="n">
        <v>0</v>
      </c>
      <c r="R387" t="n">
        <v>0</v>
      </c>
      <c r="S387" t="n">
        <v>0</v>
      </c>
    </row>
    <row r="388">
      <c r="A388">
        <f>Skills!A11</f>
        <v/>
      </c>
      <c r="B388">
        <f>Skills!B11</f>
        <v/>
      </c>
      <c r="C388">
        <f>Inputs!$B$3&gt;=110</f>
        <v/>
      </c>
      <c r="D388">
        <f>IF(Skills!C11=1,60+Inputs!$B$24+Inputs!$B$28,IF(Skills!C11=2,90+Inputs!$B$25+Inputs!$B$28,IF(Skills!C11=3,120+Inputs!$B$26+Inputs!$B$28,MAX(0,(Inputs!$B$3-100)*3)+Inputs!$B$27+Inputs!$B$28)))</f>
        <v/>
      </c>
      <c r="E388">
        <f>INDEX(FactorTable!$B$2:$Y$301, MATCH(ROUND(MIN(300,MAX(1,D388)),0), FactorTable!$A$2:$A$301,0), Skills!M11+1)</f>
        <v/>
      </c>
      <c r="F388">
        <f>IF(Skills!N11=TRUE,(Skills!L11/10)*(E388/1000),Skills!L11/10)+Skills!O11</f>
        <v/>
      </c>
      <c r="G388">
        <f>Skills!G11*IF(Skills!H11&gt;0,Skills!I11/Skills!H11,1)</f>
        <v/>
      </c>
      <c r="H388">
        <f>1-(1-Skills!J11/100)^Skills!K11</f>
        <v/>
      </c>
      <c r="I388" t="inlineStr">
        <is>
          <t>1</t>
        </is>
      </c>
      <c r="J388">
        <f>(Inputs!$B$5*(1+Inputs!$B$6/100))*(F388/100)</f>
        <v/>
      </c>
      <c r="K388">
        <f>J388*(1+((Inputs!$B$11*(1+Inputs!$B$12/100))*0.01+Inputs!$B$13*0.0025)/100)*(1+Inputs!$B$14/100)*(1+IF(Inputs!$B$4="pvp",0,(1-Summary!$B$55)*(Inputs!$B$19+0+Skills!P11)+Summary!$B$55*(Inputs!$B$20+Skills!Q11))/100)*(1+Inputs!$B$15/100)*(5000/(6000+Inputs!$B$7*(1-(Inputs!$B$18+0)/100)))*(1+(Inputs!$B$23+((C401=TRUE)*(F401-Calc!F24))+((C402=TRUE)*(F402-Calc!F25))+B415)/100)*(1+(IF(Skills!A11="EMPOWERED_PIERCING_ARROW",Inputs!$B$16+((C399=TRUE)*(F399-Calc!F22)),Inputs!$B$17+((C404=TRUE)*(F404-Calc!F27))))/100)*((1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I388)</f>
        <v/>
      </c>
      <c r="L388">
        <f>K388*(MIN((Inputs!$B$21+1)+((C400=TRUE)*(F400-Calc!F23)),Inputs!$B$22+((C405=TRUE)*(F405-Calc!F28)))/100+(Inputs!$B$22+((C405=TRUE)*(F405-Calc!F28)))/100)/2</f>
        <v/>
      </c>
      <c r="M388">
        <f>L388*(1+(Inputs!$B$9+0+B414)/100)</f>
        <v/>
      </c>
      <c r="N388">
        <f>L388*(1-MIN((Inputs!$B$8+((C396=TRUE)*(F396-Calc!F19))+B409),100)/100)+M388*(MIN((Inputs!$B$8+((C396=TRUE)*(F396-Calc!F19))+B409),100)/100)</f>
        <v/>
      </c>
      <c r="O388">
        <f>IF(C388,H388*N388*IF(AND(Inputs!$B$4&lt;&gt;"pvp",Inputs!$B$35&gt;0),((Skills!G11*((R388-1)*IF(Skills!H11&gt;0,Skills!I11/Skills!H11,1)+IF(Skills!H11&gt;0,MIN(Skills!I11,MAX(0,Inputs!$B$35-((R388-1)*IF(Inputs!$B$4="pvp",15,MAX(0.1,Skills!D11-IF(Skills!E11=TRUE,Inputs!$B$31,0))))))/Skills!H11,1)))/Inputs!$B$35),G388*Q388)*IF(Inputs!$B$4="pvp",1,(1-Summary!$B$55)*(1)+Summary!$B$55*(MIN(Skills!R11,Inputs!$B$37))),0)</f>
        <v/>
      </c>
      <c r="P388">
        <f>IF(B417=0,0,O388/B417)</f>
        <v/>
      </c>
      <c r="Q388">
        <f>IFERROR(1/IF(Inputs!$B$4="pvp",15,MAX(0.1,Skills!D11-IF(Skills!E11=TRUE,Inputs!$B$31,0))),0)</f>
        <v/>
      </c>
      <c r="R388">
        <f>IF(AND(Inputs!$B$4&lt;&gt;"pvp",Inputs!$B$35&gt;0),(INT(Inputs!$B$35/IF(Inputs!$B$4="pvp",15,MAX(0.1,Skills!D11-IF(Skills!E11=TRUE,Inputs!$B$31,0))))+1),0)</f>
        <v/>
      </c>
      <c r="S388">
        <f>IFERROR(O388/N388,0)</f>
        <v/>
      </c>
    </row>
    <row r="389">
      <c r="A389">
        <f>Skills!A12</f>
        <v/>
      </c>
      <c r="B389">
        <f>Skills!B12</f>
        <v/>
      </c>
      <c r="C389">
        <f>Inputs!$B$3&gt;=60</f>
        <v/>
      </c>
      <c r="D389">
        <f>IF(Skills!C12=1,60+Inputs!$B$24+Inputs!$B$28,IF(Skills!C12=2,90+Inputs!$B$25+Inputs!$B$28,IF(Skills!C12=3,120+Inputs!$B$26+Inputs!$B$28,MAX(0,(Inputs!$B$3-100)*3)+Inputs!$B$27+Inputs!$B$28)))</f>
        <v/>
      </c>
      <c r="E389">
        <f>INDEX(FactorTable!$B$2:$Y$301, MATCH(ROUND(MIN(300,MAX(1,D389)),0), FactorTable!$A$2:$A$301,0), Skills!M12+1)</f>
        <v/>
      </c>
      <c r="F389">
        <f>IF(Skills!N12=TRUE,(Skills!L12/10)*(E389/1000),Skills!L12/10)+Skills!O12</f>
        <v/>
      </c>
      <c r="G389">
        <f>Skills!G12*IF(Skills!H12&gt;0,Skills!I12/Skills!H12,1)</f>
        <v/>
      </c>
      <c r="H389">
        <f>1-(1-Skills!J12/100)^Skills!K12</f>
        <v/>
      </c>
      <c r="I389" t="inlineStr">
        <is>
          <t>1</t>
        </is>
      </c>
      <c r="J389" t="inlineStr"/>
      <c r="K389" t="inlineStr"/>
      <c r="L389" t="inlineStr"/>
      <c r="M389" t="inlineStr"/>
      <c r="N389" t="inlineStr"/>
      <c r="O389" t="n">
        <v>0</v>
      </c>
      <c r="P389">
        <f>IF(B417=0,0,O389/B417)</f>
        <v/>
      </c>
      <c r="Q389" t="n">
        <v>0</v>
      </c>
      <c r="R389" t="n">
        <v>0</v>
      </c>
      <c r="S389">
        <f>IFERROR(O389/N389,0)</f>
        <v/>
      </c>
    </row>
    <row r="390">
      <c r="A390">
        <f>Skills!A13</f>
        <v/>
      </c>
      <c r="B390">
        <f>Skills!B13</f>
        <v/>
      </c>
      <c r="C390">
        <f>Inputs!$B$3&gt;=74</f>
        <v/>
      </c>
      <c r="D390">
        <f>IF(Skills!C13=1,60+Inputs!$B$24+Inputs!$B$28,IF(Skills!C13=2,90+Inputs!$B$25+Inputs!$B$28,IF(Skills!C13=3,120+Inputs!$B$26+Inputs!$B$28,MAX(0,(Inputs!$B$3-100)*3)+Inputs!$B$27+Inputs!$B$28)))</f>
        <v/>
      </c>
      <c r="E390">
        <f>INDEX(FactorTable!$B$2:$Y$301, MATCH(ROUND(MIN(300,MAX(1,D390)),0), FactorTable!$A$2:$A$301,0), Skills!M13+1)</f>
        <v/>
      </c>
      <c r="F390">
        <f>IF(Skills!N13=TRUE,(Skills!L13/10)*(E390/1000),Skills!L13/10)+Skills!O13</f>
        <v/>
      </c>
      <c r="G390">
        <f>Skills!G13*IF(Skills!H13&gt;0,Skills!I13/Skills!H13,1)</f>
        <v/>
      </c>
      <c r="H390">
        <f>1-(1-Skills!J13/100)^Skills!K13</f>
        <v/>
      </c>
      <c r="I390" t="inlineStr">
        <is>
          <t>1</t>
        </is>
      </c>
      <c r="J390" t="inlineStr"/>
      <c r="K390" t="inlineStr"/>
      <c r="L390" t="inlineStr"/>
      <c r="M390" t="inlineStr"/>
      <c r="N390" t="inlineStr"/>
      <c r="O390" t="n">
        <v>0</v>
      </c>
      <c r="P390">
        <f>IF(B417=0,0,O390/B417)</f>
        <v/>
      </c>
      <c r="Q390" t="n">
        <v>0</v>
      </c>
      <c r="R390" t="n">
        <v>0</v>
      </c>
      <c r="S390">
        <f>IFERROR(O390/N390,0)</f>
        <v/>
      </c>
    </row>
    <row r="391">
      <c r="A391">
        <f>Skills!A14</f>
        <v/>
      </c>
      <c r="B391">
        <f>Skills!B14</f>
        <v/>
      </c>
      <c r="C391">
        <f>Inputs!$B$3&gt;=74</f>
        <v/>
      </c>
      <c r="D391">
        <f>IF(Skills!C14=1,60+Inputs!$B$24+Inputs!$B$28,IF(Skills!C14=2,90+Inputs!$B$25+Inputs!$B$28,IF(Skills!C14=3,120+Inputs!$B$26+Inputs!$B$28,MAX(0,(Inputs!$B$3-100)*3)+Inputs!$B$27+Inputs!$B$28)))</f>
        <v/>
      </c>
      <c r="E391">
        <f>INDEX(FactorTable!$B$2:$Y$301, MATCH(ROUND(MIN(300,MAX(1,D391)),0), FactorTable!$A$2:$A$301,0), Skills!M14+1)</f>
        <v/>
      </c>
      <c r="F391">
        <f>IF(Skills!N14=TRUE,(Skills!L14/10)*(E391/1000),Skills!L14/10)+Skills!O14</f>
        <v/>
      </c>
      <c r="G391">
        <f>Skills!G14*IF(Skills!H14&gt;0,Skills!I14/Skills!H14,1)</f>
        <v/>
      </c>
      <c r="H391">
        <f>1-(1-Skills!J14/100)^Skills!K14</f>
        <v/>
      </c>
      <c r="I391" t="inlineStr">
        <is>
          <t>1</t>
        </is>
      </c>
      <c r="J391" t="inlineStr"/>
      <c r="K391" t="inlineStr"/>
      <c r="L391" t="inlineStr"/>
      <c r="M391" t="inlineStr"/>
      <c r="N391" t="inlineStr"/>
      <c r="O391" t="n">
        <v>0</v>
      </c>
      <c r="P391">
        <f>IF(B417=0,0,O391/B417)</f>
        <v/>
      </c>
      <c r="Q391" t="n">
        <v>0</v>
      </c>
      <c r="R391" t="n">
        <v>0</v>
      </c>
      <c r="S391">
        <f>IFERROR(O391/N391,0)</f>
        <v/>
      </c>
    </row>
    <row r="392">
      <c r="A392">
        <f>Skills!A15</f>
        <v/>
      </c>
      <c r="B392">
        <f>Skills!B15</f>
        <v/>
      </c>
      <c r="C392">
        <f>Inputs!$B$3&gt;=117</f>
        <v/>
      </c>
      <c r="D392">
        <f>IF(Skills!C15=1,60+Inputs!$B$24+Inputs!$B$28,IF(Skills!C15=2,90+Inputs!$B$25+Inputs!$B$28,IF(Skills!C15=3,120+Inputs!$B$26+Inputs!$B$28,MAX(0,(Inputs!$B$3-100)*3)+Inputs!$B$27+Inputs!$B$28)))</f>
        <v/>
      </c>
      <c r="E392">
        <f>INDEX(FactorTable!$B$2:$Y$301, MATCH(ROUND(MIN(300,MAX(1,D392)),0), FactorTable!$A$2:$A$301,0), Skills!M15+1)</f>
        <v/>
      </c>
      <c r="F392">
        <f>IF(Skills!N15=TRUE,(Skills!L15/10)*(E392/1000),Skills!L15/10)+Skills!O15</f>
        <v/>
      </c>
      <c r="G392">
        <f>Skills!G15*IF(Skills!H15&gt;0,Skills!I15/Skills!H15,1)</f>
        <v/>
      </c>
      <c r="H392">
        <f>1-(1-Skills!J15/100)^Skills!K15</f>
        <v/>
      </c>
      <c r="I392" t="inlineStr">
        <is>
          <t>1</t>
        </is>
      </c>
      <c r="J392" t="inlineStr"/>
      <c r="K392" t="inlineStr"/>
      <c r="L392" t="inlineStr"/>
      <c r="M392" t="inlineStr"/>
      <c r="N392" t="inlineStr"/>
      <c r="O392" t="n">
        <v>0</v>
      </c>
      <c r="P392">
        <f>IF(B417=0,0,O392/B417)</f>
        <v/>
      </c>
      <c r="Q392">
        <f>IFERROR(1/IF(Inputs!$B$4="pvp",15,MAX(0.1,Skills!D15-IF(Skills!E15=TRUE,Inputs!$B$31,0))),0)</f>
        <v/>
      </c>
      <c r="R392">
        <f>IF(AND(Inputs!$B$4&lt;&gt;"pvp",Inputs!$B$35&gt;0),(INT(Inputs!$B$35/IF(Inputs!$B$4="pvp",15,MAX(0.1,Skills!D15-IF(Skills!E15=TRUE,Inputs!$B$31,0))))+1),0)</f>
        <v/>
      </c>
      <c r="S392">
        <f>IFERROR(O392/N392,0)</f>
        <v/>
      </c>
    </row>
    <row r="393">
      <c r="A393">
        <f>Skills!A16</f>
        <v/>
      </c>
      <c r="B393">
        <f>Skills!B16</f>
        <v/>
      </c>
      <c r="C393">
        <f>Inputs!$B$3&gt;=115</f>
        <v/>
      </c>
      <c r="D393">
        <f>IF(Skills!C16=1,60+Inputs!$B$24+Inputs!$B$28,IF(Skills!C16=2,90+Inputs!$B$25+Inputs!$B$28,IF(Skills!C16=3,120+Inputs!$B$26+Inputs!$B$28,MAX(0,(Inputs!$B$3-100)*3)+Inputs!$B$27+Inputs!$B$28)))</f>
        <v/>
      </c>
      <c r="E393">
        <f>INDEX(FactorTable!$B$2:$Y$301, MATCH(ROUND(MIN(300,MAX(1,D393)),0), FactorTable!$A$2:$A$301,0), Skills!M16+1)</f>
        <v/>
      </c>
      <c r="F393">
        <f>IF(Skills!N16=TRUE,(Skills!L16/10)*(E393/1000),Skills!L16/10)+Skills!O16</f>
        <v/>
      </c>
      <c r="G393">
        <f>Skills!G16*IF(Skills!H16&gt;0,Skills!I16/Skills!H16,1)</f>
        <v/>
      </c>
      <c r="H393">
        <f>1-(1-Skills!J16/100)^Skills!K16</f>
        <v/>
      </c>
      <c r="I393" t="inlineStr">
        <is>
          <t>1</t>
        </is>
      </c>
      <c r="J393" t="inlineStr"/>
      <c r="K393" t="inlineStr"/>
      <c r="L393" t="inlineStr"/>
      <c r="M393" t="inlineStr"/>
      <c r="N393" t="inlineStr"/>
      <c r="O393" t="n">
        <v>0</v>
      </c>
      <c r="P393">
        <f>IF(B417=0,0,O393/B417)</f>
        <v/>
      </c>
      <c r="Q393">
        <f>IFERROR(1/IF(Inputs!$B$4="pvp",15,MAX(0.1,Skills!D16-IF(Skills!E16=TRUE,Inputs!$B$31,0))),0)</f>
        <v/>
      </c>
      <c r="R393">
        <f>IF(AND(Inputs!$B$4&lt;&gt;"pvp",Inputs!$B$35&gt;0),(INT(Inputs!$B$35/IF(Inputs!$B$4="pvp",15,MAX(0.1,Skills!D16-IF(Skills!E16=TRUE,Inputs!$B$31,0))))+1),0)</f>
        <v/>
      </c>
      <c r="S393">
        <f>IFERROR(O393/N393,0)</f>
        <v/>
      </c>
    </row>
    <row r="394">
      <c r="A394">
        <f>Skills!A17</f>
        <v/>
      </c>
      <c r="B394">
        <f>Skills!B17</f>
        <v/>
      </c>
      <c r="C394">
        <f>Inputs!$B$3&gt;=72</f>
        <v/>
      </c>
      <c r="D394">
        <f>IF(Skills!C17=1,60+Inputs!$B$24+Inputs!$B$28,IF(Skills!C17=2,90+Inputs!$B$25+Inputs!$B$28,IF(Skills!C17=3,120+Inputs!$B$26+Inputs!$B$28,MAX(0,(Inputs!$B$3-100)*3)+Inputs!$B$27+Inputs!$B$28)))</f>
        <v/>
      </c>
      <c r="E394">
        <f>INDEX(FactorTable!$B$2:$Y$301, MATCH(ROUND(MIN(300,MAX(1,D394)),0), FactorTable!$A$2:$A$301,0), Skills!M17+1)</f>
        <v/>
      </c>
      <c r="F394">
        <f>IF(Skills!N17=TRUE,(Skills!L17/10)*(E394/1000),Skills!L17/10)+Skills!O17</f>
        <v/>
      </c>
      <c r="G394">
        <f>Skills!G17*IF(Skills!H17&gt;0,Skills!I17/Skills!H17,1)</f>
        <v/>
      </c>
      <c r="H394">
        <f>1-(1-Skills!J17/100)^Skills!K17</f>
        <v/>
      </c>
      <c r="I394" t="inlineStr">
        <is>
          <t>1</t>
        </is>
      </c>
      <c r="J394" t="inlineStr"/>
      <c r="K394" t="inlineStr"/>
      <c r="L394" t="inlineStr"/>
      <c r="M394" t="inlineStr"/>
      <c r="N394" t="inlineStr"/>
      <c r="O394" t="n">
        <v>0</v>
      </c>
      <c r="P394">
        <f>IF(B417=0,0,O394/B417)</f>
        <v/>
      </c>
      <c r="Q394" t="n">
        <v>0</v>
      </c>
      <c r="R394" t="n">
        <v>0</v>
      </c>
      <c r="S394">
        <f>IFERROR(O394/N394,0)</f>
        <v/>
      </c>
    </row>
    <row r="395">
      <c r="A395">
        <f>Skills!A18</f>
        <v/>
      </c>
      <c r="B395">
        <f>Skills!B18</f>
        <v/>
      </c>
      <c r="C395">
        <f>TRUE</f>
        <v/>
      </c>
      <c r="D395">
        <f>IF(Skills!C18=1,60+Inputs!$B$24+Inputs!$B$28,IF(Skills!C18=2,90+Inputs!$B$25+Inputs!$B$28,IF(Skills!C18=3,120+Inputs!$B$26+Inputs!$B$28,MAX(0,(Inputs!$B$3-100)*3)+Inputs!$B$27+Inputs!$B$28)))</f>
        <v/>
      </c>
      <c r="E395">
        <f>INDEX(FactorTable!$B$2:$Y$301, MATCH(ROUND(MIN(300,MAX(1,D395)),0), FactorTable!$A$2:$A$301,0), Skills!M18+1)</f>
        <v/>
      </c>
      <c r="F395">
        <f>IF(Skills!N18=TRUE,(Skills!L18/10)*(E395/1000),Skills!L18/10)+Skills!O18</f>
        <v/>
      </c>
      <c r="G395">
        <f>Skills!G18*IF(Skills!H18&gt;0,Skills!I18/Skills!H18,1)</f>
        <v/>
      </c>
      <c r="H395">
        <f>1-(1-Skills!J18/100)^Skills!K18</f>
        <v/>
      </c>
      <c r="I395" t="inlineStr">
        <is>
          <t>1</t>
        </is>
      </c>
      <c r="J395" t="inlineStr"/>
      <c r="K395" t="inlineStr"/>
      <c r="L395" t="inlineStr"/>
      <c r="M395" t="inlineStr"/>
      <c r="N395" t="inlineStr"/>
      <c r="O395" t="n">
        <v>0</v>
      </c>
      <c r="P395">
        <f>IF(B417=0,0,O395/B417)</f>
        <v/>
      </c>
      <c r="Q395">
        <f>IFERROR(1/IF(Inputs!$B$4="pvp",15,MAX(0.1,Skills!D18-IF(Skills!E18=TRUE,Inputs!$B$31,0))),0)</f>
        <v/>
      </c>
      <c r="R395">
        <f>IF(AND(Inputs!$B$4&lt;&gt;"pvp",Inputs!$B$35&gt;0),(INT(Inputs!$B$35/IF(Inputs!$B$4="pvp",15,MAX(0.1,Skills!D18-IF(Skills!E18=TRUE,Inputs!$B$31,0))))+1),0)</f>
        <v/>
      </c>
      <c r="S395">
        <f>IFERROR(O395/N395,0)</f>
        <v/>
      </c>
    </row>
    <row r="396">
      <c r="A396">
        <f>Skills!A19</f>
        <v/>
      </c>
      <c r="B396">
        <f>Skills!B19</f>
        <v/>
      </c>
      <c r="C396">
        <f>Inputs!$B$3&gt;=15</f>
        <v/>
      </c>
      <c r="D396">
        <f>IF(Skills!C19=1,60+Inputs!$B$24+Inputs!$B$28,IF(Skills!C19=2,90+Inputs!$B$25+Inputs!$B$28,IF(Skills!C19=3,120+Inputs!$B$26+Inputs!$B$28,MAX(0,(Inputs!$B$3-100)*3)+Inputs!$B$27+Inputs!$B$28)))</f>
        <v/>
      </c>
      <c r="E396">
        <f>INDEX(FactorTable!$B$2:$Y$301, MATCH(ROUND(MIN(300,MAX(1,D396)),0), FactorTable!$A$2:$A$301,0), Skills!M19+1)</f>
        <v/>
      </c>
      <c r="F396">
        <f>IF(Skills!N19=TRUE,(Skills!L19/10)*(E396/1000),Skills!L19/10)+Skills!O19</f>
        <v/>
      </c>
      <c r="G396">
        <f>Skills!G19*IF(Skills!H19&gt;0,Skills!I19/Skills!H19,1)</f>
        <v/>
      </c>
      <c r="H396">
        <f>1-(1-Skills!J19/100)^Skills!K19</f>
        <v/>
      </c>
      <c r="I396" t="inlineStr">
        <is>
          <t>1</t>
        </is>
      </c>
      <c r="J396" t="inlineStr"/>
      <c r="K396" t="inlineStr"/>
      <c r="L396" t="inlineStr"/>
      <c r="M396" t="inlineStr"/>
      <c r="N396" t="inlineStr"/>
      <c r="O396" t="n">
        <v>0</v>
      </c>
      <c r="P396">
        <f>IF(B417=0,0,O396/B417)</f>
        <v/>
      </c>
      <c r="Q396" t="n">
        <v>0</v>
      </c>
      <c r="R396" t="n">
        <v>0</v>
      </c>
      <c r="S396">
        <f>IFERROR(O396/N396,0)</f>
        <v/>
      </c>
    </row>
    <row r="397">
      <c r="A397">
        <f>Skills!A20</f>
        <v/>
      </c>
      <c r="B397">
        <f>Skills!B20</f>
        <v/>
      </c>
      <c r="C397">
        <f>Inputs!$B$3&gt;=10</f>
        <v/>
      </c>
      <c r="D397">
        <f>IF(Skills!C20=1,60+Inputs!$B$24+Inputs!$B$28,IF(Skills!C20=2,90+Inputs!$B$25+Inputs!$B$28,IF(Skills!C20=3,120+Inputs!$B$26+Inputs!$B$28,MAX(0,(Inputs!$B$3-100)*3)+Inputs!$B$27+Inputs!$B$28)))</f>
        <v/>
      </c>
      <c r="E397">
        <f>INDEX(FactorTable!$B$2:$Y$301, MATCH(ROUND(MIN(300,MAX(1,D397)),0), FactorTable!$A$2:$A$301,0), Skills!M20+1)</f>
        <v/>
      </c>
      <c r="F397">
        <f>IF(Skills!N20=TRUE,(Skills!L20/10)*(E397/1000),Skills!L20/10)+Skills!O20</f>
        <v/>
      </c>
      <c r="G397">
        <f>Skills!G20*IF(Skills!H20&gt;0,Skills!I20/Skills!H20,1)</f>
        <v/>
      </c>
      <c r="H397">
        <f>1-(1-Skills!J20/100)^Skills!K20</f>
        <v/>
      </c>
      <c r="I397" t="inlineStr">
        <is>
          <t>1</t>
        </is>
      </c>
      <c r="J397" t="inlineStr"/>
      <c r="K397" t="inlineStr"/>
      <c r="L397" t="inlineStr"/>
      <c r="M397" t="inlineStr"/>
      <c r="N397" t="inlineStr"/>
      <c r="O397" t="n">
        <v>0</v>
      </c>
      <c r="P397">
        <f>IF(B417=0,0,O397/B417)</f>
        <v/>
      </c>
      <c r="Q397" t="n">
        <v>0</v>
      </c>
      <c r="R397" t="n">
        <v>0</v>
      </c>
      <c r="S397">
        <f>IFERROR(O397/N397,0)</f>
        <v/>
      </c>
    </row>
    <row r="398">
      <c r="A398">
        <f>Skills!A21</f>
        <v/>
      </c>
      <c r="B398">
        <f>Skills!B21</f>
        <v/>
      </c>
      <c r="C398">
        <f>Inputs!$B$3&gt;=33</f>
        <v/>
      </c>
      <c r="D398">
        <f>IF(Skills!C21=1,60+Inputs!$B$24+Inputs!$B$28,IF(Skills!C21=2,90+Inputs!$B$25+Inputs!$B$28,IF(Skills!C21=3,120+Inputs!$B$26+Inputs!$B$28,MAX(0,(Inputs!$B$3-100)*3)+Inputs!$B$27+Inputs!$B$28)))</f>
        <v/>
      </c>
      <c r="E398">
        <f>INDEX(FactorTable!$B$2:$Y$301, MATCH(ROUND(MIN(300,MAX(1,D398)),0), FactorTable!$A$2:$A$301,0), Skills!M21+1)</f>
        <v/>
      </c>
      <c r="F398">
        <f>IF(Skills!N21=TRUE,(Skills!L21/10)*(E398/1000),Skills!L21/10)+Skills!O21</f>
        <v/>
      </c>
      <c r="G398">
        <f>Skills!G21*IF(Skills!H21&gt;0,Skills!I21/Skills!H21,1)</f>
        <v/>
      </c>
      <c r="H398">
        <f>1-(1-Skills!J21/100)^Skills!K21</f>
        <v/>
      </c>
      <c r="I398" t="inlineStr">
        <is>
          <t>1</t>
        </is>
      </c>
      <c r="J398" t="inlineStr"/>
      <c r="K398" t="inlineStr"/>
      <c r="L398" t="inlineStr"/>
      <c r="M398" t="inlineStr"/>
      <c r="N398" t="inlineStr"/>
      <c r="O398" t="n">
        <v>0</v>
      </c>
      <c r="P398">
        <f>IF(B417=0,0,O398/B417)</f>
        <v/>
      </c>
      <c r="Q398" t="n">
        <v>0</v>
      </c>
      <c r="R398" t="n">
        <v>0</v>
      </c>
      <c r="S398">
        <f>IFERROR(O398/N398,0)</f>
        <v/>
      </c>
    </row>
    <row r="399">
      <c r="A399">
        <f>Skills!A22</f>
        <v/>
      </c>
      <c r="B399">
        <f>Skills!B22</f>
        <v/>
      </c>
      <c r="C399">
        <f>Inputs!$B$3&gt;=38</f>
        <v/>
      </c>
      <c r="D399">
        <f>IF(Skills!C22=1,60+Inputs!$B$24+Inputs!$B$28,IF(Skills!C22=2,90+Inputs!$B$25+Inputs!$B$28,IF(Skills!C22=3,120+Inputs!$B$26+Inputs!$B$28,MAX(0,(Inputs!$B$3-100)*3)+Inputs!$B$27+Inputs!$B$28)))</f>
        <v/>
      </c>
      <c r="E399">
        <f>INDEX(FactorTable!$B$2:$Y$301, MATCH(ROUND(MIN(300,MAX(1,D399)),0), FactorTable!$A$2:$A$301,0), Skills!M22+1)</f>
        <v/>
      </c>
      <c r="F399">
        <f>IF(Skills!N22=TRUE,(Skills!L22/10)*(E399/1000),Skills!L22/10)+Skills!O22</f>
        <v/>
      </c>
      <c r="G399">
        <f>Skills!G22*IF(Skills!H22&gt;0,Skills!I22/Skills!H22,1)</f>
        <v/>
      </c>
      <c r="H399">
        <f>1-(1-Skills!J22/100)^Skills!K22</f>
        <v/>
      </c>
      <c r="I399" t="inlineStr">
        <is>
          <t>1</t>
        </is>
      </c>
      <c r="J399" t="inlineStr"/>
      <c r="K399" t="inlineStr"/>
      <c r="L399" t="inlineStr"/>
      <c r="M399" t="inlineStr"/>
      <c r="N399" t="inlineStr"/>
      <c r="O399" t="n">
        <v>0</v>
      </c>
      <c r="P399">
        <f>IF(B417=0,0,O399/B417)</f>
        <v/>
      </c>
      <c r="Q399" t="n">
        <v>0</v>
      </c>
      <c r="R399" t="n">
        <v>0</v>
      </c>
      <c r="S399">
        <f>IFERROR(O399/N399,0)</f>
        <v/>
      </c>
    </row>
    <row r="400">
      <c r="A400">
        <f>Skills!A23</f>
        <v/>
      </c>
      <c r="B400">
        <f>Skills!B23</f>
        <v/>
      </c>
      <c r="C400">
        <f>Inputs!$B$3&gt;=43</f>
        <v/>
      </c>
      <c r="D400">
        <f>IF(Skills!C23=1,60+Inputs!$B$24+Inputs!$B$28,IF(Skills!C23=2,90+Inputs!$B$25+Inputs!$B$28,IF(Skills!C23=3,120+Inputs!$B$26+Inputs!$B$28,MAX(0,(Inputs!$B$3-100)*3)+Inputs!$B$27+Inputs!$B$28)))</f>
        <v/>
      </c>
      <c r="E400">
        <f>INDEX(FactorTable!$B$2:$Y$301, MATCH(ROUND(MIN(300,MAX(1,D400)),0), FactorTable!$A$2:$A$301,0), Skills!M23+1)</f>
        <v/>
      </c>
      <c r="F400">
        <f>IF(Skills!N23=TRUE,(Skills!L23/10)*(E400/1000),Skills!L23/10)+Skills!O23</f>
        <v/>
      </c>
      <c r="G400">
        <f>Skills!G23*IF(Skills!H23&gt;0,Skills!I23/Skills!H23,1)</f>
        <v/>
      </c>
      <c r="H400">
        <f>1-(1-Skills!J23/100)^Skills!K23</f>
        <v/>
      </c>
      <c r="I400" t="inlineStr">
        <is>
          <t>1</t>
        </is>
      </c>
      <c r="J400" t="inlineStr"/>
      <c r="K400" t="inlineStr"/>
      <c r="L400" t="inlineStr"/>
      <c r="M400" t="inlineStr"/>
      <c r="N400" t="inlineStr"/>
      <c r="O400" t="n">
        <v>0</v>
      </c>
      <c r="P400">
        <f>IF(B417=0,0,O400/B417)</f>
        <v/>
      </c>
      <c r="Q400" t="n">
        <v>0</v>
      </c>
      <c r="R400" t="n">
        <v>0</v>
      </c>
      <c r="S400">
        <f>IFERROR(O400/N400,0)</f>
        <v/>
      </c>
    </row>
    <row r="401">
      <c r="A401">
        <f>Skills!A24</f>
        <v/>
      </c>
      <c r="B401">
        <f>Skills!B24</f>
        <v/>
      </c>
      <c r="C401">
        <f>Inputs!$B$3&gt;=75</f>
        <v/>
      </c>
      <c r="D401">
        <f>IF(Skills!C24=1,60+Inputs!$B$24+Inputs!$B$28,IF(Skills!C24=2,90+Inputs!$B$25+Inputs!$B$28,IF(Skills!C24=3,120+Inputs!$B$26+Inputs!$B$28,MAX(0,(Inputs!$B$3-100)*3)+Inputs!$B$27+Inputs!$B$28)))</f>
        <v/>
      </c>
      <c r="E401">
        <f>INDEX(FactorTable!$B$2:$Y$301, MATCH(ROUND(MIN(300,MAX(1,D401)),0), FactorTable!$A$2:$A$301,0), Skills!M24+1)</f>
        <v/>
      </c>
      <c r="F401">
        <f>IF(Skills!N24=TRUE,(Skills!L24/10)*(E401/1000),Skills!L24/10)+Skills!O24</f>
        <v/>
      </c>
      <c r="G401">
        <f>Skills!G24*IF(Skills!H24&gt;0,Skills!I24/Skills!H24,1)</f>
        <v/>
      </c>
      <c r="H401">
        <f>1-(1-Skills!J24/100)^Skills!K24</f>
        <v/>
      </c>
      <c r="I401" t="inlineStr">
        <is>
          <t>1</t>
        </is>
      </c>
      <c r="J401" t="inlineStr"/>
      <c r="K401" t="inlineStr"/>
      <c r="L401" t="inlineStr"/>
      <c r="M401" t="inlineStr"/>
      <c r="N401" t="inlineStr"/>
      <c r="O401" t="n">
        <v>0</v>
      </c>
      <c r="P401">
        <f>IF(B417=0,0,O401/B417)</f>
        <v/>
      </c>
      <c r="Q401" t="n">
        <v>0</v>
      </c>
      <c r="R401" t="n">
        <v>0</v>
      </c>
      <c r="S401">
        <f>IFERROR(O401/N401,0)</f>
        <v/>
      </c>
    </row>
    <row r="402">
      <c r="A402">
        <f>Skills!A25</f>
        <v/>
      </c>
      <c r="B402">
        <f>Skills!B25</f>
        <v/>
      </c>
      <c r="C402">
        <f>Inputs!$B$3&gt;=125</f>
        <v/>
      </c>
      <c r="D402">
        <f>IF(Skills!C25=1,60+Inputs!$B$24+Inputs!$B$28,IF(Skills!C25=2,90+Inputs!$B$25+Inputs!$B$28,IF(Skills!C25=3,120+Inputs!$B$26+Inputs!$B$28,MAX(0,(Inputs!$B$3-100)*3)+Inputs!$B$27+Inputs!$B$28)))</f>
        <v/>
      </c>
      <c r="E402">
        <f>INDEX(FactorTable!$B$2:$Y$301, MATCH(ROUND(MIN(300,MAX(1,D402)),0), FactorTable!$A$2:$A$301,0), Skills!M25+1)</f>
        <v/>
      </c>
      <c r="F402">
        <f>IF(Skills!N25=TRUE,(Skills!L25/10)*(E402/1000),Skills!L25/10)+Skills!O25</f>
        <v/>
      </c>
      <c r="G402">
        <f>Skills!G25*IF(Skills!H25&gt;0,Skills!I25/Skills!H25,1)</f>
        <v/>
      </c>
      <c r="H402">
        <f>1-(1-Skills!J25/100)^Skills!K25</f>
        <v/>
      </c>
      <c r="I402" t="inlineStr">
        <is>
          <t>1</t>
        </is>
      </c>
      <c r="J402" t="inlineStr"/>
      <c r="K402" t="inlineStr"/>
      <c r="L402" t="inlineStr"/>
      <c r="M402" t="inlineStr"/>
      <c r="N402" t="inlineStr"/>
      <c r="O402" t="n">
        <v>0</v>
      </c>
      <c r="P402">
        <f>IF(B417=0,0,O402/B417)</f>
        <v/>
      </c>
      <c r="Q402" t="n">
        <v>0</v>
      </c>
      <c r="R402" t="n">
        <v>0</v>
      </c>
      <c r="S402">
        <f>IFERROR(O402/N402,0)</f>
        <v/>
      </c>
    </row>
    <row r="403">
      <c r="A403">
        <f>Skills!A26</f>
        <v/>
      </c>
      <c r="B403">
        <f>Skills!B26</f>
        <v/>
      </c>
      <c r="C403">
        <f>Inputs!$B$3&gt;=125</f>
        <v/>
      </c>
      <c r="D403">
        <f>IF(Skills!C26=1,60+Inputs!$B$24+Inputs!$B$28,IF(Skills!C26=2,90+Inputs!$B$25+Inputs!$B$28,IF(Skills!C26=3,120+Inputs!$B$26+Inputs!$B$28,MAX(0,(Inputs!$B$3-100)*3)+Inputs!$B$27+Inputs!$B$28)))</f>
        <v/>
      </c>
      <c r="E403">
        <f>INDEX(FactorTable!$B$2:$Y$301, MATCH(ROUND(MIN(300,MAX(1,D403)),0), FactorTable!$A$2:$A$301,0), Skills!M26+1)</f>
        <v/>
      </c>
      <c r="F403">
        <f>IF(Skills!N26=TRUE,(Skills!L26/10)*(E403/1000),Skills!L26/10)+Skills!O26</f>
        <v/>
      </c>
      <c r="G403">
        <f>Skills!G26*IF(Skills!H26&gt;0,Skills!I26/Skills!H26,1)</f>
        <v/>
      </c>
      <c r="H403">
        <f>1-(1-Skills!J26/100)^Skills!K26</f>
        <v/>
      </c>
      <c r="I403" t="inlineStr">
        <is>
          <t>1</t>
        </is>
      </c>
      <c r="J403" t="inlineStr"/>
      <c r="K403" t="inlineStr"/>
      <c r="L403" t="inlineStr"/>
      <c r="M403" t="inlineStr"/>
      <c r="N403" t="inlineStr"/>
      <c r="O403" t="n">
        <v>0</v>
      </c>
      <c r="P403">
        <f>IF(B417=0,0,O403/B417)</f>
        <v/>
      </c>
      <c r="Q403" t="n">
        <v>0</v>
      </c>
      <c r="R403" t="n">
        <v>0</v>
      </c>
      <c r="S403">
        <f>IFERROR(O403/N403,0)</f>
        <v/>
      </c>
    </row>
    <row r="404">
      <c r="A404">
        <f>Skills!A27</f>
        <v/>
      </c>
      <c r="B404">
        <f>Skills!B27</f>
        <v/>
      </c>
      <c r="C404">
        <f>Inputs!$B$3&gt;=120</f>
        <v/>
      </c>
      <c r="D404">
        <f>IF(Skills!C27=1,60+Inputs!$B$24+Inputs!$B$28,IF(Skills!C27=2,90+Inputs!$B$25+Inputs!$B$28,IF(Skills!C27=3,120+Inputs!$B$26+Inputs!$B$28,MAX(0,(Inputs!$B$3-100)*3)+Inputs!$B$27+Inputs!$B$28)))</f>
        <v/>
      </c>
      <c r="E404">
        <f>INDEX(FactorTable!$B$2:$Y$301, MATCH(ROUND(MIN(300,MAX(1,D404)),0), FactorTable!$A$2:$A$301,0), Skills!M27+1)</f>
        <v/>
      </c>
      <c r="F404">
        <f>IF(Skills!N27=TRUE,(Skills!L27/10)*(E404/1000),Skills!L27/10)+Skills!O27</f>
        <v/>
      </c>
      <c r="G404">
        <f>Skills!G27*IF(Skills!H27&gt;0,Skills!I27/Skills!H27,1)</f>
        <v/>
      </c>
      <c r="H404">
        <f>1-(1-Skills!J27/100)^Skills!K27</f>
        <v/>
      </c>
      <c r="I404" t="inlineStr">
        <is>
          <t>1</t>
        </is>
      </c>
      <c r="J404" t="inlineStr"/>
      <c r="K404" t="inlineStr"/>
      <c r="L404" t="inlineStr"/>
      <c r="M404" t="inlineStr"/>
      <c r="N404" t="inlineStr"/>
      <c r="O404" t="n">
        <v>0</v>
      </c>
      <c r="P404">
        <f>IF(B417=0,0,O404/B417)</f>
        <v/>
      </c>
      <c r="Q404" t="n">
        <v>0</v>
      </c>
      <c r="R404" t="n">
        <v>0</v>
      </c>
      <c r="S404">
        <f>IFERROR(O404/N404,0)</f>
        <v/>
      </c>
    </row>
    <row r="405">
      <c r="A405">
        <f>Skills!A28</f>
        <v/>
      </c>
      <c r="B405">
        <f>Skills!B28</f>
        <v/>
      </c>
      <c r="C405">
        <f>Inputs!$B$3&gt;=120</f>
        <v/>
      </c>
      <c r="D405">
        <f>IF(Skills!C28=1,60+Inputs!$B$24+Inputs!$B$28,IF(Skills!C28=2,90+Inputs!$B$25+Inputs!$B$28,IF(Skills!C28=3,120+Inputs!$B$26+Inputs!$B$28,MAX(0,(Inputs!$B$3-100)*3)+Inputs!$B$27+Inputs!$B$28)))</f>
        <v/>
      </c>
      <c r="E405">
        <f>INDEX(FactorTable!$B$2:$Y$301, MATCH(ROUND(MIN(300,MAX(1,D405)),0), FactorTable!$A$2:$A$301,0), Skills!M28+1)</f>
        <v/>
      </c>
      <c r="F405">
        <f>IF(Skills!N28=TRUE,(Skills!L28/10)*(E405/1000),Skills!L28/10)+Skills!O28</f>
        <v/>
      </c>
      <c r="G405">
        <f>Skills!G28*IF(Skills!H28&gt;0,Skills!I28/Skills!H28,1)</f>
        <v/>
      </c>
      <c r="H405">
        <f>1-(1-Skills!J28/100)^Skills!K28</f>
        <v/>
      </c>
      <c r="I405" t="inlineStr">
        <is>
          <t>1</t>
        </is>
      </c>
      <c r="J405" t="inlineStr"/>
      <c r="K405" t="inlineStr"/>
      <c r="L405" t="inlineStr"/>
      <c r="M405" t="inlineStr"/>
      <c r="N405" t="inlineStr"/>
      <c r="O405" t="n">
        <v>0</v>
      </c>
      <c r="P405">
        <f>IF(B417=0,0,O405/B417)</f>
        <v/>
      </c>
      <c r="Q405" t="n">
        <v>0</v>
      </c>
      <c r="R405" t="n">
        <v>0</v>
      </c>
      <c r="S405">
        <f>IFERROR(O405/N405,0)</f>
        <v/>
      </c>
    </row>
    <row r="406">
      <c r="A406">
        <f>Skills!A29</f>
        <v/>
      </c>
      <c r="B406">
        <f>Skills!B29</f>
        <v/>
      </c>
      <c r="C406">
        <f>Inputs!$B$3&gt;=45</f>
        <v/>
      </c>
      <c r="D406">
        <f>IF(Skills!C29=1,60+Inputs!$B$24+Inputs!$B$28,IF(Skills!C29=2,90+Inputs!$B$25+Inputs!$B$28,IF(Skills!C29=3,120+Inputs!$B$26+Inputs!$B$28,MAX(0,(Inputs!$B$3-100)*3)+Inputs!$B$27+Inputs!$B$28)))</f>
        <v/>
      </c>
      <c r="E406">
        <f>INDEX(FactorTable!$B$2:$Y$301, MATCH(ROUND(MIN(300,MAX(1,D406)),0), FactorTable!$A$2:$A$301,0), Skills!M29+1)</f>
        <v/>
      </c>
      <c r="F406">
        <f>IF(Skills!N29=TRUE,(Skills!L29/10)*(E406/1000),Skills!L29/10)+Skills!O29</f>
        <v/>
      </c>
      <c r="G406">
        <f>Skills!G29*IF(Skills!H29&gt;0,Skills!I29/Skills!H29,1)</f>
        <v/>
      </c>
      <c r="H406">
        <f>1-(1-Skills!J29/100)^Skills!K29</f>
        <v/>
      </c>
      <c r="I406" t="inlineStr">
        <is>
          <t>1</t>
        </is>
      </c>
      <c r="J406" t="inlineStr"/>
      <c r="K406" t="inlineStr"/>
      <c r="L406" t="inlineStr"/>
      <c r="M406" t="inlineStr"/>
      <c r="N406" t="inlineStr"/>
      <c r="O406" t="n">
        <v>0</v>
      </c>
      <c r="P406">
        <f>IF(B417=0,0,O406/B417)</f>
        <v/>
      </c>
      <c r="Q406" t="n">
        <v>0</v>
      </c>
      <c r="R406" t="n">
        <v>0</v>
      </c>
      <c r="S406">
        <f>IFERROR(O406/N406,0)</f>
        <v/>
      </c>
    </row>
    <row r="408">
      <c r="A408" t="inlineStr">
        <is>
          <t>Attack% Bucket Multiplier</t>
        </is>
      </c>
      <c r="B408">
        <f>(1+(((C390=TRUE)*F390)+((C391=TRUE)*IF(Inputs!$B$4="pvp",F391,(1-Summary!$B$55)*(F391)+Summary!$B$55*(0)))+((C392=TRUE)*F392*IF(AND(Inputs!$B$4&lt;&gt;"pvp",Inputs!$B$35&gt;0),(((S392-1)*(Skills!T15*(1+Inputs!$B$33/100))+MIN((Skills!T15*(1+Inputs!$B$33/100)),MAX(0,Inputs!$B$35-((S392-1)*Skills!D15))))/Inputs!$B$35),IF(Inputs!$B$4="pvp",MIN((Skills!T15*(1+Inputs!$B$33/100)),15)/15,(Skills!T15*(1+Inputs!$B$33/100))/Skills!D15)))+((C389=TRUE)*F389)+((C406=TRUE)*(F406-Calc!F29)))/100)</f>
        <v/>
      </c>
    </row>
    <row r="409">
      <c r="A409" t="inlineStr">
        <is>
          <t>Global Crit Rate Bonus %</t>
        </is>
      </c>
      <c r="B409">
        <f>(C393=TRUE)*20*IF(AND(Inputs!$B$4&lt;&gt;"pvp",Inputs!$B$35&gt;0),(((S393-1)*(Skills!T16*(1+Inputs!$B$33/100))+MIN((Skills!T16*(1+Inputs!$B$33/100)),MAX(0,Inputs!$B$35-((S393-1)*Skills!D16))))/Inputs!$B$35),IF(Inputs!$B$4="pvp",MIN((Skills!T16*(1+Inputs!$B$33/100)),15)/15,(Skills!T16*(1+Inputs!$B$33/100))/Skills!D16))</f>
        <v/>
      </c>
    </row>
    <row r="410">
      <c r="A410" t="inlineStr">
        <is>
          <t>Attack Speed Buff Bonus %</t>
        </is>
      </c>
      <c r="B410">
        <f>((C395=TRUE)*F395*IF(AND(Inputs!$B$4&lt;&gt;"pvp",Inputs!$B$35&gt;0),(((S395-1)*(Skills!T18*(1+Inputs!$B$33/100))+MIN((Skills!T18*(1+Inputs!$B$33/100)),MAX(0,Inputs!$B$35-((S395-1)*Skills!D18))))/Inputs!$B$35),IF(Inputs!$B$4="pvp",MIN((Skills!T18*(1+Inputs!$B$33/100)),15)/15,(Skills!T18*(1+Inputs!$B$33/100))/Skills!D18)))</f>
        <v/>
      </c>
    </row>
    <row r="411">
      <c r="A411" t="inlineStr">
        <is>
          <t>Actions Per Second</t>
        </is>
      </c>
      <c r="B411">
        <f>1+MIN(150,150*(1-(1-(Inputs!$B$10+((C397=TRUE)*(F397-Calc!F20))+((C398=TRUE)*(F398-Calc!F21)))/150)*(1-B410/150)))/100</f>
        <v/>
      </c>
    </row>
    <row r="412">
      <c r="A412" t="inlineStr">
        <is>
          <t>Skill + Buff Cast Rate</t>
        </is>
      </c>
      <c r="B412">
        <f>IF(AND(Inputs!$B$4&lt;&gt;"pvp",Inputs!$B$35&gt;0),SUMPRODUCT((Skills!E2:E29=TRUE)*(C379:C406=TRUE)*R379:R406*Skills!F2:F29)/Inputs!$B$35,SUMPRODUCT((Skills!E2:E29=TRUE)*(C379:C406=TRUE)*Q379:Q406*Skills!F2:F29))</f>
        <v/>
      </c>
    </row>
    <row r="413">
      <c r="A413" t="inlineStr">
        <is>
          <t>Empowered Piercing Arrow Casts Per Second</t>
        </is>
      </c>
      <c r="B413">
        <f>MAX(0,B411-B412)</f>
        <v/>
      </c>
    </row>
    <row r="414">
      <c r="A414" t="inlineStr">
        <is>
          <t>Global Critical Damage Bonus % (Sharp Eyes)</t>
        </is>
      </c>
      <c r="B414">
        <f>(C393=TRUE)*F393*IF(AND(Inputs!$B$4&lt;&gt;"pvp",Inputs!$B$35&gt;0),(((S393-1)*(Skills!T16*(1+Inputs!$B$33/100))+MIN((Skills!T16*(1+Inputs!$B$33/100)),MAX(0,Inputs!$B$35-((S393-1)*Skills!D16))))/Inputs!$B$35),IF(Inputs!$B$4="pvp",MIN((Skills!T16*(1+Inputs!$B$33/100)),15)/15,(Skills!T16*(1+Inputs!$B$33/100))/Skills!D16))</f>
        <v/>
      </c>
    </row>
    <row r="415">
      <c r="A415" t="inlineStr">
        <is>
          <t>Global Final Damage Bonus % (Mortal Blow + Last Man Standing conditional half)</t>
        </is>
      </c>
      <c r="B415">
        <f>(C394=TRUE)*F394+((C403=TRUE)*IF(Inputs!$B$4="pvp",F403,(1-Summary!$B$55)*(F403)+Summary!$B$55*(0)))</f>
        <v/>
      </c>
    </row>
    <row r="417">
      <c r="A417" s="5" t="inlineStr">
        <is>
          <t>TOTAL DPS</t>
        </is>
      </c>
      <c r="B417" s="5">
        <f>SUM(O379:O406)</f>
        <v/>
      </c>
    </row>
    <row r="420">
      <c r="A420" s="5" t="inlineStr">
        <is>
          <t>Stat: MAX_DAMAGE %</t>
        </is>
      </c>
    </row>
    <row r="421">
      <c r="A421" s="8" t="inlineStr">
        <is>
          <t>Key</t>
        </is>
      </c>
      <c r="B421" s="8" t="inlineStr">
        <is>
          <t>Name</t>
        </is>
      </c>
      <c r="C421" s="8" t="inlineStr">
        <is>
          <t>Unlocked</t>
        </is>
      </c>
      <c r="D421" s="8" t="inlineStr">
        <is>
          <t>InputLevel</t>
        </is>
      </c>
      <c r="E421" s="8" t="inlineStr">
        <is>
          <t>Factor</t>
        </is>
      </c>
      <c r="F421" s="8" t="inlineStr">
        <is>
          <t>CoefficientPercent</t>
        </is>
      </c>
      <c r="G421" s="8" t="inlineStr">
        <is>
          <t>EffectiveHits</t>
        </is>
      </c>
      <c r="H421" s="8" t="inlineStr">
        <is>
          <t>ProcProbability</t>
        </is>
      </c>
      <c r="I421" s="8" t="inlineStr">
        <is>
          <t>MapleHeroMultiplier</t>
        </is>
      </c>
      <c r="J421" s="8" t="inlineStr">
        <is>
          <t>BaseDamage</t>
        </is>
      </c>
      <c r="K421" s="8" t="inlineStr">
        <is>
          <t>BaseHitDamage</t>
        </is>
      </c>
      <c r="L421" s="8" t="inlineStr">
        <is>
          <t>NonCritAvg</t>
        </is>
      </c>
      <c r="M421" s="8" t="inlineStr">
        <is>
          <t>CritAvg</t>
        </is>
      </c>
      <c r="N421" s="8" t="inlineStr">
        <is>
          <t>ExpectedDamage(perHit)</t>
        </is>
      </c>
      <c r="O421" s="8" t="inlineStr">
        <is>
          <t>DPS</t>
        </is>
      </c>
      <c r="P421" s="8" t="inlineStr">
        <is>
          <t>% of Total</t>
        </is>
      </c>
      <c r="Q421" s="8" t="inlineStr">
        <is>
          <t>InvCooldown</t>
        </is>
      </c>
      <c r="R421" s="8" t="inlineStr">
        <is>
          <t>CastsInFight</t>
        </is>
      </c>
      <c r="S421" s="8" t="inlineStr">
        <is>
          <t>HitRate(perSec)</t>
        </is>
      </c>
      <c r="U421" t="inlineStr">
        <is>
          <t>helpers</t>
        </is>
      </c>
    </row>
    <row r="422">
      <c r="A422">
        <f>Skills!A2</f>
        <v/>
      </c>
      <c r="B422">
        <f>Skills!B2</f>
        <v/>
      </c>
      <c r="C422">
        <f>Inputs!$B$3&gt;=100</f>
        <v/>
      </c>
      <c r="D422" t="inlineStr"/>
      <c r="E422" t="inlineStr"/>
      <c r="F422">
        <f>U424+Skills!O2</f>
        <v/>
      </c>
      <c r="G422">
        <f>Skills!G2*IF(Skills!H2&gt;0,Skills!I2/Skills!H2,1)</f>
        <v/>
      </c>
      <c r="H422">
        <f>1-(1-Skills!J2/100)^Skills!K2</f>
        <v/>
      </c>
      <c r="I422" t="inlineStr">
        <is>
          <t>1</t>
        </is>
      </c>
      <c r="J422">
        <f>(Inputs!$B$5*(1+Inputs!$B$6/100))*(F422/100)</f>
        <v/>
      </c>
      <c r="K422">
        <f>J422*(1+((Inputs!$B$11*(1+Inputs!$B$12/100))*0.01+Inputs!$B$13*0.0025)/100)*(1+Inputs!$B$14/100)*(1+IF(Inputs!$B$4="pvp",0,(1-Summary!$B$55)*(Inputs!$B$19+0+Skills!P2)+Summary!$B$55*(Inputs!$B$20+Skills!Q2))/100)*(1+Inputs!$B$15/100)*(5000/(6000+Inputs!$B$7*(1-(Inputs!$B$18+0)/100)))*(1+(Inputs!$B$23+((C444=TRUE)*(F444-Calc!F24))+((C445=TRUE)*(F445-Calc!F25))+B458)/100)*(1+(IF(Skills!A2="EMPOWERED_PIERCING_ARROW",Inputs!$B$16+((C442=TRUE)*(F442-Calc!F22)),Inputs!$B$17+((C447=TRUE)*(F447-Calc!F27))))/100)*((1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I422)</f>
        <v/>
      </c>
      <c r="L422">
        <f>K422*(MIN(Inputs!$B$21+((C443=TRUE)*(F443-Calc!F23)),(Inputs!$B$22+1)+((C448=TRUE)*(F448-Calc!F28)))/100+((Inputs!$B$22+1)+((C448=TRUE)*(F448-Calc!F28)))/100)/2</f>
        <v/>
      </c>
      <c r="M422">
        <f>L422*(1+(Inputs!$B$9+0+B457)/100)</f>
        <v/>
      </c>
      <c r="N422">
        <f>L422*(1-MIN((Inputs!$B$8+((C439=TRUE)*(F439-Calc!F19))+B452),100)/100)+M422*(MIN((Inputs!$B$8+((C439=TRUE)*(F439-Calc!F19))+B452),100)/100)</f>
        <v/>
      </c>
      <c r="O422">
        <f>IF(C422,Skills!G2*N422*B456*IF(Inputs!$B$4="pvp",1,(1-Summary!$B$55)*(1)+Summary!$B$55*(MIN((6+Inputs!$B$32),Inputs!$B$37))),0)</f>
        <v/>
      </c>
      <c r="P422">
        <f>IF(B460=0,0,O422/B460)</f>
        <v/>
      </c>
      <c r="Q422" t="n">
        <v>0</v>
      </c>
      <c r="R422" t="n">
        <v>0</v>
      </c>
      <c r="S422">
        <f>IFERROR(O422/N422,0)</f>
        <v/>
      </c>
      <c r="U422">
        <f>MAX(0,(Inputs!$B$3-100)*3)+Inputs!$B$27+Inputs!$B$28</f>
        <v/>
      </c>
    </row>
    <row r="423">
      <c r="A423">
        <f>Skills!A3</f>
        <v/>
      </c>
      <c r="B423">
        <f>Skills!B3</f>
        <v/>
      </c>
      <c r="C423">
        <f>Inputs!$B$3&gt;=50</f>
        <v/>
      </c>
      <c r="D423">
        <f>IF(Skills!C3=1,60+Inputs!$B$24+Inputs!$B$28,IF(Skills!C3=2,90+Inputs!$B$25+Inputs!$B$28,IF(Skills!C3=3,120+Inputs!$B$26+Inputs!$B$28,MAX(0,(Inputs!$B$3-100)*3)+Inputs!$B$27+Inputs!$B$28)))</f>
        <v/>
      </c>
      <c r="E423">
        <f>INDEX(FactorTable!$B$2:$Y$301, MATCH(ROUND(MIN(300,MAX(1,D423)),0), FactorTable!$A$2:$A$301,0), Skills!M3+1)</f>
        <v/>
      </c>
      <c r="F423">
        <f>IF(Skills!N3=TRUE,(Skills!L3/10)*(E423/1000),Skills!L3/10)+Skills!O3</f>
        <v/>
      </c>
      <c r="G423" t="inlineStr"/>
      <c r="H423" t="inlineStr"/>
      <c r="I423" t="inlineStr">
        <is>
          <t>1</t>
        </is>
      </c>
      <c r="J423" t="inlineStr"/>
      <c r="K423" t="inlineStr"/>
      <c r="L423" t="inlineStr"/>
      <c r="M423" t="inlineStr"/>
      <c r="N423" t="inlineStr"/>
      <c r="O423" t="inlineStr"/>
      <c r="P423" t="inlineStr"/>
      <c r="Q423" t="inlineStr"/>
      <c r="R423" t="inlineStr"/>
      <c r="S423" t="inlineStr"/>
      <c r="U423">
        <f>INDEX(FactorTable!$B$2:$Y$301, MATCH(ROUND(MIN(300,MAX(1,U422)),0), FactorTable!$A$2:$A$301,0), 22)</f>
        <v/>
      </c>
    </row>
    <row r="424">
      <c r="A424">
        <f>Skills!A4</f>
        <v/>
      </c>
      <c r="B424">
        <f>Skills!B4</f>
        <v/>
      </c>
      <c r="C424">
        <f>Inputs!$B$3&gt;=105</f>
        <v/>
      </c>
      <c r="D424">
        <f>IF(Skills!C4=1,60+Inputs!$B$24+Inputs!$B$28,IF(Skills!C4=2,90+Inputs!$B$25+Inputs!$B$28,IF(Skills!C4=3,120+Inputs!$B$26+Inputs!$B$28,MAX(0,(Inputs!$B$3-100)*3)+Inputs!$B$27+Inputs!$B$28)))</f>
        <v/>
      </c>
      <c r="E424">
        <f>INDEX(FactorTable!$B$2:$Y$301, MATCH(ROUND(MIN(300,MAX(1,D424)),0), FactorTable!$A$2:$A$301,0), Skills!M4+1)</f>
        <v/>
      </c>
      <c r="F424">
        <f>IF(Skills!N4=TRUE,(Skills!L4/10)*(E424/1000),Skills!L4/10)+Skills!O4</f>
        <v/>
      </c>
      <c r="G424" t="inlineStr"/>
      <c r="H424" t="inlineStr"/>
      <c r="I424" t="inlineStr">
        <is>
          <t>1</t>
        </is>
      </c>
      <c r="J424" t="inlineStr"/>
      <c r="K424" t="inlineStr"/>
      <c r="L424" t="inlineStr"/>
      <c r="M424" t="inlineStr"/>
      <c r="N424" t="inlineStr"/>
      <c r="O424" t="inlineStr"/>
      <c r="P424" t="inlineStr"/>
      <c r="Q424" t="inlineStr"/>
      <c r="R424" t="inlineStr"/>
      <c r="S424" t="inlineStr"/>
      <c r="U424">
        <f>290*U423/1000</f>
        <v/>
      </c>
    </row>
    <row r="425">
      <c r="A425">
        <f>Skills!A5</f>
        <v/>
      </c>
      <c r="B425">
        <f>Skills!B5</f>
        <v/>
      </c>
      <c r="C425">
        <f>Inputs!$B$3&gt;=35</f>
        <v/>
      </c>
      <c r="D425">
        <f>IF(Skills!C5=1,60+Inputs!$B$24+Inputs!$B$28,IF(Skills!C5=2,90+Inputs!$B$25+Inputs!$B$28,IF(Skills!C5=3,120+Inputs!$B$26+Inputs!$B$28,MAX(0,(Inputs!$B$3-100)*3)+Inputs!$B$27+Inputs!$B$28)))</f>
        <v/>
      </c>
      <c r="E425">
        <f>INDEX(FactorTable!$B$2:$Y$301, MATCH(ROUND(MIN(300,MAX(1,D425)),0), FactorTable!$A$2:$A$301,0), Skills!M5+1)</f>
        <v/>
      </c>
      <c r="F425">
        <f>IF(Skills!N5=TRUE,(Skills!L5/10)*(E425/1000),Skills!L5/10)+Skills!O5</f>
        <v/>
      </c>
      <c r="G425">
        <f>Skills!G5*IF(Skills!H5&gt;0,Skills!I5/Skills!H5,1)</f>
        <v/>
      </c>
      <c r="H425">
        <f>1-(1-Skills!J5/100)^Skills!K5</f>
        <v/>
      </c>
      <c r="I425" t="inlineStr">
        <is>
          <t>1</t>
        </is>
      </c>
      <c r="J425">
        <f>(Inputs!$B$5*(1+Inputs!$B$6/100))*(F425/100)</f>
        <v/>
      </c>
      <c r="K425">
        <f>J425*(1+((Inputs!$B$11*(1+Inputs!$B$12/100))*0.01+Inputs!$B$13*0.0025)/100)*(1+Inputs!$B$14/100)*(1+IF(Inputs!$B$4="pvp",0,(1-Summary!$B$55)*(Inputs!$B$19+0+Skills!P5)+Summary!$B$55*(Inputs!$B$20+Skills!Q5))/100)*(1+Inputs!$B$15/100)*(5000/(6000+Inputs!$B$7*(1-(Inputs!$B$18+0)/100)))*(1+(Inputs!$B$23+((C444=TRUE)*(F444-Calc!F24))+((C445=TRUE)*(F445-Calc!F25))+B458)/100)*(1+4.0*IF(C428=TRUE,F428,0)/100)*(1+(IF(Skills!A5="EMPOWERED_PIERCING_ARROW",Inputs!$B$16+((C442=TRUE)*(F442-Calc!F22)),Inputs!$B$17+((C447=TRUE)*(F447-Calc!F27))))/100)*((1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I425)</f>
        <v/>
      </c>
      <c r="L425">
        <f>K425*(MIN(Inputs!$B$21+((C443=TRUE)*(F443-Calc!F23)),(Inputs!$B$22+1)+((C448=TRUE)*(F448-Calc!F28)))/100+((Inputs!$B$22+1)+((C448=TRUE)*(F448-Calc!F28)))/100)/2</f>
        <v/>
      </c>
      <c r="M425">
        <f>L425*(1+(Inputs!$B$9+0+B457)/100)</f>
        <v/>
      </c>
      <c r="N425">
        <f>L425*(1-MIN((Inputs!$B$8+((C439=TRUE)*(F439-Calc!F19))+B452),100)/100)+M425*(MIN((Inputs!$B$8+((C439=TRUE)*(F439-Calc!F19))+B452),100)/100)</f>
        <v/>
      </c>
      <c r="O425">
        <f>IF(C425,H425*N425*IF(AND(Inputs!$B$4&lt;&gt;"pvp",Inputs!$B$35&gt;0),((Skills!G5*((R425-1)*IF(Skills!H5&gt;0,Skills!I5/Skills!H5,1)+IF(Skills!H5&gt;0,MIN(Skills!I5,MAX(0,Inputs!$B$35-((R425-1)*IF(Inputs!$B$4="pvp",15,MAX(0.1,Skills!D5-IF(Skills!E5=TRUE,Inputs!$B$31,0))))))/Skills!H5,1)))/Inputs!$B$35),G425*Q425)*IF(Inputs!$B$4="pvp",1,(1-Summary!$B$55)*(1)+Summary!$B$55*(MIN(Skills!R5,Inputs!$B$37))),0)</f>
        <v/>
      </c>
      <c r="P425">
        <f>IF(B460=0,0,O425/B460)</f>
        <v/>
      </c>
      <c r="Q425">
        <f>IFERROR(1/IF(Inputs!$B$4="pvp",15,MAX(0.1,Skills!D5-IF(Skills!E5=TRUE,Inputs!$B$31,0))),0)</f>
        <v/>
      </c>
      <c r="R425">
        <f>IF(AND(Inputs!$B$4&lt;&gt;"pvp",Inputs!$B$35&gt;0),(INT(Inputs!$B$35/IF(Inputs!$B$4="pvp",15,MAX(0.1,Skills!D5-IF(Skills!E5=TRUE,Inputs!$B$31,0))))+1),0)</f>
        <v/>
      </c>
      <c r="S425">
        <f>IFERROR(O425/N425,0)</f>
        <v/>
      </c>
    </row>
    <row r="426">
      <c r="A426">
        <f>Skills!A6</f>
        <v/>
      </c>
      <c r="B426">
        <f>Skills!B6</f>
        <v/>
      </c>
      <c r="C426">
        <f>Inputs!$B$3&gt;=63</f>
        <v/>
      </c>
      <c r="D426">
        <f>IF(Skills!C6=1,60+Inputs!$B$24+Inputs!$B$28,IF(Skills!C6=2,90+Inputs!$B$25+Inputs!$B$28,IF(Skills!C6=3,120+Inputs!$B$26+Inputs!$B$28,MAX(0,(Inputs!$B$3-100)*3)+Inputs!$B$27+Inputs!$B$28)))</f>
        <v/>
      </c>
      <c r="E426">
        <f>INDEX(FactorTable!$B$2:$Y$301, MATCH(ROUND(MIN(300,MAX(1,D426)),0), FactorTable!$A$2:$A$301,0), Skills!M6+1)</f>
        <v/>
      </c>
      <c r="F426">
        <f>IF(Skills!N6=TRUE,(Skills!L6/10)*(E426/1000),Skills!L6/10)+Skills!O6</f>
        <v/>
      </c>
      <c r="G426">
        <f>Skills!G6*IF(Skills!H6&gt;0,Skills!I6/Skills!H6,1)</f>
        <v/>
      </c>
      <c r="H426">
        <f>1-(1-Skills!J6/100)^Skills!K6</f>
        <v/>
      </c>
      <c r="I426" t="inlineStr">
        <is>
          <t>1</t>
        </is>
      </c>
      <c r="J426">
        <f>(Inputs!$B$5*(1+Inputs!$B$6/100))*(F426/100)</f>
        <v/>
      </c>
      <c r="K426">
        <f>J426*(1+((Inputs!$B$11*(1+Inputs!$B$12/100))*0.01+Inputs!$B$13*0.0025)/100)*(1+Inputs!$B$14/100)*(1+IF(Inputs!$B$4="pvp",0,(1-Summary!$B$55)*(Inputs!$B$19+0+Skills!P6)+Summary!$B$55*(Inputs!$B$20+Skills!Q6))/100)*(1+Inputs!$B$15/100)*(5000/(6000+Inputs!$B$7*(1-(Inputs!$B$18+0)/100)))*(1+(Inputs!$B$23+((C444=TRUE)*(F444-Calc!F24))+((C445=TRUE)*(F445-Calc!F25))+B458)/100)*(1+1.0*IF(C428=TRUE,F428,0)/100)*(1+(IF(Skills!A6="EMPOWERED_PIERCING_ARROW",Inputs!$B$16+((C442=TRUE)*(F442-Calc!F22)),Inputs!$B$17+((C447=TRUE)*(F447-Calc!F27))))/100)*((1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I426)</f>
        <v/>
      </c>
      <c r="L426">
        <f>K426*(MIN(Inputs!$B$21+((C443=TRUE)*(F443-Calc!F23)),(Inputs!$B$22+1)+((C448=TRUE)*(F448-Calc!F28)))/100+((Inputs!$B$22+1)+((C448=TRUE)*(F448-Calc!F28)))/100)/2</f>
        <v/>
      </c>
      <c r="M426">
        <f>L426*(1+(Inputs!$B$9+0+B457)/100)</f>
        <v/>
      </c>
      <c r="N426">
        <f>L426*(1-MIN((Inputs!$B$8+((C439=TRUE)*(F439-Calc!F19))+B452),100)/100)+M426*(MIN((Inputs!$B$8+((C439=TRUE)*(F439-Calc!F19))+B452),100)/100)</f>
        <v/>
      </c>
      <c r="O426">
        <f>IF(C426,H426*N426*IF(AND(Inputs!$B$4&lt;&gt;"pvp",Inputs!$B$35&gt;0),((Skills!G6*((R426-1)*IF(Skills!H6&gt;0,Skills!I6/Skills!H6,1)+IF(Skills!H6&gt;0,MIN(Skills!I6,MAX(0,Inputs!$B$35-((R426-1)*IF(Inputs!$B$4="pvp",15,MAX(0.1,Skills!D6-IF(Skills!E6=TRUE,Inputs!$B$31,0))))))/Skills!H6,1)))/Inputs!$B$35),G426*Q426)*IF(Inputs!$B$4="pvp",1,(1-Summary!$B$55)*(1)+Summary!$B$55*(MIN(Skills!R6,Inputs!$B$37))),0)</f>
        <v/>
      </c>
      <c r="P426">
        <f>IF(B460=0,0,O426/B460)</f>
        <v/>
      </c>
      <c r="Q426">
        <f>IFERROR(1/IF(Inputs!$B$4="pvp",15,MAX(0.1,Skills!D6-IF(Skills!E6=TRUE,Inputs!$B$31,0))),0)</f>
        <v/>
      </c>
      <c r="R426">
        <f>IF(AND(Inputs!$B$4&lt;&gt;"pvp",Inputs!$B$35&gt;0),(INT(Inputs!$B$35/IF(Inputs!$B$4="pvp",15,MAX(0.1,Skills!D6-IF(Skills!E6=TRUE,Inputs!$B$31,0))))+1),0)</f>
        <v/>
      </c>
      <c r="S426">
        <f>IFERROR(O426/N426,0)</f>
        <v/>
      </c>
    </row>
    <row r="427">
      <c r="A427">
        <f>Skills!A7</f>
        <v/>
      </c>
      <c r="B427">
        <f>Skills!B7</f>
        <v/>
      </c>
      <c r="C427">
        <f>Inputs!$B$3&gt;=69</f>
        <v/>
      </c>
      <c r="D427">
        <f>IF(Skills!C7=1,60+Inputs!$B$24+Inputs!$B$28,IF(Skills!C7=2,90+Inputs!$B$25+Inputs!$B$28,IF(Skills!C7=3,120+Inputs!$B$26+Inputs!$B$28,MAX(0,(Inputs!$B$3-100)*3)+Inputs!$B$27+Inputs!$B$28)))</f>
        <v/>
      </c>
      <c r="E427">
        <f>INDEX(FactorTable!$B$2:$Y$301, MATCH(ROUND(MIN(300,MAX(1,D427)),0), FactorTable!$A$2:$A$301,0), Skills!M7+1)</f>
        <v/>
      </c>
      <c r="F427">
        <f>IF(Skills!N7=TRUE,(Skills!L7/10)*(E427/1000),Skills!L7/10)+Skills!O7</f>
        <v/>
      </c>
      <c r="G427">
        <f>Skills!G7*IF(Skills!H7&gt;0,Skills!I7/Skills!H7,1)</f>
        <v/>
      </c>
      <c r="H427">
        <f>1-(1-Skills!J7/100)^Skills!K7</f>
        <v/>
      </c>
      <c r="I427" t="inlineStr">
        <is>
          <t>1</t>
        </is>
      </c>
      <c r="J427">
        <f>(Inputs!$B$5*(1+Inputs!$B$6/100))*(F427/100)</f>
        <v/>
      </c>
      <c r="K427">
        <f>J427*(1+((Inputs!$B$11*(1+Inputs!$B$12/100))*0.01+Inputs!$B$13*0.0025)/100)*(1+Inputs!$B$14/100)*(1+IF(Inputs!$B$4="pvp",0,(1-Summary!$B$55)*(Inputs!$B$19+0+Skills!P7)+Summary!$B$55*(Inputs!$B$20+Skills!Q7))/100)*(1+Inputs!$B$15/100)*(5000/(6000+Inputs!$B$7*(1-(Inputs!$B$18+0)/100)))*(1+(Inputs!$B$23+((C444=TRUE)*(F444-Calc!F24))+((C445=TRUE)*(F445-Calc!F25))+B458)/100)*(1+1.2*IF(C428=TRUE,F428,0)/100)*(1+(IF(Skills!A7="EMPOWERED_PIERCING_ARROW",Inputs!$B$16+((C442=TRUE)*(F442-Calc!F22)),Inputs!$B$17+((C447=TRUE)*(F447-Calc!F27))))/100)*((1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I427)</f>
        <v/>
      </c>
      <c r="L427">
        <f>K427*(MIN(Inputs!$B$21+((C443=TRUE)*(F443-Calc!F23)),(Inputs!$B$22+1)+((C448=TRUE)*(F448-Calc!F28)))/100+((Inputs!$B$22+1)+((C448=TRUE)*(F448-Calc!F28)))/100)/2</f>
        <v/>
      </c>
      <c r="M427">
        <f>L427*(1+(Inputs!$B$9+0+B457)/100)</f>
        <v/>
      </c>
      <c r="N427">
        <f>L427*(1-MIN((Inputs!$B$8+((C439=TRUE)*(F439-Calc!F19))+B452),100)/100)+M427*(MIN((Inputs!$B$8+((C439=TRUE)*(F439-Calc!F19))+B452),100)/100)</f>
        <v/>
      </c>
      <c r="O427">
        <f>IF(C427,H427*N427*IF(AND(Inputs!$B$4&lt;&gt;"pvp",Inputs!$B$35&gt;0),((Skills!G7*((R427-1)*IF(Skills!H7&gt;0,Skills!I7/Skills!H7,1)+IF(Skills!H7&gt;0,MIN(Skills!I7,MAX(0,Inputs!$B$35-((R427-1)*IF(Inputs!$B$4="pvp",15,MAX(0.1,Skills!D7-IF(Skills!E7=TRUE,Inputs!$B$31,0))))))/Skills!H7,1)))/Inputs!$B$35),G427*Q427)*IF(Inputs!$B$4="pvp",1,(1-Summary!$B$55)*(1)+Summary!$B$55*(MIN(Skills!R7,Inputs!$B$37))),0)</f>
        <v/>
      </c>
      <c r="P427">
        <f>IF(B460=0,0,O427/B460)</f>
        <v/>
      </c>
      <c r="Q427">
        <f>IFERROR(1/IF(Inputs!$B$4="pvp",15,MAX(0.1,Skills!D7-IF(Skills!E7=TRUE,Inputs!$B$31,0))),0)</f>
        <v/>
      </c>
      <c r="R427">
        <f>IF(AND(Inputs!$B$4&lt;&gt;"pvp",Inputs!$B$35&gt;0),(INT(Inputs!$B$35/IF(Inputs!$B$4="pvp",15,MAX(0.1,Skills!D7-IF(Skills!E7=TRUE,Inputs!$B$31,0))))+1),0)</f>
        <v/>
      </c>
      <c r="S427">
        <f>IFERROR(O427/N427,0)</f>
        <v/>
      </c>
    </row>
    <row r="428">
      <c r="A428">
        <f>Skills!A8</f>
        <v/>
      </c>
      <c r="B428">
        <f>Skills!B8</f>
        <v/>
      </c>
      <c r="C428">
        <f>Inputs!$B$3&gt;=100</f>
        <v/>
      </c>
      <c r="D428">
        <f>IF(Skills!C8=1,60+Inputs!$B$24+Inputs!$B$28,IF(Skills!C8=2,90+Inputs!$B$25+Inputs!$B$28,IF(Skills!C8=3,120+Inputs!$B$26+Inputs!$B$28,MAX(0,(Inputs!$B$3-100)*3)+Inputs!$B$27+Inputs!$B$28)))</f>
        <v/>
      </c>
      <c r="E428">
        <f>INDEX(FactorTable!$B$2:$Y$301, MATCH(ROUND(MIN(300,MAX(1,D428)),0), FactorTable!$A$2:$A$301,0), Skills!M8+1)</f>
        <v/>
      </c>
      <c r="F428">
        <f>IF(Skills!N8=TRUE,(Skills!L8/10)*(E428/1000),Skills!L8/10)+Skills!O8</f>
        <v/>
      </c>
      <c r="G428" t="inlineStr"/>
      <c r="H428" t="inlineStr"/>
      <c r="I428" t="inlineStr">
        <is>
          <t>1</t>
        </is>
      </c>
      <c r="J428" t="inlineStr"/>
      <c r="K428" t="inlineStr"/>
      <c r="L428" t="inlineStr"/>
      <c r="M428" t="inlineStr"/>
      <c r="N428" t="inlineStr"/>
      <c r="O428" t="inlineStr"/>
      <c r="P428" t="inlineStr"/>
      <c r="Q428" t="inlineStr"/>
      <c r="R428" t="inlineStr"/>
      <c r="S428" t="inlineStr"/>
    </row>
    <row r="429">
      <c r="A429">
        <f>Skills!A9</f>
        <v/>
      </c>
      <c r="B429">
        <f>Skills!B9</f>
        <v/>
      </c>
      <c r="C429">
        <f>Inputs!$B$3&gt;=103</f>
        <v/>
      </c>
      <c r="D429">
        <f>IF(Skills!C9=1,60+Inputs!$B$24+Inputs!$B$28,IF(Skills!C9=2,90+Inputs!$B$25+Inputs!$B$28,IF(Skills!C9=3,120+Inputs!$B$26+Inputs!$B$28,MAX(0,(Inputs!$B$3-100)*3)+Inputs!$B$27+Inputs!$B$28)))</f>
        <v/>
      </c>
      <c r="E429">
        <f>INDEX(FactorTable!$B$2:$Y$301, MATCH(ROUND(MIN(300,MAX(1,D429)),0), FactorTable!$A$2:$A$301,0), Skills!M9+1)</f>
        <v/>
      </c>
      <c r="F429">
        <f>IF(Skills!N9=TRUE,(Skills!L9/10)*(E429/1000),Skills!L9/10)+Skills!O9</f>
        <v/>
      </c>
      <c r="G429">
        <f>Skills!G9*IF(Skills!H9&gt;0,Skills!I9/Skills!H9,1)</f>
        <v/>
      </c>
      <c r="H429">
        <f>1-(1-Skills!J9/100)^Skills!K9</f>
        <v/>
      </c>
      <c r="I429" t="inlineStr">
        <is>
          <t>1</t>
        </is>
      </c>
      <c r="J429">
        <f>(Inputs!$B$5*(1+Inputs!$B$6/100))*(F429/100)</f>
        <v/>
      </c>
      <c r="K429">
        <f>J429*(1+((Inputs!$B$11*(1+Inputs!$B$12/100))*0.01+Inputs!$B$13*0.0025)/100)*(1+Inputs!$B$14/100)*(1+IF(Inputs!$B$4="pvp",0,(1-Summary!$B$55)*(Inputs!$B$19+0+Skills!P9)+Summary!$B$55*(Inputs!$B$20+Skills!Q9))/100)*(1+Inputs!$B$15/100)*(5000/(6000+Inputs!$B$7*(1-(Inputs!$B$18+0)/100)))*(1+(Inputs!$B$23+((C444=TRUE)*(F444-Calc!F24))+((C445=TRUE)*(F445-Calc!F25))+B458)/100)*(1+(IF(Skills!A9="EMPOWERED_PIERCING_ARROW",Inputs!$B$16+((C442=TRUE)*(F442-Calc!F22)),Inputs!$B$17+((C447=TRUE)*(F447-Calc!F27))))/100)*((1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I429)</f>
        <v/>
      </c>
      <c r="L429">
        <f>K429*(MIN(Inputs!$B$21+((C443=TRUE)*(F443-Calc!F23)),(Inputs!$B$22+1)+((C448=TRUE)*(F448-Calc!F28)))/100+((Inputs!$B$22+1)+((C448=TRUE)*(F448-Calc!F28)))/100)/2</f>
        <v/>
      </c>
      <c r="M429">
        <f>L429*(1+(Inputs!$B$9+0+B457)/100)</f>
        <v/>
      </c>
      <c r="N429">
        <f>L429*(1-MIN((Inputs!$B$8+((C439=TRUE)*(F439-Calc!F19))+B452),100)/100)+M429*(MIN((Inputs!$B$8+((C439=TRUE)*(F439-Calc!F19))+B452),100)/100)</f>
        <v/>
      </c>
      <c r="O429">
        <f>IF(C429,H429*N429*IF(AND(Inputs!$B$4&lt;&gt;"pvp",Inputs!$B$35&gt;0),((Skills!G9*((R429-1)*IF(Skills!H9&gt;0,Skills!I9/Skills!H9,1)+IF(Skills!H9&gt;0,MIN(Skills!I9,MAX(0,Inputs!$B$35-((R429-1)*IF(Inputs!$B$4="pvp",15,MAX(0.1,Skills!D9-IF(Skills!E9=TRUE,Inputs!$B$31,0))))))/Skills!H9,1)))/Inputs!$B$35),G429*Q429)*IF(Inputs!$B$4="pvp",1,(1-Summary!$B$55)*(1)+Summary!$B$55*(MIN(Skills!R9,Inputs!$B$37))),0)</f>
        <v/>
      </c>
      <c r="P429">
        <f>IF(B460=0,0,O429/B460)</f>
        <v/>
      </c>
      <c r="Q429">
        <f>IFERROR(1/IF(Inputs!$B$4="pvp",15,MAX(0.1,Skills!D9-IF(Skills!E9=TRUE,Inputs!$B$31,0))),0)</f>
        <v/>
      </c>
      <c r="R429">
        <f>IF(AND(Inputs!$B$4&lt;&gt;"pvp",Inputs!$B$35&gt;0),(INT(Inputs!$B$35/IF(Inputs!$B$4="pvp",15,MAX(0.1,Skills!D9-IF(Skills!E9=TRUE,Inputs!$B$31,0))))+1),0)</f>
        <v/>
      </c>
      <c r="S429">
        <f>IFERROR(O429/N429,0)</f>
        <v/>
      </c>
    </row>
    <row r="430">
      <c r="A430">
        <f>Skills!A10</f>
        <v/>
      </c>
      <c r="B430">
        <f>Skills!B10</f>
        <v/>
      </c>
      <c r="C430">
        <f>Inputs!$B$3&gt;=107</f>
        <v/>
      </c>
      <c r="D430">
        <f>IF(Skills!C10=1,60+Inputs!$B$24+Inputs!$B$28,IF(Skills!C10=2,90+Inputs!$B$25+Inputs!$B$28,IF(Skills!C10=3,120+Inputs!$B$26+Inputs!$B$28,MAX(0,(Inputs!$B$3-100)*3)+Inputs!$B$27+Inputs!$B$28)))</f>
        <v/>
      </c>
      <c r="E430">
        <f>INDEX(FactorTable!$B$2:$Y$301, MATCH(ROUND(MIN(300,MAX(1,D430)),0), FactorTable!$A$2:$A$301,0), Skills!M10+1)</f>
        <v/>
      </c>
      <c r="F430">
        <f>IF(Skills!N10=TRUE,(Skills!L10/10)*(E430/1000),Skills!L10/10)+Skills!O10</f>
        <v/>
      </c>
      <c r="G430">
        <f>Skills!G10*IF(Skills!H10&gt;0,Skills!I10/Skills!H10,1)</f>
        <v/>
      </c>
      <c r="H430">
        <f>1-(1-Skills!J10/100)^Skills!K10</f>
        <v/>
      </c>
      <c r="I430" t="inlineStr">
        <is>
          <t>1</t>
        </is>
      </c>
      <c r="J430">
        <f>(Inputs!$B$5*(1+Inputs!$B$6/100))*(F430/100)</f>
        <v/>
      </c>
      <c r="K430">
        <f>J430*(1+((Inputs!$B$11*(1+Inputs!$B$12/100))*0.01+Inputs!$B$13*0.0025)/100)*(1+Inputs!$B$14/100)*(1+IF(Inputs!$B$4="pvp",0,(1-Summary!$B$55)*(Inputs!$B$19+0+Skills!P10)+Summary!$B$55*(Inputs!$B$20+Skills!Q10))/100)*(1+Inputs!$B$15/100)*(5000/(6000+Inputs!$B$7*(1-(Inputs!$B$18+0)/100)))*(1+(Inputs!$B$23+((C444=TRUE)*(F444-Calc!F24))+((C445=TRUE)*(F445-Calc!F25))+B458)/100)*(1+(IF(Skills!A10="EMPOWERED_PIERCING_ARROW",Inputs!$B$16+((C442=TRUE)*(F442-Calc!F22)),Inputs!$B$17+((C447=TRUE)*(F447-Calc!F27))))/100)*((1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I430)</f>
        <v/>
      </c>
      <c r="L430">
        <f>K430*(MIN(Inputs!$B$21+((C443=TRUE)*(F443-Calc!F23)),(Inputs!$B$22+1)+((C448=TRUE)*(F448-Calc!F28)))/100+((Inputs!$B$22+1)+((C448=TRUE)*(F448-Calc!F28)))/100)/2</f>
        <v/>
      </c>
      <c r="M430">
        <f>L430*(1+(Inputs!$B$9+0+B457)/100)</f>
        <v/>
      </c>
      <c r="N430">
        <f>L430*(1-MIN((Inputs!$B$8+((C439=TRUE)*(F439-Calc!F19))+B452),100)/100)+M430*(MIN((Inputs!$B$8+((C439=TRUE)*(F439-Calc!F19))+B452),100)/100)</f>
        <v/>
      </c>
      <c r="O430">
        <f>IF(C430,0.15*SUMPRODUCT((Skills!U2:U29=TRUE)*(C422:C449=TRUE)*S422:S449)*Skills!G10*N430*IF(Inputs!$B$4="pvp",1,(1-Summary!$B$55)*(1)+Summary!$B$55*(MIN(Skills!R10,Inputs!$B$37))),0)</f>
        <v/>
      </c>
      <c r="P430">
        <f>IF(B460=0,0,O430/B460)</f>
        <v/>
      </c>
      <c r="Q430" t="n">
        <v>0</v>
      </c>
      <c r="R430" t="n">
        <v>0</v>
      </c>
      <c r="S430" t="n">
        <v>0</v>
      </c>
    </row>
    <row r="431">
      <c r="A431">
        <f>Skills!A11</f>
        <v/>
      </c>
      <c r="B431">
        <f>Skills!B11</f>
        <v/>
      </c>
      <c r="C431">
        <f>Inputs!$B$3&gt;=110</f>
        <v/>
      </c>
      <c r="D431">
        <f>IF(Skills!C11=1,60+Inputs!$B$24+Inputs!$B$28,IF(Skills!C11=2,90+Inputs!$B$25+Inputs!$B$28,IF(Skills!C11=3,120+Inputs!$B$26+Inputs!$B$28,MAX(0,(Inputs!$B$3-100)*3)+Inputs!$B$27+Inputs!$B$28)))</f>
        <v/>
      </c>
      <c r="E431">
        <f>INDEX(FactorTable!$B$2:$Y$301, MATCH(ROUND(MIN(300,MAX(1,D431)),0), FactorTable!$A$2:$A$301,0), Skills!M11+1)</f>
        <v/>
      </c>
      <c r="F431">
        <f>IF(Skills!N11=TRUE,(Skills!L11/10)*(E431/1000),Skills!L11/10)+Skills!O11</f>
        <v/>
      </c>
      <c r="G431">
        <f>Skills!G11*IF(Skills!H11&gt;0,Skills!I11/Skills!H11,1)</f>
        <v/>
      </c>
      <c r="H431">
        <f>1-(1-Skills!J11/100)^Skills!K11</f>
        <v/>
      </c>
      <c r="I431" t="inlineStr">
        <is>
          <t>1</t>
        </is>
      </c>
      <c r="J431">
        <f>(Inputs!$B$5*(1+Inputs!$B$6/100))*(F431/100)</f>
        <v/>
      </c>
      <c r="K431">
        <f>J431*(1+((Inputs!$B$11*(1+Inputs!$B$12/100))*0.01+Inputs!$B$13*0.0025)/100)*(1+Inputs!$B$14/100)*(1+IF(Inputs!$B$4="pvp",0,(1-Summary!$B$55)*(Inputs!$B$19+0+Skills!P11)+Summary!$B$55*(Inputs!$B$20+Skills!Q11))/100)*(1+Inputs!$B$15/100)*(5000/(6000+Inputs!$B$7*(1-(Inputs!$B$18+0)/100)))*(1+(Inputs!$B$23+((C444=TRUE)*(F444-Calc!F24))+((C445=TRUE)*(F445-Calc!F25))+B458)/100)*(1+(IF(Skills!A11="EMPOWERED_PIERCING_ARROW",Inputs!$B$16+((C442=TRUE)*(F442-Calc!F22)),Inputs!$B$17+((C447=TRUE)*(F447-Calc!F27))))/100)*((1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I431)</f>
        <v/>
      </c>
      <c r="L431">
        <f>K431*(MIN(Inputs!$B$21+((C443=TRUE)*(F443-Calc!F23)),(Inputs!$B$22+1)+((C448=TRUE)*(F448-Calc!F28)))/100+((Inputs!$B$22+1)+((C448=TRUE)*(F448-Calc!F28)))/100)/2</f>
        <v/>
      </c>
      <c r="M431">
        <f>L431*(1+(Inputs!$B$9+0+B457)/100)</f>
        <v/>
      </c>
      <c r="N431">
        <f>L431*(1-MIN((Inputs!$B$8+((C439=TRUE)*(F439-Calc!F19))+B452),100)/100)+M431*(MIN((Inputs!$B$8+((C439=TRUE)*(F439-Calc!F19))+B452),100)/100)</f>
        <v/>
      </c>
      <c r="O431">
        <f>IF(C431,H431*N431*IF(AND(Inputs!$B$4&lt;&gt;"pvp",Inputs!$B$35&gt;0),((Skills!G11*((R431-1)*IF(Skills!H11&gt;0,Skills!I11/Skills!H11,1)+IF(Skills!H11&gt;0,MIN(Skills!I11,MAX(0,Inputs!$B$35-((R431-1)*IF(Inputs!$B$4="pvp",15,MAX(0.1,Skills!D11-IF(Skills!E11=TRUE,Inputs!$B$31,0))))))/Skills!H11,1)))/Inputs!$B$35),G431*Q431)*IF(Inputs!$B$4="pvp",1,(1-Summary!$B$55)*(1)+Summary!$B$55*(MIN(Skills!R11,Inputs!$B$37))),0)</f>
        <v/>
      </c>
      <c r="P431">
        <f>IF(B460=0,0,O431/B460)</f>
        <v/>
      </c>
      <c r="Q431">
        <f>IFERROR(1/IF(Inputs!$B$4="pvp",15,MAX(0.1,Skills!D11-IF(Skills!E11=TRUE,Inputs!$B$31,0))),0)</f>
        <v/>
      </c>
      <c r="R431">
        <f>IF(AND(Inputs!$B$4&lt;&gt;"pvp",Inputs!$B$35&gt;0),(INT(Inputs!$B$35/IF(Inputs!$B$4="pvp",15,MAX(0.1,Skills!D11-IF(Skills!E11=TRUE,Inputs!$B$31,0))))+1),0)</f>
        <v/>
      </c>
      <c r="S431">
        <f>IFERROR(O431/N431,0)</f>
        <v/>
      </c>
    </row>
    <row r="432">
      <c r="A432">
        <f>Skills!A12</f>
        <v/>
      </c>
      <c r="B432">
        <f>Skills!B12</f>
        <v/>
      </c>
      <c r="C432">
        <f>Inputs!$B$3&gt;=60</f>
        <v/>
      </c>
      <c r="D432">
        <f>IF(Skills!C12=1,60+Inputs!$B$24+Inputs!$B$28,IF(Skills!C12=2,90+Inputs!$B$25+Inputs!$B$28,IF(Skills!C12=3,120+Inputs!$B$26+Inputs!$B$28,MAX(0,(Inputs!$B$3-100)*3)+Inputs!$B$27+Inputs!$B$28)))</f>
        <v/>
      </c>
      <c r="E432">
        <f>INDEX(FactorTable!$B$2:$Y$301, MATCH(ROUND(MIN(300,MAX(1,D432)),0), FactorTable!$A$2:$A$301,0), Skills!M12+1)</f>
        <v/>
      </c>
      <c r="F432">
        <f>IF(Skills!N12=TRUE,(Skills!L12/10)*(E432/1000),Skills!L12/10)+Skills!O12</f>
        <v/>
      </c>
      <c r="G432">
        <f>Skills!G12*IF(Skills!H12&gt;0,Skills!I12/Skills!H12,1)</f>
        <v/>
      </c>
      <c r="H432">
        <f>1-(1-Skills!J12/100)^Skills!K12</f>
        <v/>
      </c>
      <c r="I432" t="inlineStr">
        <is>
          <t>1</t>
        </is>
      </c>
      <c r="J432" t="inlineStr"/>
      <c r="K432" t="inlineStr"/>
      <c r="L432" t="inlineStr"/>
      <c r="M432" t="inlineStr"/>
      <c r="N432" t="inlineStr"/>
      <c r="O432" t="n">
        <v>0</v>
      </c>
      <c r="P432">
        <f>IF(B460=0,0,O432/B460)</f>
        <v/>
      </c>
      <c r="Q432" t="n">
        <v>0</v>
      </c>
      <c r="R432" t="n">
        <v>0</v>
      </c>
      <c r="S432">
        <f>IFERROR(O432/N432,0)</f>
        <v/>
      </c>
    </row>
    <row r="433">
      <c r="A433">
        <f>Skills!A13</f>
        <v/>
      </c>
      <c r="B433">
        <f>Skills!B13</f>
        <v/>
      </c>
      <c r="C433">
        <f>Inputs!$B$3&gt;=74</f>
        <v/>
      </c>
      <c r="D433">
        <f>IF(Skills!C13=1,60+Inputs!$B$24+Inputs!$B$28,IF(Skills!C13=2,90+Inputs!$B$25+Inputs!$B$28,IF(Skills!C13=3,120+Inputs!$B$26+Inputs!$B$28,MAX(0,(Inputs!$B$3-100)*3)+Inputs!$B$27+Inputs!$B$28)))</f>
        <v/>
      </c>
      <c r="E433">
        <f>INDEX(FactorTable!$B$2:$Y$301, MATCH(ROUND(MIN(300,MAX(1,D433)),0), FactorTable!$A$2:$A$301,0), Skills!M13+1)</f>
        <v/>
      </c>
      <c r="F433">
        <f>IF(Skills!N13=TRUE,(Skills!L13/10)*(E433/1000),Skills!L13/10)+Skills!O13</f>
        <v/>
      </c>
      <c r="G433">
        <f>Skills!G13*IF(Skills!H13&gt;0,Skills!I13/Skills!H13,1)</f>
        <v/>
      </c>
      <c r="H433">
        <f>1-(1-Skills!J13/100)^Skills!K13</f>
        <v/>
      </c>
      <c r="I433" t="inlineStr">
        <is>
          <t>1</t>
        </is>
      </c>
      <c r="J433" t="inlineStr"/>
      <c r="K433" t="inlineStr"/>
      <c r="L433" t="inlineStr"/>
      <c r="M433" t="inlineStr"/>
      <c r="N433" t="inlineStr"/>
      <c r="O433" t="n">
        <v>0</v>
      </c>
      <c r="P433">
        <f>IF(B460=0,0,O433/B460)</f>
        <v/>
      </c>
      <c r="Q433" t="n">
        <v>0</v>
      </c>
      <c r="R433" t="n">
        <v>0</v>
      </c>
      <c r="S433">
        <f>IFERROR(O433/N433,0)</f>
        <v/>
      </c>
    </row>
    <row r="434">
      <c r="A434">
        <f>Skills!A14</f>
        <v/>
      </c>
      <c r="B434">
        <f>Skills!B14</f>
        <v/>
      </c>
      <c r="C434">
        <f>Inputs!$B$3&gt;=74</f>
        <v/>
      </c>
      <c r="D434">
        <f>IF(Skills!C14=1,60+Inputs!$B$24+Inputs!$B$28,IF(Skills!C14=2,90+Inputs!$B$25+Inputs!$B$28,IF(Skills!C14=3,120+Inputs!$B$26+Inputs!$B$28,MAX(0,(Inputs!$B$3-100)*3)+Inputs!$B$27+Inputs!$B$28)))</f>
        <v/>
      </c>
      <c r="E434">
        <f>INDEX(FactorTable!$B$2:$Y$301, MATCH(ROUND(MIN(300,MAX(1,D434)),0), FactorTable!$A$2:$A$301,0), Skills!M14+1)</f>
        <v/>
      </c>
      <c r="F434">
        <f>IF(Skills!N14=TRUE,(Skills!L14/10)*(E434/1000),Skills!L14/10)+Skills!O14</f>
        <v/>
      </c>
      <c r="G434">
        <f>Skills!G14*IF(Skills!H14&gt;0,Skills!I14/Skills!H14,1)</f>
        <v/>
      </c>
      <c r="H434">
        <f>1-(1-Skills!J14/100)^Skills!K14</f>
        <v/>
      </c>
      <c r="I434" t="inlineStr">
        <is>
          <t>1</t>
        </is>
      </c>
      <c r="J434" t="inlineStr"/>
      <c r="K434" t="inlineStr"/>
      <c r="L434" t="inlineStr"/>
      <c r="M434" t="inlineStr"/>
      <c r="N434" t="inlineStr"/>
      <c r="O434" t="n">
        <v>0</v>
      </c>
      <c r="P434">
        <f>IF(B460=0,0,O434/B460)</f>
        <v/>
      </c>
      <c r="Q434" t="n">
        <v>0</v>
      </c>
      <c r="R434" t="n">
        <v>0</v>
      </c>
      <c r="S434">
        <f>IFERROR(O434/N434,0)</f>
        <v/>
      </c>
    </row>
    <row r="435">
      <c r="A435">
        <f>Skills!A15</f>
        <v/>
      </c>
      <c r="B435">
        <f>Skills!B15</f>
        <v/>
      </c>
      <c r="C435">
        <f>Inputs!$B$3&gt;=117</f>
        <v/>
      </c>
      <c r="D435">
        <f>IF(Skills!C15=1,60+Inputs!$B$24+Inputs!$B$28,IF(Skills!C15=2,90+Inputs!$B$25+Inputs!$B$28,IF(Skills!C15=3,120+Inputs!$B$26+Inputs!$B$28,MAX(0,(Inputs!$B$3-100)*3)+Inputs!$B$27+Inputs!$B$28)))</f>
        <v/>
      </c>
      <c r="E435">
        <f>INDEX(FactorTable!$B$2:$Y$301, MATCH(ROUND(MIN(300,MAX(1,D435)),0), FactorTable!$A$2:$A$301,0), Skills!M15+1)</f>
        <v/>
      </c>
      <c r="F435">
        <f>IF(Skills!N15=TRUE,(Skills!L15/10)*(E435/1000),Skills!L15/10)+Skills!O15</f>
        <v/>
      </c>
      <c r="G435">
        <f>Skills!G15*IF(Skills!H15&gt;0,Skills!I15/Skills!H15,1)</f>
        <v/>
      </c>
      <c r="H435">
        <f>1-(1-Skills!J15/100)^Skills!K15</f>
        <v/>
      </c>
      <c r="I435" t="inlineStr">
        <is>
          <t>1</t>
        </is>
      </c>
      <c r="J435" t="inlineStr"/>
      <c r="K435" t="inlineStr"/>
      <c r="L435" t="inlineStr"/>
      <c r="M435" t="inlineStr"/>
      <c r="N435" t="inlineStr"/>
      <c r="O435" t="n">
        <v>0</v>
      </c>
      <c r="P435">
        <f>IF(B460=0,0,O435/B460)</f>
        <v/>
      </c>
      <c r="Q435">
        <f>IFERROR(1/IF(Inputs!$B$4="pvp",15,MAX(0.1,Skills!D15-IF(Skills!E15=TRUE,Inputs!$B$31,0))),0)</f>
        <v/>
      </c>
      <c r="R435">
        <f>IF(AND(Inputs!$B$4&lt;&gt;"pvp",Inputs!$B$35&gt;0),(INT(Inputs!$B$35/IF(Inputs!$B$4="pvp",15,MAX(0.1,Skills!D15-IF(Skills!E15=TRUE,Inputs!$B$31,0))))+1),0)</f>
        <v/>
      </c>
      <c r="S435">
        <f>IFERROR(O435/N435,0)</f>
        <v/>
      </c>
    </row>
    <row r="436">
      <c r="A436">
        <f>Skills!A16</f>
        <v/>
      </c>
      <c r="B436">
        <f>Skills!B16</f>
        <v/>
      </c>
      <c r="C436">
        <f>Inputs!$B$3&gt;=115</f>
        <v/>
      </c>
      <c r="D436">
        <f>IF(Skills!C16=1,60+Inputs!$B$24+Inputs!$B$28,IF(Skills!C16=2,90+Inputs!$B$25+Inputs!$B$28,IF(Skills!C16=3,120+Inputs!$B$26+Inputs!$B$28,MAX(0,(Inputs!$B$3-100)*3)+Inputs!$B$27+Inputs!$B$28)))</f>
        <v/>
      </c>
      <c r="E436">
        <f>INDEX(FactorTable!$B$2:$Y$301, MATCH(ROUND(MIN(300,MAX(1,D436)),0), FactorTable!$A$2:$A$301,0), Skills!M16+1)</f>
        <v/>
      </c>
      <c r="F436">
        <f>IF(Skills!N16=TRUE,(Skills!L16/10)*(E436/1000),Skills!L16/10)+Skills!O16</f>
        <v/>
      </c>
      <c r="G436">
        <f>Skills!G16*IF(Skills!H16&gt;0,Skills!I16/Skills!H16,1)</f>
        <v/>
      </c>
      <c r="H436">
        <f>1-(1-Skills!J16/100)^Skills!K16</f>
        <v/>
      </c>
      <c r="I436" t="inlineStr">
        <is>
          <t>1</t>
        </is>
      </c>
      <c r="J436" t="inlineStr"/>
      <c r="K436" t="inlineStr"/>
      <c r="L436" t="inlineStr"/>
      <c r="M436" t="inlineStr"/>
      <c r="N436" t="inlineStr"/>
      <c r="O436" t="n">
        <v>0</v>
      </c>
      <c r="P436">
        <f>IF(B460=0,0,O436/B460)</f>
        <v/>
      </c>
      <c r="Q436">
        <f>IFERROR(1/IF(Inputs!$B$4="pvp",15,MAX(0.1,Skills!D16-IF(Skills!E16=TRUE,Inputs!$B$31,0))),0)</f>
        <v/>
      </c>
      <c r="R436">
        <f>IF(AND(Inputs!$B$4&lt;&gt;"pvp",Inputs!$B$35&gt;0),(INT(Inputs!$B$35/IF(Inputs!$B$4="pvp",15,MAX(0.1,Skills!D16-IF(Skills!E16=TRUE,Inputs!$B$31,0))))+1),0)</f>
        <v/>
      </c>
      <c r="S436">
        <f>IFERROR(O436/N436,0)</f>
        <v/>
      </c>
    </row>
    <row r="437">
      <c r="A437">
        <f>Skills!A17</f>
        <v/>
      </c>
      <c r="B437">
        <f>Skills!B17</f>
        <v/>
      </c>
      <c r="C437">
        <f>Inputs!$B$3&gt;=72</f>
        <v/>
      </c>
      <c r="D437">
        <f>IF(Skills!C17=1,60+Inputs!$B$24+Inputs!$B$28,IF(Skills!C17=2,90+Inputs!$B$25+Inputs!$B$28,IF(Skills!C17=3,120+Inputs!$B$26+Inputs!$B$28,MAX(0,(Inputs!$B$3-100)*3)+Inputs!$B$27+Inputs!$B$28)))</f>
        <v/>
      </c>
      <c r="E437">
        <f>INDEX(FactorTable!$B$2:$Y$301, MATCH(ROUND(MIN(300,MAX(1,D437)),0), FactorTable!$A$2:$A$301,0), Skills!M17+1)</f>
        <v/>
      </c>
      <c r="F437">
        <f>IF(Skills!N17=TRUE,(Skills!L17/10)*(E437/1000),Skills!L17/10)+Skills!O17</f>
        <v/>
      </c>
      <c r="G437">
        <f>Skills!G17*IF(Skills!H17&gt;0,Skills!I17/Skills!H17,1)</f>
        <v/>
      </c>
      <c r="H437">
        <f>1-(1-Skills!J17/100)^Skills!K17</f>
        <v/>
      </c>
      <c r="I437" t="inlineStr">
        <is>
          <t>1</t>
        </is>
      </c>
      <c r="J437" t="inlineStr"/>
      <c r="K437" t="inlineStr"/>
      <c r="L437" t="inlineStr"/>
      <c r="M437" t="inlineStr"/>
      <c r="N437" t="inlineStr"/>
      <c r="O437" t="n">
        <v>0</v>
      </c>
      <c r="P437">
        <f>IF(B460=0,0,O437/B460)</f>
        <v/>
      </c>
      <c r="Q437" t="n">
        <v>0</v>
      </c>
      <c r="R437" t="n">
        <v>0</v>
      </c>
      <c r="S437">
        <f>IFERROR(O437/N437,0)</f>
        <v/>
      </c>
    </row>
    <row r="438">
      <c r="A438">
        <f>Skills!A18</f>
        <v/>
      </c>
      <c r="B438">
        <f>Skills!B18</f>
        <v/>
      </c>
      <c r="C438">
        <f>TRUE</f>
        <v/>
      </c>
      <c r="D438">
        <f>IF(Skills!C18=1,60+Inputs!$B$24+Inputs!$B$28,IF(Skills!C18=2,90+Inputs!$B$25+Inputs!$B$28,IF(Skills!C18=3,120+Inputs!$B$26+Inputs!$B$28,MAX(0,(Inputs!$B$3-100)*3)+Inputs!$B$27+Inputs!$B$28)))</f>
        <v/>
      </c>
      <c r="E438">
        <f>INDEX(FactorTable!$B$2:$Y$301, MATCH(ROUND(MIN(300,MAX(1,D438)),0), FactorTable!$A$2:$A$301,0), Skills!M18+1)</f>
        <v/>
      </c>
      <c r="F438">
        <f>IF(Skills!N18=TRUE,(Skills!L18/10)*(E438/1000),Skills!L18/10)+Skills!O18</f>
        <v/>
      </c>
      <c r="G438">
        <f>Skills!G18*IF(Skills!H18&gt;0,Skills!I18/Skills!H18,1)</f>
        <v/>
      </c>
      <c r="H438">
        <f>1-(1-Skills!J18/100)^Skills!K18</f>
        <v/>
      </c>
      <c r="I438" t="inlineStr">
        <is>
          <t>1</t>
        </is>
      </c>
      <c r="J438" t="inlineStr"/>
      <c r="K438" t="inlineStr"/>
      <c r="L438" t="inlineStr"/>
      <c r="M438" t="inlineStr"/>
      <c r="N438" t="inlineStr"/>
      <c r="O438" t="n">
        <v>0</v>
      </c>
      <c r="P438">
        <f>IF(B460=0,0,O438/B460)</f>
        <v/>
      </c>
      <c r="Q438">
        <f>IFERROR(1/IF(Inputs!$B$4="pvp",15,MAX(0.1,Skills!D18-IF(Skills!E18=TRUE,Inputs!$B$31,0))),0)</f>
        <v/>
      </c>
      <c r="R438">
        <f>IF(AND(Inputs!$B$4&lt;&gt;"pvp",Inputs!$B$35&gt;0),(INT(Inputs!$B$35/IF(Inputs!$B$4="pvp",15,MAX(0.1,Skills!D18-IF(Skills!E18=TRUE,Inputs!$B$31,0))))+1),0)</f>
        <v/>
      </c>
      <c r="S438">
        <f>IFERROR(O438/N438,0)</f>
        <v/>
      </c>
    </row>
    <row r="439">
      <c r="A439">
        <f>Skills!A19</f>
        <v/>
      </c>
      <c r="B439">
        <f>Skills!B19</f>
        <v/>
      </c>
      <c r="C439">
        <f>Inputs!$B$3&gt;=15</f>
        <v/>
      </c>
      <c r="D439">
        <f>IF(Skills!C19=1,60+Inputs!$B$24+Inputs!$B$28,IF(Skills!C19=2,90+Inputs!$B$25+Inputs!$B$28,IF(Skills!C19=3,120+Inputs!$B$26+Inputs!$B$28,MAX(0,(Inputs!$B$3-100)*3)+Inputs!$B$27+Inputs!$B$28)))</f>
        <v/>
      </c>
      <c r="E439">
        <f>INDEX(FactorTable!$B$2:$Y$301, MATCH(ROUND(MIN(300,MAX(1,D439)),0), FactorTable!$A$2:$A$301,0), Skills!M19+1)</f>
        <v/>
      </c>
      <c r="F439">
        <f>IF(Skills!N19=TRUE,(Skills!L19/10)*(E439/1000),Skills!L19/10)+Skills!O19</f>
        <v/>
      </c>
      <c r="G439">
        <f>Skills!G19*IF(Skills!H19&gt;0,Skills!I19/Skills!H19,1)</f>
        <v/>
      </c>
      <c r="H439">
        <f>1-(1-Skills!J19/100)^Skills!K19</f>
        <v/>
      </c>
      <c r="I439" t="inlineStr">
        <is>
          <t>1</t>
        </is>
      </c>
      <c r="J439" t="inlineStr"/>
      <c r="K439" t="inlineStr"/>
      <c r="L439" t="inlineStr"/>
      <c r="M439" t="inlineStr"/>
      <c r="N439" t="inlineStr"/>
      <c r="O439" t="n">
        <v>0</v>
      </c>
      <c r="P439">
        <f>IF(B460=0,0,O439/B460)</f>
        <v/>
      </c>
      <c r="Q439" t="n">
        <v>0</v>
      </c>
      <c r="R439" t="n">
        <v>0</v>
      </c>
      <c r="S439">
        <f>IFERROR(O439/N439,0)</f>
        <v/>
      </c>
    </row>
    <row r="440">
      <c r="A440">
        <f>Skills!A20</f>
        <v/>
      </c>
      <c r="B440">
        <f>Skills!B20</f>
        <v/>
      </c>
      <c r="C440">
        <f>Inputs!$B$3&gt;=10</f>
        <v/>
      </c>
      <c r="D440">
        <f>IF(Skills!C20=1,60+Inputs!$B$24+Inputs!$B$28,IF(Skills!C20=2,90+Inputs!$B$25+Inputs!$B$28,IF(Skills!C20=3,120+Inputs!$B$26+Inputs!$B$28,MAX(0,(Inputs!$B$3-100)*3)+Inputs!$B$27+Inputs!$B$28)))</f>
        <v/>
      </c>
      <c r="E440">
        <f>INDEX(FactorTable!$B$2:$Y$301, MATCH(ROUND(MIN(300,MAX(1,D440)),0), FactorTable!$A$2:$A$301,0), Skills!M20+1)</f>
        <v/>
      </c>
      <c r="F440">
        <f>IF(Skills!N20=TRUE,(Skills!L20/10)*(E440/1000),Skills!L20/10)+Skills!O20</f>
        <v/>
      </c>
      <c r="G440">
        <f>Skills!G20*IF(Skills!H20&gt;0,Skills!I20/Skills!H20,1)</f>
        <v/>
      </c>
      <c r="H440">
        <f>1-(1-Skills!J20/100)^Skills!K20</f>
        <v/>
      </c>
      <c r="I440" t="inlineStr">
        <is>
          <t>1</t>
        </is>
      </c>
      <c r="J440" t="inlineStr"/>
      <c r="K440" t="inlineStr"/>
      <c r="L440" t="inlineStr"/>
      <c r="M440" t="inlineStr"/>
      <c r="N440" t="inlineStr"/>
      <c r="O440" t="n">
        <v>0</v>
      </c>
      <c r="P440">
        <f>IF(B460=0,0,O440/B460)</f>
        <v/>
      </c>
      <c r="Q440" t="n">
        <v>0</v>
      </c>
      <c r="R440" t="n">
        <v>0</v>
      </c>
      <c r="S440">
        <f>IFERROR(O440/N440,0)</f>
        <v/>
      </c>
    </row>
    <row r="441">
      <c r="A441">
        <f>Skills!A21</f>
        <v/>
      </c>
      <c r="B441">
        <f>Skills!B21</f>
        <v/>
      </c>
      <c r="C441">
        <f>Inputs!$B$3&gt;=33</f>
        <v/>
      </c>
      <c r="D441">
        <f>IF(Skills!C21=1,60+Inputs!$B$24+Inputs!$B$28,IF(Skills!C21=2,90+Inputs!$B$25+Inputs!$B$28,IF(Skills!C21=3,120+Inputs!$B$26+Inputs!$B$28,MAX(0,(Inputs!$B$3-100)*3)+Inputs!$B$27+Inputs!$B$28)))</f>
        <v/>
      </c>
      <c r="E441">
        <f>INDEX(FactorTable!$B$2:$Y$301, MATCH(ROUND(MIN(300,MAX(1,D441)),0), FactorTable!$A$2:$A$301,0), Skills!M21+1)</f>
        <v/>
      </c>
      <c r="F441">
        <f>IF(Skills!N21=TRUE,(Skills!L21/10)*(E441/1000),Skills!L21/10)+Skills!O21</f>
        <v/>
      </c>
      <c r="G441">
        <f>Skills!G21*IF(Skills!H21&gt;0,Skills!I21/Skills!H21,1)</f>
        <v/>
      </c>
      <c r="H441">
        <f>1-(1-Skills!J21/100)^Skills!K21</f>
        <v/>
      </c>
      <c r="I441" t="inlineStr">
        <is>
          <t>1</t>
        </is>
      </c>
      <c r="J441" t="inlineStr"/>
      <c r="K441" t="inlineStr"/>
      <c r="L441" t="inlineStr"/>
      <c r="M441" t="inlineStr"/>
      <c r="N441" t="inlineStr"/>
      <c r="O441" t="n">
        <v>0</v>
      </c>
      <c r="P441">
        <f>IF(B460=0,0,O441/B460)</f>
        <v/>
      </c>
      <c r="Q441" t="n">
        <v>0</v>
      </c>
      <c r="R441" t="n">
        <v>0</v>
      </c>
      <c r="S441">
        <f>IFERROR(O441/N441,0)</f>
        <v/>
      </c>
    </row>
    <row r="442">
      <c r="A442">
        <f>Skills!A22</f>
        <v/>
      </c>
      <c r="B442">
        <f>Skills!B22</f>
        <v/>
      </c>
      <c r="C442">
        <f>Inputs!$B$3&gt;=38</f>
        <v/>
      </c>
      <c r="D442">
        <f>IF(Skills!C22=1,60+Inputs!$B$24+Inputs!$B$28,IF(Skills!C22=2,90+Inputs!$B$25+Inputs!$B$28,IF(Skills!C22=3,120+Inputs!$B$26+Inputs!$B$28,MAX(0,(Inputs!$B$3-100)*3)+Inputs!$B$27+Inputs!$B$28)))</f>
        <v/>
      </c>
      <c r="E442">
        <f>INDEX(FactorTable!$B$2:$Y$301, MATCH(ROUND(MIN(300,MAX(1,D442)),0), FactorTable!$A$2:$A$301,0), Skills!M22+1)</f>
        <v/>
      </c>
      <c r="F442">
        <f>IF(Skills!N22=TRUE,(Skills!L22/10)*(E442/1000),Skills!L22/10)+Skills!O22</f>
        <v/>
      </c>
      <c r="G442">
        <f>Skills!G22*IF(Skills!H22&gt;0,Skills!I22/Skills!H22,1)</f>
        <v/>
      </c>
      <c r="H442">
        <f>1-(1-Skills!J22/100)^Skills!K22</f>
        <v/>
      </c>
      <c r="I442" t="inlineStr">
        <is>
          <t>1</t>
        </is>
      </c>
      <c r="J442" t="inlineStr"/>
      <c r="K442" t="inlineStr"/>
      <c r="L442" t="inlineStr"/>
      <c r="M442" t="inlineStr"/>
      <c r="N442" t="inlineStr"/>
      <c r="O442" t="n">
        <v>0</v>
      </c>
      <c r="P442">
        <f>IF(B460=0,0,O442/B460)</f>
        <v/>
      </c>
      <c r="Q442" t="n">
        <v>0</v>
      </c>
      <c r="R442" t="n">
        <v>0</v>
      </c>
      <c r="S442">
        <f>IFERROR(O442/N442,0)</f>
        <v/>
      </c>
    </row>
    <row r="443">
      <c r="A443">
        <f>Skills!A23</f>
        <v/>
      </c>
      <c r="B443">
        <f>Skills!B23</f>
        <v/>
      </c>
      <c r="C443">
        <f>Inputs!$B$3&gt;=43</f>
        <v/>
      </c>
      <c r="D443">
        <f>IF(Skills!C23=1,60+Inputs!$B$24+Inputs!$B$28,IF(Skills!C23=2,90+Inputs!$B$25+Inputs!$B$28,IF(Skills!C23=3,120+Inputs!$B$26+Inputs!$B$28,MAX(0,(Inputs!$B$3-100)*3)+Inputs!$B$27+Inputs!$B$28)))</f>
        <v/>
      </c>
      <c r="E443">
        <f>INDEX(FactorTable!$B$2:$Y$301, MATCH(ROUND(MIN(300,MAX(1,D443)),0), FactorTable!$A$2:$A$301,0), Skills!M23+1)</f>
        <v/>
      </c>
      <c r="F443">
        <f>IF(Skills!N23=TRUE,(Skills!L23/10)*(E443/1000),Skills!L23/10)+Skills!O23</f>
        <v/>
      </c>
      <c r="G443">
        <f>Skills!G23*IF(Skills!H23&gt;0,Skills!I23/Skills!H23,1)</f>
        <v/>
      </c>
      <c r="H443">
        <f>1-(1-Skills!J23/100)^Skills!K23</f>
        <v/>
      </c>
      <c r="I443" t="inlineStr">
        <is>
          <t>1</t>
        </is>
      </c>
      <c r="J443" t="inlineStr"/>
      <c r="K443" t="inlineStr"/>
      <c r="L443" t="inlineStr"/>
      <c r="M443" t="inlineStr"/>
      <c r="N443" t="inlineStr"/>
      <c r="O443" t="n">
        <v>0</v>
      </c>
      <c r="P443">
        <f>IF(B460=0,0,O443/B460)</f>
        <v/>
      </c>
      <c r="Q443" t="n">
        <v>0</v>
      </c>
      <c r="R443" t="n">
        <v>0</v>
      </c>
      <c r="S443">
        <f>IFERROR(O443/N443,0)</f>
        <v/>
      </c>
    </row>
    <row r="444">
      <c r="A444">
        <f>Skills!A24</f>
        <v/>
      </c>
      <c r="B444">
        <f>Skills!B24</f>
        <v/>
      </c>
      <c r="C444">
        <f>Inputs!$B$3&gt;=75</f>
        <v/>
      </c>
      <c r="D444">
        <f>IF(Skills!C24=1,60+Inputs!$B$24+Inputs!$B$28,IF(Skills!C24=2,90+Inputs!$B$25+Inputs!$B$28,IF(Skills!C24=3,120+Inputs!$B$26+Inputs!$B$28,MAX(0,(Inputs!$B$3-100)*3)+Inputs!$B$27+Inputs!$B$28)))</f>
        <v/>
      </c>
      <c r="E444">
        <f>INDEX(FactorTable!$B$2:$Y$301, MATCH(ROUND(MIN(300,MAX(1,D444)),0), FactorTable!$A$2:$A$301,0), Skills!M24+1)</f>
        <v/>
      </c>
      <c r="F444">
        <f>IF(Skills!N24=TRUE,(Skills!L24/10)*(E444/1000),Skills!L24/10)+Skills!O24</f>
        <v/>
      </c>
      <c r="G444">
        <f>Skills!G24*IF(Skills!H24&gt;0,Skills!I24/Skills!H24,1)</f>
        <v/>
      </c>
      <c r="H444">
        <f>1-(1-Skills!J24/100)^Skills!K24</f>
        <v/>
      </c>
      <c r="I444" t="inlineStr">
        <is>
          <t>1</t>
        </is>
      </c>
      <c r="J444" t="inlineStr"/>
      <c r="K444" t="inlineStr"/>
      <c r="L444" t="inlineStr"/>
      <c r="M444" t="inlineStr"/>
      <c r="N444" t="inlineStr"/>
      <c r="O444" t="n">
        <v>0</v>
      </c>
      <c r="P444">
        <f>IF(B460=0,0,O444/B460)</f>
        <v/>
      </c>
      <c r="Q444" t="n">
        <v>0</v>
      </c>
      <c r="R444" t="n">
        <v>0</v>
      </c>
      <c r="S444">
        <f>IFERROR(O444/N444,0)</f>
        <v/>
      </c>
    </row>
    <row r="445">
      <c r="A445">
        <f>Skills!A25</f>
        <v/>
      </c>
      <c r="B445">
        <f>Skills!B25</f>
        <v/>
      </c>
      <c r="C445">
        <f>Inputs!$B$3&gt;=125</f>
        <v/>
      </c>
      <c r="D445">
        <f>IF(Skills!C25=1,60+Inputs!$B$24+Inputs!$B$28,IF(Skills!C25=2,90+Inputs!$B$25+Inputs!$B$28,IF(Skills!C25=3,120+Inputs!$B$26+Inputs!$B$28,MAX(0,(Inputs!$B$3-100)*3)+Inputs!$B$27+Inputs!$B$28)))</f>
        <v/>
      </c>
      <c r="E445">
        <f>INDEX(FactorTable!$B$2:$Y$301, MATCH(ROUND(MIN(300,MAX(1,D445)),0), FactorTable!$A$2:$A$301,0), Skills!M25+1)</f>
        <v/>
      </c>
      <c r="F445">
        <f>IF(Skills!N25=TRUE,(Skills!L25/10)*(E445/1000),Skills!L25/10)+Skills!O25</f>
        <v/>
      </c>
      <c r="G445">
        <f>Skills!G25*IF(Skills!H25&gt;0,Skills!I25/Skills!H25,1)</f>
        <v/>
      </c>
      <c r="H445">
        <f>1-(1-Skills!J25/100)^Skills!K25</f>
        <v/>
      </c>
      <c r="I445" t="inlineStr">
        <is>
          <t>1</t>
        </is>
      </c>
      <c r="J445" t="inlineStr"/>
      <c r="K445" t="inlineStr"/>
      <c r="L445" t="inlineStr"/>
      <c r="M445" t="inlineStr"/>
      <c r="N445" t="inlineStr"/>
      <c r="O445" t="n">
        <v>0</v>
      </c>
      <c r="P445">
        <f>IF(B460=0,0,O445/B460)</f>
        <v/>
      </c>
      <c r="Q445" t="n">
        <v>0</v>
      </c>
      <c r="R445" t="n">
        <v>0</v>
      </c>
      <c r="S445">
        <f>IFERROR(O445/N445,0)</f>
        <v/>
      </c>
    </row>
    <row r="446">
      <c r="A446">
        <f>Skills!A26</f>
        <v/>
      </c>
      <c r="B446">
        <f>Skills!B26</f>
        <v/>
      </c>
      <c r="C446">
        <f>Inputs!$B$3&gt;=125</f>
        <v/>
      </c>
      <c r="D446">
        <f>IF(Skills!C26=1,60+Inputs!$B$24+Inputs!$B$28,IF(Skills!C26=2,90+Inputs!$B$25+Inputs!$B$28,IF(Skills!C26=3,120+Inputs!$B$26+Inputs!$B$28,MAX(0,(Inputs!$B$3-100)*3)+Inputs!$B$27+Inputs!$B$28)))</f>
        <v/>
      </c>
      <c r="E446">
        <f>INDEX(FactorTable!$B$2:$Y$301, MATCH(ROUND(MIN(300,MAX(1,D446)),0), FactorTable!$A$2:$A$301,0), Skills!M26+1)</f>
        <v/>
      </c>
      <c r="F446">
        <f>IF(Skills!N26=TRUE,(Skills!L26/10)*(E446/1000),Skills!L26/10)+Skills!O26</f>
        <v/>
      </c>
      <c r="G446">
        <f>Skills!G26*IF(Skills!H26&gt;0,Skills!I26/Skills!H26,1)</f>
        <v/>
      </c>
      <c r="H446">
        <f>1-(1-Skills!J26/100)^Skills!K26</f>
        <v/>
      </c>
      <c r="I446" t="inlineStr">
        <is>
          <t>1</t>
        </is>
      </c>
      <c r="J446" t="inlineStr"/>
      <c r="K446" t="inlineStr"/>
      <c r="L446" t="inlineStr"/>
      <c r="M446" t="inlineStr"/>
      <c r="N446" t="inlineStr"/>
      <c r="O446" t="n">
        <v>0</v>
      </c>
      <c r="P446">
        <f>IF(B460=0,0,O446/B460)</f>
        <v/>
      </c>
      <c r="Q446" t="n">
        <v>0</v>
      </c>
      <c r="R446" t="n">
        <v>0</v>
      </c>
      <c r="S446">
        <f>IFERROR(O446/N446,0)</f>
        <v/>
      </c>
    </row>
    <row r="447">
      <c r="A447">
        <f>Skills!A27</f>
        <v/>
      </c>
      <c r="B447">
        <f>Skills!B27</f>
        <v/>
      </c>
      <c r="C447">
        <f>Inputs!$B$3&gt;=120</f>
        <v/>
      </c>
      <c r="D447">
        <f>IF(Skills!C27=1,60+Inputs!$B$24+Inputs!$B$28,IF(Skills!C27=2,90+Inputs!$B$25+Inputs!$B$28,IF(Skills!C27=3,120+Inputs!$B$26+Inputs!$B$28,MAX(0,(Inputs!$B$3-100)*3)+Inputs!$B$27+Inputs!$B$28)))</f>
        <v/>
      </c>
      <c r="E447">
        <f>INDEX(FactorTable!$B$2:$Y$301, MATCH(ROUND(MIN(300,MAX(1,D447)),0), FactorTable!$A$2:$A$301,0), Skills!M27+1)</f>
        <v/>
      </c>
      <c r="F447">
        <f>IF(Skills!N27=TRUE,(Skills!L27/10)*(E447/1000),Skills!L27/10)+Skills!O27</f>
        <v/>
      </c>
      <c r="G447">
        <f>Skills!G27*IF(Skills!H27&gt;0,Skills!I27/Skills!H27,1)</f>
        <v/>
      </c>
      <c r="H447">
        <f>1-(1-Skills!J27/100)^Skills!K27</f>
        <v/>
      </c>
      <c r="I447" t="inlineStr">
        <is>
          <t>1</t>
        </is>
      </c>
      <c r="J447" t="inlineStr"/>
      <c r="K447" t="inlineStr"/>
      <c r="L447" t="inlineStr"/>
      <c r="M447" t="inlineStr"/>
      <c r="N447" t="inlineStr"/>
      <c r="O447" t="n">
        <v>0</v>
      </c>
      <c r="P447">
        <f>IF(B460=0,0,O447/B460)</f>
        <v/>
      </c>
      <c r="Q447" t="n">
        <v>0</v>
      </c>
      <c r="R447" t="n">
        <v>0</v>
      </c>
      <c r="S447">
        <f>IFERROR(O447/N447,0)</f>
        <v/>
      </c>
    </row>
    <row r="448">
      <c r="A448">
        <f>Skills!A28</f>
        <v/>
      </c>
      <c r="B448">
        <f>Skills!B28</f>
        <v/>
      </c>
      <c r="C448">
        <f>Inputs!$B$3&gt;=120</f>
        <v/>
      </c>
      <c r="D448">
        <f>IF(Skills!C28=1,60+Inputs!$B$24+Inputs!$B$28,IF(Skills!C28=2,90+Inputs!$B$25+Inputs!$B$28,IF(Skills!C28=3,120+Inputs!$B$26+Inputs!$B$28,MAX(0,(Inputs!$B$3-100)*3)+Inputs!$B$27+Inputs!$B$28)))</f>
        <v/>
      </c>
      <c r="E448">
        <f>INDEX(FactorTable!$B$2:$Y$301, MATCH(ROUND(MIN(300,MAX(1,D448)),0), FactorTable!$A$2:$A$301,0), Skills!M28+1)</f>
        <v/>
      </c>
      <c r="F448">
        <f>IF(Skills!N28=TRUE,(Skills!L28/10)*(E448/1000),Skills!L28/10)+Skills!O28</f>
        <v/>
      </c>
      <c r="G448">
        <f>Skills!G28*IF(Skills!H28&gt;0,Skills!I28/Skills!H28,1)</f>
        <v/>
      </c>
      <c r="H448">
        <f>1-(1-Skills!J28/100)^Skills!K28</f>
        <v/>
      </c>
      <c r="I448" t="inlineStr">
        <is>
          <t>1</t>
        </is>
      </c>
      <c r="J448" t="inlineStr"/>
      <c r="K448" t="inlineStr"/>
      <c r="L448" t="inlineStr"/>
      <c r="M448" t="inlineStr"/>
      <c r="N448" t="inlineStr"/>
      <c r="O448" t="n">
        <v>0</v>
      </c>
      <c r="P448">
        <f>IF(B460=0,0,O448/B460)</f>
        <v/>
      </c>
      <c r="Q448" t="n">
        <v>0</v>
      </c>
      <c r="R448" t="n">
        <v>0</v>
      </c>
      <c r="S448">
        <f>IFERROR(O448/N448,0)</f>
        <v/>
      </c>
    </row>
    <row r="449">
      <c r="A449">
        <f>Skills!A29</f>
        <v/>
      </c>
      <c r="B449">
        <f>Skills!B29</f>
        <v/>
      </c>
      <c r="C449">
        <f>Inputs!$B$3&gt;=45</f>
        <v/>
      </c>
      <c r="D449">
        <f>IF(Skills!C29=1,60+Inputs!$B$24+Inputs!$B$28,IF(Skills!C29=2,90+Inputs!$B$25+Inputs!$B$28,IF(Skills!C29=3,120+Inputs!$B$26+Inputs!$B$28,MAX(0,(Inputs!$B$3-100)*3)+Inputs!$B$27+Inputs!$B$28)))</f>
        <v/>
      </c>
      <c r="E449">
        <f>INDEX(FactorTable!$B$2:$Y$301, MATCH(ROUND(MIN(300,MAX(1,D449)),0), FactorTable!$A$2:$A$301,0), Skills!M29+1)</f>
        <v/>
      </c>
      <c r="F449">
        <f>IF(Skills!N29=TRUE,(Skills!L29/10)*(E449/1000),Skills!L29/10)+Skills!O29</f>
        <v/>
      </c>
      <c r="G449">
        <f>Skills!G29*IF(Skills!H29&gt;0,Skills!I29/Skills!H29,1)</f>
        <v/>
      </c>
      <c r="H449">
        <f>1-(1-Skills!J29/100)^Skills!K29</f>
        <v/>
      </c>
      <c r="I449" t="inlineStr">
        <is>
          <t>1</t>
        </is>
      </c>
      <c r="J449" t="inlineStr"/>
      <c r="K449" t="inlineStr"/>
      <c r="L449" t="inlineStr"/>
      <c r="M449" t="inlineStr"/>
      <c r="N449" t="inlineStr"/>
      <c r="O449" t="n">
        <v>0</v>
      </c>
      <c r="P449">
        <f>IF(B460=0,0,O449/B460)</f>
        <v/>
      </c>
      <c r="Q449" t="n">
        <v>0</v>
      </c>
      <c r="R449" t="n">
        <v>0</v>
      </c>
      <c r="S449">
        <f>IFERROR(O449/N449,0)</f>
        <v/>
      </c>
    </row>
    <row r="451">
      <c r="A451" t="inlineStr">
        <is>
          <t>Attack% Bucket Multiplier</t>
        </is>
      </c>
      <c r="B451">
        <f>(1+(((C433=TRUE)*F433)+((C434=TRUE)*IF(Inputs!$B$4="pvp",F434,(1-Summary!$B$55)*(F434)+Summary!$B$55*(0)))+((C435=TRUE)*F435*IF(AND(Inputs!$B$4&lt;&gt;"pvp",Inputs!$B$35&gt;0),(((S435-1)*(Skills!T15*(1+Inputs!$B$33/100))+MIN((Skills!T15*(1+Inputs!$B$33/100)),MAX(0,Inputs!$B$35-((S435-1)*Skills!D15))))/Inputs!$B$35),IF(Inputs!$B$4="pvp",MIN((Skills!T15*(1+Inputs!$B$33/100)),15)/15,(Skills!T15*(1+Inputs!$B$33/100))/Skills!D15)))+((C432=TRUE)*F432)+((C449=TRUE)*(F449-Calc!F29)))/100)</f>
        <v/>
      </c>
    </row>
    <row r="452">
      <c r="A452" t="inlineStr">
        <is>
          <t>Global Crit Rate Bonus %</t>
        </is>
      </c>
      <c r="B452">
        <f>(C436=TRUE)*20*IF(AND(Inputs!$B$4&lt;&gt;"pvp",Inputs!$B$35&gt;0),(((S436-1)*(Skills!T16*(1+Inputs!$B$33/100))+MIN((Skills!T16*(1+Inputs!$B$33/100)),MAX(0,Inputs!$B$35-((S436-1)*Skills!D16))))/Inputs!$B$35),IF(Inputs!$B$4="pvp",MIN((Skills!T16*(1+Inputs!$B$33/100)),15)/15,(Skills!T16*(1+Inputs!$B$33/100))/Skills!D16))</f>
        <v/>
      </c>
    </row>
    <row r="453">
      <c r="A453" t="inlineStr">
        <is>
          <t>Attack Speed Buff Bonus %</t>
        </is>
      </c>
      <c r="B453">
        <f>((C438=TRUE)*F438*IF(AND(Inputs!$B$4&lt;&gt;"pvp",Inputs!$B$35&gt;0),(((S438-1)*(Skills!T18*(1+Inputs!$B$33/100))+MIN((Skills!T18*(1+Inputs!$B$33/100)),MAX(0,Inputs!$B$35-((S438-1)*Skills!D18))))/Inputs!$B$35),IF(Inputs!$B$4="pvp",MIN((Skills!T18*(1+Inputs!$B$33/100)),15)/15,(Skills!T18*(1+Inputs!$B$33/100))/Skills!D18)))</f>
        <v/>
      </c>
    </row>
    <row r="454">
      <c r="A454" t="inlineStr">
        <is>
          <t>Actions Per Second</t>
        </is>
      </c>
      <c r="B454">
        <f>1+MIN(150,150*(1-(1-(Inputs!$B$10+((C440=TRUE)*(F440-Calc!F20))+((C441=TRUE)*(F441-Calc!F21)))/150)*(1-B453/150)))/100</f>
        <v/>
      </c>
    </row>
    <row r="455">
      <c r="A455" t="inlineStr">
        <is>
          <t>Skill + Buff Cast Rate</t>
        </is>
      </c>
      <c r="B455">
        <f>IF(AND(Inputs!$B$4&lt;&gt;"pvp",Inputs!$B$35&gt;0),SUMPRODUCT((Skills!E2:E29=TRUE)*(C422:C449=TRUE)*R422:R449*Skills!F2:F29)/Inputs!$B$35,SUMPRODUCT((Skills!E2:E29=TRUE)*(C422:C449=TRUE)*Q422:Q449*Skills!F2:F29))</f>
        <v/>
      </c>
    </row>
    <row r="456">
      <c r="A456" t="inlineStr">
        <is>
          <t>Empowered Piercing Arrow Casts Per Second</t>
        </is>
      </c>
      <c r="B456">
        <f>MAX(0,B454-B455)</f>
        <v/>
      </c>
    </row>
    <row r="457">
      <c r="A457" t="inlineStr">
        <is>
          <t>Global Critical Damage Bonus % (Sharp Eyes)</t>
        </is>
      </c>
      <c r="B457">
        <f>(C436=TRUE)*F436*IF(AND(Inputs!$B$4&lt;&gt;"pvp",Inputs!$B$35&gt;0),(((S436-1)*(Skills!T16*(1+Inputs!$B$33/100))+MIN((Skills!T16*(1+Inputs!$B$33/100)),MAX(0,Inputs!$B$35-((S436-1)*Skills!D16))))/Inputs!$B$35),IF(Inputs!$B$4="pvp",MIN((Skills!T16*(1+Inputs!$B$33/100)),15)/15,(Skills!T16*(1+Inputs!$B$33/100))/Skills!D16))</f>
        <v/>
      </c>
    </row>
    <row r="458">
      <c r="A458" t="inlineStr">
        <is>
          <t>Global Final Damage Bonus % (Mortal Blow + Last Man Standing conditional half)</t>
        </is>
      </c>
      <c r="B458">
        <f>(C437=TRUE)*F437+((C446=TRUE)*IF(Inputs!$B$4="pvp",F446,(1-Summary!$B$55)*(F446)+Summary!$B$55*(0)))</f>
        <v/>
      </c>
    </row>
    <row r="460">
      <c r="A460" s="5" t="inlineStr">
        <is>
          <t>TOTAL DPS</t>
        </is>
      </c>
      <c r="B460" s="5">
        <f>SUM(O422:O449)</f>
        <v/>
      </c>
    </row>
    <row r="463">
      <c r="A463" s="5" t="inlineStr">
        <is>
          <t>Stat: CRIT_RATE %</t>
        </is>
      </c>
    </row>
    <row r="464">
      <c r="A464" s="8" t="inlineStr">
        <is>
          <t>Key</t>
        </is>
      </c>
      <c r="B464" s="8" t="inlineStr">
        <is>
          <t>Name</t>
        </is>
      </c>
      <c r="C464" s="8" t="inlineStr">
        <is>
          <t>Unlocked</t>
        </is>
      </c>
      <c r="D464" s="8" t="inlineStr">
        <is>
          <t>InputLevel</t>
        </is>
      </c>
      <c r="E464" s="8" t="inlineStr">
        <is>
          <t>Factor</t>
        </is>
      </c>
      <c r="F464" s="8" t="inlineStr">
        <is>
          <t>CoefficientPercent</t>
        </is>
      </c>
      <c r="G464" s="8" t="inlineStr">
        <is>
          <t>EffectiveHits</t>
        </is>
      </c>
      <c r="H464" s="8" t="inlineStr">
        <is>
          <t>ProcProbability</t>
        </is>
      </c>
      <c r="I464" s="8" t="inlineStr">
        <is>
          <t>MapleHeroMultiplier</t>
        </is>
      </c>
      <c r="J464" s="8" t="inlineStr">
        <is>
          <t>BaseDamage</t>
        </is>
      </c>
      <c r="K464" s="8" t="inlineStr">
        <is>
          <t>BaseHitDamage</t>
        </is>
      </c>
      <c r="L464" s="8" t="inlineStr">
        <is>
          <t>NonCritAvg</t>
        </is>
      </c>
      <c r="M464" s="8" t="inlineStr">
        <is>
          <t>CritAvg</t>
        </is>
      </c>
      <c r="N464" s="8" t="inlineStr">
        <is>
          <t>ExpectedDamage(perHit)</t>
        </is>
      </c>
      <c r="O464" s="8" t="inlineStr">
        <is>
          <t>DPS</t>
        </is>
      </c>
      <c r="P464" s="8" t="inlineStr">
        <is>
          <t>% of Total</t>
        </is>
      </c>
      <c r="Q464" s="8" t="inlineStr">
        <is>
          <t>InvCooldown</t>
        </is>
      </c>
      <c r="R464" s="8" t="inlineStr">
        <is>
          <t>CastsInFight</t>
        </is>
      </c>
      <c r="S464" s="8" t="inlineStr">
        <is>
          <t>HitRate(perSec)</t>
        </is>
      </c>
      <c r="U464" t="inlineStr">
        <is>
          <t>helpers</t>
        </is>
      </c>
    </row>
    <row r="465">
      <c r="A465">
        <f>Skills!A2</f>
        <v/>
      </c>
      <c r="B465">
        <f>Skills!B2</f>
        <v/>
      </c>
      <c r="C465">
        <f>Inputs!$B$3&gt;=100</f>
        <v/>
      </c>
      <c r="D465" t="inlineStr"/>
      <c r="E465" t="inlineStr"/>
      <c r="F465">
        <f>U467+Skills!O2</f>
        <v/>
      </c>
      <c r="G465">
        <f>Skills!G2*IF(Skills!H2&gt;0,Skills!I2/Skills!H2,1)</f>
        <v/>
      </c>
      <c r="H465">
        <f>1-(1-Skills!J2/100)^Skills!K2</f>
        <v/>
      </c>
      <c r="I465" t="inlineStr">
        <is>
          <t>1</t>
        </is>
      </c>
      <c r="J465">
        <f>(Inputs!$B$5*(1+Inputs!$B$6/100))*(F465/100)</f>
        <v/>
      </c>
      <c r="K465">
        <f>J465*(1+((Inputs!$B$11*(1+Inputs!$B$12/100))*0.01+Inputs!$B$13*0.0025)/100)*(1+Inputs!$B$14/100)*(1+IF(Inputs!$B$4="pvp",0,(1-Summary!$B$55)*(Inputs!$B$19+0+Skills!P2)+Summary!$B$55*(Inputs!$B$20+Skills!Q2))/100)*(1+Inputs!$B$15/100)*(5000/(6000+Inputs!$B$7*(1-(Inputs!$B$18+0)/100)))*(1+(Inputs!$B$23+((C487=TRUE)*(F487-Calc!F24))+((C488=TRUE)*(F488-Calc!F25))+B501)/100)*(1+(IF(Skills!A2="EMPOWERED_PIERCING_ARROW",Inputs!$B$16+((C485=TRUE)*(F485-Calc!F22)),Inputs!$B$17+((C490=TRUE)*(F490-Calc!F27))))/100)*((1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I465)</f>
        <v/>
      </c>
      <c r="L465">
        <f>K465*(MIN(Inputs!$B$21+((C486=TRUE)*(F486-Calc!F23)),Inputs!$B$22+((C491=TRUE)*(F491-Calc!F28)))/100+(Inputs!$B$22+((C491=TRUE)*(F491-Calc!F28)))/100)/2</f>
        <v/>
      </c>
      <c r="M465">
        <f>L465*(1+(Inputs!$B$9+0+B500)/100)</f>
        <v/>
      </c>
      <c r="N465">
        <f>L465*(1-MIN(((Inputs!$B$8+1)+((C482=TRUE)*(F482-Calc!F19))+B495),100)/100)+M465*(MIN(((Inputs!$B$8+1)+((C482=TRUE)*(F482-Calc!F19))+B495),100)/100)</f>
        <v/>
      </c>
      <c r="O465">
        <f>IF(C465,Skills!G2*N465*B499*IF(Inputs!$B$4="pvp",1,(1-Summary!$B$55)*(1)+Summary!$B$55*(MIN((6+Inputs!$B$32),Inputs!$B$37))),0)</f>
        <v/>
      </c>
      <c r="P465">
        <f>IF(B503=0,0,O465/B503)</f>
        <v/>
      </c>
      <c r="Q465" t="n">
        <v>0</v>
      </c>
      <c r="R465" t="n">
        <v>0</v>
      </c>
      <c r="S465">
        <f>IFERROR(O465/N465,0)</f>
        <v/>
      </c>
      <c r="U465">
        <f>MAX(0,(Inputs!$B$3-100)*3)+Inputs!$B$27+Inputs!$B$28</f>
        <v/>
      </c>
    </row>
    <row r="466">
      <c r="A466">
        <f>Skills!A3</f>
        <v/>
      </c>
      <c r="B466">
        <f>Skills!B3</f>
        <v/>
      </c>
      <c r="C466">
        <f>Inputs!$B$3&gt;=50</f>
        <v/>
      </c>
      <c r="D466">
        <f>IF(Skills!C3=1,60+Inputs!$B$24+Inputs!$B$28,IF(Skills!C3=2,90+Inputs!$B$25+Inputs!$B$28,IF(Skills!C3=3,120+Inputs!$B$26+Inputs!$B$28,MAX(0,(Inputs!$B$3-100)*3)+Inputs!$B$27+Inputs!$B$28)))</f>
        <v/>
      </c>
      <c r="E466">
        <f>INDEX(FactorTable!$B$2:$Y$301, MATCH(ROUND(MIN(300,MAX(1,D466)),0), FactorTable!$A$2:$A$301,0), Skills!M3+1)</f>
        <v/>
      </c>
      <c r="F466">
        <f>IF(Skills!N3=TRUE,(Skills!L3/10)*(E466/1000),Skills!L3/10)+Skills!O3</f>
        <v/>
      </c>
      <c r="G466" t="inlineStr"/>
      <c r="H466" t="inlineStr"/>
      <c r="I466" t="inlineStr">
        <is>
          <t>1</t>
        </is>
      </c>
      <c r="J466" t="inlineStr"/>
      <c r="K466" t="inlineStr"/>
      <c r="L466" t="inlineStr"/>
      <c r="M466" t="inlineStr"/>
      <c r="N466" t="inlineStr"/>
      <c r="O466" t="inlineStr"/>
      <c r="P466" t="inlineStr"/>
      <c r="Q466" t="inlineStr"/>
      <c r="R466" t="inlineStr"/>
      <c r="S466" t="inlineStr"/>
      <c r="U466">
        <f>INDEX(FactorTable!$B$2:$Y$301, MATCH(ROUND(MIN(300,MAX(1,U465)),0), FactorTable!$A$2:$A$301,0), 22)</f>
        <v/>
      </c>
    </row>
    <row r="467">
      <c r="A467">
        <f>Skills!A4</f>
        <v/>
      </c>
      <c r="B467">
        <f>Skills!B4</f>
        <v/>
      </c>
      <c r="C467">
        <f>Inputs!$B$3&gt;=105</f>
        <v/>
      </c>
      <c r="D467">
        <f>IF(Skills!C4=1,60+Inputs!$B$24+Inputs!$B$28,IF(Skills!C4=2,90+Inputs!$B$25+Inputs!$B$28,IF(Skills!C4=3,120+Inputs!$B$26+Inputs!$B$28,MAX(0,(Inputs!$B$3-100)*3)+Inputs!$B$27+Inputs!$B$28)))</f>
        <v/>
      </c>
      <c r="E467">
        <f>INDEX(FactorTable!$B$2:$Y$301, MATCH(ROUND(MIN(300,MAX(1,D467)),0), FactorTable!$A$2:$A$301,0), Skills!M4+1)</f>
        <v/>
      </c>
      <c r="F467">
        <f>IF(Skills!N4=TRUE,(Skills!L4/10)*(E467/1000),Skills!L4/10)+Skills!O4</f>
        <v/>
      </c>
      <c r="G467" t="inlineStr"/>
      <c r="H467" t="inlineStr"/>
      <c r="I467" t="inlineStr">
        <is>
          <t>1</t>
        </is>
      </c>
      <c r="J467" t="inlineStr"/>
      <c r="K467" t="inlineStr"/>
      <c r="L467" t="inlineStr"/>
      <c r="M467" t="inlineStr"/>
      <c r="N467" t="inlineStr"/>
      <c r="O467" t="inlineStr"/>
      <c r="P467" t="inlineStr"/>
      <c r="Q467" t="inlineStr"/>
      <c r="R467" t="inlineStr"/>
      <c r="S467" t="inlineStr"/>
      <c r="U467">
        <f>290*U466/1000</f>
        <v/>
      </c>
    </row>
    <row r="468">
      <c r="A468">
        <f>Skills!A5</f>
        <v/>
      </c>
      <c r="B468">
        <f>Skills!B5</f>
        <v/>
      </c>
      <c r="C468">
        <f>Inputs!$B$3&gt;=35</f>
        <v/>
      </c>
      <c r="D468">
        <f>IF(Skills!C5=1,60+Inputs!$B$24+Inputs!$B$28,IF(Skills!C5=2,90+Inputs!$B$25+Inputs!$B$28,IF(Skills!C5=3,120+Inputs!$B$26+Inputs!$B$28,MAX(0,(Inputs!$B$3-100)*3)+Inputs!$B$27+Inputs!$B$28)))</f>
        <v/>
      </c>
      <c r="E468">
        <f>INDEX(FactorTable!$B$2:$Y$301, MATCH(ROUND(MIN(300,MAX(1,D468)),0), FactorTable!$A$2:$A$301,0), Skills!M5+1)</f>
        <v/>
      </c>
      <c r="F468">
        <f>IF(Skills!N5=TRUE,(Skills!L5/10)*(E468/1000),Skills!L5/10)+Skills!O5</f>
        <v/>
      </c>
      <c r="G468">
        <f>Skills!G5*IF(Skills!H5&gt;0,Skills!I5/Skills!H5,1)</f>
        <v/>
      </c>
      <c r="H468">
        <f>1-(1-Skills!J5/100)^Skills!K5</f>
        <v/>
      </c>
      <c r="I468" t="inlineStr">
        <is>
          <t>1</t>
        </is>
      </c>
      <c r="J468">
        <f>(Inputs!$B$5*(1+Inputs!$B$6/100))*(F468/100)</f>
        <v/>
      </c>
      <c r="K468">
        <f>J468*(1+((Inputs!$B$11*(1+Inputs!$B$12/100))*0.01+Inputs!$B$13*0.0025)/100)*(1+Inputs!$B$14/100)*(1+IF(Inputs!$B$4="pvp",0,(1-Summary!$B$55)*(Inputs!$B$19+0+Skills!P5)+Summary!$B$55*(Inputs!$B$20+Skills!Q5))/100)*(1+Inputs!$B$15/100)*(5000/(6000+Inputs!$B$7*(1-(Inputs!$B$18+0)/100)))*(1+(Inputs!$B$23+((C487=TRUE)*(F487-Calc!F24))+((C488=TRUE)*(F488-Calc!F25))+B501)/100)*(1+4.0*IF(C471=TRUE,F471,0)/100)*(1+(IF(Skills!A5="EMPOWERED_PIERCING_ARROW",Inputs!$B$16+((C485=TRUE)*(F485-Calc!F22)),Inputs!$B$17+((C490=TRUE)*(F490-Calc!F27))))/100)*((1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I468)</f>
        <v/>
      </c>
      <c r="L468">
        <f>K468*(MIN(Inputs!$B$21+((C486=TRUE)*(F486-Calc!F23)),Inputs!$B$22+((C491=TRUE)*(F491-Calc!F28)))/100+(Inputs!$B$22+((C491=TRUE)*(F491-Calc!F28)))/100)/2</f>
        <v/>
      </c>
      <c r="M468">
        <f>L468*(1+(Inputs!$B$9+0+B500)/100)</f>
        <v/>
      </c>
      <c r="N468">
        <f>L468*(1-MIN(((Inputs!$B$8+1)+((C482=TRUE)*(F482-Calc!F19))+B495),100)/100)+M468*(MIN(((Inputs!$B$8+1)+((C482=TRUE)*(F482-Calc!F19))+B495),100)/100)</f>
        <v/>
      </c>
      <c r="O468">
        <f>IF(C468,H468*N468*IF(AND(Inputs!$B$4&lt;&gt;"pvp",Inputs!$B$35&gt;0),((Skills!G5*((R468-1)*IF(Skills!H5&gt;0,Skills!I5/Skills!H5,1)+IF(Skills!H5&gt;0,MIN(Skills!I5,MAX(0,Inputs!$B$35-((R468-1)*IF(Inputs!$B$4="pvp",15,MAX(0.1,Skills!D5-IF(Skills!E5=TRUE,Inputs!$B$31,0))))))/Skills!H5,1)))/Inputs!$B$35),G468*Q468)*IF(Inputs!$B$4="pvp",1,(1-Summary!$B$55)*(1)+Summary!$B$55*(MIN(Skills!R5,Inputs!$B$37))),0)</f>
        <v/>
      </c>
      <c r="P468">
        <f>IF(B503=0,0,O468/B503)</f>
        <v/>
      </c>
      <c r="Q468">
        <f>IFERROR(1/IF(Inputs!$B$4="pvp",15,MAX(0.1,Skills!D5-IF(Skills!E5=TRUE,Inputs!$B$31,0))),0)</f>
        <v/>
      </c>
      <c r="R468">
        <f>IF(AND(Inputs!$B$4&lt;&gt;"pvp",Inputs!$B$35&gt;0),(INT(Inputs!$B$35/IF(Inputs!$B$4="pvp",15,MAX(0.1,Skills!D5-IF(Skills!E5=TRUE,Inputs!$B$31,0))))+1),0)</f>
        <v/>
      </c>
      <c r="S468">
        <f>IFERROR(O468/N468,0)</f>
        <v/>
      </c>
    </row>
    <row r="469">
      <c r="A469">
        <f>Skills!A6</f>
        <v/>
      </c>
      <c r="B469">
        <f>Skills!B6</f>
        <v/>
      </c>
      <c r="C469">
        <f>Inputs!$B$3&gt;=63</f>
        <v/>
      </c>
      <c r="D469">
        <f>IF(Skills!C6=1,60+Inputs!$B$24+Inputs!$B$28,IF(Skills!C6=2,90+Inputs!$B$25+Inputs!$B$28,IF(Skills!C6=3,120+Inputs!$B$26+Inputs!$B$28,MAX(0,(Inputs!$B$3-100)*3)+Inputs!$B$27+Inputs!$B$28)))</f>
        <v/>
      </c>
      <c r="E469">
        <f>INDEX(FactorTable!$B$2:$Y$301, MATCH(ROUND(MIN(300,MAX(1,D469)),0), FactorTable!$A$2:$A$301,0), Skills!M6+1)</f>
        <v/>
      </c>
      <c r="F469">
        <f>IF(Skills!N6=TRUE,(Skills!L6/10)*(E469/1000),Skills!L6/10)+Skills!O6</f>
        <v/>
      </c>
      <c r="G469">
        <f>Skills!G6*IF(Skills!H6&gt;0,Skills!I6/Skills!H6,1)</f>
        <v/>
      </c>
      <c r="H469">
        <f>1-(1-Skills!J6/100)^Skills!K6</f>
        <v/>
      </c>
      <c r="I469" t="inlineStr">
        <is>
          <t>1</t>
        </is>
      </c>
      <c r="J469">
        <f>(Inputs!$B$5*(1+Inputs!$B$6/100))*(F469/100)</f>
        <v/>
      </c>
      <c r="K469">
        <f>J469*(1+((Inputs!$B$11*(1+Inputs!$B$12/100))*0.01+Inputs!$B$13*0.0025)/100)*(1+Inputs!$B$14/100)*(1+IF(Inputs!$B$4="pvp",0,(1-Summary!$B$55)*(Inputs!$B$19+0+Skills!P6)+Summary!$B$55*(Inputs!$B$20+Skills!Q6))/100)*(1+Inputs!$B$15/100)*(5000/(6000+Inputs!$B$7*(1-(Inputs!$B$18+0)/100)))*(1+(Inputs!$B$23+((C487=TRUE)*(F487-Calc!F24))+((C488=TRUE)*(F488-Calc!F25))+B501)/100)*(1+1.0*IF(C471=TRUE,F471,0)/100)*(1+(IF(Skills!A6="EMPOWERED_PIERCING_ARROW",Inputs!$B$16+((C485=TRUE)*(F485-Calc!F22)),Inputs!$B$17+((C490=TRUE)*(F490-Calc!F27))))/100)*((1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I469)</f>
        <v/>
      </c>
      <c r="L469">
        <f>K469*(MIN(Inputs!$B$21+((C486=TRUE)*(F486-Calc!F23)),Inputs!$B$22+((C491=TRUE)*(F491-Calc!F28)))/100+(Inputs!$B$22+((C491=TRUE)*(F491-Calc!F28)))/100)/2</f>
        <v/>
      </c>
      <c r="M469">
        <f>L469*(1+(Inputs!$B$9+0+B500)/100)</f>
        <v/>
      </c>
      <c r="N469">
        <f>L469*(1-MIN(((Inputs!$B$8+1)+((C482=TRUE)*(F482-Calc!F19))+B495),100)/100)+M469*(MIN(((Inputs!$B$8+1)+((C482=TRUE)*(F482-Calc!F19))+B495),100)/100)</f>
        <v/>
      </c>
      <c r="O469">
        <f>IF(C469,H469*N469*IF(AND(Inputs!$B$4&lt;&gt;"pvp",Inputs!$B$35&gt;0),((Skills!G6*((R469-1)*IF(Skills!H6&gt;0,Skills!I6/Skills!H6,1)+IF(Skills!H6&gt;0,MIN(Skills!I6,MAX(0,Inputs!$B$35-((R469-1)*IF(Inputs!$B$4="pvp",15,MAX(0.1,Skills!D6-IF(Skills!E6=TRUE,Inputs!$B$31,0))))))/Skills!H6,1)))/Inputs!$B$35),G469*Q469)*IF(Inputs!$B$4="pvp",1,(1-Summary!$B$55)*(1)+Summary!$B$55*(MIN(Skills!R6,Inputs!$B$37))),0)</f>
        <v/>
      </c>
      <c r="P469">
        <f>IF(B503=0,0,O469/B503)</f>
        <v/>
      </c>
      <c r="Q469">
        <f>IFERROR(1/IF(Inputs!$B$4="pvp",15,MAX(0.1,Skills!D6-IF(Skills!E6=TRUE,Inputs!$B$31,0))),0)</f>
        <v/>
      </c>
      <c r="R469">
        <f>IF(AND(Inputs!$B$4&lt;&gt;"pvp",Inputs!$B$35&gt;0),(INT(Inputs!$B$35/IF(Inputs!$B$4="pvp",15,MAX(0.1,Skills!D6-IF(Skills!E6=TRUE,Inputs!$B$31,0))))+1),0)</f>
        <v/>
      </c>
      <c r="S469">
        <f>IFERROR(O469/N469,0)</f>
        <v/>
      </c>
    </row>
    <row r="470">
      <c r="A470">
        <f>Skills!A7</f>
        <v/>
      </c>
      <c r="B470">
        <f>Skills!B7</f>
        <v/>
      </c>
      <c r="C470">
        <f>Inputs!$B$3&gt;=69</f>
        <v/>
      </c>
      <c r="D470">
        <f>IF(Skills!C7=1,60+Inputs!$B$24+Inputs!$B$28,IF(Skills!C7=2,90+Inputs!$B$25+Inputs!$B$28,IF(Skills!C7=3,120+Inputs!$B$26+Inputs!$B$28,MAX(0,(Inputs!$B$3-100)*3)+Inputs!$B$27+Inputs!$B$28)))</f>
        <v/>
      </c>
      <c r="E470">
        <f>INDEX(FactorTable!$B$2:$Y$301, MATCH(ROUND(MIN(300,MAX(1,D470)),0), FactorTable!$A$2:$A$301,0), Skills!M7+1)</f>
        <v/>
      </c>
      <c r="F470">
        <f>IF(Skills!N7=TRUE,(Skills!L7/10)*(E470/1000),Skills!L7/10)+Skills!O7</f>
        <v/>
      </c>
      <c r="G470">
        <f>Skills!G7*IF(Skills!H7&gt;0,Skills!I7/Skills!H7,1)</f>
        <v/>
      </c>
      <c r="H470">
        <f>1-(1-Skills!J7/100)^Skills!K7</f>
        <v/>
      </c>
      <c r="I470" t="inlineStr">
        <is>
          <t>1</t>
        </is>
      </c>
      <c r="J470">
        <f>(Inputs!$B$5*(1+Inputs!$B$6/100))*(F470/100)</f>
        <v/>
      </c>
      <c r="K470">
        <f>J470*(1+((Inputs!$B$11*(1+Inputs!$B$12/100))*0.01+Inputs!$B$13*0.0025)/100)*(1+Inputs!$B$14/100)*(1+IF(Inputs!$B$4="pvp",0,(1-Summary!$B$55)*(Inputs!$B$19+0+Skills!P7)+Summary!$B$55*(Inputs!$B$20+Skills!Q7))/100)*(1+Inputs!$B$15/100)*(5000/(6000+Inputs!$B$7*(1-(Inputs!$B$18+0)/100)))*(1+(Inputs!$B$23+((C487=TRUE)*(F487-Calc!F24))+((C488=TRUE)*(F488-Calc!F25))+B501)/100)*(1+1.2*IF(C471=TRUE,F471,0)/100)*(1+(IF(Skills!A7="EMPOWERED_PIERCING_ARROW",Inputs!$B$16+((C485=TRUE)*(F485-Calc!F22)),Inputs!$B$17+((C490=TRUE)*(F490-Calc!F27))))/100)*((1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I470)</f>
        <v/>
      </c>
      <c r="L470">
        <f>K470*(MIN(Inputs!$B$21+((C486=TRUE)*(F486-Calc!F23)),Inputs!$B$22+((C491=TRUE)*(F491-Calc!F28)))/100+(Inputs!$B$22+((C491=TRUE)*(F491-Calc!F28)))/100)/2</f>
        <v/>
      </c>
      <c r="M470">
        <f>L470*(1+(Inputs!$B$9+0+B500)/100)</f>
        <v/>
      </c>
      <c r="N470">
        <f>L470*(1-MIN(((Inputs!$B$8+1)+((C482=TRUE)*(F482-Calc!F19))+B495),100)/100)+M470*(MIN(((Inputs!$B$8+1)+((C482=TRUE)*(F482-Calc!F19))+B495),100)/100)</f>
        <v/>
      </c>
      <c r="O470">
        <f>IF(C470,H470*N470*IF(AND(Inputs!$B$4&lt;&gt;"pvp",Inputs!$B$35&gt;0),((Skills!G7*((R470-1)*IF(Skills!H7&gt;0,Skills!I7/Skills!H7,1)+IF(Skills!H7&gt;0,MIN(Skills!I7,MAX(0,Inputs!$B$35-((R470-1)*IF(Inputs!$B$4="pvp",15,MAX(0.1,Skills!D7-IF(Skills!E7=TRUE,Inputs!$B$31,0))))))/Skills!H7,1)))/Inputs!$B$35),G470*Q470)*IF(Inputs!$B$4="pvp",1,(1-Summary!$B$55)*(1)+Summary!$B$55*(MIN(Skills!R7,Inputs!$B$37))),0)</f>
        <v/>
      </c>
      <c r="P470">
        <f>IF(B503=0,0,O470/B503)</f>
        <v/>
      </c>
      <c r="Q470">
        <f>IFERROR(1/IF(Inputs!$B$4="pvp",15,MAX(0.1,Skills!D7-IF(Skills!E7=TRUE,Inputs!$B$31,0))),0)</f>
        <v/>
      </c>
      <c r="R470">
        <f>IF(AND(Inputs!$B$4&lt;&gt;"pvp",Inputs!$B$35&gt;0),(INT(Inputs!$B$35/IF(Inputs!$B$4="pvp",15,MAX(0.1,Skills!D7-IF(Skills!E7=TRUE,Inputs!$B$31,0))))+1),0)</f>
        <v/>
      </c>
      <c r="S470">
        <f>IFERROR(O470/N470,0)</f>
        <v/>
      </c>
    </row>
    <row r="471">
      <c r="A471">
        <f>Skills!A8</f>
        <v/>
      </c>
      <c r="B471">
        <f>Skills!B8</f>
        <v/>
      </c>
      <c r="C471">
        <f>Inputs!$B$3&gt;=100</f>
        <v/>
      </c>
      <c r="D471">
        <f>IF(Skills!C8=1,60+Inputs!$B$24+Inputs!$B$28,IF(Skills!C8=2,90+Inputs!$B$25+Inputs!$B$28,IF(Skills!C8=3,120+Inputs!$B$26+Inputs!$B$28,MAX(0,(Inputs!$B$3-100)*3)+Inputs!$B$27+Inputs!$B$28)))</f>
        <v/>
      </c>
      <c r="E471">
        <f>INDEX(FactorTable!$B$2:$Y$301, MATCH(ROUND(MIN(300,MAX(1,D471)),0), FactorTable!$A$2:$A$301,0), Skills!M8+1)</f>
        <v/>
      </c>
      <c r="F471">
        <f>IF(Skills!N8=TRUE,(Skills!L8/10)*(E471/1000),Skills!L8/10)+Skills!O8</f>
        <v/>
      </c>
      <c r="G471" t="inlineStr"/>
      <c r="H471" t="inlineStr"/>
      <c r="I471" t="inlineStr">
        <is>
          <t>1</t>
        </is>
      </c>
      <c r="J471" t="inlineStr"/>
      <c r="K471" t="inlineStr"/>
      <c r="L471" t="inlineStr"/>
      <c r="M471" t="inlineStr"/>
      <c r="N471" t="inlineStr"/>
      <c r="O471" t="inlineStr"/>
      <c r="P471" t="inlineStr"/>
      <c r="Q471" t="inlineStr"/>
      <c r="R471" t="inlineStr"/>
      <c r="S471" t="inlineStr"/>
    </row>
    <row r="472">
      <c r="A472">
        <f>Skills!A9</f>
        <v/>
      </c>
      <c r="B472">
        <f>Skills!B9</f>
        <v/>
      </c>
      <c r="C472">
        <f>Inputs!$B$3&gt;=103</f>
        <v/>
      </c>
      <c r="D472">
        <f>IF(Skills!C9=1,60+Inputs!$B$24+Inputs!$B$28,IF(Skills!C9=2,90+Inputs!$B$25+Inputs!$B$28,IF(Skills!C9=3,120+Inputs!$B$26+Inputs!$B$28,MAX(0,(Inputs!$B$3-100)*3)+Inputs!$B$27+Inputs!$B$28)))</f>
        <v/>
      </c>
      <c r="E472">
        <f>INDEX(FactorTable!$B$2:$Y$301, MATCH(ROUND(MIN(300,MAX(1,D472)),0), FactorTable!$A$2:$A$301,0), Skills!M9+1)</f>
        <v/>
      </c>
      <c r="F472">
        <f>IF(Skills!N9=TRUE,(Skills!L9/10)*(E472/1000),Skills!L9/10)+Skills!O9</f>
        <v/>
      </c>
      <c r="G472">
        <f>Skills!G9*IF(Skills!H9&gt;0,Skills!I9/Skills!H9,1)</f>
        <v/>
      </c>
      <c r="H472">
        <f>1-(1-Skills!J9/100)^Skills!K9</f>
        <v/>
      </c>
      <c r="I472" t="inlineStr">
        <is>
          <t>1</t>
        </is>
      </c>
      <c r="J472">
        <f>(Inputs!$B$5*(1+Inputs!$B$6/100))*(F472/100)</f>
        <v/>
      </c>
      <c r="K472">
        <f>J472*(1+((Inputs!$B$11*(1+Inputs!$B$12/100))*0.01+Inputs!$B$13*0.0025)/100)*(1+Inputs!$B$14/100)*(1+IF(Inputs!$B$4="pvp",0,(1-Summary!$B$55)*(Inputs!$B$19+0+Skills!P9)+Summary!$B$55*(Inputs!$B$20+Skills!Q9))/100)*(1+Inputs!$B$15/100)*(5000/(6000+Inputs!$B$7*(1-(Inputs!$B$18+0)/100)))*(1+(Inputs!$B$23+((C487=TRUE)*(F487-Calc!F24))+((C488=TRUE)*(F488-Calc!F25))+B501)/100)*(1+(IF(Skills!A9="EMPOWERED_PIERCING_ARROW",Inputs!$B$16+((C485=TRUE)*(F485-Calc!F22)),Inputs!$B$17+((C490=TRUE)*(F490-Calc!F27))))/100)*((1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I472)</f>
        <v/>
      </c>
      <c r="L472">
        <f>K472*(MIN(Inputs!$B$21+((C486=TRUE)*(F486-Calc!F23)),Inputs!$B$22+((C491=TRUE)*(F491-Calc!F28)))/100+(Inputs!$B$22+((C491=TRUE)*(F491-Calc!F28)))/100)/2</f>
        <v/>
      </c>
      <c r="M472">
        <f>L472*(1+(Inputs!$B$9+0+B500)/100)</f>
        <v/>
      </c>
      <c r="N472">
        <f>L472*(1-MIN(((Inputs!$B$8+1)+((C482=TRUE)*(F482-Calc!F19))+B495),100)/100)+M472*(MIN(((Inputs!$B$8+1)+((C482=TRUE)*(F482-Calc!F19))+B495),100)/100)</f>
        <v/>
      </c>
      <c r="O472">
        <f>IF(C472,H472*N472*IF(AND(Inputs!$B$4&lt;&gt;"pvp",Inputs!$B$35&gt;0),((Skills!G9*((R472-1)*IF(Skills!H9&gt;0,Skills!I9/Skills!H9,1)+IF(Skills!H9&gt;0,MIN(Skills!I9,MAX(0,Inputs!$B$35-((R472-1)*IF(Inputs!$B$4="pvp",15,MAX(0.1,Skills!D9-IF(Skills!E9=TRUE,Inputs!$B$31,0))))))/Skills!H9,1)))/Inputs!$B$35),G472*Q472)*IF(Inputs!$B$4="pvp",1,(1-Summary!$B$55)*(1)+Summary!$B$55*(MIN(Skills!R9,Inputs!$B$37))),0)</f>
        <v/>
      </c>
      <c r="P472">
        <f>IF(B503=0,0,O472/B503)</f>
        <v/>
      </c>
      <c r="Q472">
        <f>IFERROR(1/IF(Inputs!$B$4="pvp",15,MAX(0.1,Skills!D9-IF(Skills!E9=TRUE,Inputs!$B$31,0))),0)</f>
        <v/>
      </c>
      <c r="R472">
        <f>IF(AND(Inputs!$B$4&lt;&gt;"pvp",Inputs!$B$35&gt;0),(INT(Inputs!$B$35/IF(Inputs!$B$4="pvp",15,MAX(0.1,Skills!D9-IF(Skills!E9=TRUE,Inputs!$B$31,0))))+1),0)</f>
        <v/>
      </c>
      <c r="S472">
        <f>IFERROR(O472/N472,0)</f>
        <v/>
      </c>
    </row>
    <row r="473">
      <c r="A473">
        <f>Skills!A10</f>
        <v/>
      </c>
      <c r="B473">
        <f>Skills!B10</f>
        <v/>
      </c>
      <c r="C473">
        <f>Inputs!$B$3&gt;=107</f>
        <v/>
      </c>
      <c r="D473">
        <f>IF(Skills!C10=1,60+Inputs!$B$24+Inputs!$B$28,IF(Skills!C10=2,90+Inputs!$B$25+Inputs!$B$28,IF(Skills!C10=3,120+Inputs!$B$26+Inputs!$B$28,MAX(0,(Inputs!$B$3-100)*3)+Inputs!$B$27+Inputs!$B$28)))</f>
        <v/>
      </c>
      <c r="E473">
        <f>INDEX(FactorTable!$B$2:$Y$301, MATCH(ROUND(MIN(300,MAX(1,D473)),0), FactorTable!$A$2:$A$301,0), Skills!M10+1)</f>
        <v/>
      </c>
      <c r="F473">
        <f>IF(Skills!N10=TRUE,(Skills!L10/10)*(E473/1000),Skills!L10/10)+Skills!O10</f>
        <v/>
      </c>
      <c r="G473">
        <f>Skills!G10*IF(Skills!H10&gt;0,Skills!I10/Skills!H10,1)</f>
        <v/>
      </c>
      <c r="H473">
        <f>1-(1-Skills!J10/100)^Skills!K10</f>
        <v/>
      </c>
      <c r="I473" t="inlineStr">
        <is>
          <t>1</t>
        </is>
      </c>
      <c r="J473">
        <f>(Inputs!$B$5*(1+Inputs!$B$6/100))*(F473/100)</f>
        <v/>
      </c>
      <c r="K473">
        <f>J473*(1+((Inputs!$B$11*(1+Inputs!$B$12/100))*0.01+Inputs!$B$13*0.0025)/100)*(1+Inputs!$B$14/100)*(1+IF(Inputs!$B$4="pvp",0,(1-Summary!$B$55)*(Inputs!$B$19+0+Skills!P10)+Summary!$B$55*(Inputs!$B$20+Skills!Q10))/100)*(1+Inputs!$B$15/100)*(5000/(6000+Inputs!$B$7*(1-(Inputs!$B$18+0)/100)))*(1+(Inputs!$B$23+((C487=TRUE)*(F487-Calc!F24))+((C488=TRUE)*(F488-Calc!F25))+B501)/100)*(1+(IF(Skills!A10="EMPOWERED_PIERCING_ARROW",Inputs!$B$16+((C485=TRUE)*(F485-Calc!F22)),Inputs!$B$17+((C490=TRUE)*(F490-Calc!F27))))/100)*((1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I473)</f>
        <v/>
      </c>
      <c r="L473">
        <f>K473*(MIN(Inputs!$B$21+((C486=TRUE)*(F486-Calc!F23)),Inputs!$B$22+((C491=TRUE)*(F491-Calc!F28)))/100+(Inputs!$B$22+((C491=TRUE)*(F491-Calc!F28)))/100)/2</f>
        <v/>
      </c>
      <c r="M473">
        <f>L473*(1+(Inputs!$B$9+0+B500)/100)</f>
        <v/>
      </c>
      <c r="N473">
        <f>L473*(1-MIN(((Inputs!$B$8+1)+((C482=TRUE)*(F482-Calc!F19))+B495),100)/100)+M473*(MIN(((Inputs!$B$8+1)+((C482=TRUE)*(F482-Calc!F19))+B495),100)/100)</f>
        <v/>
      </c>
      <c r="O473">
        <f>IF(C473,0.15*SUMPRODUCT((Skills!U2:U29=TRUE)*(C465:C492=TRUE)*S465:S492)*Skills!G10*N473*IF(Inputs!$B$4="pvp",1,(1-Summary!$B$55)*(1)+Summary!$B$55*(MIN(Skills!R10,Inputs!$B$37))),0)</f>
        <v/>
      </c>
      <c r="P473">
        <f>IF(B503=0,0,O473/B503)</f>
        <v/>
      </c>
      <c r="Q473" t="n">
        <v>0</v>
      </c>
      <c r="R473" t="n">
        <v>0</v>
      </c>
      <c r="S473" t="n">
        <v>0</v>
      </c>
    </row>
    <row r="474">
      <c r="A474">
        <f>Skills!A11</f>
        <v/>
      </c>
      <c r="B474">
        <f>Skills!B11</f>
        <v/>
      </c>
      <c r="C474">
        <f>Inputs!$B$3&gt;=110</f>
        <v/>
      </c>
      <c r="D474">
        <f>IF(Skills!C11=1,60+Inputs!$B$24+Inputs!$B$28,IF(Skills!C11=2,90+Inputs!$B$25+Inputs!$B$28,IF(Skills!C11=3,120+Inputs!$B$26+Inputs!$B$28,MAX(0,(Inputs!$B$3-100)*3)+Inputs!$B$27+Inputs!$B$28)))</f>
        <v/>
      </c>
      <c r="E474">
        <f>INDEX(FactorTable!$B$2:$Y$301, MATCH(ROUND(MIN(300,MAX(1,D474)),0), FactorTable!$A$2:$A$301,0), Skills!M11+1)</f>
        <v/>
      </c>
      <c r="F474">
        <f>IF(Skills!N11=TRUE,(Skills!L11/10)*(E474/1000),Skills!L11/10)+Skills!O11</f>
        <v/>
      </c>
      <c r="G474">
        <f>Skills!G11*IF(Skills!H11&gt;0,Skills!I11/Skills!H11,1)</f>
        <v/>
      </c>
      <c r="H474">
        <f>1-(1-Skills!J11/100)^Skills!K11</f>
        <v/>
      </c>
      <c r="I474" t="inlineStr">
        <is>
          <t>1</t>
        </is>
      </c>
      <c r="J474">
        <f>(Inputs!$B$5*(1+Inputs!$B$6/100))*(F474/100)</f>
        <v/>
      </c>
      <c r="K474">
        <f>J474*(1+((Inputs!$B$11*(1+Inputs!$B$12/100))*0.01+Inputs!$B$13*0.0025)/100)*(1+Inputs!$B$14/100)*(1+IF(Inputs!$B$4="pvp",0,(1-Summary!$B$55)*(Inputs!$B$19+0+Skills!P11)+Summary!$B$55*(Inputs!$B$20+Skills!Q11))/100)*(1+Inputs!$B$15/100)*(5000/(6000+Inputs!$B$7*(1-(Inputs!$B$18+0)/100)))*(1+(Inputs!$B$23+((C487=TRUE)*(F487-Calc!F24))+((C488=TRUE)*(F488-Calc!F25))+B501)/100)*(1+(IF(Skills!A11="EMPOWERED_PIERCING_ARROW",Inputs!$B$16+((C485=TRUE)*(F485-Calc!F22)),Inputs!$B$17+((C490=TRUE)*(F490-Calc!F27))))/100)*((1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I474)</f>
        <v/>
      </c>
      <c r="L474">
        <f>K474*(MIN(Inputs!$B$21+((C486=TRUE)*(F486-Calc!F23)),Inputs!$B$22+((C491=TRUE)*(F491-Calc!F28)))/100+(Inputs!$B$22+((C491=TRUE)*(F491-Calc!F28)))/100)/2</f>
        <v/>
      </c>
      <c r="M474">
        <f>L474*(1+(Inputs!$B$9+0+B500)/100)</f>
        <v/>
      </c>
      <c r="N474">
        <f>L474*(1-MIN(((Inputs!$B$8+1)+((C482=TRUE)*(F482-Calc!F19))+B495),100)/100)+M474*(MIN(((Inputs!$B$8+1)+((C482=TRUE)*(F482-Calc!F19))+B495),100)/100)</f>
        <v/>
      </c>
      <c r="O474">
        <f>IF(C474,H474*N474*IF(AND(Inputs!$B$4&lt;&gt;"pvp",Inputs!$B$35&gt;0),((Skills!G11*((R474-1)*IF(Skills!H11&gt;0,Skills!I11/Skills!H11,1)+IF(Skills!H11&gt;0,MIN(Skills!I11,MAX(0,Inputs!$B$35-((R474-1)*IF(Inputs!$B$4="pvp",15,MAX(0.1,Skills!D11-IF(Skills!E11=TRUE,Inputs!$B$31,0))))))/Skills!H11,1)))/Inputs!$B$35),G474*Q474)*IF(Inputs!$B$4="pvp",1,(1-Summary!$B$55)*(1)+Summary!$B$55*(MIN(Skills!R11,Inputs!$B$37))),0)</f>
        <v/>
      </c>
      <c r="P474">
        <f>IF(B503=0,0,O474/B503)</f>
        <v/>
      </c>
      <c r="Q474">
        <f>IFERROR(1/IF(Inputs!$B$4="pvp",15,MAX(0.1,Skills!D11-IF(Skills!E11=TRUE,Inputs!$B$31,0))),0)</f>
        <v/>
      </c>
      <c r="R474">
        <f>IF(AND(Inputs!$B$4&lt;&gt;"pvp",Inputs!$B$35&gt;0),(INT(Inputs!$B$35/IF(Inputs!$B$4="pvp",15,MAX(0.1,Skills!D11-IF(Skills!E11=TRUE,Inputs!$B$31,0))))+1),0)</f>
        <v/>
      </c>
      <c r="S474">
        <f>IFERROR(O474/N474,0)</f>
        <v/>
      </c>
    </row>
    <row r="475">
      <c r="A475">
        <f>Skills!A12</f>
        <v/>
      </c>
      <c r="B475">
        <f>Skills!B12</f>
        <v/>
      </c>
      <c r="C475">
        <f>Inputs!$B$3&gt;=60</f>
        <v/>
      </c>
      <c r="D475">
        <f>IF(Skills!C12=1,60+Inputs!$B$24+Inputs!$B$28,IF(Skills!C12=2,90+Inputs!$B$25+Inputs!$B$28,IF(Skills!C12=3,120+Inputs!$B$26+Inputs!$B$28,MAX(0,(Inputs!$B$3-100)*3)+Inputs!$B$27+Inputs!$B$28)))</f>
        <v/>
      </c>
      <c r="E475">
        <f>INDEX(FactorTable!$B$2:$Y$301, MATCH(ROUND(MIN(300,MAX(1,D475)),0), FactorTable!$A$2:$A$301,0), Skills!M12+1)</f>
        <v/>
      </c>
      <c r="F475">
        <f>IF(Skills!N12=TRUE,(Skills!L12/10)*(E475/1000),Skills!L12/10)+Skills!O12</f>
        <v/>
      </c>
      <c r="G475">
        <f>Skills!G12*IF(Skills!H12&gt;0,Skills!I12/Skills!H12,1)</f>
        <v/>
      </c>
      <c r="H475">
        <f>1-(1-Skills!J12/100)^Skills!K12</f>
        <v/>
      </c>
      <c r="I475" t="inlineStr">
        <is>
          <t>1</t>
        </is>
      </c>
      <c r="J475" t="inlineStr"/>
      <c r="K475" t="inlineStr"/>
      <c r="L475" t="inlineStr"/>
      <c r="M475" t="inlineStr"/>
      <c r="N475" t="inlineStr"/>
      <c r="O475" t="n">
        <v>0</v>
      </c>
      <c r="P475">
        <f>IF(B503=0,0,O475/B503)</f>
        <v/>
      </c>
      <c r="Q475" t="n">
        <v>0</v>
      </c>
      <c r="R475" t="n">
        <v>0</v>
      </c>
      <c r="S475">
        <f>IFERROR(O475/N475,0)</f>
        <v/>
      </c>
    </row>
    <row r="476">
      <c r="A476">
        <f>Skills!A13</f>
        <v/>
      </c>
      <c r="B476">
        <f>Skills!B13</f>
        <v/>
      </c>
      <c r="C476">
        <f>Inputs!$B$3&gt;=74</f>
        <v/>
      </c>
      <c r="D476">
        <f>IF(Skills!C13=1,60+Inputs!$B$24+Inputs!$B$28,IF(Skills!C13=2,90+Inputs!$B$25+Inputs!$B$28,IF(Skills!C13=3,120+Inputs!$B$26+Inputs!$B$28,MAX(0,(Inputs!$B$3-100)*3)+Inputs!$B$27+Inputs!$B$28)))</f>
        <v/>
      </c>
      <c r="E476">
        <f>INDEX(FactorTable!$B$2:$Y$301, MATCH(ROUND(MIN(300,MAX(1,D476)),0), FactorTable!$A$2:$A$301,0), Skills!M13+1)</f>
        <v/>
      </c>
      <c r="F476">
        <f>IF(Skills!N13=TRUE,(Skills!L13/10)*(E476/1000),Skills!L13/10)+Skills!O13</f>
        <v/>
      </c>
      <c r="G476">
        <f>Skills!G13*IF(Skills!H13&gt;0,Skills!I13/Skills!H13,1)</f>
        <v/>
      </c>
      <c r="H476">
        <f>1-(1-Skills!J13/100)^Skills!K13</f>
        <v/>
      </c>
      <c r="I476" t="inlineStr">
        <is>
          <t>1</t>
        </is>
      </c>
      <c r="J476" t="inlineStr"/>
      <c r="K476" t="inlineStr"/>
      <c r="L476" t="inlineStr"/>
      <c r="M476" t="inlineStr"/>
      <c r="N476" t="inlineStr"/>
      <c r="O476" t="n">
        <v>0</v>
      </c>
      <c r="P476">
        <f>IF(B503=0,0,O476/B503)</f>
        <v/>
      </c>
      <c r="Q476" t="n">
        <v>0</v>
      </c>
      <c r="R476" t="n">
        <v>0</v>
      </c>
      <c r="S476">
        <f>IFERROR(O476/N476,0)</f>
        <v/>
      </c>
    </row>
    <row r="477">
      <c r="A477">
        <f>Skills!A14</f>
        <v/>
      </c>
      <c r="B477">
        <f>Skills!B14</f>
        <v/>
      </c>
      <c r="C477">
        <f>Inputs!$B$3&gt;=74</f>
        <v/>
      </c>
      <c r="D477">
        <f>IF(Skills!C14=1,60+Inputs!$B$24+Inputs!$B$28,IF(Skills!C14=2,90+Inputs!$B$25+Inputs!$B$28,IF(Skills!C14=3,120+Inputs!$B$26+Inputs!$B$28,MAX(0,(Inputs!$B$3-100)*3)+Inputs!$B$27+Inputs!$B$28)))</f>
        <v/>
      </c>
      <c r="E477">
        <f>INDEX(FactorTable!$B$2:$Y$301, MATCH(ROUND(MIN(300,MAX(1,D477)),0), FactorTable!$A$2:$A$301,0), Skills!M14+1)</f>
        <v/>
      </c>
      <c r="F477">
        <f>IF(Skills!N14=TRUE,(Skills!L14/10)*(E477/1000),Skills!L14/10)+Skills!O14</f>
        <v/>
      </c>
      <c r="G477">
        <f>Skills!G14*IF(Skills!H14&gt;0,Skills!I14/Skills!H14,1)</f>
        <v/>
      </c>
      <c r="H477">
        <f>1-(1-Skills!J14/100)^Skills!K14</f>
        <v/>
      </c>
      <c r="I477" t="inlineStr">
        <is>
          <t>1</t>
        </is>
      </c>
      <c r="J477" t="inlineStr"/>
      <c r="K477" t="inlineStr"/>
      <c r="L477" t="inlineStr"/>
      <c r="M477" t="inlineStr"/>
      <c r="N477" t="inlineStr"/>
      <c r="O477" t="n">
        <v>0</v>
      </c>
      <c r="P477">
        <f>IF(B503=0,0,O477/B503)</f>
        <v/>
      </c>
      <c r="Q477" t="n">
        <v>0</v>
      </c>
      <c r="R477" t="n">
        <v>0</v>
      </c>
      <c r="S477">
        <f>IFERROR(O477/N477,0)</f>
        <v/>
      </c>
    </row>
    <row r="478">
      <c r="A478">
        <f>Skills!A15</f>
        <v/>
      </c>
      <c r="B478">
        <f>Skills!B15</f>
        <v/>
      </c>
      <c r="C478">
        <f>Inputs!$B$3&gt;=117</f>
        <v/>
      </c>
      <c r="D478">
        <f>IF(Skills!C15=1,60+Inputs!$B$24+Inputs!$B$28,IF(Skills!C15=2,90+Inputs!$B$25+Inputs!$B$28,IF(Skills!C15=3,120+Inputs!$B$26+Inputs!$B$28,MAX(0,(Inputs!$B$3-100)*3)+Inputs!$B$27+Inputs!$B$28)))</f>
        <v/>
      </c>
      <c r="E478">
        <f>INDEX(FactorTable!$B$2:$Y$301, MATCH(ROUND(MIN(300,MAX(1,D478)),0), FactorTable!$A$2:$A$301,0), Skills!M15+1)</f>
        <v/>
      </c>
      <c r="F478">
        <f>IF(Skills!N15=TRUE,(Skills!L15/10)*(E478/1000),Skills!L15/10)+Skills!O15</f>
        <v/>
      </c>
      <c r="G478">
        <f>Skills!G15*IF(Skills!H15&gt;0,Skills!I15/Skills!H15,1)</f>
        <v/>
      </c>
      <c r="H478">
        <f>1-(1-Skills!J15/100)^Skills!K15</f>
        <v/>
      </c>
      <c r="I478" t="inlineStr">
        <is>
          <t>1</t>
        </is>
      </c>
      <c r="J478" t="inlineStr"/>
      <c r="K478" t="inlineStr"/>
      <c r="L478" t="inlineStr"/>
      <c r="M478" t="inlineStr"/>
      <c r="N478" t="inlineStr"/>
      <c r="O478" t="n">
        <v>0</v>
      </c>
      <c r="P478">
        <f>IF(B503=0,0,O478/B503)</f>
        <v/>
      </c>
      <c r="Q478">
        <f>IFERROR(1/IF(Inputs!$B$4="pvp",15,MAX(0.1,Skills!D15-IF(Skills!E15=TRUE,Inputs!$B$31,0))),0)</f>
        <v/>
      </c>
      <c r="R478">
        <f>IF(AND(Inputs!$B$4&lt;&gt;"pvp",Inputs!$B$35&gt;0),(INT(Inputs!$B$35/IF(Inputs!$B$4="pvp",15,MAX(0.1,Skills!D15-IF(Skills!E15=TRUE,Inputs!$B$31,0))))+1),0)</f>
        <v/>
      </c>
      <c r="S478">
        <f>IFERROR(O478/N478,0)</f>
        <v/>
      </c>
    </row>
    <row r="479">
      <c r="A479">
        <f>Skills!A16</f>
        <v/>
      </c>
      <c r="B479">
        <f>Skills!B16</f>
        <v/>
      </c>
      <c r="C479">
        <f>Inputs!$B$3&gt;=115</f>
        <v/>
      </c>
      <c r="D479">
        <f>IF(Skills!C16=1,60+Inputs!$B$24+Inputs!$B$28,IF(Skills!C16=2,90+Inputs!$B$25+Inputs!$B$28,IF(Skills!C16=3,120+Inputs!$B$26+Inputs!$B$28,MAX(0,(Inputs!$B$3-100)*3)+Inputs!$B$27+Inputs!$B$28)))</f>
        <v/>
      </c>
      <c r="E479">
        <f>INDEX(FactorTable!$B$2:$Y$301, MATCH(ROUND(MIN(300,MAX(1,D479)),0), FactorTable!$A$2:$A$301,0), Skills!M16+1)</f>
        <v/>
      </c>
      <c r="F479">
        <f>IF(Skills!N16=TRUE,(Skills!L16/10)*(E479/1000),Skills!L16/10)+Skills!O16</f>
        <v/>
      </c>
      <c r="G479">
        <f>Skills!G16*IF(Skills!H16&gt;0,Skills!I16/Skills!H16,1)</f>
        <v/>
      </c>
      <c r="H479">
        <f>1-(1-Skills!J16/100)^Skills!K16</f>
        <v/>
      </c>
      <c r="I479" t="inlineStr">
        <is>
          <t>1</t>
        </is>
      </c>
      <c r="J479" t="inlineStr"/>
      <c r="K479" t="inlineStr"/>
      <c r="L479" t="inlineStr"/>
      <c r="M479" t="inlineStr"/>
      <c r="N479" t="inlineStr"/>
      <c r="O479" t="n">
        <v>0</v>
      </c>
      <c r="P479">
        <f>IF(B503=0,0,O479/B503)</f>
        <v/>
      </c>
      <c r="Q479">
        <f>IFERROR(1/IF(Inputs!$B$4="pvp",15,MAX(0.1,Skills!D16-IF(Skills!E16=TRUE,Inputs!$B$31,0))),0)</f>
        <v/>
      </c>
      <c r="R479">
        <f>IF(AND(Inputs!$B$4&lt;&gt;"pvp",Inputs!$B$35&gt;0),(INT(Inputs!$B$35/IF(Inputs!$B$4="pvp",15,MAX(0.1,Skills!D16-IF(Skills!E16=TRUE,Inputs!$B$31,0))))+1),0)</f>
        <v/>
      </c>
      <c r="S479">
        <f>IFERROR(O479/N479,0)</f>
        <v/>
      </c>
    </row>
    <row r="480">
      <c r="A480">
        <f>Skills!A17</f>
        <v/>
      </c>
      <c r="B480">
        <f>Skills!B17</f>
        <v/>
      </c>
      <c r="C480">
        <f>Inputs!$B$3&gt;=72</f>
        <v/>
      </c>
      <c r="D480">
        <f>IF(Skills!C17=1,60+Inputs!$B$24+Inputs!$B$28,IF(Skills!C17=2,90+Inputs!$B$25+Inputs!$B$28,IF(Skills!C17=3,120+Inputs!$B$26+Inputs!$B$28,MAX(0,(Inputs!$B$3-100)*3)+Inputs!$B$27+Inputs!$B$28)))</f>
        <v/>
      </c>
      <c r="E480">
        <f>INDEX(FactorTable!$B$2:$Y$301, MATCH(ROUND(MIN(300,MAX(1,D480)),0), FactorTable!$A$2:$A$301,0), Skills!M17+1)</f>
        <v/>
      </c>
      <c r="F480">
        <f>IF(Skills!N17=TRUE,(Skills!L17/10)*(E480/1000),Skills!L17/10)+Skills!O17</f>
        <v/>
      </c>
      <c r="G480">
        <f>Skills!G17*IF(Skills!H17&gt;0,Skills!I17/Skills!H17,1)</f>
        <v/>
      </c>
      <c r="H480">
        <f>1-(1-Skills!J17/100)^Skills!K17</f>
        <v/>
      </c>
      <c r="I480" t="inlineStr">
        <is>
          <t>1</t>
        </is>
      </c>
      <c r="J480" t="inlineStr"/>
      <c r="K480" t="inlineStr"/>
      <c r="L480" t="inlineStr"/>
      <c r="M480" t="inlineStr"/>
      <c r="N480" t="inlineStr"/>
      <c r="O480" t="n">
        <v>0</v>
      </c>
      <c r="P480">
        <f>IF(B503=0,0,O480/B503)</f>
        <v/>
      </c>
      <c r="Q480" t="n">
        <v>0</v>
      </c>
      <c r="R480" t="n">
        <v>0</v>
      </c>
      <c r="S480">
        <f>IFERROR(O480/N480,0)</f>
        <v/>
      </c>
    </row>
    <row r="481">
      <c r="A481">
        <f>Skills!A18</f>
        <v/>
      </c>
      <c r="B481">
        <f>Skills!B18</f>
        <v/>
      </c>
      <c r="C481">
        <f>TRUE</f>
        <v/>
      </c>
      <c r="D481">
        <f>IF(Skills!C18=1,60+Inputs!$B$24+Inputs!$B$28,IF(Skills!C18=2,90+Inputs!$B$25+Inputs!$B$28,IF(Skills!C18=3,120+Inputs!$B$26+Inputs!$B$28,MAX(0,(Inputs!$B$3-100)*3)+Inputs!$B$27+Inputs!$B$28)))</f>
        <v/>
      </c>
      <c r="E481">
        <f>INDEX(FactorTable!$B$2:$Y$301, MATCH(ROUND(MIN(300,MAX(1,D481)),0), FactorTable!$A$2:$A$301,0), Skills!M18+1)</f>
        <v/>
      </c>
      <c r="F481">
        <f>IF(Skills!N18=TRUE,(Skills!L18/10)*(E481/1000),Skills!L18/10)+Skills!O18</f>
        <v/>
      </c>
      <c r="G481">
        <f>Skills!G18*IF(Skills!H18&gt;0,Skills!I18/Skills!H18,1)</f>
        <v/>
      </c>
      <c r="H481">
        <f>1-(1-Skills!J18/100)^Skills!K18</f>
        <v/>
      </c>
      <c r="I481" t="inlineStr">
        <is>
          <t>1</t>
        </is>
      </c>
      <c r="J481" t="inlineStr"/>
      <c r="K481" t="inlineStr"/>
      <c r="L481" t="inlineStr"/>
      <c r="M481" t="inlineStr"/>
      <c r="N481" t="inlineStr"/>
      <c r="O481" t="n">
        <v>0</v>
      </c>
      <c r="P481">
        <f>IF(B503=0,0,O481/B503)</f>
        <v/>
      </c>
      <c r="Q481">
        <f>IFERROR(1/IF(Inputs!$B$4="pvp",15,MAX(0.1,Skills!D18-IF(Skills!E18=TRUE,Inputs!$B$31,0))),0)</f>
        <v/>
      </c>
      <c r="R481">
        <f>IF(AND(Inputs!$B$4&lt;&gt;"pvp",Inputs!$B$35&gt;0),(INT(Inputs!$B$35/IF(Inputs!$B$4="pvp",15,MAX(0.1,Skills!D18-IF(Skills!E18=TRUE,Inputs!$B$31,0))))+1),0)</f>
        <v/>
      </c>
      <c r="S481">
        <f>IFERROR(O481/N481,0)</f>
        <v/>
      </c>
    </row>
    <row r="482">
      <c r="A482">
        <f>Skills!A19</f>
        <v/>
      </c>
      <c r="B482">
        <f>Skills!B19</f>
        <v/>
      </c>
      <c r="C482">
        <f>Inputs!$B$3&gt;=15</f>
        <v/>
      </c>
      <c r="D482">
        <f>IF(Skills!C19=1,60+Inputs!$B$24+Inputs!$B$28,IF(Skills!C19=2,90+Inputs!$B$25+Inputs!$B$28,IF(Skills!C19=3,120+Inputs!$B$26+Inputs!$B$28,MAX(0,(Inputs!$B$3-100)*3)+Inputs!$B$27+Inputs!$B$28)))</f>
        <v/>
      </c>
      <c r="E482">
        <f>INDEX(FactorTable!$B$2:$Y$301, MATCH(ROUND(MIN(300,MAX(1,D482)),0), FactorTable!$A$2:$A$301,0), Skills!M19+1)</f>
        <v/>
      </c>
      <c r="F482">
        <f>IF(Skills!N19=TRUE,(Skills!L19/10)*(E482/1000),Skills!L19/10)+Skills!O19</f>
        <v/>
      </c>
      <c r="G482">
        <f>Skills!G19*IF(Skills!H19&gt;0,Skills!I19/Skills!H19,1)</f>
        <v/>
      </c>
      <c r="H482">
        <f>1-(1-Skills!J19/100)^Skills!K19</f>
        <v/>
      </c>
      <c r="I482" t="inlineStr">
        <is>
          <t>1</t>
        </is>
      </c>
      <c r="J482" t="inlineStr"/>
      <c r="K482" t="inlineStr"/>
      <c r="L482" t="inlineStr"/>
      <c r="M482" t="inlineStr"/>
      <c r="N482" t="inlineStr"/>
      <c r="O482" t="n">
        <v>0</v>
      </c>
      <c r="P482">
        <f>IF(B503=0,0,O482/B503)</f>
        <v/>
      </c>
      <c r="Q482" t="n">
        <v>0</v>
      </c>
      <c r="R482" t="n">
        <v>0</v>
      </c>
      <c r="S482">
        <f>IFERROR(O482/N482,0)</f>
        <v/>
      </c>
    </row>
    <row r="483">
      <c r="A483">
        <f>Skills!A20</f>
        <v/>
      </c>
      <c r="B483">
        <f>Skills!B20</f>
        <v/>
      </c>
      <c r="C483">
        <f>Inputs!$B$3&gt;=10</f>
        <v/>
      </c>
      <c r="D483">
        <f>IF(Skills!C20=1,60+Inputs!$B$24+Inputs!$B$28,IF(Skills!C20=2,90+Inputs!$B$25+Inputs!$B$28,IF(Skills!C20=3,120+Inputs!$B$26+Inputs!$B$28,MAX(0,(Inputs!$B$3-100)*3)+Inputs!$B$27+Inputs!$B$28)))</f>
        <v/>
      </c>
      <c r="E483">
        <f>INDEX(FactorTable!$B$2:$Y$301, MATCH(ROUND(MIN(300,MAX(1,D483)),0), FactorTable!$A$2:$A$301,0), Skills!M20+1)</f>
        <v/>
      </c>
      <c r="F483">
        <f>IF(Skills!N20=TRUE,(Skills!L20/10)*(E483/1000),Skills!L20/10)+Skills!O20</f>
        <v/>
      </c>
      <c r="G483">
        <f>Skills!G20*IF(Skills!H20&gt;0,Skills!I20/Skills!H20,1)</f>
        <v/>
      </c>
      <c r="H483">
        <f>1-(1-Skills!J20/100)^Skills!K20</f>
        <v/>
      </c>
      <c r="I483" t="inlineStr">
        <is>
          <t>1</t>
        </is>
      </c>
      <c r="J483" t="inlineStr"/>
      <c r="K483" t="inlineStr"/>
      <c r="L483" t="inlineStr"/>
      <c r="M483" t="inlineStr"/>
      <c r="N483" t="inlineStr"/>
      <c r="O483" t="n">
        <v>0</v>
      </c>
      <c r="P483">
        <f>IF(B503=0,0,O483/B503)</f>
        <v/>
      </c>
      <c r="Q483" t="n">
        <v>0</v>
      </c>
      <c r="R483" t="n">
        <v>0</v>
      </c>
      <c r="S483">
        <f>IFERROR(O483/N483,0)</f>
        <v/>
      </c>
    </row>
    <row r="484">
      <c r="A484">
        <f>Skills!A21</f>
        <v/>
      </c>
      <c r="B484">
        <f>Skills!B21</f>
        <v/>
      </c>
      <c r="C484">
        <f>Inputs!$B$3&gt;=33</f>
        <v/>
      </c>
      <c r="D484">
        <f>IF(Skills!C21=1,60+Inputs!$B$24+Inputs!$B$28,IF(Skills!C21=2,90+Inputs!$B$25+Inputs!$B$28,IF(Skills!C21=3,120+Inputs!$B$26+Inputs!$B$28,MAX(0,(Inputs!$B$3-100)*3)+Inputs!$B$27+Inputs!$B$28)))</f>
        <v/>
      </c>
      <c r="E484">
        <f>INDEX(FactorTable!$B$2:$Y$301, MATCH(ROUND(MIN(300,MAX(1,D484)),0), FactorTable!$A$2:$A$301,0), Skills!M21+1)</f>
        <v/>
      </c>
      <c r="F484">
        <f>IF(Skills!N21=TRUE,(Skills!L21/10)*(E484/1000),Skills!L21/10)+Skills!O21</f>
        <v/>
      </c>
      <c r="G484">
        <f>Skills!G21*IF(Skills!H21&gt;0,Skills!I21/Skills!H21,1)</f>
        <v/>
      </c>
      <c r="H484">
        <f>1-(1-Skills!J21/100)^Skills!K21</f>
        <v/>
      </c>
      <c r="I484" t="inlineStr">
        <is>
          <t>1</t>
        </is>
      </c>
      <c r="J484" t="inlineStr"/>
      <c r="K484" t="inlineStr"/>
      <c r="L484" t="inlineStr"/>
      <c r="M484" t="inlineStr"/>
      <c r="N484" t="inlineStr"/>
      <c r="O484" t="n">
        <v>0</v>
      </c>
      <c r="P484">
        <f>IF(B503=0,0,O484/B503)</f>
        <v/>
      </c>
      <c r="Q484" t="n">
        <v>0</v>
      </c>
      <c r="R484" t="n">
        <v>0</v>
      </c>
      <c r="S484">
        <f>IFERROR(O484/N484,0)</f>
        <v/>
      </c>
    </row>
    <row r="485">
      <c r="A485">
        <f>Skills!A22</f>
        <v/>
      </c>
      <c r="B485">
        <f>Skills!B22</f>
        <v/>
      </c>
      <c r="C485">
        <f>Inputs!$B$3&gt;=38</f>
        <v/>
      </c>
      <c r="D485">
        <f>IF(Skills!C22=1,60+Inputs!$B$24+Inputs!$B$28,IF(Skills!C22=2,90+Inputs!$B$25+Inputs!$B$28,IF(Skills!C22=3,120+Inputs!$B$26+Inputs!$B$28,MAX(0,(Inputs!$B$3-100)*3)+Inputs!$B$27+Inputs!$B$28)))</f>
        <v/>
      </c>
      <c r="E485">
        <f>INDEX(FactorTable!$B$2:$Y$301, MATCH(ROUND(MIN(300,MAX(1,D485)),0), FactorTable!$A$2:$A$301,0), Skills!M22+1)</f>
        <v/>
      </c>
      <c r="F485">
        <f>IF(Skills!N22=TRUE,(Skills!L22/10)*(E485/1000),Skills!L22/10)+Skills!O22</f>
        <v/>
      </c>
      <c r="G485">
        <f>Skills!G22*IF(Skills!H22&gt;0,Skills!I22/Skills!H22,1)</f>
        <v/>
      </c>
      <c r="H485">
        <f>1-(1-Skills!J22/100)^Skills!K22</f>
        <v/>
      </c>
      <c r="I485" t="inlineStr">
        <is>
          <t>1</t>
        </is>
      </c>
      <c r="J485" t="inlineStr"/>
      <c r="K485" t="inlineStr"/>
      <c r="L485" t="inlineStr"/>
      <c r="M485" t="inlineStr"/>
      <c r="N485" t="inlineStr"/>
      <c r="O485" t="n">
        <v>0</v>
      </c>
      <c r="P485">
        <f>IF(B503=0,0,O485/B503)</f>
        <v/>
      </c>
      <c r="Q485" t="n">
        <v>0</v>
      </c>
      <c r="R485" t="n">
        <v>0</v>
      </c>
      <c r="S485">
        <f>IFERROR(O485/N485,0)</f>
        <v/>
      </c>
    </row>
    <row r="486">
      <c r="A486">
        <f>Skills!A23</f>
        <v/>
      </c>
      <c r="B486">
        <f>Skills!B23</f>
        <v/>
      </c>
      <c r="C486">
        <f>Inputs!$B$3&gt;=43</f>
        <v/>
      </c>
      <c r="D486">
        <f>IF(Skills!C23=1,60+Inputs!$B$24+Inputs!$B$28,IF(Skills!C23=2,90+Inputs!$B$25+Inputs!$B$28,IF(Skills!C23=3,120+Inputs!$B$26+Inputs!$B$28,MAX(0,(Inputs!$B$3-100)*3)+Inputs!$B$27+Inputs!$B$28)))</f>
        <v/>
      </c>
      <c r="E486">
        <f>INDEX(FactorTable!$B$2:$Y$301, MATCH(ROUND(MIN(300,MAX(1,D486)),0), FactorTable!$A$2:$A$301,0), Skills!M23+1)</f>
        <v/>
      </c>
      <c r="F486">
        <f>IF(Skills!N23=TRUE,(Skills!L23/10)*(E486/1000),Skills!L23/10)+Skills!O23</f>
        <v/>
      </c>
      <c r="G486">
        <f>Skills!G23*IF(Skills!H23&gt;0,Skills!I23/Skills!H23,1)</f>
        <v/>
      </c>
      <c r="H486">
        <f>1-(1-Skills!J23/100)^Skills!K23</f>
        <v/>
      </c>
      <c r="I486" t="inlineStr">
        <is>
          <t>1</t>
        </is>
      </c>
      <c r="J486" t="inlineStr"/>
      <c r="K486" t="inlineStr"/>
      <c r="L486" t="inlineStr"/>
      <c r="M486" t="inlineStr"/>
      <c r="N486" t="inlineStr"/>
      <c r="O486" t="n">
        <v>0</v>
      </c>
      <c r="P486">
        <f>IF(B503=0,0,O486/B503)</f>
        <v/>
      </c>
      <c r="Q486" t="n">
        <v>0</v>
      </c>
      <c r="R486" t="n">
        <v>0</v>
      </c>
      <c r="S486">
        <f>IFERROR(O486/N486,0)</f>
        <v/>
      </c>
    </row>
    <row r="487">
      <c r="A487">
        <f>Skills!A24</f>
        <v/>
      </c>
      <c r="B487">
        <f>Skills!B24</f>
        <v/>
      </c>
      <c r="C487">
        <f>Inputs!$B$3&gt;=75</f>
        <v/>
      </c>
      <c r="D487">
        <f>IF(Skills!C24=1,60+Inputs!$B$24+Inputs!$B$28,IF(Skills!C24=2,90+Inputs!$B$25+Inputs!$B$28,IF(Skills!C24=3,120+Inputs!$B$26+Inputs!$B$28,MAX(0,(Inputs!$B$3-100)*3)+Inputs!$B$27+Inputs!$B$28)))</f>
        <v/>
      </c>
      <c r="E487">
        <f>INDEX(FactorTable!$B$2:$Y$301, MATCH(ROUND(MIN(300,MAX(1,D487)),0), FactorTable!$A$2:$A$301,0), Skills!M24+1)</f>
        <v/>
      </c>
      <c r="F487">
        <f>IF(Skills!N24=TRUE,(Skills!L24/10)*(E487/1000),Skills!L24/10)+Skills!O24</f>
        <v/>
      </c>
      <c r="G487">
        <f>Skills!G24*IF(Skills!H24&gt;0,Skills!I24/Skills!H24,1)</f>
        <v/>
      </c>
      <c r="H487">
        <f>1-(1-Skills!J24/100)^Skills!K24</f>
        <v/>
      </c>
      <c r="I487" t="inlineStr">
        <is>
          <t>1</t>
        </is>
      </c>
      <c r="J487" t="inlineStr"/>
      <c r="K487" t="inlineStr"/>
      <c r="L487" t="inlineStr"/>
      <c r="M487" t="inlineStr"/>
      <c r="N487" t="inlineStr"/>
      <c r="O487" t="n">
        <v>0</v>
      </c>
      <c r="P487">
        <f>IF(B503=0,0,O487/B503)</f>
        <v/>
      </c>
      <c r="Q487" t="n">
        <v>0</v>
      </c>
      <c r="R487" t="n">
        <v>0</v>
      </c>
      <c r="S487">
        <f>IFERROR(O487/N487,0)</f>
        <v/>
      </c>
    </row>
    <row r="488">
      <c r="A488">
        <f>Skills!A25</f>
        <v/>
      </c>
      <c r="B488">
        <f>Skills!B25</f>
        <v/>
      </c>
      <c r="C488">
        <f>Inputs!$B$3&gt;=125</f>
        <v/>
      </c>
      <c r="D488">
        <f>IF(Skills!C25=1,60+Inputs!$B$24+Inputs!$B$28,IF(Skills!C25=2,90+Inputs!$B$25+Inputs!$B$28,IF(Skills!C25=3,120+Inputs!$B$26+Inputs!$B$28,MAX(0,(Inputs!$B$3-100)*3)+Inputs!$B$27+Inputs!$B$28)))</f>
        <v/>
      </c>
      <c r="E488">
        <f>INDEX(FactorTable!$B$2:$Y$301, MATCH(ROUND(MIN(300,MAX(1,D488)),0), FactorTable!$A$2:$A$301,0), Skills!M25+1)</f>
        <v/>
      </c>
      <c r="F488">
        <f>IF(Skills!N25=TRUE,(Skills!L25/10)*(E488/1000),Skills!L25/10)+Skills!O25</f>
        <v/>
      </c>
      <c r="G488">
        <f>Skills!G25*IF(Skills!H25&gt;0,Skills!I25/Skills!H25,1)</f>
        <v/>
      </c>
      <c r="H488">
        <f>1-(1-Skills!J25/100)^Skills!K25</f>
        <v/>
      </c>
      <c r="I488" t="inlineStr">
        <is>
          <t>1</t>
        </is>
      </c>
      <c r="J488" t="inlineStr"/>
      <c r="K488" t="inlineStr"/>
      <c r="L488" t="inlineStr"/>
      <c r="M488" t="inlineStr"/>
      <c r="N488" t="inlineStr"/>
      <c r="O488" t="n">
        <v>0</v>
      </c>
      <c r="P488">
        <f>IF(B503=0,0,O488/B503)</f>
        <v/>
      </c>
      <c r="Q488" t="n">
        <v>0</v>
      </c>
      <c r="R488" t="n">
        <v>0</v>
      </c>
      <c r="S488">
        <f>IFERROR(O488/N488,0)</f>
        <v/>
      </c>
    </row>
    <row r="489">
      <c r="A489">
        <f>Skills!A26</f>
        <v/>
      </c>
      <c r="B489">
        <f>Skills!B26</f>
        <v/>
      </c>
      <c r="C489">
        <f>Inputs!$B$3&gt;=125</f>
        <v/>
      </c>
      <c r="D489">
        <f>IF(Skills!C26=1,60+Inputs!$B$24+Inputs!$B$28,IF(Skills!C26=2,90+Inputs!$B$25+Inputs!$B$28,IF(Skills!C26=3,120+Inputs!$B$26+Inputs!$B$28,MAX(0,(Inputs!$B$3-100)*3)+Inputs!$B$27+Inputs!$B$28)))</f>
        <v/>
      </c>
      <c r="E489">
        <f>INDEX(FactorTable!$B$2:$Y$301, MATCH(ROUND(MIN(300,MAX(1,D489)),0), FactorTable!$A$2:$A$301,0), Skills!M26+1)</f>
        <v/>
      </c>
      <c r="F489">
        <f>IF(Skills!N26=TRUE,(Skills!L26/10)*(E489/1000),Skills!L26/10)+Skills!O26</f>
        <v/>
      </c>
      <c r="G489">
        <f>Skills!G26*IF(Skills!H26&gt;0,Skills!I26/Skills!H26,1)</f>
        <v/>
      </c>
      <c r="H489">
        <f>1-(1-Skills!J26/100)^Skills!K26</f>
        <v/>
      </c>
      <c r="I489" t="inlineStr">
        <is>
          <t>1</t>
        </is>
      </c>
      <c r="J489" t="inlineStr"/>
      <c r="K489" t="inlineStr"/>
      <c r="L489" t="inlineStr"/>
      <c r="M489" t="inlineStr"/>
      <c r="N489" t="inlineStr"/>
      <c r="O489" t="n">
        <v>0</v>
      </c>
      <c r="P489">
        <f>IF(B503=0,0,O489/B503)</f>
        <v/>
      </c>
      <c r="Q489" t="n">
        <v>0</v>
      </c>
      <c r="R489" t="n">
        <v>0</v>
      </c>
      <c r="S489">
        <f>IFERROR(O489/N489,0)</f>
        <v/>
      </c>
    </row>
    <row r="490">
      <c r="A490">
        <f>Skills!A27</f>
        <v/>
      </c>
      <c r="B490">
        <f>Skills!B27</f>
        <v/>
      </c>
      <c r="C490">
        <f>Inputs!$B$3&gt;=120</f>
        <v/>
      </c>
      <c r="D490">
        <f>IF(Skills!C27=1,60+Inputs!$B$24+Inputs!$B$28,IF(Skills!C27=2,90+Inputs!$B$25+Inputs!$B$28,IF(Skills!C27=3,120+Inputs!$B$26+Inputs!$B$28,MAX(0,(Inputs!$B$3-100)*3)+Inputs!$B$27+Inputs!$B$28)))</f>
        <v/>
      </c>
      <c r="E490">
        <f>INDEX(FactorTable!$B$2:$Y$301, MATCH(ROUND(MIN(300,MAX(1,D490)),0), FactorTable!$A$2:$A$301,0), Skills!M27+1)</f>
        <v/>
      </c>
      <c r="F490">
        <f>IF(Skills!N27=TRUE,(Skills!L27/10)*(E490/1000),Skills!L27/10)+Skills!O27</f>
        <v/>
      </c>
      <c r="G490">
        <f>Skills!G27*IF(Skills!H27&gt;0,Skills!I27/Skills!H27,1)</f>
        <v/>
      </c>
      <c r="H490">
        <f>1-(1-Skills!J27/100)^Skills!K27</f>
        <v/>
      </c>
      <c r="I490" t="inlineStr">
        <is>
          <t>1</t>
        </is>
      </c>
      <c r="J490" t="inlineStr"/>
      <c r="K490" t="inlineStr"/>
      <c r="L490" t="inlineStr"/>
      <c r="M490" t="inlineStr"/>
      <c r="N490" t="inlineStr"/>
      <c r="O490" t="n">
        <v>0</v>
      </c>
      <c r="P490">
        <f>IF(B503=0,0,O490/B503)</f>
        <v/>
      </c>
      <c r="Q490" t="n">
        <v>0</v>
      </c>
      <c r="R490" t="n">
        <v>0</v>
      </c>
      <c r="S490">
        <f>IFERROR(O490/N490,0)</f>
        <v/>
      </c>
    </row>
    <row r="491">
      <c r="A491">
        <f>Skills!A28</f>
        <v/>
      </c>
      <c r="B491">
        <f>Skills!B28</f>
        <v/>
      </c>
      <c r="C491">
        <f>Inputs!$B$3&gt;=120</f>
        <v/>
      </c>
      <c r="D491">
        <f>IF(Skills!C28=1,60+Inputs!$B$24+Inputs!$B$28,IF(Skills!C28=2,90+Inputs!$B$25+Inputs!$B$28,IF(Skills!C28=3,120+Inputs!$B$26+Inputs!$B$28,MAX(0,(Inputs!$B$3-100)*3)+Inputs!$B$27+Inputs!$B$28)))</f>
        <v/>
      </c>
      <c r="E491">
        <f>INDEX(FactorTable!$B$2:$Y$301, MATCH(ROUND(MIN(300,MAX(1,D491)),0), FactorTable!$A$2:$A$301,0), Skills!M28+1)</f>
        <v/>
      </c>
      <c r="F491">
        <f>IF(Skills!N28=TRUE,(Skills!L28/10)*(E491/1000),Skills!L28/10)+Skills!O28</f>
        <v/>
      </c>
      <c r="G491">
        <f>Skills!G28*IF(Skills!H28&gt;0,Skills!I28/Skills!H28,1)</f>
        <v/>
      </c>
      <c r="H491">
        <f>1-(1-Skills!J28/100)^Skills!K28</f>
        <v/>
      </c>
      <c r="I491" t="inlineStr">
        <is>
          <t>1</t>
        </is>
      </c>
      <c r="J491" t="inlineStr"/>
      <c r="K491" t="inlineStr"/>
      <c r="L491" t="inlineStr"/>
      <c r="M491" t="inlineStr"/>
      <c r="N491" t="inlineStr"/>
      <c r="O491" t="n">
        <v>0</v>
      </c>
      <c r="P491">
        <f>IF(B503=0,0,O491/B503)</f>
        <v/>
      </c>
      <c r="Q491" t="n">
        <v>0</v>
      </c>
      <c r="R491" t="n">
        <v>0</v>
      </c>
      <c r="S491">
        <f>IFERROR(O491/N491,0)</f>
        <v/>
      </c>
    </row>
    <row r="492">
      <c r="A492">
        <f>Skills!A29</f>
        <v/>
      </c>
      <c r="B492">
        <f>Skills!B29</f>
        <v/>
      </c>
      <c r="C492">
        <f>Inputs!$B$3&gt;=45</f>
        <v/>
      </c>
      <c r="D492">
        <f>IF(Skills!C29=1,60+Inputs!$B$24+Inputs!$B$28,IF(Skills!C29=2,90+Inputs!$B$25+Inputs!$B$28,IF(Skills!C29=3,120+Inputs!$B$26+Inputs!$B$28,MAX(0,(Inputs!$B$3-100)*3)+Inputs!$B$27+Inputs!$B$28)))</f>
        <v/>
      </c>
      <c r="E492">
        <f>INDEX(FactorTable!$B$2:$Y$301, MATCH(ROUND(MIN(300,MAX(1,D492)),0), FactorTable!$A$2:$A$301,0), Skills!M29+1)</f>
        <v/>
      </c>
      <c r="F492">
        <f>IF(Skills!N29=TRUE,(Skills!L29/10)*(E492/1000),Skills!L29/10)+Skills!O29</f>
        <v/>
      </c>
      <c r="G492">
        <f>Skills!G29*IF(Skills!H29&gt;0,Skills!I29/Skills!H29,1)</f>
        <v/>
      </c>
      <c r="H492">
        <f>1-(1-Skills!J29/100)^Skills!K29</f>
        <v/>
      </c>
      <c r="I492" t="inlineStr">
        <is>
          <t>1</t>
        </is>
      </c>
      <c r="J492" t="inlineStr"/>
      <c r="K492" t="inlineStr"/>
      <c r="L492" t="inlineStr"/>
      <c r="M492" t="inlineStr"/>
      <c r="N492" t="inlineStr"/>
      <c r="O492" t="n">
        <v>0</v>
      </c>
      <c r="P492">
        <f>IF(B503=0,0,O492/B503)</f>
        <v/>
      </c>
      <c r="Q492" t="n">
        <v>0</v>
      </c>
      <c r="R492" t="n">
        <v>0</v>
      </c>
      <c r="S492">
        <f>IFERROR(O492/N492,0)</f>
        <v/>
      </c>
    </row>
    <row r="494">
      <c r="A494" t="inlineStr">
        <is>
          <t>Attack% Bucket Multiplier</t>
        </is>
      </c>
      <c r="B494">
        <f>(1+(((C476=TRUE)*F476)+((C477=TRUE)*IF(Inputs!$B$4="pvp",F477,(1-Summary!$B$55)*(F477)+Summary!$B$55*(0)))+((C478=TRUE)*F478*IF(AND(Inputs!$B$4&lt;&gt;"pvp",Inputs!$B$35&gt;0),(((S478-1)*(Skills!T15*(1+Inputs!$B$33/100))+MIN((Skills!T15*(1+Inputs!$B$33/100)),MAX(0,Inputs!$B$35-((S478-1)*Skills!D15))))/Inputs!$B$35),IF(Inputs!$B$4="pvp",MIN((Skills!T15*(1+Inputs!$B$33/100)),15)/15,(Skills!T15*(1+Inputs!$B$33/100))/Skills!D15)))+((C475=TRUE)*F475)+((C492=TRUE)*(F492-Calc!F29)))/100)</f>
        <v/>
      </c>
    </row>
    <row r="495">
      <c r="A495" t="inlineStr">
        <is>
          <t>Global Crit Rate Bonus %</t>
        </is>
      </c>
      <c r="B495">
        <f>(C479=TRUE)*20*IF(AND(Inputs!$B$4&lt;&gt;"pvp",Inputs!$B$35&gt;0),(((S479-1)*(Skills!T16*(1+Inputs!$B$33/100))+MIN((Skills!T16*(1+Inputs!$B$33/100)),MAX(0,Inputs!$B$35-((S479-1)*Skills!D16))))/Inputs!$B$35),IF(Inputs!$B$4="pvp",MIN((Skills!T16*(1+Inputs!$B$33/100)),15)/15,(Skills!T16*(1+Inputs!$B$33/100))/Skills!D16))</f>
        <v/>
      </c>
    </row>
    <row r="496">
      <c r="A496" t="inlineStr">
        <is>
          <t>Attack Speed Buff Bonus %</t>
        </is>
      </c>
      <c r="B496">
        <f>((C481=TRUE)*F481*IF(AND(Inputs!$B$4&lt;&gt;"pvp",Inputs!$B$35&gt;0),(((S481-1)*(Skills!T18*(1+Inputs!$B$33/100))+MIN((Skills!T18*(1+Inputs!$B$33/100)),MAX(0,Inputs!$B$35-((S481-1)*Skills!D18))))/Inputs!$B$35),IF(Inputs!$B$4="pvp",MIN((Skills!T18*(1+Inputs!$B$33/100)),15)/15,(Skills!T18*(1+Inputs!$B$33/100))/Skills!D18)))</f>
        <v/>
      </c>
    </row>
    <row r="497">
      <c r="A497" t="inlineStr">
        <is>
          <t>Actions Per Second</t>
        </is>
      </c>
      <c r="B497">
        <f>1+MIN(150,150*(1-(1-(Inputs!$B$10+((C483=TRUE)*(F483-Calc!F20))+((C484=TRUE)*(F484-Calc!F21)))/150)*(1-B496/150)))/100</f>
        <v/>
      </c>
    </row>
    <row r="498">
      <c r="A498" t="inlineStr">
        <is>
          <t>Skill + Buff Cast Rate</t>
        </is>
      </c>
      <c r="B498">
        <f>IF(AND(Inputs!$B$4&lt;&gt;"pvp",Inputs!$B$35&gt;0),SUMPRODUCT((Skills!E2:E29=TRUE)*(C465:C492=TRUE)*R465:R492*Skills!F2:F29)/Inputs!$B$35,SUMPRODUCT((Skills!E2:E29=TRUE)*(C465:C492=TRUE)*Q465:Q492*Skills!F2:F29))</f>
        <v/>
      </c>
    </row>
    <row r="499">
      <c r="A499" t="inlineStr">
        <is>
          <t>Empowered Piercing Arrow Casts Per Second</t>
        </is>
      </c>
      <c r="B499">
        <f>MAX(0,B497-B498)</f>
        <v/>
      </c>
    </row>
    <row r="500">
      <c r="A500" t="inlineStr">
        <is>
          <t>Global Critical Damage Bonus % (Sharp Eyes)</t>
        </is>
      </c>
      <c r="B500">
        <f>(C479=TRUE)*F479*IF(AND(Inputs!$B$4&lt;&gt;"pvp",Inputs!$B$35&gt;0),(((S479-1)*(Skills!T16*(1+Inputs!$B$33/100))+MIN((Skills!T16*(1+Inputs!$B$33/100)),MAX(0,Inputs!$B$35-((S479-1)*Skills!D16))))/Inputs!$B$35),IF(Inputs!$B$4="pvp",MIN((Skills!T16*(1+Inputs!$B$33/100)),15)/15,(Skills!T16*(1+Inputs!$B$33/100))/Skills!D16))</f>
        <v/>
      </c>
    </row>
    <row r="501">
      <c r="A501" t="inlineStr">
        <is>
          <t>Global Final Damage Bonus % (Mortal Blow + Last Man Standing conditional half)</t>
        </is>
      </c>
      <c r="B501">
        <f>(C480=TRUE)*F480+((C489=TRUE)*IF(Inputs!$B$4="pvp",F489,(1-Summary!$B$55)*(F489)+Summary!$B$55*(0)))</f>
        <v/>
      </c>
    </row>
    <row r="503">
      <c r="A503" s="5" t="inlineStr">
        <is>
          <t>TOTAL DPS</t>
        </is>
      </c>
      <c r="B503" s="5">
        <f>SUM(O465:O492)</f>
        <v/>
      </c>
    </row>
    <row r="506">
      <c r="A506" s="5" t="inlineStr">
        <is>
          <t>Stat: CRIT_DAMAGE %</t>
        </is>
      </c>
    </row>
    <row r="507">
      <c r="A507" s="8" t="inlineStr">
        <is>
          <t>Key</t>
        </is>
      </c>
      <c r="B507" s="8" t="inlineStr">
        <is>
          <t>Name</t>
        </is>
      </c>
      <c r="C507" s="8" t="inlineStr">
        <is>
          <t>Unlocked</t>
        </is>
      </c>
      <c r="D507" s="8" t="inlineStr">
        <is>
          <t>InputLevel</t>
        </is>
      </c>
      <c r="E507" s="8" t="inlineStr">
        <is>
          <t>Factor</t>
        </is>
      </c>
      <c r="F507" s="8" t="inlineStr">
        <is>
          <t>CoefficientPercent</t>
        </is>
      </c>
      <c r="G507" s="8" t="inlineStr">
        <is>
          <t>EffectiveHits</t>
        </is>
      </c>
      <c r="H507" s="8" t="inlineStr">
        <is>
          <t>ProcProbability</t>
        </is>
      </c>
      <c r="I507" s="8" t="inlineStr">
        <is>
          <t>MapleHeroMultiplier</t>
        </is>
      </c>
      <c r="J507" s="8" t="inlineStr">
        <is>
          <t>BaseDamage</t>
        </is>
      </c>
      <c r="K507" s="8" t="inlineStr">
        <is>
          <t>BaseHitDamage</t>
        </is>
      </c>
      <c r="L507" s="8" t="inlineStr">
        <is>
          <t>NonCritAvg</t>
        </is>
      </c>
      <c r="M507" s="8" t="inlineStr">
        <is>
          <t>CritAvg</t>
        </is>
      </c>
      <c r="N507" s="8" t="inlineStr">
        <is>
          <t>ExpectedDamage(perHit)</t>
        </is>
      </c>
      <c r="O507" s="8" t="inlineStr">
        <is>
          <t>DPS</t>
        </is>
      </c>
      <c r="P507" s="8" t="inlineStr">
        <is>
          <t>% of Total</t>
        </is>
      </c>
      <c r="Q507" s="8" t="inlineStr">
        <is>
          <t>InvCooldown</t>
        </is>
      </c>
      <c r="R507" s="8" t="inlineStr">
        <is>
          <t>CastsInFight</t>
        </is>
      </c>
      <c r="S507" s="8" t="inlineStr">
        <is>
          <t>HitRate(perSec)</t>
        </is>
      </c>
      <c r="U507" t="inlineStr">
        <is>
          <t>helpers</t>
        </is>
      </c>
    </row>
    <row r="508">
      <c r="A508">
        <f>Skills!A2</f>
        <v/>
      </c>
      <c r="B508">
        <f>Skills!B2</f>
        <v/>
      </c>
      <c r="C508">
        <f>Inputs!$B$3&gt;=100</f>
        <v/>
      </c>
      <c r="D508" t="inlineStr"/>
      <c r="E508" t="inlineStr"/>
      <c r="F508">
        <f>U510+Skills!O2</f>
        <v/>
      </c>
      <c r="G508">
        <f>Skills!G2*IF(Skills!H2&gt;0,Skills!I2/Skills!H2,1)</f>
        <v/>
      </c>
      <c r="H508">
        <f>1-(1-Skills!J2/100)^Skills!K2</f>
        <v/>
      </c>
      <c r="I508" t="inlineStr">
        <is>
          <t>1</t>
        </is>
      </c>
      <c r="J508">
        <f>(Inputs!$B$5*(1+Inputs!$B$6/100))*(F508/100)</f>
        <v/>
      </c>
      <c r="K508">
        <f>J508*(1+((Inputs!$B$11*(1+Inputs!$B$12/100))*0.01+Inputs!$B$13*0.0025)/100)*(1+Inputs!$B$14/100)*(1+IF(Inputs!$B$4="pvp",0,(1-Summary!$B$55)*(Inputs!$B$19+0+Skills!P2)+Summary!$B$55*(Inputs!$B$20+Skills!Q2))/100)*(1+Inputs!$B$15/100)*(5000/(6000+Inputs!$B$7*(1-(Inputs!$B$18+0)/100)))*(1+(Inputs!$B$23+((C530=TRUE)*(F530-Calc!F24))+((C531=TRUE)*(F531-Calc!F25))+B544)/100)*(1+(IF(Skills!A2="EMPOWERED_PIERCING_ARROW",Inputs!$B$16+((C528=TRUE)*(F528-Calc!F22)),Inputs!$B$17+((C533=TRUE)*(F533-Calc!F27))))/100)*((1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I508)</f>
        <v/>
      </c>
      <c r="L508">
        <f>K508*(MIN(Inputs!$B$21+((C529=TRUE)*(F529-Calc!F23)),Inputs!$B$22+((C534=TRUE)*(F534-Calc!F28)))/100+(Inputs!$B$22+((C534=TRUE)*(F534-Calc!F28)))/100)/2</f>
        <v/>
      </c>
      <c r="M508">
        <f>L508*(1+((Inputs!$B$9+1)+0+B543)/100)</f>
        <v/>
      </c>
      <c r="N508">
        <f>L508*(1-MIN((Inputs!$B$8+((C525=TRUE)*(F525-Calc!F19))+B538),100)/100)+M508*(MIN((Inputs!$B$8+((C525=TRUE)*(F525-Calc!F19))+B538),100)/100)</f>
        <v/>
      </c>
      <c r="O508">
        <f>IF(C508,Skills!G2*N508*B542*IF(Inputs!$B$4="pvp",1,(1-Summary!$B$55)*(1)+Summary!$B$55*(MIN((6+Inputs!$B$32),Inputs!$B$37))),0)</f>
        <v/>
      </c>
      <c r="P508">
        <f>IF(B546=0,0,O508/B546)</f>
        <v/>
      </c>
      <c r="Q508" t="n">
        <v>0</v>
      </c>
      <c r="R508" t="n">
        <v>0</v>
      </c>
      <c r="S508">
        <f>IFERROR(O508/N508,0)</f>
        <v/>
      </c>
      <c r="U508">
        <f>MAX(0,(Inputs!$B$3-100)*3)+Inputs!$B$27+Inputs!$B$28</f>
        <v/>
      </c>
    </row>
    <row r="509">
      <c r="A509">
        <f>Skills!A3</f>
        <v/>
      </c>
      <c r="B509">
        <f>Skills!B3</f>
        <v/>
      </c>
      <c r="C509">
        <f>Inputs!$B$3&gt;=50</f>
        <v/>
      </c>
      <c r="D509">
        <f>IF(Skills!C3=1,60+Inputs!$B$24+Inputs!$B$28,IF(Skills!C3=2,90+Inputs!$B$25+Inputs!$B$28,IF(Skills!C3=3,120+Inputs!$B$26+Inputs!$B$28,MAX(0,(Inputs!$B$3-100)*3)+Inputs!$B$27+Inputs!$B$28)))</f>
        <v/>
      </c>
      <c r="E509">
        <f>INDEX(FactorTable!$B$2:$Y$301, MATCH(ROUND(MIN(300,MAX(1,D509)),0), FactorTable!$A$2:$A$301,0), Skills!M3+1)</f>
        <v/>
      </c>
      <c r="F509">
        <f>IF(Skills!N3=TRUE,(Skills!L3/10)*(E509/1000),Skills!L3/10)+Skills!O3</f>
        <v/>
      </c>
      <c r="G509" t="inlineStr"/>
      <c r="H509" t="inlineStr"/>
      <c r="I509" t="inlineStr">
        <is>
          <t>1</t>
        </is>
      </c>
      <c r="J509" t="inlineStr"/>
      <c r="K509" t="inlineStr"/>
      <c r="L509" t="inlineStr"/>
      <c r="M509" t="inlineStr"/>
      <c r="N509" t="inlineStr"/>
      <c r="O509" t="inlineStr"/>
      <c r="P509" t="inlineStr"/>
      <c r="Q509" t="inlineStr"/>
      <c r="R509" t="inlineStr"/>
      <c r="S509" t="inlineStr"/>
      <c r="U509">
        <f>INDEX(FactorTable!$B$2:$Y$301, MATCH(ROUND(MIN(300,MAX(1,U508)),0), FactorTable!$A$2:$A$301,0), 22)</f>
        <v/>
      </c>
    </row>
    <row r="510">
      <c r="A510">
        <f>Skills!A4</f>
        <v/>
      </c>
      <c r="B510">
        <f>Skills!B4</f>
        <v/>
      </c>
      <c r="C510">
        <f>Inputs!$B$3&gt;=105</f>
        <v/>
      </c>
      <c r="D510">
        <f>IF(Skills!C4=1,60+Inputs!$B$24+Inputs!$B$28,IF(Skills!C4=2,90+Inputs!$B$25+Inputs!$B$28,IF(Skills!C4=3,120+Inputs!$B$26+Inputs!$B$28,MAX(0,(Inputs!$B$3-100)*3)+Inputs!$B$27+Inputs!$B$28)))</f>
        <v/>
      </c>
      <c r="E510">
        <f>INDEX(FactorTable!$B$2:$Y$301, MATCH(ROUND(MIN(300,MAX(1,D510)),0), FactorTable!$A$2:$A$301,0), Skills!M4+1)</f>
        <v/>
      </c>
      <c r="F510">
        <f>IF(Skills!N4=TRUE,(Skills!L4/10)*(E510/1000),Skills!L4/10)+Skills!O4</f>
        <v/>
      </c>
      <c r="G510" t="inlineStr"/>
      <c r="H510" t="inlineStr"/>
      <c r="I510" t="inlineStr">
        <is>
          <t>1</t>
        </is>
      </c>
      <c r="J510" t="inlineStr"/>
      <c r="K510" t="inlineStr"/>
      <c r="L510" t="inlineStr"/>
      <c r="M510" t="inlineStr"/>
      <c r="N510" t="inlineStr"/>
      <c r="O510" t="inlineStr"/>
      <c r="P510" t="inlineStr"/>
      <c r="Q510" t="inlineStr"/>
      <c r="R510" t="inlineStr"/>
      <c r="S510" t="inlineStr"/>
      <c r="U510">
        <f>290*U509/1000</f>
        <v/>
      </c>
    </row>
    <row r="511">
      <c r="A511">
        <f>Skills!A5</f>
        <v/>
      </c>
      <c r="B511">
        <f>Skills!B5</f>
        <v/>
      </c>
      <c r="C511">
        <f>Inputs!$B$3&gt;=35</f>
        <v/>
      </c>
      <c r="D511">
        <f>IF(Skills!C5=1,60+Inputs!$B$24+Inputs!$B$28,IF(Skills!C5=2,90+Inputs!$B$25+Inputs!$B$28,IF(Skills!C5=3,120+Inputs!$B$26+Inputs!$B$28,MAX(0,(Inputs!$B$3-100)*3)+Inputs!$B$27+Inputs!$B$28)))</f>
        <v/>
      </c>
      <c r="E511">
        <f>INDEX(FactorTable!$B$2:$Y$301, MATCH(ROUND(MIN(300,MAX(1,D511)),0), FactorTable!$A$2:$A$301,0), Skills!M5+1)</f>
        <v/>
      </c>
      <c r="F511">
        <f>IF(Skills!N5=TRUE,(Skills!L5/10)*(E511/1000),Skills!L5/10)+Skills!O5</f>
        <v/>
      </c>
      <c r="G511">
        <f>Skills!G5*IF(Skills!H5&gt;0,Skills!I5/Skills!H5,1)</f>
        <v/>
      </c>
      <c r="H511">
        <f>1-(1-Skills!J5/100)^Skills!K5</f>
        <v/>
      </c>
      <c r="I511" t="inlineStr">
        <is>
          <t>1</t>
        </is>
      </c>
      <c r="J511">
        <f>(Inputs!$B$5*(1+Inputs!$B$6/100))*(F511/100)</f>
        <v/>
      </c>
      <c r="K511">
        <f>J511*(1+((Inputs!$B$11*(1+Inputs!$B$12/100))*0.01+Inputs!$B$13*0.0025)/100)*(1+Inputs!$B$14/100)*(1+IF(Inputs!$B$4="pvp",0,(1-Summary!$B$55)*(Inputs!$B$19+0+Skills!P5)+Summary!$B$55*(Inputs!$B$20+Skills!Q5))/100)*(1+Inputs!$B$15/100)*(5000/(6000+Inputs!$B$7*(1-(Inputs!$B$18+0)/100)))*(1+(Inputs!$B$23+((C530=TRUE)*(F530-Calc!F24))+((C531=TRUE)*(F531-Calc!F25))+B544)/100)*(1+4.0*IF(C514=TRUE,F514,0)/100)*(1+(IF(Skills!A5="EMPOWERED_PIERCING_ARROW",Inputs!$B$16+((C528=TRUE)*(F528-Calc!F22)),Inputs!$B$17+((C533=TRUE)*(F533-Calc!F27))))/100)*((1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I511)</f>
        <v/>
      </c>
      <c r="L511">
        <f>K511*(MIN(Inputs!$B$21+((C529=TRUE)*(F529-Calc!F23)),Inputs!$B$22+((C534=TRUE)*(F534-Calc!F28)))/100+(Inputs!$B$22+((C534=TRUE)*(F534-Calc!F28)))/100)/2</f>
        <v/>
      </c>
      <c r="M511">
        <f>L511*(1+((Inputs!$B$9+1)+0+B543)/100)</f>
        <v/>
      </c>
      <c r="N511">
        <f>L511*(1-MIN((Inputs!$B$8+((C525=TRUE)*(F525-Calc!F19))+B538),100)/100)+M511*(MIN((Inputs!$B$8+((C525=TRUE)*(F525-Calc!F19))+B538),100)/100)</f>
        <v/>
      </c>
      <c r="O511">
        <f>IF(C511,H511*N511*IF(AND(Inputs!$B$4&lt;&gt;"pvp",Inputs!$B$35&gt;0),((Skills!G5*((R511-1)*IF(Skills!H5&gt;0,Skills!I5/Skills!H5,1)+IF(Skills!H5&gt;0,MIN(Skills!I5,MAX(0,Inputs!$B$35-((R511-1)*IF(Inputs!$B$4="pvp",15,MAX(0.1,Skills!D5-IF(Skills!E5=TRUE,Inputs!$B$31,0))))))/Skills!H5,1)))/Inputs!$B$35),G511*Q511)*IF(Inputs!$B$4="pvp",1,(1-Summary!$B$55)*(1)+Summary!$B$55*(MIN(Skills!R5,Inputs!$B$37))),0)</f>
        <v/>
      </c>
      <c r="P511">
        <f>IF(B546=0,0,O511/B546)</f>
        <v/>
      </c>
      <c r="Q511">
        <f>IFERROR(1/IF(Inputs!$B$4="pvp",15,MAX(0.1,Skills!D5-IF(Skills!E5=TRUE,Inputs!$B$31,0))),0)</f>
        <v/>
      </c>
      <c r="R511">
        <f>IF(AND(Inputs!$B$4&lt;&gt;"pvp",Inputs!$B$35&gt;0),(INT(Inputs!$B$35/IF(Inputs!$B$4="pvp",15,MAX(0.1,Skills!D5-IF(Skills!E5=TRUE,Inputs!$B$31,0))))+1),0)</f>
        <v/>
      </c>
      <c r="S511">
        <f>IFERROR(O511/N511,0)</f>
        <v/>
      </c>
    </row>
    <row r="512">
      <c r="A512">
        <f>Skills!A6</f>
        <v/>
      </c>
      <c r="B512">
        <f>Skills!B6</f>
        <v/>
      </c>
      <c r="C512">
        <f>Inputs!$B$3&gt;=63</f>
        <v/>
      </c>
      <c r="D512">
        <f>IF(Skills!C6=1,60+Inputs!$B$24+Inputs!$B$28,IF(Skills!C6=2,90+Inputs!$B$25+Inputs!$B$28,IF(Skills!C6=3,120+Inputs!$B$26+Inputs!$B$28,MAX(0,(Inputs!$B$3-100)*3)+Inputs!$B$27+Inputs!$B$28)))</f>
        <v/>
      </c>
      <c r="E512">
        <f>INDEX(FactorTable!$B$2:$Y$301, MATCH(ROUND(MIN(300,MAX(1,D512)),0), FactorTable!$A$2:$A$301,0), Skills!M6+1)</f>
        <v/>
      </c>
      <c r="F512">
        <f>IF(Skills!N6=TRUE,(Skills!L6/10)*(E512/1000),Skills!L6/10)+Skills!O6</f>
        <v/>
      </c>
      <c r="G512">
        <f>Skills!G6*IF(Skills!H6&gt;0,Skills!I6/Skills!H6,1)</f>
        <v/>
      </c>
      <c r="H512">
        <f>1-(1-Skills!J6/100)^Skills!K6</f>
        <v/>
      </c>
      <c r="I512" t="inlineStr">
        <is>
          <t>1</t>
        </is>
      </c>
      <c r="J512">
        <f>(Inputs!$B$5*(1+Inputs!$B$6/100))*(F512/100)</f>
        <v/>
      </c>
      <c r="K512">
        <f>J512*(1+((Inputs!$B$11*(1+Inputs!$B$12/100))*0.01+Inputs!$B$13*0.0025)/100)*(1+Inputs!$B$14/100)*(1+IF(Inputs!$B$4="pvp",0,(1-Summary!$B$55)*(Inputs!$B$19+0+Skills!P6)+Summary!$B$55*(Inputs!$B$20+Skills!Q6))/100)*(1+Inputs!$B$15/100)*(5000/(6000+Inputs!$B$7*(1-(Inputs!$B$18+0)/100)))*(1+(Inputs!$B$23+((C530=TRUE)*(F530-Calc!F24))+((C531=TRUE)*(F531-Calc!F25))+B544)/100)*(1+1.0*IF(C514=TRUE,F514,0)/100)*(1+(IF(Skills!A6="EMPOWERED_PIERCING_ARROW",Inputs!$B$16+((C528=TRUE)*(F528-Calc!F22)),Inputs!$B$17+((C533=TRUE)*(F533-Calc!F27))))/100)*((1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I512)</f>
        <v/>
      </c>
      <c r="L512">
        <f>K512*(MIN(Inputs!$B$21+((C529=TRUE)*(F529-Calc!F23)),Inputs!$B$22+((C534=TRUE)*(F534-Calc!F28)))/100+(Inputs!$B$22+((C534=TRUE)*(F534-Calc!F28)))/100)/2</f>
        <v/>
      </c>
      <c r="M512">
        <f>L512*(1+((Inputs!$B$9+1)+0+B543)/100)</f>
        <v/>
      </c>
      <c r="N512">
        <f>L512*(1-MIN((Inputs!$B$8+((C525=TRUE)*(F525-Calc!F19))+B538),100)/100)+M512*(MIN((Inputs!$B$8+((C525=TRUE)*(F525-Calc!F19))+B538),100)/100)</f>
        <v/>
      </c>
      <c r="O512">
        <f>IF(C512,H512*N512*IF(AND(Inputs!$B$4&lt;&gt;"pvp",Inputs!$B$35&gt;0),((Skills!G6*((R512-1)*IF(Skills!H6&gt;0,Skills!I6/Skills!H6,1)+IF(Skills!H6&gt;0,MIN(Skills!I6,MAX(0,Inputs!$B$35-((R512-1)*IF(Inputs!$B$4="pvp",15,MAX(0.1,Skills!D6-IF(Skills!E6=TRUE,Inputs!$B$31,0))))))/Skills!H6,1)))/Inputs!$B$35),G512*Q512)*IF(Inputs!$B$4="pvp",1,(1-Summary!$B$55)*(1)+Summary!$B$55*(MIN(Skills!R6,Inputs!$B$37))),0)</f>
        <v/>
      </c>
      <c r="P512">
        <f>IF(B546=0,0,O512/B546)</f>
        <v/>
      </c>
      <c r="Q512">
        <f>IFERROR(1/IF(Inputs!$B$4="pvp",15,MAX(0.1,Skills!D6-IF(Skills!E6=TRUE,Inputs!$B$31,0))),0)</f>
        <v/>
      </c>
      <c r="R512">
        <f>IF(AND(Inputs!$B$4&lt;&gt;"pvp",Inputs!$B$35&gt;0),(INT(Inputs!$B$35/IF(Inputs!$B$4="pvp",15,MAX(0.1,Skills!D6-IF(Skills!E6=TRUE,Inputs!$B$31,0))))+1),0)</f>
        <v/>
      </c>
      <c r="S512">
        <f>IFERROR(O512/N512,0)</f>
        <v/>
      </c>
    </row>
    <row r="513">
      <c r="A513">
        <f>Skills!A7</f>
        <v/>
      </c>
      <c r="B513">
        <f>Skills!B7</f>
        <v/>
      </c>
      <c r="C513">
        <f>Inputs!$B$3&gt;=69</f>
        <v/>
      </c>
      <c r="D513">
        <f>IF(Skills!C7=1,60+Inputs!$B$24+Inputs!$B$28,IF(Skills!C7=2,90+Inputs!$B$25+Inputs!$B$28,IF(Skills!C7=3,120+Inputs!$B$26+Inputs!$B$28,MAX(0,(Inputs!$B$3-100)*3)+Inputs!$B$27+Inputs!$B$28)))</f>
        <v/>
      </c>
      <c r="E513">
        <f>INDEX(FactorTable!$B$2:$Y$301, MATCH(ROUND(MIN(300,MAX(1,D513)),0), FactorTable!$A$2:$A$301,0), Skills!M7+1)</f>
        <v/>
      </c>
      <c r="F513">
        <f>IF(Skills!N7=TRUE,(Skills!L7/10)*(E513/1000),Skills!L7/10)+Skills!O7</f>
        <v/>
      </c>
      <c r="G513">
        <f>Skills!G7*IF(Skills!H7&gt;0,Skills!I7/Skills!H7,1)</f>
        <v/>
      </c>
      <c r="H513">
        <f>1-(1-Skills!J7/100)^Skills!K7</f>
        <v/>
      </c>
      <c r="I513" t="inlineStr">
        <is>
          <t>1</t>
        </is>
      </c>
      <c r="J513">
        <f>(Inputs!$B$5*(1+Inputs!$B$6/100))*(F513/100)</f>
        <v/>
      </c>
      <c r="K513">
        <f>J513*(1+((Inputs!$B$11*(1+Inputs!$B$12/100))*0.01+Inputs!$B$13*0.0025)/100)*(1+Inputs!$B$14/100)*(1+IF(Inputs!$B$4="pvp",0,(1-Summary!$B$55)*(Inputs!$B$19+0+Skills!P7)+Summary!$B$55*(Inputs!$B$20+Skills!Q7))/100)*(1+Inputs!$B$15/100)*(5000/(6000+Inputs!$B$7*(1-(Inputs!$B$18+0)/100)))*(1+(Inputs!$B$23+((C530=TRUE)*(F530-Calc!F24))+((C531=TRUE)*(F531-Calc!F25))+B544)/100)*(1+1.2*IF(C514=TRUE,F514,0)/100)*(1+(IF(Skills!A7="EMPOWERED_PIERCING_ARROW",Inputs!$B$16+((C528=TRUE)*(F528-Calc!F22)),Inputs!$B$17+((C533=TRUE)*(F533-Calc!F27))))/100)*((1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I513)</f>
        <v/>
      </c>
      <c r="L513">
        <f>K513*(MIN(Inputs!$B$21+((C529=TRUE)*(F529-Calc!F23)),Inputs!$B$22+((C534=TRUE)*(F534-Calc!F28)))/100+(Inputs!$B$22+((C534=TRUE)*(F534-Calc!F28)))/100)/2</f>
        <v/>
      </c>
      <c r="M513">
        <f>L513*(1+((Inputs!$B$9+1)+0+B543)/100)</f>
        <v/>
      </c>
      <c r="N513">
        <f>L513*(1-MIN((Inputs!$B$8+((C525=TRUE)*(F525-Calc!F19))+B538),100)/100)+M513*(MIN((Inputs!$B$8+((C525=TRUE)*(F525-Calc!F19))+B538),100)/100)</f>
        <v/>
      </c>
      <c r="O513">
        <f>IF(C513,H513*N513*IF(AND(Inputs!$B$4&lt;&gt;"pvp",Inputs!$B$35&gt;0),((Skills!G7*((R513-1)*IF(Skills!H7&gt;0,Skills!I7/Skills!H7,1)+IF(Skills!H7&gt;0,MIN(Skills!I7,MAX(0,Inputs!$B$35-((R513-1)*IF(Inputs!$B$4="pvp",15,MAX(0.1,Skills!D7-IF(Skills!E7=TRUE,Inputs!$B$31,0))))))/Skills!H7,1)))/Inputs!$B$35),G513*Q513)*IF(Inputs!$B$4="pvp",1,(1-Summary!$B$55)*(1)+Summary!$B$55*(MIN(Skills!R7,Inputs!$B$37))),0)</f>
        <v/>
      </c>
      <c r="P513">
        <f>IF(B546=0,0,O513/B546)</f>
        <v/>
      </c>
      <c r="Q513">
        <f>IFERROR(1/IF(Inputs!$B$4="pvp",15,MAX(0.1,Skills!D7-IF(Skills!E7=TRUE,Inputs!$B$31,0))),0)</f>
        <v/>
      </c>
      <c r="R513">
        <f>IF(AND(Inputs!$B$4&lt;&gt;"pvp",Inputs!$B$35&gt;0),(INT(Inputs!$B$35/IF(Inputs!$B$4="pvp",15,MAX(0.1,Skills!D7-IF(Skills!E7=TRUE,Inputs!$B$31,0))))+1),0)</f>
        <v/>
      </c>
      <c r="S513">
        <f>IFERROR(O513/N513,0)</f>
        <v/>
      </c>
    </row>
    <row r="514">
      <c r="A514">
        <f>Skills!A8</f>
        <v/>
      </c>
      <c r="B514">
        <f>Skills!B8</f>
        <v/>
      </c>
      <c r="C514">
        <f>Inputs!$B$3&gt;=100</f>
        <v/>
      </c>
      <c r="D514">
        <f>IF(Skills!C8=1,60+Inputs!$B$24+Inputs!$B$28,IF(Skills!C8=2,90+Inputs!$B$25+Inputs!$B$28,IF(Skills!C8=3,120+Inputs!$B$26+Inputs!$B$28,MAX(0,(Inputs!$B$3-100)*3)+Inputs!$B$27+Inputs!$B$28)))</f>
        <v/>
      </c>
      <c r="E514">
        <f>INDEX(FactorTable!$B$2:$Y$301, MATCH(ROUND(MIN(300,MAX(1,D514)),0), FactorTable!$A$2:$A$301,0), Skills!M8+1)</f>
        <v/>
      </c>
      <c r="F514">
        <f>IF(Skills!N8=TRUE,(Skills!L8/10)*(E514/1000),Skills!L8/10)+Skills!O8</f>
        <v/>
      </c>
      <c r="G514" t="inlineStr"/>
      <c r="H514" t="inlineStr"/>
      <c r="I514" t="inlineStr">
        <is>
          <t>1</t>
        </is>
      </c>
      <c r="J514" t="inlineStr"/>
      <c r="K514" t="inlineStr"/>
      <c r="L514" t="inlineStr"/>
      <c r="M514" t="inlineStr"/>
      <c r="N514" t="inlineStr"/>
      <c r="O514" t="inlineStr"/>
      <c r="P514" t="inlineStr"/>
      <c r="Q514" t="inlineStr"/>
      <c r="R514" t="inlineStr"/>
      <c r="S514" t="inlineStr"/>
    </row>
    <row r="515">
      <c r="A515">
        <f>Skills!A9</f>
        <v/>
      </c>
      <c r="B515">
        <f>Skills!B9</f>
        <v/>
      </c>
      <c r="C515">
        <f>Inputs!$B$3&gt;=103</f>
        <v/>
      </c>
      <c r="D515">
        <f>IF(Skills!C9=1,60+Inputs!$B$24+Inputs!$B$28,IF(Skills!C9=2,90+Inputs!$B$25+Inputs!$B$28,IF(Skills!C9=3,120+Inputs!$B$26+Inputs!$B$28,MAX(0,(Inputs!$B$3-100)*3)+Inputs!$B$27+Inputs!$B$28)))</f>
        <v/>
      </c>
      <c r="E515">
        <f>INDEX(FactorTable!$B$2:$Y$301, MATCH(ROUND(MIN(300,MAX(1,D515)),0), FactorTable!$A$2:$A$301,0), Skills!M9+1)</f>
        <v/>
      </c>
      <c r="F515">
        <f>IF(Skills!N9=TRUE,(Skills!L9/10)*(E515/1000),Skills!L9/10)+Skills!O9</f>
        <v/>
      </c>
      <c r="G515">
        <f>Skills!G9*IF(Skills!H9&gt;0,Skills!I9/Skills!H9,1)</f>
        <v/>
      </c>
      <c r="H515">
        <f>1-(1-Skills!J9/100)^Skills!K9</f>
        <v/>
      </c>
      <c r="I515" t="inlineStr">
        <is>
          <t>1</t>
        </is>
      </c>
      <c r="J515">
        <f>(Inputs!$B$5*(1+Inputs!$B$6/100))*(F515/100)</f>
        <v/>
      </c>
      <c r="K515">
        <f>J515*(1+((Inputs!$B$11*(1+Inputs!$B$12/100))*0.01+Inputs!$B$13*0.0025)/100)*(1+Inputs!$B$14/100)*(1+IF(Inputs!$B$4="pvp",0,(1-Summary!$B$55)*(Inputs!$B$19+0+Skills!P9)+Summary!$B$55*(Inputs!$B$20+Skills!Q9))/100)*(1+Inputs!$B$15/100)*(5000/(6000+Inputs!$B$7*(1-(Inputs!$B$18+0)/100)))*(1+(Inputs!$B$23+((C530=TRUE)*(F530-Calc!F24))+((C531=TRUE)*(F531-Calc!F25))+B544)/100)*(1+(IF(Skills!A9="EMPOWERED_PIERCING_ARROW",Inputs!$B$16+((C528=TRUE)*(F528-Calc!F22)),Inputs!$B$17+((C533=TRUE)*(F533-Calc!F27))))/100)*((1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I515)</f>
        <v/>
      </c>
      <c r="L515">
        <f>K515*(MIN(Inputs!$B$21+((C529=TRUE)*(F529-Calc!F23)),Inputs!$B$22+((C534=TRUE)*(F534-Calc!F28)))/100+(Inputs!$B$22+((C534=TRUE)*(F534-Calc!F28)))/100)/2</f>
        <v/>
      </c>
      <c r="M515">
        <f>L515*(1+((Inputs!$B$9+1)+0+B543)/100)</f>
        <v/>
      </c>
      <c r="N515">
        <f>L515*(1-MIN((Inputs!$B$8+((C525=TRUE)*(F525-Calc!F19))+B538),100)/100)+M515*(MIN((Inputs!$B$8+((C525=TRUE)*(F525-Calc!F19))+B538),100)/100)</f>
        <v/>
      </c>
      <c r="O515">
        <f>IF(C515,H515*N515*IF(AND(Inputs!$B$4&lt;&gt;"pvp",Inputs!$B$35&gt;0),((Skills!G9*((R515-1)*IF(Skills!H9&gt;0,Skills!I9/Skills!H9,1)+IF(Skills!H9&gt;0,MIN(Skills!I9,MAX(0,Inputs!$B$35-((R515-1)*IF(Inputs!$B$4="pvp",15,MAX(0.1,Skills!D9-IF(Skills!E9=TRUE,Inputs!$B$31,0))))))/Skills!H9,1)))/Inputs!$B$35),G515*Q515)*IF(Inputs!$B$4="pvp",1,(1-Summary!$B$55)*(1)+Summary!$B$55*(MIN(Skills!R9,Inputs!$B$37))),0)</f>
        <v/>
      </c>
      <c r="P515">
        <f>IF(B546=0,0,O515/B546)</f>
        <v/>
      </c>
      <c r="Q515">
        <f>IFERROR(1/IF(Inputs!$B$4="pvp",15,MAX(0.1,Skills!D9-IF(Skills!E9=TRUE,Inputs!$B$31,0))),0)</f>
        <v/>
      </c>
      <c r="R515">
        <f>IF(AND(Inputs!$B$4&lt;&gt;"pvp",Inputs!$B$35&gt;0),(INT(Inputs!$B$35/IF(Inputs!$B$4="pvp",15,MAX(0.1,Skills!D9-IF(Skills!E9=TRUE,Inputs!$B$31,0))))+1),0)</f>
        <v/>
      </c>
      <c r="S515">
        <f>IFERROR(O515/N515,0)</f>
        <v/>
      </c>
    </row>
    <row r="516">
      <c r="A516">
        <f>Skills!A10</f>
        <v/>
      </c>
      <c r="B516">
        <f>Skills!B10</f>
        <v/>
      </c>
      <c r="C516">
        <f>Inputs!$B$3&gt;=107</f>
        <v/>
      </c>
      <c r="D516">
        <f>IF(Skills!C10=1,60+Inputs!$B$24+Inputs!$B$28,IF(Skills!C10=2,90+Inputs!$B$25+Inputs!$B$28,IF(Skills!C10=3,120+Inputs!$B$26+Inputs!$B$28,MAX(0,(Inputs!$B$3-100)*3)+Inputs!$B$27+Inputs!$B$28)))</f>
        <v/>
      </c>
      <c r="E516">
        <f>INDEX(FactorTable!$B$2:$Y$301, MATCH(ROUND(MIN(300,MAX(1,D516)),0), FactorTable!$A$2:$A$301,0), Skills!M10+1)</f>
        <v/>
      </c>
      <c r="F516">
        <f>IF(Skills!N10=TRUE,(Skills!L10/10)*(E516/1000),Skills!L10/10)+Skills!O10</f>
        <v/>
      </c>
      <c r="G516">
        <f>Skills!G10*IF(Skills!H10&gt;0,Skills!I10/Skills!H10,1)</f>
        <v/>
      </c>
      <c r="H516">
        <f>1-(1-Skills!J10/100)^Skills!K10</f>
        <v/>
      </c>
      <c r="I516" t="inlineStr">
        <is>
          <t>1</t>
        </is>
      </c>
      <c r="J516">
        <f>(Inputs!$B$5*(1+Inputs!$B$6/100))*(F516/100)</f>
        <v/>
      </c>
      <c r="K516">
        <f>J516*(1+((Inputs!$B$11*(1+Inputs!$B$12/100))*0.01+Inputs!$B$13*0.0025)/100)*(1+Inputs!$B$14/100)*(1+IF(Inputs!$B$4="pvp",0,(1-Summary!$B$55)*(Inputs!$B$19+0+Skills!P10)+Summary!$B$55*(Inputs!$B$20+Skills!Q10))/100)*(1+Inputs!$B$15/100)*(5000/(6000+Inputs!$B$7*(1-(Inputs!$B$18+0)/100)))*(1+(Inputs!$B$23+((C530=TRUE)*(F530-Calc!F24))+((C531=TRUE)*(F531-Calc!F25))+B544)/100)*(1+(IF(Skills!A10="EMPOWERED_PIERCING_ARROW",Inputs!$B$16+((C528=TRUE)*(F528-Calc!F22)),Inputs!$B$17+((C533=TRUE)*(F533-Calc!F27))))/100)*((1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I516)</f>
        <v/>
      </c>
      <c r="L516">
        <f>K516*(MIN(Inputs!$B$21+((C529=TRUE)*(F529-Calc!F23)),Inputs!$B$22+((C534=TRUE)*(F534-Calc!F28)))/100+(Inputs!$B$22+((C534=TRUE)*(F534-Calc!F28)))/100)/2</f>
        <v/>
      </c>
      <c r="M516">
        <f>L516*(1+((Inputs!$B$9+1)+0+B543)/100)</f>
        <v/>
      </c>
      <c r="N516">
        <f>L516*(1-MIN((Inputs!$B$8+((C525=TRUE)*(F525-Calc!F19))+B538),100)/100)+M516*(MIN((Inputs!$B$8+((C525=TRUE)*(F525-Calc!F19))+B538),100)/100)</f>
        <v/>
      </c>
      <c r="O516">
        <f>IF(C516,0.15*SUMPRODUCT((Skills!U2:U29=TRUE)*(C508:C535=TRUE)*S508:S535)*Skills!G10*N516*IF(Inputs!$B$4="pvp",1,(1-Summary!$B$55)*(1)+Summary!$B$55*(MIN(Skills!R10,Inputs!$B$37))),0)</f>
        <v/>
      </c>
      <c r="P516">
        <f>IF(B546=0,0,O516/B546)</f>
        <v/>
      </c>
      <c r="Q516" t="n">
        <v>0</v>
      </c>
      <c r="R516" t="n">
        <v>0</v>
      </c>
      <c r="S516" t="n">
        <v>0</v>
      </c>
    </row>
    <row r="517">
      <c r="A517">
        <f>Skills!A11</f>
        <v/>
      </c>
      <c r="B517">
        <f>Skills!B11</f>
        <v/>
      </c>
      <c r="C517">
        <f>Inputs!$B$3&gt;=110</f>
        <v/>
      </c>
      <c r="D517">
        <f>IF(Skills!C11=1,60+Inputs!$B$24+Inputs!$B$28,IF(Skills!C11=2,90+Inputs!$B$25+Inputs!$B$28,IF(Skills!C11=3,120+Inputs!$B$26+Inputs!$B$28,MAX(0,(Inputs!$B$3-100)*3)+Inputs!$B$27+Inputs!$B$28)))</f>
        <v/>
      </c>
      <c r="E517">
        <f>INDEX(FactorTable!$B$2:$Y$301, MATCH(ROUND(MIN(300,MAX(1,D517)),0), FactorTable!$A$2:$A$301,0), Skills!M11+1)</f>
        <v/>
      </c>
      <c r="F517">
        <f>IF(Skills!N11=TRUE,(Skills!L11/10)*(E517/1000),Skills!L11/10)+Skills!O11</f>
        <v/>
      </c>
      <c r="G517">
        <f>Skills!G11*IF(Skills!H11&gt;0,Skills!I11/Skills!H11,1)</f>
        <v/>
      </c>
      <c r="H517">
        <f>1-(1-Skills!J11/100)^Skills!K11</f>
        <v/>
      </c>
      <c r="I517" t="inlineStr">
        <is>
          <t>1</t>
        </is>
      </c>
      <c r="J517">
        <f>(Inputs!$B$5*(1+Inputs!$B$6/100))*(F517/100)</f>
        <v/>
      </c>
      <c r="K517">
        <f>J517*(1+((Inputs!$B$11*(1+Inputs!$B$12/100))*0.01+Inputs!$B$13*0.0025)/100)*(1+Inputs!$B$14/100)*(1+IF(Inputs!$B$4="pvp",0,(1-Summary!$B$55)*(Inputs!$B$19+0+Skills!P11)+Summary!$B$55*(Inputs!$B$20+Skills!Q11))/100)*(1+Inputs!$B$15/100)*(5000/(6000+Inputs!$B$7*(1-(Inputs!$B$18+0)/100)))*(1+(Inputs!$B$23+((C530=TRUE)*(F530-Calc!F24))+((C531=TRUE)*(F531-Calc!F25))+B544)/100)*(1+(IF(Skills!A11="EMPOWERED_PIERCING_ARROW",Inputs!$B$16+((C528=TRUE)*(F528-Calc!F22)),Inputs!$B$17+((C533=TRUE)*(F533-Calc!F27))))/100)*((1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I517)</f>
        <v/>
      </c>
      <c r="L517">
        <f>K517*(MIN(Inputs!$B$21+((C529=TRUE)*(F529-Calc!F23)),Inputs!$B$22+((C534=TRUE)*(F534-Calc!F28)))/100+(Inputs!$B$22+((C534=TRUE)*(F534-Calc!F28)))/100)/2</f>
        <v/>
      </c>
      <c r="M517">
        <f>L517*(1+((Inputs!$B$9+1)+0+B543)/100)</f>
        <v/>
      </c>
      <c r="N517">
        <f>L517*(1-MIN((Inputs!$B$8+((C525=TRUE)*(F525-Calc!F19))+B538),100)/100)+M517*(MIN((Inputs!$B$8+((C525=TRUE)*(F525-Calc!F19))+B538),100)/100)</f>
        <v/>
      </c>
      <c r="O517">
        <f>IF(C517,H517*N517*IF(AND(Inputs!$B$4&lt;&gt;"pvp",Inputs!$B$35&gt;0),((Skills!G11*((R517-1)*IF(Skills!H11&gt;0,Skills!I11/Skills!H11,1)+IF(Skills!H11&gt;0,MIN(Skills!I11,MAX(0,Inputs!$B$35-((R517-1)*IF(Inputs!$B$4="pvp",15,MAX(0.1,Skills!D11-IF(Skills!E11=TRUE,Inputs!$B$31,0))))))/Skills!H11,1)))/Inputs!$B$35),G517*Q517)*IF(Inputs!$B$4="pvp",1,(1-Summary!$B$55)*(1)+Summary!$B$55*(MIN(Skills!R11,Inputs!$B$37))),0)</f>
        <v/>
      </c>
      <c r="P517">
        <f>IF(B546=0,0,O517/B546)</f>
        <v/>
      </c>
      <c r="Q517">
        <f>IFERROR(1/IF(Inputs!$B$4="pvp",15,MAX(0.1,Skills!D11-IF(Skills!E11=TRUE,Inputs!$B$31,0))),0)</f>
        <v/>
      </c>
      <c r="R517">
        <f>IF(AND(Inputs!$B$4&lt;&gt;"pvp",Inputs!$B$35&gt;0),(INT(Inputs!$B$35/IF(Inputs!$B$4="pvp",15,MAX(0.1,Skills!D11-IF(Skills!E11=TRUE,Inputs!$B$31,0))))+1),0)</f>
        <v/>
      </c>
      <c r="S517">
        <f>IFERROR(O517/N517,0)</f>
        <v/>
      </c>
    </row>
    <row r="518">
      <c r="A518">
        <f>Skills!A12</f>
        <v/>
      </c>
      <c r="B518">
        <f>Skills!B12</f>
        <v/>
      </c>
      <c r="C518">
        <f>Inputs!$B$3&gt;=60</f>
        <v/>
      </c>
      <c r="D518">
        <f>IF(Skills!C12=1,60+Inputs!$B$24+Inputs!$B$28,IF(Skills!C12=2,90+Inputs!$B$25+Inputs!$B$28,IF(Skills!C12=3,120+Inputs!$B$26+Inputs!$B$28,MAX(0,(Inputs!$B$3-100)*3)+Inputs!$B$27+Inputs!$B$28)))</f>
        <v/>
      </c>
      <c r="E518">
        <f>INDEX(FactorTable!$B$2:$Y$301, MATCH(ROUND(MIN(300,MAX(1,D518)),0), FactorTable!$A$2:$A$301,0), Skills!M12+1)</f>
        <v/>
      </c>
      <c r="F518">
        <f>IF(Skills!N12=TRUE,(Skills!L12/10)*(E518/1000),Skills!L12/10)+Skills!O12</f>
        <v/>
      </c>
      <c r="G518">
        <f>Skills!G12*IF(Skills!H12&gt;0,Skills!I12/Skills!H12,1)</f>
        <v/>
      </c>
      <c r="H518">
        <f>1-(1-Skills!J12/100)^Skills!K12</f>
        <v/>
      </c>
      <c r="I518" t="inlineStr">
        <is>
          <t>1</t>
        </is>
      </c>
      <c r="J518" t="inlineStr"/>
      <c r="K518" t="inlineStr"/>
      <c r="L518" t="inlineStr"/>
      <c r="M518" t="inlineStr"/>
      <c r="N518" t="inlineStr"/>
      <c r="O518" t="n">
        <v>0</v>
      </c>
      <c r="P518">
        <f>IF(B546=0,0,O518/B546)</f>
        <v/>
      </c>
      <c r="Q518" t="n">
        <v>0</v>
      </c>
      <c r="R518" t="n">
        <v>0</v>
      </c>
      <c r="S518">
        <f>IFERROR(O518/N518,0)</f>
        <v/>
      </c>
    </row>
    <row r="519">
      <c r="A519">
        <f>Skills!A13</f>
        <v/>
      </c>
      <c r="B519">
        <f>Skills!B13</f>
        <v/>
      </c>
      <c r="C519">
        <f>Inputs!$B$3&gt;=74</f>
        <v/>
      </c>
      <c r="D519">
        <f>IF(Skills!C13=1,60+Inputs!$B$24+Inputs!$B$28,IF(Skills!C13=2,90+Inputs!$B$25+Inputs!$B$28,IF(Skills!C13=3,120+Inputs!$B$26+Inputs!$B$28,MAX(0,(Inputs!$B$3-100)*3)+Inputs!$B$27+Inputs!$B$28)))</f>
        <v/>
      </c>
      <c r="E519">
        <f>INDEX(FactorTable!$B$2:$Y$301, MATCH(ROUND(MIN(300,MAX(1,D519)),0), FactorTable!$A$2:$A$301,0), Skills!M13+1)</f>
        <v/>
      </c>
      <c r="F519">
        <f>IF(Skills!N13=TRUE,(Skills!L13/10)*(E519/1000),Skills!L13/10)+Skills!O13</f>
        <v/>
      </c>
      <c r="G519">
        <f>Skills!G13*IF(Skills!H13&gt;0,Skills!I13/Skills!H13,1)</f>
        <v/>
      </c>
      <c r="H519">
        <f>1-(1-Skills!J13/100)^Skills!K13</f>
        <v/>
      </c>
      <c r="I519" t="inlineStr">
        <is>
          <t>1</t>
        </is>
      </c>
      <c r="J519" t="inlineStr"/>
      <c r="K519" t="inlineStr"/>
      <c r="L519" t="inlineStr"/>
      <c r="M519" t="inlineStr"/>
      <c r="N519" t="inlineStr"/>
      <c r="O519" t="n">
        <v>0</v>
      </c>
      <c r="P519">
        <f>IF(B546=0,0,O519/B546)</f>
        <v/>
      </c>
      <c r="Q519" t="n">
        <v>0</v>
      </c>
      <c r="R519" t="n">
        <v>0</v>
      </c>
      <c r="S519">
        <f>IFERROR(O519/N519,0)</f>
        <v/>
      </c>
    </row>
    <row r="520">
      <c r="A520">
        <f>Skills!A14</f>
        <v/>
      </c>
      <c r="B520">
        <f>Skills!B14</f>
        <v/>
      </c>
      <c r="C520">
        <f>Inputs!$B$3&gt;=74</f>
        <v/>
      </c>
      <c r="D520">
        <f>IF(Skills!C14=1,60+Inputs!$B$24+Inputs!$B$28,IF(Skills!C14=2,90+Inputs!$B$25+Inputs!$B$28,IF(Skills!C14=3,120+Inputs!$B$26+Inputs!$B$28,MAX(0,(Inputs!$B$3-100)*3)+Inputs!$B$27+Inputs!$B$28)))</f>
        <v/>
      </c>
      <c r="E520">
        <f>INDEX(FactorTable!$B$2:$Y$301, MATCH(ROUND(MIN(300,MAX(1,D520)),0), FactorTable!$A$2:$A$301,0), Skills!M14+1)</f>
        <v/>
      </c>
      <c r="F520">
        <f>IF(Skills!N14=TRUE,(Skills!L14/10)*(E520/1000),Skills!L14/10)+Skills!O14</f>
        <v/>
      </c>
      <c r="G520">
        <f>Skills!G14*IF(Skills!H14&gt;0,Skills!I14/Skills!H14,1)</f>
        <v/>
      </c>
      <c r="H520">
        <f>1-(1-Skills!J14/100)^Skills!K14</f>
        <v/>
      </c>
      <c r="I520" t="inlineStr">
        <is>
          <t>1</t>
        </is>
      </c>
      <c r="J520" t="inlineStr"/>
      <c r="K520" t="inlineStr"/>
      <c r="L520" t="inlineStr"/>
      <c r="M520" t="inlineStr"/>
      <c r="N520" t="inlineStr"/>
      <c r="O520" t="n">
        <v>0</v>
      </c>
      <c r="P520">
        <f>IF(B546=0,0,O520/B546)</f>
        <v/>
      </c>
      <c r="Q520" t="n">
        <v>0</v>
      </c>
      <c r="R520" t="n">
        <v>0</v>
      </c>
      <c r="S520">
        <f>IFERROR(O520/N520,0)</f>
        <v/>
      </c>
    </row>
    <row r="521">
      <c r="A521">
        <f>Skills!A15</f>
        <v/>
      </c>
      <c r="B521">
        <f>Skills!B15</f>
        <v/>
      </c>
      <c r="C521">
        <f>Inputs!$B$3&gt;=117</f>
        <v/>
      </c>
      <c r="D521">
        <f>IF(Skills!C15=1,60+Inputs!$B$24+Inputs!$B$28,IF(Skills!C15=2,90+Inputs!$B$25+Inputs!$B$28,IF(Skills!C15=3,120+Inputs!$B$26+Inputs!$B$28,MAX(0,(Inputs!$B$3-100)*3)+Inputs!$B$27+Inputs!$B$28)))</f>
        <v/>
      </c>
      <c r="E521">
        <f>INDEX(FactorTable!$B$2:$Y$301, MATCH(ROUND(MIN(300,MAX(1,D521)),0), FactorTable!$A$2:$A$301,0), Skills!M15+1)</f>
        <v/>
      </c>
      <c r="F521">
        <f>IF(Skills!N15=TRUE,(Skills!L15/10)*(E521/1000),Skills!L15/10)+Skills!O15</f>
        <v/>
      </c>
      <c r="G521">
        <f>Skills!G15*IF(Skills!H15&gt;0,Skills!I15/Skills!H15,1)</f>
        <v/>
      </c>
      <c r="H521">
        <f>1-(1-Skills!J15/100)^Skills!K15</f>
        <v/>
      </c>
      <c r="I521" t="inlineStr">
        <is>
          <t>1</t>
        </is>
      </c>
      <c r="J521" t="inlineStr"/>
      <c r="K521" t="inlineStr"/>
      <c r="L521" t="inlineStr"/>
      <c r="M521" t="inlineStr"/>
      <c r="N521" t="inlineStr"/>
      <c r="O521" t="n">
        <v>0</v>
      </c>
      <c r="P521">
        <f>IF(B546=0,0,O521/B546)</f>
        <v/>
      </c>
      <c r="Q521">
        <f>IFERROR(1/IF(Inputs!$B$4="pvp",15,MAX(0.1,Skills!D15-IF(Skills!E15=TRUE,Inputs!$B$31,0))),0)</f>
        <v/>
      </c>
      <c r="R521">
        <f>IF(AND(Inputs!$B$4&lt;&gt;"pvp",Inputs!$B$35&gt;0),(INT(Inputs!$B$35/IF(Inputs!$B$4="pvp",15,MAX(0.1,Skills!D15-IF(Skills!E15=TRUE,Inputs!$B$31,0))))+1),0)</f>
        <v/>
      </c>
      <c r="S521">
        <f>IFERROR(O521/N521,0)</f>
        <v/>
      </c>
    </row>
    <row r="522">
      <c r="A522">
        <f>Skills!A16</f>
        <v/>
      </c>
      <c r="B522">
        <f>Skills!B16</f>
        <v/>
      </c>
      <c r="C522">
        <f>Inputs!$B$3&gt;=115</f>
        <v/>
      </c>
      <c r="D522">
        <f>IF(Skills!C16=1,60+Inputs!$B$24+Inputs!$B$28,IF(Skills!C16=2,90+Inputs!$B$25+Inputs!$B$28,IF(Skills!C16=3,120+Inputs!$B$26+Inputs!$B$28,MAX(0,(Inputs!$B$3-100)*3)+Inputs!$B$27+Inputs!$B$28)))</f>
        <v/>
      </c>
      <c r="E522">
        <f>INDEX(FactorTable!$B$2:$Y$301, MATCH(ROUND(MIN(300,MAX(1,D522)),0), FactorTable!$A$2:$A$301,0), Skills!M16+1)</f>
        <v/>
      </c>
      <c r="F522">
        <f>IF(Skills!N16=TRUE,(Skills!L16/10)*(E522/1000),Skills!L16/10)+Skills!O16</f>
        <v/>
      </c>
      <c r="G522">
        <f>Skills!G16*IF(Skills!H16&gt;0,Skills!I16/Skills!H16,1)</f>
        <v/>
      </c>
      <c r="H522">
        <f>1-(1-Skills!J16/100)^Skills!K16</f>
        <v/>
      </c>
      <c r="I522" t="inlineStr">
        <is>
          <t>1</t>
        </is>
      </c>
      <c r="J522" t="inlineStr"/>
      <c r="K522" t="inlineStr"/>
      <c r="L522" t="inlineStr"/>
      <c r="M522" t="inlineStr"/>
      <c r="N522" t="inlineStr"/>
      <c r="O522" t="n">
        <v>0</v>
      </c>
      <c r="P522">
        <f>IF(B546=0,0,O522/B546)</f>
        <v/>
      </c>
      <c r="Q522">
        <f>IFERROR(1/IF(Inputs!$B$4="pvp",15,MAX(0.1,Skills!D16-IF(Skills!E16=TRUE,Inputs!$B$31,0))),0)</f>
        <v/>
      </c>
      <c r="R522">
        <f>IF(AND(Inputs!$B$4&lt;&gt;"pvp",Inputs!$B$35&gt;0),(INT(Inputs!$B$35/IF(Inputs!$B$4="pvp",15,MAX(0.1,Skills!D16-IF(Skills!E16=TRUE,Inputs!$B$31,0))))+1),0)</f>
        <v/>
      </c>
      <c r="S522">
        <f>IFERROR(O522/N522,0)</f>
        <v/>
      </c>
    </row>
    <row r="523">
      <c r="A523">
        <f>Skills!A17</f>
        <v/>
      </c>
      <c r="B523">
        <f>Skills!B17</f>
        <v/>
      </c>
      <c r="C523">
        <f>Inputs!$B$3&gt;=72</f>
        <v/>
      </c>
      <c r="D523">
        <f>IF(Skills!C17=1,60+Inputs!$B$24+Inputs!$B$28,IF(Skills!C17=2,90+Inputs!$B$25+Inputs!$B$28,IF(Skills!C17=3,120+Inputs!$B$26+Inputs!$B$28,MAX(0,(Inputs!$B$3-100)*3)+Inputs!$B$27+Inputs!$B$28)))</f>
        <v/>
      </c>
      <c r="E523">
        <f>INDEX(FactorTable!$B$2:$Y$301, MATCH(ROUND(MIN(300,MAX(1,D523)),0), FactorTable!$A$2:$A$301,0), Skills!M17+1)</f>
        <v/>
      </c>
      <c r="F523">
        <f>IF(Skills!N17=TRUE,(Skills!L17/10)*(E523/1000),Skills!L17/10)+Skills!O17</f>
        <v/>
      </c>
      <c r="G523">
        <f>Skills!G17*IF(Skills!H17&gt;0,Skills!I17/Skills!H17,1)</f>
        <v/>
      </c>
      <c r="H523">
        <f>1-(1-Skills!J17/100)^Skills!K17</f>
        <v/>
      </c>
      <c r="I523" t="inlineStr">
        <is>
          <t>1</t>
        </is>
      </c>
      <c r="J523" t="inlineStr"/>
      <c r="K523" t="inlineStr"/>
      <c r="L523" t="inlineStr"/>
      <c r="M523" t="inlineStr"/>
      <c r="N523" t="inlineStr"/>
      <c r="O523" t="n">
        <v>0</v>
      </c>
      <c r="P523">
        <f>IF(B546=0,0,O523/B546)</f>
        <v/>
      </c>
      <c r="Q523" t="n">
        <v>0</v>
      </c>
      <c r="R523" t="n">
        <v>0</v>
      </c>
      <c r="S523">
        <f>IFERROR(O523/N523,0)</f>
        <v/>
      </c>
    </row>
    <row r="524">
      <c r="A524">
        <f>Skills!A18</f>
        <v/>
      </c>
      <c r="B524">
        <f>Skills!B18</f>
        <v/>
      </c>
      <c r="C524">
        <f>TRUE</f>
        <v/>
      </c>
      <c r="D524">
        <f>IF(Skills!C18=1,60+Inputs!$B$24+Inputs!$B$28,IF(Skills!C18=2,90+Inputs!$B$25+Inputs!$B$28,IF(Skills!C18=3,120+Inputs!$B$26+Inputs!$B$28,MAX(0,(Inputs!$B$3-100)*3)+Inputs!$B$27+Inputs!$B$28)))</f>
        <v/>
      </c>
      <c r="E524">
        <f>INDEX(FactorTable!$B$2:$Y$301, MATCH(ROUND(MIN(300,MAX(1,D524)),0), FactorTable!$A$2:$A$301,0), Skills!M18+1)</f>
        <v/>
      </c>
      <c r="F524">
        <f>IF(Skills!N18=TRUE,(Skills!L18/10)*(E524/1000),Skills!L18/10)+Skills!O18</f>
        <v/>
      </c>
      <c r="G524">
        <f>Skills!G18*IF(Skills!H18&gt;0,Skills!I18/Skills!H18,1)</f>
        <v/>
      </c>
      <c r="H524">
        <f>1-(1-Skills!J18/100)^Skills!K18</f>
        <v/>
      </c>
      <c r="I524" t="inlineStr">
        <is>
          <t>1</t>
        </is>
      </c>
      <c r="J524" t="inlineStr"/>
      <c r="K524" t="inlineStr"/>
      <c r="L524" t="inlineStr"/>
      <c r="M524" t="inlineStr"/>
      <c r="N524" t="inlineStr"/>
      <c r="O524" t="n">
        <v>0</v>
      </c>
      <c r="P524">
        <f>IF(B546=0,0,O524/B546)</f>
        <v/>
      </c>
      <c r="Q524">
        <f>IFERROR(1/IF(Inputs!$B$4="pvp",15,MAX(0.1,Skills!D18-IF(Skills!E18=TRUE,Inputs!$B$31,0))),0)</f>
        <v/>
      </c>
      <c r="R524">
        <f>IF(AND(Inputs!$B$4&lt;&gt;"pvp",Inputs!$B$35&gt;0),(INT(Inputs!$B$35/IF(Inputs!$B$4="pvp",15,MAX(0.1,Skills!D18-IF(Skills!E18=TRUE,Inputs!$B$31,0))))+1),0)</f>
        <v/>
      </c>
      <c r="S524">
        <f>IFERROR(O524/N524,0)</f>
        <v/>
      </c>
    </row>
    <row r="525">
      <c r="A525">
        <f>Skills!A19</f>
        <v/>
      </c>
      <c r="B525">
        <f>Skills!B19</f>
        <v/>
      </c>
      <c r="C525">
        <f>Inputs!$B$3&gt;=15</f>
        <v/>
      </c>
      <c r="D525">
        <f>IF(Skills!C19=1,60+Inputs!$B$24+Inputs!$B$28,IF(Skills!C19=2,90+Inputs!$B$25+Inputs!$B$28,IF(Skills!C19=3,120+Inputs!$B$26+Inputs!$B$28,MAX(0,(Inputs!$B$3-100)*3)+Inputs!$B$27+Inputs!$B$28)))</f>
        <v/>
      </c>
      <c r="E525">
        <f>INDEX(FactorTable!$B$2:$Y$301, MATCH(ROUND(MIN(300,MAX(1,D525)),0), FactorTable!$A$2:$A$301,0), Skills!M19+1)</f>
        <v/>
      </c>
      <c r="F525">
        <f>IF(Skills!N19=TRUE,(Skills!L19/10)*(E525/1000),Skills!L19/10)+Skills!O19</f>
        <v/>
      </c>
      <c r="G525">
        <f>Skills!G19*IF(Skills!H19&gt;0,Skills!I19/Skills!H19,1)</f>
        <v/>
      </c>
      <c r="H525">
        <f>1-(1-Skills!J19/100)^Skills!K19</f>
        <v/>
      </c>
      <c r="I525" t="inlineStr">
        <is>
          <t>1</t>
        </is>
      </c>
      <c r="J525" t="inlineStr"/>
      <c r="K525" t="inlineStr"/>
      <c r="L525" t="inlineStr"/>
      <c r="M525" t="inlineStr"/>
      <c r="N525" t="inlineStr"/>
      <c r="O525" t="n">
        <v>0</v>
      </c>
      <c r="P525">
        <f>IF(B546=0,0,O525/B546)</f>
        <v/>
      </c>
      <c r="Q525" t="n">
        <v>0</v>
      </c>
      <c r="R525" t="n">
        <v>0</v>
      </c>
      <c r="S525">
        <f>IFERROR(O525/N525,0)</f>
        <v/>
      </c>
    </row>
    <row r="526">
      <c r="A526">
        <f>Skills!A20</f>
        <v/>
      </c>
      <c r="B526">
        <f>Skills!B20</f>
        <v/>
      </c>
      <c r="C526">
        <f>Inputs!$B$3&gt;=10</f>
        <v/>
      </c>
      <c r="D526">
        <f>IF(Skills!C20=1,60+Inputs!$B$24+Inputs!$B$28,IF(Skills!C20=2,90+Inputs!$B$25+Inputs!$B$28,IF(Skills!C20=3,120+Inputs!$B$26+Inputs!$B$28,MAX(0,(Inputs!$B$3-100)*3)+Inputs!$B$27+Inputs!$B$28)))</f>
        <v/>
      </c>
      <c r="E526">
        <f>INDEX(FactorTable!$B$2:$Y$301, MATCH(ROUND(MIN(300,MAX(1,D526)),0), FactorTable!$A$2:$A$301,0), Skills!M20+1)</f>
        <v/>
      </c>
      <c r="F526">
        <f>IF(Skills!N20=TRUE,(Skills!L20/10)*(E526/1000),Skills!L20/10)+Skills!O20</f>
        <v/>
      </c>
      <c r="G526">
        <f>Skills!G20*IF(Skills!H20&gt;0,Skills!I20/Skills!H20,1)</f>
        <v/>
      </c>
      <c r="H526">
        <f>1-(1-Skills!J20/100)^Skills!K20</f>
        <v/>
      </c>
      <c r="I526" t="inlineStr">
        <is>
          <t>1</t>
        </is>
      </c>
      <c r="J526" t="inlineStr"/>
      <c r="K526" t="inlineStr"/>
      <c r="L526" t="inlineStr"/>
      <c r="M526" t="inlineStr"/>
      <c r="N526" t="inlineStr"/>
      <c r="O526" t="n">
        <v>0</v>
      </c>
      <c r="P526">
        <f>IF(B546=0,0,O526/B546)</f>
        <v/>
      </c>
      <c r="Q526" t="n">
        <v>0</v>
      </c>
      <c r="R526" t="n">
        <v>0</v>
      </c>
      <c r="S526">
        <f>IFERROR(O526/N526,0)</f>
        <v/>
      </c>
    </row>
    <row r="527">
      <c r="A527">
        <f>Skills!A21</f>
        <v/>
      </c>
      <c r="B527">
        <f>Skills!B21</f>
        <v/>
      </c>
      <c r="C527">
        <f>Inputs!$B$3&gt;=33</f>
        <v/>
      </c>
      <c r="D527">
        <f>IF(Skills!C21=1,60+Inputs!$B$24+Inputs!$B$28,IF(Skills!C21=2,90+Inputs!$B$25+Inputs!$B$28,IF(Skills!C21=3,120+Inputs!$B$26+Inputs!$B$28,MAX(0,(Inputs!$B$3-100)*3)+Inputs!$B$27+Inputs!$B$28)))</f>
        <v/>
      </c>
      <c r="E527">
        <f>INDEX(FactorTable!$B$2:$Y$301, MATCH(ROUND(MIN(300,MAX(1,D527)),0), FactorTable!$A$2:$A$301,0), Skills!M21+1)</f>
        <v/>
      </c>
      <c r="F527">
        <f>IF(Skills!N21=TRUE,(Skills!L21/10)*(E527/1000),Skills!L21/10)+Skills!O21</f>
        <v/>
      </c>
      <c r="G527">
        <f>Skills!G21*IF(Skills!H21&gt;0,Skills!I21/Skills!H21,1)</f>
        <v/>
      </c>
      <c r="H527">
        <f>1-(1-Skills!J21/100)^Skills!K21</f>
        <v/>
      </c>
      <c r="I527" t="inlineStr">
        <is>
          <t>1</t>
        </is>
      </c>
      <c r="J527" t="inlineStr"/>
      <c r="K527" t="inlineStr"/>
      <c r="L527" t="inlineStr"/>
      <c r="M527" t="inlineStr"/>
      <c r="N527" t="inlineStr"/>
      <c r="O527" t="n">
        <v>0</v>
      </c>
      <c r="P527">
        <f>IF(B546=0,0,O527/B546)</f>
        <v/>
      </c>
      <c r="Q527" t="n">
        <v>0</v>
      </c>
      <c r="R527" t="n">
        <v>0</v>
      </c>
      <c r="S527">
        <f>IFERROR(O527/N527,0)</f>
        <v/>
      </c>
    </row>
    <row r="528">
      <c r="A528">
        <f>Skills!A22</f>
        <v/>
      </c>
      <c r="B528">
        <f>Skills!B22</f>
        <v/>
      </c>
      <c r="C528">
        <f>Inputs!$B$3&gt;=38</f>
        <v/>
      </c>
      <c r="D528">
        <f>IF(Skills!C22=1,60+Inputs!$B$24+Inputs!$B$28,IF(Skills!C22=2,90+Inputs!$B$25+Inputs!$B$28,IF(Skills!C22=3,120+Inputs!$B$26+Inputs!$B$28,MAX(0,(Inputs!$B$3-100)*3)+Inputs!$B$27+Inputs!$B$28)))</f>
        <v/>
      </c>
      <c r="E528">
        <f>INDEX(FactorTable!$B$2:$Y$301, MATCH(ROUND(MIN(300,MAX(1,D528)),0), FactorTable!$A$2:$A$301,0), Skills!M22+1)</f>
        <v/>
      </c>
      <c r="F528">
        <f>IF(Skills!N22=TRUE,(Skills!L22/10)*(E528/1000),Skills!L22/10)+Skills!O22</f>
        <v/>
      </c>
      <c r="G528">
        <f>Skills!G22*IF(Skills!H22&gt;0,Skills!I22/Skills!H22,1)</f>
        <v/>
      </c>
      <c r="H528">
        <f>1-(1-Skills!J22/100)^Skills!K22</f>
        <v/>
      </c>
      <c r="I528" t="inlineStr">
        <is>
          <t>1</t>
        </is>
      </c>
      <c r="J528" t="inlineStr"/>
      <c r="K528" t="inlineStr"/>
      <c r="L528" t="inlineStr"/>
      <c r="M528" t="inlineStr"/>
      <c r="N528" t="inlineStr"/>
      <c r="O528" t="n">
        <v>0</v>
      </c>
      <c r="P528">
        <f>IF(B546=0,0,O528/B546)</f>
        <v/>
      </c>
      <c r="Q528" t="n">
        <v>0</v>
      </c>
      <c r="R528" t="n">
        <v>0</v>
      </c>
      <c r="S528">
        <f>IFERROR(O528/N528,0)</f>
        <v/>
      </c>
    </row>
    <row r="529">
      <c r="A529">
        <f>Skills!A23</f>
        <v/>
      </c>
      <c r="B529">
        <f>Skills!B23</f>
        <v/>
      </c>
      <c r="C529">
        <f>Inputs!$B$3&gt;=43</f>
        <v/>
      </c>
      <c r="D529">
        <f>IF(Skills!C23=1,60+Inputs!$B$24+Inputs!$B$28,IF(Skills!C23=2,90+Inputs!$B$25+Inputs!$B$28,IF(Skills!C23=3,120+Inputs!$B$26+Inputs!$B$28,MAX(0,(Inputs!$B$3-100)*3)+Inputs!$B$27+Inputs!$B$28)))</f>
        <v/>
      </c>
      <c r="E529">
        <f>INDEX(FactorTable!$B$2:$Y$301, MATCH(ROUND(MIN(300,MAX(1,D529)),0), FactorTable!$A$2:$A$301,0), Skills!M23+1)</f>
        <v/>
      </c>
      <c r="F529">
        <f>IF(Skills!N23=TRUE,(Skills!L23/10)*(E529/1000),Skills!L23/10)+Skills!O23</f>
        <v/>
      </c>
      <c r="G529">
        <f>Skills!G23*IF(Skills!H23&gt;0,Skills!I23/Skills!H23,1)</f>
        <v/>
      </c>
      <c r="H529">
        <f>1-(1-Skills!J23/100)^Skills!K23</f>
        <v/>
      </c>
      <c r="I529" t="inlineStr">
        <is>
          <t>1</t>
        </is>
      </c>
      <c r="J529" t="inlineStr"/>
      <c r="K529" t="inlineStr"/>
      <c r="L529" t="inlineStr"/>
      <c r="M529" t="inlineStr"/>
      <c r="N529" t="inlineStr"/>
      <c r="O529" t="n">
        <v>0</v>
      </c>
      <c r="P529">
        <f>IF(B546=0,0,O529/B546)</f>
        <v/>
      </c>
      <c r="Q529" t="n">
        <v>0</v>
      </c>
      <c r="R529" t="n">
        <v>0</v>
      </c>
      <c r="S529">
        <f>IFERROR(O529/N529,0)</f>
        <v/>
      </c>
    </row>
    <row r="530">
      <c r="A530">
        <f>Skills!A24</f>
        <v/>
      </c>
      <c r="B530">
        <f>Skills!B24</f>
        <v/>
      </c>
      <c r="C530">
        <f>Inputs!$B$3&gt;=75</f>
        <v/>
      </c>
      <c r="D530">
        <f>IF(Skills!C24=1,60+Inputs!$B$24+Inputs!$B$28,IF(Skills!C24=2,90+Inputs!$B$25+Inputs!$B$28,IF(Skills!C24=3,120+Inputs!$B$26+Inputs!$B$28,MAX(0,(Inputs!$B$3-100)*3)+Inputs!$B$27+Inputs!$B$28)))</f>
        <v/>
      </c>
      <c r="E530">
        <f>INDEX(FactorTable!$B$2:$Y$301, MATCH(ROUND(MIN(300,MAX(1,D530)),0), FactorTable!$A$2:$A$301,0), Skills!M24+1)</f>
        <v/>
      </c>
      <c r="F530">
        <f>IF(Skills!N24=TRUE,(Skills!L24/10)*(E530/1000),Skills!L24/10)+Skills!O24</f>
        <v/>
      </c>
      <c r="G530">
        <f>Skills!G24*IF(Skills!H24&gt;0,Skills!I24/Skills!H24,1)</f>
        <v/>
      </c>
      <c r="H530">
        <f>1-(1-Skills!J24/100)^Skills!K24</f>
        <v/>
      </c>
      <c r="I530" t="inlineStr">
        <is>
          <t>1</t>
        </is>
      </c>
      <c r="J530" t="inlineStr"/>
      <c r="K530" t="inlineStr"/>
      <c r="L530" t="inlineStr"/>
      <c r="M530" t="inlineStr"/>
      <c r="N530" t="inlineStr"/>
      <c r="O530" t="n">
        <v>0</v>
      </c>
      <c r="P530">
        <f>IF(B546=0,0,O530/B546)</f>
        <v/>
      </c>
      <c r="Q530" t="n">
        <v>0</v>
      </c>
      <c r="R530" t="n">
        <v>0</v>
      </c>
      <c r="S530">
        <f>IFERROR(O530/N530,0)</f>
        <v/>
      </c>
    </row>
    <row r="531">
      <c r="A531">
        <f>Skills!A25</f>
        <v/>
      </c>
      <c r="B531">
        <f>Skills!B25</f>
        <v/>
      </c>
      <c r="C531">
        <f>Inputs!$B$3&gt;=125</f>
        <v/>
      </c>
      <c r="D531">
        <f>IF(Skills!C25=1,60+Inputs!$B$24+Inputs!$B$28,IF(Skills!C25=2,90+Inputs!$B$25+Inputs!$B$28,IF(Skills!C25=3,120+Inputs!$B$26+Inputs!$B$28,MAX(0,(Inputs!$B$3-100)*3)+Inputs!$B$27+Inputs!$B$28)))</f>
        <v/>
      </c>
      <c r="E531">
        <f>INDEX(FactorTable!$B$2:$Y$301, MATCH(ROUND(MIN(300,MAX(1,D531)),0), FactorTable!$A$2:$A$301,0), Skills!M25+1)</f>
        <v/>
      </c>
      <c r="F531">
        <f>IF(Skills!N25=TRUE,(Skills!L25/10)*(E531/1000),Skills!L25/10)+Skills!O25</f>
        <v/>
      </c>
      <c r="G531">
        <f>Skills!G25*IF(Skills!H25&gt;0,Skills!I25/Skills!H25,1)</f>
        <v/>
      </c>
      <c r="H531">
        <f>1-(1-Skills!J25/100)^Skills!K25</f>
        <v/>
      </c>
      <c r="I531" t="inlineStr">
        <is>
          <t>1</t>
        </is>
      </c>
      <c r="J531" t="inlineStr"/>
      <c r="K531" t="inlineStr"/>
      <c r="L531" t="inlineStr"/>
      <c r="M531" t="inlineStr"/>
      <c r="N531" t="inlineStr"/>
      <c r="O531" t="n">
        <v>0</v>
      </c>
      <c r="P531">
        <f>IF(B546=0,0,O531/B546)</f>
        <v/>
      </c>
      <c r="Q531" t="n">
        <v>0</v>
      </c>
      <c r="R531" t="n">
        <v>0</v>
      </c>
      <c r="S531">
        <f>IFERROR(O531/N531,0)</f>
        <v/>
      </c>
    </row>
    <row r="532">
      <c r="A532">
        <f>Skills!A26</f>
        <v/>
      </c>
      <c r="B532">
        <f>Skills!B26</f>
        <v/>
      </c>
      <c r="C532">
        <f>Inputs!$B$3&gt;=125</f>
        <v/>
      </c>
      <c r="D532">
        <f>IF(Skills!C26=1,60+Inputs!$B$24+Inputs!$B$28,IF(Skills!C26=2,90+Inputs!$B$25+Inputs!$B$28,IF(Skills!C26=3,120+Inputs!$B$26+Inputs!$B$28,MAX(0,(Inputs!$B$3-100)*3)+Inputs!$B$27+Inputs!$B$28)))</f>
        <v/>
      </c>
      <c r="E532">
        <f>INDEX(FactorTable!$B$2:$Y$301, MATCH(ROUND(MIN(300,MAX(1,D532)),0), FactorTable!$A$2:$A$301,0), Skills!M26+1)</f>
        <v/>
      </c>
      <c r="F532">
        <f>IF(Skills!N26=TRUE,(Skills!L26/10)*(E532/1000),Skills!L26/10)+Skills!O26</f>
        <v/>
      </c>
      <c r="G532">
        <f>Skills!G26*IF(Skills!H26&gt;0,Skills!I26/Skills!H26,1)</f>
        <v/>
      </c>
      <c r="H532">
        <f>1-(1-Skills!J26/100)^Skills!K26</f>
        <v/>
      </c>
      <c r="I532" t="inlineStr">
        <is>
          <t>1</t>
        </is>
      </c>
      <c r="J532" t="inlineStr"/>
      <c r="K532" t="inlineStr"/>
      <c r="L532" t="inlineStr"/>
      <c r="M532" t="inlineStr"/>
      <c r="N532" t="inlineStr"/>
      <c r="O532" t="n">
        <v>0</v>
      </c>
      <c r="P532">
        <f>IF(B546=0,0,O532/B546)</f>
        <v/>
      </c>
      <c r="Q532" t="n">
        <v>0</v>
      </c>
      <c r="R532" t="n">
        <v>0</v>
      </c>
      <c r="S532">
        <f>IFERROR(O532/N532,0)</f>
        <v/>
      </c>
    </row>
    <row r="533">
      <c r="A533">
        <f>Skills!A27</f>
        <v/>
      </c>
      <c r="B533">
        <f>Skills!B27</f>
        <v/>
      </c>
      <c r="C533">
        <f>Inputs!$B$3&gt;=120</f>
        <v/>
      </c>
      <c r="D533">
        <f>IF(Skills!C27=1,60+Inputs!$B$24+Inputs!$B$28,IF(Skills!C27=2,90+Inputs!$B$25+Inputs!$B$28,IF(Skills!C27=3,120+Inputs!$B$26+Inputs!$B$28,MAX(0,(Inputs!$B$3-100)*3)+Inputs!$B$27+Inputs!$B$28)))</f>
        <v/>
      </c>
      <c r="E533">
        <f>INDEX(FactorTable!$B$2:$Y$301, MATCH(ROUND(MIN(300,MAX(1,D533)),0), FactorTable!$A$2:$A$301,0), Skills!M27+1)</f>
        <v/>
      </c>
      <c r="F533">
        <f>IF(Skills!N27=TRUE,(Skills!L27/10)*(E533/1000),Skills!L27/10)+Skills!O27</f>
        <v/>
      </c>
      <c r="G533">
        <f>Skills!G27*IF(Skills!H27&gt;0,Skills!I27/Skills!H27,1)</f>
        <v/>
      </c>
      <c r="H533">
        <f>1-(1-Skills!J27/100)^Skills!K27</f>
        <v/>
      </c>
      <c r="I533" t="inlineStr">
        <is>
          <t>1</t>
        </is>
      </c>
      <c r="J533" t="inlineStr"/>
      <c r="K533" t="inlineStr"/>
      <c r="L533" t="inlineStr"/>
      <c r="M533" t="inlineStr"/>
      <c r="N533" t="inlineStr"/>
      <c r="O533" t="n">
        <v>0</v>
      </c>
      <c r="P533">
        <f>IF(B546=0,0,O533/B546)</f>
        <v/>
      </c>
      <c r="Q533" t="n">
        <v>0</v>
      </c>
      <c r="R533" t="n">
        <v>0</v>
      </c>
      <c r="S533">
        <f>IFERROR(O533/N533,0)</f>
        <v/>
      </c>
    </row>
    <row r="534">
      <c r="A534">
        <f>Skills!A28</f>
        <v/>
      </c>
      <c r="B534">
        <f>Skills!B28</f>
        <v/>
      </c>
      <c r="C534">
        <f>Inputs!$B$3&gt;=120</f>
        <v/>
      </c>
      <c r="D534">
        <f>IF(Skills!C28=1,60+Inputs!$B$24+Inputs!$B$28,IF(Skills!C28=2,90+Inputs!$B$25+Inputs!$B$28,IF(Skills!C28=3,120+Inputs!$B$26+Inputs!$B$28,MAX(0,(Inputs!$B$3-100)*3)+Inputs!$B$27+Inputs!$B$28)))</f>
        <v/>
      </c>
      <c r="E534">
        <f>INDEX(FactorTable!$B$2:$Y$301, MATCH(ROUND(MIN(300,MAX(1,D534)),0), FactorTable!$A$2:$A$301,0), Skills!M28+1)</f>
        <v/>
      </c>
      <c r="F534">
        <f>IF(Skills!N28=TRUE,(Skills!L28/10)*(E534/1000),Skills!L28/10)+Skills!O28</f>
        <v/>
      </c>
      <c r="G534">
        <f>Skills!G28*IF(Skills!H28&gt;0,Skills!I28/Skills!H28,1)</f>
        <v/>
      </c>
      <c r="H534">
        <f>1-(1-Skills!J28/100)^Skills!K28</f>
        <v/>
      </c>
      <c r="I534" t="inlineStr">
        <is>
          <t>1</t>
        </is>
      </c>
      <c r="J534" t="inlineStr"/>
      <c r="K534" t="inlineStr"/>
      <c r="L534" t="inlineStr"/>
      <c r="M534" t="inlineStr"/>
      <c r="N534" t="inlineStr"/>
      <c r="O534" t="n">
        <v>0</v>
      </c>
      <c r="P534">
        <f>IF(B546=0,0,O534/B546)</f>
        <v/>
      </c>
      <c r="Q534" t="n">
        <v>0</v>
      </c>
      <c r="R534" t="n">
        <v>0</v>
      </c>
      <c r="S534">
        <f>IFERROR(O534/N534,0)</f>
        <v/>
      </c>
    </row>
    <row r="535">
      <c r="A535">
        <f>Skills!A29</f>
        <v/>
      </c>
      <c r="B535">
        <f>Skills!B29</f>
        <v/>
      </c>
      <c r="C535">
        <f>Inputs!$B$3&gt;=45</f>
        <v/>
      </c>
      <c r="D535">
        <f>IF(Skills!C29=1,60+Inputs!$B$24+Inputs!$B$28,IF(Skills!C29=2,90+Inputs!$B$25+Inputs!$B$28,IF(Skills!C29=3,120+Inputs!$B$26+Inputs!$B$28,MAX(0,(Inputs!$B$3-100)*3)+Inputs!$B$27+Inputs!$B$28)))</f>
        <v/>
      </c>
      <c r="E535">
        <f>INDEX(FactorTable!$B$2:$Y$301, MATCH(ROUND(MIN(300,MAX(1,D535)),0), FactorTable!$A$2:$A$301,0), Skills!M29+1)</f>
        <v/>
      </c>
      <c r="F535">
        <f>IF(Skills!N29=TRUE,(Skills!L29/10)*(E535/1000),Skills!L29/10)+Skills!O29</f>
        <v/>
      </c>
      <c r="G535">
        <f>Skills!G29*IF(Skills!H29&gt;0,Skills!I29/Skills!H29,1)</f>
        <v/>
      </c>
      <c r="H535">
        <f>1-(1-Skills!J29/100)^Skills!K29</f>
        <v/>
      </c>
      <c r="I535" t="inlineStr">
        <is>
          <t>1</t>
        </is>
      </c>
      <c r="J535" t="inlineStr"/>
      <c r="K535" t="inlineStr"/>
      <c r="L535" t="inlineStr"/>
      <c r="M535" t="inlineStr"/>
      <c r="N535" t="inlineStr"/>
      <c r="O535" t="n">
        <v>0</v>
      </c>
      <c r="P535">
        <f>IF(B546=0,0,O535/B546)</f>
        <v/>
      </c>
      <c r="Q535" t="n">
        <v>0</v>
      </c>
      <c r="R535" t="n">
        <v>0</v>
      </c>
      <c r="S535">
        <f>IFERROR(O535/N535,0)</f>
        <v/>
      </c>
    </row>
    <row r="537">
      <c r="A537" t="inlineStr">
        <is>
          <t>Attack% Bucket Multiplier</t>
        </is>
      </c>
      <c r="B537">
        <f>(1+(((C519=TRUE)*F519)+((C520=TRUE)*IF(Inputs!$B$4="pvp",F520,(1-Summary!$B$55)*(F520)+Summary!$B$55*(0)))+((C521=TRUE)*F521*IF(AND(Inputs!$B$4&lt;&gt;"pvp",Inputs!$B$35&gt;0),(((S521-1)*(Skills!T15*(1+Inputs!$B$33/100))+MIN((Skills!T15*(1+Inputs!$B$33/100)),MAX(0,Inputs!$B$35-((S521-1)*Skills!D15))))/Inputs!$B$35),IF(Inputs!$B$4="pvp",MIN((Skills!T15*(1+Inputs!$B$33/100)),15)/15,(Skills!T15*(1+Inputs!$B$33/100))/Skills!D15)))+((C518=TRUE)*F518)+((C535=TRUE)*(F535-Calc!F29)))/100)</f>
        <v/>
      </c>
    </row>
    <row r="538">
      <c r="A538" t="inlineStr">
        <is>
          <t>Global Crit Rate Bonus %</t>
        </is>
      </c>
      <c r="B538">
        <f>(C522=TRUE)*20*IF(AND(Inputs!$B$4&lt;&gt;"pvp",Inputs!$B$35&gt;0),(((S522-1)*(Skills!T16*(1+Inputs!$B$33/100))+MIN((Skills!T16*(1+Inputs!$B$33/100)),MAX(0,Inputs!$B$35-((S522-1)*Skills!D16))))/Inputs!$B$35),IF(Inputs!$B$4="pvp",MIN((Skills!T16*(1+Inputs!$B$33/100)),15)/15,(Skills!T16*(1+Inputs!$B$33/100))/Skills!D16))</f>
        <v/>
      </c>
    </row>
    <row r="539">
      <c r="A539" t="inlineStr">
        <is>
          <t>Attack Speed Buff Bonus %</t>
        </is>
      </c>
      <c r="B539">
        <f>((C524=TRUE)*F524*IF(AND(Inputs!$B$4&lt;&gt;"pvp",Inputs!$B$35&gt;0),(((S524-1)*(Skills!T18*(1+Inputs!$B$33/100))+MIN((Skills!T18*(1+Inputs!$B$33/100)),MAX(0,Inputs!$B$35-((S524-1)*Skills!D18))))/Inputs!$B$35),IF(Inputs!$B$4="pvp",MIN((Skills!T18*(1+Inputs!$B$33/100)),15)/15,(Skills!T18*(1+Inputs!$B$33/100))/Skills!D18)))</f>
        <v/>
      </c>
    </row>
    <row r="540">
      <c r="A540" t="inlineStr">
        <is>
          <t>Actions Per Second</t>
        </is>
      </c>
      <c r="B540">
        <f>1+MIN(150,150*(1-(1-(Inputs!$B$10+((C526=TRUE)*(F526-Calc!F20))+((C527=TRUE)*(F527-Calc!F21)))/150)*(1-B539/150)))/100</f>
        <v/>
      </c>
    </row>
    <row r="541">
      <c r="A541" t="inlineStr">
        <is>
          <t>Skill + Buff Cast Rate</t>
        </is>
      </c>
      <c r="B541">
        <f>IF(AND(Inputs!$B$4&lt;&gt;"pvp",Inputs!$B$35&gt;0),SUMPRODUCT((Skills!E2:E29=TRUE)*(C508:C535=TRUE)*R508:R535*Skills!F2:F29)/Inputs!$B$35,SUMPRODUCT((Skills!E2:E29=TRUE)*(C508:C535=TRUE)*Q508:Q535*Skills!F2:F29))</f>
        <v/>
      </c>
    </row>
    <row r="542">
      <c r="A542" t="inlineStr">
        <is>
          <t>Empowered Piercing Arrow Casts Per Second</t>
        </is>
      </c>
      <c r="B542">
        <f>MAX(0,B540-B541)</f>
        <v/>
      </c>
    </row>
    <row r="543">
      <c r="A543" t="inlineStr">
        <is>
          <t>Global Critical Damage Bonus % (Sharp Eyes)</t>
        </is>
      </c>
      <c r="B543">
        <f>(C522=TRUE)*F522*IF(AND(Inputs!$B$4&lt;&gt;"pvp",Inputs!$B$35&gt;0),(((S522-1)*(Skills!T16*(1+Inputs!$B$33/100))+MIN((Skills!T16*(1+Inputs!$B$33/100)),MAX(0,Inputs!$B$35-((S522-1)*Skills!D16))))/Inputs!$B$35),IF(Inputs!$B$4="pvp",MIN((Skills!T16*(1+Inputs!$B$33/100)),15)/15,(Skills!T16*(1+Inputs!$B$33/100))/Skills!D16))</f>
        <v/>
      </c>
    </row>
    <row r="544">
      <c r="A544" t="inlineStr">
        <is>
          <t>Global Final Damage Bonus % (Mortal Blow + Last Man Standing conditional half)</t>
        </is>
      </c>
      <c r="B544">
        <f>(C523=TRUE)*F523+((C532=TRUE)*IF(Inputs!$B$4="pvp",F532,(1-Summary!$B$55)*(F532)+Summary!$B$55*(0)))</f>
        <v/>
      </c>
    </row>
    <row r="546">
      <c r="A546" s="5" t="inlineStr">
        <is>
          <t>TOTAL DPS</t>
        </is>
      </c>
      <c r="B546" s="5">
        <f>SUM(O508:O535)</f>
        <v/>
      </c>
    </row>
    <row r="549">
      <c r="A549" s="5" t="inlineStr">
        <is>
          <t>Stat: ATTACK_SPEED % (diminishing returns, factor 150)</t>
        </is>
      </c>
    </row>
    <row r="550">
      <c r="A550" s="8" t="inlineStr">
        <is>
          <t>Key</t>
        </is>
      </c>
      <c r="B550" s="8" t="inlineStr">
        <is>
          <t>Name</t>
        </is>
      </c>
      <c r="C550" s="8" t="inlineStr">
        <is>
          <t>Unlocked</t>
        </is>
      </c>
      <c r="D550" s="8" t="inlineStr">
        <is>
          <t>InputLevel</t>
        </is>
      </c>
      <c r="E550" s="8" t="inlineStr">
        <is>
          <t>Factor</t>
        </is>
      </c>
      <c r="F550" s="8" t="inlineStr">
        <is>
          <t>CoefficientPercent</t>
        </is>
      </c>
      <c r="G550" s="8" t="inlineStr">
        <is>
          <t>EffectiveHits</t>
        </is>
      </c>
      <c r="H550" s="8" t="inlineStr">
        <is>
          <t>ProcProbability</t>
        </is>
      </c>
      <c r="I550" s="8" t="inlineStr">
        <is>
          <t>MapleHeroMultiplier</t>
        </is>
      </c>
      <c r="J550" s="8" t="inlineStr">
        <is>
          <t>BaseDamage</t>
        </is>
      </c>
      <c r="K550" s="8" t="inlineStr">
        <is>
          <t>BaseHitDamage</t>
        </is>
      </c>
      <c r="L550" s="8" t="inlineStr">
        <is>
          <t>NonCritAvg</t>
        </is>
      </c>
      <c r="M550" s="8" t="inlineStr">
        <is>
          <t>CritAvg</t>
        </is>
      </c>
      <c r="N550" s="8" t="inlineStr">
        <is>
          <t>ExpectedDamage(perHit)</t>
        </is>
      </c>
      <c r="O550" s="8" t="inlineStr">
        <is>
          <t>DPS</t>
        </is>
      </c>
      <c r="P550" s="8" t="inlineStr">
        <is>
          <t>% of Total</t>
        </is>
      </c>
      <c r="Q550" s="8" t="inlineStr">
        <is>
          <t>InvCooldown</t>
        </is>
      </c>
      <c r="R550" s="8" t="inlineStr">
        <is>
          <t>CastsInFight</t>
        </is>
      </c>
      <c r="S550" s="8" t="inlineStr">
        <is>
          <t>HitRate(perSec)</t>
        </is>
      </c>
      <c r="U550" t="inlineStr">
        <is>
          <t>helpers</t>
        </is>
      </c>
    </row>
    <row r="551">
      <c r="A551">
        <f>Skills!A2</f>
        <v/>
      </c>
      <c r="B551">
        <f>Skills!B2</f>
        <v/>
      </c>
      <c r="C551">
        <f>Inputs!$B$3&gt;=100</f>
        <v/>
      </c>
      <c r="D551" t="inlineStr"/>
      <c r="E551" t="inlineStr"/>
      <c r="F551">
        <f>U553+Skills!O2</f>
        <v/>
      </c>
      <c r="G551">
        <f>Skills!G2*IF(Skills!H2&gt;0,Skills!I2/Skills!H2,1)</f>
        <v/>
      </c>
      <c r="H551">
        <f>1-(1-Skills!J2/100)^Skills!K2</f>
        <v/>
      </c>
      <c r="I551" t="inlineStr">
        <is>
          <t>1</t>
        </is>
      </c>
      <c r="J551">
        <f>(Inputs!$B$5*(1+Inputs!$B$6/100))*(F551/100)</f>
        <v/>
      </c>
      <c r="K551">
        <f>J551*(1+((Inputs!$B$11*(1+Inputs!$B$12/100))*0.01+Inputs!$B$13*0.0025)/100)*(1+Inputs!$B$14/100)*(1+IF(Inputs!$B$4="pvp",0,(1-Summary!$B$55)*(Inputs!$B$19+0+Skills!P2)+Summary!$B$55*(Inputs!$B$20+Skills!Q2))/100)*(1+Inputs!$B$15/100)*(5000/(6000+Inputs!$B$7*(1-(Inputs!$B$18+0)/100)))*(1+(Inputs!$B$23+((C573=TRUE)*(F573-Calc!F24))+((C574=TRUE)*(F574-Calc!F25))+B587)/100)*(1+(IF(Skills!A2="EMPOWERED_PIERCING_ARROW",Inputs!$B$16+((C571=TRUE)*(F571-Calc!F22)),Inputs!$B$17+((C576=TRUE)*(F576-Calc!F27))))/100)*((1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I551)</f>
        <v/>
      </c>
      <c r="L551">
        <f>K551*(MIN(Inputs!$B$21+((C572=TRUE)*(F572-Calc!F23)),Inputs!$B$22+((C577=TRUE)*(F577-Calc!F28)))/100+(Inputs!$B$22+((C577=TRUE)*(F577-Calc!F28)))/100)/2</f>
        <v/>
      </c>
      <c r="M551">
        <f>L551*(1+(Inputs!$B$9+0+B586)/100)</f>
        <v/>
      </c>
      <c r="N551">
        <f>L551*(1-MIN((Inputs!$B$8+((C568=TRUE)*(F568-Calc!F19))+B581),100)/100)+M551*(MIN((Inputs!$B$8+((C568=TRUE)*(F568-Calc!F19))+B581),100)/100)</f>
        <v/>
      </c>
      <c r="O551">
        <f>IF(C551,Skills!G2*N551*B585*IF(Inputs!$B$4="pvp",1,(1-Summary!$B$55)*(1)+Summary!$B$55*(MIN((6+Inputs!$B$32),Inputs!$B$37))),0)</f>
        <v/>
      </c>
      <c r="P551">
        <f>IF(B589=0,0,O551/B589)</f>
        <v/>
      </c>
      <c r="Q551" t="n">
        <v>0</v>
      </c>
      <c r="R551" t="n">
        <v>0</v>
      </c>
      <c r="S551">
        <f>IFERROR(O551/N551,0)</f>
        <v/>
      </c>
      <c r="U551">
        <f>MAX(0,(Inputs!$B$3-100)*3)+Inputs!$B$27+Inputs!$B$28</f>
        <v/>
      </c>
    </row>
    <row r="552">
      <c r="A552">
        <f>Skills!A3</f>
        <v/>
      </c>
      <c r="B552">
        <f>Skills!B3</f>
        <v/>
      </c>
      <c r="C552">
        <f>Inputs!$B$3&gt;=50</f>
        <v/>
      </c>
      <c r="D552">
        <f>IF(Skills!C3=1,60+Inputs!$B$24+Inputs!$B$28,IF(Skills!C3=2,90+Inputs!$B$25+Inputs!$B$28,IF(Skills!C3=3,120+Inputs!$B$26+Inputs!$B$28,MAX(0,(Inputs!$B$3-100)*3)+Inputs!$B$27+Inputs!$B$28)))</f>
        <v/>
      </c>
      <c r="E552">
        <f>INDEX(FactorTable!$B$2:$Y$301, MATCH(ROUND(MIN(300,MAX(1,D552)),0), FactorTable!$A$2:$A$301,0), Skills!M3+1)</f>
        <v/>
      </c>
      <c r="F552">
        <f>IF(Skills!N3=TRUE,(Skills!L3/10)*(E552/1000),Skills!L3/10)+Skills!O3</f>
        <v/>
      </c>
      <c r="G552" t="inlineStr"/>
      <c r="H552" t="inlineStr"/>
      <c r="I552" t="inlineStr">
        <is>
          <t>1</t>
        </is>
      </c>
      <c r="J552" t="inlineStr"/>
      <c r="K552" t="inlineStr"/>
      <c r="L552" t="inlineStr"/>
      <c r="M552" t="inlineStr"/>
      <c r="N552" t="inlineStr"/>
      <c r="O552" t="inlineStr"/>
      <c r="P552" t="inlineStr"/>
      <c r="Q552" t="inlineStr"/>
      <c r="R552" t="inlineStr"/>
      <c r="S552" t="inlineStr"/>
      <c r="U552">
        <f>INDEX(FactorTable!$B$2:$Y$301, MATCH(ROUND(MIN(300,MAX(1,U551)),0), FactorTable!$A$2:$A$301,0), 22)</f>
        <v/>
      </c>
    </row>
    <row r="553">
      <c r="A553">
        <f>Skills!A4</f>
        <v/>
      </c>
      <c r="B553">
        <f>Skills!B4</f>
        <v/>
      </c>
      <c r="C553">
        <f>Inputs!$B$3&gt;=105</f>
        <v/>
      </c>
      <c r="D553">
        <f>IF(Skills!C4=1,60+Inputs!$B$24+Inputs!$B$28,IF(Skills!C4=2,90+Inputs!$B$25+Inputs!$B$28,IF(Skills!C4=3,120+Inputs!$B$26+Inputs!$B$28,MAX(0,(Inputs!$B$3-100)*3)+Inputs!$B$27+Inputs!$B$28)))</f>
        <v/>
      </c>
      <c r="E553">
        <f>INDEX(FactorTable!$B$2:$Y$301, MATCH(ROUND(MIN(300,MAX(1,D553)),0), FactorTable!$A$2:$A$301,0), Skills!M4+1)</f>
        <v/>
      </c>
      <c r="F553">
        <f>IF(Skills!N4=TRUE,(Skills!L4/10)*(E553/1000),Skills!L4/10)+Skills!O4</f>
        <v/>
      </c>
      <c r="G553" t="inlineStr"/>
      <c r="H553" t="inlineStr"/>
      <c r="I553" t="inlineStr">
        <is>
          <t>1</t>
        </is>
      </c>
      <c r="J553" t="inlineStr"/>
      <c r="K553" t="inlineStr"/>
      <c r="L553" t="inlineStr"/>
      <c r="M553" t="inlineStr"/>
      <c r="N553" t="inlineStr"/>
      <c r="O553" t="inlineStr"/>
      <c r="P553" t="inlineStr"/>
      <c r="Q553" t="inlineStr"/>
      <c r="R553" t="inlineStr"/>
      <c r="S553" t="inlineStr"/>
      <c r="U553">
        <f>290*U552/1000</f>
        <v/>
      </c>
    </row>
    <row r="554">
      <c r="A554">
        <f>Skills!A5</f>
        <v/>
      </c>
      <c r="B554">
        <f>Skills!B5</f>
        <v/>
      </c>
      <c r="C554">
        <f>Inputs!$B$3&gt;=35</f>
        <v/>
      </c>
      <c r="D554">
        <f>IF(Skills!C5=1,60+Inputs!$B$24+Inputs!$B$28,IF(Skills!C5=2,90+Inputs!$B$25+Inputs!$B$28,IF(Skills!C5=3,120+Inputs!$B$26+Inputs!$B$28,MAX(0,(Inputs!$B$3-100)*3)+Inputs!$B$27+Inputs!$B$28)))</f>
        <v/>
      </c>
      <c r="E554">
        <f>INDEX(FactorTable!$B$2:$Y$301, MATCH(ROUND(MIN(300,MAX(1,D554)),0), FactorTable!$A$2:$A$301,0), Skills!M5+1)</f>
        <v/>
      </c>
      <c r="F554">
        <f>IF(Skills!N5=TRUE,(Skills!L5/10)*(E554/1000),Skills!L5/10)+Skills!O5</f>
        <v/>
      </c>
      <c r="G554">
        <f>Skills!G5*IF(Skills!H5&gt;0,Skills!I5/Skills!H5,1)</f>
        <v/>
      </c>
      <c r="H554">
        <f>1-(1-Skills!J5/100)^Skills!K5</f>
        <v/>
      </c>
      <c r="I554" t="inlineStr">
        <is>
          <t>1</t>
        </is>
      </c>
      <c r="J554">
        <f>(Inputs!$B$5*(1+Inputs!$B$6/100))*(F554/100)</f>
        <v/>
      </c>
      <c r="K554">
        <f>J554*(1+((Inputs!$B$11*(1+Inputs!$B$12/100))*0.01+Inputs!$B$13*0.0025)/100)*(1+Inputs!$B$14/100)*(1+IF(Inputs!$B$4="pvp",0,(1-Summary!$B$55)*(Inputs!$B$19+0+Skills!P5)+Summary!$B$55*(Inputs!$B$20+Skills!Q5))/100)*(1+Inputs!$B$15/100)*(5000/(6000+Inputs!$B$7*(1-(Inputs!$B$18+0)/100)))*(1+(Inputs!$B$23+((C573=TRUE)*(F573-Calc!F24))+((C574=TRUE)*(F574-Calc!F25))+B587)/100)*(1+4.0*IF(C557=TRUE,F557,0)/100)*(1+(IF(Skills!A5="EMPOWERED_PIERCING_ARROW",Inputs!$B$16+((C571=TRUE)*(F571-Calc!F22)),Inputs!$B$17+((C576=TRUE)*(F576-Calc!F27))))/100)*((1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I554)</f>
        <v/>
      </c>
      <c r="L554">
        <f>K554*(MIN(Inputs!$B$21+((C572=TRUE)*(F572-Calc!F23)),Inputs!$B$22+((C577=TRUE)*(F577-Calc!F28)))/100+(Inputs!$B$22+((C577=TRUE)*(F577-Calc!F28)))/100)/2</f>
        <v/>
      </c>
      <c r="M554">
        <f>L554*(1+(Inputs!$B$9+0+B586)/100)</f>
        <v/>
      </c>
      <c r="N554">
        <f>L554*(1-MIN((Inputs!$B$8+((C568=TRUE)*(F568-Calc!F19))+B581),100)/100)+M554*(MIN((Inputs!$B$8+((C568=TRUE)*(F568-Calc!F19))+B581),100)/100)</f>
        <v/>
      </c>
      <c r="O554">
        <f>IF(C554,H554*N554*IF(AND(Inputs!$B$4&lt;&gt;"pvp",Inputs!$B$35&gt;0),((Skills!G5*((R554-1)*IF(Skills!H5&gt;0,Skills!I5/Skills!H5,1)+IF(Skills!H5&gt;0,MIN(Skills!I5,MAX(0,Inputs!$B$35-((R554-1)*IF(Inputs!$B$4="pvp",15,MAX(0.1,Skills!D5-IF(Skills!E5=TRUE,Inputs!$B$31,0))))))/Skills!H5,1)))/Inputs!$B$35),G554*Q554)*IF(Inputs!$B$4="pvp",1,(1-Summary!$B$55)*(1)+Summary!$B$55*(MIN(Skills!R5,Inputs!$B$37))),0)</f>
        <v/>
      </c>
      <c r="P554">
        <f>IF(B589=0,0,O554/B589)</f>
        <v/>
      </c>
      <c r="Q554">
        <f>IFERROR(1/IF(Inputs!$B$4="pvp",15,MAX(0.1,Skills!D5-IF(Skills!E5=TRUE,Inputs!$B$31,0))),0)</f>
        <v/>
      </c>
      <c r="R554">
        <f>IF(AND(Inputs!$B$4&lt;&gt;"pvp",Inputs!$B$35&gt;0),(INT(Inputs!$B$35/IF(Inputs!$B$4="pvp",15,MAX(0.1,Skills!D5-IF(Skills!E5=TRUE,Inputs!$B$31,0))))+1),0)</f>
        <v/>
      </c>
      <c r="S554">
        <f>IFERROR(O554/N554,0)</f>
        <v/>
      </c>
    </row>
    <row r="555">
      <c r="A555">
        <f>Skills!A6</f>
        <v/>
      </c>
      <c r="B555">
        <f>Skills!B6</f>
        <v/>
      </c>
      <c r="C555">
        <f>Inputs!$B$3&gt;=63</f>
        <v/>
      </c>
      <c r="D555">
        <f>IF(Skills!C6=1,60+Inputs!$B$24+Inputs!$B$28,IF(Skills!C6=2,90+Inputs!$B$25+Inputs!$B$28,IF(Skills!C6=3,120+Inputs!$B$26+Inputs!$B$28,MAX(0,(Inputs!$B$3-100)*3)+Inputs!$B$27+Inputs!$B$28)))</f>
        <v/>
      </c>
      <c r="E555">
        <f>INDEX(FactorTable!$B$2:$Y$301, MATCH(ROUND(MIN(300,MAX(1,D555)),0), FactorTable!$A$2:$A$301,0), Skills!M6+1)</f>
        <v/>
      </c>
      <c r="F555">
        <f>IF(Skills!N6=TRUE,(Skills!L6/10)*(E555/1000),Skills!L6/10)+Skills!O6</f>
        <v/>
      </c>
      <c r="G555">
        <f>Skills!G6*IF(Skills!H6&gt;0,Skills!I6/Skills!H6,1)</f>
        <v/>
      </c>
      <c r="H555">
        <f>1-(1-Skills!J6/100)^Skills!K6</f>
        <v/>
      </c>
      <c r="I555" t="inlineStr">
        <is>
          <t>1</t>
        </is>
      </c>
      <c r="J555">
        <f>(Inputs!$B$5*(1+Inputs!$B$6/100))*(F555/100)</f>
        <v/>
      </c>
      <c r="K555">
        <f>J555*(1+((Inputs!$B$11*(1+Inputs!$B$12/100))*0.01+Inputs!$B$13*0.0025)/100)*(1+Inputs!$B$14/100)*(1+IF(Inputs!$B$4="pvp",0,(1-Summary!$B$55)*(Inputs!$B$19+0+Skills!P6)+Summary!$B$55*(Inputs!$B$20+Skills!Q6))/100)*(1+Inputs!$B$15/100)*(5000/(6000+Inputs!$B$7*(1-(Inputs!$B$18+0)/100)))*(1+(Inputs!$B$23+((C573=TRUE)*(F573-Calc!F24))+((C574=TRUE)*(F574-Calc!F25))+B587)/100)*(1+1.0*IF(C557=TRUE,F557,0)/100)*(1+(IF(Skills!A6="EMPOWERED_PIERCING_ARROW",Inputs!$B$16+((C571=TRUE)*(F571-Calc!F22)),Inputs!$B$17+((C576=TRUE)*(F576-Calc!F27))))/100)*((1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I555)</f>
        <v/>
      </c>
      <c r="L555">
        <f>K555*(MIN(Inputs!$B$21+((C572=TRUE)*(F572-Calc!F23)),Inputs!$B$22+((C577=TRUE)*(F577-Calc!F28)))/100+(Inputs!$B$22+((C577=TRUE)*(F577-Calc!F28)))/100)/2</f>
        <v/>
      </c>
      <c r="M555">
        <f>L555*(1+(Inputs!$B$9+0+B586)/100)</f>
        <v/>
      </c>
      <c r="N555">
        <f>L555*(1-MIN((Inputs!$B$8+((C568=TRUE)*(F568-Calc!F19))+B581),100)/100)+M555*(MIN((Inputs!$B$8+((C568=TRUE)*(F568-Calc!F19))+B581),100)/100)</f>
        <v/>
      </c>
      <c r="O555">
        <f>IF(C555,H555*N555*IF(AND(Inputs!$B$4&lt;&gt;"pvp",Inputs!$B$35&gt;0),((Skills!G6*((R555-1)*IF(Skills!H6&gt;0,Skills!I6/Skills!H6,1)+IF(Skills!H6&gt;0,MIN(Skills!I6,MAX(0,Inputs!$B$35-((R555-1)*IF(Inputs!$B$4="pvp",15,MAX(0.1,Skills!D6-IF(Skills!E6=TRUE,Inputs!$B$31,0))))))/Skills!H6,1)))/Inputs!$B$35),G555*Q555)*IF(Inputs!$B$4="pvp",1,(1-Summary!$B$55)*(1)+Summary!$B$55*(MIN(Skills!R6,Inputs!$B$37))),0)</f>
        <v/>
      </c>
      <c r="P555">
        <f>IF(B589=0,0,O555/B589)</f>
        <v/>
      </c>
      <c r="Q555">
        <f>IFERROR(1/IF(Inputs!$B$4="pvp",15,MAX(0.1,Skills!D6-IF(Skills!E6=TRUE,Inputs!$B$31,0))),0)</f>
        <v/>
      </c>
      <c r="R555">
        <f>IF(AND(Inputs!$B$4&lt;&gt;"pvp",Inputs!$B$35&gt;0),(INT(Inputs!$B$35/IF(Inputs!$B$4="pvp",15,MAX(0.1,Skills!D6-IF(Skills!E6=TRUE,Inputs!$B$31,0))))+1),0)</f>
        <v/>
      </c>
      <c r="S555">
        <f>IFERROR(O555/N555,0)</f>
        <v/>
      </c>
    </row>
    <row r="556">
      <c r="A556">
        <f>Skills!A7</f>
        <v/>
      </c>
      <c r="B556">
        <f>Skills!B7</f>
        <v/>
      </c>
      <c r="C556">
        <f>Inputs!$B$3&gt;=69</f>
        <v/>
      </c>
      <c r="D556">
        <f>IF(Skills!C7=1,60+Inputs!$B$24+Inputs!$B$28,IF(Skills!C7=2,90+Inputs!$B$25+Inputs!$B$28,IF(Skills!C7=3,120+Inputs!$B$26+Inputs!$B$28,MAX(0,(Inputs!$B$3-100)*3)+Inputs!$B$27+Inputs!$B$28)))</f>
        <v/>
      </c>
      <c r="E556">
        <f>INDEX(FactorTable!$B$2:$Y$301, MATCH(ROUND(MIN(300,MAX(1,D556)),0), FactorTable!$A$2:$A$301,0), Skills!M7+1)</f>
        <v/>
      </c>
      <c r="F556">
        <f>IF(Skills!N7=TRUE,(Skills!L7/10)*(E556/1000),Skills!L7/10)+Skills!O7</f>
        <v/>
      </c>
      <c r="G556">
        <f>Skills!G7*IF(Skills!H7&gt;0,Skills!I7/Skills!H7,1)</f>
        <v/>
      </c>
      <c r="H556">
        <f>1-(1-Skills!J7/100)^Skills!K7</f>
        <v/>
      </c>
      <c r="I556" t="inlineStr">
        <is>
          <t>1</t>
        </is>
      </c>
      <c r="J556">
        <f>(Inputs!$B$5*(1+Inputs!$B$6/100))*(F556/100)</f>
        <v/>
      </c>
      <c r="K556">
        <f>J556*(1+((Inputs!$B$11*(1+Inputs!$B$12/100))*0.01+Inputs!$B$13*0.0025)/100)*(1+Inputs!$B$14/100)*(1+IF(Inputs!$B$4="pvp",0,(1-Summary!$B$55)*(Inputs!$B$19+0+Skills!P7)+Summary!$B$55*(Inputs!$B$20+Skills!Q7))/100)*(1+Inputs!$B$15/100)*(5000/(6000+Inputs!$B$7*(1-(Inputs!$B$18+0)/100)))*(1+(Inputs!$B$23+((C573=TRUE)*(F573-Calc!F24))+((C574=TRUE)*(F574-Calc!F25))+B587)/100)*(1+1.2*IF(C557=TRUE,F557,0)/100)*(1+(IF(Skills!A7="EMPOWERED_PIERCING_ARROW",Inputs!$B$16+((C571=TRUE)*(F571-Calc!F22)),Inputs!$B$17+((C576=TRUE)*(F576-Calc!F27))))/100)*((1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I556)</f>
        <v/>
      </c>
      <c r="L556">
        <f>K556*(MIN(Inputs!$B$21+((C572=TRUE)*(F572-Calc!F23)),Inputs!$B$22+((C577=TRUE)*(F577-Calc!F28)))/100+(Inputs!$B$22+((C577=TRUE)*(F577-Calc!F28)))/100)/2</f>
        <v/>
      </c>
      <c r="M556">
        <f>L556*(1+(Inputs!$B$9+0+B586)/100)</f>
        <v/>
      </c>
      <c r="N556">
        <f>L556*(1-MIN((Inputs!$B$8+((C568=TRUE)*(F568-Calc!F19))+B581),100)/100)+M556*(MIN((Inputs!$B$8+((C568=TRUE)*(F568-Calc!F19))+B581),100)/100)</f>
        <v/>
      </c>
      <c r="O556">
        <f>IF(C556,H556*N556*IF(AND(Inputs!$B$4&lt;&gt;"pvp",Inputs!$B$35&gt;0),((Skills!G7*((R556-1)*IF(Skills!H7&gt;0,Skills!I7/Skills!H7,1)+IF(Skills!H7&gt;0,MIN(Skills!I7,MAX(0,Inputs!$B$35-((R556-1)*IF(Inputs!$B$4="pvp",15,MAX(0.1,Skills!D7-IF(Skills!E7=TRUE,Inputs!$B$31,0))))))/Skills!H7,1)))/Inputs!$B$35),G556*Q556)*IF(Inputs!$B$4="pvp",1,(1-Summary!$B$55)*(1)+Summary!$B$55*(MIN(Skills!R7,Inputs!$B$37))),0)</f>
        <v/>
      </c>
      <c r="P556">
        <f>IF(B589=0,0,O556/B589)</f>
        <v/>
      </c>
      <c r="Q556">
        <f>IFERROR(1/IF(Inputs!$B$4="pvp",15,MAX(0.1,Skills!D7-IF(Skills!E7=TRUE,Inputs!$B$31,0))),0)</f>
        <v/>
      </c>
      <c r="R556">
        <f>IF(AND(Inputs!$B$4&lt;&gt;"pvp",Inputs!$B$35&gt;0),(INT(Inputs!$B$35/IF(Inputs!$B$4="pvp",15,MAX(0.1,Skills!D7-IF(Skills!E7=TRUE,Inputs!$B$31,0))))+1),0)</f>
        <v/>
      </c>
      <c r="S556">
        <f>IFERROR(O556/N556,0)</f>
        <v/>
      </c>
    </row>
    <row r="557">
      <c r="A557">
        <f>Skills!A8</f>
        <v/>
      </c>
      <c r="B557">
        <f>Skills!B8</f>
        <v/>
      </c>
      <c r="C557">
        <f>Inputs!$B$3&gt;=100</f>
        <v/>
      </c>
      <c r="D557">
        <f>IF(Skills!C8=1,60+Inputs!$B$24+Inputs!$B$28,IF(Skills!C8=2,90+Inputs!$B$25+Inputs!$B$28,IF(Skills!C8=3,120+Inputs!$B$26+Inputs!$B$28,MAX(0,(Inputs!$B$3-100)*3)+Inputs!$B$27+Inputs!$B$28)))</f>
        <v/>
      </c>
      <c r="E557">
        <f>INDEX(FactorTable!$B$2:$Y$301, MATCH(ROUND(MIN(300,MAX(1,D557)),0), FactorTable!$A$2:$A$301,0), Skills!M8+1)</f>
        <v/>
      </c>
      <c r="F557">
        <f>IF(Skills!N8=TRUE,(Skills!L8/10)*(E557/1000),Skills!L8/10)+Skills!O8</f>
        <v/>
      </c>
      <c r="G557" t="inlineStr"/>
      <c r="H557" t="inlineStr"/>
      <c r="I557" t="inlineStr">
        <is>
          <t>1</t>
        </is>
      </c>
      <c r="J557" t="inlineStr"/>
      <c r="K557" t="inlineStr"/>
      <c r="L557" t="inlineStr"/>
      <c r="M557" t="inlineStr"/>
      <c r="N557" t="inlineStr"/>
      <c r="O557" t="inlineStr"/>
      <c r="P557" t="inlineStr"/>
      <c r="Q557" t="inlineStr"/>
      <c r="R557" t="inlineStr"/>
      <c r="S557" t="inlineStr"/>
    </row>
    <row r="558">
      <c r="A558">
        <f>Skills!A9</f>
        <v/>
      </c>
      <c r="B558">
        <f>Skills!B9</f>
        <v/>
      </c>
      <c r="C558">
        <f>Inputs!$B$3&gt;=103</f>
        <v/>
      </c>
      <c r="D558">
        <f>IF(Skills!C9=1,60+Inputs!$B$24+Inputs!$B$28,IF(Skills!C9=2,90+Inputs!$B$25+Inputs!$B$28,IF(Skills!C9=3,120+Inputs!$B$26+Inputs!$B$28,MAX(0,(Inputs!$B$3-100)*3)+Inputs!$B$27+Inputs!$B$28)))</f>
        <v/>
      </c>
      <c r="E558">
        <f>INDEX(FactorTable!$B$2:$Y$301, MATCH(ROUND(MIN(300,MAX(1,D558)),0), FactorTable!$A$2:$A$301,0), Skills!M9+1)</f>
        <v/>
      </c>
      <c r="F558">
        <f>IF(Skills!N9=TRUE,(Skills!L9/10)*(E558/1000),Skills!L9/10)+Skills!O9</f>
        <v/>
      </c>
      <c r="G558">
        <f>Skills!G9*IF(Skills!H9&gt;0,Skills!I9/Skills!H9,1)</f>
        <v/>
      </c>
      <c r="H558">
        <f>1-(1-Skills!J9/100)^Skills!K9</f>
        <v/>
      </c>
      <c r="I558" t="inlineStr">
        <is>
          <t>1</t>
        </is>
      </c>
      <c r="J558">
        <f>(Inputs!$B$5*(1+Inputs!$B$6/100))*(F558/100)</f>
        <v/>
      </c>
      <c r="K558">
        <f>J558*(1+((Inputs!$B$11*(1+Inputs!$B$12/100))*0.01+Inputs!$B$13*0.0025)/100)*(1+Inputs!$B$14/100)*(1+IF(Inputs!$B$4="pvp",0,(1-Summary!$B$55)*(Inputs!$B$19+0+Skills!P9)+Summary!$B$55*(Inputs!$B$20+Skills!Q9))/100)*(1+Inputs!$B$15/100)*(5000/(6000+Inputs!$B$7*(1-(Inputs!$B$18+0)/100)))*(1+(Inputs!$B$23+((C573=TRUE)*(F573-Calc!F24))+((C574=TRUE)*(F574-Calc!F25))+B587)/100)*(1+(IF(Skills!A9="EMPOWERED_PIERCING_ARROW",Inputs!$B$16+((C571=TRUE)*(F571-Calc!F22)),Inputs!$B$17+((C576=TRUE)*(F576-Calc!F27))))/100)*((1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I558)</f>
        <v/>
      </c>
      <c r="L558">
        <f>K558*(MIN(Inputs!$B$21+((C572=TRUE)*(F572-Calc!F23)),Inputs!$B$22+((C577=TRUE)*(F577-Calc!F28)))/100+(Inputs!$B$22+((C577=TRUE)*(F577-Calc!F28)))/100)/2</f>
        <v/>
      </c>
      <c r="M558">
        <f>L558*(1+(Inputs!$B$9+0+B586)/100)</f>
        <v/>
      </c>
      <c r="N558">
        <f>L558*(1-MIN((Inputs!$B$8+((C568=TRUE)*(F568-Calc!F19))+B581),100)/100)+M558*(MIN((Inputs!$B$8+((C568=TRUE)*(F568-Calc!F19))+B581),100)/100)</f>
        <v/>
      </c>
      <c r="O558">
        <f>IF(C558,H558*N558*IF(AND(Inputs!$B$4&lt;&gt;"pvp",Inputs!$B$35&gt;0),((Skills!G9*((R558-1)*IF(Skills!H9&gt;0,Skills!I9/Skills!H9,1)+IF(Skills!H9&gt;0,MIN(Skills!I9,MAX(0,Inputs!$B$35-((R558-1)*IF(Inputs!$B$4="pvp",15,MAX(0.1,Skills!D9-IF(Skills!E9=TRUE,Inputs!$B$31,0))))))/Skills!H9,1)))/Inputs!$B$35),G558*Q558)*IF(Inputs!$B$4="pvp",1,(1-Summary!$B$55)*(1)+Summary!$B$55*(MIN(Skills!R9,Inputs!$B$37))),0)</f>
        <v/>
      </c>
      <c r="P558">
        <f>IF(B589=0,0,O558/B589)</f>
        <v/>
      </c>
      <c r="Q558">
        <f>IFERROR(1/IF(Inputs!$B$4="pvp",15,MAX(0.1,Skills!D9-IF(Skills!E9=TRUE,Inputs!$B$31,0))),0)</f>
        <v/>
      </c>
      <c r="R558">
        <f>IF(AND(Inputs!$B$4&lt;&gt;"pvp",Inputs!$B$35&gt;0),(INT(Inputs!$B$35/IF(Inputs!$B$4="pvp",15,MAX(0.1,Skills!D9-IF(Skills!E9=TRUE,Inputs!$B$31,0))))+1),0)</f>
        <v/>
      </c>
      <c r="S558">
        <f>IFERROR(O558/N558,0)</f>
        <v/>
      </c>
    </row>
    <row r="559">
      <c r="A559">
        <f>Skills!A10</f>
        <v/>
      </c>
      <c r="B559">
        <f>Skills!B10</f>
        <v/>
      </c>
      <c r="C559">
        <f>Inputs!$B$3&gt;=107</f>
        <v/>
      </c>
      <c r="D559">
        <f>IF(Skills!C10=1,60+Inputs!$B$24+Inputs!$B$28,IF(Skills!C10=2,90+Inputs!$B$25+Inputs!$B$28,IF(Skills!C10=3,120+Inputs!$B$26+Inputs!$B$28,MAX(0,(Inputs!$B$3-100)*3)+Inputs!$B$27+Inputs!$B$28)))</f>
        <v/>
      </c>
      <c r="E559">
        <f>INDEX(FactorTable!$B$2:$Y$301, MATCH(ROUND(MIN(300,MAX(1,D559)),0), FactorTable!$A$2:$A$301,0), Skills!M10+1)</f>
        <v/>
      </c>
      <c r="F559">
        <f>IF(Skills!N10=TRUE,(Skills!L10/10)*(E559/1000),Skills!L10/10)+Skills!O10</f>
        <v/>
      </c>
      <c r="G559">
        <f>Skills!G10*IF(Skills!H10&gt;0,Skills!I10/Skills!H10,1)</f>
        <v/>
      </c>
      <c r="H559">
        <f>1-(1-Skills!J10/100)^Skills!K10</f>
        <v/>
      </c>
      <c r="I559" t="inlineStr">
        <is>
          <t>1</t>
        </is>
      </c>
      <c r="J559">
        <f>(Inputs!$B$5*(1+Inputs!$B$6/100))*(F559/100)</f>
        <v/>
      </c>
      <c r="K559">
        <f>J559*(1+((Inputs!$B$11*(1+Inputs!$B$12/100))*0.01+Inputs!$B$13*0.0025)/100)*(1+Inputs!$B$14/100)*(1+IF(Inputs!$B$4="pvp",0,(1-Summary!$B$55)*(Inputs!$B$19+0+Skills!P10)+Summary!$B$55*(Inputs!$B$20+Skills!Q10))/100)*(1+Inputs!$B$15/100)*(5000/(6000+Inputs!$B$7*(1-(Inputs!$B$18+0)/100)))*(1+(Inputs!$B$23+((C573=TRUE)*(F573-Calc!F24))+((C574=TRUE)*(F574-Calc!F25))+B587)/100)*(1+(IF(Skills!A10="EMPOWERED_PIERCING_ARROW",Inputs!$B$16+((C571=TRUE)*(F571-Calc!F22)),Inputs!$B$17+((C576=TRUE)*(F576-Calc!F27))))/100)*((1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I559)</f>
        <v/>
      </c>
      <c r="L559">
        <f>K559*(MIN(Inputs!$B$21+((C572=TRUE)*(F572-Calc!F23)),Inputs!$B$22+((C577=TRUE)*(F577-Calc!F28)))/100+(Inputs!$B$22+((C577=TRUE)*(F577-Calc!F28)))/100)/2</f>
        <v/>
      </c>
      <c r="M559">
        <f>L559*(1+(Inputs!$B$9+0+B586)/100)</f>
        <v/>
      </c>
      <c r="N559">
        <f>L559*(1-MIN((Inputs!$B$8+((C568=TRUE)*(F568-Calc!F19))+B581),100)/100)+M559*(MIN((Inputs!$B$8+((C568=TRUE)*(F568-Calc!F19))+B581),100)/100)</f>
        <v/>
      </c>
      <c r="O559">
        <f>IF(C559,0.15*SUMPRODUCT((Skills!U2:U29=TRUE)*(C551:C578=TRUE)*S551:S578)*Skills!G10*N559*IF(Inputs!$B$4="pvp",1,(1-Summary!$B$55)*(1)+Summary!$B$55*(MIN(Skills!R10,Inputs!$B$37))),0)</f>
        <v/>
      </c>
      <c r="P559">
        <f>IF(B589=0,0,O559/B589)</f>
        <v/>
      </c>
      <c r="Q559" t="n">
        <v>0</v>
      </c>
      <c r="R559" t="n">
        <v>0</v>
      </c>
      <c r="S559" t="n">
        <v>0</v>
      </c>
    </row>
    <row r="560">
      <c r="A560">
        <f>Skills!A11</f>
        <v/>
      </c>
      <c r="B560">
        <f>Skills!B11</f>
        <v/>
      </c>
      <c r="C560">
        <f>Inputs!$B$3&gt;=110</f>
        <v/>
      </c>
      <c r="D560">
        <f>IF(Skills!C11=1,60+Inputs!$B$24+Inputs!$B$28,IF(Skills!C11=2,90+Inputs!$B$25+Inputs!$B$28,IF(Skills!C11=3,120+Inputs!$B$26+Inputs!$B$28,MAX(0,(Inputs!$B$3-100)*3)+Inputs!$B$27+Inputs!$B$28)))</f>
        <v/>
      </c>
      <c r="E560">
        <f>INDEX(FactorTable!$B$2:$Y$301, MATCH(ROUND(MIN(300,MAX(1,D560)),0), FactorTable!$A$2:$A$301,0), Skills!M11+1)</f>
        <v/>
      </c>
      <c r="F560">
        <f>IF(Skills!N11=TRUE,(Skills!L11/10)*(E560/1000),Skills!L11/10)+Skills!O11</f>
        <v/>
      </c>
      <c r="G560">
        <f>Skills!G11*IF(Skills!H11&gt;0,Skills!I11/Skills!H11,1)</f>
        <v/>
      </c>
      <c r="H560">
        <f>1-(1-Skills!J11/100)^Skills!K11</f>
        <v/>
      </c>
      <c r="I560" t="inlineStr">
        <is>
          <t>1</t>
        </is>
      </c>
      <c r="J560">
        <f>(Inputs!$B$5*(1+Inputs!$B$6/100))*(F560/100)</f>
        <v/>
      </c>
      <c r="K560">
        <f>J560*(1+((Inputs!$B$11*(1+Inputs!$B$12/100))*0.01+Inputs!$B$13*0.0025)/100)*(1+Inputs!$B$14/100)*(1+IF(Inputs!$B$4="pvp",0,(1-Summary!$B$55)*(Inputs!$B$19+0+Skills!P11)+Summary!$B$55*(Inputs!$B$20+Skills!Q11))/100)*(1+Inputs!$B$15/100)*(5000/(6000+Inputs!$B$7*(1-(Inputs!$B$18+0)/100)))*(1+(Inputs!$B$23+((C573=TRUE)*(F573-Calc!F24))+((C574=TRUE)*(F574-Calc!F25))+B587)/100)*(1+(IF(Skills!A11="EMPOWERED_PIERCING_ARROW",Inputs!$B$16+((C571=TRUE)*(F571-Calc!F22)),Inputs!$B$17+((C576=TRUE)*(F576-Calc!F27))))/100)*((1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I560)</f>
        <v/>
      </c>
      <c r="L560">
        <f>K560*(MIN(Inputs!$B$21+((C572=TRUE)*(F572-Calc!F23)),Inputs!$B$22+((C577=TRUE)*(F577-Calc!F28)))/100+(Inputs!$B$22+((C577=TRUE)*(F577-Calc!F28)))/100)/2</f>
        <v/>
      </c>
      <c r="M560">
        <f>L560*(1+(Inputs!$B$9+0+B586)/100)</f>
        <v/>
      </c>
      <c r="N560">
        <f>L560*(1-MIN((Inputs!$B$8+((C568=TRUE)*(F568-Calc!F19))+B581),100)/100)+M560*(MIN((Inputs!$B$8+((C568=TRUE)*(F568-Calc!F19))+B581),100)/100)</f>
        <v/>
      </c>
      <c r="O560">
        <f>IF(C560,H560*N560*IF(AND(Inputs!$B$4&lt;&gt;"pvp",Inputs!$B$35&gt;0),((Skills!G11*((R560-1)*IF(Skills!H11&gt;0,Skills!I11/Skills!H11,1)+IF(Skills!H11&gt;0,MIN(Skills!I11,MAX(0,Inputs!$B$35-((R560-1)*IF(Inputs!$B$4="pvp",15,MAX(0.1,Skills!D11-IF(Skills!E11=TRUE,Inputs!$B$31,0))))))/Skills!H11,1)))/Inputs!$B$35),G560*Q560)*IF(Inputs!$B$4="pvp",1,(1-Summary!$B$55)*(1)+Summary!$B$55*(MIN(Skills!R11,Inputs!$B$37))),0)</f>
        <v/>
      </c>
      <c r="P560">
        <f>IF(B589=0,0,O560/B589)</f>
        <v/>
      </c>
      <c r="Q560">
        <f>IFERROR(1/IF(Inputs!$B$4="pvp",15,MAX(0.1,Skills!D11-IF(Skills!E11=TRUE,Inputs!$B$31,0))),0)</f>
        <v/>
      </c>
      <c r="R560">
        <f>IF(AND(Inputs!$B$4&lt;&gt;"pvp",Inputs!$B$35&gt;0),(INT(Inputs!$B$35/IF(Inputs!$B$4="pvp",15,MAX(0.1,Skills!D11-IF(Skills!E11=TRUE,Inputs!$B$31,0))))+1),0)</f>
        <v/>
      </c>
      <c r="S560">
        <f>IFERROR(O560/N560,0)</f>
        <v/>
      </c>
    </row>
    <row r="561">
      <c r="A561">
        <f>Skills!A12</f>
        <v/>
      </c>
      <c r="B561">
        <f>Skills!B12</f>
        <v/>
      </c>
      <c r="C561">
        <f>Inputs!$B$3&gt;=60</f>
        <v/>
      </c>
      <c r="D561">
        <f>IF(Skills!C12=1,60+Inputs!$B$24+Inputs!$B$28,IF(Skills!C12=2,90+Inputs!$B$25+Inputs!$B$28,IF(Skills!C12=3,120+Inputs!$B$26+Inputs!$B$28,MAX(0,(Inputs!$B$3-100)*3)+Inputs!$B$27+Inputs!$B$28)))</f>
        <v/>
      </c>
      <c r="E561">
        <f>INDEX(FactorTable!$B$2:$Y$301, MATCH(ROUND(MIN(300,MAX(1,D561)),0), FactorTable!$A$2:$A$301,0), Skills!M12+1)</f>
        <v/>
      </c>
      <c r="F561">
        <f>IF(Skills!N12=TRUE,(Skills!L12/10)*(E561/1000),Skills!L12/10)+Skills!O12</f>
        <v/>
      </c>
      <c r="G561">
        <f>Skills!G12*IF(Skills!H12&gt;0,Skills!I12/Skills!H12,1)</f>
        <v/>
      </c>
      <c r="H561">
        <f>1-(1-Skills!J12/100)^Skills!K12</f>
        <v/>
      </c>
      <c r="I561" t="inlineStr">
        <is>
          <t>1</t>
        </is>
      </c>
      <c r="J561" t="inlineStr"/>
      <c r="K561" t="inlineStr"/>
      <c r="L561" t="inlineStr"/>
      <c r="M561" t="inlineStr"/>
      <c r="N561" t="inlineStr"/>
      <c r="O561" t="n">
        <v>0</v>
      </c>
      <c r="P561">
        <f>IF(B589=0,0,O561/B589)</f>
        <v/>
      </c>
      <c r="Q561" t="n">
        <v>0</v>
      </c>
      <c r="R561" t="n">
        <v>0</v>
      </c>
      <c r="S561">
        <f>IFERROR(O561/N561,0)</f>
        <v/>
      </c>
    </row>
    <row r="562">
      <c r="A562">
        <f>Skills!A13</f>
        <v/>
      </c>
      <c r="B562">
        <f>Skills!B13</f>
        <v/>
      </c>
      <c r="C562">
        <f>Inputs!$B$3&gt;=74</f>
        <v/>
      </c>
      <c r="D562">
        <f>IF(Skills!C13=1,60+Inputs!$B$24+Inputs!$B$28,IF(Skills!C13=2,90+Inputs!$B$25+Inputs!$B$28,IF(Skills!C13=3,120+Inputs!$B$26+Inputs!$B$28,MAX(0,(Inputs!$B$3-100)*3)+Inputs!$B$27+Inputs!$B$28)))</f>
        <v/>
      </c>
      <c r="E562">
        <f>INDEX(FactorTable!$B$2:$Y$301, MATCH(ROUND(MIN(300,MAX(1,D562)),0), FactorTable!$A$2:$A$301,0), Skills!M13+1)</f>
        <v/>
      </c>
      <c r="F562">
        <f>IF(Skills!N13=TRUE,(Skills!L13/10)*(E562/1000),Skills!L13/10)+Skills!O13</f>
        <v/>
      </c>
      <c r="G562">
        <f>Skills!G13*IF(Skills!H13&gt;0,Skills!I13/Skills!H13,1)</f>
        <v/>
      </c>
      <c r="H562">
        <f>1-(1-Skills!J13/100)^Skills!K13</f>
        <v/>
      </c>
      <c r="I562" t="inlineStr">
        <is>
          <t>1</t>
        </is>
      </c>
      <c r="J562" t="inlineStr"/>
      <c r="K562" t="inlineStr"/>
      <c r="L562" t="inlineStr"/>
      <c r="M562" t="inlineStr"/>
      <c r="N562" t="inlineStr"/>
      <c r="O562" t="n">
        <v>0</v>
      </c>
      <c r="P562">
        <f>IF(B589=0,0,O562/B589)</f>
        <v/>
      </c>
      <c r="Q562" t="n">
        <v>0</v>
      </c>
      <c r="R562" t="n">
        <v>0</v>
      </c>
      <c r="S562">
        <f>IFERROR(O562/N562,0)</f>
        <v/>
      </c>
    </row>
    <row r="563">
      <c r="A563">
        <f>Skills!A14</f>
        <v/>
      </c>
      <c r="B563">
        <f>Skills!B14</f>
        <v/>
      </c>
      <c r="C563">
        <f>Inputs!$B$3&gt;=74</f>
        <v/>
      </c>
      <c r="D563">
        <f>IF(Skills!C14=1,60+Inputs!$B$24+Inputs!$B$28,IF(Skills!C14=2,90+Inputs!$B$25+Inputs!$B$28,IF(Skills!C14=3,120+Inputs!$B$26+Inputs!$B$28,MAX(0,(Inputs!$B$3-100)*3)+Inputs!$B$27+Inputs!$B$28)))</f>
        <v/>
      </c>
      <c r="E563">
        <f>INDEX(FactorTable!$B$2:$Y$301, MATCH(ROUND(MIN(300,MAX(1,D563)),0), FactorTable!$A$2:$A$301,0), Skills!M14+1)</f>
        <v/>
      </c>
      <c r="F563">
        <f>IF(Skills!N14=TRUE,(Skills!L14/10)*(E563/1000),Skills!L14/10)+Skills!O14</f>
        <v/>
      </c>
      <c r="G563">
        <f>Skills!G14*IF(Skills!H14&gt;0,Skills!I14/Skills!H14,1)</f>
        <v/>
      </c>
      <c r="H563">
        <f>1-(1-Skills!J14/100)^Skills!K14</f>
        <v/>
      </c>
      <c r="I563" t="inlineStr">
        <is>
          <t>1</t>
        </is>
      </c>
      <c r="J563" t="inlineStr"/>
      <c r="K563" t="inlineStr"/>
      <c r="L563" t="inlineStr"/>
      <c r="M563" t="inlineStr"/>
      <c r="N563" t="inlineStr"/>
      <c r="O563" t="n">
        <v>0</v>
      </c>
      <c r="P563">
        <f>IF(B589=0,0,O563/B589)</f>
        <v/>
      </c>
      <c r="Q563" t="n">
        <v>0</v>
      </c>
      <c r="R563" t="n">
        <v>0</v>
      </c>
      <c r="S563">
        <f>IFERROR(O563/N563,0)</f>
        <v/>
      </c>
    </row>
    <row r="564">
      <c r="A564">
        <f>Skills!A15</f>
        <v/>
      </c>
      <c r="B564">
        <f>Skills!B15</f>
        <v/>
      </c>
      <c r="C564">
        <f>Inputs!$B$3&gt;=117</f>
        <v/>
      </c>
      <c r="D564">
        <f>IF(Skills!C15=1,60+Inputs!$B$24+Inputs!$B$28,IF(Skills!C15=2,90+Inputs!$B$25+Inputs!$B$28,IF(Skills!C15=3,120+Inputs!$B$26+Inputs!$B$28,MAX(0,(Inputs!$B$3-100)*3)+Inputs!$B$27+Inputs!$B$28)))</f>
        <v/>
      </c>
      <c r="E564">
        <f>INDEX(FactorTable!$B$2:$Y$301, MATCH(ROUND(MIN(300,MAX(1,D564)),0), FactorTable!$A$2:$A$301,0), Skills!M15+1)</f>
        <v/>
      </c>
      <c r="F564">
        <f>IF(Skills!N15=TRUE,(Skills!L15/10)*(E564/1000),Skills!L15/10)+Skills!O15</f>
        <v/>
      </c>
      <c r="G564">
        <f>Skills!G15*IF(Skills!H15&gt;0,Skills!I15/Skills!H15,1)</f>
        <v/>
      </c>
      <c r="H564">
        <f>1-(1-Skills!J15/100)^Skills!K15</f>
        <v/>
      </c>
      <c r="I564" t="inlineStr">
        <is>
          <t>1</t>
        </is>
      </c>
      <c r="J564" t="inlineStr"/>
      <c r="K564" t="inlineStr"/>
      <c r="L564" t="inlineStr"/>
      <c r="M564" t="inlineStr"/>
      <c r="N564" t="inlineStr"/>
      <c r="O564" t="n">
        <v>0</v>
      </c>
      <c r="P564">
        <f>IF(B589=0,0,O564/B589)</f>
        <v/>
      </c>
      <c r="Q564">
        <f>IFERROR(1/IF(Inputs!$B$4="pvp",15,MAX(0.1,Skills!D15-IF(Skills!E15=TRUE,Inputs!$B$31,0))),0)</f>
        <v/>
      </c>
      <c r="R564">
        <f>IF(AND(Inputs!$B$4&lt;&gt;"pvp",Inputs!$B$35&gt;0),(INT(Inputs!$B$35/IF(Inputs!$B$4="pvp",15,MAX(0.1,Skills!D15-IF(Skills!E15=TRUE,Inputs!$B$31,0))))+1),0)</f>
        <v/>
      </c>
      <c r="S564">
        <f>IFERROR(O564/N564,0)</f>
        <v/>
      </c>
    </row>
    <row r="565">
      <c r="A565">
        <f>Skills!A16</f>
        <v/>
      </c>
      <c r="B565">
        <f>Skills!B16</f>
        <v/>
      </c>
      <c r="C565">
        <f>Inputs!$B$3&gt;=115</f>
        <v/>
      </c>
      <c r="D565">
        <f>IF(Skills!C16=1,60+Inputs!$B$24+Inputs!$B$28,IF(Skills!C16=2,90+Inputs!$B$25+Inputs!$B$28,IF(Skills!C16=3,120+Inputs!$B$26+Inputs!$B$28,MAX(0,(Inputs!$B$3-100)*3)+Inputs!$B$27+Inputs!$B$28)))</f>
        <v/>
      </c>
      <c r="E565">
        <f>INDEX(FactorTable!$B$2:$Y$301, MATCH(ROUND(MIN(300,MAX(1,D565)),0), FactorTable!$A$2:$A$301,0), Skills!M16+1)</f>
        <v/>
      </c>
      <c r="F565">
        <f>IF(Skills!N16=TRUE,(Skills!L16/10)*(E565/1000),Skills!L16/10)+Skills!O16</f>
        <v/>
      </c>
      <c r="G565">
        <f>Skills!G16*IF(Skills!H16&gt;0,Skills!I16/Skills!H16,1)</f>
        <v/>
      </c>
      <c r="H565">
        <f>1-(1-Skills!J16/100)^Skills!K16</f>
        <v/>
      </c>
      <c r="I565" t="inlineStr">
        <is>
          <t>1</t>
        </is>
      </c>
      <c r="J565" t="inlineStr"/>
      <c r="K565" t="inlineStr"/>
      <c r="L565" t="inlineStr"/>
      <c r="M565" t="inlineStr"/>
      <c r="N565" t="inlineStr"/>
      <c r="O565" t="n">
        <v>0</v>
      </c>
      <c r="P565">
        <f>IF(B589=0,0,O565/B589)</f>
        <v/>
      </c>
      <c r="Q565">
        <f>IFERROR(1/IF(Inputs!$B$4="pvp",15,MAX(0.1,Skills!D16-IF(Skills!E16=TRUE,Inputs!$B$31,0))),0)</f>
        <v/>
      </c>
      <c r="R565">
        <f>IF(AND(Inputs!$B$4&lt;&gt;"pvp",Inputs!$B$35&gt;0),(INT(Inputs!$B$35/IF(Inputs!$B$4="pvp",15,MAX(0.1,Skills!D16-IF(Skills!E16=TRUE,Inputs!$B$31,0))))+1),0)</f>
        <v/>
      </c>
      <c r="S565">
        <f>IFERROR(O565/N565,0)</f>
        <v/>
      </c>
    </row>
    <row r="566">
      <c r="A566">
        <f>Skills!A17</f>
        <v/>
      </c>
      <c r="B566">
        <f>Skills!B17</f>
        <v/>
      </c>
      <c r="C566">
        <f>Inputs!$B$3&gt;=72</f>
        <v/>
      </c>
      <c r="D566">
        <f>IF(Skills!C17=1,60+Inputs!$B$24+Inputs!$B$28,IF(Skills!C17=2,90+Inputs!$B$25+Inputs!$B$28,IF(Skills!C17=3,120+Inputs!$B$26+Inputs!$B$28,MAX(0,(Inputs!$B$3-100)*3)+Inputs!$B$27+Inputs!$B$28)))</f>
        <v/>
      </c>
      <c r="E566">
        <f>INDEX(FactorTable!$B$2:$Y$301, MATCH(ROUND(MIN(300,MAX(1,D566)),0), FactorTable!$A$2:$A$301,0), Skills!M17+1)</f>
        <v/>
      </c>
      <c r="F566">
        <f>IF(Skills!N17=TRUE,(Skills!L17/10)*(E566/1000),Skills!L17/10)+Skills!O17</f>
        <v/>
      </c>
      <c r="G566">
        <f>Skills!G17*IF(Skills!H17&gt;0,Skills!I17/Skills!H17,1)</f>
        <v/>
      </c>
      <c r="H566">
        <f>1-(1-Skills!J17/100)^Skills!K17</f>
        <v/>
      </c>
      <c r="I566" t="inlineStr">
        <is>
          <t>1</t>
        </is>
      </c>
      <c r="J566" t="inlineStr"/>
      <c r="K566" t="inlineStr"/>
      <c r="L566" t="inlineStr"/>
      <c r="M566" t="inlineStr"/>
      <c r="N566" t="inlineStr"/>
      <c r="O566" t="n">
        <v>0</v>
      </c>
      <c r="P566">
        <f>IF(B589=0,0,O566/B589)</f>
        <v/>
      </c>
      <c r="Q566" t="n">
        <v>0</v>
      </c>
      <c r="R566" t="n">
        <v>0</v>
      </c>
      <c r="S566">
        <f>IFERROR(O566/N566,0)</f>
        <v/>
      </c>
    </row>
    <row r="567">
      <c r="A567">
        <f>Skills!A18</f>
        <v/>
      </c>
      <c r="B567">
        <f>Skills!B18</f>
        <v/>
      </c>
      <c r="C567">
        <f>TRUE</f>
        <v/>
      </c>
      <c r="D567">
        <f>IF(Skills!C18=1,60+Inputs!$B$24+Inputs!$B$28,IF(Skills!C18=2,90+Inputs!$B$25+Inputs!$B$28,IF(Skills!C18=3,120+Inputs!$B$26+Inputs!$B$28,MAX(0,(Inputs!$B$3-100)*3)+Inputs!$B$27+Inputs!$B$28)))</f>
        <v/>
      </c>
      <c r="E567">
        <f>INDEX(FactorTable!$B$2:$Y$301, MATCH(ROUND(MIN(300,MAX(1,D567)),0), FactorTable!$A$2:$A$301,0), Skills!M18+1)</f>
        <v/>
      </c>
      <c r="F567">
        <f>IF(Skills!N18=TRUE,(Skills!L18/10)*(E567/1000),Skills!L18/10)+Skills!O18</f>
        <v/>
      </c>
      <c r="G567">
        <f>Skills!G18*IF(Skills!H18&gt;0,Skills!I18/Skills!H18,1)</f>
        <v/>
      </c>
      <c r="H567">
        <f>1-(1-Skills!J18/100)^Skills!K18</f>
        <v/>
      </c>
      <c r="I567" t="inlineStr">
        <is>
          <t>1</t>
        </is>
      </c>
      <c r="J567" t="inlineStr"/>
      <c r="K567" t="inlineStr"/>
      <c r="L567" t="inlineStr"/>
      <c r="M567" t="inlineStr"/>
      <c r="N567" t="inlineStr"/>
      <c r="O567" t="n">
        <v>0</v>
      </c>
      <c r="P567">
        <f>IF(B589=0,0,O567/B589)</f>
        <v/>
      </c>
      <c r="Q567">
        <f>IFERROR(1/IF(Inputs!$B$4="pvp",15,MAX(0.1,Skills!D18-IF(Skills!E18=TRUE,Inputs!$B$31,0))),0)</f>
        <v/>
      </c>
      <c r="R567">
        <f>IF(AND(Inputs!$B$4&lt;&gt;"pvp",Inputs!$B$35&gt;0),(INT(Inputs!$B$35/IF(Inputs!$B$4="pvp",15,MAX(0.1,Skills!D18-IF(Skills!E18=TRUE,Inputs!$B$31,0))))+1),0)</f>
        <v/>
      </c>
      <c r="S567">
        <f>IFERROR(O567/N567,0)</f>
        <v/>
      </c>
    </row>
    <row r="568">
      <c r="A568">
        <f>Skills!A19</f>
        <v/>
      </c>
      <c r="B568">
        <f>Skills!B19</f>
        <v/>
      </c>
      <c r="C568">
        <f>Inputs!$B$3&gt;=15</f>
        <v/>
      </c>
      <c r="D568">
        <f>IF(Skills!C19=1,60+Inputs!$B$24+Inputs!$B$28,IF(Skills!C19=2,90+Inputs!$B$25+Inputs!$B$28,IF(Skills!C19=3,120+Inputs!$B$26+Inputs!$B$28,MAX(0,(Inputs!$B$3-100)*3)+Inputs!$B$27+Inputs!$B$28)))</f>
        <v/>
      </c>
      <c r="E568">
        <f>INDEX(FactorTable!$B$2:$Y$301, MATCH(ROUND(MIN(300,MAX(1,D568)),0), FactorTable!$A$2:$A$301,0), Skills!M19+1)</f>
        <v/>
      </c>
      <c r="F568">
        <f>IF(Skills!N19=TRUE,(Skills!L19/10)*(E568/1000),Skills!L19/10)+Skills!O19</f>
        <v/>
      </c>
      <c r="G568">
        <f>Skills!G19*IF(Skills!H19&gt;0,Skills!I19/Skills!H19,1)</f>
        <v/>
      </c>
      <c r="H568">
        <f>1-(1-Skills!J19/100)^Skills!K19</f>
        <v/>
      </c>
      <c r="I568" t="inlineStr">
        <is>
          <t>1</t>
        </is>
      </c>
      <c r="J568" t="inlineStr"/>
      <c r="K568" t="inlineStr"/>
      <c r="L568" t="inlineStr"/>
      <c r="M568" t="inlineStr"/>
      <c r="N568" t="inlineStr"/>
      <c r="O568" t="n">
        <v>0</v>
      </c>
      <c r="P568">
        <f>IF(B589=0,0,O568/B589)</f>
        <v/>
      </c>
      <c r="Q568" t="n">
        <v>0</v>
      </c>
      <c r="R568" t="n">
        <v>0</v>
      </c>
      <c r="S568">
        <f>IFERROR(O568/N568,0)</f>
        <v/>
      </c>
    </row>
    <row r="569">
      <c r="A569">
        <f>Skills!A20</f>
        <v/>
      </c>
      <c r="B569">
        <f>Skills!B20</f>
        <v/>
      </c>
      <c r="C569">
        <f>Inputs!$B$3&gt;=10</f>
        <v/>
      </c>
      <c r="D569">
        <f>IF(Skills!C20=1,60+Inputs!$B$24+Inputs!$B$28,IF(Skills!C20=2,90+Inputs!$B$25+Inputs!$B$28,IF(Skills!C20=3,120+Inputs!$B$26+Inputs!$B$28,MAX(0,(Inputs!$B$3-100)*3)+Inputs!$B$27+Inputs!$B$28)))</f>
        <v/>
      </c>
      <c r="E569">
        <f>INDEX(FactorTable!$B$2:$Y$301, MATCH(ROUND(MIN(300,MAX(1,D569)),0), FactorTable!$A$2:$A$301,0), Skills!M20+1)</f>
        <v/>
      </c>
      <c r="F569">
        <f>IF(Skills!N20=TRUE,(Skills!L20/10)*(E569/1000),Skills!L20/10)+Skills!O20</f>
        <v/>
      </c>
      <c r="G569">
        <f>Skills!G20*IF(Skills!H20&gt;0,Skills!I20/Skills!H20,1)</f>
        <v/>
      </c>
      <c r="H569">
        <f>1-(1-Skills!J20/100)^Skills!K20</f>
        <v/>
      </c>
      <c r="I569" t="inlineStr">
        <is>
          <t>1</t>
        </is>
      </c>
      <c r="J569" t="inlineStr"/>
      <c r="K569" t="inlineStr"/>
      <c r="L569" t="inlineStr"/>
      <c r="M569" t="inlineStr"/>
      <c r="N569" t="inlineStr"/>
      <c r="O569" t="n">
        <v>0</v>
      </c>
      <c r="P569">
        <f>IF(B589=0,0,O569/B589)</f>
        <v/>
      </c>
      <c r="Q569" t="n">
        <v>0</v>
      </c>
      <c r="R569" t="n">
        <v>0</v>
      </c>
      <c r="S569">
        <f>IFERROR(O569/N569,0)</f>
        <v/>
      </c>
    </row>
    <row r="570">
      <c r="A570">
        <f>Skills!A21</f>
        <v/>
      </c>
      <c r="B570">
        <f>Skills!B21</f>
        <v/>
      </c>
      <c r="C570">
        <f>Inputs!$B$3&gt;=33</f>
        <v/>
      </c>
      <c r="D570">
        <f>IF(Skills!C21=1,60+Inputs!$B$24+Inputs!$B$28,IF(Skills!C21=2,90+Inputs!$B$25+Inputs!$B$28,IF(Skills!C21=3,120+Inputs!$B$26+Inputs!$B$28,MAX(0,(Inputs!$B$3-100)*3)+Inputs!$B$27+Inputs!$B$28)))</f>
        <v/>
      </c>
      <c r="E570">
        <f>INDEX(FactorTable!$B$2:$Y$301, MATCH(ROUND(MIN(300,MAX(1,D570)),0), FactorTable!$A$2:$A$301,0), Skills!M21+1)</f>
        <v/>
      </c>
      <c r="F570">
        <f>IF(Skills!N21=TRUE,(Skills!L21/10)*(E570/1000),Skills!L21/10)+Skills!O21</f>
        <v/>
      </c>
      <c r="G570">
        <f>Skills!G21*IF(Skills!H21&gt;0,Skills!I21/Skills!H21,1)</f>
        <v/>
      </c>
      <c r="H570">
        <f>1-(1-Skills!J21/100)^Skills!K21</f>
        <v/>
      </c>
      <c r="I570" t="inlineStr">
        <is>
          <t>1</t>
        </is>
      </c>
      <c r="J570" t="inlineStr"/>
      <c r="K570" t="inlineStr"/>
      <c r="L570" t="inlineStr"/>
      <c r="M570" t="inlineStr"/>
      <c r="N570" t="inlineStr"/>
      <c r="O570" t="n">
        <v>0</v>
      </c>
      <c r="P570">
        <f>IF(B589=0,0,O570/B589)</f>
        <v/>
      </c>
      <c r="Q570" t="n">
        <v>0</v>
      </c>
      <c r="R570" t="n">
        <v>0</v>
      </c>
      <c r="S570">
        <f>IFERROR(O570/N570,0)</f>
        <v/>
      </c>
    </row>
    <row r="571">
      <c r="A571">
        <f>Skills!A22</f>
        <v/>
      </c>
      <c r="B571">
        <f>Skills!B22</f>
        <v/>
      </c>
      <c r="C571">
        <f>Inputs!$B$3&gt;=38</f>
        <v/>
      </c>
      <c r="D571">
        <f>IF(Skills!C22=1,60+Inputs!$B$24+Inputs!$B$28,IF(Skills!C22=2,90+Inputs!$B$25+Inputs!$B$28,IF(Skills!C22=3,120+Inputs!$B$26+Inputs!$B$28,MAX(0,(Inputs!$B$3-100)*3)+Inputs!$B$27+Inputs!$B$28)))</f>
        <v/>
      </c>
      <c r="E571">
        <f>INDEX(FactorTable!$B$2:$Y$301, MATCH(ROUND(MIN(300,MAX(1,D571)),0), FactorTable!$A$2:$A$301,0), Skills!M22+1)</f>
        <v/>
      </c>
      <c r="F571">
        <f>IF(Skills!N22=TRUE,(Skills!L22/10)*(E571/1000),Skills!L22/10)+Skills!O22</f>
        <v/>
      </c>
      <c r="G571">
        <f>Skills!G22*IF(Skills!H22&gt;0,Skills!I22/Skills!H22,1)</f>
        <v/>
      </c>
      <c r="H571">
        <f>1-(1-Skills!J22/100)^Skills!K22</f>
        <v/>
      </c>
      <c r="I571" t="inlineStr">
        <is>
          <t>1</t>
        </is>
      </c>
      <c r="J571" t="inlineStr"/>
      <c r="K571" t="inlineStr"/>
      <c r="L571" t="inlineStr"/>
      <c r="M571" t="inlineStr"/>
      <c r="N571" t="inlineStr"/>
      <c r="O571" t="n">
        <v>0</v>
      </c>
      <c r="P571">
        <f>IF(B589=0,0,O571/B589)</f>
        <v/>
      </c>
      <c r="Q571" t="n">
        <v>0</v>
      </c>
      <c r="R571" t="n">
        <v>0</v>
      </c>
      <c r="S571">
        <f>IFERROR(O571/N571,0)</f>
        <v/>
      </c>
    </row>
    <row r="572">
      <c r="A572">
        <f>Skills!A23</f>
        <v/>
      </c>
      <c r="B572">
        <f>Skills!B23</f>
        <v/>
      </c>
      <c r="C572">
        <f>Inputs!$B$3&gt;=43</f>
        <v/>
      </c>
      <c r="D572">
        <f>IF(Skills!C23=1,60+Inputs!$B$24+Inputs!$B$28,IF(Skills!C23=2,90+Inputs!$B$25+Inputs!$B$28,IF(Skills!C23=3,120+Inputs!$B$26+Inputs!$B$28,MAX(0,(Inputs!$B$3-100)*3)+Inputs!$B$27+Inputs!$B$28)))</f>
        <v/>
      </c>
      <c r="E572">
        <f>INDEX(FactorTable!$B$2:$Y$301, MATCH(ROUND(MIN(300,MAX(1,D572)),0), FactorTable!$A$2:$A$301,0), Skills!M23+1)</f>
        <v/>
      </c>
      <c r="F572">
        <f>IF(Skills!N23=TRUE,(Skills!L23/10)*(E572/1000),Skills!L23/10)+Skills!O23</f>
        <v/>
      </c>
      <c r="G572">
        <f>Skills!G23*IF(Skills!H23&gt;0,Skills!I23/Skills!H23,1)</f>
        <v/>
      </c>
      <c r="H572">
        <f>1-(1-Skills!J23/100)^Skills!K23</f>
        <v/>
      </c>
      <c r="I572" t="inlineStr">
        <is>
          <t>1</t>
        </is>
      </c>
      <c r="J572" t="inlineStr"/>
      <c r="K572" t="inlineStr"/>
      <c r="L572" t="inlineStr"/>
      <c r="M572" t="inlineStr"/>
      <c r="N572" t="inlineStr"/>
      <c r="O572" t="n">
        <v>0</v>
      </c>
      <c r="P572">
        <f>IF(B589=0,0,O572/B589)</f>
        <v/>
      </c>
      <c r="Q572" t="n">
        <v>0</v>
      </c>
      <c r="R572" t="n">
        <v>0</v>
      </c>
      <c r="S572">
        <f>IFERROR(O572/N572,0)</f>
        <v/>
      </c>
    </row>
    <row r="573">
      <c r="A573">
        <f>Skills!A24</f>
        <v/>
      </c>
      <c r="B573">
        <f>Skills!B24</f>
        <v/>
      </c>
      <c r="C573">
        <f>Inputs!$B$3&gt;=75</f>
        <v/>
      </c>
      <c r="D573">
        <f>IF(Skills!C24=1,60+Inputs!$B$24+Inputs!$B$28,IF(Skills!C24=2,90+Inputs!$B$25+Inputs!$B$28,IF(Skills!C24=3,120+Inputs!$B$26+Inputs!$B$28,MAX(0,(Inputs!$B$3-100)*3)+Inputs!$B$27+Inputs!$B$28)))</f>
        <v/>
      </c>
      <c r="E573">
        <f>INDEX(FactorTable!$B$2:$Y$301, MATCH(ROUND(MIN(300,MAX(1,D573)),0), FactorTable!$A$2:$A$301,0), Skills!M24+1)</f>
        <v/>
      </c>
      <c r="F573">
        <f>IF(Skills!N24=TRUE,(Skills!L24/10)*(E573/1000),Skills!L24/10)+Skills!O24</f>
        <v/>
      </c>
      <c r="G573">
        <f>Skills!G24*IF(Skills!H24&gt;0,Skills!I24/Skills!H24,1)</f>
        <v/>
      </c>
      <c r="H573">
        <f>1-(1-Skills!J24/100)^Skills!K24</f>
        <v/>
      </c>
      <c r="I573" t="inlineStr">
        <is>
          <t>1</t>
        </is>
      </c>
      <c r="J573" t="inlineStr"/>
      <c r="K573" t="inlineStr"/>
      <c r="L573" t="inlineStr"/>
      <c r="M573" t="inlineStr"/>
      <c r="N573" t="inlineStr"/>
      <c r="O573" t="n">
        <v>0</v>
      </c>
      <c r="P573">
        <f>IF(B589=0,0,O573/B589)</f>
        <v/>
      </c>
      <c r="Q573" t="n">
        <v>0</v>
      </c>
      <c r="R573" t="n">
        <v>0</v>
      </c>
      <c r="S573">
        <f>IFERROR(O573/N573,0)</f>
        <v/>
      </c>
    </row>
    <row r="574">
      <c r="A574">
        <f>Skills!A25</f>
        <v/>
      </c>
      <c r="B574">
        <f>Skills!B25</f>
        <v/>
      </c>
      <c r="C574">
        <f>Inputs!$B$3&gt;=125</f>
        <v/>
      </c>
      <c r="D574">
        <f>IF(Skills!C25=1,60+Inputs!$B$24+Inputs!$B$28,IF(Skills!C25=2,90+Inputs!$B$25+Inputs!$B$28,IF(Skills!C25=3,120+Inputs!$B$26+Inputs!$B$28,MAX(0,(Inputs!$B$3-100)*3)+Inputs!$B$27+Inputs!$B$28)))</f>
        <v/>
      </c>
      <c r="E574">
        <f>INDEX(FactorTable!$B$2:$Y$301, MATCH(ROUND(MIN(300,MAX(1,D574)),0), FactorTable!$A$2:$A$301,0), Skills!M25+1)</f>
        <v/>
      </c>
      <c r="F574">
        <f>IF(Skills!N25=TRUE,(Skills!L25/10)*(E574/1000),Skills!L25/10)+Skills!O25</f>
        <v/>
      </c>
      <c r="G574">
        <f>Skills!G25*IF(Skills!H25&gt;0,Skills!I25/Skills!H25,1)</f>
        <v/>
      </c>
      <c r="H574">
        <f>1-(1-Skills!J25/100)^Skills!K25</f>
        <v/>
      </c>
      <c r="I574" t="inlineStr">
        <is>
          <t>1</t>
        </is>
      </c>
      <c r="J574" t="inlineStr"/>
      <c r="K574" t="inlineStr"/>
      <c r="L574" t="inlineStr"/>
      <c r="M574" t="inlineStr"/>
      <c r="N574" t="inlineStr"/>
      <c r="O574" t="n">
        <v>0</v>
      </c>
      <c r="P574">
        <f>IF(B589=0,0,O574/B589)</f>
        <v/>
      </c>
      <c r="Q574" t="n">
        <v>0</v>
      </c>
      <c r="R574" t="n">
        <v>0</v>
      </c>
      <c r="S574">
        <f>IFERROR(O574/N574,0)</f>
        <v/>
      </c>
    </row>
    <row r="575">
      <c r="A575">
        <f>Skills!A26</f>
        <v/>
      </c>
      <c r="B575">
        <f>Skills!B26</f>
        <v/>
      </c>
      <c r="C575">
        <f>Inputs!$B$3&gt;=125</f>
        <v/>
      </c>
      <c r="D575">
        <f>IF(Skills!C26=1,60+Inputs!$B$24+Inputs!$B$28,IF(Skills!C26=2,90+Inputs!$B$25+Inputs!$B$28,IF(Skills!C26=3,120+Inputs!$B$26+Inputs!$B$28,MAX(0,(Inputs!$B$3-100)*3)+Inputs!$B$27+Inputs!$B$28)))</f>
        <v/>
      </c>
      <c r="E575">
        <f>INDEX(FactorTable!$B$2:$Y$301, MATCH(ROUND(MIN(300,MAX(1,D575)),0), FactorTable!$A$2:$A$301,0), Skills!M26+1)</f>
        <v/>
      </c>
      <c r="F575">
        <f>IF(Skills!N26=TRUE,(Skills!L26/10)*(E575/1000),Skills!L26/10)+Skills!O26</f>
        <v/>
      </c>
      <c r="G575">
        <f>Skills!G26*IF(Skills!H26&gt;0,Skills!I26/Skills!H26,1)</f>
        <v/>
      </c>
      <c r="H575">
        <f>1-(1-Skills!J26/100)^Skills!K26</f>
        <v/>
      </c>
      <c r="I575" t="inlineStr">
        <is>
          <t>1</t>
        </is>
      </c>
      <c r="J575" t="inlineStr"/>
      <c r="K575" t="inlineStr"/>
      <c r="L575" t="inlineStr"/>
      <c r="M575" t="inlineStr"/>
      <c r="N575" t="inlineStr"/>
      <c r="O575" t="n">
        <v>0</v>
      </c>
      <c r="P575">
        <f>IF(B589=0,0,O575/B589)</f>
        <v/>
      </c>
      <c r="Q575" t="n">
        <v>0</v>
      </c>
      <c r="R575" t="n">
        <v>0</v>
      </c>
      <c r="S575">
        <f>IFERROR(O575/N575,0)</f>
        <v/>
      </c>
    </row>
    <row r="576">
      <c r="A576">
        <f>Skills!A27</f>
        <v/>
      </c>
      <c r="B576">
        <f>Skills!B27</f>
        <v/>
      </c>
      <c r="C576">
        <f>Inputs!$B$3&gt;=120</f>
        <v/>
      </c>
      <c r="D576">
        <f>IF(Skills!C27=1,60+Inputs!$B$24+Inputs!$B$28,IF(Skills!C27=2,90+Inputs!$B$25+Inputs!$B$28,IF(Skills!C27=3,120+Inputs!$B$26+Inputs!$B$28,MAX(0,(Inputs!$B$3-100)*3)+Inputs!$B$27+Inputs!$B$28)))</f>
        <v/>
      </c>
      <c r="E576">
        <f>INDEX(FactorTable!$B$2:$Y$301, MATCH(ROUND(MIN(300,MAX(1,D576)),0), FactorTable!$A$2:$A$301,0), Skills!M27+1)</f>
        <v/>
      </c>
      <c r="F576">
        <f>IF(Skills!N27=TRUE,(Skills!L27/10)*(E576/1000),Skills!L27/10)+Skills!O27</f>
        <v/>
      </c>
      <c r="G576">
        <f>Skills!G27*IF(Skills!H27&gt;0,Skills!I27/Skills!H27,1)</f>
        <v/>
      </c>
      <c r="H576">
        <f>1-(1-Skills!J27/100)^Skills!K27</f>
        <v/>
      </c>
      <c r="I576" t="inlineStr">
        <is>
          <t>1</t>
        </is>
      </c>
      <c r="J576" t="inlineStr"/>
      <c r="K576" t="inlineStr"/>
      <c r="L576" t="inlineStr"/>
      <c r="M576" t="inlineStr"/>
      <c r="N576" t="inlineStr"/>
      <c r="O576" t="n">
        <v>0</v>
      </c>
      <c r="P576">
        <f>IF(B589=0,0,O576/B589)</f>
        <v/>
      </c>
      <c r="Q576" t="n">
        <v>0</v>
      </c>
      <c r="R576" t="n">
        <v>0</v>
      </c>
      <c r="S576">
        <f>IFERROR(O576/N576,0)</f>
        <v/>
      </c>
    </row>
    <row r="577">
      <c r="A577">
        <f>Skills!A28</f>
        <v/>
      </c>
      <c r="B577">
        <f>Skills!B28</f>
        <v/>
      </c>
      <c r="C577">
        <f>Inputs!$B$3&gt;=120</f>
        <v/>
      </c>
      <c r="D577">
        <f>IF(Skills!C28=1,60+Inputs!$B$24+Inputs!$B$28,IF(Skills!C28=2,90+Inputs!$B$25+Inputs!$B$28,IF(Skills!C28=3,120+Inputs!$B$26+Inputs!$B$28,MAX(0,(Inputs!$B$3-100)*3)+Inputs!$B$27+Inputs!$B$28)))</f>
        <v/>
      </c>
      <c r="E577">
        <f>INDEX(FactorTable!$B$2:$Y$301, MATCH(ROUND(MIN(300,MAX(1,D577)),0), FactorTable!$A$2:$A$301,0), Skills!M28+1)</f>
        <v/>
      </c>
      <c r="F577">
        <f>IF(Skills!N28=TRUE,(Skills!L28/10)*(E577/1000),Skills!L28/10)+Skills!O28</f>
        <v/>
      </c>
      <c r="G577">
        <f>Skills!G28*IF(Skills!H28&gt;0,Skills!I28/Skills!H28,1)</f>
        <v/>
      </c>
      <c r="H577">
        <f>1-(1-Skills!J28/100)^Skills!K28</f>
        <v/>
      </c>
      <c r="I577" t="inlineStr">
        <is>
          <t>1</t>
        </is>
      </c>
      <c r="J577" t="inlineStr"/>
      <c r="K577" t="inlineStr"/>
      <c r="L577" t="inlineStr"/>
      <c r="M577" t="inlineStr"/>
      <c r="N577" t="inlineStr"/>
      <c r="O577" t="n">
        <v>0</v>
      </c>
      <c r="P577">
        <f>IF(B589=0,0,O577/B589)</f>
        <v/>
      </c>
      <c r="Q577" t="n">
        <v>0</v>
      </c>
      <c r="R577" t="n">
        <v>0</v>
      </c>
      <c r="S577">
        <f>IFERROR(O577/N577,0)</f>
        <v/>
      </c>
    </row>
    <row r="578">
      <c r="A578">
        <f>Skills!A29</f>
        <v/>
      </c>
      <c r="B578">
        <f>Skills!B29</f>
        <v/>
      </c>
      <c r="C578">
        <f>Inputs!$B$3&gt;=45</f>
        <v/>
      </c>
      <c r="D578">
        <f>IF(Skills!C29=1,60+Inputs!$B$24+Inputs!$B$28,IF(Skills!C29=2,90+Inputs!$B$25+Inputs!$B$28,IF(Skills!C29=3,120+Inputs!$B$26+Inputs!$B$28,MAX(0,(Inputs!$B$3-100)*3)+Inputs!$B$27+Inputs!$B$28)))</f>
        <v/>
      </c>
      <c r="E578">
        <f>INDEX(FactorTable!$B$2:$Y$301, MATCH(ROUND(MIN(300,MAX(1,D578)),0), FactorTable!$A$2:$A$301,0), Skills!M29+1)</f>
        <v/>
      </c>
      <c r="F578">
        <f>IF(Skills!N29=TRUE,(Skills!L29/10)*(E578/1000),Skills!L29/10)+Skills!O29</f>
        <v/>
      </c>
      <c r="G578">
        <f>Skills!G29*IF(Skills!H29&gt;0,Skills!I29/Skills!H29,1)</f>
        <v/>
      </c>
      <c r="H578">
        <f>1-(1-Skills!J29/100)^Skills!K29</f>
        <v/>
      </c>
      <c r="I578" t="inlineStr">
        <is>
          <t>1</t>
        </is>
      </c>
      <c r="J578" t="inlineStr"/>
      <c r="K578" t="inlineStr"/>
      <c r="L578" t="inlineStr"/>
      <c r="M578" t="inlineStr"/>
      <c r="N578" t="inlineStr"/>
      <c r="O578" t="n">
        <v>0</v>
      </c>
      <c r="P578">
        <f>IF(B589=0,0,O578/B589)</f>
        <v/>
      </c>
      <c r="Q578" t="n">
        <v>0</v>
      </c>
      <c r="R578" t="n">
        <v>0</v>
      </c>
      <c r="S578">
        <f>IFERROR(O578/N578,0)</f>
        <v/>
      </c>
    </row>
    <row r="580">
      <c r="A580" t="inlineStr">
        <is>
          <t>Attack% Bucket Multiplier</t>
        </is>
      </c>
      <c r="B580">
        <f>(1+(((C562=TRUE)*F562)+((C563=TRUE)*IF(Inputs!$B$4="pvp",F563,(1-Summary!$B$55)*(F563)+Summary!$B$55*(0)))+((C564=TRUE)*F564*IF(AND(Inputs!$B$4&lt;&gt;"pvp",Inputs!$B$35&gt;0),(((S564-1)*(Skills!T15*(1+Inputs!$B$33/100))+MIN((Skills!T15*(1+Inputs!$B$33/100)),MAX(0,Inputs!$B$35-((S564-1)*Skills!D15))))/Inputs!$B$35),IF(Inputs!$B$4="pvp",MIN((Skills!T15*(1+Inputs!$B$33/100)),15)/15,(Skills!T15*(1+Inputs!$B$33/100))/Skills!D15)))+((C561=TRUE)*F561)+((C578=TRUE)*(F578-Calc!F29)))/100)</f>
        <v/>
      </c>
    </row>
    <row r="581">
      <c r="A581" t="inlineStr">
        <is>
          <t>Global Crit Rate Bonus %</t>
        </is>
      </c>
      <c r="B581">
        <f>(C565=TRUE)*20*IF(AND(Inputs!$B$4&lt;&gt;"pvp",Inputs!$B$35&gt;0),(((S565-1)*(Skills!T16*(1+Inputs!$B$33/100))+MIN((Skills!T16*(1+Inputs!$B$33/100)),MAX(0,Inputs!$B$35-((S565-1)*Skills!D16))))/Inputs!$B$35),IF(Inputs!$B$4="pvp",MIN((Skills!T16*(1+Inputs!$B$33/100)),15)/15,(Skills!T16*(1+Inputs!$B$33/100))/Skills!D16))</f>
        <v/>
      </c>
    </row>
    <row r="582">
      <c r="A582" t="inlineStr">
        <is>
          <t>Attack Speed Buff Bonus %</t>
        </is>
      </c>
      <c r="B582">
        <f>((C567=TRUE)*F567*IF(AND(Inputs!$B$4&lt;&gt;"pvp",Inputs!$B$35&gt;0),(((S567-1)*(Skills!T18*(1+Inputs!$B$33/100))+MIN((Skills!T18*(1+Inputs!$B$33/100)),MAX(0,Inputs!$B$35-((S567-1)*Skills!D18))))/Inputs!$B$35),IF(Inputs!$B$4="pvp",MIN((Skills!T18*(1+Inputs!$B$33/100)),15)/15,(Skills!T18*(1+Inputs!$B$33/100))/Skills!D18)))</f>
        <v/>
      </c>
    </row>
    <row r="583">
      <c r="A583" t="inlineStr">
        <is>
          <t>Actions Per Second</t>
        </is>
      </c>
      <c r="B583">
        <f>1+MIN(150,150*(1-(1-(((1-(1-Inputs!$B$10/150)*(1-1/150))*150)+((C569=TRUE)*(F569-Calc!F20))+((C570=TRUE)*(F570-Calc!F21)))/150)*(1-B582/150)))/100</f>
        <v/>
      </c>
    </row>
    <row r="584">
      <c r="A584" t="inlineStr">
        <is>
          <t>Skill + Buff Cast Rate</t>
        </is>
      </c>
      <c r="B584">
        <f>IF(AND(Inputs!$B$4&lt;&gt;"pvp",Inputs!$B$35&gt;0),SUMPRODUCT((Skills!E2:E29=TRUE)*(C551:C578=TRUE)*R551:R578*Skills!F2:F29)/Inputs!$B$35,SUMPRODUCT((Skills!E2:E29=TRUE)*(C551:C578=TRUE)*Q551:Q578*Skills!F2:F29))</f>
        <v/>
      </c>
    </row>
    <row r="585">
      <c r="A585" t="inlineStr">
        <is>
          <t>Empowered Piercing Arrow Casts Per Second</t>
        </is>
      </c>
      <c r="B585">
        <f>MAX(0,B583-B584)</f>
        <v/>
      </c>
    </row>
    <row r="586">
      <c r="A586" t="inlineStr">
        <is>
          <t>Global Critical Damage Bonus % (Sharp Eyes)</t>
        </is>
      </c>
      <c r="B586">
        <f>(C565=TRUE)*F565*IF(AND(Inputs!$B$4&lt;&gt;"pvp",Inputs!$B$35&gt;0),(((S565-1)*(Skills!T16*(1+Inputs!$B$33/100))+MIN((Skills!T16*(1+Inputs!$B$33/100)),MAX(0,Inputs!$B$35-((S565-1)*Skills!D16))))/Inputs!$B$35),IF(Inputs!$B$4="pvp",MIN((Skills!T16*(1+Inputs!$B$33/100)),15)/15,(Skills!T16*(1+Inputs!$B$33/100))/Skills!D16))</f>
        <v/>
      </c>
    </row>
    <row r="587">
      <c r="A587" t="inlineStr">
        <is>
          <t>Global Final Damage Bonus % (Mortal Blow + Last Man Standing conditional half)</t>
        </is>
      </c>
      <c r="B587">
        <f>(C566=TRUE)*F566+((C575=TRUE)*IF(Inputs!$B$4="pvp",F575,(1-Summary!$B$55)*(F575)+Summary!$B$55*(0)))</f>
        <v/>
      </c>
    </row>
    <row r="589">
      <c r="A589" s="5" t="inlineStr">
        <is>
          <t>TOTAL DPS</t>
        </is>
      </c>
      <c r="B589" s="5">
        <f>SUM(O551:O578)</f>
        <v/>
      </c>
    </row>
    <row r="592">
      <c r="A592" s="5" t="inlineStr">
        <is>
          <t>Stat: DEF_PEN % (diminishing returns, factor 100)</t>
        </is>
      </c>
    </row>
    <row r="593">
      <c r="A593" s="8" t="inlineStr">
        <is>
          <t>Key</t>
        </is>
      </c>
      <c r="B593" s="8" t="inlineStr">
        <is>
          <t>Name</t>
        </is>
      </c>
      <c r="C593" s="8" t="inlineStr">
        <is>
          <t>Unlocked</t>
        </is>
      </c>
      <c r="D593" s="8" t="inlineStr">
        <is>
          <t>InputLevel</t>
        </is>
      </c>
      <c r="E593" s="8" t="inlineStr">
        <is>
          <t>Factor</t>
        </is>
      </c>
      <c r="F593" s="8" t="inlineStr">
        <is>
          <t>CoefficientPercent</t>
        </is>
      </c>
      <c r="G593" s="8" t="inlineStr">
        <is>
          <t>EffectiveHits</t>
        </is>
      </c>
      <c r="H593" s="8" t="inlineStr">
        <is>
          <t>ProcProbability</t>
        </is>
      </c>
      <c r="I593" s="8" t="inlineStr">
        <is>
          <t>MapleHeroMultiplier</t>
        </is>
      </c>
      <c r="J593" s="8" t="inlineStr">
        <is>
          <t>BaseDamage</t>
        </is>
      </c>
      <c r="K593" s="8" t="inlineStr">
        <is>
          <t>BaseHitDamage</t>
        </is>
      </c>
      <c r="L593" s="8" t="inlineStr">
        <is>
          <t>NonCritAvg</t>
        </is>
      </c>
      <c r="M593" s="8" t="inlineStr">
        <is>
          <t>CritAvg</t>
        </is>
      </c>
      <c r="N593" s="8" t="inlineStr">
        <is>
          <t>ExpectedDamage(perHit)</t>
        </is>
      </c>
      <c r="O593" s="8" t="inlineStr">
        <is>
          <t>DPS</t>
        </is>
      </c>
      <c r="P593" s="8" t="inlineStr">
        <is>
          <t>% of Total</t>
        </is>
      </c>
      <c r="Q593" s="8" t="inlineStr">
        <is>
          <t>InvCooldown</t>
        </is>
      </c>
      <c r="R593" s="8" t="inlineStr">
        <is>
          <t>CastsInFight</t>
        </is>
      </c>
      <c r="S593" s="8" t="inlineStr">
        <is>
          <t>HitRate(perSec)</t>
        </is>
      </c>
      <c r="U593" t="inlineStr">
        <is>
          <t>helpers</t>
        </is>
      </c>
    </row>
    <row r="594">
      <c r="A594">
        <f>Skills!A2</f>
        <v/>
      </c>
      <c r="B594">
        <f>Skills!B2</f>
        <v/>
      </c>
      <c r="C594">
        <f>Inputs!$B$3&gt;=100</f>
        <v/>
      </c>
      <c r="D594" t="inlineStr"/>
      <c r="E594" t="inlineStr"/>
      <c r="F594">
        <f>U596+Skills!O2</f>
        <v/>
      </c>
      <c r="G594">
        <f>Skills!G2*IF(Skills!H2&gt;0,Skills!I2/Skills!H2,1)</f>
        <v/>
      </c>
      <c r="H594">
        <f>1-(1-Skills!J2/100)^Skills!K2</f>
        <v/>
      </c>
      <c r="I594" t="inlineStr">
        <is>
          <t>1</t>
        </is>
      </c>
      <c r="J594">
        <f>(Inputs!$B$5*(1+Inputs!$B$6/100))*(F594/100)</f>
        <v/>
      </c>
      <c r="K594">
        <f>J594*(1+((Inputs!$B$11*(1+Inputs!$B$12/100))*0.01+Inputs!$B$13*0.0025)/100)*(1+Inputs!$B$14/100)*(1+IF(Inputs!$B$4="pvp",0,(1-Summary!$B$55)*(Inputs!$B$19+0+Skills!P2)+Summary!$B$55*(Inputs!$B$20+Skills!Q2))/100)*(1+Inputs!$B$15/100)*(5000/(6000+Inputs!$B$7*(1-(((1-(1-Inputs!$B$18/100)*(1-1/100))*100)+0)/100)))*(1+(Inputs!$B$23+((C616=TRUE)*(F616-Calc!F24))+((C617=TRUE)*(F617-Calc!F25))+B630)/100)*(1+(IF(Skills!A2="EMPOWERED_PIERCING_ARROW",Inputs!$B$16+((C614=TRUE)*(F614-Calc!F22)),Inputs!$B$17+((C619=TRUE)*(F619-Calc!F27))))/100)*((1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I594)</f>
        <v/>
      </c>
      <c r="L594">
        <f>K594*(MIN(Inputs!$B$21+((C615=TRUE)*(F615-Calc!F23)),Inputs!$B$22+((C620=TRUE)*(F620-Calc!F28)))/100+(Inputs!$B$22+((C620=TRUE)*(F620-Calc!F28)))/100)/2</f>
        <v/>
      </c>
      <c r="M594">
        <f>L594*(1+(Inputs!$B$9+0+B629)/100)</f>
        <v/>
      </c>
      <c r="N594">
        <f>L594*(1-MIN((Inputs!$B$8+((C611=TRUE)*(F611-Calc!F19))+B624),100)/100)+M594*(MIN((Inputs!$B$8+((C611=TRUE)*(F611-Calc!F19))+B624),100)/100)</f>
        <v/>
      </c>
      <c r="O594">
        <f>IF(C594,Skills!G2*N594*B628*IF(Inputs!$B$4="pvp",1,(1-Summary!$B$55)*(1)+Summary!$B$55*(MIN((6+Inputs!$B$32),Inputs!$B$37))),0)</f>
        <v/>
      </c>
      <c r="P594">
        <f>IF(B632=0,0,O594/B632)</f>
        <v/>
      </c>
      <c r="Q594" t="n">
        <v>0</v>
      </c>
      <c r="R594" t="n">
        <v>0</v>
      </c>
      <c r="S594">
        <f>IFERROR(O594/N594,0)</f>
        <v/>
      </c>
      <c r="U594">
        <f>MAX(0,(Inputs!$B$3-100)*3)+Inputs!$B$27+Inputs!$B$28</f>
        <v/>
      </c>
    </row>
    <row r="595">
      <c r="A595">
        <f>Skills!A3</f>
        <v/>
      </c>
      <c r="B595">
        <f>Skills!B3</f>
        <v/>
      </c>
      <c r="C595">
        <f>Inputs!$B$3&gt;=50</f>
        <v/>
      </c>
      <c r="D595">
        <f>IF(Skills!C3=1,60+Inputs!$B$24+Inputs!$B$28,IF(Skills!C3=2,90+Inputs!$B$25+Inputs!$B$28,IF(Skills!C3=3,120+Inputs!$B$26+Inputs!$B$28,MAX(0,(Inputs!$B$3-100)*3)+Inputs!$B$27+Inputs!$B$28)))</f>
        <v/>
      </c>
      <c r="E595">
        <f>INDEX(FactorTable!$B$2:$Y$301, MATCH(ROUND(MIN(300,MAX(1,D595)),0), FactorTable!$A$2:$A$301,0), Skills!M3+1)</f>
        <v/>
      </c>
      <c r="F595">
        <f>IF(Skills!N3=TRUE,(Skills!L3/10)*(E595/1000),Skills!L3/10)+Skills!O3</f>
        <v/>
      </c>
      <c r="G595" t="inlineStr"/>
      <c r="H595" t="inlineStr"/>
      <c r="I595" t="inlineStr">
        <is>
          <t>1</t>
        </is>
      </c>
      <c r="J595" t="inlineStr"/>
      <c r="K595" t="inlineStr"/>
      <c r="L595" t="inlineStr"/>
      <c r="M595" t="inlineStr"/>
      <c r="N595" t="inlineStr"/>
      <c r="O595" t="inlineStr"/>
      <c r="P595" t="inlineStr"/>
      <c r="Q595" t="inlineStr"/>
      <c r="R595" t="inlineStr"/>
      <c r="S595" t="inlineStr"/>
      <c r="U595">
        <f>INDEX(FactorTable!$B$2:$Y$301, MATCH(ROUND(MIN(300,MAX(1,U594)),0), FactorTable!$A$2:$A$301,0), 22)</f>
        <v/>
      </c>
    </row>
    <row r="596">
      <c r="A596">
        <f>Skills!A4</f>
        <v/>
      </c>
      <c r="B596">
        <f>Skills!B4</f>
        <v/>
      </c>
      <c r="C596">
        <f>Inputs!$B$3&gt;=105</f>
        <v/>
      </c>
      <c r="D596">
        <f>IF(Skills!C4=1,60+Inputs!$B$24+Inputs!$B$28,IF(Skills!C4=2,90+Inputs!$B$25+Inputs!$B$28,IF(Skills!C4=3,120+Inputs!$B$26+Inputs!$B$28,MAX(0,(Inputs!$B$3-100)*3)+Inputs!$B$27+Inputs!$B$28)))</f>
        <v/>
      </c>
      <c r="E596">
        <f>INDEX(FactorTable!$B$2:$Y$301, MATCH(ROUND(MIN(300,MAX(1,D596)),0), FactorTable!$A$2:$A$301,0), Skills!M4+1)</f>
        <v/>
      </c>
      <c r="F596">
        <f>IF(Skills!N4=TRUE,(Skills!L4/10)*(E596/1000),Skills!L4/10)+Skills!O4</f>
        <v/>
      </c>
      <c r="G596" t="inlineStr"/>
      <c r="H596" t="inlineStr"/>
      <c r="I596" t="inlineStr">
        <is>
          <t>1</t>
        </is>
      </c>
      <c r="J596" t="inlineStr"/>
      <c r="K596" t="inlineStr"/>
      <c r="L596" t="inlineStr"/>
      <c r="M596" t="inlineStr"/>
      <c r="N596" t="inlineStr"/>
      <c r="O596" t="inlineStr"/>
      <c r="P596" t="inlineStr"/>
      <c r="Q596" t="inlineStr"/>
      <c r="R596" t="inlineStr"/>
      <c r="S596" t="inlineStr"/>
      <c r="U596">
        <f>290*U595/1000</f>
        <v/>
      </c>
    </row>
    <row r="597">
      <c r="A597">
        <f>Skills!A5</f>
        <v/>
      </c>
      <c r="B597">
        <f>Skills!B5</f>
        <v/>
      </c>
      <c r="C597">
        <f>Inputs!$B$3&gt;=35</f>
        <v/>
      </c>
      <c r="D597">
        <f>IF(Skills!C5=1,60+Inputs!$B$24+Inputs!$B$28,IF(Skills!C5=2,90+Inputs!$B$25+Inputs!$B$28,IF(Skills!C5=3,120+Inputs!$B$26+Inputs!$B$28,MAX(0,(Inputs!$B$3-100)*3)+Inputs!$B$27+Inputs!$B$28)))</f>
        <v/>
      </c>
      <c r="E597">
        <f>INDEX(FactorTable!$B$2:$Y$301, MATCH(ROUND(MIN(300,MAX(1,D597)),0), FactorTable!$A$2:$A$301,0), Skills!M5+1)</f>
        <v/>
      </c>
      <c r="F597">
        <f>IF(Skills!N5=TRUE,(Skills!L5/10)*(E597/1000),Skills!L5/10)+Skills!O5</f>
        <v/>
      </c>
      <c r="G597">
        <f>Skills!G5*IF(Skills!H5&gt;0,Skills!I5/Skills!H5,1)</f>
        <v/>
      </c>
      <c r="H597">
        <f>1-(1-Skills!J5/100)^Skills!K5</f>
        <v/>
      </c>
      <c r="I597" t="inlineStr">
        <is>
          <t>1</t>
        </is>
      </c>
      <c r="J597">
        <f>(Inputs!$B$5*(1+Inputs!$B$6/100))*(F597/100)</f>
        <v/>
      </c>
      <c r="K597">
        <f>J597*(1+((Inputs!$B$11*(1+Inputs!$B$12/100))*0.01+Inputs!$B$13*0.0025)/100)*(1+Inputs!$B$14/100)*(1+IF(Inputs!$B$4="pvp",0,(1-Summary!$B$55)*(Inputs!$B$19+0+Skills!P5)+Summary!$B$55*(Inputs!$B$20+Skills!Q5))/100)*(1+Inputs!$B$15/100)*(5000/(6000+Inputs!$B$7*(1-(((1-(1-Inputs!$B$18/100)*(1-1/100))*100)+0)/100)))*(1+(Inputs!$B$23+((C616=TRUE)*(F616-Calc!F24))+((C617=TRUE)*(F617-Calc!F25))+B630)/100)*(1+4.0*IF(C600=TRUE,F600,0)/100)*(1+(IF(Skills!A5="EMPOWERED_PIERCING_ARROW",Inputs!$B$16+((C614=TRUE)*(F614-Calc!F22)),Inputs!$B$17+((C619=TRUE)*(F619-Calc!F27))))/100)*((1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I597)</f>
        <v/>
      </c>
      <c r="L597">
        <f>K597*(MIN(Inputs!$B$21+((C615=TRUE)*(F615-Calc!F23)),Inputs!$B$22+((C620=TRUE)*(F620-Calc!F28)))/100+(Inputs!$B$22+((C620=TRUE)*(F620-Calc!F28)))/100)/2</f>
        <v/>
      </c>
      <c r="M597">
        <f>L597*(1+(Inputs!$B$9+0+B629)/100)</f>
        <v/>
      </c>
      <c r="N597">
        <f>L597*(1-MIN((Inputs!$B$8+((C611=TRUE)*(F611-Calc!F19))+B624),100)/100)+M597*(MIN((Inputs!$B$8+((C611=TRUE)*(F611-Calc!F19))+B624),100)/100)</f>
        <v/>
      </c>
      <c r="O597">
        <f>IF(C597,H597*N597*IF(AND(Inputs!$B$4&lt;&gt;"pvp",Inputs!$B$35&gt;0),((Skills!G5*((R597-1)*IF(Skills!H5&gt;0,Skills!I5/Skills!H5,1)+IF(Skills!H5&gt;0,MIN(Skills!I5,MAX(0,Inputs!$B$35-((R597-1)*IF(Inputs!$B$4="pvp",15,MAX(0.1,Skills!D5-IF(Skills!E5=TRUE,Inputs!$B$31,0))))))/Skills!H5,1)))/Inputs!$B$35),G597*Q597)*IF(Inputs!$B$4="pvp",1,(1-Summary!$B$55)*(1)+Summary!$B$55*(MIN(Skills!R5,Inputs!$B$37))),0)</f>
        <v/>
      </c>
      <c r="P597">
        <f>IF(B632=0,0,O597/B632)</f>
        <v/>
      </c>
      <c r="Q597">
        <f>IFERROR(1/IF(Inputs!$B$4="pvp",15,MAX(0.1,Skills!D5-IF(Skills!E5=TRUE,Inputs!$B$31,0))),0)</f>
        <v/>
      </c>
      <c r="R597">
        <f>IF(AND(Inputs!$B$4&lt;&gt;"pvp",Inputs!$B$35&gt;0),(INT(Inputs!$B$35/IF(Inputs!$B$4="pvp",15,MAX(0.1,Skills!D5-IF(Skills!E5=TRUE,Inputs!$B$31,0))))+1),0)</f>
        <v/>
      </c>
      <c r="S597">
        <f>IFERROR(O597/N597,0)</f>
        <v/>
      </c>
    </row>
    <row r="598">
      <c r="A598">
        <f>Skills!A6</f>
        <v/>
      </c>
      <c r="B598">
        <f>Skills!B6</f>
        <v/>
      </c>
      <c r="C598">
        <f>Inputs!$B$3&gt;=63</f>
        <v/>
      </c>
      <c r="D598">
        <f>IF(Skills!C6=1,60+Inputs!$B$24+Inputs!$B$28,IF(Skills!C6=2,90+Inputs!$B$25+Inputs!$B$28,IF(Skills!C6=3,120+Inputs!$B$26+Inputs!$B$28,MAX(0,(Inputs!$B$3-100)*3)+Inputs!$B$27+Inputs!$B$28)))</f>
        <v/>
      </c>
      <c r="E598">
        <f>INDEX(FactorTable!$B$2:$Y$301, MATCH(ROUND(MIN(300,MAX(1,D598)),0), FactorTable!$A$2:$A$301,0), Skills!M6+1)</f>
        <v/>
      </c>
      <c r="F598">
        <f>IF(Skills!N6=TRUE,(Skills!L6/10)*(E598/1000),Skills!L6/10)+Skills!O6</f>
        <v/>
      </c>
      <c r="G598">
        <f>Skills!G6*IF(Skills!H6&gt;0,Skills!I6/Skills!H6,1)</f>
        <v/>
      </c>
      <c r="H598">
        <f>1-(1-Skills!J6/100)^Skills!K6</f>
        <v/>
      </c>
      <c r="I598" t="inlineStr">
        <is>
          <t>1</t>
        </is>
      </c>
      <c r="J598">
        <f>(Inputs!$B$5*(1+Inputs!$B$6/100))*(F598/100)</f>
        <v/>
      </c>
      <c r="K598">
        <f>J598*(1+((Inputs!$B$11*(1+Inputs!$B$12/100))*0.01+Inputs!$B$13*0.0025)/100)*(1+Inputs!$B$14/100)*(1+IF(Inputs!$B$4="pvp",0,(1-Summary!$B$55)*(Inputs!$B$19+0+Skills!P6)+Summary!$B$55*(Inputs!$B$20+Skills!Q6))/100)*(1+Inputs!$B$15/100)*(5000/(6000+Inputs!$B$7*(1-(((1-(1-Inputs!$B$18/100)*(1-1/100))*100)+0)/100)))*(1+(Inputs!$B$23+((C616=TRUE)*(F616-Calc!F24))+((C617=TRUE)*(F617-Calc!F25))+B630)/100)*(1+1.0*IF(C600=TRUE,F600,0)/100)*(1+(IF(Skills!A6="EMPOWERED_PIERCING_ARROW",Inputs!$B$16+((C614=TRUE)*(F614-Calc!F22)),Inputs!$B$17+((C619=TRUE)*(F619-Calc!F27))))/100)*((1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I598)</f>
        <v/>
      </c>
      <c r="L598">
        <f>K598*(MIN(Inputs!$B$21+((C615=TRUE)*(F615-Calc!F23)),Inputs!$B$22+((C620=TRUE)*(F620-Calc!F28)))/100+(Inputs!$B$22+((C620=TRUE)*(F620-Calc!F28)))/100)/2</f>
        <v/>
      </c>
      <c r="M598">
        <f>L598*(1+(Inputs!$B$9+0+B629)/100)</f>
        <v/>
      </c>
      <c r="N598">
        <f>L598*(1-MIN((Inputs!$B$8+((C611=TRUE)*(F611-Calc!F19))+B624),100)/100)+M598*(MIN((Inputs!$B$8+((C611=TRUE)*(F611-Calc!F19))+B624),100)/100)</f>
        <v/>
      </c>
      <c r="O598">
        <f>IF(C598,H598*N598*IF(AND(Inputs!$B$4&lt;&gt;"pvp",Inputs!$B$35&gt;0),((Skills!G6*((R598-1)*IF(Skills!H6&gt;0,Skills!I6/Skills!H6,1)+IF(Skills!H6&gt;0,MIN(Skills!I6,MAX(0,Inputs!$B$35-((R598-1)*IF(Inputs!$B$4="pvp",15,MAX(0.1,Skills!D6-IF(Skills!E6=TRUE,Inputs!$B$31,0))))))/Skills!H6,1)))/Inputs!$B$35),G598*Q598)*IF(Inputs!$B$4="pvp",1,(1-Summary!$B$55)*(1)+Summary!$B$55*(MIN(Skills!R6,Inputs!$B$37))),0)</f>
        <v/>
      </c>
      <c r="P598">
        <f>IF(B632=0,0,O598/B632)</f>
        <v/>
      </c>
      <c r="Q598">
        <f>IFERROR(1/IF(Inputs!$B$4="pvp",15,MAX(0.1,Skills!D6-IF(Skills!E6=TRUE,Inputs!$B$31,0))),0)</f>
        <v/>
      </c>
      <c r="R598">
        <f>IF(AND(Inputs!$B$4&lt;&gt;"pvp",Inputs!$B$35&gt;0),(INT(Inputs!$B$35/IF(Inputs!$B$4="pvp",15,MAX(0.1,Skills!D6-IF(Skills!E6=TRUE,Inputs!$B$31,0))))+1),0)</f>
        <v/>
      </c>
      <c r="S598">
        <f>IFERROR(O598/N598,0)</f>
        <v/>
      </c>
    </row>
    <row r="599">
      <c r="A599">
        <f>Skills!A7</f>
        <v/>
      </c>
      <c r="B599">
        <f>Skills!B7</f>
        <v/>
      </c>
      <c r="C599">
        <f>Inputs!$B$3&gt;=69</f>
        <v/>
      </c>
      <c r="D599">
        <f>IF(Skills!C7=1,60+Inputs!$B$24+Inputs!$B$28,IF(Skills!C7=2,90+Inputs!$B$25+Inputs!$B$28,IF(Skills!C7=3,120+Inputs!$B$26+Inputs!$B$28,MAX(0,(Inputs!$B$3-100)*3)+Inputs!$B$27+Inputs!$B$28)))</f>
        <v/>
      </c>
      <c r="E599">
        <f>INDEX(FactorTable!$B$2:$Y$301, MATCH(ROUND(MIN(300,MAX(1,D599)),0), FactorTable!$A$2:$A$301,0), Skills!M7+1)</f>
        <v/>
      </c>
      <c r="F599">
        <f>IF(Skills!N7=TRUE,(Skills!L7/10)*(E599/1000),Skills!L7/10)+Skills!O7</f>
        <v/>
      </c>
      <c r="G599">
        <f>Skills!G7*IF(Skills!H7&gt;0,Skills!I7/Skills!H7,1)</f>
        <v/>
      </c>
      <c r="H599">
        <f>1-(1-Skills!J7/100)^Skills!K7</f>
        <v/>
      </c>
      <c r="I599" t="inlineStr">
        <is>
          <t>1</t>
        </is>
      </c>
      <c r="J599">
        <f>(Inputs!$B$5*(1+Inputs!$B$6/100))*(F599/100)</f>
        <v/>
      </c>
      <c r="K599">
        <f>J599*(1+((Inputs!$B$11*(1+Inputs!$B$12/100))*0.01+Inputs!$B$13*0.0025)/100)*(1+Inputs!$B$14/100)*(1+IF(Inputs!$B$4="pvp",0,(1-Summary!$B$55)*(Inputs!$B$19+0+Skills!P7)+Summary!$B$55*(Inputs!$B$20+Skills!Q7))/100)*(1+Inputs!$B$15/100)*(5000/(6000+Inputs!$B$7*(1-(((1-(1-Inputs!$B$18/100)*(1-1/100))*100)+0)/100)))*(1+(Inputs!$B$23+((C616=TRUE)*(F616-Calc!F24))+((C617=TRUE)*(F617-Calc!F25))+B630)/100)*(1+1.2*IF(C600=TRUE,F600,0)/100)*(1+(IF(Skills!A7="EMPOWERED_PIERCING_ARROW",Inputs!$B$16+((C614=TRUE)*(F614-Calc!F22)),Inputs!$B$17+((C619=TRUE)*(F619-Calc!F27))))/100)*((1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I599)</f>
        <v/>
      </c>
      <c r="L599">
        <f>K599*(MIN(Inputs!$B$21+((C615=TRUE)*(F615-Calc!F23)),Inputs!$B$22+((C620=TRUE)*(F620-Calc!F28)))/100+(Inputs!$B$22+((C620=TRUE)*(F620-Calc!F28)))/100)/2</f>
        <v/>
      </c>
      <c r="M599">
        <f>L599*(1+(Inputs!$B$9+0+B629)/100)</f>
        <v/>
      </c>
      <c r="N599">
        <f>L599*(1-MIN((Inputs!$B$8+((C611=TRUE)*(F611-Calc!F19))+B624),100)/100)+M599*(MIN((Inputs!$B$8+((C611=TRUE)*(F611-Calc!F19))+B624),100)/100)</f>
        <v/>
      </c>
      <c r="O599">
        <f>IF(C599,H599*N599*IF(AND(Inputs!$B$4&lt;&gt;"pvp",Inputs!$B$35&gt;0),((Skills!G7*((R599-1)*IF(Skills!H7&gt;0,Skills!I7/Skills!H7,1)+IF(Skills!H7&gt;0,MIN(Skills!I7,MAX(0,Inputs!$B$35-((R599-1)*IF(Inputs!$B$4="pvp",15,MAX(0.1,Skills!D7-IF(Skills!E7=TRUE,Inputs!$B$31,0))))))/Skills!H7,1)))/Inputs!$B$35),G599*Q599)*IF(Inputs!$B$4="pvp",1,(1-Summary!$B$55)*(1)+Summary!$B$55*(MIN(Skills!R7,Inputs!$B$37))),0)</f>
        <v/>
      </c>
      <c r="P599">
        <f>IF(B632=0,0,O599/B632)</f>
        <v/>
      </c>
      <c r="Q599">
        <f>IFERROR(1/IF(Inputs!$B$4="pvp",15,MAX(0.1,Skills!D7-IF(Skills!E7=TRUE,Inputs!$B$31,0))),0)</f>
        <v/>
      </c>
      <c r="R599">
        <f>IF(AND(Inputs!$B$4&lt;&gt;"pvp",Inputs!$B$35&gt;0),(INT(Inputs!$B$35/IF(Inputs!$B$4="pvp",15,MAX(0.1,Skills!D7-IF(Skills!E7=TRUE,Inputs!$B$31,0))))+1),0)</f>
        <v/>
      </c>
      <c r="S599">
        <f>IFERROR(O599/N599,0)</f>
        <v/>
      </c>
    </row>
    <row r="600">
      <c r="A600">
        <f>Skills!A8</f>
        <v/>
      </c>
      <c r="B600">
        <f>Skills!B8</f>
        <v/>
      </c>
      <c r="C600">
        <f>Inputs!$B$3&gt;=100</f>
        <v/>
      </c>
      <c r="D600">
        <f>IF(Skills!C8=1,60+Inputs!$B$24+Inputs!$B$28,IF(Skills!C8=2,90+Inputs!$B$25+Inputs!$B$28,IF(Skills!C8=3,120+Inputs!$B$26+Inputs!$B$28,MAX(0,(Inputs!$B$3-100)*3)+Inputs!$B$27+Inputs!$B$28)))</f>
        <v/>
      </c>
      <c r="E600">
        <f>INDEX(FactorTable!$B$2:$Y$301, MATCH(ROUND(MIN(300,MAX(1,D600)),0), FactorTable!$A$2:$A$301,0), Skills!M8+1)</f>
        <v/>
      </c>
      <c r="F600">
        <f>IF(Skills!N8=TRUE,(Skills!L8/10)*(E600/1000),Skills!L8/10)+Skills!O8</f>
        <v/>
      </c>
      <c r="G600" t="inlineStr"/>
      <c r="H600" t="inlineStr"/>
      <c r="I600" t="inlineStr">
        <is>
          <t>1</t>
        </is>
      </c>
      <c r="J600" t="inlineStr"/>
      <c r="K600" t="inlineStr"/>
      <c r="L600" t="inlineStr"/>
      <c r="M600" t="inlineStr"/>
      <c r="N600" t="inlineStr"/>
      <c r="O600" t="inlineStr"/>
      <c r="P600" t="inlineStr"/>
      <c r="Q600" t="inlineStr"/>
      <c r="R600" t="inlineStr"/>
      <c r="S600" t="inlineStr"/>
    </row>
    <row r="601">
      <c r="A601">
        <f>Skills!A9</f>
        <v/>
      </c>
      <c r="B601">
        <f>Skills!B9</f>
        <v/>
      </c>
      <c r="C601">
        <f>Inputs!$B$3&gt;=103</f>
        <v/>
      </c>
      <c r="D601">
        <f>IF(Skills!C9=1,60+Inputs!$B$24+Inputs!$B$28,IF(Skills!C9=2,90+Inputs!$B$25+Inputs!$B$28,IF(Skills!C9=3,120+Inputs!$B$26+Inputs!$B$28,MAX(0,(Inputs!$B$3-100)*3)+Inputs!$B$27+Inputs!$B$28)))</f>
        <v/>
      </c>
      <c r="E601">
        <f>INDEX(FactorTable!$B$2:$Y$301, MATCH(ROUND(MIN(300,MAX(1,D601)),0), FactorTable!$A$2:$A$301,0), Skills!M9+1)</f>
        <v/>
      </c>
      <c r="F601">
        <f>IF(Skills!N9=TRUE,(Skills!L9/10)*(E601/1000),Skills!L9/10)+Skills!O9</f>
        <v/>
      </c>
      <c r="G601">
        <f>Skills!G9*IF(Skills!H9&gt;0,Skills!I9/Skills!H9,1)</f>
        <v/>
      </c>
      <c r="H601">
        <f>1-(1-Skills!J9/100)^Skills!K9</f>
        <v/>
      </c>
      <c r="I601" t="inlineStr">
        <is>
          <t>1</t>
        </is>
      </c>
      <c r="J601">
        <f>(Inputs!$B$5*(1+Inputs!$B$6/100))*(F601/100)</f>
        <v/>
      </c>
      <c r="K601">
        <f>J601*(1+((Inputs!$B$11*(1+Inputs!$B$12/100))*0.01+Inputs!$B$13*0.0025)/100)*(1+Inputs!$B$14/100)*(1+IF(Inputs!$B$4="pvp",0,(1-Summary!$B$55)*(Inputs!$B$19+0+Skills!P9)+Summary!$B$55*(Inputs!$B$20+Skills!Q9))/100)*(1+Inputs!$B$15/100)*(5000/(6000+Inputs!$B$7*(1-(((1-(1-Inputs!$B$18/100)*(1-1/100))*100)+0)/100)))*(1+(Inputs!$B$23+((C616=TRUE)*(F616-Calc!F24))+((C617=TRUE)*(F617-Calc!F25))+B630)/100)*(1+(IF(Skills!A9="EMPOWERED_PIERCING_ARROW",Inputs!$B$16+((C614=TRUE)*(F614-Calc!F22)),Inputs!$B$17+((C619=TRUE)*(F619-Calc!F27))))/100)*((1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I601)</f>
        <v/>
      </c>
      <c r="L601">
        <f>K601*(MIN(Inputs!$B$21+((C615=TRUE)*(F615-Calc!F23)),Inputs!$B$22+((C620=TRUE)*(F620-Calc!F28)))/100+(Inputs!$B$22+((C620=TRUE)*(F620-Calc!F28)))/100)/2</f>
        <v/>
      </c>
      <c r="M601">
        <f>L601*(1+(Inputs!$B$9+0+B629)/100)</f>
        <v/>
      </c>
      <c r="N601">
        <f>L601*(1-MIN((Inputs!$B$8+((C611=TRUE)*(F611-Calc!F19))+B624),100)/100)+M601*(MIN((Inputs!$B$8+((C611=TRUE)*(F611-Calc!F19))+B624),100)/100)</f>
        <v/>
      </c>
      <c r="O601">
        <f>IF(C601,H601*N601*IF(AND(Inputs!$B$4&lt;&gt;"pvp",Inputs!$B$35&gt;0),((Skills!G9*((R601-1)*IF(Skills!H9&gt;0,Skills!I9/Skills!H9,1)+IF(Skills!H9&gt;0,MIN(Skills!I9,MAX(0,Inputs!$B$35-((R601-1)*IF(Inputs!$B$4="pvp",15,MAX(0.1,Skills!D9-IF(Skills!E9=TRUE,Inputs!$B$31,0))))))/Skills!H9,1)))/Inputs!$B$35),G601*Q601)*IF(Inputs!$B$4="pvp",1,(1-Summary!$B$55)*(1)+Summary!$B$55*(MIN(Skills!R9,Inputs!$B$37))),0)</f>
        <v/>
      </c>
      <c r="P601">
        <f>IF(B632=0,0,O601/B632)</f>
        <v/>
      </c>
      <c r="Q601">
        <f>IFERROR(1/IF(Inputs!$B$4="pvp",15,MAX(0.1,Skills!D9-IF(Skills!E9=TRUE,Inputs!$B$31,0))),0)</f>
        <v/>
      </c>
      <c r="R601">
        <f>IF(AND(Inputs!$B$4&lt;&gt;"pvp",Inputs!$B$35&gt;0),(INT(Inputs!$B$35/IF(Inputs!$B$4="pvp",15,MAX(0.1,Skills!D9-IF(Skills!E9=TRUE,Inputs!$B$31,0))))+1),0)</f>
        <v/>
      </c>
      <c r="S601">
        <f>IFERROR(O601/N601,0)</f>
        <v/>
      </c>
    </row>
    <row r="602">
      <c r="A602">
        <f>Skills!A10</f>
        <v/>
      </c>
      <c r="B602">
        <f>Skills!B10</f>
        <v/>
      </c>
      <c r="C602">
        <f>Inputs!$B$3&gt;=107</f>
        <v/>
      </c>
      <c r="D602">
        <f>IF(Skills!C10=1,60+Inputs!$B$24+Inputs!$B$28,IF(Skills!C10=2,90+Inputs!$B$25+Inputs!$B$28,IF(Skills!C10=3,120+Inputs!$B$26+Inputs!$B$28,MAX(0,(Inputs!$B$3-100)*3)+Inputs!$B$27+Inputs!$B$28)))</f>
        <v/>
      </c>
      <c r="E602">
        <f>INDEX(FactorTable!$B$2:$Y$301, MATCH(ROUND(MIN(300,MAX(1,D602)),0), FactorTable!$A$2:$A$301,0), Skills!M10+1)</f>
        <v/>
      </c>
      <c r="F602">
        <f>IF(Skills!N10=TRUE,(Skills!L10/10)*(E602/1000),Skills!L10/10)+Skills!O10</f>
        <v/>
      </c>
      <c r="G602">
        <f>Skills!G10*IF(Skills!H10&gt;0,Skills!I10/Skills!H10,1)</f>
        <v/>
      </c>
      <c r="H602">
        <f>1-(1-Skills!J10/100)^Skills!K10</f>
        <v/>
      </c>
      <c r="I602" t="inlineStr">
        <is>
          <t>1</t>
        </is>
      </c>
      <c r="J602">
        <f>(Inputs!$B$5*(1+Inputs!$B$6/100))*(F602/100)</f>
        <v/>
      </c>
      <c r="K602">
        <f>J602*(1+((Inputs!$B$11*(1+Inputs!$B$12/100))*0.01+Inputs!$B$13*0.0025)/100)*(1+Inputs!$B$14/100)*(1+IF(Inputs!$B$4="pvp",0,(1-Summary!$B$55)*(Inputs!$B$19+0+Skills!P10)+Summary!$B$55*(Inputs!$B$20+Skills!Q10))/100)*(1+Inputs!$B$15/100)*(5000/(6000+Inputs!$B$7*(1-(((1-(1-Inputs!$B$18/100)*(1-1/100))*100)+0)/100)))*(1+(Inputs!$B$23+((C616=TRUE)*(F616-Calc!F24))+((C617=TRUE)*(F617-Calc!F25))+B630)/100)*(1+(IF(Skills!A10="EMPOWERED_PIERCING_ARROW",Inputs!$B$16+((C614=TRUE)*(F614-Calc!F22)),Inputs!$B$17+((C619=TRUE)*(F619-Calc!F27))))/100)*((1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I602)</f>
        <v/>
      </c>
      <c r="L602">
        <f>K602*(MIN(Inputs!$B$21+((C615=TRUE)*(F615-Calc!F23)),Inputs!$B$22+((C620=TRUE)*(F620-Calc!F28)))/100+(Inputs!$B$22+((C620=TRUE)*(F620-Calc!F28)))/100)/2</f>
        <v/>
      </c>
      <c r="M602">
        <f>L602*(1+(Inputs!$B$9+0+B629)/100)</f>
        <v/>
      </c>
      <c r="N602">
        <f>L602*(1-MIN((Inputs!$B$8+((C611=TRUE)*(F611-Calc!F19))+B624),100)/100)+M602*(MIN((Inputs!$B$8+((C611=TRUE)*(F611-Calc!F19))+B624),100)/100)</f>
        <v/>
      </c>
      <c r="O602">
        <f>IF(C602,0.15*SUMPRODUCT((Skills!U2:U29=TRUE)*(C594:C621=TRUE)*S594:S621)*Skills!G10*N602*IF(Inputs!$B$4="pvp",1,(1-Summary!$B$55)*(1)+Summary!$B$55*(MIN(Skills!R10,Inputs!$B$37))),0)</f>
        <v/>
      </c>
      <c r="P602">
        <f>IF(B632=0,0,O602/B632)</f>
        <v/>
      </c>
      <c r="Q602" t="n">
        <v>0</v>
      </c>
      <c r="R602" t="n">
        <v>0</v>
      </c>
      <c r="S602" t="n">
        <v>0</v>
      </c>
    </row>
    <row r="603">
      <c r="A603">
        <f>Skills!A11</f>
        <v/>
      </c>
      <c r="B603">
        <f>Skills!B11</f>
        <v/>
      </c>
      <c r="C603">
        <f>Inputs!$B$3&gt;=110</f>
        <v/>
      </c>
      <c r="D603">
        <f>IF(Skills!C11=1,60+Inputs!$B$24+Inputs!$B$28,IF(Skills!C11=2,90+Inputs!$B$25+Inputs!$B$28,IF(Skills!C11=3,120+Inputs!$B$26+Inputs!$B$28,MAX(0,(Inputs!$B$3-100)*3)+Inputs!$B$27+Inputs!$B$28)))</f>
        <v/>
      </c>
      <c r="E603">
        <f>INDEX(FactorTable!$B$2:$Y$301, MATCH(ROUND(MIN(300,MAX(1,D603)),0), FactorTable!$A$2:$A$301,0), Skills!M11+1)</f>
        <v/>
      </c>
      <c r="F603">
        <f>IF(Skills!N11=TRUE,(Skills!L11/10)*(E603/1000),Skills!L11/10)+Skills!O11</f>
        <v/>
      </c>
      <c r="G603">
        <f>Skills!G11*IF(Skills!H11&gt;0,Skills!I11/Skills!H11,1)</f>
        <v/>
      </c>
      <c r="H603">
        <f>1-(1-Skills!J11/100)^Skills!K11</f>
        <v/>
      </c>
      <c r="I603" t="inlineStr">
        <is>
          <t>1</t>
        </is>
      </c>
      <c r="J603">
        <f>(Inputs!$B$5*(1+Inputs!$B$6/100))*(F603/100)</f>
        <v/>
      </c>
      <c r="K603">
        <f>J603*(1+((Inputs!$B$11*(1+Inputs!$B$12/100))*0.01+Inputs!$B$13*0.0025)/100)*(1+Inputs!$B$14/100)*(1+IF(Inputs!$B$4="pvp",0,(1-Summary!$B$55)*(Inputs!$B$19+0+Skills!P11)+Summary!$B$55*(Inputs!$B$20+Skills!Q11))/100)*(1+Inputs!$B$15/100)*(5000/(6000+Inputs!$B$7*(1-(((1-(1-Inputs!$B$18/100)*(1-1/100))*100)+0)/100)))*(1+(Inputs!$B$23+((C616=TRUE)*(F616-Calc!F24))+((C617=TRUE)*(F617-Calc!F25))+B630)/100)*(1+(IF(Skills!A11="EMPOWERED_PIERCING_ARROW",Inputs!$B$16+((C614=TRUE)*(F614-Calc!F22)),Inputs!$B$17+((C619=TRUE)*(F619-Calc!F27))))/100)*((1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I603)</f>
        <v/>
      </c>
      <c r="L603">
        <f>K603*(MIN(Inputs!$B$21+((C615=TRUE)*(F615-Calc!F23)),Inputs!$B$22+((C620=TRUE)*(F620-Calc!F28)))/100+(Inputs!$B$22+((C620=TRUE)*(F620-Calc!F28)))/100)/2</f>
        <v/>
      </c>
      <c r="M603">
        <f>L603*(1+(Inputs!$B$9+0+B629)/100)</f>
        <v/>
      </c>
      <c r="N603">
        <f>L603*(1-MIN((Inputs!$B$8+((C611=TRUE)*(F611-Calc!F19))+B624),100)/100)+M603*(MIN((Inputs!$B$8+((C611=TRUE)*(F611-Calc!F19))+B624),100)/100)</f>
        <v/>
      </c>
      <c r="O603">
        <f>IF(C603,H603*N603*IF(AND(Inputs!$B$4&lt;&gt;"pvp",Inputs!$B$35&gt;0),((Skills!G11*((R603-1)*IF(Skills!H11&gt;0,Skills!I11/Skills!H11,1)+IF(Skills!H11&gt;0,MIN(Skills!I11,MAX(0,Inputs!$B$35-((R603-1)*IF(Inputs!$B$4="pvp",15,MAX(0.1,Skills!D11-IF(Skills!E11=TRUE,Inputs!$B$31,0))))))/Skills!H11,1)))/Inputs!$B$35),G603*Q603)*IF(Inputs!$B$4="pvp",1,(1-Summary!$B$55)*(1)+Summary!$B$55*(MIN(Skills!R11,Inputs!$B$37))),0)</f>
        <v/>
      </c>
      <c r="P603">
        <f>IF(B632=0,0,O603/B632)</f>
        <v/>
      </c>
      <c r="Q603">
        <f>IFERROR(1/IF(Inputs!$B$4="pvp",15,MAX(0.1,Skills!D11-IF(Skills!E11=TRUE,Inputs!$B$31,0))),0)</f>
        <v/>
      </c>
      <c r="R603">
        <f>IF(AND(Inputs!$B$4&lt;&gt;"pvp",Inputs!$B$35&gt;0),(INT(Inputs!$B$35/IF(Inputs!$B$4="pvp",15,MAX(0.1,Skills!D11-IF(Skills!E11=TRUE,Inputs!$B$31,0))))+1),0)</f>
        <v/>
      </c>
      <c r="S603">
        <f>IFERROR(O603/N603,0)</f>
        <v/>
      </c>
    </row>
    <row r="604">
      <c r="A604">
        <f>Skills!A12</f>
        <v/>
      </c>
      <c r="B604">
        <f>Skills!B12</f>
        <v/>
      </c>
      <c r="C604">
        <f>Inputs!$B$3&gt;=60</f>
        <v/>
      </c>
      <c r="D604">
        <f>IF(Skills!C12=1,60+Inputs!$B$24+Inputs!$B$28,IF(Skills!C12=2,90+Inputs!$B$25+Inputs!$B$28,IF(Skills!C12=3,120+Inputs!$B$26+Inputs!$B$28,MAX(0,(Inputs!$B$3-100)*3)+Inputs!$B$27+Inputs!$B$28)))</f>
        <v/>
      </c>
      <c r="E604">
        <f>INDEX(FactorTable!$B$2:$Y$301, MATCH(ROUND(MIN(300,MAX(1,D604)),0), FactorTable!$A$2:$A$301,0), Skills!M12+1)</f>
        <v/>
      </c>
      <c r="F604">
        <f>IF(Skills!N12=TRUE,(Skills!L12/10)*(E604/1000),Skills!L12/10)+Skills!O12</f>
        <v/>
      </c>
      <c r="G604">
        <f>Skills!G12*IF(Skills!H12&gt;0,Skills!I12/Skills!H12,1)</f>
        <v/>
      </c>
      <c r="H604">
        <f>1-(1-Skills!J12/100)^Skills!K12</f>
        <v/>
      </c>
      <c r="I604" t="inlineStr">
        <is>
          <t>1</t>
        </is>
      </c>
      <c r="J604" t="inlineStr"/>
      <c r="K604" t="inlineStr"/>
      <c r="L604" t="inlineStr"/>
      <c r="M604" t="inlineStr"/>
      <c r="N604" t="inlineStr"/>
      <c r="O604" t="n">
        <v>0</v>
      </c>
      <c r="P604">
        <f>IF(B632=0,0,O604/B632)</f>
        <v/>
      </c>
      <c r="Q604" t="n">
        <v>0</v>
      </c>
      <c r="R604" t="n">
        <v>0</v>
      </c>
      <c r="S604">
        <f>IFERROR(O604/N604,0)</f>
        <v/>
      </c>
    </row>
    <row r="605">
      <c r="A605">
        <f>Skills!A13</f>
        <v/>
      </c>
      <c r="B605">
        <f>Skills!B13</f>
        <v/>
      </c>
      <c r="C605">
        <f>Inputs!$B$3&gt;=74</f>
        <v/>
      </c>
      <c r="D605">
        <f>IF(Skills!C13=1,60+Inputs!$B$24+Inputs!$B$28,IF(Skills!C13=2,90+Inputs!$B$25+Inputs!$B$28,IF(Skills!C13=3,120+Inputs!$B$26+Inputs!$B$28,MAX(0,(Inputs!$B$3-100)*3)+Inputs!$B$27+Inputs!$B$28)))</f>
        <v/>
      </c>
      <c r="E605">
        <f>INDEX(FactorTable!$B$2:$Y$301, MATCH(ROUND(MIN(300,MAX(1,D605)),0), FactorTable!$A$2:$A$301,0), Skills!M13+1)</f>
        <v/>
      </c>
      <c r="F605">
        <f>IF(Skills!N13=TRUE,(Skills!L13/10)*(E605/1000),Skills!L13/10)+Skills!O13</f>
        <v/>
      </c>
      <c r="G605">
        <f>Skills!G13*IF(Skills!H13&gt;0,Skills!I13/Skills!H13,1)</f>
        <v/>
      </c>
      <c r="H605">
        <f>1-(1-Skills!J13/100)^Skills!K13</f>
        <v/>
      </c>
      <c r="I605" t="inlineStr">
        <is>
          <t>1</t>
        </is>
      </c>
      <c r="J605" t="inlineStr"/>
      <c r="K605" t="inlineStr"/>
      <c r="L605" t="inlineStr"/>
      <c r="M605" t="inlineStr"/>
      <c r="N605" t="inlineStr"/>
      <c r="O605" t="n">
        <v>0</v>
      </c>
      <c r="P605">
        <f>IF(B632=0,0,O605/B632)</f>
        <v/>
      </c>
      <c r="Q605" t="n">
        <v>0</v>
      </c>
      <c r="R605" t="n">
        <v>0</v>
      </c>
      <c r="S605">
        <f>IFERROR(O605/N605,0)</f>
        <v/>
      </c>
    </row>
    <row r="606">
      <c r="A606">
        <f>Skills!A14</f>
        <v/>
      </c>
      <c r="B606">
        <f>Skills!B14</f>
        <v/>
      </c>
      <c r="C606">
        <f>Inputs!$B$3&gt;=74</f>
        <v/>
      </c>
      <c r="D606">
        <f>IF(Skills!C14=1,60+Inputs!$B$24+Inputs!$B$28,IF(Skills!C14=2,90+Inputs!$B$25+Inputs!$B$28,IF(Skills!C14=3,120+Inputs!$B$26+Inputs!$B$28,MAX(0,(Inputs!$B$3-100)*3)+Inputs!$B$27+Inputs!$B$28)))</f>
        <v/>
      </c>
      <c r="E606">
        <f>INDEX(FactorTable!$B$2:$Y$301, MATCH(ROUND(MIN(300,MAX(1,D606)),0), FactorTable!$A$2:$A$301,0), Skills!M14+1)</f>
        <v/>
      </c>
      <c r="F606">
        <f>IF(Skills!N14=TRUE,(Skills!L14/10)*(E606/1000),Skills!L14/10)+Skills!O14</f>
        <v/>
      </c>
      <c r="G606">
        <f>Skills!G14*IF(Skills!H14&gt;0,Skills!I14/Skills!H14,1)</f>
        <v/>
      </c>
      <c r="H606">
        <f>1-(1-Skills!J14/100)^Skills!K14</f>
        <v/>
      </c>
      <c r="I606" t="inlineStr">
        <is>
          <t>1</t>
        </is>
      </c>
      <c r="J606" t="inlineStr"/>
      <c r="K606" t="inlineStr"/>
      <c r="L606" t="inlineStr"/>
      <c r="M606" t="inlineStr"/>
      <c r="N606" t="inlineStr"/>
      <c r="O606" t="n">
        <v>0</v>
      </c>
      <c r="P606">
        <f>IF(B632=0,0,O606/B632)</f>
        <v/>
      </c>
      <c r="Q606" t="n">
        <v>0</v>
      </c>
      <c r="R606" t="n">
        <v>0</v>
      </c>
      <c r="S606">
        <f>IFERROR(O606/N606,0)</f>
        <v/>
      </c>
    </row>
    <row r="607">
      <c r="A607">
        <f>Skills!A15</f>
        <v/>
      </c>
      <c r="B607">
        <f>Skills!B15</f>
        <v/>
      </c>
      <c r="C607">
        <f>Inputs!$B$3&gt;=117</f>
        <v/>
      </c>
      <c r="D607">
        <f>IF(Skills!C15=1,60+Inputs!$B$24+Inputs!$B$28,IF(Skills!C15=2,90+Inputs!$B$25+Inputs!$B$28,IF(Skills!C15=3,120+Inputs!$B$26+Inputs!$B$28,MAX(0,(Inputs!$B$3-100)*3)+Inputs!$B$27+Inputs!$B$28)))</f>
        <v/>
      </c>
      <c r="E607">
        <f>INDEX(FactorTable!$B$2:$Y$301, MATCH(ROUND(MIN(300,MAX(1,D607)),0), FactorTable!$A$2:$A$301,0), Skills!M15+1)</f>
        <v/>
      </c>
      <c r="F607">
        <f>IF(Skills!N15=TRUE,(Skills!L15/10)*(E607/1000),Skills!L15/10)+Skills!O15</f>
        <v/>
      </c>
      <c r="G607">
        <f>Skills!G15*IF(Skills!H15&gt;0,Skills!I15/Skills!H15,1)</f>
        <v/>
      </c>
      <c r="H607">
        <f>1-(1-Skills!J15/100)^Skills!K15</f>
        <v/>
      </c>
      <c r="I607" t="inlineStr">
        <is>
          <t>1</t>
        </is>
      </c>
      <c r="J607" t="inlineStr"/>
      <c r="K607" t="inlineStr"/>
      <c r="L607" t="inlineStr"/>
      <c r="M607" t="inlineStr"/>
      <c r="N607" t="inlineStr"/>
      <c r="O607" t="n">
        <v>0</v>
      </c>
      <c r="P607">
        <f>IF(B632=0,0,O607/B632)</f>
        <v/>
      </c>
      <c r="Q607">
        <f>IFERROR(1/IF(Inputs!$B$4="pvp",15,MAX(0.1,Skills!D15-IF(Skills!E15=TRUE,Inputs!$B$31,0))),0)</f>
        <v/>
      </c>
      <c r="R607">
        <f>IF(AND(Inputs!$B$4&lt;&gt;"pvp",Inputs!$B$35&gt;0),(INT(Inputs!$B$35/IF(Inputs!$B$4="pvp",15,MAX(0.1,Skills!D15-IF(Skills!E15=TRUE,Inputs!$B$31,0))))+1),0)</f>
        <v/>
      </c>
      <c r="S607">
        <f>IFERROR(O607/N607,0)</f>
        <v/>
      </c>
    </row>
    <row r="608">
      <c r="A608">
        <f>Skills!A16</f>
        <v/>
      </c>
      <c r="B608">
        <f>Skills!B16</f>
        <v/>
      </c>
      <c r="C608">
        <f>Inputs!$B$3&gt;=115</f>
        <v/>
      </c>
      <c r="D608">
        <f>IF(Skills!C16=1,60+Inputs!$B$24+Inputs!$B$28,IF(Skills!C16=2,90+Inputs!$B$25+Inputs!$B$28,IF(Skills!C16=3,120+Inputs!$B$26+Inputs!$B$28,MAX(0,(Inputs!$B$3-100)*3)+Inputs!$B$27+Inputs!$B$28)))</f>
        <v/>
      </c>
      <c r="E608">
        <f>INDEX(FactorTable!$B$2:$Y$301, MATCH(ROUND(MIN(300,MAX(1,D608)),0), FactorTable!$A$2:$A$301,0), Skills!M16+1)</f>
        <v/>
      </c>
      <c r="F608">
        <f>IF(Skills!N16=TRUE,(Skills!L16/10)*(E608/1000),Skills!L16/10)+Skills!O16</f>
        <v/>
      </c>
      <c r="G608">
        <f>Skills!G16*IF(Skills!H16&gt;0,Skills!I16/Skills!H16,1)</f>
        <v/>
      </c>
      <c r="H608">
        <f>1-(1-Skills!J16/100)^Skills!K16</f>
        <v/>
      </c>
      <c r="I608" t="inlineStr">
        <is>
          <t>1</t>
        </is>
      </c>
      <c r="J608" t="inlineStr"/>
      <c r="K608" t="inlineStr"/>
      <c r="L608" t="inlineStr"/>
      <c r="M608" t="inlineStr"/>
      <c r="N608" t="inlineStr"/>
      <c r="O608" t="n">
        <v>0</v>
      </c>
      <c r="P608">
        <f>IF(B632=0,0,O608/B632)</f>
        <v/>
      </c>
      <c r="Q608">
        <f>IFERROR(1/IF(Inputs!$B$4="pvp",15,MAX(0.1,Skills!D16-IF(Skills!E16=TRUE,Inputs!$B$31,0))),0)</f>
        <v/>
      </c>
      <c r="R608">
        <f>IF(AND(Inputs!$B$4&lt;&gt;"pvp",Inputs!$B$35&gt;0),(INT(Inputs!$B$35/IF(Inputs!$B$4="pvp",15,MAX(0.1,Skills!D16-IF(Skills!E16=TRUE,Inputs!$B$31,0))))+1),0)</f>
        <v/>
      </c>
      <c r="S608">
        <f>IFERROR(O608/N608,0)</f>
        <v/>
      </c>
    </row>
    <row r="609">
      <c r="A609">
        <f>Skills!A17</f>
        <v/>
      </c>
      <c r="B609">
        <f>Skills!B17</f>
        <v/>
      </c>
      <c r="C609">
        <f>Inputs!$B$3&gt;=72</f>
        <v/>
      </c>
      <c r="D609">
        <f>IF(Skills!C17=1,60+Inputs!$B$24+Inputs!$B$28,IF(Skills!C17=2,90+Inputs!$B$25+Inputs!$B$28,IF(Skills!C17=3,120+Inputs!$B$26+Inputs!$B$28,MAX(0,(Inputs!$B$3-100)*3)+Inputs!$B$27+Inputs!$B$28)))</f>
        <v/>
      </c>
      <c r="E609">
        <f>INDEX(FactorTable!$B$2:$Y$301, MATCH(ROUND(MIN(300,MAX(1,D609)),0), FactorTable!$A$2:$A$301,0), Skills!M17+1)</f>
        <v/>
      </c>
      <c r="F609">
        <f>IF(Skills!N17=TRUE,(Skills!L17/10)*(E609/1000),Skills!L17/10)+Skills!O17</f>
        <v/>
      </c>
      <c r="G609">
        <f>Skills!G17*IF(Skills!H17&gt;0,Skills!I17/Skills!H17,1)</f>
        <v/>
      </c>
      <c r="H609">
        <f>1-(1-Skills!J17/100)^Skills!K17</f>
        <v/>
      </c>
      <c r="I609" t="inlineStr">
        <is>
          <t>1</t>
        </is>
      </c>
      <c r="J609" t="inlineStr"/>
      <c r="K609" t="inlineStr"/>
      <c r="L609" t="inlineStr"/>
      <c r="M609" t="inlineStr"/>
      <c r="N609" t="inlineStr"/>
      <c r="O609" t="n">
        <v>0</v>
      </c>
      <c r="P609">
        <f>IF(B632=0,0,O609/B632)</f>
        <v/>
      </c>
      <c r="Q609" t="n">
        <v>0</v>
      </c>
      <c r="R609" t="n">
        <v>0</v>
      </c>
      <c r="S609">
        <f>IFERROR(O609/N609,0)</f>
        <v/>
      </c>
    </row>
    <row r="610">
      <c r="A610">
        <f>Skills!A18</f>
        <v/>
      </c>
      <c r="B610">
        <f>Skills!B18</f>
        <v/>
      </c>
      <c r="C610">
        <f>TRUE</f>
        <v/>
      </c>
      <c r="D610">
        <f>IF(Skills!C18=1,60+Inputs!$B$24+Inputs!$B$28,IF(Skills!C18=2,90+Inputs!$B$25+Inputs!$B$28,IF(Skills!C18=3,120+Inputs!$B$26+Inputs!$B$28,MAX(0,(Inputs!$B$3-100)*3)+Inputs!$B$27+Inputs!$B$28)))</f>
        <v/>
      </c>
      <c r="E610">
        <f>INDEX(FactorTable!$B$2:$Y$301, MATCH(ROUND(MIN(300,MAX(1,D610)),0), FactorTable!$A$2:$A$301,0), Skills!M18+1)</f>
        <v/>
      </c>
      <c r="F610">
        <f>IF(Skills!N18=TRUE,(Skills!L18/10)*(E610/1000),Skills!L18/10)+Skills!O18</f>
        <v/>
      </c>
      <c r="G610">
        <f>Skills!G18*IF(Skills!H18&gt;0,Skills!I18/Skills!H18,1)</f>
        <v/>
      </c>
      <c r="H610">
        <f>1-(1-Skills!J18/100)^Skills!K18</f>
        <v/>
      </c>
      <c r="I610" t="inlineStr">
        <is>
          <t>1</t>
        </is>
      </c>
      <c r="J610" t="inlineStr"/>
      <c r="K610" t="inlineStr"/>
      <c r="L610" t="inlineStr"/>
      <c r="M610" t="inlineStr"/>
      <c r="N610" t="inlineStr"/>
      <c r="O610" t="n">
        <v>0</v>
      </c>
      <c r="P610">
        <f>IF(B632=0,0,O610/B632)</f>
        <v/>
      </c>
      <c r="Q610">
        <f>IFERROR(1/IF(Inputs!$B$4="pvp",15,MAX(0.1,Skills!D18-IF(Skills!E18=TRUE,Inputs!$B$31,0))),0)</f>
        <v/>
      </c>
      <c r="R610">
        <f>IF(AND(Inputs!$B$4&lt;&gt;"pvp",Inputs!$B$35&gt;0),(INT(Inputs!$B$35/IF(Inputs!$B$4="pvp",15,MAX(0.1,Skills!D18-IF(Skills!E18=TRUE,Inputs!$B$31,0))))+1),0)</f>
        <v/>
      </c>
      <c r="S610">
        <f>IFERROR(O610/N610,0)</f>
        <v/>
      </c>
    </row>
    <row r="611">
      <c r="A611">
        <f>Skills!A19</f>
        <v/>
      </c>
      <c r="B611">
        <f>Skills!B19</f>
        <v/>
      </c>
      <c r="C611">
        <f>Inputs!$B$3&gt;=15</f>
        <v/>
      </c>
      <c r="D611">
        <f>IF(Skills!C19=1,60+Inputs!$B$24+Inputs!$B$28,IF(Skills!C19=2,90+Inputs!$B$25+Inputs!$B$28,IF(Skills!C19=3,120+Inputs!$B$26+Inputs!$B$28,MAX(0,(Inputs!$B$3-100)*3)+Inputs!$B$27+Inputs!$B$28)))</f>
        <v/>
      </c>
      <c r="E611">
        <f>INDEX(FactorTable!$B$2:$Y$301, MATCH(ROUND(MIN(300,MAX(1,D611)),0), FactorTable!$A$2:$A$301,0), Skills!M19+1)</f>
        <v/>
      </c>
      <c r="F611">
        <f>IF(Skills!N19=TRUE,(Skills!L19/10)*(E611/1000),Skills!L19/10)+Skills!O19</f>
        <v/>
      </c>
      <c r="G611">
        <f>Skills!G19*IF(Skills!H19&gt;0,Skills!I19/Skills!H19,1)</f>
        <v/>
      </c>
      <c r="H611">
        <f>1-(1-Skills!J19/100)^Skills!K19</f>
        <v/>
      </c>
      <c r="I611" t="inlineStr">
        <is>
          <t>1</t>
        </is>
      </c>
      <c r="J611" t="inlineStr"/>
      <c r="K611" t="inlineStr"/>
      <c r="L611" t="inlineStr"/>
      <c r="M611" t="inlineStr"/>
      <c r="N611" t="inlineStr"/>
      <c r="O611" t="n">
        <v>0</v>
      </c>
      <c r="P611">
        <f>IF(B632=0,0,O611/B632)</f>
        <v/>
      </c>
      <c r="Q611" t="n">
        <v>0</v>
      </c>
      <c r="R611" t="n">
        <v>0</v>
      </c>
      <c r="S611">
        <f>IFERROR(O611/N611,0)</f>
        <v/>
      </c>
    </row>
    <row r="612">
      <c r="A612">
        <f>Skills!A20</f>
        <v/>
      </c>
      <c r="B612">
        <f>Skills!B20</f>
        <v/>
      </c>
      <c r="C612">
        <f>Inputs!$B$3&gt;=10</f>
        <v/>
      </c>
      <c r="D612">
        <f>IF(Skills!C20=1,60+Inputs!$B$24+Inputs!$B$28,IF(Skills!C20=2,90+Inputs!$B$25+Inputs!$B$28,IF(Skills!C20=3,120+Inputs!$B$26+Inputs!$B$28,MAX(0,(Inputs!$B$3-100)*3)+Inputs!$B$27+Inputs!$B$28)))</f>
        <v/>
      </c>
      <c r="E612">
        <f>INDEX(FactorTable!$B$2:$Y$301, MATCH(ROUND(MIN(300,MAX(1,D612)),0), FactorTable!$A$2:$A$301,0), Skills!M20+1)</f>
        <v/>
      </c>
      <c r="F612">
        <f>IF(Skills!N20=TRUE,(Skills!L20/10)*(E612/1000),Skills!L20/10)+Skills!O20</f>
        <v/>
      </c>
      <c r="G612">
        <f>Skills!G20*IF(Skills!H20&gt;0,Skills!I20/Skills!H20,1)</f>
        <v/>
      </c>
      <c r="H612">
        <f>1-(1-Skills!J20/100)^Skills!K20</f>
        <v/>
      </c>
      <c r="I612" t="inlineStr">
        <is>
          <t>1</t>
        </is>
      </c>
      <c r="J612" t="inlineStr"/>
      <c r="K612" t="inlineStr"/>
      <c r="L612" t="inlineStr"/>
      <c r="M612" t="inlineStr"/>
      <c r="N612" t="inlineStr"/>
      <c r="O612" t="n">
        <v>0</v>
      </c>
      <c r="P612">
        <f>IF(B632=0,0,O612/B632)</f>
        <v/>
      </c>
      <c r="Q612" t="n">
        <v>0</v>
      </c>
      <c r="R612" t="n">
        <v>0</v>
      </c>
      <c r="S612">
        <f>IFERROR(O612/N612,0)</f>
        <v/>
      </c>
    </row>
    <row r="613">
      <c r="A613">
        <f>Skills!A21</f>
        <v/>
      </c>
      <c r="B613">
        <f>Skills!B21</f>
        <v/>
      </c>
      <c r="C613">
        <f>Inputs!$B$3&gt;=33</f>
        <v/>
      </c>
      <c r="D613">
        <f>IF(Skills!C21=1,60+Inputs!$B$24+Inputs!$B$28,IF(Skills!C21=2,90+Inputs!$B$25+Inputs!$B$28,IF(Skills!C21=3,120+Inputs!$B$26+Inputs!$B$28,MAX(0,(Inputs!$B$3-100)*3)+Inputs!$B$27+Inputs!$B$28)))</f>
        <v/>
      </c>
      <c r="E613">
        <f>INDEX(FactorTable!$B$2:$Y$301, MATCH(ROUND(MIN(300,MAX(1,D613)),0), FactorTable!$A$2:$A$301,0), Skills!M21+1)</f>
        <v/>
      </c>
      <c r="F613">
        <f>IF(Skills!N21=TRUE,(Skills!L21/10)*(E613/1000),Skills!L21/10)+Skills!O21</f>
        <v/>
      </c>
      <c r="G613">
        <f>Skills!G21*IF(Skills!H21&gt;0,Skills!I21/Skills!H21,1)</f>
        <v/>
      </c>
      <c r="H613">
        <f>1-(1-Skills!J21/100)^Skills!K21</f>
        <v/>
      </c>
      <c r="I613" t="inlineStr">
        <is>
          <t>1</t>
        </is>
      </c>
      <c r="J613" t="inlineStr"/>
      <c r="K613" t="inlineStr"/>
      <c r="L613" t="inlineStr"/>
      <c r="M613" t="inlineStr"/>
      <c r="N613" t="inlineStr"/>
      <c r="O613" t="n">
        <v>0</v>
      </c>
      <c r="P613">
        <f>IF(B632=0,0,O613/B632)</f>
        <v/>
      </c>
      <c r="Q613" t="n">
        <v>0</v>
      </c>
      <c r="R613" t="n">
        <v>0</v>
      </c>
      <c r="S613">
        <f>IFERROR(O613/N613,0)</f>
        <v/>
      </c>
    </row>
    <row r="614">
      <c r="A614">
        <f>Skills!A22</f>
        <v/>
      </c>
      <c r="B614">
        <f>Skills!B22</f>
        <v/>
      </c>
      <c r="C614">
        <f>Inputs!$B$3&gt;=38</f>
        <v/>
      </c>
      <c r="D614">
        <f>IF(Skills!C22=1,60+Inputs!$B$24+Inputs!$B$28,IF(Skills!C22=2,90+Inputs!$B$25+Inputs!$B$28,IF(Skills!C22=3,120+Inputs!$B$26+Inputs!$B$28,MAX(0,(Inputs!$B$3-100)*3)+Inputs!$B$27+Inputs!$B$28)))</f>
        <v/>
      </c>
      <c r="E614">
        <f>INDEX(FactorTable!$B$2:$Y$301, MATCH(ROUND(MIN(300,MAX(1,D614)),0), FactorTable!$A$2:$A$301,0), Skills!M22+1)</f>
        <v/>
      </c>
      <c r="F614">
        <f>IF(Skills!N22=TRUE,(Skills!L22/10)*(E614/1000),Skills!L22/10)+Skills!O22</f>
        <v/>
      </c>
      <c r="G614">
        <f>Skills!G22*IF(Skills!H22&gt;0,Skills!I22/Skills!H22,1)</f>
        <v/>
      </c>
      <c r="H614">
        <f>1-(1-Skills!J22/100)^Skills!K22</f>
        <v/>
      </c>
      <c r="I614" t="inlineStr">
        <is>
          <t>1</t>
        </is>
      </c>
      <c r="J614" t="inlineStr"/>
      <c r="K614" t="inlineStr"/>
      <c r="L614" t="inlineStr"/>
      <c r="M614" t="inlineStr"/>
      <c r="N614" t="inlineStr"/>
      <c r="O614" t="n">
        <v>0</v>
      </c>
      <c r="P614">
        <f>IF(B632=0,0,O614/B632)</f>
        <v/>
      </c>
      <c r="Q614" t="n">
        <v>0</v>
      </c>
      <c r="R614" t="n">
        <v>0</v>
      </c>
      <c r="S614">
        <f>IFERROR(O614/N614,0)</f>
        <v/>
      </c>
    </row>
    <row r="615">
      <c r="A615">
        <f>Skills!A23</f>
        <v/>
      </c>
      <c r="B615">
        <f>Skills!B23</f>
        <v/>
      </c>
      <c r="C615">
        <f>Inputs!$B$3&gt;=43</f>
        <v/>
      </c>
      <c r="D615">
        <f>IF(Skills!C23=1,60+Inputs!$B$24+Inputs!$B$28,IF(Skills!C23=2,90+Inputs!$B$25+Inputs!$B$28,IF(Skills!C23=3,120+Inputs!$B$26+Inputs!$B$28,MAX(0,(Inputs!$B$3-100)*3)+Inputs!$B$27+Inputs!$B$28)))</f>
        <v/>
      </c>
      <c r="E615">
        <f>INDEX(FactorTable!$B$2:$Y$301, MATCH(ROUND(MIN(300,MAX(1,D615)),0), FactorTable!$A$2:$A$301,0), Skills!M23+1)</f>
        <v/>
      </c>
      <c r="F615">
        <f>IF(Skills!N23=TRUE,(Skills!L23/10)*(E615/1000),Skills!L23/10)+Skills!O23</f>
        <v/>
      </c>
      <c r="G615">
        <f>Skills!G23*IF(Skills!H23&gt;0,Skills!I23/Skills!H23,1)</f>
        <v/>
      </c>
      <c r="H615">
        <f>1-(1-Skills!J23/100)^Skills!K23</f>
        <v/>
      </c>
      <c r="I615" t="inlineStr">
        <is>
          <t>1</t>
        </is>
      </c>
      <c r="J615" t="inlineStr"/>
      <c r="K615" t="inlineStr"/>
      <c r="L615" t="inlineStr"/>
      <c r="M615" t="inlineStr"/>
      <c r="N615" t="inlineStr"/>
      <c r="O615" t="n">
        <v>0</v>
      </c>
      <c r="P615">
        <f>IF(B632=0,0,O615/B632)</f>
        <v/>
      </c>
      <c r="Q615" t="n">
        <v>0</v>
      </c>
      <c r="R615" t="n">
        <v>0</v>
      </c>
      <c r="S615">
        <f>IFERROR(O615/N615,0)</f>
        <v/>
      </c>
    </row>
    <row r="616">
      <c r="A616">
        <f>Skills!A24</f>
        <v/>
      </c>
      <c r="B616">
        <f>Skills!B24</f>
        <v/>
      </c>
      <c r="C616">
        <f>Inputs!$B$3&gt;=75</f>
        <v/>
      </c>
      <c r="D616">
        <f>IF(Skills!C24=1,60+Inputs!$B$24+Inputs!$B$28,IF(Skills!C24=2,90+Inputs!$B$25+Inputs!$B$28,IF(Skills!C24=3,120+Inputs!$B$26+Inputs!$B$28,MAX(0,(Inputs!$B$3-100)*3)+Inputs!$B$27+Inputs!$B$28)))</f>
        <v/>
      </c>
      <c r="E616">
        <f>INDEX(FactorTable!$B$2:$Y$301, MATCH(ROUND(MIN(300,MAX(1,D616)),0), FactorTable!$A$2:$A$301,0), Skills!M24+1)</f>
        <v/>
      </c>
      <c r="F616">
        <f>IF(Skills!N24=TRUE,(Skills!L24/10)*(E616/1000),Skills!L24/10)+Skills!O24</f>
        <v/>
      </c>
      <c r="G616">
        <f>Skills!G24*IF(Skills!H24&gt;0,Skills!I24/Skills!H24,1)</f>
        <v/>
      </c>
      <c r="H616">
        <f>1-(1-Skills!J24/100)^Skills!K24</f>
        <v/>
      </c>
      <c r="I616" t="inlineStr">
        <is>
          <t>1</t>
        </is>
      </c>
      <c r="J616" t="inlineStr"/>
      <c r="K616" t="inlineStr"/>
      <c r="L616" t="inlineStr"/>
      <c r="M616" t="inlineStr"/>
      <c r="N616" t="inlineStr"/>
      <c r="O616" t="n">
        <v>0</v>
      </c>
      <c r="P616">
        <f>IF(B632=0,0,O616/B632)</f>
        <v/>
      </c>
      <c r="Q616" t="n">
        <v>0</v>
      </c>
      <c r="R616" t="n">
        <v>0</v>
      </c>
      <c r="S616">
        <f>IFERROR(O616/N616,0)</f>
        <v/>
      </c>
    </row>
    <row r="617">
      <c r="A617">
        <f>Skills!A25</f>
        <v/>
      </c>
      <c r="B617">
        <f>Skills!B25</f>
        <v/>
      </c>
      <c r="C617">
        <f>Inputs!$B$3&gt;=125</f>
        <v/>
      </c>
      <c r="D617">
        <f>IF(Skills!C25=1,60+Inputs!$B$24+Inputs!$B$28,IF(Skills!C25=2,90+Inputs!$B$25+Inputs!$B$28,IF(Skills!C25=3,120+Inputs!$B$26+Inputs!$B$28,MAX(0,(Inputs!$B$3-100)*3)+Inputs!$B$27+Inputs!$B$28)))</f>
        <v/>
      </c>
      <c r="E617">
        <f>INDEX(FactorTable!$B$2:$Y$301, MATCH(ROUND(MIN(300,MAX(1,D617)),0), FactorTable!$A$2:$A$301,0), Skills!M25+1)</f>
        <v/>
      </c>
      <c r="F617">
        <f>IF(Skills!N25=TRUE,(Skills!L25/10)*(E617/1000),Skills!L25/10)+Skills!O25</f>
        <v/>
      </c>
      <c r="G617">
        <f>Skills!G25*IF(Skills!H25&gt;0,Skills!I25/Skills!H25,1)</f>
        <v/>
      </c>
      <c r="H617">
        <f>1-(1-Skills!J25/100)^Skills!K25</f>
        <v/>
      </c>
      <c r="I617" t="inlineStr">
        <is>
          <t>1</t>
        </is>
      </c>
      <c r="J617" t="inlineStr"/>
      <c r="K617" t="inlineStr"/>
      <c r="L617" t="inlineStr"/>
      <c r="M617" t="inlineStr"/>
      <c r="N617" t="inlineStr"/>
      <c r="O617" t="n">
        <v>0</v>
      </c>
      <c r="P617">
        <f>IF(B632=0,0,O617/B632)</f>
        <v/>
      </c>
      <c r="Q617" t="n">
        <v>0</v>
      </c>
      <c r="R617" t="n">
        <v>0</v>
      </c>
      <c r="S617">
        <f>IFERROR(O617/N617,0)</f>
        <v/>
      </c>
    </row>
    <row r="618">
      <c r="A618">
        <f>Skills!A26</f>
        <v/>
      </c>
      <c r="B618">
        <f>Skills!B26</f>
        <v/>
      </c>
      <c r="C618">
        <f>Inputs!$B$3&gt;=125</f>
        <v/>
      </c>
      <c r="D618">
        <f>IF(Skills!C26=1,60+Inputs!$B$24+Inputs!$B$28,IF(Skills!C26=2,90+Inputs!$B$25+Inputs!$B$28,IF(Skills!C26=3,120+Inputs!$B$26+Inputs!$B$28,MAX(0,(Inputs!$B$3-100)*3)+Inputs!$B$27+Inputs!$B$28)))</f>
        <v/>
      </c>
      <c r="E618">
        <f>INDEX(FactorTable!$B$2:$Y$301, MATCH(ROUND(MIN(300,MAX(1,D618)),0), FactorTable!$A$2:$A$301,0), Skills!M26+1)</f>
        <v/>
      </c>
      <c r="F618">
        <f>IF(Skills!N26=TRUE,(Skills!L26/10)*(E618/1000),Skills!L26/10)+Skills!O26</f>
        <v/>
      </c>
      <c r="G618">
        <f>Skills!G26*IF(Skills!H26&gt;0,Skills!I26/Skills!H26,1)</f>
        <v/>
      </c>
      <c r="H618">
        <f>1-(1-Skills!J26/100)^Skills!K26</f>
        <v/>
      </c>
      <c r="I618" t="inlineStr">
        <is>
          <t>1</t>
        </is>
      </c>
      <c r="J618" t="inlineStr"/>
      <c r="K618" t="inlineStr"/>
      <c r="L618" t="inlineStr"/>
      <c r="M618" t="inlineStr"/>
      <c r="N618" t="inlineStr"/>
      <c r="O618" t="n">
        <v>0</v>
      </c>
      <c r="P618">
        <f>IF(B632=0,0,O618/B632)</f>
        <v/>
      </c>
      <c r="Q618" t="n">
        <v>0</v>
      </c>
      <c r="R618" t="n">
        <v>0</v>
      </c>
      <c r="S618">
        <f>IFERROR(O618/N618,0)</f>
        <v/>
      </c>
    </row>
    <row r="619">
      <c r="A619">
        <f>Skills!A27</f>
        <v/>
      </c>
      <c r="B619">
        <f>Skills!B27</f>
        <v/>
      </c>
      <c r="C619">
        <f>Inputs!$B$3&gt;=120</f>
        <v/>
      </c>
      <c r="D619">
        <f>IF(Skills!C27=1,60+Inputs!$B$24+Inputs!$B$28,IF(Skills!C27=2,90+Inputs!$B$25+Inputs!$B$28,IF(Skills!C27=3,120+Inputs!$B$26+Inputs!$B$28,MAX(0,(Inputs!$B$3-100)*3)+Inputs!$B$27+Inputs!$B$28)))</f>
        <v/>
      </c>
      <c r="E619">
        <f>INDEX(FactorTable!$B$2:$Y$301, MATCH(ROUND(MIN(300,MAX(1,D619)),0), FactorTable!$A$2:$A$301,0), Skills!M27+1)</f>
        <v/>
      </c>
      <c r="F619">
        <f>IF(Skills!N27=TRUE,(Skills!L27/10)*(E619/1000),Skills!L27/10)+Skills!O27</f>
        <v/>
      </c>
      <c r="G619">
        <f>Skills!G27*IF(Skills!H27&gt;0,Skills!I27/Skills!H27,1)</f>
        <v/>
      </c>
      <c r="H619">
        <f>1-(1-Skills!J27/100)^Skills!K27</f>
        <v/>
      </c>
      <c r="I619" t="inlineStr">
        <is>
          <t>1</t>
        </is>
      </c>
      <c r="J619" t="inlineStr"/>
      <c r="K619" t="inlineStr"/>
      <c r="L619" t="inlineStr"/>
      <c r="M619" t="inlineStr"/>
      <c r="N619" t="inlineStr"/>
      <c r="O619" t="n">
        <v>0</v>
      </c>
      <c r="P619">
        <f>IF(B632=0,0,O619/B632)</f>
        <v/>
      </c>
      <c r="Q619" t="n">
        <v>0</v>
      </c>
      <c r="R619" t="n">
        <v>0</v>
      </c>
      <c r="S619">
        <f>IFERROR(O619/N619,0)</f>
        <v/>
      </c>
    </row>
    <row r="620">
      <c r="A620">
        <f>Skills!A28</f>
        <v/>
      </c>
      <c r="B620">
        <f>Skills!B28</f>
        <v/>
      </c>
      <c r="C620">
        <f>Inputs!$B$3&gt;=120</f>
        <v/>
      </c>
      <c r="D620">
        <f>IF(Skills!C28=1,60+Inputs!$B$24+Inputs!$B$28,IF(Skills!C28=2,90+Inputs!$B$25+Inputs!$B$28,IF(Skills!C28=3,120+Inputs!$B$26+Inputs!$B$28,MAX(0,(Inputs!$B$3-100)*3)+Inputs!$B$27+Inputs!$B$28)))</f>
        <v/>
      </c>
      <c r="E620">
        <f>INDEX(FactorTable!$B$2:$Y$301, MATCH(ROUND(MIN(300,MAX(1,D620)),0), FactorTable!$A$2:$A$301,0), Skills!M28+1)</f>
        <v/>
      </c>
      <c r="F620">
        <f>IF(Skills!N28=TRUE,(Skills!L28/10)*(E620/1000),Skills!L28/10)+Skills!O28</f>
        <v/>
      </c>
      <c r="G620">
        <f>Skills!G28*IF(Skills!H28&gt;0,Skills!I28/Skills!H28,1)</f>
        <v/>
      </c>
      <c r="H620">
        <f>1-(1-Skills!J28/100)^Skills!K28</f>
        <v/>
      </c>
      <c r="I620" t="inlineStr">
        <is>
          <t>1</t>
        </is>
      </c>
      <c r="J620" t="inlineStr"/>
      <c r="K620" t="inlineStr"/>
      <c r="L620" t="inlineStr"/>
      <c r="M620" t="inlineStr"/>
      <c r="N620" t="inlineStr"/>
      <c r="O620" t="n">
        <v>0</v>
      </c>
      <c r="P620">
        <f>IF(B632=0,0,O620/B632)</f>
        <v/>
      </c>
      <c r="Q620" t="n">
        <v>0</v>
      </c>
      <c r="R620" t="n">
        <v>0</v>
      </c>
      <c r="S620">
        <f>IFERROR(O620/N620,0)</f>
        <v/>
      </c>
    </row>
    <row r="621">
      <c r="A621">
        <f>Skills!A29</f>
        <v/>
      </c>
      <c r="B621">
        <f>Skills!B29</f>
        <v/>
      </c>
      <c r="C621">
        <f>Inputs!$B$3&gt;=45</f>
        <v/>
      </c>
      <c r="D621">
        <f>IF(Skills!C29=1,60+Inputs!$B$24+Inputs!$B$28,IF(Skills!C29=2,90+Inputs!$B$25+Inputs!$B$28,IF(Skills!C29=3,120+Inputs!$B$26+Inputs!$B$28,MAX(0,(Inputs!$B$3-100)*3)+Inputs!$B$27+Inputs!$B$28)))</f>
        <v/>
      </c>
      <c r="E621">
        <f>INDEX(FactorTable!$B$2:$Y$301, MATCH(ROUND(MIN(300,MAX(1,D621)),0), FactorTable!$A$2:$A$301,0), Skills!M29+1)</f>
        <v/>
      </c>
      <c r="F621">
        <f>IF(Skills!N29=TRUE,(Skills!L29/10)*(E621/1000),Skills!L29/10)+Skills!O29</f>
        <v/>
      </c>
      <c r="G621">
        <f>Skills!G29*IF(Skills!H29&gt;0,Skills!I29/Skills!H29,1)</f>
        <v/>
      </c>
      <c r="H621">
        <f>1-(1-Skills!J29/100)^Skills!K29</f>
        <v/>
      </c>
      <c r="I621" t="inlineStr">
        <is>
          <t>1</t>
        </is>
      </c>
      <c r="J621" t="inlineStr"/>
      <c r="K621" t="inlineStr"/>
      <c r="L621" t="inlineStr"/>
      <c r="M621" t="inlineStr"/>
      <c r="N621" t="inlineStr"/>
      <c r="O621" t="n">
        <v>0</v>
      </c>
      <c r="P621">
        <f>IF(B632=0,0,O621/B632)</f>
        <v/>
      </c>
      <c r="Q621" t="n">
        <v>0</v>
      </c>
      <c r="R621" t="n">
        <v>0</v>
      </c>
      <c r="S621">
        <f>IFERROR(O621/N621,0)</f>
        <v/>
      </c>
    </row>
    <row r="623">
      <c r="A623" t="inlineStr">
        <is>
          <t>Attack% Bucket Multiplier</t>
        </is>
      </c>
      <c r="B623">
        <f>(1+(((C605=TRUE)*F605)+((C606=TRUE)*IF(Inputs!$B$4="pvp",F606,(1-Summary!$B$55)*(F606)+Summary!$B$55*(0)))+((C607=TRUE)*F607*IF(AND(Inputs!$B$4&lt;&gt;"pvp",Inputs!$B$35&gt;0),(((S607-1)*(Skills!T15*(1+Inputs!$B$33/100))+MIN((Skills!T15*(1+Inputs!$B$33/100)),MAX(0,Inputs!$B$35-((S607-1)*Skills!D15))))/Inputs!$B$35),IF(Inputs!$B$4="pvp",MIN((Skills!T15*(1+Inputs!$B$33/100)),15)/15,(Skills!T15*(1+Inputs!$B$33/100))/Skills!D15)))+((C604=TRUE)*F604)+((C621=TRUE)*(F621-Calc!F29)))/100)</f>
        <v/>
      </c>
    </row>
    <row r="624">
      <c r="A624" t="inlineStr">
        <is>
          <t>Global Crit Rate Bonus %</t>
        </is>
      </c>
      <c r="B624">
        <f>(C608=TRUE)*20*IF(AND(Inputs!$B$4&lt;&gt;"pvp",Inputs!$B$35&gt;0),(((S608-1)*(Skills!T16*(1+Inputs!$B$33/100))+MIN((Skills!T16*(1+Inputs!$B$33/100)),MAX(0,Inputs!$B$35-((S608-1)*Skills!D16))))/Inputs!$B$35),IF(Inputs!$B$4="pvp",MIN((Skills!T16*(1+Inputs!$B$33/100)),15)/15,(Skills!T16*(1+Inputs!$B$33/100))/Skills!D16))</f>
        <v/>
      </c>
    </row>
    <row r="625">
      <c r="A625" t="inlineStr">
        <is>
          <t>Attack Speed Buff Bonus %</t>
        </is>
      </c>
      <c r="B625">
        <f>((C610=TRUE)*F610*IF(AND(Inputs!$B$4&lt;&gt;"pvp",Inputs!$B$35&gt;0),(((S610-1)*(Skills!T18*(1+Inputs!$B$33/100))+MIN((Skills!T18*(1+Inputs!$B$33/100)),MAX(0,Inputs!$B$35-((S610-1)*Skills!D18))))/Inputs!$B$35),IF(Inputs!$B$4="pvp",MIN((Skills!T18*(1+Inputs!$B$33/100)),15)/15,(Skills!T18*(1+Inputs!$B$33/100))/Skills!D18)))</f>
        <v/>
      </c>
    </row>
    <row r="626">
      <c r="A626" t="inlineStr">
        <is>
          <t>Actions Per Second</t>
        </is>
      </c>
      <c r="B626">
        <f>1+MIN(150,150*(1-(1-(Inputs!$B$10+((C612=TRUE)*(F612-Calc!F20))+((C613=TRUE)*(F613-Calc!F21)))/150)*(1-B625/150)))/100</f>
        <v/>
      </c>
    </row>
    <row r="627">
      <c r="A627" t="inlineStr">
        <is>
          <t>Skill + Buff Cast Rate</t>
        </is>
      </c>
      <c r="B627">
        <f>IF(AND(Inputs!$B$4&lt;&gt;"pvp",Inputs!$B$35&gt;0),SUMPRODUCT((Skills!E2:E29=TRUE)*(C594:C621=TRUE)*R594:R621*Skills!F2:F29)/Inputs!$B$35,SUMPRODUCT((Skills!E2:E29=TRUE)*(C594:C621=TRUE)*Q594:Q621*Skills!F2:F29))</f>
        <v/>
      </c>
    </row>
    <row r="628">
      <c r="A628" t="inlineStr">
        <is>
          <t>Empowered Piercing Arrow Casts Per Second</t>
        </is>
      </c>
      <c r="B628">
        <f>MAX(0,B626-B627)</f>
        <v/>
      </c>
    </row>
    <row r="629">
      <c r="A629" t="inlineStr">
        <is>
          <t>Global Critical Damage Bonus % (Sharp Eyes)</t>
        </is>
      </c>
      <c r="B629">
        <f>(C608=TRUE)*F608*IF(AND(Inputs!$B$4&lt;&gt;"pvp",Inputs!$B$35&gt;0),(((S608-1)*(Skills!T16*(1+Inputs!$B$33/100))+MIN((Skills!T16*(1+Inputs!$B$33/100)),MAX(0,Inputs!$B$35-((S608-1)*Skills!D16))))/Inputs!$B$35),IF(Inputs!$B$4="pvp",MIN((Skills!T16*(1+Inputs!$B$33/100)),15)/15,(Skills!T16*(1+Inputs!$B$33/100))/Skills!D16))</f>
        <v/>
      </c>
    </row>
    <row r="630">
      <c r="A630" t="inlineStr">
        <is>
          <t>Global Final Damage Bonus % (Mortal Blow + Last Man Standing conditional half)</t>
        </is>
      </c>
      <c r="B630">
        <f>(C609=TRUE)*F609+((C618=TRUE)*IF(Inputs!$B$4="pvp",F618,(1-Summary!$B$55)*(F618)+Summary!$B$55*(0)))</f>
        <v/>
      </c>
    </row>
    <row r="632">
      <c r="A632" s="5" t="inlineStr">
        <is>
          <t>TOTAL DPS</t>
        </is>
      </c>
      <c r="B632" s="5">
        <f>SUM(O594:O621)</f>
        <v/>
      </c>
    </row>
    <row r="635">
      <c r="A635" s="5" t="inlineStr">
        <is>
          <t>Stat: BASIC_ATTACK_DAMAGE %</t>
        </is>
      </c>
    </row>
    <row r="636">
      <c r="A636" s="8" t="inlineStr">
        <is>
          <t>Key</t>
        </is>
      </c>
      <c r="B636" s="8" t="inlineStr">
        <is>
          <t>Name</t>
        </is>
      </c>
      <c r="C636" s="8" t="inlineStr">
        <is>
          <t>Unlocked</t>
        </is>
      </c>
      <c r="D636" s="8" t="inlineStr">
        <is>
          <t>InputLevel</t>
        </is>
      </c>
      <c r="E636" s="8" t="inlineStr">
        <is>
          <t>Factor</t>
        </is>
      </c>
      <c r="F636" s="8" t="inlineStr">
        <is>
          <t>CoefficientPercent</t>
        </is>
      </c>
      <c r="G636" s="8" t="inlineStr">
        <is>
          <t>EffectiveHits</t>
        </is>
      </c>
      <c r="H636" s="8" t="inlineStr">
        <is>
          <t>ProcProbability</t>
        </is>
      </c>
      <c r="I636" s="8" t="inlineStr">
        <is>
          <t>MapleHeroMultiplier</t>
        </is>
      </c>
      <c r="J636" s="8" t="inlineStr">
        <is>
          <t>BaseDamage</t>
        </is>
      </c>
      <c r="K636" s="8" t="inlineStr">
        <is>
          <t>BaseHitDamage</t>
        </is>
      </c>
      <c r="L636" s="8" t="inlineStr">
        <is>
          <t>NonCritAvg</t>
        </is>
      </c>
      <c r="M636" s="8" t="inlineStr">
        <is>
          <t>CritAvg</t>
        </is>
      </c>
      <c r="N636" s="8" t="inlineStr">
        <is>
          <t>ExpectedDamage(perHit)</t>
        </is>
      </c>
      <c r="O636" s="8" t="inlineStr">
        <is>
          <t>DPS</t>
        </is>
      </c>
      <c r="P636" s="8" t="inlineStr">
        <is>
          <t>% of Total</t>
        </is>
      </c>
      <c r="Q636" s="8" t="inlineStr">
        <is>
          <t>InvCooldown</t>
        </is>
      </c>
      <c r="R636" s="8" t="inlineStr">
        <is>
          <t>CastsInFight</t>
        </is>
      </c>
      <c r="S636" s="8" t="inlineStr">
        <is>
          <t>HitRate(perSec)</t>
        </is>
      </c>
      <c r="U636" t="inlineStr">
        <is>
          <t>helpers</t>
        </is>
      </c>
    </row>
    <row r="637">
      <c r="A637">
        <f>Skills!A2</f>
        <v/>
      </c>
      <c r="B637">
        <f>Skills!B2</f>
        <v/>
      </c>
      <c r="C637">
        <f>Inputs!$B$3&gt;=100</f>
        <v/>
      </c>
      <c r="D637" t="inlineStr"/>
      <c r="E637" t="inlineStr"/>
      <c r="F637">
        <f>U639+Skills!O2</f>
        <v/>
      </c>
      <c r="G637">
        <f>Skills!G2*IF(Skills!H2&gt;0,Skills!I2/Skills!H2,1)</f>
        <v/>
      </c>
      <c r="H637">
        <f>1-(1-Skills!J2/100)^Skills!K2</f>
        <v/>
      </c>
      <c r="I637" t="inlineStr">
        <is>
          <t>1</t>
        </is>
      </c>
      <c r="J637">
        <f>(Inputs!$B$5*(1+Inputs!$B$6/100))*(F637/100)</f>
        <v/>
      </c>
      <c r="K637">
        <f>J637*(1+((Inputs!$B$11*(1+Inputs!$B$12/100))*0.01+Inputs!$B$13*0.0025)/100)*(1+Inputs!$B$14/100)*(1+IF(Inputs!$B$4="pvp",0,(1-Summary!$B$55)*(Inputs!$B$19+0+Skills!P2)+Summary!$B$55*(Inputs!$B$20+Skills!Q2))/100)*(1+Inputs!$B$15/100)*(5000/(6000+Inputs!$B$7*(1-(Inputs!$B$18+0)/100)))*(1+(Inputs!$B$23+((C659=TRUE)*(F659-Calc!F24))+((C660=TRUE)*(F660-Calc!F25))+B673)/100)*(1+(IF(Skills!A2="EMPOWERED_PIERCING_ARROW",(Inputs!$B$16+1)+((C657=TRUE)*(F657-Calc!F22)),Inputs!$B$17+((C662=TRUE)*(F662-Calc!F27))))/100)*((1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I637)</f>
        <v/>
      </c>
      <c r="L637">
        <f>K637*(MIN(Inputs!$B$21+((C658=TRUE)*(F658-Calc!F23)),Inputs!$B$22+((C663=TRUE)*(F663-Calc!F28)))/100+(Inputs!$B$22+((C663=TRUE)*(F663-Calc!F28)))/100)/2</f>
        <v/>
      </c>
      <c r="M637">
        <f>L637*(1+(Inputs!$B$9+0+B672)/100)</f>
        <v/>
      </c>
      <c r="N637">
        <f>L637*(1-MIN((Inputs!$B$8+((C654=TRUE)*(F654-Calc!F19))+B667),100)/100)+M637*(MIN((Inputs!$B$8+((C654=TRUE)*(F654-Calc!F19))+B667),100)/100)</f>
        <v/>
      </c>
      <c r="O637">
        <f>IF(C637,Skills!G2*N637*B671*IF(Inputs!$B$4="pvp",1,(1-Summary!$B$55)*(1)+Summary!$B$55*(MIN((6+Inputs!$B$32),Inputs!$B$37))),0)</f>
        <v/>
      </c>
      <c r="P637">
        <f>IF(B675=0,0,O637/B675)</f>
        <v/>
      </c>
      <c r="Q637" t="n">
        <v>0</v>
      </c>
      <c r="R637" t="n">
        <v>0</v>
      </c>
      <c r="S637">
        <f>IFERROR(O637/N637,0)</f>
        <v/>
      </c>
      <c r="U637">
        <f>MAX(0,(Inputs!$B$3-100)*3)+Inputs!$B$27+Inputs!$B$28</f>
        <v/>
      </c>
    </row>
    <row r="638">
      <c r="A638">
        <f>Skills!A3</f>
        <v/>
      </c>
      <c r="B638">
        <f>Skills!B3</f>
        <v/>
      </c>
      <c r="C638">
        <f>Inputs!$B$3&gt;=50</f>
        <v/>
      </c>
      <c r="D638">
        <f>IF(Skills!C3=1,60+Inputs!$B$24+Inputs!$B$28,IF(Skills!C3=2,90+Inputs!$B$25+Inputs!$B$28,IF(Skills!C3=3,120+Inputs!$B$26+Inputs!$B$28,MAX(0,(Inputs!$B$3-100)*3)+Inputs!$B$27+Inputs!$B$28)))</f>
        <v/>
      </c>
      <c r="E638">
        <f>INDEX(FactorTable!$B$2:$Y$301, MATCH(ROUND(MIN(300,MAX(1,D638)),0), FactorTable!$A$2:$A$301,0), Skills!M3+1)</f>
        <v/>
      </c>
      <c r="F638">
        <f>IF(Skills!N3=TRUE,(Skills!L3/10)*(E638/1000),Skills!L3/10)+Skills!O3</f>
        <v/>
      </c>
      <c r="G638" t="inlineStr"/>
      <c r="H638" t="inlineStr"/>
      <c r="I638" t="inlineStr">
        <is>
          <t>1</t>
        </is>
      </c>
      <c r="J638" t="inlineStr"/>
      <c r="K638" t="inlineStr"/>
      <c r="L638" t="inlineStr"/>
      <c r="M638" t="inlineStr"/>
      <c r="N638" t="inlineStr"/>
      <c r="O638" t="inlineStr"/>
      <c r="P638" t="inlineStr"/>
      <c r="Q638" t="inlineStr"/>
      <c r="R638" t="inlineStr"/>
      <c r="S638" t="inlineStr"/>
      <c r="U638">
        <f>INDEX(FactorTable!$B$2:$Y$301, MATCH(ROUND(MIN(300,MAX(1,U637)),0), FactorTable!$A$2:$A$301,0), 22)</f>
        <v/>
      </c>
    </row>
    <row r="639">
      <c r="A639">
        <f>Skills!A4</f>
        <v/>
      </c>
      <c r="B639">
        <f>Skills!B4</f>
        <v/>
      </c>
      <c r="C639">
        <f>Inputs!$B$3&gt;=105</f>
        <v/>
      </c>
      <c r="D639">
        <f>IF(Skills!C4=1,60+Inputs!$B$24+Inputs!$B$28,IF(Skills!C4=2,90+Inputs!$B$25+Inputs!$B$28,IF(Skills!C4=3,120+Inputs!$B$26+Inputs!$B$28,MAX(0,(Inputs!$B$3-100)*3)+Inputs!$B$27+Inputs!$B$28)))</f>
        <v/>
      </c>
      <c r="E639">
        <f>INDEX(FactorTable!$B$2:$Y$301, MATCH(ROUND(MIN(300,MAX(1,D639)),0), FactorTable!$A$2:$A$301,0), Skills!M4+1)</f>
        <v/>
      </c>
      <c r="F639">
        <f>IF(Skills!N4=TRUE,(Skills!L4/10)*(E639/1000),Skills!L4/10)+Skills!O4</f>
        <v/>
      </c>
      <c r="G639" t="inlineStr"/>
      <c r="H639" t="inlineStr"/>
      <c r="I639" t="inlineStr">
        <is>
          <t>1</t>
        </is>
      </c>
      <c r="J639" t="inlineStr"/>
      <c r="K639" t="inlineStr"/>
      <c r="L639" t="inlineStr"/>
      <c r="M639" t="inlineStr"/>
      <c r="N639" t="inlineStr"/>
      <c r="O639" t="inlineStr"/>
      <c r="P639" t="inlineStr"/>
      <c r="Q639" t="inlineStr"/>
      <c r="R639" t="inlineStr"/>
      <c r="S639" t="inlineStr"/>
      <c r="U639">
        <f>290*U638/1000</f>
        <v/>
      </c>
    </row>
    <row r="640">
      <c r="A640">
        <f>Skills!A5</f>
        <v/>
      </c>
      <c r="B640">
        <f>Skills!B5</f>
        <v/>
      </c>
      <c r="C640">
        <f>Inputs!$B$3&gt;=35</f>
        <v/>
      </c>
      <c r="D640">
        <f>IF(Skills!C5=1,60+Inputs!$B$24+Inputs!$B$28,IF(Skills!C5=2,90+Inputs!$B$25+Inputs!$B$28,IF(Skills!C5=3,120+Inputs!$B$26+Inputs!$B$28,MAX(0,(Inputs!$B$3-100)*3)+Inputs!$B$27+Inputs!$B$28)))</f>
        <v/>
      </c>
      <c r="E640">
        <f>INDEX(FactorTable!$B$2:$Y$301, MATCH(ROUND(MIN(300,MAX(1,D640)),0), FactorTable!$A$2:$A$301,0), Skills!M5+1)</f>
        <v/>
      </c>
      <c r="F640">
        <f>IF(Skills!N5=TRUE,(Skills!L5/10)*(E640/1000),Skills!L5/10)+Skills!O5</f>
        <v/>
      </c>
      <c r="G640">
        <f>Skills!G5*IF(Skills!H5&gt;0,Skills!I5/Skills!H5,1)</f>
        <v/>
      </c>
      <c r="H640">
        <f>1-(1-Skills!J5/100)^Skills!K5</f>
        <v/>
      </c>
      <c r="I640" t="inlineStr">
        <is>
          <t>1</t>
        </is>
      </c>
      <c r="J640">
        <f>(Inputs!$B$5*(1+Inputs!$B$6/100))*(F640/100)</f>
        <v/>
      </c>
      <c r="K640">
        <f>J640*(1+((Inputs!$B$11*(1+Inputs!$B$12/100))*0.01+Inputs!$B$13*0.0025)/100)*(1+Inputs!$B$14/100)*(1+IF(Inputs!$B$4="pvp",0,(1-Summary!$B$55)*(Inputs!$B$19+0+Skills!P5)+Summary!$B$55*(Inputs!$B$20+Skills!Q5))/100)*(1+Inputs!$B$15/100)*(5000/(6000+Inputs!$B$7*(1-(Inputs!$B$18+0)/100)))*(1+(Inputs!$B$23+((C659=TRUE)*(F659-Calc!F24))+((C660=TRUE)*(F660-Calc!F25))+B673)/100)*(1+4.0*IF(C643=TRUE,F643,0)/100)*(1+(IF(Skills!A5="EMPOWERED_PIERCING_ARROW",(Inputs!$B$16+1)+((C657=TRUE)*(F657-Calc!F22)),Inputs!$B$17+((C662=TRUE)*(F662-Calc!F27))))/100)*((1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I640)</f>
        <v/>
      </c>
      <c r="L640">
        <f>K640*(MIN(Inputs!$B$21+((C658=TRUE)*(F658-Calc!F23)),Inputs!$B$22+((C663=TRUE)*(F663-Calc!F28)))/100+(Inputs!$B$22+((C663=TRUE)*(F663-Calc!F28)))/100)/2</f>
        <v/>
      </c>
      <c r="M640">
        <f>L640*(1+(Inputs!$B$9+0+B672)/100)</f>
        <v/>
      </c>
      <c r="N640">
        <f>L640*(1-MIN((Inputs!$B$8+((C654=TRUE)*(F654-Calc!F19))+B667),100)/100)+M640*(MIN((Inputs!$B$8+((C654=TRUE)*(F654-Calc!F19))+B667),100)/100)</f>
        <v/>
      </c>
      <c r="O640">
        <f>IF(C640,H640*N640*IF(AND(Inputs!$B$4&lt;&gt;"pvp",Inputs!$B$35&gt;0),((Skills!G5*((R640-1)*IF(Skills!H5&gt;0,Skills!I5/Skills!H5,1)+IF(Skills!H5&gt;0,MIN(Skills!I5,MAX(0,Inputs!$B$35-((R640-1)*IF(Inputs!$B$4="pvp",15,MAX(0.1,Skills!D5-IF(Skills!E5=TRUE,Inputs!$B$31,0))))))/Skills!H5,1)))/Inputs!$B$35),G640*Q640)*IF(Inputs!$B$4="pvp",1,(1-Summary!$B$55)*(1)+Summary!$B$55*(MIN(Skills!R5,Inputs!$B$37))),0)</f>
        <v/>
      </c>
      <c r="P640">
        <f>IF(B675=0,0,O640/B675)</f>
        <v/>
      </c>
      <c r="Q640">
        <f>IFERROR(1/IF(Inputs!$B$4="pvp",15,MAX(0.1,Skills!D5-IF(Skills!E5=TRUE,Inputs!$B$31,0))),0)</f>
        <v/>
      </c>
      <c r="R640">
        <f>IF(AND(Inputs!$B$4&lt;&gt;"pvp",Inputs!$B$35&gt;0),(INT(Inputs!$B$35/IF(Inputs!$B$4="pvp",15,MAX(0.1,Skills!D5-IF(Skills!E5=TRUE,Inputs!$B$31,0))))+1),0)</f>
        <v/>
      </c>
      <c r="S640">
        <f>IFERROR(O640/N640,0)</f>
        <v/>
      </c>
    </row>
    <row r="641">
      <c r="A641">
        <f>Skills!A6</f>
        <v/>
      </c>
      <c r="B641">
        <f>Skills!B6</f>
        <v/>
      </c>
      <c r="C641">
        <f>Inputs!$B$3&gt;=63</f>
        <v/>
      </c>
      <c r="D641">
        <f>IF(Skills!C6=1,60+Inputs!$B$24+Inputs!$B$28,IF(Skills!C6=2,90+Inputs!$B$25+Inputs!$B$28,IF(Skills!C6=3,120+Inputs!$B$26+Inputs!$B$28,MAX(0,(Inputs!$B$3-100)*3)+Inputs!$B$27+Inputs!$B$28)))</f>
        <v/>
      </c>
      <c r="E641">
        <f>INDEX(FactorTable!$B$2:$Y$301, MATCH(ROUND(MIN(300,MAX(1,D641)),0), FactorTable!$A$2:$A$301,0), Skills!M6+1)</f>
        <v/>
      </c>
      <c r="F641">
        <f>IF(Skills!N6=TRUE,(Skills!L6/10)*(E641/1000),Skills!L6/10)+Skills!O6</f>
        <v/>
      </c>
      <c r="G641">
        <f>Skills!G6*IF(Skills!H6&gt;0,Skills!I6/Skills!H6,1)</f>
        <v/>
      </c>
      <c r="H641">
        <f>1-(1-Skills!J6/100)^Skills!K6</f>
        <v/>
      </c>
      <c r="I641" t="inlineStr">
        <is>
          <t>1</t>
        </is>
      </c>
      <c r="J641">
        <f>(Inputs!$B$5*(1+Inputs!$B$6/100))*(F641/100)</f>
        <v/>
      </c>
      <c r="K641">
        <f>J641*(1+((Inputs!$B$11*(1+Inputs!$B$12/100))*0.01+Inputs!$B$13*0.0025)/100)*(1+Inputs!$B$14/100)*(1+IF(Inputs!$B$4="pvp",0,(1-Summary!$B$55)*(Inputs!$B$19+0+Skills!P6)+Summary!$B$55*(Inputs!$B$20+Skills!Q6))/100)*(1+Inputs!$B$15/100)*(5000/(6000+Inputs!$B$7*(1-(Inputs!$B$18+0)/100)))*(1+(Inputs!$B$23+((C659=TRUE)*(F659-Calc!F24))+((C660=TRUE)*(F660-Calc!F25))+B673)/100)*(1+1.0*IF(C643=TRUE,F643,0)/100)*(1+(IF(Skills!A6="EMPOWERED_PIERCING_ARROW",(Inputs!$B$16+1)+((C657=TRUE)*(F657-Calc!F22)),Inputs!$B$17+((C662=TRUE)*(F662-Calc!F27))))/100)*((1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I641)</f>
        <v/>
      </c>
      <c r="L641">
        <f>K641*(MIN(Inputs!$B$21+((C658=TRUE)*(F658-Calc!F23)),Inputs!$B$22+((C663=TRUE)*(F663-Calc!F28)))/100+(Inputs!$B$22+((C663=TRUE)*(F663-Calc!F28)))/100)/2</f>
        <v/>
      </c>
      <c r="M641">
        <f>L641*(1+(Inputs!$B$9+0+B672)/100)</f>
        <v/>
      </c>
      <c r="N641">
        <f>L641*(1-MIN((Inputs!$B$8+((C654=TRUE)*(F654-Calc!F19))+B667),100)/100)+M641*(MIN((Inputs!$B$8+((C654=TRUE)*(F654-Calc!F19))+B667),100)/100)</f>
        <v/>
      </c>
      <c r="O641">
        <f>IF(C641,H641*N641*IF(AND(Inputs!$B$4&lt;&gt;"pvp",Inputs!$B$35&gt;0),((Skills!G6*((R641-1)*IF(Skills!H6&gt;0,Skills!I6/Skills!H6,1)+IF(Skills!H6&gt;0,MIN(Skills!I6,MAX(0,Inputs!$B$35-((R641-1)*IF(Inputs!$B$4="pvp",15,MAX(0.1,Skills!D6-IF(Skills!E6=TRUE,Inputs!$B$31,0))))))/Skills!H6,1)))/Inputs!$B$35),G641*Q641)*IF(Inputs!$B$4="pvp",1,(1-Summary!$B$55)*(1)+Summary!$B$55*(MIN(Skills!R6,Inputs!$B$37))),0)</f>
        <v/>
      </c>
      <c r="P641">
        <f>IF(B675=0,0,O641/B675)</f>
        <v/>
      </c>
      <c r="Q641">
        <f>IFERROR(1/IF(Inputs!$B$4="pvp",15,MAX(0.1,Skills!D6-IF(Skills!E6=TRUE,Inputs!$B$31,0))),0)</f>
        <v/>
      </c>
      <c r="R641">
        <f>IF(AND(Inputs!$B$4&lt;&gt;"pvp",Inputs!$B$35&gt;0),(INT(Inputs!$B$35/IF(Inputs!$B$4="pvp",15,MAX(0.1,Skills!D6-IF(Skills!E6=TRUE,Inputs!$B$31,0))))+1),0)</f>
        <v/>
      </c>
      <c r="S641">
        <f>IFERROR(O641/N641,0)</f>
        <v/>
      </c>
    </row>
    <row r="642">
      <c r="A642">
        <f>Skills!A7</f>
        <v/>
      </c>
      <c r="B642">
        <f>Skills!B7</f>
        <v/>
      </c>
      <c r="C642">
        <f>Inputs!$B$3&gt;=69</f>
        <v/>
      </c>
      <c r="D642">
        <f>IF(Skills!C7=1,60+Inputs!$B$24+Inputs!$B$28,IF(Skills!C7=2,90+Inputs!$B$25+Inputs!$B$28,IF(Skills!C7=3,120+Inputs!$B$26+Inputs!$B$28,MAX(0,(Inputs!$B$3-100)*3)+Inputs!$B$27+Inputs!$B$28)))</f>
        <v/>
      </c>
      <c r="E642">
        <f>INDEX(FactorTable!$B$2:$Y$301, MATCH(ROUND(MIN(300,MAX(1,D642)),0), FactorTable!$A$2:$A$301,0), Skills!M7+1)</f>
        <v/>
      </c>
      <c r="F642">
        <f>IF(Skills!N7=TRUE,(Skills!L7/10)*(E642/1000),Skills!L7/10)+Skills!O7</f>
        <v/>
      </c>
      <c r="G642">
        <f>Skills!G7*IF(Skills!H7&gt;0,Skills!I7/Skills!H7,1)</f>
        <v/>
      </c>
      <c r="H642">
        <f>1-(1-Skills!J7/100)^Skills!K7</f>
        <v/>
      </c>
      <c r="I642" t="inlineStr">
        <is>
          <t>1</t>
        </is>
      </c>
      <c r="J642">
        <f>(Inputs!$B$5*(1+Inputs!$B$6/100))*(F642/100)</f>
        <v/>
      </c>
      <c r="K642">
        <f>J642*(1+((Inputs!$B$11*(1+Inputs!$B$12/100))*0.01+Inputs!$B$13*0.0025)/100)*(1+Inputs!$B$14/100)*(1+IF(Inputs!$B$4="pvp",0,(1-Summary!$B$55)*(Inputs!$B$19+0+Skills!P7)+Summary!$B$55*(Inputs!$B$20+Skills!Q7))/100)*(1+Inputs!$B$15/100)*(5000/(6000+Inputs!$B$7*(1-(Inputs!$B$18+0)/100)))*(1+(Inputs!$B$23+((C659=TRUE)*(F659-Calc!F24))+((C660=TRUE)*(F660-Calc!F25))+B673)/100)*(1+1.2*IF(C643=TRUE,F643,0)/100)*(1+(IF(Skills!A7="EMPOWERED_PIERCING_ARROW",(Inputs!$B$16+1)+((C657=TRUE)*(F657-Calc!F22)),Inputs!$B$17+((C662=TRUE)*(F662-Calc!F27))))/100)*((1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I642)</f>
        <v/>
      </c>
      <c r="L642">
        <f>K642*(MIN(Inputs!$B$21+((C658=TRUE)*(F658-Calc!F23)),Inputs!$B$22+((C663=TRUE)*(F663-Calc!F28)))/100+(Inputs!$B$22+((C663=TRUE)*(F663-Calc!F28)))/100)/2</f>
        <v/>
      </c>
      <c r="M642">
        <f>L642*(1+(Inputs!$B$9+0+B672)/100)</f>
        <v/>
      </c>
      <c r="N642">
        <f>L642*(1-MIN((Inputs!$B$8+((C654=TRUE)*(F654-Calc!F19))+B667),100)/100)+M642*(MIN((Inputs!$B$8+((C654=TRUE)*(F654-Calc!F19))+B667),100)/100)</f>
        <v/>
      </c>
      <c r="O642">
        <f>IF(C642,H642*N642*IF(AND(Inputs!$B$4&lt;&gt;"pvp",Inputs!$B$35&gt;0),((Skills!G7*((R642-1)*IF(Skills!H7&gt;0,Skills!I7/Skills!H7,1)+IF(Skills!H7&gt;0,MIN(Skills!I7,MAX(0,Inputs!$B$35-((R642-1)*IF(Inputs!$B$4="pvp",15,MAX(0.1,Skills!D7-IF(Skills!E7=TRUE,Inputs!$B$31,0))))))/Skills!H7,1)))/Inputs!$B$35),G642*Q642)*IF(Inputs!$B$4="pvp",1,(1-Summary!$B$55)*(1)+Summary!$B$55*(MIN(Skills!R7,Inputs!$B$37))),0)</f>
        <v/>
      </c>
      <c r="P642">
        <f>IF(B675=0,0,O642/B675)</f>
        <v/>
      </c>
      <c r="Q642">
        <f>IFERROR(1/IF(Inputs!$B$4="pvp",15,MAX(0.1,Skills!D7-IF(Skills!E7=TRUE,Inputs!$B$31,0))),0)</f>
        <v/>
      </c>
      <c r="R642">
        <f>IF(AND(Inputs!$B$4&lt;&gt;"pvp",Inputs!$B$35&gt;0),(INT(Inputs!$B$35/IF(Inputs!$B$4="pvp",15,MAX(0.1,Skills!D7-IF(Skills!E7=TRUE,Inputs!$B$31,0))))+1),0)</f>
        <v/>
      </c>
      <c r="S642">
        <f>IFERROR(O642/N642,0)</f>
        <v/>
      </c>
    </row>
    <row r="643">
      <c r="A643">
        <f>Skills!A8</f>
        <v/>
      </c>
      <c r="B643">
        <f>Skills!B8</f>
        <v/>
      </c>
      <c r="C643">
        <f>Inputs!$B$3&gt;=100</f>
        <v/>
      </c>
      <c r="D643">
        <f>IF(Skills!C8=1,60+Inputs!$B$24+Inputs!$B$28,IF(Skills!C8=2,90+Inputs!$B$25+Inputs!$B$28,IF(Skills!C8=3,120+Inputs!$B$26+Inputs!$B$28,MAX(0,(Inputs!$B$3-100)*3)+Inputs!$B$27+Inputs!$B$28)))</f>
        <v/>
      </c>
      <c r="E643">
        <f>INDEX(FactorTable!$B$2:$Y$301, MATCH(ROUND(MIN(300,MAX(1,D643)),0), FactorTable!$A$2:$A$301,0), Skills!M8+1)</f>
        <v/>
      </c>
      <c r="F643">
        <f>IF(Skills!N8=TRUE,(Skills!L8/10)*(E643/1000),Skills!L8/10)+Skills!O8</f>
        <v/>
      </c>
      <c r="G643" t="inlineStr"/>
      <c r="H643" t="inlineStr"/>
      <c r="I643" t="inlineStr">
        <is>
          <t>1</t>
        </is>
      </c>
      <c r="J643" t="inlineStr"/>
      <c r="K643" t="inlineStr"/>
      <c r="L643" t="inlineStr"/>
      <c r="M643" t="inlineStr"/>
      <c r="N643" t="inlineStr"/>
      <c r="O643" t="inlineStr"/>
      <c r="P643" t="inlineStr"/>
      <c r="Q643" t="inlineStr"/>
      <c r="R643" t="inlineStr"/>
      <c r="S643" t="inlineStr"/>
    </row>
    <row r="644">
      <c r="A644">
        <f>Skills!A9</f>
        <v/>
      </c>
      <c r="B644">
        <f>Skills!B9</f>
        <v/>
      </c>
      <c r="C644">
        <f>Inputs!$B$3&gt;=103</f>
        <v/>
      </c>
      <c r="D644">
        <f>IF(Skills!C9=1,60+Inputs!$B$24+Inputs!$B$28,IF(Skills!C9=2,90+Inputs!$B$25+Inputs!$B$28,IF(Skills!C9=3,120+Inputs!$B$26+Inputs!$B$28,MAX(0,(Inputs!$B$3-100)*3)+Inputs!$B$27+Inputs!$B$28)))</f>
        <v/>
      </c>
      <c r="E644">
        <f>INDEX(FactorTable!$B$2:$Y$301, MATCH(ROUND(MIN(300,MAX(1,D644)),0), FactorTable!$A$2:$A$301,0), Skills!M9+1)</f>
        <v/>
      </c>
      <c r="F644">
        <f>IF(Skills!N9=TRUE,(Skills!L9/10)*(E644/1000),Skills!L9/10)+Skills!O9</f>
        <v/>
      </c>
      <c r="G644">
        <f>Skills!G9*IF(Skills!H9&gt;0,Skills!I9/Skills!H9,1)</f>
        <v/>
      </c>
      <c r="H644">
        <f>1-(1-Skills!J9/100)^Skills!K9</f>
        <v/>
      </c>
      <c r="I644" t="inlineStr">
        <is>
          <t>1</t>
        </is>
      </c>
      <c r="J644">
        <f>(Inputs!$B$5*(1+Inputs!$B$6/100))*(F644/100)</f>
        <v/>
      </c>
      <c r="K644">
        <f>J644*(1+((Inputs!$B$11*(1+Inputs!$B$12/100))*0.01+Inputs!$B$13*0.0025)/100)*(1+Inputs!$B$14/100)*(1+IF(Inputs!$B$4="pvp",0,(1-Summary!$B$55)*(Inputs!$B$19+0+Skills!P9)+Summary!$B$55*(Inputs!$B$20+Skills!Q9))/100)*(1+Inputs!$B$15/100)*(5000/(6000+Inputs!$B$7*(1-(Inputs!$B$18+0)/100)))*(1+(Inputs!$B$23+((C659=TRUE)*(F659-Calc!F24))+((C660=TRUE)*(F660-Calc!F25))+B673)/100)*(1+(IF(Skills!A9="EMPOWERED_PIERCING_ARROW",(Inputs!$B$16+1)+((C657=TRUE)*(F657-Calc!F22)),Inputs!$B$17+((C662=TRUE)*(F662-Calc!F27))))/100)*((1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I644)</f>
        <v/>
      </c>
      <c r="L644">
        <f>K644*(MIN(Inputs!$B$21+((C658=TRUE)*(F658-Calc!F23)),Inputs!$B$22+((C663=TRUE)*(F663-Calc!F28)))/100+(Inputs!$B$22+((C663=TRUE)*(F663-Calc!F28)))/100)/2</f>
        <v/>
      </c>
      <c r="M644">
        <f>L644*(1+(Inputs!$B$9+0+B672)/100)</f>
        <v/>
      </c>
      <c r="N644">
        <f>L644*(1-MIN((Inputs!$B$8+((C654=TRUE)*(F654-Calc!F19))+B667),100)/100)+M644*(MIN((Inputs!$B$8+((C654=TRUE)*(F654-Calc!F19))+B667),100)/100)</f>
        <v/>
      </c>
      <c r="O644">
        <f>IF(C644,H644*N644*IF(AND(Inputs!$B$4&lt;&gt;"pvp",Inputs!$B$35&gt;0),((Skills!G9*((R644-1)*IF(Skills!H9&gt;0,Skills!I9/Skills!H9,1)+IF(Skills!H9&gt;0,MIN(Skills!I9,MAX(0,Inputs!$B$35-((R644-1)*IF(Inputs!$B$4="pvp",15,MAX(0.1,Skills!D9-IF(Skills!E9=TRUE,Inputs!$B$31,0))))))/Skills!H9,1)))/Inputs!$B$35),G644*Q644)*IF(Inputs!$B$4="pvp",1,(1-Summary!$B$55)*(1)+Summary!$B$55*(MIN(Skills!R9,Inputs!$B$37))),0)</f>
        <v/>
      </c>
      <c r="P644">
        <f>IF(B675=0,0,O644/B675)</f>
        <v/>
      </c>
      <c r="Q644">
        <f>IFERROR(1/IF(Inputs!$B$4="pvp",15,MAX(0.1,Skills!D9-IF(Skills!E9=TRUE,Inputs!$B$31,0))),0)</f>
        <v/>
      </c>
      <c r="R644">
        <f>IF(AND(Inputs!$B$4&lt;&gt;"pvp",Inputs!$B$35&gt;0),(INT(Inputs!$B$35/IF(Inputs!$B$4="pvp",15,MAX(0.1,Skills!D9-IF(Skills!E9=TRUE,Inputs!$B$31,0))))+1),0)</f>
        <v/>
      </c>
      <c r="S644">
        <f>IFERROR(O644/N644,0)</f>
        <v/>
      </c>
    </row>
    <row r="645">
      <c r="A645">
        <f>Skills!A10</f>
        <v/>
      </c>
      <c r="B645">
        <f>Skills!B10</f>
        <v/>
      </c>
      <c r="C645">
        <f>Inputs!$B$3&gt;=107</f>
        <v/>
      </c>
      <c r="D645">
        <f>IF(Skills!C10=1,60+Inputs!$B$24+Inputs!$B$28,IF(Skills!C10=2,90+Inputs!$B$25+Inputs!$B$28,IF(Skills!C10=3,120+Inputs!$B$26+Inputs!$B$28,MAX(0,(Inputs!$B$3-100)*3)+Inputs!$B$27+Inputs!$B$28)))</f>
        <v/>
      </c>
      <c r="E645">
        <f>INDEX(FactorTable!$B$2:$Y$301, MATCH(ROUND(MIN(300,MAX(1,D645)),0), FactorTable!$A$2:$A$301,0), Skills!M10+1)</f>
        <v/>
      </c>
      <c r="F645">
        <f>IF(Skills!N10=TRUE,(Skills!L10/10)*(E645/1000),Skills!L10/10)+Skills!O10</f>
        <v/>
      </c>
      <c r="G645">
        <f>Skills!G10*IF(Skills!H10&gt;0,Skills!I10/Skills!H10,1)</f>
        <v/>
      </c>
      <c r="H645">
        <f>1-(1-Skills!J10/100)^Skills!K10</f>
        <v/>
      </c>
      <c r="I645" t="inlineStr">
        <is>
          <t>1</t>
        </is>
      </c>
      <c r="J645">
        <f>(Inputs!$B$5*(1+Inputs!$B$6/100))*(F645/100)</f>
        <v/>
      </c>
      <c r="K645">
        <f>J645*(1+((Inputs!$B$11*(1+Inputs!$B$12/100))*0.01+Inputs!$B$13*0.0025)/100)*(1+Inputs!$B$14/100)*(1+IF(Inputs!$B$4="pvp",0,(1-Summary!$B$55)*(Inputs!$B$19+0+Skills!P10)+Summary!$B$55*(Inputs!$B$20+Skills!Q10))/100)*(1+Inputs!$B$15/100)*(5000/(6000+Inputs!$B$7*(1-(Inputs!$B$18+0)/100)))*(1+(Inputs!$B$23+((C659=TRUE)*(F659-Calc!F24))+((C660=TRUE)*(F660-Calc!F25))+B673)/100)*(1+(IF(Skills!A10="EMPOWERED_PIERCING_ARROW",(Inputs!$B$16+1)+((C657=TRUE)*(F657-Calc!F22)),Inputs!$B$17+((C662=TRUE)*(F662-Calc!F27))))/100)*((1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I645)</f>
        <v/>
      </c>
      <c r="L645">
        <f>K645*(MIN(Inputs!$B$21+((C658=TRUE)*(F658-Calc!F23)),Inputs!$B$22+((C663=TRUE)*(F663-Calc!F28)))/100+(Inputs!$B$22+((C663=TRUE)*(F663-Calc!F28)))/100)/2</f>
        <v/>
      </c>
      <c r="M645">
        <f>L645*(1+(Inputs!$B$9+0+B672)/100)</f>
        <v/>
      </c>
      <c r="N645">
        <f>L645*(1-MIN((Inputs!$B$8+((C654=TRUE)*(F654-Calc!F19))+B667),100)/100)+M645*(MIN((Inputs!$B$8+((C654=TRUE)*(F654-Calc!F19))+B667),100)/100)</f>
        <v/>
      </c>
      <c r="O645">
        <f>IF(C645,0.15*SUMPRODUCT((Skills!U2:U29=TRUE)*(C637:C664=TRUE)*S637:S664)*Skills!G10*N645*IF(Inputs!$B$4="pvp",1,(1-Summary!$B$55)*(1)+Summary!$B$55*(MIN(Skills!R10,Inputs!$B$37))),0)</f>
        <v/>
      </c>
      <c r="P645">
        <f>IF(B675=0,0,O645/B675)</f>
        <v/>
      </c>
      <c r="Q645" t="n">
        <v>0</v>
      </c>
      <c r="R645" t="n">
        <v>0</v>
      </c>
      <c r="S645" t="n">
        <v>0</v>
      </c>
    </row>
    <row r="646">
      <c r="A646">
        <f>Skills!A11</f>
        <v/>
      </c>
      <c r="B646">
        <f>Skills!B11</f>
        <v/>
      </c>
      <c r="C646">
        <f>Inputs!$B$3&gt;=110</f>
        <v/>
      </c>
      <c r="D646">
        <f>IF(Skills!C11=1,60+Inputs!$B$24+Inputs!$B$28,IF(Skills!C11=2,90+Inputs!$B$25+Inputs!$B$28,IF(Skills!C11=3,120+Inputs!$B$26+Inputs!$B$28,MAX(0,(Inputs!$B$3-100)*3)+Inputs!$B$27+Inputs!$B$28)))</f>
        <v/>
      </c>
      <c r="E646">
        <f>INDEX(FactorTable!$B$2:$Y$301, MATCH(ROUND(MIN(300,MAX(1,D646)),0), FactorTable!$A$2:$A$301,0), Skills!M11+1)</f>
        <v/>
      </c>
      <c r="F646">
        <f>IF(Skills!N11=TRUE,(Skills!L11/10)*(E646/1000),Skills!L11/10)+Skills!O11</f>
        <v/>
      </c>
      <c r="G646">
        <f>Skills!G11*IF(Skills!H11&gt;0,Skills!I11/Skills!H11,1)</f>
        <v/>
      </c>
      <c r="H646">
        <f>1-(1-Skills!J11/100)^Skills!K11</f>
        <v/>
      </c>
      <c r="I646" t="inlineStr">
        <is>
          <t>1</t>
        </is>
      </c>
      <c r="J646">
        <f>(Inputs!$B$5*(1+Inputs!$B$6/100))*(F646/100)</f>
        <v/>
      </c>
      <c r="K646">
        <f>J646*(1+((Inputs!$B$11*(1+Inputs!$B$12/100))*0.01+Inputs!$B$13*0.0025)/100)*(1+Inputs!$B$14/100)*(1+IF(Inputs!$B$4="pvp",0,(1-Summary!$B$55)*(Inputs!$B$19+0+Skills!P11)+Summary!$B$55*(Inputs!$B$20+Skills!Q11))/100)*(1+Inputs!$B$15/100)*(5000/(6000+Inputs!$B$7*(1-(Inputs!$B$18+0)/100)))*(1+(Inputs!$B$23+((C659=TRUE)*(F659-Calc!F24))+((C660=TRUE)*(F660-Calc!F25))+B673)/100)*(1+(IF(Skills!A11="EMPOWERED_PIERCING_ARROW",(Inputs!$B$16+1)+((C657=TRUE)*(F657-Calc!F22)),Inputs!$B$17+((C662=TRUE)*(F662-Calc!F27))))/100)*((1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I646)</f>
        <v/>
      </c>
      <c r="L646">
        <f>K646*(MIN(Inputs!$B$21+((C658=TRUE)*(F658-Calc!F23)),Inputs!$B$22+((C663=TRUE)*(F663-Calc!F28)))/100+(Inputs!$B$22+((C663=TRUE)*(F663-Calc!F28)))/100)/2</f>
        <v/>
      </c>
      <c r="M646">
        <f>L646*(1+(Inputs!$B$9+0+B672)/100)</f>
        <v/>
      </c>
      <c r="N646">
        <f>L646*(1-MIN((Inputs!$B$8+((C654=TRUE)*(F654-Calc!F19))+B667),100)/100)+M646*(MIN((Inputs!$B$8+((C654=TRUE)*(F654-Calc!F19))+B667),100)/100)</f>
        <v/>
      </c>
      <c r="O646">
        <f>IF(C646,H646*N646*IF(AND(Inputs!$B$4&lt;&gt;"pvp",Inputs!$B$35&gt;0),((Skills!G11*((R646-1)*IF(Skills!H11&gt;0,Skills!I11/Skills!H11,1)+IF(Skills!H11&gt;0,MIN(Skills!I11,MAX(0,Inputs!$B$35-((R646-1)*IF(Inputs!$B$4="pvp",15,MAX(0.1,Skills!D11-IF(Skills!E11=TRUE,Inputs!$B$31,0))))))/Skills!H11,1)))/Inputs!$B$35),G646*Q646)*IF(Inputs!$B$4="pvp",1,(1-Summary!$B$55)*(1)+Summary!$B$55*(MIN(Skills!R11,Inputs!$B$37))),0)</f>
        <v/>
      </c>
      <c r="P646">
        <f>IF(B675=0,0,O646/B675)</f>
        <v/>
      </c>
      <c r="Q646">
        <f>IFERROR(1/IF(Inputs!$B$4="pvp",15,MAX(0.1,Skills!D11-IF(Skills!E11=TRUE,Inputs!$B$31,0))),0)</f>
        <v/>
      </c>
      <c r="R646">
        <f>IF(AND(Inputs!$B$4&lt;&gt;"pvp",Inputs!$B$35&gt;0),(INT(Inputs!$B$35/IF(Inputs!$B$4="pvp",15,MAX(0.1,Skills!D11-IF(Skills!E11=TRUE,Inputs!$B$31,0))))+1),0)</f>
        <v/>
      </c>
      <c r="S646">
        <f>IFERROR(O646/N646,0)</f>
        <v/>
      </c>
    </row>
    <row r="647">
      <c r="A647">
        <f>Skills!A12</f>
        <v/>
      </c>
      <c r="B647">
        <f>Skills!B12</f>
        <v/>
      </c>
      <c r="C647">
        <f>Inputs!$B$3&gt;=60</f>
        <v/>
      </c>
      <c r="D647">
        <f>IF(Skills!C12=1,60+Inputs!$B$24+Inputs!$B$28,IF(Skills!C12=2,90+Inputs!$B$25+Inputs!$B$28,IF(Skills!C12=3,120+Inputs!$B$26+Inputs!$B$28,MAX(0,(Inputs!$B$3-100)*3)+Inputs!$B$27+Inputs!$B$28)))</f>
        <v/>
      </c>
      <c r="E647">
        <f>INDEX(FactorTable!$B$2:$Y$301, MATCH(ROUND(MIN(300,MAX(1,D647)),0), FactorTable!$A$2:$A$301,0), Skills!M12+1)</f>
        <v/>
      </c>
      <c r="F647">
        <f>IF(Skills!N12=TRUE,(Skills!L12/10)*(E647/1000),Skills!L12/10)+Skills!O12</f>
        <v/>
      </c>
      <c r="G647">
        <f>Skills!G12*IF(Skills!H12&gt;0,Skills!I12/Skills!H12,1)</f>
        <v/>
      </c>
      <c r="H647">
        <f>1-(1-Skills!J12/100)^Skills!K12</f>
        <v/>
      </c>
      <c r="I647" t="inlineStr">
        <is>
          <t>1</t>
        </is>
      </c>
      <c r="J647" t="inlineStr"/>
      <c r="K647" t="inlineStr"/>
      <c r="L647" t="inlineStr"/>
      <c r="M647" t="inlineStr"/>
      <c r="N647" t="inlineStr"/>
      <c r="O647" t="n">
        <v>0</v>
      </c>
      <c r="P647">
        <f>IF(B675=0,0,O647/B675)</f>
        <v/>
      </c>
      <c r="Q647" t="n">
        <v>0</v>
      </c>
      <c r="R647" t="n">
        <v>0</v>
      </c>
      <c r="S647">
        <f>IFERROR(O647/N647,0)</f>
        <v/>
      </c>
    </row>
    <row r="648">
      <c r="A648">
        <f>Skills!A13</f>
        <v/>
      </c>
      <c r="B648">
        <f>Skills!B13</f>
        <v/>
      </c>
      <c r="C648">
        <f>Inputs!$B$3&gt;=74</f>
        <v/>
      </c>
      <c r="D648">
        <f>IF(Skills!C13=1,60+Inputs!$B$24+Inputs!$B$28,IF(Skills!C13=2,90+Inputs!$B$25+Inputs!$B$28,IF(Skills!C13=3,120+Inputs!$B$26+Inputs!$B$28,MAX(0,(Inputs!$B$3-100)*3)+Inputs!$B$27+Inputs!$B$28)))</f>
        <v/>
      </c>
      <c r="E648">
        <f>INDEX(FactorTable!$B$2:$Y$301, MATCH(ROUND(MIN(300,MAX(1,D648)),0), FactorTable!$A$2:$A$301,0), Skills!M13+1)</f>
        <v/>
      </c>
      <c r="F648">
        <f>IF(Skills!N13=TRUE,(Skills!L13/10)*(E648/1000),Skills!L13/10)+Skills!O13</f>
        <v/>
      </c>
      <c r="G648">
        <f>Skills!G13*IF(Skills!H13&gt;0,Skills!I13/Skills!H13,1)</f>
        <v/>
      </c>
      <c r="H648">
        <f>1-(1-Skills!J13/100)^Skills!K13</f>
        <v/>
      </c>
      <c r="I648" t="inlineStr">
        <is>
          <t>1</t>
        </is>
      </c>
      <c r="J648" t="inlineStr"/>
      <c r="K648" t="inlineStr"/>
      <c r="L648" t="inlineStr"/>
      <c r="M648" t="inlineStr"/>
      <c r="N648" t="inlineStr"/>
      <c r="O648" t="n">
        <v>0</v>
      </c>
      <c r="P648">
        <f>IF(B675=0,0,O648/B675)</f>
        <v/>
      </c>
      <c r="Q648" t="n">
        <v>0</v>
      </c>
      <c r="R648" t="n">
        <v>0</v>
      </c>
      <c r="S648">
        <f>IFERROR(O648/N648,0)</f>
        <v/>
      </c>
    </row>
    <row r="649">
      <c r="A649">
        <f>Skills!A14</f>
        <v/>
      </c>
      <c r="B649">
        <f>Skills!B14</f>
        <v/>
      </c>
      <c r="C649">
        <f>Inputs!$B$3&gt;=74</f>
        <v/>
      </c>
      <c r="D649">
        <f>IF(Skills!C14=1,60+Inputs!$B$24+Inputs!$B$28,IF(Skills!C14=2,90+Inputs!$B$25+Inputs!$B$28,IF(Skills!C14=3,120+Inputs!$B$26+Inputs!$B$28,MAX(0,(Inputs!$B$3-100)*3)+Inputs!$B$27+Inputs!$B$28)))</f>
        <v/>
      </c>
      <c r="E649">
        <f>INDEX(FactorTable!$B$2:$Y$301, MATCH(ROUND(MIN(300,MAX(1,D649)),0), FactorTable!$A$2:$A$301,0), Skills!M14+1)</f>
        <v/>
      </c>
      <c r="F649">
        <f>IF(Skills!N14=TRUE,(Skills!L14/10)*(E649/1000),Skills!L14/10)+Skills!O14</f>
        <v/>
      </c>
      <c r="G649">
        <f>Skills!G14*IF(Skills!H14&gt;0,Skills!I14/Skills!H14,1)</f>
        <v/>
      </c>
      <c r="H649">
        <f>1-(1-Skills!J14/100)^Skills!K14</f>
        <v/>
      </c>
      <c r="I649" t="inlineStr">
        <is>
          <t>1</t>
        </is>
      </c>
      <c r="J649" t="inlineStr"/>
      <c r="K649" t="inlineStr"/>
      <c r="L649" t="inlineStr"/>
      <c r="M649" t="inlineStr"/>
      <c r="N649" t="inlineStr"/>
      <c r="O649" t="n">
        <v>0</v>
      </c>
      <c r="P649">
        <f>IF(B675=0,0,O649/B675)</f>
        <v/>
      </c>
      <c r="Q649" t="n">
        <v>0</v>
      </c>
      <c r="R649" t="n">
        <v>0</v>
      </c>
      <c r="S649">
        <f>IFERROR(O649/N649,0)</f>
        <v/>
      </c>
    </row>
    <row r="650">
      <c r="A650">
        <f>Skills!A15</f>
        <v/>
      </c>
      <c r="B650">
        <f>Skills!B15</f>
        <v/>
      </c>
      <c r="C650">
        <f>Inputs!$B$3&gt;=117</f>
        <v/>
      </c>
      <c r="D650">
        <f>IF(Skills!C15=1,60+Inputs!$B$24+Inputs!$B$28,IF(Skills!C15=2,90+Inputs!$B$25+Inputs!$B$28,IF(Skills!C15=3,120+Inputs!$B$26+Inputs!$B$28,MAX(0,(Inputs!$B$3-100)*3)+Inputs!$B$27+Inputs!$B$28)))</f>
        <v/>
      </c>
      <c r="E650">
        <f>INDEX(FactorTable!$B$2:$Y$301, MATCH(ROUND(MIN(300,MAX(1,D650)),0), FactorTable!$A$2:$A$301,0), Skills!M15+1)</f>
        <v/>
      </c>
      <c r="F650">
        <f>IF(Skills!N15=TRUE,(Skills!L15/10)*(E650/1000),Skills!L15/10)+Skills!O15</f>
        <v/>
      </c>
      <c r="G650">
        <f>Skills!G15*IF(Skills!H15&gt;0,Skills!I15/Skills!H15,1)</f>
        <v/>
      </c>
      <c r="H650">
        <f>1-(1-Skills!J15/100)^Skills!K15</f>
        <v/>
      </c>
      <c r="I650" t="inlineStr">
        <is>
          <t>1</t>
        </is>
      </c>
      <c r="J650" t="inlineStr"/>
      <c r="K650" t="inlineStr"/>
      <c r="L650" t="inlineStr"/>
      <c r="M650" t="inlineStr"/>
      <c r="N650" t="inlineStr"/>
      <c r="O650" t="n">
        <v>0</v>
      </c>
      <c r="P650">
        <f>IF(B675=0,0,O650/B675)</f>
        <v/>
      </c>
      <c r="Q650">
        <f>IFERROR(1/IF(Inputs!$B$4="pvp",15,MAX(0.1,Skills!D15-IF(Skills!E15=TRUE,Inputs!$B$31,0))),0)</f>
        <v/>
      </c>
      <c r="R650">
        <f>IF(AND(Inputs!$B$4&lt;&gt;"pvp",Inputs!$B$35&gt;0),(INT(Inputs!$B$35/IF(Inputs!$B$4="pvp",15,MAX(0.1,Skills!D15-IF(Skills!E15=TRUE,Inputs!$B$31,0))))+1),0)</f>
        <v/>
      </c>
      <c r="S650">
        <f>IFERROR(O650/N650,0)</f>
        <v/>
      </c>
    </row>
    <row r="651">
      <c r="A651">
        <f>Skills!A16</f>
        <v/>
      </c>
      <c r="B651">
        <f>Skills!B16</f>
        <v/>
      </c>
      <c r="C651">
        <f>Inputs!$B$3&gt;=115</f>
        <v/>
      </c>
      <c r="D651">
        <f>IF(Skills!C16=1,60+Inputs!$B$24+Inputs!$B$28,IF(Skills!C16=2,90+Inputs!$B$25+Inputs!$B$28,IF(Skills!C16=3,120+Inputs!$B$26+Inputs!$B$28,MAX(0,(Inputs!$B$3-100)*3)+Inputs!$B$27+Inputs!$B$28)))</f>
        <v/>
      </c>
      <c r="E651">
        <f>INDEX(FactorTable!$B$2:$Y$301, MATCH(ROUND(MIN(300,MAX(1,D651)),0), FactorTable!$A$2:$A$301,0), Skills!M16+1)</f>
        <v/>
      </c>
      <c r="F651">
        <f>IF(Skills!N16=TRUE,(Skills!L16/10)*(E651/1000),Skills!L16/10)+Skills!O16</f>
        <v/>
      </c>
      <c r="G651">
        <f>Skills!G16*IF(Skills!H16&gt;0,Skills!I16/Skills!H16,1)</f>
        <v/>
      </c>
      <c r="H651">
        <f>1-(1-Skills!J16/100)^Skills!K16</f>
        <v/>
      </c>
      <c r="I651" t="inlineStr">
        <is>
          <t>1</t>
        </is>
      </c>
      <c r="J651" t="inlineStr"/>
      <c r="K651" t="inlineStr"/>
      <c r="L651" t="inlineStr"/>
      <c r="M651" t="inlineStr"/>
      <c r="N651" t="inlineStr"/>
      <c r="O651" t="n">
        <v>0</v>
      </c>
      <c r="P651">
        <f>IF(B675=0,0,O651/B675)</f>
        <v/>
      </c>
      <c r="Q651">
        <f>IFERROR(1/IF(Inputs!$B$4="pvp",15,MAX(0.1,Skills!D16-IF(Skills!E16=TRUE,Inputs!$B$31,0))),0)</f>
        <v/>
      </c>
      <c r="R651">
        <f>IF(AND(Inputs!$B$4&lt;&gt;"pvp",Inputs!$B$35&gt;0),(INT(Inputs!$B$35/IF(Inputs!$B$4="pvp",15,MAX(0.1,Skills!D16-IF(Skills!E16=TRUE,Inputs!$B$31,0))))+1),0)</f>
        <v/>
      </c>
      <c r="S651">
        <f>IFERROR(O651/N651,0)</f>
        <v/>
      </c>
    </row>
    <row r="652">
      <c r="A652">
        <f>Skills!A17</f>
        <v/>
      </c>
      <c r="B652">
        <f>Skills!B17</f>
        <v/>
      </c>
      <c r="C652">
        <f>Inputs!$B$3&gt;=72</f>
        <v/>
      </c>
      <c r="D652">
        <f>IF(Skills!C17=1,60+Inputs!$B$24+Inputs!$B$28,IF(Skills!C17=2,90+Inputs!$B$25+Inputs!$B$28,IF(Skills!C17=3,120+Inputs!$B$26+Inputs!$B$28,MAX(0,(Inputs!$B$3-100)*3)+Inputs!$B$27+Inputs!$B$28)))</f>
        <v/>
      </c>
      <c r="E652">
        <f>INDEX(FactorTable!$B$2:$Y$301, MATCH(ROUND(MIN(300,MAX(1,D652)),0), FactorTable!$A$2:$A$301,0), Skills!M17+1)</f>
        <v/>
      </c>
      <c r="F652">
        <f>IF(Skills!N17=TRUE,(Skills!L17/10)*(E652/1000),Skills!L17/10)+Skills!O17</f>
        <v/>
      </c>
      <c r="G652">
        <f>Skills!G17*IF(Skills!H17&gt;0,Skills!I17/Skills!H17,1)</f>
        <v/>
      </c>
      <c r="H652">
        <f>1-(1-Skills!J17/100)^Skills!K17</f>
        <v/>
      </c>
      <c r="I652" t="inlineStr">
        <is>
          <t>1</t>
        </is>
      </c>
      <c r="J652" t="inlineStr"/>
      <c r="K652" t="inlineStr"/>
      <c r="L652" t="inlineStr"/>
      <c r="M652" t="inlineStr"/>
      <c r="N652" t="inlineStr"/>
      <c r="O652" t="n">
        <v>0</v>
      </c>
      <c r="P652">
        <f>IF(B675=0,0,O652/B675)</f>
        <v/>
      </c>
      <c r="Q652" t="n">
        <v>0</v>
      </c>
      <c r="R652" t="n">
        <v>0</v>
      </c>
      <c r="S652">
        <f>IFERROR(O652/N652,0)</f>
        <v/>
      </c>
    </row>
    <row r="653">
      <c r="A653">
        <f>Skills!A18</f>
        <v/>
      </c>
      <c r="B653">
        <f>Skills!B18</f>
        <v/>
      </c>
      <c r="C653">
        <f>TRUE</f>
        <v/>
      </c>
      <c r="D653">
        <f>IF(Skills!C18=1,60+Inputs!$B$24+Inputs!$B$28,IF(Skills!C18=2,90+Inputs!$B$25+Inputs!$B$28,IF(Skills!C18=3,120+Inputs!$B$26+Inputs!$B$28,MAX(0,(Inputs!$B$3-100)*3)+Inputs!$B$27+Inputs!$B$28)))</f>
        <v/>
      </c>
      <c r="E653">
        <f>INDEX(FactorTable!$B$2:$Y$301, MATCH(ROUND(MIN(300,MAX(1,D653)),0), FactorTable!$A$2:$A$301,0), Skills!M18+1)</f>
        <v/>
      </c>
      <c r="F653">
        <f>IF(Skills!N18=TRUE,(Skills!L18/10)*(E653/1000),Skills!L18/10)+Skills!O18</f>
        <v/>
      </c>
      <c r="G653">
        <f>Skills!G18*IF(Skills!H18&gt;0,Skills!I18/Skills!H18,1)</f>
        <v/>
      </c>
      <c r="H653">
        <f>1-(1-Skills!J18/100)^Skills!K18</f>
        <v/>
      </c>
      <c r="I653" t="inlineStr">
        <is>
          <t>1</t>
        </is>
      </c>
      <c r="J653" t="inlineStr"/>
      <c r="K653" t="inlineStr"/>
      <c r="L653" t="inlineStr"/>
      <c r="M653" t="inlineStr"/>
      <c r="N653" t="inlineStr"/>
      <c r="O653" t="n">
        <v>0</v>
      </c>
      <c r="P653">
        <f>IF(B675=0,0,O653/B675)</f>
        <v/>
      </c>
      <c r="Q653">
        <f>IFERROR(1/IF(Inputs!$B$4="pvp",15,MAX(0.1,Skills!D18-IF(Skills!E18=TRUE,Inputs!$B$31,0))),0)</f>
        <v/>
      </c>
      <c r="R653">
        <f>IF(AND(Inputs!$B$4&lt;&gt;"pvp",Inputs!$B$35&gt;0),(INT(Inputs!$B$35/IF(Inputs!$B$4="pvp",15,MAX(0.1,Skills!D18-IF(Skills!E18=TRUE,Inputs!$B$31,0))))+1),0)</f>
        <v/>
      </c>
      <c r="S653">
        <f>IFERROR(O653/N653,0)</f>
        <v/>
      </c>
    </row>
    <row r="654">
      <c r="A654">
        <f>Skills!A19</f>
        <v/>
      </c>
      <c r="B654">
        <f>Skills!B19</f>
        <v/>
      </c>
      <c r="C654">
        <f>Inputs!$B$3&gt;=15</f>
        <v/>
      </c>
      <c r="D654">
        <f>IF(Skills!C19=1,60+Inputs!$B$24+Inputs!$B$28,IF(Skills!C19=2,90+Inputs!$B$25+Inputs!$B$28,IF(Skills!C19=3,120+Inputs!$B$26+Inputs!$B$28,MAX(0,(Inputs!$B$3-100)*3)+Inputs!$B$27+Inputs!$B$28)))</f>
        <v/>
      </c>
      <c r="E654">
        <f>INDEX(FactorTable!$B$2:$Y$301, MATCH(ROUND(MIN(300,MAX(1,D654)),0), FactorTable!$A$2:$A$301,0), Skills!M19+1)</f>
        <v/>
      </c>
      <c r="F654">
        <f>IF(Skills!N19=TRUE,(Skills!L19/10)*(E654/1000),Skills!L19/10)+Skills!O19</f>
        <v/>
      </c>
      <c r="G654">
        <f>Skills!G19*IF(Skills!H19&gt;0,Skills!I19/Skills!H19,1)</f>
        <v/>
      </c>
      <c r="H654">
        <f>1-(1-Skills!J19/100)^Skills!K19</f>
        <v/>
      </c>
      <c r="I654" t="inlineStr">
        <is>
          <t>1</t>
        </is>
      </c>
      <c r="J654" t="inlineStr"/>
      <c r="K654" t="inlineStr"/>
      <c r="L654" t="inlineStr"/>
      <c r="M654" t="inlineStr"/>
      <c r="N654" t="inlineStr"/>
      <c r="O654" t="n">
        <v>0</v>
      </c>
      <c r="P654">
        <f>IF(B675=0,0,O654/B675)</f>
        <v/>
      </c>
      <c r="Q654" t="n">
        <v>0</v>
      </c>
      <c r="R654" t="n">
        <v>0</v>
      </c>
      <c r="S654">
        <f>IFERROR(O654/N654,0)</f>
        <v/>
      </c>
    </row>
    <row r="655">
      <c r="A655">
        <f>Skills!A20</f>
        <v/>
      </c>
      <c r="B655">
        <f>Skills!B20</f>
        <v/>
      </c>
      <c r="C655">
        <f>Inputs!$B$3&gt;=10</f>
        <v/>
      </c>
      <c r="D655">
        <f>IF(Skills!C20=1,60+Inputs!$B$24+Inputs!$B$28,IF(Skills!C20=2,90+Inputs!$B$25+Inputs!$B$28,IF(Skills!C20=3,120+Inputs!$B$26+Inputs!$B$28,MAX(0,(Inputs!$B$3-100)*3)+Inputs!$B$27+Inputs!$B$28)))</f>
        <v/>
      </c>
      <c r="E655">
        <f>INDEX(FactorTable!$B$2:$Y$301, MATCH(ROUND(MIN(300,MAX(1,D655)),0), FactorTable!$A$2:$A$301,0), Skills!M20+1)</f>
        <v/>
      </c>
      <c r="F655">
        <f>IF(Skills!N20=TRUE,(Skills!L20/10)*(E655/1000),Skills!L20/10)+Skills!O20</f>
        <v/>
      </c>
      <c r="G655">
        <f>Skills!G20*IF(Skills!H20&gt;0,Skills!I20/Skills!H20,1)</f>
        <v/>
      </c>
      <c r="H655">
        <f>1-(1-Skills!J20/100)^Skills!K20</f>
        <v/>
      </c>
      <c r="I655" t="inlineStr">
        <is>
          <t>1</t>
        </is>
      </c>
      <c r="J655" t="inlineStr"/>
      <c r="K655" t="inlineStr"/>
      <c r="L655" t="inlineStr"/>
      <c r="M655" t="inlineStr"/>
      <c r="N655" t="inlineStr"/>
      <c r="O655" t="n">
        <v>0</v>
      </c>
      <c r="P655">
        <f>IF(B675=0,0,O655/B675)</f>
        <v/>
      </c>
      <c r="Q655" t="n">
        <v>0</v>
      </c>
      <c r="R655" t="n">
        <v>0</v>
      </c>
      <c r="S655">
        <f>IFERROR(O655/N655,0)</f>
        <v/>
      </c>
    </row>
    <row r="656">
      <c r="A656">
        <f>Skills!A21</f>
        <v/>
      </c>
      <c r="B656">
        <f>Skills!B21</f>
        <v/>
      </c>
      <c r="C656">
        <f>Inputs!$B$3&gt;=33</f>
        <v/>
      </c>
      <c r="D656">
        <f>IF(Skills!C21=1,60+Inputs!$B$24+Inputs!$B$28,IF(Skills!C21=2,90+Inputs!$B$25+Inputs!$B$28,IF(Skills!C21=3,120+Inputs!$B$26+Inputs!$B$28,MAX(0,(Inputs!$B$3-100)*3)+Inputs!$B$27+Inputs!$B$28)))</f>
        <v/>
      </c>
      <c r="E656">
        <f>INDEX(FactorTable!$B$2:$Y$301, MATCH(ROUND(MIN(300,MAX(1,D656)),0), FactorTable!$A$2:$A$301,0), Skills!M21+1)</f>
        <v/>
      </c>
      <c r="F656">
        <f>IF(Skills!N21=TRUE,(Skills!L21/10)*(E656/1000),Skills!L21/10)+Skills!O21</f>
        <v/>
      </c>
      <c r="G656">
        <f>Skills!G21*IF(Skills!H21&gt;0,Skills!I21/Skills!H21,1)</f>
        <v/>
      </c>
      <c r="H656">
        <f>1-(1-Skills!J21/100)^Skills!K21</f>
        <v/>
      </c>
      <c r="I656" t="inlineStr">
        <is>
          <t>1</t>
        </is>
      </c>
      <c r="J656" t="inlineStr"/>
      <c r="K656" t="inlineStr"/>
      <c r="L656" t="inlineStr"/>
      <c r="M656" t="inlineStr"/>
      <c r="N656" t="inlineStr"/>
      <c r="O656" t="n">
        <v>0</v>
      </c>
      <c r="P656">
        <f>IF(B675=0,0,O656/B675)</f>
        <v/>
      </c>
      <c r="Q656" t="n">
        <v>0</v>
      </c>
      <c r="R656" t="n">
        <v>0</v>
      </c>
      <c r="S656">
        <f>IFERROR(O656/N656,0)</f>
        <v/>
      </c>
    </row>
    <row r="657">
      <c r="A657">
        <f>Skills!A22</f>
        <v/>
      </c>
      <c r="B657">
        <f>Skills!B22</f>
        <v/>
      </c>
      <c r="C657">
        <f>Inputs!$B$3&gt;=38</f>
        <v/>
      </c>
      <c r="D657">
        <f>IF(Skills!C22=1,60+Inputs!$B$24+Inputs!$B$28,IF(Skills!C22=2,90+Inputs!$B$25+Inputs!$B$28,IF(Skills!C22=3,120+Inputs!$B$26+Inputs!$B$28,MAX(0,(Inputs!$B$3-100)*3)+Inputs!$B$27+Inputs!$B$28)))</f>
        <v/>
      </c>
      <c r="E657">
        <f>INDEX(FactorTable!$B$2:$Y$301, MATCH(ROUND(MIN(300,MAX(1,D657)),0), FactorTable!$A$2:$A$301,0), Skills!M22+1)</f>
        <v/>
      </c>
      <c r="F657">
        <f>IF(Skills!N22=TRUE,(Skills!L22/10)*(E657/1000),Skills!L22/10)+Skills!O22</f>
        <v/>
      </c>
      <c r="G657">
        <f>Skills!G22*IF(Skills!H22&gt;0,Skills!I22/Skills!H22,1)</f>
        <v/>
      </c>
      <c r="H657">
        <f>1-(1-Skills!J22/100)^Skills!K22</f>
        <v/>
      </c>
      <c r="I657" t="inlineStr">
        <is>
          <t>1</t>
        </is>
      </c>
      <c r="J657" t="inlineStr"/>
      <c r="K657" t="inlineStr"/>
      <c r="L657" t="inlineStr"/>
      <c r="M657" t="inlineStr"/>
      <c r="N657" t="inlineStr"/>
      <c r="O657" t="n">
        <v>0</v>
      </c>
      <c r="P657">
        <f>IF(B675=0,0,O657/B675)</f>
        <v/>
      </c>
      <c r="Q657" t="n">
        <v>0</v>
      </c>
      <c r="R657" t="n">
        <v>0</v>
      </c>
      <c r="S657">
        <f>IFERROR(O657/N657,0)</f>
        <v/>
      </c>
    </row>
    <row r="658">
      <c r="A658">
        <f>Skills!A23</f>
        <v/>
      </c>
      <c r="B658">
        <f>Skills!B23</f>
        <v/>
      </c>
      <c r="C658">
        <f>Inputs!$B$3&gt;=43</f>
        <v/>
      </c>
      <c r="D658">
        <f>IF(Skills!C23=1,60+Inputs!$B$24+Inputs!$B$28,IF(Skills!C23=2,90+Inputs!$B$25+Inputs!$B$28,IF(Skills!C23=3,120+Inputs!$B$26+Inputs!$B$28,MAX(0,(Inputs!$B$3-100)*3)+Inputs!$B$27+Inputs!$B$28)))</f>
        <v/>
      </c>
      <c r="E658">
        <f>INDEX(FactorTable!$B$2:$Y$301, MATCH(ROUND(MIN(300,MAX(1,D658)),0), FactorTable!$A$2:$A$301,0), Skills!M23+1)</f>
        <v/>
      </c>
      <c r="F658">
        <f>IF(Skills!N23=TRUE,(Skills!L23/10)*(E658/1000),Skills!L23/10)+Skills!O23</f>
        <v/>
      </c>
      <c r="G658">
        <f>Skills!G23*IF(Skills!H23&gt;0,Skills!I23/Skills!H23,1)</f>
        <v/>
      </c>
      <c r="H658">
        <f>1-(1-Skills!J23/100)^Skills!K23</f>
        <v/>
      </c>
      <c r="I658" t="inlineStr">
        <is>
          <t>1</t>
        </is>
      </c>
      <c r="J658" t="inlineStr"/>
      <c r="K658" t="inlineStr"/>
      <c r="L658" t="inlineStr"/>
      <c r="M658" t="inlineStr"/>
      <c r="N658" t="inlineStr"/>
      <c r="O658" t="n">
        <v>0</v>
      </c>
      <c r="P658">
        <f>IF(B675=0,0,O658/B675)</f>
        <v/>
      </c>
      <c r="Q658" t="n">
        <v>0</v>
      </c>
      <c r="R658" t="n">
        <v>0</v>
      </c>
      <c r="S658">
        <f>IFERROR(O658/N658,0)</f>
        <v/>
      </c>
    </row>
    <row r="659">
      <c r="A659">
        <f>Skills!A24</f>
        <v/>
      </c>
      <c r="B659">
        <f>Skills!B24</f>
        <v/>
      </c>
      <c r="C659">
        <f>Inputs!$B$3&gt;=75</f>
        <v/>
      </c>
      <c r="D659">
        <f>IF(Skills!C24=1,60+Inputs!$B$24+Inputs!$B$28,IF(Skills!C24=2,90+Inputs!$B$25+Inputs!$B$28,IF(Skills!C24=3,120+Inputs!$B$26+Inputs!$B$28,MAX(0,(Inputs!$B$3-100)*3)+Inputs!$B$27+Inputs!$B$28)))</f>
        <v/>
      </c>
      <c r="E659">
        <f>INDEX(FactorTable!$B$2:$Y$301, MATCH(ROUND(MIN(300,MAX(1,D659)),0), FactorTable!$A$2:$A$301,0), Skills!M24+1)</f>
        <v/>
      </c>
      <c r="F659">
        <f>IF(Skills!N24=TRUE,(Skills!L24/10)*(E659/1000),Skills!L24/10)+Skills!O24</f>
        <v/>
      </c>
      <c r="G659">
        <f>Skills!G24*IF(Skills!H24&gt;0,Skills!I24/Skills!H24,1)</f>
        <v/>
      </c>
      <c r="H659">
        <f>1-(1-Skills!J24/100)^Skills!K24</f>
        <v/>
      </c>
      <c r="I659" t="inlineStr">
        <is>
          <t>1</t>
        </is>
      </c>
      <c r="J659" t="inlineStr"/>
      <c r="K659" t="inlineStr"/>
      <c r="L659" t="inlineStr"/>
      <c r="M659" t="inlineStr"/>
      <c r="N659" t="inlineStr"/>
      <c r="O659" t="n">
        <v>0</v>
      </c>
      <c r="P659">
        <f>IF(B675=0,0,O659/B675)</f>
        <v/>
      </c>
      <c r="Q659" t="n">
        <v>0</v>
      </c>
      <c r="R659" t="n">
        <v>0</v>
      </c>
      <c r="S659">
        <f>IFERROR(O659/N659,0)</f>
        <v/>
      </c>
    </row>
    <row r="660">
      <c r="A660">
        <f>Skills!A25</f>
        <v/>
      </c>
      <c r="B660">
        <f>Skills!B25</f>
        <v/>
      </c>
      <c r="C660">
        <f>Inputs!$B$3&gt;=125</f>
        <v/>
      </c>
      <c r="D660">
        <f>IF(Skills!C25=1,60+Inputs!$B$24+Inputs!$B$28,IF(Skills!C25=2,90+Inputs!$B$25+Inputs!$B$28,IF(Skills!C25=3,120+Inputs!$B$26+Inputs!$B$28,MAX(0,(Inputs!$B$3-100)*3)+Inputs!$B$27+Inputs!$B$28)))</f>
        <v/>
      </c>
      <c r="E660">
        <f>INDEX(FactorTable!$B$2:$Y$301, MATCH(ROUND(MIN(300,MAX(1,D660)),0), FactorTable!$A$2:$A$301,0), Skills!M25+1)</f>
        <v/>
      </c>
      <c r="F660">
        <f>IF(Skills!N25=TRUE,(Skills!L25/10)*(E660/1000),Skills!L25/10)+Skills!O25</f>
        <v/>
      </c>
      <c r="G660">
        <f>Skills!G25*IF(Skills!H25&gt;0,Skills!I25/Skills!H25,1)</f>
        <v/>
      </c>
      <c r="H660">
        <f>1-(1-Skills!J25/100)^Skills!K25</f>
        <v/>
      </c>
      <c r="I660" t="inlineStr">
        <is>
          <t>1</t>
        </is>
      </c>
      <c r="J660" t="inlineStr"/>
      <c r="K660" t="inlineStr"/>
      <c r="L660" t="inlineStr"/>
      <c r="M660" t="inlineStr"/>
      <c r="N660" t="inlineStr"/>
      <c r="O660" t="n">
        <v>0</v>
      </c>
      <c r="P660">
        <f>IF(B675=0,0,O660/B675)</f>
        <v/>
      </c>
      <c r="Q660" t="n">
        <v>0</v>
      </c>
      <c r="R660" t="n">
        <v>0</v>
      </c>
      <c r="S660">
        <f>IFERROR(O660/N660,0)</f>
        <v/>
      </c>
    </row>
    <row r="661">
      <c r="A661">
        <f>Skills!A26</f>
        <v/>
      </c>
      <c r="B661">
        <f>Skills!B26</f>
        <v/>
      </c>
      <c r="C661">
        <f>Inputs!$B$3&gt;=125</f>
        <v/>
      </c>
      <c r="D661">
        <f>IF(Skills!C26=1,60+Inputs!$B$24+Inputs!$B$28,IF(Skills!C26=2,90+Inputs!$B$25+Inputs!$B$28,IF(Skills!C26=3,120+Inputs!$B$26+Inputs!$B$28,MAX(0,(Inputs!$B$3-100)*3)+Inputs!$B$27+Inputs!$B$28)))</f>
        <v/>
      </c>
      <c r="E661">
        <f>INDEX(FactorTable!$B$2:$Y$301, MATCH(ROUND(MIN(300,MAX(1,D661)),0), FactorTable!$A$2:$A$301,0), Skills!M26+1)</f>
        <v/>
      </c>
      <c r="F661">
        <f>IF(Skills!N26=TRUE,(Skills!L26/10)*(E661/1000),Skills!L26/10)+Skills!O26</f>
        <v/>
      </c>
      <c r="G661">
        <f>Skills!G26*IF(Skills!H26&gt;0,Skills!I26/Skills!H26,1)</f>
        <v/>
      </c>
      <c r="H661">
        <f>1-(1-Skills!J26/100)^Skills!K26</f>
        <v/>
      </c>
      <c r="I661" t="inlineStr">
        <is>
          <t>1</t>
        </is>
      </c>
      <c r="J661" t="inlineStr"/>
      <c r="K661" t="inlineStr"/>
      <c r="L661" t="inlineStr"/>
      <c r="M661" t="inlineStr"/>
      <c r="N661" t="inlineStr"/>
      <c r="O661" t="n">
        <v>0</v>
      </c>
      <c r="P661">
        <f>IF(B675=0,0,O661/B675)</f>
        <v/>
      </c>
      <c r="Q661" t="n">
        <v>0</v>
      </c>
      <c r="R661" t="n">
        <v>0</v>
      </c>
      <c r="S661">
        <f>IFERROR(O661/N661,0)</f>
        <v/>
      </c>
    </row>
    <row r="662">
      <c r="A662">
        <f>Skills!A27</f>
        <v/>
      </c>
      <c r="B662">
        <f>Skills!B27</f>
        <v/>
      </c>
      <c r="C662">
        <f>Inputs!$B$3&gt;=120</f>
        <v/>
      </c>
      <c r="D662">
        <f>IF(Skills!C27=1,60+Inputs!$B$24+Inputs!$B$28,IF(Skills!C27=2,90+Inputs!$B$25+Inputs!$B$28,IF(Skills!C27=3,120+Inputs!$B$26+Inputs!$B$28,MAX(0,(Inputs!$B$3-100)*3)+Inputs!$B$27+Inputs!$B$28)))</f>
        <v/>
      </c>
      <c r="E662">
        <f>INDEX(FactorTable!$B$2:$Y$301, MATCH(ROUND(MIN(300,MAX(1,D662)),0), FactorTable!$A$2:$A$301,0), Skills!M27+1)</f>
        <v/>
      </c>
      <c r="F662">
        <f>IF(Skills!N27=TRUE,(Skills!L27/10)*(E662/1000),Skills!L27/10)+Skills!O27</f>
        <v/>
      </c>
      <c r="G662">
        <f>Skills!G27*IF(Skills!H27&gt;0,Skills!I27/Skills!H27,1)</f>
        <v/>
      </c>
      <c r="H662">
        <f>1-(1-Skills!J27/100)^Skills!K27</f>
        <v/>
      </c>
      <c r="I662" t="inlineStr">
        <is>
          <t>1</t>
        </is>
      </c>
      <c r="J662" t="inlineStr"/>
      <c r="K662" t="inlineStr"/>
      <c r="L662" t="inlineStr"/>
      <c r="M662" t="inlineStr"/>
      <c r="N662" t="inlineStr"/>
      <c r="O662" t="n">
        <v>0</v>
      </c>
      <c r="P662">
        <f>IF(B675=0,0,O662/B675)</f>
        <v/>
      </c>
      <c r="Q662" t="n">
        <v>0</v>
      </c>
      <c r="R662" t="n">
        <v>0</v>
      </c>
      <c r="S662">
        <f>IFERROR(O662/N662,0)</f>
        <v/>
      </c>
    </row>
    <row r="663">
      <c r="A663">
        <f>Skills!A28</f>
        <v/>
      </c>
      <c r="B663">
        <f>Skills!B28</f>
        <v/>
      </c>
      <c r="C663">
        <f>Inputs!$B$3&gt;=120</f>
        <v/>
      </c>
      <c r="D663">
        <f>IF(Skills!C28=1,60+Inputs!$B$24+Inputs!$B$28,IF(Skills!C28=2,90+Inputs!$B$25+Inputs!$B$28,IF(Skills!C28=3,120+Inputs!$B$26+Inputs!$B$28,MAX(0,(Inputs!$B$3-100)*3)+Inputs!$B$27+Inputs!$B$28)))</f>
        <v/>
      </c>
      <c r="E663">
        <f>INDEX(FactorTable!$B$2:$Y$301, MATCH(ROUND(MIN(300,MAX(1,D663)),0), FactorTable!$A$2:$A$301,0), Skills!M28+1)</f>
        <v/>
      </c>
      <c r="F663">
        <f>IF(Skills!N28=TRUE,(Skills!L28/10)*(E663/1000),Skills!L28/10)+Skills!O28</f>
        <v/>
      </c>
      <c r="G663">
        <f>Skills!G28*IF(Skills!H28&gt;0,Skills!I28/Skills!H28,1)</f>
        <v/>
      </c>
      <c r="H663">
        <f>1-(1-Skills!J28/100)^Skills!K28</f>
        <v/>
      </c>
      <c r="I663" t="inlineStr">
        <is>
          <t>1</t>
        </is>
      </c>
      <c r="J663" t="inlineStr"/>
      <c r="K663" t="inlineStr"/>
      <c r="L663" t="inlineStr"/>
      <c r="M663" t="inlineStr"/>
      <c r="N663" t="inlineStr"/>
      <c r="O663" t="n">
        <v>0</v>
      </c>
      <c r="P663">
        <f>IF(B675=0,0,O663/B675)</f>
        <v/>
      </c>
      <c r="Q663" t="n">
        <v>0</v>
      </c>
      <c r="R663" t="n">
        <v>0</v>
      </c>
      <c r="S663">
        <f>IFERROR(O663/N663,0)</f>
        <v/>
      </c>
    </row>
    <row r="664">
      <c r="A664">
        <f>Skills!A29</f>
        <v/>
      </c>
      <c r="B664">
        <f>Skills!B29</f>
        <v/>
      </c>
      <c r="C664">
        <f>Inputs!$B$3&gt;=45</f>
        <v/>
      </c>
      <c r="D664">
        <f>IF(Skills!C29=1,60+Inputs!$B$24+Inputs!$B$28,IF(Skills!C29=2,90+Inputs!$B$25+Inputs!$B$28,IF(Skills!C29=3,120+Inputs!$B$26+Inputs!$B$28,MAX(0,(Inputs!$B$3-100)*3)+Inputs!$B$27+Inputs!$B$28)))</f>
        <v/>
      </c>
      <c r="E664">
        <f>INDEX(FactorTable!$B$2:$Y$301, MATCH(ROUND(MIN(300,MAX(1,D664)),0), FactorTable!$A$2:$A$301,0), Skills!M29+1)</f>
        <v/>
      </c>
      <c r="F664">
        <f>IF(Skills!N29=TRUE,(Skills!L29/10)*(E664/1000),Skills!L29/10)+Skills!O29</f>
        <v/>
      </c>
      <c r="G664">
        <f>Skills!G29*IF(Skills!H29&gt;0,Skills!I29/Skills!H29,1)</f>
        <v/>
      </c>
      <c r="H664">
        <f>1-(1-Skills!J29/100)^Skills!K29</f>
        <v/>
      </c>
      <c r="I664" t="inlineStr">
        <is>
          <t>1</t>
        </is>
      </c>
      <c r="J664" t="inlineStr"/>
      <c r="K664" t="inlineStr"/>
      <c r="L664" t="inlineStr"/>
      <c r="M664" t="inlineStr"/>
      <c r="N664" t="inlineStr"/>
      <c r="O664" t="n">
        <v>0</v>
      </c>
      <c r="P664">
        <f>IF(B675=0,0,O664/B675)</f>
        <v/>
      </c>
      <c r="Q664" t="n">
        <v>0</v>
      </c>
      <c r="R664" t="n">
        <v>0</v>
      </c>
      <c r="S664">
        <f>IFERROR(O664/N664,0)</f>
        <v/>
      </c>
    </row>
    <row r="666">
      <c r="A666" t="inlineStr">
        <is>
          <t>Attack% Bucket Multiplier</t>
        </is>
      </c>
      <c r="B666">
        <f>(1+(((C648=TRUE)*F648)+((C649=TRUE)*IF(Inputs!$B$4="pvp",F649,(1-Summary!$B$55)*(F649)+Summary!$B$55*(0)))+((C650=TRUE)*F650*IF(AND(Inputs!$B$4&lt;&gt;"pvp",Inputs!$B$35&gt;0),(((S650-1)*(Skills!T15*(1+Inputs!$B$33/100))+MIN((Skills!T15*(1+Inputs!$B$33/100)),MAX(0,Inputs!$B$35-((S650-1)*Skills!D15))))/Inputs!$B$35),IF(Inputs!$B$4="pvp",MIN((Skills!T15*(1+Inputs!$B$33/100)),15)/15,(Skills!T15*(1+Inputs!$B$33/100))/Skills!D15)))+((C647=TRUE)*F647)+((C664=TRUE)*(F664-Calc!F29)))/100)</f>
        <v/>
      </c>
    </row>
    <row r="667">
      <c r="A667" t="inlineStr">
        <is>
          <t>Global Crit Rate Bonus %</t>
        </is>
      </c>
      <c r="B667">
        <f>(C651=TRUE)*20*IF(AND(Inputs!$B$4&lt;&gt;"pvp",Inputs!$B$35&gt;0),(((S651-1)*(Skills!T16*(1+Inputs!$B$33/100))+MIN((Skills!T16*(1+Inputs!$B$33/100)),MAX(0,Inputs!$B$35-((S651-1)*Skills!D16))))/Inputs!$B$35),IF(Inputs!$B$4="pvp",MIN((Skills!T16*(1+Inputs!$B$33/100)),15)/15,(Skills!T16*(1+Inputs!$B$33/100))/Skills!D16))</f>
        <v/>
      </c>
    </row>
    <row r="668">
      <c r="A668" t="inlineStr">
        <is>
          <t>Attack Speed Buff Bonus %</t>
        </is>
      </c>
      <c r="B668">
        <f>((C653=TRUE)*F653*IF(AND(Inputs!$B$4&lt;&gt;"pvp",Inputs!$B$35&gt;0),(((S653-1)*(Skills!T18*(1+Inputs!$B$33/100))+MIN((Skills!T18*(1+Inputs!$B$33/100)),MAX(0,Inputs!$B$35-((S653-1)*Skills!D18))))/Inputs!$B$35),IF(Inputs!$B$4="pvp",MIN((Skills!T18*(1+Inputs!$B$33/100)),15)/15,(Skills!T18*(1+Inputs!$B$33/100))/Skills!D18)))</f>
        <v/>
      </c>
    </row>
    <row r="669">
      <c r="A669" t="inlineStr">
        <is>
          <t>Actions Per Second</t>
        </is>
      </c>
      <c r="B669">
        <f>1+MIN(150,150*(1-(1-(Inputs!$B$10+((C655=TRUE)*(F655-Calc!F20))+((C656=TRUE)*(F656-Calc!F21)))/150)*(1-B668/150)))/100</f>
        <v/>
      </c>
    </row>
    <row r="670">
      <c r="A670" t="inlineStr">
        <is>
          <t>Skill + Buff Cast Rate</t>
        </is>
      </c>
      <c r="B670">
        <f>IF(AND(Inputs!$B$4&lt;&gt;"pvp",Inputs!$B$35&gt;0),SUMPRODUCT((Skills!E2:E29=TRUE)*(C637:C664=TRUE)*R637:R664*Skills!F2:F29)/Inputs!$B$35,SUMPRODUCT((Skills!E2:E29=TRUE)*(C637:C664=TRUE)*Q637:Q664*Skills!F2:F29))</f>
        <v/>
      </c>
    </row>
    <row r="671">
      <c r="A671" t="inlineStr">
        <is>
          <t>Empowered Piercing Arrow Casts Per Second</t>
        </is>
      </c>
      <c r="B671">
        <f>MAX(0,B669-B670)</f>
        <v/>
      </c>
    </row>
    <row r="672">
      <c r="A672" t="inlineStr">
        <is>
          <t>Global Critical Damage Bonus % (Sharp Eyes)</t>
        </is>
      </c>
      <c r="B672">
        <f>(C651=TRUE)*F651*IF(AND(Inputs!$B$4&lt;&gt;"pvp",Inputs!$B$35&gt;0),(((S651-1)*(Skills!T16*(1+Inputs!$B$33/100))+MIN((Skills!T16*(1+Inputs!$B$33/100)),MAX(0,Inputs!$B$35-((S651-1)*Skills!D16))))/Inputs!$B$35),IF(Inputs!$B$4="pvp",MIN((Skills!T16*(1+Inputs!$B$33/100)),15)/15,(Skills!T16*(1+Inputs!$B$33/100))/Skills!D16))</f>
        <v/>
      </c>
    </row>
    <row r="673">
      <c r="A673" t="inlineStr">
        <is>
          <t>Global Final Damage Bonus % (Mortal Blow + Last Man Standing conditional half)</t>
        </is>
      </c>
      <c r="B673">
        <f>(C652=TRUE)*F652+((C661=TRUE)*IF(Inputs!$B$4="pvp",F661,(1-Summary!$B$55)*(F661)+Summary!$B$55*(0)))</f>
        <v/>
      </c>
    </row>
    <row r="675">
      <c r="A675" s="5" t="inlineStr">
        <is>
          <t>TOTAL DPS</t>
        </is>
      </c>
      <c r="B675" s="5">
        <f>SUM(O637:O664)</f>
        <v/>
      </c>
    </row>
    <row r="678">
      <c r="A678" s="5" t="inlineStr">
        <is>
          <t>Stat: SKILL_DAMAGE %</t>
        </is>
      </c>
    </row>
    <row r="679">
      <c r="A679" s="8" t="inlineStr">
        <is>
          <t>Key</t>
        </is>
      </c>
      <c r="B679" s="8" t="inlineStr">
        <is>
          <t>Name</t>
        </is>
      </c>
      <c r="C679" s="8" t="inlineStr">
        <is>
          <t>Unlocked</t>
        </is>
      </c>
      <c r="D679" s="8" t="inlineStr">
        <is>
          <t>InputLevel</t>
        </is>
      </c>
      <c r="E679" s="8" t="inlineStr">
        <is>
          <t>Factor</t>
        </is>
      </c>
      <c r="F679" s="8" t="inlineStr">
        <is>
          <t>CoefficientPercent</t>
        </is>
      </c>
      <c r="G679" s="8" t="inlineStr">
        <is>
          <t>EffectiveHits</t>
        </is>
      </c>
      <c r="H679" s="8" t="inlineStr">
        <is>
          <t>ProcProbability</t>
        </is>
      </c>
      <c r="I679" s="8" t="inlineStr">
        <is>
          <t>MapleHeroMultiplier</t>
        </is>
      </c>
      <c r="J679" s="8" t="inlineStr">
        <is>
          <t>BaseDamage</t>
        </is>
      </c>
      <c r="K679" s="8" t="inlineStr">
        <is>
          <t>BaseHitDamage</t>
        </is>
      </c>
      <c r="L679" s="8" t="inlineStr">
        <is>
          <t>NonCritAvg</t>
        </is>
      </c>
      <c r="M679" s="8" t="inlineStr">
        <is>
          <t>CritAvg</t>
        </is>
      </c>
      <c r="N679" s="8" t="inlineStr">
        <is>
          <t>ExpectedDamage(perHit)</t>
        </is>
      </c>
      <c r="O679" s="8" t="inlineStr">
        <is>
          <t>DPS</t>
        </is>
      </c>
      <c r="P679" s="8" t="inlineStr">
        <is>
          <t>% of Total</t>
        </is>
      </c>
      <c r="Q679" s="8" t="inlineStr">
        <is>
          <t>InvCooldown</t>
        </is>
      </c>
      <c r="R679" s="8" t="inlineStr">
        <is>
          <t>CastsInFight</t>
        </is>
      </c>
      <c r="S679" s="8" t="inlineStr">
        <is>
          <t>HitRate(perSec)</t>
        </is>
      </c>
      <c r="U679" t="inlineStr">
        <is>
          <t>helpers</t>
        </is>
      </c>
    </row>
    <row r="680">
      <c r="A680">
        <f>Skills!A2</f>
        <v/>
      </c>
      <c r="B680">
        <f>Skills!B2</f>
        <v/>
      </c>
      <c r="C680">
        <f>Inputs!$B$3&gt;=100</f>
        <v/>
      </c>
      <c r="D680" t="inlineStr"/>
      <c r="E680" t="inlineStr"/>
      <c r="F680">
        <f>U682+Skills!O2</f>
        <v/>
      </c>
      <c r="G680">
        <f>Skills!G2*IF(Skills!H2&gt;0,Skills!I2/Skills!H2,1)</f>
        <v/>
      </c>
      <c r="H680">
        <f>1-(1-Skills!J2/100)^Skills!K2</f>
        <v/>
      </c>
      <c r="I680" t="inlineStr">
        <is>
          <t>1</t>
        </is>
      </c>
      <c r="J680">
        <f>(Inputs!$B$5*(1+Inputs!$B$6/100))*(F680/100)</f>
        <v/>
      </c>
      <c r="K680">
        <f>J680*(1+((Inputs!$B$11*(1+Inputs!$B$12/100))*0.01+Inputs!$B$13*0.0025)/100)*(1+Inputs!$B$14/100)*(1+IF(Inputs!$B$4="pvp",0,(1-Summary!$B$55)*(Inputs!$B$19+0+Skills!P2)+Summary!$B$55*(Inputs!$B$20+Skills!Q2))/100)*(1+Inputs!$B$15/100)*(5000/(6000+Inputs!$B$7*(1-(Inputs!$B$18+0)/100)))*(1+(Inputs!$B$23+((C702=TRUE)*(F702-Calc!F24))+((C703=TRUE)*(F703-Calc!F25))+B716)/100)*(1+(IF(Skills!A2="EMPOWERED_PIERCING_ARROW",Inputs!$B$16+((C700=TRUE)*(F700-Calc!F22)),(Inputs!$B$17+1)+((C705=TRUE)*(F705-Calc!F27))))/100)*((1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I680)</f>
        <v/>
      </c>
      <c r="L680">
        <f>K680*(MIN(Inputs!$B$21+((C701=TRUE)*(F701-Calc!F23)),Inputs!$B$22+((C706=TRUE)*(F706-Calc!F28)))/100+(Inputs!$B$22+((C706=TRUE)*(F706-Calc!F28)))/100)/2</f>
        <v/>
      </c>
      <c r="M680">
        <f>L680*(1+(Inputs!$B$9+0+B715)/100)</f>
        <v/>
      </c>
      <c r="N680">
        <f>L680*(1-MIN((Inputs!$B$8+((C697=TRUE)*(F697-Calc!F19))+B710),100)/100)+M680*(MIN((Inputs!$B$8+((C697=TRUE)*(F697-Calc!F19))+B710),100)/100)</f>
        <v/>
      </c>
      <c r="O680">
        <f>IF(C680,Skills!G2*N680*B714*IF(Inputs!$B$4="pvp",1,(1-Summary!$B$55)*(1)+Summary!$B$55*(MIN((6+Inputs!$B$32),Inputs!$B$37))),0)</f>
        <v/>
      </c>
      <c r="P680">
        <f>IF(B718=0,0,O680/B718)</f>
        <v/>
      </c>
      <c r="Q680" t="n">
        <v>0</v>
      </c>
      <c r="R680" t="n">
        <v>0</v>
      </c>
      <c r="S680">
        <f>IFERROR(O680/N680,0)</f>
        <v/>
      </c>
      <c r="U680">
        <f>MAX(0,(Inputs!$B$3-100)*3)+Inputs!$B$27+Inputs!$B$28</f>
        <v/>
      </c>
    </row>
    <row r="681">
      <c r="A681">
        <f>Skills!A3</f>
        <v/>
      </c>
      <c r="B681">
        <f>Skills!B3</f>
        <v/>
      </c>
      <c r="C681">
        <f>Inputs!$B$3&gt;=50</f>
        <v/>
      </c>
      <c r="D681">
        <f>IF(Skills!C3=1,60+Inputs!$B$24+Inputs!$B$28,IF(Skills!C3=2,90+Inputs!$B$25+Inputs!$B$28,IF(Skills!C3=3,120+Inputs!$B$26+Inputs!$B$28,MAX(0,(Inputs!$B$3-100)*3)+Inputs!$B$27+Inputs!$B$28)))</f>
        <v/>
      </c>
      <c r="E681">
        <f>INDEX(FactorTable!$B$2:$Y$301, MATCH(ROUND(MIN(300,MAX(1,D681)),0), FactorTable!$A$2:$A$301,0), Skills!M3+1)</f>
        <v/>
      </c>
      <c r="F681">
        <f>IF(Skills!N3=TRUE,(Skills!L3/10)*(E681/1000),Skills!L3/10)+Skills!O3</f>
        <v/>
      </c>
      <c r="G681" t="inlineStr"/>
      <c r="H681" t="inlineStr"/>
      <c r="I681" t="inlineStr">
        <is>
          <t>1</t>
        </is>
      </c>
      <c r="J681" t="inlineStr"/>
      <c r="K681" t="inlineStr"/>
      <c r="L681" t="inlineStr"/>
      <c r="M681" t="inlineStr"/>
      <c r="N681" t="inlineStr"/>
      <c r="O681" t="inlineStr"/>
      <c r="P681" t="inlineStr"/>
      <c r="Q681" t="inlineStr"/>
      <c r="R681" t="inlineStr"/>
      <c r="S681" t="inlineStr"/>
      <c r="U681">
        <f>INDEX(FactorTable!$B$2:$Y$301, MATCH(ROUND(MIN(300,MAX(1,U680)),0), FactorTable!$A$2:$A$301,0), 22)</f>
        <v/>
      </c>
    </row>
    <row r="682">
      <c r="A682">
        <f>Skills!A4</f>
        <v/>
      </c>
      <c r="B682">
        <f>Skills!B4</f>
        <v/>
      </c>
      <c r="C682">
        <f>Inputs!$B$3&gt;=105</f>
        <v/>
      </c>
      <c r="D682">
        <f>IF(Skills!C4=1,60+Inputs!$B$24+Inputs!$B$28,IF(Skills!C4=2,90+Inputs!$B$25+Inputs!$B$28,IF(Skills!C4=3,120+Inputs!$B$26+Inputs!$B$28,MAX(0,(Inputs!$B$3-100)*3)+Inputs!$B$27+Inputs!$B$28)))</f>
        <v/>
      </c>
      <c r="E682">
        <f>INDEX(FactorTable!$B$2:$Y$301, MATCH(ROUND(MIN(300,MAX(1,D682)),0), FactorTable!$A$2:$A$301,0), Skills!M4+1)</f>
        <v/>
      </c>
      <c r="F682">
        <f>IF(Skills!N4=TRUE,(Skills!L4/10)*(E682/1000),Skills!L4/10)+Skills!O4</f>
        <v/>
      </c>
      <c r="G682" t="inlineStr"/>
      <c r="H682" t="inlineStr"/>
      <c r="I682" t="inlineStr">
        <is>
          <t>1</t>
        </is>
      </c>
      <c r="J682" t="inlineStr"/>
      <c r="K682" t="inlineStr"/>
      <c r="L682" t="inlineStr"/>
      <c r="M682" t="inlineStr"/>
      <c r="N682" t="inlineStr"/>
      <c r="O682" t="inlineStr"/>
      <c r="P682" t="inlineStr"/>
      <c r="Q682" t="inlineStr"/>
      <c r="R682" t="inlineStr"/>
      <c r="S682" t="inlineStr"/>
      <c r="U682">
        <f>290*U681/1000</f>
        <v/>
      </c>
    </row>
    <row r="683">
      <c r="A683">
        <f>Skills!A5</f>
        <v/>
      </c>
      <c r="B683">
        <f>Skills!B5</f>
        <v/>
      </c>
      <c r="C683">
        <f>Inputs!$B$3&gt;=35</f>
        <v/>
      </c>
      <c r="D683">
        <f>IF(Skills!C5=1,60+Inputs!$B$24+Inputs!$B$28,IF(Skills!C5=2,90+Inputs!$B$25+Inputs!$B$28,IF(Skills!C5=3,120+Inputs!$B$26+Inputs!$B$28,MAX(0,(Inputs!$B$3-100)*3)+Inputs!$B$27+Inputs!$B$28)))</f>
        <v/>
      </c>
      <c r="E683">
        <f>INDEX(FactorTable!$B$2:$Y$301, MATCH(ROUND(MIN(300,MAX(1,D683)),0), FactorTable!$A$2:$A$301,0), Skills!M5+1)</f>
        <v/>
      </c>
      <c r="F683">
        <f>IF(Skills!N5=TRUE,(Skills!L5/10)*(E683/1000),Skills!L5/10)+Skills!O5</f>
        <v/>
      </c>
      <c r="G683">
        <f>Skills!G5*IF(Skills!H5&gt;0,Skills!I5/Skills!H5,1)</f>
        <v/>
      </c>
      <c r="H683">
        <f>1-(1-Skills!J5/100)^Skills!K5</f>
        <v/>
      </c>
      <c r="I683" t="inlineStr">
        <is>
          <t>1</t>
        </is>
      </c>
      <c r="J683">
        <f>(Inputs!$B$5*(1+Inputs!$B$6/100))*(F683/100)</f>
        <v/>
      </c>
      <c r="K683">
        <f>J683*(1+((Inputs!$B$11*(1+Inputs!$B$12/100))*0.01+Inputs!$B$13*0.0025)/100)*(1+Inputs!$B$14/100)*(1+IF(Inputs!$B$4="pvp",0,(1-Summary!$B$55)*(Inputs!$B$19+0+Skills!P5)+Summary!$B$55*(Inputs!$B$20+Skills!Q5))/100)*(1+Inputs!$B$15/100)*(5000/(6000+Inputs!$B$7*(1-(Inputs!$B$18+0)/100)))*(1+(Inputs!$B$23+((C702=TRUE)*(F702-Calc!F24))+((C703=TRUE)*(F703-Calc!F25))+B716)/100)*(1+4.0*IF(C686=TRUE,F686,0)/100)*(1+(IF(Skills!A5="EMPOWERED_PIERCING_ARROW",Inputs!$B$16+((C700=TRUE)*(F700-Calc!F22)),(Inputs!$B$17+1)+((C705=TRUE)*(F705-Calc!F27))))/100)*((1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I683)</f>
        <v/>
      </c>
      <c r="L683">
        <f>K683*(MIN(Inputs!$B$21+((C701=TRUE)*(F701-Calc!F23)),Inputs!$B$22+((C706=TRUE)*(F706-Calc!F28)))/100+(Inputs!$B$22+((C706=TRUE)*(F706-Calc!F28)))/100)/2</f>
        <v/>
      </c>
      <c r="M683">
        <f>L683*(1+(Inputs!$B$9+0+B715)/100)</f>
        <v/>
      </c>
      <c r="N683">
        <f>L683*(1-MIN((Inputs!$B$8+((C697=TRUE)*(F697-Calc!F19))+B710),100)/100)+M683*(MIN((Inputs!$B$8+((C697=TRUE)*(F697-Calc!F19))+B710),100)/100)</f>
        <v/>
      </c>
      <c r="O683">
        <f>IF(C683,H683*N683*IF(AND(Inputs!$B$4&lt;&gt;"pvp",Inputs!$B$35&gt;0),((Skills!G5*((R683-1)*IF(Skills!H5&gt;0,Skills!I5/Skills!H5,1)+IF(Skills!H5&gt;0,MIN(Skills!I5,MAX(0,Inputs!$B$35-((R683-1)*IF(Inputs!$B$4="pvp",15,MAX(0.1,Skills!D5-IF(Skills!E5=TRUE,Inputs!$B$31,0))))))/Skills!H5,1)))/Inputs!$B$35),G683*Q683)*IF(Inputs!$B$4="pvp",1,(1-Summary!$B$55)*(1)+Summary!$B$55*(MIN(Skills!R5,Inputs!$B$37))),0)</f>
        <v/>
      </c>
      <c r="P683">
        <f>IF(B718=0,0,O683/B718)</f>
        <v/>
      </c>
      <c r="Q683">
        <f>IFERROR(1/IF(Inputs!$B$4="pvp",15,MAX(0.1,Skills!D5-IF(Skills!E5=TRUE,Inputs!$B$31,0))),0)</f>
        <v/>
      </c>
      <c r="R683">
        <f>IF(AND(Inputs!$B$4&lt;&gt;"pvp",Inputs!$B$35&gt;0),(INT(Inputs!$B$35/IF(Inputs!$B$4="pvp",15,MAX(0.1,Skills!D5-IF(Skills!E5=TRUE,Inputs!$B$31,0))))+1),0)</f>
        <v/>
      </c>
      <c r="S683">
        <f>IFERROR(O683/N683,0)</f>
        <v/>
      </c>
    </row>
    <row r="684">
      <c r="A684">
        <f>Skills!A6</f>
        <v/>
      </c>
      <c r="B684">
        <f>Skills!B6</f>
        <v/>
      </c>
      <c r="C684">
        <f>Inputs!$B$3&gt;=63</f>
        <v/>
      </c>
      <c r="D684">
        <f>IF(Skills!C6=1,60+Inputs!$B$24+Inputs!$B$28,IF(Skills!C6=2,90+Inputs!$B$25+Inputs!$B$28,IF(Skills!C6=3,120+Inputs!$B$26+Inputs!$B$28,MAX(0,(Inputs!$B$3-100)*3)+Inputs!$B$27+Inputs!$B$28)))</f>
        <v/>
      </c>
      <c r="E684">
        <f>INDEX(FactorTable!$B$2:$Y$301, MATCH(ROUND(MIN(300,MAX(1,D684)),0), FactorTable!$A$2:$A$301,0), Skills!M6+1)</f>
        <v/>
      </c>
      <c r="F684">
        <f>IF(Skills!N6=TRUE,(Skills!L6/10)*(E684/1000),Skills!L6/10)+Skills!O6</f>
        <v/>
      </c>
      <c r="G684">
        <f>Skills!G6*IF(Skills!H6&gt;0,Skills!I6/Skills!H6,1)</f>
        <v/>
      </c>
      <c r="H684">
        <f>1-(1-Skills!J6/100)^Skills!K6</f>
        <v/>
      </c>
      <c r="I684" t="inlineStr">
        <is>
          <t>1</t>
        </is>
      </c>
      <c r="J684">
        <f>(Inputs!$B$5*(1+Inputs!$B$6/100))*(F684/100)</f>
        <v/>
      </c>
      <c r="K684">
        <f>J684*(1+((Inputs!$B$11*(1+Inputs!$B$12/100))*0.01+Inputs!$B$13*0.0025)/100)*(1+Inputs!$B$14/100)*(1+IF(Inputs!$B$4="pvp",0,(1-Summary!$B$55)*(Inputs!$B$19+0+Skills!P6)+Summary!$B$55*(Inputs!$B$20+Skills!Q6))/100)*(1+Inputs!$B$15/100)*(5000/(6000+Inputs!$B$7*(1-(Inputs!$B$18+0)/100)))*(1+(Inputs!$B$23+((C702=TRUE)*(F702-Calc!F24))+((C703=TRUE)*(F703-Calc!F25))+B716)/100)*(1+1.0*IF(C686=TRUE,F686,0)/100)*(1+(IF(Skills!A6="EMPOWERED_PIERCING_ARROW",Inputs!$B$16+((C700=TRUE)*(F700-Calc!F22)),(Inputs!$B$17+1)+((C705=TRUE)*(F705-Calc!F27))))/100)*((1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I684)</f>
        <v/>
      </c>
      <c r="L684">
        <f>K684*(MIN(Inputs!$B$21+((C701=TRUE)*(F701-Calc!F23)),Inputs!$B$22+((C706=TRUE)*(F706-Calc!F28)))/100+(Inputs!$B$22+((C706=TRUE)*(F706-Calc!F28)))/100)/2</f>
        <v/>
      </c>
      <c r="M684">
        <f>L684*(1+(Inputs!$B$9+0+B715)/100)</f>
        <v/>
      </c>
      <c r="N684">
        <f>L684*(1-MIN((Inputs!$B$8+((C697=TRUE)*(F697-Calc!F19))+B710),100)/100)+M684*(MIN((Inputs!$B$8+((C697=TRUE)*(F697-Calc!F19))+B710),100)/100)</f>
        <v/>
      </c>
      <c r="O684">
        <f>IF(C684,H684*N684*IF(AND(Inputs!$B$4&lt;&gt;"pvp",Inputs!$B$35&gt;0),((Skills!G6*((R684-1)*IF(Skills!H6&gt;0,Skills!I6/Skills!H6,1)+IF(Skills!H6&gt;0,MIN(Skills!I6,MAX(0,Inputs!$B$35-((R684-1)*IF(Inputs!$B$4="pvp",15,MAX(0.1,Skills!D6-IF(Skills!E6=TRUE,Inputs!$B$31,0))))))/Skills!H6,1)))/Inputs!$B$35),G684*Q684)*IF(Inputs!$B$4="pvp",1,(1-Summary!$B$55)*(1)+Summary!$B$55*(MIN(Skills!R6,Inputs!$B$37))),0)</f>
        <v/>
      </c>
      <c r="P684">
        <f>IF(B718=0,0,O684/B718)</f>
        <v/>
      </c>
      <c r="Q684">
        <f>IFERROR(1/IF(Inputs!$B$4="pvp",15,MAX(0.1,Skills!D6-IF(Skills!E6=TRUE,Inputs!$B$31,0))),0)</f>
        <v/>
      </c>
      <c r="R684">
        <f>IF(AND(Inputs!$B$4&lt;&gt;"pvp",Inputs!$B$35&gt;0),(INT(Inputs!$B$35/IF(Inputs!$B$4="pvp",15,MAX(0.1,Skills!D6-IF(Skills!E6=TRUE,Inputs!$B$31,0))))+1),0)</f>
        <v/>
      </c>
      <c r="S684">
        <f>IFERROR(O684/N684,0)</f>
        <v/>
      </c>
    </row>
    <row r="685">
      <c r="A685">
        <f>Skills!A7</f>
        <v/>
      </c>
      <c r="B685">
        <f>Skills!B7</f>
        <v/>
      </c>
      <c r="C685">
        <f>Inputs!$B$3&gt;=69</f>
        <v/>
      </c>
      <c r="D685">
        <f>IF(Skills!C7=1,60+Inputs!$B$24+Inputs!$B$28,IF(Skills!C7=2,90+Inputs!$B$25+Inputs!$B$28,IF(Skills!C7=3,120+Inputs!$B$26+Inputs!$B$28,MAX(0,(Inputs!$B$3-100)*3)+Inputs!$B$27+Inputs!$B$28)))</f>
        <v/>
      </c>
      <c r="E685">
        <f>INDEX(FactorTable!$B$2:$Y$301, MATCH(ROUND(MIN(300,MAX(1,D685)),0), FactorTable!$A$2:$A$301,0), Skills!M7+1)</f>
        <v/>
      </c>
      <c r="F685">
        <f>IF(Skills!N7=TRUE,(Skills!L7/10)*(E685/1000),Skills!L7/10)+Skills!O7</f>
        <v/>
      </c>
      <c r="G685">
        <f>Skills!G7*IF(Skills!H7&gt;0,Skills!I7/Skills!H7,1)</f>
        <v/>
      </c>
      <c r="H685">
        <f>1-(1-Skills!J7/100)^Skills!K7</f>
        <v/>
      </c>
      <c r="I685" t="inlineStr">
        <is>
          <t>1</t>
        </is>
      </c>
      <c r="J685">
        <f>(Inputs!$B$5*(1+Inputs!$B$6/100))*(F685/100)</f>
        <v/>
      </c>
      <c r="K685">
        <f>J685*(1+((Inputs!$B$11*(1+Inputs!$B$12/100))*0.01+Inputs!$B$13*0.0025)/100)*(1+Inputs!$B$14/100)*(1+IF(Inputs!$B$4="pvp",0,(1-Summary!$B$55)*(Inputs!$B$19+0+Skills!P7)+Summary!$B$55*(Inputs!$B$20+Skills!Q7))/100)*(1+Inputs!$B$15/100)*(5000/(6000+Inputs!$B$7*(1-(Inputs!$B$18+0)/100)))*(1+(Inputs!$B$23+((C702=TRUE)*(F702-Calc!F24))+((C703=TRUE)*(F703-Calc!F25))+B716)/100)*(1+1.2*IF(C686=TRUE,F686,0)/100)*(1+(IF(Skills!A7="EMPOWERED_PIERCING_ARROW",Inputs!$B$16+((C700=TRUE)*(F700-Calc!F22)),(Inputs!$B$17+1)+((C705=TRUE)*(F705-Calc!F27))))/100)*((1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I685)</f>
        <v/>
      </c>
      <c r="L685">
        <f>K685*(MIN(Inputs!$B$21+((C701=TRUE)*(F701-Calc!F23)),Inputs!$B$22+((C706=TRUE)*(F706-Calc!F28)))/100+(Inputs!$B$22+((C706=TRUE)*(F706-Calc!F28)))/100)/2</f>
        <v/>
      </c>
      <c r="M685">
        <f>L685*(1+(Inputs!$B$9+0+B715)/100)</f>
        <v/>
      </c>
      <c r="N685">
        <f>L685*(1-MIN((Inputs!$B$8+((C697=TRUE)*(F697-Calc!F19))+B710),100)/100)+M685*(MIN((Inputs!$B$8+((C697=TRUE)*(F697-Calc!F19))+B710),100)/100)</f>
        <v/>
      </c>
      <c r="O685">
        <f>IF(C685,H685*N685*IF(AND(Inputs!$B$4&lt;&gt;"pvp",Inputs!$B$35&gt;0),((Skills!G7*((R685-1)*IF(Skills!H7&gt;0,Skills!I7/Skills!H7,1)+IF(Skills!H7&gt;0,MIN(Skills!I7,MAX(0,Inputs!$B$35-((R685-1)*IF(Inputs!$B$4="pvp",15,MAX(0.1,Skills!D7-IF(Skills!E7=TRUE,Inputs!$B$31,0))))))/Skills!H7,1)))/Inputs!$B$35),G685*Q685)*IF(Inputs!$B$4="pvp",1,(1-Summary!$B$55)*(1)+Summary!$B$55*(MIN(Skills!R7,Inputs!$B$37))),0)</f>
        <v/>
      </c>
      <c r="P685">
        <f>IF(B718=0,0,O685/B718)</f>
        <v/>
      </c>
      <c r="Q685">
        <f>IFERROR(1/IF(Inputs!$B$4="pvp",15,MAX(0.1,Skills!D7-IF(Skills!E7=TRUE,Inputs!$B$31,0))),0)</f>
        <v/>
      </c>
      <c r="R685">
        <f>IF(AND(Inputs!$B$4&lt;&gt;"pvp",Inputs!$B$35&gt;0),(INT(Inputs!$B$35/IF(Inputs!$B$4="pvp",15,MAX(0.1,Skills!D7-IF(Skills!E7=TRUE,Inputs!$B$31,0))))+1),0)</f>
        <v/>
      </c>
      <c r="S685">
        <f>IFERROR(O685/N685,0)</f>
        <v/>
      </c>
    </row>
    <row r="686">
      <c r="A686">
        <f>Skills!A8</f>
        <v/>
      </c>
      <c r="B686">
        <f>Skills!B8</f>
        <v/>
      </c>
      <c r="C686">
        <f>Inputs!$B$3&gt;=100</f>
        <v/>
      </c>
      <c r="D686">
        <f>IF(Skills!C8=1,60+Inputs!$B$24+Inputs!$B$28,IF(Skills!C8=2,90+Inputs!$B$25+Inputs!$B$28,IF(Skills!C8=3,120+Inputs!$B$26+Inputs!$B$28,MAX(0,(Inputs!$B$3-100)*3)+Inputs!$B$27+Inputs!$B$28)))</f>
        <v/>
      </c>
      <c r="E686">
        <f>INDEX(FactorTable!$B$2:$Y$301, MATCH(ROUND(MIN(300,MAX(1,D686)),0), FactorTable!$A$2:$A$301,0), Skills!M8+1)</f>
        <v/>
      </c>
      <c r="F686">
        <f>IF(Skills!N8=TRUE,(Skills!L8/10)*(E686/1000),Skills!L8/10)+Skills!O8</f>
        <v/>
      </c>
      <c r="G686" t="inlineStr"/>
      <c r="H686" t="inlineStr"/>
      <c r="I686" t="inlineStr">
        <is>
          <t>1</t>
        </is>
      </c>
      <c r="J686" t="inlineStr"/>
      <c r="K686" t="inlineStr"/>
      <c r="L686" t="inlineStr"/>
      <c r="M686" t="inlineStr"/>
      <c r="N686" t="inlineStr"/>
      <c r="O686" t="inlineStr"/>
      <c r="P686" t="inlineStr"/>
      <c r="Q686" t="inlineStr"/>
      <c r="R686" t="inlineStr"/>
      <c r="S686" t="inlineStr"/>
    </row>
    <row r="687">
      <c r="A687">
        <f>Skills!A9</f>
        <v/>
      </c>
      <c r="B687">
        <f>Skills!B9</f>
        <v/>
      </c>
      <c r="C687">
        <f>Inputs!$B$3&gt;=103</f>
        <v/>
      </c>
      <c r="D687">
        <f>IF(Skills!C9=1,60+Inputs!$B$24+Inputs!$B$28,IF(Skills!C9=2,90+Inputs!$B$25+Inputs!$B$28,IF(Skills!C9=3,120+Inputs!$B$26+Inputs!$B$28,MAX(0,(Inputs!$B$3-100)*3)+Inputs!$B$27+Inputs!$B$28)))</f>
        <v/>
      </c>
      <c r="E687">
        <f>INDEX(FactorTable!$B$2:$Y$301, MATCH(ROUND(MIN(300,MAX(1,D687)),0), FactorTable!$A$2:$A$301,0), Skills!M9+1)</f>
        <v/>
      </c>
      <c r="F687">
        <f>IF(Skills!N9=TRUE,(Skills!L9/10)*(E687/1000),Skills!L9/10)+Skills!O9</f>
        <v/>
      </c>
      <c r="G687">
        <f>Skills!G9*IF(Skills!H9&gt;0,Skills!I9/Skills!H9,1)</f>
        <v/>
      </c>
      <c r="H687">
        <f>1-(1-Skills!J9/100)^Skills!K9</f>
        <v/>
      </c>
      <c r="I687" t="inlineStr">
        <is>
          <t>1</t>
        </is>
      </c>
      <c r="J687">
        <f>(Inputs!$B$5*(1+Inputs!$B$6/100))*(F687/100)</f>
        <v/>
      </c>
      <c r="K687">
        <f>J687*(1+((Inputs!$B$11*(1+Inputs!$B$12/100))*0.01+Inputs!$B$13*0.0025)/100)*(1+Inputs!$B$14/100)*(1+IF(Inputs!$B$4="pvp",0,(1-Summary!$B$55)*(Inputs!$B$19+0+Skills!P9)+Summary!$B$55*(Inputs!$B$20+Skills!Q9))/100)*(1+Inputs!$B$15/100)*(5000/(6000+Inputs!$B$7*(1-(Inputs!$B$18+0)/100)))*(1+(Inputs!$B$23+((C702=TRUE)*(F702-Calc!F24))+((C703=TRUE)*(F703-Calc!F25))+B716)/100)*(1+(IF(Skills!A9="EMPOWERED_PIERCING_ARROW",Inputs!$B$16+((C700=TRUE)*(F700-Calc!F22)),(Inputs!$B$17+1)+((C705=TRUE)*(F705-Calc!F27))))/100)*((1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I687)</f>
        <v/>
      </c>
      <c r="L687">
        <f>K687*(MIN(Inputs!$B$21+((C701=TRUE)*(F701-Calc!F23)),Inputs!$B$22+((C706=TRUE)*(F706-Calc!F28)))/100+(Inputs!$B$22+((C706=TRUE)*(F706-Calc!F28)))/100)/2</f>
        <v/>
      </c>
      <c r="M687">
        <f>L687*(1+(Inputs!$B$9+0+B715)/100)</f>
        <v/>
      </c>
      <c r="N687">
        <f>L687*(1-MIN((Inputs!$B$8+((C697=TRUE)*(F697-Calc!F19))+B710),100)/100)+M687*(MIN((Inputs!$B$8+((C697=TRUE)*(F697-Calc!F19))+B710),100)/100)</f>
        <v/>
      </c>
      <c r="O687">
        <f>IF(C687,H687*N687*IF(AND(Inputs!$B$4&lt;&gt;"pvp",Inputs!$B$35&gt;0),((Skills!G9*((R687-1)*IF(Skills!H9&gt;0,Skills!I9/Skills!H9,1)+IF(Skills!H9&gt;0,MIN(Skills!I9,MAX(0,Inputs!$B$35-((R687-1)*IF(Inputs!$B$4="pvp",15,MAX(0.1,Skills!D9-IF(Skills!E9=TRUE,Inputs!$B$31,0))))))/Skills!H9,1)))/Inputs!$B$35),G687*Q687)*IF(Inputs!$B$4="pvp",1,(1-Summary!$B$55)*(1)+Summary!$B$55*(MIN(Skills!R9,Inputs!$B$37))),0)</f>
        <v/>
      </c>
      <c r="P687">
        <f>IF(B718=0,0,O687/B718)</f>
        <v/>
      </c>
      <c r="Q687">
        <f>IFERROR(1/IF(Inputs!$B$4="pvp",15,MAX(0.1,Skills!D9-IF(Skills!E9=TRUE,Inputs!$B$31,0))),0)</f>
        <v/>
      </c>
      <c r="R687">
        <f>IF(AND(Inputs!$B$4&lt;&gt;"pvp",Inputs!$B$35&gt;0),(INT(Inputs!$B$35/IF(Inputs!$B$4="pvp",15,MAX(0.1,Skills!D9-IF(Skills!E9=TRUE,Inputs!$B$31,0))))+1),0)</f>
        <v/>
      </c>
      <c r="S687">
        <f>IFERROR(O687/N687,0)</f>
        <v/>
      </c>
    </row>
    <row r="688">
      <c r="A688">
        <f>Skills!A10</f>
        <v/>
      </c>
      <c r="B688">
        <f>Skills!B10</f>
        <v/>
      </c>
      <c r="C688">
        <f>Inputs!$B$3&gt;=107</f>
        <v/>
      </c>
      <c r="D688">
        <f>IF(Skills!C10=1,60+Inputs!$B$24+Inputs!$B$28,IF(Skills!C10=2,90+Inputs!$B$25+Inputs!$B$28,IF(Skills!C10=3,120+Inputs!$B$26+Inputs!$B$28,MAX(0,(Inputs!$B$3-100)*3)+Inputs!$B$27+Inputs!$B$28)))</f>
        <v/>
      </c>
      <c r="E688">
        <f>INDEX(FactorTable!$B$2:$Y$301, MATCH(ROUND(MIN(300,MAX(1,D688)),0), FactorTable!$A$2:$A$301,0), Skills!M10+1)</f>
        <v/>
      </c>
      <c r="F688">
        <f>IF(Skills!N10=TRUE,(Skills!L10/10)*(E688/1000),Skills!L10/10)+Skills!O10</f>
        <v/>
      </c>
      <c r="G688">
        <f>Skills!G10*IF(Skills!H10&gt;0,Skills!I10/Skills!H10,1)</f>
        <v/>
      </c>
      <c r="H688">
        <f>1-(1-Skills!J10/100)^Skills!K10</f>
        <v/>
      </c>
      <c r="I688" t="inlineStr">
        <is>
          <t>1</t>
        </is>
      </c>
      <c r="J688">
        <f>(Inputs!$B$5*(1+Inputs!$B$6/100))*(F688/100)</f>
        <v/>
      </c>
      <c r="K688">
        <f>J688*(1+((Inputs!$B$11*(1+Inputs!$B$12/100))*0.01+Inputs!$B$13*0.0025)/100)*(1+Inputs!$B$14/100)*(1+IF(Inputs!$B$4="pvp",0,(1-Summary!$B$55)*(Inputs!$B$19+0+Skills!P10)+Summary!$B$55*(Inputs!$B$20+Skills!Q10))/100)*(1+Inputs!$B$15/100)*(5000/(6000+Inputs!$B$7*(1-(Inputs!$B$18+0)/100)))*(1+(Inputs!$B$23+((C702=TRUE)*(F702-Calc!F24))+((C703=TRUE)*(F703-Calc!F25))+B716)/100)*(1+(IF(Skills!A10="EMPOWERED_PIERCING_ARROW",Inputs!$B$16+((C700=TRUE)*(F700-Calc!F22)),(Inputs!$B$17+1)+((C705=TRUE)*(F705-Calc!F27))))/100)*((1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I688)</f>
        <v/>
      </c>
      <c r="L688">
        <f>K688*(MIN(Inputs!$B$21+((C701=TRUE)*(F701-Calc!F23)),Inputs!$B$22+((C706=TRUE)*(F706-Calc!F28)))/100+(Inputs!$B$22+((C706=TRUE)*(F706-Calc!F28)))/100)/2</f>
        <v/>
      </c>
      <c r="M688">
        <f>L688*(1+(Inputs!$B$9+0+B715)/100)</f>
        <v/>
      </c>
      <c r="N688">
        <f>L688*(1-MIN((Inputs!$B$8+((C697=TRUE)*(F697-Calc!F19))+B710),100)/100)+M688*(MIN((Inputs!$B$8+((C697=TRUE)*(F697-Calc!F19))+B710),100)/100)</f>
        <v/>
      </c>
      <c r="O688">
        <f>IF(C688,0.15*SUMPRODUCT((Skills!U2:U29=TRUE)*(C680:C707=TRUE)*S680:S707)*Skills!G10*N688*IF(Inputs!$B$4="pvp",1,(1-Summary!$B$55)*(1)+Summary!$B$55*(MIN(Skills!R10,Inputs!$B$37))),0)</f>
        <v/>
      </c>
      <c r="P688">
        <f>IF(B718=0,0,O688/B718)</f>
        <v/>
      </c>
      <c r="Q688" t="n">
        <v>0</v>
      </c>
      <c r="R688" t="n">
        <v>0</v>
      </c>
      <c r="S688" t="n">
        <v>0</v>
      </c>
    </row>
    <row r="689">
      <c r="A689">
        <f>Skills!A11</f>
        <v/>
      </c>
      <c r="B689">
        <f>Skills!B11</f>
        <v/>
      </c>
      <c r="C689">
        <f>Inputs!$B$3&gt;=110</f>
        <v/>
      </c>
      <c r="D689">
        <f>IF(Skills!C11=1,60+Inputs!$B$24+Inputs!$B$28,IF(Skills!C11=2,90+Inputs!$B$25+Inputs!$B$28,IF(Skills!C11=3,120+Inputs!$B$26+Inputs!$B$28,MAX(0,(Inputs!$B$3-100)*3)+Inputs!$B$27+Inputs!$B$28)))</f>
        <v/>
      </c>
      <c r="E689">
        <f>INDEX(FactorTable!$B$2:$Y$301, MATCH(ROUND(MIN(300,MAX(1,D689)),0), FactorTable!$A$2:$A$301,0), Skills!M11+1)</f>
        <v/>
      </c>
      <c r="F689">
        <f>IF(Skills!N11=TRUE,(Skills!L11/10)*(E689/1000),Skills!L11/10)+Skills!O11</f>
        <v/>
      </c>
      <c r="G689">
        <f>Skills!G11*IF(Skills!H11&gt;0,Skills!I11/Skills!H11,1)</f>
        <v/>
      </c>
      <c r="H689">
        <f>1-(1-Skills!J11/100)^Skills!K11</f>
        <v/>
      </c>
      <c r="I689" t="inlineStr">
        <is>
          <t>1</t>
        </is>
      </c>
      <c r="J689">
        <f>(Inputs!$B$5*(1+Inputs!$B$6/100))*(F689/100)</f>
        <v/>
      </c>
      <c r="K689">
        <f>J689*(1+((Inputs!$B$11*(1+Inputs!$B$12/100))*0.01+Inputs!$B$13*0.0025)/100)*(1+Inputs!$B$14/100)*(1+IF(Inputs!$B$4="pvp",0,(1-Summary!$B$55)*(Inputs!$B$19+0+Skills!P11)+Summary!$B$55*(Inputs!$B$20+Skills!Q11))/100)*(1+Inputs!$B$15/100)*(5000/(6000+Inputs!$B$7*(1-(Inputs!$B$18+0)/100)))*(1+(Inputs!$B$23+((C702=TRUE)*(F702-Calc!F24))+((C703=TRUE)*(F703-Calc!F25))+B716)/100)*(1+(IF(Skills!A11="EMPOWERED_PIERCING_ARROW",Inputs!$B$16+((C700=TRUE)*(F700-Calc!F22)),(Inputs!$B$17+1)+((C705=TRUE)*(F705-Calc!F27))))/100)*((1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I689)</f>
        <v/>
      </c>
      <c r="L689">
        <f>K689*(MIN(Inputs!$B$21+((C701=TRUE)*(F701-Calc!F23)),Inputs!$B$22+((C706=TRUE)*(F706-Calc!F28)))/100+(Inputs!$B$22+((C706=TRUE)*(F706-Calc!F28)))/100)/2</f>
        <v/>
      </c>
      <c r="M689">
        <f>L689*(1+(Inputs!$B$9+0+B715)/100)</f>
        <v/>
      </c>
      <c r="N689">
        <f>L689*(1-MIN((Inputs!$B$8+((C697=TRUE)*(F697-Calc!F19))+B710),100)/100)+M689*(MIN((Inputs!$B$8+((C697=TRUE)*(F697-Calc!F19))+B710),100)/100)</f>
        <v/>
      </c>
      <c r="O689">
        <f>IF(C689,H689*N689*IF(AND(Inputs!$B$4&lt;&gt;"pvp",Inputs!$B$35&gt;0),((Skills!G11*((R689-1)*IF(Skills!H11&gt;0,Skills!I11/Skills!H11,1)+IF(Skills!H11&gt;0,MIN(Skills!I11,MAX(0,Inputs!$B$35-((R689-1)*IF(Inputs!$B$4="pvp",15,MAX(0.1,Skills!D11-IF(Skills!E11=TRUE,Inputs!$B$31,0))))))/Skills!H11,1)))/Inputs!$B$35),G689*Q689)*IF(Inputs!$B$4="pvp",1,(1-Summary!$B$55)*(1)+Summary!$B$55*(MIN(Skills!R11,Inputs!$B$37))),0)</f>
        <v/>
      </c>
      <c r="P689">
        <f>IF(B718=0,0,O689/B718)</f>
        <v/>
      </c>
      <c r="Q689">
        <f>IFERROR(1/IF(Inputs!$B$4="pvp",15,MAX(0.1,Skills!D11-IF(Skills!E11=TRUE,Inputs!$B$31,0))),0)</f>
        <v/>
      </c>
      <c r="R689">
        <f>IF(AND(Inputs!$B$4&lt;&gt;"pvp",Inputs!$B$35&gt;0),(INT(Inputs!$B$35/IF(Inputs!$B$4="pvp",15,MAX(0.1,Skills!D11-IF(Skills!E11=TRUE,Inputs!$B$31,0))))+1),0)</f>
        <v/>
      </c>
      <c r="S689">
        <f>IFERROR(O689/N689,0)</f>
        <v/>
      </c>
    </row>
    <row r="690">
      <c r="A690">
        <f>Skills!A12</f>
        <v/>
      </c>
      <c r="B690">
        <f>Skills!B12</f>
        <v/>
      </c>
      <c r="C690">
        <f>Inputs!$B$3&gt;=60</f>
        <v/>
      </c>
      <c r="D690">
        <f>IF(Skills!C12=1,60+Inputs!$B$24+Inputs!$B$28,IF(Skills!C12=2,90+Inputs!$B$25+Inputs!$B$28,IF(Skills!C12=3,120+Inputs!$B$26+Inputs!$B$28,MAX(0,(Inputs!$B$3-100)*3)+Inputs!$B$27+Inputs!$B$28)))</f>
        <v/>
      </c>
      <c r="E690">
        <f>INDEX(FactorTable!$B$2:$Y$301, MATCH(ROUND(MIN(300,MAX(1,D690)),0), FactorTable!$A$2:$A$301,0), Skills!M12+1)</f>
        <v/>
      </c>
      <c r="F690">
        <f>IF(Skills!N12=TRUE,(Skills!L12/10)*(E690/1000),Skills!L12/10)+Skills!O12</f>
        <v/>
      </c>
      <c r="G690">
        <f>Skills!G12*IF(Skills!H12&gt;0,Skills!I12/Skills!H12,1)</f>
        <v/>
      </c>
      <c r="H690">
        <f>1-(1-Skills!J12/100)^Skills!K12</f>
        <v/>
      </c>
      <c r="I690" t="inlineStr">
        <is>
          <t>1</t>
        </is>
      </c>
      <c r="J690" t="inlineStr"/>
      <c r="K690" t="inlineStr"/>
      <c r="L690" t="inlineStr"/>
      <c r="M690" t="inlineStr"/>
      <c r="N690" t="inlineStr"/>
      <c r="O690" t="n">
        <v>0</v>
      </c>
      <c r="P690">
        <f>IF(B718=0,0,O690/B718)</f>
        <v/>
      </c>
      <c r="Q690" t="n">
        <v>0</v>
      </c>
      <c r="R690" t="n">
        <v>0</v>
      </c>
      <c r="S690">
        <f>IFERROR(O690/N690,0)</f>
        <v/>
      </c>
    </row>
    <row r="691">
      <c r="A691">
        <f>Skills!A13</f>
        <v/>
      </c>
      <c r="B691">
        <f>Skills!B13</f>
        <v/>
      </c>
      <c r="C691">
        <f>Inputs!$B$3&gt;=74</f>
        <v/>
      </c>
      <c r="D691">
        <f>IF(Skills!C13=1,60+Inputs!$B$24+Inputs!$B$28,IF(Skills!C13=2,90+Inputs!$B$25+Inputs!$B$28,IF(Skills!C13=3,120+Inputs!$B$26+Inputs!$B$28,MAX(0,(Inputs!$B$3-100)*3)+Inputs!$B$27+Inputs!$B$28)))</f>
        <v/>
      </c>
      <c r="E691">
        <f>INDEX(FactorTable!$B$2:$Y$301, MATCH(ROUND(MIN(300,MAX(1,D691)),0), FactorTable!$A$2:$A$301,0), Skills!M13+1)</f>
        <v/>
      </c>
      <c r="F691">
        <f>IF(Skills!N13=TRUE,(Skills!L13/10)*(E691/1000),Skills!L13/10)+Skills!O13</f>
        <v/>
      </c>
      <c r="G691">
        <f>Skills!G13*IF(Skills!H13&gt;0,Skills!I13/Skills!H13,1)</f>
        <v/>
      </c>
      <c r="H691">
        <f>1-(1-Skills!J13/100)^Skills!K13</f>
        <v/>
      </c>
      <c r="I691" t="inlineStr">
        <is>
          <t>1</t>
        </is>
      </c>
      <c r="J691" t="inlineStr"/>
      <c r="K691" t="inlineStr"/>
      <c r="L691" t="inlineStr"/>
      <c r="M691" t="inlineStr"/>
      <c r="N691" t="inlineStr"/>
      <c r="O691" t="n">
        <v>0</v>
      </c>
      <c r="P691">
        <f>IF(B718=0,0,O691/B718)</f>
        <v/>
      </c>
      <c r="Q691" t="n">
        <v>0</v>
      </c>
      <c r="R691" t="n">
        <v>0</v>
      </c>
      <c r="S691">
        <f>IFERROR(O691/N691,0)</f>
        <v/>
      </c>
    </row>
    <row r="692">
      <c r="A692">
        <f>Skills!A14</f>
        <v/>
      </c>
      <c r="B692">
        <f>Skills!B14</f>
        <v/>
      </c>
      <c r="C692">
        <f>Inputs!$B$3&gt;=74</f>
        <v/>
      </c>
      <c r="D692">
        <f>IF(Skills!C14=1,60+Inputs!$B$24+Inputs!$B$28,IF(Skills!C14=2,90+Inputs!$B$25+Inputs!$B$28,IF(Skills!C14=3,120+Inputs!$B$26+Inputs!$B$28,MAX(0,(Inputs!$B$3-100)*3)+Inputs!$B$27+Inputs!$B$28)))</f>
        <v/>
      </c>
      <c r="E692">
        <f>INDEX(FactorTable!$B$2:$Y$301, MATCH(ROUND(MIN(300,MAX(1,D692)),0), FactorTable!$A$2:$A$301,0), Skills!M14+1)</f>
        <v/>
      </c>
      <c r="F692">
        <f>IF(Skills!N14=TRUE,(Skills!L14/10)*(E692/1000),Skills!L14/10)+Skills!O14</f>
        <v/>
      </c>
      <c r="G692">
        <f>Skills!G14*IF(Skills!H14&gt;0,Skills!I14/Skills!H14,1)</f>
        <v/>
      </c>
      <c r="H692">
        <f>1-(1-Skills!J14/100)^Skills!K14</f>
        <v/>
      </c>
      <c r="I692" t="inlineStr">
        <is>
          <t>1</t>
        </is>
      </c>
      <c r="J692" t="inlineStr"/>
      <c r="K692" t="inlineStr"/>
      <c r="L692" t="inlineStr"/>
      <c r="M692" t="inlineStr"/>
      <c r="N692" t="inlineStr"/>
      <c r="O692" t="n">
        <v>0</v>
      </c>
      <c r="P692">
        <f>IF(B718=0,0,O692/B718)</f>
        <v/>
      </c>
      <c r="Q692" t="n">
        <v>0</v>
      </c>
      <c r="R692" t="n">
        <v>0</v>
      </c>
      <c r="S692">
        <f>IFERROR(O692/N692,0)</f>
        <v/>
      </c>
    </row>
    <row r="693">
      <c r="A693">
        <f>Skills!A15</f>
        <v/>
      </c>
      <c r="B693">
        <f>Skills!B15</f>
        <v/>
      </c>
      <c r="C693">
        <f>Inputs!$B$3&gt;=117</f>
        <v/>
      </c>
      <c r="D693">
        <f>IF(Skills!C15=1,60+Inputs!$B$24+Inputs!$B$28,IF(Skills!C15=2,90+Inputs!$B$25+Inputs!$B$28,IF(Skills!C15=3,120+Inputs!$B$26+Inputs!$B$28,MAX(0,(Inputs!$B$3-100)*3)+Inputs!$B$27+Inputs!$B$28)))</f>
        <v/>
      </c>
      <c r="E693">
        <f>INDEX(FactorTable!$B$2:$Y$301, MATCH(ROUND(MIN(300,MAX(1,D693)),0), FactorTable!$A$2:$A$301,0), Skills!M15+1)</f>
        <v/>
      </c>
      <c r="F693">
        <f>IF(Skills!N15=TRUE,(Skills!L15/10)*(E693/1000),Skills!L15/10)+Skills!O15</f>
        <v/>
      </c>
      <c r="G693">
        <f>Skills!G15*IF(Skills!H15&gt;0,Skills!I15/Skills!H15,1)</f>
        <v/>
      </c>
      <c r="H693">
        <f>1-(1-Skills!J15/100)^Skills!K15</f>
        <v/>
      </c>
      <c r="I693" t="inlineStr">
        <is>
          <t>1</t>
        </is>
      </c>
      <c r="J693" t="inlineStr"/>
      <c r="K693" t="inlineStr"/>
      <c r="L693" t="inlineStr"/>
      <c r="M693" t="inlineStr"/>
      <c r="N693" t="inlineStr"/>
      <c r="O693" t="n">
        <v>0</v>
      </c>
      <c r="P693">
        <f>IF(B718=0,0,O693/B718)</f>
        <v/>
      </c>
      <c r="Q693">
        <f>IFERROR(1/IF(Inputs!$B$4="pvp",15,MAX(0.1,Skills!D15-IF(Skills!E15=TRUE,Inputs!$B$31,0))),0)</f>
        <v/>
      </c>
      <c r="R693">
        <f>IF(AND(Inputs!$B$4&lt;&gt;"pvp",Inputs!$B$35&gt;0),(INT(Inputs!$B$35/IF(Inputs!$B$4="pvp",15,MAX(0.1,Skills!D15-IF(Skills!E15=TRUE,Inputs!$B$31,0))))+1),0)</f>
        <v/>
      </c>
      <c r="S693">
        <f>IFERROR(O693/N693,0)</f>
        <v/>
      </c>
    </row>
    <row r="694">
      <c r="A694">
        <f>Skills!A16</f>
        <v/>
      </c>
      <c r="B694">
        <f>Skills!B16</f>
        <v/>
      </c>
      <c r="C694">
        <f>Inputs!$B$3&gt;=115</f>
        <v/>
      </c>
      <c r="D694">
        <f>IF(Skills!C16=1,60+Inputs!$B$24+Inputs!$B$28,IF(Skills!C16=2,90+Inputs!$B$25+Inputs!$B$28,IF(Skills!C16=3,120+Inputs!$B$26+Inputs!$B$28,MAX(0,(Inputs!$B$3-100)*3)+Inputs!$B$27+Inputs!$B$28)))</f>
        <v/>
      </c>
      <c r="E694">
        <f>INDEX(FactorTable!$B$2:$Y$301, MATCH(ROUND(MIN(300,MAX(1,D694)),0), FactorTable!$A$2:$A$301,0), Skills!M16+1)</f>
        <v/>
      </c>
      <c r="F694">
        <f>IF(Skills!N16=TRUE,(Skills!L16/10)*(E694/1000),Skills!L16/10)+Skills!O16</f>
        <v/>
      </c>
      <c r="G694">
        <f>Skills!G16*IF(Skills!H16&gt;0,Skills!I16/Skills!H16,1)</f>
        <v/>
      </c>
      <c r="H694">
        <f>1-(1-Skills!J16/100)^Skills!K16</f>
        <v/>
      </c>
      <c r="I694" t="inlineStr">
        <is>
          <t>1</t>
        </is>
      </c>
      <c r="J694" t="inlineStr"/>
      <c r="K694" t="inlineStr"/>
      <c r="L694" t="inlineStr"/>
      <c r="M694" t="inlineStr"/>
      <c r="N694" t="inlineStr"/>
      <c r="O694" t="n">
        <v>0</v>
      </c>
      <c r="P694">
        <f>IF(B718=0,0,O694/B718)</f>
        <v/>
      </c>
      <c r="Q694">
        <f>IFERROR(1/IF(Inputs!$B$4="pvp",15,MAX(0.1,Skills!D16-IF(Skills!E16=TRUE,Inputs!$B$31,0))),0)</f>
        <v/>
      </c>
      <c r="R694">
        <f>IF(AND(Inputs!$B$4&lt;&gt;"pvp",Inputs!$B$35&gt;0),(INT(Inputs!$B$35/IF(Inputs!$B$4="pvp",15,MAX(0.1,Skills!D16-IF(Skills!E16=TRUE,Inputs!$B$31,0))))+1),0)</f>
        <v/>
      </c>
      <c r="S694">
        <f>IFERROR(O694/N694,0)</f>
        <v/>
      </c>
    </row>
    <row r="695">
      <c r="A695">
        <f>Skills!A17</f>
        <v/>
      </c>
      <c r="B695">
        <f>Skills!B17</f>
        <v/>
      </c>
      <c r="C695">
        <f>Inputs!$B$3&gt;=72</f>
        <v/>
      </c>
      <c r="D695">
        <f>IF(Skills!C17=1,60+Inputs!$B$24+Inputs!$B$28,IF(Skills!C17=2,90+Inputs!$B$25+Inputs!$B$28,IF(Skills!C17=3,120+Inputs!$B$26+Inputs!$B$28,MAX(0,(Inputs!$B$3-100)*3)+Inputs!$B$27+Inputs!$B$28)))</f>
        <v/>
      </c>
      <c r="E695">
        <f>INDEX(FactorTable!$B$2:$Y$301, MATCH(ROUND(MIN(300,MAX(1,D695)),0), FactorTable!$A$2:$A$301,0), Skills!M17+1)</f>
        <v/>
      </c>
      <c r="F695">
        <f>IF(Skills!N17=TRUE,(Skills!L17/10)*(E695/1000),Skills!L17/10)+Skills!O17</f>
        <v/>
      </c>
      <c r="G695">
        <f>Skills!G17*IF(Skills!H17&gt;0,Skills!I17/Skills!H17,1)</f>
        <v/>
      </c>
      <c r="H695">
        <f>1-(1-Skills!J17/100)^Skills!K17</f>
        <v/>
      </c>
      <c r="I695" t="inlineStr">
        <is>
          <t>1</t>
        </is>
      </c>
      <c r="J695" t="inlineStr"/>
      <c r="K695" t="inlineStr"/>
      <c r="L695" t="inlineStr"/>
      <c r="M695" t="inlineStr"/>
      <c r="N695" t="inlineStr"/>
      <c r="O695" t="n">
        <v>0</v>
      </c>
      <c r="P695">
        <f>IF(B718=0,0,O695/B718)</f>
        <v/>
      </c>
      <c r="Q695" t="n">
        <v>0</v>
      </c>
      <c r="R695" t="n">
        <v>0</v>
      </c>
      <c r="S695">
        <f>IFERROR(O695/N695,0)</f>
        <v/>
      </c>
    </row>
    <row r="696">
      <c r="A696">
        <f>Skills!A18</f>
        <v/>
      </c>
      <c r="B696">
        <f>Skills!B18</f>
        <v/>
      </c>
      <c r="C696">
        <f>TRUE</f>
        <v/>
      </c>
      <c r="D696">
        <f>IF(Skills!C18=1,60+Inputs!$B$24+Inputs!$B$28,IF(Skills!C18=2,90+Inputs!$B$25+Inputs!$B$28,IF(Skills!C18=3,120+Inputs!$B$26+Inputs!$B$28,MAX(0,(Inputs!$B$3-100)*3)+Inputs!$B$27+Inputs!$B$28)))</f>
        <v/>
      </c>
      <c r="E696">
        <f>INDEX(FactorTable!$B$2:$Y$301, MATCH(ROUND(MIN(300,MAX(1,D696)),0), FactorTable!$A$2:$A$301,0), Skills!M18+1)</f>
        <v/>
      </c>
      <c r="F696">
        <f>IF(Skills!N18=TRUE,(Skills!L18/10)*(E696/1000),Skills!L18/10)+Skills!O18</f>
        <v/>
      </c>
      <c r="G696">
        <f>Skills!G18*IF(Skills!H18&gt;0,Skills!I18/Skills!H18,1)</f>
        <v/>
      </c>
      <c r="H696">
        <f>1-(1-Skills!J18/100)^Skills!K18</f>
        <v/>
      </c>
      <c r="I696" t="inlineStr">
        <is>
          <t>1</t>
        </is>
      </c>
      <c r="J696" t="inlineStr"/>
      <c r="K696" t="inlineStr"/>
      <c r="L696" t="inlineStr"/>
      <c r="M696" t="inlineStr"/>
      <c r="N696" t="inlineStr"/>
      <c r="O696" t="n">
        <v>0</v>
      </c>
      <c r="P696">
        <f>IF(B718=0,0,O696/B718)</f>
        <v/>
      </c>
      <c r="Q696">
        <f>IFERROR(1/IF(Inputs!$B$4="pvp",15,MAX(0.1,Skills!D18-IF(Skills!E18=TRUE,Inputs!$B$31,0))),0)</f>
        <v/>
      </c>
      <c r="R696">
        <f>IF(AND(Inputs!$B$4&lt;&gt;"pvp",Inputs!$B$35&gt;0),(INT(Inputs!$B$35/IF(Inputs!$B$4="pvp",15,MAX(0.1,Skills!D18-IF(Skills!E18=TRUE,Inputs!$B$31,0))))+1),0)</f>
        <v/>
      </c>
      <c r="S696">
        <f>IFERROR(O696/N696,0)</f>
        <v/>
      </c>
    </row>
    <row r="697">
      <c r="A697">
        <f>Skills!A19</f>
        <v/>
      </c>
      <c r="B697">
        <f>Skills!B19</f>
        <v/>
      </c>
      <c r="C697">
        <f>Inputs!$B$3&gt;=15</f>
        <v/>
      </c>
      <c r="D697">
        <f>IF(Skills!C19=1,60+Inputs!$B$24+Inputs!$B$28,IF(Skills!C19=2,90+Inputs!$B$25+Inputs!$B$28,IF(Skills!C19=3,120+Inputs!$B$26+Inputs!$B$28,MAX(0,(Inputs!$B$3-100)*3)+Inputs!$B$27+Inputs!$B$28)))</f>
        <v/>
      </c>
      <c r="E697">
        <f>INDEX(FactorTable!$B$2:$Y$301, MATCH(ROUND(MIN(300,MAX(1,D697)),0), FactorTable!$A$2:$A$301,0), Skills!M19+1)</f>
        <v/>
      </c>
      <c r="F697">
        <f>IF(Skills!N19=TRUE,(Skills!L19/10)*(E697/1000),Skills!L19/10)+Skills!O19</f>
        <v/>
      </c>
      <c r="G697">
        <f>Skills!G19*IF(Skills!H19&gt;0,Skills!I19/Skills!H19,1)</f>
        <v/>
      </c>
      <c r="H697">
        <f>1-(1-Skills!J19/100)^Skills!K19</f>
        <v/>
      </c>
      <c r="I697" t="inlineStr">
        <is>
          <t>1</t>
        </is>
      </c>
      <c r="J697" t="inlineStr"/>
      <c r="K697" t="inlineStr"/>
      <c r="L697" t="inlineStr"/>
      <c r="M697" t="inlineStr"/>
      <c r="N697" t="inlineStr"/>
      <c r="O697" t="n">
        <v>0</v>
      </c>
      <c r="P697">
        <f>IF(B718=0,0,O697/B718)</f>
        <v/>
      </c>
      <c r="Q697" t="n">
        <v>0</v>
      </c>
      <c r="R697" t="n">
        <v>0</v>
      </c>
      <c r="S697">
        <f>IFERROR(O697/N697,0)</f>
        <v/>
      </c>
    </row>
    <row r="698">
      <c r="A698">
        <f>Skills!A20</f>
        <v/>
      </c>
      <c r="B698">
        <f>Skills!B20</f>
        <v/>
      </c>
      <c r="C698">
        <f>Inputs!$B$3&gt;=10</f>
        <v/>
      </c>
      <c r="D698">
        <f>IF(Skills!C20=1,60+Inputs!$B$24+Inputs!$B$28,IF(Skills!C20=2,90+Inputs!$B$25+Inputs!$B$28,IF(Skills!C20=3,120+Inputs!$B$26+Inputs!$B$28,MAX(0,(Inputs!$B$3-100)*3)+Inputs!$B$27+Inputs!$B$28)))</f>
        <v/>
      </c>
      <c r="E698">
        <f>INDEX(FactorTable!$B$2:$Y$301, MATCH(ROUND(MIN(300,MAX(1,D698)),0), FactorTable!$A$2:$A$301,0), Skills!M20+1)</f>
        <v/>
      </c>
      <c r="F698">
        <f>IF(Skills!N20=TRUE,(Skills!L20/10)*(E698/1000),Skills!L20/10)+Skills!O20</f>
        <v/>
      </c>
      <c r="G698">
        <f>Skills!G20*IF(Skills!H20&gt;0,Skills!I20/Skills!H20,1)</f>
        <v/>
      </c>
      <c r="H698">
        <f>1-(1-Skills!J20/100)^Skills!K20</f>
        <v/>
      </c>
      <c r="I698" t="inlineStr">
        <is>
          <t>1</t>
        </is>
      </c>
      <c r="J698" t="inlineStr"/>
      <c r="K698" t="inlineStr"/>
      <c r="L698" t="inlineStr"/>
      <c r="M698" t="inlineStr"/>
      <c r="N698" t="inlineStr"/>
      <c r="O698" t="n">
        <v>0</v>
      </c>
      <c r="P698">
        <f>IF(B718=0,0,O698/B718)</f>
        <v/>
      </c>
      <c r="Q698" t="n">
        <v>0</v>
      </c>
      <c r="R698" t="n">
        <v>0</v>
      </c>
      <c r="S698">
        <f>IFERROR(O698/N698,0)</f>
        <v/>
      </c>
    </row>
    <row r="699">
      <c r="A699">
        <f>Skills!A21</f>
        <v/>
      </c>
      <c r="B699">
        <f>Skills!B21</f>
        <v/>
      </c>
      <c r="C699">
        <f>Inputs!$B$3&gt;=33</f>
        <v/>
      </c>
      <c r="D699">
        <f>IF(Skills!C21=1,60+Inputs!$B$24+Inputs!$B$28,IF(Skills!C21=2,90+Inputs!$B$25+Inputs!$B$28,IF(Skills!C21=3,120+Inputs!$B$26+Inputs!$B$28,MAX(0,(Inputs!$B$3-100)*3)+Inputs!$B$27+Inputs!$B$28)))</f>
        <v/>
      </c>
      <c r="E699">
        <f>INDEX(FactorTable!$B$2:$Y$301, MATCH(ROUND(MIN(300,MAX(1,D699)),0), FactorTable!$A$2:$A$301,0), Skills!M21+1)</f>
        <v/>
      </c>
      <c r="F699">
        <f>IF(Skills!N21=TRUE,(Skills!L21/10)*(E699/1000),Skills!L21/10)+Skills!O21</f>
        <v/>
      </c>
      <c r="G699">
        <f>Skills!G21*IF(Skills!H21&gt;0,Skills!I21/Skills!H21,1)</f>
        <v/>
      </c>
      <c r="H699">
        <f>1-(1-Skills!J21/100)^Skills!K21</f>
        <v/>
      </c>
      <c r="I699" t="inlineStr">
        <is>
          <t>1</t>
        </is>
      </c>
      <c r="J699" t="inlineStr"/>
      <c r="K699" t="inlineStr"/>
      <c r="L699" t="inlineStr"/>
      <c r="M699" t="inlineStr"/>
      <c r="N699" t="inlineStr"/>
      <c r="O699" t="n">
        <v>0</v>
      </c>
      <c r="P699">
        <f>IF(B718=0,0,O699/B718)</f>
        <v/>
      </c>
      <c r="Q699" t="n">
        <v>0</v>
      </c>
      <c r="R699" t="n">
        <v>0</v>
      </c>
      <c r="S699">
        <f>IFERROR(O699/N699,0)</f>
        <v/>
      </c>
    </row>
    <row r="700">
      <c r="A700">
        <f>Skills!A22</f>
        <v/>
      </c>
      <c r="B700">
        <f>Skills!B22</f>
        <v/>
      </c>
      <c r="C700">
        <f>Inputs!$B$3&gt;=38</f>
        <v/>
      </c>
      <c r="D700">
        <f>IF(Skills!C22=1,60+Inputs!$B$24+Inputs!$B$28,IF(Skills!C22=2,90+Inputs!$B$25+Inputs!$B$28,IF(Skills!C22=3,120+Inputs!$B$26+Inputs!$B$28,MAX(0,(Inputs!$B$3-100)*3)+Inputs!$B$27+Inputs!$B$28)))</f>
        <v/>
      </c>
      <c r="E700">
        <f>INDEX(FactorTable!$B$2:$Y$301, MATCH(ROUND(MIN(300,MAX(1,D700)),0), FactorTable!$A$2:$A$301,0), Skills!M22+1)</f>
        <v/>
      </c>
      <c r="F700">
        <f>IF(Skills!N22=TRUE,(Skills!L22/10)*(E700/1000),Skills!L22/10)+Skills!O22</f>
        <v/>
      </c>
      <c r="G700">
        <f>Skills!G22*IF(Skills!H22&gt;0,Skills!I22/Skills!H22,1)</f>
        <v/>
      </c>
      <c r="H700">
        <f>1-(1-Skills!J22/100)^Skills!K22</f>
        <v/>
      </c>
      <c r="I700" t="inlineStr">
        <is>
          <t>1</t>
        </is>
      </c>
      <c r="J700" t="inlineStr"/>
      <c r="K700" t="inlineStr"/>
      <c r="L700" t="inlineStr"/>
      <c r="M700" t="inlineStr"/>
      <c r="N700" t="inlineStr"/>
      <c r="O700" t="n">
        <v>0</v>
      </c>
      <c r="P700">
        <f>IF(B718=0,0,O700/B718)</f>
        <v/>
      </c>
      <c r="Q700" t="n">
        <v>0</v>
      </c>
      <c r="R700" t="n">
        <v>0</v>
      </c>
      <c r="S700">
        <f>IFERROR(O700/N700,0)</f>
        <v/>
      </c>
    </row>
    <row r="701">
      <c r="A701">
        <f>Skills!A23</f>
        <v/>
      </c>
      <c r="B701">
        <f>Skills!B23</f>
        <v/>
      </c>
      <c r="C701">
        <f>Inputs!$B$3&gt;=43</f>
        <v/>
      </c>
      <c r="D701">
        <f>IF(Skills!C23=1,60+Inputs!$B$24+Inputs!$B$28,IF(Skills!C23=2,90+Inputs!$B$25+Inputs!$B$28,IF(Skills!C23=3,120+Inputs!$B$26+Inputs!$B$28,MAX(0,(Inputs!$B$3-100)*3)+Inputs!$B$27+Inputs!$B$28)))</f>
        <v/>
      </c>
      <c r="E701">
        <f>INDEX(FactorTable!$B$2:$Y$301, MATCH(ROUND(MIN(300,MAX(1,D701)),0), FactorTable!$A$2:$A$301,0), Skills!M23+1)</f>
        <v/>
      </c>
      <c r="F701">
        <f>IF(Skills!N23=TRUE,(Skills!L23/10)*(E701/1000),Skills!L23/10)+Skills!O23</f>
        <v/>
      </c>
      <c r="G701">
        <f>Skills!G23*IF(Skills!H23&gt;0,Skills!I23/Skills!H23,1)</f>
        <v/>
      </c>
      <c r="H701">
        <f>1-(1-Skills!J23/100)^Skills!K23</f>
        <v/>
      </c>
      <c r="I701" t="inlineStr">
        <is>
          <t>1</t>
        </is>
      </c>
      <c r="J701" t="inlineStr"/>
      <c r="K701" t="inlineStr"/>
      <c r="L701" t="inlineStr"/>
      <c r="M701" t="inlineStr"/>
      <c r="N701" t="inlineStr"/>
      <c r="O701" t="n">
        <v>0</v>
      </c>
      <c r="P701">
        <f>IF(B718=0,0,O701/B718)</f>
        <v/>
      </c>
      <c r="Q701" t="n">
        <v>0</v>
      </c>
      <c r="R701" t="n">
        <v>0</v>
      </c>
      <c r="S701">
        <f>IFERROR(O701/N701,0)</f>
        <v/>
      </c>
    </row>
    <row r="702">
      <c r="A702">
        <f>Skills!A24</f>
        <v/>
      </c>
      <c r="B702">
        <f>Skills!B24</f>
        <v/>
      </c>
      <c r="C702">
        <f>Inputs!$B$3&gt;=75</f>
        <v/>
      </c>
      <c r="D702">
        <f>IF(Skills!C24=1,60+Inputs!$B$24+Inputs!$B$28,IF(Skills!C24=2,90+Inputs!$B$25+Inputs!$B$28,IF(Skills!C24=3,120+Inputs!$B$26+Inputs!$B$28,MAX(0,(Inputs!$B$3-100)*3)+Inputs!$B$27+Inputs!$B$28)))</f>
        <v/>
      </c>
      <c r="E702">
        <f>INDEX(FactorTable!$B$2:$Y$301, MATCH(ROUND(MIN(300,MAX(1,D702)),0), FactorTable!$A$2:$A$301,0), Skills!M24+1)</f>
        <v/>
      </c>
      <c r="F702">
        <f>IF(Skills!N24=TRUE,(Skills!L24/10)*(E702/1000),Skills!L24/10)+Skills!O24</f>
        <v/>
      </c>
      <c r="G702">
        <f>Skills!G24*IF(Skills!H24&gt;0,Skills!I24/Skills!H24,1)</f>
        <v/>
      </c>
      <c r="H702">
        <f>1-(1-Skills!J24/100)^Skills!K24</f>
        <v/>
      </c>
      <c r="I702" t="inlineStr">
        <is>
          <t>1</t>
        </is>
      </c>
      <c r="J702" t="inlineStr"/>
      <c r="K702" t="inlineStr"/>
      <c r="L702" t="inlineStr"/>
      <c r="M702" t="inlineStr"/>
      <c r="N702" t="inlineStr"/>
      <c r="O702" t="n">
        <v>0</v>
      </c>
      <c r="P702">
        <f>IF(B718=0,0,O702/B718)</f>
        <v/>
      </c>
      <c r="Q702" t="n">
        <v>0</v>
      </c>
      <c r="R702" t="n">
        <v>0</v>
      </c>
      <c r="S702">
        <f>IFERROR(O702/N702,0)</f>
        <v/>
      </c>
    </row>
    <row r="703">
      <c r="A703">
        <f>Skills!A25</f>
        <v/>
      </c>
      <c r="B703">
        <f>Skills!B25</f>
        <v/>
      </c>
      <c r="C703">
        <f>Inputs!$B$3&gt;=125</f>
        <v/>
      </c>
      <c r="D703">
        <f>IF(Skills!C25=1,60+Inputs!$B$24+Inputs!$B$28,IF(Skills!C25=2,90+Inputs!$B$25+Inputs!$B$28,IF(Skills!C25=3,120+Inputs!$B$26+Inputs!$B$28,MAX(0,(Inputs!$B$3-100)*3)+Inputs!$B$27+Inputs!$B$28)))</f>
        <v/>
      </c>
      <c r="E703">
        <f>INDEX(FactorTable!$B$2:$Y$301, MATCH(ROUND(MIN(300,MAX(1,D703)),0), FactorTable!$A$2:$A$301,0), Skills!M25+1)</f>
        <v/>
      </c>
      <c r="F703">
        <f>IF(Skills!N25=TRUE,(Skills!L25/10)*(E703/1000),Skills!L25/10)+Skills!O25</f>
        <v/>
      </c>
      <c r="G703">
        <f>Skills!G25*IF(Skills!H25&gt;0,Skills!I25/Skills!H25,1)</f>
        <v/>
      </c>
      <c r="H703">
        <f>1-(1-Skills!J25/100)^Skills!K25</f>
        <v/>
      </c>
      <c r="I703" t="inlineStr">
        <is>
          <t>1</t>
        </is>
      </c>
      <c r="J703" t="inlineStr"/>
      <c r="K703" t="inlineStr"/>
      <c r="L703" t="inlineStr"/>
      <c r="M703" t="inlineStr"/>
      <c r="N703" t="inlineStr"/>
      <c r="O703" t="n">
        <v>0</v>
      </c>
      <c r="P703">
        <f>IF(B718=0,0,O703/B718)</f>
        <v/>
      </c>
      <c r="Q703" t="n">
        <v>0</v>
      </c>
      <c r="R703" t="n">
        <v>0</v>
      </c>
      <c r="S703">
        <f>IFERROR(O703/N703,0)</f>
        <v/>
      </c>
    </row>
    <row r="704">
      <c r="A704">
        <f>Skills!A26</f>
        <v/>
      </c>
      <c r="B704">
        <f>Skills!B26</f>
        <v/>
      </c>
      <c r="C704">
        <f>Inputs!$B$3&gt;=125</f>
        <v/>
      </c>
      <c r="D704">
        <f>IF(Skills!C26=1,60+Inputs!$B$24+Inputs!$B$28,IF(Skills!C26=2,90+Inputs!$B$25+Inputs!$B$28,IF(Skills!C26=3,120+Inputs!$B$26+Inputs!$B$28,MAX(0,(Inputs!$B$3-100)*3)+Inputs!$B$27+Inputs!$B$28)))</f>
        <v/>
      </c>
      <c r="E704">
        <f>INDEX(FactorTable!$B$2:$Y$301, MATCH(ROUND(MIN(300,MAX(1,D704)),0), FactorTable!$A$2:$A$301,0), Skills!M26+1)</f>
        <v/>
      </c>
      <c r="F704">
        <f>IF(Skills!N26=TRUE,(Skills!L26/10)*(E704/1000),Skills!L26/10)+Skills!O26</f>
        <v/>
      </c>
      <c r="G704">
        <f>Skills!G26*IF(Skills!H26&gt;0,Skills!I26/Skills!H26,1)</f>
        <v/>
      </c>
      <c r="H704">
        <f>1-(1-Skills!J26/100)^Skills!K26</f>
        <v/>
      </c>
      <c r="I704" t="inlineStr">
        <is>
          <t>1</t>
        </is>
      </c>
      <c r="J704" t="inlineStr"/>
      <c r="K704" t="inlineStr"/>
      <c r="L704" t="inlineStr"/>
      <c r="M704" t="inlineStr"/>
      <c r="N704" t="inlineStr"/>
      <c r="O704" t="n">
        <v>0</v>
      </c>
      <c r="P704">
        <f>IF(B718=0,0,O704/B718)</f>
        <v/>
      </c>
      <c r="Q704" t="n">
        <v>0</v>
      </c>
      <c r="R704" t="n">
        <v>0</v>
      </c>
      <c r="S704">
        <f>IFERROR(O704/N704,0)</f>
        <v/>
      </c>
    </row>
    <row r="705">
      <c r="A705">
        <f>Skills!A27</f>
        <v/>
      </c>
      <c r="B705">
        <f>Skills!B27</f>
        <v/>
      </c>
      <c r="C705">
        <f>Inputs!$B$3&gt;=120</f>
        <v/>
      </c>
      <c r="D705">
        <f>IF(Skills!C27=1,60+Inputs!$B$24+Inputs!$B$28,IF(Skills!C27=2,90+Inputs!$B$25+Inputs!$B$28,IF(Skills!C27=3,120+Inputs!$B$26+Inputs!$B$28,MAX(0,(Inputs!$B$3-100)*3)+Inputs!$B$27+Inputs!$B$28)))</f>
        <v/>
      </c>
      <c r="E705">
        <f>INDEX(FactorTable!$B$2:$Y$301, MATCH(ROUND(MIN(300,MAX(1,D705)),0), FactorTable!$A$2:$A$301,0), Skills!M27+1)</f>
        <v/>
      </c>
      <c r="F705">
        <f>IF(Skills!N27=TRUE,(Skills!L27/10)*(E705/1000),Skills!L27/10)+Skills!O27</f>
        <v/>
      </c>
      <c r="G705">
        <f>Skills!G27*IF(Skills!H27&gt;0,Skills!I27/Skills!H27,1)</f>
        <v/>
      </c>
      <c r="H705">
        <f>1-(1-Skills!J27/100)^Skills!K27</f>
        <v/>
      </c>
      <c r="I705" t="inlineStr">
        <is>
          <t>1</t>
        </is>
      </c>
      <c r="J705" t="inlineStr"/>
      <c r="K705" t="inlineStr"/>
      <c r="L705" t="inlineStr"/>
      <c r="M705" t="inlineStr"/>
      <c r="N705" t="inlineStr"/>
      <c r="O705" t="n">
        <v>0</v>
      </c>
      <c r="P705">
        <f>IF(B718=0,0,O705/B718)</f>
        <v/>
      </c>
      <c r="Q705" t="n">
        <v>0</v>
      </c>
      <c r="R705" t="n">
        <v>0</v>
      </c>
      <c r="S705">
        <f>IFERROR(O705/N705,0)</f>
        <v/>
      </c>
    </row>
    <row r="706">
      <c r="A706">
        <f>Skills!A28</f>
        <v/>
      </c>
      <c r="B706">
        <f>Skills!B28</f>
        <v/>
      </c>
      <c r="C706">
        <f>Inputs!$B$3&gt;=120</f>
        <v/>
      </c>
      <c r="D706">
        <f>IF(Skills!C28=1,60+Inputs!$B$24+Inputs!$B$28,IF(Skills!C28=2,90+Inputs!$B$25+Inputs!$B$28,IF(Skills!C28=3,120+Inputs!$B$26+Inputs!$B$28,MAX(0,(Inputs!$B$3-100)*3)+Inputs!$B$27+Inputs!$B$28)))</f>
        <v/>
      </c>
      <c r="E706">
        <f>INDEX(FactorTable!$B$2:$Y$301, MATCH(ROUND(MIN(300,MAX(1,D706)),0), FactorTable!$A$2:$A$301,0), Skills!M28+1)</f>
        <v/>
      </c>
      <c r="F706">
        <f>IF(Skills!N28=TRUE,(Skills!L28/10)*(E706/1000),Skills!L28/10)+Skills!O28</f>
        <v/>
      </c>
      <c r="G706">
        <f>Skills!G28*IF(Skills!H28&gt;0,Skills!I28/Skills!H28,1)</f>
        <v/>
      </c>
      <c r="H706">
        <f>1-(1-Skills!J28/100)^Skills!K28</f>
        <v/>
      </c>
      <c r="I706" t="inlineStr">
        <is>
          <t>1</t>
        </is>
      </c>
      <c r="J706" t="inlineStr"/>
      <c r="K706" t="inlineStr"/>
      <c r="L706" t="inlineStr"/>
      <c r="M706" t="inlineStr"/>
      <c r="N706" t="inlineStr"/>
      <c r="O706" t="n">
        <v>0</v>
      </c>
      <c r="P706">
        <f>IF(B718=0,0,O706/B718)</f>
        <v/>
      </c>
      <c r="Q706" t="n">
        <v>0</v>
      </c>
      <c r="R706" t="n">
        <v>0</v>
      </c>
      <c r="S706">
        <f>IFERROR(O706/N706,0)</f>
        <v/>
      </c>
    </row>
    <row r="707">
      <c r="A707">
        <f>Skills!A29</f>
        <v/>
      </c>
      <c r="B707">
        <f>Skills!B29</f>
        <v/>
      </c>
      <c r="C707">
        <f>Inputs!$B$3&gt;=45</f>
        <v/>
      </c>
      <c r="D707">
        <f>IF(Skills!C29=1,60+Inputs!$B$24+Inputs!$B$28,IF(Skills!C29=2,90+Inputs!$B$25+Inputs!$B$28,IF(Skills!C29=3,120+Inputs!$B$26+Inputs!$B$28,MAX(0,(Inputs!$B$3-100)*3)+Inputs!$B$27+Inputs!$B$28)))</f>
        <v/>
      </c>
      <c r="E707">
        <f>INDEX(FactorTable!$B$2:$Y$301, MATCH(ROUND(MIN(300,MAX(1,D707)),0), FactorTable!$A$2:$A$301,0), Skills!M29+1)</f>
        <v/>
      </c>
      <c r="F707">
        <f>IF(Skills!N29=TRUE,(Skills!L29/10)*(E707/1000),Skills!L29/10)+Skills!O29</f>
        <v/>
      </c>
      <c r="G707">
        <f>Skills!G29*IF(Skills!H29&gt;0,Skills!I29/Skills!H29,1)</f>
        <v/>
      </c>
      <c r="H707">
        <f>1-(1-Skills!J29/100)^Skills!K29</f>
        <v/>
      </c>
      <c r="I707" t="inlineStr">
        <is>
          <t>1</t>
        </is>
      </c>
      <c r="J707" t="inlineStr"/>
      <c r="K707" t="inlineStr"/>
      <c r="L707" t="inlineStr"/>
      <c r="M707" t="inlineStr"/>
      <c r="N707" t="inlineStr"/>
      <c r="O707" t="n">
        <v>0</v>
      </c>
      <c r="P707">
        <f>IF(B718=0,0,O707/B718)</f>
        <v/>
      </c>
      <c r="Q707" t="n">
        <v>0</v>
      </c>
      <c r="R707" t="n">
        <v>0</v>
      </c>
      <c r="S707">
        <f>IFERROR(O707/N707,0)</f>
        <v/>
      </c>
    </row>
    <row r="709">
      <c r="A709" t="inlineStr">
        <is>
          <t>Attack% Bucket Multiplier</t>
        </is>
      </c>
      <c r="B709">
        <f>(1+(((C691=TRUE)*F691)+((C692=TRUE)*IF(Inputs!$B$4="pvp",F692,(1-Summary!$B$55)*(F692)+Summary!$B$55*(0)))+((C693=TRUE)*F693*IF(AND(Inputs!$B$4&lt;&gt;"pvp",Inputs!$B$35&gt;0),(((S693-1)*(Skills!T15*(1+Inputs!$B$33/100))+MIN((Skills!T15*(1+Inputs!$B$33/100)),MAX(0,Inputs!$B$35-((S693-1)*Skills!D15))))/Inputs!$B$35),IF(Inputs!$B$4="pvp",MIN((Skills!T15*(1+Inputs!$B$33/100)),15)/15,(Skills!T15*(1+Inputs!$B$33/100))/Skills!D15)))+((C690=TRUE)*F690)+((C707=TRUE)*(F707-Calc!F29)))/100)</f>
        <v/>
      </c>
    </row>
    <row r="710">
      <c r="A710" t="inlineStr">
        <is>
          <t>Global Crit Rate Bonus %</t>
        </is>
      </c>
      <c r="B710">
        <f>(C694=TRUE)*20*IF(AND(Inputs!$B$4&lt;&gt;"pvp",Inputs!$B$35&gt;0),(((S694-1)*(Skills!T16*(1+Inputs!$B$33/100))+MIN((Skills!T16*(1+Inputs!$B$33/100)),MAX(0,Inputs!$B$35-((S694-1)*Skills!D16))))/Inputs!$B$35),IF(Inputs!$B$4="pvp",MIN((Skills!T16*(1+Inputs!$B$33/100)),15)/15,(Skills!T16*(1+Inputs!$B$33/100))/Skills!D16))</f>
        <v/>
      </c>
    </row>
    <row r="711">
      <c r="A711" t="inlineStr">
        <is>
          <t>Attack Speed Buff Bonus %</t>
        </is>
      </c>
      <c r="B711">
        <f>((C696=TRUE)*F696*IF(AND(Inputs!$B$4&lt;&gt;"pvp",Inputs!$B$35&gt;0),(((S696-1)*(Skills!T18*(1+Inputs!$B$33/100))+MIN((Skills!T18*(1+Inputs!$B$33/100)),MAX(0,Inputs!$B$35-((S696-1)*Skills!D18))))/Inputs!$B$35),IF(Inputs!$B$4="pvp",MIN((Skills!T18*(1+Inputs!$B$33/100)),15)/15,(Skills!T18*(1+Inputs!$B$33/100))/Skills!D18)))</f>
        <v/>
      </c>
    </row>
    <row r="712">
      <c r="A712" t="inlineStr">
        <is>
          <t>Actions Per Second</t>
        </is>
      </c>
      <c r="B712">
        <f>1+MIN(150,150*(1-(1-(Inputs!$B$10+((C698=TRUE)*(F698-Calc!F20))+((C699=TRUE)*(F699-Calc!F21)))/150)*(1-B711/150)))/100</f>
        <v/>
      </c>
    </row>
    <row r="713">
      <c r="A713" t="inlineStr">
        <is>
          <t>Skill + Buff Cast Rate</t>
        </is>
      </c>
      <c r="B713">
        <f>IF(AND(Inputs!$B$4&lt;&gt;"pvp",Inputs!$B$35&gt;0),SUMPRODUCT((Skills!E2:E29=TRUE)*(C680:C707=TRUE)*R680:R707*Skills!F2:F29)/Inputs!$B$35,SUMPRODUCT((Skills!E2:E29=TRUE)*(C680:C707=TRUE)*Q680:Q707*Skills!F2:F29))</f>
        <v/>
      </c>
    </row>
    <row r="714">
      <c r="A714" t="inlineStr">
        <is>
          <t>Empowered Piercing Arrow Casts Per Second</t>
        </is>
      </c>
      <c r="B714">
        <f>MAX(0,B712-B713)</f>
        <v/>
      </c>
    </row>
    <row r="715">
      <c r="A715" t="inlineStr">
        <is>
          <t>Global Critical Damage Bonus % (Sharp Eyes)</t>
        </is>
      </c>
      <c r="B715">
        <f>(C694=TRUE)*F694*IF(AND(Inputs!$B$4&lt;&gt;"pvp",Inputs!$B$35&gt;0),(((S694-1)*(Skills!T16*(1+Inputs!$B$33/100))+MIN((Skills!T16*(1+Inputs!$B$33/100)),MAX(0,Inputs!$B$35-((S694-1)*Skills!D16))))/Inputs!$B$35),IF(Inputs!$B$4="pvp",MIN((Skills!T16*(1+Inputs!$B$33/100)),15)/15,(Skills!T16*(1+Inputs!$B$33/100))/Skills!D16))</f>
        <v/>
      </c>
    </row>
    <row r="716">
      <c r="A716" t="inlineStr">
        <is>
          <t>Global Final Damage Bonus % (Mortal Blow + Last Man Standing conditional half)</t>
        </is>
      </c>
      <c r="B716">
        <f>(C695=TRUE)*F695+((C704=TRUE)*IF(Inputs!$B$4="pvp",F704,(1-Summary!$B$55)*(F704)+Summary!$B$55*(0)))</f>
        <v/>
      </c>
    </row>
    <row r="718">
      <c r="A718" s="5" t="inlineStr">
        <is>
          <t>TOTAL DPS</t>
        </is>
      </c>
      <c r="B718" s="5">
        <f>SUM(O680:O707)</f>
        <v/>
      </c>
    </row>
    <row r="721">
      <c r="A721" s="5" t="inlineStr">
        <is>
          <t>Stat: Skill Level Bonus — 1st Job</t>
        </is>
      </c>
    </row>
    <row r="722">
      <c r="A722" s="8" t="inlineStr">
        <is>
          <t>Key</t>
        </is>
      </c>
      <c r="B722" s="8" t="inlineStr">
        <is>
          <t>Name</t>
        </is>
      </c>
      <c r="C722" s="8" t="inlineStr">
        <is>
          <t>Unlocked</t>
        </is>
      </c>
      <c r="D722" s="8" t="inlineStr">
        <is>
          <t>InputLevel</t>
        </is>
      </c>
      <c r="E722" s="8" t="inlineStr">
        <is>
          <t>Factor</t>
        </is>
      </c>
      <c r="F722" s="8" t="inlineStr">
        <is>
          <t>CoefficientPercent</t>
        </is>
      </c>
      <c r="G722" s="8" t="inlineStr">
        <is>
          <t>EffectiveHits</t>
        </is>
      </c>
      <c r="H722" s="8" t="inlineStr">
        <is>
          <t>ProcProbability</t>
        </is>
      </c>
      <c r="I722" s="8" t="inlineStr">
        <is>
          <t>MapleHeroMultiplier</t>
        </is>
      </c>
      <c r="J722" s="8" t="inlineStr">
        <is>
          <t>BaseDamage</t>
        </is>
      </c>
      <c r="K722" s="8" t="inlineStr">
        <is>
          <t>BaseHitDamage</t>
        </is>
      </c>
      <c r="L722" s="8" t="inlineStr">
        <is>
          <t>NonCritAvg</t>
        </is>
      </c>
      <c r="M722" s="8" t="inlineStr">
        <is>
          <t>CritAvg</t>
        </is>
      </c>
      <c r="N722" s="8" t="inlineStr">
        <is>
          <t>ExpectedDamage(perHit)</t>
        </is>
      </c>
      <c r="O722" s="8" t="inlineStr">
        <is>
          <t>DPS</t>
        </is>
      </c>
      <c r="P722" s="8" t="inlineStr">
        <is>
          <t>% of Total</t>
        </is>
      </c>
      <c r="Q722" s="8" t="inlineStr">
        <is>
          <t>InvCooldown</t>
        </is>
      </c>
      <c r="R722" s="8" t="inlineStr">
        <is>
          <t>CastsInFight</t>
        </is>
      </c>
      <c r="S722" s="8" t="inlineStr">
        <is>
          <t>HitRate(perSec)</t>
        </is>
      </c>
      <c r="U722" t="inlineStr">
        <is>
          <t>helpers</t>
        </is>
      </c>
    </row>
    <row r="723">
      <c r="A723">
        <f>Skills!A2</f>
        <v/>
      </c>
      <c r="B723">
        <f>Skills!B2</f>
        <v/>
      </c>
      <c r="C723">
        <f>Inputs!$B$3&gt;=100</f>
        <v/>
      </c>
      <c r="D723" t="inlineStr"/>
      <c r="E723" t="inlineStr"/>
      <c r="F723">
        <f>U725+Skills!O2</f>
        <v/>
      </c>
      <c r="G723">
        <f>Skills!G2*IF(Skills!H2&gt;0,Skills!I2/Skills!H2,1)</f>
        <v/>
      </c>
      <c r="H723">
        <f>1-(1-Skills!J2/100)^Skills!K2</f>
        <v/>
      </c>
      <c r="I723" t="inlineStr">
        <is>
          <t>1</t>
        </is>
      </c>
      <c r="J723">
        <f>(Inputs!$B$5*(1+Inputs!$B$6/100))*(F723/100)</f>
        <v/>
      </c>
      <c r="K723">
        <f>J723*(1+((Inputs!$B$11*(1+Inputs!$B$12/100))*0.01+Inputs!$B$13*0.0025)/100)*(1+Inputs!$B$14/100)*(1+IF(Inputs!$B$4="pvp",0,(1-Summary!$B$55)*(Inputs!$B$19+0+Skills!P2)+Summary!$B$55*(Inputs!$B$20+Skills!Q2))/100)*(1+Inputs!$B$15/100)*(5000/(6000+Inputs!$B$7*(1-(Inputs!$B$18+0)/100)))*(1+(Inputs!$B$23+((C745=TRUE)*(F745-Calc!F24))+((C746=TRUE)*(F746-Calc!F25))+B759)/100)*(1+(IF(Skills!A2="EMPOWERED_PIERCING_ARROW",Inputs!$B$16+((C743=TRUE)*(F743-Calc!F22)),Inputs!$B$17+((C748=TRUE)*(F748-Calc!F27))))/100)*((1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I723)</f>
        <v/>
      </c>
      <c r="L723">
        <f>K723*(MIN(Inputs!$B$21+((C744=TRUE)*(F744-Calc!F23)),Inputs!$B$22+((C749=TRUE)*(F749-Calc!F28)))/100+(Inputs!$B$22+((C749=TRUE)*(F749-Calc!F28)))/100)/2</f>
        <v/>
      </c>
      <c r="M723">
        <f>L723*(1+(Inputs!$B$9+0+B758)/100)</f>
        <v/>
      </c>
      <c r="N723">
        <f>L723*(1-MIN((Inputs!$B$8+((C740=TRUE)*(F740-Calc!F19))+B753),100)/100)+M723*(MIN((Inputs!$B$8+((C740=TRUE)*(F740-Calc!F19))+B753),100)/100)</f>
        <v/>
      </c>
      <c r="O723">
        <f>IF(C723,Skills!G2*N723*B757*IF(Inputs!$B$4="pvp",1,(1-Summary!$B$55)*(1)+Summary!$B$55*(MIN((6+Inputs!$B$32),Inputs!$B$37))),0)</f>
        <v/>
      </c>
      <c r="P723">
        <f>IF(B761=0,0,O723/B761)</f>
        <v/>
      </c>
      <c r="Q723" t="n">
        <v>0</v>
      </c>
      <c r="R723" t="n">
        <v>0</v>
      </c>
      <c r="S723">
        <f>IFERROR(O723/N723,0)</f>
        <v/>
      </c>
      <c r="U723">
        <f>MAX(0,(Inputs!$B$3-100)*3)+Inputs!$B$27+Inputs!$B$28</f>
        <v/>
      </c>
    </row>
    <row r="724">
      <c r="A724">
        <f>Skills!A3</f>
        <v/>
      </c>
      <c r="B724">
        <f>Skills!B3</f>
        <v/>
      </c>
      <c r="C724">
        <f>Inputs!$B$3&gt;=50</f>
        <v/>
      </c>
      <c r="D724">
        <f>IF(Skills!C3=1,60+(Inputs!$B$24+1)+Inputs!$B$28,IF(Skills!C3=2,90+Inputs!$B$25+Inputs!$B$28,IF(Skills!C3=3,120+Inputs!$B$26+Inputs!$B$28,MAX(0,(Inputs!$B$3-100)*3)+Inputs!$B$27+Inputs!$B$28)))</f>
        <v/>
      </c>
      <c r="E724">
        <f>INDEX(FactorTable!$B$2:$Y$301, MATCH(ROUND(MIN(300,MAX(1,D724)),0), FactorTable!$A$2:$A$301,0), Skills!M3+1)</f>
        <v/>
      </c>
      <c r="F724">
        <f>IF(Skills!N3=TRUE,(Skills!L3/10)*(E724/1000),Skills!L3/10)+Skills!O3</f>
        <v/>
      </c>
      <c r="G724" t="inlineStr"/>
      <c r="H724" t="inlineStr"/>
      <c r="I724" t="inlineStr">
        <is>
          <t>1</t>
        </is>
      </c>
      <c r="J724" t="inlineStr"/>
      <c r="K724" t="inlineStr"/>
      <c r="L724" t="inlineStr"/>
      <c r="M724" t="inlineStr"/>
      <c r="N724" t="inlineStr"/>
      <c r="O724" t="inlineStr"/>
      <c r="P724" t="inlineStr"/>
      <c r="Q724" t="inlineStr"/>
      <c r="R724" t="inlineStr"/>
      <c r="S724" t="inlineStr"/>
      <c r="U724">
        <f>INDEX(FactorTable!$B$2:$Y$301, MATCH(ROUND(MIN(300,MAX(1,U723)),0), FactorTable!$A$2:$A$301,0), 22)</f>
        <v/>
      </c>
    </row>
    <row r="725">
      <c r="A725">
        <f>Skills!A4</f>
        <v/>
      </c>
      <c r="B725">
        <f>Skills!B4</f>
        <v/>
      </c>
      <c r="C725">
        <f>Inputs!$B$3&gt;=105</f>
        <v/>
      </c>
      <c r="D725">
        <f>IF(Skills!C4=1,60+(Inputs!$B$24+1)+Inputs!$B$28,IF(Skills!C4=2,90+Inputs!$B$25+Inputs!$B$28,IF(Skills!C4=3,120+Inputs!$B$26+Inputs!$B$28,MAX(0,(Inputs!$B$3-100)*3)+Inputs!$B$27+Inputs!$B$28)))</f>
        <v/>
      </c>
      <c r="E725">
        <f>INDEX(FactorTable!$B$2:$Y$301, MATCH(ROUND(MIN(300,MAX(1,D725)),0), FactorTable!$A$2:$A$301,0), Skills!M4+1)</f>
        <v/>
      </c>
      <c r="F725">
        <f>IF(Skills!N4=TRUE,(Skills!L4/10)*(E725/1000),Skills!L4/10)+Skills!O4</f>
        <v/>
      </c>
      <c r="G725" t="inlineStr"/>
      <c r="H725" t="inlineStr"/>
      <c r="I725" t="inlineStr">
        <is>
          <t>1</t>
        </is>
      </c>
      <c r="J725" t="inlineStr"/>
      <c r="K725" t="inlineStr"/>
      <c r="L725" t="inlineStr"/>
      <c r="M725" t="inlineStr"/>
      <c r="N725" t="inlineStr"/>
      <c r="O725" t="inlineStr"/>
      <c r="P725" t="inlineStr"/>
      <c r="Q725" t="inlineStr"/>
      <c r="R725" t="inlineStr"/>
      <c r="S725" t="inlineStr"/>
      <c r="U725">
        <f>290*U724/1000</f>
        <v/>
      </c>
    </row>
    <row r="726">
      <c r="A726">
        <f>Skills!A5</f>
        <v/>
      </c>
      <c r="B726">
        <f>Skills!B5</f>
        <v/>
      </c>
      <c r="C726">
        <f>Inputs!$B$3&gt;=35</f>
        <v/>
      </c>
      <c r="D726">
        <f>IF(Skills!C5=1,60+(Inputs!$B$24+1)+Inputs!$B$28,IF(Skills!C5=2,90+Inputs!$B$25+Inputs!$B$28,IF(Skills!C5=3,120+Inputs!$B$26+Inputs!$B$28,MAX(0,(Inputs!$B$3-100)*3)+Inputs!$B$27+Inputs!$B$28)))</f>
        <v/>
      </c>
      <c r="E726">
        <f>INDEX(FactorTable!$B$2:$Y$301, MATCH(ROUND(MIN(300,MAX(1,D726)),0), FactorTable!$A$2:$A$301,0), Skills!M5+1)</f>
        <v/>
      </c>
      <c r="F726">
        <f>IF(Skills!N5=TRUE,(Skills!L5/10)*(E726/1000),Skills!L5/10)+Skills!O5</f>
        <v/>
      </c>
      <c r="G726">
        <f>Skills!G5*IF(Skills!H5&gt;0,Skills!I5/Skills!H5,1)</f>
        <v/>
      </c>
      <c r="H726">
        <f>1-(1-Skills!J5/100)^Skills!K5</f>
        <v/>
      </c>
      <c r="I726" t="inlineStr">
        <is>
          <t>1</t>
        </is>
      </c>
      <c r="J726">
        <f>(Inputs!$B$5*(1+Inputs!$B$6/100))*(F726/100)</f>
        <v/>
      </c>
      <c r="K726">
        <f>J726*(1+((Inputs!$B$11*(1+Inputs!$B$12/100))*0.01+Inputs!$B$13*0.0025)/100)*(1+Inputs!$B$14/100)*(1+IF(Inputs!$B$4="pvp",0,(1-Summary!$B$55)*(Inputs!$B$19+0+Skills!P5)+Summary!$B$55*(Inputs!$B$20+Skills!Q5))/100)*(1+Inputs!$B$15/100)*(5000/(6000+Inputs!$B$7*(1-(Inputs!$B$18+0)/100)))*(1+(Inputs!$B$23+((C745=TRUE)*(F745-Calc!F24))+((C746=TRUE)*(F746-Calc!F25))+B759)/100)*(1+4.0*IF(C729=TRUE,F729,0)/100)*(1+(IF(Skills!A5="EMPOWERED_PIERCING_ARROW",Inputs!$B$16+((C743=TRUE)*(F743-Calc!F22)),Inputs!$B$17+((C748=TRUE)*(F748-Calc!F27))))/100)*((1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I726)</f>
        <v/>
      </c>
      <c r="L726">
        <f>K726*(MIN(Inputs!$B$21+((C744=TRUE)*(F744-Calc!F23)),Inputs!$B$22+((C749=TRUE)*(F749-Calc!F28)))/100+(Inputs!$B$22+((C749=TRUE)*(F749-Calc!F28)))/100)/2</f>
        <v/>
      </c>
      <c r="M726">
        <f>L726*(1+(Inputs!$B$9+0+B758)/100)</f>
        <v/>
      </c>
      <c r="N726">
        <f>L726*(1-MIN((Inputs!$B$8+((C740=TRUE)*(F740-Calc!F19))+B753),100)/100)+M726*(MIN((Inputs!$B$8+((C740=TRUE)*(F740-Calc!F19))+B753),100)/100)</f>
        <v/>
      </c>
      <c r="O726">
        <f>IF(C726,H726*N726*IF(AND(Inputs!$B$4&lt;&gt;"pvp",Inputs!$B$35&gt;0),((Skills!G5*((R726-1)*IF(Skills!H5&gt;0,Skills!I5/Skills!H5,1)+IF(Skills!H5&gt;0,MIN(Skills!I5,MAX(0,Inputs!$B$35-((R726-1)*IF(Inputs!$B$4="pvp",15,MAX(0.1,Skills!D5-IF(Skills!E5=TRUE,Inputs!$B$31,0))))))/Skills!H5,1)))/Inputs!$B$35),G726*Q726)*IF(Inputs!$B$4="pvp",1,(1-Summary!$B$55)*(1)+Summary!$B$55*(MIN(Skills!R5,Inputs!$B$37))),0)</f>
        <v/>
      </c>
      <c r="P726">
        <f>IF(B761=0,0,O726/B761)</f>
        <v/>
      </c>
      <c r="Q726">
        <f>IFERROR(1/IF(Inputs!$B$4="pvp",15,MAX(0.1,Skills!D5-IF(Skills!E5=TRUE,Inputs!$B$31,0))),0)</f>
        <v/>
      </c>
      <c r="R726">
        <f>IF(AND(Inputs!$B$4&lt;&gt;"pvp",Inputs!$B$35&gt;0),(INT(Inputs!$B$35/IF(Inputs!$B$4="pvp",15,MAX(0.1,Skills!D5-IF(Skills!E5=TRUE,Inputs!$B$31,0))))+1),0)</f>
        <v/>
      </c>
      <c r="S726">
        <f>IFERROR(O726/N726,0)</f>
        <v/>
      </c>
    </row>
    <row r="727">
      <c r="A727">
        <f>Skills!A6</f>
        <v/>
      </c>
      <c r="B727">
        <f>Skills!B6</f>
        <v/>
      </c>
      <c r="C727">
        <f>Inputs!$B$3&gt;=63</f>
        <v/>
      </c>
      <c r="D727">
        <f>IF(Skills!C6=1,60+(Inputs!$B$24+1)+Inputs!$B$28,IF(Skills!C6=2,90+Inputs!$B$25+Inputs!$B$28,IF(Skills!C6=3,120+Inputs!$B$26+Inputs!$B$28,MAX(0,(Inputs!$B$3-100)*3)+Inputs!$B$27+Inputs!$B$28)))</f>
        <v/>
      </c>
      <c r="E727">
        <f>INDEX(FactorTable!$B$2:$Y$301, MATCH(ROUND(MIN(300,MAX(1,D727)),0), FactorTable!$A$2:$A$301,0), Skills!M6+1)</f>
        <v/>
      </c>
      <c r="F727">
        <f>IF(Skills!N6=TRUE,(Skills!L6/10)*(E727/1000),Skills!L6/10)+Skills!O6</f>
        <v/>
      </c>
      <c r="G727">
        <f>Skills!G6*IF(Skills!H6&gt;0,Skills!I6/Skills!H6,1)</f>
        <v/>
      </c>
      <c r="H727">
        <f>1-(1-Skills!J6/100)^Skills!K6</f>
        <v/>
      </c>
      <c r="I727" t="inlineStr">
        <is>
          <t>1</t>
        </is>
      </c>
      <c r="J727">
        <f>(Inputs!$B$5*(1+Inputs!$B$6/100))*(F727/100)</f>
        <v/>
      </c>
      <c r="K727">
        <f>J727*(1+((Inputs!$B$11*(1+Inputs!$B$12/100))*0.01+Inputs!$B$13*0.0025)/100)*(1+Inputs!$B$14/100)*(1+IF(Inputs!$B$4="pvp",0,(1-Summary!$B$55)*(Inputs!$B$19+0+Skills!P6)+Summary!$B$55*(Inputs!$B$20+Skills!Q6))/100)*(1+Inputs!$B$15/100)*(5000/(6000+Inputs!$B$7*(1-(Inputs!$B$18+0)/100)))*(1+(Inputs!$B$23+((C745=TRUE)*(F745-Calc!F24))+((C746=TRUE)*(F746-Calc!F25))+B759)/100)*(1+1.0*IF(C729=TRUE,F729,0)/100)*(1+(IF(Skills!A6="EMPOWERED_PIERCING_ARROW",Inputs!$B$16+((C743=TRUE)*(F743-Calc!F22)),Inputs!$B$17+((C748=TRUE)*(F748-Calc!F27))))/100)*((1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I727)</f>
        <v/>
      </c>
      <c r="L727">
        <f>K727*(MIN(Inputs!$B$21+((C744=TRUE)*(F744-Calc!F23)),Inputs!$B$22+((C749=TRUE)*(F749-Calc!F28)))/100+(Inputs!$B$22+((C749=TRUE)*(F749-Calc!F28)))/100)/2</f>
        <v/>
      </c>
      <c r="M727">
        <f>L727*(1+(Inputs!$B$9+0+B758)/100)</f>
        <v/>
      </c>
      <c r="N727">
        <f>L727*(1-MIN((Inputs!$B$8+((C740=TRUE)*(F740-Calc!F19))+B753),100)/100)+M727*(MIN((Inputs!$B$8+((C740=TRUE)*(F740-Calc!F19))+B753),100)/100)</f>
        <v/>
      </c>
      <c r="O727">
        <f>IF(C727,H727*N727*IF(AND(Inputs!$B$4&lt;&gt;"pvp",Inputs!$B$35&gt;0),((Skills!G6*((R727-1)*IF(Skills!H6&gt;0,Skills!I6/Skills!H6,1)+IF(Skills!H6&gt;0,MIN(Skills!I6,MAX(0,Inputs!$B$35-((R727-1)*IF(Inputs!$B$4="pvp",15,MAX(0.1,Skills!D6-IF(Skills!E6=TRUE,Inputs!$B$31,0))))))/Skills!H6,1)))/Inputs!$B$35),G727*Q727)*IF(Inputs!$B$4="pvp",1,(1-Summary!$B$55)*(1)+Summary!$B$55*(MIN(Skills!R6,Inputs!$B$37))),0)</f>
        <v/>
      </c>
      <c r="P727">
        <f>IF(B761=0,0,O727/B761)</f>
        <v/>
      </c>
      <c r="Q727">
        <f>IFERROR(1/IF(Inputs!$B$4="pvp",15,MAX(0.1,Skills!D6-IF(Skills!E6=TRUE,Inputs!$B$31,0))),0)</f>
        <v/>
      </c>
      <c r="R727">
        <f>IF(AND(Inputs!$B$4&lt;&gt;"pvp",Inputs!$B$35&gt;0),(INT(Inputs!$B$35/IF(Inputs!$B$4="pvp",15,MAX(0.1,Skills!D6-IF(Skills!E6=TRUE,Inputs!$B$31,0))))+1),0)</f>
        <v/>
      </c>
      <c r="S727">
        <f>IFERROR(O727/N727,0)</f>
        <v/>
      </c>
    </row>
    <row r="728">
      <c r="A728">
        <f>Skills!A7</f>
        <v/>
      </c>
      <c r="B728">
        <f>Skills!B7</f>
        <v/>
      </c>
      <c r="C728">
        <f>Inputs!$B$3&gt;=69</f>
        <v/>
      </c>
      <c r="D728">
        <f>IF(Skills!C7=1,60+(Inputs!$B$24+1)+Inputs!$B$28,IF(Skills!C7=2,90+Inputs!$B$25+Inputs!$B$28,IF(Skills!C7=3,120+Inputs!$B$26+Inputs!$B$28,MAX(0,(Inputs!$B$3-100)*3)+Inputs!$B$27+Inputs!$B$28)))</f>
        <v/>
      </c>
      <c r="E728">
        <f>INDEX(FactorTable!$B$2:$Y$301, MATCH(ROUND(MIN(300,MAX(1,D728)),0), FactorTable!$A$2:$A$301,0), Skills!M7+1)</f>
        <v/>
      </c>
      <c r="F728">
        <f>IF(Skills!N7=TRUE,(Skills!L7/10)*(E728/1000),Skills!L7/10)+Skills!O7</f>
        <v/>
      </c>
      <c r="G728">
        <f>Skills!G7*IF(Skills!H7&gt;0,Skills!I7/Skills!H7,1)</f>
        <v/>
      </c>
      <c r="H728">
        <f>1-(1-Skills!J7/100)^Skills!K7</f>
        <v/>
      </c>
      <c r="I728" t="inlineStr">
        <is>
          <t>1</t>
        </is>
      </c>
      <c r="J728">
        <f>(Inputs!$B$5*(1+Inputs!$B$6/100))*(F728/100)</f>
        <v/>
      </c>
      <c r="K728">
        <f>J728*(1+((Inputs!$B$11*(1+Inputs!$B$12/100))*0.01+Inputs!$B$13*0.0025)/100)*(1+Inputs!$B$14/100)*(1+IF(Inputs!$B$4="pvp",0,(1-Summary!$B$55)*(Inputs!$B$19+0+Skills!P7)+Summary!$B$55*(Inputs!$B$20+Skills!Q7))/100)*(1+Inputs!$B$15/100)*(5000/(6000+Inputs!$B$7*(1-(Inputs!$B$18+0)/100)))*(1+(Inputs!$B$23+((C745=TRUE)*(F745-Calc!F24))+((C746=TRUE)*(F746-Calc!F25))+B759)/100)*(1+1.2*IF(C729=TRUE,F729,0)/100)*(1+(IF(Skills!A7="EMPOWERED_PIERCING_ARROW",Inputs!$B$16+((C743=TRUE)*(F743-Calc!F22)),Inputs!$B$17+((C748=TRUE)*(F748-Calc!F27))))/100)*((1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I728)</f>
        <v/>
      </c>
      <c r="L728">
        <f>K728*(MIN(Inputs!$B$21+((C744=TRUE)*(F744-Calc!F23)),Inputs!$B$22+((C749=TRUE)*(F749-Calc!F28)))/100+(Inputs!$B$22+((C749=TRUE)*(F749-Calc!F28)))/100)/2</f>
        <v/>
      </c>
      <c r="M728">
        <f>L728*(1+(Inputs!$B$9+0+B758)/100)</f>
        <v/>
      </c>
      <c r="N728">
        <f>L728*(1-MIN((Inputs!$B$8+((C740=TRUE)*(F740-Calc!F19))+B753),100)/100)+M728*(MIN((Inputs!$B$8+((C740=TRUE)*(F740-Calc!F19))+B753),100)/100)</f>
        <v/>
      </c>
      <c r="O728">
        <f>IF(C728,H728*N728*IF(AND(Inputs!$B$4&lt;&gt;"pvp",Inputs!$B$35&gt;0),((Skills!G7*((R728-1)*IF(Skills!H7&gt;0,Skills!I7/Skills!H7,1)+IF(Skills!H7&gt;0,MIN(Skills!I7,MAX(0,Inputs!$B$35-((R728-1)*IF(Inputs!$B$4="pvp",15,MAX(0.1,Skills!D7-IF(Skills!E7=TRUE,Inputs!$B$31,0))))))/Skills!H7,1)))/Inputs!$B$35),G728*Q728)*IF(Inputs!$B$4="pvp",1,(1-Summary!$B$55)*(1)+Summary!$B$55*(MIN(Skills!R7,Inputs!$B$37))),0)</f>
        <v/>
      </c>
      <c r="P728">
        <f>IF(B761=0,0,O728/B761)</f>
        <v/>
      </c>
      <c r="Q728">
        <f>IFERROR(1/IF(Inputs!$B$4="pvp",15,MAX(0.1,Skills!D7-IF(Skills!E7=TRUE,Inputs!$B$31,0))),0)</f>
        <v/>
      </c>
      <c r="R728">
        <f>IF(AND(Inputs!$B$4&lt;&gt;"pvp",Inputs!$B$35&gt;0),(INT(Inputs!$B$35/IF(Inputs!$B$4="pvp",15,MAX(0.1,Skills!D7-IF(Skills!E7=TRUE,Inputs!$B$31,0))))+1),0)</f>
        <v/>
      </c>
      <c r="S728">
        <f>IFERROR(O728/N728,0)</f>
        <v/>
      </c>
    </row>
    <row r="729">
      <c r="A729">
        <f>Skills!A8</f>
        <v/>
      </c>
      <c r="B729">
        <f>Skills!B8</f>
        <v/>
      </c>
      <c r="C729">
        <f>Inputs!$B$3&gt;=100</f>
        <v/>
      </c>
      <c r="D729">
        <f>IF(Skills!C8=1,60+(Inputs!$B$24+1)+Inputs!$B$28,IF(Skills!C8=2,90+Inputs!$B$25+Inputs!$B$28,IF(Skills!C8=3,120+Inputs!$B$26+Inputs!$B$28,MAX(0,(Inputs!$B$3-100)*3)+Inputs!$B$27+Inputs!$B$28)))</f>
        <v/>
      </c>
      <c r="E729">
        <f>INDEX(FactorTable!$B$2:$Y$301, MATCH(ROUND(MIN(300,MAX(1,D729)),0), FactorTable!$A$2:$A$301,0), Skills!M8+1)</f>
        <v/>
      </c>
      <c r="F729">
        <f>IF(Skills!N8=TRUE,(Skills!L8/10)*(E729/1000),Skills!L8/10)+Skills!O8</f>
        <v/>
      </c>
      <c r="G729" t="inlineStr"/>
      <c r="H729" t="inlineStr"/>
      <c r="I729" t="inlineStr">
        <is>
          <t>1</t>
        </is>
      </c>
      <c r="J729" t="inlineStr"/>
      <c r="K729" t="inlineStr"/>
      <c r="L729" t="inlineStr"/>
      <c r="M729" t="inlineStr"/>
      <c r="N729" t="inlineStr"/>
      <c r="O729" t="inlineStr"/>
      <c r="P729" t="inlineStr"/>
      <c r="Q729" t="inlineStr"/>
      <c r="R729" t="inlineStr"/>
      <c r="S729" t="inlineStr"/>
    </row>
    <row r="730">
      <c r="A730">
        <f>Skills!A9</f>
        <v/>
      </c>
      <c r="B730">
        <f>Skills!B9</f>
        <v/>
      </c>
      <c r="C730">
        <f>Inputs!$B$3&gt;=103</f>
        <v/>
      </c>
      <c r="D730">
        <f>IF(Skills!C9=1,60+(Inputs!$B$24+1)+Inputs!$B$28,IF(Skills!C9=2,90+Inputs!$B$25+Inputs!$B$28,IF(Skills!C9=3,120+Inputs!$B$26+Inputs!$B$28,MAX(0,(Inputs!$B$3-100)*3)+Inputs!$B$27+Inputs!$B$28)))</f>
        <v/>
      </c>
      <c r="E730">
        <f>INDEX(FactorTable!$B$2:$Y$301, MATCH(ROUND(MIN(300,MAX(1,D730)),0), FactorTable!$A$2:$A$301,0), Skills!M9+1)</f>
        <v/>
      </c>
      <c r="F730">
        <f>IF(Skills!N9=TRUE,(Skills!L9/10)*(E730/1000),Skills!L9/10)+Skills!O9</f>
        <v/>
      </c>
      <c r="G730">
        <f>Skills!G9*IF(Skills!H9&gt;0,Skills!I9/Skills!H9,1)</f>
        <v/>
      </c>
      <c r="H730">
        <f>1-(1-Skills!J9/100)^Skills!K9</f>
        <v/>
      </c>
      <c r="I730" t="inlineStr">
        <is>
          <t>1</t>
        </is>
      </c>
      <c r="J730">
        <f>(Inputs!$B$5*(1+Inputs!$B$6/100))*(F730/100)</f>
        <v/>
      </c>
      <c r="K730">
        <f>J730*(1+((Inputs!$B$11*(1+Inputs!$B$12/100))*0.01+Inputs!$B$13*0.0025)/100)*(1+Inputs!$B$14/100)*(1+IF(Inputs!$B$4="pvp",0,(1-Summary!$B$55)*(Inputs!$B$19+0+Skills!P9)+Summary!$B$55*(Inputs!$B$20+Skills!Q9))/100)*(1+Inputs!$B$15/100)*(5000/(6000+Inputs!$B$7*(1-(Inputs!$B$18+0)/100)))*(1+(Inputs!$B$23+((C745=TRUE)*(F745-Calc!F24))+((C746=TRUE)*(F746-Calc!F25))+B759)/100)*(1+(IF(Skills!A9="EMPOWERED_PIERCING_ARROW",Inputs!$B$16+((C743=TRUE)*(F743-Calc!F22)),Inputs!$B$17+((C748=TRUE)*(F748-Calc!F27))))/100)*((1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I730)</f>
        <v/>
      </c>
      <c r="L730">
        <f>K730*(MIN(Inputs!$B$21+((C744=TRUE)*(F744-Calc!F23)),Inputs!$B$22+((C749=TRUE)*(F749-Calc!F28)))/100+(Inputs!$B$22+((C749=TRUE)*(F749-Calc!F28)))/100)/2</f>
        <v/>
      </c>
      <c r="M730">
        <f>L730*(1+(Inputs!$B$9+0+B758)/100)</f>
        <v/>
      </c>
      <c r="N730">
        <f>L730*(1-MIN((Inputs!$B$8+((C740=TRUE)*(F740-Calc!F19))+B753),100)/100)+M730*(MIN((Inputs!$B$8+((C740=TRUE)*(F740-Calc!F19))+B753),100)/100)</f>
        <v/>
      </c>
      <c r="O730">
        <f>IF(C730,H730*N730*IF(AND(Inputs!$B$4&lt;&gt;"pvp",Inputs!$B$35&gt;0),((Skills!G9*((R730-1)*IF(Skills!H9&gt;0,Skills!I9/Skills!H9,1)+IF(Skills!H9&gt;0,MIN(Skills!I9,MAX(0,Inputs!$B$35-((R730-1)*IF(Inputs!$B$4="pvp",15,MAX(0.1,Skills!D9-IF(Skills!E9=TRUE,Inputs!$B$31,0))))))/Skills!H9,1)))/Inputs!$B$35),G730*Q730)*IF(Inputs!$B$4="pvp",1,(1-Summary!$B$55)*(1)+Summary!$B$55*(MIN(Skills!R9,Inputs!$B$37))),0)</f>
        <v/>
      </c>
      <c r="P730">
        <f>IF(B761=0,0,O730/B761)</f>
        <v/>
      </c>
      <c r="Q730">
        <f>IFERROR(1/IF(Inputs!$B$4="pvp",15,MAX(0.1,Skills!D9-IF(Skills!E9=TRUE,Inputs!$B$31,0))),0)</f>
        <v/>
      </c>
      <c r="R730">
        <f>IF(AND(Inputs!$B$4&lt;&gt;"pvp",Inputs!$B$35&gt;0),(INT(Inputs!$B$35/IF(Inputs!$B$4="pvp",15,MAX(0.1,Skills!D9-IF(Skills!E9=TRUE,Inputs!$B$31,0))))+1),0)</f>
        <v/>
      </c>
      <c r="S730">
        <f>IFERROR(O730/N730,0)</f>
        <v/>
      </c>
    </row>
    <row r="731">
      <c r="A731">
        <f>Skills!A10</f>
        <v/>
      </c>
      <c r="B731">
        <f>Skills!B10</f>
        <v/>
      </c>
      <c r="C731">
        <f>Inputs!$B$3&gt;=107</f>
        <v/>
      </c>
      <c r="D731">
        <f>IF(Skills!C10=1,60+(Inputs!$B$24+1)+Inputs!$B$28,IF(Skills!C10=2,90+Inputs!$B$25+Inputs!$B$28,IF(Skills!C10=3,120+Inputs!$B$26+Inputs!$B$28,MAX(0,(Inputs!$B$3-100)*3)+Inputs!$B$27+Inputs!$B$28)))</f>
        <v/>
      </c>
      <c r="E731">
        <f>INDEX(FactorTable!$B$2:$Y$301, MATCH(ROUND(MIN(300,MAX(1,D731)),0), FactorTable!$A$2:$A$301,0), Skills!M10+1)</f>
        <v/>
      </c>
      <c r="F731">
        <f>IF(Skills!N10=TRUE,(Skills!L10/10)*(E731/1000),Skills!L10/10)+Skills!O10</f>
        <v/>
      </c>
      <c r="G731">
        <f>Skills!G10*IF(Skills!H10&gt;0,Skills!I10/Skills!H10,1)</f>
        <v/>
      </c>
      <c r="H731">
        <f>1-(1-Skills!J10/100)^Skills!K10</f>
        <v/>
      </c>
      <c r="I731" t="inlineStr">
        <is>
          <t>1</t>
        </is>
      </c>
      <c r="J731">
        <f>(Inputs!$B$5*(1+Inputs!$B$6/100))*(F731/100)</f>
        <v/>
      </c>
      <c r="K731">
        <f>J731*(1+((Inputs!$B$11*(1+Inputs!$B$12/100))*0.01+Inputs!$B$13*0.0025)/100)*(1+Inputs!$B$14/100)*(1+IF(Inputs!$B$4="pvp",0,(1-Summary!$B$55)*(Inputs!$B$19+0+Skills!P10)+Summary!$B$55*(Inputs!$B$20+Skills!Q10))/100)*(1+Inputs!$B$15/100)*(5000/(6000+Inputs!$B$7*(1-(Inputs!$B$18+0)/100)))*(1+(Inputs!$B$23+((C745=TRUE)*(F745-Calc!F24))+((C746=TRUE)*(F746-Calc!F25))+B759)/100)*(1+(IF(Skills!A10="EMPOWERED_PIERCING_ARROW",Inputs!$B$16+((C743=TRUE)*(F743-Calc!F22)),Inputs!$B$17+((C748=TRUE)*(F748-Calc!F27))))/100)*((1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I731)</f>
        <v/>
      </c>
      <c r="L731">
        <f>K731*(MIN(Inputs!$B$21+((C744=TRUE)*(F744-Calc!F23)),Inputs!$B$22+((C749=TRUE)*(F749-Calc!F28)))/100+(Inputs!$B$22+((C749=TRUE)*(F749-Calc!F28)))/100)/2</f>
        <v/>
      </c>
      <c r="M731">
        <f>L731*(1+(Inputs!$B$9+0+B758)/100)</f>
        <v/>
      </c>
      <c r="N731">
        <f>L731*(1-MIN((Inputs!$B$8+((C740=TRUE)*(F740-Calc!F19))+B753),100)/100)+M731*(MIN((Inputs!$B$8+((C740=TRUE)*(F740-Calc!F19))+B753),100)/100)</f>
        <v/>
      </c>
      <c r="O731">
        <f>IF(C731,0.15*SUMPRODUCT((Skills!U2:U29=TRUE)*(C723:C750=TRUE)*S723:S750)*Skills!G10*N731*IF(Inputs!$B$4="pvp",1,(1-Summary!$B$55)*(1)+Summary!$B$55*(MIN(Skills!R10,Inputs!$B$37))),0)</f>
        <v/>
      </c>
      <c r="P731">
        <f>IF(B761=0,0,O731/B761)</f>
        <v/>
      </c>
      <c r="Q731" t="n">
        <v>0</v>
      </c>
      <c r="R731" t="n">
        <v>0</v>
      </c>
      <c r="S731" t="n">
        <v>0</v>
      </c>
    </row>
    <row r="732">
      <c r="A732">
        <f>Skills!A11</f>
        <v/>
      </c>
      <c r="B732">
        <f>Skills!B11</f>
        <v/>
      </c>
      <c r="C732">
        <f>Inputs!$B$3&gt;=110</f>
        <v/>
      </c>
      <c r="D732">
        <f>IF(Skills!C11=1,60+(Inputs!$B$24+1)+Inputs!$B$28,IF(Skills!C11=2,90+Inputs!$B$25+Inputs!$B$28,IF(Skills!C11=3,120+Inputs!$B$26+Inputs!$B$28,MAX(0,(Inputs!$B$3-100)*3)+Inputs!$B$27+Inputs!$B$28)))</f>
        <v/>
      </c>
      <c r="E732">
        <f>INDEX(FactorTable!$B$2:$Y$301, MATCH(ROUND(MIN(300,MAX(1,D732)),0), FactorTable!$A$2:$A$301,0), Skills!M11+1)</f>
        <v/>
      </c>
      <c r="F732">
        <f>IF(Skills!N11=TRUE,(Skills!L11/10)*(E732/1000),Skills!L11/10)+Skills!O11</f>
        <v/>
      </c>
      <c r="G732">
        <f>Skills!G11*IF(Skills!H11&gt;0,Skills!I11/Skills!H11,1)</f>
        <v/>
      </c>
      <c r="H732">
        <f>1-(1-Skills!J11/100)^Skills!K11</f>
        <v/>
      </c>
      <c r="I732" t="inlineStr">
        <is>
          <t>1</t>
        </is>
      </c>
      <c r="J732">
        <f>(Inputs!$B$5*(1+Inputs!$B$6/100))*(F732/100)</f>
        <v/>
      </c>
      <c r="K732">
        <f>J732*(1+((Inputs!$B$11*(1+Inputs!$B$12/100))*0.01+Inputs!$B$13*0.0025)/100)*(1+Inputs!$B$14/100)*(1+IF(Inputs!$B$4="pvp",0,(1-Summary!$B$55)*(Inputs!$B$19+0+Skills!P11)+Summary!$B$55*(Inputs!$B$20+Skills!Q11))/100)*(1+Inputs!$B$15/100)*(5000/(6000+Inputs!$B$7*(1-(Inputs!$B$18+0)/100)))*(1+(Inputs!$B$23+((C745=TRUE)*(F745-Calc!F24))+((C746=TRUE)*(F746-Calc!F25))+B759)/100)*(1+(IF(Skills!A11="EMPOWERED_PIERCING_ARROW",Inputs!$B$16+((C743=TRUE)*(F743-Calc!F22)),Inputs!$B$17+((C748=TRUE)*(F748-Calc!F27))))/100)*((1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I732)</f>
        <v/>
      </c>
      <c r="L732">
        <f>K732*(MIN(Inputs!$B$21+((C744=TRUE)*(F744-Calc!F23)),Inputs!$B$22+((C749=TRUE)*(F749-Calc!F28)))/100+(Inputs!$B$22+((C749=TRUE)*(F749-Calc!F28)))/100)/2</f>
        <v/>
      </c>
      <c r="M732">
        <f>L732*(1+(Inputs!$B$9+0+B758)/100)</f>
        <v/>
      </c>
      <c r="N732">
        <f>L732*(1-MIN((Inputs!$B$8+((C740=TRUE)*(F740-Calc!F19))+B753),100)/100)+M732*(MIN((Inputs!$B$8+((C740=TRUE)*(F740-Calc!F19))+B753),100)/100)</f>
        <v/>
      </c>
      <c r="O732">
        <f>IF(C732,H732*N732*IF(AND(Inputs!$B$4&lt;&gt;"pvp",Inputs!$B$35&gt;0),((Skills!G11*((R732-1)*IF(Skills!H11&gt;0,Skills!I11/Skills!H11,1)+IF(Skills!H11&gt;0,MIN(Skills!I11,MAX(0,Inputs!$B$35-((R732-1)*IF(Inputs!$B$4="pvp",15,MAX(0.1,Skills!D11-IF(Skills!E11=TRUE,Inputs!$B$31,0))))))/Skills!H11,1)))/Inputs!$B$35),G732*Q732)*IF(Inputs!$B$4="pvp",1,(1-Summary!$B$55)*(1)+Summary!$B$55*(MIN(Skills!R11,Inputs!$B$37))),0)</f>
        <v/>
      </c>
      <c r="P732">
        <f>IF(B761=0,0,O732/B761)</f>
        <v/>
      </c>
      <c r="Q732">
        <f>IFERROR(1/IF(Inputs!$B$4="pvp",15,MAX(0.1,Skills!D11-IF(Skills!E11=TRUE,Inputs!$B$31,0))),0)</f>
        <v/>
      </c>
      <c r="R732">
        <f>IF(AND(Inputs!$B$4&lt;&gt;"pvp",Inputs!$B$35&gt;0),(INT(Inputs!$B$35/IF(Inputs!$B$4="pvp",15,MAX(0.1,Skills!D11-IF(Skills!E11=TRUE,Inputs!$B$31,0))))+1),0)</f>
        <v/>
      </c>
      <c r="S732">
        <f>IFERROR(O732/N732,0)</f>
        <v/>
      </c>
    </row>
    <row r="733">
      <c r="A733">
        <f>Skills!A12</f>
        <v/>
      </c>
      <c r="B733">
        <f>Skills!B12</f>
        <v/>
      </c>
      <c r="C733">
        <f>Inputs!$B$3&gt;=60</f>
        <v/>
      </c>
      <c r="D733">
        <f>IF(Skills!C12=1,60+(Inputs!$B$24+1)+Inputs!$B$28,IF(Skills!C12=2,90+Inputs!$B$25+Inputs!$B$28,IF(Skills!C12=3,120+Inputs!$B$26+Inputs!$B$28,MAX(0,(Inputs!$B$3-100)*3)+Inputs!$B$27+Inputs!$B$28)))</f>
        <v/>
      </c>
      <c r="E733">
        <f>INDEX(FactorTable!$B$2:$Y$301, MATCH(ROUND(MIN(300,MAX(1,D733)),0), FactorTable!$A$2:$A$301,0), Skills!M12+1)</f>
        <v/>
      </c>
      <c r="F733">
        <f>IF(Skills!N12=TRUE,(Skills!L12/10)*(E733/1000),Skills!L12/10)+Skills!O12</f>
        <v/>
      </c>
      <c r="G733">
        <f>Skills!G12*IF(Skills!H12&gt;0,Skills!I12/Skills!H12,1)</f>
        <v/>
      </c>
      <c r="H733">
        <f>1-(1-Skills!J12/100)^Skills!K12</f>
        <v/>
      </c>
      <c r="I733" t="inlineStr">
        <is>
          <t>1</t>
        </is>
      </c>
      <c r="J733" t="inlineStr"/>
      <c r="K733" t="inlineStr"/>
      <c r="L733" t="inlineStr"/>
      <c r="M733" t="inlineStr"/>
      <c r="N733" t="inlineStr"/>
      <c r="O733" t="n">
        <v>0</v>
      </c>
      <c r="P733">
        <f>IF(B761=0,0,O733/B761)</f>
        <v/>
      </c>
      <c r="Q733" t="n">
        <v>0</v>
      </c>
      <c r="R733" t="n">
        <v>0</v>
      </c>
      <c r="S733">
        <f>IFERROR(O733/N733,0)</f>
        <v/>
      </c>
    </row>
    <row r="734">
      <c r="A734">
        <f>Skills!A13</f>
        <v/>
      </c>
      <c r="B734">
        <f>Skills!B13</f>
        <v/>
      </c>
      <c r="C734">
        <f>Inputs!$B$3&gt;=74</f>
        <v/>
      </c>
      <c r="D734">
        <f>IF(Skills!C13=1,60+(Inputs!$B$24+1)+Inputs!$B$28,IF(Skills!C13=2,90+Inputs!$B$25+Inputs!$B$28,IF(Skills!C13=3,120+Inputs!$B$26+Inputs!$B$28,MAX(0,(Inputs!$B$3-100)*3)+Inputs!$B$27+Inputs!$B$28)))</f>
        <v/>
      </c>
      <c r="E734">
        <f>INDEX(FactorTable!$B$2:$Y$301, MATCH(ROUND(MIN(300,MAX(1,D734)),0), FactorTable!$A$2:$A$301,0), Skills!M13+1)</f>
        <v/>
      </c>
      <c r="F734">
        <f>IF(Skills!N13=TRUE,(Skills!L13/10)*(E734/1000),Skills!L13/10)+Skills!O13</f>
        <v/>
      </c>
      <c r="G734">
        <f>Skills!G13*IF(Skills!H13&gt;0,Skills!I13/Skills!H13,1)</f>
        <v/>
      </c>
      <c r="H734">
        <f>1-(1-Skills!J13/100)^Skills!K13</f>
        <v/>
      </c>
      <c r="I734" t="inlineStr">
        <is>
          <t>1</t>
        </is>
      </c>
      <c r="J734" t="inlineStr"/>
      <c r="K734" t="inlineStr"/>
      <c r="L734" t="inlineStr"/>
      <c r="M734" t="inlineStr"/>
      <c r="N734" t="inlineStr"/>
      <c r="O734" t="n">
        <v>0</v>
      </c>
      <c r="P734">
        <f>IF(B761=0,0,O734/B761)</f>
        <v/>
      </c>
      <c r="Q734" t="n">
        <v>0</v>
      </c>
      <c r="R734" t="n">
        <v>0</v>
      </c>
      <c r="S734">
        <f>IFERROR(O734/N734,0)</f>
        <v/>
      </c>
    </row>
    <row r="735">
      <c r="A735">
        <f>Skills!A14</f>
        <v/>
      </c>
      <c r="B735">
        <f>Skills!B14</f>
        <v/>
      </c>
      <c r="C735">
        <f>Inputs!$B$3&gt;=74</f>
        <v/>
      </c>
      <c r="D735">
        <f>IF(Skills!C14=1,60+(Inputs!$B$24+1)+Inputs!$B$28,IF(Skills!C14=2,90+Inputs!$B$25+Inputs!$B$28,IF(Skills!C14=3,120+Inputs!$B$26+Inputs!$B$28,MAX(0,(Inputs!$B$3-100)*3)+Inputs!$B$27+Inputs!$B$28)))</f>
        <v/>
      </c>
      <c r="E735">
        <f>INDEX(FactorTable!$B$2:$Y$301, MATCH(ROUND(MIN(300,MAX(1,D735)),0), FactorTable!$A$2:$A$301,0), Skills!M14+1)</f>
        <v/>
      </c>
      <c r="F735">
        <f>IF(Skills!N14=TRUE,(Skills!L14/10)*(E735/1000),Skills!L14/10)+Skills!O14</f>
        <v/>
      </c>
      <c r="G735">
        <f>Skills!G14*IF(Skills!H14&gt;0,Skills!I14/Skills!H14,1)</f>
        <v/>
      </c>
      <c r="H735">
        <f>1-(1-Skills!J14/100)^Skills!K14</f>
        <v/>
      </c>
      <c r="I735" t="inlineStr">
        <is>
          <t>1</t>
        </is>
      </c>
      <c r="J735" t="inlineStr"/>
      <c r="K735" t="inlineStr"/>
      <c r="L735" t="inlineStr"/>
      <c r="M735" t="inlineStr"/>
      <c r="N735" t="inlineStr"/>
      <c r="O735" t="n">
        <v>0</v>
      </c>
      <c r="P735">
        <f>IF(B761=0,0,O735/B761)</f>
        <v/>
      </c>
      <c r="Q735" t="n">
        <v>0</v>
      </c>
      <c r="R735" t="n">
        <v>0</v>
      </c>
      <c r="S735">
        <f>IFERROR(O735/N735,0)</f>
        <v/>
      </c>
    </row>
    <row r="736">
      <c r="A736">
        <f>Skills!A15</f>
        <v/>
      </c>
      <c r="B736">
        <f>Skills!B15</f>
        <v/>
      </c>
      <c r="C736">
        <f>Inputs!$B$3&gt;=117</f>
        <v/>
      </c>
      <c r="D736">
        <f>IF(Skills!C15=1,60+(Inputs!$B$24+1)+Inputs!$B$28,IF(Skills!C15=2,90+Inputs!$B$25+Inputs!$B$28,IF(Skills!C15=3,120+Inputs!$B$26+Inputs!$B$28,MAX(0,(Inputs!$B$3-100)*3)+Inputs!$B$27+Inputs!$B$28)))</f>
        <v/>
      </c>
      <c r="E736">
        <f>INDEX(FactorTable!$B$2:$Y$301, MATCH(ROUND(MIN(300,MAX(1,D736)),0), FactorTable!$A$2:$A$301,0), Skills!M15+1)</f>
        <v/>
      </c>
      <c r="F736">
        <f>IF(Skills!N15=TRUE,(Skills!L15/10)*(E736/1000),Skills!L15/10)+Skills!O15</f>
        <v/>
      </c>
      <c r="G736">
        <f>Skills!G15*IF(Skills!H15&gt;0,Skills!I15/Skills!H15,1)</f>
        <v/>
      </c>
      <c r="H736">
        <f>1-(1-Skills!J15/100)^Skills!K15</f>
        <v/>
      </c>
      <c r="I736" t="inlineStr">
        <is>
          <t>1</t>
        </is>
      </c>
      <c r="J736" t="inlineStr"/>
      <c r="K736" t="inlineStr"/>
      <c r="L736" t="inlineStr"/>
      <c r="M736" t="inlineStr"/>
      <c r="N736" t="inlineStr"/>
      <c r="O736" t="n">
        <v>0</v>
      </c>
      <c r="P736">
        <f>IF(B761=0,0,O736/B761)</f>
        <v/>
      </c>
      <c r="Q736">
        <f>IFERROR(1/IF(Inputs!$B$4="pvp",15,MAX(0.1,Skills!D15-IF(Skills!E15=TRUE,Inputs!$B$31,0))),0)</f>
        <v/>
      </c>
      <c r="R736">
        <f>IF(AND(Inputs!$B$4&lt;&gt;"pvp",Inputs!$B$35&gt;0),(INT(Inputs!$B$35/IF(Inputs!$B$4="pvp",15,MAX(0.1,Skills!D15-IF(Skills!E15=TRUE,Inputs!$B$31,0))))+1),0)</f>
        <v/>
      </c>
      <c r="S736">
        <f>IFERROR(O736/N736,0)</f>
        <v/>
      </c>
    </row>
    <row r="737">
      <c r="A737">
        <f>Skills!A16</f>
        <v/>
      </c>
      <c r="B737">
        <f>Skills!B16</f>
        <v/>
      </c>
      <c r="C737">
        <f>Inputs!$B$3&gt;=115</f>
        <v/>
      </c>
      <c r="D737">
        <f>IF(Skills!C16=1,60+(Inputs!$B$24+1)+Inputs!$B$28,IF(Skills!C16=2,90+Inputs!$B$25+Inputs!$B$28,IF(Skills!C16=3,120+Inputs!$B$26+Inputs!$B$28,MAX(0,(Inputs!$B$3-100)*3)+Inputs!$B$27+Inputs!$B$28)))</f>
        <v/>
      </c>
      <c r="E737">
        <f>INDEX(FactorTable!$B$2:$Y$301, MATCH(ROUND(MIN(300,MAX(1,D737)),0), FactorTable!$A$2:$A$301,0), Skills!M16+1)</f>
        <v/>
      </c>
      <c r="F737">
        <f>IF(Skills!N16=TRUE,(Skills!L16/10)*(E737/1000),Skills!L16/10)+Skills!O16</f>
        <v/>
      </c>
      <c r="G737">
        <f>Skills!G16*IF(Skills!H16&gt;0,Skills!I16/Skills!H16,1)</f>
        <v/>
      </c>
      <c r="H737">
        <f>1-(1-Skills!J16/100)^Skills!K16</f>
        <v/>
      </c>
      <c r="I737" t="inlineStr">
        <is>
          <t>1</t>
        </is>
      </c>
      <c r="J737" t="inlineStr"/>
      <c r="K737" t="inlineStr"/>
      <c r="L737" t="inlineStr"/>
      <c r="M737" t="inlineStr"/>
      <c r="N737" t="inlineStr"/>
      <c r="O737" t="n">
        <v>0</v>
      </c>
      <c r="P737">
        <f>IF(B761=0,0,O737/B761)</f>
        <v/>
      </c>
      <c r="Q737">
        <f>IFERROR(1/IF(Inputs!$B$4="pvp",15,MAX(0.1,Skills!D16-IF(Skills!E16=TRUE,Inputs!$B$31,0))),0)</f>
        <v/>
      </c>
      <c r="R737">
        <f>IF(AND(Inputs!$B$4&lt;&gt;"pvp",Inputs!$B$35&gt;0),(INT(Inputs!$B$35/IF(Inputs!$B$4="pvp",15,MAX(0.1,Skills!D16-IF(Skills!E16=TRUE,Inputs!$B$31,0))))+1),0)</f>
        <v/>
      </c>
      <c r="S737">
        <f>IFERROR(O737/N737,0)</f>
        <v/>
      </c>
    </row>
    <row r="738">
      <c r="A738">
        <f>Skills!A17</f>
        <v/>
      </c>
      <c r="B738">
        <f>Skills!B17</f>
        <v/>
      </c>
      <c r="C738">
        <f>Inputs!$B$3&gt;=72</f>
        <v/>
      </c>
      <c r="D738">
        <f>IF(Skills!C17=1,60+(Inputs!$B$24+1)+Inputs!$B$28,IF(Skills!C17=2,90+Inputs!$B$25+Inputs!$B$28,IF(Skills!C17=3,120+Inputs!$B$26+Inputs!$B$28,MAX(0,(Inputs!$B$3-100)*3)+Inputs!$B$27+Inputs!$B$28)))</f>
        <v/>
      </c>
      <c r="E738">
        <f>INDEX(FactorTable!$B$2:$Y$301, MATCH(ROUND(MIN(300,MAX(1,D738)),0), FactorTable!$A$2:$A$301,0), Skills!M17+1)</f>
        <v/>
      </c>
      <c r="F738">
        <f>IF(Skills!N17=TRUE,(Skills!L17/10)*(E738/1000),Skills!L17/10)+Skills!O17</f>
        <v/>
      </c>
      <c r="G738">
        <f>Skills!G17*IF(Skills!H17&gt;0,Skills!I17/Skills!H17,1)</f>
        <v/>
      </c>
      <c r="H738">
        <f>1-(1-Skills!J17/100)^Skills!K17</f>
        <v/>
      </c>
      <c r="I738" t="inlineStr">
        <is>
          <t>1</t>
        </is>
      </c>
      <c r="J738" t="inlineStr"/>
      <c r="K738" t="inlineStr"/>
      <c r="L738" t="inlineStr"/>
      <c r="M738" t="inlineStr"/>
      <c r="N738" t="inlineStr"/>
      <c r="O738" t="n">
        <v>0</v>
      </c>
      <c r="P738">
        <f>IF(B761=0,0,O738/B761)</f>
        <v/>
      </c>
      <c r="Q738" t="n">
        <v>0</v>
      </c>
      <c r="R738" t="n">
        <v>0</v>
      </c>
      <c r="S738">
        <f>IFERROR(O738/N738,0)</f>
        <v/>
      </c>
    </row>
    <row r="739">
      <c r="A739">
        <f>Skills!A18</f>
        <v/>
      </c>
      <c r="B739">
        <f>Skills!B18</f>
        <v/>
      </c>
      <c r="C739">
        <f>TRUE</f>
        <v/>
      </c>
      <c r="D739">
        <f>IF(Skills!C18=1,60+(Inputs!$B$24+1)+Inputs!$B$28,IF(Skills!C18=2,90+Inputs!$B$25+Inputs!$B$28,IF(Skills!C18=3,120+Inputs!$B$26+Inputs!$B$28,MAX(0,(Inputs!$B$3-100)*3)+Inputs!$B$27+Inputs!$B$28)))</f>
        <v/>
      </c>
      <c r="E739">
        <f>INDEX(FactorTable!$B$2:$Y$301, MATCH(ROUND(MIN(300,MAX(1,D739)),0), FactorTable!$A$2:$A$301,0), Skills!M18+1)</f>
        <v/>
      </c>
      <c r="F739">
        <f>IF(Skills!N18=TRUE,(Skills!L18/10)*(E739/1000),Skills!L18/10)+Skills!O18</f>
        <v/>
      </c>
      <c r="G739">
        <f>Skills!G18*IF(Skills!H18&gt;0,Skills!I18/Skills!H18,1)</f>
        <v/>
      </c>
      <c r="H739">
        <f>1-(1-Skills!J18/100)^Skills!K18</f>
        <v/>
      </c>
      <c r="I739" t="inlineStr">
        <is>
          <t>1</t>
        </is>
      </c>
      <c r="J739" t="inlineStr"/>
      <c r="K739" t="inlineStr"/>
      <c r="L739" t="inlineStr"/>
      <c r="M739" t="inlineStr"/>
      <c r="N739" t="inlineStr"/>
      <c r="O739" t="n">
        <v>0</v>
      </c>
      <c r="P739">
        <f>IF(B761=0,0,O739/B761)</f>
        <v/>
      </c>
      <c r="Q739">
        <f>IFERROR(1/IF(Inputs!$B$4="pvp",15,MAX(0.1,Skills!D18-IF(Skills!E18=TRUE,Inputs!$B$31,0))),0)</f>
        <v/>
      </c>
      <c r="R739">
        <f>IF(AND(Inputs!$B$4&lt;&gt;"pvp",Inputs!$B$35&gt;0),(INT(Inputs!$B$35/IF(Inputs!$B$4="pvp",15,MAX(0.1,Skills!D18-IF(Skills!E18=TRUE,Inputs!$B$31,0))))+1),0)</f>
        <v/>
      </c>
      <c r="S739">
        <f>IFERROR(O739/N739,0)</f>
        <v/>
      </c>
    </row>
    <row r="740">
      <c r="A740">
        <f>Skills!A19</f>
        <v/>
      </c>
      <c r="B740">
        <f>Skills!B19</f>
        <v/>
      </c>
      <c r="C740">
        <f>Inputs!$B$3&gt;=15</f>
        <v/>
      </c>
      <c r="D740">
        <f>IF(Skills!C19=1,60+(Inputs!$B$24+1)+Inputs!$B$28,IF(Skills!C19=2,90+Inputs!$B$25+Inputs!$B$28,IF(Skills!C19=3,120+Inputs!$B$26+Inputs!$B$28,MAX(0,(Inputs!$B$3-100)*3)+Inputs!$B$27+Inputs!$B$28)))</f>
        <v/>
      </c>
      <c r="E740">
        <f>INDEX(FactorTable!$B$2:$Y$301, MATCH(ROUND(MIN(300,MAX(1,D740)),0), FactorTable!$A$2:$A$301,0), Skills!M19+1)</f>
        <v/>
      </c>
      <c r="F740">
        <f>IF(Skills!N19=TRUE,(Skills!L19/10)*(E740/1000),Skills!L19/10)+Skills!O19</f>
        <v/>
      </c>
      <c r="G740">
        <f>Skills!G19*IF(Skills!H19&gt;0,Skills!I19/Skills!H19,1)</f>
        <v/>
      </c>
      <c r="H740">
        <f>1-(1-Skills!J19/100)^Skills!K19</f>
        <v/>
      </c>
      <c r="I740" t="inlineStr">
        <is>
          <t>1</t>
        </is>
      </c>
      <c r="J740" t="inlineStr"/>
      <c r="K740" t="inlineStr"/>
      <c r="L740" t="inlineStr"/>
      <c r="M740" t="inlineStr"/>
      <c r="N740" t="inlineStr"/>
      <c r="O740" t="n">
        <v>0</v>
      </c>
      <c r="P740">
        <f>IF(B761=0,0,O740/B761)</f>
        <v/>
      </c>
      <c r="Q740" t="n">
        <v>0</v>
      </c>
      <c r="R740" t="n">
        <v>0</v>
      </c>
      <c r="S740">
        <f>IFERROR(O740/N740,0)</f>
        <v/>
      </c>
    </row>
    <row r="741">
      <c r="A741">
        <f>Skills!A20</f>
        <v/>
      </c>
      <c r="B741">
        <f>Skills!B20</f>
        <v/>
      </c>
      <c r="C741">
        <f>Inputs!$B$3&gt;=10</f>
        <v/>
      </c>
      <c r="D741">
        <f>IF(Skills!C20=1,60+(Inputs!$B$24+1)+Inputs!$B$28,IF(Skills!C20=2,90+Inputs!$B$25+Inputs!$B$28,IF(Skills!C20=3,120+Inputs!$B$26+Inputs!$B$28,MAX(0,(Inputs!$B$3-100)*3)+Inputs!$B$27+Inputs!$B$28)))</f>
        <v/>
      </c>
      <c r="E741">
        <f>INDEX(FactorTable!$B$2:$Y$301, MATCH(ROUND(MIN(300,MAX(1,D741)),0), FactorTable!$A$2:$A$301,0), Skills!M20+1)</f>
        <v/>
      </c>
      <c r="F741">
        <f>IF(Skills!N20=TRUE,(Skills!L20/10)*(E741/1000),Skills!L20/10)+Skills!O20</f>
        <v/>
      </c>
      <c r="G741">
        <f>Skills!G20*IF(Skills!H20&gt;0,Skills!I20/Skills!H20,1)</f>
        <v/>
      </c>
      <c r="H741">
        <f>1-(1-Skills!J20/100)^Skills!K20</f>
        <v/>
      </c>
      <c r="I741" t="inlineStr">
        <is>
          <t>1</t>
        </is>
      </c>
      <c r="J741" t="inlineStr"/>
      <c r="K741" t="inlineStr"/>
      <c r="L741" t="inlineStr"/>
      <c r="M741" t="inlineStr"/>
      <c r="N741" t="inlineStr"/>
      <c r="O741" t="n">
        <v>0</v>
      </c>
      <c r="P741">
        <f>IF(B761=0,0,O741/B761)</f>
        <v/>
      </c>
      <c r="Q741" t="n">
        <v>0</v>
      </c>
      <c r="R741" t="n">
        <v>0</v>
      </c>
      <c r="S741">
        <f>IFERROR(O741/N741,0)</f>
        <v/>
      </c>
    </row>
    <row r="742">
      <c r="A742">
        <f>Skills!A21</f>
        <v/>
      </c>
      <c r="B742">
        <f>Skills!B21</f>
        <v/>
      </c>
      <c r="C742">
        <f>Inputs!$B$3&gt;=33</f>
        <v/>
      </c>
      <c r="D742">
        <f>IF(Skills!C21=1,60+(Inputs!$B$24+1)+Inputs!$B$28,IF(Skills!C21=2,90+Inputs!$B$25+Inputs!$B$28,IF(Skills!C21=3,120+Inputs!$B$26+Inputs!$B$28,MAX(0,(Inputs!$B$3-100)*3)+Inputs!$B$27+Inputs!$B$28)))</f>
        <v/>
      </c>
      <c r="E742">
        <f>INDEX(FactorTable!$B$2:$Y$301, MATCH(ROUND(MIN(300,MAX(1,D742)),0), FactorTable!$A$2:$A$301,0), Skills!M21+1)</f>
        <v/>
      </c>
      <c r="F742">
        <f>IF(Skills!N21=TRUE,(Skills!L21/10)*(E742/1000),Skills!L21/10)+Skills!O21</f>
        <v/>
      </c>
      <c r="G742">
        <f>Skills!G21*IF(Skills!H21&gt;0,Skills!I21/Skills!H21,1)</f>
        <v/>
      </c>
      <c r="H742">
        <f>1-(1-Skills!J21/100)^Skills!K21</f>
        <v/>
      </c>
      <c r="I742" t="inlineStr">
        <is>
          <t>1</t>
        </is>
      </c>
      <c r="J742" t="inlineStr"/>
      <c r="K742" t="inlineStr"/>
      <c r="L742" t="inlineStr"/>
      <c r="M742" t="inlineStr"/>
      <c r="N742" t="inlineStr"/>
      <c r="O742" t="n">
        <v>0</v>
      </c>
      <c r="P742">
        <f>IF(B761=0,0,O742/B761)</f>
        <v/>
      </c>
      <c r="Q742" t="n">
        <v>0</v>
      </c>
      <c r="R742" t="n">
        <v>0</v>
      </c>
      <c r="S742">
        <f>IFERROR(O742/N742,0)</f>
        <v/>
      </c>
    </row>
    <row r="743">
      <c r="A743">
        <f>Skills!A22</f>
        <v/>
      </c>
      <c r="B743">
        <f>Skills!B22</f>
        <v/>
      </c>
      <c r="C743">
        <f>Inputs!$B$3&gt;=38</f>
        <v/>
      </c>
      <c r="D743">
        <f>IF(Skills!C22=1,60+(Inputs!$B$24+1)+Inputs!$B$28,IF(Skills!C22=2,90+Inputs!$B$25+Inputs!$B$28,IF(Skills!C22=3,120+Inputs!$B$26+Inputs!$B$28,MAX(0,(Inputs!$B$3-100)*3)+Inputs!$B$27+Inputs!$B$28)))</f>
        <v/>
      </c>
      <c r="E743">
        <f>INDEX(FactorTable!$B$2:$Y$301, MATCH(ROUND(MIN(300,MAX(1,D743)),0), FactorTable!$A$2:$A$301,0), Skills!M22+1)</f>
        <v/>
      </c>
      <c r="F743">
        <f>IF(Skills!N22=TRUE,(Skills!L22/10)*(E743/1000),Skills!L22/10)+Skills!O22</f>
        <v/>
      </c>
      <c r="G743">
        <f>Skills!G22*IF(Skills!H22&gt;0,Skills!I22/Skills!H22,1)</f>
        <v/>
      </c>
      <c r="H743">
        <f>1-(1-Skills!J22/100)^Skills!K22</f>
        <v/>
      </c>
      <c r="I743" t="inlineStr">
        <is>
          <t>1</t>
        </is>
      </c>
      <c r="J743" t="inlineStr"/>
      <c r="K743" t="inlineStr"/>
      <c r="L743" t="inlineStr"/>
      <c r="M743" t="inlineStr"/>
      <c r="N743" t="inlineStr"/>
      <c r="O743" t="n">
        <v>0</v>
      </c>
      <c r="P743">
        <f>IF(B761=0,0,O743/B761)</f>
        <v/>
      </c>
      <c r="Q743" t="n">
        <v>0</v>
      </c>
      <c r="R743" t="n">
        <v>0</v>
      </c>
      <c r="S743">
        <f>IFERROR(O743/N743,0)</f>
        <v/>
      </c>
    </row>
    <row r="744">
      <c r="A744">
        <f>Skills!A23</f>
        <v/>
      </c>
      <c r="B744">
        <f>Skills!B23</f>
        <v/>
      </c>
      <c r="C744">
        <f>Inputs!$B$3&gt;=43</f>
        <v/>
      </c>
      <c r="D744">
        <f>IF(Skills!C23=1,60+(Inputs!$B$24+1)+Inputs!$B$28,IF(Skills!C23=2,90+Inputs!$B$25+Inputs!$B$28,IF(Skills!C23=3,120+Inputs!$B$26+Inputs!$B$28,MAX(0,(Inputs!$B$3-100)*3)+Inputs!$B$27+Inputs!$B$28)))</f>
        <v/>
      </c>
      <c r="E744">
        <f>INDEX(FactorTable!$B$2:$Y$301, MATCH(ROUND(MIN(300,MAX(1,D744)),0), FactorTable!$A$2:$A$301,0), Skills!M23+1)</f>
        <v/>
      </c>
      <c r="F744">
        <f>IF(Skills!N23=TRUE,(Skills!L23/10)*(E744/1000),Skills!L23/10)+Skills!O23</f>
        <v/>
      </c>
      <c r="G744">
        <f>Skills!G23*IF(Skills!H23&gt;0,Skills!I23/Skills!H23,1)</f>
        <v/>
      </c>
      <c r="H744">
        <f>1-(1-Skills!J23/100)^Skills!K23</f>
        <v/>
      </c>
      <c r="I744" t="inlineStr">
        <is>
          <t>1</t>
        </is>
      </c>
      <c r="J744" t="inlineStr"/>
      <c r="K744" t="inlineStr"/>
      <c r="L744" t="inlineStr"/>
      <c r="M744" t="inlineStr"/>
      <c r="N744" t="inlineStr"/>
      <c r="O744" t="n">
        <v>0</v>
      </c>
      <c r="P744">
        <f>IF(B761=0,0,O744/B761)</f>
        <v/>
      </c>
      <c r="Q744" t="n">
        <v>0</v>
      </c>
      <c r="R744" t="n">
        <v>0</v>
      </c>
      <c r="S744">
        <f>IFERROR(O744/N744,0)</f>
        <v/>
      </c>
    </row>
    <row r="745">
      <c r="A745">
        <f>Skills!A24</f>
        <v/>
      </c>
      <c r="B745">
        <f>Skills!B24</f>
        <v/>
      </c>
      <c r="C745">
        <f>Inputs!$B$3&gt;=75</f>
        <v/>
      </c>
      <c r="D745">
        <f>IF(Skills!C24=1,60+(Inputs!$B$24+1)+Inputs!$B$28,IF(Skills!C24=2,90+Inputs!$B$25+Inputs!$B$28,IF(Skills!C24=3,120+Inputs!$B$26+Inputs!$B$28,MAX(0,(Inputs!$B$3-100)*3)+Inputs!$B$27+Inputs!$B$28)))</f>
        <v/>
      </c>
      <c r="E745">
        <f>INDEX(FactorTable!$B$2:$Y$301, MATCH(ROUND(MIN(300,MAX(1,D745)),0), FactorTable!$A$2:$A$301,0), Skills!M24+1)</f>
        <v/>
      </c>
      <c r="F745">
        <f>IF(Skills!N24=TRUE,(Skills!L24/10)*(E745/1000),Skills!L24/10)+Skills!O24</f>
        <v/>
      </c>
      <c r="G745">
        <f>Skills!G24*IF(Skills!H24&gt;0,Skills!I24/Skills!H24,1)</f>
        <v/>
      </c>
      <c r="H745">
        <f>1-(1-Skills!J24/100)^Skills!K24</f>
        <v/>
      </c>
      <c r="I745" t="inlineStr">
        <is>
          <t>1</t>
        </is>
      </c>
      <c r="J745" t="inlineStr"/>
      <c r="K745" t="inlineStr"/>
      <c r="L745" t="inlineStr"/>
      <c r="M745" t="inlineStr"/>
      <c r="N745" t="inlineStr"/>
      <c r="O745" t="n">
        <v>0</v>
      </c>
      <c r="P745">
        <f>IF(B761=0,0,O745/B761)</f>
        <v/>
      </c>
      <c r="Q745" t="n">
        <v>0</v>
      </c>
      <c r="R745" t="n">
        <v>0</v>
      </c>
      <c r="S745">
        <f>IFERROR(O745/N745,0)</f>
        <v/>
      </c>
    </row>
    <row r="746">
      <c r="A746">
        <f>Skills!A25</f>
        <v/>
      </c>
      <c r="B746">
        <f>Skills!B25</f>
        <v/>
      </c>
      <c r="C746">
        <f>Inputs!$B$3&gt;=125</f>
        <v/>
      </c>
      <c r="D746">
        <f>IF(Skills!C25=1,60+(Inputs!$B$24+1)+Inputs!$B$28,IF(Skills!C25=2,90+Inputs!$B$25+Inputs!$B$28,IF(Skills!C25=3,120+Inputs!$B$26+Inputs!$B$28,MAX(0,(Inputs!$B$3-100)*3)+Inputs!$B$27+Inputs!$B$28)))</f>
        <v/>
      </c>
      <c r="E746">
        <f>INDEX(FactorTable!$B$2:$Y$301, MATCH(ROUND(MIN(300,MAX(1,D746)),0), FactorTable!$A$2:$A$301,0), Skills!M25+1)</f>
        <v/>
      </c>
      <c r="F746">
        <f>IF(Skills!N25=TRUE,(Skills!L25/10)*(E746/1000),Skills!L25/10)+Skills!O25</f>
        <v/>
      </c>
      <c r="G746">
        <f>Skills!G25*IF(Skills!H25&gt;0,Skills!I25/Skills!H25,1)</f>
        <v/>
      </c>
      <c r="H746">
        <f>1-(1-Skills!J25/100)^Skills!K25</f>
        <v/>
      </c>
      <c r="I746" t="inlineStr">
        <is>
          <t>1</t>
        </is>
      </c>
      <c r="J746" t="inlineStr"/>
      <c r="K746" t="inlineStr"/>
      <c r="L746" t="inlineStr"/>
      <c r="M746" t="inlineStr"/>
      <c r="N746" t="inlineStr"/>
      <c r="O746" t="n">
        <v>0</v>
      </c>
      <c r="P746">
        <f>IF(B761=0,0,O746/B761)</f>
        <v/>
      </c>
      <c r="Q746" t="n">
        <v>0</v>
      </c>
      <c r="R746" t="n">
        <v>0</v>
      </c>
      <c r="S746">
        <f>IFERROR(O746/N746,0)</f>
        <v/>
      </c>
    </row>
    <row r="747">
      <c r="A747">
        <f>Skills!A26</f>
        <v/>
      </c>
      <c r="B747">
        <f>Skills!B26</f>
        <v/>
      </c>
      <c r="C747">
        <f>Inputs!$B$3&gt;=125</f>
        <v/>
      </c>
      <c r="D747">
        <f>IF(Skills!C26=1,60+(Inputs!$B$24+1)+Inputs!$B$28,IF(Skills!C26=2,90+Inputs!$B$25+Inputs!$B$28,IF(Skills!C26=3,120+Inputs!$B$26+Inputs!$B$28,MAX(0,(Inputs!$B$3-100)*3)+Inputs!$B$27+Inputs!$B$28)))</f>
        <v/>
      </c>
      <c r="E747">
        <f>INDEX(FactorTable!$B$2:$Y$301, MATCH(ROUND(MIN(300,MAX(1,D747)),0), FactorTable!$A$2:$A$301,0), Skills!M26+1)</f>
        <v/>
      </c>
      <c r="F747">
        <f>IF(Skills!N26=TRUE,(Skills!L26/10)*(E747/1000),Skills!L26/10)+Skills!O26</f>
        <v/>
      </c>
      <c r="G747">
        <f>Skills!G26*IF(Skills!H26&gt;0,Skills!I26/Skills!H26,1)</f>
        <v/>
      </c>
      <c r="H747">
        <f>1-(1-Skills!J26/100)^Skills!K26</f>
        <v/>
      </c>
      <c r="I747" t="inlineStr">
        <is>
          <t>1</t>
        </is>
      </c>
      <c r="J747" t="inlineStr"/>
      <c r="K747" t="inlineStr"/>
      <c r="L747" t="inlineStr"/>
      <c r="M747" t="inlineStr"/>
      <c r="N747" t="inlineStr"/>
      <c r="O747" t="n">
        <v>0</v>
      </c>
      <c r="P747">
        <f>IF(B761=0,0,O747/B761)</f>
        <v/>
      </c>
      <c r="Q747" t="n">
        <v>0</v>
      </c>
      <c r="R747" t="n">
        <v>0</v>
      </c>
      <c r="S747">
        <f>IFERROR(O747/N747,0)</f>
        <v/>
      </c>
    </row>
    <row r="748">
      <c r="A748">
        <f>Skills!A27</f>
        <v/>
      </c>
      <c r="B748">
        <f>Skills!B27</f>
        <v/>
      </c>
      <c r="C748">
        <f>Inputs!$B$3&gt;=120</f>
        <v/>
      </c>
      <c r="D748">
        <f>IF(Skills!C27=1,60+(Inputs!$B$24+1)+Inputs!$B$28,IF(Skills!C27=2,90+Inputs!$B$25+Inputs!$B$28,IF(Skills!C27=3,120+Inputs!$B$26+Inputs!$B$28,MAX(0,(Inputs!$B$3-100)*3)+Inputs!$B$27+Inputs!$B$28)))</f>
        <v/>
      </c>
      <c r="E748">
        <f>INDEX(FactorTable!$B$2:$Y$301, MATCH(ROUND(MIN(300,MAX(1,D748)),0), FactorTable!$A$2:$A$301,0), Skills!M27+1)</f>
        <v/>
      </c>
      <c r="F748">
        <f>IF(Skills!N27=TRUE,(Skills!L27/10)*(E748/1000),Skills!L27/10)+Skills!O27</f>
        <v/>
      </c>
      <c r="G748">
        <f>Skills!G27*IF(Skills!H27&gt;0,Skills!I27/Skills!H27,1)</f>
        <v/>
      </c>
      <c r="H748">
        <f>1-(1-Skills!J27/100)^Skills!K27</f>
        <v/>
      </c>
      <c r="I748" t="inlineStr">
        <is>
          <t>1</t>
        </is>
      </c>
      <c r="J748" t="inlineStr"/>
      <c r="K748" t="inlineStr"/>
      <c r="L748" t="inlineStr"/>
      <c r="M748" t="inlineStr"/>
      <c r="N748" t="inlineStr"/>
      <c r="O748" t="n">
        <v>0</v>
      </c>
      <c r="P748">
        <f>IF(B761=0,0,O748/B761)</f>
        <v/>
      </c>
      <c r="Q748" t="n">
        <v>0</v>
      </c>
      <c r="R748" t="n">
        <v>0</v>
      </c>
      <c r="S748">
        <f>IFERROR(O748/N748,0)</f>
        <v/>
      </c>
    </row>
    <row r="749">
      <c r="A749">
        <f>Skills!A28</f>
        <v/>
      </c>
      <c r="B749">
        <f>Skills!B28</f>
        <v/>
      </c>
      <c r="C749">
        <f>Inputs!$B$3&gt;=120</f>
        <v/>
      </c>
      <c r="D749">
        <f>IF(Skills!C28=1,60+(Inputs!$B$24+1)+Inputs!$B$28,IF(Skills!C28=2,90+Inputs!$B$25+Inputs!$B$28,IF(Skills!C28=3,120+Inputs!$B$26+Inputs!$B$28,MAX(0,(Inputs!$B$3-100)*3)+Inputs!$B$27+Inputs!$B$28)))</f>
        <v/>
      </c>
      <c r="E749">
        <f>INDEX(FactorTable!$B$2:$Y$301, MATCH(ROUND(MIN(300,MAX(1,D749)),0), FactorTable!$A$2:$A$301,0), Skills!M28+1)</f>
        <v/>
      </c>
      <c r="F749">
        <f>IF(Skills!N28=TRUE,(Skills!L28/10)*(E749/1000),Skills!L28/10)+Skills!O28</f>
        <v/>
      </c>
      <c r="G749">
        <f>Skills!G28*IF(Skills!H28&gt;0,Skills!I28/Skills!H28,1)</f>
        <v/>
      </c>
      <c r="H749">
        <f>1-(1-Skills!J28/100)^Skills!K28</f>
        <v/>
      </c>
      <c r="I749" t="inlineStr">
        <is>
          <t>1</t>
        </is>
      </c>
      <c r="J749" t="inlineStr"/>
      <c r="K749" t="inlineStr"/>
      <c r="L749" t="inlineStr"/>
      <c r="M749" t="inlineStr"/>
      <c r="N749" t="inlineStr"/>
      <c r="O749" t="n">
        <v>0</v>
      </c>
      <c r="P749">
        <f>IF(B761=0,0,O749/B761)</f>
        <v/>
      </c>
      <c r="Q749" t="n">
        <v>0</v>
      </c>
      <c r="R749" t="n">
        <v>0</v>
      </c>
      <c r="S749">
        <f>IFERROR(O749/N749,0)</f>
        <v/>
      </c>
    </row>
    <row r="750">
      <c r="A750">
        <f>Skills!A29</f>
        <v/>
      </c>
      <c r="B750">
        <f>Skills!B29</f>
        <v/>
      </c>
      <c r="C750">
        <f>Inputs!$B$3&gt;=45</f>
        <v/>
      </c>
      <c r="D750">
        <f>IF(Skills!C29=1,60+(Inputs!$B$24+1)+Inputs!$B$28,IF(Skills!C29=2,90+Inputs!$B$25+Inputs!$B$28,IF(Skills!C29=3,120+Inputs!$B$26+Inputs!$B$28,MAX(0,(Inputs!$B$3-100)*3)+Inputs!$B$27+Inputs!$B$28)))</f>
        <v/>
      </c>
      <c r="E750">
        <f>INDEX(FactorTable!$B$2:$Y$301, MATCH(ROUND(MIN(300,MAX(1,D750)),0), FactorTable!$A$2:$A$301,0), Skills!M29+1)</f>
        <v/>
      </c>
      <c r="F750">
        <f>IF(Skills!N29=TRUE,(Skills!L29/10)*(E750/1000),Skills!L29/10)+Skills!O29</f>
        <v/>
      </c>
      <c r="G750">
        <f>Skills!G29*IF(Skills!H29&gt;0,Skills!I29/Skills!H29,1)</f>
        <v/>
      </c>
      <c r="H750">
        <f>1-(1-Skills!J29/100)^Skills!K29</f>
        <v/>
      </c>
      <c r="I750" t="inlineStr">
        <is>
          <t>1</t>
        </is>
      </c>
      <c r="J750" t="inlineStr"/>
      <c r="K750" t="inlineStr"/>
      <c r="L750" t="inlineStr"/>
      <c r="M750" t="inlineStr"/>
      <c r="N750" t="inlineStr"/>
      <c r="O750" t="n">
        <v>0</v>
      </c>
      <c r="P750">
        <f>IF(B761=0,0,O750/B761)</f>
        <v/>
      </c>
      <c r="Q750" t="n">
        <v>0</v>
      </c>
      <c r="R750" t="n">
        <v>0</v>
      </c>
      <c r="S750">
        <f>IFERROR(O750/N750,0)</f>
        <v/>
      </c>
    </row>
    <row r="752">
      <c r="A752" t="inlineStr">
        <is>
          <t>Attack% Bucket Multiplier</t>
        </is>
      </c>
      <c r="B752">
        <f>(1+(((C734=TRUE)*F734)+((C735=TRUE)*IF(Inputs!$B$4="pvp",F735,(1-Summary!$B$55)*(F735)+Summary!$B$55*(0)))+((C736=TRUE)*F736*IF(AND(Inputs!$B$4&lt;&gt;"pvp",Inputs!$B$35&gt;0),(((S736-1)*(Skills!T15*(1+Inputs!$B$33/100))+MIN((Skills!T15*(1+Inputs!$B$33/100)),MAX(0,Inputs!$B$35-((S736-1)*Skills!D15))))/Inputs!$B$35),IF(Inputs!$B$4="pvp",MIN((Skills!T15*(1+Inputs!$B$33/100)),15)/15,(Skills!T15*(1+Inputs!$B$33/100))/Skills!D15)))+((C733=TRUE)*F733)+((C750=TRUE)*(F750-Calc!F29)))/100)</f>
        <v/>
      </c>
    </row>
    <row r="753">
      <c r="A753" t="inlineStr">
        <is>
          <t>Global Crit Rate Bonus %</t>
        </is>
      </c>
      <c r="B753">
        <f>(C737=TRUE)*20*IF(AND(Inputs!$B$4&lt;&gt;"pvp",Inputs!$B$35&gt;0),(((S737-1)*(Skills!T16*(1+Inputs!$B$33/100))+MIN((Skills!T16*(1+Inputs!$B$33/100)),MAX(0,Inputs!$B$35-((S737-1)*Skills!D16))))/Inputs!$B$35),IF(Inputs!$B$4="pvp",MIN((Skills!T16*(1+Inputs!$B$33/100)),15)/15,(Skills!T16*(1+Inputs!$B$33/100))/Skills!D16))</f>
        <v/>
      </c>
    </row>
    <row r="754">
      <c r="A754" t="inlineStr">
        <is>
          <t>Attack Speed Buff Bonus %</t>
        </is>
      </c>
      <c r="B754">
        <f>((C739=TRUE)*F739*IF(AND(Inputs!$B$4&lt;&gt;"pvp",Inputs!$B$35&gt;0),(((S739-1)*(Skills!T18*(1+Inputs!$B$33/100))+MIN((Skills!T18*(1+Inputs!$B$33/100)),MAX(0,Inputs!$B$35-((S739-1)*Skills!D18))))/Inputs!$B$35),IF(Inputs!$B$4="pvp",MIN((Skills!T18*(1+Inputs!$B$33/100)),15)/15,(Skills!T18*(1+Inputs!$B$33/100))/Skills!D18)))</f>
        <v/>
      </c>
    </row>
    <row r="755">
      <c r="A755" t="inlineStr">
        <is>
          <t>Actions Per Second</t>
        </is>
      </c>
      <c r="B755">
        <f>1+MIN(150,150*(1-(1-(Inputs!$B$10+((C741=TRUE)*(F741-Calc!F20))+((C742=TRUE)*(F742-Calc!F21)))/150)*(1-B754/150)))/100</f>
        <v/>
      </c>
    </row>
    <row r="756">
      <c r="A756" t="inlineStr">
        <is>
          <t>Skill + Buff Cast Rate</t>
        </is>
      </c>
      <c r="B756">
        <f>IF(AND(Inputs!$B$4&lt;&gt;"pvp",Inputs!$B$35&gt;0),SUMPRODUCT((Skills!E2:E29=TRUE)*(C723:C750=TRUE)*R723:R750*Skills!F2:F29)/Inputs!$B$35,SUMPRODUCT((Skills!E2:E29=TRUE)*(C723:C750=TRUE)*Q723:Q750*Skills!F2:F29))</f>
        <v/>
      </c>
    </row>
    <row r="757">
      <c r="A757" t="inlineStr">
        <is>
          <t>Empowered Piercing Arrow Casts Per Second</t>
        </is>
      </c>
      <c r="B757">
        <f>MAX(0,B755-B756)</f>
        <v/>
      </c>
    </row>
    <row r="758">
      <c r="A758" t="inlineStr">
        <is>
          <t>Global Critical Damage Bonus % (Sharp Eyes)</t>
        </is>
      </c>
      <c r="B758">
        <f>(C737=TRUE)*F737*IF(AND(Inputs!$B$4&lt;&gt;"pvp",Inputs!$B$35&gt;0),(((S737-1)*(Skills!T16*(1+Inputs!$B$33/100))+MIN((Skills!T16*(1+Inputs!$B$33/100)),MAX(0,Inputs!$B$35-((S737-1)*Skills!D16))))/Inputs!$B$35),IF(Inputs!$B$4="pvp",MIN((Skills!T16*(1+Inputs!$B$33/100)),15)/15,(Skills!T16*(1+Inputs!$B$33/100))/Skills!D16))</f>
        <v/>
      </c>
    </row>
    <row r="759">
      <c r="A759" t="inlineStr">
        <is>
          <t>Global Final Damage Bonus % (Mortal Blow + Last Man Standing conditional half)</t>
        </is>
      </c>
      <c r="B759">
        <f>(C738=TRUE)*F738+((C747=TRUE)*IF(Inputs!$B$4="pvp",F747,(1-Summary!$B$55)*(F747)+Summary!$B$55*(0)))</f>
        <v/>
      </c>
    </row>
    <row r="761">
      <c r="A761" s="5" t="inlineStr">
        <is>
          <t>TOTAL DPS</t>
        </is>
      </c>
      <c r="B761" s="5">
        <f>SUM(O723:O750)</f>
        <v/>
      </c>
    </row>
    <row r="764">
      <c r="A764" s="5" t="inlineStr">
        <is>
          <t>Stat: Skill Level Bonus — 2nd Job</t>
        </is>
      </c>
    </row>
    <row r="765">
      <c r="A765" s="8" t="inlineStr">
        <is>
          <t>Key</t>
        </is>
      </c>
      <c r="B765" s="8" t="inlineStr">
        <is>
          <t>Name</t>
        </is>
      </c>
      <c r="C765" s="8" t="inlineStr">
        <is>
          <t>Unlocked</t>
        </is>
      </c>
      <c r="D765" s="8" t="inlineStr">
        <is>
          <t>InputLevel</t>
        </is>
      </c>
      <c r="E765" s="8" t="inlineStr">
        <is>
          <t>Factor</t>
        </is>
      </c>
      <c r="F765" s="8" t="inlineStr">
        <is>
          <t>CoefficientPercent</t>
        </is>
      </c>
      <c r="G765" s="8" t="inlineStr">
        <is>
          <t>EffectiveHits</t>
        </is>
      </c>
      <c r="H765" s="8" t="inlineStr">
        <is>
          <t>ProcProbability</t>
        </is>
      </c>
      <c r="I765" s="8" t="inlineStr">
        <is>
          <t>MapleHeroMultiplier</t>
        </is>
      </c>
      <c r="J765" s="8" t="inlineStr">
        <is>
          <t>BaseDamage</t>
        </is>
      </c>
      <c r="K765" s="8" t="inlineStr">
        <is>
          <t>BaseHitDamage</t>
        </is>
      </c>
      <c r="L765" s="8" t="inlineStr">
        <is>
          <t>NonCritAvg</t>
        </is>
      </c>
      <c r="M765" s="8" t="inlineStr">
        <is>
          <t>CritAvg</t>
        </is>
      </c>
      <c r="N765" s="8" t="inlineStr">
        <is>
          <t>ExpectedDamage(perHit)</t>
        </is>
      </c>
      <c r="O765" s="8" t="inlineStr">
        <is>
          <t>DPS</t>
        </is>
      </c>
      <c r="P765" s="8" t="inlineStr">
        <is>
          <t>% of Total</t>
        </is>
      </c>
      <c r="Q765" s="8" t="inlineStr">
        <is>
          <t>InvCooldown</t>
        </is>
      </c>
      <c r="R765" s="8" t="inlineStr">
        <is>
          <t>CastsInFight</t>
        </is>
      </c>
      <c r="S765" s="8" t="inlineStr">
        <is>
          <t>HitRate(perSec)</t>
        </is>
      </c>
      <c r="U765" t="inlineStr">
        <is>
          <t>helpers</t>
        </is>
      </c>
    </row>
    <row r="766">
      <c r="A766">
        <f>Skills!A2</f>
        <v/>
      </c>
      <c r="B766">
        <f>Skills!B2</f>
        <v/>
      </c>
      <c r="C766">
        <f>Inputs!$B$3&gt;=100</f>
        <v/>
      </c>
      <c r="D766" t="inlineStr"/>
      <c r="E766" t="inlineStr"/>
      <c r="F766">
        <f>U768+Skills!O2</f>
        <v/>
      </c>
      <c r="G766">
        <f>Skills!G2*IF(Skills!H2&gt;0,Skills!I2/Skills!H2,1)</f>
        <v/>
      </c>
      <c r="H766">
        <f>1-(1-Skills!J2/100)^Skills!K2</f>
        <v/>
      </c>
      <c r="I766" t="inlineStr">
        <is>
          <t>1</t>
        </is>
      </c>
      <c r="J766">
        <f>(Inputs!$B$5*(1+Inputs!$B$6/100))*(F766/100)</f>
        <v/>
      </c>
      <c r="K766">
        <f>J766*(1+((Inputs!$B$11*(1+Inputs!$B$12/100))*0.01+Inputs!$B$13*0.0025)/100)*(1+Inputs!$B$14/100)*(1+IF(Inputs!$B$4="pvp",0,(1-Summary!$B$55)*(Inputs!$B$19+0+Skills!P2)+Summary!$B$55*(Inputs!$B$20+Skills!Q2))/100)*(1+Inputs!$B$15/100)*(5000/(6000+Inputs!$B$7*(1-(Inputs!$B$18+0)/100)))*(1+(Inputs!$B$23+((C788=TRUE)*(F788-Calc!F24))+((C789=TRUE)*(F789-Calc!F25))+B802)/100)*(1+(IF(Skills!A2="EMPOWERED_PIERCING_ARROW",Inputs!$B$16+((C786=TRUE)*(F786-Calc!F22)),Inputs!$B$17+((C791=TRUE)*(F791-Calc!F27))))/100)*((1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I766)</f>
        <v/>
      </c>
      <c r="L766">
        <f>K766*(MIN(Inputs!$B$21+((C787=TRUE)*(F787-Calc!F23)),Inputs!$B$22+((C792=TRUE)*(F792-Calc!F28)))/100+(Inputs!$B$22+((C792=TRUE)*(F792-Calc!F28)))/100)/2</f>
        <v/>
      </c>
      <c r="M766">
        <f>L766*(1+(Inputs!$B$9+0+B801)/100)</f>
        <v/>
      </c>
      <c r="N766">
        <f>L766*(1-MIN((Inputs!$B$8+((C783=TRUE)*(F783-Calc!F19))+B796),100)/100)+M766*(MIN((Inputs!$B$8+((C783=TRUE)*(F783-Calc!F19))+B796),100)/100)</f>
        <v/>
      </c>
      <c r="O766">
        <f>IF(C766,Skills!G2*N766*B800*IF(Inputs!$B$4="pvp",1,(1-Summary!$B$55)*(1)+Summary!$B$55*(MIN((6+Inputs!$B$32),Inputs!$B$37))),0)</f>
        <v/>
      </c>
      <c r="P766">
        <f>IF(B804=0,0,O766/B804)</f>
        <v/>
      </c>
      <c r="Q766" t="n">
        <v>0</v>
      </c>
      <c r="R766" t="n">
        <v>0</v>
      </c>
      <c r="S766">
        <f>IFERROR(O766/N766,0)</f>
        <v/>
      </c>
      <c r="U766">
        <f>MAX(0,(Inputs!$B$3-100)*3)+Inputs!$B$27+Inputs!$B$28</f>
        <v/>
      </c>
    </row>
    <row r="767">
      <c r="A767">
        <f>Skills!A3</f>
        <v/>
      </c>
      <c r="B767">
        <f>Skills!B3</f>
        <v/>
      </c>
      <c r="C767">
        <f>Inputs!$B$3&gt;=50</f>
        <v/>
      </c>
      <c r="D767">
        <f>IF(Skills!C3=1,60+Inputs!$B$24+Inputs!$B$28,IF(Skills!C3=2,90+(Inputs!$B$25+1)+Inputs!$B$28,IF(Skills!C3=3,120+Inputs!$B$26+Inputs!$B$28,MAX(0,(Inputs!$B$3-100)*3)+Inputs!$B$27+Inputs!$B$28)))</f>
        <v/>
      </c>
      <c r="E767">
        <f>INDEX(FactorTable!$B$2:$Y$301, MATCH(ROUND(MIN(300,MAX(1,D767)),0), FactorTable!$A$2:$A$301,0), Skills!M3+1)</f>
        <v/>
      </c>
      <c r="F767">
        <f>IF(Skills!N3=TRUE,(Skills!L3/10)*(E767/1000),Skills!L3/10)+Skills!O3</f>
        <v/>
      </c>
      <c r="G767" t="inlineStr"/>
      <c r="H767" t="inlineStr"/>
      <c r="I767" t="inlineStr">
        <is>
          <t>1</t>
        </is>
      </c>
      <c r="J767" t="inlineStr"/>
      <c r="K767" t="inlineStr"/>
      <c r="L767" t="inlineStr"/>
      <c r="M767" t="inlineStr"/>
      <c r="N767" t="inlineStr"/>
      <c r="O767" t="inlineStr"/>
      <c r="P767" t="inlineStr"/>
      <c r="Q767" t="inlineStr"/>
      <c r="R767" t="inlineStr"/>
      <c r="S767" t="inlineStr"/>
      <c r="U767">
        <f>INDEX(FactorTable!$B$2:$Y$301, MATCH(ROUND(MIN(300,MAX(1,U766)),0), FactorTable!$A$2:$A$301,0), 22)</f>
        <v/>
      </c>
    </row>
    <row r="768">
      <c r="A768">
        <f>Skills!A4</f>
        <v/>
      </c>
      <c r="B768">
        <f>Skills!B4</f>
        <v/>
      </c>
      <c r="C768">
        <f>Inputs!$B$3&gt;=105</f>
        <v/>
      </c>
      <c r="D768">
        <f>IF(Skills!C4=1,60+Inputs!$B$24+Inputs!$B$28,IF(Skills!C4=2,90+(Inputs!$B$25+1)+Inputs!$B$28,IF(Skills!C4=3,120+Inputs!$B$26+Inputs!$B$28,MAX(0,(Inputs!$B$3-100)*3)+Inputs!$B$27+Inputs!$B$28)))</f>
        <v/>
      </c>
      <c r="E768">
        <f>INDEX(FactorTable!$B$2:$Y$301, MATCH(ROUND(MIN(300,MAX(1,D768)),0), FactorTable!$A$2:$A$301,0), Skills!M4+1)</f>
        <v/>
      </c>
      <c r="F768">
        <f>IF(Skills!N4=TRUE,(Skills!L4/10)*(E768/1000),Skills!L4/10)+Skills!O4</f>
        <v/>
      </c>
      <c r="G768" t="inlineStr"/>
      <c r="H768" t="inlineStr"/>
      <c r="I768" t="inlineStr">
        <is>
          <t>1</t>
        </is>
      </c>
      <c r="J768" t="inlineStr"/>
      <c r="K768" t="inlineStr"/>
      <c r="L768" t="inlineStr"/>
      <c r="M768" t="inlineStr"/>
      <c r="N768" t="inlineStr"/>
      <c r="O768" t="inlineStr"/>
      <c r="P768" t="inlineStr"/>
      <c r="Q768" t="inlineStr"/>
      <c r="R768" t="inlineStr"/>
      <c r="S768" t="inlineStr"/>
      <c r="U768">
        <f>290*U767/1000</f>
        <v/>
      </c>
    </row>
    <row r="769">
      <c r="A769">
        <f>Skills!A5</f>
        <v/>
      </c>
      <c r="B769">
        <f>Skills!B5</f>
        <v/>
      </c>
      <c r="C769">
        <f>Inputs!$B$3&gt;=35</f>
        <v/>
      </c>
      <c r="D769">
        <f>IF(Skills!C5=1,60+Inputs!$B$24+Inputs!$B$28,IF(Skills!C5=2,90+(Inputs!$B$25+1)+Inputs!$B$28,IF(Skills!C5=3,120+Inputs!$B$26+Inputs!$B$28,MAX(0,(Inputs!$B$3-100)*3)+Inputs!$B$27+Inputs!$B$28)))</f>
        <v/>
      </c>
      <c r="E769">
        <f>INDEX(FactorTable!$B$2:$Y$301, MATCH(ROUND(MIN(300,MAX(1,D769)),0), FactorTable!$A$2:$A$301,0), Skills!M5+1)</f>
        <v/>
      </c>
      <c r="F769">
        <f>IF(Skills!N5=TRUE,(Skills!L5/10)*(E769/1000),Skills!L5/10)+Skills!O5</f>
        <v/>
      </c>
      <c r="G769">
        <f>Skills!G5*IF(Skills!H5&gt;0,Skills!I5/Skills!H5,1)</f>
        <v/>
      </c>
      <c r="H769">
        <f>1-(1-Skills!J5/100)^Skills!K5</f>
        <v/>
      </c>
      <c r="I769" t="inlineStr">
        <is>
          <t>1</t>
        </is>
      </c>
      <c r="J769">
        <f>(Inputs!$B$5*(1+Inputs!$B$6/100))*(F769/100)</f>
        <v/>
      </c>
      <c r="K769">
        <f>J769*(1+((Inputs!$B$11*(1+Inputs!$B$12/100))*0.01+Inputs!$B$13*0.0025)/100)*(1+Inputs!$B$14/100)*(1+IF(Inputs!$B$4="pvp",0,(1-Summary!$B$55)*(Inputs!$B$19+0+Skills!P5)+Summary!$B$55*(Inputs!$B$20+Skills!Q5))/100)*(1+Inputs!$B$15/100)*(5000/(6000+Inputs!$B$7*(1-(Inputs!$B$18+0)/100)))*(1+(Inputs!$B$23+((C788=TRUE)*(F788-Calc!F24))+((C789=TRUE)*(F789-Calc!F25))+B802)/100)*(1+4.0*IF(C772=TRUE,F772,0)/100)*(1+(IF(Skills!A5="EMPOWERED_PIERCING_ARROW",Inputs!$B$16+((C786=TRUE)*(F786-Calc!F22)),Inputs!$B$17+((C791=TRUE)*(F791-Calc!F27))))/100)*((1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I769)</f>
        <v/>
      </c>
      <c r="L769">
        <f>K769*(MIN(Inputs!$B$21+((C787=TRUE)*(F787-Calc!F23)),Inputs!$B$22+((C792=TRUE)*(F792-Calc!F28)))/100+(Inputs!$B$22+((C792=TRUE)*(F792-Calc!F28)))/100)/2</f>
        <v/>
      </c>
      <c r="M769">
        <f>L769*(1+(Inputs!$B$9+0+B801)/100)</f>
        <v/>
      </c>
      <c r="N769">
        <f>L769*(1-MIN((Inputs!$B$8+((C783=TRUE)*(F783-Calc!F19))+B796),100)/100)+M769*(MIN((Inputs!$B$8+((C783=TRUE)*(F783-Calc!F19))+B796),100)/100)</f>
        <v/>
      </c>
      <c r="O769">
        <f>IF(C769,H769*N769*IF(AND(Inputs!$B$4&lt;&gt;"pvp",Inputs!$B$35&gt;0),((Skills!G5*((R769-1)*IF(Skills!H5&gt;0,Skills!I5/Skills!H5,1)+IF(Skills!H5&gt;0,MIN(Skills!I5,MAX(0,Inputs!$B$35-((R769-1)*IF(Inputs!$B$4="pvp",15,MAX(0.1,Skills!D5-IF(Skills!E5=TRUE,Inputs!$B$31,0))))))/Skills!H5,1)))/Inputs!$B$35),G769*Q769)*IF(Inputs!$B$4="pvp",1,(1-Summary!$B$55)*(1)+Summary!$B$55*(MIN(Skills!R5,Inputs!$B$37))),0)</f>
        <v/>
      </c>
      <c r="P769">
        <f>IF(B804=0,0,O769/B804)</f>
        <v/>
      </c>
      <c r="Q769">
        <f>IFERROR(1/IF(Inputs!$B$4="pvp",15,MAX(0.1,Skills!D5-IF(Skills!E5=TRUE,Inputs!$B$31,0))),0)</f>
        <v/>
      </c>
      <c r="R769">
        <f>IF(AND(Inputs!$B$4&lt;&gt;"pvp",Inputs!$B$35&gt;0),(INT(Inputs!$B$35/IF(Inputs!$B$4="pvp",15,MAX(0.1,Skills!D5-IF(Skills!E5=TRUE,Inputs!$B$31,0))))+1),0)</f>
        <v/>
      </c>
      <c r="S769">
        <f>IFERROR(O769/N769,0)</f>
        <v/>
      </c>
    </row>
    <row r="770">
      <c r="A770">
        <f>Skills!A6</f>
        <v/>
      </c>
      <c r="B770">
        <f>Skills!B6</f>
        <v/>
      </c>
      <c r="C770">
        <f>Inputs!$B$3&gt;=63</f>
        <v/>
      </c>
      <c r="D770">
        <f>IF(Skills!C6=1,60+Inputs!$B$24+Inputs!$B$28,IF(Skills!C6=2,90+(Inputs!$B$25+1)+Inputs!$B$28,IF(Skills!C6=3,120+Inputs!$B$26+Inputs!$B$28,MAX(0,(Inputs!$B$3-100)*3)+Inputs!$B$27+Inputs!$B$28)))</f>
        <v/>
      </c>
      <c r="E770">
        <f>INDEX(FactorTable!$B$2:$Y$301, MATCH(ROUND(MIN(300,MAX(1,D770)),0), FactorTable!$A$2:$A$301,0), Skills!M6+1)</f>
        <v/>
      </c>
      <c r="F770">
        <f>IF(Skills!N6=TRUE,(Skills!L6/10)*(E770/1000),Skills!L6/10)+Skills!O6</f>
        <v/>
      </c>
      <c r="G770">
        <f>Skills!G6*IF(Skills!H6&gt;0,Skills!I6/Skills!H6,1)</f>
        <v/>
      </c>
      <c r="H770">
        <f>1-(1-Skills!J6/100)^Skills!K6</f>
        <v/>
      </c>
      <c r="I770" t="inlineStr">
        <is>
          <t>1</t>
        </is>
      </c>
      <c r="J770">
        <f>(Inputs!$B$5*(1+Inputs!$B$6/100))*(F770/100)</f>
        <v/>
      </c>
      <c r="K770">
        <f>J770*(1+((Inputs!$B$11*(1+Inputs!$B$12/100))*0.01+Inputs!$B$13*0.0025)/100)*(1+Inputs!$B$14/100)*(1+IF(Inputs!$B$4="pvp",0,(1-Summary!$B$55)*(Inputs!$B$19+0+Skills!P6)+Summary!$B$55*(Inputs!$B$20+Skills!Q6))/100)*(1+Inputs!$B$15/100)*(5000/(6000+Inputs!$B$7*(1-(Inputs!$B$18+0)/100)))*(1+(Inputs!$B$23+((C788=TRUE)*(F788-Calc!F24))+((C789=TRUE)*(F789-Calc!F25))+B802)/100)*(1+1.0*IF(C772=TRUE,F772,0)/100)*(1+(IF(Skills!A6="EMPOWERED_PIERCING_ARROW",Inputs!$B$16+((C786=TRUE)*(F786-Calc!F22)),Inputs!$B$17+((C791=TRUE)*(F791-Calc!F27))))/100)*((1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I770)</f>
        <v/>
      </c>
      <c r="L770">
        <f>K770*(MIN(Inputs!$B$21+((C787=TRUE)*(F787-Calc!F23)),Inputs!$B$22+((C792=TRUE)*(F792-Calc!F28)))/100+(Inputs!$B$22+((C792=TRUE)*(F792-Calc!F28)))/100)/2</f>
        <v/>
      </c>
      <c r="M770">
        <f>L770*(1+(Inputs!$B$9+0+B801)/100)</f>
        <v/>
      </c>
      <c r="N770">
        <f>L770*(1-MIN((Inputs!$B$8+((C783=TRUE)*(F783-Calc!F19))+B796),100)/100)+M770*(MIN((Inputs!$B$8+((C783=TRUE)*(F783-Calc!F19))+B796),100)/100)</f>
        <v/>
      </c>
      <c r="O770">
        <f>IF(C770,H770*N770*IF(AND(Inputs!$B$4&lt;&gt;"pvp",Inputs!$B$35&gt;0),((Skills!G6*((R770-1)*IF(Skills!H6&gt;0,Skills!I6/Skills!H6,1)+IF(Skills!H6&gt;0,MIN(Skills!I6,MAX(0,Inputs!$B$35-((R770-1)*IF(Inputs!$B$4="pvp",15,MAX(0.1,Skills!D6-IF(Skills!E6=TRUE,Inputs!$B$31,0))))))/Skills!H6,1)))/Inputs!$B$35),G770*Q770)*IF(Inputs!$B$4="pvp",1,(1-Summary!$B$55)*(1)+Summary!$B$55*(MIN(Skills!R6,Inputs!$B$37))),0)</f>
        <v/>
      </c>
      <c r="P770">
        <f>IF(B804=0,0,O770/B804)</f>
        <v/>
      </c>
      <c r="Q770">
        <f>IFERROR(1/IF(Inputs!$B$4="pvp",15,MAX(0.1,Skills!D6-IF(Skills!E6=TRUE,Inputs!$B$31,0))),0)</f>
        <v/>
      </c>
      <c r="R770">
        <f>IF(AND(Inputs!$B$4&lt;&gt;"pvp",Inputs!$B$35&gt;0),(INT(Inputs!$B$35/IF(Inputs!$B$4="pvp",15,MAX(0.1,Skills!D6-IF(Skills!E6=TRUE,Inputs!$B$31,0))))+1),0)</f>
        <v/>
      </c>
      <c r="S770">
        <f>IFERROR(O770/N770,0)</f>
        <v/>
      </c>
    </row>
    <row r="771">
      <c r="A771">
        <f>Skills!A7</f>
        <v/>
      </c>
      <c r="B771">
        <f>Skills!B7</f>
        <v/>
      </c>
      <c r="C771">
        <f>Inputs!$B$3&gt;=69</f>
        <v/>
      </c>
      <c r="D771">
        <f>IF(Skills!C7=1,60+Inputs!$B$24+Inputs!$B$28,IF(Skills!C7=2,90+(Inputs!$B$25+1)+Inputs!$B$28,IF(Skills!C7=3,120+Inputs!$B$26+Inputs!$B$28,MAX(0,(Inputs!$B$3-100)*3)+Inputs!$B$27+Inputs!$B$28)))</f>
        <v/>
      </c>
      <c r="E771">
        <f>INDEX(FactorTable!$B$2:$Y$301, MATCH(ROUND(MIN(300,MAX(1,D771)),0), FactorTable!$A$2:$A$301,0), Skills!M7+1)</f>
        <v/>
      </c>
      <c r="F771">
        <f>IF(Skills!N7=TRUE,(Skills!L7/10)*(E771/1000),Skills!L7/10)+Skills!O7</f>
        <v/>
      </c>
      <c r="G771">
        <f>Skills!G7*IF(Skills!H7&gt;0,Skills!I7/Skills!H7,1)</f>
        <v/>
      </c>
      <c r="H771">
        <f>1-(1-Skills!J7/100)^Skills!K7</f>
        <v/>
      </c>
      <c r="I771" t="inlineStr">
        <is>
          <t>1</t>
        </is>
      </c>
      <c r="J771">
        <f>(Inputs!$B$5*(1+Inputs!$B$6/100))*(F771/100)</f>
        <v/>
      </c>
      <c r="K771">
        <f>J771*(1+((Inputs!$B$11*(1+Inputs!$B$12/100))*0.01+Inputs!$B$13*0.0025)/100)*(1+Inputs!$B$14/100)*(1+IF(Inputs!$B$4="pvp",0,(1-Summary!$B$55)*(Inputs!$B$19+0+Skills!P7)+Summary!$B$55*(Inputs!$B$20+Skills!Q7))/100)*(1+Inputs!$B$15/100)*(5000/(6000+Inputs!$B$7*(1-(Inputs!$B$18+0)/100)))*(1+(Inputs!$B$23+((C788=TRUE)*(F788-Calc!F24))+((C789=TRUE)*(F789-Calc!F25))+B802)/100)*(1+1.2*IF(C772=TRUE,F772,0)/100)*(1+(IF(Skills!A7="EMPOWERED_PIERCING_ARROW",Inputs!$B$16+((C786=TRUE)*(F786-Calc!F22)),Inputs!$B$17+((C791=TRUE)*(F791-Calc!F27))))/100)*((1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I771)</f>
        <v/>
      </c>
      <c r="L771">
        <f>K771*(MIN(Inputs!$B$21+((C787=TRUE)*(F787-Calc!F23)),Inputs!$B$22+((C792=TRUE)*(F792-Calc!F28)))/100+(Inputs!$B$22+((C792=TRUE)*(F792-Calc!F28)))/100)/2</f>
        <v/>
      </c>
      <c r="M771">
        <f>L771*(1+(Inputs!$B$9+0+B801)/100)</f>
        <v/>
      </c>
      <c r="N771">
        <f>L771*(1-MIN((Inputs!$B$8+((C783=TRUE)*(F783-Calc!F19))+B796),100)/100)+M771*(MIN((Inputs!$B$8+((C783=TRUE)*(F783-Calc!F19))+B796),100)/100)</f>
        <v/>
      </c>
      <c r="O771">
        <f>IF(C771,H771*N771*IF(AND(Inputs!$B$4&lt;&gt;"pvp",Inputs!$B$35&gt;0),((Skills!G7*((R771-1)*IF(Skills!H7&gt;0,Skills!I7/Skills!H7,1)+IF(Skills!H7&gt;0,MIN(Skills!I7,MAX(0,Inputs!$B$35-((R771-1)*IF(Inputs!$B$4="pvp",15,MAX(0.1,Skills!D7-IF(Skills!E7=TRUE,Inputs!$B$31,0))))))/Skills!H7,1)))/Inputs!$B$35),G771*Q771)*IF(Inputs!$B$4="pvp",1,(1-Summary!$B$55)*(1)+Summary!$B$55*(MIN(Skills!R7,Inputs!$B$37))),0)</f>
        <v/>
      </c>
      <c r="P771">
        <f>IF(B804=0,0,O771/B804)</f>
        <v/>
      </c>
      <c r="Q771">
        <f>IFERROR(1/IF(Inputs!$B$4="pvp",15,MAX(0.1,Skills!D7-IF(Skills!E7=TRUE,Inputs!$B$31,0))),0)</f>
        <v/>
      </c>
      <c r="R771">
        <f>IF(AND(Inputs!$B$4&lt;&gt;"pvp",Inputs!$B$35&gt;0),(INT(Inputs!$B$35/IF(Inputs!$B$4="pvp",15,MAX(0.1,Skills!D7-IF(Skills!E7=TRUE,Inputs!$B$31,0))))+1),0)</f>
        <v/>
      </c>
      <c r="S771">
        <f>IFERROR(O771/N771,0)</f>
        <v/>
      </c>
    </row>
    <row r="772">
      <c r="A772">
        <f>Skills!A8</f>
        <v/>
      </c>
      <c r="B772">
        <f>Skills!B8</f>
        <v/>
      </c>
      <c r="C772">
        <f>Inputs!$B$3&gt;=100</f>
        <v/>
      </c>
      <c r="D772">
        <f>IF(Skills!C8=1,60+Inputs!$B$24+Inputs!$B$28,IF(Skills!C8=2,90+(Inputs!$B$25+1)+Inputs!$B$28,IF(Skills!C8=3,120+Inputs!$B$26+Inputs!$B$28,MAX(0,(Inputs!$B$3-100)*3)+Inputs!$B$27+Inputs!$B$28)))</f>
        <v/>
      </c>
      <c r="E772">
        <f>INDEX(FactorTable!$B$2:$Y$301, MATCH(ROUND(MIN(300,MAX(1,D772)),0), FactorTable!$A$2:$A$301,0), Skills!M8+1)</f>
        <v/>
      </c>
      <c r="F772">
        <f>IF(Skills!N8=TRUE,(Skills!L8/10)*(E772/1000),Skills!L8/10)+Skills!O8</f>
        <v/>
      </c>
      <c r="G772" t="inlineStr"/>
      <c r="H772" t="inlineStr"/>
      <c r="I772" t="inlineStr">
        <is>
          <t>1</t>
        </is>
      </c>
      <c r="J772" t="inlineStr"/>
      <c r="K772" t="inlineStr"/>
      <c r="L772" t="inlineStr"/>
      <c r="M772" t="inlineStr"/>
      <c r="N772" t="inlineStr"/>
      <c r="O772" t="inlineStr"/>
      <c r="P772" t="inlineStr"/>
      <c r="Q772" t="inlineStr"/>
      <c r="R772" t="inlineStr"/>
      <c r="S772" t="inlineStr"/>
    </row>
    <row r="773">
      <c r="A773">
        <f>Skills!A9</f>
        <v/>
      </c>
      <c r="B773">
        <f>Skills!B9</f>
        <v/>
      </c>
      <c r="C773">
        <f>Inputs!$B$3&gt;=103</f>
        <v/>
      </c>
      <c r="D773">
        <f>IF(Skills!C9=1,60+Inputs!$B$24+Inputs!$B$28,IF(Skills!C9=2,90+(Inputs!$B$25+1)+Inputs!$B$28,IF(Skills!C9=3,120+Inputs!$B$26+Inputs!$B$28,MAX(0,(Inputs!$B$3-100)*3)+Inputs!$B$27+Inputs!$B$28)))</f>
        <v/>
      </c>
      <c r="E773">
        <f>INDEX(FactorTable!$B$2:$Y$301, MATCH(ROUND(MIN(300,MAX(1,D773)),0), FactorTable!$A$2:$A$301,0), Skills!M9+1)</f>
        <v/>
      </c>
      <c r="F773">
        <f>IF(Skills!N9=TRUE,(Skills!L9/10)*(E773/1000),Skills!L9/10)+Skills!O9</f>
        <v/>
      </c>
      <c r="G773">
        <f>Skills!G9*IF(Skills!H9&gt;0,Skills!I9/Skills!H9,1)</f>
        <v/>
      </c>
      <c r="H773">
        <f>1-(1-Skills!J9/100)^Skills!K9</f>
        <v/>
      </c>
      <c r="I773" t="inlineStr">
        <is>
          <t>1</t>
        </is>
      </c>
      <c r="J773">
        <f>(Inputs!$B$5*(1+Inputs!$B$6/100))*(F773/100)</f>
        <v/>
      </c>
      <c r="K773">
        <f>J773*(1+((Inputs!$B$11*(1+Inputs!$B$12/100))*0.01+Inputs!$B$13*0.0025)/100)*(1+Inputs!$B$14/100)*(1+IF(Inputs!$B$4="pvp",0,(1-Summary!$B$55)*(Inputs!$B$19+0+Skills!P9)+Summary!$B$55*(Inputs!$B$20+Skills!Q9))/100)*(1+Inputs!$B$15/100)*(5000/(6000+Inputs!$B$7*(1-(Inputs!$B$18+0)/100)))*(1+(Inputs!$B$23+((C788=TRUE)*(F788-Calc!F24))+((C789=TRUE)*(F789-Calc!F25))+B802)/100)*(1+(IF(Skills!A9="EMPOWERED_PIERCING_ARROW",Inputs!$B$16+((C786=TRUE)*(F786-Calc!F22)),Inputs!$B$17+((C791=TRUE)*(F791-Calc!F27))))/100)*((1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I773)</f>
        <v/>
      </c>
      <c r="L773">
        <f>K773*(MIN(Inputs!$B$21+((C787=TRUE)*(F787-Calc!F23)),Inputs!$B$22+((C792=TRUE)*(F792-Calc!F28)))/100+(Inputs!$B$22+((C792=TRUE)*(F792-Calc!F28)))/100)/2</f>
        <v/>
      </c>
      <c r="M773">
        <f>L773*(1+(Inputs!$B$9+0+B801)/100)</f>
        <v/>
      </c>
      <c r="N773">
        <f>L773*(1-MIN((Inputs!$B$8+((C783=TRUE)*(F783-Calc!F19))+B796),100)/100)+M773*(MIN((Inputs!$B$8+((C783=TRUE)*(F783-Calc!F19))+B796),100)/100)</f>
        <v/>
      </c>
      <c r="O773">
        <f>IF(C773,H773*N773*IF(AND(Inputs!$B$4&lt;&gt;"pvp",Inputs!$B$35&gt;0),((Skills!G9*((R773-1)*IF(Skills!H9&gt;0,Skills!I9/Skills!H9,1)+IF(Skills!H9&gt;0,MIN(Skills!I9,MAX(0,Inputs!$B$35-((R773-1)*IF(Inputs!$B$4="pvp",15,MAX(0.1,Skills!D9-IF(Skills!E9=TRUE,Inputs!$B$31,0))))))/Skills!H9,1)))/Inputs!$B$35),G773*Q773)*IF(Inputs!$B$4="pvp",1,(1-Summary!$B$55)*(1)+Summary!$B$55*(MIN(Skills!R9,Inputs!$B$37))),0)</f>
        <v/>
      </c>
      <c r="P773">
        <f>IF(B804=0,0,O773/B804)</f>
        <v/>
      </c>
      <c r="Q773">
        <f>IFERROR(1/IF(Inputs!$B$4="pvp",15,MAX(0.1,Skills!D9-IF(Skills!E9=TRUE,Inputs!$B$31,0))),0)</f>
        <v/>
      </c>
      <c r="R773">
        <f>IF(AND(Inputs!$B$4&lt;&gt;"pvp",Inputs!$B$35&gt;0),(INT(Inputs!$B$35/IF(Inputs!$B$4="pvp",15,MAX(0.1,Skills!D9-IF(Skills!E9=TRUE,Inputs!$B$31,0))))+1),0)</f>
        <v/>
      </c>
      <c r="S773">
        <f>IFERROR(O773/N773,0)</f>
        <v/>
      </c>
    </row>
    <row r="774">
      <c r="A774">
        <f>Skills!A10</f>
        <v/>
      </c>
      <c r="B774">
        <f>Skills!B10</f>
        <v/>
      </c>
      <c r="C774">
        <f>Inputs!$B$3&gt;=107</f>
        <v/>
      </c>
      <c r="D774">
        <f>IF(Skills!C10=1,60+Inputs!$B$24+Inputs!$B$28,IF(Skills!C10=2,90+(Inputs!$B$25+1)+Inputs!$B$28,IF(Skills!C10=3,120+Inputs!$B$26+Inputs!$B$28,MAX(0,(Inputs!$B$3-100)*3)+Inputs!$B$27+Inputs!$B$28)))</f>
        <v/>
      </c>
      <c r="E774">
        <f>INDEX(FactorTable!$B$2:$Y$301, MATCH(ROUND(MIN(300,MAX(1,D774)),0), FactorTable!$A$2:$A$301,0), Skills!M10+1)</f>
        <v/>
      </c>
      <c r="F774">
        <f>IF(Skills!N10=TRUE,(Skills!L10/10)*(E774/1000),Skills!L10/10)+Skills!O10</f>
        <v/>
      </c>
      <c r="G774">
        <f>Skills!G10*IF(Skills!H10&gt;0,Skills!I10/Skills!H10,1)</f>
        <v/>
      </c>
      <c r="H774">
        <f>1-(1-Skills!J10/100)^Skills!K10</f>
        <v/>
      </c>
      <c r="I774" t="inlineStr">
        <is>
          <t>1</t>
        </is>
      </c>
      <c r="J774">
        <f>(Inputs!$B$5*(1+Inputs!$B$6/100))*(F774/100)</f>
        <v/>
      </c>
      <c r="K774">
        <f>J774*(1+((Inputs!$B$11*(1+Inputs!$B$12/100))*0.01+Inputs!$B$13*0.0025)/100)*(1+Inputs!$B$14/100)*(1+IF(Inputs!$B$4="pvp",0,(1-Summary!$B$55)*(Inputs!$B$19+0+Skills!P10)+Summary!$B$55*(Inputs!$B$20+Skills!Q10))/100)*(1+Inputs!$B$15/100)*(5000/(6000+Inputs!$B$7*(1-(Inputs!$B$18+0)/100)))*(1+(Inputs!$B$23+((C788=TRUE)*(F788-Calc!F24))+((C789=TRUE)*(F789-Calc!F25))+B802)/100)*(1+(IF(Skills!A10="EMPOWERED_PIERCING_ARROW",Inputs!$B$16+((C786=TRUE)*(F786-Calc!F22)),Inputs!$B$17+((C791=TRUE)*(F791-Calc!F27))))/100)*((1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I774)</f>
        <v/>
      </c>
      <c r="L774">
        <f>K774*(MIN(Inputs!$B$21+((C787=TRUE)*(F787-Calc!F23)),Inputs!$B$22+((C792=TRUE)*(F792-Calc!F28)))/100+(Inputs!$B$22+((C792=TRUE)*(F792-Calc!F28)))/100)/2</f>
        <v/>
      </c>
      <c r="M774">
        <f>L774*(1+(Inputs!$B$9+0+B801)/100)</f>
        <v/>
      </c>
      <c r="N774">
        <f>L774*(1-MIN((Inputs!$B$8+((C783=TRUE)*(F783-Calc!F19))+B796),100)/100)+M774*(MIN((Inputs!$B$8+((C783=TRUE)*(F783-Calc!F19))+B796),100)/100)</f>
        <v/>
      </c>
      <c r="O774">
        <f>IF(C774,0.15*SUMPRODUCT((Skills!U2:U29=TRUE)*(C766:C793=TRUE)*S766:S793)*Skills!G10*N774*IF(Inputs!$B$4="pvp",1,(1-Summary!$B$55)*(1)+Summary!$B$55*(MIN(Skills!R10,Inputs!$B$37))),0)</f>
        <v/>
      </c>
      <c r="P774">
        <f>IF(B804=0,0,O774/B804)</f>
        <v/>
      </c>
      <c r="Q774" t="n">
        <v>0</v>
      </c>
      <c r="R774" t="n">
        <v>0</v>
      </c>
      <c r="S774" t="n">
        <v>0</v>
      </c>
    </row>
    <row r="775">
      <c r="A775">
        <f>Skills!A11</f>
        <v/>
      </c>
      <c r="B775">
        <f>Skills!B11</f>
        <v/>
      </c>
      <c r="C775">
        <f>Inputs!$B$3&gt;=110</f>
        <v/>
      </c>
      <c r="D775">
        <f>IF(Skills!C11=1,60+Inputs!$B$24+Inputs!$B$28,IF(Skills!C11=2,90+(Inputs!$B$25+1)+Inputs!$B$28,IF(Skills!C11=3,120+Inputs!$B$26+Inputs!$B$28,MAX(0,(Inputs!$B$3-100)*3)+Inputs!$B$27+Inputs!$B$28)))</f>
        <v/>
      </c>
      <c r="E775">
        <f>INDEX(FactorTable!$B$2:$Y$301, MATCH(ROUND(MIN(300,MAX(1,D775)),0), FactorTable!$A$2:$A$301,0), Skills!M11+1)</f>
        <v/>
      </c>
      <c r="F775">
        <f>IF(Skills!N11=TRUE,(Skills!L11/10)*(E775/1000),Skills!L11/10)+Skills!O11</f>
        <v/>
      </c>
      <c r="G775">
        <f>Skills!G11*IF(Skills!H11&gt;0,Skills!I11/Skills!H11,1)</f>
        <v/>
      </c>
      <c r="H775">
        <f>1-(1-Skills!J11/100)^Skills!K11</f>
        <v/>
      </c>
      <c r="I775" t="inlineStr">
        <is>
          <t>1</t>
        </is>
      </c>
      <c r="J775">
        <f>(Inputs!$B$5*(1+Inputs!$B$6/100))*(F775/100)</f>
        <v/>
      </c>
      <c r="K775">
        <f>J775*(1+((Inputs!$B$11*(1+Inputs!$B$12/100))*0.01+Inputs!$B$13*0.0025)/100)*(1+Inputs!$B$14/100)*(1+IF(Inputs!$B$4="pvp",0,(1-Summary!$B$55)*(Inputs!$B$19+0+Skills!P11)+Summary!$B$55*(Inputs!$B$20+Skills!Q11))/100)*(1+Inputs!$B$15/100)*(5000/(6000+Inputs!$B$7*(1-(Inputs!$B$18+0)/100)))*(1+(Inputs!$B$23+((C788=TRUE)*(F788-Calc!F24))+((C789=TRUE)*(F789-Calc!F25))+B802)/100)*(1+(IF(Skills!A11="EMPOWERED_PIERCING_ARROW",Inputs!$B$16+((C786=TRUE)*(F786-Calc!F22)),Inputs!$B$17+((C791=TRUE)*(F791-Calc!F27))))/100)*((1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I775)</f>
        <v/>
      </c>
      <c r="L775">
        <f>K775*(MIN(Inputs!$B$21+((C787=TRUE)*(F787-Calc!F23)),Inputs!$B$22+((C792=TRUE)*(F792-Calc!F28)))/100+(Inputs!$B$22+((C792=TRUE)*(F792-Calc!F28)))/100)/2</f>
        <v/>
      </c>
      <c r="M775">
        <f>L775*(1+(Inputs!$B$9+0+B801)/100)</f>
        <v/>
      </c>
      <c r="N775">
        <f>L775*(1-MIN((Inputs!$B$8+((C783=TRUE)*(F783-Calc!F19))+B796),100)/100)+M775*(MIN((Inputs!$B$8+((C783=TRUE)*(F783-Calc!F19))+B796),100)/100)</f>
        <v/>
      </c>
      <c r="O775">
        <f>IF(C775,H775*N775*IF(AND(Inputs!$B$4&lt;&gt;"pvp",Inputs!$B$35&gt;0),((Skills!G11*((R775-1)*IF(Skills!H11&gt;0,Skills!I11/Skills!H11,1)+IF(Skills!H11&gt;0,MIN(Skills!I11,MAX(0,Inputs!$B$35-((R775-1)*IF(Inputs!$B$4="pvp",15,MAX(0.1,Skills!D11-IF(Skills!E11=TRUE,Inputs!$B$31,0))))))/Skills!H11,1)))/Inputs!$B$35),G775*Q775)*IF(Inputs!$B$4="pvp",1,(1-Summary!$B$55)*(1)+Summary!$B$55*(MIN(Skills!R11,Inputs!$B$37))),0)</f>
        <v/>
      </c>
      <c r="P775">
        <f>IF(B804=0,0,O775/B804)</f>
        <v/>
      </c>
      <c r="Q775">
        <f>IFERROR(1/IF(Inputs!$B$4="pvp",15,MAX(0.1,Skills!D11-IF(Skills!E11=TRUE,Inputs!$B$31,0))),0)</f>
        <v/>
      </c>
      <c r="R775">
        <f>IF(AND(Inputs!$B$4&lt;&gt;"pvp",Inputs!$B$35&gt;0),(INT(Inputs!$B$35/IF(Inputs!$B$4="pvp",15,MAX(0.1,Skills!D11-IF(Skills!E11=TRUE,Inputs!$B$31,0))))+1),0)</f>
        <v/>
      </c>
      <c r="S775">
        <f>IFERROR(O775/N775,0)</f>
        <v/>
      </c>
    </row>
    <row r="776">
      <c r="A776">
        <f>Skills!A12</f>
        <v/>
      </c>
      <c r="B776">
        <f>Skills!B12</f>
        <v/>
      </c>
      <c r="C776">
        <f>Inputs!$B$3&gt;=60</f>
        <v/>
      </c>
      <c r="D776">
        <f>IF(Skills!C12=1,60+Inputs!$B$24+Inputs!$B$28,IF(Skills!C12=2,90+(Inputs!$B$25+1)+Inputs!$B$28,IF(Skills!C12=3,120+Inputs!$B$26+Inputs!$B$28,MAX(0,(Inputs!$B$3-100)*3)+Inputs!$B$27+Inputs!$B$28)))</f>
        <v/>
      </c>
      <c r="E776">
        <f>INDEX(FactorTable!$B$2:$Y$301, MATCH(ROUND(MIN(300,MAX(1,D776)),0), FactorTable!$A$2:$A$301,0), Skills!M12+1)</f>
        <v/>
      </c>
      <c r="F776">
        <f>IF(Skills!N12=TRUE,(Skills!L12/10)*(E776/1000),Skills!L12/10)+Skills!O12</f>
        <v/>
      </c>
      <c r="G776">
        <f>Skills!G12*IF(Skills!H12&gt;0,Skills!I12/Skills!H12,1)</f>
        <v/>
      </c>
      <c r="H776">
        <f>1-(1-Skills!J12/100)^Skills!K12</f>
        <v/>
      </c>
      <c r="I776" t="inlineStr">
        <is>
          <t>1</t>
        </is>
      </c>
      <c r="J776" t="inlineStr"/>
      <c r="K776" t="inlineStr"/>
      <c r="L776" t="inlineStr"/>
      <c r="M776" t="inlineStr"/>
      <c r="N776" t="inlineStr"/>
      <c r="O776" t="n">
        <v>0</v>
      </c>
      <c r="P776">
        <f>IF(B804=0,0,O776/B804)</f>
        <v/>
      </c>
      <c r="Q776" t="n">
        <v>0</v>
      </c>
      <c r="R776" t="n">
        <v>0</v>
      </c>
      <c r="S776">
        <f>IFERROR(O776/N776,0)</f>
        <v/>
      </c>
    </row>
    <row r="777">
      <c r="A777">
        <f>Skills!A13</f>
        <v/>
      </c>
      <c r="B777">
        <f>Skills!B13</f>
        <v/>
      </c>
      <c r="C777">
        <f>Inputs!$B$3&gt;=74</f>
        <v/>
      </c>
      <c r="D777">
        <f>IF(Skills!C13=1,60+Inputs!$B$24+Inputs!$B$28,IF(Skills!C13=2,90+(Inputs!$B$25+1)+Inputs!$B$28,IF(Skills!C13=3,120+Inputs!$B$26+Inputs!$B$28,MAX(0,(Inputs!$B$3-100)*3)+Inputs!$B$27+Inputs!$B$28)))</f>
        <v/>
      </c>
      <c r="E777">
        <f>INDEX(FactorTable!$B$2:$Y$301, MATCH(ROUND(MIN(300,MAX(1,D777)),0), FactorTable!$A$2:$A$301,0), Skills!M13+1)</f>
        <v/>
      </c>
      <c r="F777">
        <f>IF(Skills!N13=TRUE,(Skills!L13/10)*(E777/1000),Skills!L13/10)+Skills!O13</f>
        <v/>
      </c>
      <c r="G777">
        <f>Skills!G13*IF(Skills!H13&gt;0,Skills!I13/Skills!H13,1)</f>
        <v/>
      </c>
      <c r="H777">
        <f>1-(1-Skills!J13/100)^Skills!K13</f>
        <v/>
      </c>
      <c r="I777" t="inlineStr">
        <is>
          <t>1</t>
        </is>
      </c>
      <c r="J777" t="inlineStr"/>
      <c r="K777" t="inlineStr"/>
      <c r="L777" t="inlineStr"/>
      <c r="M777" t="inlineStr"/>
      <c r="N777" t="inlineStr"/>
      <c r="O777" t="n">
        <v>0</v>
      </c>
      <c r="P777">
        <f>IF(B804=0,0,O777/B804)</f>
        <v/>
      </c>
      <c r="Q777" t="n">
        <v>0</v>
      </c>
      <c r="R777" t="n">
        <v>0</v>
      </c>
      <c r="S777">
        <f>IFERROR(O777/N777,0)</f>
        <v/>
      </c>
    </row>
    <row r="778">
      <c r="A778">
        <f>Skills!A14</f>
        <v/>
      </c>
      <c r="B778">
        <f>Skills!B14</f>
        <v/>
      </c>
      <c r="C778">
        <f>Inputs!$B$3&gt;=74</f>
        <v/>
      </c>
      <c r="D778">
        <f>IF(Skills!C14=1,60+Inputs!$B$24+Inputs!$B$28,IF(Skills!C14=2,90+(Inputs!$B$25+1)+Inputs!$B$28,IF(Skills!C14=3,120+Inputs!$B$26+Inputs!$B$28,MAX(0,(Inputs!$B$3-100)*3)+Inputs!$B$27+Inputs!$B$28)))</f>
        <v/>
      </c>
      <c r="E778">
        <f>INDEX(FactorTable!$B$2:$Y$301, MATCH(ROUND(MIN(300,MAX(1,D778)),0), FactorTable!$A$2:$A$301,0), Skills!M14+1)</f>
        <v/>
      </c>
      <c r="F778">
        <f>IF(Skills!N14=TRUE,(Skills!L14/10)*(E778/1000),Skills!L14/10)+Skills!O14</f>
        <v/>
      </c>
      <c r="G778">
        <f>Skills!G14*IF(Skills!H14&gt;0,Skills!I14/Skills!H14,1)</f>
        <v/>
      </c>
      <c r="H778">
        <f>1-(1-Skills!J14/100)^Skills!K14</f>
        <v/>
      </c>
      <c r="I778" t="inlineStr">
        <is>
          <t>1</t>
        </is>
      </c>
      <c r="J778" t="inlineStr"/>
      <c r="K778" t="inlineStr"/>
      <c r="L778" t="inlineStr"/>
      <c r="M778" t="inlineStr"/>
      <c r="N778" t="inlineStr"/>
      <c r="O778" t="n">
        <v>0</v>
      </c>
      <c r="P778">
        <f>IF(B804=0,0,O778/B804)</f>
        <v/>
      </c>
      <c r="Q778" t="n">
        <v>0</v>
      </c>
      <c r="R778" t="n">
        <v>0</v>
      </c>
      <c r="S778">
        <f>IFERROR(O778/N778,0)</f>
        <v/>
      </c>
    </row>
    <row r="779">
      <c r="A779">
        <f>Skills!A15</f>
        <v/>
      </c>
      <c r="B779">
        <f>Skills!B15</f>
        <v/>
      </c>
      <c r="C779">
        <f>Inputs!$B$3&gt;=117</f>
        <v/>
      </c>
      <c r="D779">
        <f>IF(Skills!C15=1,60+Inputs!$B$24+Inputs!$B$28,IF(Skills!C15=2,90+(Inputs!$B$25+1)+Inputs!$B$28,IF(Skills!C15=3,120+Inputs!$B$26+Inputs!$B$28,MAX(0,(Inputs!$B$3-100)*3)+Inputs!$B$27+Inputs!$B$28)))</f>
        <v/>
      </c>
      <c r="E779">
        <f>INDEX(FactorTable!$B$2:$Y$301, MATCH(ROUND(MIN(300,MAX(1,D779)),0), FactorTable!$A$2:$A$301,0), Skills!M15+1)</f>
        <v/>
      </c>
      <c r="F779">
        <f>IF(Skills!N15=TRUE,(Skills!L15/10)*(E779/1000),Skills!L15/10)+Skills!O15</f>
        <v/>
      </c>
      <c r="G779">
        <f>Skills!G15*IF(Skills!H15&gt;0,Skills!I15/Skills!H15,1)</f>
        <v/>
      </c>
      <c r="H779">
        <f>1-(1-Skills!J15/100)^Skills!K15</f>
        <v/>
      </c>
      <c r="I779" t="inlineStr">
        <is>
          <t>1</t>
        </is>
      </c>
      <c r="J779" t="inlineStr"/>
      <c r="K779" t="inlineStr"/>
      <c r="L779" t="inlineStr"/>
      <c r="M779" t="inlineStr"/>
      <c r="N779" t="inlineStr"/>
      <c r="O779" t="n">
        <v>0</v>
      </c>
      <c r="P779">
        <f>IF(B804=0,0,O779/B804)</f>
        <v/>
      </c>
      <c r="Q779">
        <f>IFERROR(1/IF(Inputs!$B$4="pvp",15,MAX(0.1,Skills!D15-IF(Skills!E15=TRUE,Inputs!$B$31,0))),0)</f>
        <v/>
      </c>
      <c r="R779">
        <f>IF(AND(Inputs!$B$4&lt;&gt;"pvp",Inputs!$B$35&gt;0),(INT(Inputs!$B$35/IF(Inputs!$B$4="pvp",15,MAX(0.1,Skills!D15-IF(Skills!E15=TRUE,Inputs!$B$31,0))))+1),0)</f>
        <v/>
      </c>
      <c r="S779">
        <f>IFERROR(O779/N779,0)</f>
        <v/>
      </c>
    </row>
    <row r="780">
      <c r="A780">
        <f>Skills!A16</f>
        <v/>
      </c>
      <c r="B780">
        <f>Skills!B16</f>
        <v/>
      </c>
      <c r="C780">
        <f>Inputs!$B$3&gt;=115</f>
        <v/>
      </c>
      <c r="D780">
        <f>IF(Skills!C16=1,60+Inputs!$B$24+Inputs!$B$28,IF(Skills!C16=2,90+(Inputs!$B$25+1)+Inputs!$B$28,IF(Skills!C16=3,120+Inputs!$B$26+Inputs!$B$28,MAX(0,(Inputs!$B$3-100)*3)+Inputs!$B$27+Inputs!$B$28)))</f>
        <v/>
      </c>
      <c r="E780">
        <f>INDEX(FactorTable!$B$2:$Y$301, MATCH(ROUND(MIN(300,MAX(1,D780)),0), FactorTable!$A$2:$A$301,0), Skills!M16+1)</f>
        <v/>
      </c>
      <c r="F780">
        <f>IF(Skills!N16=TRUE,(Skills!L16/10)*(E780/1000),Skills!L16/10)+Skills!O16</f>
        <v/>
      </c>
      <c r="G780">
        <f>Skills!G16*IF(Skills!H16&gt;0,Skills!I16/Skills!H16,1)</f>
        <v/>
      </c>
      <c r="H780">
        <f>1-(1-Skills!J16/100)^Skills!K16</f>
        <v/>
      </c>
      <c r="I780" t="inlineStr">
        <is>
          <t>1</t>
        </is>
      </c>
      <c r="J780" t="inlineStr"/>
      <c r="K780" t="inlineStr"/>
      <c r="L780" t="inlineStr"/>
      <c r="M780" t="inlineStr"/>
      <c r="N780" t="inlineStr"/>
      <c r="O780" t="n">
        <v>0</v>
      </c>
      <c r="P780">
        <f>IF(B804=0,0,O780/B804)</f>
        <v/>
      </c>
      <c r="Q780">
        <f>IFERROR(1/IF(Inputs!$B$4="pvp",15,MAX(0.1,Skills!D16-IF(Skills!E16=TRUE,Inputs!$B$31,0))),0)</f>
        <v/>
      </c>
      <c r="R780">
        <f>IF(AND(Inputs!$B$4&lt;&gt;"pvp",Inputs!$B$35&gt;0),(INT(Inputs!$B$35/IF(Inputs!$B$4="pvp",15,MAX(0.1,Skills!D16-IF(Skills!E16=TRUE,Inputs!$B$31,0))))+1),0)</f>
        <v/>
      </c>
      <c r="S780">
        <f>IFERROR(O780/N780,0)</f>
        <v/>
      </c>
    </row>
    <row r="781">
      <c r="A781">
        <f>Skills!A17</f>
        <v/>
      </c>
      <c r="B781">
        <f>Skills!B17</f>
        <v/>
      </c>
      <c r="C781">
        <f>Inputs!$B$3&gt;=72</f>
        <v/>
      </c>
      <c r="D781">
        <f>IF(Skills!C17=1,60+Inputs!$B$24+Inputs!$B$28,IF(Skills!C17=2,90+(Inputs!$B$25+1)+Inputs!$B$28,IF(Skills!C17=3,120+Inputs!$B$26+Inputs!$B$28,MAX(0,(Inputs!$B$3-100)*3)+Inputs!$B$27+Inputs!$B$28)))</f>
        <v/>
      </c>
      <c r="E781">
        <f>INDEX(FactorTable!$B$2:$Y$301, MATCH(ROUND(MIN(300,MAX(1,D781)),0), FactorTable!$A$2:$A$301,0), Skills!M17+1)</f>
        <v/>
      </c>
      <c r="F781">
        <f>IF(Skills!N17=TRUE,(Skills!L17/10)*(E781/1000),Skills!L17/10)+Skills!O17</f>
        <v/>
      </c>
      <c r="G781">
        <f>Skills!G17*IF(Skills!H17&gt;0,Skills!I17/Skills!H17,1)</f>
        <v/>
      </c>
      <c r="H781">
        <f>1-(1-Skills!J17/100)^Skills!K17</f>
        <v/>
      </c>
      <c r="I781" t="inlineStr">
        <is>
          <t>1</t>
        </is>
      </c>
      <c r="J781" t="inlineStr"/>
      <c r="K781" t="inlineStr"/>
      <c r="L781" t="inlineStr"/>
      <c r="M781" t="inlineStr"/>
      <c r="N781" t="inlineStr"/>
      <c r="O781" t="n">
        <v>0</v>
      </c>
      <c r="P781">
        <f>IF(B804=0,0,O781/B804)</f>
        <v/>
      </c>
      <c r="Q781" t="n">
        <v>0</v>
      </c>
      <c r="R781" t="n">
        <v>0</v>
      </c>
      <c r="S781">
        <f>IFERROR(O781/N781,0)</f>
        <v/>
      </c>
    </row>
    <row r="782">
      <c r="A782">
        <f>Skills!A18</f>
        <v/>
      </c>
      <c r="B782">
        <f>Skills!B18</f>
        <v/>
      </c>
      <c r="C782">
        <f>TRUE</f>
        <v/>
      </c>
      <c r="D782">
        <f>IF(Skills!C18=1,60+Inputs!$B$24+Inputs!$B$28,IF(Skills!C18=2,90+(Inputs!$B$25+1)+Inputs!$B$28,IF(Skills!C18=3,120+Inputs!$B$26+Inputs!$B$28,MAX(0,(Inputs!$B$3-100)*3)+Inputs!$B$27+Inputs!$B$28)))</f>
        <v/>
      </c>
      <c r="E782">
        <f>INDEX(FactorTable!$B$2:$Y$301, MATCH(ROUND(MIN(300,MAX(1,D782)),0), FactorTable!$A$2:$A$301,0), Skills!M18+1)</f>
        <v/>
      </c>
      <c r="F782">
        <f>IF(Skills!N18=TRUE,(Skills!L18/10)*(E782/1000),Skills!L18/10)+Skills!O18</f>
        <v/>
      </c>
      <c r="G782">
        <f>Skills!G18*IF(Skills!H18&gt;0,Skills!I18/Skills!H18,1)</f>
        <v/>
      </c>
      <c r="H782">
        <f>1-(1-Skills!J18/100)^Skills!K18</f>
        <v/>
      </c>
      <c r="I782" t="inlineStr">
        <is>
          <t>1</t>
        </is>
      </c>
      <c r="J782" t="inlineStr"/>
      <c r="K782" t="inlineStr"/>
      <c r="L782" t="inlineStr"/>
      <c r="M782" t="inlineStr"/>
      <c r="N782" t="inlineStr"/>
      <c r="O782" t="n">
        <v>0</v>
      </c>
      <c r="P782">
        <f>IF(B804=0,0,O782/B804)</f>
        <v/>
      </c>
      <c r="Q782">
        <f>IFERROR(1/IF(Inputs!$B$4="pvp",15,MAX(0.1,Skills!D18-IF(Skills!E18=TRUE,Inputs!$B$31,0))),0)</f>
        <v/>
      </c>
      <c r="R782">
        <f>IF(AND(Inputs!$B$4&lt;&gt;"pvp",Inputs!$B$35&gt;0),(INT(Inputs!$B$35/IF(Inputs!$B$4="pvp",15,MAX(0.1,Skills!D18-IF(Skills!E18=TRUE,Inputs!$B$31,0))))+1),0)</f>
        <v/>
      </c>
      <c r="S782">
        <f>IFERROR(O782/N782,0)</f>
        <v/>
      </c>
    </row>
    <row r="783">
      <c r="A783">
        <f>Skills!A19</f>
        <v/>
      </c>
      <c r="B783">
        <f>Skills!B19</f>
        <v/>
      </c>
      <c r="C783">
        <f>Inputs!$B$3&gt;=15</f>
        <v/>
      </c>
      <c r="D783">
        <f>IF(Skills!C19=1,60+Inputs!$B$24+Inputs!$B$28,IF(Skills!C19=2,90+(Inputs!$B$25+1)+Inputs!$B$28,IF(Skills!C19=3,120+Inputs!$B$26+Inputs!$B$28,MAX(0,(Inputs!$B$3-100)*3)+Inputs!$B$27+Inputs!$B$28)))</f>
        <v/>
      </c>
      <c r="E783">
        <f>INDEX(FactorTable!$B$2:$Y$301, MATCH(ROUND(MIN(300,MAX(1,D783)),0), FactorTable!$A$2:$A$301,0), Skills!M19+1)</f>
        <v/>
      </c>
      <c r="F783">
        <f>IF(Skills!N19=TRUE,(Skills!L19/10)*(E783/1000),Skills!L19/10)+Skills!O19</f>
        <v/>
      </c>
      <c r="G783">
        <f>Skills!G19*IF(Skills!H19&gt;0,Skills!I19/Skills!H19,1)</f>
        <v/>
      </c>
      <c r="H783">
        <f>1-(1-Skills!J19/100)^Skills!K19</f>
        <v/>
      </c>
      <c r="I783" t="inlineStr">
        <is>
          <t>1</t>
        </is>
      </c>
      <c r="J783" t="inlineStr"/>
      <c r="K783" t="inlineStr"/>
      <c r="L783" t="inlineStr"/>
      <c r="M783" t="inlineStr"/>
      <c r="N783" t="inlineStr"/>
      <c r="O783" t="n">
        <v>0</v>
      </c>
      <c r="P783">
        <f>IF(B804=0,0,O783/B804)</f>
        <v/>
      </c>
      <c r="Q783" t="n">
        <v>0</v>
      </c>
      <c r="R783" t="n">
        <v>0</v>
      </c>
      <c r="S783">
        <f>IFERROR(O783/N783,0)</f>
        <v/>
      </c>
    </row>
    <row r="784">
      <c r="A784">
        <f>Skills!A20</f>
        <v/>
      </c>
      <c r="B784">
        <f>Skills!B20</f>
        <v/>
      </c>
      <c r="C784">
        <f>Inputs!$B$3&gt;=10</f>
        <v/>
      </c>
      <c r="D784">
        <f>IF(Skills!C20=1,60+Inputs!$B$24+Inputs!$B$28,IF(Skills!C20=2,90+(Inputs!$B$25+1)+Inputs!$B$28,IF(Skills!C20=3,120+Inputs!$B$26+Inputs!$B$28,MAX(0,(Inputs!$B$3-100)*3)+Inputs!$B$27+Inputs!$B$28)))</f>
        <v/>
      </c>
      <c r="E784">
        <f>INDEX(FactorTable!$B$2:$Y$301, MATCH(ROUND(MIN(300,MAX(1,D784)),0), FactorTable!$A$2:$A$301,0), Skills!M20+1)</f>
        <v/>
      </c>
      <c r="F784">
        <f>IF(Skills!N20=TRUE,(Skills!L20/10)*(E784/1000),Skills!L20/10)+Skills!O20</f>
        <v/>
      </c>
      <c r="G784">
        <f>Skills!G20*IF(Skills!H20&gt;0,Skills!I20/Skills!H20,1)</f>
        <v/>
      </c>
      <c r="H784">
        <f>1-(1-Skills!J20/100)^Skills!K20</f>
        <v/>
      </c>
      <c r="I784" t="inlineStr">
        <is>
          <t>1</t>
        </is>
      </c>
      <c r="J784" t="inlineStr"/>
      <c r="K784" t="inlineStr"/>
      <c r="L784" t="inlineStr"/>
      <c r="M784" t="inlineStr"/>
      <c r="N784" t="inlineStr"/>
      <c r="O784" t="n">
        <v>0</v>
      </c>
      <c r="P784">
        <f>IF(B804=0,0,O784/B804)</f>
        <v/>
      </c>
      <c r="Q784" t="n">
        <v>0</v>
      </c>
      <c r="R784" t="n">
        <v>0</v>
      </c>
      <c r="S784">
        <f>IFERROR(O784/N784,0)</f>
        <v/>
      </c>
    </row>
    <row r="785">
      <c r="A785">
        <f>Skills!A21</f>
        <v/>
      </c>
      <c r="B785">
        <f>Skills!B21</f>
        <v/>
      </c>
      <c r="C785">
        <f>Inputs!$B$3&gt;=33</f>
        <v/>
      </c>
      <c r="D785">
        <f>IF(Skills!C21=1,60+Inputs!$B$24+Inputs!$B$28,IF(Skills!C21=2,90+(Inputs!$B$25+1)+Inputs!$B$28,IF(Skills!C21=3,120+Inputs!$B$26+Inputs!$B$28,MAX(0,(Inputs!$B$3-100)*3)+Inputs!$B$27+Inputs!$B$28)))</f>
        <v/>
      </c>
      <c r="E785">
        <f>INDEX(FactorTable!$B$2:$Y$301, MATCH(ROUND(MIN(300,MAX(1,D785)),0), FactorTable!$A$2:$A$301,0), Skills!M21+1)</f>
        <v/>
      </c>
      <c r="F785">
        <f>IF(Skills!N21=TRUE,(Skills!L21/10)*(E785/1000),Skills!L21/10)+Skills!O21</f>
        <v/>
      </c>
      <c r="G785">
        <f>Skills!G21*IF(Skills!H21&gt;0,Skills!I21/Skills!H21,1)</f>
        <v/>
      </c>
      <c r="H785">
        <f>1-(1-Skills!J21/100)^Skills!K21</f>
        <v/>
      </c>
      <c r="I785" t="inlineStr">
        <is>
          <t>1</t>
        </is>
      </c>
      <c r="J785" t="inlineStr"/>
      <c r="K785" t="inlineStr"/>
      <c r="L785" t="inlineStr"/>
      <c r="M785" t="inlineStr"/>
      <c r="N785" t="inlineStr"/>
      <c r="O785" t="n">
        <v>0</v>
      </c>
      <c r="P785">
        <f>IF(B804=0,0,O785/B804)</f>
        <v/>
      </c>
      <c r="Q785" t="n">
        <v>0</v>
      </c>
      <c r="R785" t="n">
        <v>0</v>
      </c>
      <c r="S785">
        <f>IFERROR(O785/N785,0)</f>
        <v/>
      </c>
    </row>
    <row r="786">
      <c r="A786">
        <f>Skills!A22</f>
        <v/>
      </c>
      <c r="B786">
        <f>Skills!B22</f>
        <v/>
      </c>
      <c r="C786">
        <f>Inputs!$B$3&gt;=38</f>
        <v/>
      </c>
      <c r="D786">
        <f>IF(Skills!C22=1,60+Inputs!$B$24+Inputs!$B$28,IF(Skills!C22=2,90+(Inputs!$B$25+1)+Inputs!$B$28,IF(Skills!C22=3,120+Inputs!$B$26+Inputs!$B$28,MAX(0,(Inputs!$B$3-100)*3)+Inputs!$B$27+Inputs!$B$28)))</f>
        <v/>
      </c>
      <c r="E786">
        <f>INDEX(FactorTable!$B$2:$Y$301, MATCH(ROUND(MIN(300,MAX(1,D786)),0), FactorTable!$A$2:$A$301,0), Skills!M22+1)</f>
        <v/>
      </c>
      <c r="F786">
        <f>IF(Skills!N22=TRUE,(Skills!L22/10)*(E786/1000),Skills!L22/10)+Skills!O22</f>
        <v/>
      </c>
      <c r="G786">
        <f>Skills!G22*IF(Skills!H22&gt;0,Skills!I22/Skills!H22,1)</f>
        <v/>
      </c>
      <c r="H786">
        <f>1-(1-Skills!J22/100)^Skills!K22</f>
        <v/>
      </c>
      <c r="I786" t="inlineStr">
        <is>
          <t>1</t>
        </is>
      </c>
      <c r="J786" t="inlineStr"/>
      <c r="K786" t="inlineStr"/>
      <c r="L786" t="inlineStr"/>
      <c r="M786" t="inlineStr"/>
      <c r="N786" t="inlineStr"/>
      <c r="O786" t="n">
        <v>0</v>
      </c>
      <c r="P786">
        <f>IF(B804=0,0,O786/B804)</f>
        <v/>
      </c>
      <c r="Q786" t="n">
        <v>0</v>
      </c>
      <c r="R786" t="n">
        <v>0</v>
      </c>
      <c r="S786">
        <f>IFERROR(O786/N786,0)</f>
        <v/>
      </c>
    </row>
    <row r="787">
      <c r="A787">
        <f>Skills!A23</f>
        <v/>
      </c>
      <c r="B787">
        <f>Skills!B23</f>
        <v/>
      </c>
      <c r="C787">
        <f>Inputs!$B$3&gt;=43</f>
        <v/>
      </c>
      <c r="D787">
        <f>IF(Skills!C23=1,60+Inputs!$B$24+Inputs!$B$28,IF(Skills!C23=2,90+(Inputs!$B$25+1)+Inputs!$B$28,IF(Skills!C23=3,120+Inputs!$B$26+Inputs!$B$28,MAX(0,(Inputs!$B$3-100)*3)+Inputs!$B$27+Inputs!$B$28)))</f>
        <v/>
      </c>
      <c r="E787">
        <f>INDEX(FactorTable!$B$2:$Y$301, MATCH(ROUND(MIN(300,MAX(1,D787)),0), FactorTable!$A$2:$A$301,0), Skills!M23+1)</f>
        <v/>
      </c>
      <c r="F787">
        <f>IF(Skills!N23=TRUE,(Skills!L23/10)*(E787/1000),Skills!L23/10)+Skills!O23</f>
        <v/>
      </c>
      <c r="G787">
        <f>Skills!G23*IF(Skills!H23&gt;0,Skills!I23/Skills!H23,1)</f>
        <v/>
      </c>
      <c r="H787">
        <f>1-(1-Skills!J23/100)^Skills!K23</f>
        <v/>
      </c>
      <c r="I787" t="inlineStr">
        <is>
          <t>1</t>
        </is>
      </c>
      <c r="J787" t="inlineStr"/>
      <c r="K787" t="inlineStr"/>
      <c r="L787" t="inlineStr"/>
      <c r="M787" t="inlineStr"/>
      <c r="N787" t="inlineStr"/>
      <c r="O787" t="n">
        <v>0</v>
      </c>
      <c r="P787">
        <f>IF(B804=0,0,O787/B804)</f>
        <v/>
      </c>
      <c r="Q787" t="n">
        <v>0</v>
      </c>
      <c r="R787" t="n">
        <v>0</v>
      </c>
      <c r="S787">
        <f>IFERROR(O787/N787,0)</f>
        <v/>
      </c>
    </row>
    <row r="788">
      <c r="A788">
        <f>Skills!A24</f>
        <v/>
      </c>
      <c r="B788">
        <f>Skills!B24</f>
        <v/>
      </c>
      <c r="C788">
        <f>Inputs!$B$3&gt;=75</f>
        <v/>
      </c>
      <c r="D788">
        <f>IF(Skills!C24=1,60+Inputs!$B$24+Inputs!$B$28,IF(Skills!C24=2,90+(Inputs!$B$25+1)+Inputs!$B$28,IF(Skills!C24=3,120+Inputs!$B$26+Inputs!$B$28,MAX(0,(Inputs!$B$3-100)*3)+Inputs!$B$27+Inputs!$B$28)))</f>
        <v/>
      </c>
      <c r="E788">
        <f>INDEX(FactorTable!$B$2:$Y$301, MATCH(ROUND(MIN(300,MAX(1,D788)),0), FactorTable!$A$2:$A$301,0), Skills!M24+1)</f>
        <v/>
      </c>
      <c r="F788">
        <f>IF(Skills!N24=TRUE,(Skills!L24/10)*(E788/1000),Skills!L24/10)+Skills!O24</f>
        <v/>
      </c>
      <c r="G788">
        <f>Skills!G24*IF(Skills!H24&gt;0,Skills!I24/Skills!H24,1)</f>
        <v/>
      </c>
      <c r="H788">
        <f>1-(1-Skills!J24/100)^Skills!K24</f>
        <v/>
      </c>
      <c r="I788" t="inlineStr">
        <is>
          <t>1</t>
        </is>
      </c>
      <c r="J788" t="inlineStr"/>
      <c r="K788" t="inlineStr"/>
      <c r="L788" t="inlineStr"/>
      <c r="M788" t="inlineStr"/>
      <c r="N788" t="inlineStr"/>
      <c r="O788" t="n">
        <v>0</v>
      </c>
      <c r="P788">
        <f>IF(B804=0,0,O788/B804)</f>
        <v/>
      </c>
      <c r="Q788" t="n">
        <v>0</v>
      </c>
      <c r="R788" t="n">
        <v>0</v>
      </c>
      <c r="S788">
        <f>IFERROR(O788/N788,0)</f>
        <v/>
      </c>
    </row>
    <row r="789">
      <c r="A789">
        <f>Skills!A25</f>
        <v/>
      </c>
      <c r="B789">
        <f>Skills!B25</f>
        <v/>
      </c>
      <c r="C789">
        <f>Inputs!$B$3&gt;=125</f>
        <v/>
      </c>
      <c r="D789">
        <f>IF(Skills!C25=1,60+Inputs!$B$24+Inputs!$B$28,IF(Skills!C25=2,90+(Inputs!$B$25+1)+Inputs!$B$28,IF(Skills!C25=3,120+Inputs!$B$26+Inputs!$B$28,MAX(0,(Inputs!$B$3-100)*3)+Inputs!$B$27+Inputs!$B$28)))</f>
        <v/>
      </c>
      <c r="E789">
        <f>INDEX(FactorTable!$B$2:$Y$301, MATCH(ROUND(MIN(300,MAX(1,D789)),0), FactorTable!$A$2:$A$301,0), Skills!M25+1)</f>
        <v/>
      </c>
      <c r="F789">
        <f>IF(Skills!N25=TRUE,(Skills!L25/10)*(E789/1000),Skills!L25/10)+Skills!O25</f>
        <v/>
      </c>
      <c r="G789">
        <f>Skills!G25*IF(Skills!H25&gt;0,Skills!I25/Skills!H25,1)</f>
        <v/>
      </c>
      <c r="H789">
        <f>1-(1-Skills!J25/100)^Skills!K25</f>
        <v/>
      </c>
      <c r="I789" t="inlineStr">
        <is>
          <t>1</t>
        </is>
      </c>
      <c r="J789" t="inlineStr"/>
      <c r="K789" t="inlineStr"/>
      <c r="L789" t="inlineStr"/>
      <c r="M789" t="inlineStr"/>
      <c r="N789" t="inlineStr"/>
      <c r="O789" t="n">
        <v>0</v>
      </c>
      <c r="P789">
        <f>IF(B804=0,0,O789/B804)</f>
        <v/>
      </c>
      <c r="Q789" t="n">
        <v>0</v>
      </c>
      <c r="R789" t="n">
        <v>0</v>
      </c>
      <c r="S789">
        <f>IFERROR(O789/N789,0)</f>
        <v/>
      </c>
    </row>
    <row r="790">
      <c r="A790">
        <f>Skills!A26</f>
        <v/>
      </c>
      <c r="B790">
        <f>Skills!B26</f>
        <v/>
      </c>
      <c r="C790">
        <f>Inputs!$B$3&gt;=125</f>
        <v/>
      </c>
      <c r="D790">
        <f>IF(Skills!C26=1,60+Inputs!$B$24+Inputs!$B$28,IF(Skills!C26=2,90+(Inputs!$B$25+1)+Inputs!$B$28,IF(Skills!C26=3,120+Inputs!$B$26+Inputs!$B$28,MAX(0,(Inputs!$B$3-100)*3)+Inputs!$B$27+Inputs!$B$28)))</f>
        <v/>
      </c>
      <c r="E790">
        <f>INDEX(FactorTable!$B$2:$Y$301, MATCH(ROUND(MIN(300,MAX(1,D790)),0), FactorTable!$A$2:$A$301,0), Skills!M26+1)</f>
        <v/>
      </c>
      <c r="F790">
        <f>IF(Skills!N26=TRUE,(Skills!L26/10)*(E790/1000),Skills!L26/10)+Skills!O26</f>
        <v/>
      </c>
      <c r="G790">
        <f>Skills!G26*IF(Skills!H26&gt;0,Skills!I26/Skills!H26,1)</f>
        <v/>
      </c>
      <c r="H790">
        <f>1-(1-Skills!J26/100)^Skills!K26</f>
        <v/>
      </c>
      <c r="I790" t="inlineStr">
        <is>
          <t>1</t>
        </is>
      </c>
      <c r="J790" t="inlineStr"/>
      <c r="K790" t="inlineStr"/>
      <c r="L790" t="inlineStr"/>
      <c r="M790" t="inlineStr"/>
      <c r="N790" t="inlineStr"/>
      <c r="O790" t="n">
        <v>0</v>
      </c>
      <c r="P790">
        <f>IF(B804=0,0,O790/B804)</f>
        <v/>
      </c>
      <c r="Q790" t="n">
        <v>0</v>
      </c>
      <c r="R790" t="n">
        <v>0</v>
      </c>
      <c r="S790">
        <f>IFERROR(O790/N790,0)</f>
        <v/>
      </c>
    </row>
    <row r="791">
      <c r="A791">
        <f>Skills!A27</f>
        <v/>
      </c>
      <c r="B791">
        <f>Skills!B27</f>
        <v/>
      </c>
      <c r="C791">
        <f>Inputs!$B$3&gt;=120</f>
        <v/>
      </c>
      <c r="D791">
        <f>IF(Skills!C27=1,60+Inputs!$B$24+Inputs!$B$28,IF(Skills!C27=2,90+(Inputs!$B$25+1)+Inputs!$B$28,IF(Skills!C27=3,120+Inputs!$B$26+Inputs!$B$28,MAX(0,(Inputs!$B$3-100)*3)+Inputs!$B$27+Inputs!$B$28)))</f>
        <v/>
      </c>
      <c r="E791">
        <f>INDEX(FactorTable!$B$2:$Y$301, MATCH(ROUND(MIN(300,MAX(1,D791)),0), FactorTable!$A$2:$A$301,0), Skills!M27+1)</f>
        <v/>
      </c>
      <c r="F791">
        <f>IF(Skills!N27=TRUE,(Skills!L27/10)*(E791/1000),Skills!L27/10)+Skills!O27</f>
        <v/>
      </c>
      <c r="G791">
        <f>Skills!G27*IF(Skills!H27&gt;0,Skills!I27/Skills!H27,1)</f>
        <v/>
      </c>
      <c r="H791">
        <f>1-(1-Skills!J27/100)^Skills!K27</f>
        <v/>
      </c>
      <c r="I791" t="inlineStr">
        <is>
          <t>1</t>
        </is>
      </c>
      <c r="J791" t="inlineStr"/>
      <c r="K791" t="inlineStr"/>
      <c r="L791" t="inlineStr"/>
      <c r="M791" t="inlineStr"/>
      <c r="N791" t="inlineStr"/>
      <c r="O791" t="n">
        <v>0</v>
      </c>
      <c r="P791">
        <f>IF(B804=0,0,O791/B804)</f>
        <v/>
      </c>
      <c r="Q791" t="n">
        <v>0</v>
      </c>
      <c r="R791" t="n">
        <v>0</v>
      </c>
      <c r="S791">
        <f>IFERROR(O791/N791,0)</f>
        <v/>
      </c>
    </row>
    <row r="792">
      <c r="A792">
        <f>Skills!A28</f>
        <v/>
      </c>
      <c r="B792">
        <f>Skills!B28</f>
        <v/>
      </c>
      <c r="C792">
        <f>Inputs!$B$3&gt;=120</f>
        <v/>
      </c>
      <c r="D792">
        <f>IF(Skills!C28=1,60+Inputs!$B$24+Inputs!$B$28,IF(Skills!C28=2,90+(Inputs!$B$25+1)+Inputs!$B$28,IF(Skills!C28=3,120+Inputs!$B$26+Inputs!$B$28,MAX(0,(Inputs!$B$3-100)*3)+Inputs!$B$27+Inputs!$B$28)))</f>
        <v/>
      </c>
      <c r="E792">
        <f>INDEX(FactorTable!$B$2:$Y$301, MATCH(ROUND(MIN(300,MAX(1,D792)),0), FactorTable!$A$2:$A$301,0), Skills!M28+1)</f>
        <v/>
      </c>
      <c r="F792">
        <f>IF(Skills!N28=TRUE,(Skills!L28/10)*(E792/1000),Skills!L28/10)+Skills!O28</f>
        <v/>
      </c>
      <c r="G792">
        <f>Skills!G28*IF(Skills!H28&gt;0,Skills!I28/Skills!H28,1)</f>
        <v/>
      </c>
      <c r="H792">
        <f>1-(1-Skills!J28/100)^Skills!K28</f>
        <v/>
      </c>
      <c r="I792" t="inlineStr">
        <is>
          <t>1</t>
        </is>
      </c>
      <c r="J792" t="inlineStr"/>
      <c r="K792" t="inlineStr"/>
      <c r="L792" t="inlineStr"/>
      <c r="M792" t="inlineStr"/>
      <c r="N792" t="inlineStr"/>
      <c r="O792" t="n">
        <v>0</v>
      </c>
      <c r="P792">
        <f>IF(B804=0,0,O792/B804)</f>
        <v/>
      </c>
      <c r="Q792" t="n">
        <v>0</v>
      </c>
      <c r="R792" t="n">
        <v>0</v>
      </c>
      <c r="S792">
        <f>IFERROR(O792/N792,0)</f>
        <v/>
      </c>
    </row>
    <row r="793">
      <c r="A793">
        <f>Skills!A29</f>
        <v/>
      </c>
      <c r="B793">
        <f>Skills!B29</f>
        <v/>
      </c>
      <c r="C793">
        <f>Inputs!$B$3&gt;=45</f>
        <v/>
      </c>
      <c r="D793">
        <f>IF(Skills!C29=1,60+Inputs!$B$24+Inputs!$B$28,IF(Skills!C29=2,90+(Inputs!$B$25+1)+Inputs!$B$28,IF(Skills!C29=3,120+Inputs!$B$26+Inputs!$B$28,MAX(0,(Inputs!$B$3-100)*3)+Inputs!$B$27+Inputs!$B$28)))</f>
        <v/>
      </c>
      <c r="E793">
        <f>INDEX(FactorTable!$B$2:$Y$301, MATCH(ROUND(MIN(300,MAX(1,D793)),0), FactorTable!$A$2:$A$301,0), Skills!M29+1)</f>
        <v/>
      </c>
      <c r="F793">
        <f>IF(Skills!N29=TRUE,(Skills!L29/10)*(E793/1000),Skills!L29/10)+Skills!O29</f>
        <v/>
      </c>
      <c r="G793">
        <f>Skills!G29*IF(Skills!H29&gt;0,Skills!I29/Skills!H29,1)</f>
        <v/>
      </c>
      <c r="H793">
        <f>1-(1-Skills!J29/100)^Skills!K29</f>
        <v/>
      </c>
      <c r="I793" t="inlineStr">
        <is>
          <t>1</t>
        </is>
      </c>
      <c r="J793" t="inlineStr"/>
      <c r="K793" t="inlineStr"/>
      <c r="L793" t="inlineStr"/>
      <c r="M793" t="inlineStr"/>
      <c r="N793" t="inlineStr"/>
      <c r="O793" t="n">
        <v>0</v>
      </c>
      <c r="P793">
        <f>IF(B804=0,0,O793/B804)</f>
        <v/>
      </c>
      <c r="Q793" t="n">
        <v>0</v>
      </c>
      <c r="R793" t="n">
        <v>0</v>
      </c>
      <c r="S793">
        <f>IFERROR(O793/N793,0)</f>
        <v/>
      </c>
    </row>
    <row r="795">
      <c r="A795" t="inlineStr">
        <is>
          <t>Attack% Bucket Multiplier</t>
        </is>
      </c>
      <c r="B795">
        <f>(1+(((C777=TRUE)*F777)+((C778=TRUE)*IF(Inputs!$B$4="pvp",F778,(1-Summary!$B$55)*(F778)+Summary!$B$55*(0)))+((C779=TRUE)*F779*IF(AND(Inputs!$B$4&lt;&gt;"pvp",Inputs!$B$35&gt;0),(((S779-1)*(Skills!T15*(1+Inputs!$B$33/100))+MIN((Skills!T15*(1+Inputs!$B$33/100)),MAX(0,Inputs!$B$35-((S779-1)*Skills!D15))))/Inputs!$B$35),IF(Inputs!$B$4="pvp",MIN((Skills!T15*(1+Inputs!$B$33/100)),15)/15,(Skills!T15*(1+Inputs!$B$33/100))/Skills!D15)))+((C776=TRUE)*F776)+((C793=TRUE)*(F793-Calc!F29)))/100)</f>
        <v/>
      </c>
    </row>
    <row r="796">
      <c r="A796" t="inlineStr">
        <is>
          <t>Global Crit Rate Bonus %</t>
        </is>
      </c>
      <c r="B796">
        <f>(C780=TRUE)*20*IF(AND(Inputs!$B$4&lt;&gt;"pvp",Inputs!$B$35&gt;0),(((S780-1)*(Skills!T16*(1+Inputs!$B$33/100))+MIN((Skills!T16*(1+Inputs!$B$33/100)),MAX(0,Inputs!$B$35-((S780-1)*Skills!D16))))/Inputs!$B$35),IF(Inputs!$B$4="pvp",MIN((Skills!T16*(1+Inputs!$B$33/100)),15)/15,(Skills!T16*(1+Inputs!$B$33/100))/Skills!D16))</f>
        <v/>
      </c>
    </row>
    <row r="797">
      <c r="A797" t="inlineStr">
        <is>
          <t>Attack Speed Buff Bonus %</t>
        </is>
      </c>
      <c r="B797">
        <f>((C782=TRUE)*F782*IF(AND(Inputs!$B$4&lt;&gt;"pvp",Inputs!$B$35&gt;0),(((S782-1)*(Skills!T18*(1+Inputs!$B$33/100))+MIN((Skills!T18*(1+Inputs!$B$33/100)),MAX(0,Inputs!$B$35-((S782-1)*Skills!D18))))/Inputs!$B$35),IF(Inputs!$B$4="pvp",MIN((Skills!T18*(1+Inputs!$B$33/100)),15)/15,(Skills!T18*(1+Inputs!$B$33/100))/Skills!D18)))</f>
        <v/>
      </c>
    </row>
    <row r="798">
      <c r="A798" t="inlineStr">
        <is>
          <t>Actions Per Second</t>
        </is>
      </c>
      <c r="B798">
        <f>1+MIN(150,150*(1-(1-(Inputs!$B$10+((C784=TRUE)*(F784-Calc!F20))+((C785=TRUE)*(F785-Calc!F21)))/150)*(1-B797/150)))/100</f>
        <v/>
      </c>
    </row>
    <row r="799">
      <c r="A799" t="inlineStr">
        <is>
          <t>Skill + Buff Cast Rate</t>
        </is>
      </c>
      <c r="B799">
        <f>IF(AND(Inputs!$B$4&lt;&gt;"pvp",Inputs!$B$35&gt;0),SUMPRODUCT((Skills!E2:E29=TRUE)*(C766:C793=TRUE)*R766:R793*Skills!F2:F29)/Inputs!$B$35,SUMPRODUCT((Skills!E2:E29=TRUE)*(C766:C793=TRUE)*Q766:Q793*Skills!F2:F29))</f>
        <v/>
      </c>
    </row>
    <row r="800">
      <c r="A800" t="inlineStr">
        <is>
          <t>Empowered Piercing Arrow Casts Per Second</t>
        </is>
      </c>
      <c r="B800">
        <f>MAX(0,B798-B799)</f>
        <v/>
      </c>
    </row>
    <row r="801">
      <c r="A801" t="inlineStr">
        <is>
          <t>Global Critical Damage Bonus % (Sharp Eyes)</t>
        </is>
      </c>
      <c r="B801">
        <f>(C780=TRUE)*F780*IF(AND(Inputs!$B$4&lt;&gt;"pvp",Inputs!$B$35&gt;0),(((S780-1)*(Skills!T16*(1+Inputs!$B$33/100))+MIN((Skills!T16*(1+Inputs!$B$33/100)),MAX(0,Inputs!$B$35-((S780-1)*Skills!D16))))/Inputs!$B$35),IF(Inputs!$B$4="pvp",MIN((Skills!T16*(1+Inputs!$B$33/100)),15)/15,(Skills!T16*(1+Inputs!$B$33/100))/Skills!D16))</f>
        <v/>
      </c>
    </row>
    <row r="802">
      <c r="A802" t="inlineStr">
        <is>
          <t>Global Final Damage Bonus % (Mortal Blow + Last Man Standing conditional half)</t>
        </is>
      </c>
      <c r="B802">
        <f>(C781=TRUE)*F781+((C790=TRUE)*IF(Inputs!$B$4="pvp",F790,(1-Summary!$B$55)*(F790)+Summary!$B$55*(0)))</f>
        <v/>
      </c>
    </row>
    <row r="804">
      <c r="A804" s="5" t="inlineStr">
        <is>
          <t>TOTAL DPS</t>
        </is>
      </c>
      <c r="B804" s="5">
        <f>SUM(O766:O793)</f>
        <v/>
      </c>
    </row>
    <row r="807">
      <c r="A807" s="5" t="inlineStr">
        <is>
          <t>Stat: Skill Level Bonus — 3rd Job</t>
        </is>
      </c>
    </row>
    <row r="808">
      <c r="A808" s="8" t="inlineStr">
        <is>
          <t>Key</t>
        </is>
      </c>
      <c r="B808" s="8" t="inlineStr">
        <is>
          <t>Name</t>
        </is>
      </c>
      <c r="C808" s="8" t="inlineStr">
        <is>
          <t>Unlocked</t>
        </is>
      </c>
      <c r="D808" s="8" t="inlineStr">
        <is>
          <t>InputLevel</t>
        </is>
      </c>
      <c r="E808" s="8" t="inlineStr">
        <is>
          <t>Factor</t>
        </is>
      </c>
      <c r="F808" s="8" t="inlineStr">
        <is>
          <t>CoefficientPercent</t>
        </is>
      </c>
      <c r="G808" s="8" t="inlineStr">
        <is>
          <t>EffectiveHits</t>
        </is>
      </c>
      <c r="H808" s="8" t="inlineStr">
        <is>
          <t>ProcProbability</t>
        </is>
      </c>
      <c r="I808" s="8" t="inlineStr">
        <is>
          <t>MapleHeroMultiplier</t>
        </is>
      </c>
      <c r="J808" s="8" t="inlineStr">
        <is>
          <t>BaseDamage</t>
        </is>
      </c>
      <c r="K808" s="8" t="inlineStr">
        <is>
          <t>BaseHitDamage</t>
        </is>
      </c>
      <c r="L808" s="8" t="inlineStr">
        <is>
          <t>NonCritAvg</t>
        </is>
      </c>
      <c r="M808" s="8" t="inlineStr">
        <is>
          <t>CritAvg</t>
        </is>
      </c>
      <c r="N808" s="8" t="inlineStr">
        <is>
          <t>ExpectedDamage(perHit)</t>
        </is>
      </c>
      <c r="O808" s="8" t="inlineStr">
        <is>
          <t>DPS</t>
        </is>
      </c>
      <c r="P808" s="8" t="inlineStr">
        <is>
          <t>% of Total</t>
        </is>
      </c>
      <c r="Q808" s="8" t="inlineStr">
        <is>
          <t>InvCooldown</t>
        </is>
      </c>
      <c r="R808" s="8" t="inlineStr">
        <is>
          <t>CastsInFight</t>
        </is>
      </c>
      <c r="S808" s="8" t="inlineStr">
        <is>
          <t>HitRate(perSec)</t>
        </is>
      </c>
      <c r="U808" t="inlineStr">
        <is>
          <t>helpers</t>
        </is>
      </c>
    </row>
    <row r="809">
      <c r="A809">
        <f>Skills!A2</f>
        <v/>
      </c>
      <c r="B809">
        <f>Skills!B2</f>
        <v/>
      </c>
      <c r="C809">
        <f>Inputs!$B$3&gt;=100</f>
        <v/>
      </c>
      <c r="D809" t="inlineStr"/>
      <c r="E809" t="inlineStr"/>
      <c r="F809">
        <f>U811+Skills!O2</f>
        <v/>
      </c>
      <c r="G809">
        <f>Skills!G2*IF(Skills!H2&gt;0,Skills!I2/Skills!H2,1)</f>
        <v/>
      </c>
      <c r="H809">
        <f>1-(1-Skills!J2/100)^Skills!K2</f>
        <v/>
      </c>
      <c r="I809" t="inlineStr">
        <is>
          <t>1</t>
        </is>
      </c>
      <c r="J809">
        <f>(Inputs!$B$5*(1+Inputs!$B$6/100))*(F809/100)</f>
        <v/>
      </c>
      <c r="K809">
        <f>J809*(1+((Inputs!$B$11*(1+Inputs!$B$12/100))*0.01+Inputs!$B$13*0.0025)/100)*(1+Inputs!$B$14/100)*(1+IF(Inputs!$B$4="pvp",0,(1-Summary!$B$55)*(Inputs!$B$19+0+Skills!P2)+Summary!$B$55*(Inputs!$B$20+Skills!Q2))/100)*(1+Inputs!$B$15/100)*(5000/(6000+Inputs!$B$7*(1-(Inputs!$B$18+0)/100)))*(1+(Inputs!$B$23+((C831=TRUE)*(F831-Calc!F24))+((C832=TRUE)*(F832-Calc!F25))+B845)/100)*(1+(IF(Skills!A2="EMPOWERED_PIERCING_ARROW",Inputs!$B$16+((C829=TRUE)*(F829-Calc!F22)),Inputs!$B$17+((C834=TRUE)*(F834-Calc!F27))))/100)*((1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I809)</f>
        <v/>
      </c>
      <c r="L809">
        <f>K809*(MIN(Inputs!$B$21+((C830=TRUE)*(F830-Calc!F23)),Inputs!$B$22+((C835=TRUE)*(F835-Calc!F28)))/100+(Inputs!$B$22+((C835=TRUE)*(F835-Calc!F28)))/100)/2</f>
        <v/>
      </c>
      <c r="M809">
        <f>L809*(1+(Inputs!$B$9+0+B844)/100)</f>
        <v/>
      </c>
      <c r="N809">
        <f>L809*(1-MIN((Inputs!$B$8+((C826=TRUE)*(F826-Calc!F19))+B839),100)/100)+M809*(MIN((Inputs!$B$8+((C826=TRUE)*(F826-Calc!F19))+B839),100)/100)</f>
        <v/>
      </c>
      <c r="O809">
        <f>IF(C809,Skills!G2*N809*B843*IF(Inputs!$B$4="pvp",1,(1-Summary!$B$55)*(1)+Summary!$B$55*(MIN((6+Inputs!$B$32),Inputs!$B$37))),0)</f>
        <v/>
      </c>
      <c r="P809">
        <f>IF(B847=0,0,O809/B847)</f>
        <v/>
      </c>
      <c r="Q809" t="n">
        <v>0</v>
      </c>
      <c r="R809" t="n">
        <v>0</v>
      </c>
      <c r="S809">
        <f>IFERROR(O809/N809,0)</f>
        <v/>
      </c>
      <c r="U809">
        <f>MAX(0,(Inputs!$B$3-100)*3)+Inputs!$B$27+Inputs!$B$28</f>
        <v/>
      </c>
    </row>
    <row r="810">
      <c r="A810">
        <f>Skills!A3</f>
        <v/>
      </c>
      <c r="B810">
        <f>Skills!B3</f>
        <v/>
      </c>
      <c r="C810">
        <f>Inputs!$B$3&gt;=50</f>
        <v/>
      </c>
      <c r="D810">
        <f>IF(Skills!C3=1,60+Inputs!$B$24+Inputs!$B$28,IF(Skills!C3=2,90+Inputs!$B$25+Inputs!$B$28,IF(Skills!C3=3,120+(Inputs!$B$26+1)+Inputs!$B$28,MAX(0,(Inputs!$B$3-100)*3)+Inputs!$B$27+Inputs!$B$28)))</f>
        <v/>
      </c>
      <c r="E810">
        <f>INDEX(FactorTable!$B$2:$Y$301, MATCH(ROUND(MIN(300,MAX(1,D810)),0), FactorTable!$A$2:$A$301,0), Skills!M3+1)</f>
        <v/>
      </c>
      <c r="F810">
        <f>IF(Skills!N3=TRUE,(Skills!L3/10)*(E810/1000),Skills!L3/10)+Skills!O3</f>
        <v/>
      </c>
      <c r="G810" t="inlineStr"/>
      <c r="H810" t="inlineStr"/>
      <c r="I810" t="inlineStr">
        <is>
          <t>1</t>
        </is>
      </c>
      <c r="J810" t="inlineStr"/>
      <c r="K810" t="inlineStr"/>
      <c r="L810" t="inlineStr"/>
      <c r="M810" t="inlineStr"/>
      <c r="N810" t="inlineStr"/>
      <c r="O810" t="inlineStr"/>
      <c r="P810" t="inlineStr"/>
      <c r="Q810" t="inlineStr"/>
      <c r="R810" t="inlineStr"/>
      <c r="S810" t="inlineStr"/>
      <c r="U810">
        <f>INDEX(FactorTable!$B$2:$Y$301, MATCH(ROUND(MIN(300,MAX(1,U809)),0), FactorTable!$A$2:$A$301,0), 22)</f>
        <v/>
      </c>
    </row>
    <row r="811">
      <c r="A811">
        <f>Skills!A4</f>
        <v/>
      </c>
      <c r="B811">
        <f>Skills!B4</f>
        <v/>
      </c>
      <c r="C811">
        <f>Inputs!$B$3&gt;=105</f>
        <v/>
      </c>
      <c r="D811">
        <f>IF(Skills!C4=1,60+Inputs!$B$24+Inputs!$B$28,IF(Skills!C4=2,90+Inputs!$B$25+Inputs!$B$28,IF(Skills!C4=3,120+(Inputs!$B$26+1)+Inputs!$B$28,MAX(0,(Inputs!$B$3-100)*3)+Inputs!$B$27+Inputs!$B$28)))</f>
        <v/>
      </c>
      <c r="E811">
        <f>INDEX(FactorTable!$B$2:$Y$301, MATCH(ROUND(MIN(300,MAX(1,D811)),0), FactorTable!$A$2:$A$301,0), Skills!M4+1)</f>
        <v/>
      </c>
      <c r="F811">
        <f>IF(Skills!N4=TRUE,(Skills!L4/10)*(E811/1000),Skills!L4/10)+Skills!O4</f>
        <v/>
      </c>
      <c r="G811" t="inlineStr"/>
      <c r="H811" t="inlineStr"/>
      <c r="I811" t="inlineStr">
        <is>
          <t>1</t>
        </is>
      </c>
      <c r="J811" t="inlineStr"/>
      <c r="K811" t="inlineStr"/>
      <c r="L811" t="inlineStr"/>
      <c r="M811" t="inlineStr"/>
      <c r="N811" t="inlineStr"/>
      <c r="O811" t="inlineStr"/>
      <c r="P811" t="inlineStr"/>
      <c r="Q811" t="inlineStr"/>
      <c r="R811" t="inlineStr"/>
      <c r="S811" t="inlineStr"/>
      <c r="U811">
        <f>290*U810/1000</f>
        <v/>
      </c>
    </row>
    <row r="812">
      <c r="A812">
        <f>Skills!A5</f>
        <v/>
      </c>
      <c r="B812">
        <f>Skills!B5</f>
        <v/>
      </c>
      <c r="C812">
        <f>Inputs!$B$3&gt;=35</f>
        <v/>
      </c>
      <c r="D812">
        <f>IF(Skills!C5=1,60+Inputs!$B$24+Inputs!$B$28,IF(Skills!C5=2,90+Inputs!$B$25+Inputs!$B$28,IF(Skills!C5=3,120+(Inputs!$B$26+1)+Inputs!$B$28,MAX(0,(Inputs!$B$3-100)*3)+Inputs!$B$27+Inputs!$B$28)))</f>
        <v/>
      </c>
      <c r="E812">
        <f>INDEX(FactorTable!$B$2:$Y$301, MATCH(ROUND(MIN(300,MAX(1,D812)),0), FactorTable!$A$2:$A$301,0), Skills!M5+1)</f>
        <v/>
      </c>
      <c r="F812">
        <f>IF(Skills!N5=TRUE,(Skills!L5/10)*(E812/1000),Skills!L5/10)+Skills!O5</f>
        <v/>
      </c>
      <c r="G812">
        <f>Skills!G5*IF(Skills!H5&gt;0,Skills!I5/Skills!H5,1)</f>
        <v/>
      </c>
      <c r="H812">
        <f>1-(1-Skills!J5/100)^Skills!K5</f>
        <v/>
      </c>
      <c r="I812" t="inlineStr">
        <is>
          <t>1</t>
        </is>
      </c>
      <c r="J812">
        <f>(Inputs!$B$5*(1+Inputs!$B$6/100))*(F812/100)</f>
        <v/>
      </c>
      <c r="K812">
        <f>J812*(1+((Inputs!$B$11*(1+Inputs!$B$12/100))*0.01+Inputs!$B$13*0.0025)/100)*(1+Inputs!$B$14/100)*(1+IF(Inputs!$B$4="pvp",0,(1-Summary!$B$55)*(Inputs!$B$19+0+Skills!P5)+Summary!$B$55*(Inputs!$B$20+Skills!Q5))/100)*(1+Inputs!$B$15/100)*(5000/(6000+Inputs!$B$7*(1-(Inputs!$B$18+0)/100)))*(1+(Inputs!$B$23+((C831=TRUE)*(F831-Calc!F24))+((C832=TRUE)*(F832-Calc!F25))+B845)/100)*(1+4.0*IF(C815=TRUE,F815,0)/100)*(1+(IF(Skills!A5="EMPOWERED_PIERCING_ARROW",Inputs!$B$16+((C829=TRUE)*(F829-Calc!F22)),Inputs!$B$17+((C834=TRUE)*(F834-Calc!F27))))/100)*((1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I812)</f>
        <v/>
      </c>
      <c r="L812">
        <f>K812*(MIN(Inputs!$B$21+((C830=TRUE)*(F830-Calc!F23)),Inputs!$B$22+((C835=TRUE)*(F835-Calc!F28)))/100+(Inputs!$B$22+((C835=TRUE)*(F835-Calc!F28)))/100)/2</f>
        <v/>
      </c>
      <c r="M812">
        <f>L812*(1+(Inputs!$B$9+0+B844)/100)</f>
        <v/>
      </c>
      <c r="N812">
        <f>L812*(1-MIN((Inputs!$B$8+((C826=TRUE)*(F826-Calc!F19))+B839),100)/100)+M812*(MIN((Inputs!$B$8+((C826=TRUE)*(F826-Calc!F19))+B839),100)/100)</f>
        <v/>
      </c>
      <c r="O812">
        <f>IF(C812,H812*N812*IF(AND(Inputs!$B$4&lt;&gt;"pvp",Inputs!$B$35&gt;0),((Skills!G5*((R812-1)*IF(Skills!H5&gt;0,Skills!I5/Skills!H5,1)+IF(Skills!H5&gt;0,MIN(Skills!I5,MAX(0,Inputs!$B$35-((R812-1)*IF(Inputs!$B$4="pvp",15,MAX(0.1,Skills!D5-IF(Skills!E5=TRUE,Inputs!$B$31,0))))))/Skills!H5,1)))/Inputs!$B$35),G812*Q812)*IF(Inputs!$B$4="pvp",1,(1-Summary!$B$55)*(1)+Summary!$B$55*(MIN(Skills!R5,Inputs!$B$37))),0)</f>
        <v/>
      </c>
      <c r="P812">
        <f>IF(B847=0,0,O812/B847)</f>
        <v/>
      </c>
      <c r="Q812">
        <f>IFERROR(1/IF(Inputs!$B$4="pvp",15,MAX(0.1,Skills!D5-IF(Skills!E5=TRUE,Inputs!$B$31,0))),0)</f>
        <v/>
      </c>
      <c r="R812">
        <f>IF(AND(Inputs!$B$4&lt;&gt;"pvp",Inputs!$B$35&gt;0),(INT(Inputs!$B$35/IF(Inputs!$B$4="pvp",15,MAX(0.1,Skills!D5-IF(Skills!E5=TRUE,Inputs!$B$31,0))))+1),0)</f>
        <v/>
      </c>
      <c r="S812">
        <f>IFERROR(O812/N812,0)</f>
        <v/>
      </c>
    </row>
    <row r="813">
      <c r="A813">
        <f>Skills!A6</f>
        <v/>
      </c>
      <c r="B813">
        <f>Skills!B6</f>
        <v/>
      </c>
      <c r="C813">
        <f>Inputs!$B$3&gt;=63</f>
        <v/>
      </c>
      <c r="D813">
        <f>IF(Skills!C6=1,60+Inputs!$B$24+Inputs!$B$28,IF(Skills!C6=2,90+Inputs!$B$25+Inputs!$B$28,IF(Skills!C6=3,120+(Inputs!$B$26+1)+Inputs!$B$28,MAX(0,(Inputs!$B$3-100)*3)+Inputs!$B$27+Inputs!$B$28)))</f>
        <v/>
      </c>
      <c r="E813">
        <f>INDEX(FactorTable!$B$2:$Y$301, MATCH(ROUND(MIN(300,MAX(1,D813)),0), FactorTable!$A$2:$A$301,0), Skills!M6+1)</f>
        <v/>
      </c>
      <c r="F813">
        <f>IF(Skills!N6=TRUE,(Skills!L6/10)*(E813/1000),Skills!L6/10)+Skills!O6</f>
        <v/>
      </c>
      <c r="G813">
        <f>Skills!G6*IF(Skills!H6&gt;0,Skills!I6/Skills!H6,1)</f>
        <v/>
      </c>
      <c r="H813">
        <f>1-(1-Skills!J6/100)^Skills!K6</f>
        <v/>
      </c>
      <c r="I813" t="inlineStr">
        <is>
          <t>1</t>
        </is>
      </c>
      <c r="J813">
        <f>(Inputs!$B$5*(1+Inputs!$B$6/100))*(F813/100)</f>
        <v/>
      </c>
      <c r="K813">
        <f>J813*(1+((Inputs!$B$11*(1+Inputs!$B$12/100))*0.01+Inputs!$B$13*0.0025)/100)*(1+Inputs!$B$14/100)*(1+IF(Inputs!$B$4="pvp",0,(1-Summary!$B$55)*(Inputs!$B$19+0+Skills!P6)+Summary!$B$55*(Inputs!$B$20+Skills!Q6))/100)*(1+Inputs!$B$15/100)*(5000/(6000+Inputs!$B$7*(1-(Inputs!$B$18+0)/100)))*(1+(Inputs!$B$23+((C831=TRUE)*(F831-Calc!F24))+((C832=TRUE)*(F832-Calc!F25))+B845)/100)*(1+1.0*IF(C815=TRUE,F815,0)/100)*(1+(IF(Skills!A6="EMPOWERED_PIERCING_ARROW",Inputs!$B$16+((C829=TRUE)*(F829-Calc!F22)),Inputs!$B$17+((C834=TRUE)*(F834-Calc!F27))))/100)*((1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I813)</f>
        <v/>
      </c>
      <c r="L813">
        <f>K813*(MIN(Inputs!$B$21+((C830=TRUE)*(F830-Calc!F23)),Inputs!$B$22+((C835=TRUE)*(F835-Calc!F28)))/100+(Inputs!$B$22+((C835=TRUE)*(F835-Calc!F28)))/100)/2</f>
        <v/>
      </c>
      <c r="M813">
        <f>L813*(1+(Inputs!$B$9+0+B844)/100)</f>
        <v/>
      </c>
      <c r="N813">
        <f>L813*(1-MIN((Inputs!$B$8+((C826=TRUE)*(F826-Calc!F19))+B839),100)/100)+M813*(MIN((Inputs!$B$8+((C826=TRUE)*(F826-Calc!F19))+B839),100)/100)</f>
        <v/>
      </c>
      <c r="O813">
        <f>IF(C813,H813*N813*IF(AND(Inputs!$B$4&lt;&gt;"pvp",Inputs!$B$35&gt;0),((Skills!G6*((R813-1)*IF(Skills!H6&gt;0,Skills!I6/Skills!H6,1)+IF(Skills!H6&gt;0,MIN(Skills!I6,MAX(0,Inputs!$B$35-((R813-1)*IF(Inputs!$B$4="pvp",15,MAX(0.1,Skills!D6-IF(Skills!E6=TRUE,Inputs!$B$31,0))))))/Skills!H6,1)))/Inputs!$B$35),G813*Q813)*IF(Inputs!$B$4="pvp",1,(1-Summary!$B$55)*(1)+Summary!$B$55*(MIN(Skills!R6,Inputs!$B$37))),0)</f>
        <v/>
      </c>
      <c r="P813">
        <f>IF(B847=0,0,O813/B847)</f>
        <v/>
      </c>
      <c r="Q813">
        <f>IFERROR(1/IF(Inputs!$B$4="pvp",15,MAX(0.1,Skills!D6-IF(Skills!E6=TRUE,Inputs!$B$31,0))),0)</f>
        <v/>
      </c>
      <c r="R813">
        <f>IF(AND(Inputs!$B$4&lt;&gt;"pvp",Inputs!$B$35&gt;0),(INT(Inputs!$B$35/IF(Inputs!$B$4="pvp",15,MAX(0.1,Skills!D6-IF(Skills!E6=TRUE,Inputs!$B$31,0))))+1),0)</f>
        <v/>
      </c>
      <c r="S813">
        <f>IFERROR(O813/N813,0)</f>
        <v/>
      </c>
    </row>
    <row r="814">
      <c r="A814">
        <f>Skills!A7</f>
        <v/>
      </c>
      <c r="B814">
        <f>Skills!B7</f>
        <v/>
      </c>
      <c r="C814">
        <f>Inputs!$B$3&gt;=69</f>
        <v/>
      </c>
      <c r="D814">
        <f>IF(Skills!C7=1,60+Inputs!$B$24+Inputs!$B$28,IF(Skills!C7=2,90+Inputs!$B$25+Inputs!$B$28,IF(Skills!C7=3,120+(Inputs!$B$26+1)+Inputs!$B$28,MAX(0,(Inputs!$B$3-100)*3)+Inputs!$B$27+Inputs!$B$28)))</f>
        <v/>
      </c>
      <c r="E814">
        <f>INDEX(FactorTable!$B$2:$Y$301, MATCH(ROUND(MIN(300,MAX(1,D814)),0), FactorTable!$A$2:$A$301,0), Skills!M7+1)</f>
        <v/>
      </c>
      <c r="F814">
        <f>IF(Skills!N7=TRUE,(Skills!L7/10)*(E814/1000),Skills!L7/10)+Skills!O7</f>
        <v/>
      </c>
      <c r="G814">
        <f>Skills!G7*IF(Skills!H7&gt;0,Skills!I7/Skills!H7,1)</f>
        <v/>
      </c>
      <c r="H814">
        <f>1-(1-Skills!J7/100)^Skills!K7</f>
        <v/>
      </c>
      <c r="I814" t="inlineStr">
        <is>
          <t>1</t>
        </is>
      </c>
      <c r="J814">
        <f>(Inputs!$B$5*(1+Inputs!$B$6/100))*(F814/100)</f>
        <v/>
      </c>
      <c r="K814">
        <f>J814*(1+((Inputs!$B$11*(1+Inputs!$B$12/100))*0.01+Inputs!$B$13*0.0025)/100)*(1+Inputs!$B$14/100)*(1+IF(Inputs!$B$4="pvp",0,(1-Summary!$B$55)*(Inputs!$B$19+0+Skills!P7)+Summary!$B$55*(Inputs!$B$20+Skills!Q7))/100)*(1+Inputs!$B$15/100)*(5000/(6000+Inputs!$B$7*(1-(Inputs!$B$18+0)/100)))*(1+(Inputs!$B$23+((C831=TRUE)*(F831-Calc!F24))+((C832=TRUE)*(F832-Calc!F25))+B845)/100)*(1+1.2*IF(C815=TRUE,F815,0)/100)*(1+(IF(Skills!A7="EMPOWERED_PIERCING_ARROW",Inputs!$B$16+((C829=TRUE)*(F829-Calc!F22)),Inputs!$B$17+((C834=TRUE)*(F834-Calc!F27))))/100)*((1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I814)</f>
        <v/>
      </c>
      <c r="L814">
        <f>K814*(MIN(Inputs!$B$21+((C830=TRUE)*(F830-Calc!F23)),Inputs!$B$22+((C835=TRUE)*(F835-Calc!F28)))/100+(Inputs!$B$22+((C835=TRUE)*(F835-Calc!F28)))/100)/2</f>
        <v/>
      </c>
      <c r="M814">
        <f>L814*(1+(Inputs!$B$9+0+B844)/100)</f>
        <v/>
      </c>
      <c r="N814">
        <f>L814*(1-MIN((Inputs!$B$8+((C826=TRUE)*(F826-Calc!F19))+B839),100)/100)+M814*(MIN((Inputs!$B$8+((C826=TRUE)*(F826-Calc!F19))+B839),100)/100)</f>
        <v/>
      </c>
      <c r="O814">
        <f>IF(C814,H814*N814*IF(AND(Inputs!$B$4&lt;&gt;"pvp",Inputs!$B$35&gt;0),((Skills!G7*((R814-1)*IF(Skills!H7&gt;0,Skills!I7/Skills!H7,1)+IF(Skills!H7&gt;0,MIN(Skills!I7,MAX(0,Inputs!$B$35-((R814-1)*IF(Inputs!$B$4="pvp",15,MAX(0.1,Skills!D7-IF(Skills!E7=TRUE,Inputs!$B$31,0))))))/Skills!H7,1)))/Inputs!$B$35),G814*Q814)*IF(Inputs!$B$4="pvp",1,(1-Summary!$B$55)*(1)+Summary!$B$55*(MIN(Skills!R7,Inputs!$B$37))),0)</f>
        <v/>
      </c>
      <c r="P814">
        <f>IF(B847=0,0,O814/B847)</f>
        <v/>
      </c>
      <c r="Q814">
        <f>IFERROR(1/IF(Inputs!$B$4="pvp",15,MAX(0.1,Skills!D7-IF(Skills!E7=TRUE,Inputs!$B$31,0))),0)</f>
        <v/>
      </c>
      <c r="R814">
        <f>IF(AND(Inputs!$B$4&lt;&gt;"pvp",Inputs!$B$35&gt;0),(INT(Inputs!$B$35/IF(Inputs!$B$4="pvp",15,MAX(0.1,Skills!D7-IF(Skills!E7=TRUE,Inputs!$B$31,0))))+1),0)</f>
        <v/>
      </c>
      <c r="S814">
        <f>IFERROR(O814/N814,0)</f>
        <v/>
      </c>
    </row>
    <row r="815">
      <c r="A815">
        <f>Skills!A8</f>
        <v/>
      </c>
      <c r="B815">
        <f>Skills!B8</f>
        <v/>
      </c>
      <c r="C815">
        <f>Inputs!$B$3&gt;=100</f>
        <v/>
      </c>
      <c r="D815">
        <f>IF(Skills!C8=1,60+Inputs!$B$24+Inputs!$B$28,IF(Skills!C8=2,90+Inputs!$B$25+Inputs!$B$28,IF(Skills!C8=3,120+(Inputs!$B$26+1)+Inputs!$B$28,MAX(0,(Inputs!$B$3-100)*3)+Inputs!$B$27+Inputs!$B$28)))</f>
        <v/>
      </c>
      <c r="E815">
        <f>INDEX(FactorTable!$B$2:$Y$301, MATCH(ROUND(MIN(300,MAX(1,D815)),0), FactorTable!$A$2:$A$301,0), Skills!M8+1)</f>
        <v/>
      </c>
      <c r="F815">
        <f>IF(Skills!N8=TRUE,(Skills!L8/10)*(E815/1000),Skills!L8/10)+Skills!O8</f>
        <v/>
      </c>
      <c r="G815" t="inlineStr"/>
      <c r="H815" t="inlineStr"/>
      <c r="I815" t="inlineStr">
        <is>
          <t>1</t>
        </is>
      </c>
      <c r="J815" t="inlineStr"/>
      <c r="K815" t="inlineStr"/>
      <c r="L815" t="inlineStr"/>
      <c r="M815" t="inlineStr"/>
      <c r="N815" t="inlineStr"/>
      <c r="O815" t="inlineStr"/>
      <c r="P815" t="inlineStr"/>
      <c r="Q815" t="inlineStr"/>
      <c r="R815" t="inlineStr"/>
      <c r="S815" t="inlineStr"/>
    </row>
    <row r="816">
      <c r="A816">
        <f>Skills!A9</f>
        <v/>
      </c>
      <c r="B816">
        <f>Skills!B9</f>
        <v/>
      </c>
      <c r="C816">
        <f>Inputs!$B$3&gt;=103</f>
        <v/>
      </c>
      <c r="D816">
        <f>IF(Skills!C9=1,60+Inputs!$B$24+Inputs!$B$28,IF(Skills!C9=2,90+Inputs!$B$25+Inputs!$B$28,IF(Skills!C9=3,120+(Inputs!$B$26+1)+Inputs!$B$28,MAX(0,(Inputs!$B$3-100)*3)+Inputs!$B$27+Inputs!$B$28)))</f>
        <v/>
      </c>
      <c r="E816">
        <f>INDEX(FactorTable!$B$2:$Y$301, MATCH(ROUND(MIN(300,MAX(1,D816)),0), FactorTable!$A$2:$A$301,0), Skills!M9+1)</f>
        <v/>
      </c>
      <c r="F816">
        <f>IF(Skills!N9=TRUE,(Skills!L9/10)*(E816/1000),Skills!L9/10)+Skills!O9</f>
        <v/>
      </c>
      <c r="G816">
        <f>Skills!G9*IF(Skills!H9&gt;0,Skills!I9/Skills!H9,1)</f>
        <v/>
      </c>
      <c r="H816">
        <f>1-(1-Skills!J9/100)^Skills!K9</f>
        <v/>
      </c>
      <c r="I816" t="inlineStr">
        <is>
          <t>1</t>
        </is>
      </c>
      <c r="J816">
        <f>(Inputs!$B$5*(1+Inputs!$B$6/100))*(F816/100)</f>
        <v/>
      </c>
      <c r="K816">
        <f>J816*(1+((Inputs!$B$11*(1+Inputs!$B$12/100))*0.01+Inputs!$B$13*0.0025)/100)*(1+Inputs!$B$14/100)*(1+IF(Inputs!$B$4="pvp",0,(1-Summary!$B$55)*(Inputs!$B$19+0+Skills!P9)+Summary!$B$55*(Inputs!$B$20+Skills!Q9))/100)*(1+Inputs!$B$15/100)*(5000/(6000+Inputs!$B$7*(1-(Inputs!$B$18+0)/100)))*(1+(Inputs!$B$23+((C831=TRUE)*(F831-Calc!F24))+((C832=TRUE)*(F832-Calc!F25))+B845)/100)*(1+(IF(Skills!A9="EMPOWERED_PIERCING_ARROW",Inputs!$B$16+((C829=TRUE)*(F829-Calc!F22)),Inputs!$B$17+((C834=TRUE)*(F834-Calc!F27))))/100)*((1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I816)</f>
        <v/>
      </c>
      <c r="L816">
        <f>K816*(MIN(Inputs!$B$21+((C830=TRUE)*(F830-Calc!F23)),Inputs!$B$22+((C835=TRUE)*(F835-Calc!F28)))/100+(Inputs!$B$22+((C835=TRUE)*(F835-Calc!F28)))/100)/2</f>
        <v/>
      </c>
      <c r="M816">
        <f>L816*(1+(Inputs!$B$9+0+B844)/100)</f>
        <v/>
      </c>
      <c r="N816">
        <f>L816*(1-MIN((Inputs!$B$8+((C826=TRUE)*(F826-Calc!F19))+B839),100)/100)+M816*(MIN((Inputs!$B$8+((C826=TRUE)*(F826-Calc!F19))+B839),100)/100)</f>
        <v/>
      </c>
      <c r="O816">
        <f>IF(C816,H816*N816*IF(AND(Inputs!$B$4&lt;&gt;"pvp",Inputs!$B$35&gt;0),((Skills!G9*((R816-1)*IF(Skills!H9&gt;0,Skills!I9/Skills!H9,1)+IF(Skills!H9&gt;0,MIN(Skills!I9,MAX(0,Inputs!$B$35-((R816-1)*IF(Inputs!$B$4="pvp",15,MAX(0.1,Skills!D9-IF(Skills!E9=TRUE,Inputs!$B$31,0))))))/Skills!H9,1)))/Inputs!$B$35),G816*Q816)*IF(Inputs!$B$4="pvp",1,(1-Summary!$B$55)*(1)+Summary!$B$55*(MIN(Skills!R9,Inputs!$B$37))),0)</f>
        <v/>
      </c>
      <c r="P816">
        <f>IF(B847=0,0,O816/B847)</f>
        <v/>
      </c>
      <c r="Q816">
        <f>IFERROR(1/IF(Inputs!$B$4="pvp",15,MAX(0.1,Skills!D9-IF(Skills!E9=TRUE,Inputs!$B$31,0))),0)</f>
        <v/>
      </c>
      <c r="R816">
        <f>IF(AND(Inputs!$B$4&lt;&gt;"pvp",Inputs!$B$35&gt;0),(INT(Inputs!$B$35/IF(Inputs!$B$4="pvp",15,MAX(0.1,Skills!D9-IF(Skills!E9=TRUE,Inputs!$B$31,0))))+1),0)</f>
        <v/>
      </c>
      <c r="S816">
        <f>IFERROR(O816/N816,0)</f>
        <v/>
      </c>
    </row>
    <row r="817">
      <c r="A817">
        <f>Skills!A10</f>
        <v/>
      </c>
      <c r="B817">
        <f>Skills!B10</f>
        <v/>
      </c>
      <c r="C817">
        <f>Inputs!$B$3&gt;=107</f>
        <v/>
      </c>
      <c r="D817">
        <f>IF(Skills!C10=1,60+Inputs!$B$24+Inputs!$B$28,IF(Skills!C10=2,90+Inputs!$B$25+Inputs!$B$28,IF(Skills!C10=3,120+(Inputs!$B$26+1)+Inputs!$B$28,MAX(0,(Inputs!$B$3-100)*3)+Inputs!$B$27+Inputs!$B$28)))</f>
        <v/>
      </c>
      <c r="E817">
        <f>INDEX(FactorTable!$B$2:$Y$301, MATCH(ROUND(MIN(300,MAX(1,D817)),0), FactorTable!$A$2:$A$301,0), Skills!M10+1)</f>
        <v/>
      </c>
      <c r="F817">
        <f>IF(Skills!N10=TRUE,(Skills!L10/10)*(E817/1000),Skills!L10/10)+Skills!O10</f>
        <v/>
      </c>
      <c r="G817">
        <f>Skills!G10*IF(Skills!H10&gt;0,Skills!I10/Skills!H10,1)</f>
        <v/>
      </c>
      <c r="H817">
        <f>1-(1-Skills!J10/100)^Skills!K10</f>
        <v/>
      </c>
      <c r="I817" t="inlineStr">
        <is>
          <t>1</t>
        </is>
      </c>
      <c r="J817">
        <f>(Inputs!$B$5*(1+Inputs!$B$6/100))*(F817/100)</f>
        <v/>
      </c>
      <c r="K817">
        <f>J817*(1+((Inputs!$B$11*(1+Inputs!$B$12/100))*0.01+Inputs!$B$13*0.0025)/100)*(1+Inputs!$B$14/100)*(1+IF(Inputs!$B$4="pvp",0,(1-Summary!$B$55)*(Inputs!$B$19+0+Skills!P10)+Summary!$B$55*(Inputs!$B$20+Skills!Q10))/100)*(1+Inputs!$B$15/100)*(5000/(6000+Inputs!$B$7*(1-(Inputs!$B$18+0)/100)))*(1+(Inputs!$B$23+((C831=TRUE)*(F831-Calc!F24))+((C832=TRUE)*(F832-Calc!F25))+B845)/100)*(1+(IF(Skills!A10="EMPOWERED_PIERCING_ARROW",Inputs!$B$16+((C829=TRUE)*(F829-Calc!F22)),Inputs!$B$17+((C834=TRUE)*(F834-Calc!F27))))/100)*((1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I817)</f>
        <v/>
      </c>
      <c r="L817">
        <f>K817*(MIN(Inputs!$B$21+((C830=TRUE)*(F830-Calc!F23)),Inputs!$B$22+((C835=TRUE)*(F835-Calc!F28)))/100+(Inputs!$B$22+((C835=TRUE)*(F835-Calc!F28)))/100)/2</f>
        <v/>
      </c>
      <c r="M817">
        <f>L817*(1+(Inputs!$B$9+0+B844)/100)</f>
        <v/>
      </c>
      <c r="N817">
        <f>L817*(1-MIN((Inputs!$B$8+((C826=TRUE)*(F826-Calc!F19))+B839),100)/100)+M817*(MIN((Inputs!$B$8+((C826=TRUE)*(F826-Calc!F19))+B839),100)/100)</f>
        <v/>
      </c>
      <c r="O817">
        <f>IF(C817,0.15*SUMPRODUCT((Skills!U2:U29=TRUE)*(C809:C836=TRUE)*S809:S836)*Skills!G10*N817*IF(Inputs!$B$4="pvp",1,(1-Summary!$B$55)*(1)+Summary!$B$55*(MIN(Skills!R10,Inputs!$B$37))),0)</f>
        <v/>
      </c>
      <c r="P817">
        <f>IF(B847=0,0,O817/B847)</f>
        <v/>
      </c>
      <c r="Q817" t="n">
        <v>0</v>
      </c>
      <c r="R817" t="n">
        <v>0</v>
      </c>
      <c r="S817" t="n">
        <v>0</v>
      </c>
    </row>
    <row r="818">
      <c r="A818">
        <f>Skills!A11</f>
        <v/>
      </c>
      <c r="B818">
        <f>Skills!B11</f>
        <v/>
      </c>
      <c r="C818">
        <f>Inputs!$B$3&gt;=110</f>
        <v/>
      </c>
      <c r="D818">
        <f>IF(Skills!C11=1,60+Inputs!$B$24+Inputs!$B$28,IF(Skills!C11=2,90+Inputs!$B$25+Inputs!$B$28,IF(Skills!C11=3,120+(Inputs!$B$26+1)+Inputs!$B$28,MAX(0,(Inputs!$B$3-100)*3)+Inputs!$B$27+Inputs!$B$28)))</f>
        <v/>
      </c>
      <c r="E818">
        <f>INDEX(FactorTable!$B$2:$Y$301, MATCH(ROUND(MIN(300,MAX(1,D818)),0), FactorTable!$A$2:$A$301,0), Skills!M11+1)</f>
        <v/>
      </c>
      <c r="F818">
        <f>IF(Skills!N11=TRUE,(Skills!L11/10)*(E818/1000),Skills!L11/10)+Skills!O11</f>
        <v/>
      </c>
      <c r="G818">
        <f>Skills!G11*IF(Skills!H11&gt;0,Skills!I11/Skills!H11,1)</f>
        <v/>
      </c>
      <c r="H818">
        <f>1-(1-Skills!J11/100)^Skills!K11</f>
        <v/>
      </c>
      <c r="I818" t="inlineStr">
        <is>
          <t>1</t>
        </is>
      </c>
      <c r="J818">
        <f>(Inputs!$B$5*(1+Inputs!$B$6/100))*(F818/100)</f>
        <v/>
      </c>
      <c r="K818">
        <f>J818*(1+((Inputs!$B$11*(1+Inputs!$B$12/100))*0.01+Inputs!$B$13*0.0025)/100)*(1+Inputs!$B$14/100)*(1+IF(Inputs!$B$4="pvp",0,(1-Summary!$B$55)*(Inputs!$B$19+0+Skills!P11)+Summary!$B$55*(Inputs!$B$20+Skills!Q11))/100)*(1+Inputs!$B$15/100)*(5000/(6000+Inputs!$B$7*(1-(Inputs!$B$18+0)/100)))*(1+(Inputs!$B$23+((C831=TRUE)*(F831-Calc!F24))+((C832=TRUE)*(F832-Calc!F25))+B845)/100)*(1+(IF(Skills!A11="EMPOWERED_PIERCING_ARROW",Inputs!$B$16+((C829=TRUE)*(F829-Calc!F22)),Inputs!$B$17+((C834=TRUE)*(F834-Calc!F27))))/100)*((1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I818)</f>
        <v/>
      </c>
      <c r="L818">
        <f>K818*(MIN(Inputs!$B$21+((C830=TRUE)*(F830-Calc!F23)),Inputs!$B$22+((C835=TRUE)*(F835-Calc!F28)))/100+(Inputs!$B$22+((C835=TRUE)*(F835-Calc!F28)))/100)/2</f>
        <v/>
      </c>
      <c r="M818">
        <f>L818*(1+(Inputs!$B$9+0+B844)/100)</f>
        <v/>
      </c>
      <c r="N818">
        <f>L818*(1-MIN((Inputs!$B$8+((C826=TRUE)*(F826-Calc!F19))+B839),100)/100)+M818*(MIN((Inputs!$B$8+((C826=TRUE)*(F826-Calc!F19))+B839),100)/100)</f>
        <v/>
      </c>
      <c r="O818">
        <f>IF(C818,H818*N818*IF(AND(Inputs!$B$4&lt;&gt;"pvp",Inputs!$B$35&gt;0),((Skills!G11*((R818-1)*IF(Skills!H11&gt;0,Skills!I11/Skills!H11,1)+IF(Skills!H11&gt;0,MIN(Skills!I11,MAX(0,Inputs!$B$35-((R818-1)*IF(Inputs!$B$4="pvp",15,MAX(0.1,Skills!D11-IF(Skills!E11=TRUE,Inputs!$B$31,0))))))/Skills!H11,1)))/Inputs!$B$35),G818*Q818)*IF(Inputs!$B$4="pvp",1,(1-Summary!$B$55)*(1)+Summary!$B$55*(MIN(Skills!R11,Inputs!$B$37))),0)</f>
        <v/>
      </c>
      <c r="P818">
        <f>IF(B847=0,0,O818/B847)</f>
        <v/>
      </c>
      <c r="Q818">
        <f>IFERROR(1/IF(Inputs!$B$4="pvp",15,MAX(0.1,Skills!D11-IF(Skills!E11=TRUE,Inputs!$B$31,0))),0)</f>
        <v/>
      </c>
      <c r="R818">
        <f>IF(AND(Inputs!$B$4&lt;&gt;"pvp",Inputs!$B$35&gt;0),(INT(Inputs!$B$35/IF(Inputs!$B$4="pvp",15,MAX(0.1,Skills!D11-IF(Skills!E11=TRUE,Inputs!$B$31,0))))+1),0)</f>
        <v/>
      </c>
      <c r="S818">
        <f>IFERROR(O818/N818,0)</f>
        <v/>
      </c>
    </row>
    <row r="819">
      <c r="A819">
        <f>Skills!A12</f>
        <v/>
      </c>
      <c r="B819">
        <f>Skills!B12</f>
        <v/>
      </c>
      <c r="C819">
        <f>Inputs!$B$3&gt;=60</f>
        <v/>
      </c>
      <c r="D819">
        <f>IF(Skills!C12=1,60+Inputs!$B$24+Inputs!$B$28,IF(Skills!C12=2,90+Inputs!$B$25+Inputs!$B$28,IF(Skills!C12=3,120+(Inputs!$B$26+1)+Inputs!$B$28,MAX(0,(Inputs!$B$3-100)*3)+Inputs!$B$27+Inputs!$B$28)))</f>
        <v/>
      </c>
      <c r="E819">
        <f>INDEX(FactorTable!$B$2:$Y$301, MATCH(ROUND(MIN(300,MAX(1,D819)),0), FactorTable!$A$2:$A$301,0), Skills!M12+1)</f>
        <v/>
      </c>
      <c r="F819">
        <f>IF(Skills!N12=TRUE,(Skills!L12/10)*(E819/1000),Skills!L12/10)+Skills!O12</f>
        <v/>
      </c>
      <c r="G819">
        <f>Skills!G12*IF(Skills!H12&gt;0,Skills!I12/Skills!H12,1)</f>
        <v/>
      </c>
      <c r="H819">
        <f>1-(1-Skills!J12/100)^Skills!K12</f>
        <v/>
      </c>
      <c r="I819" t="inlineStr">
        <is>
          <t>1</t>
        </is>
      </c>
      <c r="J819" t="inlineStr"/>
      <c r="K819" t="inlineStr"/>
      <c r="L819" t="inlineStr"/>
      <c r="M819" t="inlineStr"/>
      <c r="N819" t="inlineStr"/>
      <c r="O819" t="n">
        <v>0</v>
      </c>
      <c r="P819">
        <f>IF(B847=0,0,O819/B847)</f>
        <v/>
      </c>
      <c r="Q819" t="n">
        <v>0</v>
      </c>
      <c r="R819" t="n">
        <v>0</v>
      </c>
      <c r="S819">
        <f>IFERROR(O819/N819,0)</f>
        <v/>
      </c>
    </row>
    <row r="820">
      <c r="A820">
        <f>Skills!A13</f>
        <v/>
      </c>
      <c r="B820">
        <f>Skills!B13</f>
        <v/>
      </c>
      <c r="C820">
        <f>Inputs!$B$3&gt;=74</f>
        <v/>
      </c>
      <c r="D820">
        <f>IF(Skills!C13=1,60+Inputs!$B$24+Inputs!$B$28,IF(Skills!C13=2,90+Inputs!$B$25+Inputs!$B$28,IF(Skills!C13=3,120+(Inputs!$B$26+1)+Inputs!$B$28,MAX(0,(Inputs!$B$3-100)*3)+Inputs!$B$27+Inputs!$B$28)))</f>
        <v/>
      </c>
      <c r="E820">
        <f>INDEX(FactorTable!$B$2:$Y$301, MATCH(ROUND(MIN(300,MAX(1,D820)),0), FactorTable!$A$2:$A$301,0), Skills!M13+1)</f>
        <v/>
      </c>
      <c r="F820">
        <f>IF(Skills!N13=TRUE,(Skills!L13/10)*(E820/1000),Skills!L13/10)+Skills!O13</f>
        <v/>
      </c>
      <c r="G820">
        <f>Skills!G13*IF(Skills!H13&gt;0,Skills!I13/Skills!H13,1)</f>
        <v/>
      </c>
      <c r="H820">
        <f>1-(1-Skills!J13/100)^Skills!K13</f>
        <v/>
      </c>
      <c r="I820" t="inlineStr">
        <is>
          <t>1</t>
        </is>
      </c>
      <c r="J820" t="inlineStr"/>
      <c r="K820" t="inlineStr"/>
      <c r="L820" t="inlineStr"/>
      <c r="M820" t="inlineStr"/>
      <c r="N820" t="inlineStr"/>
      <c r="O820" t="n">
        <v>0</v>
      </c>
      <c r="P820">
        <f>IF(B847=0,0,O820/B847)</f>
        <v/>
      </c>
      <c r="Q820" t="n">
        <v>0</v>
      </c>
      <c r="R820" t="n">
        <v>0</v>
      </c>
      <c r="S820">
        <f>IFERROR(O820/N820,0)</f>
        <v/>
      </c>
    </row>
    <row r="821">
      <c r="A821">
        <f>Skills!A14</f>
        <v/>
      </c>
      <c r="B821">
        <f>Skills!B14</f>
        <v/>
      </c>
      <c r="C821">
        <f>Inputs!$B$3&gt;=74</f>
        <v/>
      </c>
      <c r="D821">
        <f>IF(Skills!C14=1,60+Inputs!$B$24+Inputs!$B$28,IF(Skills!C14=2,90+Inputs!$B$25+Inputs!$B$28,IF(Skills!C14=3,120+(Inputs!$B$26+1)+Inputs!$B$28,MAX(0,(Inputs!$B$3-100)*3)+Inputs!$B$27+Inputs!$B$28)))</f>
        <v/>
      </c>
      <c r="E821">
        <f>INDEX(FactorTable!$B$2:$Y$301, MATCH(ROUND(MIN(300,MAX(1,D821)),0), FactorTable!$A$2:$A$301,0), Skills!M14+1)</f>
        <v/>
      </c>
      <c r="F821">
        <f>IF(Skills!N14=TRUE,(Skills!L14/10)*(E821/1000),Skills!L14/10)+Skills!O14</f>
        <v/>
      </c>
      <c r="G821">
        <f>Skills!G14*IF(Skills!H14&gt;0,Skills!I14/Skills!H14,1)</f>
        <v/>
      </c>
      <c r="H821">
        <f>1-(1-Skills!J14/100)^Skills!K14</f>
        <v/>
      </c>
      <c r="I821" t="inlineStr">
        <is>
          <t>1</t>
        </is>
      </c>
      <c r="J821" t="inlineStr"/>
      <c r="K821" t="inlineStr"/>
      <c r="L821" t="inlineStr"/>
      <c r="M821" t="inlineStr"/>
      <c r="N821" t="inlineStr"/>
      <c r="O821" t="n">
        <v>0</v>
      </c>
      <c r="P821">
        <f>IF(B847=0,0,O821/B847)</f>
        <v/>
      </c>
      <c r="Q821" t="n">
        <v>0</v>
      </c>
      <c r="R821" t="n">
        <v>0</v>
      </c>
      <c r="S821">
        <f>IFERROR(O821/N821,0)</f>
        <v/>
      </c>
    </row>
    <row r="822">
      <c r="A822">
        <f>Skills!A15</f>
        <v/>
      </c>
      <c r="B822">
        <f>Skills!B15</f>
        <v/>
      </c>
      <c r="C822">
        <f>Inputs!$B$3&gt;=117</f>
        <v/>
      </c>
      <c r="D822">
        <f>IF(Skills!C15=1,60+Inputs!$B$24+Inputs!$B$28,IF(Skills!C15=2,90+Inputs!$B$25+Inputs!$B$28,IF(Skills!C15=3,120+(Inputs!$B$26+1)+Inputs!$B$28,MAX(0,(Inputs!$B$3-100)*3)+Inputs!$B$27+Inputs!$B$28)))</f>
        <v/>
      </c>
      <c r="E822">
        <f>INDEX(FactorTable!$B$2:$Y$301, MATCH(ROUND(MIN(300,MAX(1,D822)),0), FactorTable!$A$2:$A$301,0), Skills!M15+1)</f>
        <v/>
      </c>
      <c r="F822">
        <f>IF(Skills!N15=TRUE,(Skills!L15/10)*(E822/1000),Skills!L15/10)+Skills!O15</f>
        <v/>
      </c>
      <c r="G822">
        <f>Skills!G15*IF(Skills!H15&gt;0,Skills!I15/Skills!H15,1)</f>
        <v/>
      </c>
      <c r="H822">
        <f>1-(1-Skills!J15/100)^Skills!K15</f>
        <v/>
      </c>
      <c r="I822" t="inlineStr">
        <is>
          <t>1</t>
        </is>
      </c>
      <c r="J822" t="inlineStr"/>
      <c r="K822" t="inlineStr"/>
      <c r="L822" t="inlineStr"/>
      <c r="M822" t="inlineStr"/>
      <c r="N822" t="inlineStr"/>
      <c r="O822" t="n">
        <v>0</v>
      </c>
      <c r="P822">
        <f>IF(B847=0,0,O822/B847)</f>
        <v/>
      </c>
      <c r="Q822">
        <f>IFERROR(1/IF(Inputs!$B$4="pvp",15,MAX(0.1,Skills!D15-IF(Skills!E15=TRUE,Inputs!$B$31,0))),0)</f>
        <v/>
      </c>
      <c r="R822">
        <f>IF(AND(Inputs!$B$4&lt;&gt;"pvp",Inputs!$B$35&gt;0),(INT(Inputs!$B$35/IF(Inputs!$B$4="pvp",15,MAX(0.1,Skills!D15-IF(Skills!E15=TRUE,Inputs!$B$31,0))))+1),0)</f>
        <v/>
      </c>
      <c r="S822">
        <f>IFERROR(O822/N822,0)</f>
        <v/>
      </c>
    </row>
    <row r="823">
      <c r="A823">
        <f>Skills!A16</f>
        <v/>
      </c>
      <c r="B823">
        <f>Skills!B16</f>
        <v/>
      </c>
      <c r="C823">
        <f>Inputs!$B$3&gt;=115</f>
        <v/>
      </c>
      <c r="D823">
        <f>IF(Skills!C16=1,60+Inputs!$B$24+Inputs!$B$28,IF(Skills!C16=2,90+Inputs!$B$25+Inputs!$B$28,IF(Skills!C16=3,120+(Inputs!$B$26+1)+Inputs!$B$28,MAX(0,(Inputs!$B$3-100)*3)+Inputs!$B$27+Inputs!$B$28)))</f>
        <v/>
      </c>
      <c r="E823">
        <f>INDEX(FactorTable!$B$2:$Y$301, MATCH(ROUND(MIN(300,MAX(1,D823)),0), FactorTable!$A$2:$A$301,0), Skills!M16+1)</f>
        <v/>
      </c>
      <c r="F823">
        <f>IF(Skills!N16=TRUE,(Skills!L16/10)*(E823/1000),Skills!L16/10)+Skills!O16</f>
        <v/>
      </c>
      <c r="G823">
        <f>Skills!G16*IF(Skills!H16&gt;0,Skills!I16/Skills!H16,1)</f>
        <v/>
      </c>
      <c r="H823">
        <f>1-(1-Skills!J16/100)^Skills!K16</f>
        <v/>
      </c>
      <c r="I823" t="inlineStr">
        <is>
          <t>1</t>
        </is>
      </c>
      <c r="J823" t="inlineStr"/>
      <c r="K823" t="inlineStr"/>
      <c r="L823" t="inlineStr"/>
      <c r="M823" t="inlineStr"/>
      <c r="N823" t="inlineStr"/>
      <c r="O823" t="n">
        <v>0</v>
      </c>
      <c r="P823">
        <f>IF(B847=0,0,O823/B847)</f>
        <v/>
      </c>
      <c r="Q823">
        <f>IFERROR(1/IF(Inputs!$B$4="pvp",15,MAX(0.1,Skills!D16-IF(Skills!E16=TRUE,Inputs!$B$31,0))),0)</f>
        <v/>
      </c>
      <c r="R823">
        <f>IF(AND(Inputs!$B$4&lt;&gt;"pvp",Inputs!$B$35&gt;0),(INT(Inputs!$B$35/IF(Inputs!$B$4="pvp",15,MAX(0.1,Skills!D16-IF(Skills!E16=TRUE,Inputs!$B$31,0))))+1),0)</f>
        <v/>
      </c>
      <c r="S823">
        <f>IFERROR(O823/N823,0)</f>
        <v/>
      </c>
    </row>
    <row r="824">
      <c r="A824">
        <f>Skills!A17</f>
        <v/>
      </c>
      <c r="B824">
        <f>Skills!B17</f>
        <v/>
      </c>
      <c r="C824">
        <f>Inputs!$B$3&gt;=72</f>
        <v/>
      </c>
      <c r="D824">
        <f>IF(Skills!C17=1,60+Inputs!$B$24+Inputs!$B$28,IF(Skills!C17=2,90+Inputs!$B$25+Inputs!$B$28,IF(Skills!C17=3,120+(Inputs!$B$26+1)+Inputs!$B$28,MAX(0,(Inputs!$B$3-100)*3)+Inputs!$B$27+Inputs!$B$28)))</f>
        <v/>
      </c>
      <c r="E824">
        <f>INDEX(FactorTable!$B$2:$Y$301, MATCH(ROUND(MIN(300,MAX(1,D824)),0), FactorTable!$A$2:$A$301,0), Skills!M17+1)</f>
        <v/>
      </c>
      <c r="F824">
        <f>IF(Skills!N17=TRUE,(Skills!L17/10)*(E824/1000),Skills!L17/10)+Skills!O17</f>
        <v/>
      </c>
      <c r="G824">
        <f>Skills!G17*IF(Skills!H17&gt;0,Skills!I17/Skills!H17,1)</f>
        <v/>
      </c>
      <c r="H824">
        <f>1-(1-Skills!J17/100)^Skills!K17</f>
        <v/>
      </c>
      <c r="I824" t="inlineStr">
        <is>
          <t>1</t>
        </is>
      </c>
      <c r="J824" t="inlineStr"/>
      <c r="K824" t="inlineStr"/>
      <c r="L824" t="inlineStr"/>
      <c r="M824" t="inlineStr"/>
      <c r="N824" t="inlineStr"/>
      <c r="O824" t="n">
        <v>0</v>
      </c>
      <c r="P824">
        <f>IF(B847=0,0,O824/B847)</f>
        <v/>
      </c>
      <c r="Q824" t="n">
        <v>0</v>
      </c>
      <c r="R824" t="n">
        <v>0</v>
      </c>
      <c r="S824">
        <f>IFERROR(O824/N824,0)</f>
        <v/>
      </c>
    </row>
    <row r="825">
      <c r="A825">
        <f>Skills!A18</f>
        <v/>
      </c>
      <c r="B825">
        <f>Skills!B18</f>
        <v/>
      </c>
      <c r="C825">
        <f>TRUE</f>
        <v/>
      </c>
      <c r="D825">
        <f>IF(Skills!C18=1,60+Inputs!$B$24+Inputs!$B$28,IF(Skills!C18=2,90+Inputs!$B$25+Inputs!$B$28,IF(Skills!C18=3,120+(Inputs!$B$26+1)+Inputs!$B$28,MAX(0,(Inputs!$B$3-100)*3)+Inputs!$B$27+Inputs!$B$28)))</f>
        <v/>
      </c>
      <c r="E825">
        <f>INDEX(FactorTable!$B$2:$Y$301, MATCH(ROUND(MIN(300,MAX(1,D825)),0), FactorTable!$A$2:$A$301,0), Skills!M18+1)</f>
        <v/>
      </c>
      <c r="F825">
        <f>IF(Skills!N18=TRUE,(Skills!L18/10)*(E825/1000),Skills!L18/10)+Skills!O18</f>
        <v/>
      </c>
      <c r="G825">
        <f>Skills!G18*IF(Skills!H18&gt;0,Skills!I18/Skills!H18,1)</f>
        <v/>
      </c>
      <c r="H825">
        <f>1-(1-Skills!J18/100)^Skills!K18</f>
        <v/>
      </c>
      <c r="I825" t="inlineStr">
        <is>
          <t>1</t>
        </is>
      </c>
      <c r="J825" t="inlineStr"/>
      <c r="K825" t="inlineStr"/>
      <c r="L825" t="inlineStr"/>
      <c r="M825" t="inlineStr"/>
      <c r="N825" t="inlineStr"/>
      <c r="O825" t="n">
        <v>0</v>
      </c>
      <c r="P825">
        <f>IF(B847=0,0,O825/B847)</f>
        <v/>
      </c>
      <c r="Q825">
        <f>IFERROR(1/IF(Inputs!$B$4="pvp",15,MAX(0.1,Skills!D18-IF(Skills!E18=TRUE,Inputs!$B$31,0))),0)</f>
        <v/>
      </c>
      <c r="R825">
        <f>IF(AND(Inputs!$B$4&lt;&gt;"pvp",Inputs!$B$35&gt;0),(INT(Inputs!$B$35/IF(Inputs!$B$4="pvp",15,MAX(0.1,Skills!D18-IF(Skills!E18=TRUE,Inputs!$B$31,0))))+1),0)</f>
        <v/>
      </c>
      <c r="S825">
        <f>IFERROR(O825/N825,0)</f>
        <v/>
      </c>
    </row>
    <row r="826">
      <c r="A826">
        <f>Skills!A19</f>
        <v/>
      </c>
      <c r="B826">
        <f>Skills!B19</f>
        <v/>
      </c>
      <c r="C826">
        <f>Inputs!$B$3&gt;=15</f>
        <v/>
      </c>
      <c r="D826">
        <f>IF(Skills!C19=1,60+Inputs!$B$24+Inputs!$B$28,IF(Skills!C19=2,90+Inputs!$B$25+Inputs!$B$28,IF(Skills!C19=3,120+(Inputs!$B$26+1)+Inputs!$B$28,MAX(0,(Inputs!$B$3-100)*3)+Inputs!$B$27+Inputs!$B$28)))</f>
        <v/>
      </c>
      <c r="E826">
        <f>INDEX(FactorTable!$B$2:$Y$301, MATCH(ROUND(MIN(300,MAX(1,D826)),0), FactorTable!$A$2:$A$301,0), Skills!M19+1)</f>
        <v/>
      </c>
      <c r="F826">
        <f>IF(Skills!N19=TRUE,(Skills!L19/10)*(E826/1000),Skills!L19/10)+Skills!O19</f>
        <v/>
      </c>
      <c r="G826">
        <f>Skills!G19*IF(Skills!H19&gt;0,Skills!I19/Skills!H19,1)</f>
        <v/>
      </c>
      <c r="H826">
        <f>1-(1-Skills!J19/100)^Skills!K19</f>
        <v/>
      </c>
      <c r="I826" t="inlineStr">
        <is>
          <t>1</t>
        </is>
      </c>
      <c r="J826" t="inlineStr"/>
      <c r="K826" t="inlineStr"/>
      <c r="L826" t="inlineStr"/>
      <c r="M826" t="inlineStr"/>
      <c r="N826" t="inlineStr"/>
      <c r="O826" t="n">
        <v>0</v>
      </c>
      <c r="P826">
        <f>IF(B847=0,0,O826/B847)</f>
        <v/>
      </c>
      <c r="Q826" t="n">
        <v>0</v>
      </c>
      <c r="R826" t="n">
        <v>0</v>
      </c>
      <c r="S826">
        <f>IFERROR(O826/N826,0)</f>
        <v/>
      </c>
    </row>
    <row r="827">
      <c r="A827">
        <f>Skills!A20</f>
        <v/>
      </c>
      <c r="B827">
        <f>Skills!B20</f>
        <v/>
      </c>
      <c r="C827">
        <f>Inputs!$B$3&gt;=10</f>
        <v/>
      </c>
      <c r="D827">
        <f>IF(Skills!C20=1,60+Inputs!$B$24+Inputs!$B$28,IF(Skills!C20=2,90+Inputs!$B$25+Inputs!$B$28,IF(Skills!C20=3,120+(Inputs!$B$26+1)+Inputs!$B$28,MAX(0,(Inputs!$B$3-100)*3)+Inputs!$B$27+Inputs!$B$28)))</f>
        <v/>
      </c>
      <c r="E827">
        <f>INDEX(FactorTable!$B$2:$Y$301, MATCH(ROUND(MIN(300,MAX(1,D827)),0), FactorTable!$A$2:$A$301,0), Skills!M20+1)</f>
        <v/>
      </c>
      <c r="F827">
        <f>IF(Skills!N20=TRUE,(Skills!L20/10)*(E827/1000),Skills!L20/10)+Skills!O20</f>
        <v/>
      </c>
      <c r="G827">
        <f>Skills!G20*IF(Skills!H20&gt;0,Skills!I20/Skills!H20,1)</f>
        <v/>
      </c>
      <c r="H827">
        <f>1-(1-Skills!J20/100)^Skills!K20</f>
        <v/>
      </c>
      <c r="I827" t="inlineStr">
        <is>
          <t>1</t>
        </is>
      </c>
      <c r="J827" t="inlineStr"/>
      <c r="K827" t="inlineStr"/>
      <c r="L827" t="inlineStr"/>
      <c r="M827" t="inlineStr"/>
      <c r="N827" t="inlineStr"/>
      <c r="O827" t="n">
        <v>0</v>
      </c>
      <c r="P827">
        <f>IF(B847=0,0,O827/B847)</f>
        <v/>
      </c>
      <c r="Q827" t="n">
        <v>0</v>
      </c>
      <c r="R827" t="n">
        <v>0</v>
      </c>
      <c r="S827">
        <f>IFERROR(O827/N827,0)</f>
        <v/>
      </c>
    </row>
    <row r="828">
      <c r="A828">
        <f>Skills!A21</f>
        <v/>
      </c>
      <c r="B828">
        <f>Skills!B21</f>
        <v/>
      </c>
      <c r="C828">
        <f>Inputs!$B$3&gt;=33</f>
        <v/>
      </c>
      <c r="D828">
        <f>IF(Skills!C21=1,60+Inputs!$B$24+Inputs!$B$28,IF(Skills!C21=2,90+Inputs!$B$25+Inputs!$B$28,IF(Skills!C21=3,120+(Inputs!$B$26+1)+Inputs!$B$28,MAX(0,(Inputs!$B$3-100)*3)+Inputs!$B$27+Inputs!$B$28)))</f>
        <v/>
      </c>
      <c r="E828">
        <f>INDEX(FactorTable!$B$2:$Y$301, MATCH(ROUND(MIN(300,MAX(1,D828)),0), FactorTable!$A$2:$A$301,0), Skills!M21+1)</f>
        <v/>
      </c>
      <c r="F828">
        <f>IF(Skills!N21=TRUE,(Skills!L21/10)*(E828/1000),Skills!L21/10)+Skills!O21</f>
        <v/>
      </c>
      <c r="G828">
        <f>Skills!G21*IF(Skills!H21&gt;0,Skills!I21/Skills!H21,1)</f>
        <v/>
      </c>
      <c r="H828">
        <f>1-(1-Skills!J21/100)^Skills!K21</f>
        <v/>
      </c>
      <c r="I828" t="inlineStr">
        <is>
          <t>1</t>
        </is>
      </c>
      <c r="J828" t="inlineStr"/>
      <c r="K828" t="inlineStr"/>
      <c r="L828" t="inlineStr"/>
      <c r="M828" t="inlineStr"/>
      <c r="N828" t="inlineStr"/>
      <c r="O828" t="n">
        <v>0</v>
      </c>
      <c r="P828">
        <f>IF(B847=0,0,O828/B847)</f>
        <v/>
      </c>
      <c r="Q828" t="n">
        <v>0</v>
      </c>
      <c r="R828" t="n">
        <v>0</v>
      </c>
      <c r="S828">
        <f>IFERROR(O828/N828,0)</f>
        <v/>
      </c>
    </row>
    <row r="829">
      <c r="A829">
        <f>Skills!A22</f>
        <v/>
      </c>
      <c r="B829">
        <f>Skills!B22</f>
        <v/>
      </c>
      <c r="C829">
        <f>Inputs!$B$3&gt;=38</f>
        <v/>
      </c>
      <c r="D829">
        <f>IF(Skills!C22=1,60+Inputs!$B$24+Inputs!$B$28,IF(Skills!C22=2,90+Inputs!$B$25+Inputs!$B$28,IF(Skills!C22=3,120+(Inputs!$B$26+1)+Inputs!$B$28,MAX(0,(Inputs!$B$3-100)*3)+Inputs!$B$27+Inputs!$B$28)))</f>
        <v/>
      </c>
      <c r="E829">
        <f>INDEX(FactorTable!$B$2:$Y$301, MATCH(ROUND(MIN(300,MAX(1,D829)),0), FactorTable!$A$2:$A$301,0), Skills!M22+1)</f>
        <v/>
      </c>
      <c r="F829">
        <f>IF(Skills!N22=TRUE,(Skills!L22/10)*(E829/1000),Skills!L22/10)+Skills!O22</f>
        <v/>
      </c>
      <c r="G829">
        <f>Skills!G22*IF(Skills!H22&gt;0,Skills!I22/Skills!H22,1)</f>
        <v/>
      </c>
      <c r="H829">
        <f>1-(1-Skills!J22/100)^Skills!K22</f>
        <v/>
      </c>
      <c r="I829" t="inlineStr">
        <is>
          <t>1</t>
        </is>
      </c>
      <c r="J829" t="inlineStr"/>
      <c r="K829" t="inlineStr"/>
      <c r="L829" t="inlineStr"/>
      <c r="M829" t="inlineStr"/>
      <c r="N829" t="inlineStr"/>
      <c r="O829" t="n">
        <v>0</v>
      </c>
      <c r="P829">
        <f>IF(B847=0,0,O829/B847)</f>
        <v/>
      </c>
      <c r="Q829" t="n">
        <v>0</v>
      </c>
      <c r="R829" t="n">
        <v>0</v>
      </c>
      <c r="S829">
        <f>IFERROR(O829/N829,0)</f>
        <v/>
      </c>
    </row>
    <row r="830">
      <c r="A830">
        <f>Skills!A23</f>
        <v/>
      </c>
      <c r="B830">
        <f>Skills!B23</f>
        <v/>
      </c>
      <c r="C830">
        <f>Inputs!$B$3&gt;=43</f>
        <v/>
      </c>
      <c r="D830">
        <f>IF(Skills!C23=1,60+Inputs!$B$24+Inputs!$B$28,IF(Skills!C23=2,90+Inputs!$B$25+Inputs!$B$28,IF(Skills!C23=3,120+(Inputs!$B$26+1)+Inputs!$B$28,MAX(0,(Inputs!$B$3-100)*3)+Inputs!$B$27+Inputs!$B$28)))</f>
        <v/>
      </c>
      <c r="E830">
        <f>INDEX(FactorTable!$B$2:$Y$301, MATCH(ROUND(MIN(300,MAX(1,D830)),0), FactorTable!$A$2:$A$301,0), Skills!M23+1)</f>
        <v/>
      </c>
      <c r="F830">
        <f>IF(Skills!N23=TRUE,(Skills!L23/10)*(E830/1000),Skills!L23/10)+Skills!O23</f>
        <v/>
      </c>
      <c r="G830">
        <f>Skills!G23*IF(Skills!H23&gt;0,Skills!I23/Skills!H23,1)</f>
        <v/>
      </c>
      <c r="H830">
        <f>1-(1-Skills!J23/100)^Skills!K23</f>
        <v/>
      </c>
      <c r="I830" t="inlineStr">
        <is>
          <t>1</t>
        </is>
      </c>
      <c r="J830" t="inlineStr"/>
      <c r="K830" t="inlineStr"/>
      <c r="L830" t="inlineStr"/>
      <c r="M830" t="inlineStr"/>
      <c r="N830" t="inlineStr"/>
      <c r="O830" t="n">
        <v>0</v>
      </c>
      <c r="P830">
        <f>IF(B847=0,0,O830/B847)</f>
        <v/>
      </c>
      <c r="Q830" t="n">
        <v>0</v>
      </c>
      <c r="R830" t="n">
        <v>0</v>
      </c>
      <c r="S830">
        <f>IFERROR(O830/N830,0)</f>
        <v/>
      </c>
    </row>
    <row r="831">
      <c r="A831">
        <f>Skills!A24</f>
        <v/>
      </c>
      <c r="B831">
        <f>Skills!B24</f>
        <v/>
      </c>
      <c r="C831">
        <f>Inputs!$B$3&gt;=75</f>
        <v/>
      </c>
      <c r="D831">
        <f>IF(Skills!C24=1,60+Inputs!$B$24+Inputs!$B$28,IF(Skills!C24=2,90+Inputs!$B$25+Inputs!$B$28,IF(Skills!C24=3,120+(Inputs!$B$26+1)+Inputs!$B$28,MAX(0,(Inputs!$B$3-100)*3)+Inputs!$B$27+Inputs!$B$28)))</f>
        <v/>
      </c>
      <c r="E831">
        <f>INDEX(FactorTable!$B$2:$Y$301, MATCH(ROUND(MIN(300,MAX(1,D831)),0), FactorTable!$A$2:$A$301,0), Skills!M24+1)</f>
        <v/>
      </c>
      <c r="F831">
        <f>IF(Skills!N24=TRUE,(Skills!L24/10)*(E831/1000),Skills!L24/10)+Skills!O24</f>
        <v/>
      </c>
      <c r="G831">
        <f>Skills!G24*IF(Skills!H24&gt;0,Skills!I24/Skills!H24,1)</f>
        <v/>
      </c>
      <c r="H831">
        <f>1-(1-Skills!J24/100)^Skills!K24</f>
        <v/>
      </c>
      <c r="I831" t="inlineStr">
        <is>
          <t>1</t>
        </is>
      </c>
      <c r="J831" t="inlineStr"/>
      <c r="K831" t="inlineStr"/>
      <c r="L831" t="inlineStr"/>
      <c r="M831" t="inlineStr"/>
      <c r="N831" t="inlineStr"/>
      <c r="O831" t="n">
        <v>0</v>
      </c>
      <c r="P831">
        <f>IF(B847=0,0,O831/B847)</f>
        <v/>
      </c>
      <c r="Q831" t="n">
        <v>0</v>
      </c>
      <c r="R831" t="n">
        <v>0</v>
      </c>
      <c r="S831">
        <f>IFERROR(O831/N831,0)</f>
        <v/>
      </c>
    </row>
    <row r="832">
      <c r="A832">
        <f>Skills!A25</f>
        <v/>
      </c>
      <c r="B832">
        <f>Skills!B25</f>
        <v/>
      </c>
      <c r="C832">
        <f>Inputs!$B$3&gt;=125</f>
        <v/>
      </c>
      <c r="D832">
        <f>IF(Skills!C25=1,60+Inputs!$B$24+Inputs!$B$28,IF(Skills!C25=2,90+Inputs!$B$25+Inputs!$B$28,IF(Skills!C25=3,120+(Inputs!$B$26+1)+Inputs!$B$28,MAX(0,(Inputs!$B$3-100)*3)+Inputs!$B$27+Inputs!$B$28)))</f>
        <v/>
      </c>
      <c r="E832">
        <f>INDEX(FactorTable!$B$2:$Y$301, MATCH(ROUND(MIN(300,MAX(1,D832)),0), FactorTable!$A$2:$A$301,0), Skills!M25+1)</f>
        <v/>
      </c>
      <c r="F832">
        <f>IF(Skills!N25=TRUE,(Skills!L25/10)*(E832/1000),Skills!L25/10)+Skills!O25</f>
        <v/>
      </c>
      <c r="G832">
        <f>Skills!G25*IF(Skills!H25&gt;0,Skills!I25/Skills!H25,1)</f>
        <v/>
      </c>
      <c r="H832">
        <f>1-(1-Skills!J25/100)^Skills!K25</f>
        <v/>
      </c>
      <c r="I832" t="inlineStr">
        <is>
          <t>1</t>
        </is>
      </c>
      <c r="J832" t="inlineStr"/>
      <c r="K832" t="inlineStr"/>
      <c r="L832" t="inlineStr"/>
      <c r="M832" t="inlineStr"/>
      <c r="N832" t="inlineStr"/>
      <c r="O832" t="n">
        <v>0</v>
      </c>
      <c r="P832">
        <f>IF(B847=0,0,O832/B847)</f>
        <v/>
      </c>
      <c r="Q832" t="n">
        <v>0</v>
      </c>
      <c r="R832" t="n">
        <v>0</v>
      </c>
      <c r="S832">
        <f>IFERROR(O832/N832,0)</f>
        <v/>
      </c>
    </row>
    <row r="833">
      <c r="A833">
        <f>Skills!A26</f>
        <v/>
      </c>
      <c r="B833">
        <f>Skills!B26</f>
        <v/>
      </c>
      <c r="C833">
        <f>Inputs!$B$3&gt;=125</f>
        <v/>
      </c>
      <c r="D833">
        <f>IF(Skills!C26=1,60+Inputs!$B$24+Inputs!$B$28,IF(Skills!C26=2,90+Inputs!$B$25+Inputs!$B$28,IF(Skills!C26=3,120+(Inputs!$B$26+1)+Inputs!$B$28,MAX(0,(Inputs!$B$3-100)*3)+Inputs!$B$27+Inputs!$B$28)))</f>
        <v/>
      </c>
      <c r="E833">
        <f>INDEX(FactorTable!$B$2:$Y$301, MATCH(ROUND(MIN(300,MAX(1,D833)),0), FactorTable!$A$2:$A$301,0), Skills!M26+1)</f>
        <v/>
      </c>
      <c r="F833">
        <f>IF(Skills!N26=TRUE,(Skills!L26/10)*(E833/1000),Skills!L26/10)+Skills!O26</f>
        <v/>
      </c>
      <c r="G833">
        <f>Skills!G26*IF(Skills!H26&gt;0,Skills!I26/Skills!H26,1)</f>
        <v/>
      </c>
      <c r="H833">
        <f>1-(1-Skills!J26/100)^Skills!K26</f>
        <v/>
      </c>
      <c r="I833" t="inlineStr">
        <is>
          <t>1</t>
        </is>
      </c>
      <c r="J833" t="inlineStr"/>
      <c r="K833" t="inlineStr"/>
      <c r="L833" t="inlineStr"/>
      <c r="M833" t="inlineStr"/>
      <c r="N833" t="inlineStr"/>
      <c r="O833" t="n">
        <v>0</v>
      </c>
      <c r="P833">
        <f>IF(B847=0,0,O833/B847)</f>
        <v/>
      </c>
      <c r="Q833" t="n">
        <v>0</v>
      </c>
      <c r="R833" t="n">
        <v>0</v>
      </c>
      <c r="S833">
        <f>IFERROR(O833/N833,0)</f>
        <v/>
      </c>
    </row>
    <row r="834">
      <c r="A834">
        <f>Skills!A27</f>
        <v/>
      </c>
      <c r="B834">
        <f>Skills!B27</f>
        <v/>
      </c>
      <c r="C834">
        <f>Inputs!$B$3&gt;=120</f>
        <v/>
      </c>
      <c r="D834">
        <f>IF(Skills!C27=1,60+Inputs!$B$24+Inputs!$B$28,IF(Skills!C27=2,90+Inputs!$B$25+Inputs!$B$28,IF(Skills!C27=3,120+(Inputs!$B$26+1)+Inputs!$B$28,MAX(0,(Inputs!$B$3-100)*3)+Inputs!$B$27+Inputs!$B$28)))</f>
        <v/>
      </c>
      <c r="E834">
        <f>INDEX(FactorTable!$B$2:$Y$301, MATCH(ROUND(MIN(300,MAX(1,D834)),0), FactorTable!$A$2:$A$301,0), Skills!M27+1)</f>
        <v/>
      </c>
      <c r="F834">
        <f>IF(Skills!N27=TRUE,(Skills!L27/10)*(E834/1000),Skills!L27/10)+Skills!O27</f>
        <v/>
      </c>
      <c r="G834">
        <f>Skills!G27*IF(Skills!H27&gt;0,Skills!I27/Skills!H27,1)</f>
        <v/>
      </c>
      <c r="H834">
        <f>1-(1-Skills!J27/100)^Skills!K27</f>
        <v/>
      </c>
      <c r="I834" t="inlineStr">
        <is>
          <t>1</t>
        </is>
      </c>
      <c r="J834" t="inlineStr"/>
      <c r="K834" t="inlineStr"/>
      <c r="L834" t="inlineStr"/>
      <c r="M834" t="inlineStr"/>
      <c r="N834" t="inlineStr"/>
      <c r="O834" t="n">
        <v>0</v>
      </c>
      <c r="P834">
        <f>IF(B847=0,0,O834/B847)</f>
        <v/>
      </c>
      <c r="Q834" t="n">
        <v>0</v>
      </c>
      <c r="R834" t="n">
        <v>0</v>
      </c>
      <c r="S834">
        <f>IFERROR(O834/N834,0)</f>
        <v/>
      </c>
    </row>
    <row r="835">
      <c r="A835">
        <f>Skills!A28</f>
        <v/>
      </c>
      <c r="B835">
        <f>Skills!B28</f>
        <v/>
      </c>
      <c r="C835">
        <f>Inputs!$B$3&gt;=120</f>
        <v/>
      </c>
      <c r="D835">
        <f>IF(Skills!C28=1,60+Inputs!$B$24+Inputs!$B$28,IF(Skills!C28=2,90+Inputs!$B$25+Inputs!$B$28,IF(Skills!C28=3,120+(Inputs!$B$26+1)+Inputs!$B$28,MAX(0,(Inputs!$B$3-100)*3)+Inputs!$B$27+Inputs!$B$28)))</f>
        <v/>
      </c>
      <c r="E835">
        <f>INDEX(FactorTable!$B$2:$Y$301, MATCH(ROUND(MIN(300,MAX(1,D835)),0), FactorTable!$A$2:$A$301,0), Skills!M28+1)</f>
        <v/>
      </c>
      <c r="F835">
        <f>IF(Skills!N28=TRUE,(Skills!L28/10)*(E835/1000),Skills!L28/10)+Skills!O28</f>
        <v/>
      </c>
      <c r="G835">
        <f>Skills!G28*IF(Skills!H28&gt;0,Skills!I28/Skills!H28,1)</f>
        <v/>
      </c>
      <c r="H835">
        <f>1-(1-Skills!J28/100)^Skills!K28</f>
        <v/>
      </c>
      <c r="I835" t="inlineStr">
        <is>
          <t>1</t>
        </is>
      </c>
      <c r="J835" t="inlineStr"/>
      <c r="K835" t="inlineStr"/>
      <c r="L835" t="inlineStr"/>
      <c r="M835" t="inlineStr"/>
      <c r="N835" t="inlineStr"/>
      <c r="O835" t="n">
        <v>0</v>
      </c>
      <c r="P835">
        <f>IF(B847=0,0,O835/B847)</f>
        <v/>
      </c>
      <c r="Q835" t="n">
        <v>0</v>
      </c>
      <c r="R835" t="n">
        <v>0</v>
      </c>
      <c r="S835">
        <f>IFERROR(O835/N835,0)</f>
        <v/>
      </c>
    </row>
    <row r="836">
      <c r="A836">
        <f>Skills!A29</f>
        <v/>
      </c>
      <c r="B836">
        <f>Skills!B29</f>
        <v/>
      </c>
      <c r="C836">
        <f>Inputs!$B$3&gt;=45</f>
        <v/>
      </c>
      <c r="D836">
        <f>IF(Skills!C29=1,60+Inputs!$B$24+Inputs!$B$28,IF(Skills!C29=2,90+Inputs!$B$25+Inputs!$B$28,IF(Skills!C29=3,120+(Inputs!$B$26+1)+Inputs!$B$28,MAX(0,(Inputs!$B$3-100)*3)+Inputs!$B$27+Inputs!$B$28)))</f>
        <v/>
      </c>
      <c r="E836">
        <f>INDEX(FactorTable!$B$2:$Y$301, MATCH(ROUND(MIN(300,MAX(1,D836)),0), FactorTable!$A$2:$A$301,0), Skills!M29+1)</f>
        <v/>
      </c>
      <c r="F836">
        <f>IF(Skills!N29=TRUE,(Skills!L29/10)*(E836/1000),Skills!L29/10)+Skills!O29</f>
        <v/>
      </c>
      <c r="G836">
        <f>Skills!G29*IF(Skills!H29&gt;0,Skills!I29/Skills!H29,1)</f>
        <v/>
      </c>
      <c r="H836">
        <f>1-(1-Skills!J29/100)^Skills!K29</f>
        <v/>
      </c>
      <c r="I836" t="inlineStr">
        <is>
          <t>1</t>
        </is>
      </c>
      <c r="J836" t="inlineStr"/>
      <c r="K836" t="inlineStr"/>
      <c r="L836" t="inlineStr"/>
      <c r="M836" t="inlineStr"/>
      <c r="N836" t="inlineStr"/>
      <c r="O836" t="n">
        <v>0</v>
      </c>
      <c r="P836">
        <f>IF(B847=0,0,O836/B847)</f>
        <v/>
      </c>
      <c r="Q836" t="n">
        <v>0</v>
      </c>
      <c r="R836" t="n">
        <v>0</v>
      </c>
      <c r="S836">
        <f>IFERROR(O836/N836,0)</f>
        <v/>
      </c>
    </row>
    <row r="838">
      <c r="A838" t="inlineStr">
        <is>
          <t>Attack% Bucket Multiplier</t>
        </is>
      </c>
      <c r="B838">
        <f>(1+(((C820=TRUE)*F820)+((C821=TRUE)*IF(Inputs!$B$4="pvp",F821,(1-Summary!$B$55)*(F821)+Summary!$B$55*(0)))+((C822=TRUE)*F822*IF(AND(Inputs!$B$4&lt;&gt;"pvp",Inputs!$B$35&gt;0),(((S822-1)*(Skills!T15*(1+Inputs!$B$33/100))+MIN((Skills!T15*(1+Inputs!$B$33/100)),MAX(0,Inputs!$B$35-((S822-1)*Skills!D15))))/Inputs!$B$35),IF(Inputs!$B$4="pvp",MIN((Skills!T15*(1+Inputs!$B$33/100)),15)/15,(Skills!T15*(1+Inputs!$B$33/100))/Skills!D15)))+((C819=TRUE)*F819)+((C836=TRUE)*(F836-Calc!F29)))/100)</f>
        <v/>
      </c>
    </row>
    <row r="839">
      <c r="A839" t="inlineStr">
        <is>
          <t>Global Crit Rate Bonus %</t>
        </is>
      </c>
      <c r="B839">
        <f>(C823=TRUE)*20*IF(AND(Inputs!$B$4&lt;&gt;"pvp",Inputs!$B$35&gt;0),(((S823-1)*(Skills!T16*(1+Inputs!$B$33/100))+MIN((Skills!T16*(1+Inputs!$B$33/100)),MAX(0,Inputs!$B$35-((S823-1)*Skills!D16))))/Inputs!$B$35),IF(Inputs!$B$4="pvp",MIN((Skills!T16*(1+Inputs!$B$33/100)),15)/15,(Skills!T16*(1+Inputs!$B$33/100))/Skills!D16))</f>
        <v/>
      </c>
    </row>
    <row r="840">
      <c r="A840" t="inlineStr">
        <is>
          <t>Attack Speed Buff Bonus %</t>
        </is>
      </c>
      <c r="B840">
        <f>((C825=TRUE)*F825*IF(AND(Inputs!$B$4&lt;&gt;"pvp",Inputs!$B$35&gt;0),(((S825-1)*(Skills!T18*(1+Inputs!$B$33/100))+MIN((Skills!T18*(1+Inputs!$B$33/100)),MAX(0,Inputs!$B$35-((S825-1)*Skills!D18))))/Inputs!$B$35),IF(Inputs!$B$4="pvp",MIN((Skills!T18*(1+Inputs!$B$33/100)),15)/15,(Skills!T18*(1+Inputs!$B$33/100))/Skills!D18)))</f>
        <v/>
      </c>
    </row>
    <row r="841">
      <c r="A841" t="inlineStr">
        <is>
          <t>Actions Per Second</t>
        </is>
      </c>
      <c r="B841">
        <f>1+MIN(150,150*(1-(1-(Inputs!$B$10+((C827=TRUE)*(F827-Calc!F20))+((C828=TRUE)*(F828-Calc!F21)))/150)*(1-B840/150)))/100</f>
        <v/>
      </c>
    </row>
    <row r="842">
      <c r="A842" t="inlineStr">
        <is>
          <t>Skill + Buff Cast Rate</t>
        </is>
      </c>
      <c r="B842">
        <f>IF(AND(Inputs!$B$4&lt;&gt;"pvp",Inputs!$B$35&gt;0),SUMPRODUCT((Skills!E2:E29=TRUE)*(C809:C836=TRUE)*R809:R836*Skills!F2:F29)/Inputs!$B$35,SUMPRODUCT((Skills!E2:E29=TRUE)*(C809:C836=TRUE)*Q809:Q836*Skills!F2:F29))</f>
        <v/>
      </c>
    </row>
    <row r="843">
      <c r="A843" t="inlineStr">
        <is>
          <t>Empowered Piercing Arrow Casts Per Second</t>
        </is>
      </c>
      <c r="B843">
        <f>MAX(0,B841-B842)</f>
        <v/>
      </c>
    </row>
    <row r="844">
      <c r="A844" t="inlineStr">
        <is>
          <t>Global Critical Damage Bonus % (Sharp Eyes)</t>
        </is>
      </c>
      <c r="B844">
        <f>(C823=TRUE)*F823*IF(AND(Inputs!$B$4&lt;&gt;"pvp",Inputs!$B$35&gt;0),(((S823-1)*(Skills!T16*(1+Inputs!$B$33/100))+MIN((Skills!T16*(1+Inputs!$B$33/100)),MAX(0,Inputs!$B$35-((S823-1)*Skills!D16))))/Inputs!$B$35),IF(Inputs!$B$4="pvp",MIN((Skills!T16*(1+Inputs!$B$33/100)),15)/15,(Skills!T16*(1+Inputs!$B$33/100))/Skills!D16))</f>
        <v/>
      </c>
    </row>
    <row r="845">
      <c r="A845" t="inlineStr">
        <is>
          <t>Global Final Damage Bonus % (Mortal Blow + Last Man Standing conditional half)</t>
        </is>
      </c>
      <c r="B845">
        <f>(C824=TRUE)*F824+((C833=TRUE)*IF(Inputs!$B$4="pvp",F833,(1-Summary!$B$55)*(F833)+Summary!$B$55*(0)))</f>
        <v/>
      </c>
    </row>
    <row r="847">
      <c r="A847" s="5" t="inlineStr">
        <is>
          <t>TOTAL DPS</t>
        </is>
      </c>
      <c r="B847" s="5">
        <f>SUM(O809:O836)</f>
        <v/>
      </c>
    </row>
    <row r="850">
      <c r="A850" s="5" t="inlineStr">
        <is>
          <t>Stat: Skill Level Bonus — 4th Job</t>
        </is>
      </c>
    </row>
    <row r="851">
      <c r="A851" s="8" t="inlineStr">
        <is>
          <t>Key</t>
        </is>
      </c>
      <c r="B851" s="8" t="inlineStr">
        <is>
          <t>Name</t>
        </is>
      </c>
      <c r="C851" s="8" t="inlineStr">
        <is>
          <t>Unlocked</t>
        </is>
      </c>
      <c r="D851" s="8" t="inlineStr">
        <is>
          <t>InputLevel</t>
        </is>
      </c>
      <c r="E851" s="8" t="inlineStr">
        <is>
          <t>Factor</t>
        </is>
      </c>
      <c r="F851" s="8" t="inlineStr">
        <is>
          <t>CoefficientPercent</t>
        </is>
      </c>
      <c r="G851" s="8" t="inlineStr">
        <is>
          <t>EffectiveHits</t>
        </is>
      </c>
      <c r="H851" s="8" t="inlineStr">
        <is>
          <t>ProcProbability</t>
        </is>
      </c>
      <c r="I851" s="8" t="inlineStr">
        <is>
          <t>MapleHeroMultiplier</t>
        </is>
      </c>
      <c r="J851" s="8" t="inlineStr">
        <is>
          <t>BaseDamage</t>
        </is>
      </c>
      <c r="K851" s="8" t="inlineStr">
        <is>
          <t>BaseHitDamage</t>
        </is>
      </c>
      <c r="L851" s="8" t="inlineStr">
        <is>
          <t>NonCritAvg</t>
        </is>
      </c>
      <c r="M851" s="8" t="inlineStr">
        <is>
          <t>CritAvg</t>
        </is>
      </c>
      <c r="N851" s="8" t="inlineStr">
        <is>
          <t>ExpectedDamage(perHit)</t>
        </is>
      </c>
      <c r="O851" s="8" t="inlineStr">
        <is>
          <t>DPS</t>
        </is>
      </c>
      <c r="P851" s="8" t="inlineStr">
        <is>
          <t>% of Total</t>
        </is>
      </c>
      <c r="Q851" s="8" t="inlineStr">
        <is>
          <t>InvCooldown</t>
        </is>
      </c>
      <c r="R851" s="8" t="inlineStr">
        <is>
          <t>CastsInFight</t>
        </is>
      </c>
      <c r="S851" s="8" t="inlineStr">
        <is>
          <t>HitRate(perSec)</t>
        </is>
      </c>
      <c r="U851" t="inlineStr">
        <is>
          <t>helpers</t>
        </is>
      </c>
    </row>
    <row r="852">
      <c r="A852">
        <f>Skills!A2</f>
        <v/>
      </c>
      <c r="B852">
        <f>Skills!B2</f>
        <v/>
      </c>
      <c r="C852">
        <f>Inputs!$B$3&gt;=100</f>
        <v/>
      </c>
      <c r="D852" t="inlineStr"/>
      <c r="E852" t="inlineStr"/>
      <c r="F852">
        <f>U854+Skills!O2</f>
        <v/>
      </c>
      <c r="G852">
        <f>Skills!G2*IF(Skills!H2&gt;0,Skills!I2/Skills!H2,1)</f>
        <v/>
      </c>
      <c r="H852">
        <f>1-(1-Skills!J2/100)^Skills!K2</f>
        <v/>
      </c>
      <c r="I852" t="inlineStr">
        <is>
          <t>1</t>
        </is>
      </c>
      <c r="J852">
        <f>(Inputs!$B$5*(1+Inputs!$B$6/100))*(F852/100)</f>
        <v/>
      </c>
      <c r="K852">
        <f>J852*(1+((Inputs!$B$11*(1+Inputs!$B$12/100))*0.01+Inputs!$B$13*0.0025)/100)*(1+Inputs!$B$14/100)*(1+IF(Inputs!$B$4="pvp",0,(1-Summary!$B$55)*(Inputs!$B$19+0+Skills!P2)+Summary!$B$55*(Inputs!$B$20+Skills!Q2))/100)*(1+Inputs!$B$15/100)*(5000/(6000+Inputs!$B$7*(1-(Inputs!$B$18+0)/100)))*(1+(Inputs!$B$23+((C874=TRUE)*(F874-Calc!F24))+((C875=TRUE)*(F875-Calc!F25))+B888)/100)*(1+(IF(Skills!A2="EMPOWERED_PIERCING_ARROW",Inputs!$B$16+((C872=TRUE)*(F872-Calc!F22)),Inputs!$B$17+((C877=TRUE)*(F877-Calc!F27))))/100)*((1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I852)</f>
        <v/>
      </c>
      <c r="L852">
        <f>K852*(MIN(Inputs!$B$21+((C873=TRUE)*(F873-Calc!F23)),Inputs!$B$22+((C878=TRUE)*(F878-Calc!F28)))/100+(Inputs!$B$22+((C878=TRUE)*(F878-Calc!F28)))/100)/2</f>
        <v/>
      </c>
      <c r="M852">
        <f>L852*(1+(Inputs!$B$9+0+B887)/100)</f>
        <v/>
      </c>
      <c r="N852">
        <f>L852*(1-MIN((Inputs!$B$8+((C869=TRUE)*(F869-Calc!F19))+B882),100)/100)+M852*(MIN((Inputs!$B$8+((C869=TRUE)*(F869-Calc!F19))+B882),100)/100)</f>
        <v/>
      </c>
      <c r="O852">
        <f>IF(C852,Skills!G2*N852*B886*IF(Inputs!$B$4="pvp",1,(1-Summary!$B$55)*(1)+Summary!$B$55*(MIN((6+Inputs!$B$32),Inputs!$B$37))),0)</f>
        <v/>
      </c>
      <c r="P852">
        <f>IF(B890=0,0,O852/B890)</f>
        <v/>
      </c>
      <c r="Q852" t="n">
        <v>0</v>
      </c>
      <c r="R852" t="n">
        <v>0</v>
      </c>
      <c r="S852">
        <f>IFERROR(O852/N852,0)</f>
        <v/>
      </c>
      <c r="U852">
        <f>MAX(0,(Inputs!$B$3-100)*3)+(Inputs!$B$27+1)+Inputs!$B$28</f>
        <v/>
      </c>
    </row>
    <row r="853">
      <c r="A853">
        <f>Skills!A3</f>
        <v/>
      </c>
      <c r="B853">
        <f>Skills!B3</f>
        <v/>
      </c>
      <c r="C853">
        <f>Inputs!$B$3&gt;=50</f>
        <v/>
      </c>
      <c r="D853">
        <f>IF(Skills!C3=1,60+Inputs!$B$24+Inputs!$B$28,IF(Skills!C3=2,90+Inputs!$B$25+Inputs!$B$28,IF(Skills!C3=3,120+Inputs!$B$26+Inputs!$B$28,MAX(0,(Inputs!$B$3-100)*3)+(Inputs!$B$27+1)+Inputs!$B$28)))</f>
        <v/>
      </c>
      <c r="E853">
        <f>INDEX(FactorTable!$B$2:$Y$301, MATCH(ROUND(MIN(300,MAX(1,D853)),0), FactorTable!$A$2:$A$301,0), Skills!M3+1)</f>
        <v/>
      </c>
      <c r="F853">
        <f>IF(Skills!N3=TRUE,(Skills!L3/10)*(E853/1000),Skills!L3/10)+Skills!O3</f>
        <v/>
      </c>
      <c r="G853" t="inlineStr"/>
      <c r="H853" t="inlineStr"/>
      <c r="I853" t="inlineStr">
        <is>
          <t>1</t>
        </is>
      </c>
      <c r="J853" t="inlineStr"/>
      <c r="K853" t="inlineStr"/>
      <c r="L853" t="inlineStr"/>
      <c r="M853" t="inlineStr"/>
      <c r="N853" t="inlineStr"/>
      <c r="O853" t="inlineStr"/>
      <c r="P853" t="inlineStr"/>
      <c r="Q853" t="inlineStr"/>
      <c r="R853" t="inlineStr"/>
      <c r="S853" t="inlineStr"/>
      <c r="U853">
        <f>INDEX(FactorTable!$B$2:$Y$301, MATCH(ROUND(MIN(300,MAX(1,U852)),0), FactorTable!$A$2:$A$301,0), 22)</f>
        <v/>
      </c>
    </row>
    <row r="854">
      <c r="A854">
        <f>Skills!A4</f>
        <v/>
      </c>
      <c r="B854">
        <f>Skills!B4</f>
        <v/>
      </c>
      <c r="C854">
        <f>Inputs!$B$3&gt;=105</f>
        <v/>
      </c>
      <c r="D854">
        <f>IF(Skills!C4=1,60+Inputs!$B$24+Inputs!$B$28,IF(Skills!C4=2,90+Inputs!$B$25+Inputs!$B$28,IF(Skills!C4=3,120+Inputs!$B$26+Inputs!$B$28,MAX(0,(Inputs!$B$3-100)*3)+(Inputs!$B$27+1)+Inputs!$B$28)))</f>
        <v/>
      </c>
      <c r="E854">
        <f>INDEX(FactorTable!$B$2:$Y$301, MATCH(ROUND(MIN(300,MAX(1,D854)),0), FactorTable!$A$2:$A$301,0), Skills!M4+1)</f>
        <v/>
      </c>
      <c r="F854">
        <f>IF(Skills!N4=TRUE,(Skills!L4/10)*(E854/1000),Skills!L4/10)+Skills!O4</f>
        <v/>
      </c>
      <c r="G854" t="inlineStr"/>
      <c r="H854" t="inlineStr"/>
      <c r="I854" t="inlineStr">
        <is>
          <t>1</t>
        </is>
      </c>
      <c r="J854" t="inlineStr"/>
      <c r="K854" t="inlineStr"/>
      <c r="L854" t="inlineStr"/>
      <c r="M854" t="inlineStr"/>
      <c r="N854" t="inlineStr"/>
      <c r="O854" t="inlineStr"/>
      <c r="P854" t="inlineStr"/>
      <c r="Q854" t="inlineStr"/>
      <c r="R854" t="inlineStr"/>
      <c r="S854" t="inlineStr"/>
      <c r="U854">
        <f>290*U853/1000</f>
        <v/>
      </c>
    </row>
    <row r="855">
      <c r="A855">
        <f>Skills!A5</f>
        <v/>
      </c>
      <c r="B855">
        <f>Skills!B5</f>
        <v/>
      </c>
      <c r="C855">
        <f>Inputs!$B$3&gt;=35</f>
        <v/>
      </c>
      <c r="D855">
        <f>IF(Skills!C5=1,60+Inputs!$B$24+Inputs!$B$28,IF(Skills!C5=2,90+Inputs!$B$25+Inputs!$B$28,IF(Skills!C5=3,120+Inputs!$B$26+Inputs!$B$28,MAX(0,(Inputs!$B$3-100)*3)+(Inputs!$B$27+1)+Inputs!$B$28)))</f>
        <v/>
      </c>
      <c r="E855">
        <f>INDEX(FactorTable!$B$2:$Y$301, MATCH(ROUND(MIN(300,MAX(1,D855)),0), FactorTable!$A$2:$A$301,0), Skills!M5+1)</f>
        <v/>
      </c>
      <c r="F855">
        <f>IF(Skills!N5=TRUE,(Skills!L5/10)*(E855/1000),Skills!L5/10)+Skills!O5</f>
        <v/>
      </c>
      <c r="G855">
        <f>Skills!G5*IF(Skills!H5&gt;0,Skills!I5/Skills!H5,1)</f>
        <v/>
      </c>
      <c r="H855">
        <f>1-(1-Skills!J5/100)^Skills!K5</f>
        <v/>
      </c>
      <c r="I855" t="inlineStr">
        <is>
          <t>1</t>
        </is>
      </c>
      <c r="J855">
        <f>(Inputs!$B$5*(1+Inputs!$B$6/100))*(F855/100)</f>
        <v/>
      </c>
      <c r="K855">
        <f>J855*(1+((Inputs!$B$11*(1+Inputs!$B$12/100))*0.01+Inputs!$B$13*0.0025)/100)*(1+Inputs!$B$14/100)*(1+IF(Inputs!$B$4="pvp",0,(1-Summary!$B$55)*(Inputs!$B$19+0+Skills!P5)+Summary!$B$55*(Inputs!$B$20+Skills!Q5))/100)*(1+Inputs!$B$15/100)*(5000/(6000+Inputs!$B$7*(1-(Inputs!$B$18+0)/100)))*(1+(Inputs!$B$23+((C874=TRUE)*(F874-Calc!F24))+((C875=TRUE)*(F875-Calc!F25))+B888)/100)*(1+4.0*IF(C858=TRUE,F858,0)/100)*(1+(IF(Skills!A5="EMPOWERED_PIERCING_ARROW",Inputs!$B$16+((C872=TRUE)*(F872-Calc!F22)),Inputs!$B$17+((C877=TRUE)*(F877-Calc!F27))))/100)*((1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I855)</f>
        <v/>
      </c>
      <c r="L855">
        <f>K855*(MIN(Inputs!$B$21+((C873=TRUE)*(F873-Calc!F23)),Inputs!$B$22+((C878=TRUE)*(F878-Calc!F28)))/100+(Inputs!$B$22+((C878=TRUE)*(F878-Calc!F28)))/100)/2</f>
        <v/>
      </c>
      <c r="M855">
        <f>L855*(1+(Inputs!$B$9+0+B887)/100)</f>
        <v/>
      </c>
      <c r="N855">
        <f>L855*(1-MIN((Inputs!$B$8+((C869=TRUE)*(F869-Calc!F19))+B882),100)/100)+M855*(MIN((Inputs!$B$8+((C869=TRUE)*(F869-Calc!F19))+B882),100)/100)</f>
        <v/>
      </c>
      <c r="O855">
        <f>IF(C855,H855*N855*IF(AND(Inputs!$B$4&lt;&gt;"pvp",Inputs!$B$35&gt;0),((Skills!G5*((R855-1)*IF(Skills!H5&gt;0,Skills!I5/Skills!H5,1)+IF(Skills!H5&gt;0,MIN(Skills!I5,MAX(0,Inputs!$B$35-((R855-1)*IF(Inputs!$B$4="pvp",15,MAX(0.1,Skills!D5-IF(Skills!E5=TRUE,Inputs!$B$31,0))))))/Skills!H5,1)))/Inputs!$B$35),G855*Q855)*IF(Inputs!$B$4="pvp",1,(1-Summary!$B$55)*(1)+Summary!$B$55*(MIN(Skills!R5,Inputs!$B$37))),0)</f>
        <v/>
      </c>
      <c r="P855">
        <f>IF(B890=0,0,O855/B890)</f>
        <v/>
      </c>
      <c r="Q855">
        <f>IFERROR(1/IF(Inputs!$B$4="pvp",15,MAX(0.1,Skills!D5-IF(Skills!E5=TRUE,Inputs!$B$31,0))),0)</f>
        <v/>
      </c>
      <c r="R855">
        <f>IF(AND(Inputs!$B$4&lt;&gt;"pvp",Inputs!$B$35&gt;0),(INT(Inputs!$B$35/IF(Inputs!$B$4="pvp",15,MAX(0.1,Skills!D5-IF(Skills!E5=TRUE,Inputs!$B$31,0))))+1),0)</f>
        <v/>
      </c>
      <c r="S855">
        <f>IFERROR(O855/N855,0)</f>
        <v/>
      </c>
    </row>
    <row r="856">
      <c r="A856">
        <f>Skills!A6</f>
        <v/>
      </c>
      <c r="B856">
        <f>Skills!B6</f>
        <v/>
      </c>
      <c r="C856">
        <f>Inputs!$B$3&gt;=63</f>
        <v/>
      </c>
      <c r="D856">
        <f>IF(Skills!C6=1,60+Inputs!$B$24+Inputs!$B$28,IF(Skills!C6=2,90+Inputs!$B$25+Inputs!$B$28,IF(Skills!C6=3,120+Inputs!$B$26+Inputs!$B$28,MAX(0,(Inputs!$B$3-100)*3)+(Inputs!$B$27+1)+Inputs!$B$28)))</f>
        <v/>
      </c>
      <c r="E856">
        <f>INDEX(FactorTable!$B$2:$Y$301, MATCH(ROUND(MIN(300,MAX(1,D856)),0), FactorTable!$A$2:$A$301,0), Skills!M6+1)</f>
        <v/>
      </c>
      <c r="F856">
        <f>IF(Skills!N6=TRUE,(Skills!L6/10)*(E856/1000),Skills!L6/10)+Skills!O6</f>
        <v/>
      </c>
      <c r="G856">
        <f>Skills!G6*IF(Skills!H6&gt;0,Skills!I6/Skills!H6,1)</f>
        <v/>
      </c>
      <c r="H856">
        <f>1-(1-Skills!J6/100)^Skills!K6</f>
        <v/>
      </c>
      <c r="I856" t="inlineStr">
        <is>
          <t>1</t>
        </is>
      </c>
      <c r="J856">
        <f>(Inputs!$B$5*(1+Inputs!$B$6/100))*(F856/100)</f>
        <v/>
      </c>
      <c r="K856">
        <f>J856*(1+((Inputs!$B$11*(1+Inputs!$B$12/100))*0.01+Inputs!$B$13*0.0025)/100)*(1+Inputs!$B$14/100)*(1+IF(Inputs!$B$4="pvp",0,(1-Summary!$B$55)*(Inputs!$B$19+0+Skills!P6)+Summary!$B$55*(Inputs!$B$20+Skills!Q6))/100)*(1+Inputs!$B$15/100)*(5000/(6000+Inputs!$B$7*(1-(Inputs!$B$18+0)/100)))*(1+(Inputs!$B$23+((C874=TRUE)*(F874-Calc!F24))+((C875=TRUE)*(F875-Calc!F25))+B888)/100)*(1+1.0*IF(C858=TRUE,F858,0)/100)*(1+(IF(Skills!A6="EMPOWERED_PIERCING_ARROW",Inputs!$B$16+((C872=TRUE)*(F872-Calc!F22)),Inputs!$B$17+((C877=TRUE)*(F877-Calc!F27))))/100)*((1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I856)</f>
        <v/>
      </c>
      <c r="L856">
        <f>K856*(MIN(Inputs!$B$21+((C873=TRUE)*(F873-Calc!F23)),Inputs!$B$22+((C878=TRUE)*(F878-Calc!F28)))/100+(Inputs!$B$22+((C878=TRUE)*(F878-Calc!F28)))/100)/2</f>
        <v/>
      </c>
      <c r="M856">
        <f>L856*(1+(Inputs!$B$9+0+B887)/100)</f>
        <v/>
      </c>
      <c r="N856">
        <f>L856*(1-MIN((Inputs!$B$8+((C869=TRUE)*(F869-Calc!F19))+B882),100)/100)+M856*(MIN((Inputs!$B$8+((C869=TRUE)*(F869-Calc!F19))+B882),100)/100)</f>
        <v/>
      </c>
      <c r="O856">
        <f>IF(C856,H856*N856*IF(AND(Inputs!$B$4&lt;&gt;"pvp",Inputs!$B$35&gt;0),((Skills!G6*((R856-1)*IF(Skills!H6&gt;0,Skills!I6/Skills!H6,1)+IF(Skills!H6&gt;0,MIN(Skills!I6,MAX(0,Inputs!$B$35-((R856-1)*IF(Inputs!$B$4="pvp",15,MAX(0.1,Skills!D6-IF(Skills!E6=TRUE,Inputs!$B$31,0))))))/Skills!H6,1)))/Inputs!$B$35),G856*Q856)*IF(Inputs!$B$4="pvp",1,(1-Summary!$B$55)*(1)+Summary!$B$55*(MIN(Skills!R6,Inputs!$B$37))),0)</f>
        <v/>
      </c>
      <c r="P856">
        <f>IF(B890=0,0,O856/B890)</f>
        <v/>
      </c>
      <c r="Q856">
        <f>IFERROR(1/IF(Inputs!$B$4="pvp",15,MAX(0.1,Skills!D6-IF(Skills!E6=TRUE,Inputs!$B$31,0))),0)</f>
        <v/>
      </c>
      <c r="R856">
        <f>IF(AND(Inputs!$B$4&lt;&gt;"pvp",Inputs!$B$35&gt;0),(INT(Inputs!$B$35/IF(Inputs!$B$4="pvp",15,MAX(0.1,Skills!D6-IF(Skills!E6=TRUE,Inputs!$B$31,0))))+1),0)</f>
        <v/>
      </c>
      <c r="S856">
        <f>IFERROR(O856/N856,0)</f>
        <v/>
      </c>
    </row>
    <row r="857">
      <c r="A857">
        <f>Skills!A7</f>
        <v/>
      </c>
      <c r="B857">
        <f>Skills!B7</f>
        <v/>
      </c>
      <c r="C857">
        <f>Inputs!$B$3&gt;=69</f>
        <v/>
      </c>
      <c r="D857">
        <f>IF(Skills!C7=1,60+Inputs!$B$24+Inputs!$B$28,IF(Skills!C7=2,90+Inputs!$B$25+Inputs!$B$28,IF(Skills!C7=3,120+Inputs!$B$26+Inputs!$B$28,MAX(0,(Inputs!$B$3-100)*3)+(Inputs!$B$27+1)+Inputs!$B$28)))</f>
        <v/>
      </c>
      <c r="E857">
        <f>INDEX(FactorTable!$B$2:$Y$301, MATCH(ROUND(MIN(300,MAX(1,D857)),0), FactorTable!$A$2:$A$301,0), Skills!M7+1)</f>
        <v/>
      </c>
      <c r="F857">
        <f>IF(Skills!N7=TRUE,(Skills!L7/10)*(E857/1000),Skills!L7/10)+Skills!O7</f>
        <v/>
      </c>
      <c r="G857">
        <f>Skills!G7*IF(Skills!H7&gt;0,Skills!I7/Skills!H7,1)</f>
        <v/>
      </c>
      <c r="H857">
        <f>1-(1-Skills!J7/100)^Skills!K7</f>
        <v/>
      </c>
      <c r="I857" t="inlineStr">
        <is>
          <t>1</t>
        </is>
      </c>
      <c r="J857">
        <f>(Inputs!$B$5*(1+Inputs!$B$6/100))*(F857/100)</f>
        <v/>
      </c>
      <c r="K857">
        <f>J857*(1+((Inputs!$B$11*(1+Inputs!$B$12/100))*0.01+Inputs!$B$13*0.0025)/100)*(1+Inputs!$B$14/100)*(1+IF(Inputs!$B$4="pvp",0,(1-Summary!$B$55)*(Inputs!$B$19+0+Skills!P7)+Summary!$B$55*(Inputs!$B$20+Skills!Q7))/100)*(1+Inputs!$B$15/100)*(5000/(6000+Inputs!$B$7*(1-(Inputs!$B$18+0)/100)))*(1+(Inputs!$B$23+((C874=TRUE)*(F874-Calc!F24))+((C875=TRUE)*(F875-Calc!F25))+B888)/100)*(1+1.2*IF(C858=TRUE,F858,0)/100)*(1+(IF(Skills!A7="EMPOWERED_PIERCING_ARROW",Inputs!$B$16+((C872=TRUE)*(F872-Calc!F22)),Inputs!$B$17+((C877=TRUE)*(F877-Calc!F27))))/100)*((1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I857)</f>
        <v/>
      </c>
      <c r="L857">
        <f>K857*(MIN(Inputs!$B$21+((C873=TRUE)*(F873-Calc!F23)),Inputs!$B$22+((C878=TRUE)*(F878-Calc!F28)))/100+(Inputs!$B$22+((C878=TRUE)*(F878-Calc!F28)))/100)/2</f>
        <v/>
      </c>
      <c r="M857">
        <f>L857*(1+(Inputs!$B$9+0+B887)/100)</f>
        <v/>
      </c>
      <c r="N857">
        <f>L857*(1-MIN((Inputs!$B$8+((C869=TRUE)*(F869-Calc!F19))+B882),100)/100)+M857*(MIN((Inputs!$B$8+((C869=TRUE)*(F869-Calc!F19))+B882),100)/100)</f>
        <v/>
      </c>
      <c r="O857">
        <f>IF(C857,H857*N857*IF(AND(Inputs!$B$4&lt;&gt;"pvp",Inputs!$B$35&gt;0),((Skills!G7*((R857-1)*IF(Skills!H7&gt;0,Skills!I7/Skills!H7,1)+IF(Skills!H7&gt;0,MIN(Skills!I7,MAX(0,Inputs!$B$35-((R857-1)*IF(Inputs!$B$4="pvp",15,MAX(0.1,Skills!D7-IF(Skills!E7=TRUE,Inputs!$B$31,0))))))/Skills!H7,1)))/Inputs!$B$35),G857*Q857)*IF(Inputs!$B$4="pvp",1,(1-Summary!$B$55)*(1)+Summary!$B$55*(MIN(Skills!R7,Inputs!$B$37))),0)</f>
        <v/>
      </c>
      <c r="P857">
        <f>IF(B890=0,0,O857/B890)</f>
        <v/>
      </c>
      <c r="Q857">
        <f>IFERROR(1/IF(Inputs!$B$4="pvp",15,MAX(0.1,Skills!D7-IF(Skills!E7=TRUE,Inputs!$B$31,0))),0)</f>
        <v/>
      </c>
      <c r="R857">
        <f>IF(AND(Inputs!$B$4&lt;&gt;"pvp",Inputs!$B$35&gt;0),(INT(Inputs!$B$35/IF(Inputs!$B$4="pvp",15,MAX(0.1,Skills!D7-IF(Skills!E7=TRUE,Inputs!$B$31,0))))+1),0)</f>
        <v/>
      </c>
      <c r="S857">
        <f>IFERROR(O857/N857,0)</f>
        <v/>
      </c>
    </row>
    <row r="858">
      <c r="A858">
        <f>Skills!A8</f>
        <v/>
      </c>
      <c r="B858">
        <f>Skills!B8</f>
        <v/>
      </c>
      <c r="C858">
        <f>Inputs!$B$3&gt;=100</f>
        <v/>
      </c>
      <c r="D858">
        <f>IF(Skills!C8=1,60+Inputs!$B$24+Inputs!$B$28,IF(Skills!C8=2,90+Inputs!$B$25+Inputs!$B$28,IF(Skills!C8=3,120+Inputs!$B$26+Inputs!$B$28,MAX(0,(Inputs!$B$3-100)*3)+(Inputs!$B$27+1)+Inputs!$B$28)))</f>
        <v/>
      </c>
      <c r="E858">
        <f>INDEX(FactorTable!$B$2:$Y$301, MATCH(ROUND(MIN(300,MAX(1,D858)),0), FactorTable!$A$2:$A$301,0), Skills!M8+1)</f>
        <v/>
      </c>
      <c r="F858">
        <f>IF(Skills!N8=TRUE,(Skills!L8/10)*(E858/1000),Skills!L8/10)+Skills!O8</f>
        <v/>
      </c>
      <c r="G858" t="inlineStr"/>
      <c r="H858" t="inlineStr"/>
      <c r="I858" t="inlineStr">
        <is>
          <t>1</t>
        </is>
      </c>
      <c r="J858" t="inlineStr"/>
      <c r="K858" t="inlineStr"/>
      <c r="L858" t="inlineStr"/>
      <c r="M858" t="inlineStr"/>
      <c r="N858" t="inlineStr"/>
      <c r="O858" t="inlineStr"/>
      <c r="P858" t="inlineStr"/>
      <c r="Q858" t="inlineStr"/>
      <c r="R858" t="inlineStr"/>
      <c r="S858" t="inlineStr"/>
    </row>
    <row r="859">
      <c r="A859">
        <f>Skills!A9</f>
        <v/>
      </c>
      <c r="B859">
        <f>Skills!B9</f>
        <v/>
      </c>
      <c r="C859">
        <f>Inputs!$B$3&gt;=103</f>
        <v/>
      </c>
      <c r="D859">
        <f>IF(Skills!C9=1,60+Inputs!$B$24+Inputs!$B$28,IF(Skills!C9=2,90+Inputs!$B$25+Inputs!$B$28,IF(Skills!C9=3,120+Inputs!$B$26+Inputs!$B$28,MAX(0,(Inputs!$B$3-100)*3)+(Inputs!$B$27+1)+Inputs!$B$28)))</f>
        <v/>
      </c>
      <c r="E859">
        <f>INDEX(FactorTable!$B$2:$Y$301, MATCH(ROUND(MIN(300,MAX(1,D859)),0), FactorTable!$A$2:$A$301,0), Skills!M9+1)</f>
        <v/>
      </c>
      <c r="F859">
        <f>IF(Skills!N9=TRUE,(Skills!L9/10)*(E859/1000),Skills!L9/10)+Skills!O9</f>
        <v/>
      </c>
      <c r="G859">
        <f>Skills!G9*IF(Skills!H9&gt;0,Skills!I9/Skills!H9,1)</f>
        <v/>
      </c>
      <c r="H859">
        <f>1-(1-Skills!J9/100)^Skills!K9</f>
        <v/>
      </c>
      <c r="I859" t="inlineStr">
        <is>
          <t>1</t>
        </is>
      </c>
      <c r="J859">
        <f>(Inputs!$B$5*(1+Inputs!$B$6/100))*(F859/100)</f>
        <v/>
      </c>
      <c r="K859">
        <f>J859*(1+((Inputs!$B$11*(1+Inputs!$B$12/100))*0.01+Inputs!$B$13*0.0025)/100)*(1+Inputs!$B$14/100)*(1+IF(Inputs!$B$4="pvp",0,(1-Summary!$B$55)*(Inputs!$B$19+0+Skills!P9)+Summary!$B$55*(Inputs!$B$20+Skills!Q9))/100)*(1+Inputs!$B$15/100)*(5000/(6000+Inputs!$B$7*(1-(Inputs!$B$18+0)/100)))*(1+(Inputs!$B$23+((C874=TRUE)*(F874-Calc!F24))+((C875=TRUE)*(F875-Calc!F25))+B888)/100)*(1+(IF(Skills!A9="EMPOWERED_PIERCING_ARROW",Inputs!$B$16+((C872=TRUE)*(F872-Calc!F22)),Inputs!$B$17+((C877=TRUE)*(F877-Calc!F27))))/100)*((1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I859)</f>
        <v/>
      </c>
      <c r="L859">
        <f>K859*(MIN(Inputs!$B$21+((C873=TRUE)*(F873-Calc!F23)),Inputs!$B$22+((C878=TRUE)*(F878-Calc!F28)))/100+(Inputs!$B$22+((C878=TRUE)*(F878-Calc!F28)))/100)/2</f>
        <v/>
      </c>
      <c r="M859">
        <f>L859*(1+(Inputs!$B$9+0+B887)/100)</f>
        <v/>
      </c>
      <c r="N859">
        <f>L859*(1-MIN((Inputs!$B$8+((C869=TRUE)*(F869-Calc!F19))+B882),100)/100)+M859*(MIN((Inputs!$B$8+((C869=TRUE)*(F869-Calc!F19))+B882),100)/100)</f>
        <v/>
      </c>
      <c r="O859">
        <f>IF(C859,H859*N859*IF(AND(Inputs!$B$4&lt;&gt;"pvp",Inputs!$B$35&gt;0),((Skills!G9*((R859-1)*IF(Skills!H9&gt;0,Skills!I9/Skills!H9,1)+IF(Skills!H9&gt;0,MIN(Skills!I9,MAX(0,Inputs!$B$35-((R859-1)*IF(Inputs!$B$4="pvp",15,MAX(0.1,Skills!D9-IF(Skills!E9=TRUE,Inputs!$B$31,0))))))/Skills!H9,1)))/Inputs!$B$35),G859*Q859)*IF(Inputs!$B$4="pvp",1,(1-Summary!$B$55)*(1)+Summary!$B$55*(MIN(Skills!R9,Inputs!$B$37))),0)</f>
        <v/>
      </c>
      <c r="P859">
        <f>IF(B890=0,0,O859/B890)</f>
        <v/>
      </c>
      <c r="Q859">
        <f>IFERROR(1/IF(Inputs!$B$4="pvp",15,MAX(0.1,Skills!D9-IF(Skills!E9=TRUE,Inputs!$B$31,0))),0)</f>
        <v/>
      </c>
      <c r="R859">
        <f>IF(AND(Inputs!$B$4&lt;&gt;"pvp",Inputs!$B$35&gt;0),(INT(Inputs!$B$35/IF(Inputs!$B$4="pvp",15,MAX(0.1,Skills!D9-IF(Skills!E9=TRUE,Inputs!$B$31,0))))+1),0)</f>
        <v/>
      </c>
      <c r="S859">
        <f>IFERROR(O859/N859,0)</f>
        <v/>
      </c>
    </row>
    <row r="860">
      <c r="A860">
        <f>Skills!A10</f>
        <v/>
      </c>
      <c r="B860">
        <f>Skills!B10</f>
        <v/>
      </c>
      <c r="C860">
        <f>Inputs!$B$3&gt;=107</f>
        <v/>
      </c>
      <c r="D860">
        <f>IF(Skills!C10=1,60+Inputs!$B$24+Inputs!$B$28,IF(Skills!C10=2,90+Inputs!$B$25+Inputs!$B$28,IF(Skills!C10=3,120+Inputs!$B$26+Inputs!$B$28,MAX(0,(Inputs!$B$3-100)*3)+(Inputs!$B$27+1)+Inputs!$B$28)))</f>
        <v/>
      </c>
      <c r="E860">
        <f>INDEX(FactorTable!$B$2:$Y$301, MATCH(ROUND(MIN(300,MAX(1,D860)),0), FactorTable!$A$2:$A$301,0), Skills!M10+1)</f>
        <v/>
      </c>
      <c r="F860">
        <f>IF(Skills!N10=TRUE,(Skills!L10/10)*(E860/1000),Skills!L10/10)+Skills!O10</f>
        <v/>
      </c>
      <c r="G860">
        <f>Skills!G10*IF(Skills!H10&gt;0,Skills!I10/Skills!H10,1)</f>
        <v/>
      </c>
      <c r="H860">
        <f>1-(1-Skills!J10/100)^Skills!K10</f>
        <v/>
      </c>
      <c r="I860" t="inlineStr">
        <is>
          <t>1</t>
        </is>
      </c>
      <c r="J860">
        <f>(Inputs!$B$5*(1+Inputs!$B$6/100))*(F860/100)</f>
        <v/>
      </c>
      <c r="K860">
        <f>J860*(1+((Inputs!$B$11*(1+Inputs!$B$12/100))*0.01+Inputs!$B$13*0.0025)/100)*(1+Inputs!$B$14/100)*(1+IF(Inputs!$B$4="pvp",0,(1-Summary!$B$55)*(Inputs!$B$19+0+Skills!P10)+Summary!$B$55*(Inputs!$B$20+Skills!Q10))/100)*(1+Inputs!$B$15/100)*(5000/(6000+Inputs!$B$7*(1-(Inputs!$B$18+0)/100)))*(1+(Inputs!$B$23+((C874=TRUE)*(F874-Calc!F24))+((C875=TRUE)*(F875-Calc!F25))+B888)/100)*(1+(IF(Skills!A10="EMPOWERED_PIERCING_ARROW",Inputs!$B$16+((C872=TRUE)*(F872-Calc!F22)),Inputs!$B$17+((C877=TRUE)*(F877-Calc!F27))))/100)*((1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I860)</f>
        <v/>
      </c>
      <c r="L860">
        <f>K860*(MIN(Inputs!$B$21+((C873=TRUE)*(F873-Calc!F23)),Inputs!$B$22+((C878=TRUE)*(F878-Calc!F28)))/100+(Inputs!$B$22+((C878=TRUE)*(F878-Calc!F28)))/100)/2</f>
        <v/>
      </c>
      <c r="M860">
        <f>L860*(1+(Inputs!$B$9+0+B887)/100)</f>
        <v/>
      </c>
      <c r="N860">
        <f>L860*(1-MIN((Inputs!$B$8+((C869=TRUE)*(F869-Calc!F19))+B882),100)/100)+M860*(MIN((Inputs!$B$8+((C869=TRUE)*(F869-Calc!F19))+B882),100)/100)</f>
        <v/>
      </c>
      <c r="O860">
        <f>IF(C860,0.15*SUMPRODUCT((Skills!U2:U29=TRUE)*(C852:C879=TRUE)*S852:S879)*Skills!G10*N860*IF(Inputs!$B$4="pvp",1,(1-Summary!$B$55)*(1)+Summary!$B$55*(MIN(Skills!R10,Inputs!$B$37))),0)</f>
        <v/>
      </c>
      <c r="P860">
        <f>IF(B890=0,0,O860/B890)</f>
        <v/>
      </c>
      <c r="Q860" t="n">
        <v>0</v>
      </c>
      <c r="R860" t="n">
        <v>0</v>
      </c>
      <c r="S860" t="n">
        <v>0</v>
      </c>
    </row>
    <row r="861">
      <c r="A861">
        <f>Skills!A11</f>
        <v/>
      </c>
      <c r="B861">
        <f>Skills!B11</f>
        <v/>
      </c>
      <c r="C861">
        <f>Inputs!$B$3&gt;=110</f>
        <v/>
      </c>
      <c r="D861">
        <f>IF(Skills!C11=1,60+Inputs!$B$24+Inputs!$B$28,IF(Skills!C11=2,90+Inputs!$B$25+Inputs!$B$28,IF(Skills!C11=3,120+Inputs!$B$26+Inputs!$B$28,MAX(0,(Inputs!$B$3-100)*3)+(Inputs!$B$27+1)+Inputs!$B$28)))</f>
        <v/>
      </c>
      <c r="E861">
        <f>INDEX(FactorTable!$B$2:$Y$301, MATCH(ROUND(MIN(300,MAX(1,D861)),0), FactorTable!$A$2:$A$301,0), Skills!M11+1)</f>
        <v/>
      </c>
      <c r="F861">
        <f>IF(Skills!N11=TRUE,(Skills!L11/10)*(E861/1000),Skills!L11/10)+Skills!O11</f>
        <v/>
      </c>
      <c r="G861">
        <f>Skills!G11*IF(Skills!H11&gt;0,Skills!I11/Skills!H11,1)</f>
        <v/>
      </c>
      <c r="H861">
        <f>1-(1-Skills!J11/100)^Skills!K11</f>
        <v/>
      </c>
      <c r="I861" t="inlineStr">
        <is>
          <t>1</t>
        </is>
      </c>
      <c r="J861">
        <f>(Inputs!$B$5*(1+Inputs!$B$6/100))*(F861/100)</f>
        <v/>
      </c>
      <c r="K861">
        <f>J861*(1+((Inputs!$B$11*(1+Inputs!$B$12/100))*0.01+Inputs!$B$13*0.0025)/100)*(1+Inputs!$B$14/100)*(1+IF(Inputs!$B$4="pvp",0,(1-Summary!$B$55)*(Inputs!$B$19+0+Skills!P11)+Summary!$B$55*(Inputs!$B$20+Skills!Q11))/100)*(1+Inputs!$B$15/100)*(5000/(6000+Inputs!$B$7*(1-(Inputs!$B$18+0)/100)))*(1+(Inputs!$B$23+((C874=TRUE)*(F874-Calc!F24))+((C875=TRUE)*(F875-Calc!F25))+B888)/100)*(1+(IF(Skills!A11="EMPOWERED_PIERCING_ARROW",Inputs!$B$16+((C872=TRUE)*(F872-Calc!F22)),Inputs!$B$17+((C877=TRUE)*(F877-Calc!F27))))/100)*((1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I861)</f>
        <v/>
      </c>
      <c r="L861">
        <f>K861*(MIN(Inputs!$B$21+((C873=TRUE)*(F873-Calc!F23)),Inputs!$B$22+((C878=TRUE)*(F878-Calc!F28)))/100+(Inputs!$B$22+((C878=TRUE)*(F878-Calc!F28)))/100)/2</f>
        <v/>
      </c>
      <c r="M861">
        <f>L861*(1+(Inputs!$B$9+0+B887)/100)</f>
        <v/>
      </c>
      <c r="N861">
        <f>L861*(1-MIN((Inputs!$B$8+((C869=TRUE)*(F869-Calc!F19))+B882),100)/100)+M861*(MIN((Inputs!$B$8+((C869=TRUE)*(F869-Calc!F19))+B882),100)/100)</f>
        <v/>
      </c>
      <c r="O861">
        <f>IF(C861,H861*N861*IF(AND(Inputs!$B$4&lt;&gt;"pvp",Inputs!$B$35&gt;0),((Skills!G11*((R861-1)*IF(Skills!H11&gt;0,Skills!I11/Skills!H11,1)+IF(Skills!H11&gt;0,MIN(Skills!I11,MAX(0,Inputs!$B$35-((R861-1)*IF(Inputs!$B$4="pvp",15,MAX(0.1,Skills!D11-IF(Skills!E11=TRUE,Inputs!$B$31,0))))))/Skills!H11,1)))/Inputs!$B$35),G861*Q861)*IF(Inputs!$B$4="pvp",1,(1-Summary!$B$55)*(1)+Summary!$B$55*(MIN(Skills!R11,Inputs!$B$37))),0)</f>
        <v/>
      </c>
      <c r="P861">
        <f>IF(B890=0,0,O861/B890)</f>
        <v/>
      </c>
      <c r="Q861">
        <f>IFERROR(1/IF(Inputs!$B$4="pvp",15,MAX(0.1,Skills!D11-IF(Skills!E11=TRUE,Inputs!$B$31,0))),0)</f>
        <v/>
      </c>
      <c r="R861">
        <f>IF(AND(Inputs!$B$4&lt;&gt;"pvp",Inputs!$B$35&gt;0),(INT(Inputs!$B$35/IF(Inputs!$B$4="pvp",15,MAX(0.1,Skills!D11-IF(Skills!E11=TRUE,Inputs!$B$31,0))))+1),0)</f>
        <v/>
      </c>
      <c r="S861">
        <f>IFERROR(O861/N861,0)</f>
        <v/>
      </c>
    </row>
    <row r="862">
      <c r="A862">
        <f>Skills!A12</f>
        <v/>
      </c>
      <c r="B862">
        <f>Skills!B12</f>
        <v/>
      </c>
      <c r="C862">
        <f>Inputs!$B$3&gt;=60</f>
        <v/>
      </c>
      <c r="D862">
        <f>IF(Skills!C12=1,60+Inputs!$B$24+Inputs!$B$28,IF(Skills!C12=2,90+Inputs!$B$25+Inputs!$B$28,IF(Skills!C12=3,120+Inputs!$B$26+Inputs!$B$28,MAX(0,(Inputs!$B$3-100)*3)+(Inputs!$B$27+1)+Inputs!$B$28)))</f>
        <v/>
      </c>
      <c r="E862">
        <f>INDEX(FactorTable!$B$2:$Y$301, MATCH(ROUND(MIN(300,MAX(1,D862)),0), FactorTable!$A$2:$A$301,0), Skills!M12+1)</f>
        <v/>
      </c>
      <c r="F862">
        <f>IF(Skills!N12=TRUE,(Skills!L12/10)*(E862/1000),Skills!L12/10)+Skills!O12</f>
        <v/>
      </c>
      <c r="G862">
        <f>Skills!G12*IF(Skills!H12&gt;0,Skills!I12/Skills!H12,1)</f>
        <v/>
      </c>
      <c r="H862">
        <f>1-(1-Skills!J12/100)^Skills!K12</f>
        <v/>
      </c>
      <c r="I862" t="inlineStr">
        <is>
          <t>1</t>
        </is>
      </c>
      <c r="J862" t="inlineStr"/>
      <c r="K862" t="inlineStr"/>
      <c r="L862" t="inlineStr"/>
      <c r="M862" t="inlineStr"/>
      <c r="N862" t="inlineStr"/>
      <c r="O862" t="n">
        <v>0</v>
      </c>
      <c r="P862">
        <f>IF(B890=0,0,O862/B890)</f>
        <v/>
      </c>
      <c r="Q862" t="n">
        <v>0</v>
      </c>
      <c r="R862" t="n">
        <v>0</v>
      </c>
      <c r="S862">
        <f>IFERROR(O862/N862,0)</f>
        <v/>
      </c>
    </row>
    <row r="863">
      <c r="A863">
        <f>Skills!A13</f>
        <v/>
      </c>
      <c r="B863">
        <f>Skills!B13</f>
        <v/>
      </c>
      <c r="C863">
        <f>Inputs!$B$3&gt;=74</f>
        <v/>
      </c>
      <c r="D863">
        <f>IF(Skills!C13=1,60+Inputs!$B$24+Inputs!$B$28,IF(Skills!C13=2,90+Inputs!$B$25+Inputs!$B$28,IF(Skills!C13=3,120+Inputs!$B$26+Inputs!$B$28,MAX(0,(Inputs!$B$3-100)*3)+(Inputs!$B$27+1)+Inputs!$B$28)))</f>
        <v/>
      </c>
      <c r="E863">
        <f>INDEX(FactorTable!$B$2:$Y$301, MATCH(ROUND(MIN(300,MAX(1,D863)),0), FactorTable!$A$2:$A$301,0), Skills!M13+1)</f>
        <v/>
      </c>
      <c r="F863">
        <f>IF(Skills!N13=TRUE,(Skills!L13/10)*(E863/1000),Skills!L13/10)+Skills!O13</f>
        <v/>
      </c>
      <c r="G863">
        <f>Skills!G13*IF(Skills!H13&gt;0,Skills!I13/Skills!H13,1)</f>
        <v/>
      </c>
      <c r="H863">
        <f>1-(1-Skills!J13/100)^Skills!K13</f>
        <v/>
      </c>
      <c r="I863" t="inlineStr">
        <is>
          <t>1</t>
        </is>
      </c>
      <c r="J863" t="inlineStr"/>
      <c r="K863" t="inlineStr"/>
      <c r="L863" t="inlineStr"/>
      <c r="M863" t="inlineStr"/>
      <c r="N863" t="inlineStr"/>
      <c r="O863" t="n">
        <v>0</v>
      </c>
      <c r="P863">
        <f>IF(B890=0,0,O863/B890)</f>
        <v/>
      </c>
      <c r="Q863" t="n">
        <v>0</v>
      </c>
      <c r="R863" t="n">
        <v>0</v>
      </c>
      <c r="S863">
        <f>IFERROR(O863/N863,0)</f>
        <v/>
      </c>
    </row>
    <row r="864">
      <c r="A864">
        <f>Skills!A14</f>
        <v/>
      </c>
      <c r="B864">
        <f>Skills!B14</f>
        <v/>
      </c>
      <c r="C864">
        <f>Inputs!$B$3&gt;=74</f>
        <v/>
      </c>
      <c r="D864">
        <f>IF(Skills!C14=1,60+Inputs!$B$24+Inputs!$B$28,IF(Skills!C14=2,90+Inputs!$B$25+Inputs!$B$28,IF(Skills!C14=3,120+Inputs!$B$26+Inputs!$B$28,MAX(0,(Inputs!$B$3-100)*3)+(Inputs!$B$27+1)+Inputs!$B$28)))</f>
        <v/>
      </c>
      <c r="E864">
        <f>INDEX(FactorTable!$B$2:$Y$301, MATCH(ROUND(MIN(300,MAX(1,D864)),0), FactorTable!$A$2:$A$301,0), Skills!M14+1)</f>
        <v/>
      </c>
      <c r="F864">
        <f>IF(Skills!N14=TRUE,(Skills!L14/10)*(E864/1000),Skills!L14/10)+Skills!O14</f>
        <v/>
      </c>
      <c r="G864">
        <f>Skills!G14*IF(Skills!H14&gt;0,Skills!I14/Skills!H14,1)</f>
        <v/>
      </c>
      <c r="H864">
        <f>1-(1-Skills!J14/100)^Skills!K14</f>
        <v/>
      </c>
      <c r="I864" t="inlineStr">
        <is>
          <t>1</t>
        </is>
      </c>
      <c r="J864" t="inlineStr"/>
      <c r="K864" t="inlineStr"/>
      <c r="L864" t="inlineStr"/>
      <c r="M864" t="inlineStr"/>
      <c r="N864" t="inlineStr"/>
      <c r="O864" t="n">
        <v>0</v>
      </c>
      <c r="P864">
        <f>IF(B890=0,0,O864/B890)</f>
        <v/>
      </c>
      <c r="Q864" t="n">
        <v>0</v>
      </c>
      <c r="R864" t="n">
        <v>0</v>
      </c>
      <c r="S864">
        <f>IFERROR(O864/N864,0)</f>
        <v/>
      </c>
    </row>
    <row r="865">
      <c r="A865">
        <f>Skills!A15</f>
        <v/>
      </c>
      <c r="B865">
        <f>Skills!B15</f>
        <v/>
      </c>
      <c r="C865">
        <f>Inputs!$B$3&gt;=117</f>
        <v/>
      </c>
      <c r="D865">
        <f>IF(Skills!C15=1,60+Inputs!$B$24+Inputs!$B$28,IF(Skills!C15=2,90+Inputs!$B$25+Inputs!$B$28,IF(Skills!C15=3,120+Inputs!$B$26+Inputs!$B$28,MAX(0,(Inputs!$B$3-100)*3)+(Inputs!$B$27+1)+Inputs!$B$28)))</f>
        <v/>
      </c>
      <c r="E865">
        <f>INDEX(FactorTable!$B$2:$Y$301, MATCH(ROUND(MIN(300,MAX(1,D865)),0), FactorTable!$A$2:$A$301,0), Skills!M15+1)</f>
        <v/>
      </c>
      <c r="F865">
        <f>IF(Skills!N15=TRUE,(Skills!L15/10)*(E865/1000),Skills!L15/10)+Skills!O15</f>
        <v/>
      </c>
      <c r="G865">
        <f>Skills!G15*IF(Skills!H15&gt;0,Skills!I15/Skills!H15,1)</f>
        <v/>
      </c>
      <c r="H865">
        <f>1-(1-Skills!J15/100)^Skills!K15</f>
        <v/>
      </c>
      <c r="I865" t="inlineStr">
        <is>
          <t>1</t>
        </is>
      </c>
      <c r="J865" t="inlineStr"/>
      <c r="K865" t="inlineStr"/>
      <c r="L865" t="inlineStr"/>
      <c r="M865" t="inlineStr"/>
      <c r="N865" t="inlineStr"/>
      <c r="O865" t="n">
        <v>0</v>
      </c>
      <c r="P865">
        <f>IF(B890=0,0,O865/B890)</f>
        <v/>
      </c>
      <c r="Q865">
        <f>IFERROR(1/IF(Inputs!$B$4="pvp",15,MAX(0.1,Skills!D15-IF(Skills!E15=TRUE,Inputs!$B$31,0))),0)</f>
        <v/>
      </c>
      <c r="R865">
        <f>IF(AND(Inputs!$B$4&lt;&gt;"pvp",Inputs!$B$35&gt;0),(INT(Inputs!$B$35/IF(Inputs!$B$4="pvp",15,MAX(0.1,Skills!D15-IF(Skills!E15=TRUE,Inputs!$B$31,0))))+1),0)</f>
        <v/>
      </c>
      <c r="S865">
        <f>IFERROR(O865/N865,0)</f>
        <v/>
      </c>
    </row>
    <row r="866">
      <c r="A866">
        <f>Skills!A16</f>
        <v/>
      </c>
      <c r="B866">
        <f>Skills!B16</f>
        <v/>
      </c>
      <c r="C866">
        <f>Inputs!$B$3&gt;=115</f>
        <v/>
      </c>
      <c r="D866">
        <f>IF(Skills!C16=1,60+Inputs!$B$24+Inputs!$B$28,IF(Skills!C16=2,90+Inputs!$B$25+Inputs!$B$28,IF(Skills!C16=3,120+Inputs!$B$26+Inputs!$B$28,MAX(0,(Inputs!$B$3-100)*3)+(Inputs!$B$27+1)+Inputs!$B$28)))</f>
        <v/>
      </c>
      <c r="E866">
        <f>INDEX(FactorTable!$B$2:$Y$301, MATCH(ROUND(MIN(300,MAX(1,D866)),0), FactorTable!$A$2:$A$301,0), Skills!M16+1)</f>
        <v/>
      </c>
      <c r="F866">
        <f>IF(Skills!N16=TRUE,(Skills!L16/10)*(E866/1000),Skills!L16/10)+Skills!O16</f>
        <v/>
      </c>
      <c r="G866">
        <f>Skills!G16*IF(Skills!H16&gt;0,Skills!I16/Skills!H16,1)</f>
        <v/>
      </c>
      <c r="H866">
        <f>1-(1-Skills!J16/100)^Skills!K16</f>
        <v/>
      </c>
      <c r="I866" t="inlineStr">
        <is>
          <t>1</t>
        </is>
      </c>
      <c r="J866" t="inlineStr"/>
      <c r="K866" t="inlineStr"/>
      <c r="L866" t="inlineStr"/>
      <c r="M866" t="inlineStr"/>
      <c r="N866" t="inlineStr"/>
      <c r="O866" t="n">
        <v>0</v>
      </c>
      <c r="P866">
        <f>IF(B890=0,0,O866/B890)</f>
        <v/>
      </c>
      <c r="Q866">
        <f>IFERROR(1/IF(Inputs!$B$4="pvp",15,MAX(0.1,Skills!D16-IF(Skills!E16=TRUE,Inputs!$B$31,0))),0)</f>
        <v/>
      </c>
      <c r="R866">
        <f>IF(AND(Inputs!$B$4&lt;&gt;"pvp",Inputs!$B$35&gt;0),(INT(Inputs!$B$35/IF(Inputs!$B$4="pvp",15,MAX(0.1,Skills!D16-IF(Skills!E16=TRUE,Inputs!$B$31,0))))+1),0)</f>
        <v/>
      </c>
      <c r="S866">
        <f>IFERROR(O866/N866,0)</f>
        <v/>
      </c>
    </row>
    <row r="867">
      <c r="A867">
        <f>Skills!A17</f>
        <v/>
      </c>
      <c r="B867">
        <f>Skills!B17</f>
        <v/>
      </c>
      <c r="C867">
        <f>Inputs!$B$3&gt;=72</f>
        <v/>
      </c>
      <c r="D867">
        <f>IF(Skills!C17=1,60+Inputs!$B$24+Inputs!$B$28,IF(Skills!C17=2,90+Inputs!$B$25+Inputs!$B$28,IF(Skills!C17=3,120+Inputs!$B$26+Inputs!$B$28,MAX(0,(Inputs!$B$3-100)*3)+(Inputs!$B$27+1)+Inputs!$B$28)))</f>
        <v/>
      </c>
      <c r="E867">
        <f>INDEX(FactorTable!$B$2:$Y$301, MATCH(ROUND(MIN(300,MAX(1,D867)),0), FactorTable!$A$2:$A$301,0), Skills!M17+1)</f>
        <v/>
      </c>
      <c r="F867">
        <f>IF(Skills!N17=TRUE,(Skills!L17/10)*(E867/1000),Skills!L17/10)+Skills!O17</f>
        <v/>
      </c>
      <c r="G867">
        <f>Skills!G17*IF(Skills!H17&gt;0,Skills!I17/Skills!H17,1)</f>
        <v/>
      </c>
      <c r="H867">
        <f>1-(1-Skills!J17/100)^Skills!K17</f>
        <v/>
      </c>
      <c r="I867" t="inlineStr">
        <is>
          <t>1</t>
        </is>
      </c>
      <c r="J867" t="inlineStr"/>
      <c r="K867" t="inlineStr"/>
      <c r="L867" t="inlineStr"/>
      <c r="M867" t="inlineStr"/>
      <c r="N867" t="inlineStr"/>
      <c r="O867" t="n">
        <v>0</v>
      </c>
      <c r="P867">
        <f>IF(B890=0,0,O867/B890)</f>
        <v/>
      </c>
      <c r="Q867" t="n">
        <v>0</v>
      </c>
      <c r="R867" t="n">
        <v>0</v>
      </c>
      <c r="S867">
        <f>IFERROR(O867/N867,0)</f>
        <v/>
      </c>
    </row>
    <row r="868">
      <c r="A868">
        <f>Skills!A18</f>
        <v/>
      </c>
      <c r="B868">
        <f>Skills!B18</f>
        <v/>
      </c>
      <c r="C868">
        <f>TRUE</f>
        <v/>
      </c>
      <c r="D868">
        <f>IF(Skills!C18=1,60+Inputs!$B$24+Inputs!$B$28,IF(Skills!C18=2,90+Inputs!$B$25+Inputs!$B$28,IF(Skills!C18=3,120+Inputs!$B$26+Inputs!$B$28,MAX(0,(Inputs!$B$3-100)*3)+(Inputs!$B$27+1)+Inputs!$B$28)))</f>
        <v/>
      </c>
      <c r="E868">
        <f>INDEX(FactorTable!$B$2:$Y$301, MATCH(ROUND(MIN(300,MAX(1,D868)),0), FactorTable!$A$2:$A$301,0), Skills!M18+1)</f>
        <v/>
      </c>
      <c r="F868">
        <f>IF(Skills!N18=TRUE,(Skills!L18/10)*(E868/1000),Skills!L18/10)+Skills!O18</f>
        <v/>
      </c>
      <c r="G868">
        <f>Skills!G18*IF(Skills!H18&gt;0,Skills!I18/Skills!H18,1)</f>
        <v/>
      </c>
      <c r="H868">
        <f>1-(1-Skills!J18/100)^Skills!K18</f>
        <v/>
      </c>
      <c r="I868" t="inlineStr">
        <is>
          <t>1</t>
        </is>
      </c>
      <c r="J868" t="inlineStr"/>
      <c r="K868" t="inlineStr"/>
      <c r="L868" t="inlineStr"/>
      <c r="M868" t="inlineStr"/>
      <c r="N868" t="inlineStr"/>
      <c r="O868" t="n">
        <v>0</v>
      </c>
      <c r="P868">
        <f>IF(B890=0,0,O868/B890)</f>
        <v/>
      </c>
      <c r="Q868">
        <f>IFERROR(1/IF(Inputs!$B$4="pvp",15,MAX(0.1,Skills!D18-IF(Skills!E18=TRUE,Inputs!$B$31,0))),0)</f>
        <v/>
      </c>
      <c r="R868">
        <f>IF(AND(Inputs!$B$4&lt;&gt;"pvp",Inputs!$B$35&gt;0),(INT(Inputs!$B$35/IF(Inputs!$B$4="pvp",15,MAX(0.1,Skills!D18-IF(Skills!E18=TRUE,Inputs!$B$31,0))))+1),0)</f>
        <v/>
      </c>
      <c r="S868">
        <f>IFERROR(O868/N868,0)</f>
        <v/>
      </c>
    </row>
    <row r="869">
      <c r="A869">
        <f>Skills!A19</f>
        <v/>
      </c>
      <c r="B869">
        <f>Skills!B19</f>
        <v/>
      </c>
      <c r="C869">
        <f>Inputs!$B$3&gt;=15</f>
        <v/>
      </c>
      <c r="D869">
        <f>IF(Skills!C19=1,60+Inputs!$B$24+Inputs!$B$28,IF(Skills!C19=2,90+Inputs!$B$25+Inputs!$B$28,IF(Skills!C19=3,120+Inputs!$B$26+Inputs!$B$28,MAX(0,(Inputs!$B$3-100)*3)+(Inputs!$B$27+1)+Inputs!$B$28)))</f>
        <v/>
      </c>
      <c r="E869">
        <f>INDEX(FactorTable!$B$2:$Y$301, MATCH(ROUND(MIN(300,MAX(1,D869)),0), FactorTable!$A$2:$A$301,0), Skills!M19+1)</f>
        <v/>
      </c>
      <c r="F869">
        <f>IF(Skills!N19=TRUE,(Skills!L19/10)*(E869/1000),Skills!L19/10)+Skills!O19</f>
        <v/>
      </c>
      <c r="G869">
        <f>Skills!G19*IF(Skills!H19&gt;0,Skills!I19/Skills!H19,1)</f>
        <v/>
      </c>
      <c r="H869">
        <f>1-(1-Skills!J19/100)^Skills!K19</f>
        <v/>
      </c>
      <c r="I869" t="inlineStr">
        <is>
          <t>1</t>
        </is>
      </c>
      <c r="J869" t="inlineStr"/>
      <c r="K869" t="inlineStr"/>
      <c r="L869" t="inlineStr"/>
      <c r="M869" t="inlineStr"/>
      <c r="N869" t="inlineStr"/>
      <c r="O869" t="n">
        <v>0</v>
      </c>
      <c r="P869">
        <f>IF(B890=0,0,O869/B890)</f>
        <v/>
      </c>
      <c r="Q869" t="n">
        <v>0</v>
      </c>
      <c r="R869" t="n">
        <v>0</v>
      </c>
      <c r="S869">
        <f>IFERROR(O869/N869,0)</f>
        <v/>
      </c>
    </row>
    <row r="870">
      <c r="A870">
        <f>Skills!A20</f>
        <v/>
      </c>
      <c r="B870">
        <f>Skills!B20</f>
        <v/>
      </c>
      <c r="C870">
        <f>Inputs!$B$3&gt;=10</f>
        <v/>
      </c>
      <c r="D870">
        <f>IF(Skills!C20=1,60+Inputs!$B$24+Inputs!$B$28,IF(Skills!C20=2,90+Inputs!$B$25+Inputs!$B$28,IF(Skills!C20=3,120+Inputs!$B$26+Inputs!$B$28,MAX(0,(Inputs!$B$3-100)*3)+(Inputs!$B$27+1)+Inputs!$B$28)))</f>
        <v/>
      </c>
      <c r="E870">
        <f>INDEX(FactorTable!$B$2:$Y$301, MATCH(ROUND(MIN(300,MAX(1,D870)),0), FactorTable!$A$2:$A$301,0), Skills!M20+1)</f>
        <v/>
      </c>
      <c r="F870">
        <f>IF(Skills!N20=TRUE,(Skills!L20/10)*(E870/1000),Skills!L20/10)+Skills!O20</f>
        <v/>
      </c>
      <c r="G870">
        <f>Skills!G20*IF(Skills!H20&gt;0,Skills!I20/Skills!H20,1)</f>
        <v/>
      </c>
      <c r="H870">
        <f>1-(1-Skills!J20/100)^Skills!K20</f>
        <v/>
      </c>
      <c r="I870" t="inlineStr">
        <is>
          <t>1</t>
        </is>
      </c>
      <c r="J870" t="inlineStr"/>
      <c r="K870" t="inlineStr"/>
      <c r="L870" t="inlineStr"/>
      <c r="M870" t="inlineStr"/>
      <c r="N870" t="inlineStr"/>
      <c r="O870" t="n">
        <v>0</v>
      </c>
      <c r="P870">
        <f>IF(B890=0,0,O870/B890)</f>
        <v/>
      </c>
      <c r="Q870" t="n">
        <v>0</v>
      </c>
      <c r="R870" t="n">
        <v>0</v>
      </c>
      <c r="S870">
        <f>IFERROR(O870/N870,0)</f>
        <v/>
      </c>
    </row>
    <row r="871">
      <c r="A871">
        <f>Skills!A21</f>
        <v/>
      </c>
      <c r="B871">
        <f>Skills!B21</f>
        <v/>
      </c>
      <c r="C871">
        <f>Inputs!$B$3&gt;=33</f>
        <v/>
      </c>
      <c r="D871">
        <f>IF(Skills!C21=1,60+Inputs!$B$24+Inputs!$B$28,IF(Skills!C21=2,90+Inputs!$B$25+Inputs!$B$28,IF(Skills!C21=3,120+Inputs!$B$26+Inputs!$B$28,MAX(0,(Inputs!$B$3-100)*3)+(Inputs!$B$27+1)+Inputs!$B$28)))</f>
        <v/>
      </c>
      <c r="E871">
        <f>INDEX(FactorTable!$B$2:$Y$301, MATCH(ROUND(MIN(300,MAX(1,D871)),0), FactorTable!$A$2:$A$301,0), Skills!M21+1)</f>
        <v/>
      </c>
      <c r="F871">
        <f>IF(Skills!N21=TRUE,(Skills!L21/10)*(E871/1000),Skills!L21/10)+Skills!O21</f>
        <v/>
      </c>
      <c r="G871">
        <f>Skills!G21*IF(Skills!H21&gt;0,Skills!I21/Skills!H21,1)</f>
        <v/>
      </c>
      <c r="H871">
        <f>1-(1-Skills!J21/100)^Skills!K21</f>
        <v/>
      </c>
      <c r="I871" t="inlineStr">
        <is>
          <t>1</t>
        </is>
      </c>
      <c r="J871" t="inlineStr"/>
      <c r="K871" t="inlineStr"/>
      <c r="L871" t="inlineStr"/>
      <c r="M871" t="inlineStr"/>
      <c r="N871" t="inlineStr"/>
      <c r="O871" t="n">
        <v>0</v>
      </c>
      <c r="P871">
        <f>IF(B890=0,0,O871/B890)</f>
        <v/>
      </c>
      <c r="Q871" t="n">
        <v>0</v>
      </c>
      <c r="R871" t="n">
        <v>0</v>
      </c>
      <c r="S871">
        <f>IFERROR(O871/N871,0)</f>
        <v/>
      </c>
    </row>
    <row r="872">
      <c r="A872">
        <f>Skills!A22</f>
        <v/>
      </c>
      <c r="B872">
        <f>Skills!B22</f>
        <v/>
      </c>
      <c r="C872">
        <f>Inputs!$B$3&gt;=38</f>
        <v/>
      </c>
      <c r="D872">
        <f>IF(Skills!C22=1,60+Inputs!$B$24+Inputs!$B$28,IF(Skills!C22=2,90+Inputs!$B$25+Inputs!$B$28,IF(Skills!C22=3,120+Inputs!$B$26+Inputs!$B$28,MAX(0,(Inputs!$B$3-100)*3)+(Inputs!$B$27+1)+Inputs!$B$28)))</f>
        <v/>
      </c>
      <c r="E872">
        <f>INDEX(FactorTable!$B$2:$Y$301, MATCH(ROUND(MIN(300,MAX(1,D872)),0), FactorTable!$A$2:$A$301,0), Skills!M22+1)</f>
        <v/>
      </c>
      <c r="F872">
        <f>IF(Skills!N22=TRUE,(Skills!L22/10)*(E872/1000),Skills!L22/10)+Skills!O22</f>
        <v/>
      </c>
      <c r="G872">
        <f>Skills!G22*IF(Skills!H22&gt;0,Skills!I22/Skills!H22,1)</f>
        <v/>
      </c>
      <c r="H872">
        <f>1-(1-Skills!J22/100)^Skills!K22</f>
        <v/>
      </c>
      <c r="I872" t="inlineStr">
        <is>
          <t>1</t>
        </is>
      </c>
      <c r="J872" t="inlineStr"/>
      <c r="K872" t="inlineStr"/>
      <c r="L872" t="inlineStr"/>
      <c r="M872" t="inlineStr"/>
      <c r="N872" t="inlineStr"/>
      <c r="O872" t="n">
        <v>0</v>
      </c>
      <c r="P872">
        <f>IF(B890=0,0,O872/B890)</f>
        <v/>
      </c>
      <c r="Q872" t="n">
        <v>0</v>
      </c>
      <c r="R872" t="n">
        <v>0</v>
      </c>
      <c r="S872">
        <f>IFERROR(O872/N872,0)</f>
        <v/>
      </c>
    </row>
    <row r="873">
      <c r="A873">
        <f>Skills!A23</f>
        <v/>
      </c>
      <c r="B873">
        <f>Skills!B23</f>
        <v/>
      </c>
      <c r="C873">
        <f>Inputs!$B$3&gt;=43</f>
        <v/>
      </c>
      <c r="D873">
        <f>IF(Skills!C23=1,60+Inputs!$B$24+Inputs!$B$28,IF(Skills!C23=2,90+Inputs!$B$25+Inputs!$B$28,IF(Skills!C23=3,120+Inputs!$B$26+Inputs!$B$28,MAX(0,(Inputs!$B$3-100)*3)+(Inputs!$B$27+1)+Inputs!$B$28)))</f>
        <v/>
      </c>
      <c r="E873">
        <f>INDEX(FactorTable!$B$2:$Y$301, MATCH(ROUND(MIN(300,MAX(1,D873)),0), FactorTable!$A$2:$A$301,0), Skills!M23+1)</f>
        <v/>
      </c>
      <c r="F873">
        <f>IF(Skills!N23=TRUE,(Skills!L23/10)*(E873/1000),Skills!L23/10)+Skills!O23</f>
        <v/>
      </c>
      <c r="G873">
        <f>Skills!G23*IF(Skills!H23&gt;0,Skills!I23/Skills!H23,1)</f>
        <v/>
      </c>
      <c r="H873">
        <f>1-(1-Skills!J23/100)^Skills!K23</f>
        <v/>
      </c>
      <c r="I873" t="inlineStr">
        <is>
          <t>1</t>
        </is>
      </c>
      <c r="J873" t="inlineStr"/>
      <c r="K873" t="inlineStr"/>
      <c r="L873" t="inlineStr"/>
      <c r="M873" t="inlineStr"/>
      <c r="N873" t="inlineStr"/>
      <c r="O873" t="n">
        <v>0</v>
      </c>
      <c r="P873">
        <f>IF(B890=0,0,O873/B890)</f>
        <v/>
      </c>
      <c r="Q873" t="n">
        <v>0</v>
      </c>
      <c r="R873" t="n">
        <v>0</v>
      </c>
      <c r="S873">
        <f>IFERROR(O873/N873,0)</f>
        <v/>
      </c>
    </row>
    <row r="874">
      <c r="A874">
        <f>Skills!A24</f>
        <v/>
      </c>
      <c r="B874">
        <f>Skills!B24</f>
        <v/>
      </c>
      <c r="C874">
        <f>Inputs!$B$3&gt;=75</f>
        <v/>
      </c>
      <c r="D874">
        <f>IF(Skills!C24=1,60+Inputs!$B$24+Inputs!$B$28,IF(Skills!C24=2,90+Inputs!$B$25+Inputs!$B$28,IF(Skills!C24=3,120+Inputs!$B$26+Inputs!$B$28,MAX(0,(Inputs!$B$3-100)*3)+(Inputs!$B$27+1)+Inputs!$B$28)))</f>
        <v/>
      </c>
      <c r="E874">
        <f>INDEX(FactorTable!$B$2:$Y$301, MATCH(ROUND(MIN(300,MAX(1,D874)),0), FactorTable!$A$2:$A$301,0), Skills!M24+1)</f>
        <v/>
      </c>
      <c r="F874">
        <f>IF(Skills!N24=TRUE,(Skills!L24/10)*(E874/1000),Skills!L24/10)+Skills!O24</f>
        <v/>
      </c>
      <c r="G874">
        <f>Skills!G24*IF(Skills!H24&gt;0,Skills!I24/Skills!H24,1)</f>
        <v/>
      </c>
      <c r="H874">
        <f>1-(1-Skills!J24/100)^Skills!K24</f>
        <v/>
      </c>
      <c r="I874" t="inlineStr">
        <is>
          <t>1</t>
        </is>
      </c>
      <c r="J874" t="inlineStr"/>
      <c r="K874" t="inlineStr"/>
      <c r="L874" t="inlineStr"/>
      <c r="M874" t="inlineStr"/>
      <c r="N874" t="inlineStr"/>
      <c r="O874" t="n">
        <v>0</v>
      </c>
      <c r="P874">
        <f>IF(B890=0,0,O874/B890)</f>
        <v/>
      </c>
      <c r="Q874" t="n">
        <v>0</v>
      </c>
      <c r="R874" t="n">
        <v>0</v>
      </c>
      <c r="S874">
        <f>IFERROR(O874/N874,0)</f>
        <v/>
      </c>
    </row>
    <row r="875">
      <c r="A875">
        <f>Skills!A25</f>
        <v/>
      </c>
      <c r="B875">
        <f>Skills!B25</f>
        <v/>
      </c>
      <c r="C875">
        <f>Inputs!$B$3&gt;=125</f>
        <v/>
      </c>
      <c r="D875">
        <f>IF(Skills!C25=1,60+Inputs!$B$24+Inputs!$B$28,IF(Skills!C25=2,90+Inputs!$B$25+Inputs!$B$28,IF(Skills!C25=3,120+Inputs!$B$26+Inputs!$B$28,MAX(0,(Inputs!$B$3-100)*3)+(Inputs!$B$27+1)+Inputs!$B$28)))</f>
        <v/>
      </c>
      <c r="E875">
        <f>INDEX(FactorTable!$B$2:$Y$301, MATCH(ROUND(MIN(300,MAX(1,D875)),0), FactorTable!$A$2:$A$301,0), Skills!M25+1)</f>
        <v/>
      </c>
      <c r="F875">
        <f>IF(Skills!N25=TRUE,(Skills!L25/10)*(E875/1000),Skills!L25/10)+Skills!O25</f>
        <v/>
      </c>
      <c r="G875">
        <f>Skills!G25*IF(Skills!H25&gt;0,Skills!I25/Skills!H25,1)</f>
        <v/>
      </c>
      <c r="H875">
        <f>1-(1-Skills!J25/100)^Skills!K25</f>
        <v/>
      </c>
      <c r="I875" t="inlineStr">
        <is>
          <t>1</t>
        </is>
      </c>
      <c r="J875" t="inlineStr"/>
      <c r="K875" t="inlineStr"/>
      <c r="L875" t="inlineStr"/>
      <c r="M875" t="inlineStr"/>
      <c r="N875" t="inlineStr"/>
      <c r="O875" t="n">
        <v>0</v>
      </c>
      <c r="P875">
        <f>IF(B890=0,0,O875/B890)</f>
        <v/>
      </c>
      <c r="Q875" t="n">
        <v>0</v>
      </c>
      <c r="R875" t="n">
        <v>0</v>
      </c>
      <c r="S875">
        <f>IFERROR(O875/N875,0)</f>
        <v/>
      </c>
    </row>
    <row r="876">
      <c r="A876">
        <f>Skills!A26</f>
        <v/>
      </c>
      <c r="B876">
        <f>Skills!B26</f>
        <v/>
      </c>
      <c r="C876">
        <f>Inputs!$B$3&gt;=125</f>
        <v/>
      </c>
      <c r="D876">
        <f>IF(Skills!C26=1,60+Inputs!$B$24+Inputs!$B$28,IF(Skills!C26=2,90+Inputs!$B$25+Inputs!$B$28,IF(Skills!C26=3,120+Inputs!$B$26+Inputs!$B$28,MAX(0,(Inputs!$B$3-100)*3)+(Inputs!$B$27+1)+Inputs!$B$28)))</f>
        <v/>
      </c>
      <c r="E876">
        <f>INDEX(FactorTable!$B$2:$Y$301, MATCH(ROUND(MIN(300,MAX(1,D876)),0), FactorTable!$A$2:$A$301,0), Skills!M26+1)</f>
        <v/>
      </c>
      <c r="F876">
        <f>IF(Skills!N26=TRUE,(Skills!L26/10)*(E876/1000),Skills!L26/10)+Skills!O26</f>
        <v/>
      </c>
      <c r="G876">
        <f>Skills!G26*IF(Skills!H26&gt;0,Skills!I26/Skills!H26,1)</f>
        <v/>
      </c>
      <c r="H876">
        <f>1-(1-Skills!J26/100)^Skills!K26</f>
        <v/>
      </c>
      <c r="I876" t="inlineStr">
        <is>
          <t>1</t>
        </is>
      </c>
      <c r="J876" t="inlineStr"/>
      <c r="K876" t="inlineStr"/>
      <c r="L876" t="inlineStr"/>
      <c r="M876" t="inlineStr"/>
      <c r="N876" t="inlineStr"/>
      <c r="O876" t="n">
        <v>0</v>
      </c>
      <c r="P876">
        <f>IF(B890=0,0,O876/B890)</f>
        <v/>
      </c>
      <c r="Q876" t="n">
        <v>0</v>
      </c>
      <c r="R876" t="n">
        <v>0</v>
      </c>
      <c r="S876">
        <f>IFERROR(O876/N876,0)</f>
        <v/>
      </c>
    </row>
    <row r="877">
      <c r="A877">
        <f>Skills!A27</f>
        <v/>
      </c>
      <c r="B877">
        <f>Skills!B27</f>
        <v/>
      </c>
      <c r="C877">
        <f>Inputs!$B$3&gt;=120</f>
        <v/>
      </c>
      <c r="D877">
        <f>IF(Skills!C27=1,60+Inputs!$B$24+Inputs!$B$28,IF(Skills!C27=2,90+Inputs!$B$25+Inputs!$B$28,IF(Skills!C27=3,120+Inputs!$B$26+Inputs!$B$28,MAX(0,(Inputs!$B$3-100)*3)+(Inputs!$B$27+1)+Inputs!$B$28)))</f>
        <v/>
      </c>
      <c r="E877">
        <f>INDEX(FactorTable!$B$2:$Y$301, MATCH(ROUND(MIN(300,MAX(1,D877)),0), FactorTable!$A$2:$A$301,0), Skills!M27+1)</f>
        <v/>
      </c>
      <c r="F877">
        <f>IF(Skills!N27=TRUE,(Skills!L27/10)*(E877/1000),Skills!L27/10)+Skills!O27</f>
        <v/>
      </c>
      <c r="G877">
        <f>Skills!G27*IF(Skills!H27&gt;0,Skills!I27/Skills!H27,1)</f>
        <v/>
      </c>
      <c r="H877">
        <f>1-(1-Skills!J27/100)^Skills!K27</f>
        <v/>
      </c>
      <c r="I877" t="inlineStr">
        <is>
          <t>1</t>
        </is>
      </c>
      <c r="J877" t="inlineStr"/>
      <c r="K877" t="inlineStr"/>
      <c r="L877" t="inlineStr"/>
      <c r="M877" t="inlineStr"/>
      <c r="N877" t="inlineStr"/>
      <c r="O877" t="n">
        <v>0</v>
      </c>
      <c r="P877">
        <f>IF(B890=0,0,O877/B890)</f>
        <v/>
      </c>
      <c r="Q877" t="n">
        <v>0</v>
      </c>
      <c r="R877" t="n">
        <v>0</v>
      </c>
      <c r="S877">
        <f>IFERROR(O877/N877,0)</f>
        <v/>
      </c>
    </row>
    <row r="878">
      <c r="A878">
        <f>Skills!A28</f>
        <v/>
      </c>
      <c r="B878">
        <f>Skills!B28</f>
        <v/>
      </c>
      <c r="C878">
        <f>Inputs!$B$3&gt;=120</f>
        <v/>
      </c>
      <c r="D878">
        <f>IF(Skills!C28=1,60+Inputs!$B$24+Inputs!$B$28,IF(Skills!C28=2,90+Inputs!$B$25+Inputs!$B$28,IF(Skills!C28=3,120+Inputs!$B$26+Inputs!$B$28,MAX(0,(Inputs!$B$3-100)*3)+(Inputs!$B$27+1)+Inputs!$B$28)))</f>
        <v/>
      </c>
      <c r="E878">
        <f>INDEX(FactorTable!$B$2:$Y$301, MATCH(ROUND(MIN(300,MAX(1,D878)),0), FactorTable!$A$2:$A$301,0), Skills!M28+1)</f>
        <v/>
      </c>
      <c r="F878">
        <f>IF(Skills!N28=TRUE,(Skills!L28/10)*(E878/1000),Skills!L28/10)+Skills!O28</f>
        <v/>
      </c>
      <c r="G878">
        <f>Skills!G28*IF(Skills!H28&gt;0,Skills!I28/Skills!H28,1)</f>
        <v/>
      </c>
      <c r="H878">
        <f>1-(1-Skills!J28/100)^Skills!K28</f>
        <v/>
      </c>
      <c r="I878" t="inlineStr">
        <is>
          <t>1</t>
        </is>
      </c>
      <c r="J878" t="inlineStr"/>
      <c r="K878" t="inlineStr"/>
      <c r="L878" t="inlineStr"/>
      <c r="M878" t="inlineStr"/>
      <c r="N878" t="inlineStr"/>
      <c r="O878" t="n">
        <v>0</v>
      </c>
      <c r="P878">
        <f>IF(B890=0,0,O878/B890)</f>
        <v/>
      </c>
      <c r="Q878" t="n">
        <v>0</v>
      </c>
      <c r="R878" t="n">
        <v>0</v>
      </c>
      <c r="S878">
        <f>IFERROR(O878/N878,0)</f>
        <v/>
      </c>
    </row>
    <row r="879">
      <c r="A879">
        <f>Skills!A29</f>
        <v/>
      </c>
      <c r="B879">
        <f>Skills!B29</f>
        <v/>
      </c>
      <c r="C879">
        <f>Inputs!$B$3&gt;=45</f>
        <v/>
      </c>
      <c r="D879">
        <f>IF(Skills!C29=1,60+Inputs!$B$24+Inputs!$B$28,IF(Skills!C29=2,90+Inputs!$B$25+Inputs!$B$28,IF(Skills!C29=3,120+Inputs!$B$26+Inputs!$B$28,MAX(0,(Inputs!$B$3-100)*3)+(Inputs!$B$27+1)+Inputs!$B$28)))</f>
        <v/>
      </c>
      <c r="E879">
        <f>INDEX(FactorTable!$B$2:$Y$301, MATCH(ROUND(MIN(300,MAX(1,D879)),0), FactorTable!$A$2:$A$301,0), Skills!M29+1)</f>
        <v/>
      </c>
      <c r="F879">
        <f>IF(Skills!N29=TRUE,(Skills!L29/10)*(E879/1000),Skills!L29/10)+Skills!O29</f>
        <v/>
      </c>
      <c r="G879">
        <f>Skills!G29*IF(Skills!H29&gt;0,Skills!I29/Skills!H29,1)</f>
        <v/>
      </c>
      <c r="H879">
        <f>1-(1-Skills!J29/100)^Skills!K29</f>
        <v/>
      </c>
      <c r="I879" t="inlineStr">
        <is>
          <t>1</t>
        </is>
      </c>
      <c r="J879" t="inlineStr"/>
      <c r="K879" t="inlineStr"/>
      <c r="L879" t="inlineStr"/>
      <c r="M879" t="inlineStr"/>
      <c r="N879" t="inlineStr"/>
      <c r="O879" t="n">
        <v>0</v>
      </c>
      <c r="P879">
        <f>IF(B890=0,0,O879/B890)</f>
        <v/>
      </c>
      <c r="Q879" t="n">
        <v>0</v>
      </c>
      <c r="R879" t="n">
        <v>0</v>
      </c>
      <c r="S879">
        <f>IFERROR(O879/N879,0)</f>
        <v/>
      </c>
    </row>
    <row r="881">
      <c r="A881" t="inlineStr">
        <is>
          <t>Attack% Bucket Multiplier</t>
        </is>
      </c>
      <c r="B881">
        <f>(1+(((C863=TRUE)*F863)+((C864=TRUE)*IF(Inputs!$B$4="pvp",F864,(1-Summary!$B$55)*(F864)+Summary!$B$55*(0)))+((C865=TRUE)*F865*IF(AND(Inputs!$B$4&lt;&gt;"pvp",Inputs!$B$35&gt;0),(((S865-1)*(Skills!T15*(1+Inputs!$B$33/100))+MIN((Skills!T15*(1+Inputs!$B$33/100)),MAX(0,Inputs!$B$35-((S865-1)*Skills!D15))))/Inputs!$B$35),IF(Inputs!$B$4="pvp",MIN((Skills!T15*(1+Inputs!$B$33/100)),15)/15,(Skills!T15*(1+Inputs!$B$33/100))/Skills!D15)))+((C862=TRUE)*F862)+((C879=TRUE)*(F879-Calc!F29)))/100)</f>
        <v/>
      </c>
    </row>
    <row r="882">
      <c r="A882" t="inlineStr">
        <is>
          <t>Global Crit Rate Bonus %</t>
        </is>
      </c>
      <c r="B882">
        <f>(C866=TRUE)*20*IF(AND(Inputs!$B$4&lt;&gt;"pvp",Inputs!$B$35&gt;0),(((S866-1)*(Skills!T16*(1+Inputs!$B$33/100))+MIN((Skills!T16*(1+Inputs!$B$33/100)),MAX(0,Inputs!$B$35-((S866-1)*Skills!D16))))/Inputs!$B$35),IF(Inputs!$B$4="pvp",MIN((Skills!T16*(1+Inputs!$B$33/100)),15)/15,(Skills!T16*(1+Inputs!$B$33/100))/Skills!D16))</f>
        <v/>
      </c>
    </row>
    <row r="883">
      <c r="A883" t="inlineStr">
        <is>
          <t>Attack Speed Buff Bonus %</t>
        </is>
      </c>
      <c r="B883">
        <f>((C868=TRUE)*F868*IF(AND(Inputs!$B$4&lt;&gt;"pvp",Inputs!$B$35&gt;0),(((S868-1)*(Skills!T18*(1+Inputs!$B$33/100))+MIN((Skills!T18*(1+Inputs!$B$33/100)),MAX(0,Inputs!$B$35-((S868-1)*Skills!D18))))/Inputs!$B$35),IF(Inputs!$B$4="pvp",MIN((Skills!T18*(1+Inputs!$B$33/100)),15)/15,(Skills!T18*(1+Inputs!$B$33/100))/Skills!D18)))</f>
        <v/>
      </c>
    </row>
    <row r="884">
      <c r="A884" t="inlineStr">
        <is>
          <t>Actions Per Second</t>
        </is>
      </c>
      <c r="B884">
        <f>1+MIN(150,150*(1-(1-(Inputs!$B$10+((C870=TRUE)*(F870-Calc!F20))+((C871=TRUE)*(F871-Calc!F21)))/150)*(1-B883/150)))/100</f>
        <v/>
      </c>
    </row>
    <row r="885">
      <c r="A885" t="inlineStr">
        <is>
          <t>Skill + Buff Cast Rate</t>
        </is>
      </c>
      <c r="B885">
        <f>IF(AND(Inputs!$B$4&lt;&gt;"pvp",Inputs!$B$35&gt;0),SUMPRODUCT((Skills!E2:E29=TRUE)*(C852:C879=TRUE)*R852:R879*Skills!F2:F29)/Inputs!$B$35,SUMPRODUCT((Skills!E2:E29=TRUE)*(C852:C879=TRUE)*Q852:Q879*Skills!F2:F29))</f>
        <v/>
      </c>
    </row>
    <row r="886">
      <c r="A886" t="inlineStr">
        <is>
          <t>Empowered Piercing Arrow Casts Per Second</t>
        </is>
      </c>
      <c r="B886">
        <f>MAX(0,B884-B885)</f>
        <v/>
      </c>
    </row>
    <row r="887">
      <c r="A887" t="inlineStr">
        <is>
          <t>Global Critical Damage Bonus % (Sharp Eyes)</t>
        </is>
      </c>
      <c r="B887">
        <f>(C866=TRUE)*F866*IF(AND(Inputs!$B$4&lt;&gt;"pvp",Inputs!$B$35&gt;0),(((S866-1)*(Skills!T16*(1+Inputs!$B$33/100))+MIN((Skills!T16*(1+Inputs!$B$33/100)),MAX(0,Inputs!$B$35-((S866-1)*Skills!D16))))/Inputs!$B$35),IF(Inputs!$B$4="pvp",MIN((Skills!T16*(1+Inputs!$B$33/100)),15)/15,(Skills!T16*(1+Inputs!$B$33/100))/Skills!D16))</f>
        <v/>
      </c>
    </row>
    <row r="888">
      <c r="A888" t="inlineStr">
        <is>
          <t>Global Final Damage Bonus % (Mortal Blow + Last Man Standing conditional half)</t>
        </is>
      </c>
      <c r="B888">
        <f>(C867=TRUE)*F867+((C876=TRUE)*IF(Inputs!$B$4="pvp",F876,(1-Summary!$B$55)*(F876)+Summary!$B$55*(0)))</f>
        <v/>
      </c>
    </row>
    <row r="890">
      <c r="A890" s="5" t="inlineStr">
        <is>
          <t>TOTAL DPS</t>
        </is>
      </c>
      <c r="B890" s="5">
        <f>SUM(O852:O879)</f>
        <v/>
      </c>
    </row>
    <row r="893">
      <c r="A893" s="5" t="inlineStr">
        <is>
          <t>Stat: Skill Level Bonus — All Skills</t>
        </is>
      </c>
    </row>
    <row r="894">
      <c r="A894" s="8" t="inlineStr">
        <is>
          <t>Key</t>
        </is>
      </c>
      <c r="B894" s="8" t="inlineStr">
        <is>
          <t>Name</t>
        </is>
      </c>
      <c r="C894" s="8" t="inlineStr">
        <is>
          <t>Unlocked</t>
        </is>
      </c>
      <c r="D894" s="8" t="inlineStr">
        <is>
          <t>InputLevel</t>
        </is>
      </c>
      <c r="E894" s="8" t="inlineStr">
        <is>
          <t>Factor</t>
        </is>
      </c>
      <c r="F894" s="8" t="inlineStr">
        <is>
          <t>CoefficientPercent</t>
        </is>
      </c>
      <c r="G894" s="8" t="inlineStr">
        <is>
          <t>EffectiveHits</t>
        </is>
      </c>
      <c r="H894" s="8" t="inlineStr">
        <is>
          <t>ProcProbability</t>
        </is>
      </c>
      <c r="I894" s="8" t="inlineStr">
        <is>
          <t>MapleHeroMultiplier</t>
        </is>
      </c>
      <c r="J894" s="8" t="inlineStr">
        <is>
          <t>BaseDamage</t>
        </is>
      </c>
      <c r="K894" s="8" t="inlineStr">
        <is>
          <t>BaseHitDamage</t>
        </is>
      </c>
      <c r="L894" s="8" t="inlineStr">
        <is>
          <t>NonCritAvg</t>
        </is>
      </c>
      <c r="M894" s="8" t="inlineStr">
        <is>
          <t>CritAvg</t>
        </is>
      </c>
      <c r="N894" s="8" t="inlineStr">
        <is>
          <t>ExpectedDamage(perHit)</t>
        </is>
      </c>
      <c r="O894" s="8" t="inlineStr">
        <is>
          <t>DPS</t>
        </is>
      </c>
      <c r="P894" s="8" t="inlineStr">
        <is>
          <t>% of Total</t>
        </is>
      </c>
      <c r="Q894" s="8" t="inlineStr">
        <is>
          <t>InvCooldown</t>
        </is>
      </c>
      <c r="R894" s="8" t="inlineStr">
        <is>
          <t>CastsInFight</t>
        </is>
      </c>
      <c r="S894" s="8" t="inlineStr">
        <is>
          <t>HitRate(perSec)</t>
        </is>
      </c>
      <c r="U894" t="inlineStr">
        <is>
          <t>helpers</t>
        </is>
      </c>
    </row>
    <row r="895">
      <c r="A895">
        <f>Skills!A2</f>
        <v/>
      </c>
      <c r="B895">
        <f>Skills!B2</f>
        <v/>
      </c>
      <c r="C895">
        <f>Inputs!$B$3&gt;=100</f>
        <v/>
      </c>
      <c r="D895" t="inlineStr"/>
      <c r="E895" t="inlineStr"/>
      <c r="F895">
        <f>U897+Skills!O2</f>
        <v/>
      </c>
      <c r="G895">
        <f>Skills!G2*IF(Skills!H2&gt;0,Skills!I2/Skills!H2,1)</f>
        <v/>
      </c>
      <c r="H895">
        <f>1-(1-Skills!J2/100)^Skills!K2</f>
        <v/>
      </c>
      <c r="I895" t="inlineStr">
        <is>
          <t>1</t>
        </is>
      </c>
      <c r="J895">
        <f>(Inputs!$B$5*(1+Inputs!$B$6/100))*(F895/100)</f>
        <v/>
      </c>
      <c r="K895">
        <f>J895*(1+((Inputs!$B$11*(1+Inputs!$B$12/100))*0.01+Inputs!$B$13*0.0025)/100)*(1+Inputs!$B$14/100)*(1+IF(Inputs!$B$4="pvp",0,(1-Summary!$B$55)*(Inputs!$B$19+0+Skills!P2)+Summary!$B$55*(Inputs!$B$20+Skills!Q2))/100)*(1+Inputs!$B$15/100)*(5000/(6000+Inputs!$B$7*(1-(Inputs!$B$18+0)/100)))*(1+(Inputs!$B$23+((C917=TRUE)*(F917-Calc!F24))+((C918=TRUE)*(F918-Calc!F25))+B931)/100)*(1+(IF(Skills!A2="EMPOWERED_PIERCING_ARROW",Inputs!$B$16+((C915=TRUE)*(F915-Calc!F22)),Inputs!$B$17+((C920=TRUE)*(F920-Calc!F27))))/100)*((1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I895)</f>
        <v/>
      </c>
      <c r="L895">
        <f>K895*(MIN(Inputs!$B$21+((C916=TRUE)*(F916-Calc!F23)),Inputs!$B$22+((C921=TRUE)*(F921-Calc!F28)))/100+(Inputs!$B$22+((C921=TRUE)*(F921-Calc!F28)))/100)/2</f>
        <v/>
      </c>
      <c r="M895">
        <f>L895*(1+(Inputs!$B$9+0+B930)/100)</f>
        <v/>
      </c>
      <c r="N895">
        <f>L895*(1-MIN((Inputs!$B$8+((C912=TRUE)*(F912-Calc!F19))+B925),100)/100)+M895*(MIN((Inputs!$B$8+((C912=TRUE)*(F912-Calc!F19))+B925),100)/100)</f>
        <v/>
      </c>
      <c r="O895">
        <f>IF(C895,Skills!G2*N895*B929*IF(Inputs!$B$4="pvp",1,(1-Summary!$B$55)*(1)+Summary!$B$55*(MIN((6+Inputs!$B$32),Inputs!$B$37))),0)</f>
        <v/>
      </c>
      <c r="P895">
        <f>IF(B933=0,0,O895/B933)</f>
        <v/>
      </c>
      <c r="Q895" t="n">
        <v>0</v>
      </c>
      <c r="R895" t="n">
        <v>0</v>
      </c>
      <c r="S895">
        <f>IFERROR(O895/N895,0)</f>
        <v/>
      </c>
      <c r="U895">
        <f>MAX(0,(Inputs!$B$3-100)*3)+Inputs!$B$27+(Inputs!$B$28+1)</f>
        <v/>
      </c>
    </row>
    <row r="896">
      <c r="A896">
        <f>Skills!A3</f>
        <v/>
      </c>
      <c r="B896">
        <f>Skills!B3</f>
        <v/>
      </c>
      <c r="C896">
        <f>Inputs!$B$3&gt;=50</f>
        <v/>
      </c>
      <c r="D896">
        <f>IF(Skills!C3=1,60+Inputs!$B$24+(Inputs!$B$28+1),IF(Skills!C3=2,90+Inputs!$B$25+(Inputs!$B$28+1),IF(Skills!C3=3,120+Inputs!$B$26+(Inputs!$B$28+1),MAX(0,(Inputs!$B$3-100)*3)+Inputs!$B$27+(Inputs!$B$28+1))))</f>
        <v/>
      </c>
      <c r="E896">
        <f>INDEX(FactorTable!$B$2:$Y$301, MATCH(ROUND(MIN(300,MAX(1,D896)),0), FactorTable!$A$2:$A$301,0), Skills!M3+1)</f>
        <v/>
      </c>
      <c r="F896">
        <f>IF(Skills!N3=TRUE,(Skills!L3/10)*(E896/1000),Skills!L3/10)+Skills!O3</f>
        <v/>
      </c>
      <c r="G896" t="inlineStr"/>
      <c r="H896" t="inlineStr"/>
      <c r="I896" t="inlineStr">
        <is>
          <t>1</t>
        </is>
      </c>
      <c r="J896" t="inlineStr"/>
      <c r="K896" t="inlineStr"/>
      <c r="L896" t="inlineStr"/>
      <c r="M896" t="inlineStr"/>
      <c r="N896" t="inlineStr"/>
      <c r="O896" t="inlineStr"/>
      <c r="P896" t="inlineStr"/>
      <c r="Q896" t="inlineStr"/>
      <c r="R896" t="inlineStr"/>
      <c r="S896" t="inlineStr"/>
      <c r="U896">
        <f>INDEX(FactorTable!$B$2:$Y$301, MATCH(ROUND(MIN(300,MAX(1,U895)),0), FactorTable!$A$2:$A$301,0), 22)</f>
        <v/>
      </c>
    </row>
    <row r="897">
      <c r="A897">
        <f>Skills!A4</f>
        <v/>
      </c>
      <c r="B897">
        <f>Skills!B4</f>
        <v/>
      </c>
      <c r="C897">
        <f>Inputs!$B$3&gt;=105</f>
        <v/>
      </c>
      <c r="D897">
        <f>IF(Skills!C4=1,60+Inputs!$B$24+(Inputs!$B$28+1),IF(Skills!C4=2,90+Inputs!$B$25+(Inputs!$B$28+1),IF(Skills!C4=3,120+Inputs!$B$26+(Inputs!$B$28+1),MAX(0,(Inputs!$B$3-100)*3)+Inputs!$B$27+(Inputs!$B$28+1))))</f>
        <v/>
      </c>
      <c r="E897">
        <f>INDEX(FactorTable!$B$2:$Y$301, MATCH(ROUND(MIN(300,MAX(1,D897)),0), FactorTable!$A$2:$A$301,0), Skills!M4+1)</f>
        <v/>
      </c>
      <c r="F897">
        <f>IF(Skills!N4=TRUE,(Skills!L4/10)*(E897/1000),Skills!L4/10)+Skills!O4</f>
        <v/>
      </c>
      <c r="G897" t="inlineStr"/>
      <c r="H897" t="inlineStr"/>
      <c r="I897" t="inlineStr">
        <is>
          <t>1</t>
        </is>
      </c>
      <c r="J897" t="inlineStr"/>
      <c r="K897" t="inlineStr"/>
      <c r="L897" t="inlineStr"/>
      <c r="M897" t="inlineStr"/>
      <c r="N897" t="inlineStr"/>
      <c r="O897" t="inlineStr"/>
      <c r="P897" t="inlineStr"/>
      <c r="Q897" t="inlineStr"/>
      <c r="R897" t="inlineStr"/>
      <c r="S897" t="inlineStr"/>
      <c r="U897">
        <f>290*U896/1000</f>
        <v/>
      </c>
    </row>
    <row r="898">
      <c r="A898">
        <f>Skills!A5</f>
        <v/>
      </c>
      <c r="B898">
        <f>Skills!B5</f>
        <v/>
      </c>
      <c r="C898">
        <f>Inputs!$B$3&gt;=35</f>
        <v/>
      </c>
      <c r="D898">
        <f>IF(Skills!C5=1,60+Inputs!$B$24+(Inputs!$B$28+1),IF(Skills!C5=2,90+Inputs!$B$25+(Inputs!$B$28+1),IF(Skills!C5=3,120+Inputs!$B$26+(Inputs!$B$28+1),MAX(0,(Inputs!$B$3-100)*3)+Inputs!$B$27+(Inputs!$B$28+1))))</f>
        <v/>
      </c>
      <c r="E898">
        <f>INDEX(FactorTable!$B$2:$Y$301, MATCH(ROUND(MIN(300,MAX(1,D898)),0), FactorTable!$A$2:$A$301,0), Skills!M5+1)</f>
        <v/>
      </c>
      <c r="F898">
        <f>IF(Skills!N5=TRUE,(Skills!L5/10)*(E898/1000),Skills!L5/10)+Skills!O5</f>
        <v/>
      </c>
      <c r="G898">
        <f>Skills!G5*IF(Skills!H5&gt;0,Skills!I5/Skills!H5,1)</f>
        <v/>
      </c>
      <c r="H898">
        <f>1-(1-Skills!J5/100)^Skills!K5</f>
        <v/>
      </c>
      <c r="I898" t="inlineStr">
        <is>
          <t>1</t>
        </is>
      </c>
      <c r="J898">
        <f>(Inputs!$B$5*(1+Inputs!$B$6/100))*(F898/100)</f>
        <v/>
      </c>
      <c r="K898">
        <f>J898*(1+((Inputs!$B$11*(1+Inputs!$B$12/100))*0.01+Inputs!$B$13*0.0025)/100)*(1+Inputs!$B$14/100)*(1+IF(Inputs!$B$4="pvp",0,(1-Summary!$B$55)*(Inputs!$B$19+0+Skills!P5)+Summary!$B$55*(Inputs!$B$20+Skills!Q5))/100)*(1+Inputs!$B$15/100)*(5000/(6000+Inputs!$B$7*(1-(Inputs!$B$18+0)/100)))*(1+(Inputs!$B$23+((C917=TRUE)*(F917-Calc!F24))+((C918=TRUE)*(F918-Calc!F25))+B931)/100)*(1+4.0*IF(C901=TRUE,F901,0)/100)*(1+(IF(Skills!A5="EMPOWERED_PIERCING_ARROW",Inputs!$B$16+((C915=TRUE)*(F915-Calc!F22)),Inputs!$B$17+((C920=TRUE)*(F920-Calc!F27))))/100)*((1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I898)</f>
        <v/>
      </c>
      <c r="L898">
        <f>K898*(MIN(Inputs!$B$21+((C916=TRUE)*(F916-Calc!F23)),Inputs!$B$22+((C921=TRUE)*(F921-Calc!F28)))/100+(Inputs!$B$22+((C921=TRUE)*(F921-Calc!F28)))/100)/2</f>
        <v/>
      </c>
      <c r="M898">
        <f>L898*(1+(Inputs!$B$9+0+B930)/100)</f>
        <v/>
      </c>
      <c r="N898">
        <f>L898*(1-MIN((Inputs!$B$8+((C912=TRUE)*(F912-Calc!F19))+B925),100)/100)+M898*(MIN((Inputs!$B$8+((C912=TRUE)*(F912-Calc!F19))+B925),100)/100)</f>
        <v/>
      </c>
      <c r="O898">
        <f>IF(C898,H898*N898*IF(AND(Inputs!$B$4&lt;&gt;"pvp",Inputs!$B$35&gt;0),((Skills!G5*((R898-1)*IF(Skills!H5&gt;0,Skills!I5/Skills!H5,1)+IF(Skills!H5&gt;0,MIN(Skills!I5,MAX(0,Inputs!$B$35-((R898-1)*IF(Inputs!$B$4="pvp",15,MAX(0.1,Skills!D5-IF(Skills!E5=TRUE,Inputs!$B$31,0))))))/Skills!H5,1)))/Inputs!$B$35),G898*Q898)*IF(Inputs!$B$4="pvp",1,(1-Summary!$B$55)*(1)+Summary!$B$55*(MIN(Skills!R5,Inputs!$B$37))),0)</f>
        <v/>
      </c>
      <c r="P898">
        <f>IF(B933=0,0,O898/B933)</f>
        <v/>
      </c>
      <c r="Q898">
        <f>IFERROR(1/IF(Inputs!$B$4="pvp",15,MAX(0.1,Skills!D5-IF(Skills!E5=TRUE,Inputs!$B$31,0))),0)</f>
        <v/>
      </c>
      <c r="R898">
        <f>IF(AND(Inputs!$B$4&lt;&gt;"pvp",Inputs!$B$35&gt;0),(INT(Inputs!$B$35/IF(Inputs!$B$4="pvp",15,MAX(0.1,Skills!D5-IF(Skills!E5=TRUE,Inputs!$B$31,0))))+1),0)</f>
        <v/>
      </c>
      <c r="S898">
        <f>IFERROR(O898/N898,0)</f>
        <v/>
      </c>
    </row>
    <row r="899">
      <c r="A899">
        <f>Skills!A6</f>
        <v/>
      </c>
      <c r="B899">
        <f>Skills!B6</f>
        <v/>
      </c>
      <c r="C899">
        <f>Inputs!$B$3&gt;=63</f>
        <v/>
      </c>
      <c r="D899">
        <f>IF(Skills!C6=1,60+Inputs!$B$24+(Inputs!$B$28+1),IF(Skills!C6=2,90+Inputs!$B$25+(Inputs!$B$28+1),IF(Skills!C6=3,120+Inputs!$B$26+(Inputs!$B$28+1),MAX(0,(Inputs!$B$3-100)*3)+Inputs!$B$27+(Inputs!$B$28+1))))</f>
        <v/>
      </c>
      <c r="E899">
        <f>INDEX(FactorTable!$B$2:$Y$301, MATCH(ROUND(MIN(300,MAX(1,D899)),0), FactorTable!$A$2:$A$301,0), Skills!M6+1)</f>
        <v/>
      </c>
      <c r="F899">
        <f>IF(Skills!N6=TRUE,(Skills!L6/10)*(E899/1000),Skills!L6/10)+Skills!O6</f>
        <v/>
      </c>
      <c r="G899">
        <f>Skills!G6*IF(Skills!H6&gt;0,Skills!I6/Skills!H6,1)</f>
        <v/>
      </c>
      <c r="H899">
        <f>1-(1-Skills!J6/100)^Skills!K6</f>
        <v/>
      </c>
      <c r="I899" t="inlineStr">
        <is>
          <t>1</t>
        </is>
      </c>
      <c r="J899">
        <f>(Inputs!$B$5*(1+Inputs!$B$6/100))*(F899/100)</f>
        <v/>
      </c>
      <c r="K899">
        <f>J899*(1+((Inputs!$B$11*(1+Inputs!$B$12/100))*0.01+Inputs!$B$13*0.0025)/100)*(1+Inputs!$B$14/100)*(1+IF(Inputs!$B$4="pvp",0,(1-Summary!$B$55)*(Inputs!$B$19+0+Skills!P6)+Summary!$B$55*(Inputs!$B$20+Skills!Q6))/100)*(1+Inputs!$B$15/100)*(5000/(6000+Inputs!$B$7*(1-(Inputs!$B$18+0)/100)))*(1+(Inputs!$B$23+((C917=TRUE)*(F917-Calc!F24))+((C918=TRUE)*(F918-Calc!F25))+B931)/100)*(1+1.0*IF(C901=TRUE,F901,0)/100)*(1+(IF(Skills!A6="EMPOWERED_PIERCING_ARROW",Inputs!$B$16+((C915=TRUE)*(F915-Calc!F22)),Inputs!$B$17+((C920=TRUE)*(F920-Calc!F27))))/100)*((1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I899)</f>
        <v/>
      </c>
      <c r="L899">
        <f>K899*(MIN(Inputs!$B$21+((C916=TRUE)*(F916-Calc!F23)),Inputs!$B$22+((C921=TRUE)*(F921-Calc!F28)))/100+(Inputs!$B$22+((C921=TRUE)*(F921-Calc!F28)))/100)/2</f>
        <v/>
      </c>
      <c r="M899">
        <f>L899*(1+(Inputs!$B$9+0+B930)/100)</f>
        <v/>
      </c>
      <c r="N899">
        <f>L899*(1-MIN((Inputs!$B$8+((C912=TRUE)*(F912-Calc!F19))+B925),100)/100)+M899*(MIN((Inputs!$B$8+((C912=TRUE)*(F912-Calc!F19))+B925),100)/100)</f>
        <v/>
      </c>
      <c r="O899">
        <f>IF(C899,H899*N899*IF(AND(Inputs!$B$4&lt;&gt;"pvp",Inputs!$B$35&gt;0),((Skills!G6*((R899-1)*IF(Skills!H6&gt;0,Skills!I6/Skills!H6,1)+IF(Skills!H6&gt;0,MIN(Skills!I6,MAX(0,Inputs!$B$35-((R899-1)*IF(Inputs!$B$4="pvp",15,MAX(0.1,Skills!D6-IF(Skills!E6=TRUE,Inputs!$B$31,0))))))/Skills!H6,1)))/Inputs!$B$35),G899*Q899)*IF(Inputs!$B$4="pvp",1,(1-Summary!$B$55)*(1)+Summary!$B$55*(MIN(Skills!R6,Inputs!$B$37))),0)</f>
        <v/>
      </c>
      <c r="P899">
        <f>IF(B933=0,0,O899/B933)</f>
        <v/>
      </c>
      <c r="Q899">
        <f>IFERROR(1/IF(Inputs!$B$4="pvp",15,MAX(0.1,Skills!D6-IF(Skills!E6=TRUE,Inputs!$B$31,0))),0)</f>
        <v/>
      </c>
      <c r="R899">
        <f>IF(AND(Inputs!$B$4&lt;&gt;"pvp",Inputs!$B$35&gt;0),(INT(Inputs!$B$35/IF(Inputs!$B$4="pvp",15,MAX(0.1,Skills!D6-IF(Skills!E6=TRUE,Inputs!$B$31,0))))+1),0)</f>
        <v/>
      </c>
      <c r="S899">
        <f>IFERROR(O899/N899,0)</f>
        <v/>
      </c>
    </row>
    <row r="900">
      <c r="A900">
        <f>Skills!A7</f>
        <v/>
      </c>
      <c r="B900">
        <f>Skills!B7</f>
        <v/>
      </c>
      <c r="C900">
        <f>Inputs!$B$3&gt;=69</f>
        <v/>
      </c>
      <c r="D900">
        <f>IF(Skills!C7=1,60+Inputs!$B$24+(Inputs!$B$28+1),IF(Skills!C7=2,90+Inputs!$B$25+(Inputs!$B$28+1),IF(Skills!C7=3,120+Inputs!$B$26+(Inputs!$B$28+1),MAX(0,(Inputs!$B$3-100)*3)+Inputs!$B$27+(Inputs!$B$28+1))))</f>
        <v/>
      </c>
      <c r="E900">
        <f>INDEX(FactorTable!$B$2:$Y$301, MATCH(ROUND(MIN(300,MAX(1,D900)),0), FactorTable!$A$2:$A$301,0), Skills!M7+1)</f>
        <v/>
      </c>
      <c r="F900">
        <f>IF(Skills!N7=TRUE,(Skills!L7/10)*(E900/1000),Skills!L7/10)+Skills!O7</f>
        <v/>
      </c>
      <c r="G900">
        <f>Skills!G7*IF(Skills!H7&gt;0,Skills!I7/Skills!H7,1)</f>
        <v/>
      </c>
      <c r="H900">
        <f>1-(1-Skills!J7/100)^Skills!K7</f>
        <v/>
      </c>
      <c r="I900" t="inlineStr">
        <is>
          <t>1</t>
        </is>
      </c>
      <c r="J900">
        <f>(Inputs!$B$5*(1+Inputs!$B$6/100))*(F900/100)</f>
        <v/>
      </c>
      <c r="K900">
        <f>J900*(1+((Inputs!$B$11*(1+Inputs!$B$12/100))*0.01+Inputs!$B$13*0.0025)/100)*(1+Inputs!$B$14/100)*(1+IF(Inputs!$B$4="pvp",0,(1-Summary!$B$55)*(Inputs!$B$19+0+Skills!P7)+Summary!$B$55*(Inputs!$B$20+Skills!Q7))/100)*(1+Inputs!$B$15/100)*(5000/(6000+Inputs!$B$7*(1-(Inputs!$B$18+0)/100)))*(1+(Inputs!$B$23+((C917=TRUE)*(F917-Calc!F24))+((C918=TRUE)*(F918-Calc!F25))+B931)/100)*(1+1.2*IF(C901=TRUE,F901,0)/100)*(1+(IF(Skills!A7="EMPOWERED_PIERCING_ARROW",Inputs!$B$16+((C915=TRUE)*(F915-Calc!F22)),Inputs!$B$17+((C920=TRUE)*(F920-Calc!F27))))/100)*((1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I900)</f>
        <v/>
      </c>
      <c r="L900">
        <f>K900*(MIN(Inputs!$B$21+((C916=TRUE)*(F916-Calc!F23)),Inputs!$B$22+((C921=TRUE)*(F921-Calc!F28)))/100+(Inputs!$B$22+((C921=TRUE)*(F921-Calc!F28)))/100)/2</f>
        <v/>
      </c>
      <c r="M900">
        <f>L900*(1+(Inputs!$B$9+0+B930)/100)</f>
        <v/>
      </c>
      <c r="N900">
        <f>L900*(1-MIN((Inputs!$B$8+((C912=TRUE)*(F912-Calc!F19))+B925),100)/100)+M900*(MIN((Inputs!$B$8+((C912=TRUE)*(F912-Calc!F19))+B925),100)/100)</f>
        <v/>
      </c>
      <c r="O900">
        <f>IF(C900,H900*N900*IF(AND(Inputs!$B$4&lt;&gt;"pvp",Inputs!$B$35&gt;0),((Skills!G7*((R900-1)*IF(Skills!H7&gt;0,Skills!I7/Skills!H7,1)+IF(Skills!H7&gt;0,MIN(Skills!I7,MAX(0,Inputs!$B$35-((R900-1)*IF(Inputs!$B$4="pvp",15,MAX(0.1,Skills!D7-IF(Skills!E7=TRUE,Inputs!$B$31,0))))))/Skills!H7,1)))/Inputs!$B$35),G900*Q900)*IF(Inputs!$B$4="pvp",1,(1-Summary!$B$55)*(1)+Summary!$B$55*(MIN(Skills!R7,Inputs!$B$37))),0)</f>
        <v/>
      </c>
      <c r="P900">
        <f>IF(B933=0,0,O900/B933)</f>
        <v/>
      </c>
      <c r="Q900">
        <f>IFERROR(1/IF(Inputs!$B$4="pvp",15,MAX(0.1,Skills!D7-IF(Skills!E7=TRUE,Inputs!$B$31,0))),0)</f>
        <v/>
      </c>
      <c r="R900">
        <f>IF(AND(Inputs!$B$4&lt;&gt;"pvp",Inputs!$B$35&gt;0),(INT(Inputs!$B$35/IF(Inputs!$B$4="pvp",15,MAX(0.1,Skills!D7-IF(Skills!E7=TRUE,Inputs!$B$31,0))))+1),0)</f>
        <v/>
      </c>
      <c r="S900">
        <f>IFERROR(O900/N900,0)</f>
        <v/>
      </c>
    </row>
    <row r="901">
      <c r="A901">
        <f>Skills!A8</f>
        <v/>
      </c>
      <c r="B901">
        <f>Skills!B8</f>
        <v/>
      </c>
      <c r="C901">
        <f>Inputs!$B$3&gt;=100</f>
        <v/>
      </c>
      <c r="D901">
        <f>IF(Skills!C8=1,60+Inputs!$B$24+(Inputs!$B$28+1),IF(Skills!C8=2,90+Inputs!$B$25+(Inputs!$B$28+1),IF(Skills!C8=3,120+Inputs!$B$26+(Inputs!$B$28+1),MAX(0,(Inputs!$B$3-100)*3)+Inputs!$B$27+(Inputs!$B$28+1))))</f>
        <v/>
      </c>
      <c r="E901">
        <f>INDEX(FactorTable!$B$2:$Y$301, MATCH(ROUND(MIN(300,MAX(1,D901)),0), FactorTable!$A$2:$A$301,0), Skills!M8+1)</f>
        <v/>
      </c>
      <c r="F901">
        <f>IF(Skills!N8=TRUE,(Skills!L8/10)*(E901/1000),Skills!L8/10)+Skills!O8</f>
        <v/>
      </c>
      <c r="G901" t="inlineStr"/>
      <c r="H901" t="inlineStr"/>
      <c r="I901" t="inlineStr">
        <is>
          <t>1</t>
        </is>
      </c>
      <c r="J901" t="inlineStr"/>
      <c r="K901" t="inlineStr"/>
      <c r="L901" t="inlineStr"/>
      <c r="M901" t="inlineStr"/>
      <c r="N901" t="inlineStr"/>
      <c r="O901" t="inlineStr"/>
      <c r="P901" t="inlineStr"/>
      <c r="Q901" t="inlineStr"/>
      <c r="R901" t="inlineStr"/>
      <c r="S901" t="inlineStr"/>
    </row>
    <row r="902">
      <c r="A902">
        <f>Skills!A9</f>
        <v/>
      </c>
      <c r="B902">
        <f>Skills!B9</f>
        <v/>
      </c>
      <c r="C902">
        <f>Inputs!$B$3&gt;=103</f>
        <v/>
      </c>
      <c r="D902">
        <f>IF(Skills!C9=1,60+Inputs!$B$24+(Inputs!$B$28+1),IF(Skills!C9=2,90+Inputs!$B$25+(Inputs!$B$28+1),IF(Skills!C9=3,120+Inputs!$B$26+(Inputs!$B$28+1),MAX(0,(Inputs!$B$3-100)*3)+Inputs!$B$27+(Inputs!$B$28+1))))</f>
        <v/>
      </c>
      <c r="E902">
        <f>INDEX(FactorTable!$B$2:$Y$301, MATCH(ROUND(MIN(300,MAX(1,D902)),0), FactorTable!$A$2:$A$301,0), Skills!M9+1)</f>
        <v/>
      </c>
      <c r="F902">
        <f>IF(Skills!N9=TRUE,(Skills!L9/10)*(E902/1000),Skills!L9/10)+Skills!O9</f>
        <v/>
      </c>
      <c r="G902">
        <f>Skills!G9*IF(Skills!H9&gt;0,Skills!I9/Skills!H9,1)</f>
        <v/>
      </c>
      <c r="H902">
        <f>1-(1-Skills!J9/100)^Skills!K9</f>
        <v/>
      </c>
      <c r="I902" t="inlineStr">
        <is>
          <t>1</t>
        </is>
      </c>
      <c r="J902">
        <f>(Inputs!$B$5*(1+Inputs!$B$6/100))*(F902/100)</f>
        <v/>
      </c>
      <c r="K902">
        <f>J902*(1+((Inputs!$B$11*(1+Inputs!$B$12/100))*0.01+Inputs!$B$13*0.0025)/100)*(1+Inputs!$B$14/100)*(1+IF(Inputs!$B$4="pvp",0,(1-Summary!$B$55)*(Inputs!$B$19+0+Skills!P9)+Summary!$B$55*(Inputs!$B$20+Skills!Q9))/100)*(1+Inputs!$B$15/100)*(5000/(6000+Inputs!$B$7*(1-(Inputs!$B$18+0)/100)))*(1+(Inputs!$B$23+((C917=TRUE)*(F917-Calc!F24))+((C918=TRUE)*(F918-Calc!F25))+B931)/100)*(1+(IF(Skills!A9="EMPOWERED_PIERCING_ARROW",Inputs!$B$16+((C915=TRUE)*(F915-Calc!F22)),Inputs!$B$17+((C920=TRUE)*(F920-Calc!F27))))/100)*((1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I902)</f>
        <v/>
      </c>
      <c r="L902">
        <f>K902*(MIN(Inputs!$B$21+((C916=TRUE)*(F916-Calc!F23)),Inputs!$B$22+((C921=TRUE)*(F921-Calc!F28)))/100+(Inputs!$B$22+((C921=TRUE)*(F921-Calc!F28)))/100)/2</f>
        <v/>
      </c>
      <c r="M902">
        <f>L902*(1+(Inputs!$B$9+0+B930)/100)</f>
        <v/>
      </c>
      <c r="N902">
        <f>L902*(1-MIN((Inputs!$B$8+((C912=TRUE)*(F912-Calc!F19))+B925),100)/100)+M902*(MIN((Inputs!$B$8+((C912=TRUE)*(F912-Calc!F19))+B925),100)/100)</f>
        <v/>
      </c>
      <c r="O902">
        <f>IF(C902,H902*N902*IF(AND(Inputs!$B$4&lt;&gt;"pvp",Inputs!$B$35&gt;0),((Skills!G9*((R902-1)*IF(Skills!H9&gt;0,Skills!I9/Skills!H9,1)+IF(Skills!H9&gt;0,MIN(Skills!I9,MAX(0,Inputs!$B$35-((R902-1)*IF(Inputs!$B$4="pvp",15,MAX(0.1,Skills!D9-IF(Skills!E9=TRUE,Inputs!$B$31,0))))))/Skills!H9,1)))/Inputs!$B$35),G902*Q902)*IF(Inputs!$B$4="pvp",1,(1-Summary!$B$55)*(1)+Summary!$B$55*(MIN(Skills!R9,Inputs!$B$37))),0)</f>
        <v/>
      </c>
      <c r="P902">
        <f>IF(B933=0,0,O902/B933)</f>
        <v/>
      </c>
      <c r="Q902">
        <f>IFERROR(1/IF(Inputs!$B$4="pvp",15,MAX(0.1,Skills!D9-IF(Skills!E9=TRUE,Inputs!$B$31,0))),0)</f>
        <v/>
      </c>
      <c r="R902">
        <f>IF(AND(Inputs!$B$4&lt;&gt;"pvp",Inputs!$B$35&gt;0),(INT(Inputs!$B$35/IF(Inputs!$B$4="pvp",15,MAX(0.1,Skills!D9-IF(Skills!E9=TRUE,Inputs!$B$31,0))))+1),0)</f>
        <v/>
      </c>
      <c r="S902">
        <f>IFERROR(O902/N902,0)</f>
        <v/>
      </c>
    </row>
    <row r="903">
      <c r="A903">
        <f>Skills!A10</f>
        <v/>
      </c>
      <c r="B903">
        <f>Skills!B10</f>
        <v/>
      </c>
      <c r="C903">
        <f>Inputs!$B$3&gt;=107</f>
        <v/>
      </c>
      <c r="D903">
        <f>IF(Skills!C10=1,60+Inputs!$B$24+(Inputs!$B$28+1),IF(Skills!C10=2,90+Inputs!$B$25+(Inputs!$B$28+1),IF(Skills!C10=3,120+Inputs!$B$26+(Inputs!$B$28+1),MAX(0,(Inputs!$B$3-100)*3)+Inputs!$B$27+(Inputs!$B$28+1))))</f>
        <v/>
      </c>
      <c r="E903">
        <f>INDEX(FactorTable!$B$2:$Y$301, MATCH(ROUND(MIN(300,MAX(1,D903)),0), FactorTable!$A$2:$A$301,0), Skills!M10+1)</f>
        <v/>
      </c>
      <c r="F903">
        <f>IF(Skills!N10=TRUE,(Skills!L10/10)*(E903/1000),Skills!L10/10)+Skills!O10</f>
        <v/>
      </c>
      <c r="G903">
        <f>Skills!G10*IF(Skills!H10&gt;0,Skills!I10/Skills!H10,1)</f>
        <v/>
      </c>
      <c r="H903">
        <f>1-(1-Skills!J10/100)^Skills!K10</f>
        <v/>
      </c>
      <c r="I903" t="inlineStr">
        <is>
          <t>1</t>
        </is>
      </c>
      <c r="J903">
        <f>(Inputs!$B$5*(1+Inputs!$B$6/100))*(F903/100)</f>
        <v/>
      </c>
      <c r="K903">
        <f>J903*(1+((Inputs!$B$11*(1+Inputs!$B$12/100))*0.01+Inputs!$B$13*0.0025)/100)*(1+Inputs!$B$14/100)*(1+IF(Inputs!$B$4="pvp",0,(1-Summary!$B$55)*(Inputs!$B$19+0+Skills!P10)+Summary!$B$55*(Inputs!$B$20+Skills!Q10))/100)*(1+Inputs!$B$15/100)*(5000/(6000+Inputs!$B$7*(1-(Inputs!$B$18+0)/100)))*(1+(Inputs!$B$23+((C917=TRUE)*(F917-Calc!F24))+((C918=TRUE)*(F918-Calc!F25))+B931)/100)*(1+(IF(Skills!A10="EMPOWERED_PIERCING_ARROW",Inputs!$B$16+((C915=TRUE)*(F915-Calc!F22)),Inputs!$B$17+((C920=TRUE)*(F920-Calc!F27))))/100)*((1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I903)</f>
        <v/>
      </c>
      <c r="L903">
        <f>K903*(MIN(Inputs!$B$21+((C916=TRUE)*(F916-Calc!F23)),Inputs!$B$22+((C921=TRUE)*(F921-Calc!F28)))/100+(Inputs!$B$22+((C921=TRUE)*(F921-Calc!F28)))/100)/2</f>
        <v/>
      </c>
      <c r="M903">
        <f>L903*(1+(Inputs!$B$9+0+B930)/100)</f>
        <v/>
      </c>
      <c r="N903">
        <f>L903*(1-MIN((Inputs!$B$8+((C912=TRUE)*(F912-Calc!F19))+B925),100)/100)+M903*(MIN((Inputs!$B$8+((C912=TRUE)*(F912-Calc!F19))+B925),100)/100)</f>
        <v/>
      </c>
      <c r="O903">
        <f>IF(C903,0.15*SUMPRODUCT((Skills!U2:U29=TRUE)*(C895:C922=TRUE)*S895:S922)*Skills!G10*N903*IF(Inputs!$B$4="pvp",1,(1-Summary!$B$55)*(1)+Summary!$B$55*(MIN(Skills!R10,Inputs!$B$37))),0)</f>
        <v/>
      </c>
      <c r="P903">
        <f>IF(B933=0,0,O903/B933)</f>
        <v/>
      </c>
      <c r="Q903" t="n">
        <v>0</v>
      </c>
      <c r="R903" t="n">
        <v>0</v>
      </c>
      <c r="S903" t="n">
        <v>0</v>
      </c>
    </row>
    <row r="904">
      <c r="A904">
        <f>Skills!A11</f>
        <v/>
      </c>
      <c r="B904">
        <f>Skills!B11</f>
        <v/>
      </c>
      <c r="C904">
        <f>Inputs!$B$3&gt;=110</f>
        <v/>
      </c>
      <c r="D904">
        <f>IF(Skills!C11=1,60+Inputs!$B$24+(Inputs!$B$28+1),IF(Skills!C11=2,90+Inputs!$B$25+(Inputs!$B$28+1),IF(Skills!C11=3,120+Inputs!$B$26+(Inputs!$B$28+1),MAX(0,(Inputs!$B$3-100)*3)+Inputs!$B$27+(Inputs!$B$28+1))))</f>
        <v/>
      </c>
      <c r="E904">
        <f>INDEX(FactorTable!$B$2:$Y$301, MATCH(ROUND(MIN(300,MAX(1,D904)),0), FactorTable!$A$2:$A$301,0), Skills!M11+1)</f>
        <v/>
      </c>
      <c r="F904">
        <f>IF(Skills!N11=TRUE,(Skills!L11/10)*(E904/1000),Skills!L11/10)+Skills!O11</f>
        <v/>
      </c>
      <c r="G904">
        <f>Skills!G11*IF(Skills!H11&gt;0,Skills!I11/Skills!H11,1)</f>
        <v/>
      </c>
      <c r="H904">
        <f>1-(1-Skills!J11/100)^Skills!K11</f>
        <v/>
      </c>
      <c r="I904" t="inlineStr">
        <is>
          <t>1</t>
        </is>
      </c>
      <c r="J904">
        <f>(Inputs!$B$5*(1+Inputs!$B$6/100))*(F904/100)</f>
        <v/>
      </c>
      <c r="K904">
        <f>J904*(1+((Inputs!$B$11*(1+Inputs!$B$12/100))*0.01+Inputs!$B$13*0.0025)/100)*(1+Inputs!$B$14/100)*(1+IF(Inputs!$B$4="pvp",0,(1-Summary!$B$55)*(Inputs!$B$19+0+Skills!P11)+Summary!$B$55*(Inputs!$B$20+Skills!Q11))/100)*(1+Inputs!$B$15/100)*(5000/(6000+Inputs!$B$7*(1-(Inputs!$B$18+0)/100)))*(1+(Inputs!$B$23+((C917=TRUE)*(F917-Calc!F24))+((C918=TRUE)*(F918-Calc!F25))+B931)/100)*(1+(IF(Skills!A11="EMPOWERED_PIERCING_ARROW",Inputs!$B$16+((C915=TRUE)*(F915-Calc!F22)),Inputs!$B$17+((C920=TRUE)*(F920-Calc!F27))))/100)*((1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I904)</f>
        <v/>
      </c>
      <c r="L904">
        <f>K904*(MIN(Inputs!$B$21+((C916=TRUE)*(F916-Calc!F23)),Inputs!$B$22+((C921=TRUE)*(F921-Calc!F28)))/100+(Inputs!$B$22+((C921=TRUE)*(F921-Calc!F28)))/100)/2</f>
        <v/>
      </c>
      <c r="M904">
        <f>L904*(1+(Inputs!$B$9+0+B930)/100)</f>
        <v/>
      </c>
      <c r="N904">
        <f>L904*(1-MIN((Inputs!$B$8+((C912=TRUE)*(F912-Calc!F19))+B925),100)/100)+M904*(MIN((Inputs!$B$8+((C912=TRUE)*(F912-Calc!F19))+B925),100)/100)</f>
        <v/>
      </c>
      <c r="O904">
        <f>IF(C904,H904*N904*IF(AND(Inputs!$B$4&lt;&gt;"pvp",Inputs!$B$35&gt;0),((Skills!G11*((R904-1)*IF(Skills!H11&gt;0,Skills!I11/Skills!H11,1)+IF(Skills!H11&gt;0,MIN(Skills!I11,MAX(0,Inputs!$B$35-((R904-1)*IF(Inputs!$B$4="pvp",15,MAX(0.1,Skills!D11-IF(Skills!E11=TRUE,Inputs!$B$31,0))))))/Skills!H11,1)))/Inputs!$B$35),G904*Q904)*IF(Inputs!$B$4="pvp",1,(1-Summary!$B$55)*(1)+Summary!$B$55*(MIN(Skills!R11,Inputs!$B$37))),0)</f>
        <v/>
      </c>
      <c r="P904">
        <f>IF(B933=0,0,O904/B933)</f>
        <v/>
      </c>
      <c r="Q904">
        <f>IFERROR(1/IF(Inputs!$B$4="pvp",15,MAX(0.1,Skills!D11-IF(Skills!E11=TRUE,Inputs!$B$31,0))),0)</f>
        <v/>
      </c>
      <c r="R904">
        <f>IF(AND(Inputs!$B$4&lt;&gt;"pvp",Inputs!$B$35&gt;0),(INT(Inputs!$B$35/IF(Inputs!$B$4="pvp",15,MAX(0.1,Skills!D11-IF(Skills!E11=TRUE,Inputs!$B$31,0))))+1),0)</f>
        <v/>
      </c>
      <c r="S904">
        <f>IFERROR(O904/N904,0)</f>
        <v/>
      </c>
    </row>
    <row r="905">
      <c r="A905">
        <f>Skills!A12</f>
        <v/>
      </c>
      <c r="B905">
        <f>Skills!B12</f>
        <v/>
      </c>
      <c r="C905">
        <f>Inputs!$B$3&gt;=60</f>
        <v/>
      </c>
      <c r="D905">
        <f>IF(Skills!C12=1,60+Inputs!$B$24+(Inputs!$B$28+1),IF(Skills!C12=2,90+Inputs!$B$25+(Inputs!$B$28+1),IF(Skills!C12=3,120+Inputs!$B$26+(Inputs!$B$28+1),MAX(0,(Inputs!$B$3-100)*3)+Inputs!$B$27+(Inputs!$B$28+1))))</f>
        <v/>
      </c>
      <c r="E905">
        <f>INDEX(FactorTable!$B$2:$Y$301, MATCH(ROUND(MIN(300,MAX(1,D905)),0), FactorTable!$A$2:$A$301,0), Skills!M12+1)</f>
        <v/>
      </c>
      <c r="F905">
        <f>IF(Skills!N12=TRUE,(Skills!L12/10)*(E905/1000),Skills!L12/10)+Skills!O12</f>
        <v/>
      </c>
      <c r="G905">
        <f>Skills!G12*IF(Skills!H12&gt;0,Skills!I12/Skills!H12,1)</f>
        <v/>
      </c>
      <c r="H905">
        <f>1-(1-Skills!J12/100)^Skills!K12</f>
        <v/>
      </c>
      <c r="I905" t="inlineStr">
        <is>
          <t>1</t>
        </is>
      </c>
      <c r="J905" t="inlineStr"/>
      <c r="K905" t="inlineStr"/>
      <c r="L905" t="inlineStr"/>
      <c r="M905" t="inlineStr"/>
      <c r="N905" t="inlineStr"/>
      <c r="O905" t="n">
        <v>0</v>
      </c>
      <c r="P905">
        <f>IF(B933=0,0,O905/B933)</f>
        <v/>
      </c>
      <c r="Q905" t="n">
        <v>0</v>
      </c>
      <c r="R905" t="n">
        <v>0</v>
      </c>
      <c r="S905">
        <f>IFERROR(O905/N905,0)</f>
        <v/>
      </c>
    </row>
    <row r="906">
      <c r="A906">
        <f>Skills!A13</f>
        <v/>
      </c>
      <c r="B906">
        <f>Skills!B13</f>
        <v/>
      </c>
      <c r="C906">
        <f>Inputs!$B$3&gt;=74</f>
        <v/>
      </c>
      <c r="D906">
        <f>IF(Skills!C13=1,60+Inputs!$B$24+(Inputs!$B$28+1),IF(Skills!C13=2,90+Inputs!$B$25+(Inputs!$B$28+1),IF(Skills!C13=3,120+Inputs!$B$26+(Inputs!$B$28+1),MAX(0,(Inputs!$B$3-100)*3)+Inputs!$B$27+(Inputs!$B$28+1))))</f>
        <v/>
      </c>
      <c r="E906">
        <f>INDEX(FactorTable!$B$2:$Y$301, MATCH(ROUND(MIN(300,MAX(1,D906)),0), FactorTable!$A$2:$A$301,0), Skills!M13+1)</f>
        <v/>
      </c>
      <c r="F906">
        <f>IF(Skills!N13=TRUE,(Skills!L13/10)*(E906/1000),Skills!L13/10)+Skills!O13</f>
        <v/>
      </c>
      <c r="G906">
        <f>Skills!G13*IF(Skills!H13&gt;0,Skills!I13/Skills!H13,1)</f>
        <v/>
      </c>
      <c r="H906">
        <f>1-(1-Skills!J13/100)^Skills!K13</f>
        <v/>
      </c>
      <c r="I906" t="inlineStr">
        <is>
          <t>1</t>
        </is>
      </c>
      <c r="J906" t="inlineStr"/>
      <c r="K906" t="inlineStr"/>
      <c r="L906" t="inlineStr"/>
      <c r="M906" t="inlineStr"/>
      <c r="N906" t="inlineStr"/>
      <c r="O906" t="n">
        <v>0</v>
      </c>
      <c r="P906">
        <f>IF(B933=0,0,O906/B933)</f>
        <v/>
      </c>
      <c r="Q906" t="n">
        <v>0</v>
      </c>
      <c r="R906" t="n">
        <v>0</v>
      </c>
      <c r="S906">
        <f>IFERROR(O906/N906,0)</f>
        <v/>
      </c>
    </row>
    <row r="907">
      <c r="A907">
        <f>Skills!A14</f>
        <v/>
      </c>
      <c r="B907">
        <f>Skills!B14</f>
        <v/>
      </c>
      <c r="C907">
        <f>Inputs!$B$3&gt;=74</f>
        <v/>
      </c>
      <c r="D907">
        <f>IF(Skills!C14=1,60+Inputs!$B$24+(Inputs!$B$28+1),IF(Skills!C14=2,90+Inputs!$B$25+(Inputs!$B$28+1),IF(Skills!C14=3,120+Inputs!$B$26+(Inputs!$B$28+1),MAX(0,(Inputs!$B$3-100)*3)+Inputs!$B$27+(Inputs!$B$28+1))))</f>
        <v/>
      </c>
      <c r="E907">
        <f>INDEX(FactorTable!$B$2:$Y$301, MATCH(ROUND(MIN(300,MAX(1,D907)),0), FactorTable!$A$2:$A$301,0), Skills!M14+1)</f>
        <v/>
      </c>
      <c r="F907">
        <f>IF(Skills!N14=TRUE,(Skills!L14/10)*(E907/1000),Skills!L14/10)+Skills!O14</f>
        <v/>
      </c>
      <c r="G907">
        <f>Skills!G14*IF(Skills!H14&gt;0,Skills!I14/Skills!H14,1)</f>
        <v/>
      </c>
      <c r="H907">
        <f>1-(1-Skills!J14/100)^Skills!K14</f>
        <v/>
      </c>
      <c r="I907" t="inlineStr">
        <is>
          <t>1</t>
        </is>
      </c>
      <c r="J907" t="inlineStr"/>
      <c r="K907" t="inlineStr"/>
      <c r="L907" t="inlineStr"/>
      <c r="M907" t="inlineStr"/>
      <c r="N907" t="inlineStr"/>
      <c r="O907" t="n">
        <v>0</v>
      </c>
      <c r="P907">
        <f>IF(B933=0,0,O907/B933)</f>
        <v/>
      </c>
      <c r="Q907" t="n">
        <v>0</v>
      </c>
      <c r="R907" t="n">
        <v>0</v>
      </c>
      <c r="S907">
        <f>IFERROR(O907/N907,0)</f>
        <v/>
      </c>
    </row>
    <row r="908">
      <c r="A908">
        <f>Skills!A15</f>
        <v/>
      </c>
      <c r="B908">
        <f>Skills!B15</f>
        <v/>
      </c>
      <c r="C908">
        <f>Inputs!$B$3&gt;=117</f>
        <v/>
      </c>
      <c r="D908">
        <f>IF(Skills!C15=1,60+Inputs!$B$24+(Inputs!$B$28+1),IF(Skills!C15=2,90+Inputs!$B$25+(Inputs!$B$28+1),IF(Skills!C15=3,120+Inputs!$B$26+(Inputs!$B$28+1),MAX(0,(Inputs!$B$3-100)*3)+Inputs!$B$27+(Inputs!$B$28+1))))</f>
        <v/>
      </c>
      <c r="E908">
        <f>INDEX(FactorTable!$B$2:$Y$301, MATCH(ROUND(MIN(300,MAX(1,D908)),0), FactorTable!$A$2:$A$301,0), Skills!M15+1)</f>
        <v/>
      </c>
      <c r="F908">
        <f>IF(Skills!N15=TRUE,(Skills!L15/10)*(E908/1000),Skills!L15/10)+Skills!O15</f>
        <v/>
      </c>
      <c r="G908">
        <f>Skills!G15*IF(Skills!H15&gt;0,Skills!I15/Skills!H15,1)</f>
        <v/>
      </c>
      <c r="H908">
        <f>1-(1-Skills!J15/100)^Skills!K15</f>
        <v/>
      </c>
      <c r="I908" t="inlineStr">
        <is>
          <t>1</t>
        </is>
      </c>
      <c r="J908" t="inlineStr"/>
      <c r="K908" t="inlineStr"/>
      <c r="L908" t="inlineStr"/>
      <c r="M908" t="inlineStr"/>
      <c r="N908" t="inlineStr"/>
      <c r="O908" t="n">
        <v>0</v>
      </c>
      <c r="P908">
        <f>IF(B933=0,0,O908/B933)</f>
        <v/>
      </c>
      <c r="Q908">
        <f>IFERROR(1/IF(Inputs!$B$4="pvp",15,MAX(0.1,Skills!D15-IF(Skills!E15=TRUE,Inputs!$B$31,0))),0)</f>
        <v/>
      </c>
      <c r="R908">
        <f>IF(AND(Inputs!$B$4&lt;&gt;"pvp",Inputs!$B$35&gt;0),(INT(Inputs!$B$35/IF(Inputs!$B$4="pvp",15,MAX(0.1,Skills!D15-IF(Skills!E15=TRUE,Inputs!$B$31,0))))+1),0)</f>
        <v/>
      </c>
      <c r="S908">
        <f>IFERROR(O908/N908,0)</f>
        <v/>
      </c>
    </row>
    <row r="909">
      <c r="A909">
        <f>Skills!A16</f>
        <v/>
      </c>
      <c r="B909">
        <f>Skills!B16</f>
        <v/>
      </c>
      <c r="C909">
        <f>Inputs!$B$3&gt;=115</f>
        <v/>
      </c>
      <c r="D909">
        <f>IF(Skills!C16=1,60+Inputs!$B$24+(Inputs!$B$28+1),IF(Skills!C16=2,90+Inputs!$B$25+(Inputs!$B$28+1),IF(Skills!C16=3,120+Inputs!$B$26+(Inputs!$B$28+1),MAX(0,(Inputs!$B$3-100)*3)+Inputs!$B$27+(Inputs!$B$28+1))))</f>
        <v/>
      </c>
      <c r="E909">
        <f>INDEX(FactorTable!$B$2:$Y$301, MATCH(ROUND(MIN(300,MAX(1,D909)),0), FactorTable!$A$2:$A$301,0), Skills!M16+1)</f>
        <v/>
      </c>
      <c r="F909">
        <f>IF(Skills!N16=TRUE,(Skills!L16/10)*(E909/1000),Skills!L16/10)+Skills!O16</f>
        <v/>
      </c>
      <c r="G909">
        <f>Skills!G16*IF(Skills!H16&gt;0,Skills!I16/Skills!H16,1)</f>
        <v/>
      </c>
      <c r="H909">
        <f>1-(1-Skills!J16/100)^Skills!K16</f>
        <v/>
      </c>
      <c r="I909" t="inlineStr">
        <is>
          <t>1</t>
        </is>
      </c>
      <c r="J909" t="inlineStr"/>
      <c r="K909" t="inlineStr"/>
      <c r="L909" t="inlineStr"/>
      <c r="M909" t="inlineStr"/>
      <c r="N909" t="inlineStr"/>
      <c r="O909" t="n">
        <v>0</v>
      </c>
      <c r="P909">
        <f>IF(B933=0,0,O909/B933)</f>
        <v/>
      </c>
      <c r="Q909">
        <f>IFERROR(1/IF(Inputs!$B$4="pvp",15,MAX(0.1,Skills!D16-IF(Skills!E16=TRUE,Inputs!$B$31,0))),0)</f>
        <v/>
      </c>
      <c r="R909">
        <f>IF(AND(Inputs!$B$4&lt;&gt;"pvp",Inputs!$B$35&gt;0),(INT(Inputs!$B$35/IF(Inputs!$B$4="pvp",15,MAX(0.1,Skills!D16-IF(Skills!E16=TRUE,Inputs!$B$31,0))))+1),0)</f>
        <v/>
      </c>
      <c r="S909">
        <f>IFERROR(O909/N909,0)</f>
        <v/>
      </c>
    </row>
    <row r="910">
      <c r="A910">
        <f>Skills!A17</f>
        <v/>
      </c>
      <c r="B910">
        <f>Skills!B17</f>
        <v/>
      </c>
      <c r="C910">
        <f>Inputs!$B$3&gt;=72</f>
        <v/>
      </c>
      <c r="D910">
        <f>IF(Skills!C17=1,60+Inputs!$B$24+(Inputs!$B$28+1),IF(Skills!C17=2,90+Inputs!$B$25+(Inputs!$B$28+1),IF(Skills!C17=3,120+Inputs!$B$26+(Inputs!$B$28+1),MAX(0,(Inputs!$B$3-100)*3)+Inputs!$B$27+(Inputs!$B$28+1))))</f>
        <v/>
      </c>
      <c r="E910">
        <f>INDEX(FactorTable!$B$2:$Y$301, MATCH(ROUND(MIN(300,MAX(1,D910)),0), FactorTable!$A$2:$A$301,0), Skills!M17+1)</f>
        <v/>
      </c>
      <c r="F910">
        <f>IF(Skills!N17=TRUE,(Skills!L17/10)*(E910/1000),Skills!L17/10)+Skills!O17</f>
        <v/>
      </c>
      <c r="G910">
        <f>Skills!G17*IF(Skills!H17&gt;0,Skills!I17/Skills!H17,1)</f>
        <v/>
      </c>
      <c r="H910">
        <f>1-(1-Skills!J17/100)^Skills!K17</f>
        <v/>
      </c>
      <c r="I910" t="inlineStr">
        <is>
          <t>1</t>
        </is>
      </c>
      <c r="J910" t="inlineStr"/>
      <c r="K910" t="inlineStr"/>
      <c r="L910" t="inlineStr"/>
      <c r="M910" t="inlineStr"/>
      <c r="N910" t="inlineStr"/>
      <c r="O910" t="n">
        <v>0</v>
      </c>
      <c r="P910">
        <f>IF(B933=0,0,O910/B933)</f>
        <v/>
      </c>
      <c r="Q910" t="n">
        <v>0</v>
      </c>
      <c r="R910" t="n">
        <v>0</v>
      </c>
      <c r="S910">
        <f>IFERROR(O910/N910,0)</f>
        <v/>
      </c>
    </row>
    <row r="911">
      <c r="A911">
        <f>Skills!A18</f>
        <v/>
      </c>
      <c r="B911">
        <f>Skills!B18</f>
        <v/>
      </c>
      <c r="C911">
        <f>TRUE</f>
        <v/>
      </c>
      <c r="D911">
        <f>IF(Skills!C18=1,60+Inputs!$B$24+(Inputs!$B$28+1),IF(Skills!C18=2,90+Inputs!$B$25+(Inputs!$B$28+1),IF(Skills!C18=3,120+Inputs!$B$26+(Inputs!$B$28+1),MAX(0,(Inputs!$B$3-100)*3)+Inputs!$B$27+(Inputs!$B$28+1))))</f>
        <v/>
      </c>
      <c r="E911">
        <f>INDEX(FactorTable!$B$2:$Y$301, MATCH(ROUND(MIN(300,MAX(1,D911)),0), FactorTable!$A$2:$A$301,0), Skills!M18+1)</f>
        <v/>
      </c>
      <c r="F911">
        <f>IF(Skills!N18=TRUE,(Skills!L18/10)*(E911/1000),Skills!L18/10)+Skills!O18</f>
        <v/>
      </c>
      <c r="G911">
        <f>Skills!G18*IF(Skills!H18&gt;0,Skills!I18/Skills!H18,1)</f>
        <v/>
      </c>
      <c r="H911">
        <f>1-(1-Skills!J18/100)^Skills!K18</f>
        <v/>
      </c>
      <c r="I911" t="inlineStr">
        <is>
          <t>1</t>
        </is>
      </c>
      <c r="J911" t="inlineStr"/>
      <c r="K911" t="inlineStr"/>
      <c r="L911" t="inlineStr"/>
      <c r="M911" t="inlineStr"/>
      <c r="N911" t="inlineStr"/>
      <c r="O911" t="n">
        <v>0</v>
      </c>
      <c r="P911">
        <f>IF(B933=0,0,O911/B933)</f>
        <v/>
      </c>
      <c r="Q911">
        <f>IFERROR(1/IF(Inputs!$B$4="pvp",15,MAX(0.1,Skills!D18-IF(Skills!E18=TRUE,Inputs!$B$31,0))),0)</f>
        <v/>
      </c>
      <c r="R911">
        <f>IF(AND(Inputs!$B$4&lt;&gt;"pvp",Inputs!$B$35&gt;0),(INT(Inputs!$B$35/IF(Inputs!$B$4="pvp",15,MAX(0.1,Skills!D18-IF(Skills!E18=TRUE,Inputs!$B$31,0))))+1),0)</f>
        <v/>
      </c>
      <c r="S911">
        <f>IFERROR(O911/N911,0)</f>
        <v/>
      </c>
    </row>
    <row r="912">
      <c r="A912">
        <f>Skills!A19</f>
        <v/>
      </c>
      <c r="B912">
        <f>Skills!B19</f>
        <v/>
      </c>
      <c r="C912">
        <f>Inputs!$B$3&gt;=15</f>
        <v/>
      </c>
      <c r="D912">
        <f>IF(Skills!C19=1,60+Inputs!$B$24+(Inputs!$B$28+1),IF(Skills!C19=2,90+Inputs!$B$25+(Inputs!$B$28+1),IF(Skills!C19=3,120+Inputs!$B$26+(Inputs!$B$28+1),MAX(0,(Inputs!$B$3-100)*3)+Inputs!$B$27+(Inputs!$B$28+1))))</f>
        <v/>
      </c>
      <c r="E912">
        <f>INDEX(FactorTable!$B$2:$Y$301, MATCH(ROUND(MIN(300,MAX(1,D912)),0), FactorTable!$A$2:$A$301,0), Skills!M19+1)</f>
        <v/>
      </c>
      <c r="F912">
        <f>IF(Skills!N19=TRUE,(Skills!L19/10)*(E912/1000),Skills!L19/10)+Skills!O19</f>
        <v/>
      </c>
      <c r="G912">
        <f>Skills!G19*IF(Skills!H19&gt;0,Skills!I19/Skills!H19,1)</f>
        <v/>
      </c>
      <c r="H912">
        <f>1-(1-Skills!J19/100)^Skills!K19</f>
        <v/>
      </c>
      <c r="I912" t="inlineStr">
        <is>
          <t>1</t>
        </is>
      </c>
      <c r="J912" t="inlineStr"/>
      <c r="K912" t="inlineStr"/>
      <c r="L912" t="inlineStr"/>
      <c r="M912" t="inlineStr"/>
      <c r="N912" t="inlineStr"/>
      <c r="O912" t="n">
        <v>0</v>
      </c>
      <c r="P912">
        <f>IF(B933=0,0,O912/B933)</f>
        <v/>
      </c>
      <c r="Q912" t="n">
        <v>0</v>
      </c>
      <c r="R912" t="n">
        <v>0</v>
      </c>
      <c r="S912">
        <f>IFERROR(O912/N912,0)</f>
        <v/>
      </c>
    </row>
    <row r="913">
      <c r="A913">
        <f>Skills!A20</f>
        <v/>
      </c>
      <c r="B913">
        <f>Skills!B20</f>
        <v/>
      </c>
      <c r="C913">
        <f>Inputs!$B$3&gt;=10</f>
        <v/>
      </c>
      <c r="D913">
        <f>IF(Skills!C20=1,60+Inputs!$B$24+(Inputs!$B$28+1),IF(Skills!C20=2,90+Inputs!$B$25+(Inputs!$B$28+1),IF(Skills!C20=3,120+Inputs!$B$26+(Inputs!$B$28+1),MAX(0,(Inputs!$B$3-100)*3)+Inputs!$B$27+(Inputs!$B$28+1))))</f>
        <v/>
      </c>
      <c r="E913">
        <f>INDEX(FactorTable!$B$2:$Y$301, MATCH(ROUND(MIN(300,MAX(1,D913)),0), FactorTable!$A$2:$A$301,0), Skills!M20+1)</f>
        <v/>
      </c>
      <c r="F913">
        <f>IF(Skills!N20=TRUE,(Skills!L20/10)*(E913/1000),Skills!L20/10)+Skills!O20</f>
        <v/>
      </c>
      <c r="G913">
        <f>Skills!G20*IF(Skills!H20&gt;0,Skills!I20/Skills!H20,1)</f>
        <v/>
      </c>
      <c r="H913">
        <f>1-(1-Skills!J20/100)^Skills!K20</f>
        <v/>
      </c>
      <c r="I913" t="inlineStr">
        <is>
          <t>1</t>
        </is>
      </c>
      <c r="J913" t="inlineStr"/>
      <c r="K913" t="inlineStr"/>
      <c r="L913" t="inlineStr"/>
      <c r="M913" t="inlineStr"/>
      <c r="N913" t="inlineStr"/>
      <c r="O913" t="n">
        <v>0</v>
      </c>
      <c r="P913">
        <f>IF(B933=0,0,O913/B933)</f>
        <v/>
      </c>
      <c r="Q913" t="n">
        <v>0</v>
      </c>
      <c r="R913" t="n">
        <v>0</v>
      </c>
      <c r="S913">
        <f>IFERROR(O913/N913,0)</f>
        <v/>
      </c>
    </row>
    <row r="914">
      <c r="A914">
        <f>Skills!A21</f>
        <v/>
      </c>
      <c r="B914">
        <f>Skills!B21</f>
        <v/>
      </c>
      <c r="C914">
        <f>Inputs!$B$3&gt;=33</f>
        <v/>
      </c>
      <c r="D914">
        <f>IF(Skills!C21=1,60+Inputs!$B$24+(Inputs!$B$28+1),IF(Skills!C21=2,90+Inputs!$B$25+(Inputs!$B$28+1),IF(Skills!C21=3,120+Inputs!$B$26+(Inputs!$B$28+1),MAX(0,(Inputs!$B$3-100)*3)+Inputs!$B$27+(Inputs!$B$28+1))))</f>
        <v/>
      </c>
      <c r="E914">
        <f>INDEX(FactorTable!$B$2:$Y$301, MATCH(ROUND(MIN(300,MAX(1,D914)),0), FactorTable!$A$2:$A$301,0), Skills!M21+1)</f>
        <v/>
      </c>
      <c r="F914">
        <f>IF(Skills!N21=TRUE,(Skills!L21/10)*(E914/1000),Skills!L21/10)+Skills!O21</f>
        <v/>
      </c>
      <c r="G914">
        <f>Skills!G21*IF(Skills!H21&gt;0,Skills!I21/Skills!H21,1)</f>
        <v/>
      </c>
      <c r="H914">
        <f>1-(1-Skills!J21/100)^Skills!K21</f>
        <v/>
      </c>
      <c r="I914" t="inlineStr">
        <is>
          <t>1</t>
        </is>
      </c>
      <c r="J914" t="inlineStr"/>
      <c r="K914" t="inlineStr"/>
      <c r="L914" t="inlineStr"/>
      <c r="M914" t="inlineStr"/>
      <c r="N914" t="inlineStr"/>
      <c r="O914" t="n">
        <v>0</v>
      </c>
      <c r="P914">
        <f>IF(B933=0,0,O914/B933)</f>
        <v/>
      </c>
      <c r="Q914" t="n">
        <v>0</v>
      </c>
      <c r="R914" t="n">
        <v>0</v>
      </c>
      <c r="S914">
        <f>IFERROR(O914/N914,0)</f>
        <v/>
      </c>
    </row>
    <row r="915">
      <c r="A915">
        <f>Skills!A22</f>
        <v/>
      </c>
      <c r="B915">
        <f>Skills!B22</f>
        <v/>
      </c>
      <c r="C915">
        <f>Inputs!$B$3&gt;=38</f>
        <v/>
      </c>
      <c r="D915">
        <f>IF(Skills!C22=1,60+Inputs!$B$24+(Inputs!$B$28+1),IF(Skills!C22=2,90+Inputs!$B$25+(Inputs!$B$28+1),IF(Skills!C22=3,120+Inputs!$B$26+(Inputs!$B$28+1),MAX(0,(Inputs!$B$3-100)*3)+Inputs!$B$27+(Inputs!$B$28+1))))</f>
        <v/>
      </c>
      <c r="E915">
        <f>INDEX(FactorTable!$B$2:$Y$301, MATCH(ROUND(MIN(300,MAX(1,D915)),0), FactorTable!$A$2:$A$301,0), Skills!M22+1)</f>
        <v/>
      </c>
      <c r="F915">
        <f>IF(Skills!N22=TRUE,(Skills!L22/10)*(E915/1000),Skills!L22/10)+Skills!O22</f>
        <v/>
      </c>
      <c r="G915">
        <f>Skills!G22*IF(Skills!H22&gt;0,Skills!I22/Skills!H22,1)</f>
        <v/>
      </c>
      <c r="H915">
        <f>1-(1-Skills!J22/100)^Skills!K22</f>
        <v/>
      </c>
      <c r="I915" t="inlineStr">
        <is>
          <t>1</t>
        </is>
      </c>
      <c r="J915" t="inlineStr"/>
      <c r="K915" t="inlineStr"/>
      <c r="L915" t="inlineStr"/>
      <c r="M915" t="inlineStr"/>
      <c r="N915" t="inlineStr"/>
      <c r="O915" t="n">
        <v>0</v>
      </c>
      <c r="P915">
        <f>IF(B933=0,0,O915/B933)</f>
        <v/>
      </c>
      <c r="Q915" t="n">
        <v>0</v>
      </c>
      <c r="R915" t="n">
        <v>0</v>
      </c>
      <c r="S915">
        <f>IFERROR(O915/N915,0)</f>
        <v/>
      </c>
    </row>
    <row r="916">
      <c r="A916">
        <f>Skills!A23</f>
        <v/>
      </c>
      <c r="B916">
        <f>Skills!B23</f>
        <v/>
      </c>
      <c r="C916">
        <f>Inputs!$B$3&gt;=43</f>
        <v/>
      </c>
      <c r="D916">
        <f>IF(Skills!C23=1,60+Inputs!$B$24+(Inputs!$B$28+1),IF(Skills!C23=2,90+Inputs!$B$25+(Inputs!$B$28+1),IF(Skills!C23=3,120+Inputs!$B$26+(Inputs!$B$28+1),MAX(0,(Inputs!$B$3-100)*3)+Inputs!$B$27+(Inputs!$B$28+1))))</f>
        <v/>
      </c>
      <c r="E916">
        <f>INDEX(FactorTable!$B$2:$Y$301, MATCH(ROUND(MIN(300,MAX(1,D916)),0), FactorTable!$A$2:$A$301,0), Skills!M23+1)</f>
        <v/>
      </c>
      <c r="F916">
        <f>IF(Skills!N23=TRUE,(Skills!L23/10)*(E916/1000),Skills!L23/10)+Skills!O23</f>
        <v/>
      </c>
      <c r="G916">
        <f>Skills!G23*IF(Skills!H23&gt;0,Skills!I23/Skills!H23,1)</f>
        <v/>
      </c>
      <c r="H916">
        <f>1-(1-Skills!J23/100)^Skills!K23</f>
        <v/>
      </c>
      <c r="I916" t="inlineStr">
        <is>
          <t>1</t>
        </is>
      </c>
      <c r="J916" t="inlineStr"/>
      <c r="K916" t="inlineStr"/>
      <c r="L916" t="inlineStr"/>
      <c r="M916" t="inlineStr"/>
      <c r="N916" t="inlineStr"/>
      <c r="O916" t="n">
        <v>0</v>
      </c>
      <c r="P916">
        <f>IF(B933=0,0,O916/B933)</f>
        <v/>
      </c>
      <c r="Q916" t="n">
        <v>0</v>
      </c>
      <c r="R916" t="n">
        <v>0</v>
      </c>
      <c r="S916">
        <f>IFERROR(O916/N916,0)</f>
        <v/>
      </c>
    </row>
    <row r="917">
      <c r="A917">
        <f>Skills!A24</f>
        <v/>
      </c>
      <c r="B917">
        <f>Skills!B24</f>
        <v/>
      </c>
      <c r="C917">
        <f>Inputs!$B$3&gt;=75</f>
        <v/>
      </c>
      <c r="D917">
        <f>IF(Skills!C24=1,60+Inputs!$B$24+(Inputs!$B$28+1),IF(Skills!C24=2,90+Inputs!$B$25+(Inputs!$B$28+1),IF(Skills!C24=3,120+Inputs!$B$26+(Inputs!$B$28+1),MAX(0,(Inputs!$B$3-100)*3)+Inputs!$B$27+(Inputs!$B$28+1))))</f>
        <v/>
      </c>
      <c r="E917">
        <f>INDEX(FactorTable!$B$2:$Y$301, MATCH(ROUND(MIN(300,MAX(1,D917)),0), FactorTable!$A$2:$A$301,0), Skills!M24+1)</f>
        <v/>
      </c>
      <c r="F917">
        <f>IF(Skills!N24=TRUE,(Skills!L24/10)*(E917/1000),Skills!L24/10)+Skills!O24</f>
        <v/>
      </c>
      <c r="G917">
        <f>Skills!G24*IF(Skills!H24&gt;0,Skills!I24/Skills!H24,1)</f>
        <v/>
      </c>
      <c r="H917">
        <f>1-(1-Skills!J24/100)^Skills!K24</f>
        <v/>
      </c>
      <c r="I917" t="inlineStr">
        <is>
          <t>1</t>
        </is>
      </c>
      <c r="J917" t="inlineStr"/>
      <c r="K917" t="inlineStr"/>
      <c r="L917" t="inlineStr"/>
      <c r="M917" t="inlineStr"/>
      <c r="N917" t="inlineStr"/>
      <c r="O917" t="n">
        <v>0</v>
      </c>
      <c r="P917">
        <f>IF(B933=0,0,O917/B933)</f>
        <v/>
      </c>
      <c r="Q917" t="n">
        <v>0</v>
      </c>
      <c r="R917" t="n">
        <v>0</v>
      </c>
      <c r="S917">
        <f>IFERROR(O917/N917,0)</f>
        <v/>
      </c>
    </row>
    <row r="918">
      <c r="A918">
        <f>Skills!A25</f>
        <v/>
      </c>
      <c r="B918">
        <f>Skills!B25</f>
        <v/>
      </c>
      <c r="C918">
        <f>Inputs!$B$3&gt;=125</f>
        <v/>
      </c>
      <c r="D918">
        <f>IF(Skills!C25=1,60+Inputs!$B$24+(Inputs!$B$28+1),IF(Skills!C25=2,90+Inputs!$B$25+(Inputs!$B$28+1),IF(Skills!C25=3,120+Inputs!$B$26+(Inputs!$B$28+1),MAX(0,(Inputs!$B$3-100)*3)+Inputs!$B$27+(Inputs!$B$28+1))))</f>
        <v/>
      </c>
      <c r="E918">
        <f>INDEX(FactorTable!$B$2:$Y$301, MATCH(ROUND(MIN(300,MAX(1,D918)),0), FactorTable!$A$2:$A$301,0), Skills!M25+1)</f>
        <v/>
      </c>
      <c r="F918">
        <f>IF(Skills!N25=TRUE,(Skills!L25/10)*(E918/1000),Skills!L25/10)+Skills!O25</f>
        <v/>
      </c>
      <c r="G918">
        <f>Skills!G25*IF(Skills!H25&gt;0,Skills!I25/Skills!H25,1)</f>
        <v/>
      </c>
      <c r="H918">
        <f>1-(1-Skills!J25/100)^Skills!K25</f>
        <v/>
      </c>
      <c r="I918" t="inlineStr">
        <is>
          <t>1</t>
        </is>
      </c>
      <c r="J918" t="inlineStr"/>
      <c r="K918" t="inlineStr"/>
      <c r="L918" t="inlineStr"/>
      <c r="M918" t="inlineStr"/>
      <c r="N918" t="inlineStr"/>
      <c r="O918" t="n">
        <v>0</v>
      </c>
      <c r="P918">
        <f>IF(B933=0,0,O918/B933)</f>
        <v/>
      </c>
      <c r="Q918" t="n">
        <v>0</v>
      </c>
      <c r="R918" t="n">
        <v>0</v>
      </c>
      <c r="S918">
        <f>IFERROR(O918/N918,0)</f>
        <v/>
      </c>
    </row>
    <row r="919">
      <c r="A919">
        <f>Skills!A26</f>
        <v/>
      </c>
      <c r="B919">
        <f>Skills!B26</f>
        <v/>
      </c>
      <c r="C919">
        <f>Inputs!$B$3&gt;=125</f>
        <v/>
      </c>
      <c r="D919">
        <f>IF(Skills!C26=1,60+Inputs!$B$24+(Inputs!$B$28+1),IF(Skills!C26=2,90+Inputs!$B$25+(Inputs!$B$28+1),IF(Skills!C26=3,120+Inputs!$B$26+(Inputs!$B$28+1),MAX(0,(Inputs!$B$3-100)*3)+Inputs!$B$27+(Inputs!$B$28+1))))</f>
        <v/>
      </c>
      <c r="E919">
        <f>INDEX(FactorTable!$B$2:$Y$301, MATCH(ROUND(MIN(300,MAX(1,D919)),0), FactorTable!$A$2:$A$301,0), Skills!M26+1)</f>
        <v/>
      </c>
      <c r="F919">
        <f>IF(Skills!N26=TRUE,(Skills!L26/10)*(E919/1000),Skills!L26/10)+Skills!O26</f>
        <v/>
      </c>
      <c r="G919">
        <f>Skills!G26*IF(Skills!H26&gt;0,Skills!I26/Skills!H26,1)</f>
        <v/>
      </c>
      <c r="H919">
        <f>1-(1-Skills!J26/100)^Skills!K26</f>
        <v/>
      </c>
      <c r="I919" t="inlineStr">
        <is>
          <t>1</t>
        </is>
      </c>
      <c r="J919" t="inlineStr"/>
      <c r="K919" t="inlineStr"/>
      <c r="L919" t="inlineStr"/>
      <c r="M919" t="inlineStr"/>
      <c r="N919" t="inlineStr"/>
      <c r="O919" t="n">
        <v>0</v>
      </c>
      <c r="P919">
        <f>IF(B933=0,0,O919/B933)</f>
        <v/>
      </c>
      <c r="Q919" t="n">
        <v>0</v>
      </c>
      <c r="R919" t="n">
        <v>0</v>
      </c>
      <c r="S919">
        <f>IFERROR(O919/N919,0)</f>
        <v/>
      </c>
    </row>
    <row r="920">
      <c r="A920">
        <f>Skills!A27</f>
        <v/>
      </c>
      <c r="B920">
        <f>Skills!B27</f>
        <v/>
      </c>
      <c r="C920">
        <f>Inputs!$B$3&gt;=120</f>
        <v/>
      </c>
      <c r="D920">
        <f>IF(Skills!C27=1,60+Inputs!$B$24+(Inputs!$B$28+1),IF(Skills!C27=2,90+Inputs!$B$25+(Inputs!$B$28+1),IF(Skills!C27=3,120+Inputs!$B$26+(Inputs!$B$28+1),MAX(0,(Inputs!$B$3-100)*3)+Inputs!$B$27+(Inputs!$B$28+1))))</f>
        <v/>
      </c>
      <c r="E920">
        <f>INDEX(FactorTable!$B$2:$Y$301, MATCH(ROUND(MIN(300,MAX(1,D920)),0), FactorTable!$A$2:$A$301,0), Skills!M27+1)</f>
        <v/>
      </c>
      <c r="F920">
        <f>IF(Skills!N27=TRUE,(Skills!L27/10)*(E920/1000),Skills!L27/10)+Skills!O27</f>
        <v/>
      </c>
      <c r="G920">
        <f>Skills!G27*IF(Skills!H27&gt;0,Skills!I27/Skills!H27,1)</f>
        <v/>
      </c>
      <c r="H920">
        <f>1-(1-Skills!J27/100)^Skills!K27</f>
        <v/>
      </c>
      <c r="I920" t="inlineStr">
        <is>
          <t>1</t>
        </is>
      </c>
      <c r="J920" t="inlineStr"/>
      <c r="K920" t="inlineStr"/>
      <c r="L920" t="inlineStr"/>
      <c r="M920" t="inlineStr"/>
      <c r="N920" t="inlineStr"/>
      <c r="O920" t="n">
        <v>0</v>
      </c>
      <c r="P920">
        <f>IF(B933=0,0,O920/B933)</f>
        <v/>
      </c>
      <c r="Q920" t="n">
        <v>0</v>
      </c>
      <c r="R920" t="n">
        <v>0</v>
      </c>
      <c r="S920">
        <f>IFERROR(O920/N920,0)</f>
        <v/>
      </c>
    </row>
    <row r="921">
      <c r="A921">
        <f>Skills!A28</f>
        <v/>
      </c>
      <c r="B921">
        <f>Skills!B28</f>
        <v/>
      </c>
      <c r="C921">
        <f>Inputs!$B$3&gt;=120</f>
        <v/>
      </c>
      <c r="D921">
        <f>IF(Skills!C28=1,60+Inputs!$B$24+(Inputs!$B$28+1),IF(Skills!C28=2,90+Inputs!$B$25+(Inputs!$B$28+1),IF(Skills!C28=3,120+Inputs!$B$26+(Inputs!$B$28+1),MAX(0,(Inputs!$B$3-100)*3)+Inputs!$B$27+(Inputs!$B$28+1))))</f>
        <v/>
      </c>
      <c r="E921">
        <f>INDEX(FactorTable!$B$2:$Y$301, MATCH(ROUND(MIN(300,MAX(1,D921)),0), FactorTable!$A$2:$A$301,0), Skills!M28+1)</f>
        <v/>
      </c>
      <c r="F921">
        <f>IF(Skills!N28=TRUE,(Skills!L28/10)*(E921/1000),Skills!L28/10)+Skills!O28</f>
        <v/>
      </c>
      <c r="G921">
        <f>Skills!G28*IF(Skills!H28&gt;0,Skills!I28/Skills!H28,1)</f>
        <v/>
      </c>
      <c r="H921">
        <f>1-(1-Skills!J28/100)^Skills!K28</f>
        <v/>
      </c>
      <c r="I921" t="inlineStr">
        <is>
          <t>1</t>
        </is>
      </c>
      <c r="J921" t="inlineStr"/>
      <c r="K921" t="inlineStr"/>
      <c r="L921" t="inlineStr"/>
      <c r="M921" t="inlineStr"/>
      <c r="N921" t="inlineStr"/>
      <c r="O921" t="n">
        <v>0</v>
      </c>
      <c r="P921">
        <f>IF(B933=0,0,O921/B933)</f>
        <v/>
      </c>
      <c r="Q921" t="n">
        <v>0</v>
      </c>
      <c r="R921" t="n">
        <v>0</v>
      </c>
      <c r="S921">
        <f>IFERROR(O921/N921,0)</f>
        <v/>
      </c>
    </row>
    <row r="922">
      <c r="A922">
        <f>Skills!A29</f>
        <v/>
      </c>
      <c r="B922">
        <f>Skills!B29</f>
        <v/>
      </c>
      <c r="C922">
        <f>Inputs!$B$3&gt;=45</f>
        <v/>
      </c>
      <c r="D922">
        <f>IF(Skills!C29=1,60+Inputs!$B$24+(Inputs!$B$28+1),IF(Skills!C29=2,90+Inputs!$B$25+(Inputs!$B$28+1),IF(Skills!C29=3,120+Inputs!$B$26+(Inputs!$B$28+1),MAX(0,(Inputs!$B$3-100)*3)+Inputs!$B$27+(Inputs!$B$28+1))))</f>
        <v/>
      </c>
      <c r="E922">
        <f>INDEX(FactorTable!$B$2:$Y$301, MATCH(ROUND(MIN(300,MAX(1,D922)),0), FactorTable!$A$2:$A$301,0), Skills!M29+1)</f>
        <v/>
      </c>
      <c r="F922">
        <f>IF(Skills!N29=TRUE,(Skills!L29/10)*(E922/1000),Skills!L29/10)+Skills!O29</f>
        <v/>
      </c>
      <c r="G922">
        <f>Skills!G29*IF(Skills!H29&gt;0,Skills!I29/Skills!H29,1)</f>
        <v/>
      </c>
      <c r="H922">
        <f>1-(1-Skills!J29/100)^Skills!K29</f>
        <v/>
      </c>
      <c r="I922" t="inlineStr">
        <is>
          <t>1</t>
        </is>
      </c>
      <c r="J922" t="inlineStr"/>
      <c r="K922" t="inlineStr"/>
      <c r="L922" t="inlineStr"/>
      <c r="M922" t="inlineStr"/>
      <c r="N922" t="inlineStr"/>
      <c r="O922" t="n">
        <v>0</v>
      </c>
      <c r="P922">
        <f>IF(B933=0,0,O922/B933)</f>
        <v/>
      </c>
      <c r="Q922" t="n">
        <v>0</v>
      </c>
      <c r="R922" t="n">
        <v>0</v>
      </c>
      <c r="S922">
        <f>IFERROR(O922/N922,0)</f>
        <v/>
      </c>
    </row>
    <row r="924">
      <c r="A924" t="inlineStr">
        <is>
          <t>Attack% Bucket Multiplier</t>
        </is>
      </c>
      <c r="B924">
        <f>(1+(((C906=TRUE)*F906)+((C907=TRUE)*IF(Inputs!$B$4="pvp",F907,(1-Summary!$B$55)*(F907)+Summary!$B$55*(0)))+((C908=TRUE)*F908*IF(AND(Inputs!$B$4&lt;&gt;"pvp",Inputs!$B$35&gt;0),(((S908-1)*(Skills!T15*(1+Inputs!$B$33/100))+MIN((Skills!T15*(1+Inputs!$B$33/100)),MAX(0,Inputs!$B$35-((S908-1)*Skills!D15))))/Inputs!$B$35),IF(Inputs!$B$4="pvp",MIN((Skills!T15*(1+Inputs!$B$33/100)),15)/15,(Skills!T15*(1+Inputs!$B$33/100))/Skills!D15)))+((C905=TRUE)*F905)+((C922=TRUE)*(F922-Calc!F29)))/100)</f>
        <v/>
      </c>
    </row>
    <row r="925">
      <c r="A925" t="inlineStr">
        <is>
          <t>Global Crit Rate Bonus %</t>
        </is>
      </c>
      <c r="B925">
        <f>(C909=TRUE)*20*IF(AND(Inputs!$B$4&lt;&gt;"pvp",Inputs!$B$35&gt;0),(((S909-1)*(Skills!T16*(1+Inputs!$B$33/100))+MIN((Skills!T16*(1+Inputs!$B$33/100)),MAX(0,Inputs!$B$35-((S909-1)*Skills!D16))))/Inputs!$B$35),IF(Inputs!$B$4="pvp",MIN((Skills!T16*(1+Inputs!$B$33/100)),15)/15,(Skills!T16*(1+Inputs!$B$33/100))/Skills!D16))</f>
        <v/>
      </c>
    </row>
    <row r="926">
      <c r="A926" t="inlineStr">
        <is>
          <t>Attack Speed Buff Bonus %</t>
        </is>
      </c>
      <c r="B926">
        <f>((C911=TRUE)*F911*IF(AND(Inputs!$B$4&lt;&gt;"pvp",Inputs!$B$35&gt;0),(((S911-1)*(Skills!T18*(1+Inputs!$B$33/100))+MIN((Skills!T18*(1+Inputs!$B$33/100)),MAX(0,Inputs!$B$35-((S911-1)*Skills!D18))))/Inputs!$B$35),IF(Inputs!$B$4="pvp",MIN((Skills!T18*(1+Inputs!$B$33/100)),15)/15,(Skills!T18*(1+Inputs!$B$33/100))/Skills!D18)))</f>
        <v/>
      </c>
    </row>
    <row r="927">
      <c r="A927" t="inlineStr">
        <is>
          <t>Actions Per Second</t>
        </is>
      </c>
      <c r="B927">
        <f>1+MIN(150,150*(1-(1-(Inputs!$B$10+((C913=TRUE)*(F913-Calc!F20))+((C914=TRUE)*(F914-Calc!F21)))/150)*(1-B926/150)))/100</f>
        <v/>
      </c>
    </row>
    <row r="928">
      <c r="A928" t="inlineStr">
        <is>
          <t>Skill + Buff Cast Rate</t>
        </is>
      </c>
      <c r="B928">
        <f>IF(AND(Inputs!$B$4&lt;&gt;"pvp",Inputs!$B$35&gt;0),SUMPRODUCT((Skills!E2:E29=TRUE)*(C895:C922=TRUE)*R895:R922*Skills!F2:F29)/Inputs!$B$35,SUMPRODUCT((Skills!E2:E29=TRUE)*(C895:C922=TRUE)*Q895:Q922*Skills!F2:F29))</f>
        <v/>
      </c>
    </row>
    <row r="929">
      <c r="A929" t="inlineStr">
        <is>
          <t>Empowered Piercing Arrow Casts Per Second</t>
        </is>
      </c>
      <c r="B929">
        <f>MAX(0,B927-B928)</f>
        <v/>
      </c>
    </row>
    <row r="930">
      <c r="A930" t="inlineStr">
        <is>
          <t>Global Critical Damage Bonus % (Sharp Eyes)</t>
        </is>
      </c>
      <c r="B930">
        <f>(C909=TRUE)*F909*IF(AND(Inputs!$B$4&lt;&gt;"pvp",Inputs!$B$35&gt;0),(((S909-1)*(Skills!T16*(1+Inputs!$B$33/100))+MIN((Skills!T16*(1+Inputs!$B$33/100)),MAX(0,Inputs!$B$35-((S909-1)*Skills!D16))))/Inputs!$B$35),IF(Inputs!$B$4="pvp",MIN((Skills!T16*(1+Inputs!$B$33/100)),15)/15,(Skills!T16*(1+Inputs!$B$33/100))/Skills!D16))</f>
        <v/>
      </c>
    </row>
    <row r="931">
      <c r="A931" t="inlineStr">
        <is>
          <t>Global Final Damage Bonus % (Mortal Blow + Last Man Standing conditional half)</t>
        </is>
      </c>
      <c r="B931">
        <f>(C910=TRUE)*F910+((C919=TRUE)*IF(Inputs!$B$4="pvp",F919,(1-Summary!$B$55)*(F919)+Summary!$B$55*(0)))</f>
        <v/>
      </c>
    </row>
    <row r="933">
      <c r="A933" s="5" t="inlineStr">
        <is>
          <t>TOTAL DPS</t>
        </is>
      </c>
      <c r="B933" s="5">
        <f>SUM(O895:O922)</f>
        <v/>
      </c>
    </row>
    <row r="936">
      <c r="A936" s="5" t="inlineStr">
        <is>
          <t>Stat: Flat ATTACK</t>
        </is>
      </c>
    </row>
    <row r="937">
      <c r="A937" s="8" t="inlineStr">
        <is>
          <t>Key</t>
        </is>
      </c>
      <c r="B937" s="8" t="inlineStr">
        <is>
          <t>Name</t>
        </is>
      </c>
      <c r="C937" s="8" t="inlineStr">
        <is>
          <t>Unlocked</t>
        </is>
      </c>
      <c r="D937" s="8" t="inlineStr">
        <is>
          <t>InputLevel</t>
        </is>
      </c>
      <c r="E937" s="8" t="inlineStr">
        <is>
          <t>Factor</t>
        </is>
      </c>
      <c r="F937" s="8" t="inlineStr">
        <is>
          <t>CoefficientPercent</t>
        </is>
      </c>
      <c r="G937" s="8" t="inlineStr">
        <is>
          <t>EffectiveHits</t>
        </is>
      </c>
      <c r="H937" s="8" t="inlineStr">
        <is>
          <t>ProcProbability</t>
        </is>
      </c>
      <c r="I937" s="8" t="inlineStr">
        <is>
          <t>MapleHeroMultiplier</t>
        </is>
      </c>
      <c r="J937" s="8" t="inlineStr">
        <is>
          <t>BaseDamage</t>
        </is>
      </c>
      <c r="K937" s="8" t="inlineStr">
        <is>
          <t>BaseHitDamage</t>
        </is>
      </c>
      <c r="L937" s="8" t="inlineStr">
        <is>
          <t>NonCritAvg</t>
        </is>
      </c>
      <c r="M937" s="8" t="inlineStr">
        <is>
          <t>CritAvg</t>
        </is>
      </c>
      <c r="N937" s="8" t="inlineStr">
        <is>
          <t>ExpectedDamage(perHit)</t>
        </is>
      </c>
      <c r="O937" s="8" t="inlineStr">
        <is>
          <t>DPS</t>
        </is>
      </c>
      <c r="P937" s="8" t="inlineStr">
        <is>
          <t>% of Total</t>
        </is>
      </c>
      <c r="Q937" s="8" t="inlineStr">
        <is>
          <t>InvCooldown</t>
        </is>
      </c>
      <c r="R937" s="8" t="inlineStr">
        <is>
          <t>CastsInFight</t>
        </is>
      </c>
      <c r="S937" s="8" t="inlineStr">
        <is>
          <t>HitRate(perSec)</t>
        </is>
      </c>
      <c r="U937" t="inlineStr">
        <is>
          <t>helpers</t>
        </is>
      </c>
    </row>
    <row r="938">
      <c r="A938">
        <f>Skills!A2</f>
        <v/>
      </c>
      <c r="B938">
        <f>Skills!B2</f>
        <v/>
      </c>
      <c r="C938">
        <f>Inputs!$B$3&gt;=100</f>
        <v/>
      </c>
      <c r="D938" t="inlineStr"/>
      <c r="E938" t="inlineStr"/>
      <c r="F938">
        <f>U940+Skills!O2</f>
        <v/>
      </c>
      <c r="G938">
        <f>Skills!G2*IF(Skills!H2&gt;0,Skills!I2/Skills!H2,1)</f>
        <v/>
      </c>
      <c r="H938">
        <f>1-(1-Skills!J2/100)^Skills!K2</f>
        <v/>
      </c>
      <c r="I938" t="inlineStr">
        <is>
          <t>1</t>
        </is>
      </c>
      <c r="J938">
        <f>((Inputs!$B$5+1)*(1+Inputs!$B$6/100))*(F938/100)</f>
        <v/>
      </c>
      <c r="K938">
        <f>J938*(1+((Inputs!$B$11*(1+Inputs!$B$12/100))*0.01+Inputs!$B$13*0.0025)/100)*(1+Inputs!$B$14/100)*(1+IF(Inputs!$B$4="pvp",0,(1-Summary!$B$55)*(Inputs!$B$19+0+Skills!P2)+Summary!$B$55*(Inputs!$B$20+Skills!Q2))/100)*(1+Inputs!$B$15/100)*(5000/(6000+Inputs!$B$7*(1-(Inputs!$B$18+0)/100)))*(1+(Inputs!$B$23+((C960=TRUE)*(F960-Calc!F24))+((C961=TRUE)*(F961-Calc!F25))+B974)/100)*(1+(IF(Skills!A2="EMPOWERED_PIERCING_ARROW",Inputs!$B$16+((C958=TRUE)*(F958-Calc!F22)),Inputs!$B$17+((C963=TRUE)*(F963-Calc!F27))))/100)*((1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I938)</f>
        <v/>
      </c>
      <c r="L938">
        <f>K938*(MIN(Inputs!$B$21+((C959=TRUE)*(F959-Calc!F23)),Inputs!$B$22+((C964=TRUE)*(F964-Calc!F28)))/100+(Inputs!$B$22+((C964=TRUE)*(F964-Calc!F28)))/100)/2</f>
        <v/>
      </c>
      <c r="M938">
        <f>L938*(1+(Inputs!$B$9+0+B973)/100)</f>
        <v/>
      </c>
      <c r="N938">
        <f>L938*(1-MIN((Inputs!$B$8+((C955=TRUE)*(F955-Calc!F19))+B968),100)/100)+M938*(MIN((Inputs!$B$8+((C955=TRUE)*(F955-Calc!F19))+B968),100)/100)</f>
        <v/>
      </c>
      <c r="O938">
        <f>IF(C938,Skills!G2*N938*B972*IF(Inputs!$B$4="pvp",1,(1-Summary!$B$55)*(1)+Summary!$B$55*(MIN((6+Inputs!$B$32),Inputs!$B$37))),0)</f>
        <v/>
      </c>
      <c r="P938">
        <f>IF(B976=0,0,O938/B976)</f>
        <v/>
      </c>
      <c r="Q938" t="n">
        <v>0</v>
      </c>
      <c r="R938" t="n">
        <v>0</v>
      </c>
      <c r="S938">
        <f>IFERROR(O938/N938,0)</f>
        <v/>
      </c>
      <c r="U938">
        <f>MAX(0,(Inputs!$B$3-100)*3)+Inputs!$B$27+Inputs!$B$28</f>
        <v/>
      </c>
    </row>
    <row r="939">
      <c r="A939">
        <f>Skills!A3</f>
        <v/>
      </c>
      <c r="B939">
        <f>Skills!B3</f>
        <v/>
      </c>
      <c r="C939">
        <f>Inputs!$B$3&gt;=50</f>
        <v/>
      </c>
      <c r="D939">
        <f>IF(Skills!C3=1,60+Inputs!$B$24+Inputs!$B$28,IF(Skills!C3=2,90+Inputs!$B$25+Inputs!$B$28,IF(Skills!C3=3,120+Inputs!$B$26+Inputs!$B$28,MAX(0,(Inputs!$B$3-100)*3)+Inputs!$B$27+Inputs!$B$28)))</f>
        <v/>
      </c>
      <c r="E939">
        <f>INDEX(FactorTable!$B$2:$Y$301, MATCH(ROUND(MIN(300,MAX(1,D939)),0), FactorTable!$A$2:$A$301,0), Skills!M3+1)</f>
        <v/>
      </c>
      <c r="F939">
        <f>IF(Skills!N3=TRUE,(Skills!L3/10)*(E939/1000),Skills!L3/10)+Skills!O3</f>
        <v/>
      </c>
      <c r="G939" t="inlineStr"/>
      <c r="H939" t="inlineStr"/>
      <c r="I939" t="inlineStr">
        <is>
          <t>1</t>
        </is>
      </c>
      <c r="J939" t="inlineStr"/>
      <c r="K939" t="inlineStr"/>
      <c r="L939" t="inlineStr"/>
      <c r="M939" t="inlineStr"/>
      <c r="N939" t="inlineStr"/>
      <c r="O939" t="inlineStr"/>
      <c r="P939" t="inlineStr"/>
      <c r="Q939" t="inlineStr"/>
      <c r="R939" t="inlineStr"/>
      <c r="S939" t="inlineStr"/>
      <c r="U939">
        <f>INDEX(FactorTable!$B$2:$Y$301, MATCH(ROUND(MIN(300,MAX(1,U938)),0), FactorTable!$A$2:$A$301,0), 22)</f>
        <v/>
      </c>
    </row>
    <row r="940">
      <c r="A940">
        <f>Skills!A4</f>
        <v/>
      </c>
      <c r="B940">
        <f>Skills!B4</f>
        <v/>
      </c>
      <c r="C940">
        <f>Inputs!$B$3&gt;=105</f>
        <v/>
      </c>
      <c r="D940">
        <f>IF(Skills!C4=1,60+Inputs!$B$24+Inputs!$B$28,IF(Skills!C4=2,90+Inputs!$B$25+Inputs!$B$28,IF(Skills!C4=3,120+Inputs!$B$26+Inputs!$B$28,MAX(0,(Inputs!$B$3-100)*3)+Inputs!$B$27+Inputs!$B$28)))</f>
        <v/>
      </c>
      <c r="E940">
        <f>INDEX(FactorTable!$B$2:$Y$301, MATCH(ROUND(MIN(300,MAX(1,D940)),0), FactorTable!$A$2:$A$301,0), Skills!M4+1)</f>
        <v/>
      </c>
      <c r="F940">
        <f>IF(Skills!N4=TRUE,(Skills!L4/10)*(E940/1000),Skills!L4/10)+Skills!O4</f>
        <v/>
      </c>
      <c r="G940" t="inlineStr"/>
      <c r="H940" t="inlineStr"/>
      <c r="I940" t="inlineStr">
        <is>
          <t>1</t>
        </is>
      </c>
      <c r="J940" t="inlineStr"/>
      <c r="K940" t="inlineStr"/>
      <c r="L940" t="inlineStr"/>
      <c r="M940" t="inlineStr"/>
      <c r="N940" t="inlineStr"/>
      <c r="O940" t="inlineStr"/>
      <c r="P940" t="inlineStr"/>
      <c r="Q940" t="inlineStr"/>
      <c r="R940" t="inlineStr"/>
      <c r="S940" t="inlineStr"/>
      <c r="U940">
        <f>290*U939/1000</f>
        <v/>
      </c>
    </row>
    <row r="941">
      <c r="A941">
        <f>Skills!A5</f>
        <v/>
      </c>
      <c r="B941">
        <f>Skills!B5</f>
        <v/>
      </c>
      <c r="C941">
        <f>Inputs!$B$3&gt;=35</f>
        <v/>
      </c>
      <c r="D941">
        <f>IF(Skills!C5=1,60+Inputs!$B$24+Inputs!$B$28,IF(Skills!C5=2,90+Inputs!$B$25+Inputs!$B$28,IF(Skills!C5=3,120+Inputs!$B$26+Inputs!$B$28,MAX(0,(Inputs!$B$3-100)*3)+Inputs!$B$27+Inputs!$B$28)))</f>
        <v/>
      </c>
      <c r="E941">
        <f>INDEX(FactorTable!$B$2:$Y$301, MATCH(ROUND(MIN(300,MAX(1,D941)),0), FactorTable!$A$2:$A$301,0), Skills!M5+1)</f>
        <v/>
      </c>
      <c r="F941">
        <f>IF(Skills!N5=TRUE,(Skills!L5/10)*(E941/1000),Skills!L5/10)+Skills!O5</f>
        <v/>
      </c>
      <c r="G941">
        <f>Skills!G5*IF(Skills!H5&gt;0,Skills!I5/Skills!H5,1)</f>
        <v/>
      </c>
      <c r="H941">
        <f>1-(1-Skills!J5/100)^Skills!K5</f>
        <v/>
      </c>
      <c r="I941" t="inlineStr">
        <is>
          <t>1</t>
        </is>
      </c>
      <c r="J941">
        <f>((Inputs!$B$5+1)*(1+Inputs!$B$6/100))*(F941/100)</f>
        <v/>
      </c>
      <c r="K941">
        <f>J941*(1+((Inputs!$B$11*(1+Inputs!$B$12/100))*0.01+Inputs!$B$13*0.0025)/100)*(1+Inputs!$B$14/100)*(1+IF(Inputs!$B$4="pvp",0,(1-Summary!$B$55)*(Inputs!$B$19+0+Skills!P5)+Summary!$B$55*(Inputs!$B$20+Skills!Q5))/100)*(1+Inputs!$B$15/100)*(5000/(6000+Inputs!$B$7*(1-(Inputs!$B$18+0)/100)))*(1+(Inputs!$B$23+((C960=TRUE)*(F960-Calc!F24))+((C961=TRUE)*(F961-Calc!F25))+B974)/100)*(1+4.0*IF(C944=TRUE,F944,0)/100)*(1+(IF(Skills!A5="EMPOWERED_PIERCING_ARROW",Inputs!$B$16+((C958=TRUE)*(F958-Calc!F22)),Inputs!$B$17+((C963=TRUE)*(F963-Calc!F27))))/100)*((1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I941)</f>
        <v/>
      </c>
      <c r="L941">
        <f>K941*(MIN(Inputs!$B$21+((C959=TRUE)*(F959-Calc!F23)),Inputs!$B$22+((C964=TRUE)*(F964-Calc!F28)))/100+(Inputs!$B$22+((C964=TRUE)*(F964-Calc!F28)))/100)/2</f>
        <v/>
      </c>
      <c r="M941">
        <f>L941*(1+(Inputs!$B$9+0+B973)/100)</f>
        <v/>
      </c>
      <c r="N941">
        <f>L941*(1-MIN((Inputs!$B$8+((C955=TRUE)*(F955-Calc!F19))+B968),100)/100)+M941*(MIN((Inputs!$B$8+((C955=TRUE)*(F955-Calc!F19))+B968),100)/100)</f>
        <v/>
      </c>
      <c r="O941">
        <f>IF(C941,H941*N941*IF(AND(Inputs!$B$4&lt;&gt;"pvp",Inputs!$B$35&gt;0),((Skills!G5*((R941-1)*IF(Skills!H5&gt;0,Skills!I5/Skills!H5,1)+IF(Skills!H5&gt;0,MIN(Skills!I5,MAX(0,Inputs!$B$35-((R941-1)*IF(Inputs!$B$4="pvp",15,MAX(0.1,Skills!D5-IF(Skills!E5=TRUE,Inputs!$B$31,0))))))/Skills!H5,1)))/Inputs!$B$35),G941*Q941)*IF(Inputs!$B$4="pvp",1,(1-Summary!$B$55)*(1)+Summary!$B$55*(MIN(Skills!R5,Inputs!$B$37))),0)</f>
        <v/>
      </c>
      <c r="P941">
        <f>IF(B976=0,0,O941/B976)</f>
        <v/>
      </c>
      <c r="Q941">
        <f>IFERROR(1/IF(Inputs!$B$4="pvp",15,MAX(0.1,Skills!D5-IF(Skills!E5=TRUE,Inputs!$B$31,0))),0)</f>
        <v/>
      </c>
      <c r="R941">
        <f>IF(AND(Inputs!$B$4&lt;&gt;"pvp",Inputs!$B$35&gt;0),(INT(Inputs!$B$35/IF(Inputs!$B$4="pvp",15,MAX(0.1,Skills!D5-IF(Skills!E5=TRUE,Inputs!$B$31,0))))+1),0)</f>
        <v/>
      </c>
      <c r="S941">
        <f>IFERROR(O941/N941,0)</f>
        <v/>
      </c>
    </row>
    <row r="942">
      <c r="A942">
        <f>Skills!A6</f>
        <v/>
      </c>
      <c r="B942">
        <f>Skills!B6</f>
        <v/>
      </c>
      <c r="C942">
        <f>Inputs!$B$3&gt;=63</f>
        <v/>
      </c>
      <c r="D942">
        <f>IF(Skills!C6=1,60+Inputs!$B$24+Inputs!$B$28,IF(Skills!C6=2,90+Inputs!$B$25+Inputs!$B$28,IF(Skills!C6=3,120+Inputs!$B$26+Inputs!$B$28,MAX(0,(Inputs!$B$3-100)*3)+Inputs!$B$27+Inputs!$B$28)))</f>
        <v/>
      </c>
      <c r="E942">
        <f>INDEX(FactorTable!$B$2:$Y$301, MATCH(ROUND(MIN(300,MAX(1,D942)),0), FactorTable!$A$2:$A$301,0), Skills!M6+1)</f>
        <v/>
      </c>
      <c r="F942">
        <f>IF(Skills!N6=TRUE,(Skills!L6/10)*(E942/1000),Skills!L6/10)+Skills!O6</f>
        <v/>
      </c>
      <c r="G942">
        <f>Skills!G6*IF(Skills!H6&gt;0,Skills!I6/Skills!H6,1)</f>
        <v/>
      </c>
      <c r="H942">
        <f>1-(1-Skills!J6/100)^Skills!K6</f>
        <v/>
      </c>
      <c r="I942" t="inlineStr">
        <is>
          <t>1</t>
        </is>
      </c>
      <c r="J942">
        <f>((Inputs!$B$5+1)*(1+Inputs!$B$6/100))*(F942/100)</f>
        <v/>
      </c>
      <c r="K942">
        <f>J942*(1+((Inputs!$B$11*(1+Inputs!$B$12/100))*0.01+Inputs!$B$13*0.0025)/100)*(1+Inputs!$B$14/100)*(1+IF(Inputs!$B$4="pvp",0,(1-Summary!$B$55)*(Inputs!$B$19+0+Skills!P6)+Summary!$B$55*(Inputs!$B$20+Skills!Q6))/100)*(1+Inputs!$B$15/100)*(5000/(6000+Inputs!$B$7*(1-(Inputs!$B$18+0)/100)))*(1+(Inputs!$B$23+((C960=TRUE)*(F960-Calc!F24))+((C961=TRUE)*(F961-Calc!F25))+B974)/100)*(1+1.0*IF(C944=TRUE,F944,0)/100)*(1+(IF(Skills!A6="EMPOWERED_PIERCING_ARROW",Inputs!$B$16+((C958=TRUE)*(F958-Calc!F22)),Inputs!$B$17+((C963=TRUE)*(F963-Calc!F27))))/100)*((1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I942)</f>
        <v/>
      </c>
      <c r="L942">
        <f>K942*(MIN(Inputs!$B$21+((C959=TRUE)*(F959-Calc!F23)),Inputs!$B$22+((C964=TRUE)*(F964-Calc!F28)))/100+(Inputs!$B$22+((C964=TRUE)*(F964-Calc!F28)))/100)/2</f>
        <v/>
      </c>
      <c r="M942">
        <f>L942*(1+(Inputs!$B$9+0+B973)/100)</f>
        <v/>
      </c>
      <c r="N942">
        <f>L942*(1-MIN((Inputs!$B$8+((C955=TRUE)*(F955-Calc!F19))+B968),100)/100)+M942*(MIN((Inputs!$B$8+((C955=TRUE)*(F955-Calc!F19))+B968),100)/100)</f>
        <v/>
      </c>
      <c r="O942">
        <f>IF(C942,H942*N942*IF(AND(Inputs!$B$4&lt;&gt;"pvp",Inputs!$B$35&gt;0),((Skills!G6*((R942-1)*IF(Skills!H6&gt;0,Skills!I6/Skills!H6,1)+IF(Skills!H6&gt;0,MIN(Skills!I6,MAX(0,Inputs!$B$35-((R942-1)*IF(Inputs!$B$4="pvp",15,MAX(0.1,Skills!D6-IF(Skills!E6=TRUE,Inputs!$B$31,0))))))/Skills!H6,1)))/Inputs!$B$35),G942*Q942)*IF(Inputs!$B$4="pvp",1,(1-Summary!$B$55)*(1)+Summary!$B$55*(MIN(Skills!R6,Inputs!$B$37))),0)</f>
        <v/>
      </c>
      <c r="P942">
        <f>IF(B976=0,0,O942/B976)</f>
        <v/>
      </c>
      <c r="Q942">
        <f>IFERROR(1/IF(Inputs!$B$4="pvp",15,MAX(0.1,Skills!D6-IF(Skills!E6=TRUE,Inputs!$B$31,0))),0)</f>
        <v/>
      </c>
      <c r="R942">
        <f>IF(AND(Inputs!$B$4&lt;&gt;"pvp",Inputs!$B$35&gt;0),(INT(Inputs!$B$35/IF(Inputs!$B$4="pvp",15,MAX(0.1,Skills!D6-IF(Skills!E6=TRUE,Inputs!$B$31,0))))+1),0)</f>
        <v/>
      </c>
      <c r="S942">
        <f>IFERROR(O942/N942,0)</f>
        <v/>
      </c>
    </row>
    <row r="943">
      <c r="A943">
        <f>Skills!A7</f>
        <v/>
      </c>
      <c r="B943">
        <f>Skills!B7</f>
        <v/>
      </c>
      <c r="C943">
        <f>Inputs!$B$3&gt;=69</f>
        <v/>
      </c>
      <c r="D943">
        <f>IF(Skills!C7=1,60+Inputs!$B$24+Inputs!$B$28,IF(Skills!C7=2,90+Inputs!$B$25+Inputs!$B$28,IF(Skills!C7=3,120+Inputs!$B$26+Inputs!$B$28,MAX(0,(Inputs!$B$3-100)*3)+Inputs!$B$27+Inputs!$B$28)))</f>
        <v/>
      </c>
      <c r="E943">
        <f>INDEX(FactorTable!$B$2:$Y$301, MATCH(ROUND(MIN(300,MAX(1,D943)),0), FactorTable!$A$2:$A$301,0), Skills!M7+1)</f>
        <v/>
      </c>
      <c r="F943">
        <f>IF(Skills!N7=TRUE,(Skills!L7/10)*(E943/1000),Skills!L7/10)+Skills!O7</f>
        <v/>
      </c>
      <c r="G943">
        <f>Skills!G7*IF(Skills!H7&gt;0,Skills!I7/Skills!H7,1)</f>
        <v/>
      </c>
      <c r="H943">
        <f>1-(1-Skills!J7/100)^Skills!K7</f>
        <v/>
      </c>
      <c r="I943" t="inlineStr">
        <is>
          <t>1</t>
        </is>
      </c>
      <c r="J943">
        <f>((Inputs!$B$5+1)*(1+Inputs!$B$6/100))*(F943/100)</f>
        <v/>
      </c>
      <c r="K943">
        <f>J943*(1+((Inputs!$B$11*(1+Inputs!$B$12/100))*0.01+Inputs!$B$13*0.0025)/100)*(1+Inputs!$B$14/100)*(1+IF(Inputs!$B$4="pvp",0,(1-Summary!$B$55)*(Inputs!$B$19+0+Skills!P7)+Summary!$B$55*(Inputs!$B$20+Skills!Q7))/100)*(1+Inputs!$B$15/100)*(5000/(6000+Inputs!$B$7*(1-(Inputs!$B$18+0)/100)))*(1+(Inputs!$B$23+((C960=TRUE)*(F960-Calc!F24))+((C961=TRUE)*(F961-Calc!F25))+B974)/100)*(1+1.2*IF(C944=TRUE,F944,0)/100)*(1+(IF(Skills!A7="EMPOWERED_PIERCING_ARROW",Inputs!$B$16+((C958=TRUE)*(F958-Calc!F22)),Inputs!$B$17+((C963=TRUE)*(F963-Calc!F27))))/100)*((1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I943)</f>
        <v/>
      </c>
      <c r="L943">
        <f>K943*(MIN(Inputs!$B$21+((C959=TRUE)*(F959-Calc!F23)),Inputs!$B$22+((C964=TRUE)*(F964-Calc!F28)))/100+(Inputs!$B$22+((C964=TRUE)*(F964-Calc!F28)))/100)/2</f>
        <v/>
      </c>
      <c r="M943">
        <f>L943*(1+(Inputs!$B$9+0+B973)/100)</f>
        <v/>
      </c>
      <c r="N943">
        <f>L943*(1-MIN((Inputs!$B$8+((C955=TRUE)*(F955-Calc!F19))+B968),100)/100)+M943*(MIN((Inputs!$B$8+((C955=TRUE)*(F955-Calc!F19))+B968),100)/100)</f>
        <v/>
      </c>
      <c r="O943">
        <f>IF(C943,H943*N943*IF(AND(Inputs!$B$4&lt;&gt;"pvp",Inputs!$B$35&gt;0),((Skills!G7*((R943-1)*IF(Skills!H7&gt;0,Skills!I7/Skills!H7,1)+IF(Skills!H7&gt;0,MIN(Skills!I7,MAX(0,Inputs!$B$35-((R943-1)*IF(Inputs!$B$4="pvp",15,MAX(0.1,Skills!D7-IF(Skills!E7=TRUE,Inputs!$B$31,0))))))/Skills!H7,1)))/Inputs!$B$35),G943*Q943)*IF(Inputs!$B$4="pvp",1,(1-Summary!$B$55)*(1)+Summary!$B$55*(MIN(Skills!R7,Inputs!$B$37))),0)</f>
        <v/>
      </c>
      <c r="P943">
        <f>IF(B976=0,0,O943/B976)</f>
        <v/>
      </c>
      <c r="Q943">
        <f>IFERROR(1/IF(Inputs!$B$4="pvp",15,MAX(0.1,Skills!D7-IF(Skills!E7=TRUE,Inputs!$B$31,0))),0)</f>
        <v/>
      </c>
      <c r="R943">
        <f>IF(AND(Inputs!$B$4&lt;&gt;"pvp",Inputs!$B$35&gt;0),(INT(Inputs!$B$35/IF(Inputs!$B$4="pvp",15,MAX(0.1,Skills!D7-IF(Skills!E7=TRUE,Inputs!$B$31,0))))+1),0)</f>
        <v/>
      </c>
      <c r="S943">
        <f>IFERROR(O943/N943,0)</f>
        <v/>
      </c>
    </row>
    <row r="944">
      <c r="A944">
        <f>Skills!A8</f>
        <v/>
      </c>
      <c r="B944">
        <f>Skills!B8</f>
        <v/>
      </c>
      <c r="C944">
        <f>Inputs!$B$3&gt;=100</f>
        <v/>
      </c>
      <c r="D944">
        <f>IF(Skills!C8=1,60+Inputs!$B$24+Inputs!$B$28,IF(Skills!C8=2,90+Inputs!$B$25+Inputs!$B$28,IF(Skills!C8=3,120+Inputs!$B$26+Inputs!$B$28,MAX(0,(Inputs!$B$3-100)*3)+Inputs!$B$27+Inputs!$B$28)))</f>
        <v/>
      </c>
      <c r="E944">
        <f>INDEX(FactorTable!$B$2:$Y$301, MATCH(ROUND(MIN(300,MAX(1,D944)),0), FactorTable!$A$2:$A$301,0), Skills!M8+1)</f>
        <v/>
      </c>
      <c r="F944">
        <f>IF(Skills!N8=TRUE,(Skills!L8/10)*(E944/1000),Skills!L8/10)+Skills!O8</f>
        <v/>
      </c>
      <c r="G944" t="inlineStr"/>
      <c r="H944" t="inlineStr"/>
      <c r="I944" t="inlineStr">
        <is>
          <t>1</t>
        </is>
      </c>
      <c r="J944" t="inlineStr"/>
      <c r="K944" t="inlineStr"/>
      <c r="L944" t="inlineStr"/>
      <c r="M944" t="inlineStr"/>
      <c r="N944" t="inlineStr"/>
      <c r="O944" t="inlineStr"/>
      <c r="P944" t="inlineStr"/>
      <c r="Q944" t="inlineStr"/>
      <c r="R944" t="inlineStr"/>
      <c r="S944" t="inlineStr"/>
    </row>
    <row r="945">
      <c r="A945">
        <f>Skills!A9</f>
        <v/>
      </c>
      <c r="B945">
        <f>Skills!B9</f>
        <v/>
      </c>
      <c r="C945">
        <f>Inputs!$B$3&gt;=103</f>
        <v/>
      </c>
      <c r="D945">
        <f>IF(Skills!C9=1,60+Inputs!$B$24+Inputs!$B$28,IF(Skills!C9=2,90+Inputs!$B$25+Inputs!$B$28,IF(Skills!C9=3,120+Inputs!$B$26+Inputs!$B$28,MAX(0,(Inputs!$B$3-100)*3)+Inputs!$B$27+Inputs!$B$28)))</f>
        <v/>
      </c>
      <c r="E945">
        <f>INDEX(FactorTable!$B$2:$Y$301, MATCH(ROUND(MIN(300,MAX(1,D945)),0), FactorTable!$A$2:$A$301,0), Skills!M9+1)</f>
        <v/>
      </c>
      <c r="F945">
        <f>IF(Skills!N9=TRUE,(Skills!L9/10)*(E945/1000),Skills!L9/10)+Skills!O9</f>
        <v/>
      </c>
      <c r="G945">
        <f>Skills!G9*IF(Skills!H9&gt;0,Skills!I9/Skills!H9,1)</f>
        <v/>
      </c>
      <c r="H945">
        <f>1-(1-Skills!J9/100)^Skills!K9</f>
        <v/>
      </c>
      <c r="I945" t="inlineStr">
        <is>
          <t>1</t>
        </is>
      </c>
      <c r="J945">
        <f>((Inputs!$B$5+1)*(1+Inputs!$B$6/100))*(F945/100)</f>
        <v/>
      </c>
      <c r="K945">
        <f>J945*(1+((Inputs!$B$11*(1+Inputs!$B$12/100))*0.01+Inputs!$B$13*0.0025)/100)*(1+Inputs!$B$14/100)*(1+IF(Inputs!$B$4="pvp",0,(1-Summary!$B$55)*(Inputs!$B$19+0+Skills!P9)+Summary!$B$55*(Inputs!$B$20+Skills!Q9))/100)*(1+Inputs!$B$15/100)*(5000/(6000+Inputs!$B$7*(1-(Inputs!$B$18+0)/100)))*(1+(Inputs!$B$23+((C960=TRUE)*(F960-Calc!F24))+((C961=TRUE)*(F961-Calc!F25))+B974)/100)*(1+(IF(Skills!A9="EMPOWERED_PIERCING_ARROW",Inputs!$B$16+((C958=TRUE)*(F958-Calc!F22)),Inputs!$B$17+((C963=TRUE)*(F963-Calc!F27))))/100)*((1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I945)</f>
        <v/>
      </c>
      <c r="L945">
        <f>K945*(MIN(Inputs!$B$21+((C959=TRUE)*(F959-Calc!F23)),Inputs!$B$22+((C964=TRUE)*(F964-Calc!F28)))/100+(Inputs!$B$22+((C964=TRUE)*(F964-Calc!F28)))/100)/2</f>
        <v/>
      </c>
      <c r="M945">
        <f>L945*(1+(Inputs!$B$9+0+B973)/100)</f>
        <v/>
      </c>
      <c r="N945">
        <f>L945*(1-MIN((Inputs!$B$8+((C955=TRUE)*(F955-Calc!F19))+B968),100)/100)+M945*(MIN((Inputs!$B$8+((C955=TRUE)*(F955-Calc!F19))+B968),100)/100)</f>
        <v/>
      </c>
      <c r="O945">
        <f>IF(C945,H945*N945*IF(AND(Inputs!$B$4&lt;&gt;"pvp",Inputs!$B$35&gt;0),((Skills!G9*((R945-1)*IF(Skills!H9&gt;0,Skills!I9/Skills!H9,1)+IF(Skills!H9&gt;0,MIN(Skills!I9,MAX(0,Inputs!$B$35-((R945-1)*IF(Inputs!$B$4="pvp",15,MAX(0.1,Skills!D9-IF(Skills!E9=TRUE,Inputs!$B$31,0))))))/Skills!H9,1)))/Inputs!$B$35),G945*Q945)*IF(Inputs!$B$4="pvp",1,(1-Summary!$B$55)*(1)+Summary!$B$55*(MIN(Skills!R9,Inputs!$B$37))),0)</f>
        <v/>
      </c>
      <c r="P945">
        <f>IF(B976=0,0,O945/B976)</f>
        <v/>
      </c>
      <c r="Q945">
        <f>IFERROR(1/IF(Inputs!$B$4="pvp",15,MAX(0.1,Skills!D9-IF(Skills!E9=TRUE,Inputs!$B$31,0))),0)</f>
        <v/>
      </c>
      <c r="R945">
        <f>IF(AND(Inputs!$B$4&lt;&gt;"pvp",Inputs!$B$35&gt;0),(INT(Inputs!$B$35/IF(Inputs!$B$4="pvp",15,MAX(0.1,Skills!D9-IF(Skills!E9=TRUE,Inputs!$B$31,0))))+1),0)</f>
        <v/>
      </c>
      <c r="S945">
        <f>IFERROR(O945/N945,0)</f>
        <v/>
      </c>
    </row>
    <row r="946">
      <c r="A946">
        <f>Skills!A10</f>
        <v/>
      </c>
      <c r="B946">
        <f>Skills!B10</f>
        <v/>
      </c>
      <c r="C946">
        <f>Inputs!$B$3&gt;=107</f>
        <v/>
      </c>
      <c r="D946">
        <f>IF(Skills!C10=1,60+Inputs!$B$24+Inputs!$B$28,IF(Skills!C10=2,90+Inputs!$B$25+Inputs!$B$28,IF(Skills!C10=3,120+Inputs!$B$26+Inputs!$B$28,MAX(0,(Inputs!$B$3-100)*3)+Inputs!$B$27+Inputs!$B$28)))</f>
        <v/>
      </c>
      <c r="E946">
        <f>INDEX(FactorTable!$B$2:$Y$301, MATCH(ROUND(MIN(300,MAX(1,D946)),0), FactorTable!$A$2:$A$301,0), Skills!M10+1)</f>
        <v/>
      </c>
      <c r="F946">
        <f>IF(Skills!N10=TRUE,(Skills!L10/10)*(E946/1000),Skills!L10/10)+Skills!O10</f>
        <v/>
      </c>
      <c r="G946">
        <f>Skills!G10*IF(Skills!H10&gt;0,Skills!I10/Skills!H10,1)</f>
        <v/>
      </c>
      <c r="H946">
        <f>1-(1-Skills!J10/100)^Skills!K10</f>
        <v/>
      </c>
      <c r="I946" t="inlineStr">
        <is>
          <t>1</t>
        </is>
      </c>
      <c r="J946">
        <f>((Inputs!$B$5+1)*(1+Inputs!$B$6/100))*(F946/100)</f>
        <v/>
      </c>
      <c r="K946">
        <f>J946*(1+((Inputs!$B$11*(1+Inputs!$B$12/100))*0.01+Inputs!$B$13*0.0025)/100)*(1+Inputs!$B$14/100)*(1+IF(Inputs!$B$4="pvp",0,(1-Summary!$B$55)*(Inputs!$B$19+0+Skills!P10)+Summary!$B$55*(Inputs!$B$20+Skills!Q10))/100)*(1+Inputs!$B$15/100)*(5000/(6000+Inputs!$B$7*(1-(Inputs!$B$18+0)/100)))*(1+(Inputs!$B$23+((C960=TRUE)*(F960-Calc!F24))+((C961=TRUE)*(F961-Calc!F25))+B974)/100)*(1+(IF(Skills!A10="EMPOWERED_PIERCING_ARROW",Inputs!$B$16+((C958=TRUE)*(F958-Calc!F22)),Inputs!$B$17+((C963=TRUE)*(F963-Calc!F27))))/100)*((1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I946)</f>
        <v/>
      </c>
      <c r="L946">
        <f>K946*(MIN(Inputs!$B$21+((C959=TRUE)*(F959-Calc!F23)),Inputs!$B$22+((C964=TRUE)*(F964-Calc!F28)))/100+(Inputs!$B$22+((C964=TRUE)*(F964-Calc!F28)))/100)/2</f>
        <v/>
      </c>
      <c r="M946">
        <f>L946*(1+(Inputs!$B$9+0+B973)/100)</f>
        <v/>
      </c>
      <c r="N946">
        <f>L946*(1-MIN((Inputs!$B$8+((C955=TRUE)*(F955-Calc!F19))+B968),100)/100)+M946*(MIN((Inputs!$B$8+((C955=TRUE)*(F955-Calc!F19))+B968),100)/100)</f>
        <v/>
      </c>
      <c r="O946">
        <f>IF(C946,0.15*SUMPRODUCT((Skills!U2:U29=TRUE)*(C938:C965=TRUE)*S938:S965)*Skills!G10*N946*IF(Inputs!$B$4="pvp",1,(1-Summary!$B$55)*(1)+Summary!$B$55*(MIN(Skills!R10,Inputs!$B$37))),0)</f>
        <v/>
      </c>
      <c r="P946">
        <f>IF(B976=0,0,O946/B976)</f>
        <v/>
      </c>
      <c r="Q946" t="n">
        <v>0</v>
      </c>
      <c r="R946" t="n">
        <v>0</v>
      </c>
      <c r="S946" t="n">
        <v>0</v>
      </c>
    </row>
    <row r="947">
      <c r="A947">
        <f>Skills!A11</f>
        <v/>
      </c>
      <c r="B947">
        <f>Skills!B11</f>
        <v/>
      </c>
      <c r="C947">
        <f>Inputs!$B$3&gt;=110</f>
        <v/>
      </c>
      <c r="D947">
        <f>IF(Skills!C11=1,60+Inputs!$B$24+Inputs!$B$28,IF(Skills!C11=2,90+Inputs!$B$25+Inputs!$B$28,IF(Skills!C11=3,120+Inputs!$B$26+Inputs!$B$28,MAX(0,(Inputs!$B$3-100)*3)+Inputs!$B$27+Inputs!$B$28)))</f>
        <v/>
      </c>
      <c r="E947">
        <f>INDEX(FactorTable!$B$2:$Y$301, MATCH(ROUND(MIN(300,MAX(1,D947)),0), FactorTable!$A$2:$A$301,0), Skills!M11+1)</f>
        <v/>
      </c>
      <c r="F947">
        <f>IF(Skills!N11=TRUE,(Skills!L11/10)*(E947/1000),Skills!L11/10)+Skills!O11</f>
        <v/>
      </c>
      <c r="G947">
        <f>Skills!G11*IF(Skills!H11&gt;0,Skills!I11/Skills!H11,1)</f>
        <v/>
      </c>
      <c r="H947">
        <f>1-(1-Skills!J11/100)^Skills!K11</f>
        <v/>
      </c>
      <c r="I947" t="inlineStr">
        <is>
          <t>1</t>
        </is>
      </c>
      <c r="J947">
        <f>((Inputs!$B$5+1)*(1+Inputs!$B$6/100))*(F947/100)</f>
        <v/>
      </c>
      <c r="K947">
        <f>J947*(1+((Inputs!$B$11*(1+Inputs!$B$12/100))*0.01+Inputs!$B$13*0.0025)/100)*(1+Inputs!$B$14/100)*(1+IF(Inputs!$B$4="pvp",0,(1-Summary!$B$55)*(Inputs!$B$19+0+Skills!P11)+Summary!$B$55*(Inputs!$B$20+Skills!Q11))/100)*(1+Inputs!$B$15/100)*(5000/(6000+Inputs!$B$7*(1-(Inputs!$B$18+0)/100)))*(1+(Inputs!$B$23+((C960=TRUE)*(F960-Calc!F24))+((C961=TRUE)*(F961-Calc!F25))+B974)/100)*(1+(IF(Skills!A11="EMPOWERED_PIERCING_ARROW",Inputs!$B$16+((C958=TRUE)*(F958-Calc!F22)),Inputs!$B$17+((C963=TRUE)*(F963-Calc!F27))))/100)*((1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I947)</f>
        <v/>
      </c>
      <c r="L947">
        <f>K947*(MIN(Inputs!$B$21+((C959=TRUE)*(F959-Calc!F23)),Inputs!$B$22+((C964=TRUE)*(F964-Calc!F28)))/100+(Inputs!$B$22+((C964=TRUE)*(F964-Calc!F28)))/100)/2</f>
        <v/>
      </c>
      <c r="M947">
        <f>L947*(1+(Inputs!$B$9+0+B973)/100)</f>
        <v/>
      </c>
      <c r="N947">
        <f>L947*(1-MIN((Inputs!$B$8+((C955=TRUE)*(F955-Calc!F19))+B968),100)/100)+M947*(MIN((Inputs!$B$8+((C955=TRUE)*(F955-Calc!F19))+B968),100)/100)</f>
        <v/>
      </c>
      <c r="O947">
        <f>IF(C947,H947*N947*IF(AND(Inputs!$B$4&lt;&gt;"pvp",Inputs!$B$35&gt;0),((Skills!G11*((R947-1)*IF(Skills!H11&gt;0,Skills!I11/Skills!H11,1)+IF(Skills!H11&gt;0,MIN(Skills!I11,MAX(0,Inputs!$B$35-((R947-1)*IF(Inputs!$B$4="pvp",15,MAX(0.1,Skills!D11-IF(Skills!E11=TRUE,Inputs!$B$31,0))))))/Skills!H11,1)))/Inputs!$B$35),G947*Q947)*IF(Inputs!$B$4="pvp",1,(1-Summary!$B$55)*(1)+Summary!$B$55*(MIN(Skills!R11,Inputs!$B$37))),0)</f>
        <v/>
      </c>
      <c r="P947">
        <f>IF(B976=0,0,O947/B976)</f>
        <v/>
      </c>
      <c r="Q947">
        <f>IFERROR(1/IF(Inputs!$B$4="pvp",15,MAX(0.1,Skills!D11-IF(Skills!E11=TRUE,Inputs!$B$31,0))),0)</f>
        <v/>
      </c>
      <c r="R947">
        <f>IF(AND(Inputs!$B$4&lt;&gt;"pvp",Inputs!$B$35&gt;0),(INT(Inputs!$B$35/IF(Inputs!$B$4="pvp",15,MAX(0.1,Skills!D11-IF(Skills!E11=TRUE,Inputs!$B$31,0))))+1),0)</f>
        <v/>
      </c>
      <c r="S947">
        <f>IFERROR(O947/N947,0)</f>
        <v/>
      </c>
    </row>
    <row r="948">
      <c r="A948">
        <f>Skills!A12</f>
        <v/>
      </c>
      <c r="B948">
        <f>Skills!B12</f>
        <v/>
      </c>
      <c r="C948">
        <f>Inputs!$B$3&gt;=60</f>
        <v/>
      </c>
      <c r="D948">
        <f>IF(Skills!C12=1,60+Inputs!$B$24+Inputs!$B$28,IF(Skills!C12=2,90+Inputs!$B$25+Inputs!$B$28,IF(Skills!C12=3,120+Inputs!$B$26+Inputs!$B$28,MAX(0,(Inputs!$B$3-100)*3)+Inputs!$B$27+Inputs!$B$28)))</f>
        <v/>
      </c>
      <c r="E948">
        <f>INDEX(FactorTable!$B$2:$Y$301, MATCH(ROUND(MIN(300,MAX(1,D948)),0), FactorTable!$A$2:$A$301,0), Skills!M12+1)</f>
        <v/>
      </c>
      <c r="F948">
        <f>IF(Skills!N12=TRUE,(Skills!L12/10)*(E948/1000),Skills!L12/10)+Skills!O12</f>
        <v/>
      </c>
      <c r="G948">
        <f>Skills!G12*IF(Skills!H12&gt;0,Skills!I12/Skills!H12,1)</f>
        <v/>
      </c>
      <c r="H948">
        <f>1-(1-Skills!J12/100)^Skills!K12</f>
        <v/>
      </c>
      <c r="I948" t="inlineStr">
        <is>
          <t>1</t>
        </is>
      </c>
      <c r="J948" t="inlineStr"/>
      <c r="K948" t="inlineStr"/>
      <c r="L948" t="inlineStr"/>
      <c r="M948" t="inlineStr"/>
      <c r="N948" t="inlineStr"/>
      <c r="O948" t="n">
        <v>0</v>
      </c>
      <c r="P948">
        <f>IF(B976=0,0,O948/B976)</f>
        <v/>
      </c>
      <c r="Q948" t="n">
        <v>0</v>
      </c>
      <c r="R948" t="n">
        <v>0</v>
      </c>
      <c r="S948">
        <f>IFERROR(O948/N948,0)</f>
        <v/>
      </c>
    </row>
    <row r="949">
      <c r="A949">
        <f>Skills!A13</f>
        <v/>
      </c>
      <c r="B949">
        <f>Skills!B13</f>
        <v/>
      </c>
      <c r="C949">
        <f>Inputs!$B$3&gt;=74</f>
        <v/>
      </c>
      <c r="D949">
        <f>IF(Skills!C13=1,60+Inputs!$B$24+Inputs!$B$28,IF(Skills!C13=2,90+Inputs!$B$25+Inputs!$B$28,IF(Skills!C13=3,120+Inputs!$B$26+Inputs!$B$28,MAX(0,(Inputs!$B$3-100)*3)+Inputs!$B$27+Inputs!$B$28)))</f>
        <v/>
      </c>
      <c r="E949">
        <f>INDEX(FactorTable!$B$2:$Y$301, MATCH(ROUND(MIN(300,MAX(1,D949)),0), FactorTable!$A$2:$A$301,0), Skills!M13+1)</f>
        <v/>
      </c>
      <c r="F949">
        <f>IF(Skills!N13=TRUE,(Skills!L13/10)*(E949/1000),Skills!L13/10)+Skills!O13</f>
        <v/>
      </c>
      <c r="G949">
        <f>Skills!G13*IF(Skills!H13&gt;0,Skills!I13/Skills!H13,1)</f>
        <v/>
      </c>
      <c r="H949">
        <f>1-(1-Skills!J13/100)^Skills!K13</f>
        <v/>
      </c>
      <c r="I949" t="inlineStr">
        <is>
          <t>1</t>
        </is>
      </c>
      <c r="J949" t="inlineStr"/>
      <c r="K949" t="inlineStr"/>
      <c r="L949" t="inlineStr"/>
      <c r="M949" t="inlineStr"/>
      <c r="N949" t="inlineStr"/>
      <c r="O949" t="n">
        <v>0</v>
      </c>
      <c r="P949">
        <f>IF(B976=0,0,O949/B976)</f>
        <v/>
      </c>
      <c r="Q949" t="n">
        <v>0</v>
      </c>
      <c r="R949" t="n">
        <v>0</v>
      </c>
      <c r="S949">
        <f>IFERROR(O949/N949,0)</f>
        <v/>
      </c>
    </row>
    <row r="950">
      <c r="A950">
        <f>Skills!A14</f>
        <v/>
      </c>
      <c r="B950">
        <f>Skills!B14</f>
        <v/>
      </c>
      <c r="C950">
        <f>Inputs!$B$3&gt;=74</f>
        <v/>
      </c>
      <c r="D950">
        <f>IF(Skills!C14=1,60+Inputs!$B$24+Inputs!$B$28,IF(Skills!C14=2,90+Inputs!$B$25+Inputs!$B$28,IF(Skills!C14=3,120+Inputs!$B$26+Inputs!$B$28,MAX(0,(Inputs!$B$3-100)*3)+Inputs!$B$27+Inputs!$B$28)))</f>
        <v/>
      </c>
      <c r="E950">
        <f>INDEX(FactorTable!$B$2:$Y$301, MATCH(ROUND(MIN(300,MAX(1,D950)),0), FactorTable!$A$2:$A$301,0), Skills!M14+1)</f>
        <v/>
      </c>
      <c r="F950">
        <f>IF(Skills!N14=TRUE,(Skills!L14/10)*(E950/1000),Skills!L14/10)+Skills!O14</f>
        <v/>
      </c>
      <c r="G950">
        <f>Skills!G14*IF(Skills!H14&gt;0,Skills!I14/Skills!H14,1)</f>
        <v/>
      </c>
      <c r="H950">
        <f>1-(1-Skills!J14/100)^Skills!K14</f>
        <v/>
      </c>
      <c r="I950" t="inlineStr">
        <is>
          <t>1</t>
        </is>
      </c>
      <c r="J950" t="inlineStr"/>
      <c r="K950" t="inlineStr"/>
      <c r="L950" t="inlineStr"/>
      <c r="M950" t="inlineStr"/>
      <c r="N950" t="inlineStr"/>
      <c r="O950" t="n">
        <v>0</v>
      </c>
      <c r="P950">
        <f>IF(B976=0,0,O950/B976)</f>
        <v/>
      </c>
      <c r="Q950" t="n">
        <v>0</v>
      </c>
      <c r="R950" t="n">
        <v>0</v>
      </c>
      <c r="S950">
        <f>IFERROR(O950/N950,0)</f>
        <v/>
      </c>
    </row>
    <row r="951">
      <c r="A951">
        <f>Skills!A15</f>
        <v/>
      </c>
      <c r="B951">
        <f>Skills!B15</f>
        <v/>
      </c>
      <c r="C951">
        <f>Inputs!$B$3&gt;=117</f>
        <v/>
      </c>
      <c r="D951">
        <f>IF(Skills!C15=1,60+Inputs!$B$24+Inputs!$B$28,IF(Skills!C15=2,90+Inputs!$B$25+Inputs!$B$28,IF(Skills!C15=3,120+Inputs!$B$26+Inputs!$B$28,MAX(0,(Inputs!$B$3-100)*3)+Inputs!$B$27+Inputs!$B$28)))</f>
        <v/>
      </c>
      <c r="E951">
        <f>INDEX(FactorTable!$B$2:$Y$301, MATCH(ROUND(MIN(300,MAX(1,D951)),0), FactorTable!$A$2:$A$301,0), Skills!M15+1)</f>
        <v/>
      </c>
      <c r="F951">
        <f>IF(Skills!N15=TRUE,(Skills!L15/10)*(E951/1000),Skills!L15/10)+Skills!O15</f>
        <v/>
      </c>
      <c r="G951">
        <f>Skills!G15*IF(Skills!H15&gt;0,Skills!I15/Skills!H15,1)</f>
        <v/>
      </c>
      <c r="H951">
        <f>1-(1-Skills!J15/100)^Skills!K15</f>
        <v/>
      </c>
      <c r="I951" t="inlineStr">
        <is>
          <t>1</t>
        </is>
      </c>
      <c r="J951" t="inlineStr"/>
      <c r="K951" t="inlineStr"/>
      <c r="L951" t="inlineStr"/>
      <c r="M951" t="inlineStr"/>
      <c r="N951" t="inlineStr"/>
      <c r="O951" t="n">
        <v>0</v>
      </c>
      <c r="P951">
        <f>IF(B976=0,0,O951/B976)</f>
        <v/>
      </c>
      <c r="Q951">
        <f>IFERROR(1/IF(Inputs!$B$4="pvp",15,MAX(0.1,Skills!D15-IF(Skills!E15=TRUE,Inputs!$B$31,0))),0)</f>
        <v/>
      </c>
      <c r="R951">
        <f>IF(AND(Inputs!$B$4&lt;&gt;"pvp",Inputs!$B$35&gt;0),(INT(Inputs!$B$35/IF(Inputs!$B$4="pvp",15,MAX(0.1,Skills!D15-IF(Skills!E15=TRUE,Inputs!$B$31,0))))+1),0)</f>
        <v/>
      </c>
      <c r="S951">
        <f>IFERROR(O951/N951,0)</f>
        <v/>
      </c>
    </row>
    <row r="952">
      <c r="A952">
        <f>Skills!A16</f>
        <v/>
      </c>
      <c r="B952">
        <f>Skills!B16</f>
        <v/>
      </c>
      <c r="C952">
        <f>Inputs!$B$3&gt;=115</f>
        <v/>
      </c>
      <c r="D952">
        <f>IF(Skills!C16=1,60+Inputs!$B$24+Inputs!$B$28,IF(Skills!C16=2,90+Inputs!$B$25+Inputs!$B$28,IF(Skills!C16=3,120+Inputs!$B$26+Inputs!$B$28,MAX(0,(Inputs!$B$3-100)*3)+Inputs!$B$27+Inputs!$B$28)))</f>
        <v/>
      </c>
      <c r="E952">
        <f>INDEX(FactorTable!$B$2:$Y$301, MATCH(ROUND(MIN(300,MAX(1,D952)),0), FactorTable!$A$2:$A$301,0), Skills!M16+1)</f>
        <v/>
      </c>
      <c r="F952">
        <f>IF(Skills!N16=TRUE,(Skills!L16/10)*(E952/1000),Skills!L16/10)+Skills!O16</f>
        <v/>
      </c>
      <c r="G952">
        <f>Skills!G16*IF(Skills!H16&gt;0,Skills!I16/Skills!H16,1)</f>
        <v/>
      </c>
      <c r="H952">
        <f>1-(1-Skills!J16/100)^Skills!K16</f>
        <v/>
      </c>
      <c r="I952" t="inlineStr">
        <is>
          <t>1</t>
        </is>
      </c>
      <c r="J952" t="inlineStr"/>
      <c r="K952" t="inlineStr"/>
      <c r="L952" t="inlineStr"/>
      <c r="M952" t="inlineStr"/>
      <c r="N952" t="inlineStr"/>
      <c r="O952" t="n">
        <v>0</v>
      </c>
      <c r="P952">
        <f>IF(B976=0,0,O952/B976)</f>
        <v/>
      </c>
      <c r="Q952">
        <f>IFERROR(1/IF(Inputs!$B$4="pvp",15,MAX(0.1,Skills!D16-IF(Skills!E16=TRUE,Inputs!$B$31,0))),0)</f>
        <v/>
      </c>
      <c r="R952">
        <f>IF(AND(Inputs!$B$4&lt;&gt;"pvp",Inputs!$B$35&gt;0),(INT(Inputs!$B$35/IF(Inputs!$B$4="pvp",15,MAX(0.1,Skills!D16-IF(Skills!E16=TRUE,Inputs!$B$31,0))))+1),0)</f>
        <v/>
      </c>
      <c r="S952">
        <f>IFERROR(O952/N952,0)</f>
        <v/>
      </c>
    </row>
    <row r="953">
      <c r="A953">
        <f>Skills!A17</f>
        <v/>
      </c>
      <c r="B953">
        <f>Skills!B17</f>
        <v/>
      </c>
      <c r="C953">
        <f>Inputs!$B$3&gt;=72</f>
        <v/>
      </c>
      <c r="D953">
        <f>IF(Skills!C17=1,60+Inputs!$B$24+Inputs!$B$28,IF(Skills!C17=2,90+Inputs!$B$25+Inputs!$B$28,IF(Skills!C17=3,120+Inputs!$B$26+Inputs!$B$28,MAX(0,(Inputs!$B$3-100)*3)+Inputs!$B$27+Inputs!$B$28)))</f>
        <v/>
      </c>
      <c r="E953">
        <f>INDEX(FactorTable!$B$2:$Y$301, MATCH(ROUND(MIN(300,MAX(1,D953)),0), FactorTable!$A$2:$A$301,0), Skills!M17+1)</f>
        <v/>
      </c>
      <c r="F953">
        <f>IF(Skills!N17=TRUE,(Skills!L17/10)*(E953/1000),Skills!L17/10)+Skills!O17</f>
        <v/>
      </c>
      <c r="G953">
        <f>Skills!G17*IF(Skills!H17&gt;0,Skills!I17/Skills!H17,1)</f>
        <v/>
      </c>
      <c r="H953">
        <f>1-(1-Skills!J17/100)^Skills!K17</f>
        <v/>
      </c>
      <c r="I953" t="inlineStr">
        <is>
          <t>1</t>
        </is>
      </c>
      <c r="J953" t="inlineStr"/>
      <c r="K953" t="inlineStr"/>
      <c r="L953" t="inlineStr"/>
      <c r="M953" t="inlineStr"/>
      <c r="N953" t="inlineStr"/>
      <c r="O953" t="n">
        <v>0</v>
      </c>
      <c r="P953">
        <f>IF(B976=0,0,O953/B976)</f>
        <v/>
      </c>
      <c r="Q953" t="n">
        <v>0</v>
      </c>
      <c r="R953" t="n">
        <v>0</v>
      </c>
      <c r="S953">
        <f>IFERROR(O953/N953,0)</f>
        <v/>
      </c>
    </row>
    <row r="954">
      <c r="A954">
        <f>Skills!A18</f>
        <v/>
      </c>
      <c r="B954">
        <f>Skills!B18</f>
        <v/>
      </c>
      <c r="C954">
        <f>TRUE</f>
        <v/>
      </c>
      <c r="D954">
        <f>IF(Skills!C18=1,60+Inputs!$B$24+Inputs!$B$28,IF(Skills!C18=2,90+Inputs!$B$25+Inputs!$B$28,IF(Skills!C18=3,120+Inputs!$B$26+Inputs!$B$28,MAX(0,(Inputs!$B$3-100)*3)+Inputs!$B$27+Inputs!$B$28)))</f>
        <v/>
      </c>
      <c r="E954">
        <f>INDEX(FactorTable!$B$2:$Y$301, MATCH(ROUND(MIN(300,MAX(1,D954)),0), FactorTable!$A$2:$A$301,0), Skills!M18+1)</f>
        <v/>
      </c>
      <c r="F954">
        <f>IF(Skills!N18=TRUE,(Skills!L18/10)*(E954/1000),Skills!L18/10)+Skills!O18</f>
        <v/>
      </c>
      <c r="G954">
        <f>Skills!G18*IF(Skills!H18&gt;0,Skills!I18/Skills!H18,1)</f>
        <v/>
      </c>
      <c r="H954">
        <f>1-(1-Skills!J18/100)^Skills!K18</f>
        <v/>
      </c>
      <c r="I954" t="inlineStr">
        <is>
          <t>1</t>
        </is>
      </c>
      <c r="J954" t="inlineStr"/>
      <c r="K954" t="inlineStr"/>
      <c r="L954" t="inlineStr"/>
      <c r="M954" t="inlineStr"/>
      <c r="N954" t="inlineStr"/>
      <c r="O954" t="n">
        <v>0</v>
      </c>
      <c r="P954">
        <f>IF(B976=0,0,O954/B976)</f>
        <v/>
      </c>
      <c r="Q954">
        <f>IFERROR(1/IF(Inputs!$B$4="pvp",15,MAX(0.1,Skills!D18-IF(Skills!E18=TRUE,Inputs!$B$31,0))),0)</f>
        <v/>
      </c>
      <c r="R954">
        <f>IF(AND(Inputs!$B$4&lt;&gt;"pvp",Inputs!$B$35&gt;0),(INT(Inputs!$B$35/IF(Inputs!$B$4="pvp",15,MAX(0.1,Skills!D18-IF(Skills!E18=TRUE,Inputs!$B$31,0))))+1),0)</f>
        <v/>
      </c>
      <c r="S954">
        <f>IFERROR(O954/N954,0)</f>
        <v/>
      </c>
    </row>
    <row r="955">
      <c r="A955">
        <f>Skills!A19</f>
        <v/>
      </c>
      <c r="B955">
        <f>Skills!B19</f>
        <v/>
      </c>
      <c r="C955">
        <f>Inputs!$B$3&gt;=15</f>
        <v/>
      </c>
      <c r="D955">
        <f>IF(Skills!C19=1,60+Inputs!$B$24+Inputs!$B$28,IF(Skills!C19=2,90+Inputs!$B$25+Inputs!$B$28,IF(Skills!C19=3,120+Inputs!$B$26+Inputs!$B$28,MAX(0,(Inputs!$B$3-100)*3)+Inputs!$B$27+Inputs!$B$28)))</f>
        <v/>
      </c>
      <c r="E955">
        <f>INDEX(FactorTable!$B$2:$Y$301, MATCH(ROUND(MIN(300,MAX(1,D955)),0), FactorTable!$A$2:$A$301,0), Skills!M19+1)</f>
        <v/>
      </c>
      <c r="F955">
        <f>IF(Skills!N19=TRUE,(Skills!L19/10)*(E955/1000),Skills!L19/10)+Skills!O19</f>
        <v/>
      </c>
      <c r="G955">
        <f>Skills!G19*IF(Skills!H19&gt;0,Skills!I19/Skills!H19,1)</f>
        <v/>
      </c>
      <c r="H955">
        <f>1-(1-Skills!J19/100)^Skills!K19</f>
        <v/>
      </c>
      <c r="I955" t="inlineStr">
        <is>
          <t>1</t>
        </is>
      </c>
      <c r="J955" t="inlineStr"/>
      <c r="K955" t="inlineStr"/>
      <c r="L955" t="inlineStr"/>
      <c r="M955" t="inlineStr"/>
      <c r="N955" t="inlineStr"/>
      <c r="O955" t="n">
        <v>0</v>
      </c>
      <c r="P955">
        <f>IF(B976=0,0,O955/B976)</f>
        <v/>
      </c>
      <c r="Q955" t="n">
        <v>0</v>
      </c>
      <c r="R955" t="n">
        <v>0</v>
      </c>
      <c r="S955">
        <f>IFERROR(O955/N955,0)</f>
        <v/>
      </c>
    </row>
    <row r="956">
      <c r="A956">
        <f>Skills!A20</f>
        <v/>
      </c>
      <c r="B956">
        <f>Skills!B20</f>
        <v/>
      </c>
      <c r="C956">
        <f>Inputs!$B$3&gt;=10</f>
        <v/>
      </c>
      <c r="D956">
        <f>IF(Skills!C20=1,60+Inputs!$B$24+Inputs!$B$28,IF(Skills!C20=2,90+Inputs!$B$25+Inputs!$B$28,IF(Skills!C20=3,120+Inputs!$B$26+Inputs!$B$28,MAX(0,(Inputs!$B$3-100)*3)+Inputs!$B$27+Inputs!$B$28)))</f>
        <v/>
      </c>
      <c r="E956">
        <f>INDEX(FactorTable!$B$2:$Y$301, MATCH(ROUND(MIN(300,MAX(1,D956)),0), FactorTable!$A$2:$A$301,0), Skills!M20+1)</f>
        <v/>
      </c>
      <c r="F956">
        <f>IF(Skills!N20=TRUE,(Skills!L20/10)*(E956/1000),Skills!L20/10)+Skills!O20</f>
        <v/>
      </c>
      <c r="G956">
        <f>Skills!G20*IF(Skills!H20&gt;0,Skills!I20/Skills!H20,1)</f>
        <v/>
      </c>
      <c r="H956">
        <f>1-(1-Skills!J20/100)^Skills!K20</f>
        <v/>
      </c>
      <c r="I956" t="inlineStr">
        <is>
          <t>1</t>
        </is>
      </c>
      <c r="J956" t="inlineStr"/>
      <c r="K956" t="inlineStr"/>
      <c r="L956" t="inlineStr"/>
      <c r="M956" t="inlineStr"/>
      <c r="N956" t="inlineStr"/>
      <c r="O956" t="n">
        <v>0</v>
      </c>
      <c r="P956">
        <f>IF(B976=0,0,O956/B976)</f>
        <v/>
      </c>
      <c r="Q956" t="n">
        <v>0</v>
      </c>
      <c r="R956" t="n">
        <v>0</v>
      </c>
      <c r="S956">
        <f>IFERROR(O956/N956,0)</f>
        <v/>
      </c>
    </row>
    <row r="957">
      <c r="A957">
        <f>Skills!A21</f>
        <v/>
      </c>
      <c r="B957">
        <f>Skills!B21</f>
        <v/>
      </c>
      <c r="C957">
        <f>Inputs!$B$3&gt;=33</f>
        <v/>
      </c>
      <c r="D957">
        <f>IF(Skills!C21=1,60+Inputs!$B$24+Inputs!$B$28,IF(Skills!C21=2,90+Inputs!$B$25+Inputs!$B$28,IF(Skills!C21=3,120+Inputs!$B$26+Inputs!$B$28,MAX(0,(Inputs!$B$3-100)*3)+Inputs!$B$27+Inputs!$B$28)))</f>
        <v/>
      </c>
      <c r="E957">
        <f>INDEX(FactorTable!$B$2:$Y$301, MATCH(ROUND(MIN(300,MAX(1,D957)),0), FactorTable!$A$2:$A$301,0), Skills!M21+1)</f>
        <v/>
      </c>
      <c r="F957">
        <f>IF(Skills!N21=TRUE,(Skills!L21/10)*(E957/1000),Skills!L21/10)+Skills!O21</f>
        <v/>
      </c>
      <c r="G957">
        <f>Skills!G21*IF(Skills!H21&gt;0,Skills!I21/Skills!H21,1)</f>
        <v/>
      </c>
      <c r="H957">
        <f>1-(1-Skills!J21/100)^Skills!K21</f>
        <v/>
      </c>
      <c r="I957" t="inlineStr">
        <is>
          <t>1</t>
        </is>
      </c>
      <c r="J957" t="inlineStr"/>
      <c r="K957" t="inlineStr"/>
      <c r="L957" t="inlineStr"/>
      <c r="M957" t="inlineStr"/>
      <c r="N957" t="inlineStr"/>
      <c r="O957" t="n">
        <v>0</v>
      </c>
      <c r="P957">
        <f>IF(B976=0,0,O957/B976)</f>
        <v/>
      </c>
      <c r="Q957" t="n">
        <v>0</v>
      </c>
      <c r="R957" t="n">
        <v>0</v>
      </c>
      <c r="S957">
        <f>IFERROR(O957/N957,0)</f>
        <v/>
      </c>
    </row>
    <row r="958">
      <c r="A958">
        <f>Skills!A22</f>
        <v/>
      </c>
      <c r="B958">
        <f>Skills!B22</f>
        <v/>
      </c>
      <c r="C958">
        <f>Inputs!$B$3&gt;=38</f>
        <v/>
      </c>
      <c r="D958">
        <f>IF(Skills!C22=1,60+Inputs!$B$24+Inputs!$B$28,IF(Skills!C22=2,90+Inputs!$B$25+Inputs!$B$28,IF(Skills!C22=3,120+Inputs!$B$26+Inputs!$B$28,MAX(0,(Inputs!$B$3-100)*3)+Inputs!$B$27+Inputs!$B$28)))</f>
        <v/>
      </c>
      <c r="E958">
        <f>INDEX(FactorTable!$B$2:$Y$301, MATCH(ROUND(MIN(300,MAX(1,D958)),0), FactorTable!$A$2:$A$301,0), Skills!M22+1)</f>
        <v/>
      </c>
      <c r="F958">
        <f>IF(Skills!N22=TRUE,(Skills!L22/10)*(E958/1000),Skills!L22/10)+Skills!O22</f>
        <v/>
      </c>
      <c r="G958">
        <f>Skills!G22*IF(Skills!H22&gt;0,Skills!I22/Skills!H22,1)</f>
        <v/>
      </c>
      <c r="H958">
        <f>1-(1-Skills!J22/100)^Skills!K22</f>
        <v/>
      </c>
      <c r="I958" t="inlineStr">
        <is>
          <t>1</t>
        </is>
      </c>
      <c r="J958" t="inlineStr"/>
      <c r="K958" t="inlineStr"/>
      <c r="L958" t="inlineStr"/>
      <c r="M958" t="inlineStr"/>
      <c r="N958" t="inlineStr"/>
      <c r="O958" t="n">
        <v>0</v>
      </c>
      <c r="P958">
        <f>IF(B976=0,0,O958/B976)</f>
        <v/>
      </c>
      <c r="Q958" t="n">
        <v>0</v>
      </c>
      <c r="R958" t="n">
        <v>0</v>
      </c>
      <c r="S958">
        <f>IFERROR(O958/N958,0)</f>
        <v/>
      </c>
    </row>
    <row r="959">
      <c r="A959">
        <f>Skills!A23</f>
        <v/>
      </c>
      <c r="B959">
        <f>Skills!B23</f>
        <v/>
      </c>
      <c r="C959">
        <f>Inputs!$B$3&gt;=43</f>
        <v/>
      </c>
      <c r="D959">
        <f>IF(Skills!C23=1,60+Inputs!$B$24+Inputs!$B$28,IF(Skills!C23=2,90+Inputs!$B$25+Inputs!$B$28,IF(Skills!C23=3,120+Inputs!$B$26+Inputs!$B$28,MAX(0,(Inputs!$B$3-100)*3)+Inputs!$B$27+Inputs!$B$28)))</f>
        <v/>
      </c>
      <c r="E959">
        <f>INDEX(FactorTable!$B$2:$Y$301, MATCH(ROUND(MIN(300,MAX(1,D959)),0), FactorTable!$A$2:$A$301,0), Skills!M23+1)</f>
        <v/>
      </c>
      <c r="F959">
        <f>IF(Skills!N23=TRUE,(Skills!L23/10)*(E959/1000),Skills!L23/10)+Skills!O23</f>
        <v/>
      </c>
      <c r="G959">
        <f>Skills!G23*IF(Skills!H23&gt;0,Skills!I23/Skills!H23,1)</f>
        <v/>
      </c>
      <c r="H959">
        <f>1-(1-Skills!J23/100)^Skills!K23</f>
        <v/>
      </c>
      <c r="I959" t="inlineStr">
        <is>
          <t>1</t>
        </is>
      </c>
      <c r="J959" t="inlineStr"/>
      <c r="K959" t="inlineStr"/>
      <c r="L959" t="inlineStr"/>
      <c r="M959" t="inlineStr"/>
      <c r="N959" t="inlineStr"/>
      <c r="O959" t="n">
        <v>0</v>
      </c>
      <c r="P959">
        <f>IF(B976=0,0,O959/B976)</f>
        <v/>
      </c>
      <c r="Q959" t="n">
        <v>0</v>
      </c>
      <c r="R959" t="n">
        <v>0</v>
      </c>
      <c r="S959">
        <f>IFERROR(O959/N959,0)</f>
        <v/>
      </c>
    </row>
    <row r="960">
      <c r="A960">
        <f>Skills!A24</f>
        <v/>
      </c>
      <c r="B960">
        <f>Skills!B24</f>
        <v/>
      </c>
      <c r="C960">
        <f>Inputs!$B$3&gt;=75</f>
        <v/>
      </c>
      <c r="D960">
        <f>IF(Skills!C24=1,60+Inputs!$B$24+Inputs!$B$28,IF(Skills!C24=2,90+Inputs!$B$25+Inputs!$B$28,IF(Skills!C24=3,120+Inputs!$B$26+Inputs!$B$28,MAX(0,(Inputs!$B$3-100)*3)+Inputs!$B$27+Inputs!$B$28)))</f>
        <v/>
      </c>
      <c r="E960">
        <f>INDEX(FactorTable!$B$2:$Y$301, MATCH(ROUND(MIN(300,MAX(1,D960)),0), FactorTable!$A$2:$A$301,0), Skills!M24+1)</f>
        <v/>
      </c>
      <c r="F960">
        <f>IF(Skills!N24=TRUE,(Skills!L24/10)*(E960/1000),Skills!L24/10)+Skills!O24</f>
        <v/>
      </c>
      <c r="G960">
        <f>Skills!G24*IF(Skills!H24&gt;0,Skills!I24/Skills!H24,1)</f>
        <v/>
      </c>
      <c r="H960">
        <f>1-(1-Skills!J24/100)^Skills!K24</f>
        <v/>
      </c>
      <c r="I960" t="inlineStr">
        <is>
          <t>1</t>
        </is>
      </c>
      <c r="J960" t="inlineStr"/>
      <c r="K960" t="inlineStr"/>
      <c r="L960" t="inlineStr"/>
      <c r="M960" t="inlineStr"/>
      <c r="N960" t="inlineStr"/>
      <c r="O960" t="n">
        <v>0</v>
      </c>
      <c r="P960">
        <f>IF(B976=0,0,O960/B976)</f>
        <v/>
      </c>
      <c r="Q960" t="n">
        <v>0</v>
      </c>
      <c r="R960" t="n">
        <v>0</v>
      </c>
      <c r="S960">
        <f>IFERROR(O960/N960,0)</f>
        <v/>
      </c>
    </row>
    <row r="961">
      <c r="A961">
        <f>Skills!A25</f>
        <v/>
      </c>
      <c r="B961">
        <f>Skills!B25</f>
        <v/>
      </c>
      <c r="C961">
        <f>Inputs!$B$3&gt;=125</f>
        <v/>
      </c>
      <c r="D961">
        <f>IF(Skills!C25=1,60+Inputs!$B$24+Inputs!$B$28,IF(Skills!C25=2,90+Inputs!$B$25+Inputs!$B$28,IF(Skills!C25=3,120+Inputs!$B$26+Inputs!$B$28,MAX(0,(Inputs!$B$3-100)*3)+Inputs!$B$27+Inputs!$B$28)))</f>
        <v/>
      </c>
      <c r="E961">
        <f>INDEX(FactorTable!$B$2:$Y$301, MATCH(ROUND(MIN(300,MAX(1,D961)),0), FactorTable!$A$2:$A$301,0), Skills!M25+1)</f>
        <v/>
      </c>
      <c r="F961">
        <f>IF(Skills!N25=TRUE,(Skills!L25/10)*(E961/1000),Skills!L25/10)+Skills!O25</f>
        <v/>
      </c>
      <c r="G961">
        <f>Skills!G25*IF(Skills!H25&gt;0,Skills!I25/Skills!H25,1)</f>
        <v/>
      </c>
      <c r="H961">
        <f>1-(1-Skills!J25/100)^Skills!K25</f>
        <v/>
      </c>
      <c r="I961" t="inlineStr">
        <is>
          <t>1</t>
        </is>
      </c>
      <c r="J961" t="inlineStr"/>
      <c r="K961" t="inlineStr"/>
      <c r="L961" t="inlineStr"/>
      <c r="M961" t="inlineStr"/>
      <c r="N961" t="inlineStr"/>
      <c r="O961" t="n">
        <v>0</v>
      </c>
      <c r="P961">
        <f>IF(B976=0,0,O961/B976)</f>
        <v/>
      </c>
      <c r="Q961" t="n">
        <v>0</v>
      </c>
      <c r="R961" t="n">
        <v>0</v>
      </c>
      <c r="S961">
        <f>IFERROR(O961/N961,0)</f>
        <v/>
      </c>
    </row>
    <row r="962">
      <c r="A962">
        <f>Skills!A26</f>
        <v/>
      </c>
      <c r="B962">
        <f>Skills!B26</f>
        <v/>
      </c>
      <c r="C962">
        <f>Inputs!$B$3&gt;=125</f>
        <v/>
      </c>
      <c r="D962">
        <f>IF(Skills!C26=1,60+Inputs!$B$24+Inputs!$B$28,IF(Skills!C26=2,90+Inputs!$B$25+Inputs!$B$28,IF(Skills!C26=3,120+Inputs!$B$26+Inputs!$B$28,MAX(0,(Inputs!$B$3-100)*3)+Inputs!$B$27+Inputs!$B$28)))</f>
        <v/>
      </c>
      <c r="E962">
        <f>INDEX(FactorTable!$B$2:$Y$301, MATCH(ROUND(MIN(300,MAX(1,D962)),0), FactorTable!$A$2:$A$301,0), Skills!M26+1)</f>
        <v/>
      </c>
      <c r="F962">
        <f>IF(Skills!N26=TRUE,(Skills!L26/10)*(E962/1000),Skills!L26/10)+Skills!O26</f>
        <v/>
      </c>
      <c r="G962">
        <f>Skills!G26*IF(Skills!H26&gt;0,Skills!I26/Skills!H26,1)</f>
        <v/>
      </c>
      <c r="H962">
        <f>1-(1-Skills!J26/100)^Skills!K26</f>
        <v/>
      </c>
      <c r="I962" t="inlineStr">
        <is>
          <t>1</t>
        </is>
      </c>
      <c r="J962" t="inlineStr"/>
      <c r="K962" t="inlineStr"/>
      <c r="L962" t="inlineStr"/>
      <c r="M962" t="inlineStr"/>
      <c r="N962" t="inlineStr"/>
      <c r="O962" t="n">
        <v>0</v>
      </c>
      <c r="P962">
        <f>IF(B976=0,0,O962/B976)</f>
        <v/>
      </c>
      <c r="Q962" t="n">
        <v>0</v>
      </c>
      <c r="R962" t="n">
        <v>0</v>
      </c>
      <c r="S962">
        <f>IFERROR(O962/N962,0)</f>
        <v/>
      </c>
    </row>
    <row r="963">
      <c r="A963">
        <f>Skills!A27</f>
        <v/>
      </c>
      <c r="B963">
        <f>Skills!B27</f>
        <v/>
      </c>
      <c r="C963">
        <f>Inputs!$B$3&gt;=120</f>
        <v/>
      </c>
      <c r="D963">
        <f>IF(Skills!C27=1,60+Inputs!$B$24+Inputs!$B$28,IF(Skills!C27=2,90+Inputs!$B$25+Inputs!$B$28,IF(Skills!C27=3,120+Inputs!$B$26+Inputs!$B$28,MAX(0,(Inputs!$B$3-100)*3)+Inputs!$B$27+Inputs!$B$28)))</f>
        <v/>
      </c>
      <c r="E963">
        <f>INDEX(FactorTable!$B$2:$Y$301, MATCH(ROUND(MIN(300,MAX(1,D963)),0), FactorTable!$A$2:$A$301,0), Skills!M27+1)</f>
        <v/>
      </c>
      <c r="F963">
        <f>IF(Skills!N27=TRUE,(Skills!L27/10)*(E963/1000),Skills!L27/10)+Skills!O27</f>
        <v/>
      </c>
      <c r="G963">
        <f>Skills!G27*IF(Skills!H27&gt;0,Skills!I27/Skills!H27,1)</f>
        <v/>
      </c>
      <c r="H963">
        <f>1-(1-Skills!J27/100)^Skills!K27</f>
        <v/>
      </c>
      <c r="I963" t="inlineStr">
        <is>
          <t>1</t>
        </is>
      </c>
      <c r="J963" t="inlineStr"/>
      <c r="K963" t="inlineStr"/>
      <c r="L963" t="inlineStr"/>
      <c r="M963" t="inlineStr"/>
      <c r="N963" t="inlineStr"/>
      <c r="O963" t="n">
        <v>0</v>
      </c>
      <c r="P963">
        <f>IF(B976=0,0,O963/B976)</f>
        <v/>
      </c>
      <c r="Q963" t="n">
        <v>0</v>
      </c>
      <c r="R963" t="n">
        <v>0</v>
      </c>
      <c r="S963">
        <f>IFERROR(O963/N963,0)</f>
        <v/>
      </c>
    </row>
    <row r="964">
      <c r="A964">
        <f>Skills!A28</f>
        <v/>
      </c>
      <c r="B964">
        <f>Skills!B28</f>
        <v/>
      </c>
      <c r="C964">
        <f>Inputs!$B$3&gt;=120</f>
        <v/>
      </c>
      <c r="D964">
        <f>IF(Skills!C28=1,60+Inputs!$B$24+Inputs!$B$28,IF(Skills!C28=2,90+Inputs!$B$25+Inputs!$B$28,IF(Skills!C28=3,120+Inputs!$B$26+Inputs!$B$28,MAX(0,(Inputs!$B$3-100)*3)+Inputs!$B$27+Inputs!$B$28)))</f>
        <v/>
      </c>
      <c r="E964">
        <f>INDEX(FactorTable!$B$2:$Y$301, MATCH(ROUND(MIN(300,MAX(1,D964)),0), FactorTable!$A$2:$A$301,0), Skills!M28+1)</f>
        <v/>
      </c>
      <c r="F964">
        <f>IF(Skills!N28=TRUE,(Skills!L28/10)*(E964/1000),Skills!L28/10)+Skills!O28</f>
        <v/>
      </c>
      <c r="G964">
        <f>Skills!G28*IF(Skills!H28&gt;0,Skills!I28/Skills!H28,1)</f>
        <v/>
      </c>
      <c r="H964">
        <f>1-(1-Skills!J28/100)^Skills!K28</f>
        <v/>
      </c>
      <c r="I964" t="inlineStr">
        <is>
          <t>1</t>
        </is>
      </c>
      <c r="J964" t="inlineStr"/>
      <c r="K964" t="inlineStr"/>
      <c r="L964" t="inlineStr"/>
      <c r="M964" t="inlineStr"/>
      <c r="N964" t="inlineStr"/>
      <c r="O964" t="n">
        <v>0</v>
      </c>
      <c r="P964">
        <f>IF(B976=0,0,O964/B976)</f>
        <v/>
      </c>
      <c r="Q964" t="n">
        <v>0</v>
      </c>
      <c r="R964" t="n">
        <v>0</v>
      </c>
      <c r="S964">
        <f>IFERROR(O964/N964,0)</f>
        <v/>
      </c>
    </row>
    <row r="965">
      <c r="A965">
        <f>Skills!A29</f>
        <v/>
      </c>
      <c r="B965">
        <f>Skills!B29</f>
        <v/>
      </c>
      <c r="C965">
        <f>Inputs!$B$3&gt;=45</f>
        <v/>
      </c>
      <c r="D965">
        <f>IF(Skills!C29=1,60+Inputs!$B$24+Inputs!$B$28,IF(Skills!C29=2,90+Inputs!$B$25+Inputs!$B$28,IF(Skills!C29=3,120+Inputs!$B$26+Inputs!$B$28,MAX(0,(Inputs!$B$3-100)*3)+Inputs!$B$27+Inputs!$B$28)))</f>
        <v/>
      </c>
      <c r="E965">
        <f>INDEX(FactorTable!$B$2:$Y$301, MATCH(ROUND(MIN(300,MAX(1,D965)),0), FactorTable!$A$2:$A$301,0), Skills!M29+1)</f>
        <v/>
      </c>
      <c r="F965">
        <f>IF(Skills!N29=TRUE,(Skills!L29/10)*(E965/1000),Skills!L29/10)+Skills!O29</f>
        <v/>
      </c>
      <c r="G965">
        <f>Skills!G29*IF(Skills!H29&gt;0,Skills!I29/Skills!H29,1)</f>
        <v/>
      </c>
      <c r="H965">
        <f>1-(1-Skills!J29/100)^Skills!K29</f>
        <v/>
      </c>
      <c r="I965" t="inlineStr">
        <is>
          <t>1</t>
        </is>
      </c>
      <c r="J965" t="inlineStr"/>
      <c r="K965" t="inlineStr"/>
      <c r="L965" t="inlineStr"/>
      <c r="M965" t="inlineStr"/>
      <c r="N965" t="inlineStr"/>
      <c r="O965" t="n">
        <v>0</v>
      </c>
      <c r="P965">
        <f>IF(B976=0,0,O965/B976)</f>
        <v/>
      </c>
      <c r="Q965" t="n">
        <v>0</v>
      </c>
      <c r="R965" t="n">
        <v>0</v>
      </c>
      <c r="S965">
        <f>IFERROR(O965/N965,0)</f>
        <v/>
      </c>
    </row>
    <row r="967">
      <c r="A967" t="inlineStr">
        <is>
          <t>Attack% Bucket Multiplier</t>
        </is>
      </c>
      <c r="B967">
        <f>(1+(((C949=TRUE)*F949)+((C950=TRUE)*IF(Inputs!$B$4="pvp",F950,(1-Summary!$B$55)*(F950)+Summary!$B$55*(0)))+((C951=TRUE)*F951*IF(AND(Inputs!$B$4&lt;&gt;"pvp",Inputs!$B$35&gt;0),(((S951-1)*(Skills!T15*(1+Inputs!$B$33/100))+MIN((Skills!T15*(1+Inputs!$B$33/100)),MAX(0,Inputs!$B$35-((S951-1)*Skills!D15))))/Inputs!$B$35),IF(Inputs!$B$4="pvp",MIN((Skills!T15*(1+Inputs!$B$33/100)),15)/15,(Skills!T15*(1+Inputs!$B$33/100))/Skills!D15)))+((C948=TRUE)*F948)+((C965=TRUE)*(F965-Calc!F29)))/100)</f>
        <v/>
      </c>
    </row>
    <row r="968">
      <c r="A968" t="inlineStr">
        <is>
          <t>Global Crit Rate Bonus %</t>
        </is>
      </c>
      <c r="B968">
        <f>(C952=TRUE)*20*IF(AND(Inputs!$B$4&lt;&gt;"pvp",Inputs!$B$35&gt;0),(((S952-1)*(Skills!T16*(1+Inputs!$B$33/100))+MIN((Skills!T16*(1+Inputs!$B$33/100)),MAX(0,Inputs!$B$35-((S952-1)*Skills!D16))))/Inputs!$B$35),IF(Inputs!$B$4="pvp",MIN((Skills!T16*(1+Inputs!$B$33/100)),15)/15,(Skills!T16*(1+Inputs!$B$33/100))/Skills!D16))</f>
        <v/>
      </c>
    </row>
    <row r="969">
      <c r="A969" t="inlineStr">
        <is>
          <t>Attack Speed Buff Bonus %</t>
        </is>
      </c>
      <c r="B969">
        <f>((C954=TRUE)*F954*IF(AND(Inputs!$B$4&lt;&gt;"pvp",Inputs!$B$35&gt;0),(((S954-1)*(Skills!T18*(1+Inputs!$B$33/100))+MIN((Skills!T18*(1+Inputs!$B$33/100)),MAX(0,Inputs!$B$35-((S954-1)*Skills!D18))))/Inputs!$B$35),IF(Inputs!$B$4="pvp",MIN((Skills!T18*(1+Inputs!$B$33/100)),15)/15,(Skills!T18*(1+Inputs!$B$33/100))/Skills!D18)))</f>
        <v/>
      </c>
    </row>
    <row r="970">
      <c r="A970" t="inlineStr">
        <is>
          <t>Actions Per Second</t>
        </is>
      </c>
      <c r="B970">
        <f>1+MIN(150,150*(1-(1-(Inputs!$B$10+((C956=TRUE)*(F956-Calc!F20))+((C957=TRUE)*(F957-Calc!F21)))/150)*(1-B969/150)))/100</f>
        <v/>
      </c>
    </row>
    <row r="971">
      <c r="A971" t="inlineStr">
        <is>
          <t>Skill + Buff Cast Rate</t>
        </is>
      </c>
      <c r="B971">
        <f>IF(AND(Inputs!$B$4&lt;&gt;"pvp",Inputs!$B$35&gt;0),SUMPRODUCT((Skills!E2:E29=TRUE)*(C938:C965=TRUE)*R938:R965*Skills!F2:F29)/Inputs!$B$35,SUMPRODUCT((Skills!E2:E29=TRUE)*(C938:C965=TRUE)*Q938:Q965*Skills!F2:F29))</f>
        <v/>
      </c>
    </row>
    <row r="972">
      <c r="A972" t="inlineStr">
        <is>
          <t>Empowered Piercing Arrow Casts Per Second</t>
        </is>
      </c>
      <c r="B972">
        <f>MAX(0,B970-B971)</f>
        <v/>
      </c>
    </row>
    <row r="973">
      <c r="A973" t="inlineStr">
        <is>
          <t>Global Critical Damage Bonus % (Sharp Eyes)</t>
        </is>
      </c>
      <c r="B973">
        <f>(C952=TRUE)*F952*IF(AND(Inputs!$B$4&lt;&gt;"pvp",Inputs!$B$35&gt;0),(((S952-1)*(Skills!T16*(1+Inputs!$B$33/100))+MIN((Skills!T16*(1+Inputs!$B$33/100)),MAX(0,Inputs!$B$35-((S952-1)*Skills!D16))))/Inputs!$B$35),IF(Inputs!$B$4="pvp",MIN((Skills!T16*(1+Inputs!$B$33/100)),15)/15,(Skills!T16*(1+Inputs!$B$33/100))/Skills!D16))</f>
        <v/>
      </c>
    </row>
    <row r="974">
      <c r="A974" t="inlineStr">
        <is>
          <t>Global Final Damage Bonus % (Mortal Blow + Last Man Standing conditional half)</t>
        </is>
      </c>
      <c r="B974">
        <f>(C953=TRUE)*F953+((C962=TRUE)*IF(Inputs!$B$4="pvp",F962,(1-Summary!$B$55)*(F962)+Summary!$B$55*(0)))</f>
        <v/>
      </c>
    </row>
    <row r="976">
      <c r="A976" s="5" t="inlineStr">
        <is>
          <t>TOTAL DPS</t>
        </is>
      </c>
      <c r="B976" s="5">
        <f>SUM(O938:O965)</f>
        <v/>
      </c>
    </row>
    <row r="979">
      <c r="A979" s="5" t="inlineStr">
        <is>
          <t>Stat: ATTACK %</t>
        </is>
      </c>
    </row>
    <row r="980">
      <c r="A980" s="8" t="inlineStr">
        <is>
          <t>Key</t>
        </is>
      </c>
      <c r="B980" s="8" t="inlineStr">
        <is>
          <t>Name</t>
        </is>
      </c>
      <c r="C980" s="8" t="inlineStr">
        <is>
          <t>Unlocked</t>
        </is>
      </c>
      <c r="D980" s="8" t="inlineStr">
        <is>
          <t>InputLevel</t>
        </is>
      </c>
      <c r="E980" s="8" t="inlineStr">
        <is>
          <t>Factor</t>
        </is>
      </c>
      <c r="F980" s="8" t="inlineStr">
        <is>
          <t>CoefficientPercent</t>
        </is>
      </c>
      <c r="G980" s="8" t="inlineStr">
        <is>
          <t>EffectiveHits</t>
        </is>
      </c>
      <c r="H980" s="8" t="inlineStr">
        <is>
          <t>ProcProbability</t>
        </is>
      </c>
      <c r="I980" s="8" t="inlineStr">
        <is>
          <t>MapleHeroMultiplier</t>
        </is>
      </c>
      <c r="J980" s="8" t="inlineStr">
        <is>
          <t>BaseDamage</t>
        </is>
      </c>
      <c r="K980" s="8" t="inlineStr">
        <is>
          <t>BaseHitDamage</t>
        </is>
      </c>
      <c r="L980" s="8" t="inlineStr">
        <is>
          <t>NonCritAvg</t>
        </is>
      </c>
      <c r="M980" s="8" t="inlineStr">
        <is>
          <t>CritAvg</t>
        </is>
      </c>
      <c r="N980" s="8" t="inlineStr">
        <is>
          <t>ExpectedDamage(perHit)</t>
        </is>
      </c>
      <c r="O980" s="8" t="inlineStr">
        <is>
          <t>DPS</t>
        </is>
      </c>
      <c r="P980" s="8" t="inlineStr">
        <is>
          <t>% of Total</t>
        </is>
      </c>
      <c r="Q980" s="8" t="inlineStr">
        <is>
          <t>InvCooldown</t>
        </is>
      </c>
      <c r="R980" s="8" t="inlineStr">
        <is>
          <t>CastsInFight</t>
        </is>
      </c>
      <c r="S980" s="8" t="inlineStr">
        <is>
          <t>HitRate(perSec)</t>
        </is>
      </c>
      <c r="U980" t="inlineStr">
        <is>
          <t>helpers</t>
        </is>
      </c>
    </row>
    <row r="981">
      <c r="A981">
        <f>Skills!A2</f>
        <v/>
      </c>
      <c r="B981">
        <f>Skills!B2</f>
        <v/>
      </c>
      <c r="C981">
        <f>Inputs!$B$3&gt;=100</f>
        <v/>
      </c>
      <c r="D981" t="inlineStr"/>
      <c r="E981" t="inlineStr"/>
      <c r="F981">
        <f>U983+Skills!O2</f>
        <v/>
      </c>
      <c r="G981">
        <f>Skills!G2*IF(Skills!H2&gt;0,Skills!I2/Skills!H2,1)</f>
        <v/>
      </c>
      <c r="H981">
        <f>1-(1-Skills!J2/100)^Skills!K2</f>
        <v/>
      </c>
      <c r="I981" t="inlineStr">
        <is>
          <t>1</t>
        </is>
      </c>
      <c r="J981">
        <f>(Inputs!$B$5*(1+(Inputs!$B$6+1)/100))*(F981/100)</f>
        <v/>
      </c>
      <c r="K981">
        <f>J981*(1+((Inputs!$B$11*(1+Inputs!$B$12/100))*0.01+Inputs!$B$13*0.0025)/100)*(1+Inputs!$B$14/100)*(1+IF(Inputs!$B$4="pvp",0,(1-Summary!$B$55)*(Inputs!$B$19+0+Skills!P2)+Summary!$B$55*(Inputs!$B$20+Skills!Q2))/100)*(1+Inputs!$B$15/100)*(5000/(6000+Inputs!$B$7*(1-(Inputs!$B$18+0)/100)))*(1+(Inputs!$B$23+((C1003=TRUE)*(F1003-Calc!F24))+((C1004=TRUE)*(F1004-Calc!F25))+B1017)/100)*(1+(IF(Skills!A2="EMPOWERED_PIERCING_ARROW",Inputs!$B$16+((C1001=TRUE)*(F1001-Calc!F22)),Inputs!$B$17+((C1006=TRUE)*(F1006-Calc!F27))))/100)*((1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I981)</f>
        <v/>
      </c>
      <c r="L981">
        <f>K981*(MIN(Inputs!$B$21+((C1002=TRUE)*(F1002-Calc!F23)),Inputs!$B$22+((C1007=TRUE)*(F1007-Calc!F28)))/100+(Inputs!$B$22+((C1007=TRUE)*(F1007-Calc!F28)))/100)/2</f>
        <v/>
      </c>
      <c r="M981">
        <f>L981*(1+(Inputs!$B$9+0+B1016)/100)</f>
        <v/>
      </c>
      <c r="N981">
        <f>L981*(1-MIN((Inputs!$B$8+((C998=TRUE)*(F998-Calc!F19))+B1011),100)/100)+M981*(MIN((Inputs!$B$8+((C998=TRUE)*(F998-Calc!F19))+B1011),100)/100)</f>
        <v/>
      </c>
      <c r="O981">
        <f>IF(C981,Skills!G2*N981*B1015*IF(Inputs!$B$4="pvp",1,(1-Summary!$B$55)*(1)+Summary!$B$55*(MIN((6+Inputs!$B$32),Inputs!$B$37))),0)</f>
        <v/>
      </c>
      <c r="P981">
        <f>IF(B1019=0,0,O981/B1019)</f>
        <v/>
      </c>
      <c r="Q981" t="n">
        <v>0</v>
      </c>
      <c r="R981" t="n">
        <v>0</v>
      </c>
      <c r="S981">
        <f>IFERROR(O981/N981,0)</f>
        <v/>
      </c>
      <c r="U981">
        <f>MAX(0,(Inputs!$B$3-100)*3)+Inputs!$B$27+Inputs!$B$28</f>
        <v/>
      </c>
    </row>
    <row r="982">
      <c r="A982">
        <f>Skills!A3</f>
        <v/>
      </c>
      <c r="B982">
        <f>Skills!B3</f>
        <v/>
      </c>
      <c r="C982">
        <f>Inputs!$B$3&gt;=50</f>
        <v/>
      </c>
      <c r="D982">
        <f>IF(Skills!C3=1,60+Inputs!$B$24+Inputs!$B$28,IF(Skills!C3=2,90+Inputs!$B$25+Inputs!$B$28,IF(Skills!C3=3,120+Inputs!$B$26+Inputs!$B$28,MAX(0,(Inputs!$B$3-100)*3)+Inputs!$B$27+Inputs!$B$28)))</f>
        <v/>
      </c>
      <c r="E982">
        <f>INDEX(FactorTable!$B$2:$Y$301, MATCH(ROUND(MIN(300,MAX(1,D982)),0), FactorTable!$A$2:$A$301,0), Skills!M3+1)</f>
        <v/>
      </c>
      <c r="F982">
        <f>IF(Skills!N3=TRUE,(Skills!L3/10)*(E982/1000),Skills!L3/10)+Skills!O3</f>
        <v/>
      </c>
      <c r="G982" t="inlineStr"/>
      <c r="H982" t="inlineStr"/>
      <c r="I982" t="inlineStr">
        <is>
          <t>1</t>
        </is>
      </c>
      <c r="J982" t="inlineStr"/>
      <c r="K982" t="inlineStr"/>
      <c r="L982" t="inlineStr"/>
      <c r="M982" t="inlineStr"/>
      <c r="N982" t="inlineStr"/>
      <c r="O982" t="inlineStr"/>
      <c r="P982" t="inlineStr"/>
      <c r="Q982" t="inlineStr"/>
      <c r="R982" t="inlineStr"/>
      <c r="S982" t="inlineStr"/>
      <c r="U982">
        <f>INDEX(FactorTable!$B$2:$Y$301, MATCH(ROUND(MIN(300,MAX(1,U981)),0), FactorTable!$A$2:$A$301,0), 22)</f>
        <v/>
      </c>
    </row>
    <row r="983">
      <c r="A983">
        <f>Skills!A4</f>
        <v/>
      </c>
      <c r="B983">
        <f>Skills!B4</f>
        <v/>
      </c>
      <c r="C983">
        <f>Inputs!$B$3&gt;=105</f>
        <v/>
      </c>
      <c r="D983">
        <f>IF(Skills!C4=1,60+Inputs!$B$24+Inputs!$B$28,IF(Skills!C4=2,90+Inputs!$B$25+Inputs!$B$28,IF(Skills!C4=3,120+Inputs!$B$26+Inputs!$B$28,MAX(0,(Inputs!$B$3-100)*3)+Inputs!$B$27+Inputs!$B$28)))</f>
        <v/>
      </c>
      <c r="E983">
        <f>INDEX(FactorTable!$B$2:$Y$301, MATCH(ROUND(MIN(300,MAX(1,D983)),0), FactorTable!$A$2:$A$301,0), Skills!M4+1)</f>
        <v/>
      </c>
      <c r="F983">
        <f>IF(Skills!N4=TRUE,(Skills!L4/10)*(E983/1000),Skills!L4/10)+Skills!O4</f>
        <v/>
      </c>
      <c r="G983" t="inlineStr"/>
      <c r="H983" t="inlineStr"/>
      <c r="I983" t="inlineStr">
        <is>
          <t>1</t>
        </is>
      </c>
      <c r="J983" t="inlineStr"/>
      <c r="K983" t="inlineStr"/>
      <c r="L983" t="inlineStr"/>
      <c r="M983" t="inlineStr"/>
      <c r="N983" t="inlineStr"/>
      <c r="O983" t="inlineStr"/>
      <c r="P983" t="inlineStr"/>
      <c r="Q983" t="inlineStr"/>
      <c r="R983" t="inlineStr"/>
      <c r="S983" t="inlineStr"/>
      <c r="U983">
        <f>290*U982/1000</f>
        <v/>
      </c>
    </row>
    <row r="984">
      <c r="A984">
        <f>Skills!A5</f>
        <v/>
      </c>
      <c r="B984">
        <f>Skills!B5</f>
        <v/>
      </c>
      <c r="C984">
        <f>Inputs!$B$3&gt;=35</f>
        <v/>
      </c>
      <c r="D984">
        <f>IF(Skills!C5=1,60+Inputs!$B$24+Inputs!$B$28,IF(Skills!C5=2,90+Inputs!$B$25+Inputs!$B$28,IF(Skills!C5=3,120+Inputs!$B$26+Inputs!$B$28,MAX(0,(Inputs!$B$3-100)*3)+Inputs!$B$27+Inputs!$B$28)))</f>
        <v/>
      </c>
      <c r="E984">
        <f>INDEX(FactorTable!$B$2:$Y$301, MATCH(ROUND(MIN(300,MAX(1,D984)),0), FactorTable!$A$2:$A$301,0), Skills!M5+1)</f>
        <v/>
      </c>
      <c r="F984">
        <f>IF(Skills!N5=TRUE,(Skills!L5/10)*(E984/1000),Skills!L5/10)+Skills!O5</f>
        <v/>
      </c>
      <c r="G984">
        <f>Skills!G5*IF(Skills!H5&gt;0,Skills!I5/Skills!H5,1)</f>
        <v/>
      </c>
      <c r="H984">
        <f>1-(1-Skills!J5/100)^Skills!K5</f>
        <v/>
      </c>
      <c r="I984" t="inlineStr">
        <is>
          <t>1</t>
        </is>
      </c>
      <c r="J984">
        <f>(Inputs!$B$5*(1+(Inputs!$B$6+1)/100))*(F984/100)</f>
        <v/>
      </c>
      <c r="K984">
        <f>J984*(1+((Inputs!$B$11*(1+Inputs!$B$12/100))*0.01+Inputs!$B$13*0.0025)/100)*(1+Inputs!$B$14/100)*(1+IF(Inputs!$B$4="pvp",0,(1-Summary!$B$55)*(Inputs!$B$19+0+Skills!P5)+Summary!$B$55*(Inputs!$B$20+Skills!Q5))/100)*(1+Inputs!$B$15/100)*(5000/(6000+Inputs!$B$7*(1-(Inputs!$B$18+0)/100)))*(1+(Inputs!$B$23+((C1003=TRUE)*(F1003-Calc!F24))+((C1004=TRUE)*(F1004-Calc!F25))+B1017)/100)*(1+4.0*IF(C987=TRUE,F987,0)/100)*(1+(IF(Skills!A5="EMPOWERED_PIERCING_ARROW",Inputs!$B$16+((C1001=TRUE)*(F1001-Calc!F22)),Inputs!$B$17+((C1006=TRUE)*(F1006-Calc!F27))))/100)*((1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I984)</f>
        <v/>
      </c>
      <c r="L984">
        <f>K984*(MIN(Inputs!$B$21+((C1002=TRUE)*(F1002-Calc!F23)),Inputs!$B$22+((C1007=TRUE)*(F1007-Calc!F28)))/100+(Inputs!$B$22+((C1007=TRUE)*(F1007-Calc!F28)))/100)/2</f>
        <v/>
      </c>
      <c r="M984">
        <f>L984*(1+(Inputs!$B$9+0+B1016)/100)</f>
        <v/>
      </c>
      <c r="N984">
        <f>L984*(1-MIN((Inputs!$B$8+((C998=TRUE)*(F998-Calc!F19))+B1011),100)/100)+M984*(MIN((Inputs!$B$8+((C998=TRUE)*(F998-Calc!F19))+B1011),100)/100)</f>
        <v/>
      </c>
      <c r="O984">
        <f>IF(C984,H984*N984*IF(AND(Inputs!$B$4&lt;&gt;"pvp",Inputs!$B$35&gt;0),((Skills!G5*((R984-1)*IF(Skills!H5&gt;0,Skills!I5/Skills!H5,1)+IF(Skills!H5&gt;0,MIN(Skills!I5,MAX(0,Inputs!$B$35-((R984-1)*IF(Inputs!$B$4="pvp",15,MAX(0.1,Skills!D5-IF(Skills!E5=TRUE,Inputs!$B$31,0))))))/Skills!H5,1)))/Inputs!$B$35),G984*Q984)*IF(Inputs!$B$4="pvp",1,(1-Summary!$B$55)*(1)+Summary!$B$55*(MIN(Skills!R5,Inputs!$B$37))),0)</f>
        <v/>
      </c>
      <c r="P984">
        <f>IF(B1019=0,0,O984/B1019)</f>
        <v/>
      </c>
      <c r="Q984">
        <f>IFERROR(1/IF(Inputs!$B$4="pvp",15,MAX(0.1,Skills!D5-IF(Skills!E5=TRUE,Inputs!$B$31,0))),0)</f>
        <v/>
      </c>
      <c r="R984">
        <f>IF(AND(Inputs!$B$4&lt;&gt;"pvp",Inputs!$B$35&gt;0),(INT(Inputs!$B$35/IF(Inputs!$B$4="pvp",15,MAX(0.1,Skills!D5-IF(Skills!E5=TRUE,Inputs!$B$31,0))))+1),0)</f>
        <v/>
      </c>
      <c r="S984">
        <f>IFERROR(O984/N984,0)</f>
        <v/>
      </c>
    </row>
    <row r="985">
      <c r="A985">
        <f>Skills!A6</f>
        <v/>
      </c>
      <c r="B985">
        <f>Skills!B6</f>
        <v/>
      </c>
      <c r="C985">
        <f>Inputs!$B$3&gt;=63</f>
        <v/>
      </c>
      <c r="D985">
        <f>IF(Skills!C6=1,60+Inputs!$B$24+Inputs!$B$28,IF(Skills!C6=2,90+Inputs!$B$25+Inputs!$B$28,IF(Skills!C6=3,120+Inputs!$B$26+Inputs!$B$28,MAX(0,(Inputs!$B$3-100)*3)+Inputs!$B$27+Inputs!$B$28)))</f>
        <v/>
      </c>
      <c r="E985">
        <f>INDEX(FactorTable!$B$2:$Y$301, MATCH(ROUND(MIN(300,MAX(1,D985)),0), FactorTable!$A$2:$A$301,0), Skills!M6+1)</f>
        <v/>
      </c>
      <c r="F985">
        <f>IF(Skills!N6=TRUE,(Skills!L6/10)*(E985/1000),Skills!L6/10)+Skills!O6</f>
        <v/>
      </c>
      <c r="G985">
        <f>Skills!G6*IF(Skills!H6&gt;0,Skills!I6/Skills!H6,1)</f>
        <v/>
      </c>
      <c r="H985">
        <f>1-(1-Skills!J6/100)^Skills!K6</f>
        <v/>
      </c>
      <c r="I985" t="inlineStr">
        <is>
          <t>1</t>
        </is>
      </c>
      <c r="J985">
        <f>(Inputs!$B$5*(1+(Inputs!$B$6+1)/100))*(F985/100)</f>
        <v/>
      </c>
      <c r="K985">
        <f>J985*(1+((Inputs!$B$11*(1+Inputs!$B$12/100))*0.01+Inputs!$B$13*0.0025)/100)*(1+Inputs!$B$14/100)*(1+IF(Inputs!$B$4="pvp",0,(1-Summary!$B$55)*(Inputs!$B$19+0+Skills!P6)+Summary!$B$55*(Inputs!$B$20+Skills!Q6))/100)*(1+Inputs!$B$15/100)*(5000/(6000+Inputs!$B$7*(1-(Inputs!$B$18+0)/100)))*(1+(Inputs!$B$23+((C1003=TRUE)*(F1003-Calc!F24))+((C1004=TRUE)*(F1004-Calc!F25))+B1017)/100)*(1+1.0*IF(C987=TRUE,F987,0)/100)*(1+(IF(Skills!A6="EMPOWERED_PIERCING_ARROW",Inputs!$B$16+((C1001=TRUE)*(F1001-Calc!F22)),Inputs!$B$17+((C1006=TRUE)*(F1006-Calc!F27))))/100)*((1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I985)</f>
        <v/>
      </c>
      <c r="L985">
        <f>K985*(MIN(Inputs!$B$21+((C1002=TRUE)*(F1002-Calc!F23)),Inputs!$B$22+((C1007=TRUE)*(F1007-Calc!F28)))/100+(Inputs!$B$22+((C1007=TRUE)*(F1007-Calc!F28)))/100)/2</f>
        <v/>
      </c>
      <c r="M985">
        <f>L985*(1+(Inputs!$B$9+0+B1016)/100)</f>
        <v/>
      </c>
      <c r="N985">
        <f>L985*(1-MIN((Inputs!$B$8+((C998=TRUE)*(F998-Calc!F19))+B1011),100)/100)+M985*(MIN((Inputs!$B$8+((C998=TRUE)*(F998-Calc!F19))+B1011),100)/100)</f>
        <v/>
      </c>
      <c r="O985">
        <f>IF(C985,H985*N985*IF(AND(Inputs!$B$4&lt;&gt;"pvp",Inputs!$B$35&gt;0),((Skills!G6*((R985-1)*IF(Skills!H6&gt;0,Skills!I6/Skills!H6,1)+IF(Skills!H6&gt;0,MIN(Skills!I6,MAX(0,Inputs!$B$35-((R985-1)*IF(Inputs!$B$4="pvp",15,MAX(0.1,Skills!D6-IF(Skills!E6=TRUE,Inputs!$B$31,0))))))/Skills!H6,1)))/Inputs!$B$35),G985*Q985)*IF(Inputs!$B$4="pvp",1,(1-Summary!$B$55)*(1)+Summary!$B$55*(MIN(Skills!R6,Inputs!$B$37))),0)</f>
        <v/>
      </c>
      <c r="P985">
        <f>IF(B1019=0,0,O985/B1019)</f>
        <v/>
      </c>
      <c r="Q985">
        <f>IFERROR(1/IF(Inputs!$B$4="pvp",15,MAX(0.1,Skills!D6-IF(Skills!E6=TRUE,Inputs!$B$31,0))),0)</f>
        <v/>
      </c>
      <c r="R985">
        <f>IF(AND(Inputs!$B$4&lt;&gt;"pvp",Inputs!$B$35&gt;0),(INT(Inputs!$B$35/IF(Inputs!$B$4="pvp",15,MAX(0.1,Skills!D6-IF(Skills!E6=TRUE,Inputs!$B$31,0))))+1),0)</f>
        <v/>
      </c>
      <c r="S985">
        <f>IFERROR(O985/N985,0)</f>
        <v/>
      </c>
    </row>
    <row r="986">
      <c r="A986">
        <f>Skills!A7</f>
        <v/>
      </c>
      <c r="B986">
        <f>Skills!B7</f>
        <v/>
      </c>
      <c r="C986">
        <f>Inputs!$B$3&gt;=69</f>
        <v/>
      </c>
      <c r="D986">
        <f>IF(Skills!C7=1,60+Inputs!$B$24+Inputs!$B$28,IF(Skills!C7=2,90+Inputs!$B$25+Inputs!$B$28,IF(Skills!C7=3,120+Inputs!$B$26+Inputs!$B$28,MAX(0,(Inputs!$B$3-100)*3)+Inputs!$B$27+Inputs!$B$28)))</f>
        <v/>
      </c>
      <c r="E986">
        <f>INDEX(FactorTable!$B$2:$Y$301, MATCH(ROUND(MIN(300,MAX(1,D986)),0), FactorTable!$A$2:$A$301,0), Skills!M7+1)</f>
        <v/>
      </c>
      <c r="F986">
        <f>IF(Skills!N7=TRUE,(Skills!L7/10)*(E986/1000),Skills!L7/10)+Skills!O7</f>
        <v/>
      </c>
      <c r="G986">
        <f>Skills!G7*IF(Skills!H7&gt;0,Skills!I7/Skills!H7,1)</f>
        <v/>
      </c>
      <c r="H986">
        <f>1-(1-Skills!J7/100)^Skills!K7</f>
        <v/>
      </c>
      <c r="I986" t="inlineStr">
        <is>
          <t>1</t>
        </is>
      </c>
      <c r="J986">
        <f>(Inputs!$B$5*(1+(Inputs!$B$6+1)/100))*(F986/100)</f>
        <v/>
      </c>
      <c r="K986">
        <f>J986*(1+((Inputs!$B$11*(1+Inputs!$B$12/100))*0.01+Inputs!$B$13*0.0025)/100)*(1+Inputs!$B$14/100)*(1+IF(Inputs!$B$4="pvp",0,(1-Summary!$B$55)*(Inputs!$B$19+0+Skills!P7)+Summary!$B$55*(Inputs!$B$20+Skills!Q7))/100)*(1+Inputs!$B$15/100)*(5000/(6000+Inputs!$B$7*(1-(Inputs!$B$18+0)/100)))*(1+(Inputs!$B$23+((C1003=TRUE)*(F1003-Calc!F24))+((C1004=TRUE)*(F1004-Calc!F25))+B1017)/100)*(1+1.2*IF(C987=TRUE,F987,0)/100)*(1+(IF(Skills!A7="EMPOWERED_PIERCING_ARROW",Inputs!$B$16+((C1001=TRUE)*(F1001-Calc!F22)),Inputs!$B$17+((C1006=TRUE)*(F1006-Calc!F27))))/100)*((1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I986)</f>
        <v/>
      </c>
      <c r="L986">
        <f>K986*(MIN(Inputs!$B$21+((C1002=TRUE)*(F1002-Calc!F23)),Inputs!$B$22+((C1007=TRUE)*(F1007-Calc!F28)))/100+(Inputs!$B$22+((C1007=TRUE)*(F1007-Calc!F28)))/100)/2</f>
        <v/>
      </c>
      <c r="M986">
        <f>L986*(1+(Inputs!$B$9+0+B1016)/100)</f>
        <v/>
      </c>
      <c r="N986">
        <f>L986*(1-MIN((Inputs!$B$8+((C998=TRUE)*(F998-Calc!F19))+B1011),100)/100)+M986*(MIN((Inputs!$B$8+((C998=TRUE)*(F998-Calc!F19))+B1011),100)/100)</f>
        <v/>
      </c>
      <c r="O986">
        <f>IF(C986,H986*N986*IF(AND(Inputs!$B$4&lt;&gt;"pvp",Inputs!$B$35&gt;0),((Skills!G7*((R986-1)*IF(Skills!H7&gt;0,Skills!I7/Skills!H7,1)+IF(Skills!H7&gt;0,MIN(Skills!I7,MAX(0,Inputs!$B$35-((R986-1)*IF(Inputs!$B$4="pvp",15,MAX(0.1,Skills!D7-IF(Skills!E7=TRUE,Inputs!$B$31,0))))))/Skills!H7,1)))/Inputs!$B$35),G986*Q986)*IF(Inputs!$B$4="pvp",1,(1-Summary!$B$55)*(1)+Summary!$B$55*(MIN(Skills!R7,Inputs!$B$37))),0)</f>
        <v/>
      </c>
      <c r="P986">
        <f>IF(B1019=0,0,O986/B1019)</f>
        <v/>
      </c>
      <c r="Q986">
        <f>IFERROR(1/IF(Inputs!$B$4="pvp",15,MAX(0.1,Skills!D7-IF(Skills!E7=TRUE,Inputs!$B$31,0))),0)</f>
        <v/>
      </c>
      <c r="R986">
        <f>IF(AND(Inputs!$B$4&lt;&gt;"pvp",Inputs!$B$35&gt;0),(INT(Inputs!$B$35/IF(Inputs!$B$4="pvp",15,MAX(0.1,Skills!D7-IF(Skills!E7=TRUE,Inputs!$B$31,0))))+1),0)</f>
        <v/>
      </c>
      <c r="S986">
        <f>IFERROR(O986/N986,0)</f>
        <v/>
      </c>
    </row>
    <row r="987">
      <c r="A987">
        <f>Skills!A8</f>
        <v/>
      </c>
      <c r="B987">
        <f>Skills!B8</f>
        <v/>
      </c>
      <c r="C987">
        <f>Inputs!$B$3&gt;=100</f>
        <v/>
      </c>
      <c r="D987">
        <f>IF(Skills!C8=1,60+Inputs!$B$24+Inputs!$B$28,IF(Skills!C8=2,90+Inputs!$B$25+Inputs!$B$28,IF(Skills!C8=3,120+Inputs!$B$26+Inputs!$B$28,MAX(0,(Inputs!$B$3-100)*3)+Inputs!$B$27+Inputs!$B$28)))</f>
        <v/>
      </c>
      <c r="E987">
        <f>INDEX(FactorTable!$B$2:$Y$301, MATCH(ROUND(MIN(300,MAX(1,D987)),0), FactorTable!$A$2:$A$301,0), Skills!M8+1)</f>
        <v/>
      </c>
      <c r="F987">
        <f>IF(Skills!N8=TRUE,(Skills!L8/10)*(E987/1000),Skills!L8/10)+Skills!O8</f>
        <v/>
      </c>
      <c r="G987" t="inlineStr"/>
      <c r="H987" t="inlineStr"/>
      <c r="I987" t="inlineStr">
        <is>
          <t>1</t>
        </is>
      </c>
      <c r="J987" t="inlineStr"/>
      <c r="K987" t="inlineStr"/>
      <c r="L987" t="inlineStr"/>
      <c r="M987" t="inlineStr"/>
      <c r="N987" t="inlineStr"/>
      <c r="O987" t="inlineStr"/>
      <c r="P987" t="inlineStr"/>
      <c r="Q987" t="inlineStr"/>
      <c r="R987" t="inlineStr"/>
      <c r="S987" t="inlineStr"/>
    </row>
    <row r="988">
      <c r="A988">
        <f>Skills!A9</f>
        <v/>
      </c>
      <c r="B988">
        <f>Skills!B9</f>
        <v/>
      </c>
      <c r="C988">
        <f>Inputs!$B$3&gt;=103</f>
        <v/>
      </c>
      <c r="D988">
        <f>IF(Skills!C9=1,60+Inputs!$B$24+Inputs!$B$28,IF(Skills!C9=2,90+Inputs!$B$25+Inputs!$B$28,IF(Skills!C9=3,120+Inputs!$B$26+Inputs!$B$28,MAX(0,(Inputs!$B$3-100)*3)+Inputs!$B$27+Inputs!$B$28)))</f>
        <v/>
      </c>
      <c r="E988">
        <f>INDEX(FactorTable!$B$2:$Y$301, MATCH(ROUND(MIN(300,MAX(1,D988)),0), FactorTable!$A$2:$A$301,0), Skills!M9+1)</f>
        <v/>
      </c>
      <c r="F988">
        <f>IF(Skills!N9=TRUE,(Skills!L9/10)*(E988/1000),Skills!L9/10)+Skills!O9</f>
        <v/>
      </c>
      <c r="G988">
        <f>Skills!G9*IF(Skills!H9&gt;0,Skills!I9/Skills!H9,1)</f>
        <v/>
      </c>
      <c r="H988">
        <f>1-(1-Skills!J9/100)^Skills!K9</f>
        <v/>
      </c>
      <c r="I988" t="inlineStr">
        <is>
          <t>1</t>
        </is>
      </c>
      <c r="J988">
        <f>(Inputs!$B$5*(1+(Inputs!$B$6+1)/100))*(F988/100)</f>
        <v/>
      </c>
      <c r="K988">
        <f>J988*(1+((Inputs!$B$11*(1+Inputs!$B$12/100))*0.01+Inputs!$B$13*0.0025)/100)*(1+Inputs!$B$14/100)*(1+IF(Inputs!$B$4="pvp",0,(1-Summary!$B$55)*(Inputs!$B$19+0+Skills!P9)+Summary!$B$55*(Inputs!$B$20+Skills!Q9))/100)*(1+Inputs!$B$15/100)*(5000/(6000+Inputs!$B$7*(1-(Inputs!$B$18+0)/100)))*(1+(Inputs!$B$23+((C1003=TRUE)*(F1003-Calc!F24))+((C1004=TRUE)*(F1004-Calc!F25))+B1017)/100)*(1+(IF(Skills!A9="EMPOWERED_PIERCING_ARROW",Inputs!$B$16+((C1001=TRUE)*(F1001-Calc!F22)),Inputs!$B$17+((C1006=TRUE)*(F1006-Calc!F27))))/100)*((1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I988)</f>
        <v/>
      </c>
      <c r="L988">
        <f>K988*(MIN(Inputs!$B$21+((C1002=TRUE)*(F1002-Calc!F23)),Inputs!$B$22+((C1007=TRUE)*(F1007-Calc!F28)))/100+(Inputs!$B$22+((C1007=TRUE)*(F1007-Calc!F28)))/100)/2</f>
        <v/>
      </c>
      <c r="M988">
        <f>L988*(1+(Inputs!$B$9+0+B1016)/100)</f>
        <v/>
      </c>
      <c r="N988">
        <f>L988*(1-MIN((Inputs!$B$8+((C998=TRUE)*(F998-Calc!F19))+B1011),100)/100)+M988*(MIN((Inputs!$B$8+((C998=TRUE)*(F998-Calc!F19))+B1011),100)/100)</f>
        <v/>
      </c>
      <c r="O988">
        <f>IF(C988,H988*N988*IF(AND(Inputs!$B$4&lt;&gt;"pvp",Inputs!$B$35&gt;0),((Skills!G9*((R988-1)*IF(Skills!H9&gt;0,Skills!I9/Skills!H9,1)+IF(Skills!H9&gt;0,MIN(Skills!I9,MAX(0,Inputs!$B$35-((R988-1)*IF(Inputs!$B$4="pvp",15,MAX(0.1,Skills!D9-IF(Skills!E9=TRUE,Inputs!$B$31,0))))))/Skills!H9,1)))/Inputs!$B$35),G988*Q988)*IF(Inputs!$B$4="pvp",1,(1-Summary!$B$55)*(1)+Summary!$B$55*(MIN(Skills!R9,Inputs!$B$37))),0)</f>
        <v/>
      </c>
      <c r="P988">
        <f>IF(B1019=0,0,O988/B1019)</f>
        <v/>
      </c>
      <c r="Q988">
        <f>IFERROR(1/IF(Inputs!$B$4="pvp",15,MAX(0.1,Skills!D9-IF(Skills!E9=TRUE,Inputs!$B$31,0))),0)</f>
        <v/>
      </c>
      <c r="R988">
        <f>IF(AND(Inputs!$B$4&lt;&gt;"pvp",Inputs!$B$35&gt;0),(INT(Inputs!$B$35/IF(Inputs!$B$4="pvp",15,MAX(0.1,Skills!D9-IF(Skills!E9=TRUE,Inputs!$B$31,0))))+1),0)</f>
        <v/>
      </c>
      <c r="S988">
        <f>IFERROR(O988/N988,0)</f>
        <v/>
      </c>
    </row>
    <row r="989">
      <c r="A989">
        <f>Skills!A10</f>
        <v/>
      </c>
      <c r="B989">
        <f>Skills!B10</f>
        <v/>
      </c>
      <c r="C989">
        <f>Inputs!$B$3&gt;=107</f>
        <v/>
      </c>
      <c r="D989">
        <f>IF(Skills!C10=1,60+Inputs!$B$24+Inputs!$B$28,IF(Skills!C10=2,90+Inputs!$B$25+Inputs!$B$28,IF(Skills!C10=3,120+Inputs!$B$26+Inputs!$B$28,MAX(0,(Inputs!$B$3-100)*3)+Inputs!$B$27+Inputs!$B$28)))</f>
        <v/>
      </c>
      <c r="E989">
        <f>INDEX(FactorTable!$B$2:$Y$301, MATCH(ROUND(MIN(300,MAX(1,D989)),0), FactorTable!$A$2:$A$301,0), Skills!M10+1)</f>
        <v/>
      </c>
      <c r="F989">
        <f>IF(Skills!N10=TRUE,(Skills!L10/10)*(E989/1000),Skills!L10/10)+Skills!O10</f>
        <v/>
      </c>
      <c r="G989">
        <f>Skills!G10*IF(Skills!H10&gt;0,Skills!I10/Skills!H10,1)</f>
        <v/>
      </c>
      <c r="H989">
        <f>1-(1-Skills!J10/100)^Skills!K10</f>
        <v/>
      </c>
      <c r="I989" t="inlineStr">
        <is>
          <t>1</t>
        </is>
      </c>
      <c r="J989">
        <f>(Inputs!$B$5*(1+(Inputs!$B$6+1)/100))*(F989/100)</f>
        <v/>
      </c>
      <c r="K989">
        <f>J989*(1+((Inputs!$B$11*(1+Inputs!$B$12/100))*0.01+Inputs!$B$13*0.0025)/100)*(1+Inputs!$B$14/100)*(1+IF(Inputs!$B$4="pvp",0,(1-Summary!$B$55)*(Inputs!$B$19+0+Skills!P10)+Summary!$B$55*(Inputs!$B$20+Skills!Q10))/100)*(1+Inputs!$B$15/100)*(5000/(6000+Inputs!$B$7*(1-(Inputs!$B$18+0)/100)))*(1+(Inputs!$B$23+((C1003=TRUE)*(F1003-Calc!F24))+((C1004=TRUE)*(F1004-Calc!F25))+B1017)/100)*(1+(IF(Skills!A10="EMPOWERED_PIERCING_ARROW",Inputs!$B$16+((C1001=TRUE)*(F1001-Calc!F22)),Inputs!$B$17+((C1006=TRUE)*(F1006-Calc!F27))))/100)*((1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I989)</f>
        <v/>
      </c>
      <c r="L989">
        <f>K989*(MIN(Inputs!$B$21+((C1002=TRUE)*(F1002-Calc!F23)),Inputs!$B$22+((C1007=TRUE)*(F1007-Calc!F28)))/100+(Inputs!$B$22+((C1007=TRUE)*(F1007-Calc!F28)))/100)/2</f>
        <v/>
      </c>
      <c r="M989">
        <f>L989*(1+(Inputs!$B$9+0+B1016)/100)</f>
        <v/>
      </c>
      <c r="N989">
        <f>L989*(1-MIN((Inputs!$B$8+((C998=TRUE)*(F998-Calc!F19))+B1011),100)/100)+M989*(MIN((Inputs!$B$8+((C998=TRUE)*(F998-Calc!F19))+B1011),100)/100)</f>
        <v/>
      </c>
      <c r="O989">
        <f>IF(C989,0.15*SUMPRODUCT((Skills!U2:U29=TRUE)*(C981:C1008=TRUE)*S981:S1008)*Skills!G10*N989*IF(Inputs!$B$4="pvp",1,(1-Summary!$B$55)*(1)+Summary!$B$55*(MIN(Skills!R10,Inputs!$B$37))),0)</f>
        <v/>
      </c>
      <c r="P989">
        <f>IF(B1019=0,0,O989/B1019)</f>
        <v/>
      </c>
      <c r="Q989" t="n">
        <v>0</v>
      </c>
      <c r="R989" t="n">
        <v>0</v>
      </c>
      <c r="S989" t="n">
        <v>0</v>
      </c>
    </row>
    <row r="990">
      <c r="A990">
        <f>Skills!A11</f>
        <v/>
      </c>
      <c r="B990">
        <f>Skills!B11</f>
        <v/>
      </c>
      <c r="C990">
        <f>Inputs!$B$3&gt;=110</f>
        <v/>
      </c>
      <c r="D990">
        <f>IF(Skills!C11=1,60+Inputs!$B$24+Inputs!$B$28,IF(Skills!C11=2,90+Inputs!$B$25+Inputs!$B$28,IF(Skills!C11=3,120+Inputs!$B$26+Inputs!$B$28,MAX(0,(Inputs!$B$3-100)*3)+Inputs!$B$27+Inputs!$B$28)))</f>
        <v/>
      </c>
      <c r="E990">
        <f>INDEX(FactorTable!$B$2:$Y$301, MATCH(ROUND(MIN(300,MAX(1,D990)),0), FactorTable!$A$2:$A$301,0), Skills!M11+1)</f>
        <v/>
      </c>
      <c r="F990">
        <f>IF(Skills!N11=TRUE,(Skills!L11/10)*(E990/1000),Skills!L11/10)+Skills!O11</f>
        <v/>
      </c>
      <c r="G990">
        <f>Skills!G11*IF(Skills!H11&gt;0,Skills!I11/Skills!H11,1)</f>
        <v/>
      </c>
      <c r="H990">
        <f>1-(1-Skills!J11/100)^Skills!K11</f>
        <v/>
      </c>
      <c r="I990" t="inlineStr">
        <is>
          <t>1</t>
        </is>
      </c>
      <c r="J990">
        <f>(Inputs!$B$5*(1+(Inputs!$B$6+1)/100))*(F990/100)</f>
        <v/>
      </c>
      <c r="K990">
        <f>J990*(1+((Inputs!$B$11*(1+Inputs!$B$12/100))*0.01+Inputs!$B$13*0.0025)/100)*(1+Inputs!$B$14/100)*(1+IF(Inputs!$B$4="pvp",0,(1-Summary!$B$55)*(Inputs!$B$19+0+Skills!P11)+Summary!$B$55*(Inputs!$B$20+Skills!Q11))/100)*(1+Inputs!$B$15/100)*(5000/(6000+Inputs!$B$7*(1-(Inputs!$B$18+0)/100)))*(1+(Inputs!$B$23+((C1003=TRUE)*(F1003-Calc!F24))+((C1004=TRUE)*(F1004-Calc!F25))+B1017)/100)*(1+(IF(Skills!A11="EMPOWERED_PIERCING_ARROW",Inputs!$B$16+((C1001=TRUE)*(F1001-Calc!F22)),Inputs!$B$17+((C1006=TRUE)*(F1006-Calc!F27))))/100)*((1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I990)</f>
        <v/>
      </c>
      <c r="L990">
        <f>K990*(MIN(Inputs!$B$21+((C1002=TRUE)*(F1002-Calc!F23)),Inputs!$B$22+((C1007=TRUE)*(F1007-Calc!F28)))/100+(Inputs!$B$22+((C1007=TRUE)*(F1007-Calc!F28)))/100)/2</f>
        <v/>
      </c>
      <c r="M990">
        <f>L990*(1+(Inputs!$B$9+0+B1016)/100)</f>
        <v/>
      </c>
      <c r="N990">
        <f>L990*(1-MIN((Inputs!$B$8+((C998=TRUE)*(F998-Calc!F19))+B1011),100)/100)+M990*(MIN((Inputs!$B$8+((C998=TRUE)*(F998-Calc!F19))+B1011),100)/100)</f>
        <v/>
      </c>
      <c r="O990">
        <f>IF(C990,H990*N990*IF(AND(Inputs!$B$4&lt;&gt;"pvp",Inputs!$B$35&gt;0),((Skills!G11*((R990-1)*IF(Skills!H11&gt;0,Skills!I11/Skills!H11,1)+IF(Skills!H11&gt;0,MIN(Skills!I11,MAX(0,Inputs!$B$35-((R990-1)*IF(Inputs!$B$4="pvp",15,MAX(0.1,Skills!D11-IF(Skills!E11=TRUE,Inputs!$B$31,0))))))/Skills!H11,1)))/Inputs!$B$35),G990*Q990)*IF(Inputs!$B$4="pvp",1,(1-Summary!$B$55)*(1)+Summary!$B$55*(MIN(Skills!R11,Inputs!$B$37))),0)</f>
        <v/>
      </c>
      <c r="P990">
        <f>IF(B1019=0,0,O990/B1019)</f>
        <v/>
      </c>
      <c r="Q990">
        <f>IFERROR(1/IF(Inputs!$B$4="pvp",15,MAX(0.1,Skills!D11-IF(Skills!E11=TRUE,Inputs!$B$31,0))),0)</f>
        <v/>
      </c>
      <c r="R990">
        <f>IF(AND(Inputs!$B$4&lt;&gt;"pvp",Inputs!$B$35&gt;0),(INT(Inputs!$B$35/IF(Inputs!$B$4="pvp",15,MAX(0.1,Skills!D11-IF(Skills!E11=TRUE,Inputs!$B$31,0))))+1),0)</f>
        <v/>
      </c>
      <c r="S990">
        <f>IFERROR(O990/N990,0)</f>
        <v/>
      </c>
    </row>
    <row r="991">
      <c r="A991">
        <f>Skills!A12</f>
        <v/>
      </c>
      <c r="B991">
        <f>Skills!B12</f>
        <v/>
      </c>
      <c r="C991">
        <f>Inputs!$B$3&gt;=60</f>
        <v/>
      </c>
      <c r="D991">
        <f>IF(Skills!C12=1,60+Inputs!$B$24+Inputs!$B$28,IF(Skills!C12=2,90+Inputs!$B$25+Inputs!$B$28,IF(Skills!C12=3,120+Inputs!$B$26+Inputs!$B$28,MAX(0,(Inputs!$B$3-100)*3)+Inputs!$B$27+Inputs!$B$28)))</f>
        <v/>
      </c>
      <c r="E991">
        <f>INDEX(FactorTable!$B$2:$Y$301, MATCH(ROUND(MIN(300,MAX(1,D991)),0), FactorTable!$A$2:$A$301,0), Skills!M12+1)</f>
        <v/>
      </c>
      <c r="F991">
        <f>IF(Skills!N12=TRUE,(Skills!L12/10)*(E991/1000),Skills!L12/10)+Skills!O12</f>
        <v/>
      </c>
      <c r="G991">
        <f>Skills!G12*IF(Skills!H12&gt;0,Skills!I12/Skills!H12,1)</f>
        <v/>
      </c>
      <c r="H991">
        <f>1-(1-Skills!J12/100)^Skills!K12</f>
        <v/>
      </c>
      <c r="I991" t="inlineStr">
        <is>
          <t>1</t>
        </is>
      </c>
      <c r="J991" t="inlineStr"/>
      <c r="K991" t="inlineStr"/>
      <c r="L991" t="inlineStr"/>
      <c r="M991" t="inlineStr"/>
      <c r="N991" t="inlineStr"/>
      <c r="O991" t="n">
        <v>0</v>
      </c>
      <c r="P991">
        <f>IF(B1019=0,0,O991/B1019)</f>
        <v/>
      </c>
      <c r="Q991" t="n">
        <v>0</v>
      </c>
      <c r="R991" t="n">
        <v>0</v>
      </c>
      <c r="S991">
        <f>IFERROR(O991/N991,0)</f>
        <v/>
      </c>
    </row>
    <row r="992">
      <c r="A992">
        <f>Skills!A13</f>
        <v/>
      </c>
      <c r="B992">
        <f>Skills!B13</f>
        <v/>
      </c>
      <c r="C992">
        <f>Inputs!$B$3&gt;=74</f>
        <v/>
      </c>
      <c r="D992">
        <f>IF(Skills!C13=1,60+Inputs!$B$24+Inputs!$B$28,IF(Skills!C13=2,90+Inputs!$B$25+Inputs!$B$28,IF(Skills!C13=3,120+Inputs!$B$26+Inputs!$B$28,MAX(0,(Inputs!$B$3-100)*3)+Inputs!$B$27+Inputs!$B$28)))</f>
        <v/>
      </c>
      <c r="E992">
        <f>INDEX(FactorTable!$B$2:$Y$301, MATCH(ROUND(MIN(300,MAX(1,D992)),0), FactorTable!$A$2:$A$301,0), Skills!M13+1)</f>
        <v/>
      </c>
      <c r="F992">
        <f>IF(Skills!N13=TRUE,(Skills!L13/10)*(E992/1000),Skills!L13/10)+Skills!O13</f>
        <v/>
      </c>
      <c r="G992">
        <f>Skills!G13*IF(Skills!H13&gt;0,Skills!I13/Skills!H13,1)</f>
        <v/>
      </c>
      <c r="H992">
        <f>1-(1-Skills!J13/100)^Skills!K13</f>
        <v/>
      </c>
      <c r="I992" t="inlineStr">
        <is>
          <t>1</t>
        </is>
      </c>
      <c r="J992" t="inlineStr"/>
      <c r="K992" t="inlineStr"/>
      <c r="L992" t="inlineStr"/>
      <c r="M992" t="inlineStr"/>
      <c r="N992" t="inlineStr"/>
      <c r="O992" t="n">
        <v>0</v>
      </c>
      <c r="P992">
        <f>IF(B1019=0,0,O992/B1019)</f>
        <v/>
      </c>
      <c r="Q992" t="n">
        <v>0</v>
      </c>
      <c r="R992" t="n">
        <v>0</v>
      </c>
      <c r="S992">
        <f>IFERROR(O992/N992,0)</f>
        <v/>
      </c>
    </row>
    <row r="993">
      <c r="A993">
        <f>Skills!A14</f>
        <v/>
      </c>
      <c r="B993">
        <f>Skills!B14</f>
        <v/>
      </c>
      <c r="C993">
        <f>Inputs!$B$3&gt;=74</f>
        <v/>
      </c>
      <c r="D993">
        <f>IF(Skills!C14=1,60+Inputs!$B$24+Inputs!$B$28,IF(Skills!C14=2,90+Inputs!$B$25+Inputs!$B$28,IF(Skills!C14=3,120+Inputs!$B$26+Inputs!$B$28,MAX(0,(Inputs!$B$3-100)*3)+Inputs!$B$27+Inputs!$B$28)))</f>
        <v/>
      </c>
      <c r="E993">
        <f>INDEX(FactorTable!$B$2:$Y$301, MATCH(ROUND(MIN(300,MAX(1,D993)),0), FactorTable!$A$2:$A$301,0), Skills!M14+1)</f>
        <v/>
      </c>
      <c r="F993">
        <f>IF(Skills!N14=TRUE,(Skills!L14/10)*(E993/1000),Skills!L14/10)+Skills!O14</f>
        <v/>
      </c>
      <c r="G993">
        <f>Skills!G14*IF(Skills!H14&gt;0,Skills!I14/Skills!H14,1)</f>
        <v/>
      </c>
      <c r="H993">
        <f>1-(1-Skills!J14/100)^Skills!K14</f>
        <v/>
      </c>
      <c r="I993" t="inlineStr">
        <is>
          <t>1</t>
        </is>
      </c>
      <c r="J993" t="inlineStr"/>
      <c r="K993" t="inlineStr"/>
      <c r="L993" t="inlineStr"/>
      <c r="M993" t="inlineStr"/>
      <c r="N993" t="inlineStr"/>
      <c r="O993" t="n">
        <v>0</v>
      </c>
      <c r="P993">
        <f>IF(B1019=0,0,O993/B1019)</f>
        <v/>
      </c>
      <c r="Q993" t="n">
        <v>0</v>
      </c>
      <c r="R993" t="n">
        <v>0</v>
      </c>
      <c r="S993">
        <f>IFERROR(O993/N993,0)</f>
        <v/>
      </c>
    </row>
    <row r="994">
      <c r="A994">
        <f>Skills!A15</f>
        <v/>
      </c>
      <c r="B994">
        <f>Skills!B15</f>
        <v/>
      </c>
      <c r="C994">
        <f>Inputs!$B$3&gt;=117</f>
        <v/>
      </c>
      <c r="D994">
        <f>IF(Skills!C15=1,60+Inputs!$B$24+Inputs!$B$28,IF(Skills!C15=2,90+Inputs!$B$25+Inputs!$B$28,IF(Skills!C15=3,120+Inputs!$B$26+Inputs!$B$28,MAX(0,(Inputs!$B$3-100)*3)+Inputs!$B$27+Inputs!$B$28)))</f>
        <v/>
      </c>
      <c r="E994">
        <f>INDEX(FactorTable!$B$2:$Y$301, MATCH(ROUND(MIN(300,MAX(1,D994)),0), FactorTable!$A$2:$A$301,0), Skills!M15+1)</f>
        <v/>
      </c>
      <c r="F994">
        <f>IF(Skills!N15=TRUE,(Skills!L15/10)*(E994/1000),Skills!L15/10)+Skills!O15</f>
        <v/>
      </c>
      <c r="G994">
        <f>Skills!G15*IF(Skills!H15&gt;0,Skills!I15/Skills!H15,1)</f>
        <v/>
      </c>
      <c r="H994">
        <f>1-(1-Skills!J15/100)^Skills!K15</f>
        <v/>
      </c>
      <c r="I994" t="inlineStr">
        <is>
          <t>1</t>
        </is>
      </c>
      <c r="J994" t="inlineStr"/>
      <c r="K994" t="inlineStr"/>
      <c r="L994" t="inlineStr"/>
      <c r="M994" t="inlineStr"/>
      <c r="N994" t="inlineStr"/>
      <c r="O994" t="n">
        <v>0</v>
      </c>
      <c r="P994">
        <f>IF(B1019=0,0,O994/B1019)</f>
        <v/>
      </c>
      <c r="Q994">
        <f>IFERROR(1/IF(Inputs!$B$4="pvp",15,MAX(0.1,Skills!D15-IF(Skills!E15=TRUE,Inputs!$B$31,0))),0)</f>
        <v/>
      </c>
      <c r="R994">
        <f>IF(AND(Inputs!$B$4&lt;&gt;"pvp",Inputs!$B$35&gt;0),(INT(Inputs!$B$35/IF(Inputs!$B$4="pvp",15,MAX(0.1,Skills!D15-IF(Skills!E15=TRUE,Inputs!$B$31,0))))+1),0)</f>
        <v/>
      </c>
      <c r="S994">
        <f>IFERROR(O994/N994,0)</f>
        <v/>
      </c>
    </row>
    <row r="995">
      <c r="A995">
        <f>Skills!A16</f>
        <v/>
      </c>
      <c r="B995">
        <f>Skills!B16</f>
        <v/>
      </c>
      <c r="C995">
        <f>Inputs!$B$3&gt;=115</f>
        <v/>
      </c>
      <c r="D995">
        <f>IF(Skills!C16=1,60+Inputs!$B$24+Inputs!$B$28,IF(Skills!C16=2,90+Inputs!$B$25+Inputs!$B$28,IF(Skills!C16=3,120+Inputs!$B$26+Inputs!$B$28,MAX(0,(Inputs!$B$3-100)*3)+Inputs!$B$27+Inputs!$B$28)))</f>
        <v/>
      </c>
      <c r="E995">
        <f>INDEX(FactorTable!$B$2:$Y$301, MATCH(ROUND(MIN(300,MAX(1,D995)),0), FactorTable!$A$2:$A$301,0), Skills!M16+1)</f>
        <v/>
      </c>
      <c r="F995">
        <f>IF(Skills!N16=TRUE,(Skills!L16/10)*(E995/1000),Skills!L16/10)+Skills!O16</f>
        <v/>
      </c>
      <c r="G995">
        <f>Skills!G16*IF(Skills!H16&gt;0,Skills!I16/Skills!H16,1)</f>
        <v/>
      </c>
      <c r="H995">
        <f>1-(1-Skills!J16/100)^Skills!K16</f>
        <v/>
      </c>
      <c r="I995" t="inlineStr">
        <is>
          <t>1</t>
        </is>
      </c>
      <c r="J995" t="inlineStr"/>
      <c r="K995" t="inlineStr"/>
      <c r="L995" t="inlineStr"/>
      <c r="M995" t="inlineStr"/>
      <c r="N995" t="inlineStr"/>
      <c r="O995" t="n">
        <v>0</v>
      </c>
      <c r="P995">
        <f>IF(B1019=0,0,O995/B1019)</f>
        <v/>
      </c>
      <c r="Q995">
        <f>IFERROR(1/IF(Inputs!$B$4="pvp",15,MAX(0.1,Skills!D16-IF(Skills!E16=TRUE,Inputs!$B$31,0))),0)</f>
        <v/>
      </c>
      <c r="R995">
        <f>IF(AND(Inputs!$B$4&lt;&gt;"pvp",Inputs!$B$35&gt;0),(INT(Inputs!$B$35/IF(Inputs!$B$4="pvp",15,MAX(0.1,Skills!D16-IF(Skills!E16=TRUE,Inputs!$B$31,0))))+1),0)</f>
        <v/>
      </c>
      <c r="S995">
        <f>IFERROR(O995/N995,0)</f>
        <v/>
      </c>
    </row>
    <row r="996">
      <c r="A996">
        <f>Skills!A17</f>
        <v/>
      </c>
      <c r="B996">
        <f>Skills!B17</f>
        <v/>
      </c>
      <c r="C996">
        <f>Inputs!$B$3&gt;=72</f>
        <v/>
      </c>
      <c r="D996">
        <f>IF(Skills!C17=1,60+Inputs!$B$24+Inputs!$B$28,IF(Skills!C17=2,90+Inputs!$B$25+Inputs!$B$28,IF(Skills!C17=3,120+Inputs!$B$26+Inputs!$B$28,MAX(0,(Inputs!$B$3-100)*3)+Inputs!$B$27+Inputs!$B$28)))</f>
        <v/>
      </c>
      <c r="E996">
        <f>INDEX(FactorTable!$B$2:$Y$301, MATCH(ROUND(MIN(300,MAX(1,D996)),0), FactorTable!$A$2:$A$301,0), Skills!M17+1)</f>
        <v/>
      </c>
      <c r="F996">
        <f>IF(Skills!N17=TRUE,(Skills!L17/10)*(E996/1000),Skills!L17/10)+Skills!O17</f>
        <v/>
      </c>
      <c r="G996">
        <f>Skills!G17*IF(Skills!H17&gt;0,Skills!I17/Skills!H17,1)</f>
        <v/>
      </c>
      <c r="H996">
        <f>1-(1-Skills!J17/100)^Skills!K17</f>
        <v/>
      </c>
      <c r="I996" t="inlineStr">
        <is>
          <t>1</t>
        </is>
      </c>
      <c r="J996" t="inlineStr"/>
      <c r="K996" t="inlineStr"/>
      <c r="L996" t="inlineStr"/>
      <c r="M996" t="inlineStr"/>
      <c r="N996" t="inlineStr"/>
      <c r="O996" t="n">
        <v>0</v>
      </c>
      <c r="P996">
        <f>IF(B1019=0,0,O996/B1019)</f>
        <v/>
      </c>
      <c r="Q996" t="n">
        <v>0</v>
      </c>
      <c r="R996" t="n">
        <v>0</v>
      </c>
      <c r="S996">
        <f>IFERROR(O996/N996,0)</f>
        <v/>
      </c>
    </row>
    <row r="997">
      <c r="A997">
        <f>Skills!A18</f>
        <v/>
      </c>
      <c r="B997">
        <f>Skills!B18</f>
        <v/>
      </c>
      <c r="C997">
        <f>TRUE</f>
        <v/>
      </c>
      <c r="D997">
        <f>IF(Skills!C18=1,60+Inputs!$B$24+Inputs!$B$28,IF(Skills!C18=2,90+Inputs!$B$25+Inputs!$B$28,IF(Skills!C18=3,120+Inputs!$B$26+Inputs!$B$28,MAX(0,(Inputs!$B$3-100)*3)+Inputs!$B$27+Inputs!$B$28)))</f>
        <v/>
      </c>
      <c r="E997">
        <f>INDEX(FactorTable!$B$2:$Y$301, MATCH(ROUND(MIN(300,MAX(1,D997)),0), FactorTable!$A$2:$A$301,0), Skills!M18+1)</f>
        <v/>
      </c>
      <c r="F997">
        <f>IF(Skills!N18=TRUE,(Skills!L18/10)*(E997/1000),Skills!L18/10)+Skills!O18</f>
        <v/>
      </c>
      <c r="G997">
        <f>Skills!G18*IF(Skills!H18&gt;0,Skills!I18/Skills!H18,1)</f>
        <v/>
      </c>
      <c r="H997">
        <f>1-(1-Skills!J18/100)^Skills!K18</f>
        <v/>
      </c>
      <c r="I997" t="inlineStr">
        <is>
          <t>1</t>
        </is>
      </c>
      <c r="J997" t="inlineStr"/>
      <c r="K997" t="inlineStr"/>
      <c r="L997" t="inlineStr"/>
      <c r="M997" t="inlineStr"/>
      <c r="N997" t="inlineStr"/>
      <c r="O997" t="n">
        <v>0</v>
      </c>
      <c r="P997">
        <f>IF(B1019=0,0,O997/B1019)</f>
        <v/>
      </c>
      <c r="Q997">
        <f>IFERROR(1/IF(Inputs!$B$4="pvp",15,MAX(0.1,Skills!D18-IF(Skills!E18=TRUE,Inputs!$B$31,0))),0)</f>
        <v/>
      </c>
      <c r="R997">
        <f>IF(AND(Inputs!$B$4&lt;&gt;"pvp",Inputs!$B$35&gt;0),(INT(Inputs!$B$35/IF(Inputs!$B$4="pvp",15,MAX(0.1,Skills!D18-IF(Skills!E18=TRUE,Inputs!$B$31,0))))+1),0)</f>
        <v/>
      </c>
      <c r="S997">
        <f>IFERROR(O997/N997,0)</f>
        <v/>
      </c>
    </row>
    <row r="998">
      <c r="A998">
        <f>Skills!A19</f>
        <v/>
      </c>
      <c r="B998">
        <f>Skills!B19</f>
        <v/>
      </c>
      <c r="C998">
        <f>Inputs!$B$3&gt;=15</f>
        <v/>
      </c>
      <c r="D998">
        <f>IF(Skills!C19=1,60+Inputs!$B$24+Inputs!$B$28,IF(Skills!C19=2,90+Inputs!$B$25+Inputs!$B$28,IF(Skills!C19=3,120+Inputs!$B$26+Inputs!$B$28,MAX(0,(Inputs!$B$3-100)*3)+Inputs!$B$27+Inputs!$B$28)))</f>
        <v/>
      </c>
      <c r="E998">
        <f>INDEX(FactorTable!$B$2:$Y$301, MATCH(ROUND(MIN(300,MAX(1,D998)),0), FactorTable!$A$2:$A$301,0), Skills!M19+1)</f>
        <v/>
      </c>
      <c r="F998">
        <f>IF(Skills!N19=TRUE,(Skills!L19/10)*(E998/1000),Skills!L19/10)+Skills!O19</f>
        <v/>
      </c>
      <c r="G998">
        <f>Skills!G19*IF(Skills!H19&gt;0,Skills!I19/Skills!H19,1)</f>
        <v/>
      </c>
      <c r="H998">
        <f>1-(1-Skills!J19/100)^Skills!K19</f>
        <v/>
      </c>
      <c r="I998" t="inlineStr">
        <is>
          <t>1</t>
        </is>
      </c>
      <c r="J998" t="inlineStr"/>
      <c r="K998" t="inlineStr"/>
      <c r="L998" t="inlineStr"/>
      <c r="M998" t="inlineStr"/>
      <c r="N998" t="inlineStr"/>
      <c r="O998" t="n">
        <v>0</v>
      </c>
      <c r="P998">
        <f>IF(B1019=0,0,O998/B1019)</f>
        <v/>
      </c>
      <c r="Q998" t="n">
        <v>0</v>
      </c>
      <c r="R998" t="n">
        <v>0</v>
      </c>
      <c r="S998">
        <f>IFERROR(O998/N998,0)</f>
        <v/>
      </c>
    </row>
    <row r="999">
      <c r="A999">
        <f>Skills!A20</f>
        <v/>
      </c>
      <c r="B999">
        <f>Skills!B20</f>
        <v/>
      </c>
      <c r="C999">
        <f>Inputs!$B$3&gt;=10</f>
        <v/>
      </c>
      <c r="D999">
        <f>IF(Skills!C20=1,60+Inputs!$B$24+Inputs!$B$28,IF(Skills!C20=2,90+Inputs!$B$25+Inputs!$B$28,IF(Skills!C20=3,120+Inputs!$B$26+Inputs!$B$28,MAX(0,(Inputs!$B$3-100)*3)+Inputs!$B$27+Inputs!$B$28)))</f>
        <v/>
      </c>
      <c r="E999">
        <f>INDEX(FactorTable!$B$2:$Y$301, MATCH(ROUND(MIN(300,MAX(1,D999)),0), FactorTable!$A$2:$A$301,0), Skills!M20+1)</f>
        <v/>
      </c>
      <c r="F999">
        <f>IF(Skills!N20=TRUE,(Skills!L20/10)*(E999/1000),Skills!L20/10)+Skills!O20</f>
        <v/>
      </c>
      <c r="G999">
        <f>Skills!G20*IF(Skills!H20&gt;0,Skills!I20/Skills!H20,1)</f>
        <v/>
      </c>
      <c r="H999">
        <f>1-(1-Skills!J20/100)^Skills!K20</f>
        <v/>
      </c>
      <c r="I999" t="inlineStr">
        <is>
          <t>1</t>
        </is>
      </c>
      <c r="J999" t="inlineStr"/>
      <c r="K999" t="inlineStr"/>
      <c r="L999" t="inlineStr"/>
      <c r="M999" t="inlineStr"/>
      <c r="N999" t="inlineStr"/>
      <c r="O999" t="n">
        <v>0</v>
      </c>
      <c r="P999">
        <f>IF(B1019=0,0,O999/B1019)</f>
        <v/>
      </c>
      <c r="Q999" t="n">
        <v>0</v>
      </c>
      <c r="R999" t="n">
        <v>0</v>
      </c>
      <c r="S999">
        <f>IFERROR(O999/N999,0)</f>
        <v/>
      </c>
    </row>
    <row r="1000">
      <c r="A1000">
        <f>Skills!A21</f>
        <v/>
      </c>
      <c r="B1000">
        <f>Skills!B21</f>
        <v/>
      </c>
      <c r="C1000">
        <f>Inputs!$B$3&gt;=33</f>
        <v/>
      </c>
      <c r="D1000">
        <f>IF(Skills!C21=1,60+Inputs!$B$24+Inputs!$B$28,IF(Skills!C21=2,90+Inputs!$B$25+Inputs!$B$28,IF(Skills!C21=3,120+Inputs!$B$26+Inputs!$B$28,MAX(0,(Inputs!$B$3-100)*3)+Inputs!$B$27+Inputs!$B$28)))</f>
        <v/>
      </c>
      <c r="E1000">
        <f>INDEX(FactorTable!$B$2:$Y$301, MATCH(ROUND(MIN(300,MAX(1,D1000)),0), FactorTable!$A$2:$A$301,0), Skills!M21+1)</f>
        <v/>
      </c>
      <c r="F1000">
        <f>IF(Skills!N21=TRUE,(Skills!L21/10)*(E1000/1000),Skills!L21/10)+Skills!O21</f>
        <v/>
      </c>
      <c r="G1000">
        <f>Skills!G21*IF(Skills!H21&gt;0,Skills!I21/Skills!H21,1)</f>
        <v/>
      </c>
      <c r="H1000">
        <f>1-(1-Skills!J21/100)^Skills!K21</f>
        <v/>
      </c>
      <c r="I1000" t="inlineStr">
        <is>
          <t>1</t>
        </is>
      </c>
      <c r="J1000" t="inlineStr"/>
      <c r="K1000" t="inlineStr"/>
      <c r="L1000" t="inlineStr"/>
      <c r="M1000" t="inlineStr"/>
      <c r="N1000" t="inlineStr"/>
      <c r="O1000" t="n">
        <v>0</v>
      </c>
      <c r="P1000">
        <f>IF(B1019=0,0,O1000/B1019)</f>
        <v/>
      </c>
      <c r="Q1000" t="n">
        <v>0</v>
      </c>
      <c r="R1000" t="n">
        <v>0</v>
      </c>
      <c r="S1000">
        <f>IFERROR(O1000/N1000,0)</f>
        <v/>
      </c>
    </row>
    <row r="1001">
      <c r="A1001">
        <f>Skills!A22</f>
        <v/>
      </c>
      <c r="B1001">
        <f>Skills!B22</f>
        <v/>
      </c>
      <c r="C1001">
        <f>Inputs!$B$3&gt;=38</f>
        <v/>
      </c>
      <c r="D1001">
        <f>IF(Skills!C22=1,60+Inputs!$B$24+Inputs!$B$28,IF(Skills!C22=2,90+Inputs!$B$25+Inputs!$B$28,IF(Skills!C22=3,120+Inputs!$B$26+Inputs!$B$28,MAX(0,(Inputs!$B$3-100)*3)+Inputs!$B$27+Inputs!$B$28)))</f>
        <v/>
      </c>
      <c r="E1001">
        <f>INDEX(FactorTable!$B$2:$Y$301, MATCH(ROUND(MIN(300,MAX(1,D1001)),0), FactorTable!$A$2:$A$301,0), Skills!M22+1)</f>
        <v/>
      </c>
      <c r="F1001">
        <f>IF(Skills!N22=TRUE,(Skills!L22/10)*(E1001/1000),Skills!L22/10)+Skills!O22</f>
        <v/>
      </c>
      <c r="G1001">
        <f>Skills!G22*IF(Skills!H22&gt;0,Skills!I22/Skills!H22,1)</f>
        <v/>
      </c>
      <c r="H1001">
        <f>1-(1-Skills!J22/100)^Skills!K22</f>
        <v/>
      </c>
      <c r="I1001" t="inlineStr">
        <is>
          <t>1</t>
        </is>
      </c>
      <c r="J1001" t="inlineStr"/>
      <c r="K1001" t="inlineStr"/>
      <c r="L1001" t="inlineStr"/>
      <c r="M1001" t="inlineStr"/>
      <c r="N1001" t="inlineStr"/>
      <c r="O1001" t="n">
        <v>0</v>
      </c>
      <c r="P1001">
        <f>IF(B1019=0,0,O1001/B1019)</f>
        <v/>
      </c>
      <c r="Q1001" t="n">
        <v>0</v>
      </c>
      <c r="R1001" t="n">
        <v>0</v>
      </c>
      <c r="S1001">
        <f>IFERROR(O1001/N1001,0)</f>
        <v/>
      </c>
    </row>
    <row r="1002">
      <c r="A1002">
        <f>Skills!A23</f>
        <v/>
      </c>
      <c r="B1002">
        <f>Skills!B23</f>
        <v/>
      </c>
      <c r="C1002">
        <f>Inputs!$B$3&gt;=43</f>
        <v/>
      </c>
      <c r="D1002">
        <f>IF(Skills!C23=1,60+Inputs!$B$24+Inputs!$B$28,IF(Skills!C23=2,90+Inputs!$B$25+Inputs!$B$28,IF(Skills!C23=3,120+Inputs!$B$26+Inputs!$B$28,MAX(0,(Inputs!$B$3-100)*3)+Inputs!$B$27+Inputs!$B$28)))</f>
        <v/>
      </c>
      <c r="E1002">
        <f>INDEX(FactorTable!$B$2:$Y$301, MATCH(ROUND(MIN(300,MAX(1,D1002)),0), FactorTable!$A$2:$A$301,0), Skills!M23+1)</f>
        <v/>
      </c>
      <c r="F1002">
        <f>IF(Skills!N23=TRUE,(Skills!L23/10)*(E1002/1000),Skills!L23/10)+Skills!O23</f>
        <v/>
      </c>
      <c r="G1002">
        <f>Skills!G23*IF(Skills!H23&gt;0,Skills!I23/Skills!H23,1)</f>
        <v/>
      </c>
      <c r="H1002">
        <f>1-(1-Skills!J23/100)^Skills!K23</f>
        <v/>
      </c>
      <c r="I1002" t="inlineStr">
        <is>
          <t>1</t>
        </is>
      </c>
      <c r="J1002" t="inlineStr"/>
      <c r="K1002" t="inlineStr"/>
      <c r="L1002" t="inlineStr"/>
      <c r="M1002" t="inlineStr"/>
      <c r="N1002" t="inlineStr"/>
      <c r="O1002" t="n">
        <v>0</v>
      </c>
      <c r="P1002">
        <f>IF(B1019=0,0,O1002/B1019)</f>
        <v/>
      </c>
      <c r="Q1002" t="n">
        <v>0</v>
      </c>
      <c r="R1002" t="n">
        <v>0</v>
      </c>
      <c r="S1002">
        <f>IFERROR(O1002/N1002,0)</f>
        <v/>
      </c>
    </row>
    <row r="1003">
      <c r="A1003">
        <f>Skills!A24</f>
        <v/>
      </c>
      <c r="B1003">
        <f>Skills!B24</f>
        <v/>
      </c>
      <c r="C1003">
        <f>Inputs!$B$3&gt;=75</f>
        <v/>
      </c>
      <c r="D1003">
        <f>IF(Skills!C24=1,60+Inputs!$B$24+Inputs!$B$28,IF(Skills!C24=2,90+Inputs!$B$25+Inputs!$B$28,IF(Skills!C24=3,120+Inputs!$B$26+Inputs!$B$28,MAX(0,(Inputs!$B$3-100)*3)+Inputs!$B$27+Inputs!$B$28)))</f>
        <v/>
      </c>
      <c r="E1003">
        <f>INDEX(FactorTable!$B$2:$Y$301, MATCH(ROUND(MIN(300,MAX(1,D1003)),0), FactorTable!$A$2:$A$301,0), Skills!M24+1)</f>
        <v/>
      </c>
      <c r="F1003">
        <f>IF(Skills!N24=TRUE,(Skills!L24/10)*(E1003/1000),Skills!L24/10)+Skills!O24</f>
        <v/>
      </c>
      <c r="G1003">
        <f>Skills!G24*IF(Skills!H24&gt;0,Skills!I24/Skills!H24,1)</f>
        <v/>
      </c>
      <c r="H1003">
        <f>1-(1-Skills!J24/100)^Skills!K24</f>
        <v/>
      </c>
      <c r="I1003" t="inlineStr">
        <is>
          <t>1</t>
        </is>
      </c>
      <c r="J1003" t="inlineStr"/>
      <c r="K1003" t="inlineStr"/>
      <c r="L1003" t="inlineStr"/>
      <c r="M1003" t="inlineStr"/>
      <c r="N1003" t="inlineStr"/>
      <c r="O1003" t="n">
        <v>0</v>
      </c>
      <c r="P1003">
        <f>IF(B1019=0,0,O1003/B1019)</f>
        <v/>
      </c>
      <c r="Q1003" t="n">
        <v>0</v>
      </c>
      <c r="R1003" t="n">
        <v>0</v>
      </c>
      <c r="S1003">
        <f>IFERROR(O1003/N1003,0)</f>
        <v/>
      </c>
    </row>
    <row r="1004">
      <c r="A1004">
        <f>Skills!A25</f>
        <v/>
      </c>
      <c r="B1004">
        <f>Skills!B25</f>
        <v/>
      </c>
      <c r="C1004">
        <f>Inputs!$B$3&gt;=125</f>
        <v/>
      </c>
      <c r="D1004">
        <f>IF(Skills!C25=1,60+Inputs!$B$24+Inputs!$B$28,IF(Skills!C25=2,90+Inputs!$B$25+Inputs!$B$28,IF(Skills!C25=3,120+Inputs!$B$26+Inputs!$B$28,MAX(0,(Inputs!$B$3-100)*3)+Inputs!$B$27+Inputs!$B$28)))</f>
        <v/>
      </c>
      <c r="E1004">
        <f>INDEX(FactorTable!$B$2:$Y$301, MATCH(ROUND(MIN(300,MAX(1,D1004)),0), FactorTable!$A$2:$A$301,0), Skills!M25+1)</f>
        <v/>
      </c>
      <c r="F1004">
        <f>IF(Skills!N25=TRUE,(Skills!L25/10)*(E1004/1000),Skills!L25/10)+Skills!O25</f>
        <v/>
      </c>
      <c r="G1004">
        <f>Skills!G25*IF(Skills!H25&gt;0,Skills!I25/Skills!H25,1)</f>
        <v/>
      </c>
      <c r="H1004">
        <f>1-(1-Skills!J25/100)^Skills!K25</f>
        <v/>
      </c>
      <c r="I1004" t="inlineStr">
        <is>
          <t>1</t>
        </is>
      </c>
      <c r="J1004" t="inlineStr"/>
      <c r="K1004" t="inlineStr"/>
      <c r="L1004" t="inlineStr"/>
      <c r="M1004" t="inlineStr"/>
      <c r="N1004" t="inlineStr"/>
      <c r="O1004" t="n">
        <v>0</v>
      </c>
      <c r="P1004">
        <f>IF(B1019=0,0,O1004/B1019)</f>
        <v/>
      </c>
      <c r="Q1004" t="n">
        <v>0</v>
      </c>
      <c r="R1004" t="n">
        <v>0</v>
      </c>
      <c r="S1004">
        <f>IFERROR(O1004/N1004,0)</f>
        <v/>
      </c>
    </row>
    <row r="1005">
      <c r="A1005">
        <f>Skills!A26</f>
        <v/>
      </c>
      <c r="B1005">
        <f>Skills!B26</f>
        <v/>
      </c>
      <c r="C1005">
        <f>Inputs!$B$3&gt;=125</f>
        <v/>
      </c>
      <c r="D1005">
        <f>IF(Skills!C26=1,60+Inputs!$B$24+Inputs!$B$28,IF(Skills!C26=2,90+Inputs!$B$25+Inputs!$B$28,IF(Skills!C26=3,120+Inputs!$B$26+Inputs!$B$28,MAX(0,(Inputs!$B$3-100)*3)+Inputs!$B$27+Inputs!$B$28)))</f>
        <v/>
      </c>
      <c r="E1005">
        <f>INDEX(FactorTable!$B$2:$Y$301, MATCH(ROUND(MIN(300,MAX(1,D1005)),0), FactorTable!$A$2:$A$301,0), Skills!M26+1)</f>
        <v/>
      </c>
      <c r="F1005">
        <f>IF(Skills!N26=TRUE,(Skills!L26/10)*(E1005/1000),Skills!L26/10)+Skills!O26</f>
        <v/>
      </c>
      <c r="G1005">
        <f>Skills!G26*IF(Skills!H26&gt;0,Skills!I26/Skills!H26,1)</f>
        <v/>
      </c>
      <c r="H1005">
        <f>1-(1-Skills!J26/100)^Skills!K26</f>
        <v/>
      </c>
      <c r="I1005" t="inlineStr">
        <is>
          <t>1</t>
        </is>
      </c>
      <c r="J1005" t="inlineStr"/>
      <c r="K1005" t="inlineStr"/>
      <c r="L1005" t="inlineStr"/>
      <c r="M1005" t="inlineStr"/>
      <c r="N1005" t="inlineStr"/>
      <c r="O1005" t="n">
        <v>0</v>
      </c>
      <c r="P1005">
        <f>IF(B1019=0,0,O1005/B1019)</f>
        <v/>
      </c>
      <c r="Q1005" t="n">
        <v>0</v>
      </c>
      <c r="R1005" t="n">
        <v>0</v>
      </c>
      <c r="S1005">
        <f>IFERROR(O1005/N1005,0)</f>
        <v/>
      </c>
    </row>
    <row r="1006">
      <c r="A1006">
        <f>Skills!A27</f>
        <v/>
      </c>
      <c r="B1006">
        <f>Skills!B27</f>
        <v/>
      </c>
      <c r="C1006">
        <f>Inputs!$B$3&gt;=120</f>
        <v/>
      </c>
      <c r="D1006">
        <f>IF(Skills!C27=1,60+Inputs!$B$24+Inputs!$B$28,IF(Skills!C27=2,90+Inputs!$B$25+Inputs!$B$28,IF(Skills!C27=3,120+Inputs!$B$26+Inputs!$B$28,MAX(0,(Inputs!$B$3-100)*3)+Inputs!$B$27+Inputs!$B$28)))</f>
        <v/>
      </c>
      <c r="E1006">
        <f>INDEX(FactorTable!$B$2:$Y$301, MATCH(ROUND(MIN(300,MAX(1,D1006)),0), FactorTable!$A$2:$A$301,0), Skills!M27+1)</f>
        <v/>
      </c>
      <c r="F1006">
        <f>IF(Skills!N27=TRUE,(Skills!L27/10)*(E1006/1000),Skills!L27/10)+Skills!O27</f>
        <v/>
      </c>
      <c r="G1006">
        <f>Skills!G27*IF(Skills!H27&gt;0,Skills!I27/Skills!H27,1)</f>
        <v/>
      </c>
      <c r="H1006">
        <f>1-(1-Skills!J27/100)^Skills!K27</f>
        <v/>
      </c>
      <c r="I1006" t="inlineStr">
        <is>
          <t>1</t>
        </is>
      </c>
      <c r="J1006" t="inlineStr"/>
      <c r="K1006" t="inlineStr"/>
      <c r="L1006" t="inlineStr"/>
      <c r="M1006" t="inlineStr"/>
      <c r="N1006" t="inlineStr"/>
      <c r="O1006" t="n">
        <v>0</v>
      </c>
      <c r="P1006">
        <f>IF(B1019=0,0,O1006/B1019)</f>
        <v/>
      </c>
      <c r="Q1006" t="n">
        <v>0</v>
      </c>
      <c r="R1006" t="n">
        <v>0</v>
      </c>
      <c r="S1006">
        <f>IFERROR(O1006/N1006,0)</f>
        <v/>
      </c>
    </row>
    <row r="1007">
      <c r="A1007">
        <f>Skills!A28</f>
        <v/>
      </c>
      <c r="B1007">
        <f>Skills!B28</f>
        <v/>
      </c>
      <c r="C1007">
        <f>Inputs!$B$3&gt;=120</f>
        <v/>
      </c>
      <c r="D1007">
        <f>IF(Skills!C28=1,60+Inputs!$B$24+Inputs!$B$28,IF(Skills!C28=2,90+Inputs!$B$25+Inputs!$B$28,IF(Skills!C28=3,120+Inputs!$B$26+Inputs!$B$28,MAX(0,(Inputs!$B$3-100)*3)+Inputs!$B$27+Inputs!$B$28)))</f>
        <v/>
      </c>
      <c r="E1007">
        <f>INDEX(FactorTable!$B$2:$Y$301, MATCH(ROUND(MIN(300,MAX(1,D1007)),0), FactorTable!$A$2:$A$301,0), Skills!M28+1)</f>
        <v/>
      </c>
      <c r="F1007">
        <f>IF(Skills!N28=TRUE,(Skills!L28/10)*(E1007/1000),Skills!L28/10)+Skills!O28</f>
        <v/>
      </c>
      <c r="G1007">
        <f>Skills!G28*IF(Skills!H28&gt;0,Skills!I28/Skills!H28,1)</f>
        <v/>
      </c>
      <c r="H1007">
        <f>1-(1-Skills!J28/100)^Skills!K28</f>
        <v/>
      </c>
      <c r="I1007" t="inlineStr">
        <is>
          <t>1</t>
        </is>
      </c>
      <c r="J1007" t="inlineStr"/>
      <c r="K1007" t="inlineStr"/>
      <c r="L1007" t="inlineStr"/>
      <c r="M1007" t="inlineStr"/>
      <c r="N1007" t="inlineStr"/>
      <c r="O1007" t="n">
        <v>0</v>
      </c>
      <c r="P1007">
        <f>IF(B1019=0,0,O1007/B1019)</f>
        <v/>
      </c>
      <c r="Q1007" t="n">
        <v>0</v>
      </c>
      <c r="R1007" t="n">
        <v>0</v>
      </c>
      <c r="S1007">
        <f>IFERROR(O1007/N1007,0)</f>
        <v/>
      </c>
    </row>
    <row r="1008">
      <c r="A1008">
        <f>Skills!A29</f>
        <v/>
      </c>
      <c r="B1008">
        <f>Skills!B29</f>
        <v/>
      </c>
      <c r="C1008">
        <f>Inputs!$B$3&gt;=45</f>
        <v/>
      </c>
      <c r="D1008">
        <f>IF(Skills!C29=1,60+Inputs!$B$24+Inputs!$B$28,IF(Skills!C29=2,90+Inputs!$B$25+Inputs!$B$28,IF(Skills!C29=3,120+Inputs!$B$26+Inputs!$B$28,MAX(0,(Inputs!$B$3-100)*3)+Inputs!$B$27+Inputs!$B$28)))</f>
        <v/>
      </c>
      <c r="E1008">
        <f>INDEX(FactorTable!$B$2:$Y$301, MATCH(ROUND(MIN(300,MAX(1,D1008)),0), FactorTable!$A$2:$A$301,0), Skills!M29+1)</f>
        <v/>
      </c>
      <c r="F1008">
        <f>IF(Skills!N29=TRUE,(Skills!L29/10)*(E1008/1000),Skills!L29/10)+Skills!O29</f>
        <v/>
      </c>
      <c r="G1008">
        <f>Skills!G29*IF(Skills!H29&gt;0,Skills!I29/Skills!H29,1)</f>
        <v/>
      </c>
      <c r="H1008">
        <f>1-(1-Skills!J29/100)^Skills!K29</f>
        <v/>
      </c>
      <c r="I1008" t="inlineStr">
        <is>
          <t>1</t>
        </is>
      </c>
      <c r="J1008" t="inlineStr"/>
      <c r="K1008" t="inlineStr"/>
      <c r="L1008" t="inlineStr"/>
      <c r="M1008" t="inlineStr"/>
      <c r="N1008" t="inlineStr"/>
      <c r="O1008" t="n">
        <v>0</v>
      </c>
      <c r="P1008">
        <f>IF(B1019=0,0,O1008/B1019)</f>
        <v/>
      </c>
      <c r="Q1008" t="n">
        <v>0</v>
      </c>
      <c r="R1008" t="n">
        <v>0</v>
      </c>
      <c r="S1008">
        <f>IFERROR(O1008/N1008,0)</f>
        <v/>
      </c>
    </row>
    <row r="1010">
      <c r="A1010" t="inlineStr">
        <is>
          <t>Attack% Bucket Multiplier</t>
        </is>
      </c>
      <c r="B1010">
        <f>(1+(((C992=TRUE)*F992)+((C993=TRUE)*IF(Inputs!$B$4="pvp",F993,(1-Summary!$B$55)*(F993)+Summary!$B$55*(0)))+((C994=TRUE)*F994*IF(AND(Inputs!$B$4&lt;&gt;"pvp",Inputs!$B$35&gt;0),(((S994-1)*(Skills!T15*(1+Inputs!$B$33/100))+MIN((Skills!T15*(1+Inputs!$B$33/100)),MAX(0,Inputs!$B$35-((S994-1)*Skills!D15))))/Inputs!$B$35),IF(Inputs!$B$4="pvp",MIN((Skills!T15*(1+Inputs!$B$33/100)),15)/15,(Skills!T15*(1+Inputs!$B$33/100))/Skills!D15)))+((C991=TRUE)*F991)+((C1008=TRUE)*(F1008-Calc!F29)))/100)</f>
        <v/>
      </c>
    </row>
    <row r="1011">
      <c r="A1011" t="inlineStr">
        <is>
          <t>Global Crit Rate Bonus %</t>
        </is>
      </c>
      <c r="B1011">
        <f>(C995=TRUE)*20*IF(AND(Inputs!$B$4&lt;&gt;"pvp",Inputs!$B$35&gt;0),(((S995-1)*(Skills!T16*(1+Inputs!$B$33/100))+MIN((Skills!T16*(1+Inputs!$B$33/100)),MAX(0,Inputs!$B$35-((S995-1)*Skills!D16))))/Inputs!$B$35),IF(Inputs!$B$4="pvp",MIN((Skills!T16*(1+Inputs!$B$33/100)),15)/15,(Skills!T16*(1+Inputs!$B$33/100))/Skills!D16))</f>
        <v/>
      </c>
    </row>
    <row r="1012">
      <c r="A1012" t="inlineStr">
        <is>
          <t>Attack Speed Buff Bonus %</t>
        </is>
      </c>
      <c r="B1012">
        <f>((C997=TRUE)*F997*IF(AND(Inputs!$B$4&lt;&gt;"pvp",Inputs!$B$35&gt;0),(((S997-1)*(Skills!T18*(1+Inputs!$B$33/100))+MIN((Skills!T18*(1+Inputs!$B$33/100)),MAX(0,Inputs!$B$35-((S997-1)*Skills!D18))))/Inputs!$B$35),IF(Inputs!$B$4="pvp",MIN((Skills!T18*(1+Inputs!$B$33/100)),15)/15,(Skills!T18*(1+Inputs!$B$33/100))/Skills!D18)))</f>
        <v/>
      </c>
    </row>
    <row r="1013">
      <c r="A1013" t="inlineStr">
        <is>
          <t>Actions Per Second</t>
        </is>
      </c>
      <c r="B1013">
        <f>1+MIN(150,150*(1-(1-(Inputs!$B$10+((C999=TRUE)*(F999-Calc!F20))+((C1000=TRUE)*(F1000-Calc!F21)))/150)*(1-B1012/150)))/100</f>
        <v/>
      </c>
    </row>
    <row r="1014">
      <c r="A1014" t="inlineStr">
        <is>
          <t>Skill + Buff Cast Rate</t>
        </is>
      </c>
      <c r="B1014">
        <f>IF(AND(Inputs!$B$4&lt;&gt;"pvp",Inputs!$B$35&gt;0),SUMPRODUCT((Skills!E2:E29=TRUE)*(C981:C1008=TRUE)*R981:R1008*Skills!F2:F29)/Inputs!$B$35,SUMPRODUCT((Skills!E2:E29=TRUE)*(C981:C1008=TRUE)*Q981:Q1008*Skills!F2:F29))</f>
        <v/>
      </c>
    </row>
    <row r="1015">
      <c r="A1015" t="inlineStr">
        <is>
          <t>Empowered Piercing Arrow Casts Per Second</t>
        </is>
      </c>
      <c r="B1015">
        <f>MAX(0,B1013-B1014)</f>
        <v/>
      </c>
    </row>
    <row r="1016">
      <c r="A1016" t="inlineStr">
        <is>
          <t>Global Critical Damage Bonus % (Sharp Eyes)</t>
        </is>
      </c>
      <c r="B1016">
        <f>(C995=TRUE)*F995*IF(AND(Inputs!$B$4&lt;&gt;"pvp",Inputs!$B$35&gt;0),(((S995-1)*(Skills!T16*(1+Inputs!$B$33/100))+MIN((Skills!T16*(1+Inputs!$B$33/100)),MAX(0,Inputs!$B$35-((S995-1)*Skills!D16))))/Inputs!$B$35),IF(Inputs!$B$4="pvp",MIN((Skills!T16*(1+Inputs!$B$33/100)),15)/15,(Skills!T16*(1+Inputs!$B$33/100))/Skills!D16))</f>
        <v/>
      </c>
    </row>
    <row r="1017">
      <c r="A1017" t="inlineStr">
        <is>
          <t>Global Final Damage Bonus % (Mortal Blow + Last Man Standing conditional half)</t>
        </is>
      </c>
      <c r="B1017">
        <f>(C996=TRUE)*F996+((C1005=TRUE)*IF(Inputs!$B$4="pvp",F1005,(1-Summary!$B$55)*(F1005)+Summary!$B$55*(0)))</f>
        <v/>
      </c>
    </row>
    <row r="1019">
      <c r="A1019" s="5" t="inlineStr">
        <is>
          <t>TOTAL DPS</t>
        </is>
      </c>
      <c r="B1019" s="5">
        <f>SUM(O981:O1008)</f>
        <v/>
      </c>
    </row>
    <row r="1022">
      <c r="A1022" s="5" t="inlineStr">
        <is>
          <t>Stat: Skill Cooldown Decrease (seconds)</t>
        </is>
      </c>
    </row>
    <row r="1023">
      <c r="A1023" s="8" t="inlineStr">
        <is>
          <t>Key</t>
        </is>
      </c>
      <c r="B1023" s="8" t="inlineStr">
        <is>
          <t>Name</t>
        </is>
      </c>
      <c r="C1023" s="8" t="inlineStr">
        <is>
          <t>Unlocked</t>
        </is>
      </c>
      <c r="D1023" s="8" t="inlineStr">
        <is>
          <t>InputLevel</t>
        </is>
      </c>
      <c r="E1023" s="8" t="inlineStr">
        <is>
          <t>Factor</t>
        </is>
      </c>
      <c r="F1023" s="8" t="inlineStr">
        <is>
          <t>CoefficientPercent</t>
        </is>
      </c>
      <c r="G1023" s="8" t="inlineStr">
        <is>
          <t>EffectiveHits</t>
        </is>
      </c>
      <c r="H1023" s="8" t="inlineStr">
        <is>
          <t>ProcProbability</t>
        </is>
      </c>
      <c r="I1023" s="8" t="inlineStr">
        <is>
          <t>MapleHeroMultiplier</t>
        </is>
      </c>
      <c r="J1023" s="8" t="inlineStr">
        <is>
          <t>BaseDamage</t>
        </is>
      </c>
      <c r="K1023" s="8" t="inlineStr">
        <is>
          <t>BaseHitDamage</t>
        </is>
      </c>
      <c r="L1023" s="8" t="inlineStr">
        <is>
          <t>NonCritAvg</t>
        </is>
      </c>
      <c r="M1023" s="8" t="inlineStr">
        <is>
          <t>CritAvg</t>
        </is>
      </c>
      <c r="N1023" s="8" t="inlineStr">
        <is>
          <t>ExpectedDamage(perHit)</t>
        </is>
      </c>
      <c r="O1023" s="8" t="inlineStr">
        <is>
          <t>DPS</t>
        </is>
      </c>
      <c r="P1023" s="8" t="inlineStr">
        <is>
          <t>% of Total</t>
        </is>
      </c>
      <c r="Q1023" s="8" t="inlineStr">
        <is>
          <t>InvCooldown</t>
        </is>
      </c>
      <c r="R1023" s="8" t="inlineStr">
        <is>
          <t>CastsInFight</t>
        </is>
      </c>
      <c r="S1023" s="8" t="inlineStr">
        <is>
          <t>HitRate(perSec)</t>
        </is>
      </c>
      <c r="U1023" t="inlineStr">
        <is>
          <t>helpers</t>
        </is>
      </c>
    </row>
    <row r="1024">
      <c r="A1024">
        <f>Skills!A2</f>
        <v/>
      </c>
      <c r="B1024">
        <f>Skills!B2</f>
        <v/>
      </c>
      <c r="C1024">
        <f>Inputs!$B$3&gt;=100</f>
        <v/>
      </c>
      <c r="D1024" t="inlineStr"/>
      <c r="E1024" t="inlineStr"/>
      <c r="F1024">
        <f>U1026+Skills!O2</f>
        <v/>
      </c>
      <c r="G1024">
        <f>Skills!G2*IF(Skills!H2&gt;0,Skills!I2/Skills!H2,1)</f>
        <v/>
      </c>
      <c r="H1024">
        <f>1-(1-Skills!J2/100)^Skills!K2</f>
        <v/>
      </c>
      <c r="I1024" t="inlineStr">
        <is>
          <t>1</t>
        </is>
      </c>
      <c r="J1024">
        <f>(Inputs!$B$5*(1+Inputs!$B$6/100))*(F1024/100)</f>
        <v/>
      </c>
      <c r="K1024">
        <f>J1024*(1+((Inputs!$B$11*(1+Inputs!$B$12/100))*0.01+Inputs!$B$13*0.0025)/100)*(1+Inputs!$B$14/100)*(1+IF(Inputs!$B$4="pvp",0,(1-Summary!$B$55)*(Inputs!$B$19+0+Skills!P2)+Summary!$B$55*(Inputs!$B$20+Skills!Q2))/100)*(1+Inputs!$B$15/100)*(5000/(6000+Inputs!$B$7*(1-(Inputs!$B$18+0)/100)))*(1+(Inputs!$B$23+((C1046=TRUE)*(F1046-Calc!F24))+((C1047=TRUE)*(F1047-Calc!F25))+B1060)/100)*(1+(IF(Skills!A2="EMPOWERED_PIERCING_ARROW",Inputs!$B$16+((C1044=TRUE)*(F1044-Calc!F22)),Inputs!$B$17+((C1049=TRUE)*(F1049-Calc!F27))))/100)*((1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I1024)</f>
        <v/>
      </c>
      <c r="L1024">
        <f>K1024*(MIN(Inputs!$B$21+((C1045=TRUE)*(F1045-Calc!F23)),Inputs!$B$22+((C1050=TRUE)*(F1050-Calc!F28)))/100+(Inputs!$B$22+((C1050=TRUE)*(F1050-Calc!F28)))/100)/2</f>
        <v/>
      </c>
      <c r="M1024">
        <f>L1024*(1+(Inputs!$B$9+0+B1059)/100)</f>
        <v/>
      </c>
      <c r="N1024">
        <f>L1024*(1-MIN((Inputs!$B$8+((C1041=TRUE)*(F1041-Calc!F19))+B1054),100)/100)+M1024*(MIN((Inputs!$B$8+((C1041=TRUE)*(F1041-Calc!F19))+B1054),100)/100)</f>
        <v/>
      </c>
      <c r="O1024">
        <f>IF(C1024,Skills!G2*N1024*B1058*IF(Inputs!$B$4="pvp",1,(1-Summary!$B$55)*(1)+Summary!$B$55*(MIN((6+Inputs!$B$32),Inputs!$B$37))),0)</f>
        <v/>
      </c>
      <c r="P1024">
        <f>IF(B1062=0,0,O1024/B1062)</f>
        <v/>
      </c>
      <c r="Q1024" t="n">
        <v>0</v>
      </c>
      <c r="R1024" t="n">
        <v>0</v>
      </c>
      <c r="S1024">
        <f>IFERROR(O1024/N1024,0)</f>
        <v/>
      </c>
      <c r="U1024">
        <f>MAX(0,(Inputs!$B$3-100)*3)+Inputs!$B$27+Inputs!$B$28</f>
        <v/>
      </c>
    </row>
    <row r="1025">
      <c r="A1025">
        <f>Skills!A3</f>
        <v/>
      </c>
      <c r="B1025">
        <f>Skills!B3</f>
        <v/>
      </c>
      <c r="C1025">
        <f>Inputs!$B$3&gt;=50</f>
        <v/>
      </c>
      <c r="D1025">
        <f>IF(Skills!C3=1,60+Inputs!$B$24+Inputs!$B$28,IF(Skills!C3=2,90+Inputs!$B$25+Inputs!$B$28,IF(Skills!C3=3,120+Inputs!$B$26+Inputs!$B$28,MAX(0,(Inputs!$B$3-100)*3)+Inputs!$B$27+Inputs!$B$28)))</f>
        <v/>
      </c>
      <c r="E1025">
        <f>INDEX(FactorTable!$B$2:$Y$301, MATCH(ROUND(MIN(300,MAX(1,D1025)),0), FactorTable!$A$2:$A$301,0), Skills!M3+1)</f>
        <v/>
      </c>
      <c r="F1025">
        <f>IF(Skills!N3=TRUE,(Skills!L3/10)*(E1025/1000),Skills!L3/10)+Skills!O3</f>
        <v/>
      </c>
      <c r="G1025" t="inlineStr"/>
      <c r="H1025" t="inlineStr"/>
      <c r="I1025" t="inlineStr">
        <is>
          <t>1</t>
        </is>
      </c>
      <c r="J1025" t="inlineStr"/>
      <c r="K1025" t="inlineStr"/>
      <c r="L1025" t="inlineStr"/>
      <c r="M1025" t="inlineStr"/>
      <c r="N1025" t="inlineStr"/>
      <c r="O1025" t="inlineStr"/>
      <c r="P1025" t="inlineStr"/>
      <c r="Q1025" t="inlineStr"/>
      <c r="R1025" t="inlineStr"/>
      <c r="S1025" t="inlineStr"/>
      <c r="U1025">
        <f>INDEX(FactorTable!$B$2:$Y$301, MATCH(ROUND(MIN(300,MAX(1,U1024)),0), FactorTable!$A$2:$A$301,0), 22)</f>
        <v/>
      </c>
    </row>
    <row r="1026">
      <c r="A1026">
        <f>Skills!A4</f>
        <v/>
      </c>
      <c r="B1026">
        <f>Skills!B4</f>
        <v/>
      </c>
      <c r="C1026">
        <f>Inputs!$B$3&gt;=105</f>
        <v/>
      </c>
      <c r="D1026">
        <f>IF(Skills!C4=1,60+Inputs!$B$24+Inputs!$B$28,IF(Skills!C4=2,90+Inputs!$B$25+Inputs!$B$28,IF(Skills!C4=3,120+Inputs!$B$26+Inputs!$B$28,MAX(0,(Inputs!$B$3-100)*3)+Inputs!$B$27+Inputs!$B$28)))</f>
        <v/>
      </c>
      <c r="E1026">
        <f>INDEX(FactorTable!$B$2:$Y$301, MATCH(ROUND(MIN(300,MAX(1,D1026)),0), FactorTable!$A$2:$A$301,0), Skills!M4+1)</f>
        <v/>
      </c>
      <c r="F1026">
        <f>IF(Skills!N4=TRUE,(Skills!L4/10)*(E1026/1000),Skills!L4/10)+Skills!O4</f>
        <v/>
      </c>
      <c r="G1026" t="inlineStr"/>
      <c r="H1026" t="inlineStr"/>
      <c r="I1026" t="inlineStr">
        <is>
          <t>1</t>
        </is>
      </c>
      <c r="J1026" t="inlineStr"/>
      <c r="K1026" t="inlineStr"/>
      <c r="L1026" t="inlineStr"/>
      <c r="M1026" t="inlineStr"/>
      <c r="N1026" t="inlineStr"/>
      <c r="O1026" t="inlineStr"/>
      <c r="P1026" t="inlineStr"/>
      <c r="Q1026" t="inlineStr"/>
      <c r="R1026" t="inlineStr"/>
      <c r="S1026" t="inlineStr"/>
      <c r="U1026">
        <f>290*U1025/1000</f>
        <v/>
      </c>
    </row>
    <row r="1027">
      <c r="A1027">
        <f>Skills!A5</f>
        <v/>
      </c>
      <c r="B1027">
        <f>Skills!B5</f>
        <v/>
      </c>
      <c r="C1027">
        <f>Inputs!$B$3&gt;=35</f>
        <v/>
      </c>
      <c r="D1027">
        <f>IF(Skills!C5=1,60+Inputs!$B$24+Inputs!$B$28,IF(Skills!C5=2,90+Inputs!$B$25+Inputs!$B$28,IF(Skills!C5=3,120+Inputs!$B$26+Inputs!$B$28,MAX(0,(Inputs!$B$3-100)*3)+Inputs!$B$27+Inputs!$B$28)))</f>
        <v/>
      </c>
      <c r="E1027">
        <f>INDEX(FactorTable!$B$2:$Y$301, MATCH(ROUND(MIN(300,MAX(1,D1027)),0), FactorTable!$A$2:$A$301,0), Skills!M5+1)</f>
        <v/>
      </c>
      <c r="F1027">
        <f>IF(Skills!N5=TRUE,(Skills!L5/10)*(E1027/1000),Skills!L5/10)+Skills!O5</f>
        <v/>
      </c>
      <c r="G1027">
        <f>Skills!G5*IF(Skills!H5&gt;0,Skills!I5/Skills!H5,1)</f>
        <v/>
      </c>
      <c r="H1027">
        <f>1-(1-Skills!J5/100)^Skills!K5</f>
        <v/>
      </c>
      <c r="I1027" t="inlineStr">
        <is>
          <t>1</t>
        </is>
      </c>
      <c r="J1027">
        <f>(Inputs!$B$5*(1+Inputs!$B$6/100))*(F1027/100)</f>
        <v/>
      </c>
      <c r="K1027">
        <f>J1027*(1+((Inputs!$B$11*(1+Inputs!$B$12/100))*0.01+Inputs!$B$13*0.0025)/100)*(1+Inputs!$B$14/100)*(1+IF(Inputs!$B$4="pvp",0,(1-Summary!$B$55)*(Inputs!$B$19+0+Skills!P5)+Summary!$B$55*(Inputs!$B$20+Skills!Q5))/100)*(1+Inputs!$B$15/100)*(5000/(6000+Inputs!$B$7*(1-(Inputs!$B$18+0)/100)))*(1+(Inputs!$B$23+((C1046=TRUE)*(F1046-Calc!F24))+((C1047=TRUE)*(F1047-Calc!F25))+B1060)/100)*(1+4.0*IF(C1030=TRUE,F1030,0)/100)*(1+(IF(Skills!A5="EMPOWERED_PIERCING_ARROW",Inputs!$B$16+((C1044=TRUE)*(F1044-Calc!F22)),Inputs!$B$17+((C1049=TRUE)*(F1049-Calc!F27))))/100)*((1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I1027)</f>
        <v/>
      </c>
      <c r="L1027">
        <f>K1027*(MIN(Inputs!$B$21+((C1045=TRUE)*(F1045-Calc!F23)),Inputs!$B$22+((C1050=TRUE)*(F1050-Calc!F28)))/100+(Inputs!$B$22+((C1050=TRUE)*(F1050-Calc!F28)))/100)/2</f>
        <v/>
      </c>
      <c r="M1027">
        <f>L1027*(1+(Inputs!$B$9+0+B1059)/100)</f>
        <v/>
      </c>
      <c r="N1027">
        <f>L1027*(1-MIN((Inputs!$B$8+((C1041=TRUE)*(F1041-Calc!F19))+B1054),100)/100)+M1027*(MIN((Inputs!$B$8+((C1041=TRUE)*(F1041-Calc!F19))+B1054),100)/100)</f>
        <v/>
      </c>
      <c r="O1027">
        <f>IF(C1027,H1027*N1027*IF(AND(Inputs!$B$4&lt;&gt;"pvp",Inputs!$B$35&gt;0),((Skills!G5*((R1027-1)*IF(Skills!H5&gt;0,Skills!I5/Skills!H5,1)+IF(Skills!H5&gt;0,MIN(Skills!I5,MAX(0,Inputs!$B$35-((R1027-1)*IF(Inputs!$B$4="pvp",15,MAX(0.1,Skills!D5-IF(Skills!E5=TRUE,(Inputs!$B$31+1),0))))))/Skills!H5,1)))/Inputs!$B$35),G1027*Q1027)*IF(Inputs!$B$4="pvp",1,(1-Summary!$B$55)*(1)+Summary!$B$55*(MIN(Skills!R5,Inputs!$B$37))),0)</f>
        <v/>
      </c>
      <c r="P1027">
        <f>IF(B1062=0,0,O1027/B1062)</f>
        <v/>
      </c>
      <c r="Q1027">
        <f>IFERROR(1/IF(Inputs!$B$4="pvp",15,MAX(0.1,Skills!D5-IF(Skills!E5=TRUE,(Inputs!$B$31+1),0))),0)</f>
        <v/>
      </c>
      <c r="R1027">
        <f>IF(AND(Inputs!$B$4&lt;&gt;"pvp",Inputs!$B$35&gt;0),(INT(Inputs!$B$35/IF(Inputs!$B$4="pvp",15,MAX(0.1,Skills!D5-IF(Skills!E5=TRUE,(Inputs!$B$31+1),0))))+1),0)</f>
        <v/>
      </c>
      <c r="S1027">
        <f>IFERROR(O1027/N1027,0)</f>
        <v/>
      </c>
    </row>
    <row r="1028">
      <c r="A1028">
        <f>Skills!A6</f>
        <v/>
      </c>
      <c r="B1028">
        <f>Skills!B6</f>
        <v/>
      </c>
      <c r="C1028">
        <f>Inputs!$B$3&gt;=63</f>
        <v/>
      </c>
      <c r="D1028">
        <f>IF(Skills!C6=1,60+Inputs!$B$24+Inputs!$B$28,IF(Skills!C6=2,90+Inputs!$B$25+Inputs!$B$28,IF(Skills!C6=3,120+Inputs!$B$26+Inputs!$B$28,MAX(0,(Inputs!$B$3-100)*3)+Inputs!$B$27+Inputs!$B$28)))</f>
        <v/>
      </c>
      <c r="E1028">
        <f>INDEX(FactorTable!$B$2:$Y$301, MATCH(ROUND(MIN(300,MAX(1,D1028)),0), FactorTable!$A$2:$A$301,0), Skills!M6+1)</f>
        <v/>
      </c>
      <c r="F1028">
        <f>IF(Skills!N6=TRUE,(Skills!L6/10)*(E1028/1000),Skills!L6/10)+Skills!O6</f>
        <v/>
      </c>
      <c r="G1028">
        <f>Skills!G6*IF(Skills!H6&gt;0,Skills!I6/Skills!H6,1)</f>
        <v/>
      </c>
      <c r="H1028">
        <f>1-(1-Skills!J6/100)^Skills!K6</f>
        <v/>
      </c>
      <c r="I1028" t="inlineStr">
        <is>
          <t>1</t>
        </is>
      </c>
      <c r="J1028">
        <f>(Inputs!$B$5*(1+Inputs!$B$6/100))*(F1028/100)</f>
        <v/>
      </c>
      <c r="K1028">
        <f>J1028*(1+((Inputs!$B$11*(1+Inputs!$B$12/100))*0.01+Inputs!$B$13*0.0025)/100)*(1+Inputs!$B$14/100)*(1+IF(Inputs!$B$4="pvp",0,(1-Summary!$B$55)*(Inputs!$B$19+0+Skills!P6)+Summary!$B$55*(Inputs!$B$20+Skills!Q6))/100)*(1+Inputs!$B$15/100)*(5000/(6000+Inputs!$B$7*(1-(Inputs!$B$18+0)/100)))*(1+(Inputs!$B$23+((C1046=TRUE)*(F1046-Calc!F24))+((C1047=TRUE)*(F1047-Calc!F25))+B1060)/100)*(1+1.0*IF(C1030=TRUE,F1030,0)/100)*(1+(IF(Skills!A6="EMPOWERED_PIERCING_ARROW",Inputs!$B$16+((C1044=TRUE)*(F1044-Calc!F22)),Inputs!$B$17+((C1049=TRUE)*(F1049-Calc!F27))))/100)*((1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I1028)</f>
        <v/>
      </c>
      <c r="L1028">
        <f>K1028*(MIN(Inputs!$B$21+((C1045=TRUE)*(F1045-Calc!F23)),Inputs!$B$22+((C1050=TRUE)*(F1050-Calc!F28)))/100+(Inputs!$B$22+((C1050=TRUE)*(F1050-Calc!F28)))/100)/2</f>
        <v/>
      </c>
      <c r="M1028">
        <f>L1028*(1+(Inputs!$B$9+0+B1059)/100)</f>
        <v/>
      </c>
      <c r="N1028">
        <f>L1028*(1-MIN((Inputs!$B$8+((C1041=TRUE)*(F1041-Calc!F19))+B1054),100)/100)+M1028*(MIN((Inputs!$B$8+((C1041=TRUE)*(F1041-Calc!F19))+B1054),100)/100)</f>
        <v/>
      </c>
      <c r="O1028">
        <f>IF(C1028,H1028*N1028*IF(AND(Inputs!$B$4&lt;&gt;"pvp",Inputs!$B$35&gt;0),((Skills!G6*((R1028-1)*IF(Skills!H6&gt;0,Skills!I6/Skills!H6,1)+IF(Skills!H6&gt;0,MIN(Skills!I6,MAX(0,Inputs!$B$35-((R1028-1)*IF(Inputs!$B$4="pvp",15,MAX(0.1,Skills!D6-IF(Skills!E6=TRUE,(Inputs!$B$31+1),0))))))/Skills!H6,1)))/Inputs!$B$35),G1028*Q1028)*IF(Inputs!$B$4="pvp",1,(1-Summary!$B$55)*(1)+Summary!$B$55*(MIN(Skills!R6,Inputs!$B$37))),0)</f>
        <v/>
      </c>
      <c r="P1028">
        <f>IF(B1062=0,0,O1028/B1062)</f>
        <v/>
      </c>
      <c r="Q1028">
        <f>IFERROR(1/IF(Inputs!$B$4="pvp",15,MAX(0.1,Skills!D6-IF(Skills!E6=TRUE,(Inputs!$B$31+1),0))),0)</f>
        <v/>
      </c>
      <c r="R1028">
        <f>IF(AND(Inputs!$B$4&lt;&gt;"pvp",Inputs!$B$35&gt;0),(INT(Inputs!$B$35/IF(Inputs!$B$4="pvp",15,MAX(0.1,Skills!D6-IF(Skills!E6=TRUE,(Inputs!$B$31+1),0))))+1),0)</f>
        <v/>
      </c>
      <c r="S1028">
        <f>IFERROR(O1028/N1028,0)</f>
        <v/>
      </c>
    </row>
    <row r="1029">
      <c r="A1029">
        <f>Skills!A7</f>
        <v/>
      </c>
      <c r="B1029">
        <f>Skills!B7</f>
        <v/>
      </c>
      <c r="C1029">
        <f>Inputs!$B$3&gt;=69</f>
        <v/>
      </c>
      <c r="D1029">
        <f>IF(Skills!C7=1,60+Inputs!$B$24+Inputs!$B$28,IF(Skills!C7=2,90+Inputs!$B$25+Inputs!$B$28,IF(Skills!C7=3,120+Inputs!$B$26+Inputs!$B$28,MAX(0,(Inputs!$B$3-100)*3)+Inputs!$B$27+Inputs!$B$28)))</f>
        <v/>
      </c>
      <c r="E1029">
        <f>INDEX(FactorTable!$B$2:$Y$301, MATCH(ROUND(MIN(300,MAX(1,D1029)),0), FactorTable!$A$2:$A$301,0), Skills!M7+1)</f>
        <v/>
      </c>
      <c r="F1029">
        <f>IF(Skills!N7=TRUE,(Skills!L7/10)*(E1029/1000),Skills!L7/10)+Skills!O7</f>
        <v/>
      </c>
      <c r="G1029">
        <f>Skills!G7*IF(Skills!H7&gt;0,Skills!I7/Skills!H7,1)</f>
        <v/>
      </c>
      <c r="H1029">
        <f>1-(1-Skills!J7/100)^Skills!K7</f>
        <v/>
      </c>
      <c r="I1029" t="inlineStr">
        <is>
          <t>1</t>
        </is>
      </c>
      <c r="J1029">
        <f>(Inputs!$B$5*(1+Inputs!$B$6/100))*(F1029/100)</f>
        <v/>
      </c>
      <c r="K1029">
        <f>J1029*(1+((Inputs!$B$11*(1+Inputs!$B$12/100))*0.01+Inputs!$B$13*0.0025)/100)*(1+Inputs!$B$14/100)*(1+IF(Inputs!$B$4="pvp",0,(1-Summary!$B$55)*(Inputs!$B$19+0+Skills!P7)+Summary!$B$55*(Inputs!$B$20+Skills!Q7))/100)*(1+Inputs!$B$15/100)*(5000/(6000+Inputs!$B$7*(1-(Inputs!$B$18+0)/100)))*(1+(Inputs!$B$23+((C1046=TRUE)*(F1046-Calc!F24))+((C1047=TRUE)*(F1047-Calc!F25))+B1060)/100)*(1+1.2*IF(C1030=TRUE,F1030,0)/100)*(1+(IF(Skills!A7="EMPOWERED_PIERCING_ARROW",Inputs!$B$16+((C1044=TRUE)*(F1044-Calc!F22)),Inputs!$B$17+((C1049=TRUE)*(F1049-Calc!F27))))/100)*((1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I1029)</f>
        <v/>
      </c>
      <c r="L1029">
        <f>K1029*(MIN(Inputs!$B$21+((C1045=TRUE)*(F1045-Calc!F23)),Inputs!$B$22+((C1050=TRUE)*(F1050-Calc!F28)))/100+(Inputs!$B$22+((C1050=TRUE)*(F1050-Calc!F28)))/100)/2</f>
        <v/>
      </c>
      <c r="M1029">
        <f>L1029*(1+(Inputs!$B$9+0+B1059)/100)</f>
        <v/>
      </c>
      <c r="N1029">
        <f>L1029*(1-MIN((Inputs!$B$8+((C1041=TRUE)*(F1041-Calc!F19))+B1054),100)/100)+M1029*(MIN((Inputs!$B$8+((C1041=TRUE)*(F1041-Calc!F19))+B1054),100)/100)</f>
        <v/>
      </c>
      <c r="O1029">
        <f>IF(C1029,H1029*N1029*IF(AND(Inputs!$B$4&lt;&gt;"pvp",Inputs!$B$35&gt;0),((Skills!G7*((R1029-1)*IF(Skills!H7&gt;0,Skills!I7/Skills!H7,1)+IF(Skills!H7&gt;0,MIN(Skills!I7,MAX(0,Inputs!$B$35-((R1029-1)*IF(Inputs!$B$4="pvp",15,MAX(0.1,Skills!D7-IF(Skills!E7=TRUE,(Inputs!$B$31+1),0))))))/Skills!H7,1)))/Inputs!$B$35),G1029*Q1029)*IF(Inputs!$B$4="pvp",1,(1-Summary!$B$55)*(1)+Summary!$B$55*(MIN(Skills!R7,Inputs!$B$37))),0)</f>
        <v/>
      </c>
      <c r="P1029">
        <f>IF(B1062=0,0,O1029/B1062)</f>
        <v/>
      </c>
      <c r="Q1029">
        <f>IFERROR(1/IF(Inputs!$B$4="pvp",15,MAX(0.1,Skills!D7-IF(Skills!E7=TRUE,(Inputs!$B$31+1),0))),0)</f>
        <v/>
      </c>
      <c r="R1029">
        <f>IF(AND(Inputs!$B$4&lt;&gt;"pvp",Inputs!$B$35&gt;0),(INT(Inputs!$B$35/IF(Inputs!$B$4="pvp",15,MAX(0.1,Skills!D7-IF(Skills!E7=TRUE,(Inputs!$B$31+1),0))))+1),0)</f>
        <v/>
      </c>
      <c r="S1029">
        <f>IFERROR(O1029/N1029,0)</f>
        <v/>
      </c>
    </row>
    <row r="1030">
      <c r="A1030">
        <f>Skills!A8</f>
        <v/>
      </c>
      <c r="B1030">
        <f>Skills!B8</f>
        <v/>
      </c>
      <c r="C1030">
        <f>Inputs!$B$3&gt;=100</f>
        <v/>
      </c>
      <c r="D1030">
        <f>IF(Skills!C8=1,60+Inputs!$B$24+Inputs!$B$28,IF(Skills!C8=2,90+Inputs!$B$25+Inputs!$B$28,IF(Skills!C8=3,120+Inputs!$B$26+Inputs!$B$28,MAX(0,(Inputs!$B$3-100)*3)+Inputs!$B$27+Inputs!$B$28)))</f>
        <v/>
      </c>
      <c r="E1030">
        <f>INDEX(FactorTable!$B$2:$Y$301, MATCH(ROUND(MIN(300,MAX(1,D1030)),0), FactorTable!$A$2:$A$301,0), Skills!M8+1)</f>
        <v/>
      </c>
      <c r="F1030">
        <f>IF(Skills!N8=TRUE,(Skills!L8/10)*(E1030/1000),Skills!L8/10)+Skills!O8</f>
        <v/>
      </c>
      <c r="G1030" t="inlineStr"/>
      <c r="H1030" t="inlineStr"/>
      <c r="I1030" t="inlineStr">
        <is>
          <t>1</t>
        </is>
      </c>
      <c r="J1030" t="inlineStr"/>
      <c r="K1030" t="inlineStr"/>
      <c r="L1030" t="inlineStr"/>
      <c r="M1030" t="inlineStr"/>
      <c r="N1030" t="inlineStr"/>
      <c r="O1030" t="inlineStr"/>
      <c r="P1030" t="inlineStr"/>
      <c r="Q1030" t="inlineStr"/>
      <c r="R1030" t="inlineStr"/>
      <c r="S1030" t="inlineStr"/>
    </row>
    <row r="1031">
      <c r="A1031">
        <f>Skills!A9</f>
        <v/>
      </c>
      <c r="B1031">
        <f>Skills!B9</f>
        <v/>
      </c>
      <c r="C1031">
        <f>Inputs!$B$3&gt;=103</f>
        <v/>
      </c>
      <c r="D1031">
        <f>IF(Skills!C9=1,60+Inputs!$B$24+Inputs!$B$28,IF(Skills!C9=2,90+Inputs!$B$25+Inputs!$B$28,IF(Skills!C9=3,120+Inputs!$B$26+Inputs!$B$28,MAX(0,(Inputs!$B$3-100)*3)+Inputs!$B$27+Inputs!$B$28)))</f>
        <v/>
      </c>
      <c r="E1031">
        <f>INDEX(FactorTable!$B$2:$Y$301, MATCH(ROUND(MIN(300,MAX(1,D1031)),0), FactorTable!$A$2:$A$301,0), Skills!M9+1)</f>
        <v/>
      </c>
      <c r="F1031">
        <f>IF(Skills!N9=TRUE,(Skills!L9/10)*(E1031/1000),Skills!L9/10)+Skills!O9</f>
        <v/>
      </c>
      <c r="G1031">
        <f>Skills!G9*IF(Skills!H9&gt;0,Skills!I9/Skills!H9,1)</f>
        <v/>
      </c>
      <c r="H1031">
        <f>1-(1-Skills!J9/100)^Skills!K9</f>
        <v/>
      </c>
      <c r="I1031" t="inlineStr">
        <is>
          <t>1</t>
        </is>
      </c>
      <c r="J1031">
        <f>(Inputs!$B$5*(1+Inputs!$B$6/100))*(F1031/100)</f>
        <v/>
      </c>
      <c r="K1031">
        <f>J1031*(1+((Inputs!$B$11*(1+Inputs!$B$12/100))*0.01+Inputs!$B$13*0.0025)/100)*(1+Inputs!$B$14/100)*(1+IF(Inputs!$B$4="pvp",0,(1-Summary!$B$55)*(Inputs!$B$19+0+Skills!P9)+Summary!$B$55*(Inputs!$B$20+Skills!Q9))/100)*(1+Inputs!$B$15/100)*(5000/(6000+Inputs!$B$7*(1-(Inputs!$B$18+0)/100)))*(1+(Inputs!$B$23+((C1046=TRUE)*(F1046-Calc!F24))+((C1047=TRUE)*(F1047-Calc!F25))+B1060)/100)*(1+(IF(Skills!A9="EMPOWERED_PIERCING_ARROW",Inputs!$B$16+((C1044=TRUE)*(F1044-Calc!F22)),Inputs!$B$17+((C1049=TRUE)*(F1049-Calc!F27))))/100)*((1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I1031)</f>
        <v/>
      </c>
      <c r="L1031">
        <f>K1031*(MIN(Inputs!$B$21+((C1045=TRUE)*(F1045-Calc!F23)),Inputs!$B$22+((C1050=TRUE)*(F1050-Calc!F28)))/100+(Inputs!$B$22+((C1050=TRUE)*(F1050-Calc!F28)))/100)/2</f>
        <v/>
      </c>
      <c r="M1031">
        <f>L1031*(1+(Inputs!$B$9+0+B1059)/100)</f>
        <v/>
      </c>
      <c r="N1031">
        <f>L1031*(1-MIN((Inputs!$B$8+((C1041=TRUE)*(F1041-Calc!F19))+B1054),100)/100)+M1031*(MIN((Inputs!$B$8+((C1041=TRUE)*(F1041-Calc!F19))+B1054),100)/100)</f>
        <v/>
      </c>
      <c r="O1031">
        <f>IF(C1031,H1031*N1031*IF(AND(Inputs!$B$4&lt;&gt;"pvp",Inputs!$B$35&gt;0),((Skills!G9*((R1031-1)*IF(Skills!H9&gt;0,Skills!I9/Skills!H9,1)+IF(Skills!H9&gt;0,MIN(Skills!I9,MAX(0,Inputs!$B$35-((R1031-1)*IF(Inputs!$B$4="pvp",15,MAX(0.1,Skills!D9-IF(Skills!E9=TRUE,(Inputs!$B$31+1),0))))))/Skills!H9,1)))/Inputs!$B$35),G1031*Q1031)*IF(Inputs!$B$4="pvp",1,(1-Summary!$B$55)*(1)+Summary!$B$55*(MIN(Skills!R9,Inputs!$B$37))),0)</f>
        <v/>
      </c>
      <c r="P1031">
        <f>IF(B1062=0,0,O1031/B1062)</f>
        <v/>
      </c>
      <c r="Q1031">
        <f>IFERROR(1/IF(Inputs!$B$4="pvp",15,MAX(0.1,Skills!D9-IF(Skills!E9=TRUE,(Inputs!$B$31+1),0))),0)</f>
        <v/>
      </c>
      <c r="R1031">
        <f>IF(AND(Inputs!$B$4&lt;&gt;"pvp",Inputs!$B$35&gt;0),(INT(Inputs!$B$35/IF(Inputs!$B$4="pvp",15,MAX(0.1,Skills!D9-IF(Skills!E9=TRUE,(Inputs!$B$31+1),0))))+1),0)</f>
        <v/>
      </c>
      <c r="S1031">
        <f>IFERROR(O1031/N1031,0)</f>
        <v/>
      </c>
    </row>
    <row r="1032">
      <c r="A1032">
        <f>Skills!A10</f>
        <v/>
      </c>
      <c r="B1032">
        <f>Skills!B10</f>
        <v/>
      </c>
      <c r="C1032">
        <f>Inputs!$B$3&gt;=107</f>
        <v/>
      </c>
      <c r="D1032">
        <f>IF(Skills!C10=1,60+Inputs!$B$24+Inputs!$B$28,IF(Skills!C10=2,90+Inputs!$B$25+Inputs!$B$28,IF(Skills!C10=3,120+Inputs!$B$26+Inputs!$B$28,MAX(0,(Inputs!$B$3-100)*3)+Inputs!$B$27+Inputs!$B$28)))</f>
        <v/>
      </c>
      <c r="E1032">
        <f>INDEX(FactorTable!$B$2:$Y$301, MATCH(ROUND(MIN(300,MAX(1,D1032)),0), FactorTable!$A$2:$A$301,0), Skills!M10+1)</f>
        <v/>
      </c>
      <c r="F1032">
        <f>IF(Skills!N10=TRUE,(Skills!L10/10)*(E1032/1000),Skills!L10/10)+Skills!O10</f>
        <v/>
      </c>
      <c r="G1032">
        <f>Skills!G10*IF(Skills!H10&gt;0,Skills!I10/Skills!H10,1)</f>
        <v/>
      </c>
      <c r="H1032">
        <f>1-(1-Skills!J10/100)^Skills!K10</f>
        <v/>
      </c>
      <c r="I1032" t="inlineStr">
        <is>
          <t>1</t>
        </is>
      </c>
      <c r="J1032">
        <f>(Inputs!$B$5*(1+Inputs!$B$6/100))*(F1032/100)</f>
        <v/>
      </c>
      <c r="K1032">
        <f>J1032*(1+((Inputs!$B$11*(1+Inputs!$B$12/100))*0.01+Inputs!$B$13*0.0025)/100)*(1+Inputs!$B$14/100)*(1+IF(Inputs!$B$4="pvp",0,(1-Summary!$B$55)*(Inputs!$B$19+0+Skills!P10)+Summary!$B$55*(Inputs!$B$20+Skills!Q10))/100)*(1+Inputs!$B$15/100)*(5000/(6000+Inputs!$B$7*(1-(Inputs!$B$18+0)/100)))*(1+(Inputs!$B$23+((C1046=TRUE)*(F1046-Calc!F24))+((C1047=TRUE)*(F1047-Calc!F25))+B1060)/100)*(1+(IF(Skills!A10="EMPOWERED_PIERCING_ARROW",Inputs!$B$16+((C1044=TRUE)*(F1044-Calc!F22)),Inputs!$B$17+((C1049=TRUE)*(F1049-Calc!F27))))/100)*((1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I1032)</f>
        <v/>
      </c>
      <c r="L1032">
        <f>K1032*(MIN(Inputs!$B$21+((C1045=TRUE)*(F1045-Calc!F23)),Inputs!$B$22+((C1050=TRUE)*(F1050-Calc!F28)))/100+(Inputs!$B$22+((C1050=TRUE)*(F1050-Calc!F28)))/100)/2</f>
        <v/>
      </c>
      <c r="M1032">
        <f>L1032*(1+(Inputs!$B$9+0+B1059)/100)</f>
        <v/>
      </c>
      <c r="N1032">
        <f>L1032*(1-MIN((Inputs!$B$8+((C1041=TRUE)*(F1041-Calc!F19))+B1054),100)/100)+M1032*(MIN((Inputs!$B$8+((C1041=TRUE)*(F1041-Calc!F19))+B1054),100)/100)</f>
        <v/>
      </c>
      <c r="O1032">
        <f>IF(C1032,0.15*SUMPRODUCT((Skills!U2:U29=TRUE)*(C1024:C1051=TRUE)*S1024:S1051)*Skills!G10*N1032*IF(Inputs!$B$4="pvp",1,(1-Summary!$B$55)*(1)+Summary!$B$55*(MIN(Skills!R10,Inputs!$B$37))),0)</f>
        <v/>
      </c>
      <c r="P1032">
        <f>IF(B1062=0,0,O1032/B1062)</f>
        <v/>
      </c>
      <c r="Q1032" t="n">
        <v>0</v>
      </c>
      <c r="R1032" t="n">
        <v>0</v>
      </c>
      <c r="S1032" t="n">
        <v>0</v>
      </c>
    </row>
    <row r="1033">
      <c r="A1033">
        <f>Skills!A11</f>
        <v/>
      </c>
      <c r="B1033">
        <f>Skills!B11</f>
        <v/>
      </c>
      <c r="C1033">
        <f>Inputs!$B$3&gt;=110</f>
        <v/>
      </c>
      <c r="D1033">
        <f>IF(Skills!C11=1,60+Inputs!$B$24+Inputs!$B$28,IF(Skills!C11=2,90+Inputs!$B$25+Inputs!$B$28,IF(Skills!C11=3,120+Inputs!$B$26+Inputs!$B$28,MAX(0,(Inputs!$B$3-100)*3)+Inputs!$B$27+Inputs!$B$28)))</f>
        <v/>
      </c>
      <c r="E1033">
        <f>INDEX(FactorTable!$B$2:$Y$301, MATCH(ROUND(MIN(300,MAX(1,D1033)),0), FactorTable!$A$2:$A$301,0), Skills!M11+1)</f>
        <v/>
      </c>
      <c r="F1033">
        <f>IF(Skills!N11=TRUE,(Skills!L11/10)*(E1033/1000),Skills!L11/10)+Skills!O11</f>
        <v/>
      </c>
      <c r="G1033">
        <f>Skills!G11*IF(Skills!H11&gt;0,Skills!I11/Skills!H11,1)</f>
        <v/>
      </c>
      <c r="H1033">
        <f>1-(1-Skills!J11/100)^Skills!K11</f>
        <v/>
      </c>
      <c r="I1033" t="inlineStr">
        <is>
          <t>1</t>
        </is>
      </c>
      <c r="J1033">
        <f>(Inputs!$B$5*(1+Inputs!$B$6/100))*(F1033/100)</f>
        <v/>
      </c>
      <c r="K1033">
        <f>J1033*(1+((Inputs!$B$11*(1+Inputs!$B$12/100))*0.01+Inputs!$B$13*0.0025)/100)*(1+Inputs!$B$14/100)*(1+IF(Inputs!$B$4="pvp",0,(1-Summary!$B$55)*(Inputs!$B$19+0+Skills!P11)+Summary!$B$55*(Inputs!$B$20+Skills!Q11))/100)*(1+Inputs!$B$15/100)*(5000/(6000+Inputs!$B$7*(1-(Inputs!$B$18+0)/100)))*(1+(Inputs!$B$23+((C1046=TRUE)*(F1046-Calc!F24))+((C1047=TRUE)*(F1047-Calc!F25))+B1060)/100)*(1+(IF(Skills!A11="EMPOWERED_PIERCING_ARROW",Inputs!$B$16+((C1044=TRUE)*(F1044-Calc!F22)),Inputs!$B$17+((C1049=TRUE)*(F1049-Calc!F27))))/100)*((1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I1033)</f>
        <v/>
      </c>
      <c r="L1033">
        <f>K1033*(MIN(Inputs!$B$21+((C1045=TRUE)*(F1045-Calc!F23)),Inputs!$B$22+((C1050=TRUE)*(F1050-Calc!F28)))/100+(Inputs!$B$22+((C1050=TRUE)*(F1050-Calc!F28)))/100)/2</f>
        <v/>
      </c>
      <c r="M1033">
        <f>L1033*(1+(Inputs!$B$9+0+B1059)/100)</f>
        <v/>
      </c>
      <c r="N1033">
        <f>L1033*(1-MIN((Inputs!$B$8+((C1041=TRUE)*(F1041-Calc!F19))+B1054),100)/100)+M1033*(MIN((Inputs!$B$8+((C1041=TRUE)*(F1041-Calc!F19))+B1054),100)/100)</f>
        <v/>
      </c>
      <c r="O1033">
        <f>IF(C1033,H1033*N1033*IF(AND(Inputs!$B$4&lt;&gt;"pvp",Inputs!$B$35&gt;0),((Skills!G11*((R1033-1)*IF(Skills!H11&gt;0,Skills!I11/Skills!H11,1)+IF(Skills!H11&gt;0,MIN(Skills!I11,MAX(0,Inputs!$B$35-((R1033-1)*IF(Inputs!$B$4="pvp",15,MAX(0.1,Skills!D11-IF(Skills!E11=TRUE,(Inputs!$B$31+1),0))))))/Skills!H11,1)))/Inputs!$B$35),G1033*Q1033)*IF(Inputs!$B$4="pvp",1,(1-Summary!$B$55)*(1)+Summary!$B$55*(MIN(Skills!R11,Inputs!$B$37))),0)</f>
        <v/>
      </c>
      <c r="P1033">
        <f>IF(B1062=0,0,O1033/B1062)</f>
        <v/>
      </c>
      <c r="Q1033">
        <f>IFERROR(1/IF(Inputs!$B$4="pvp",15,MAX(0.1,Skills!D11-IF(Skills!E11=TRUE,(Inputs!$B$31+1),0))),0)</f>
        <v/>
      </c>
      <c r="R1033">
        <f>IF(AND(Inputs!$B$4&lt;&gt;"pvp",Inputs!$B$35&gt;0),(INT(Inputs!$B$35/IF(Inputs!$B$4="pvp",15,MAX(0.1,Skills!D11-IF(Skills!E11=TRUE,(Inputs!$B$31+1),0))))+1),0)</f>
        <v/>
      </c>
      <c r="S1033">
        <f>IFERROR(O1033/N1033,0)</f>
        <v/>
      </c>
    </row>
    <row r="1034">
      <c r="A1034">
        <f>Skills!A12</f>
        <v/>
      </c>
      <c r="B1034">
        <f>Skills!B12</f>
        <v/>
      </c>
      <c r="C1034">
        <f>Inputs!$B$3&gt;=60</f>
        <v/>
      </c>
      <c r="D1034">
        <f>IF(Skills!C12=1,60+Inputs!$B$24+Inputs!$B$28,IF(Skills!C12=2,90+Inputs!$B$25+Inputs!$B$28,IF(Skills!C12=3,120+Inputs!$B$26+Inputs!$B$28,MAX(0,(Inputs!$B$3-100)*3)+Inputs!$B$27+Inputs!$B$28)))</f>
        <v/>
      </c>
      <c r="E1034">
        <f>INDEX(FactorTable!$B$2:$Y$301, MATCH(ROUND(MIN(300,MAX(1,D1034)),0), FactorTable!$A$2:$A$301,0), Skills!M12+1)</f>
        <v/>
      </c>
      <c r="F1034">
        <f>IF(Skills!N12=TRUE,(Skills!L12/10)*(E1034/1000),Skills!L12/10)+Skills!O12</f>
        <v/>
      </c>
      <c r="G1034">
        <f>Skills!G12*IF(Skills!H12&gt;0,Skills!I12/Skills!H12,1)</f>
        <v/>
      </c>
      <c r="H1034">
        <f>1-(1-Skills!J12/100)^Skills!K12</f>
        <v/>
      </c>
      <c r="I1034" t="inlineStr">
        <is>
          <t>1</t>
        </is>
      </c>
      <c r="J1034" t="inlineStr"/>
      <c r="K1034" t="inlineStr"/>
      <c r="L1034" t="inlineStr"/>
      <c r="M1034" t="inlineStr"/>
      <c r="N1034" t="inlineStr"/>
      <c r="O1034" t="n">
        <v>0</v>
      </c>
      <c r="P1034">
        <f>IF(B1062=0,0,O1034/B1062)</f>
        <v/>
      </c>
      <c r="Q1034" t="n">
        <v>0</v>
      </c>
      <c r="R1034" t="n">
        <v>0</v>
      </c>
      <c r="S1034">
        <f>IFERROR(O1034/N1034,0)</f>
        <v/>
      </c>
    </row>
    <row r="1035">
      <c r="A1035">
        <f>Skills!A13</f>
        <v/>
      </c>
      <c r="B1035">
        <f>Skills!B13</f>
        <v/>
      </c>
      <c r="C1035">
        <f>Inputs!$B$3&gt;=74</f>
        <v/>
      </c>
      <c r="D1035">
        <f>IF(Skills!C13=1,60+Inputs!$B$24+Inputs!$B$28,IF(Skills!C13=2,90+Inputs!$B$25+Inputs!$B$28,IF(Skills!C13=3,120+Inputs!$B$26+Inputs!$B$28,MAX(0,(Inputs!$B$3-100)*3)+Inputs!$B$27+Inputs!$B$28)))</f>
        <v/>
      </c>
      <c r="E1035">
        <f>INDEX(FactorTable!$B$2:$Y$301, MATCH(ROUND(MIN(300,MAX(1,D1035)),0), FactorTable!$A$2:$A$301,0), Skills!M13+1)</f>
        <v/>
      </c>
      <c r="F1035">
        <f>IF(Skills!N13=TRUE,(Skills!L13/10)*(E1035/1000),Skills!L13/10)+Skills!O13</f>
        <v/>
      </c>
      <c r="G1035">
        <f>Skills!G13*IF(Skills!H13&gt;0,Skills!I13/Skills!H13,1)</f>
        <v/>
      </c>
      <c r="H1035">
        <f>1-(1-Skills!J13/100)^Skills!K13</f>
        <v/>
      </c>
      <c r="I1035" t="inlineStr">
        <is>
          <t>1</t>
        </is>
      </c>
      <c r="J1035" t="inlineStr"/>
      <c r="K1035" t="inlineStr"/>
      <c r="L1035" t="inlineStr"/>
      <c r="M1035" t="inlineStr"/>
      <c r="N1035" t="inlineStr"/>
      <c r="O1035" t="n">
        <v>0</v>
      </c>
      <c r="P1035">
        <f>IF(B1062=0,0,O1035/B1062)</f>
        <v/>
      </c>
      <c r="Q1035" t="n">
        <v>0</v>
      </c>
      <c r="R1035" t="n">
        <v>0</v>
      </c>
      <c r="S1035">
        <f>IFERROR(O1035/N1035,0)</f>
        <v/>
      </c>
    </row>
    <row r="1036">
      <c r="A1036">
        <f>Skills!A14</f>
        <v/>
      </c>
      <c r="B1036">
        <f>Skills!B14</f>
        <v/>
      </c>
      <c r="C1036">
        <f>Inputs!$B$3&gt;=74</f>
        <v/>
      </c>
      <c r="D1036">
        <f>IF(Skills!C14=1,60+Inputs!$B$24+Inputs!$B$28,IF(Skills!C14=2,90+Inputs!$B$25+Inputs!$B$28,IF(Skills!C14=3,120+Inputs!$B$26+Inputs!$B$28,MAX(0,(Inputs!$B$3-100)*3)+Inputs!$B$27+Inputs!$B$28)))</f>
        <v/>
      </c>
      <c r="E1036">
        <f>INDEX(FactorTable!$B$2:$Y$301, MATCH(ROUND(MIN(300,MAX(1,D1036)),0), FactorTable!$A$2:$A$301,0), Skills!M14+1)</f>
        <v/>
      </c>
      <c r="F1036">
        <f>IF(Skills!N14=TRUE,(Skills!L14/10)*(E1036/1000),Skills!L14/10)+Skills!O14</f>
        <v/>
      </c>
      <c r="G1036">
        <f>Skills!G14*IF(Skills!H14&gt;0,Skills!I14/Skills!H14,1)</f>
        <v/>
      </c>
      <c r="H1036">
        <f>1-(1-Skills!J14/100)^Skills!K14</f>
        <v/>
      </c>
      <c r="I1036" t="inlineStr">
        <is>
          <t>1</t>
        </is>
      </c>
      <c r="J1036" t="inlineStr"/>
      <c r="K1036" t="inlineStr"/>
      <c r="L1036" t="inlineStr"/>
      <c r="M1036" t="inlineStr"/>
      <c r="N1036" t="inlineStr"/>
      <c r="O1036" t="n">
        <v>0</v>
      </c>
      <c r="P1036">
        <f>IF(B1062=0,0,O1036/B1062)</f>
        <v/>
      </c>
      <c r="Q1036" t="n">
        <v>0</v>
      </c>
      <c r="R1036" t="n">
        <v>0</v>
      </c>
      <c r="S1036">
        <f>IFERROR(O1036/N1036,0)</f>
        <v/>
      </c>
    </row>
    <row r="1037">
      <c r="A1037">
        <f>Skills!A15</f>
        <v/>
      </c>
      <c r="B1037">
        <f>Skills!B15</f>
        <v/>
      </c>
      <c r="C1037">
        <f>Inputs!$B$3&gt;=117</f>
        <v/>
      </c>
      <c r="D1037">
        <f>IF(Skills!C15=1,60+Inputs!$B$24+Inputs!$B$28,IF(Skills!C15=2,90+Inputs!$B$25+Inputs!$B$28,IF(Skills!C15=3,120+Inputs!$B$26+Inputs!$B$28,MAX(0,(Inputs!$B$3-100)*3)+Inputs!$B$27+Inputs!$B$28)))</f>
        <v/>
      </c>
      <c r="E1037">
        <f>INDEX(FactorTable!$B$2:$Y$301, MATCH(ROUND(MIN(300,MAX(1,D1037)),0), FactorTable!$A$2:$A$301,0), Skills!M15+1)</f>
        <v/>
      </c>
      <c r="F1037">
        <f>IF(Skills!N15=TRUE,(Skills!L15/10)*(E1037/1000),Skills!L15/10)+Skills!O15</f>
        <v/>
      </c>
      <c r="G1037">
        <f>Skills!G15*IF(Skills!H15&gt;0,Skills!I15/Skills!H15,1)</f>
        <v/>
      </c>
      <c r="H1037">
        <f>1-(1-Skills!J15/100)^Skills!K15</f>
        <v/>
      </c>
      <c r="I1037" t="inlineStr">
        <is>
          <t>1</t>
        </is>
      </c>
      <c r="J1037" t="inlineStr"/>
      <c r="K1037" t="inlineStr"/>
      <c r="L1037" t="inlineStr"/>
      <c r="M1037" t="inlineStr"/>
      <c r="N1037" t="inlineStr"/>
      <c r="O1037" t="n">
        <v>0</v>
      </c>
      <c r="P1037">
        <f>IF(B1062=0,0,O1037/B1062)</f>
        <v/>
      </c>
      <c r="Q1037">
        <f>IFERROR(1/IF(Inputs!$B$4="pvp",15,MAX(0.1,Skills!D15-IF(Skills!E15=TRUE,(Inputs!$B$31+1),0))),0)</f>
        <v/>
      </c>
      <c r="R1037">
        <f>IF(AND(Inputs!$B$4&lt;&gt;"pvp",Inputs!$B$35&gt;0),(INT(Inputs!$B$35/IF(Inputs!$B$4="pvp",15,MAX(0.1,Skills!D15-IF(Skills!E15=TRUE,(Inputs!$B$31+1),0))))+1),0)</f>
        <v/>
      </c>
      <c r="S1037">
        <f>IFERROR(O1037/N1037,0)</f>
        <v/>
      </c>
    </row>
    <row r="1038">
      <c r="A1038">
        <f>Skills!A16</f>
        <v/>
      </c>
      <c r="B1038">
        <f>Skills!B16</f>
        <v/>
      </c>
      <c r="C1038">
        <f>Inputs!$B$3&gt;=115</f>
        <v/>
      </c>
      <c r="D1038">
        <f>IF(Skills!C16=1,60+Inputs!$B$24+Inputs!$B$28,IF(Skills!C16=2,90+Inputs!$B$25+Inputs!$B$28,IF(Skills!C16=3,120+Inputs!$B$26+Inputs!$B$28,MAX(0,(Inputs!$B$3-100)*3)+Inputs!$B$27+Inputs!$B$28)))</f>
        <v/>
      </c>
      <c r="E1038">
        <f>INDEX(FactorTable!$B$2:$Y$301, MATCH(ROUND(MIN(300,MAX(1,D1038)),0), FactorTable!$A$2:$A$301,0), Skills!M16+1)</f>
        <v/>
      </c>
      <c r="F1038">
        <f>IF(Skills!N16=TRUE,(Skills!L16/10)*(E1038/1000),Skills!L16/10)+Skills!O16</f>
        <v/>
      </c>
      <c r="G1038">
        <f>Skills!G16*IF(Skills!H16&gt;0,Skills!I16/Skills!H16,1)</f>
        <v/>
      </c>
      <c r="H1038">
        <f>1-(1-Skills!J16/100)^Skills!K16</f>
        <v/>
      </c>
      <c r="I1038" t="inlineStr">
        <is>
          <t>1</t>
        </is>
      </c>
      <c r="J1038" t="inlineStr"/>
      <c r="K1038" t="inlineStr"/>
      <c r="L1038" t="inlineStr"/>
      <c r="M1038" t="inlineStr"/>
      <c r="N1038" t="inlineStr"/>
      <c r="O1038" t="n">
        <v>0</v>
      </c>
      <c r="P1038">
        <f>IF(B1062=0,0,O1038/B1062)</f>
        <v/>
      </c>
      <c r="Q1038">
        <f>IFERROR(1/IF(Inputs!$B$4="pvp",15,MAX(0.1,Skills!D16-IF(Skills!E16=TRUE,(Inputs!$B$31+1),0))),0)</f>
        <v/>
      </c>
      <c r="R1038">
        <f>IF(AND(Inputs!$B$4&lt;&gt;"pvp",Inputs!$B$35&gt;0),(INT(Inputs!$B$35/IF(Inputs!$B$4="pvp",15,MAX(0.1,Skills!D16-IF(Skills!E16=TRUE,(Inputs!$B$31+1),0))))+1),0)</f>
        <v/>
      </c>
      <c r="S1038">
        <f>IFERROR(O1038/N1038,0)</f>
        <v/>
      </c>
    </row>
    <row r="1039">
      <c r="A1039">
        <f>Skills!A17</f>
        <v/>
      </c>
      <c r="B1039">
        <f>Skills!B17</f>
        <v/>
      </c>
      <c r="C1039">
        <f>Inputs!$B$3&gt;=72</f>
        <v/>
      </c>
      <c r="D1039">
        <f>IF(Skills!C17=1,60+Inputs!$B$24+Inputs!$B$28,IF(Skills!C17=2,90+Inputs!$B$25+Inputs!$B$28,IF(Skills!C17=3,120+Inputs!$B$26+Inputs!$B$28,MAX(0,(Inputs!$B$3-100)*3)+Inputs!$B$27+Inputs!$B$28)))</f>
        <v/>
      </c>
      <c r="E1039">
        <f>INDEX(FactorTable!$B$2:$Y$301, MATCH(ROUND(MIN(300,MAX(1,D1039)),0), FactorTable!$A$2:$A$301,0), Skills!M17+1)</f>
        <v/>
      </c>
      <c r="F1039">
        <f>IF(Skills!N17=TRUE,(Skills!L17/10)*(E1039/1000),Skills!L17/10)+Skills!O17</f>
        <v/>
      </c>
      <c r="G1039">
        <f>Skills!G17*IF(Skills!H17&gt;0,Skills!I17/Skills!H17,1)</f>
        <v/>
      </c>
      <c r="H1039">
        <f>1-(1-Skills!J17/100)^Skills!K17</f>
        <v/>
      </c>
      <c r="I1039" t="inlineStr">
        <is>
          <t>1</t>
        </is>
      </c>
      <c r="J1039" t="inlineStr"/>
      <c r="K1039" t="inlineStr"/>
      <c r="L1039" t="inlineStr"/>
      <c r="M1039" t="inlineStr"/>
      <c r="N1039" t="inlineStr"/>
      <c r="O1039" t="n">
        <v>0</v>
      </c>
      <c r="P1039">
        <f>IF(B1062=0,0,O1039/B1062)</f>
        <v/>
      </c>
      <c r="Q1039" t="n">
        <v>0</v>
      </c>
      <c r="R1039" t="n">
        <v>0</v>
      </c>
      <c r="S1039">
        <f>IFERROR(O1039/N1039,0)</f>
        <v/>
      </c>
    </row>
    <row r="1040">
      <c r="A1040">
        <f>Skills!A18</f>
        <v/>
      </c>
      <c r="B1040">
        <f>Skills!B18</f>
        <v/>
      </c>
      <c r="C1040">
        <f>TRUE</f>
        <v/>
      </c>
      <c r="D1040">
        <f>IF(Skills!C18=1,60+Inputs!$B$24+Inputs!$B$28,IF(Skills!C18=2,90+Inputs!$B$25+Inputs!$B$28,IF(Skills!C18=3,120+Inputs!$B$26+Inputs!$B$28,MAX(0,(Inputs!$B$3-100)*3)+Inputs!$B$27+Inputs!$B$28)))</f>
        <v/>
      </c>
      <c r="E1040">
        <f>INDEX(FactorTable!$B$2:$Y$301, MATCH(ROUND(MIN(300,MAX(1,D1040)),0), FactorTable!$A$2:$A$301,0), Skills!M18+1)</f>
        <v/>
      </c>
      <c r="F1040">
        <f>IF(Skills!N18=TRUE,(Skills!L18/10)*(E1040/1000),Skills!L18/10)+Skills!O18</f>
        <v/>
      </c>
      <c r="G1040">
        <f>Skills!G18*IF(Skills!H18&gt;0,Skills!I18/Skills!H18,1)</f>
        <v/>
      </c>
      <c r="H1040">
        <f>1-(1-Skills!J18/100)^Skills!K18</f>
        <v/>
      </c>
      <c r="I1040" t="inlineStr">
        <is>
          <t>1</t>
        </is>
      </c>
      <c r="J1040" t="inlineStr"/>
      <c r="K1040" t="inlineStr"/>
      <c r="L1040" t="inlineStr"/>
      <c r="M1040" t="inlineStr"/>
      <c r="N1040" t="inlineStr"/>
      <c r="O1040" t="n">
        <v>0</v>
      </c>
      <c r="P1040">
        <f>IF(B1062=0,0,O1040/B1062)</f>
        <v/>
      </c>
      <c r="Q1040">
        <f>IFERROR(1/IF(Inputs!$B$4="pvp",15,MAX(0.1,Skills!D18-IF(Skills!E18=TRUE,(Inputs!$B$31+1),0))),0)</f>
        <v/>
      </c>
      <c r="R1040">
        <f>IF(AND(Inputs!$B$4&lt;&gt;"pvp",Inputs!$B$35&gt;0),(INT(Inputs!$B$35/IF(Inputs!$B$4="pvp",15,MAX(0.1,Skills!D18-IF(Skills!E18=TRUE,(Inputs!$B$31+1),0))))+1),0)</f>
        <v/>
      </c>
      <c r="S1040">
        <f>IFERROR(O1040/N1040,0)</f>
        <v/>
      </c>
    </row>
    <row r="1041">
      <c r="A1041">
        <f>Skills!A19</f>
        <v/>
      </c>
      <c r="B1041">
        <f>Skills!B19</f>
        <v/>
      </c>
      <c r="C1041">
        <f>Inputs!$B$3&gt;=15</f>
        <v/>
      </c>
      <c r="D1041">
        <f>IF(Skills!C19=1,60+Inputs!$B$24+Inputs!$B$28,IF(Skills!C19=2,90+Inputs!$B$25+Inputs!$B$28,IF(Skills!C19=3,120+Inputs!$B$26+Inputs!$B$28,MAX(0,(Inputs!$B$3-100)*3)+Inputs!$B$27+Inputs!$B$28)))</f>
        <v/>
      </c>
      <c r="E1041">
        <f>INDEX(FactorTable!$B$2:$Y$301, MATCH(ROUND(MIN(300,MAX(1,D1041)),0), FactorTable!$A$2:$A$301,0), Skills!M19+1)</f>
        <v/>
      </c>
      <c r="F1041">
        <f>IF(Skills!N19=TRUE,(Skills!L19/10)*(E1041/1000),Skills!L19/10)+Skills!O19</f>
        <v/>
      </c>
      <c r="G1041">
        <f>Skills!G19*IF(Skills!H19&gt;0,Skills!I19/Skills!H19,1)</f>
        <v/>
      </c>
      <c r="H1041">
        <f>1-(1-Skills!J19/100)^Skills!K19</f>
        <v/>
      </c>
      <c r="I1041" t="inlineStr">
        <is>
          <t>1</t>
        </is>
      </c>
      <c r="J1041" t="inlineStr"/>
      <c r="K1041" t="inlineStr"/>
      <c r="L1041" t="inlineStr"/>
      <c r="M1041" t="inlineStr"/>
      <c r="N1041" t="inlineStr"/>
      <c r="O1041" t="n">
        <v>0</v>
      </c>
      <c r="P1041">
        <f>IF(B1062=0,0,O1041/B1062)</f>
        <v/>
      </c>
      <c r="Q1041" t="n">
        <v>0</v>
      </c>
      <c r="R1041" t="n">
        <v>0</v>
      </c>
      <c r="S1041">
        <f>IFERROR(O1041/N1041,0)</f>
        <v/>
      </c>
    </row>
    <row r="1042">
      <c r="A1042">
        <f>Skills!A20</f>
        <v/>
      </c>
      <c r="B1042">
        <f>Skills!B20</f>
        <v/>
      </c>
      <c r="C1042">
        <f>Inputs!$B$3&gt;=10</f>
        <v/>
      </c>
      <c r="D1042">
        <f>IF(Skills!C20=1,60+Inputs!$B$24+Inputs!$B$28,IF(Skills!C20=2,90+Inputs!$B$25+Inputs!$B$28,IF(Skills!C20=3,120+Inputs!$B$26+Inputs!$B$28,MAX(0,(Inputs!$B$3-100)*3)+Inputs!$B$27+Inputs!$B$28)))</f>
        <v/>
      </c>
      <c r="E1042">
        <f>INDEX(FactorTable!$B$2:$Y$301, MATCH(ROUND(MIN(300,MAX(1,D1042)),0), FactorTable!$A$2:$A$301,0), Skills!M20+1)</f>
        <v/>
      </c>
      <c r="F1042">
        <f>IF(Skills!N20=TRUE,(Skills!L20/10)*(E1042/1000),Skills!L20/10)+Skills!O20</f>
        <v/>
      </c>
      <c r="G1042">
        <f>Skills!G20*IF(Skills!H20&gt;0,Skills!I20/Skills!H20,1)</f>
        <v/>
      </c>
      <c r="H1042">
        <f>1-(1-Skills!J20/100)^Skills!K20</f>
        <v/>
      </c>
      <c r="I1042" t="inlineStr">
        <is>
          <t>1</t>
        </is>
      </c>
      <c r="J1042" t="inlineStr"/>
      <c r="K1042" t="inlineStr"/>
      <c r="L1042" t="inlineStr"/>
      <c r="M1042" t="inlineStr"/>
      <c r="N1042" t="inlineStr"/>
      <c r="O1042" t="n">
        <v>0</v>
      </c>
      <c r="P1042">
        <f>IF(B1062=0,0,O1042/B1062)</f>
        <v/>
      </c>
      <c r="Q1042" t="n">
        <v>0</v>
      </c>
      <c r="R1042" t="n">
        <v>0</v>
      </c>
      <c r="S1042">
        <f>IFERROR(O1042/N1042,0)</f>
        <v/>
      </c>
    </row>
    <row r="1043">
      <c r="A1043">
        <f>Skills!A21</f>
        <v/>
      </c>
      <c r="B1043">
        <f>Skills!B21</f>
        <v/>
      </c>
      <c r="C1043">
        <f>Inputs!$B$3&gt;=33</f>
        <v/>
      </c>
      <c r="D1043">
        <f>IF(Skills!C21=1,60+Inputs!$B$24+Inputs!$B$28,IF(Skills!C21=2,90+Inputs!$B$25+Inputs!$B$28,IF(Skills!C21=3,120+Inputs!$B$26+Inputs!$B$28,MAX(0,(Inputs!$B$3-100)*3)+Inputs!$B$27+Inputs!$B$28)))</f>
        <v/>
      </c>
      <c r="E1043">
        <f>INDEX(FactorTable!$B$2:$Y$301, MATCH(ROUND(MIN(300,MAX(1,D1043)),0), FactorTable!$A$2:$A$301,0), Skills!M21+1)</f>
        <v/>
      </c>
      <c r="F1043">
        <f>IF(Skills!N21=TRUE,(Skills!L21/10)*(E1043/1000),Skills!L21/10)+Skills!O21</f>
        <v/>
      </c>
      <c r="G1043">
        <f>Skills!G21*IF(Skills!H21&gt;0,Skills!I21/Skills!H21,1)</f>
        <v/>
      </c>
      <c r="H1043">
        <f>1-(1-Skills!J21/100)^Skills!K21</f>
        <v/>
      </c>
      <c r="I1043" t="inlineStr">
        <is>
          <t>1</t>
        </is>
      </c>
      <c r="J1043" t="inlineStr"/>
      <c r="K1043" t="inlineStr"/>
      <c r="L1043" t="inlineStr"/>
      <c r="M1043" t="inlineStr"/>
      <c r="N1043" t="inlineStr"/>
      <c r="O1043" t="n">
        <v>0</v>
      </c>
      <c r="P1043">
        <f>IF(B1062=0,0,O1043/B1062)</f>
        <v/>
      </c>
      <c r="Q1043" t="n">
        <v>0</v>
      </c>
      <c r="R1043" t="n">
        <v>0</v>
      </c>
      <c r="S1043">
        <f>IFERROR(O1043/N1043,0)</f>
        <v/>
      </c>
    </row>
    <row r="1044">
      <c r="A1044">
        <f>Skills!A22</f>
        <v/>
      </c>
      <c r="B1044">
        <f>Skills!B22</f>
        <v/>
      </c>
      <c r="C1044">
        <f>Inputs!$B$3&gt;=38</f>
        <v/>
      </c>
      <c r="D1044">
        <f>IF(Skills!C22=1,60+Inputs!$B$24+Inputs!$B$28,IF(Skills!C22=2,90+Inputs!$B$25+Inputs!$B$28,IF(Skills!C22=3,120+Inputs!$B$26+Inputs!$B$28,MAX(0,(Inputs!$B$3-100)*3)+Inputs!$B$27+Inputs!$B$28)))</f>
        <v/>
      </c>
      <c r="E1044">
        <f>INDEX(FactorTable!$B$2:$Y$301, MATCH(ROUND(MIN(300,MAX(1,D1044)),0), FactorTable!$A$2:$A$301,0), Skills!M22+1)</f>
        <v/>
      </c>
      <c r="F1044">
        <f>IF(Skills!N22=TRUE,(Skills!L22/10)*(E1044/1000),Skills!L22/10)+Skills!O22</f>
        <v/>
      </c>
      <c r="G1044">
        <f>Skills!G22*IF(Skills!H22&gt;0,Skills!I22/Skills!H22,1)</f>
        <v/>
      </c>
      <c r="H1044">
        <f>1-(1-Skills!J22/100)^Skills!K22</f>
        <v/>
      </c>
      <c r="I1044" t="inlineStr">
        <is>
          <t>1</t>
        </is>
      </c>
      <c r="J1044" t="inlineStr"/>
      <c r="K1044" t="inlineStr"/>
      <c r="L1044" t="inlineStr"/>
      <c r="M1044" t="inlineStr"/>
      <c r="N1044" t="inlineStr"/>
      <c r="O1044" t="n">
        <v>0</v>
      </c>
      <c r="P1044">
        <f>IF(B1062=0,0,O1044/B1062)</f>
        <v/>
      </c>
      <c r="Q1044" t="n">
        <v>0</v>
      </c>
      <c r="R1044" t="n">
        <v>0</v>
      </c>
      <c r="S1044">
        <f>IFERROR(O1044/N1044,0)</f>
        <v/>
      </c>
    </row>
    <row r="1045">
      <c r="A1045">
        <f>Skills!A23</f>
        <v/>
      </c>
      <c r="B1045">
        <f>Skills!B23</f>
        <v/>
      </c>
      <c r="C1045">
        <f>Inputs!$B$3&gt;=43</f>
        <v/>
      </c>
      <c r="D1045">
        <f>IF(Skills!C23=1,60+Inputs!$B$24+Inputs!$B$28,IF(Skills!C23=2,90+Inputs!$B$25+Inputs!$B$28,IF(Skills!C23=3,120+Inputs!$B$26+Inputs!$B$28,MAX(0,(Inputs!$B$3-100)*3)+Inputs!$B$27+Inputs!$B$28)))</f>
        <v/>
      </c>
      <c r="E1045">
        <f>INDEX(FactorTable!$B$2:$Y$301, MATCH(ROUND(MIN(300,MAX(1,D1045)),0), FactorTable!$A$2:$A$301,0), Skills!M23+1)</f>
        <v/>
      </c>
      <c r="F1045">
        <f>IF(Skills!N23=TRUE,(Skills!L23/10)*(E1045/1000),Skills!L23/10)+Skills!O23</f>
        <v/>
      </c>
      <c r="G1045">
        <f>Skills!G23*IF(Skills!H23&gt;0,Skills!I23/Skills!H23,1)</f>
        <v/>
      </c>
      <c r="H1045">
        <f>1-(1-Skills!J23/100)^Skills!K23</f>
        <v/>
      </c>
      <c r="I1045" t="inlineStr">
        <is>
          <t>1</t>
        </is>
      </c>
      <c r="J1045" t="inlineStr"/>
      <c r="K1045" t="inlineStr"/>
      <c r="L1045" t="inlineStr"/>
      <c r="M1045" t="inlineStr"/>
      <c r="N1045" t="inlineStr"/>
      <c r="O1045" t="n">
        <v>0</v>
      </c>
      <c r="P1045">
        <f>IF(B1062=0,0,O1045/B1062)</f>
        <v/>
      </c>
      <c r="Q1045" t="n">
        <v>0</v>
      </c>
      <c r="R1045" t="n">
        <v>0</v>
      </c>
      <c r="S1045">
        <f>IFERROR(O1045/N1045,0)</f>
        <v/>
      </c>
    </row>
    <row r="1046">
      <c r="A1046">
        <f>Skills!A24</f>
        <v/>
      </c>
      <c r="B1046">
        <f>Skills!B24</f>
        <v/>
      </c>
      <c r="C1046">
        <f>Inputs!$B$3&gt;=75</f>
        <v/>
      </c>
      <c r="D1046">
        <f>IF(Skills!C24=1,60+Inputs!$B$24+Inputs!$B$28,IF(Skills!C24=2,90+Inputs!$B$25+Inputs!$B$28,IF(Skills!C24=3,120+Inputs!$B$26+Inputs!$B$28,MAX(0,(Inputs!$B$3-100)*3)+Inputs!$B$27+Inputs!$B$28)))</f>
        <v/>
      </c>
      <c r="E1046">
        <f>INDEX(FactorTable!$B$2:$Y$301, MATCH(ROUND(MIN(300,MAX(1,D1046)),0), FactorTable!$A$2:$A$301,0), Skills!M24+1)</f>
        <v/>
      </c>
      <c r="F1046">
        <f>IF(Skills!N24=TRUE,(Skills!L24/10)*(E1046/1000),Skills!L24/10)+Skills!O24</f>
        <v/>
      </c>
      <c r="G1046">
        <f>Skills!G24*IF(Skills!H24&gt;0,Skills!I24/Skills!H24,1)</f>
        <v/>
      </c>
      <c r="H1046">
        <f>1-(1-Skills!J24/100)^Skills!K24</f>
        <v/>
      </c>
      <c r="I1046" t="inlineStr">
        <is>
          <t>1</t>
        </is>
      </c>
      <c r="J1046" t="inlineStr"/>
      <c r="K1046" t="inlineStr"/>
      <c r="L1046" t="inlineStr"/>
      <c r="M1046" t="inlineStr"/>
      <c r="N1046" t="inlineStr"/>
      <c r="O1046" t="n">
        <v>0</v>
      </c>
      <c r="P1046">
        <f>IF(B1062=0,0,O1046/B1062)</f>
        <v/>
      </c>
      <c r="Q1046" t="n">
        <v>0</v>
      </c>
      <c r="R1046" t="n">
        <v>0</v>
      </c>
      <c r="S1046">
        <f>IFERROR(O1046/N1046,0)</f>
        <v/>
      </c>
    </row>
    <row r="1047">
      <c r="A1047">
        <f>Skills!A25</f>
        <v/>
      </c>
      <c r="B1047">
        <f>Skills!B25</f>
        <v/>
      </c>
      <c r="C1047">
        <f>Inputs!$B$3&gt;=125</f>
        <v/>
      </c>
      <c r="D1047">
        <f>IF(Skills!C25=1,60+Inputs!$B$24+Inputs!$B$28,IF(Skills!C25=2,90+Inputs!$B$25+Inputs!$B$28,IF(Skills!C25=3,120+Inputs!$B$26+Inputs!$B$28,MAX(0,(Inputs!$B$3-100)*3)+Inputs!$B$27+Inputs!$B$28)))</f>
        <v/>
      </c>
      <c r="E1047">
        <f>INDEX(FactorTable!$B$2:$Y$301, MATCH(ROUND(MIN(300,MAX(1,D1047)),0), FactorTable!$A$2:$A$301,0), Skills!M25+1)</f>
        <v/>
      </c>
      <c r="F1047">
        <f>IF(Skills!N25=TRUE,(Skills!L25/10)*(E1047/1000),Skills!L25/10)+Skills!O25</f>
        <v/>
      </c>
      <c r="G1047">
        <f>Skills!G25*IF(Skills!H25&gt;0,Skills!I25/Skills!H25,1)</f>
        <v/>
      </c>
      <c r="H1047">
        <f>1-(1-Skills!J25/100)^Skills!K25</f>
        <v/>
      </c>
      <c r="I1047" t="inlineStr">
        <is>
          <t>1</t>
        </is>
      </c>
      <c r="J1047" t="inlineStr"/>
      <c r="K1047" t="inlineStr"/>
      <c r="L1047" t="inlineStr"/>
      <c r="M1047" t="inlineStr"/>
      <c r="N1047" t="inlineStr"/>
      <c r="O1047" t="n">
        <v>0</v>
      </c>
      <c r="P1047">
        <f>IF(B1062=0,0,O1047/B1062)</f>
        <v/>
      </c>
      <c r="Q1047" t="n">
        <v>0</v>
      </c>
      <c r="R1047" t="n">
        <v>0</v>
      </c>
      <c r="S1047">
        <f>IFERROR(O1047/N1047,0)</f>
        <v/>
      </c>
    </row>
    <row r="1048">
      <c r="A1048">
        <f>Skills!A26</f>
        <v/>
      </c>
      <c r="B1048">
        <f>Skills!B26</f>
        <v/>
      </c>
      <c r="C1048">
        <f>Inputs!$B$3&gt;=125</f>
        <v/>
      </c>
      <c r="D1048">
        <f>IF(Skills!C26=1,60+Inputs!$B$24+Inputs!$B$28,IF(Skills!C26=2,90+Inputs!$B$25+Inputs!$B$28,IF(Skills!C26=3,120+Inputs!$B$26+Inputs!$B$28,MAX(0,(Inputs!$B$3-100)*3)+Inputs!$B$27+Inputs!$B$28)))</f>
        <v/>
      </c>
      <c r="E1048">
        <f>INDEX(FactorTable!$B$2:$Y$301, MATCH(ROUND(MIN(300,MAX(1,D1048)),0), FactorTable!$A$2:$A$301,0), Skills!M26+1)</f>
        <v/>
      </c>
      <c r="F1048">
        <f>IF(Skills!N26=TRUE,(Skills!L26/10)*(E1048/1000),Skills!L26/10)+Skills!O26</f>
        <v/>
      </c>
      <c r="G1048">
        <f>Skills!G26*IF(Skills!H26&gt;0,Skills!I26/Skills!H26,1)</f>
        <v/>
      </c>
      <c r="H1048">
        <f>1-(1-Skills!J26/100)^Skills!K26</f>
        <v/>
      </c>
      <c r="I1048" t="inlineStr">
        <is>
          <t>1</t>
        </is>
      </c>
      <c r="J1048" t="inlineStr"/>
      <c r="K1048" t="inlineStr"/>
      <c r="L1048" t="inlineStr"/>
      <c r="M1048" t="inlineStr"/>
      <c r="N1048" t="inlineStr"/>
      <c r="O1048" t="n">
        <v>0</v>
      </c>
      <c r="P1048">
        <f>IF(B1062=0,0,O1048/B1062)</f>
        <v/>
      </c>
      <c r="Q1048" t="n">
        <v>0</v>
      </c>
      <c r="R1048" t="n">
        <v>0</v>
      </c>
      <c r="S1048">
        <f>IFERROR(O1048/N1048,0)</f>
        <v/>
      </c>
    </row>
    <row r="1049">
      <c r="A1049">
        <f>Skills!A27</f>
        <v/>
      </c>
      <c r="B1049">
        <f>Skills!B27</f>
        <v/>
      </c>
      <c r="C1049">
        <f>Inputs!$B$3&gt;=120</f>
        <v/>
      </c>
      <c r="D1049">
        <f>IF(Skills!C27=1,60+Inputs!$B$24+Inputs!$B$28,IF(Skills!C27=2,90+Inputs!$B$25+Inputs!$B$28,IF(Skills!C27=3,120+Inputs!$B$26+Inputs!$B$28,MAX(0,(Inputs!$B$3-100)*3)+Inputs!$B$27+Inputs!$B$28)))</f>
        <v/>
      </c>
      <c r="E1049">
        <f>INDEX(FactorTable!$B$2:$Y$301, MATCH(ROUND(MIN(300,MAX(1,D1049)),0), FactorTable!$A$2:$A$301,0), Skills!M27+1)</f>
        <v/>
      </c>
      <c r="F1049">
        <f>IF(Skills!N27=TRUE,(Skills!L27/10)*(E1049/1000),Skills!L27/10)+Skills!O27</f>
        <v/>
      </c>
      <c r="G1049">
        <f>Skills!G27*IF(Skills!H27&gt;0,Skills!I27/Skills!H27,1)</f>
        <v/>
      </c>
      <c r="H1049">
        <f>1-(1-Skills!J27/100)^Skills!K27</f>
        <v/>
      </c>
      <c r="I1049" t="inlineStr">
        <is>
          <t>1</t>
        </is>
      </c>
      <c r="J1049" t="inlineStr"/>
      <c r="K1049" t="inlineStr"/>
      <c r="L1049" t="inlineStr"/>
      <c r="M1049" t="inlineStr"/>
      <c r="N1049" t="inlineStr"/>
      <c r="O1049" t="n">
        <v>0</v>
      </c>
      <c r="P1049">
        <f>IF(B1062=0,0,O1049/B1062)</f>
        <v/>
      </c>
      <c r="Q1049" t="n">
        <v>0</v>
      </c>
      <c r="R1049" t="n">
        <v>0</v>
      </c>
      <c r="S1049">
        <f>IFERROR(O1049/N1049,0)</f>
        <v/>
      </c>
    </row>
    <row r="1050">
      <c r="A1050">
        <f>Skills!A28</f>
        <v/>
      </c>
      <c r="B1050">
        <f>Skills!B28</f>
        <v/>
      </c>
      <c r="C1050">
        <f>Inputs!$B$3&gt;=120</f>
        <v/>
      </c>
      <c r="D1050">
        <f>IF(Skills!C28=1,60+Inputs!$B$24+Inputs!$B$28,IF(Skills!C28=2,90+Inputs!$B$25+Inputs!$B$28,IF(Skills!C28=3,120+Inputs!$B$26+Inputs!$B$28,MAX(0,(Inputs!$B$3-100)*3)+Inputs!$B$27+Inputs!$B$28)))</f>
        <v/>
      </c>
      <c r="E1050">
        <f>INDEX(FactorTable!$B$2:$Y$301, MATCH(ROUND(MIN(300,MAX(1,D1050)),0), FactorTable!$A$2:$A$301,0), Skills!M28+1)</f>
        <v/>
      </c>
      <c r="F1050">
        <f>IF(Skills!N28=TRUE,(Skills!L28/10)*(E1050/1000),Skills!L28/10)+Skills!O28</f>
        <v/>
      </c>
      <c r="G1050">
        <f>Skills!G28*IF(Skills!H28&gt;0,Skills!I28/Skills!H28,1)</f>
        <v/>
      </c>
      <c r="H1050">
        <f>1-(1-Skills!J28/100)^Skills!K28</f>
        <v/>
      </c>
      <c r="I1050" t="inlineStr">
        <is>
          <t>1</t>
        </is>
      </c>
      <c r="J1050" t="inlineStr"/>
      <c r="K1050" t="inlineStr"/>
      <c r="L1050" t="inlineStr"/>
      <c r="M1050" t="inlineStr"/>
      <c r="N1050" t="inlineStr"/>
      <c r="O1050" t="n">
        <v>0</v>
      </c>
      <c r="P1050">
        <f>IF(B1062=0,0,O1050/B1062)</f>
        <v/>
      </c>
      <c r="Q1050" t="n">
        <v>0</v>
      </c>
      <c r="R1050" t="n">
        <v>0</v>
      </c>
      <c r="S1050">
        <f>IFERROR(O1050/N1050,0)</f>
        <v/>
      </c>
    </row>
    <row r="1051">
      <c r="A1051">
        <f>Skills!A29</f>
        <v/>
      </c>
      <c r="B1051">
        <f>Skills!B29</f>
        <v/>
      </c>
      <c r="C1051">
        <f>Inputs!$B$3&gt;=45</f>
        <v/>
      </c>
      <c r="D1051">
        <f>IF(Skills!C29=1,60+Inputs!$B$24+Inputs!$B$28,IF(Skills!C29=2,90+Inputs!$B$25+Inputs!$B$28,IF(Skills!C29=3,120+Inputs!$B$26+Inputs!$B$28,MAX(0,(Inputs!$B$3-100)*3)+Inputs!$B$27+Inputs!$B$28)))</f>
        <v/>
      </c>
      <c r="E1051">
        <f>INDEX(FactorTable!$B$2:$Y$301, MATCH(ROUND(MIN(300,MAX(1,D1051)),0), FactorTable!$A$2:$A$301,0), Skills!M29+1)</f>
        <v/>
      </c>
      <c r="F1051">
        <f>IF(Skills!N29=TRUE,(Skills!L29/10)*(E1051/1000),Skills!L29/10)+Skills!O29</f>
        <v/>
      </c>
      <c r="G1051">
        <f>Skills!G29*IF(Skills!H29&gt;0,Skills!I29/Skills!H29,1)</f>
        <v/>
      </c>
      <c r="H1051">
        <f>1-(1-Skills!J29/100)^Skills!K29</f>
        <v/>
      </c>
      <c r="I1051" t="inlineStr">
        <is>
          <t>1</t>
        </is>
      </c>
      <c r="J1051" t="inlineStr"/>
      <c r="K1051" t="inlineStr"/>
      <c r="L1051" t="inlineStr"/>
      <c r="M1051" t="inlineStr"/>
      <c r="N1051" t="inlineStr"/>
      <c r="O1051" t="n">
        <v>0</v>
      </c>
      <c r="P1051">
        <f>IF(B1062=0,0,O1051/B1062)</f>
        <v/>
      </c>
      <c r="Q1051" t="n">
        <v>0</v>
      </c>
      <c r="R1051" t="n">
        <v>0</v>
      </c>
      <c r="S1051">
        <f>IFERROR(O1051/N1051,0)</f>
        <v/>
      </c>
    </row>
    <row r="1053">
      <c r="A1053" t="inlineStr">
        <is>
          <t>Attack% Bucket Multiplier</t>
        </is>
      </c>
      <c r="B1053">
        <f>(1+(((C1035=TRUE)*F1035)+((C1036=TRUE)*IF(Inputs!$B$4="pvp",F1036,(1-Summary!$B$55)*(F1036)+Summary!$B$55*(0)))+((C1037=TRUE)*F1037*IF(AND(Inputs!$B$4&lt;&gt;"pvp",Inputs!$B$35&gt;0),(((S1037-1)*(Skills!T15*(1+Inputs!$B$33/100))+MIN((Skills!T15*(1+Inputs!$B$33/100)),MAX(0,Inputs!$B$35-((S1037-1)*Skills!D15))))/Inputs!$B$35),IF(Inputs!$B$4="pvp",MIN((Skills!T15*(1+Inputs!$B$33/100)),15)/15,(Skills!T15*(1+Inputs!$B$33/100))/Skills!D15)))+((C1034=TRUE)*F1034)+((C1051=TRUE)*(F1051-Calc!F29)))/100)</f>
        <v/>
      </c>
    </row>
    <row r="1054">
      <c r="A1054" t="inlineStr">
        <is>
          <t>Global Crit Rate Bonus %</t>
        </is>
      </c>
      <c r="B1054">
        <f>(C1038=TRUE)*20*IF(AND(Inputs!$B$4&lt;&gt;"pvp",Inputs!$B$35&gt;0),(((S1038-1)*(Skills!T16*(1+Inputs!$B$33/100))+MIN((Skills!T16*(1+Inputs!$B$33/100)),MAX(0,Inputs!$B$35-((S1038-1)*Skills!D16))))/Inputs!$B$35),IF(Inputs!$B$4="pvp",MIN((Skills!T16*(1+Inputs!$B$33/100)),15)/15,(Skills!T16*(1+Inputs!$B$33/100))/Skills!D16))</f>
        <v/>
      </c>
    </row>
    <row r="1055">
      <c r="A1055" t="inlineStr">
        <is>
          <t>Attack Speed Buff Bonus %</t>
        </is>
      </c>
      <c r="B1055">
        <f>((C1040=TRUE)*F1040*IF(AND(Inputs!$B$4&lt;&gt;"pvp",Inputs!$B$35&gt;0),(((S1040-1)*(Skills!T18*(1+Inputs!$B$33/100))+MIN((Skills!T18*(1+Inputs!$B$33/100)),MAX(0,Inputs!$B$35-((S1040-1)*Skills!D18))))/Inputs!$B$35),IF(Inputs!$B$4="pvp",MIN((Skills!T18*(1+Inputs!$B$33/100)),15)/15,(Skills!T18*(1+Inputs!$B$33/100))/Skills!D18)))</f>
        <v/>
      </c>
    </row>
    <row r="1056">
      <c r="A1056" t="inlineStr">
        <is>
          <t>Actions Per Second</t>
        </is>
      </c>
      <c r="B1056">
        <f>1+MIN(150,150*(1-(1-(Inputs!$B$10+((C1042=TRUE)*(F1042-Calc!F20))+((C1043=TRUE)*(F1043-Calc!F21)))/150)*(1-B1055/150)))/100</f>
        <v/>
      </c>
    </row>
    <row r="1057">
      <c r="A1057" t="inlineStr">
        <is>
          <t>Skill + Buff Cast Rate</t>
        </is>
      </c>
      <c r="B1057">
        <f>IF(AND(Inputs!$B$4&lt;&gt;"pvp",Inputs!$B$35&gt;0),SUMPRODUCT((Skills!E2:E29=TRUE)*(C1024:C1051=TRUE)*R1024:R1051*Skills!F2:F29)/Inputs!$B$35,SUMPRODUCT((Skills!E2:E29=TRUE)*(C1024:C1051=TRUE)*Q1024:Q1051*Skills!F2:F29))</f>
        <v/>
      </c>
    </row>
    <row r="1058">
      <c r="A1058" t="inlineStr">
        <is>
          <t>Empowered Piercing Arrow Casts Per Second</t>
        </is>
      </c>
      <c r="B1058">
        <f>MAX(0,B1056-B1057)</f>
        <v/>
      </c>
    </row>
    <row r="1059">
      <c r="A1059" t="inlineStr">
        <is>
          <t>Global Critical Damage Bonus % (Sharp Eyes)</t>
        </is>
      </c>
      <c r="B1059">
        <f>(C1038=TRUE)*F1038*IF(AND(Inputs!$B$4&lt;&gt;"pvp",Inputs!$B$35&gt;0),(((S1038-1)*(Skills!T16*(1+Inputs!$B$33/100))+MIN((Skills!T16*(1+Inputs!$B$33/100)),MAX(0,Inputs!$B$35-((S1038-1)*Skills!D16))))/Inputs!$B$35),IF(Inputs!$B$4="pvp",MIN((Skills!T16*(1+Inputs!$B$33/100)),15)/15,(Skills!T16*(1+Inputs!$B$33/100))/Skills!D16))</f>
        <v/>
      </c>
    </row>
    <row r="1060">
      <c r="A1060" t="inlineStr">
        <is>
          <t>Global Final Damage Bonus % (Mortal Blow + Last Man Standing conditional half)</t>
        </is>
      </c>
      <c r="B1060">
        <f>(C1039=TRUE)*F1039+((C1048=TRUE)*IF(Inputs!$B$4="pvp",F1048,(1-Summary!$B$55)*(F1048)+Summary!$B$55*(0)))</f>
        <v/>
      </c>
    </row>
    <row r="1062">
      <c r="A1062" s="5" t="inlineStr">
        <is>
          <t>TOTAL DPS</t>
        </is>
      </c>
      <c r="B1062" s="5">
        <f>SUM(O1024:O1051)</f>
        <v/>
      </c>
    </row>
    <row r="1065">
      <c r="A1065" s="5" t="inlineStr">
        <is>
          <t>Stat: Basic Attack Target Increase (flat)</t>
        </is>
      </c>
    </row>
    <row r="1066">
      <c r="A1066" s="8" t="inlineStr">
        <is>
          <t>Key</t>
        </is>
      </c>
      <c r="B1066" s="8" t="inlineStr">
        <is>
          <t>Name</t>
        </is>
      </c>
      <c r="C1066" s="8" t="inlineStr">
        <is>
          <t>Unlocked</t>
        </is>
      </c>
      <c r="D1066" s="8" t="inlineStr">
        <is>
          <t>InputLevel</t>
        </is>
      </c>
      <c r="E1066" s="8" t="inlineStr">
        <is>
          <t>Factor</t>
        </is>
      </c>
      <c r="F1066" s="8" t="inlineStr">
        <is>
          <t>CoefficientPercent</t>
        </is>
      </c>
      <c r="G1066" s="8" t="inlineStr">
        <is>
          <t>EffectiveHits</t>
        </is>
      </c>
      <c r="H1066" s="8" t="inlineStr">
        <is>
          <t>ProcProbability</t>
        </is>
      </c>
      <c r="I1066" s="8" t="inlineStr">
        <is>
          <t>MapleHeroMultiplier</t>
        </is>
      </c>
      <c r="J1066" s="8" t="inlineStr">
        <is>
          <t>BaseDamage</t>
        </is>
      </c>
      <c r="K1066" s="8" t="inlineStr">
        <is>
          <t>BaseHitDamage</t>
        </is>
      </c>
      <c r="L1066" s="8" t="inlineStr">
        <is>
          <t>NonCritAvg</t>
        </is>
      </c>
      <c r="M1066" s="8" t="inlineStr">
        <is>
          <t>CritAvg</t>
        </is>
      </c>
      <c r="N1066" s="8" t="inlineStr">
        <is>
          <t>ExpectedDamage(perHit)</t>
        </is>
      </c>
      <c r="O1066" s="8" t="inlineStr">
        <is>
          <t>DPS</t>
        </is>
      </c>
      <c r="P1066" s="8" t="inlineStr">
        <is>
          <t>% of Total</t>
        </is>
      </c>
      <c r="Q1066" s="8" t="inlineStr">
        <is>
          <t>InvCooldown</t>
        </is>
      </c>
      <c r="R1066" s="8" t="inlineStr">
        <is>
          <t>CastsInFight</t>
        </is>
      </c>
      <c r="S1066" s="8" t="inlineStr">
        <is>
          <t>HitRate(perSec)</t>
        </is>
      </c>
      <c r="U1066" t="inlineStr">
        <is>
          <t>helpers</t>
        </is>
      </c>
    </row>
    <row r="1067">
      <c r="A1067">
        <f>Skills!A2</f>
        <v/>
      </c>
      <c r="B1067">
        <f>Skills!B2</f>
        <v/>
      </c>
      <c r="C1067">
        <f>Inputs!$B$3&gt;=100</f>
        <v/>
      </c>
      <c r="D1067" t="inlineStr"/>
      <c r="E1067" t="inlineStr"/>
      <c r="F1067">
        <f>U1069+Skills!O2</f>
        <v/>
      </c>
      <c r="G1067">
        <f>Skills!G2*IF(Skills!H2&gt;0,Skills!I2/Skills!H2,1)</f>
        <v/>
      </c>
      <c r="H1067">
        <f>1-(1-Skills!J2/100)^Skills!K2</f>
        <v/>
      </c>
      <c r="I1067" t="inlineStr">
        <is>
          <t>1</t>
        </is>
      </c>
      <c r="J1067">
        <f>(Inputs!$B$5*(1+Inputs!$B$6/100))*(F1067/100)</f>
        <v/>
      </c>
      <c r="K1067">
        <f>J1067*(1+((Inputs!$B$11*(1+Inputs!$B$12/100))*0.01+Inputs!$B$13*0.0025)/100)*(1+Inputs!$B$14/100)*(1+IF(Inputs!$B$4="pvp",0,(1-Summary!$B$55)*(Inputs!$B$19+0+Skills!P2)+Summary!$B$55*(Inputs!$B$20+Skills!Q2))/100)*(1+Inputs!$B$15/100)*(5000/(6000+Inputs!$B$7*(1-(Inputs!$B$18+0)/100)))*(1+(Inputs!$B$23+((C1089=TRUE)*(F1089-Calc!F24))+((C1090=TRUE)*(F1090-Calc!F25))+B1103)/100)*(1+(IF(Skills!A2="EMPOWERED_PIERCING_ARROW",Inputs!$B$16+((C1087=TRUE)*(F1087-Calc!F22)),Inputs!$B$17+((C1092=TRUE)*(F1092-Calc!F27))))/100)*((1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I1067)</f>
        <v/>
      </c>
      <c r="L1067">
        <f>K1067*(MIN(Inputs!$B$21+((C1088=TRUE)*(F1088-Calc!F23)),Inputs!$B$22+((C1093=TRUE)*(F1093-Calc!F28)))/100+(Inputs!$B$22+((C1093=TRUE)*(F1093-Calc!F28)))/100)/2</f>
        <v/>
      </c>
      <c r="M1067">
        <f>L1067*(1+(Inputs!$B$9+0+B1102)/100)</f>
        <v/>
      </c>
      <c r="N1067">
        <f>L1067*(1-MIN((Inputs!$B$8+((C1084=TRUE)*(F1084-Calc!F19))+B1097),100)/100)+M1067*(MIN((Inputs!$B$8+((C1084=TRUE)*(F1084-Calc!F19))+B1097),100)/100)</f>
        <v/>
      </c>
      <c r="O1067">
        <f>IF(C1067,Skills!G2*N1067*B1101*IF(Inputs!$B$4="pvp",1,(1-Summary!$B$55)*(1)+Summary!$B$55*(MIN((6+(Inputs!$B$32+1)),Inputs!$B$37))),0)</f>
        <v/>
      </c>
      <c r="P1067">
        <f>IF(B1105=0,0,O1067/B1105)</f>
        <v/>
      </c>
      <c r="Q1067" t="n">
        <v>0</v>
      </c>
      <c r="R1067" t="n">
        <v>0</v>
      </c>
      <c r="S1067">
        <f>IFERROR(O1067/N1067,0)</f>
        <v/>
      </c>
      <c r="U1067">
        <f>MAX(0,(Inputs!$B$3-100)*3)+Inputs!$B$27+Inputs!$B$28</f>
        <v/>
      </c>
    </row>
    <row r="1068">
      <c r="A1068">
        <f>Skills!A3</f>
        <v/>
      </c>
      <c r="B1068">
        <f>Skills!B3</f>
        <v/>
      </c>
      <c r="C1068">
        <f>Inputs!$B$3&gt;=50</f>
        <v/>
      </c>
      <c r="D1068">
        <f>IF(Skills!C3=1,60+Inputs!$B$24+Inputs!$B$28,IF(Skills!C3=2,90+Inputs!$B$25+Inputs!$B$28,IF(Skills!C3=3,120+Inputs!$B$26+Inputs!$B$28,MAX(0,(Inputs!$B$3-100)*3)+Inputs!$B$27+Inputs!$B$28)))</f>
        <v/>
      </c>
      <c r="E1068">
        <f>INDEX(FactorTable!$B$2:$Y$301, MATCH(ROUND(MIN(300,MAX(1,D1068)),0), FactorTable!$A$2:$A$301,0), Skills!M3+1)</f>
        <v/>
      </c>
      <c r="F1068">
        <f>IF(Skills!N3=TRUE,(Skills!L3/10)*(E1068/1000),Skills!L3/10)+Skills!O3</f>
        <v/>
      </c>
      <c r="G1068" t="inlineStr"/>
      <c r="H1068" t="inlineStr"/>
      <c r="I1068" t="inlineStr">
        <is>
          <t>1</t>
        </is>
      </c>
      <c r="J1068" t="inlineStr"/>
      <c r="K1068" t="inlineStr"/>
      <c r="L1068" t="inlineStr"/>
      <c r="M1068" t="inlineStr"/>
      <c r="N1068" t="inlineStr"/>
      <c r="O1068" t="inlineStr"/>
      <c r="P1068" t="inlineStr"/>
      <c r="Q1068" t="inlineStr"/>
      <c r="R1068" t="inlineStr"/>
      <c r="S1068" t="inlineStr"/>
      <c r="U1068">
        <f>INDEX(FactorTable!$B$2:$Y$301, MATCH(ROUND(MIN(300,MAX(1,U1067)),0), FactorTable!$A$2:$A$301,0), 22)</f>
        <v/>
      </c>
    </row>
    <row r="1069">
      <c r="A1069">
        <f>Skills!A4</f>
        <v/>
      </c>
      <c r="B1069">
        <f>Skills!B4</f>
        <v/>
      </c>
      <c r="C1069">
        <f>Inputs!$B$3&gt;=105</f>
        <v/>
      </c>
      <c r="D1069">
        <f>IF(Skills!C4=1,60+Inputs!$B$24+Inputs!$B$28,IF(Skills!C4=2,90+Inputs!$B$25+Inputs!$B$28,IF(Skills!C4=3,120+Inputs!$B$26+Inputs!$B$28,MAX(0,(Inputs!$B$3-100)*3)+Inputs!$B$27+Inputs!$B$28)))</f>
        <v/>
      </c>
      <c r="E1069">
        <f>INDEX(FactorTable!$B$2:$Y$301, MATCH(ROUND(MIN(300,MAX(1,D1069)),0), FactorTable!$A$2:$A$301,0), Skills!M4+1)</f>
        <v/>
      </c>
      <c r="F1069">
        <f>IF(Skills!N4=TRUE,(Skills!L4/10)*(E1069/1000),Skills!L4/10)+Skills!O4</f>
        <v/>
      </c>
      <c r="G1069" t="inlineStr"/>
      <c r="H1069" t="inlineStr"/>
      <c r="I1069" t="inlineStr">
        <is>
          <t>1</t>
        </is>
      </c>
      <c r="J1069" t="inlineStr"/>
      <c r="K1069" t="inlineStr"/>
      <c r="L1069" t="inlineStr"/>
      <c r="M1069" t="inlineStr"/>
      <c r="N1069" t="inlineStr"/>
      <c r="O1069" t="inlineStr"/>
      <c r="P1069" t="inlineStr"/>
      <c r="Q1069" t="inlineStr"/>
      <c r="R1069" t="inlineStr"/>
      <c r="S1069" t="inlineStr"/>
      <c r="U1069">
        <f>290*U1068/1000</f>
        <v/>
      </c>
    </row>
    <row r="1070">
      <c r="A1070">
        <f>Skills!A5</f>
        <v/>
      </c>
      <c r="B1070">
        <f>Skills!B5</f>
        <v/>
      </c>
      <c r="C1070">
        <f>Inputs!$B$3&gt;=35</f>
        <v/>
      </c>
      <c r="D1070">
        <f>IF(Skills!C5=1,60+Inputs!$B$24+Inputs!$B$28,IF(Skills!C5=2,90+Inputs!$B$25+Inputs!$B$28,IF(Skills!C5=3,120+Inputs!$B$26+Inputs!$B$28,MAX(0,(Inputs!$B$3-100)*3)+Inputs!$B$27+Inputs!$B$28)))</f>
        <v/>
      </c>
      <c r="E1070">
        <f>INDEX(FactorTable!$B$2:$Y$301, MATCH(ROUND(MIN(300,MAX(1,D1070)),0), FactorTable!$A$2:$A$301,0), Skills!M5+1)</f>
        <v/>
      </c>
      <c r="F1070">
        <f>IF(Skills!N5=TRUE,(Skills!L5/10)*(E1070/1000),Skills!L5/10)+Skills!O5</f>
        <v/>
      </c>
      <c r="G1070">
        <f>Skills!G5*IF(Skills!H5&gt;0,Skills!I5/Skills!H5,1)</f>
        <v/>
      </c>
      <c r="H1070">
        <f>1-(1-Skills!J5/100)^Skills!K5</f>
        <v/>
      </c>
      <c r="I1070" t="inlineStr">
        <is>
          <t>1</t>
        </is>
      </c>
      <c r="J1070">
        <f>(Inputs!$B$5*(1+Inputs!$B$6/100))*(F1070/100)</f>
        <v/>
      </c>
      <c r="K1070">
        <f>J1070*(1+((Inputs!$B$11*(1+Inputs!$B$12/100))*0.01+Inputs!$B$13*0.0025)/100)*(1+Inputs!$B$14/100)*(1+IF(Inputs!$B$4="pvp",0,(1-Summary!$B$55)*(Inputs!$B$19+0+Skills!P5)+Summary!$B$55*(Inputs!$B$20+Skills!Q5))/100)*(1+Inputs!$B$15/100)*(5000/(6000+Inputs!$B$7*(1-(Inputs!$B$18+0)/100)))*(1+(Inputs!$B$23+((C1089=TRUE)*(F1089-Calc!F24))+((C1090=TRUE)*(F1090-Calc!F25))+B1103)/100)*(1+4.0*IF(C1073=TRUE,F1073,0)/100)*(1+(IF(Skills!A5="EMPOWERED_PIERCING_ARROW",Inputs!$B$16+((C1087=TRUE)*(F1087-Calc!F22)),Inputs!$B$17+((C1092=TRUE)*(F1092-Calc!F27))))/100)*((1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I1070)</f>
        <v/>
      </c>
      <c r="L1070">
        <f>K1070*(MIN(Inputs!$B$21+((C1088=TRUE)*(F1088-Calc!F23)),Inputs!$B$22+((C1093=TRUE)*(F1093-Calc!F28)))/100+(Inputs!$B$22+((C1093=TRUE)*(F1093-Calc!F28)))/100)/2</f>
        <v/>
      </c>
      <c r="M1070">
        <f>L1070*(1+(Inputs!$B$9+0+B1102)/100)</f>
        <v/>
      </c>
      <c r="N1070">
        <f>L1070*(1-MIN((Inputs!$B$8+((C1084=TRUE)*(F1084-Calc!F19))+B1097),100)/100)+M1070*(MIN((Inputs!$B$8+((C1084=TRUE)*(F1084-Calc!F19))+B1097),100)/100)</f>
        <v/>
      </c>
      <c r="O1070">
        <f>IF(C1070,H1070*N1070*IF(AND(Inputs!$B$4&lt;&gt;"pvp",Inputs!$B$35&gt;0),((Skills!G5*((R1070-1)*IF(Skills!H5&gt;0,Skills!I5/Skills!H5,1)+IF(Skills!H5&gt;0,MIN(Skills!I5,MAX(0,Inputs!$B$35-((R1070-1)*IF(Inputs!$B$4="pvp",15,MAX(0.1,Skills!D5-IF(Skills!E5=TRUE,Inputs!$B$31,0))))))/Skills!H5,1)))/Inputs!$B$35),G1070*Q1070)*IF(Inputs!$B$4="pvp",1,(1-Summary!$B$55)*(1)+Summary!$B$55*(MIN(Skills!R5,Inputs!$B$37))),0)</f>
        <v/>
      </c>
      <c r="P1070">
        <f>IF(B1105=0,0,O1070/B1105)</f>
        <v/>
      </c>
      <c r="Q1070">
        <f>IFERROR(1/IF(Inputs!$B$4="pvp",15,MAX(0.1,Skills!D5-IF(Skills!E5=TRUE,Inputs!$B$31,0))),0)</f>
        <v/>
      </c>
      <c r="R1070">
        <f>IF(AND(Inputs!$B$4&lt;&gt;"pvp",Inputs!$B$35&gt;0),(INT(Inputs!$B$35/IF(Inputs!$B$4="pvp",15,MAX(0.1,Skills!D5-IF(Skills!E5=TRUE,Inputs!$B$31,0))))+1),0)</f>
        <v/>
      </c>
      <c r="S1070">
        <f>IFERROR(O1070/N1070,0)</f>
        <v/>
      </c>
    </row>
    <row r="1071">
      <c r="A1071">
        <f>Skills!A6</f>
        <v/>
      </c>
      <c r="B1071">
        <f>Skills!B6</f>
        <v/>
      </c>
      <c r="C1071">
        <f>Inputs!$B$3&gt;=63</f>
        <v/>
      </c>
      <c r="D1071">
        <f>IF(Skills!C6=1,60+Inputs!$B$24+Inputs!$B$28,IF(Skills!C6=2,90+Inputs!$B$25+Inputs!$B$28,IF(Skills!C6=3,120+Inputs!$B$26+Inputs!$B$28,MAX(0,(Inputs!$B$3-100)*3)+Inputs!$B$27+Inputs!$B$28)))</f>
        <v/>
      </c>
      <c r="E1071">
        <f>INDEX(FactorTable!$B$2:$Y$301, MATCH(ROUND(MIN(300,MAX(1,D1071)),0), FactorTable!$A$2:$A$301,0), Skills!M6+1)</f>
        <v/>
      </c>
      <c r="F1071">
        <f>IF(Skills!N6=TRUE,(Skills!L6/10)*(E1071/1000),Skills!L6/10)+Skills!O6</f>
        <v/>
      </c>
      <c r="G1071">
        <f>Skills!G6*IF(Skills!H6&gt;0,Skills!I6/Skills!H6,1)</f>
        <v/>
      </c>
      <c r="H1071">
        <f>1-(1-Skills!J6/100)^Skills!K6</f>
        <v/>
      </c>
      <c r="I1071" t="inlineStr">
        <is>
          <t>1</t>
        </is>
      </c>
      <c r="J1071">
        <f>(Inputs!$B$5*(1+Inputs!$B$6/100))*(F1071/100)</f>
        <v/>
      </c>
      <c r="K1071">
        <f>J1071*(1+((Inputs!$B$11*(1+Inputs!$B$12/100))*0.01+Inputs!$B$13*0.0025)/100)*(1+Inputs!$B$14/100)*(1+IF(Inputs!$B$4="pvp",0,(1-Summary!$B$55)*(Inputs!$B$19+0+Skills!P6)+Summary!$B$55*(Inputs!$B$20+Skills!Q6))/100)*(1+Inputs!$B$15/100)*(5000/(6000+Inputs!$B$7*(1-(Inputs!$B$18+0)/100)))*(1+(Inputs!$B$23+((C1089=TRUE)*(F1089-Calc!F24))+((C1090=TRUE)*(F1090-Calc!F25))+B1103)/100)*(1+1.0*IF(C1073=TRUE,F1073,0)/100)*(1+(IF(Skills!A6="EMPOWERED_PIERCING_ARROW",Inputs!$B$16+((C1087=TRUE)*(F1087-Calc!F22)),Inputs!$B$17+((C1092=TRUE)*(F1092-Calc!F27))))/100)*((1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I1071)</f>
        <v/>
      </c>
      <c r="L1071">
        <f>K1071*(MIN(Inputs!$B$21+((C1088=TRUE)*(F1088-Calc!F23)),Inputs!$B$22+((C1093=TRUE)*(F1093-Calc!F28)))/100+(Inputs!$B$22+((C1093=TRUE)*(F1093-Calc!F28)))/100)/2</f>
        <v/>
      </c>
      <c r="M1071">
        <f>L1071*(1+(Inputs!$B$9+0+B1102)/100)</f>
        <v/>
      </c>
      <c r="N1071">
        <f>L1071*(1-MIN((Inputs!$B$8+((C1084=TRUE)*(F1084-Calc!F19))+B1097),100)/100)+M1071*(MIN((Inputs!$B$8+((C1084=TRUE)*(F1084-Calc!F19))+B1097),100)/100)</f>
        <v/>
      </c>
      <c r="O1071">
        <f>IF(C1071,H1071*N1071*IF(AND(Inputs!$B$4&lt;&gt;"pvp",Inputs!$B$35&gt;0),((Skills!G6*((R1071-1)*IF(Skills!H6&gt;0,Skills!I6/Skills!H6,1)+IF(Skills!H6&gt;0,MIN(Skills!I6,MAX(0,Inputs!$B$35-((R1071-1)*IF(Inputs!$B$4="pvp",15,MAX(0.1,Skills!D6-IF(Skills!E6=TRUE,Inputs!$B$31,0))))))/Skills!H6,1)))/Inputs!$B$35),G1071*Q1071)*IF(Inputs!$B$4="pvp",1,(1-Summary!$B$55)*(1)+Summary!$B$55*(MIN(Skills!R6,Inputs!$B$37))),0)</f>
        <v/>
      </c>
      <c r="P1071">
        <f>IF(B1105=0,0,O1071/B1105)</f>
        <v/>
      </c>
      <c r="Q1071">
        <f>IFERROR(1/IF(Inputs!$B$4="pvp",15,MAX(0.1,Skills!D6-IF(Skills!E6=TRUE,Inputs!$B$31,0))),0)</f>
        <v/>
      </c>
      <c r="R1071">
        <f>IF(AND(Inputs!$B$4&lt;&gt;"pvp",Inputs!$B$35&gt;0),(INT(Inputs!$B$35/IF(Inputs!$B$4="pvp",15,MAX(0.1,Skills!D6-IF(Skills!E6=TRUE,Inputs!$B$31,0))))+1),0)</f>
        <v/>
      </c>
      <c r="S1071">
        <f>IFERROR(O1071/N1071,0)</f>
        <v/>
      </c>
    </row>
    <row r="1072">
      <c r="A1072">
        <f>Skills!A7</f>
        <v/>
      </c>
      <c r="B1072">
        <f>Skills!B7</f>
        <v/>
      </c>
      <c r="C1072">
        <f>Inputs!$B$3&gt;=69</f>
        <v/>
      </c>
      <c r="D1072">
        <f>IF(Skills!C7=1,60+Inputs!$B$24+Inputs!$B$28,IF(Skills!C7=2,90+Inputs!$B$25+Inputs!$B$28,IF(Skills!C7=3,120+Inputs!$B$26+Inputs!$B$28,MAX(0,(Inputs!$B$3-100)*3)+Inputs!$B$27+Inputs!$B$28)))</f>
        <v/>
      </c>
      <c r="E1072">
        <f>INDEX(FactorTable!$B$2:$Y$301, MATCH(ROUND(MIN(300,MAX(1,D1072)),0), FactorTable!$A$2:$A$301,0), Skills!M7+1)</f>
        <v/>
      </c>
      <c r="F1072">
        <f>IF(Skills!N7=TRUE,(Skills!L7/10)*(E1072/1000),Skills!L7/10)+Skills!O7</f>
        <v/>
      </c>
      <c r="G1072">
        <f>Skills!G7*IF(Skills!H7&gt;0,Skills!I7/Skills!H7,1)</f>
        <v/>
      </c>
      <c r="H1072">
        <f>1-(1-Skills!J7/100)^Skills!K7</f>
        <v/>
      </c>
      <c r="I1072" t="inlineStr">
        <is>
          <t>1</t>
        </is>
      </c>
      <c r="J1072">
        <f>(Inputs!$B$5*(1+Inputs!$B$6/100))*(F1072/100)</f>
        <v/>
      </c>
      <c r="K1072">
        <f>J1072*(1+((Inputs!$B$11*(1+Inputs!$B$12/100))*0.01+Inputs!$B$13*0.0025)/100)*(1+Inputs!$B$14/100)*(1+IF(Inputs!$B$4="pvp",0,(1-Summary!$B$55)*(Inputs!$B$19+0+Skills!P7)+Summary!$B$55*(Inputs!$B$20+Skills!Q7))/100)*(1+Inputs!$B$15/100)*(5000/(6000+Inputs!$B$7*(1-(Inputs!$B$18+0)/100)))*(1+(Inputs!$B$23+((C1089=TRUE)*(F1089-Calc!F24))+((C1090=TRUE)*(F1090-Calc!F25))+B1103)/100)*(1+1.2*IF(C1073=TRUE,F1073,0)/100)*(1+(IF(Skills!A7="EMPOWERED_PIERCING_ARROW",Inputs!$B$16+((C1087=TRUE)*(F1087-Calc!F22)),Inputs!$B$17+((C1092=TRUE)*(F1092-Calc!F27))))/100)*((1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I1072)</f>
        <v/>
      </c>
      <c r="L1072">
        <f>K1072*(MIN(Inputs!$B$21+((C1088=TRUE)*(F1088-Calc!F23)),Inputs!$B$22+((C1093=TRUE)*(F1093-Calc!F28)))/100+(Inputs!$B$22+((C1093=TRUE)*(F1093-Calc!F28)))/100)/2</f>
        <v/>
      </c>
      <c r="M1072">
        <f>L1072*(1+(Inputs!$B$9+0+B1102)/100)</f>
        <v/>
      </c>
      <c r="N1072">
        <f>L1072*(1-MIN((Inputs!$B$8+((C1084=TRUE)*(F1084-Calc!F19))+B1097),100)/100)+M1072*(MIN((Inputs!$B$8+((C1084=TRUE)*(F1084-Calc!F19))+B1097),100)/100)</f>
        <v/>
      </c>
      <c r="O1072">
        <f>IF(C1072,H1072*N1072*IF(AND(Inputs!$B$4&lt;&gt;"pvp",Inputs!$B$35&gt;0),((Skills!G7*((R1072-1)*IF(Skills!H7&gt;0,Skills!I7/Skills!H7,1)+IF(Skills!H7&gt;0,MIN(Skills!I7,MAX(0,Inputs!$B$35-((R1072-1)*IF(Inputs!$B$4="pvp",15,MAX(0.1,Skills!D7-IF(Skills!E7=TRUE,Inputs!$B$31,0))))))/Skills!H7,1)))/Inputs!$B$35),G1072*Q1072)*IF(Inputs!$B$4="pvp",1,(1-Summary!$B$55)*(1)+Summary!$B$55*(MIN(Skills!R7,Inputs!$B$37))),0)</f>
        <v/>
      </c>
      <c r="P1072">
        <f>IF(B1105=0,0,O1072/B1105)</f>
        <v/>
      </c>
      <c r="Q1072">
        <f>IFERROR(1/IF(Inputs!$B$4="pvp",15,MAX(0.1,Skills!D7-IF(Skills!E7=TRUE,Inputs!$B$31,0))),0)</f>
        <v/>
      </c>
      <c r="R1072">
        <f>IF(AND(Inputs!$B$4&lt;&gt;"pvp",Inputs!$B$35&gt;0),(INT(Inputs!$B$35/IF(Inputs!$B$4="pvp",15,MAX(0.1,Skills!D7-IF(Skills!E7=TRUE,Inputs!$B$31,0))))+1),0)</f>
        <v/>
      </c>
      <c r="S1072">
        <f>IFERROR(O1072/N1072,0)</f>
        <v/>
      </c>
    </row>
    <row r="1073">
      <c r="A1073">
        <f>Skills!A8</f>
        <v/>
      </c>
      <c r="B1073">
        <f>Skills!B8</f>
        <v/>
      </c>
      <c r="C1073">
        <f>Inputs!$B$3&gt;=100</f>
        <v/>
      </c>
      <c r="D1073">
        <f>IF(Skills!C8=1,60+Inputs!$B$24+Inputs!$B$28,IF(Skills!C8=2,90+Inputs!$B$25+Inputs!$B$28,IF(Skills!C8=3,120+Inputs!$B$26+Inputs!$B$28,MAX(0,(Inputs!$B$3-100)*3)+Inputs!$B$27+Inputs!$B$28)))</f>
        <v/>
      </c>
      <c r="E1073">
        <f>INDEX(FactorTable!$B$2:$Y$301, MATCH(ROUND(MIN(300,MAX(1,D1073)),0), FactorTable!$A$2:$A$301,0), Skills!M8+1)</f>
        <v/>
      </c>
      <c r="F1073">
        <f>IF(Skills!N8=TRUE,(Skills!L8/10)*(E1073/1000),Skills!L8/10)+Skills!O8</f>
        <v/>
      </c>
      <c r="G1073" t="inlineStr"/>
      <c r="H1073" t="inlineStr"/>
      <c r="I1073" t="inlineStr">
        <is>
          <t>1</t>
        </is>
      </c>
      <c r="J1073" t="inlineStr"/>
      <c r="K1073" t="inlineStr"/>
      <c r="L1073" t="inlineStr"/>
      <c r="M1073" t="inlineStr"/>
      <c r="N1073" t="inlineStr"/>
      <c r="O1073" t="inlineStr"/>
      <c r="P1073" t="inlineStr"/>
      <c r="Q1073" t="inlineStr"/>
      <c r="R1073" t="inlineStr"/>
      <c r="S1073" t="inlineStr"/>
    </row>
    <row r="1074">
      <c r="A1074">
        <f>Skills!A9</f>
        <v/>
      </c>
      <c r="B1074">
        <f>Skills!B9</f>
        <v/>
      </c>
      <c r="C1074">
        <f>Inputs!$B$3&gt;=103</f>
        <v/>
      </c>
      <c r="D1074">
        <f>IF(Skills!C9=1,60+Inputs!$B$24+Inputs!$B$28,IF(Skills!C9=2,90+Inputs!$B$25+Inputs!$B$28,IF(Skills!C9=3,120+Inputs!$B$26+Inputs!$B$28,MAX(0,(Inputs!$B$3-100)*3)+Inputs!$B$27+Inputs!$B$28)))</f>
        <v/>
      </c>
      <c r="E1074">
        <f>INDEX(FactorTable!$B$2:$Y$301, MATCH(ROUND(MIN(300,MAX(1,D1074)),0), FactorTable!$A$2:$A$301,0), Skills!M9+1)</f>
        <v/>
      </c>
      <c r="F1074">
        <f>IF(Skills!N9=TRUE,(Skills!L9/10)*(E1074/1000),Skills!L9/10)+Skills!O9</f>
        <v/>
      </c>
      <c r="G1074">
        <f>Skills!G9*IF(Skills!H9&gt;0,Skills!I9/Skills!H9,1)</f>
        <v/>
      </c>
      <c r="H1074">
        <f>1-(1-Skills!J9/100)^Skills!K9</f>
        <v/>
      </c>
      <c r="I1074" t="inlineStr">
        <is>
          <t>1</t>
        </is>
      </c>
      <c r="J1074">
        <f>(Inputs!$B$5*(1+Inputs!$B$6/100))*(F1074/100)</f>
        <v/>
      </c>
      <c r="K1074">
        <f>J1074*(1+((Inputs!$B$11*(1+Inputs!$B$12/100))*0.01+Inputs!$B$13*0.0025)/100)*(1+Inputs!$B$14/100)*(1+IF(Inputs!$B$4="pvp",0,(1-Summary!$B$55)*(Inputs!$B$19+0+Skills!P9)+Summary!$B$55*(Inputs!$B$20+Skills!Q9))/100)*(1+Inputs!$B$15/100)*(5000/(6000+Inputs!$B$7*(1-(Inputs!$B$18+0)/100)))*(1+(Inputs!$B$23+((C1089=TRUE)*(F1089-Calc!F24))+((C1090=TRUE)*(F1090-Calc!F25))+B1103)/100)*(1+(IF(Skills!A9="EMPOWERED_PIERCING_ARROW",Inputs!$B$16+((C1087=TRUE)*(F1087-Calc!F22)),Inputs!$B$17+((C1092=TRUE)*(F1092-Calc!F27))))/100)*((1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I1074)</f>
        <v/>
      </c>
      <c r="L1074">
        <f>K1074*(MIN(Inputs!$B$21+((C1088=TRUE)*(F1088-Calc!F23)),Inputs!$B$22+((C1093=TRUE)*(F1093-Calc!F28)))/100+(Inputs!$B$22+((C1093=TRUE)*(F1093-Calc!F28)))/100)/2</f>
        <v/>
      </c>
      <c r="M1074">
        <f>L1074*(1+(Inputs!$B$9+0+B1102)/100)</f>
        <v/>
      </c>
      <c r="N1074">
        <f>L1074*(1-MIN((Inputs!$B$8+((C1084=TRUE)*(F1084-Calc!F19))+B1097),100)/100)+M1074*(MIN((Inputs!$B$8+((C1084=TRUE)*(F1084-Calc!F19))+B1097),100)/100)</f>
        <v/>
      </c>
      <c r="O1074">
        <f>IF(C1074,H1074*N1074*IF(AND(Inputs!$B$4&lt;&gt;"pvp",Inputs!$B$35&gt;0),((Skills!G9*((R1074-1)*IF(Skills!H9&gt;0,Skills!I9/Skills!H9,1)+IF(Skills!H9&gt;0,MIN(Skills!I9,MAX(0,Inputs!$B$35-((R1074-1)*IF(Inputs!$B$4="pvp",15,MAX(0.1,Skills!D9-IF(Skills!E9=TRUE,Inputs!$B$31,0))))))/Skills!H9,1)))/Inputs!$B$35),G1074*Q1074)*IF(Inputs!$B$4="pvp",1,(1-Summary!$B$55)*(1)+Summary!$B$55*(MIN(Skills!R9,Inputs!$B$37))),0)</f>
        <v/>
      </c>
      <c r="P1074">
        <f>IF(B1105=0,0,O1074/B1105)</f>
        <v/>
      </c>
      <c r="Q1074">
        <f>IFERROR(1/IF(Inputs!$B$4="pvp",15,MAX(0.1,Skills!D9-IF(Skills!E9=TRUE,Inputs!$B$31,0))),0)</f>
        <v/>
      </c>
      <c r="R1074">
        <f>IF(AND(Inputs!$B$4&lt;&gt;"pvp",Inputs!$B$35&gt;0),(INT(Inputs!$B$35/IF(Inputs!$B$4="pvp",15,MAX(0.1,Skills!D9-IF(Skills!E9=TRUE,Inputs!$B$31,0))))+1),0)</f>
        <v/>
      </c>
      <c r="S1074">
        <f>IFERROR(O1074/N1074,0)</f>
        <v/>
      </c>
    </row>
    <row r="1075">
      <c r="A1075">
        <f>Skills!A10</f>
        <v/>
      </c>
      <c r="B1075">
        <f>Skills!B10</f>
        <v/>
      </c>
      <c r="C1075">
        <f>Inputs!$B$3&gt;=107</f>
        <v/>
      </c>
      <c r="D1075">
        <f>IF(Skills!C10=1,60+Inputs!$B$24+Inputs!$B$28,IF(Skills!C10=2,90+Inputs!$B$25+Inputs!$B$28,IF(Skills!C10=3,120+Inputs!$B$26+Inputs!$B$28,MAX(0,(Inputs!$B$3-100)*3)+Inputs!$B$27+Inputs!$B$28)))</f>
        <v/>
      </c>
      <c r="E1075">
        <f>INDEX(FactorTable!$B$2:$Y$301, MATCH(ROUND(MIN(300,MAX(1,D1075)),0), FactorTable!$A$2:$A$301,0), Skills!M10+1)</f>
        <v/>
      </c>
      <c r="F1075">
        <f>IF(Skills!N10=TRUE,(Skills!L10/10)*(E1075/1000),Skills!L10/10)+Skills!O10</f>
        <v/>
      </c>
      <c r="G1075">
        <f>Skills!G10*IF(Skills!H10&gt;0,Skills!I10/Skills!H10,1)</f>
        <v/>
      </c>
      <c r="H1075">
        <f>1-(1-Skills!J10/100)^Skills!K10</f>
        <v/>
      </c>
      <c r="I1075" t="inlineStr">
        <is>
          <t>1</t>
        </is>
      </c>
      <c r="J1075">
        <f>(Inputs!$B$5*(1+Inputs!$B$6/100))*(F1075/100)</f>
        <v/>
      </c>
      <c r="K1075">
        <f>J1075*(1+((Inputs!$B$11*(1+Inputs!$B$12/100))*0.01+Inputs!$B$13*0.0025)/100)*(1+Inputs!$B$14/100)*(1+IF(Inputs!$B$4="pvp",0,(1-Summary!$B$55)*(Inputs!$B$19+0+Skills!P10)+Summary!$B$55*(Inputs!$B$20+Skills!Q10))/100)*(1+Inputs!$B$15/100)*(5000/(6000+Inputs!$B$7*(1-(Inputs!$B$18+0)/100)))*(1+(Inputs!$B$23+((C1089=TRUE)*(F1089-Calc!F24))+((C1090=TRUE)*(F1090-Calc!F25))+B1103)/100)*(1+(IF(Skills!A10="EMPOWERED_PIERCING_ARROW",Inputs!$B$16+((C1087=TRUE)*(F1087-Calc!F22)),Inputs!$B$17+((C1092=TRUE)*(F1092-Calc!F27))))/100)*((1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I1075)</f>
        <v/>
      </c>
      <c r="L1075">
        <f>K1075*(MIN(Inputs!$B$21+((C1088=TRUE)*(F1088-Calc!F23)),Inputs!$B$22+((C1093=TRUE)*(F1093-Calc!F28)))/100+(Inputs!$B$22+((C1093=TRUE)*(F1093-Calc!F28)))/100)/2</f>
        <v/>
      </c>
      <c r="M1075">
        <f>L1075*(1+(Inputs!$B$9+0+B1102)/100)</f>
        <v/>
      </c>
      <c r="N1075">
        <f>L1075*(1-MIN((Inputs!$B$8+((C1084=TRUE)*(F1084-Calc!F19))+B1097),100)/100)+M1075*(MIN((Inputs!$B$8+((C1084=TRUE)*(F1084-Calc!F19))+B1097),100)/100)</f>
        <v/>
      </c>
      <c r="O1075">
        <f>IF(C1075,0.15*SUMPRODUCT((Skills!U2:U29=TRUE)*(C1067:C1094=TRUE)*S1067:S1094)*Skills!G10*N1075*IF(Inputs!$B$4="pvp",1,(1-Summary!$B$55)*(1)+Summary!$B$55*(MIN(Skills!R10,Inputs!$B$37))),0)</f>
        <v/>
      </c>
      <c r="P1075">
        <f>IF(B1105=0,0,O1075/B1105)</f>
        <v/>
      </c>
      <c r="Q1075" t="n">
        <v>0</v>
      </c>
      <c r="R1075" t="n">
        <v>0</v>
      </c>
      <c r="S1075" t="n">
        <v>0</v>
      </c>
    </row>
    <row r="1076">
      <c r="A1076">
        <f>Skills!A11</f>
        <v/>
      </c>
      <c r="B1076">
        <f>Skills!B11</f>
        <v/>
      </c>
      <c r="C1076">
        <f>Inputs!$B$3&gt;=110</f>
        <v/>
      </c>
      <c r="D1076">
        <f>IF(Skills!C11=1,60+Inputs!$B$24+Inputs!$B$28,IF(Skills!C11=2,90+Inputs!$B$25+Inputs!$B$28,IF(Skills!C11=3,120+Inputs!$B$26+Inputs!$B$28,MAX(0,(Inputs!$B$3-100)*3)+Inputs!$B$27+Inputs!$B$28)))</f>
        <v/>
      </c>
      <c r="E1076">
        <f>INDEX(FactorTable!$B$2:$Y$301, MATCH(ROUND(MIN(300,MAX(1,D1076)),0), FactorTable!$A$2:$A$301,0), Skills!M11+1)</f>
        <v/>
      </c>
      <c r="F1076">
        <f>IF(Skills!N11=TRUE,(Skills!L11/10)*(E1076/1000),Skills!L11/10)+Skills!O11</f>
        <v/>
      </c>
      <c r="G1076">
        <f>Skills!G11*IF(Skills!H11&gt;0,Skills!I11/Skills!H11,1)</f>
        <v/>
      </c>
      <c r="H1076">
        <f>1-(1-Skills!J11/100)^Skills!K11</f>
        <v/>
      </c>
      <c r="I1076" t="inlineStr">
        <is>
          <t>1</t>
        </is>
      </c>
      <c r="J1076">
        <f>(Inputs!$B$5*(1+Inputs!$B$6/100))*(F1076/100)</f>
        <v/>
      </c>
      <c r="K1076">
        <f>J1076*(1+((Inputs!$B$11*(1+Inputs!$B$12/100))*0.01+Inputs!$B$13*0.0025)/100)*(1+Inputs!$B$14/100)*(1+IF(Inputs!$B$4="pvp",0,(1-Summary!$B$55)*(Inputs!$B$19+0+Skills!P11)+Summary!$B$55*(Inputs!$B$20+Skills!Q11))/100)*(1+Inputs!$B$15/100)*(5000/(6000+Inputs!$B$7*(1-(Inputs!$B$18+0)/100)))*(1+(Inputs!$B$23+((C1089=TRUE)*(F1089-Calc!F24))+((C1090=TRUE)*(F1090-Calc!F25))+B1103)/100)*(1+(IF(Skills!A11="EMPOWERED_PIERCING_ARROW",Inputs!$B$16+((C1087=TRUE)*(F1087-Calc!F22)),Inputs!$B$17+((C1092=TRUE)*(F1092-Calc!F27))))/100)*((1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I1076)</f>
        <v/>
      </c>
      <c r="L1076">
        <f>K1076*(MIN(Inputs!$B$21+((C1088=TRUE)*(F1088-Calc!F23)),Inputs!$B$22+((C1093=TRUE)*(F1093-Calc!F28)))/100+(Inputs!$B$22+((C1093=TRUE)*(F1093-Calc!F28)))/100)/2</f>
        <v/>
      </c>
      <c r="M1076">
        <f>L1076*(1+(Inputs!$B$9+0+B1102)/100)</f>
        <v/>
      </c>
      <c r="N1076">
        <f>L1076*(1-MIN((Inputs!$B$8+((C1084=TRUE)*(F1084-Calc!F19))+B1097),100)/100)+M1076*(MIN((Inputs!$B$8+((C1084=TRUE)*(F1084-Calc!F19))+B1097),100)/100)</f>
        <v/>
      </c>
      <c r="O1076">
        <f>IF(C1076,H1076*N1076*IF(AND(Inputs!$B$4&lt;&gt;"pvp",Inputs!$B$35&gt;0),((Skills!G11*((R1076-1)*IF(Skills!H11&gt;0,Skills!I11/Skills!H11,1)+IF(Skills!H11&gt;0,MIN(Skills!I11,MAX(0,Inputs!$B$35-((R1076-1)*IF(Inputs!$B$4="pvp",15,MAX(0.1,Skills!D11-IF(Skills!E11=TRUE,Inputs!$B$31,0))))))/Skills!H11,1)))/Inputs!$B$35),G1076*Q1076)*IF(Inputs!$B$4="pvp",1,(1-Summary!$B$55)*(1)+Summary!$B$55*(MIN(Skills!R11,Inputs!$B$37))),0)</f>
        <v/>
      </c>
      <c r="P1076">
        <f>IF(B1105=0,0,O1076/B1105)</f>
        <v/>
      </c>
      <c r="Q1076">
        <f>IFERROR(1/IF(Inputs!$B$4="pvp",15,MAX(0.1,Skills!D11-IF(Skills!E11=TRUE,Inputs!$B$31,0))),0)</f>
        <v/>
      </c>
      <c r="R1076">
        <f>IF(AND(Inputs!$B$4&lt;&gt;"pvp",Inputs!$B$35&gt;0),(INT(Inputs!$B$35/IF(Inputs!$B$4="pvp",15,MAX(0.1,Skills!D11-IF(Skills!E11=TRUE,Inputs!$B$31,0))))+1),0)</f>
        <v/>
      </c>
      <c r="S1076">
        <f>IFERROR(O1076/N1076,0)</f>
        <v/>
      </c>
    </row>
    <row r="1077">
      <c r="A1077">
        <f>Skills!A12</f>
        <v/>
      </c>
      <c r="B1077">
        <f>Skills!B12</f>
        <v/>
      </c>
      <c r="C1077">
        <f>Inputs!$B$3&gt;=60</f>
        <v/>
      </c>
      <c r="D1077">
        <f>IF(Skills!C12=1,60+Inputs!$B$24+Inputs!$B$28,IF(Skills!C12=2,90+Inputs!$B$25+Inputs!$B$28,IF(Skills!C12=3,120+Inputs!$B$26+Inputs!$B$28,MAX(0,(Inputs!$B$3-100)*3)+Inputs!$B$27+Inputs!$B$28)))</f>
        <v/>
      </c>
      <c r="E1077">
        <f>INDEX(FactorTable!$B$2:$Y$301, MATCH(ROUND(MIN(300,MAX(1,D1077)),0), FactorTable!$A$2:$A$301,0), Skills!M12+1)</f>
        <v/>
      </c>
      <c r="F1077">
        <f>IF(Skills!N12=TRUE,(Skills!L12/10)*(E1077/1000),Skills!L12/10)+Skills!O12</f>
        <v/>
      </c>
      <c r="G1077">
        <f>Skills!G12*IF(Skills!H12&gt;0,Skills!I12/Skills!H12,1)</f>
        <v/>
      </c>
      <c r="H1077">
        <f>1-(1-Skills!J12/100)^Skills!K12</f>
        <v/>
      </c>
      <c r="I1077" t="inlineStr">
        <is>
          <t>1</t>
        </is>
      </c>
      <c r="J1077" t="inlineStr"/>
      <c r="K1077" t="inlineStr"/>
      <c r="L1077" t="inlineStr"/>
      <c r="M1077" t="inlineStr"/>
      <c r="N1077" t="inlineStr"/>
      <c r="O1077" t="n">
        <v>0</v>
      </c>
      <c r="P1077">
        <f>IF(B1105=0,0,O1077/B1105)</f>
        <v/>
      </c>
      <c r="Q1077" t="n">
        <v>0</v>
      </c>
      <c r="R1077" t="n">
        <v>0</v>
      </c>
      <c r="S1077">
        <f>IFERROR(O1077/N1077,0)</f>
        <v/>
      </c>
    </row>
    <row r="1078">
      <c r="A1078">
        <f>Skills!A13</f>
        <v/>
      </c>
      <c r="B1078">
        <f>Skills!B13</f>
        <v/>
      </c>
      <c r="C1078">
        <f>Inputs!$B$3&gt;=74</f>
        <v/>
      </c>
      <c r="D1078">
        <f>IF(Skills!C13=1,60+Inputs!$B$24+Inputs!$B$28,IF(Skills!C13=2,90+Inputs!$B$25+Inputs!$B$28,IF(Skills!C13=3,120+Inputs!$B$26+Inputs!$B$28,MAX(0,(Inputs!$B$3-100)*3)+Inputs!$B$27+Inputs!$B$28)))</f>
        <v/>
      </c>
      <c r="E1078">
        <f>INDEX(FactorTable!$B$2:$Y$301, MATCH(ROUND(MIN(300,MAX(1,D1078)),0), FactorTable!$A$2:$A$301,0), Skills!M13+1)</f>
        <v/>
      </c>
      <c r="F1078">
        <f>IF(Skills!N13=TRUE,(Skills!L13/10)*(E1078/1000),Skills!L13/10)+Skills!O13</f>
        <v/>
      </c>
      <c r="G1078">
        <f>Skills!G13*IF(Skills!H13&gt;0,Skills!I13/Skills!H13,1)</f>
        <v/>
      </c>
      <c r="H1078">
        <f>1-(1-Skills!J13/100)^Skills!K13</f>
        <v/>
      </c>
      <c r="I1078" t="inlineStr">
        <is>
          <t>1</t>
        </is>
      </c>
      <c r="J1078" t="inlineStr"/>
      <c r="K1078" t="inlineStr"/>
      <c r="L1078" t="inlineStr"/>
      <c r="M1078" t="inlineStr"/>
      <c r="N1078" t="inlineStr"/>
      <c r="O1078" t="n">
        <v>0</v>
      </c>
      <c r="P1078">
        <f>IF(B1105=0,0,O1078/B1105)</f>
        <v/>
      </c>
      <c r="Q1078" t="n">
        <v>0</v>
      </c>
      <c r="R1078" t="n">
        <v>0</v>
      </c>
      <c r="S1078">
        <f>IFERROR(O1078/N1078,0)</f>
        <v/>
      </c>
    </row>
    <row r="1079">
      <c r="A1079">
        <f>Skills!A14</f>
        <v/>
      </c>
      <c r="B1079">
        <f>Skills!B14</f>
        <v/>
      </c>
      <c r="C1079">
        <f>Inputs!$B$3&gt;=74</f>
        <v/>
      </c>
      <c r="D1079">
        <f>IF(Skills!C14=1,60+Inputs!$B$24+Inputs!$B$28,IF(Skills!C14=2,90+Inputs!$B$25+Inputs!$B$28,IF(Skills!C14=3,120+Inputs!$B$26+Inputs!$B$28,MAX(0,(Inputs!$B$3-100)*3)+Inputs!$B$27+Inputs!$B$28)))</f>
        <v/>
      </c>
      <c r="E1079">
        <f>INDEX(FactorTable!$B$2:$Y$301, MATCH(ROUND(MIN(300,MAX(1,D1079)),0), FactorTable!$A$2:$A$301,0), Skills!M14+1)</f>
        <v/>
      </c>
      <c r="F1079">
        <f>IF(Skills!N14=TRUE,(Skills!L14/10)*(E1079/1000),Skills!L14/10)+Skills!O14</f>
        <v/>
      </c>
      <c r="G1079">
        <f>Skills!G14*IF(Skills!H14&gt;0,Skills!I14/Skills!H14,1)</f>
        <v/>
      </c>
      <c r="H1079">
        <f>1-(1-Skills!J14/100)^Skills!K14</f>
        <v/>
      </c>
      <c r="I1079" t="inlineStr">
        <is>
          <t>1</t>
        </is>
      </c>
      <c r="J1079" t="inlineStr"/>
      <c r="K1079" t="inlineStr"/>
      <c r="L1079" t="inlineStr"/>
      <c r="M1079" t="inlineStr"/>
      <c r="N1079" t="inlineStr"/>
      <c r="O1079" t="n">
        <v>0</v>
      </c>
      <c r="P1079">
        <f>IF(B1105=0,0,O1079/B1105)</f>
        <v/>
      </c>
      <c r="Q1079" t="n">
        <v>0</v>
      </c>
      <c r="R1079" t="n">
        <v>0</v>
      </c>
      <c r="S1079">
        <f>IFERROR(O1079/N1079,0)</f>
        <v/>
      </c>
    </row>
    <row r="1080">
      <c r="A1080">
        <f>Skills!A15</f>
        <v/>
      </c>
      <c r="B1080">
        <f>Skills!B15</f>
        <v/>
      </c>
      <c r="C1080">
        <f>Inputs!$B$3&gt;=117</f>
        <v/>
      </c>
      <c r="D1080">
        <f>IF(Skills!C15=1,60+Inputs!$B$24+Inputs!$B$28,IF(Skills!C15=2,90+Inputs!$B$25+Inputs!$B$28,IF(Skills!C15=3,120+Inputs!$B$26+Inputs!$B$28,MAX(0,(Inputs!$B$3-100)*3)+Inputs!$B$27+Inputs!$B$28)))</f>
        <v/>
      </c>
      <c r="E1080">
        <f>INDEX(FactorTable!$B$2:$Y$301, MATCH(ROUND(MIN(300,MAX(1,D1080)),0), FactorTable!$A$2:$A$301,0), Skills!M15+1)</f>
        <v/>
      </c>
      <c r="F1080">
        <f>IF(Skills!N15=TRUE,(Skills!L15/10)*(E1080/1000),Skills!L15/10)+Skills!O15</f>
        <v/>
      </c>
      <c r="G1080">
        <f>Skills!G15*IF(Skills!H15&gt;0,Skills!I15/Skills!H15,1)</f>
        <v/>
      </c>
      <c r="H1080">
        <f>1-(1-Skills!J15/100)^Skills!K15</f>
        <v/>
      </c>
      <c r="I1080" t="inlineStr">
        <is>
          <t>1</t>
        </is>
      </c>
      <c r="J1080" t="inlineStr"/>
      <c r="K1080" t="inlineStr"/>
      <c r="L1080" t="inlineStr"/>
      <c r="M1080" t="inlineStr"/>
      <c r="N1080" t="inlineStr"/>
      <c r="O1080" t="n">
        <v>0</v>
      </c>
      <c r="P1080">
        <f>IF(B1105=0,0,O1080/B1105)</f>
        <v/>
      </c>
      <c r="Q1080">
        <f>IFERROR(1/IF(Inputs!$B$4="pvp",15,MAX(0.1,Skills!D15-IF(Skills!E15=TRUE,Inputs!$B$31,0))),0)</f>
        <v/>
      </c>
      <c r="R1080">
        <f>IF(AND(Inputs!$B$4&lt;&gt;"pvp",Inputs!$B$35&gt;0),(INT(Inputs!$B$35/IF(Inputs!$B$4="pvp",15,MAX(0.1,Skills!D15-IF(Skills!E15=TRUE,Inputs!$B$31,0))))+1),0)</f>
        <v/>
      </c>
      <c r="S1080">
        <f>IFERROR(O1080/N1080,0)</f>
        <v/>
      </c>
    </row>
    <row r="1081">
      <c r="A1081">
        <f>Skills!A16</f>
        <v/>
      </c>
      <c r="B1081">
        <f>Skills!B16</f>
        <v/>
      </c>
      <c r="C1081">
        <f>Inputs!$B$3&gt;=115</f>
        <v/>
      </c>
      <c r="D1081">
        <f>IF(Skills!C16=1,60+Inputs!$B$24+Inputs!$B$28,IF(Skills!C16=2,90+Inputs!$B$25+Inputs!$B$28,IF(Skills!C16=3,120+Inputs!$B$26+Inputs!$B$28,MAX(0,(Inputs!$B$3-100)*3)+Inputs!$B$27+Inputs!$B$28)))</f>
        <v/>
      </c>
      <c r="E1081">
        <f>INDEX(FactorTable!$B$2:$Y$301, MATCH(ROUND(MIN(300,MAX(1,D1081)),0), FactorTable!$A$2:$A$301,0), Skills!M16+1)</f>
        <v/>
      </c>
      <c r="F1081">
        <f>IF(Skills!N16=TRUE,(Skills!L16/10)*(E1081/1000),Skills!L16/10)+Skills!O16</f>
        <v/>
      </c>
      <c r="G1081">
        <f>Skills!G16*IF(Skills!H16&gt;0,Skills!I16/Skills!H16,1)</f>
        <v/>
      </c>
      <c r="H1081">
        <f>1-(1-Skills!J16/100)^Skills!K16</f>
        <v/>
      </c>
      <c r="I1081" t="inlineStr">
        <is>
          <t>1</t>
        </is>
      </c>
      <c r="J1081" t="inlineStr"/>
      <c r="K1081" t="inlineStr"/>
      <c r="L1081" t="inlineStr"/>
      <c r="M1081" t="inlineStr"/>
      <c r="N1081" t="inlineStr"/>
      <c r="O1081" t="n">
        <v>0</v>
      </c>
      <c r="P1081">
        <f>IF(B1105=0,0,O1081/B1105)</f>
        <v/>
      </c>
      <c r="Q1081">
        <f>IFERROR(1/IF(Inputs!$B$4="pvp",15,MAX(0.1,Skills!D16-IF(Skills!E16=TRUE,Inputs!$B$31,0))),0)</f>
        <v/>
      </c>
      <c r="R1081">
        <f>IF(AND(Inputs!$B$4&lt;&gt;"pvp",Inputs!$B$35&gt;0),(INT(Inputs!$B$35/IF(Inputs!$B$4="pvp",15,MAX(0.1,Skills!D16-IF(Skills!E16=TRUE,Inputs!$B$31,0))))+1),0)</f>
        <v/>
      </c>
      <c r="S1081">
        <f>IFERROR(O1081/N1081,0)</f>
        <v/>
      </c>
    </row>
    <row r="1082">
      <c r="A1082">
        <f>Skills!A17</f>
        <v/>
      </c>
      <c r="B1082">
        <f>Skills!B17</f>
        <v/>
      </c>
      <c r="C1082">
        <f>Inputs!$B$3&gt;=72</f>
        <v/>
      </c>
      <c r="D1082">
        <f>IF(Skills!C17=1,60+Inputs!$B$24+Inputs!$B$28,IF(Skills!C17=2,90+Inputs!$B$25+Inputs!$B$28,IF(Skills!C17=3,120+Inputs!$B$26+Inputs!$B$28,MAX(0,(Inputs!$B$3-100)*3)+Inputs!$B$27+Inputs!$B$28)))</f>
        <v/>
      </c>
      <c r="E1082">
        <f>INDEX(FactorTable!$B$2:$Y$301, MATCH(ROUND(MIN(300,MAX(1,D1082)),0), FactorTable!$A$2:$A$301,0), Skills!M17+1)</f>
        <v/>
      </c>
      <c r="F1082">
        <f>IF(Skills!N17=TRUE,(Skills!L17/10)*(E1082/1000),Skills!L17/10)+Skills!O17</f>
        <v/>
      </c>
      <c r="G1082">
        <f>Skills!G17*IF(Skills!H17&gt;0,Skills!I17/Skills!H17,1)</f>
        <v/>
      </c>
      <c r="H1082">
        <f>1-(1-Skills!J17/100)^Skills!K17</f>
        <v/>
      </c>
      <c r="I1082" t="inlineStr">
        <is>
          <t>1</t>
        </is>
      </c>
      <c r="J1082" t="inlineStr"/>
      <c r="K1082" t="inlineStr"/>
      <c r="L1082" t="inlineStr"/>
      <c r="M1082" t="inlineStr"/>
      <c r="N1082" t="inlineStr"/>
      <c r="O1082" t="n">
        <v>0</v>
      </c>
      <c r="P1082">
        <f>IF(B1105=0,0,O1082/B1105)</f>
        <v/>
      </c>
      <c r="Q1082" t="n">
        <v>0</v>
      </c>
      <c r="R1082" t="n">
        <v>0</v>
      </c>
      <c r="S1082">
        <f>IFERROR(O1082/N1082,0)</f>
        <v/>
      </c>
    </row>
    <row r="1083">
      <c r="A1083">
        <f>Skills!A18</f>
        <v/>
      </c>
      <c r="B1083">
        <f>Skills!B18</f>
        <v/>
      </c>
      <c r="C1083">
        <f>TRUE</f>
        <v/>
      </c>
      <c r="D1083">
        <f>IF(Skills!C18=1,60+Inputs!$B$24+Inputs!$B$28,IF(Skills!C18=2,90+Inputs!$B$25+Inputs!$B$28,IF(Skills!C18=3,120+Inputs!$B$26+Inputs!$B$28,MAX(0,(Inputs!$B$3-100)*3)+Inputs!$B$27+Inputs!$B$28)))</f>
        <v/>
      </c>
      <c r="E1083">
        <f>INDEX(FactorTable!$B$2:$Y$301, MATCH(ROUND(MIN(300,MAX(1,D1083)),0), FactorTable!$A$2:$A$301,0), Skills!M18+1)</f>
        <v/>
      </c>
      <c r="F1083">
        <f>IF(Skills!N18=TRUE,(Skills!L18/10)*(E1083/1000),Skills!L18/10)+Skills!O18</f>
        <v/>
      </c>
      <c r="G1083">
        <f>Skills!G18*IF(Skills!H18&gt;0,Skills!I18/Skills!H18,1)</f>
        <v/>
      </c>
      <c r="H1083">
        <f>1-(1-Skills!J18/100)^Skills!K18</f>
        <v/>
      </c>
      <c r="I1083" t="inlineStr">
        <is>
          <t>1</t>
        </is>
      </c>
      <c r="J1083" t="inlineStr"/>
      <c r="K1083" t="inlineStr"/>
      <c r="L1083" t="inlineStr"/>
      <c r="M1083" t="inlineStr"/>
      <c r="N1083" t="inlineStr"/>
      <c r="O1083" t="n">
        <v>0</v>
      </c>
      <c r="P1083">
        <f>IF(B1105=0,0,O1083/B1105)</f>
        <v/>
      </c>
      <c r="Q1083">
        <f>IFERROR(1/IF(Inputs!$B$4="pvp",15,MAX(0.1,Skills!D18-IF(Skills!E18=TRUE,Inputs!$B$31,0))),0)</f>
        <v/>
      </c>
      <c r="R1083">
        <f>IF(AND(Inputs!$B$4&lt;&gt;"pvp",Inputs!$B$35&gt;0),(INT(Inputs!$B$35/IF(Inputs!$B$4="pvp",15,MAX(0.1,Skills!D18-IF(Skills!E18=TRUE,Inputs!$B$31,0))))+1),0)</f>
        <v/>
      </c>
      <c r="S1083">
        <f>IFERROR(O1083/N1083,0)</f>
        <v/>
      </c>
    </row>
    <row r="1084">
      <c r="A1084">
        <f>Skills!A19</f>
        <v/>
      </c>
      <c r="B1084">
        <f>Skills!B19</f>
        <v/>
      </c>
      <c r="C1084">
        <f>Inputs!$B$3&gt;=15</f>
        <v/>
      </c>
      <c r="D1084">
        <f>IF(Skills!C19=1,60+Inputs!$B$24+Inputs!$B$28,IF(Skills!C19=2,90+Inputs!$B$25+Inputs!$B$28,IF(Skills!C19=3,120+Inputs!$B$26+Inputs!$B$28,MAX(0,(Inputs!$B$3-100)*3)+Inputs!$B$27+Inputs!$B$28)))</f>
        <v/>
      </c>
      <c r="E1084">
        <f>INDEX(FactorTable!$B$2:$Y$301, MATCH(ROUND(MIN(300,MAX(1,D1084)),0), FactorTable!$A$2:$A$301,0), Skills!M19+1)</f>
        <v/>
      </c>
      <c r="F1084">
        <f>IF(Skills!N19=TRUE,(Skills!L19/10)*(E1084/1000),Skills!L19/10)+Skills!O19</f>
        <v/>
      </c>
      <c r="G1084">
        <f>Skills!G19*IF(Skills!H19&gt;0,Skills!I19/Skills!H19,1)</f>
        <v/>
      </c>
      <c r="H1084">
        <f>1-(1-Skills!J19/100)^Skills!K19</f>
        <v/>
      </c>
      <c r="I1084" t="inlineStr">
        <is>
          <t>1</t>
        </is>
      </c>
      <c r="J1084" t="inlineStr"/>
      <c r="K1084" t="inlineStr"/>
      <c r="L1084" t="inlineStr"/>
      <c r="M1084" t="inlineStr"/>
      <c r="N1084" t="inlineStr"/>
      <c r="O1084" t="n">
        <v>0</v>
      </c>
      <c r="P1084">
        <f>IF(B1105=0,0,O1084/B1105)</f>
        <v/>
      </c>
      <c r="Q1084" t="n">
        <v>0</v>
      </c>
      <c r="R1084" t="n">
        <v>0</v>
      </c>
      <c r="S1084">
        <f>IFERROR(O1084/N1084,0)</f>
        <v/>
      </c>
    </row>
    <row r="1085">
      <c r="A1085">
        <f>Skills!A20</f>
        <v/>
      </c>
      <c r="B1085">
        <f>Skills!B20</f>
        <v/>
      </c>
      <c r="C1085">
        <f>Inputs!$B$3&gt;=10</f>
        <v/>
      </c>
      <c r="D1085">
        <f>IF(Skills!C20=1,60+Inputs!$B$24+Inputs!$B$28,IF(Skills!C20=2,90+Inputs!$B$25+Inputs!$B$28,IF(Skills!C20=3,120+Inputs!$B$26+Inputs!$B$28,MAX(0,(Inputs!$B$3-100)*3)+Inputs!$B$27+Inputs!$B$28)))</f>
        <v/>
      </c>
      <c r="E1085">
        <f>INDEX(FactorTable!$B$2:$Y$301, MATCH(ROUND(MIN(300,MAX(1,D1085)),0), FactorTable!$A$2:$A$301,0), Skills!M20+1)</f>
        <v/>
      </c>
      <c r="F1085">
        <f>IF(Skills!N20=TRUE,(Skills!L20/10)*(E1085/1000),Skills!L20/10)+Skills!O20</f>
        <v/>
      </c>
      <c r="G1085">
        <f>Skills!G20*IF(Skills!H20&gt;0,Skills!I20/Skills!H20,1)</f>
        <v/>
      </c>
      <c r="H1085">
        <f>1-(1-Skills!J20/100)^Skills!K20</f>
        <v/>
      </c>
      <c r="I1085" t="inlineStr">
        <is>
          <t>1</t>
        </is>
      </c>
      <c r="J1085" t="inlineStr"/>
      <c r="K1085" t="inlineStr"/>
      <c r="L1085" t="inlineStr"/>
      <c r="M1085" t="inlineStr"/>
      <c r="N1085" t="inlineStr"/>
      <c r="O1085" t="n">
        <v>0</v>
      </c>
      <c r="P1085">
        <f>IF(B1105=0,0,O1085/B1105)</f>
        <v/>
      </c>
      <c r="Q1085" t="n">
        <v>0</v>
      </c>
      <c r="R1085" t="n">
        <v>0</v>
      </c>
      <c r="S1085">
        <f>IFERROR(O1085/N1085,0)</f>
        <v/>
      </c>
    </row>
    <row r="1086">
      <c r="A1086">
        <f>Skills!A21</f>
        <v/>
      </c>
      <c r="B1086">
        <f>Skills!B21</f>
        <v/>
      </c>
      <c r="C1086">
        <f>Inputs!$B$3&gt;=33</f>
        <v/>
      </c>
      <c r="D1086">
        <f>IF(Skills!C21=1,60+Inputs!$B$24+Inputs!$B$28,IF(Skills!C21=2,90+Inputs!$B$25+Inputs!$B$28,IF(Skills!C21=3,120+Inputs!$B$26+Inputs!$B$28,MAX(0,(Inputs!$B$3-100)*3)+Inputs!$B$27+Inputs!$B$28)))</f>
        <v/>
      </c>
      <c r="E1086">
        <f>INDEX(FactorTable!$B$2:$Y$301, MATCH(ROUND(MIN(300,MAX(1,D1086)),0), FactorTable!$A$2:$A$301,0), Skills!M21+1)</f>
        <v/>
      </c>
      <c r="F1086">
        <f>IF(Skills!N21=TRUE,(Skills!L21/10)*(E1086/1000),Skills!L21/10)+Skills!O21</f>
        <v/>
      </c>
      <c r="G1086">
        <f>Skills!G21*IF(Skills!H21&gt;0,Skills!I21/Skills!H21,1)</f>
        <v/>
      </c>
      <c r="H1086">
        <f>1-(1-Skills!J21/100)^Skills!K21</f>
        <v/>
      </c>
      <c r="I1086" t="inlineStr">
        <is>
          <t>1</t>
        </is>
      </c>
      <c r="J1086" t="inlineStr"/>
      <c r="K1086" t="inlineStr"/>
      <c r="L1086" t="inlineStr"/>
      <c r="M1086" t="inlineStr"/>
      <c r="N1086" t="inlineStr"/>
      <c r="O1086" t="n">
        <v>0</v>
      </c>
      <c r="P1086">
        <f>IF(B1105=0,0,O1086/B1105)</f>
        <v/>
      </c>
      <c r="Q1086" t="n">
        <v>0</v>
      </c>
      <c r="R1086" t="n">
        <v>0</v>
      </c>
      <c r="S1086">
        <f>IFERROR(O1086/N1086,0)</f>
        <v/>
      </c>
    </row>
    <row r="1087">
      <c r="A1087">
        <f>Skills!A22</f>
        <v/>
      </c>
      <c r="B1087">
        <f>Skills!B22</f>
        <v/>
      </c>
      <c r="C1087">
        <f>Inputs!$B$3&gt;=38</f>
        <v/>
      </c>
      <c r="D1087">
        <f>IF(Skills!C22=1,60+Inputs!$B$24+Inputs!$B$28,IF(Skills!C22=2,90+Inputs!$B$25+Inputs!$B$28,IF(Skills!C22=3,120+Inputs!$B$26+Inputs!$B$28,MAX(0,(Inputs!$B$3-100)*3)+Inputs!$B$27+Inputs!$B$28)))</f>
        <v/>
      </c>
      <c r="E1087">
        <f>INDEX(FactorTable!$B$2:$Y$301, MATCH(ROUND(MIN(300,MAX(1,D1087)),0), FactorTable!$A$2:$A$301,0), Skills!M22+1)</f>
        <v/>
      </c>
      <c r="F1087">
        <f>IF(Skills!N22=TRUE,(Skills!L22/10)*(E1087/1000),Skills!L22/10)+Skills!O22</f>
        <v/>
      </c>
      <c r="G1087">
        <f>Skills!G22*IF(Skills!H22&gt;0,Skills!I22/Skills!H22,1)</f>
        <v/>
      </c>
      <c r="H1087">
        <f>1-(1-Skills!J22/100)^Skills!K22</f>
        <v/>
      </c>
      <c r="I1087" t="inlineStr">
        <is>
          <t>1</t>
        </is>
      </c>
      <c r="J1087" t="inlineStr"/>
      <c r="K1087" t="inlineStr"/>
      <c r="L1087" t="inlineStr"/>
      <c r="M1087" t="inlineStr"/>
      <c r="N1087" t="inlineStr"/>
      <c r="O1087" t="n">
        <v>0</v>
      </c>
      <c r="P1087">
        <f>IF(B1105=0,0,O1087/B1105)</f>
        <v/>
      </c>
      <c r="Q1087" t="n">
        <v>0</v>
      </c>
      <c r="R1087" t="n">
        <v>0</v>
      </c>
      <c r="S1087">
        <f>IFERROR(O1087/N1087,0)</f>
        <v/>
      </c>
    </row>
    <row r="1088">
      <c r="A1088">
        <f>Skills!A23</f>
        <v/>
      </c>
      <c r="B1088">
        <f>Skills!B23</f>
        <v/>
      </c>
      <c r="C1088">
        <f>Inputs!$B$3&gt;=43</f>
        <v/>
      </c>
      <c r="D1088">
        <f>IF(Skills!C23=1,60+Inputs!$B$24+Inputs!$B$28,IF(Skills!C23=2,90+Inputs!$B$25+Inputs!$B$28,IF(Skills!C23=3,120+Inputs!$B$26+Inputs!$B$28,MAX(0,(Inputs!$B$3-100)*3)+Inputs!$B$27+Inputs!$B$28)))</f>
        <v/>
      </c>
      <c r="E1088">
        <f>INDEX(FactorTable!$B$2:$Y$301, MATCH(ROUND(MIN(300,MAX(1,D1088)),0), FactorTable!$A$2:$A$301,0), Skills!M23+1)</f>
        <v/>
      </c>
      <c r="F1088">
        <f>IF(Skills!N23=TRUE,(Skills!L23/10)*(E1088/1000),Skills!L23/10)+Skills!O23</f>
        <v/>
      </c>
      <c r="G1088">
        <f>Skills!G23*IF(Skills!H23&gt;0,Skills!I23/Skills!H23,1)</f>
        <v/>
      </c>
      <c r="H1088">
        <f>1-(1-Skills!J23/100)^Skills!K23</f>
        <v/>
      </c>
      <c r="I1088" t="inlineStr">
        <is>
          <t>1</t>
        </is>
      </c>
      <c r="J1088" t="inlineStr"/>
      <c r="K1088" t="inlineStr"/>
      <c r="L1088" t="inlineStr"/>
      <c r="M1088" t="inlineStr"/>
      <c r="N1088" t="inlineStr"/>
      <c r="O1088" t="n">
        <v>0</v>
      </c>
      <c r="P1088">
        <f>IF(B1105=0,0,O1088/B1105)</f>
        <v/>
      </c>
      <c r="Q1088" t="n">
        <v>0</v>
      </c>
      <c r="R1088" t="n">
        <v>0</v>
      </c>
      <c r="S1088">
        <f>IFERROR(O1088/N1088,0)</f>
        <v/>
      </c>
    </row>
    <row r="1089">
      <c r="A1089">
        <f>Skills!A24</f>
        <v/>
      </c>
      <c r="B1089">
        <f>Skills!B24</f>
        <v/>
      </c>
      <c r="C1089">
        <f>Inputs!$B$3&gt;=75</f>
        <v/>
      </c>
      <c r="D1089">
        <f>IF(Skills!C24=1,60+Inputs!$B$24+Inputs!$B$28,IF(Skills!C24=2,90+Inputs!$B$25+Inputs!$B$28,IF(Skills!C24=3,120+Inputs!$B$26+Inputs!$B$28,MAX(0,(Inputs!$B$3-100)*3)+Inputs!$B$27+Inputs!$B$28)))</f>
        <v/>
      </c>
      <c r="E1089">
        <f>INDEX(FactorTable!$B$2:$Y$301, MATCH(ROUND(MIN(300,MAX(1,D1089)),0), FactorTable!$A$2:$A$301,0), Skills!M24+1)</f>
        <v/>
      </c>
      <c r="F1089">
        <f>IF(Skills!N24=TRUE,(Skills!L24/10)*(E1089/1000),Skills!L24/10)+Skills!O24</f>
        <v/>
      </c>
      <c r="G1089">
        <f>Skills!G24*IF(Skills!H24&gt;0,Skills!I24/Skills!H24,1)</f>
        <v/>
      </c>
      <c r="H1089">
        <f>1-(1-Skills!J24/100)^Skills!K24</f>
        <v/>
      </c>
      <c r="I1089" t="inlineStr">
        <is>
          <t>1</t>
        </is>
      </c>
      <c r="J1089" t="inlineStr"/>
      <c r="K1089" t="inlineStr"/>
      <c r="L1089" t="inlineStr"/>
      <c r="M1089" t="inlineStr"/>
      <c r="N1089" t="inlineStr"/>
      <c r="O1089" t="n">
        <v>0</v>
      </c>
      <c r="P1089">
        <f>IF(B1105=0,0,O1089/B1105)</f>
        <v/>
      </c>
      <c r="Q1089" t="n">
        <v>0</v>
      </c>
      <c r="R1089" t="n">
        <v>0</v>
      </c>
      <c r="S1089">
        <f>IFERROR(O1089/N1089,0)</f>
        <v/>
      </c>
    </row>
    <row r="1090">
      <c r="A1090">
        <f>Skills!A25</f>
        <v/>
      </c>
      <c r="B1090">
        <f>Skills!B25</f>
        <v/>
      </c>
      <c r="C1090">
        <f>Inputs!$B$3&gt;=125</f>
        <v/>
      </c>
      <c r="D1090">
        <f>IF(Skills!C25=1,60+Inputs!$B$24+Inputs!$B$28,IF(Skills!C25=2,90+Inputs!$B$25+Inputs!$B$28,IF(Skills!C25=3,120+Inputs!$B$26+Inputs!$B$28,MAX(0,(Inputs!$B$3-100)*3)+Inputs!$B$27+Inputs!$B$28)))</f>
        <v/>
      </c>
      <c r="E1090">
        <f>INDEX(FactorTable!$B$2:$Y$301, MATCH(ROUND(MIN(300,MAX(1,D1090)),0), FactorTable!$A$2:$A$301,0), Skills!M25+1)</f>
        <v/>
      </c>
      <c r="F1090">
        <f>IF(Skills!N25=TRUE,(Skills!L25/10)*(E1090/1000),Skills!L25/10)+Skills!O25</f>
        <v/>
      </c>
      <c r="G1090">
        <f>Skills!G25*IF(Skills!H25&gt;0,Skills!I25/Skills!H25,1)</f>
        <v/>
      </c>
      <c r="H1090">
        <f>1-(1-Skills!J25/100)^Skills!K25</f>
        <v/>
      </c>
      <c r="I1090" t="inlineStr">
        <is>
          <t>1</t>
        </is>
      </c>
      <c r="J1090" t="inlineStr"/>
      <c r="K1090" t="inlineStr"/>
      <c r="L1090" t="inlineStr"/>
      <c r="M1090" t="inlineStr"/>
      <c r="N1090" t="inlineStr"/>
      <c r="O1090" t="n">
        <v>0</v>
      </c>
      <c r="P1090">
        <f>IF(B1105=0,0,O1090/B1105)</f>
        <v/>
      </c>
      <c r="Q1090" t="n">
        <v>0</v>
      </c>
      <c r="R1090" t="n">
        <v>0</v>
      </c>
      <c r="S1090">
        <f>IFERROR(O1090/N1090,0)</f>
        <v/>
      </c>
    </row>
    <row r="1091">
      <c r="A1091">
        <f>Skills!A26</f>
        <v/>
      </c>
      <c r="B1091">
        <f>Skills!B26</f>
        <v/>
      </c>
      <c r="C1091">
        <f>Inputs!$B$3&gt;=125</f>
        <v/>
      </c>
      <c r="D1091">
        <f>IF(Skills!C26=1,60+Inputs!$B$24+Inputs!$B$28,IF(Skills!C26=2,90+Inputs!$B$25+Inputs!$B$28,IF(Skills!C26=3,120+Inputs!$B$26+Inputs!$B$28,MAX(0,(Inputs!$B$3-100)*3)+Inputs!$B$27+Inputs!$B$28)))</f>
        <v/>
      </c>
      <c r="E1091">
        <f>INDEX(FactorTable!$B$2:$Y$301, MATCH(ROUND(MIN(300,MAX(1,D1091)),0), FactorTable!$A$2:$A$301,0), Skills!M26+1)</f>
        <v/>
      </c>
      <c r="F1091">
        <f>IF(Skills!N26=TRUE,(Skills!L26/10)*(E1091/1000),Skills!L26/10)+Skills!O26</f>
        <v/>
      </c>
      <c r="G1091">
        <f>Skills!G26*IF(Skills!H26&gt;0,Skills!I26/Skills!H26,1)</f>
        <v/>
      </c>
      <c r="H1091">
        <f>1-(1-Skills!J26/100)^Skills!K26</f>
        <v/>
      </c>
      <c r="I1091" t="inlineStr">
        <is>
          <t>1</t>
        </is>
      </c>
      <c r="J1091" t="inlineStr"/>
      <c r="K1091" t="inlineStr"/>
      <c r="L1091" t="inlineStr"/>
      <c r="M1091" t="inlineStr"/>
      <c r="N1091" t="inlineStr"/>
      <c r="O1091" t="n">
        <v>0</v>
      </c>
      <c r="P1091">
        <f>IF(B1105=0,0,O1091/B1105)</f>
        <v/>
      </c>
      <c r="Q1091" t="n">
        <v>0</v>
      </c>
      <c r="R1091" t="n">
        <v>0</v>
      </c>
      <c r="S1091">
        <f>IFERROR(O1091/N1091,0)</f>
        <v/>
      </c>
    </row>
    <row r="1092">
      <c r="A1092">
        <f>Skills!A27</f>
        <v/>
      </c>
      <c r="B1092">
        <f>Skills!B27</f>
        <v/>
      </c>
      <c r="C1092">
        <f>Inputs!$B$3&gt;=120</f>
        <v/>
      </c>
      <c r="D1092">
        <f>IF(Skills!C27=1,60+Inputs!$B$24+Inputs!$B$28,IF(Skills!C27=2,90+Inputs!$B$25+Inputs!$B$28,IF(Skills!C27=3,120+Inputs!$B$26+Inputs!$B$28,MAX(0,(Inputs!$B$3-100)*3)+Inputs!$B$27+Inputs!$B$28)))</f>
        <v/>
      </c>
      <c r="E1092">
        <f>INDEX(FactorTable!$B$2:$Y$301, MATCH(ROUND(MIN(300,MAX(1,D1092)),0), FactorTable!$A$2:$A$301,0), Skills!M27+1)</f>
        <v/>
      </c>
      <c r="F1092">
        <f>IF(Skills!N27=TRUE,(Skills!L27/10)*(E1092/1000),Skills!L27/10)+Skills!O27</f>
        <v/>
      </c>
      <c r="G1092">
        <f>Skills!G27*IF(Skills!H27&gt;0,Skills!I27/Skills!H27,1)</f>
        <v/>
      </c>
      <c r="H1092">
        <f>1-(1-Skills!J27/100)^Skills!K27</f>
        <v/>
      </c>
      <c r="I1092" t="inlineStr">
        <is>
          <t>1</t>
        </is>
      </c>
      <c r="J1092" t="inlineStr"/>
      <c r="K1092" t="inlineStr"/>
      <c r="L1092" t="inlineStr"/>
      <c r="M1092" t="inlineStr"/>
      <c r="N1092" t="inlineStr"/>
      <c r="O1092" t="n">
        <v>0</v>
      </c>
      <c r="P1092">
        <f>IF(B1105=0,0,O1092/B1105)</f>
        <v/>
      </c>
      <c r="Q1092" t="n">
        <v>0</v>
      </c>
      <c r="R1092" t="n">
        <v>0</v>
      </c>
      <c r="S1092">
        <f>IFERROR(O1092/N1092,0)</f>
        <v/>
      </c>
    </row>
    <row r="1093">
      <c r="A1093">
        <f>Skills!A28</f>
        <v/>
      </c>
      <c r="B1093">
        <f>Skills!B28</f>
        <v/>
      </c>
      <c r="C1093">
        <f>Inputs!$B$3&gt;=120</f>
        <v/>
      </c>
      <c r="D1093">
        <f>IF(Skills!C28=1,60+Inputs!$B$24+Inputs!$B$28,IF(Skills!C28=2,90+Inputs!$B$25+Inputs!$B$28,IF(Skills!C28=3,120+Inputs!$B$26+Inputs!$B$28,MAX(0,(Inputs!$B$3-100)*3)+Inputs!$B$27+Inputs!$B$28)))</f>
        <v/>
      </c>
      <c r="E1093">
        <f>INDEX(FactorTable!$B$2:$Y$301, MATCH(ROUND(MIN(300,MAX(1,D1093)),0), FactorTable!$A$2:$A$301,0), Skills!M28+1)</f>
        <v/>
      </c>
      <c r="F1093">
        <f>IF(Skills!N28=TRUE,(Skills!L28/10)*(E1093/1000),Skills!L28/10)+Skills!O28</f>
        <v/>
      </c>
      <c r="G1093">
        <f>Skills!G28*IF(Skills!H28&gt;0,Skills!I28/Skills!H28,1)</f>
        <v/>
      </c>
      <c r="H1093">
        <f>1-(1-Skills!J28/100)^Skills!K28</f>
        <v/>
      </c>
      <c r="I1093" t="inlineStr">
        <is>
          <t>1</t>
        </is>
      </c>
      <c r="J1093" t="inlineStr"/>
      <c r="K1093" t="inlineStr"/>
      <c r="L1093" t="inlineStr"/>
      <c r="M1093" t="inlineStr"/>
      <c r="N1093" t="inlineStr"/>
      <c r="O1093" t="n">
        <v>0</v>
      </c>
      <c r="P1093">
        <f>IF(B1105=0,0,O1093/B1105)</f>
        <v/>
      </c>
      <c r="Q1093" t="n">
        <v>0</v>
      </c>
      <c r="R1093" t="n">
        <v>0</v>
      </c>
      <c r="S1093">
        <f>IFERROR(O1093/N1093,0)</f>
        <v/>
      </c>
    </row>
    <row r="1094">
      <c r="A1094">
        <f>Skills!A29</f>
        <v/>
      </c>
      <c r="B1094">
        <f>Skills!B29</f>
        <v/>
      </c>
      <c r="C1094">
        <f>Inputs!$B$3&gt;=45</f>
        <v/>
      </c>
      <c r="D1094">
        <f>IF(Skills!C29=1,60+Inputs!$B$24+Inputs!$B$28,IF(Skills!C29=2,90+Inputs!$B$25+Inputs!$B$28,IF(Skills!C29=3,120+Inputs!$B$26+Inputs!$B$28,MAX(0,(Inputs!$B$3-100)*3)+Inputs!$B$27+Inputs!$B$28)))</f>
        <v/>
      </c>
      <c r="E1094">
        <f>INDEX(FactorTable!$B$2:$Y$301, MATCH(ROUND(MIN(300,MAX(1,D1094)),0), FactorTable!$A$2:$A$301,0), Skills!M29+1)</f>
        <v/>
      </c>
      <c r="F1094">
        <f>IF(Skills!N29=TRUE,(Skills!L29/10)*(E1094/1000),Skills!L29/10)+Skills!O29</f>
        <v/>
      </c>
      <c r="G1094">
        <f>Skills!G29*IF(Skills!H29&gt;0,Skills!I29/Skills!H29,1)</f>
        <v/>
      </c>
      <c r="H1094">
        <f>1-(1-Skills!J29/100)^Skills!K29</f>
        <v/>
      </c>
      <c r="I1094" t="inlineStr">
        <is>
          <t>1</t>
        </is>
      </c>
      <c r="J1094" t="inlineStr"/>
      <c r="K1094" t="inlineStr"/>
      <c r="L1094" t="inlineStr"/>
      <c r="M1094" t="inlineStr"/>
      <c r="N1094" t="inlineStr"/>
      <c r="O1094" t="n">
        <v>0</v>
      </c>
      <c r="P1094">
        <f>IF(B1105=0,0,O1094/B1105)</f>
        <v/>
      </c>
      <c r="Q1094" t="n">
        <v>0</v>
      </c>
      <c r="R1094" t="n">
        <v>0</v>
      </c>
      <c r="S1094">
        <f>IFERROR(O1094/N1094,0)</f>
        <v/>
      </c>
    </row>
    <row r="1096">
      <c r="A1096" t="inlineStr">
        <is>
          <t>Attack% Bucket Multiplier</t>
        </is>
      </c>
      <c r="B1096">
        <f>(1+(((C1078=TRUE)*F1078)+((C1079=TRUE)*IF(Inputs!$B$4="pvp",F1079,(1-Summary!$B$55)*(F1079)+Summary!$B$55*(0)))+((C1080=TRUE)*F1080*IF(AND(Inputs!$B$4&lt;&gt;"pvp",Inputs!$B$35&gt;0),(((S1080-1)*(Skills!T15*(1+Inputs!$B$33/100))+MIN((Skills!T15*(1+Inputs!$B$33/100)),MAX(0,Inputs!$B$35-((S1080-1)*Skills!D15))))/Inputs!$B$35),IF(Inputs!$B$4="pvp",MIN((Skills!T15*(1+Inputs!$B$33/100)),15)/15,(Skills!T15*(1+Inputs!$B$33/100))/Skills!D15)))+((C1077=TRUE)*F1077)+((C1094=TRUE)*(F1094-Calc!F29)))/100)</f>
        <v/>
      </c>
    </row>
    <row r="1097">
      <c r="A1097" t="inlineStr">
        <is>
          <t>Global Crit Rate Bonus %</t>
        </is>
      </c>
      <c r="B1097">
        <f>(C1081=TRUE)*20*IF(AND(Inputs!$B$4&lt;&gt;"pvp",Inputs!$B$35&gt;0),(((S1081-1)*(Skills!T16*(1+Inputs!$B$33/100))+MIN((Skills!T16*(1+Inputs!$B$33/100)),MAX(0,Inputs!$B$35-((S1081-1)*Skills!D16))))/Inputs!$B$35),IF(Inputs!$B$4="pvp",MIN((Skills!T16*(1+Inputs!$B$33/100)),15)/15,(Skills!T16*(1+Inputs!$B$33/100))/Skills!D16))</f>
        <v/>
      </c>
    </row>
    <row r="1098">
      <c r="A1098" t="inlineStr">
        <is>
          <t>Attack Speed Buff Bonus %</t>
        </is>
      </c>
      <c r="B1098">
        <f>((C1083=TRUE)*F1083*IF(AND(Inputs!$B$4&lt;&gt;"pvp",Inputs!$B$35&gt;0),(((S1083-1)*(Skills!T18*(1+Inputs!$B$33/100))+MIN((Skills!T18*(1+Inputs!$B$33/100)),MAX(0,Inputs!$B$35-((S1083-1)*Skills!D18))))/Inputs!$B$35),IF(Inputs!$B$4="pvp",MIN((Skills!T18*(1+Inputs!$B$33/100)),15)/15,(Skills!T18*(1+Inputs!$B$33/100))/Skills!D18)))</f>
        <v/>
      </c>
    </row>
    <row r="1099">
      <c r="A1099" t="inlineStr">
        <is>
          <t>Actions Per Second</t>
        </is>
      </c>
      <c r="B1099">
        <f>1+MIN(150,150*(1-(1-(Inputs!$B$10+((C1085=TRUE)*(F1085-Calc!F20))+((C1086=TRUE)*(F1086-Calc!F21)))/150)*(1-B1098/150)))/100</f>
        <v/>
      </c>
    </row>
    <row r="1100">
      <c r="A1100" t="inlineStr">
        <is>
          <t>Skill + Buff Cast Rate</t>
        </is>
      </c>
      <c r="B1100">
        <f>IF(AND(Inputs!$B$4&lt;&gt;"pvp",Inputs!$B$35&gt;0),SUMPRODUCT((Skills!E2:E29=TRUE)*(C1067:C1094=TRUE)*R1067:R1094*Skills!F2:F29)/Inputs!$B$35,SUMPRODUCT((Skills!E2:E29=TRUE)*(C1067:C1094=TRUE)*Q1067:Q1094*Skills!F2:F29))</f>
        <v/>
      </c>
    </row>
    <row r="1101">
      <c r="A1101" t="inlineStr">
        <is>
          <t>Empowered Piercing Arrow Casts Per Second</t>
        </is>
      </c>
      <c r="B1101">
        <f>MAX(0,B1099-B1100)</f>
        <v/>
      </c>
    </row>
    <row r="1102">
      <c r="A1102" t="inlineStr">
        <is>
          <t>Global Critical Damage Bonus % (Sharp Eyes)</t>
        </is>
      </c>
      <c r="B1102">
        <f>(C1081=TRUE)*F1081*IF(AND(Inputs!$B$4&lt;&gt;"pvp",Inputs!$B$35&gt;0),(((S1081-1)*(Skills!T16*(1+Inputs!$B$33/100))+MIN((Skills!T16*(1+Inputs!$B$33/100)),MAX(0,Inputs!$B$35-((S1081-1)*Skills!D16))))/Inputs!$B$35),IF(Inputs!$B$4="pvp",MIN((Skills!T16*(1+Inputs!$B$33/100)),15)/15,(Skills!T16*(1+Inputs!$B$33/100))/Skills!D16))</f>
        <v/>
      </c>
    </row>
    <row r="1103">
      <c r="A1103" t="inlineStr">
        <is>
          <t>Global Final Damage Bonus % (Mortal Blow + Last Man Standing conditional half)</t>
        </is>
      </c>
      <c r="B1103">
        <f>(C1082=TRUE)*F1082+((C1091=TRUE)*IF(Inputs!$B$4="pvp",F1091,(1-Summary!$B$55)*(F1091)+Summary!$B$55*(0)))</f>
        <v/>
      </c>
    </row>
    <row r="1105">
      <c r="A1105" s="5" t="inlineStr">
        <is>
          <t>TOTAL DPS</t>
        </is>
      </c>
      <c r="B1105" s="5">
        <f>SUM(O1067:O1094)</f>
        <v/>
      </c>
    </row>
    <row r="1108">
      <c r="A1108" s="5" t="inlineStr">
        <is>
          <t>Stat: Buff Duration Increase %</t>
        </is>
      </c>
    </row>
    <row r="1109">
      <c r="A1109" s="8" t="inlineStr">
        <is>
          <t>Key</t>
        </is>
      </c>
      <c r="B1109" s="8" t="inlineStr">
        <is>
          <t>Name</t>
        </is>
      </c>
      <c r="C1109" s="8" t="inlineStr">
        <is>
          <t>Unlocked</t>
        </is>
      </c>
      <c r="D1109" s="8" t="inlineStr">
        <is>
          <t>InputLevel</t>
        </is>
      </c>
      <c r="E1109" s="8" t="inlineStr">
        <is>
          <t>Factor</t>
        </is>
      </c>
      <c r="F1109" s="8" t="inlineStr">
        <is>
          <t>CoefficientPercent</t>
        </is>
      </c>
      <c r="G1109" s="8" t="inlineStr">
        <is>
          <t>EffectiveHits</t>
        </is>
      </c>
      <c r="H1109" s="8" t="inlineStr">
        <is>
          <t>ProcProbability</t>
        </is>
      </c>
      <c r="I1109" s="8" t="inlineStr">
        <is>
          <t>MapleHeroMultiplier</t>
        </is>
      </c>
      <c r="J1109" s="8" t="inlineStr">
        <is>
          <t>BaseDamage</t>
        </is>
      </c>
      <c r="K1109" s="8" t="inlineStr">
        <is>
          <t>BaseHitDamage</t>
        </is>
      </c>
      <c r="L1109" s="8" t="inlineStr">
        <is>
          <t>NonCritAvg</t>
        </is>
      </c>
      <c r="M1109" s="8" t="inlineStr">
        <is>
          <t>CritAvg</t>
        </is>
      </c>
      <c r="N1109" s="8" t="inlineStr">
        <is>
          <t>ExpectedDamage(perHit)</t>
        </is>
      </c>
      <c r="O1109" s="8" t="inlineStr">
        <is>
          <t>DPS</t>
        </is>
      </c>
      <c r="P1109" s="8" t="inlineStr">
        <is>
          <t>% of Total</t>
        </is>
      </c>
      <c r="Q1109" s="8" t="inlineStr">
        <is>
          <t>InvCooldown</t>
        </is>
      </c>
      <c r="R1109" s="8" t="inlineStr">
        <is>
          <t>CastsInFight</t>
        </is>
      </c>
      <c r="S1109" s="8" t="inlineStr">
        <is>
          <t>HitRate(perSec)</t>
        </is>
      </c>
      <c r="U1109" t="inlineStr">
        <is>
          <t>helpers</t>
        </is>
      </c>
    </row>
    <row r="1110">
      <c r="A1110">
        <f>Skills!A2</f>
        <v/>
      </c>
      <c r="B1110">
        <f>Skills!B2</f>
        <v/>
      </c>
      <c r="C1110">
        <f>Inputs!$B$3&gt;=100</f>
        <v/>
      </c>
      <c r="D1110" t="inlineStr"/>
      <c r="E1110" t="inlineStr"/>
      <c r="F1110">
        <f>U1112+Skills!O2</f>
        <v/>
      </c>
      <c r="G1110">
        <f>Skills!G2*IF(Skills!H2&gt;0,Skills!I2/Skills!H2,1)</f>
        <v/>
      </c>
      <c r="H1110">
        <f>1-(1-Skills!J2/100)^Skills!K2</f>
        <v/>
      </c>
      <c r="I1110" t="inlineStr">
        <is>
          <t>1</t>
        </is>
      </c>
      <c r="J1110">
        <f>(Inputs!$B$5*(1+Inputs!$B$6/100))*(F1110/100)</f>
        <v/>
      </c>
      <c r="K1110">
        <f>J1110*(1+((Inputs!$B$11*(1+Inputs!$B$12/100))*0.01+Inputs!$B$13*0.0025)/100)*(1+Inputs!$B$14/100)*(1+IF(Inputs!$B$4="pvp",0,(1-Summary!$B$55)*(Inputs!$B$19+0+Skills!P2)+Summary!$B$55*(Inputs!$B$20+Skills!Q2))/100)*(1+Inputs!$B$15/100)*(5000/(6000+Inputs!$B$7*(1-(Inputs!$B$18+0)/100)))*(1+(Inputs!$B$23+((C1132=TRUE)*(F1132-Calc!F24))+((C1133=TRUE)*(F1133-Calc!F25))+B1146)/100)*(1+(IF(Skills!A2="EMPOWERED_PIERCING_ARROW",Inputs!$B$16+((C1130=TRUE)*(F1130-Calc!F22)),Inputs!$B$17+((C1135=TRUE)*(F1135-Calc!F27))))/100)*((1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I1110)</f>
        <v/>
      </c>
      <c r="L1110">
        <f>K1110*(MIN(Inputs!$B$21+((C1131=TRUE)*(F1131-Calc!F23)),Inputs!$B$22+((C1136=TRUE)*(F1136-Calc!F28)))/100+(Inputs!$B$22+((C1136=TRUE)*(F1136-Calc!F28)))/100)/2</f>
        <v/>
      </c>
      <c r="M1110">
        <f>L1110*(1+(Inputs!$B$9+0+B1145)/100)</f>
        <v/>
      </c>
      <c r="N1110">
        <f>L1110*(1-MIN((Inputs!$B$8+((C1127=TRUE)*(F1127-Calc!F19))+B1140),100)/100)+M1110*(MIN((Inputs!$B$8+((C1127=TRUE)*(F1127-Calc!F19))+B1140),100)/100)</f>
        <v/>
      </c>
      <c r="O1110">
        <f>IF(C1110,Skills!G2*N1110*B1144*IF(Inputs!$B$4="pvp",1,(1-Summary!$B$55)*(1)+Summary!$B$55*(MIN((6+Inputs!$B$32),Inputs!$B$37))),0)</f>
        <v/>
      </c>
      <c r="P1110">
        <f>IF(B1148=0,0,O1110/B1148)</f>
        <v/>
      </c>
      <c r="Q1110" t="n">
        <v>0</v>
      </c>
      <c r="R1110" t="n">
        <v>0</v>
      </c>
      <c r="S1110">
        <f>IFERROR(O1110/N1110,0)</f>
        <v/>
      </c>
      <c r="U1110">
        <f>MAX(0,(Inputs!$B$3-100)*3)+Inputs!$B$27+Inputs!$B$28</f>
        <v/>
      </c>
    </row>
    <row r="1111">
      <c r="A1111">
        <f>Skills!A3</f>
        <v/>
      </c>
      <c r="B1111">
        <f>Skills!B3</f>
        <v/>
      </c>
      <c r="C1111">
        <f>Inputs!$B$3&gt;=50</f>
        <v/>
      </c>
      <c r="D1111">
        <f>IF(Skills!C3=1,60+Inputs!$B$24+Inputs!$B$28,IF(Skills!C3=2,90+Inputs!$B$25+Inputs!$B$28,IF(Skills!C3=3,120+Inputs!$B$26+Inputs!$B$28,MAX(0,(Inputs!$B$3-100)*3)+Inputs!$B$27+Inputs!$B$28)))</f>
        <v/>
      </c>
      <c r="E1111">
        <f>INDEX(FactorTable!$B$2:$Y$301, MATCH(ROUND(MIN(300,MAX(1,D1111)),0), FactorTable!$A$2:$A$301,0), Skills!M3+1)</f>
        <v/>
      </c>
      <c r="F1111">
        <f>IF(Skills!N3=TRUE,(Skills!L3/10)*(E1111/1000),Skills!L3/10)+Skills!O3</f>
        <v/>
      </c>
      <c r="G1111" t="inlineStr"/>
      <c r="H1111" t="inlineStr"/>
      <c r="I1111" t="inlineStr">
        <is>
          <t>1</t>
        </is>
      </c>
      <c r="J1111" t="inlineStr"/>
      <c r="K1111" t="inlineStr"/>
      <c r="L1111" t="inlineStr"/>
      <c r="M1111" t="inlineStr"/>
      <c r="N1111" t="inlineStr"/>
      <c r="O1111" t="inlineStr"/>
      <c r="P1111" t="inlineStr"/>
      <c r="Q1111" t="inlineStr"/>
      <c r="R1111" t="inlineStr"/>
      <c r="S1111" t="inlineStr"/>
      <c r="U1111">
        <f>INDEX(FactorTable!$B$2:$Y$301, MATCH(ROUND(MIN(300,MAX(1,U1110)),0), FactorTable!$A$2:$A$301,0), 22)</f>
        <v/>
      </c>
    </row>
    <row r="1112">
      <c r="A1112">
        <f>Skills!A4</f>
        <v/>
      </c>
      <c r="B1112">
        <f>Skills!B4</f>
        <v/>
      </c>
      <c r="C1112">
        <f>Inputs!$B$3&gt;=105</f>
        <v/>
      </c>
      <c r="D1112">
        <f>IF(Skills!C4=1,60+Inputs!$B$24+Inputs!$B$28,IF(Skills!C4=2,90+Inputs!$B$25+Inputs!$B$28,IF(Skills!C4=3,120+Inputs!$B$26+Inputs!$B$28,MAX(0,(Inputs!$B$3-100)*3)+Inputs!$B$27+Inputs!$B$28)))</f>
        <v/>
      </c>
      <c r="E1112">
        <f>INDEX(FactorTable!$B$2:$Y$301, MATCH(ROUND(MIN(300,MAX(1,D1112)),0), FactorTable!$A$2:$A$301,0), Skills!M4+1)</f>
        <v/>
      </c>
      <c r="F1112">
        <f>IF(Skills!N4=TRUE,(Skills!L4/10)*(E1112/1000),Skills!L4/10)+Skills!O4</f>
        <v/>
      </c>
      <c r="G1112" t="inlineStr"/>
      <c r="H1112" t="inlineStr"/>
      <c r="I1112" t="inlineStr">
        <is>
          <t>1</t>
        </is>
      </c>
      <c r="J1112" t="inlineStr"/>
      <c r="K1112" t="inlineStr"/>
      <c r="L1112" t="inlineStr"/>
      <c r="M1112" t="inlineStr"/>
      <c r="N1112" t="inlineStr"/>
      <c r="O1112" t="inlineStr"/>
      <c r="P1112" t="inlineStr"/>
      <c r="Q1112" t="inlineStr"/>
      <c r="R1112" t="inlineStr"/>
      <c r="S1112" t="inlineStr"/>
      <c r="U1112">
        <f>290*U1111/1000</f>
        <v/>
      </c>
    </row>
    <row r="1113">
      <c r="A1113">
        <f>Skills!A5</f>
        <v/>
      </c>
      <c r="B1113">
        <f>Skills!B5</f>
        <v/>
      </c>
      <c r="C1113">
        <f>Inputs!$B$3&gt;=35</f>
        <v/>
      </c>
      <c r="D1113">
        <f>IF(Skills!C5=1,60+Inputs!$B$24+Inputs!$B$28,IF(Skills!C5=2,90+Inputs!$B$25+Inputs!$B$28,IF(Skills!C5=3,120+Inputs!$B$26+Inputs!$B$28,MAX(0,(Inputs!$B$3-100)*3)+Inputs!$B$27+Inputs!$B$28)))</f>
        <v/>
      </c>
      <c r="E1113">
        <f>INDEX(FactorTable!$B$2:$Y$301, MATCH(ROUND(MIN(300,MAX(1,D1113)),0), FactorTable!$A$2:$A$301,0), Skills!M5+1)</f>
        <v/>
      </c>
      <c r="F1113">
        <f>IF(Skills!N5=TRUE,(Skills!L5/10)*(E1113/1000),Skills!L5/10)+Skills!O5</f>
        <v/>
      </c>
      <c r="G1113">
        <f>Skills!G5*IF(Skills!H5&gt;0,Skills!I5/Skills!H5,1)</f>
        <v/>
      </c>
      <c r="H1113">
        <f>1-(1-Skills!J5/100)^Skills!K5</f>
        <v/>
      </c>
      <c r="I1113" t="inlineStr">
        <is>
          <t>1</t>
        </is>
      </c>
      <c r="J1113">
        <f>(Inputs!$B$5*(1+Inputs!$B$6/100))*(F1113/100)</f>
        <v/>
      </c>
      <c r="K1113">
        <f>J1113*(1+((Inputs!$B$11*(1+Inputs!$B$12/100))*0.01+Inputs!$B$13*0.0025)/100)*(1+Inputs!$B$14/100)*(1+IF(Inputs!$B$4="pvp",0,(1-Summary!$B$55)*(Inputs!$B$19+0+Skills!P5)+Summary!$B$55*(Inputs!$B$20+Skills!Q5))/100)*(1+Inputs!$B$15/100)*(5000/(6000+Inputs!$B$7*(1-(Inputs!$B$18+0)/100)))*(1+(Inputs!$B$23+((C1132=TRUE)*(F1132-Calc!F24))+((C1133=TRUE)*(F1133-Calc!F25))+B1146)/100)*(1+4.0*IF(C1116=TRUE,F1116,0)/100)*(1+(IF(Skills!A5="EMPOWERED_PIERCING_ARROW",Inputs!$B$16+((C1130=TRUE)*(F1130-Calc!F22)),Inputs!$B$17+((C1135=TRUE)*(F1135-Calc!F27))))/100)*((1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I1113)</f>
        <v/>
      </c>
      <c r="L1113">
        <f>K1113*(MIN(Inputs!$B$21+((C1131=TRUE)*(F1131-Calc!F23)),Inputs!$B$22+((C1136=TRUE)*(F1136-Calc!F28)))/100+(Inputs!$B$22+((C1136=TRUE)*(F1136-Calc!F28)))/100)/2</f>
        <v/>
      </c>
      <c r="M1113">
        <f>L1113*(1+(Inputs!$B$9+0+B1145)/100)</f>
        <v/>
      </c>
      <c r="N1113">
        <f>L1113*(1-MIN((Inputs!$B$8+((C1127=TRUE)*(F1127-Calc!F19))+B1140),100)/100)+M1113*(MIN((Inputs!$B$8+((C1127=TRUE)*(F1127-Calc!F19))+B1140),100)/100)</f>
        <v/>
      </c>
      <c r="O1113">
        <f>IF(C1113,H1113*N1113*IF(AND(Inputs!$B$4&lt;&gt;"pvp",Inputs!$B$35&gt;0),((Skills!G5*((R1113-1)*IF(Skills!H5&gt;0,Skills!I5/Skills!H5,1)+IF(Skills!H5&gt;0,MIN(Skills!I5,MAX(0,Inputs!$B$35-((R1113-1)*IF(Inputs!$B$4="pvp",15,MAX(0.1,Skills!D5-IF(Skills!E5=TRUE,Inputs!$B$31,0))))))/Skills!H5,1)))/Inputs!$B$35),G1113*Q1113)*IF(Inputs!$B$4="pvp",1,(1-Summary!$B$55)*(1)+Summary!$B$55*(MIN(Skills!R5,Inputs!$B$37))),0)</f>
        <v/>
      </c>
      <c r="P1113">
        <f>IF(B1148=0,0,O1113/B1148)</f>
        <v/>
      </c>
      <c r="Q1113">
        <f>IFERROR(1/IF(Inputs!$B$4="pvp",15,MAX(0.1,Skills!D5-IF(Skills!E5=TRUE,Inputs!$B$31,0))),0)</f>
        <v/>
      </c>
      <c r="R1113">
        <f>IF(AND(Inputs!$B$4&lt;&gt;"pvp",Inputs!$B$35&gt;0),(INT(Inputs!$B$35/IF(Inputs!$B$4="pvp",15,MAX(0.1,Skills!D5-IF(Skills!E5=TRUE,Inputs!$B$31,0))))+1),0)</f>
        <v/>
      </c>
      <c r="S1113">
        <f>IFERROR(O1113/N1113,0)</f>
        <v/>
      </c>
    </row>
    <row r="1114">
      <c r="A1114">
        <f>Skills!A6</f>
        <v/>
      </c>
      <c r="B1114">
        <f>Skills!B6</f>
        <v/>
      </c>
      <c r="C1114">
        <f>Inputs!$B$3&gt;=63</f>
        <v/>
      </c>
      <c r="D1114">
        <f>IF(Skills!C6=1,60+Inputs!$B$24+Inputs!$B$28,IF(Skills!C6=2,90+Inputs!$B$25+Inputs!$B$28,IF(Skills!C6=3,120+Inputs!$B$26+Inputs!$B$28,MAX(0,(Inputs!$B$3-100)*3)+Inputs!$B$27+Inputs!$B$28)))</f>
        <v/>
      </c>
      <c r="E1114">
        <f>INDEX(FactorTable!$B$2:$Y$301, MATCH(ROUND(MIN(300,MAX(1,D1114)),0), FactorTable!$A$2:$A$301,0), Skills!M6+1)</f>
        <v/>
      </c>
      <c r="F1114">
        <f>IF(Skills!N6=TRUE,(Skills!L6/10)*(E1114/1000),Skills!L6/10)+Skills!O6</f>
        <v/>
      </c>
      <c r="G1114">
        <f>Skills!G6*IF(Skills!H6&gt;0,Skills!I6/Skills!H6,1)</f>
        <v/>
      </c>
      <c r="H1114">
        <f>1-(1-Skills!J6/100)^Skills!K6</f>
        <v/>
      </c>
      <c r="I1114" t="inlineStr">
        <is>
          <t>1</t>
        </is>
      </c>
      <c r="J1114">
        <f>(Inputs!$B$5*(1+Inputs!$B$6/100))*(F1114/100)</f>
        <v/>
      </c>
      <c r="K1114">
        <f>J1114*(1+((Inputs!$B$11*(1+Inputs!$B$12/100))*0.01+Inputs!$B$13*0.0025)/100)*(1+Inputs!$B$14/100)*(1+IF(Inputs!$B$4="pvp",0,(1-Summary!$B$55)*(Inputs!$B$19+0+Skills!P6)+Summary!$B$55*(Inputs!$B$20+Skills!Q6))/100)*(1+Inputs!$B$15/100)*(5000/(6000+Inputs!$B$7*(1-(Inputs!$B$18+0)/100)))*(1+(Inputs!$B$23+((C1132=TRUE)*(F1132-Calc!F24))+((C1133=TRUE)*(F1133-Calc!F25))+B1146)/100)*(1+1.0*IF(C1116=TRUE,F1116,0)/100)*(1+(IF(Skills!A6="EMPOWERED_PIERCING_ARROW",Inputs!$B$16+((C1130=TRUE)*(F1130-Calc!F22)),Inputs!$B$17+((C1135=TRUE)*(F1135-Calc!F27))))/100)*((1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I1114)</f>
        <v/>
      </c>
      <c r="L1114">
        <f>K1114*(MIN(Inputs!$B$21+((C1131=TRUE)*(F1131-Calc!F23)),Inputs!$B$22+((C1136=TRUE)*(F1136-Calc!F28)))/100+(Inputs!$B$22+((C1136=TRUE)*(F1136-Calc!F28)))/100)/2</f>
        <v/>
      </c>
      <c r="M1114">
        <f>L1114*(1+(Inputs!$B$9+0+B1145)/100)</f>
        <v/>
      </c>
      <c r="N1114">
        <f>L1114*(1-MIN((Inputs!$B$8+((C1127=TRUE)*(F1127-Calc!F19))+B1140),100)/100)+M1114*(MIN((Inputs!$B$8+((C1127=TRUE)*(F1127-Calc!F19))+B1140),100)/100)</f>
        <v/>
      </c>
      <c r="O1114">
        <f>IF(C1114,H1114*N1114*IF(AND(Inputs!$B$4&lt;&gt;"pvp",Inputs!$B$35&gt;0),((Skills!G6*((R1114-1)*IF(Skills!H6&gt;0,Skills!I6/Skills!H6,1)+IF(Skills!H6&gt;0,MIN(Skills!I6,MAX(0,Inputs!$B$35-((R1114-1)*IF(Inputs!$B$4="pvp",15,MAX(0.1,Skills!D6-IF(Skills!E6=TRUE,Inputs!$B$31,0))))))/Skills!H6,1)))/Inputs!$B$35),G1114*Q1114)*IF(Inputs!$B$4="pvp",1,(1-Summary!$B$55)*(1)+Summary!$B$55*(MIN(Skills!R6,Inputs!$B$37))),0)</f>
        <v/>
      </c>
      <c r="P1114">
        <f>IF(B1148=0,0,O1114/B1148)</f>
        <v/>
      </c>
      <c r="Q1114">
        <f>IFERROR(1/IF(Inputs!$B$4="pvp",15,MAX(0.1,Skills!D6-IF(Skills!E6=TRUE,Inputs!$B$31,0))),0)</f>
        <v/>
      </c>
      <c r="R1114">
        <f>IF(AND(Inputs!$B$4&lt;&gt;"pvp",Inputs!$B$35&gt;0),(INT(Inputs!$B$35/IF(Inputs!$B$4="pvp",15,MAX(0.1,Skills!D6-IF(Skills!E6=TRUE,Inputs!$B$31,0))))+1),0)</f>
        <v/>
      </c>
      <c r="S1114">
        <f>IFERROR(O1114/N1114,0)</f>
        <v/>
      </c>
    </row>
    <row r="1115">
      <c r="A1115">
        <f>Skills!A7</f>
        <v/>
      </c>
      <c r="B1115">
        <f>Skills!B7</f>
        <v/>
      </c>
      <c r="C1115">
        <f>Inputs!$B$3&gt;=69</f>
        <v/>
      </c>
      <c r="D1115">
        <f>IF(Skills!C7=1,60+Inputs!$B$24+Inputs!$B$28,IF(Skills!C7=2,90+Inputs!$B$25+Inputs!$B$28,IF(Skills!C7=3,120+Inputs!$B$26+Inputs!$B$28,MAX(0,(Inputs!$B$3-100)*3)+Inputs!$B$27+Inputs!$B$28)))</f>
        <v/>
      </c>
      <c r="E1115">
        <f>INDEX(FactorTable!$B$2:$Y$301, MATCH(ROUND(MIN(300,MAX(1,D1115)),0), FactorTable!$A$2:$A$301,0), Skills!M7+1)</f>
        <v/>
      </c>
      <c r="F1115">
        <f>IF(Skills!N7=TRUE,(Skills!L7/10)*(E1115/1000),Skills!L7/10)+Skills!O7</f>
        <v/>
      </c>
      <c r="G1115">
        <f>Skills!G7*IF(Skills!H7&gt;0,Skills!I7/Skills!H7,1)</f>
        <v/>
      </c>
      <c r="H1115">
        <f>1-(1-Skills!J7/100)^Skills!K7</f>
        <v/>
      </c>
      <c r="I1115" t="inlineStr">
        <is>
          <t>1</t>
        </is>
      </c>
      <c r="J1115">
        <f>(Inputs!$B$5*(1+Inputs!$B$6/100))*(F1115/100)</f>
        <v/>
      </c>
      <c r="K1115">
        <f>J1115*(1+((Inputs!$B$11*(1+Inputs!$B$12/100))*0.01+Inputs!$B$13*0.0025)/100)*(1+Inputs!$B$14/100)*(1+IF(Inputs!$B$4="pvp",0,(1-Summary!$B$55)*(Inputs!$B$19+0+Skills!P7)+Summary!$B$55*(Inputs!$B$20+Skills!Q7))/100)*(1+Inputs!$B$15/100)*(5000/(6000+Inputs!$B$7*(1-(Inputs!$B$18+0)/100)))*(1+(Inputs!$B$23+((C1132=TRUE)*(F1132-Calc!F24))+((C1133=TRUE)*(F1133-Calc!F25))+B1146)/100)*(1+1.2*IF(C1116=TRUE,F1116,0)/100)*(1+(IF(Skills!A7="EMPOWERED_PIERCING_ARROW",Inputs!$B$16+((C1130=TRUE)*(F1130-Calc!F22)),Inputs!$B$17+((C1135=TRUE)*(F1135-Calc!F27))))/100)*((1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I1115)</f>
        <v/>
      </c>
      <c r="L1115">
        <f>K1115*(MIN(Inputs!$B$21+((C1131=TRUE)*(F1131-Calc!F23)),Inputs!$B$22+((C1136=TRUE)*(F1136-Calc!F28)))/100+(Inputs!$B$22+((C1136=TRUE)*(F1136-Calc!F28)))/100)/2</f>
        <v/>
      </c>
      <c r="M1115">
        <f>L1115*(1+(Inputs!$B$9+0+B1145)/100)</f>
        <v/>
      </c>
      <c r="N1115">
        <f>L1115*(1-MIN((Inputs!$B$8+((C1127=TRUE)*(F1127-Calc!F19))+B1140),100)/100)+M1115*(MIN((Inputs!$B$8+((C1127=TRUE)*(F1127-Calc!F19))+B1140),100)/100)</f>
        <v/>
      </c>
      <c r="O1115">
        <f>IF(C1115,H1115*N1115*IF(AND(Inputs!$B$4&lt;&gt;"pvp",Inputs!$B$35&gt;0),((Skills!G7*((R1115-1)*IF(Skills!H7&gt;0,Skills!I7/Skills!H7,1)+IF(Skills!H7&gt;0,MIN(Skills!I7,MAX(0,Inputs!$B$35-((R1115-1)*IF(Inputs!$B$4="pvp",15,MAX(0.1,Skills!D7-IF(Skills!E7=TRUE,Inputs!$B$31,0))))))/Skills!H7,1)))/Inputs!$B$35),G1115*Q1115)*IF(Inputs!$B$4="pvp",1,(1-Summary!$B$55)*(1)+Summary!$B$55*(MIN(Skills!R7,Inputs!$B$37))),0)</f>
        <v/>
      </c>
      <c r="P1115">
        <f>IF(B1148=0,0,O1115/B1148)</f>
        <v/>
      </c>
      <c r="Q1115">
        <f>IFERROR(1/IF(Inputs!$B$4="pvp",15,MAX(0.1,Skills!D7-IF(Skills!E7=TRUE,Inputs!$B$31,0))),0)</f>
        <v/>
      </c>
      <c r="R1115">
        <f>IF(AND(Inputs!$B$4&lt;&gt;"pvp",Inputs!$B$35&gt;0),(INT(Inputs!$B$35/IF(Inputs!$B$4="pvp",15,MAX(0.1,Skills!D7-IF(Skills!E7=TRUE,Inputs!$B$31,0))))+1),0)</f>
        <v/>
      </c>
      <c r="S1115">
        <f>IFERROR(O1115/N1115,0)</f>
        <v/>
      </c>
    </row>
    <row r="1116">
      <c r="A1116">
        <f>Skills!A8</f>
        <v/>
      </c>
      <c r="B1116">
        <f>Skills!B8</f>
        <v/>
      </c>
      <c r="C1116">
        <f>Inputs!$B$3&gt;=100</f>
        <v/>
      </c>
      <c r="D1116">
        <f>IF(Skills!C8=1,60+Inputs!$B$24+Inputs!$B$28,IF(Skills!C8=2,90+Inputs!$B$25+Inputs!$B$28,IF(Skills!C8=3,120+Inputs!$B$26+Inputs!$B$28,MAX(0,(Inputs!$B$3-100)*3)+Inputs!$B$27+Inputs!$B$28)))</f>
        <v/>
      </c>
      <c r="E1116">
        <f>INDEX(FactorTable!$B$2:$Y$301, MATCH(ROUND(MIN(300,MAX(1,D1116)),0), FactorTable!$A$2:$A$301,0), Skills!M8+1)</f>
        <v/>
      </c>
      <c r="F1116">
        <f>IF(Skills!N8=TRUE,(Skills!L8/10)*(E1116/1000),Skills!L8/10)+Skills!O8</f>
        <v/>
      </c>
      <c r="G1116" t="inlineStr"/>
      <c r="H1116" t="inlineStr"/>
      <c r="I1116" t="inlineStr">
        <is>
          <t>1</t>
        </is>
      </c>
      <c r="J1116" t="inlineStr"/>
      <c r="K1116" t="inlineStr"/>
      <c r="L1116" t="inlineStr"/>
      <c r="M1116" t="inlineStr"/>
      <c r="N1116" t="inlineStr"/>
      <c r="O1116" t="inlineStr"/>
      <c r="P1116" t="inlineStr"/>
      <c r="Q1116" t="inlineStr"/>
      <c r="R1116" t="inlineStr"/>
      <c r="S1116" t="inlineStr"/>
    </row>
    <row r="1117">
      <c r="A1117">
        <f>Skills!A9</f>
        <v/>
      </c>
      <c r="B1117">
        <f>Skills!B9</f>
        <v/>
      </c>
      <c r="C1117">
        <f>Inputs!$B$3&gt;=103</f>
        <v/>
      </c>
      <c r="D1117">
        <f>IF(Skills!C9=1,60+Inputs!$B$24+Inputs!$B$28,IF(Skills!C9=2,90+Inputs!$B$25+Inputs!$B$28,IF(Skills!C9=3,120+Inputs!$B$26+Inputs!$B$28,MAX(0,(Inputs!$B$3-100)*3)+Inputs!$B$27+Inputs!$B$28)))</f>
        <v/>
      </c>
      <c r="E1117">
        <f>INDEX(FactorTable!$B$2:$Y$301, MATCH(ROUND(MIN(300,MAX(1,D1117)),0), FactorTable!$A$2:$A$301,0), Skills!M9+1)</f>
        <v/>
      </c>
      <c r="F1117">
        <f>IF(Skills!N9=TRUE,(Skills!L9/10)*(E1117/1000),Skills!L9/10)+Skills!O9</f>
        <v/>
      </c>
      <c r="G1117">
        <f>Skills!G9*IF(Skills!H9&gt;0,Skills!I9/Skills!H9,1)</f>
        <v/>
      </c>
      <c r="H1117">
        <f>1-(1-Skills!J9/100)^Skills!K9</f>
        <v/>
      </c>
      <c r="I1117" t="inlineStr">
        <is>
          <t>1</t>
        </is>
      </c>
      <c r="J1117">
        <f>(Inputs!$B$5*(1+Inputs!$B$6/100))*(F1117/100)</f>
        <v/>
      </c>
      <c r="K1117">
        <f>J1117*(1+((Inputs!$B$11*(1+Inputs!$B$12/100))*0.01+Inputs!$B$13*0.0025)/100)*(1+Inputs!$B$14/100)*(1+IF(Inputs!$B$4="pvp",0,(1-Summary!$B$55)*(Inputs!$B$19+0+Skills!P9)+Summary!$B$55*(Inputs!$B$20+Skills!Q9))/100)*(1+Inputs!$B$15/100)*(5000/(6000+Inputs!$B$7*(1-(Inputs!$B$18+0)/100)))*(1+(Inputs!$B$23+((C1132=TRUE)*(F1132-Calc!F24))+((C1133=TRUE)*(F1133-Calc!F25))+B1146)/100)*(1+(IF(Skills!A9="EMPOWERED_PIERCING_ARROW",Inputs!$B$16+((C1130=TRUE)*(F1130-Calc!F22)),Inputs!$B$17+((C1135=TRUE)*(F1135-Calc!F27))))/100)*((1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I1117)</f>
        <v/>
      </c>
      <c r="L1117">
        <f>K1117*(MIN(Inputs!$B$21+((C1131=TRUE)*(F1131-Calc!F23)),Inputs!$B$22+((C1136=TRUE)*(F1136-Calc!F28)))/100+(Inputs!$B$22+((C1136=TRUE)*(F1136-Calc!F28)))/100)/2</f>
        <v/>
      </c>
      <c r="M1117">
        <f>L1117*(1+(Inputs!$B$9+0+B1145)/100)</f>
        <v/>
      </c>
      <c r="N1117">
        <f>L1117*(1-MIN((Inputs!$B$8+((C1127=TRUE)*(F1127-Calc!F19))+B1140),100)/100)+M1117*(MIN((Inputs!$B$8+((C1127=TRUE)*(F1127-Calc!F19))+B1140),100)/100)</f>
        <v/>
      </c>
      <c r="O1117">
        <f>IF(C1117,H1117*N1117*IF(AND(Inputs!$B$4&lt;&gt;"pvp",Inputs!$B$35&gt;0),((Skills!G9*((R1117-1)*IF(Skills!H9&gt;0,Skills!I9/Skills!H9,1)+IF(Skills!H9&gt;0,MIN(Skills!I9,MAX(0,Inputs!$B$35-((R1117-1)*IF(Inputs!$B$4="pvp",15,MAX(0.1,Skills!D9-IF(Skills!E9=TRUE,Inputs!$B$31,0))))))/Skills!H9,1)))/Inputs!$B$35),G1117*Q1117)*IF(Inputs!$B$4="pvp",1,(1-Summary!$B$55)*(1)+Summary!$B$55*(MIN(Skills!R9,Inputs!$B$37))),0)</f>
        <v/>
      </c>
      <c r="P1117">
        <f>IF(B1148=0,0,O1117/B1148)</f>
        <v/>
      </c>
      <c r="Q1117">
        <f>IFERROR(1/IF(Inputs!$B$4="pvp",15,MAX(0.1,Skills!D9-IF(Skills!E9=TRUE,Inputs!$B$31,0))),0)</f>
        <v/>
      </c>
      <c r="R1117">
        <f>IF(AND(Inputs!$B$4&lt;&gt;"pvp",Inputs!$B$35&gt;0),(INT(Inputs!$B$35/IF(Inputs!$B$4="pvp",15,MAX(0.1,Skills!D9-IF(Skills!E9=TRUE,Inputs!$B$31,0))))+1),0)</f>
        <v/>
      </c>
      <c r="S1117">
        <f>IFERROR(O1117/N1117,0)</f>
        <v/>
      </c>
    </row>
    <row r="1118">
      <c r="A1118">
        <f>Skills!A10</f>
        <v/>
      </c>
      <c r="B1118">
        <f>Skills!B10</f>
        <v/>
      </c>
      <c r="C1118">
        <f>Inputs!$B$3&gt;=107</f>
        <v/>
      </c>
      <c r="D1118">
        <f>IF(Skills!C10=1,60+Inputs!$B$24+Inputs!$B$28,IF(Skills!C10=2,90+Inputs!$B$25+Inputs!$B$28,IF(Skills!C10=3,120+Inputs!$B$26+Inputs!$B$28,MAX(0,(Inputs!$B$3-100)*3)+Inputs!$B$27+Inputs!$B$28)))</f>
        <v/>
      </c>
      <c r="E1118">
        <f>INDEX(FactorTable!$B$2:$Y$301, MATCH(ROUND(MIN(300,MAX(1,D1118)),0), FactorTable!$A$2:$A$301,0), Skills!M10+1)</f>
        <v/>
      </c>
      <c r="F1118">
        <f>IF(Skills!N10=TRUE,(Skills!L10/10)*(E1118/1000),Skills!L10/10)+Skills!O10</f>
        <v/>
      </c>
      <c r="G1118">
        <f>Skills!G10*IF(Skills!H10&gt;0,Skills!I10/Skills!H10,1)</f>
        <v/>
      </c>
      <c r="H1118">
        <f>1-(1-Skills!J10/100)^Skills!K10</f>
        <v/>
      </c>
      <c r="I1118" t="inlineStr">
        <is>
          <t>1</t>
        </is>
      </c>
      <c r="J1118">
        <f>(Inputs!$B$5*(1+Inputs!$B$6/100))*(F1118/100)</f>
        <v/>
      </c>
      <c r="K1118">
        <f>J1118*(1+((Inputs!$B$11*(1+Inputs!$B$12/100))*0.01+Inputs!$B$13*0.0025)/100)*(1+Inputs!$B$14/100)*(1+IF(Inputs!$B$4="pvp",0,(1-Summary!$B$55)*(Inputs!$B$19+0+Skills!P10)+Summary!$B$55*(Inputs!$B$20+Skills!Q10))/100)*(1+Inputs!$B$15/100)*(5000/(6000+Inputs!$B$7*(1-(Inputs!$B$18+0)/100)))*(1+(Inputs!$B$23+((C1132=TRUE)*(F1132-Calc!F24))+((C1133=TRUE)*(F1133-Calc!F25))+B1146)/100)*(1+(IF(Skills!A10="EMPOWERED_PIERCING_ARROW",Inputs!$B$16+((C1130=TRUE)*(F1130-Calc!F22)),Inputs!$B$17+((C1135=TRUE)*(F1135-Calc!F27))))/100)*((1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I1118)</f>
        <v/>
      </c>
      <c r="L1118">
        <f>K1118*(MIN(Inputs!$B$21+((C1131=TRUE)*(F1131-Calc!F23)),Inputs!$B$22+((C1136=TRUE)*(F1136-Calc!F28)))/100+(Inputs!$B$22+((C1136=TRUE)*(F1136-Calc!F28)))/100)/2</f>
        <v/>
      </c>
      <c r="M1118">
        <f>L1118*(1+(Inputs!$B$9+0+B1145)/100)</f>
        <v/>
      </c>
      <c r="N1118">
        <f>L1118*(1-MIN((Inputs!$B$8+((C1127=TRUE)*(F1127-Calc!F19))+B1140),100)/100)+M1118*(MIN((Inputs!$B$8+((C1127=TRUE)*(F1127-Calc!F19))+B1140),100)/100)</f>
        <v/>
      </c>
      <c r="O1118">
        <f>IF(C1118,0.15*SUMPRODUCT((Skills!U2:U29=TRUE)*(C1110:C1137=TRUE)*S1110:S1137)*Skills!G10*N1118*IF(Inputs!$B$4="pvp",1,(1-Summary!$B$55)*(1)+Summary!$B$55*(MIN(Skills!R10,Inputs!$B$37))),0)</f>
        <v/>
      </c>
      <c r="P1118">
        <f>IF(B1148=0,0,O1118/B1148)</f>
        <v/>
      </c>
      <c r="Q1118" t="n">
        <v>0</v>
      </c>
      <c r="R1118" t="n">
        <v>0</v>
      </c>
      <c r="S1118" t="n">
        <v>0</v>
      </c>
    </row>
    <row r="1119">
      <c r="A1119">
        <f>Skills!A11</f>
        <v/>
      </c>
      <c r="B1119">
        <f>Skills!B11</f>
        <v/>
      </c>
      <c r="C1119">
        <f>Inputs!$B$3&gt;=110</f>
        <v/>
      </c>
      <c r="D1119">
        <f>IF(Skills!C11=1,60+Inputs!$B$24+Inputs!$B$28,IF(Skills!C11=2,90+Inputs!$B$25+Inputs!$B$28,IF(Skills!C11=3,120+Inputs!$B$26+Inputs!$B$28,MAX(0,(Inputs!$B$3-100)*3)+Inputs!$B$27+Inputs!$B$28)))</f>
        <v/>
      </c>
      <c r="E1119">
        <f>INDEX(FactorTable!$B$2:$Y$301, MATCH(ROUND(MIN(300,MAX(1,D1119)),0), FactorTable!$A$2:$A$301,0), Skills!M11+1)</f>
        <v/>
      </c>
      <c r="F1119">
        <f>IF(Skills!N11=TRUE,(Skills!L11/10)*(E1119/1000),Skills!L11/10)+Skills!O11</f>
        <v/>
      </c>
      <c r="G1119">
        <f>Skills!G11*IF(Skills!H11&gt;0,Skills!I11/Skills!H11,1)</f>
        <v/>
      </c>
      <c r="H1119">
        <f>1-(1-Skills!J11/100)^Skills!K11</f>
        <v/>
      </c>
      <c r="I1119" t="inlineStr">
        <is>
          <t>1</t>
        </is>
      </c>
      <c r="J1119">
        <f>(Inputs!$B$5*(1+Inputs!$B$6/100))*(F1119/100)</f>
        <v/>
      </c>
      <c r="K1119">
        <f>J1119*(1+((Inputs!$B$11*(1+Inputs!$B$12/100))*0.01+Inputs!$B$13*0.0025)/100)*(1+Inputs!$B$14/100)*(1+IF(Inputs!$B$4="pvp",0,(1-Summary!$B$55)*(Inputs!$B$19+0+Skills!P11)+Summary!$B$55*(Inputs!$B$20+Skills!Q11))/100)*(1+Inputs!$B$15/100)*(5000/(6000+Inputs!$B$7*(1-(Inputs!$B$18+0)/100)))*(1+(Inputs!$B$23+((C1132=TRUE)*(F1132-Calc!F24))+((C1133=TRUE)*(F1133-Calc!F25))+B1146)/100)*(1+(IF(Skills!A11="EMPOWERED_PIERCING_ARROW",Inputs!$B$16+((C1130=TRUE)*(F1130-Calc!F22)),Inputs!$B$17+((C1135=TRUE)*(F1135-Calc!F27))))/100)*((1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I1119)</f>
        <v/>
      </c>
      <c r="L1119">
        <f>K1119*(MIN(Inputs!$B$21+((C1131=TRUE)*(F1131-Calc!F23)),Inputs!$B$22+((C1136=TRUE)*(F1136-Calc!F28)))/100+(Inputs!$B$22+((C1136=TRUE)*(F1136-Calc!F28)))/100)/2</f>
        <v/>
      </c>
      <c r="M1119">
        <f>L1119*(1+(Inputs!$B$9+0+B1145)/100)</f>
        <v/>
      </c>
      <c r="N1119">
        <f>L1119*(1-MIN((Inputs!$B$8+((C1127=TRUE)*(F1127-Calc!F19))+B1140),100)/100)+M1119*(MIN((Inputs!$B$8+((C1127=TRUE)*(F1127-Calc!F19))+B1140),100)/100)</f>
        <v/>
      </c>
      <c r="O1119">
        <f>IF(C1119,H1119*N1119*IF(AND(Inputs!$B$4&lt;&gt;"pvp",Inputs!$B$35&gt;0),((Skills!G11*((R1119-1)*IF(Skills!H11&gt;0,Skills!I11/Skills!H11,1)+IF(Skills!H11&gt;0,MIN(Skills!I11,MAX(0,Inputs!$B$35-((R1119-1)*IF(Inputs!$B$4="pvp",15,MAX(0.1,Skills!D11-IF(Skills!E11=TRUE,Inputs!$B$31,0))))))/Skills!H11,1)))/Inputs!$B$35),G1119*Q1119)*IF(Inputs!$B$4="pvp",1,(1-Summary!$B$55)*(1)+Summary!$B$55*(MIN(Skills!R11,Inputs!$B$37))),0)</f>
        <v/>
      </c>
      <c r="P1119">
        <f>IF(B1148=0,0,O1119/B1148)</f>
        <v/>
      </c>
      <c r="Q1119">
        <f>IFERROR(1/IF(Inputs!$B$4="pvp",15,MAX(0.1,Skills!D11-IF(Skills!E11=TRUE,Inputs!$B$31,0))),0)</f>
        <v/>
      </c>
      <c r="R1119">
        <f>IF(AND(Inputs!$B$4&lt;&gt;"pvp",Inputs!$B$35&gt;0),(INT(Inputs!$B$35/IF(Inputs!$B$4="pvp",15,MAX(0.1,Skills!D11-IF(Skills!E11=TRUE,Inputs!$B$31,0))))+1),0)</f>
        <v/>
      </c>
      <c r="S1119">
        <f>IFERROR(O1119/N1119,0)</f>
        <v/>
      </c>
    </row>
    <row r="1120">
      <c r="A1120">
        <f>Skills!A12</f>
        <v/>
      </c>
      <c r="B1120">
        <f>Skills!B12</f>
        <v/>
      </c>
      <c r="C1120">
        <f>Inputs!$B$3&gt;=60</f>
        <v/>
      </c>
      <c r="D1120">
        <f>IF(Skills!C12=1,60+Inputs!$B$24+Inputs!$B$28,IF(Skills!C12=2,90+Inputs!$B$25+Inputs!$B$28,IF(Skills!C12=3,120+Inputs!$B$26+Inputs!$B$28,MAX(0,(Inputs!$B$3-100)*3)+Inputs!$B$27+Inputs!$B$28)))</f>
        <v/>
      </c>
      <c r="E1120">
        <f>INDEX(FactorTable!$B$2:$Y$301, MATCH(ROUND(MIN(300,MAX(1,D1120)),0), FactorTable!$A$2:$A$301,0), Skills!M12+1)</f>
        <v/>
      </c>
      <c r="F1120">
        <f>IF(Skills!N12=TRUE,(Skills!L12/10)*(E1120/1000),Skills!L12/10)+Skills!O12</f>
        <v/>
      </c>
      <c r="G1120">
        <f>Skills!G12*IF(Skills!H12&gt;0,Skills!I12/Skills!H12,1)</f>
        <v/>
      </c>
      <c r="H1120">
        <f>1-(1-Skills!J12/100)^Skills!K12</f>
        <v/>
      </c>
      <c r="I1120" t="inlineStr">
        <is>
          <t>1</t>
        </is>
      </c>
      <c r="J1120" t="inlineStr"/>
      <c r="K1120" t="inlineStr"/>
      <c r="L1120" t="inlineStr"/>
      <c r="M1120" t="inlineStr"/>
      <c r="N1120" t="inlineStr"/>
      <c r="O1120" t="n">
        <v>0</v>
      </c>
      <c r="P1120">
        <f>IF(B1148=0,0,O1120/B1148)</f>
        <v/>
      </c>
      <c r="Q1120" t="n">
        <v>0</v>
      </c>
      <c r="R1120" t="n">
        <v>0</v>
      </c>
      <c r="S1120">
        <f>IFERROR(O1120/N1120,0)</f>
        <v/>
      </c>
    </row>
    <row r="1121">
      <c r="A1121">
        <f>Skills!A13</f>
        <v/>
      </c>
      <c r="B1121">
        <f>Skills!B13</f>
        <v/>
      </c>
      <c r="C1121">
        <f>Inputs!$B$3&gt;=74</f>
        <v/>
      </c>
      <c r="D1121">
        <f>IF(Skills!C13=1,60+Inputs!$B$24+Inputs!$B$28,IF(Skills!C13=2,90+Inputs!$B$25+Inputs!$B$28,IF(Skills!C13=3,120+Inputs!$B$26+Inputs!$B$28,MAX(0,(Inputs!$B$3-100)*3)+Inputs!$B$27+Inputs!$B$28)))</f>
        <v/>
      </c>
      <c r="E1121">
        <f>INDEX(FactorTable!$B$2:$Y$301, MATCH(ROUND(MIN(300,MAX(1,D1121)),0), FactorTable!$A$2:$A$301,0), Skills!M13+1)</f>
        <v/>
      </c>
      <c r="F1121">
        <f>IF(Skills!N13=TRUE,(Skills!L13/10)*(E1121/1000),Skills!L13/10)+Skills!O13</f>
        <v/>
      </c>
      <c r="G1121">
        <f>Skills!G13*IF(Skills!H13&gt;0,Skills!I13/Skills!H13,1)</f>
        <v/>
      </c>
      <c r="H1121">
        <f>1-(1-Skills!J13/100)^Skills!K13</f>
        <v/>
      </c>
      <c r="I1121" t="inlineStr">
        <is>
          <t>1</t>
        </is>
      </c>
      <c r="J1121" t="inlineStr"/>
      <c r="K1121" t="inlineStr"/>
      <c r="L1121" t="inlineStr"/>
      <c r="M1121" t="inlineStr"/>
      <c r="N1121" t="inlineStr"/>
      <c r="O1121" t="n">
        <v>0</v>
      </c>
      <c r="P1121">
        <f>IF(B1148=0,0,O1121/B1148)</f>
        <v/>
      </c>
      <c r="Q1121" t="n">
        <v>0</v>
      </c>
      <c r="R1121" t="n">
        <v>0</v>
      </c>
      <c r="S1121">
        <f>IFERROR(O1121/N1121,0)</f>
        <v/>
      </c>
    </row>
    <row r="1122">
      <c r="A1122">
        <f>Skills!A14</f>
        <v/>
      </c>
      <c r="B1122">
        <f>Skills!B14</f>
        <v/>
      </c>
      <c r="C1122">
        <f>Inputs!$B$3&gt;=74</f>
        <v/>
      </c>
      <c r="D1122">
        <f>IF(Skills!C14=1,60+Inputs!$B$24+Inputs!$B$28,IF(Skills!C14=2,90+Inputs!$B$25+Inputs!$B$28,IF(Skills!C14=3,120+Inputs!$B$26+Inputs!$B$28,MAX(0,(Inputs!$B$3-100)*3)+Inputs!$B$27+Inputs!$B$28)))</f>
        <v/>
      </c>
      <c r="E1122">
        <f>INDEX(FactorTable!$B$2:$Y$301, MATCH(ROUND(MIN(300,MAX(1,D1122)),0), FactorTable!$A$2:$A$301,0), Skills!M14+1)</f>
        <v/>
      </c>
      <c r="F1122">
        <f>IF(Skills!N14=TRUE,(Skills!L14/10)*(E1122/1000),Skills!L14/10)+Skills!O14</f>
        <v/>
      </c>
      <c r="G1122">
        <f>Skills!G14*IF(Skills!H14&gt;0,Skills!I14/Skills!H14,1)</f>
        <v/>
      </c>
      <c r="H1122">
        <f>1-(1-Skills!J14/100)^Skills!K14</f>
        <v/>
      </c>
      <c r="I1122" t="inlineStr">
        <is>
          <t>1</t>
        </is>
      </c>
      <c r="J1122" t="inlineStr"/>
      <c r="K1122" t="inlineStr"/>
      <c r="L1122" t="inlineStr"/>
      <c r="M1122" t="inlineStr"/>
      <c r="N1122" t="inlineStr"/>
      <c r="O1122" t="n">
        <v>0</v>
      </c>
      <c r="P1122">
        <f>IF(B1148=0,0,O1122/B1148)</f>
        <v/>
      </c>
      <c r="Q1122" t="n">
        <v>0</v>
      </c>
      <c r="R1122" t="n">
        <v>0</v>
      </c>
      <c r="S1122">
        <f>IFERROR(O1122/N1122,0)</f>
        <v/>
      </c>
    </row>
    <row r="1123">
      <c r="A1123">
        <f>Skills!A15</f>
        <v/>
      </c>
      <c r="B1123">
        <f>Skills!B15</f>
        <v/>
      </c>
      <c r="C1123">
        <f>Inputs!$B$3&gt;=117</f>
        <v/>
      </c>
      <c r="D1123">
        <f>IF(Skills!C15=1,60+Inputs!$B$24+Inputs!$B$28,IF(Skills!C15=2,90+Inputs!$B$25+Inputs!$B$28,IF(Skills!C15=3,120+Inputs!$B$26+Inputs!$B$28,MAX(0,(Inputs!$B$3-100)*3)+Inputs!$B$27+Inputs!$B$28)))</f>
        <v/>
      </c>
      <c r="E1123">
        <f>INDEX(FactorTable!$B$2:$Y$301, MATCH(ROUND(MIN(300,MAX(1,D1123)),0), FactorTable!$A$2:$A$301,0), Skills!M15+1)</f>
        <v/>
      </c>
      <c r="F1123">
        <f>IF(Skills!N15=TRUE,(Skills!L15/10)*(E1123/1000),Skills!L15/10)+Skills!O15</f>
        <v/>
      </c>
      <c r="G1123">
        <f>Skills!G15*IF(Skills!H15&gt;0,Skills!I15/Skills!H15,1)</f>
        <v/>
      </c>
      <c r="H1123">
        <f>1-(1-Skills!J15/100)^Skills!K15</f>
        <v/>
      </c>
      <c r="I1123" t="inlineStr">
        <is>
          <t>1</t>
        </is>
      </c>
      <c r="J1123" t="inlineStr"/>
      <c r="K1123" t="inlineStr"/>
      <c r="L1123" t="inlineStr"/>
      <c r="M1123" t="inlineStr"/>
      <c r="N1123" t="inlineStr"/>
      <c r="O1123" t="n">
        <v>0</v>
      </c>
      <c r="P1123">
        <f>IF(B1148=0,0,O1123/B1148)</f>
        <v/>
      </c>
      <c r="Q1123">
        <f>IFERROR(1/IF(Inputs!$B$4="pvp",15,MAX(0.1,Skills!D15-IF(Skills!E15=TRUE,Inputs!$B$31,0))),0)</f>
        <v/>
      </c>
      <c r="R1123">
        <f>IF(AND(Inputs!$B$4&lt;&gt;"pvp",Inputs!$B$35&gt;0),(INT(Inputs!$B$35/IF(Inputs!$B$4="pvp",15,MAX(0.1,Skills!D15-IF(Skills!E15=TRUE,Inputs!$B$31,0))))+1),0)</f>
        <v/>
      </c>
      <c r="S1123">
        <f>IFERROR(O1123/N1123,0)</f>
        <v/>
      </c>
    </row>
    <row r="1124">
      <c r="A1124">
        <f>Skills!A16</f>
        <v/>
      </c>
      <c r="B1124">
        <f>Skills!B16</f>
        <v/>
      </c>
      <c r="C1124">
        <f>Inputs!$B$3&gt;=115</f>
        <v/>
      </c>
      <c r="D1124">
        <f>IF(Skills!C16=1,60+Inputs!$B$24+Inputs!$B$28,IF(Skills!C16=2,90+Inputs!$B$25+Inputs!$B$28,IF(Skills!C16=3,120+Inputs!$B$26+Inputs!$B$28,MAX(0,(Inputs!$B$3-100)*3)+Inputs!$B$27+Inputs!$B$28)))</f>
        <v/>
      </c>
      <c r="E1124">
        <f>INDEX(FactorTable!$B$2:$Y$301, MATCH(ROUND(MIN(300,MAX(1,D1124)),0), FactorTable!$A$2:$A$301,0), Skills!M16+1)</f>
        <v/>
      </c>
      <c r="F1124">
        <f>IF(Skills!N16=TRUE,(Skills!L16/10)*(E1124/1000),Skills!L16/10)+Skills!O16</f>
        <v/>
      </c>
      <c r="G1124">
        <f>Skills!G16*IF(Skills!H16&gt;0,Skills!I16/Skills!H16,1)</f>
        <v/>
      </c>
      <c r="H1124">
        <f>1-(1-Skills!J16/100)^Skills!K16</f>
        <v/>
      </c>
      <c r="I1124" t="inlineStr">
        <is>
          <t>1</t>
        </is>
      </c>
      <c r="J1124" t="inlineStr"/>
      <c r="K1124" t="inlineStr"/>
      <c r="L1124" t="inlineStr"/>
      <c r="M1124" t="inlineStr"/>
      <c r="N1124" t="inlineStr"/>
      <c r="O1124" t="n">
        <v>0</v>
      </c>
      <c r="P1124">
        <f>IF(B1148=0,0,O1124/B1148)</f>
        <v/>
      </c>
      <c r="Q1124">
        <f>IFERROR(1/IF(Inputs!$B$4="pvp",15,MAX(0.1,Skills!D16-IF(Skills!E16=TRUE,Inputs!$B$31,0))),0)</f>
        <v/>
      </c>
      <c r="R1124">
        <f>IF(AND(Inputs!$B$4&lt;&gt;"pvp",Inputs!$B$35&gt;0),(INT(Inputs!$B$35/IF(Inputs!$B$4="pvp",15,MAX(0.1,Skills!D16-IF(Skills!E16=TRUE,Inputs!$B$31,0))))+1),0)</f>
        <v/>
      </c>
      <c r="S1124">
        <f>IFERROR(O1124/N1124,0)</f>
        <v/>
      </c>
    </row>
    <row r="1125">
      <c r="A1125">
        <f>Skills!A17</f>
        <v/>
      </c>
      <c r="B1125">
        <f>Skills!B17</f>
        <v/>
      </c>
      <c r="C1125">
        <f>Inputs!$B$3&gt;=72</f>
        <v/>
      </c>
      <c r="D1125">
        <f>IF(Skills!C17=1,60+Inputs!$B$24+Inputs!$B$28,IF(Skills!C17=2,90+Inputs!$B$25+Inputs!$B$28,IF(Skills!C17=3,120+Inputs!$B$26+Inputs!$B$28,MAX(0,(Inputs!$B$3-100)*3)+Inputs!$B$27+Inputs!$B$28)))</f>
        <v/>
      </c>
      <c r="E1125">
        <f>INDEX(FactorTable!$B$2:$Y$301, MATCH(ROUND(MIN(300,MAX(1,D1125)),0), FactorTable!$A$2:$A$301,0), Skills!M17+1)</f>
        <v/>
      </c>
      <c r="F1125">
        <f>IF(Skills!N17=TRUE,(Skills!L17/10)*(E1125/1000),Skills!L17/10)+Skills!O17</f>
        <v/>
      </c>
      <c r="G1125">
        <f>Skills!G17*IF(Skills!H17&gt;0,Skills!I17/Skills!H17,1)</f>
        <v/>
      </c>
      <c r="H1125">
        <f>1-(1-Skills!J17/100)^Skills!K17</f>
        <v/>
      </c>
      <c r="I1125" t="inlineStr">
        <is>
          <t>1</t>
        </is>
      </c>
      <c r="J1125" t="inlineStr"/>
      <c r="K1125" t="inlineStr"/>
      <c r="L1125" t="inlineStr"/>
      <c r="M1125" t="inlineStr"/>
      <c r="N1125" t="inlineStr"/>
      <c r="O1125" t="n">
        <v>0</v>
      </c>
      <c r="P1125">
        <f>IF(B1148=0,0,O1125/B1148)</f>
        <v/>
      </c>
      <c r="Q1125" t="n">
        <v>0</v>
      </c>
      <c r="R1125" t="n">
        <v>0</v>
      </c>
      <c r="S1125">
        <f>IFERROR(O1125/N1125,0)</f>
        <v/>
      </c>
    </row>
    <row r="1126">
      <c r="A1126">
        <f>Skills!A18</f>
        <v/>
      </c>
      <c r="B1126">
        <f>Skills!B18</f>
        <v/>
      </c>
      <c r="C1126">
        <f>TRUE</f>
        <v/>
      </c>
      <c r="D1126">
        <f>IF(Skills!C18=1,60+Inputs!$B$24+Inputs!$B$28,IF(Skills!C18=2,90+Inputs!$B$25+Inputs!$B$28,IF(Skills!C18=3,120+Inputs!$B$26+Inputs!$B$28,MAX(0,(Inputs!$B$3-100)*3)+Inputs!$B$27+Inputs!$B$28)))</f>
        <v/>
      </c>
      <c r="E1126">
        <f>INDEX(FactorTable!$B$2:$Y$301, MATCH(ROUND(MIN(300,MAX(1,D1126)),0), FactorTable!$A$2:$A$301,0), Skills!M18+1)</f>
        <v/>
      </c>
      <c r="F1126">
        <f>IF(Skills!N18=TRUE,(Skills!L18/10)*(E1126/1000),Skills!L18/10)+Skills!O18</f>
        <v/>
      </c>
      <c r="G1126">
        <f>Skills!G18*IF(Skills!H18&gt;0,Skills!I18/Skills!H18,1)</f>
        <v/>
      </c>
      <c r="H1126">
        <f>1-(1-Skills!J18/100)^Skills!K18</f>
        <v/>
      </c>
      <c r="I1126" t="inlineStr">
        <is>
          <t>1</t>
        </is>
      </c>
      <c r="J1126" t="inlineStr"/>
      <c r="K1126" t="inlineStr"/>
      <c r="L1126" t="inlineStr"/>
      <c r="M1126" t="inlineStr"/>
      <c r="N1126" t="inlineStr"/>
      <c r="O1126" t="n">
        <v>0</v>
      </c>
      <c r="P1126">
        <f>IF(B1148=0,0,O1126/B1148)</f>
        <v/>
      </c>
      <c r="Q1126">
        <f>IFERROR(1/IF(Inputs!$B$4="pvp",15,MAX(0.1,Skills!D18-IF(Skills!E18=TRUE,Inputs!$B$31,0))),0)</f>
        <v/>
      </c>
      <c r="R1126">
        <f>IF(AND(Inputs!$B$4&lt;&gt;"pvp",Inputs!$B$35&gt;0),(INT(Inputs!$B$35/IF(Inputs!$B$4="pvp",15,MAX(0.1,Skills!D18-IF(Skills!E18=TRUE,Inputs!$B$31,0))))+1),0)</f>
        <v/>
      </c>
      <c r="S1126">
        <f>IFERROR(O1126/N1126,0)</f>
        <v/>
      </c>
    </row>
    <row r="1127">
      <c r="A1127">
        <f>Skills!A19</f>
        <v/>
      </c>
      <c r="B1127">
        <f>Skills!B19</f>
        <v/>
      </c>
      <c r="C1127">
        <f>Inputs!$B$3&gt;=15</f>
        <v/>
      </c>
      <c r="D1127">
        <f>IF(Skills!C19=1,60+Inputs!$B$24+Inputs!$B$28,IF(Skills!C19=2,90+Inputs!$B$25+Inputs!$B$28,IF(Skills!C19=3,120+Inputs!$B$26+Inputs!$B$28,MAX(0,(Inputs!$B$3-100)*3)+Inputs!$B$27+Inputs!$B$28)))</f>
        <v/>
      </c>
      <c r="E1127">
        <f>INDEX(FactorTable!$B$2:$Y$301, MATCH(ROUND(MIN(300,MAX(1,D1127)),0), FactorTable!$A$2:$A$301,0), Skills!M19+1)</f>
        <v/>
      </c>
      <c r="F1127">
        <f>IF(Skills!N19=TRUE,(Skills!L19/10)*(E1127/1000),Skills!L19/10)+Skills!O19</f>
        <v/>
      </c>
      <c r="G1127">
        <f>Skills!G19*IF(Skills!H19&gt;0,Skills!I19/Skills!H19,1)</f>
        <v/>
      </c>
      <c r="H1127">
        <f>1-(1-Skills!J19/100)^Skills!K19</f>
        <v/>
      </c>
      <c r="I1127" t="inlineStr">
        <is>
          <t>1</t>
        </is>
      </c>
      <c r="J1127" t="inlineStr"/>
      <c r="K1127" t="inlineStr"/>
      <c r="L1127" t="inlineStr"/>
      <c r="M1127" t="inlineStr"/>
      <c r="N1127" t="inlineStr"/>
      <c r="O1127" t="n">
        <v>0</v>
      </c>
      <c r="P1127">
        <f>IF(B1148=0,0,O1127/B1148)</f>
        <v/>
      </c>
      <c r="Q1127" t="n">
        <v>0</v>
      </c>
      <c r="R1127" t="n">
        <v>0</v>
      </c>
      <c r="S1127">
        <f>IFERROR(O1127/N1127,0)</f>
        <v/>
      </c>
    </row>
    <row r="1128">
      <c r="A1128">
        <f>Skills!A20</f>
        <v/>
      </c>
      <c r="B1128">
        <f>Skills!B20</f>
        <v/>
      </c>
      <c r="C1128">
        <f>Inputs!$B$3&gt;=10</f>
        <v/>
      </c>
      <c r="D1128">
        <f>IF(Skills!C20=1,60+Inputs!$B$24+Inputs!$B$28,IF(Skills!C20=2,90+Inputs!$B$25+Inputs!$B$28,IF(Skills!C20=3,120+Inputs!$B$26+Inputs!$B$28,MAX(0,(Inputs!$B$3-100)*3)+Inputs!$B$27+Inputs!$B$28)))</f>
        <v/>
      </c>
      <c r="E1128">
        <f>INDEX(FactorTable!$B$2:$Y$301, MATCH(ROUND(MIN(300,MAX(1,D1128)),0), FactorTable!$A$2:$A$301,0), Skills!M20+1)</f>
        <v/>
      </c>
      <c r="F1128">
        <f>IF(Skills!N20=TRUE,(Skills!L20/10)*(E1128/1000),Skills!L20/10)+Skills!O20</f>
        <v/>
      </c>
      <c r="G1128">
        <f>Skills!G20*IF(Skills!H20&gt;0,Skills!I20/Skills!H20,1)</f>
        <v/>
      </c>
      <c r="H1128">
        <f>1-(1-Skills!J20/100)^Skills!K20</f>
        <v/>
      </c>
      <c r="I1128" t="inlineStr">
        <is>
          <t>1</t>
        </is>
      </c>
      <c r="J1128" t="inlineStr"/>
      <c r="K1128" t="inlineStr"/>
      <c r="L1128" t="inlineStr"/>
      <c r="M1128" t="inlineStr"/>
      <c r="N1128" t="inlineStr"/>
      <c r="O1128" t="n">
        <v>0</v>
      </c>
      <c r="P1128">
        <f>IF(B1148=0,0,O1128/B1148)</f>
        <v/>
      </c>
      <c r="Q1128" t="n">
        <v>0</v>
      </c>
      <c r="R1128" t="n">
        <v>0</v>
      </c>
      <c r="S1128">
        <f>IFERROR(O1128/N1128,0)</f>
        <v/>
      </c>
    </row>
    <row r="1129">
      <c r="A1129">
        <f>Skills!A21</f>
        <v/>
      </c>
      <c r="B1129">
        <f>Skills!B21</f>
        <v/>
      </c>
      <c r="C1129">
        <f>Inputs!$B$3&gt;=33</f>
        <v/>
      </c>
      <c r="D1129">
        <f>IF(Skills!C21=1,60+Inputs!$B$24+Inputs!$B$28,IF(Skills!C21=2,90+Inputs!$B$25+Inputs!$B$28,IF(Skills!C21=3,120+Inputs!$B$26+Inputs!$B$28,MAX(0,(Inputs!$B$3-100)*3)+Inputs!$B$27+Inputs!$B$28)))</f>
        <v/>
      </c>
      <c r="E1129">
        <f>INDEX(FactorTable!$B$2:$Y$301, MATCH(ROUND(MIN(300,MAX(1,D1129)),0), FactorTable!$A$2:$A$301,0), Skills!M21+1)</f>
        <v/>
      </c>
      <c r="F1129">
        <f>IF(Skills!N21=TRUE,(Skills!L21/10)*(E1129/1000),Skills!L21/10)+Skills!O21</f>
        <v/>
      </c>
      <c r="G1129">
        <f>Skills!G21*IF(Skills!H21&gt;0,Skills!I21/Skills!H21,1)</f>
        <v/>
      </c>
      <c r="H1129">
        <f>1-(1-Skills!J21/100)^Skills!K21</f>
        <v/>
      </c>
      <c r="I1129" t="inlineStr">
        <is>
          <t>1</t>
        </is>
      </c>
      <c r="J1129" t="inlineStr"/>
      <c r="K1129" t="inlineStr"/>
      <c r="L1129" t="inlineStr"/>
      <c r="M1129" t="inlineStr"/>
      <c r="N1129" t="inlineStr"/>
      <c r="O1129" t="n">
        <v>0</v>
      </c>
      <c r="P1129">
        <f>IF(B1148=0,0,O1129/B1148)</f>
        <v/>
      </c>
      <c r="Q1129" t="n">
        <v>0</v>
      </c>
      <c r="R1129" t="n">
        <v>0</v>
      </c>
      <c r="S1129">
        <f>IFERROR(O1129/N1129,0)</f>
        <v/>
      </c>
    </row>
    <row r="1130">
      <c r="A1130">
        <f>Skills!A22</f>
        <v/>
      </c>
      <c r="B1130">
        <f>Skills!B22</f>
        <v/>
      </c>
      <c r="C1130">
        <f>Inputs!$B$3&gt;=38</f>
        <v/>
      </c>
      <c r="D1130">
        <f>IF(Skills!C22=1,60+Inputs!$B$24+Inputs!$B$28,IF(Skills!C22=2,90+Inputs!$B$25+Inputs!$B$28,IF(Skills!C22=3,120+Inputs!$B$26+Inputs!$B$28,MAX(0,(Inputs!$B$3-100)*3)+Inputs!$B$27+Inputs!$B$28)))</f>
        <v/>
      </c>
      <c r="E1130">
        <f>INDEX(FactorTable!$B$2:$Y$301, MATCH(ROUND(MIN(300,MAX(1,D1130)),0), FactorTable!$A$2:$A$301,0), Skills!M22+1)</f>
        <v/>
      </c>
      <c r="F1130">
        <f>IF(Skills!N22=TRUE,(Skills!L22/10)*(E1130/1000),Skills!L22/10)+Skills!O22</f>
        <v/>
      </c>
      <c r="G1130">
        <f>Skills!G22*IF(Skills!H22&gt;0,Skills!I22/Skills!H22,1)</f>
        <v/>
      </c>
      <c r="H1130">
        <f>1-(1-Skills!J22/100)^Skills!K22</f>
        <v/>
      </c>
      <c r="I1130" t="inlineStr">
        <is>
          <t>1</t>
        </is>
      </c>
      <c r="J1130" t="inlineStr"/>
      <c r="K1130" t="inlineStr"/>
      <c r="L1130" t="inlineStr"/>
      <c r="M1130" t="inlineStr"/>
      <c r="N1130" t="inlineStr"/>
      <c r="O1130" t="n">
        <v>0</v>
      </c>
      <c r="P1130">
        <f>IF(B1148=0,0,O1130/B1148)</f>
        <v/>
      </c>
      <c r="Q1130" t="n">
        <v>0</v>
      </c>
      <c r="R1130" t="n">
        <v>0</v>
      </c>
      <c r="S1130">
        <f>IFERROR(O1130/N1130,0)</f>
        <v/>
      </c>
    </row>
    <row r="1131">
      <c r="A1131">
        <f>Skills!A23</f>
        <v/>
      </c>
      <c r="B1131">
        <f>Skills!B23</f>
        <v/>
      </c>
      <c r="C1131">
        <f>Inputs!$B$3&gt;=43</f>
        <v/>
      </c>
      <c r="D1131">
        <f>IF(Skills!C23=1,60+Inputs!$B$24+Inputs!$B$28,IF(Skills!C23=2,90+Inputs!$B$25+Inputs!$B$28,IF(Skills!C23=3,120+Inputs!$B$26+Inputs!$B$28,MAX(0,(Inputs!$B$3-100)*3)+Inputs!$B$27+Inputs!$B$28)))</f>
        <v/>
      </c>
      <c r="E1131">
        <f>INDEX(FactorTable!$B$2:$Y$301, MATCH(ROUND(MIN(300,MAX(1,D1131)),0), FactorTable!$A$2:$A$301,0), Skills!M23+1)</f>
        <v/>
      </c>
      <c r="F1131">
        <f>IF(Skills!N23=TRUE,(Skills!L23/10)*(E1131/1000),Skills!L23/10)+Skills!O23</f>
        <v/>
      </c>
      <c r="G1131">
        <f>Skills!G23*IF(Skills!H23&gt;0,Skills!I23/Skills!H23,1)</f>
        <v/>
      </c>
      <c r="H1131">
        <f>1-(1-Skills!J23/100)^Skills!K23</f>
        <v/>
      </c>
      <c r="I1131" t="inlineStr">
        <is>
          <t>1</t>
        </is>
      </c>
      <c r="J1131" t="inlineStr"/>
      <c r="K1131" t="inlineStr"/>
      <c r="L1131" t="inlineStr"/>
      <c r="M1131" t="inlineStr"/>
      <c r="N1131" t="inlineStr"/>
      <c r="O1131" t="n">
        <v>0</v>
      </c>
      <c r="P1131">
        <f>IF(B1148=0,0,O1131/B1148)</f>
        <v/>
      </c>
      <c r="Q1131" t="n">
        <v>0</v>
      </c>
      <c r="R1131" t="n">
        <v>0</v>
      </c>
      <c r="S1131">
        <f>IFERROR(O1131/N1131,0)</f>
        <v/>
      </c>
    </row>
    <row r="1132">
      <c r="A1132">
        <f>Skills!A24</f>
        <v/>
      </c>
      <c r="B1132">
        <f>Skills!B24</f>
        <v/>
      </c>
      <c r="C1132">
        <f>Inputs!$B$3&gt;=75</f>
        <v/>
      </c>
      <c r="D1132">
        <f>IF(Skills!C24=1,60+Inputs!$B$24+Inputs!$B$28,IF(Skills!C24=2,90+Inputs!$B$25+Inputs!$B$28,IF(Skills!C24=3,120+Inputs!$B$26+Inputs!$B$28,MAX(0,(Inputs!$B$3-100)*3)+Inputs!$B$27+Inputs!$B$28)))</f>
        <v/>
      </c>
      <c r="E1132">
        <f>INDEX(FactorTable!$B$2:$Y$301, MATCH(ROUND(MIN(300,MAX(1,D1132)),0), FactorTable!$A$2:$A$301,0), Skills!M24+1)</f>
        <v/>
      </c>
      <c r="F1132">
        <f>IF(Skills!N24=TRUE,(Skills!L24/10)*(E1132/1000),Skills!L24/10)+Skills!O24</f>
        <v/>
      </c>
      <c r="G1132">
        <f>Skills!G24*IF(Skills!H24&gt;0,Skills!I24/Skills!H24,1)</f>
        <v/>
      </c>
      <c r="H1132">
        <f>1-(1-Skills!J24/100)^Skills!K24</f>
        <v/>
      </c>
      <c r="I1132" t="inlineStr">
        <is>
          <t>1</t>
        </is>
      </c>
      <c r="J1132" t="inlineStr"/>
      <c r="K1132" t="inlineStr"/>
      <c r="L1132" t="inlineStr"/>
      <c r="M1132" t="inlineStr"/>
      <c r="N1132" t="inlineStr"/>
      <c r="O1132" t="n">
        <v>0</v>
      </c>
      <c r="P1132">
        <f>IF(B1148=0,0,O1132/B1148)</f>
        <v/>
      </c>
      <c r="Q1132" t="n">
        <v>0</v>
      </c>
      <c r="R1132" t="n">
        <v>0</v>
      </c>
      <c r="S1132">
        <f>IFERROR(O1132/N1132,0)</f>
        <v/>
      </c>
    </row>
    <row r="1133">
      <c r="A1133">
        <f>Skills!A25</f>
        <v/>
      </c>
      <c r="B1133">
        <f>Skills!B25</f>
        <v/>
      </c>
      <c r="C1133">
        <f>Inputs!$B$3&gt;=125</f>
        <v/>
      </c>
      <c r="D1133">
        <f>IF(Skills!C25=1,60+Inputs!$B$24+Inputs!$B$28,IF(Skills!C25=2,90+Inputs!$B$25+Inputs!$B$28,IF(Skills!C25=3,120+Inputs!$B$26+Inputs!$B$28,MAX(0,(Inputs!$B$3-100)*3)+Inputs!$B$27+Inputs!$B$28)))</f>
        <v/>
      </c>
      <c r="E1133">
        <f>INDEX(FactorTable!$B$2:$Y$301, MATCH(ROUND(MIN(300,MAX(1,D1133)),0), FactorTable!$A$2:$A$301,0), Skills!M25+1)</f>
        <v/>
      </c>
      <c r="F1133">
        <f>IF(Skills!N25=TRUE,(Skills!L25/10)*(E1133/1000),Skills!L25/10)+Skills!O25</f>
        <v/>
      </c>
      <c r="G1133">
        <f>Skills!G25*IF(Skills!H25&gt;0,Skills!I25/Skills!H25,1)</f>
        <v/>
      </c>
      <c r="H1133">
        <f>1-(1-Skills!J25/100)^Skills!K25</f>
        <v/>
      </c>
      <c r="I1133" t="inlineStr">
        <is>
          <t>1</t>
        </is>
      </c>
      <c r="J1133" t="inlineStr"/>
      <c r="K1133" t="inlineStr"/>
      <c r="L1133" t="inlineStr"/>
      <c r="M1133" t="inlineStr"/>
      <c r="N1133" t="inlineStr"/>
      <c r="O1133" t="n">
        <v>0</v>
      </c>
      <c r="P1133">
        <f>IF(B1148=0,0,O1133/B1148)</f>
        <v/>
      </c>
      <c r="Q1133" t="n">
        <v>0</v>
      </c>
      <c r="R1133" t="n">
        <v>0</v>
      </c>
      <c r="S1133">
        <f>IFERROR(O1133/N1133,0)</f>
        <v/>
      </c>
    </row>
    <row r="1134">
      <c r="A1134">
        <f>Skills!A26</f>
        <v/>
      </c>
      <c r="B1134">
        <f>Skills!B26</f>
        <v/>
      </c>
      <c r="C1134">
        <f>Inputs!$B$3&gt;=125</f>
        <v/>
      </c>
      <c r="D1134">
        <f>IF(Skills!C26=1,60+Inputs!$B$24+Inputs!$B$28,IF(Skills!C26=2,90+Inputs!$B$25+Inputs!$B$28,IF(Skills!C26=3,120+Inputs!$B$26+Inputs!$B$28,MAX(0,(Inputs!$B$3-100)*3)+Inputs!$B$27+Inputs!$B$28)))</f>
        <v/>
      </c>
      <c r="E1134">
        <f>INDEX(FactorTable!$B$2:$Y$301, MATCH(ROUND(MIN(300,MAX(1,D1134)),0), FactorTable!$A$2:$A$301,0), Skills!M26+1)</f>
        <v/>
      </c>
      <c r="F1134">
        <f>IF(Skills!N26=TRUE,(Skills!L26/10)*(E1134/1000),Skills!L26/10)+Skills!O26</f>
        <v/>
      </c>
      <c r="G1134">
        <f>Skills!G26*IF(Skills!H26&gt;0,Skills!I26/Skills!H26,1)</f>
        <v/>
      </c>
      <c r="H1134">
        <f>1-(1-Skills!J26/100)^Skills!K26</f>
        <v/>
      </c>
      <c r="I1134" t="inlineStr">
        <is>
          <t>1</t>
        </is>
      </c>
      <c r="J1134" t="inlineStr"/>
      <c r="K1134" t="inlineStr"/>
      <c r="L1134" t="inlineStr"/>
      <c r="M1134" t="inlineStr"/>
      <c r="N1134" t="inlineStr"/>
      <c r="O1134" t="n">
        <v>0</v>
      </c>
      <c r="P1134">
        <f>IF(B1148=0,0,O1134/B1148)</f>
        <v/>
      </c>
      <c r="Q1134" t="n">
        <v>0</v>
      </c>
      <c r="R1134" t="n">
        <v>0</v>
      </c>
      <c r="S1134">
        <f>IFERROR(O1134/N1134,0)</f>
        <v/>
      </c>
    </row>
    <row r="1135">
      <c r="A1135">
        <f>Skills!A27</f>
        <v/>
      </c>
      <c r="B1135">
        <f>Skills!B27</f>
        <v/>
      </c>
      <c r="C1135">
        <f>Inputs!$B$3&gt;=120</f>
        <v/>
      </c>
      <c r="D1135">
        <f>IF(Skills!C27=1,60+Inputs!$B$24+Inputs!$B$28,IF(Skills!C27=2,90+Inputs!$B$25+Inputs!$B$28,IF(Skills!C27=3,120+Inputs!$B$26+Inputs!$B$28,MAX(0,(Inputs!$B$3-100)*3)+Inputs!$B$27+Inputs!$B$28)))</f>
        <v/>
      </c>
      <c r="E1135">
        <f>INDEX(FactorTable!$B$2:$Y$301, MATCH(ROUND(MIN(300,MAX(1,D1135)),0), FactorTable!$A$2:$A$301,0), Skills!M27+1)</f>
        <v/>
      </c>
      <c r="F1135">
        <f>IF(Skills!N27=TRUE,(Skills!L27/10)*(E1135/1000),Skills!L27/10)+Skills!O27</f>
        <v/>
      </c>
      <c r="G1135">
        <f>Skills!G27*IF(Skills!H27&gt;0,Skills!I27/Skills!H27,1)</f>
        <v/>
      </c>
      <c r="H1135">
        <f>1-(1-Skills!J27/100)^Skills!K27</f>
        <v/>
      </c>
      <c r="I1135" t="inlineStr">
        <is>
          <t>1</t>
        </is>
      </c>
      <c r="J1135" t="inlineStr"/>
      <c r="K1135" t="inlineStr"/>
      <c r="L1135" t="inlineStr"/>
      <c r="M1135" t="inlineStr"/>
      <c r="N1135" t="inlineStr"/>
      <c r="O1135" t="n">
        <v>0</v>
      </c>
      <c r="P1135">
        <f>IF(B1148=0,0,O1135/B1148)</f>
        <v/>
      </c>
      <c r="Q1135" t="n">
        <v>0</v>
      </c>
      <c r="R1135" t="n">
        <v>0</v>
      </c>
      <c r="S1135">
        <f>IFERROR(O1135/N1135,0)</f>
        <v/>
      </c>
    </row>
    <row r="1136">
      <c r="A1136">
        <f>Skills!A28</f>
        <v/>
      </c>
      <c r="B1136">
        <f>Skills!B28</f>
        <v/>
      </c>
      <c r="C1136">
        <f>Inputs!$B$3&gt;=120</f>
        <v/>
      </c>
      <c r="D1136">
        <f>IF(Skills!C28=1,60+Inputs!$B$24+Inputs!$B$28,IF(Skills!C28=2,90+Inputs!$B$25+Inputs!$B$28,IF(Skills!C28=3,120+Inputs!$B$26+Inputs!$B$28,MAX(0,(Inputs!$B$3-100)*3)+Inputs!$B$27+Inputs!$B$28)))</f>
        <v/>
      </c>
      <c r="E1136">
        <f>INDEX(FactorTable!$B$2:$Y$301, MATCH(ROUND(MIN(300,MAX(1,D1136)),0), FactorTable!$A$2:$A$301,0), Skills!M28+1)</f>
        <v/>
      </c>
      <c r="F1136">
        <f>IF(Skills!N28=TRUE,(Skills!L28/10)*(E1136/1000),Skills!L28/10)+Skills!O28</f>
        <v/>
      </c>
      <c r="G1136">
        <f>Skills!G28*IF(Skills!H28&gt;0,Skills!I28/Skills!H28,1)</f>
        <v/>
      </c>
      <c r="H1136">
        <f>1-(1-Skills!J28/100)^Skills!K28</f>
        <v/>
      </c>
      <c r="I1136" t="inlineStr">
        <is>
          <t>1</t>
        </is>
      </c>
      <c r="J1136" t="inlineStr"/>
      <c r="K1136" t="inlineStr"/>
      <c r="L1136" t="inlineStr"/>
      <c r="M1136" t="inlineStr"/>
      <c r="N1136" t="inlineStr"/>
      <c r="O1136" t="n">
        <v>0</v>
      </c>
      <c r="P1136">
        <f>IF(B1148=0,0,O1136/B1148)</f>
        <v/>
      </c>
      <c r="Q1136" t="n">
        <v>0</v>
      </c>
      <c r="R1136" t="n">
        <v>0</v>
      </c>
      <c r="S1136">
        <f>IFERROR(O1136/N1136,0)</f>
        <v/>
      </c>
    </row>
    <row r="1137">
      <c r="A1137">
        <f>Skills!A29</f>
        <v/>
      </c>
      <c r="B1137">
        <f>Skills!B29</f>
        <v/>
      </c>
      <c r="C1137">
        <f>Inputs!$B$3&gt;=45</f>
        <v/>
      </c>
      <c r="D1137">
        <f>IF(Skills!C29=1,60+Inputs!$B$24+Inputs!$B$28,IF(Skills!C29=2,90+Inputs!$B$25+Inputs!$B$28,IF(Skills!C29=3,120+Inputs!$B$26+Inputs!$B$28,MAX(0,(Inputs!$B$3-100)*3)+Inputs!$B$27+Inputs!$B$28)))</f>
        <v/>
      </c>
      <c r="E1137">
        <f>INDEX(FactorTable!$B$2:$Y$301, MATCH(ROUND(MIN(300,MAX(1,D1137)),0), FactorTable!$A$2:$A$301,0), Skills!M29+1)</f>
        <v/>
      </c>
      <c r="F1137">
        <f>IF(Skills!N29=TRUE,(Skills!L29/10)*(E1137/1000),Skills!L29/10)+Skills!O29</f>
        <v/>
      </c>
      <c r="G1137">
        <f>Skills!G29*IF(Skills!H29&gt;0,Skills!I29/Skills!H29,1)</f>
        <v/>
      </c>
      <c r="H1137">
        <f>1-(1-Skills!J29/100)^Skills!K29</f>
        <v/>
      </c>
      <c r="I1137" t="inlineStr">
        <is>
          <t>1</t>
        </is>
      </c>
      <c r="J1137" t="inlineStr"/>
      <c r="K1137" t="inlineStr"/>
      <c r="L1137" t="inlineStr"/>
      <c r="M1137" t="inlineStr"/>
      <c r="N1137" t="inlineStr"/>
      <c r="O1137" t="n">
        <v>0</v>
      </c>
      <c r="P1137">
        <f>IF(B1148=0,0,O1137/B1148)</f>
        <v/>
      </c>
      <c r="Q1137" t="n">
        <v>0</v>
      </c>
      <c r="R1137" t="n">
        <v>0</v>
      </c>
      <c r="S1137">
        <f>IFERROR(O1137/N1137,0)</f>
        <v/>
      </c>
    </row>
    <row r="1139">
      <c r="A1139" t="inlineStr">
        <is>
          <t>Attack% Bucket Multiplier</t>
        </is>
      </c>
      <c r="B1139">
        <f>(1+(((C1121=TRUE)*F1121)+((C1122=TRUE)*IF(Inputs!$B$4="pvp",F1122,(1-Summary!$B$55)*(F1122)+Summary!$B$55*(0)))+((C1123=TRUE)*F1123*IF(AND(Inputs!$B$4&lt;&gt;"pvp",Inputs!$B$35&gt;0),(((S1123-1)*(Skills!T15*(1+(Inputs!$B$33+1)/100))+MIN((Skills!T15*(1+(Inputs!$B$33+1)/100)),MAX(0,Inputs!$B$35-((S1123-1)*Skills!D15))))/Inputs!$B$35),IF(Inputs!$B$4="pvp",MIN((Skills!T15*(1+(Inputs!$B$33+1)/100)),15)/15,(Skills!T15*(1+(Inputs!$B$33+1)/100))/Skills!D15)))+((C1120=TRUE)*F1120)+((C1137=TRUE)*(F1137-Calc!F29)))/100)</f>
        <v/>
      </c>
    </row>
    <row r="1140">
      <c r="A1140" t="inlineStr">
        <is>
          <t>Global Crit Rate Bonus %</t>
        </is>
      </c>
      <c r="B1140">
        <f>(C1124=TRUE)*20*IF(AND(Inputs!$B$4&lt;&gt;"pvp",Inputs!$B$35&gt;0),(((S1124-1)*(Skills!T16*(1+(Inputs!$B$33+1)/100))+MIN((Skills!T16*(1+(Inputs!$B$33+1)/100)),MAX(0,Inputs!$B$35-((S1124-1)*Skills!D16))))/Inputs!$B$35),IF(Inputs!$B$4="pvp",MIN((Skills!T16*(1+(Inputs!$B$33+1)/100)),15)/15,(Skills!T16*(1+(Inputs!$B$33+1)/100))/Skills!D16))</f>
        <v/>
      </c>
    </row>
    <row r="1141">
      <c r="A1141" t="inlineStr">
        <is>
          <t>Attack Speed Buff Bonus %</t>
        </is>
      </c>
      <c r="B1141">
        <f>((C1126=TRUE)*F1126*IF(AND(Inputs!$B$4&lt;&gt;"pvp",Inputs!$B$35&gt;0),(((S1126-1)*(Skills!T18*(1+(Inputs!$B$33+1)/100))+MIN((Skills!T18*(1+(Inputs!$B$33+1)/100)),MAX(0,Inputs!$B$35-((S1126-1)*Skills!D18))))/Inputs!$B$35),IF(Inputs!$B$4="pvp",MIN((Skills!T18*(1+(Inputs!$B$33+1)/100)),15)/15,(Skills!T18*(1+(Inputs!$B$33+1)/100))/Skills!D18)))</f>
        <v/>
      </c>
    </row>
    <row r="1142">
      <c r="A1142" t="inlineStr">
        <is>
          <t>Actions Per Second</t>
        </is>
      </c>
      <c r="B1142">
        <f>1+MIN(150,150*(1-(1-(Inputs!$B$10+((C1128=TRUE)*(F1128-Calc!F20))+((C1129=TRUE)*(F1129-Calc!F21)))/150)*(1-B1141/150)))/100</f>
        <v/>
      </c>
    </row>
    <row r="1143">
      <c r="A1143" t="inlineStr">
        <is>
          <t>Skill + Buff Cast Rate</t>
        </is>
      </c>
      <c r="B1143">
        <f>IF(AND(Inputs!$B$4&lt;&gt;"pvp",Inputs!$B$35&gt;0),SUMPRODUCT((Skills!E2:E29=TRUE)*(C1110:C1137=TRUE)*R1110:R1137*Skills!F2:F29)/Inputs!$B$35,SUMPRODUCT((Skills!E2:E29=TRUE)*(C1110:C1137=TRUE)*Q1110:Q1137*Skills!F2:F29))</f>
        <v/>
      </c>
    </row>
    <row r="1144">
      <c r="A1144" t="inlineStr">
        <is>
          <t>Empowered Piercing Arrow Casts Per Second</t>
        </is>
      </c>
      <c r="B1144">
        <f>MAX(0,B1142-B1143)</f>
        <v/>
      </c>
    </row>
    <row r="1145">
      <c r="A1145" t="inlineStr">
        <is>
          <t>Global Critical Damage Bonus % (Sharp Eyes)</t>
        </is>
      </c>
      <c r="B1145">
        <f>(C1124=TRUE)*F1124*IF(AND(Inputs!$B$4&lt;&gt;"pvp",Inputs!$B$35&gt;0),(((S1124-1)*(Skills!T16*(1+(Inputs!$B$33+1)/100))+MIN((Skills!T16*(1+(Inputs!$B$33+1)/100)),MAX(0,Inputs!$B$35-((S1124-1)*Skills!D16))))/Inputs!$B$35),IF(Inputs!$B$4="pvp",MIN((Skills!T16*(1+(Inputs!$B$33+1)/100)),15)/15,(Skills!T16*(1+(Inputs!$B$33+1)/100))/Skills!D16))</f>
        <v/>
      </c>
    </row>
    <row r="1146">
      <c r="A1146" t="inlineStr">
        <is>
          <t>Global Final Damage Bonus % (Mortal Blow + Last Man Standing conditional half)</t>
        </is>
      </c>
      <c r="B1146">
        <f>(C1125=TRUE)*F1125+((C1134=TRUE)*IF(Inputs!$B$4="pvp",F1134,(1-Summary!$B$55)*(F1134)+Summary!$B$55*(0)))</f>
        <v/>
      </c>
    </row>
    <row r="1148">
      <c r="A1148" s="5" t="inlineStr">
        <is>
          <t>TOTAL DPS</t>
        </is>
      </c>
      <c r="B1148" s="5">
        <f>SUM(O1110:O1137)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Sensitivity!H6</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Sensitivity!H5</f>
        <v/>
      </c>
      <c r="Q14" t="inlineStr">
        <is>
          <t>face</t>
        </is>
      </c>
    </row>
    <row r="15">
      <c r="A15" t="inlineStr">
        <is>
          <t>ALL</t>
        </is>
      </c>
      <c r="B15" t="inlineStr">
        <is>
          <t>normal</t>
        </is>
      </c>
      <c r="C15" t="n">
        <v>1</v>
      </c>
      <c r="D15" t="inlineStr">
        <is>
          <t>Dex</t>
        </is>
      </c>
      <c r="E15" t="n">
        <v>50</v>
      </c>
      <c r="F15" t="n">
        <v>9.5</v>
      </c>
      <c r="G15" t="b">
        <v>0</v>
      </c>
      <c r="H15">
        <f>Sensitivity!H5</f>
        <v/>
      </c>
      <c r="J15" t="inlineStr">
        <is>
          <t>Dex %</t>
        </is>
      </c>
      <c r="K15">
        <f>Sensitivity!H6</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Sensitivity!H6</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Sensitivity!H5</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Sensitivity!H6</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Sensitivity!H5</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Sensitivity!H6</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Sensitivity!H5</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Sensitivity!H6</f>
        <v/>
      </c>
    </row>
    <row r="79">
      <c r="A79" t="inlineStr">
        <is>
          <t>ALL</t>
        </is>
      </c>
      <c r="B79" t="inlineStr">
        <is>
          <t>rare</t>
        </is>
      </c>
      <c r="C79" t="n">
        <v>2</v>
      </c>
      <c r="D79" t="inlineStr">
        <is>
          <t>Dex %</t>
        </is>
      </c>
      <c r="E79" t="n">
        <v>4.5</v>
      </c>
      <c r="F79" t="n">
        <v>1.08</v>
      </c>
      <c r="G79" t="b">
        <v>1</v>
      </c>
      <c r="H79">
        <f>Sensitivity!H6</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Sensitivity!H5</f>
        <v/>
      </c>
    </row>
    <row r="93">
      <c r="A93" t="inlineStr">
        <is>
          <t>ALL</t>
        </is>
      </c>
      <c r="B93" t="inlineStr">
        <is>
          <t>rare</t>
        </is>
      </c>
      <c r="C93" t="n">
        <v>2</v>
      </c>
      <c r="D93" t="inlineStr">
        <is>
          <t>Dex</t>
        </is>
      </c>
      <c r="E93" t="n">
        <v>100</v>
      </c>
      <c r="F93" t="n">
        <v>2.28</v>
      </c>
      <c r="G93" t="b">
        <v>1</v>
      </c>
      <c r="H93">
        <f>Sensitivity!H5</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Sensitivity!H6</f>
        <v/>
      </c>
    </row>
    <row r="111">
      <c r="A111" t="inlineStr">
        <is>
          <t>ALL</t>
        </is>
      </c>
      <c r="B111" t="inlineStr">
        <is>
          <t>rare</t>
        </is>
      </c>
      <c r="C111" t="n">
        <v>3</v>
      </c>
      <c r="D111" t="inlineStr">
        <is>
          <t>Dex %</t>
        </is>
      </c>
      <c r="E111" t="n">
        <v>4.5</v>
      </c>
      <c r="F111" t="n">
        <v>0.36</v>
      </c>
      <c r="G111" t="b">
        <v>1</v>
      </c>
      <c r="H111">
        <f>Sensitivity!H6</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Sensitivity!H5</f>
        <v/>
      </c>
    </row>
    <row r="125">
      <c r="A125" t="inlineStr">
        <is>
          <t>ALL</t>
        </is>
      </c>
      <c r="B125" t="inlineStr">
        <is>
          <t>rare</t>
        </is>
      </c>
      <c r="C125" t="n">
        <v>3</v>
      </c>
      <c r="D125" t="inlineStr">
        <is>
          <t>Dex</t>
        </is>
      </c>
      <c r="E125" t="n">
        <v>100</v>
      </c>
      <c r="F125" t="n">
        <v>0.76</v>
      </c>
      <c r="G125" t="b">
        <v>1</v>
      </c>
      <c r="H125">
        <f>Sensitivity!H5</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Sensitivity!H6</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Sensitivity!H5</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Sensitivity!H6</f>
        <v/>
      </c>
    </row>
    <row r="159">
      <c r="A159" t="inlineStr">
        <is>
          <t>ALL</t>
        </is>
      </c>
      <c r="B159" t="inlineStr">
        <is>
          <t>epic</t>
        </is>
      </c>
      <c r="C159" t="n">
        <v>2</v>
      </c>
      <c r="D159" t="inlineStr">
        <is>
          <t>Dex %</t>
        </is>
      </c>
      <c r="E159" t="n">
        <v>6</v>
      </c>
      <c r="F159" t="n">
        <v>1.08</v>
      </c>
      <c r="G159" t="b">
        <v>1</v>
      </c>
      <c r="H159">
        <f>Sensitivity!H6</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Sensitivity!H5</f>
        <v/>
      </c>
    </row>
    <row r="173">
      <c r="A173" t="inlineStr">
        <is>
          <t>ALL</t>
        </is>
      </c>
      <c r="B173" t="inlineStr">
        <is>
          <t>epic</t>
        </is>
      </c>
      <c r="C173" t="n">
        <v>2</v>
      </c>
      <c r="D173" t="inlineStr">
        <is>
          <t>Dex</t>
        </is>
      </c>
      <c r="E173" t="n">
        <v>200</v>
      </c>
      <c r="F173" t="n">
        <v>2.22</v>
      </c>
      <c r="G173" t="b">
        <v>1</v>
      </c>
      <c r="H173">
        <f>Sensitivity!H5</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Sensitivity!H6</f>
        <v/>
      </c>
    </row>
    <row r="191">
      <c r="A191" t="inlineStr">
        <is>
          <t>ALL</t>
        </is>
      </c>
      <c r="B191" t="inlineStr">
        <is>
          <t>epic</t>
        </is>
      </c>
      <c r="C191" t="n">
        <v>3</v>
      </c>
      <c r="D191" t="inlineStr">
        <is>
          <t>Dex %</t>
        </is>
      </c>
      <c r="E191" t="n">
        <v>6</v>
      </c>
      <c r="F191" t="n">
        <v>0.36</v>
      </c>
      <c r="G191" t="b">
        <v>1</v>
      </c>
      <c r="H191">
        <f>Sensitivity!H6</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Sensitivity!H5</f>
        <v/>
      </c>
    </row>
    <row r="205">
      <c r="A205" t="inlineStr">
        <is>
          <t>ALL</t>
        </is>
      </c>
      <c r="B205" t="inlineStr">
        <is>
          <t>epic</t>
        </is>
      </c>
      <c r="C205" t="n">
        <v>3</v>
      </c>
      <c r="D205" t="inlineStr">
        <is>
          <t>Dex</t>
        </is>
      </c>
      <c r="E205" t="n">
        <v>200</v>
      </c>
      <c r="F205" t="n">
        <v>0.74</v>
      </c>
      <c r="G205" t="b">
        <v>1</v>
      </c>
      <c r="H205">
        <f>Sensitivity!H5</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Sensitivity!H6</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Sensitivity!H5</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Sensitivity!H6</f>
        <v/>
      </c>
    </row>
    <row r="239">
      <c r="A239" t="inlineStr">
        <is>
          <t>ALL</t>
        </is>
      </c>
      <c r="B239" t="inlineStr">
        <is>
          <t>unique</t>
        </is>
      </c>
      <c r="C239" t="n">
        <v>2</v>
      </c>
      <c r="D239" t="inlineStr">
        <is>
          <t>Dex %</t>
        </is>
      </c>
      <c r="E239" t="n">
        <v>9</v>
      </c>
      <c r="F239" t="n">
        <v>1.08</v>
      </c>
      <c r="G239" t="b">
        <v>1</v>
      </c>
      <c r="H239">
        <f>Sensitivity!H6</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Sensitivity!H5</f>
        <v/>
      </c>
    </row>
    <row r="253">
      <c r="A253" t="inlineStr">
        <is>
          <t>ALL</t>
        </is>
      </c>
      <c r="B253" t="inlineStr">
        <is>
          <t>unique</t>
        </is>
      </c>
      <c r="C253" t="n">
        <v>2</v>
      </c>
      <c r="D253" t="inlineStr">
        <is>
          <t>Dex</t>
        </is>
      </c>
      <c r="E253" t="n">
        <v>400</v>
      </c>
      <c r="F253" t="n">
        <v>2.22</v>
      </c>
      <c r="G253" t="b">
        <v>1</v>
      </c>
      <c r="H253">
        <f>Sensitivity!H5</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Sensitivity!H6</f>
        <v/>
      </c>
    </row>
    <row r="271">
      <c r="A271" t="inlineStr">
        <is>
          <t>ALL</t>
        </is>
      </c>
      <c r="B271" t="inlineStr">
        <is>
          <t>unique</t>
        </is>
      </c>
      <c r="C271" t="n">
        <v>3</v>
      </c>
      <c r="D271" t="inlineStr">
        <is>
          <t>Dex %</t>
        </is>
      </c>
      <c r="E271" t="n">
        <v>9</v>
      </c>
      <c r="F271" t="n">
        <v>0.36</v>
      </c>
      <c r="G271" t="b">
        <v>1</v>
      </c>
      <c r="H271">
        <f>Sensitivity!H6</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Sensitivity!H5</f>
        <v/>
      </c>
    </row>
    <row r="285">
      <c r="A285" t="inlineStr">
        <is>
          <t>ALL</t>
        </is>
      </c>
      <c r="B285" t="inlineStr">
        <is>
          <t>unique</t>
        </is>
      </c>
      <c r="C285" t="n">
        <v>3</v>
      </c>
      <c r="D285" t="inlineStr">
        <is>
          <t>Dex</t>
        </is>
      </c>
      <c r="E285" t="n">
        <v>400</v>
      </c>
      <c r="F285" t="n">
        <v>0.74</v>
      </c>
      <c r="G285" t="b">
        <v>1</v>
      </c>
      <c r="H285">
        <f>Sensitivity!H5</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Sensitivity!H6</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Sensitivity!H5</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Sensitivity!H6</f>
        <v/>
      </c>
    </row>
    <row r="319">
      <c r="A319" t="inlineStr">
        <is>
          <t>ALL</t>
        </is>
      </c>
      <c r="B319" t="inlineStr">
        <is>
          <t>legendary</t>
        </is>
      </c>
      <c r="C319" t="n">
        <v>2</v>
      </c>
      <c r="D319" t="inlineStr">
        <is>
          <t>Dex %</t>
        </is>
      </c>
      <c r="E319" t="n">
        <v>12</v>
      </c>
      <c r="F319" t="n">
        <v>1.08</v>
      </c>
      <c r="G319" t="b">
        <v>1</v>
      </c>
      <c r="H319">
        <f>Sensitivity!H6</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Sensitivity!H5</f>
        <v/>
      </c>
    </row>
    <row r="333">
      <c r="A333" t="inlineStr">
        <is>
          <t>ALL</t>
        </is>
      </c>
      <c r="B333" t="inlineStr">
        <is>
          <t>legendary</t>
        </is>
      </c>
      <c r="C333" t="n">
        <v>2</v>
      </c>
      <c r="D333" t="inlineStr">
        <is>
          <t>Dex</t>
        </is>
      </c>
      <c r="E333" t="n">
        <v>600</v>
      </c>
      <c r="F333" t="n">
        <v>2.22</v>
      </c>
      <c r="G333" t="b">
        <v>1</v>
      </c>
      <c r="H333">
        <f>Sensitivity!H5</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Sensitivity!H6</f>
        <v/>
      </c>
    </row>
    <row r="351">
      <c r="A351" t="inlineStr">
        <is>
          <t>ALL</t>
        </is>
      </c>
      <c r="B351" t="inlineStr">
        <is>
          <t>legendary</t>
        </is>
      </c>
      <c r="C351" t="n">
        <v>3</v>
      </c>
      <c r="D351" t="inlineStr">
        <is>
          <t>Dex %</t>
        </is>
      </c>
      <c r="E351" t="n">
        <v>12</v>
      </c>
      <c r="F351" t="n">
        <v>0.36</v>
      </c>
      <c r="G351" t="b">
        <v>1</v>
      </c>
      <c r="H351">
        <f>Sensitivity!H6</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Sensitivity!H5</f>
        <v/>
      </c>
    </row>
    <row r="365">
      <c r="A365" t="inlineStr">
        <is>
          <t>ALL</t>
        </is>
      </c>
      <c r="B365" t="inlineStr">
        <is>
          <t>legendary</t>
        </is>
      </c>
      <c r="C365" t="n">
        <v>3</v>
      </c>
      <c r="D365" t="inlineStr">
        <is>
          <t>Dex</t>
        </is>
      </c>
      <c r="E365" t="n">
        <v>600</v>
      </c>
      <c r="F365" t="n">
        <v>0.74</v>
      </c>
      <c r="G365" t="b">
        <v>1</v>
      </c>
      <c r="H365">
        <f>Sensitivity!H5</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Sensitivity!H6</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Sensitivity!H5</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Sensitivity!H6</f>
        <v/>
      </c>
    </row>
    <row r="399">
      <c r="A399" t="inlineStr">
        <is>
          <t>ALL</t>
        </is>
      </c>
      <c r="B399" t="inlineStr">
        <is>
          <t>mystic</t>
        </is>
      </c>
      <c r="C399" t="n">
        <v>2</v>
      </c>
      <c r="D399" t="inlineStr">
        <is>
          <t>Dex %</t>
        </is>
      </c>
      <c r="E399" t="n">
        <v>15</v>
      </c>
      <c r="F399" t="n">
        <v>1.08</v>
      </c>
      <c r="G399" t="b">
        <v>1</v>
      </c>
      <c r="H399">
        <f>Sensitivity!H6</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Sensitivity!H5</f>
        <v/>
      </c>
    </row>
    <row r="413">
      <c r="A413" t="inlineStr">
        <is>
          <t>ALL</t>
        </is>
      </c>
      <c r="B413" t="inlineStr">
        <is>
          <t>mystic</t>
        </is>
      </c>
      <c r="C413" t="n">
        <v>2</v>
      </c>
      <c r="D413" t="inlineStr">
        <is>
          <t>Dex</t>
        </is>
      </c>
      <c r="E413" t="n">
        <v>1000</v>
      </c>
      <c r="F413" t="n">
        <v>2.22</v>
      </c>
      <c r="G413" t="b">
        <v>1</v>
      </c>
      <c r="H413">
        <f>Sensitivity!H5</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Sensitivity!H6</f>
        <v/>
      </c>
    </row>
    <row r="431">
      <c r="A431" t="inlineStr">
        <is>
          <t>ALL</t>
        </is>
      </c>
      <c r="B431" t="inlineStr">
        <is>
          <t>mystic</t>
        </is>
      </c>
      <c r="C431" t="n">
        <v>3</v>
      </c>
      <c r="D431" t="inlineStr">
        <is>
          <t>Dex %</t>
        </is>
      </c>
      <c r="E431" t="n">
        <v>15</v>
      </c>
      <c r="F431" t="n">
        <v>0.36</v>
      </c>
      <c r="G431" t="b">
        <v>1</v>
      </c>
      <c r="H431">
        <f>Sensitivity!H6</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Sensitivity!H5</f>
        <v/>
      </c>
    </row>
    <row r="445">
      <c r="A445" t="inlineStr">
        <is>
          <t>ALL</t>
        </is>
      </c>
      <c r="B445" t="inlineStr">
        <is>
          <t>mystic</t>
        </is>
      </c>
      <c r="C445" t="n">
        <v>3</v>
      </c>
      <c r="D445" t="inlineStr">
        <is>
          <t>Dex</t>
        </is>
      </c>
      <c r="E445" t="n">
        <v>1000</v>
      </c>
      <c r="F445" t="n">
        <v>0.74</v>
      </c>
      <c r="G445" t="b">
        <v>1</v>
      </c>
      <c r="H445">
        <f>Sensitivity!H5</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2026-09-16T10:42:01Z</dcterms:created>
  <dcterms:modified xsi:type="dcterms:W3CDTF">2026-09-16T10:42:01Z</dcterms:modified>
</cp:coreProperties>
</file>