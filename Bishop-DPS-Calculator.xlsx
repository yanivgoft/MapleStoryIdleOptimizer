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puts" sheetId="2" state="visible" r:id="rId2"/>
    <sheet name="FactorTable" sheetId="3" state="visible" r:id="rId3"/>
    <sheet name="Skills" sheetId="4" state="visible" r:id="rId4"/>
    <sheet name="Calc" sheetId="5" state="visible" r:id="rId5"/>
    <sheet name="Summary" sheetId="6" state="visible" r:id="rId6"/>
    <sheet name="Sensitivity" sheetId="7" state="visible" r:id="rId7"/>
    <sheet name="CubeData" sheetId="8" state="visible" r:id="rId8"/>
    <sheet name="PotentialCubes"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sz val="12"/>
    </font>
    <font>
      <b val="1"/>
    </font>
    <font>
      <b val="1"/>
      <color rgb="00FFFFFF"/>
    </font>
    <font>
      <b val="1"/>
      <sz val="13"/>
    </font>
  </fonts>
  <fills count="4">
    <fill>
      <patternFill/>
    </fill>
    <fill>
      <patternFill patternType="gray125"/>
    </fill>
    <fill>
      <patternFill patternType="solid">
        <fgColor rgb="00FFF2CC"/>
      </patternFill>
    </fill>
    <fill>
      <patternFill patternType="solid">
        <fgColor rgb="001F4E78"/>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0" borderId="0" pivotButton="0" quotePrefix="0" xfId="0"/>
    <xf numFmtId="0" fontId="0" fillId="2" borderId="0" pivotButton="0" quotePrefix="0" xfId="0"/>
    <xf numFmtId="0" fontId="2" fillId="0" borderId="0" pivotButton="0" quotePrefix="0" xfId="0"/>
    <xf numFmtId="0" fontId="4" fillId="3" borderId="0" applyAlignment="1" pivotButton="0" quotePrefix="0" xfId="0">
      <alignment horizontal="center"/>
    </xf>
    <xf numFmtId="0" fontId="5" fillId="0" borderId="0" pivotButton="0" quotePrefix="0" xfId="0"/>
    <xf numFmtId="0" fontId="4"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10" customWidth="1" min="1" max="1"/>
  </cols>
  <sheetData>
    <row r="1">
      <c r="A1" s="1" t="inlineStr">
        <is>
          <t>Bishop — DPS Calculator: How to Use This Workbook</t>
        </is>
      </c>
    </row>
    <row r="2">
      <c r="A2" s="2" t="n"/>
    </row>
    <row r="3">
      <c r="A3" s="3" t="inlineStr">
        <is>
          <t>How to use this workbook</t>
        </is>
      </c>
    </row>
    <row r="4">
      <c r="A4" s="2" t="inlineStr">
        <is>
          <t>Only edit the yellow-highlighted cells on the Inputs sheet — every other sheet is computed from those values and will be overwritten if you rebuild the workbook.</t>
        </is>
      </c>
    </row>
    <row r="5">
      <c r="A5" s="2" t="inlineStr">
        <is>
          <t>Summary shows Total DPS, a Per-Skill DPS Breakdown (damage-dealing skills only — buffs/passives that never deal their own damage are omitted), and a Marginal DPS &amp; Stat Value table showing the DPS gained per +1 of each stat.</t>
        </is>
      </c>
    </row>
    <row r="6">
      <c r="A6" s="2" t="inlineStr">
        <is>
          <t>Sensitivity has the full detail behind that marginal-value table — one self-contained block per stat, showing exactly how bumping that stat by +1 changes every downstream number.</t>
        </is>
      </c>
    </row>
    <row r="7">
      <c r="A7" s="2" t="inlineStr">
        <is>
          <t>CubeData/PotentialCubes model your current gear's Potential Cube lines and drive cube-reroll expected-value decisions. For the full standalone Potential Cube EV calculator (exact optimal-stopping math, works from this workbook alone), see tools/potential_cubes_ev.py in the project repo.</t>
        </is>
      </c>
    </row>
    <row r="8">
      <c r="A8" s="2" t="n"/>
    </row>
    <row r="9">
      <c r="A9" s="3" t="inlineStr">
        <is>
          <t>Design decisions &amp; assumptions</t>
        </is>
      </c>
    </row>
    <row r="10">
      <c r="A10" s="2" t="inlineStr">
        <is>
          <t>Blood of the Divine's HP-scaling Crit Damage bonus is assumed active at 100% HP (the best case), since HP fluctuation isn't otherwise modeled.</t>
        </is>
      </c>
    </row>
    <row r="11">
      <c r="A11" s="2" t="inlineStr">
        <is>
          <t>Crit Rate pushed above 100% (e.g. by cube potential lines) automatically redirects its stat-value to Crit Damage's own per-unit DPS value on the PotentialCubes sheet, since excess Crit Rate cannot do anything past 100%.</t>
        </is>
      </c>
    </row>
    <row r="12">
      <c r="A12" s="2" t="inlineStr">
        <is>
          <t>Buffs (Magic Guard, Heal, Bless, Holy Magic Shell, Advanced Blessing, Infinity) are modeled at steady-state duty-cycle average uptime, not as an exact moment-to-moment state machine. Heal's own self-Attack% component is assumed active whenever target HP &gt;= 70%.</t>
        </is>
      </c>
    </row>
    <row r="13">
      <c r="A13" s="2" t="inlineStr">
        <is>
          <t>Triumph Feather's two-stage proc and Angel Ray's boss-only proc are modeled as steady-state average multipliers rather than an exact proc-by-proc simulation.</t>
        </is>
      </c>
    </row>
    <row r="14">
      <c r="A14" s="2" t="inlineStr">
        <is>
          <t>Monster Type blends Boss/Normal Monster Damage% by the Chapter Breakthrough weight %; PvP forces a fixed 15-second window regardless of the Fixed Fight Duration input.</t>
        </is>
      </c>
    </row>
    <row r="15">
      <c r="A15" s="2" t="inlineStr">
        <is>
          <t>Not modeled (out of scope): crowd control, Accuracy/Evasion/Defense reduction, movement speed, the character's own Defense stat, and Companion Summoning Time.</t>
        </is>
      </c>
    </row>
    <row r="16">
      <c r="A16"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46" customWidth="1" min="1" max="1"/>
    <col width="16" customWidth="1" min="2" max="2"/>
  </cols>
  <sheetData>
    <row r="1">
      <c r="A1" s="4" t="inlineStr">
        <is>
          <t>Bishop — DPS Calculator Inputs</t>
        </is>
      </c>
    </row>
    <row r="3">
      <c r="A3" s="5" t="inlineStr">
        <is>
          <t>Character Level</t>
        </is>
      </c>
      <c r="B3" s="6" t="n">
        <v>114</v>
      </c>
    </row>
    <row r="4">
      <c r="A4" s="5" t="inlineStr">
        <is>
          <t>Monster Type ("boss", "normal", "breakthrough", or "pvp")</t>
        </is>
      </c>
      <c r="B4" s="6" t="inlineStr">
        <is>
          <t>boss</t>
        </is>
      </c>
    </row>
    <row r="5">
      <c r="A5" s="5" t="inlineStr">
        <is>
          <t>Flat ATTACK</t>
        </is>
      </c>
      <c r="B5" s="6" t="n">
        <v>859335</v>
      </c>
    </row>
    <row r="6">
      <c r="A6" s="5" t="inlineStr">
        <is>
          <t>ATTACK %</t>
        </is>
      </c>
      <c r="B6" s="6" t="n">
        <v>27490.1</v>
      </c>
    </row>
    <row r="7">
      <c r="A7" s="5" t="inlineStr">
        <is>
          <t>Monster Defense (flat, post-x100/x10 scaling)</t>
        </is>
      </c>
      <c r="B7" s="6" t="n">
        <v>3500</v>
      </c>
    </row>
    <row r="8">
      <c r="A8" s="5" t="inlineStr">
        <is>
          <t>CRIT_RATE %</t>
        </is>
      </c>
      <c r="B8" s="6" t="n">
        <v>116.4</v>
      </c>
    </row>
    <row r="9">
      <c r="A9" s="5" t="inlineStr">
        <is>
          <t>CRIT_DAMAGE %</t>
        </is>
      </c>
      <c r="B9" s="6" t="n">
        <v>264</v>
      </c>
    </row>
    <row r="10">
      <c r="A10" s="5" t="inlineStr">
        <is>
          <t>ATTACK_SPEED % (base, excludes Nimble Feet/MP Eater/Blood of the Divine)</t>
        </is>
      </c>
      <c r="B10" s="6" t="n">
        <v>61.7</v>
      </c>
    </row>
    <row r="11">
      <c r="A11" s="5" t="inlineStr">
        <is>
          <t>Flat INT</t>
        </is>
      </c>
      <c r="B11" s="6" t="n">
        <v>56628</v>
      </c>
    </row>
    <row r="12">
      <c r="A12" s="5" t="inlineStr">
        <is>
          <t>INT %</t>
        </is>
      </c>
      <c r="B12" s="6" t="n">
        <v>257.9</v>
      </c>
    </row>
    <row r="13">
      <c r="A13" s="5" t="inlineStr">
        <is>
          <t>LUK</t>
        </is>
      </c>
      <c r="B13" s="6" t="n">
        <v>762</v>
      </c>
    </row>
    <row r="14">
      <c r="A14" s="5" t="inlineStr">
        <is>
          <t>DAMAGE %</t>
        </is>
      </c>
      <c r="B14" s="6" t="n">
        <v>839.6</v>
      </c>
    </row>
    <row r="15">
      <c r="A15" s="5" t="inlineStr">
        <is>
          <t>DAMAGE_AMP %</t>
        </is>
      </c>
      <c r="B15" s="6" t="n">
        <v>66.2</v>
      </c>
    </row>
    <row r="16">
      <c r="A16" s="5" t="inlineStr">
        <is>
          <t>BASIC_ATTACK_DAMAGE %</t>
        </is>
      </c>
      <c r="B16" s="6" t="n">
        <v>45.6</v>
      </c>
    </row>
    <row r="17">
      <c r="A17" s="5" t="inlineStr">
        <is>
          <t>SKILL_DAMAGE %</t>
        </is>
      </c>
      <c r="B17" s="6" t="n">
        <v>103.6</v>
      </c>
    </row>
    <row r="18">
      <c r="A18" s="5" t="inlineStr">
        <is>
          <t>DEF_PEN %</t>
        </is>
      </c>
      <c r="B18" s="6" t="n">
        <v>44.2</v>
      </c>
    </row>
    <row r="19">
      <c r="A19" s="5" t="inlineStr">
        <is>
          <t>BOSS_DAMAGE %</t>
        </is>
      </c>
      <c r="B19" s="6" t="n">
        <v>360.6</v>
      </c>
    </row>
    <row r="20">
      <c r="A20" s="5" t="inlineStr">
        <is>
          <t>NORMAL_DAMAGE %</t>
        </is>
      </c>
      <c r="B20" s="6" t="n">
        <v>52</v>
      </c>
    </row>
    <row r="21">
      <c r="A21" s="5" t="inlineStr">
        <is>
          <t>MIN_DAMAGE %</t>
        </is>
      </c>
      <c r="B21" s="6" t="n">
        <v>228.5</v>
      </c>
    </row>
    <row r="22">
      <c r="A22" s="5" t="inlineStr">
        <is>
          <t>MAX_DAMAGE %</t>
        </is>
      </c>
      <c r="B22" s="6" t="n">
        <v>290.9</v>
      </c>
    </row>
    <row r="23">
      <c r="A23" s="5" t="inlineStr">
        <is>
          <t>FINAL_DAMAGE % (base, excludes Infinity/Blood of the Divine)</t>
        </is>
      </c>
      <c r="B23" s="6" t="n">
        <v>90.09999999999999</v>
      </c>
    </row>
    <row r="24">
      <c r="A24" s="5" t="inlineStr">
        <is>
          <t>Skill Level Bonus — 1st Job</t>
        </is>
      </c>
      <c r="B24" s="6" t="n">
        <v>0</v>
      </c>
    </row>
    <row r="25">
      <c r="A25" s="5" t="inlineStr">
        <is>
          <t>Skill Level Bonus — 2nd Job</t>
        </is>
      </c>
      <c r="B25" s="6" t="n">
        <v>39</v>
      </c>
    </row>
    <row r="26">
      <c r="A26" s="5" t="inlineStr">
        <is>
          <t>Skill Level Bonus — 3rd Job</t>
        </is>
      </c>
      <c r="B26" s="6" t="n">
        <v>19</v>
      </c>
    </row>
    <row r="27">
      <c r="A27" s="5" t="inlineStr">
        <is>
          <t>Skill Level Bonus — 4th Job</t>
        </is>
      </c>
      <c r="B27" s="6" t="n">
        <v>62</v>
      </c>
    </row>
    <row r="28">
      <c r="A28" s="5" t="inlineStr">
        <is>
          <t>Skill Level Bonus — All Skills</t>
        </is>
      </c>
      <c r="B28" s="6" t="n">
        <v>55</v>
      </c>
    </row>
    <row r="30">
      <c r="A30" s="7" t="inlineStr">
        <is>
          <t>Additional Bonuses</t>
        </is>
      </c>
    </row>
    <row r="31">
      <c r="A31" s="5" t="inlineStr">
        <is>
          <t>Skill Cooldown Decrease (seconds, only skills/buffs the character actively casts)</t>
        </is>
      </c>
      <c r="B31" s="6" t="n">
        <v>0</v>
      </c>
    </row>
    <row r="32">
      <c r="A32" s="5" t="inlineStr">
        <is>
          <t>Basic Attack Target Increase (flat, adds to the 6-target normal-monster base)</t>
        </is>
      </c>
      <c r="B32" s="6" t="n">
        <v>1</v>
      </c>
    </row>
    <row r="33">
      <c r="A33" s="5" t="inlineStr">
        <is>
          <t>Buff Duration Increase %</t>
        </is>
      </c>
      <c r="B33" s="6" t="n">
        <v>0</v>
      </c>
    </row>
    <row r="34">
      <c r="A34" s="5" t="inlineStr">
        <is>
          <t>Companion Summoning Time Increase % (companions not modeled — always 0 DPS impact)</t>
        </is>
      </c>
      <c r="B34" s="6" t="n">
        <v>0</v>
      </c>
    </row>
    <row r="35">
      <c r="A35" s="5" t="inlineStr">
        <is>
          <t>Fixed Fight Duration (seconds, boss or normal — leave 0 for steady-state DPS; ignored for pvp)</t>
        </is>
      </c>
      <c r="B35" s="6" t="n">
        <v>0</v>
      </c>
    </row>
    <row r="36">
      <c r="A36" s="5" t="inlineStr">
        <is>
          <t>Chapter Breakthrough: Normal-Monster Weight % (only used when Monster Type = breakthrough)</t>
        </is>
      </c>
      <c r="B36" s="6" t="n">
        <v>60</v>
      </c>
    </row>
    <row r="37">
      <c r="A37" s="5" t="inlineStr">
        <is>
          <t>Max Enemies Actually In Range (normal monsters only; default 999 = uncapped)</t>
        </is>
      </c>
      <c r="B37" s="6" t="n">
        <v>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s>
  <sheetData>
    <row r="1">
      <c r="A1" s="8" t="inlineStr">
        <is>
          <t>Level</t>
        </is>
      </c>
      <c r="B1" s="8" t="inlineStr">
        <is>
          <t>F0</t>
        </is>
      </c>
      <c r="C1" s="8" t="inlineStr">
        <is>
          <t>F1</t>
        </is>
      </c>
      <c r="D1" s="8" t="inlineStr">
        <is>
          <t>F2</t>
        </is>
      </c>
      <c r="E1" s="8" t="inlineStr">
        <is>
          <t>F3</t>
        </is>
      </c>
      <c r="F1" s="8" t="inlineStr">
        <is>
          <t>F4</t>
        </is>
      </c>
      <c r="G1" s="8" t="inlineStr">
        <is>
          <t>F5</t>
        </is>
      </c>
      <c r="H1" s="8" t="inlineStr">
        <is>
          <t>F6</t>
        </is>
      </c>
      <c r="I1" s="8" t="inlineStr">
        <is>
          <t>F7</t>
        </is>
      </c>
      <c r="J1" s="8" t="inlineStr">
        <is>
          <t>F8</t>
        </is>
      </c>
      <c r="K1" s="8" t="inlineStr">
        <is>
          <t>F9</t>
        </is>
      </c>
      <c r="L1" s="8" t="inlineStr">
        <is>
          <t>F10</t>
        </is>
      </c>
      <c r="M1" s="8" t="inlineStr">
        <is>
          <t>F11</t>
        </is>
      </c>
      <c r="N1" s="8" t="inlineStr">
        <is>
          <t>F12</t>
        </is>
      </c>
      <c r="O1" s="8" t="inlineStr">
        <is>
          <t>F13</t>
        </is>
      </c>
      <c r="P1" s="8" t="inlineStr">
        <is>
          <t>F14</t>
        </is>
      </c>
      <c r="Q1" s="8" t="inlineStr">
        <is>
          <t>F15</t>
        </is>
      </c>
      <c r="R1" s="8" t="inlineStr">
        <is>
          <t>F16</t>
        </is>
      </c>
      <c r="S1" s="8" t="inlineStr">
        <is>
          <t>F17</t>
        </is>
      </c>
      <c r="T1" s="8" t="inlineStr">
        <is>
          <t>F18</t>
        </is>
      </c>
      <c r="U1" s="8" t="inlineStr">
        <is>
          <t>F19</t>
        </is>
      </c>
      <c r="V1" s="8" t="inlineStr">
        <is>
          <t>F20</t>
        </is>
      </c>
      <c r="W1" s="8" t="inlineStr">
        <is>
          <t>F21</t>
        </is>
      </c>
      <c r="X1" s="8" t="inlineStr">
        <is>
          <t>F22</t>
        </is>
      </c>
      <c r="Y1" s="8" t="inlineStr">
        <is>
          <t>F23</t>
        </is>
      </c>
    </row>
    <row r="2">
      <c r="A2" t="n">
        <v>1</v>
      </c>
      <c r="B2" t="n">
        <v>0</v>
      </c>
      <c r="C2" t="n">
        <v>1000</v>
      </c>
      <c r="D2" t="n">
        <v>1000</v>
      </c>
      <c r="E2" t="n">
        <v>1000</v>
      </c>
      <c r="F2" t="n">
        <v>1000</v>
      </c>
      <c r="G2" t="n">
        <v>1000</v>
      </c>
      <c r="H2" t="n">
        <v>1000</v>
      </c>
      <c r="I2" t="n">
        <v>1000</v>
      </c>
      <c r="J2" t="n">
        <v>1000</v>
      </c>
      <c r="K2" t="n">
        <v>1000</v>
      </c>
      <c r="L2" t="n">
        <v>1000</v>
      </c>
      <c r="M2" t="n">
        <v>1000</v>
      </c>
      <c r="N2" t="n">
        <v>1000</v>
      </c>
      <c r="O2" t="n">
        <v>1000</v>
      </c>
      <c r="P2" t="n">
        <v>1000</v>
      </c>
      <c r="Q2" t="n">
        <v>1000</v>
      </c>
      <c r="R2" t="n">
        <v>1000</v>
      </c>
      <c r="S2" t="n">
        <v>1000</v>
      </c>
      <c r="T2" t="n">
        <v>1000</v>
      </c>
      <c r="U2" t="n">
        <v>1000</v>
      </c>
      <c r="V2" t="n">
        <v>1000</v>
      </c>
      <c r="W2" t="n">
        <v>1000</v>
      </c>
      <c r="X2" t="n">
        <v>1000</v>
      </c>
      <c r="Y2" t="n">
        <v>1000</v>
      </c>
    </row>
    <row r="3">
      <c r="A3" t="n">
        <v>2</v>
      </c>
      <c r="B3" t="n">
        <v>0</v>
      </c>
      <c r="C3" t="n">
        <v>1015</v>
      </c>
      <c r="D3" t="n">
        <v>1020</v>
      </c>
      <c r="E3" t="n">
        <v>1030</v>
      </c>
      <c r="F3" t="n">
        <v>1040</v>
      </c>
      <c r="G3" t="n">
        <v>1050</v>
      </c>
      <c r="H3" t="n">
        <v>1060</v>
      </c>
      <c r="I3" t="n">
        <v>1070</v>
      </c>
      <c r="J3" t="n">
        <v>1020</v>
      </c>
      <c r="K3" t="n">
        <v>1020</v>
      </c>
      <c r="L3" t="n">
        <v>1020</v>
      </c>
      <c r="M3" t="n">
        <v>1000</v>
      </c>
      <c r="N3" t="n">
        <v>1010</v>
      </c>
      <c r="O3" t="n">
        <v>1020</v>
      </c>
      <c r="P3" t="n">
        <v>1030</v>
      </c>
      <c r="Q3" t="n">
        <v>1040</v>
      </c>
      <c r="R3" t="n">
        <v>1050</v>
      </c>
      <c r="S3" t="n">
        <v>1060</v>
      </c>
      <c r="T3" t="n">
        <v>1070</v>
      </c>
      <c r="U3" t="n">
        <v>1080</v>
      </c>
      <c r="V3" t="n">
        <v>1010</v>
      </c>
      <c r="W3" t="n">
        <v>1008</v>
      </c>
      <c r="X3" t="n">
        <v>1006</v>
      </c>
      <c r="Y3" t="n">
        <v>1100</v>
      </c>
    </row>
    <row r="4">
      <c r="A4" t="n">
        <v>3</v>
      </c>
      <c r="B4" t="n">
        <v>0</v>
      </c>
      <c r="C4" t="n">
        <v>1031</v>
      </c>
      <c r="D4" t="n">
        <v>1041</v>
      </c>
      <c r="E4" t="n">
        <v>1061</v>
      </c>
      <c r="F4" t="n">
        <v>1082</v>
      </c>
      <c r="G4" t="n">
        <v>1103</v>
      </c>
      <c r="H4" t="n">
        <v>1124</v>
      </c>
      <c r="I4" t="n">
        <v>1145</v>
      </c>
      <c r="J4" t="n">
        <v>1030</v>
      </c>
      <c r="K4" t="n">
        <v>1041</v>
      </c>
      <c r="L4" t="n">
        <v>1030</v>
      </c>
      <c r="M4" t="n">
        <v>1000</v>
      </c>
      <c r="N4" t="n">
        <v>1015</v>
      </c>
      <c r="O4" t="n">
        <v>1030</v>
      </c>
      <c r="P4" t="n">
        <v>1045</v>
      </c>
      <c r="Q4" t="n">
        <v>1060</v>
      </c>
      <c r="R4" t="n">
        <v>1075</v>
      </c>
      <c r="S4" t="n">
        <v>1090</v>
      </c>
      <c r="T4" t="n">
        <v>1105</v>
      </c>
      <c r="U4" t="n">
        <v>1120</v>
      </c>
      <c r="V4" t="n">
        <v>1020</v>
      </c>
      <c r="W4" t="n">
        <v>1012</v>
      </c>
      <c r="X4" t="n">
        <v>1009</v>
      </c>
      <c r="Y4" t="n">
        <v>1150</v>
      </c>
    </row>
    <row r="5">
      <c r="A5" t="n">
        <v>4</v>
      </c>
      <c r="B5" t="n">
        <v>0</v>
      </c>
      <c r="C5" t="n">
        <v>1047</v>
      </c>
      <c r="D5" t="n">
        <v>1062</v>
      </c>
      <c r="E5" t="n">
        <v>1093</v>
      </c>
      <c r="F5" t="n">
        <v>1126</v>
      </c>
      <c r="G5" t="n">
        <v>1159</v>
      </c>
      <c r="H5" t="n">
        <v>1192</v>
      </c>
      <c r="I5" t="n">
        <v>1226</v>
      </c>
      <c r="J5" t="n">
        <v>1040</v>
      </c>
      <c r="K5" t="n">
        <v>1062</v>
      </c>
      <c r="L5" t="n">
        <v>1040</v>
      </c>
      <c r="M5" t="n">
        <v>1000</v>
      </c>
      <c r="N5" t="n">
        <v>1020</v>
      </c>
      <c r="O5" t="n">
        <v>1040</v>
      </c>
      <c r="P5" t="n">
        <v>1060</v>
      </c>
      <c r="Q5" t="n">
        <v>1080</v>
      </c>
      <c r="R5" t="n">
        <v>1100</v>
      </c>
      <c r="S5" t="n">
        <v>1120</v>
      </c>
      <c r="T5" t="n">
        <v>1140</v>
      </c>
      <c r="U5" t="n">
        <v>1160</v>
      </c>
      <c r="V5" t="n">
        <v>1030</v>
      </c>
      <c r="W5" t="n">
        <v>1016</v>
      </c>
      <c r="X5" t="n">
        <v>1012</v>
      </c>
      <c r="Y5" t="n">
        <v>1200</v>
      </c>
    </row>
    <row r="6">
      <c r="A6" t="n">
        <v>5</v>
      </c>
      <c r="B6" t="n">
        <v>0</v>
      </c>
      <c r="C6" t="n">
        <v>1063</v>
      </c>
      <c r="D6" t="n">
        <v>1084</v>
      </c>
      <c r="E6" t="n">
        <v>1126</v>
      </c>
      <c r="F6" t="n">
        <v>1172</v>
      </c>
      <c r="G6" t="n">
        <v>1217</v>
      </c>
      <c r="H6" t="n">
        <v>1264</v>
      </c>
      <c r="I6" t="n">
        <v>1312</v>
      </c>
      <c r="J6" t="n">
        <v>1050</v>
      </c>
      <c r="K6" t="n">
        <v>1084</v>
      </c>
      <c r="L6" t="n">
        <v>1050</v>
      </c>
      <c r="M6" t="n">
        <v>1000</v>
      </c>
      <c r="N6" t="n">
        <v>1025</v>
      </c>
      <c r="O6" t="n">
        <v>1050</v>
      </c>
      <c r="P6" t="n">
        <v>1075</v>
      </c>
      <c r="Q6" t="n">
        <v>1100</v>
      </c>
      <c r="R6" t="n">
        <v>1125</v>
      </c>
      <c r="S6" t="n">
        <v>1150</v>
      </c>
      <c r="T6" t="n">
        <v>1175</v>
      </c>
      <c r="U6" t="n">
        <v>1200</v>
      </c>
      <c r="V6" t="n">
        <v>1040</v>
      </c>
      <c r="W6" t="n">
        <v>1020</v>
      </c>
      <c r="X6" t="n">
        <v>1015</v>
      </c>
      <c r="Y6" t="n">
        <v>1250</v>
      </c>
    </row>
    <row r="7">
      <c r="A7" t="n">
        <v>6</v>
      </c>
      <c r="B7" t="n">
        <v>0</v>
      </c>
      <c r="C7" t="n">
        <v>1079</v>
      </c>
      <c r="D7" t="n">
        <v>1106</v>
      </c>
      <c r="E7" t="n">
        <v>1160</v>
      </c>
      <c r="F7" t="n">
        <v>1219</v>
      </c>
      <c r="G7" t="n">
        <v>1278</v>
      </c>
      <c r="H7" t="n">
        <v>1340</v>
      </c>
      <c r="I7" t="n">
        <v>1404</v>
      </c>
      <c r="J7" t="n">
        <v>1060</v>
      </c>
      <c r="K7" t="n">
        <v>1106</v>
      </c>
      <c r="L7" t="n">
        <v>1060</v>
      </c>
      <c r="M7" t="n">
        <v>1000</v>
      </c>
      <c r="N7" t="n">
        <v>1030</v>
      </c>
      <c r="O7" t="n">
        <v>1060</v>
      </c>
      <c r="P7" t="n">
        <v>1090</v>
      </c>
      <c r="Q7" t="n">
        <v>1120</v>
      </c>
      <c r="R7" t="n">
        <v>1150</v>
      </c>
      <c r="S7" t="n">
        <v>1180</v>
      </c>
      <c r="T7" t="n">
        <v>1210</v>
      </c>
      <c r="U7" t="n">
        <v>1240</v>
      </c>
      <c r="V7" t="n">
        <v>1050</v>
      </c>
      <c r="W7" t="n">
        <v>1024</v>
      </c>
      <c r="X7" t="n">
        <v>1018</v>
      </c>
      <c r="Y7" t="n">
        <v>1300</v>
      </c>
    </row>
    <row r="8">
      <c r="A8" t="n">
        <v>7</v>
      </c>
      <c r="B8" t="n">
        <v>0</v>
      </c>
      <c r="C8" t="n">
        <v>1096</v>
      </c>
      <c r="D8" t="n">
        <v>1129</v>
      </c>
      <c r="E8" t="n">
        <v>1195</v>
      </c>
      <c r="F8" t="n">
        <v>1268</v>
      </c>
      <c r="G8" t="n">
        <v>1342</v>
      </c>
      <c r="H8" t="n">
        <v>1421</v>
      </c>
      <c r="I8" t="n">
        <v>1503</v>
      </c>
      <c r="J8" t="n">
        <v>1070</v>
      </c>
      <c r="K8" t="n">
        <v>1129</v>
      </c>
      <c r="L8" t="n">
        <v>1070</v>
      </c>
      <c r="M8" t="n">
        <v>1000</v>
      </c>
      <c r="N8" t="n">
        <v>1035</v>
      </c>
      <c r="O8" t="n">
        <v>1070</v>
      </c>
      <c r="P8" t="n">
        <v>1105</v>
      </c>
      <c r="Q8" t="n">
        <v>1140</v>
      </c>
      <c r="R8" t="n">
        <v>1175</v>
      </c>
      <c r="S8" t="n">
        <v>1210</v>
      </c>
      <c r="T8" t="n">
        <v>1245</v>
      </c>
      <c r="U8" t="n">
        <v>1280</v>
      </c>
      <c r="V8" t="n">
        <v>1060</v>
      </c>
      <c r="W8" t="n">
        <v>1028</v>
      </c>
      <c r="X8" t="n">
        <v>1021</v>
      </c>
      <c r="Y8" t="n">
        <v>1350</v>
      </c>
    </row>
    <row r="9">
      <c r="A9" t="n">
        <v>8</v>
      </c>
      <c r="B9" t="n">
        <v>0</v>
      </c>
      <c r="C9" t="n">
        <v>1113</v>
      </c>
      <c r="D9" t="n">
        <v>1152</v>
      </c>
      <c r="E9" t="n">
        <v>1231</v>
      </c>
      <c r="F9" t="n">
        <v>1319</v>
      </c>
      <c r="G9" t="n">
        <v>1410</v>
      </c>
      <c r="H9" t="n">
        <v>1507</v>
      </c>
      <c r="I9" t="n">
        <v>1609</v>
      </c>
      <c r="J9" t="n">
        <v>1080</v>
      </c>
      <c r="K9" t="n">
        <v>1152</v>
      </c>
      <c r="L9" t="n">
        <v>1080</v>
      </c>
      <c r="M9" t="n">
        <v>1000</v>
      </c>
      <c r="N9" t="n">
        <v>1040</v>
      </c>
      <c r="O9" t="n">
        <v>1080</v>
      </c>
      <c r="P9" t="n">
        <v>1120</v>
      </c>
      <c r="Q9" t="n">
        <v>1160</v>
      </c>
      <c r="R9" t="n">
        <v>1200</v>
      </c>
      <c r="S9" t="n">
        <v>1240</v>
      </c>
      <c r="T9" t="n">
        <v>1280</v>
      </c>
      <c r="U9" t="n">
        <v>1320</v>
      </c>
      <c r="V9" t="n">
        <v>1070</v>
      </c>
      <c r="W9" t="n">
        <v>1032</v>
      </c>
      <c r="X9" t="n">
        <v>1024</v>
      </c>
      <c r="Y9" t="n">
        <v>1400</v>
      </c>
    </row>
    <row r="10">
      <c r="A10" t="n">
        <v>9</v>
      </c>
      <c r="B10" t="n">
        <v>0</v>
      </c>
      <c r="C10" t="n">
        <v>1130</v>
      </c>
      <c r="D10" t="n">
        <v>1176</v>
      </c>
      <c r="E10" t="n">
        <v>1268</v>
      </c>
      <c r="F10" t="n">
        <v>1372</v>
      </c>
      <c r="G10" t="n">
        <v>1481</v>
      </c>
      <c r="H10" t="n">
        <v>1598</v>
      </c>
      <c r="I10" t="n">
        <v>1722</v>
      </c>
      <c r="J10" t="n">
        <v>1090</v>
      </c>
      <c r="K10" t="n">
        <v>1176</v>
      </c>
      <c r="L10" t="n">
        <v>1090</v>
      </c>
      <c r="M10" t="n">
        <v>1000</v>
      </c>
      <c r="N10" t="n">
        <v>1045</v>
      </c>
      <c r="O10" t="n">
        <v>1090</v>
      </c>
      <c r="P10" t="n">
        <v>1135</v>
      </c>
      <c r="Q10" t="n">
        <v>1180</v>
      </c>
      <c r="R10" t="n">
        <v>1225</v>
      </c>
      <c r="S10" t="n">
        <v>1270</v>
      </c>
      <c r="T10" t="n">
        <v>1315</v>
      </c>
      <c r="U10" t="n">
        <v>1360</v>
      </c>
      <c r="V10" t="n">
        <v>1080</v>
      </c>
      <c r="W10" t="n">
        <v>1036</v>
      </c>
      <c r="X10" t="n">
        <v>1027</v>
      </c>
      <c r="Y10" t="n">
        <v>1450</v>
      </c>
    </row>
    <row r="11">
      <c r="A11" t="n">
        <v>10</v>
      </c>
      <c r="B11" t="n">
        <v>0</v>
      </c>
      <c r="C11" t="n">
        <v>1147</v>
      </c>
      <c r="D11" t="n">
        <v>1200</v>
      </c>
      <c r="E11" t="n">
        <v>1307</v>
      </c>
      <c r="F11" t="n">
        <v>1427</v>
      </c>
      <c r="G11" t="n">
        <v>1556</v>
      </c>
      <c r="H11" t="n">
        <v>1694</v>
      </c>
      <c r="I11" t="n">
        <v>1843</v>
      </c>
      <c r="J11" t="n">
        <v>1100</v>
      </c>
      <c r="K11" t="n">
        <v>1200</v>
      </c>
      <c r="L11" t="n">
        <v>1100</v>
      </c>
      <c r="M11" t="n">
        <v>1000</v>
      </c>
      <c r="N11" t="n">
        <v>1050</v>
      </c>
      <c r="O11" t="n">
        <v>1100</v>
      </c>
      <c r="P11" t="n">
        <v>1150</v>
      </c>
      <c r="Q11" t="n">
        <v>1200</v>
      </c>
      <c r="R11" t="n">
        <v>1250</v>
      </c>
      <c r="S11" t="n">
        <v>1300</v>
      </c>
      <c r="T11" t="n">
        <v>1350</v>
      </c>
      <c r="U11" t="n">
        <v>1400</v>
      </c>
      <c r="V11" t="n">
        <v>1090</v>
      </c>
      <c r="W11" t="n">
        <v>1040</v>
      </c>
      <c r="X11" t="n">
        <v>1030</v>
      </c>
      <c r="Y11" t="n">
        <v>1500</v>
      </c>
    </row>
    <row r="12">
      <c r="A12" t="n">
        <v>11</v>
      </c>
      <c r="B12" t="n">
        <v>0</v>
      </c>
      <c r="C12" t="n">
        <v>1165</v>
      </c>
      <c r="D12" t="n">
        <v>1224</v>
      </c>
      <c r="E12" t="n">
        <v>1347</v>
      </c>
      <c r="F12" t="n">
        <v>1485</v>
      </c>
      <c r="G12" t="n">
        <v>1634</v>
      </c>
      <c r="H12" t="n">
        <v>1796</v>
      </c>
      <c r="I12" t="n">
        <v>1973</v>
      </c>
      <c r="J12" t="n">
        <v>1110</v>
      </c>
      <c r="K12" t="n">
        <v>1224</v>
      </c>
      <c r="L12" t="n">
        <v>1110</v>
      </c>
      <c r="M12" t="n">
        <v>1000</v>
      </c>
      <c r="N12" t="n">
        <v>1055</v>
      </c>
      <c r="O12" t="n">
        <v>1110</v>
      </c>
      <c r="P12" t="n">
        <v>1165</v>
      </c>
      <c r="Q12" t="n">
        <v>1220</v>
      </c>
      <c r="R12" t="n">
        <v>1275</v>
      </c>
      <c r="S12" t="n">
        <v>1330</v>
      </c>
      <c r="T12" t="n">
        <v>1385</v>
      </c>
      <c r="U12" t="n">
        <v>1440</v>
      </c>
      <c r="V12" t="n">
        <v>1100</v>
      </c>
      <c r="W12" t="n">
        <v>1044</v>
      </c>
      <c r="X12" t="n">
        <v>1033</v>
      </c>
      <c r="Y12" t="n">
        <v>1550</v>
      </c>
    </row>
    <row r="13">
      <c r="A13" t="n">
        <v>12</v>
      </c>
      <c r="B13" t="n">
        <v>0</v>
      </c>
      <c r="C13" t="n">
        <v>1183</v>
      </c>
      <c r="D13" t="n">
        <v>1249</v>
      </c>
      <c r="E13" t="n">
        <v>1388</v>
      </c>
      <c r="F13" t="n">
        <v>1545</v>
      </c>
      <c r="G13" t="n">
        <v>1716</v>
      </c>
      <c r="H13" t="n">
        <v>1904</v>
      </c>
      <c r="I13" t="n">
        <v>2112</v>
      </c>
      <c r="J13" t="n">
        <v>1120</v>
      </c>
      <c r="K13" t="n">
        <v>1249</v>
      </c>
      <c r="L13" t="n">
        <v>1120</v>
      </c>
      <c r="M13" t="n">
        <v>1000</v>
      </c>
      <c r="N13" t="n">
        <v>1060</v>
      </c>
      <c r="O13" t="n">
        <v>1120</v>
      </c>
      <c r="P13" t="n">
        <v>1180</v>
      </c>
      <c r="Q13" t="n">
        <v>1240</v>
      </c>
      <c r="R13" t="n">
        <v>1300</v>
      </c>
      <c r="S13" t="n">
        <v>1360</v>
      </c>
      <c r="T13" t="n">
        <v>1420</v>
      </c>
      <c r="U13" t="n">
        <v>1480</v>
      </c>
      <c r="V13" t="n">
        <v>1110</v>
      </c>
      <c r="W13" t="n">
        <v>1048</v>
      </c>
      <c r="X13" t="n">
        <v>1036</v>
      </c>
      <c r="Y13" t="n">
        <v>1600</v>
      </c>
    </row>
    <row r="14">
      <c r="A14" t="n">
        <v>13</v>
      </c>
      <c r="B14" t="n">
        <v>0</v>
      </c>
      <c r="C14" t="n">
        <v>1201</v>
      </c>
      <c r="D14" t="n">
        <v>1274</v>
      </c>
      <c r="E14" t="n">
        <v>1430</v>
      </c>
      <c r="F14" t="n">
        <v>1607</v>
      </c>
      <c r="G14" t="n">
        <v>1802</v>
      </c>
      <c r="H14" t="n">
        <v>2019</v>
      </c>
      <c r="I14" t="n">
        <v>2260</v>
      </c>
      <c r="J14" t="n">
        <v>1130</v>
      </c>
      <c r="K14" t="n">
        <v>1274</v>
      </c>
      <c r="L14" t="n">
        <v>1130</v>
      </c>
      <c r="M14" t="n">
        <v>1000</v>
      </c>
      <c r="N14" t="n">
        <v>1065</v>
      </c>
      <c r="O14" t="n">
        <v>1130</v>
      </c>
      <c r="P14" t="n">
        <v>1195</v>
      </c>
      <c r="Q14" t="n">
        <v>1260</v>
      </c>
      <c r="R14" t="n">
        <v>1325</v>
      </c>
      <c r="S14" t="n">
        <v>1390</v>
      </c>
      <c r="T14" t="n">
        <v>1455</v>
      </c>
      <c r="U14" t="n">
        <v>1520</v>
      </c>
      <c r="V14" t="n">
        <v>1120</v>
      </c>
      <c r="W14" t="n">
        <v>1052</v>
      </c>
      <c r="X14" t="n">
        <v>1039</v>
      </c>
      <c r="Y14" t="n">
        <v>1650</v>
      </c>
    </row>
    <row r="15">
      <c r="A15" t="n">
        <v>14</v>
      </c>
      <c r="B15" t="n">
        <v>0</v>
      </c>
      <c r="C15" t="n">
        <v>1220</v>
      </c>
      <c r="D15" t="n">
        <v>1300</v>
      </c>
      <c r="E15" t="n">
        <v>1473</v>
      </c>
      <c r="F15" t="n">
        <v>1672</v>
      </c>
      <c r="G15" t="n">
        <v>1893</v>
      </c>
      <c r="H15" t="n">
        <v>2141</v>
      </c>
      <c r="I15" t="n">
        <v>2419</v>
      </c>
      <c r="J15" t="n">
        <v>1140</v>
      </c>
      <c r="K15" t="n">
        <v>1300</v>
      </c>
      <c r="L15" t="n">
        <v>1140</v>
      </c>
      <c r="M15" t="n">
        <v>1000</v>
      </c>
      <c r="N15" t="n">
        <v>1070</v>
      </c>
      <c r="O15" t="n">
        <v>1140</v>
      </c>
      <c r="P15" t="n">
        <v>1210</v>
      </c>
      <c r="Q15" t="n">
        <v>1280</v>
      </c>
      <c r="R15" t="n">
        <v>1350</v>
      </c>
      <c r="S15" t="n">
        <v>1420</v>
      </c>
      <c r="T15" t="n">
        <v>1490</v>
      </c>
      <c r="U15" t="n">
        <v>1560</v>
      </c>
      <c r="V15" t="n">
        <v>1130</v>
      </c>
      <c r="W15" t="n">
        <v>1056</v>
      </c>
      <c r="X15" t="n">
        <v>1042</v>
      </c>
      <c r="Y15" t="n">
        <v>1700</v>
      </c>
    </row>
    <row r="16">
      <c r="A16" t="n">
        <v>15</v>
      </c>
      <c r="B16" t="n">
        <v>0</v>
      </c>
      <c r="C16" t="n">
        <v>1239</v>
      </c>
      <c r="D16" t="n">
        <v>1326</v>
      </c>
      <c r="E16" t="n">
        <v>1518</v>
      </c>
      <c r="F16" t="n">
        <v>1739</v>
      </c>
      <c r="G16" t="n">
        <v>1988</v>
      </c>
      <c r="H16" t="n">
        <v>2270</v>
      </c>
      <c r="I16" t="n">
        <v>2589</v>
      </c>
      <c r="J16" t="n">
        <v>1150</v>
      </c>
      <c r="K16" t="n">
        <v>1326</v>
      </c>
      <c r="L16" t="n">
        <v>1150</v>
      </c>
      <c r="M16" t="n">
        <v>1000</v>
      </c>
      <c r="N16" t="n">
        <v>1075</v>
      </c>
      <c r="O16" t="n">
        <v>1150</v>
      </c>
      <c r="P16" t="n">
        <v>1225</v>
      </c>
      <c r="Q16" t="n">
        <v>1300</v>
      </c>
      <c r="R16" t="n">
        <v>1375</v>
      </c>
      <c r="S16" t="n">
        <v>1450</v>
      </c>
      <c r="T16" t="n">
        <v>1525</v>
      </c>
      <c r="U16" t="n">
        <v>1600</v>
      </c>
      <c r="V16" t="n">
        <v>1140</v>
      </c>
      <c r="W16" t="n">
        <v>1060</v>
      </c>
      <c r="X16" t="n">
        <v>1045</v>
      </c>
      <c r="Y16" t="n">
        <v>1750</v>
      </c>
    </row>
    <row r="17">
      <c r="A17" t="n">
        <v>16</v>
      </c>
      <c r="B17" t="n">
        <v>0</v>
      </c>
      <c r="C17" t="n">
        <v>1258</v>
      </c>
      <c r="D17" t="n">
        <v>1353</v>
      </c>
      <c r="E17" t="n">
        <v>1564</v>
      </c>
      <c r="F17" t="n">
        <v>1809</v>
      </c>
      <c r="G17" t="n">
        <v>2088</v>
      </c>
      <c r="H17" t="n">
        <v>2407</v>
      </c>
      <c r="I17" t="n">
        <v>2771</v>
      </c>
      <c r="J17" t="n">
        <v>1160</v>
      </c>
      <c r="K17" t="n">
        <v>1353</v>
      </c>
      <c r="L17" t="n">
        <v>1160</v>
      </c>
      <c r="M17" t="n">
        <v>1000</v>
      </c>
      <c r="N17" t="n">
        <v>1080</v>
      </c>
      <c r="O17" t="n">
        <v>1160</v>
      </c>
      <c r="P17" t="n">
        <v>1240</v>
      </c>
      <c r="Q17" t="n">
        <v>1320</v>
      </c>
      <c r="R17" t="n">
        <v>1400</v>
      </c>
      <c r="S17" t="n">
        <v>1480</v>
      </c>
      <c r="T17" t="n">
        <v>1560</v>
      </c>
      <c r="U17" t="n">
        <v>1640</v>
      </c>
      <c r="V17" t="n">
        <v>1150</v>
      </c>
      <c r="W17" t="n">
        <v>1064</v>
      </c>
      <c r="X17" t="n">
        <v>1048</v>
      </c>
      <c r="Y17" t="n">
        <v>1800</v>
      </c>
    </row>
    <row r="18">
      <c r="A18" t="n">
        <v>17</v>
      </c>
      <c r="B18" t="n">
        <v>0</v>
      </c>
      <c r="C18" t="n">
        <v>1277</v>
      </c>
      <c r="D18" t="n">
        <v>1381</v>
      </c>
      <c r="E18" t="n">
        <v>1611</v>
      </c>
      <c r="F18" t="n">
        <v>1882</v>
      </c>
      <c r="G18" t="n">
        <v>2193</v>
      </c>
      <c r="H18" t="n">
        <v>2552</v>
      </c>
      <c r="I18" t="n">
        <v>2965</v>
      </c>
      <c r="J18" t="n">
        <v>1170</v>
      </c>
      <c r="K18" t="n">
        <v>1381</v>
      </c>
      <c r="L18" t="n">
        <v>1170</v>
      </c>
      <c r="M18" t="n">
        <v>1000</v>
      </c>
      <c r="N18" t="n">
        <v>1085</v>
      </c>
      <c r="O18" t="n">
        <v>1170</v>
      </c>
      <c r="P18" t="n">
        <v>1255</v>
      </c>
      <c r="Q18" t="n">
        <v>1340</v>
      </c>
      <c r="R18" t="n">
        <v>1425</v>
      </c>
      <c r="S18" t="n">
        <v>1510</v>
      </c>
      <c r="T18" t="n">
        <v>1595</v>
      </c>
      <c r="U18" t="n">
        <v>1680</v>
      </c>
      <c r="V18" t="n">
        <v>1160</v>
      </c>
      <c r="W18" t="n">
        <v>1068</v>
      </c>
      <c r="X18" t="n">
        <v>1051</v>
      </c>
      <c r="Y18" t="n">
        <v>1850</v>
      </c>
    </row>
    <row r="19">
      <c r="A19" t="n">
        <v>18</v>
      </c>
      <c r="B19" t="n">
        <v>0</v>
      </c>
      <c r="C19" t="n">
        <v>1297</v>
      </c>
      <c r="D19" t="n">
        <v>1409</v>
      </c>
      <c r="E19" t="n">
        <v>1660</v>
      </c>
      <c r="F19" t="n">
        <v>1958</v>
      </c>
      <c r="G19" t="n">
        <v>2303</v>
      </c>
      <c r="H19" t="n">
        <v>2706</v>
      </c>
      <c r="I19" t="n">
        <v>3173</v>
      </c>
      <c r="J19" t="n">
        <v>1180</v>
      </c>
      <c r="K19" t="n">
        <v>1409</v>
      </c>
      <c r="L19" t="n">
        <v>1180</v>
      </c>
      <c r="M19" t="n">
        <v>1000</v>
      </c>
      <c r="N19" t="n">
        <v>1090</v>
      </c>
      <c r="O19" t="n">
        <v>1180</v>
      </c>
      <c r="P19" t="n">
        <v>1270</v>
      </c>
      <c r="Q19" t="n">
        <v>1360</v>
      </c>
      <c r="R19" t="n">
        <v>1450</v>
      </c>
      <c r="S19" t="n">
        <v>1540</v>
      </c>
      <c r="T19" t="n">
        <v>1630</v>
      </c>
      <c r="U19" t="n">
        <v>1720</v>
      </c>
      <c r="V19" t="n">
        <v>1170</v>
      </c>
      <c r="W19" t="n">
        <v>1072</v>
      </c>
      <c r="X19" t="n">
        <v>1054</v>
      </c>
      <c r="Y19" t="n">
        <v>1900</v>
      </c>
    </row>
    <row r="20">
      <c r="A20" t="n">
        <v>19</v>
      </c>
      <c r="B20" t="n">
        <v>0</v>
      </c>
      <c r="C20" t="n">
        <v>1317</v>
      </c>
      <c r="D20" t="n">
        <v>1438</v>
      </c>
      <c r="E20" t="n">
        <v>1710</v>
      </c>
      <c r="F20" t="n">
        <v>2037</v>
      </c>
      <c r="G20" t="n">
        <v>2419</v>
      </c>
      <c r="H20" t="n">
        <v>2869</v>
      </c>
      <c r="I20" t="n">
        <v>3396</v>
      </c>
      <c r="J20" t="n">
        <v>1190</v>
      </c>
      <c r="K20" t="n">
        <v>1438</v>
      </c>
      <c r="L20" t="n">
        <v>1190</v>
      </c>
      <c r="M20" t="n">
        <v>1000</v>
      </c>
      <c r="N20" t="n">
        <v>1095</v>
      </c>
      <c r="O20" t="n">
        <v>1190</v>
      </c>
      <c r="P20" t="n">
        <v>1285</v>
      </c>
      <c r="Q20" t="n">
        <v>1380</v>
      </c>
      <c r="R20" t="n">
        <v>1475</v>
      </c>
      <c r="S20" t="n">
        <v>1570</v>
      </c>
      <c r="T20" t="n">
        <v>1665</v>
      </c>
      <c r="U20" t="n">
        <v>1760</v>
      </c>
      <c r="V20" t="n">
        <v>1180</v>
      </c>
      <c r="W20" t="n">
        <v>1076</v>
      </c>
      <c r="X20" t="n">
        <v>1057</v>
      </c>
      <c r="Y20" t="n">
        <v>1950</v>
      </c>
    </row>
    <row r="21">
      <c r="A21" t="n">
        <v>20</v>
      </c>
      <c r="B21" t="n">
        <v>0</v>
      </c>
      <c r="C21" t="n">
        <v>1337</v>
      </c>
      <c r="D21" t="n">
        <v>1467</v>
      </c>
      <c r="E21" t="n">
        <v>1762</v>
      </c>
      <c r="F21" t="n">
        <v>2119</v>
      </c>
      <c r="G21" t="n">
        <v>2540</v>
      </c>
      <c r="H21" t="n">
        <v>3042</v>
      </c>
      <c r="I21" t="n">
        <v>3634</v>
      </c>
      <c r="J21" t="n">
        <v>1200</v>
      </c>
      <c r="K21" t="n">
        <v>1467</v>
      </c>
      <c r="L21" t="n">
        <v>1200</v>
      </c>
      <c r="M21" t="n">
        <v>1000</v>
      </c>
      <c r="N21" t="n">
        <v>1100</v>
      </c>
      <c r="O21" t="n">
        <v>1200</v>
      </c>
      <c r="P21" t="n">
        <v>1300</v>
      </c>
      <c r="Q21" t="n">
        <v>1400</v>
      </c>
      <c r="R21" t="n">
        <v>1500</v>
      </c>
      <c r="S21" t="n">
        <v>1600</v>
      </c>
      <c r="T21" t="n">
        <v>1700</v>
      </c>
      <c r="U21" t="n">
        <v>1800</v>
      </c>
      <c r="V21" t="n">
        <v>1190</v>
      </c>
      <c r="W21" t="n">
        <v>1080</v>
      </c>
      <c r="X21" t="n">
        <v>1060</v>
      </c>
      <c r="Y21" t="n">
        <v>2000</v>
      </c>
    </row>
    <row r="22">
      <c r="A22" t="n">
        <v>21</v>
      </c>
      <c r="B22" t="n">
        <v>0</v>
      </c>
      <c r="C22" t="n">
        <v>1358</v>
      </c>
      <c r="D22" t="n">
        <v>1497</v>
      </c>
      <c r="E22" t="n">
        <v>1815</v>
      </c>
      <c r="F22" t="n">
        <v>2204</v>
      </c>
      <c r="G22" t="n">
        <v>2667</v>
      </c>
      <c r="H22" t="n">
        <v>3225</v>
      </c>
      <c r="I22" t="n">
        <v>3889</v>
      </c>
      <c r="J22" t="n">
        <v>1210</v>
      </c>
      <c r="K22" t="n">
        <v>1497</v>
      </c>
      <c r="L22" t="n">
        <v>1210</v>
      </c>
      <c r="M22" t="n">
        <v>1000</v>
      </c>
      <c r="N22" t="n">
        <v>1105</v>
      </c>
      <c r="O22" t="n">
        <v>1210</v>
      </c>
      <c r="P22" t="n">
        <v>1315</v>
      </c>
      <c r="Q22" t="n">
        <v>1420</v>
      </c>
      <c r="R22" t="n">
        <v>1525</v>
      </c>
      <c r="S22" t="n">
        <v>1630</v>
      </c>
      <c r="T22" t="n">
        <v>1735</v>
      </c>
      <c r="U22" t="n">
        <v>1840</v>
      </c>
      <c r="V22" t="n">
        <v>1200</v>
      </c>
      <c r="W22" t="n">
        <v>1084</v>
      </c>
      <c r="X22" t="n">
        <v>1063</v>
      </c>
      <c r="Y22" t="n">
        <v>2050</v>
      </c>
    </row>
    <row r="23">
      <c r="A23" t="n">
        <v>22</v>
      </c>
      <c r="B23" t="n">
        <v>0</v>
      </c>
      <c r="C23" t="n">
        <v>1379</v>
      </c>
      <c r="D23" t="n">
        <v>1527</v>
      </c>
      <c r="E23" t="n">
        <v>1870</v>
      </c>
      <c r="F23" t="n">
        <v>2293</v>
      </c>
      <c r="G23" t="n">
        <v>2801</v>
      </c>
      <c r="H23" t="n">
        <v>3419</v>
      </c>
      <c r="I23" t="n">
        <v>4162</v>
      </c>
      <c r="J23" t="n">
        <v>1220</v>
      </c>
      <c r="K23" t="n">
        <v>1527</v>
      </c>
      <c r="L23" t="n">
        <v>1220</v>
      </c>
      <c r="M23" t="n">
        <v>1000</v>
      </c>
      <c r="N23" t="n">
        <v>1110</v>
      </c>
      <c r="O23" t="n">
        <v>1220</v>
      </c>
      <c r="P23" t="n">
        <v>1330</v>
      </c>
      <c r="Q23" t="n">
        <v>1440</v>
      </c>
      <c r="R23" t="n">
        <v>1550</v>
      </c>
      <c r="S23" t="n">
        <v>1660</v>
      </c>
      <c r="T23" t="n">
        <v>1770</v>
      </c>
      <c r="U23" t="n">
        <v>1880</v>
      </c>
      <c r="V23" t="n">
        <v>1211</v>
      </c>
      <c r="W23" t="n">
        <v>1088</v>
      </c>
      <c r="X23" t="n">
        <v>1066</v>
      </c>
      <c r="Y23" t="n">
        <v>2100</v>
      </c>
    </row>
    <row r="24">
      <c r="A24" t="n">
        <v>23</v>
      </c>
      <c r="B24" t="n">
        <v>0</v>
      </c>
      <c r="C24" t="n">
        <v>1400</v>
      </c>
      <c r="D24" t="n">
        <v>1558</v>
      </c>
      <c r="E24" t="n">
        <v>1927</v>
      </c>
      <c r="F24" t="n">
        <v>2385</v>
      </c>
      <c r="G24" t="n">
        <v>2942</v>
      </c>
      <c r="H24" t="n">
        <v>3625</v>
      </c>
      <c r="I24" t="n">
        <v>4454</v>
      </c>
      <c r="J24" t="n">
        <v>1230</v>
      </c>
      <c r="K24" t="n">
        <v>1558</v>
      </c>
      <c r="L24" t="n">
        <v>1230</v>
      </c>
      <c r="M24" t="n">
        <v>1000</v>
      </c>
      <c r="N24" t="n">
        <v>1115</v>
      </c>
      <c r="O24" t="n">
        <v>1230</v>
      </c>
      <c r="P24" t="n">
        <v>1345</v>
      </c>
      <c r="Q24" t="n">
        <v>1460</v>
      </c>
      <c r="R24" t="n">
        <v>1575</v>
      </c>
      <c r="S24" t="n">
        <v>1690</v>
      </c>
      <c r="T24" t="n">
        <v>1805</v>
      </c>
      <c r="U24" t="n">
        <v>1920</v>
      </c>
      <c r="V24" t="n">
        <v>1222</v>
      </c>
      <c r="W24" t="n">
        <v>1092</v>
      </c>
      <c r="X24" t="n">
        <v>1069</v>
      </c>
      <c r="Y24" t="n">
        <v>2150</v>
      </c>
    </row>
    <row r="25">
      <c r="A25" t="n">
        <v>24</v>
      </c>
      <c r="B25" t="n">
        <v>0</v>
      </c>
      <c r="C25" t="n">
        <v>1421</v>
      </c>
      <c r="D25" t="n">
        <v>1590</v>
      </c>
      <c r="E25" t="n">
        <v>1985</v>
      </c>
      <c r="F25" t="n">
        <v>2481</v>
      </c>
      <c r="G25" t="n">
        <v>3090</v>
      </c>
      <c r="H25" t="n">
        <v>3843</v>
      </c>
      <c r="I25" t="n">
        <v>4766</v>
      </c>
      <c r="J25" t="n">
        <v>1240</v>
      </c>
      <c r="K25" t="n">
        <v>1590</v>
      </c>
      <c r="L25" t="n">
        <v>1240</v>
      </c>
      <c r="M25" t="n">
        <v>1000</v>
      </c>
      <c r="N25" t="n">
        <v>1120</v>
      </c>
      <c r="O25" t="n">
        <v>1240</v>
      </c>
      <c r="P25" t="n">
        <v>1360</v>
      </c>
      <c r="Q25" t="n">
        <v>1480</v>
      </c>
      <c r="R25" t="n">
        <v>1600</v>
      </c>
      <c r="S25" t="n">
        <v>1720</v>
      </c>
      <c r="T25" t="n">
        <v>1840</v>
      </c>
      <c r="U25" t="n">
        <v>1960</v>
      </c>
      <c r="V25" t="n">
        <v>1233</v>
      </c>
      <c r="W25" t="n">
        <v>1096</v>
      </c>
      <c r="X25" t="n">
        <v>1072</v>
      </c>
      <c r="Y25" t="n">
        <v>2200</v>
      </c>
    </row>
    <row r="26">
      <c r="A26" t="n">
        <v>25</v>
      </c>
      <c r="B26" t="n">
        <v>0</v>
      </c>
      <c r="C26" t="n">
        <v>1443</v>
      </c>
      <c r="D26" t="n">
        <v>1622</v>
      </c>
      <c r="E26" t="n">
        <v>2045</v>
      </c>
      <c r="F26" t="n">
        <v>2581</v>
      </c>
      <c r="G26" t="n">
        <v>3245</v>
      </c>
      <c r="H26" t="n">
        <v>4074</v>
      </c>
      <c r="I26" t="n">
        <v>5100</v>
      </c>
      <c r="J26" t="n">
        <v>1250</v>
      </c>
      <c r="K26" t="n">
        <v>1622</v>
      </c>
      <c r="L26" t="n">
        <v>1250</v>
      </c>
      <c r="M26" t="n">
        <v>1000</v>
      </c>
      <c r="N26" t="n">
        <v>1125</v>
      </c>
      <c r="O26" t="n">
        <v>1250</v>
      </c>
      <c r="P26" t="n">
        <v>1375</v>
      </c>
      <c r="Q26" t="n">
        <v>1500</v>
      </c>
      <c r="R26" t="n">
        <v>1625</v>
      </c>
      <c r="S26" t="n">
        <v>1750</v>
      </c>
      <c r="T26" t="n">
        <v>1875</v>
      </c>
      <c r="U26" t="n">
        <v>2000</v>
      </c>
      <c r="V26" t="n">
        <v>1244</v>
      </c>
      <c r="W26" t="n">
        <v>1100</v>
      </c>
      <c r="X26" t="n">
        <v>1075</v>
      </c>
      <c r="Y26" t="n">
        <v>2250</v>
      </c>
    </row>
    <row r="27">
      <c r="A27" t="n">
        <v>26</v>
      </c>
      <c r="B27" t="n">
        <v>0</v>
      </c>
      <c r="C27" t="n">
        <v>1465</v>
      </c>
      <c r="D27" t="n">
        <v>1655</v>
      </c>
      <c r="E27" t="n">
        <v>2107</v>
      </c>
      <c r="F27" t="n">
        <v>2685</v>
      </c>
      <c r="G27" t="n">
        <v>3408</v>
      </c>
      <c r="H27" t="n">
        <v>4319</v>
      </c>
      <c r="I27" t="n">
        <v>5457</v>
      </c>
      <c r="J27" t="n">
        <v>1260</v>
      </c>
      <c r="K27" t="n">
        <v>1655</v>
      </c>
      <c r="L27" t="n">
        <v>1260</v>
      </c>
      <c r="M27" t="n">
        <v>1000</v>
      </c>
      <c r="N27" t="n">
        <v>1130</v>
      </c>
      <c r="O27" t="n">
        <v>1260</v>
      </c>
      <c r="P27" t="n">
        <v>1390</v>
      </c>
      <c r="Q27" t="n">
        <v>1520</v>
      </c>
      <c r="R27" t="n">
        <v>1650</v>
      </c>
      <c r="S27" t="n">
        <v>1780</v>
      </c>
      <c r="T27" t="n">
        <v>1910</v>
      </c>
      <c r="U27" t="n">
        <v>2040</v>
      </c>
      <c r="V27" t="n">
        <v>1255</v>
      </c>
      <c r="W27" t="n">
        <v>1104</v>
      </c>
      <c r="X27" t="n">
        <v>1078</v>
      </c>
      <c r="Y27" t="n">
        <v>2300</v>
      </c>
    </row>
    <row r="28">
      <c r="A28" t="n">
        <v>27</v>
      </c>
      <c r="B28" t="n">
        <v>0</v>
      </c>
      <c r="C28" t="n">
        <v>1487</v>
      </c>
      <c r="D28" t="n">
        <v>1689</v>
      </c>
      <c r="E28" t="n">
        <v>2171</v>
      </c>
      <c r="F28" t="n">
        <v>2793</v>
      </c>
      <c r="G28" t="n">
        <v>3579</v>
      </c>
      <c r="H28" t="n">
        <v>4579</v>
      </c>
      <c r="I28" t="n">
        <v>5839</v>
      </c>
      <c r="J28" t="n">
        <v>1270</v>
      </c>
      <c r="K28" t="n">
        <v>1689</v>
      </c>
      <c r="L28" t="n">
        <v>1270</v>
      </c>
      <c r="M28" t="n">
        <v>1000</v>
      </c>
      <c r="N28" t="n">
        <v>1135</v>
      </c>
      <c r="O28" t="n">
        <v>1270</v>
      </c>
      <c r="P28" t="n">
        <v>1405</v>
      </c>
      <c r="Q28" t="n">
        <v>1540</v>
      </c>
      <c r="R28" t="n">
        <v>1675</v>
      </c>
      <c r="S28" t="n">
        <v>1810</v>
      </c>
      <c r="T28" t="n">
        <v>1945</v>
      </c>
      <c r="U28" t="n">
        <v>2080</v>
      </c>
      <c r="V28" t="n">
        <v>1266</v>
      </c>
      <c r="W28" t="n">
        <v>1108</v>
      </c>
      <c r="X28" t="n">
        <v>1081</v>
      </c>
      <c r="Y28" t="n">
        <v>2350</v>
      </c>
    </row>
    <row r="29">
      <c r="A29" t="n">
        <v>28</v>
      </c>
      <c r="B29" t="n">
        <v>0</v>
      </c>
      <c r="C29" t="n">
        <v>1510</v>
      </c>
      <c r="D29" t="n">
        <v>1723</v>
      </c>
      <c r="E29" t="n">
        <v>2237</v>
      </c>
      <c r="F29" t="n">
        <v>2905</v>
      </c>
      <c r="G29" t="n">
        <v>3758</v>
      </c>
      <c r="H29" t="n">
        <v>4854</v>
      </c>
      <c r="I29" t="n">
        <v>6248</v>
      </c>
      <c r="J29" t="n">
        <v>1280</v>
      </c>
      <c r="K29" t="n">
        <v>1723</v>
      </c>
      <c r="L29" t="n">
        <v>1280</v>
      </c>
      <c r="M29" t="n">
        <v>1000</v>
      </c>
      <c r="N29" t="n">
        <v>1140</v>
      </c>
      <c r="O29" t="n">
        <v>1280</v>
      </c>
      <c r="P29" t="n">
        <v>1420</v>
      </c>
      <c r="Q29" t="n">
        <v>1560</v>
      </c>
      <c r="R29" t="n">
        <v>1700</v>
      </c>
      <c r="S29" t="n">
        <v>1840</v>
      </c>
      <c r="T29" t="n">
        <v>1980</v>
      </c>
      <c r="U29" t="n">
        <v>2120</v>
      </c>
      <c r="V29" t="n">
        <v>1277</v>
      </c>
      <c r="W29" t="n">
        <v>1112</v>
      </c>
      <c r="X29" t="n">
        <v>1084</v>
      </c>
      <c r="Y29" t="n">
        <v>2400</v>
      </c>
    </row>
    <row r="30">
      <c r="A30" t="n">
        <v>29</v>
      </c>
      <c r="B30" t="n">
        <v>0</v>
      </c>
      <c r="C30" t="n">
        <v>1533</v>
      </c>
      <c r="D30" t="n">
        <v>1758</v>
      </c>
      <c r="E30" t="n">
        <v>2305</v>
      </c>
      <c r="F30" t="n">
        <v>3022</v>
      </c>
      <c r="G30" t="n">
        <v>3946</v>
      </c>
      <c r="H30" t="n">
        <v>5146</v>
      </c>
      <c r="I30" t="n">
        <v>6686</v>
      </c>
      <c r="J30" t="n">
        <v>1290</v>
      </c>
      <c r="K30" t="n">
        <v>1758</v>
      </c>
      <c r="L30" t="n">
        <v>1290</v>
      </c>
      <c r="M30" t="n">
        <v>1000</v>
      </c>
      <c r="N30" t="n">
        <v>1145</v>
      </c>
      <c r="O30" t="n">
        <v>1290</v>
      </c>
      <c r="P30" t="n">
        <v>1435</v>
      </c>
      <c r="Q30" t="n">
        <v>1580</v>
      </c>
      <c r="R30" t="n">
        <v>1725</v>
      </c>
      <c r="S30" t="n">
        <v>1870</v>
      </c>
      <c r="T30" t="n">
        <v>2015</v>
      </c>
      <c r="U30" t="n">
        <v>2160</v>
      </c>
      <c r="V30" t="n">
        <v>1288</v>
      </c>
      <c r="W30" t="n">
        <v>1116</v>
      </c>
      <c r="X30" t="n">
        <v>1087</v>
      </c>
      <c r="Y30" t="n">
        <v>2450</v>
      </c>
    </row>
    <row r="31">
      <c r="A31" t="n">
        <v>30</v>
      </c>
      <c r="B31" t="n">
        <v>0</v>
      </c>
      <c r="C31" t="n">
        <v>1556</v>
      </c>
      <c r="D31" t="n">
        <v>1794</v>
      </c>
      <c r="E31" t="n">
        <v>2375</v>
      </c>
      <c r="F31" t="n">
        <v>3143</v>
      </c>
      <c r="G31" t="n">
        <v>4144</v>
      </c>
      <c r="H31" t="n">
        <v>5455</v>
      </c>
      <c r="I31" t="n">
        <v>7155</v>
      </c>
      <c r="J31" t="n">
        <v>1300</v>
      </c>
      <c r="K31" t="n">
        <v>1794</v>
      </c>
      <c r="L31" t="n">
        <v>1300</v>
      </c>
      <c r="M31" t="n">
        <v>1000</v>
      </c>
      <c r="N31" t="n">
        <v>1150</v>
      </c>
      <c r="O31" t="n">
        <v>1300</v>
      </c>
      <c r="P31" t="n">
        <v>1450</v>
      </c>
      <c r="Q31" t="n">
        <v>1600</v>
      </c>
      <c r="R31" t="n">
        <v>1750</v>
      </c>
      <c r="S31" t="n">
        <v>1900</v>
      </c>
      <c r="T31" t="n">
        <v>2050</v>
      </c>
      <c r="U31" t="n">
        <v>2200</v>
      </c>
      <c r="V31" t="n">
        <v>1299</v>
      </c>
      <c r="W31" t="n">
        <v>1120</v>
      </c>
      <c r="X31" t="n">
        <v>1090</v>
      </c>
      <c r="Y31" t="n">
        <v>2500</v>
      </c>
    </row>
    <row r="32">
      <c r="A32" t="n">
        <v>31</v>
      </c>
      <c r="B32" t="n">
        <v>0</v>
      </c>
      <c r="C32" t="n">
        <v>1580</v>
      </c>
      <c r="D32" t="n">
        <v>1830</v>
      </c>
      <c r="E32" t="n">
        <v>2447</v>
      </c>
      <c r="F32" t="n">
        <v>3269</v>
      </c>
      <c r="G32" t="n">
        <v>4352</v>
      </c>
      <c r="H32" t="n">
        <v>5783</v>
      </c>
      <c r="I32" t="n">
        <v>7656</v>
      </c>
      <c r="J32" t="n">
        <v>1310</v>
      </c>
      <c r="K32" t="n">
        <v>1830</v>
      </c>
      <c r="L32" t="n">
        <v>1310</v>
      </c>
      <c r="M32" t="n">
        <v>1000</v>
      </c>
      <c r="N32" t="n">
        <v>1155</v>
      </c>
      <c r="O32" t="n">
        <v>1310</v>
      </c>
      <c r="P32" t="n">
        <v>1465</v>
      </c>
      <c r="Q32" t="n">
        <v>1620</v>
      </c>
      <c r="R32" t="n">
        <v>1775</v>
      </c>
      <c r="S32" t="n">
        <v>1930</v>
      </c>
      <c r="T32" t="n">
        <v>2085</v>
      </c>
      <c r="U32" t="n">
        <v>2240</v>
      </c>
      <c r="V32" t="n">
        <v>1310</v>
      </c>
      <c r="W32" t="n">
        <v>1124</v>
      </c>
      <c r="X32" t="n">
        <v>1093</v>
      </c>
      <c r="Y32" t="n">
        <v>2550</v>
      </c>
    </row>
    <row r="33">
      <c r="A33" t="n">
        <v>32</v>
      </c>
      <c r="B33" t="n">
        <v>0</v>
      </c>
      <c r="C33" t="n">
        <v>1604</v>
      </c>
      <c r="D33" t="n">
        <v>1867</v>
      </c>
      <c r="E33" t="n">
        <v>2521</v>
      </c>
      <c r="F33" t="n">
        <v>3400</v>
      </c>
      <c r="G33" t="n">
        <v>4570</v>
      </c>
      <c r="H33" t="n">
        <v>6130</v>
      </c>
      <c r="I33" t="n">
        <v>8192</v>
      </c>
      <c r="J33" t="n">
        <v>1320</v>
      </c>
      <c r="K33" t="n">
        <v>1867</v>
      </c>
      <c r="L33" t="n">
        <v>1320</v>
      </c>
      <c r="M33" t="n">
        <v>1000</v>
      </c>
      <c r="N33" t="n">
        <v>1160</v>
      </c>
      <c r="O33" t="n">
        <v>1320</v>
      </c>
      <c r="P33" t="n">
        <v>1480</v>
      </c>
      <c r="Q33" t="n">
        <v>1640</v>
      </c>
      <c r="R33" t="n">
        <v>1800</v>
      </c>
      <c r="S33" t="n">
        <v>1960</v>
      </c>
      <c r="T33" t="n">
        <v>2120</v>
      </c>
      <c r="U33" t="n">
        <v>2280</v>
      </c>
      <c r="V33" t="n">
        <v>1321</v>
      </c>
      <c r="W33" t="n">
        <v>1128</v>
      </c>
      <c r="X33" t="n">
        <v>1096</v>
      </c>
      <c r="Y33" t="n">
        <v>2600</v>
      </c>
    </row>
    <row r="34">
      <c r="A34" t="n">
        <v>33</v>
      </c>
      <c r="B34" t="n">
        <v>0</v>
      </c>
      <c r="C34" t="n">
        <v>1629</v>
      </c>
      <c r="D34" t="n">
        <v>1905</v>
      </c>
      <c r="E34" t="n">
        <v>2597</v>
      </c>
      <c r="F34" t="n">
        <v>3536</v>
      </c>
      <c r="G34" t="n">
        <v>4799</v>
      </c>
      <c r="H34" t="n">
        <v>6498</v>
      </c>
      <c r="I34" t="n">
        <v>8766</v>
      </c>
      <c r="J34" t="n">
        <v>1330</v>
      </c>
      <c r="K34" t="n">
        <v>1905</v>
      </c>
      <c r="L34" t="n">
        <v>1330</v>
      </c>
      <c r="M34" t="n">
        <v>1000</v>
      </c>
      <c r="N34" t="n">
        <v>1165</v>
      </c>
      <c r="O34" t="n">
        <v>1330</v>
      </c>
      <c r="P34" t="n">
        <v>1495</v>
      </c>
      <c r="Q34" t="n">
        <v>1660</v>
      </c>
      <c r="R34" t="n">
        <v>1825</v>
      </c>
      <c r="S34" t="n">
        <v>1990</v>
      </c>
      <c r="T34" t="n">
        <v>2155</v>
      </c>
      <c r="U34" t="n">
        <v>2320</v>
      </c>
      <c r="V34" t="n">
        <v>1332</v>
      </c>
      <c r="W34" t="n">
        <v>1132</v>
      </c>
      <c r="X34" t="n">
        <v>1099</v>
      </c>
      <c r="Y34" t="n">
        <v>2650</v>
      </c>
    </row>
    <row r="35">
      <c r="A35" t="n">
        <v>34</v>
      </c>
      <c r="B35" t="n">
        <v>0</v>
      </c>
      <c r="C35" t="n">
        <v>1654</v>
      </c>
      <c r="D35" t="n">
        <v>1944</v>
      </c>
      <c r="E35" t="n">
        <v>2675</v>
      </c>
      <c r="F35" t="n">
        <v>3678</v>
      </c>
      <c r="G35" t="n">
        <v>5039</v>
      </c>
      <c r="H35" t="n">
        <v>6888</v>
      </c>
      <c r="I35" t="n">
        <v>9380</v>
      </c>
      <c r="J35" t="n">
        <v>1340</v>
      </c>
      <c r="K35" t="n">
        <v>1944</v>
      </c>
      <c r="L35" t="n">
        <v>1340</v>
      </c>
      <c r="M35" t="n">
        <v>1000</v>
      </c>
      <c r="N35" t="n">
        <v>1170</v>
      </c>
      <c r="O35" t="n">
        <v>1340</v>
      </c>
      <c r="P35" t="n">
        <v>1510</v>
      </c>
      <c r="Q35" t="n">
        <v>1680</v>
      </c>
      <c r="R35" t="n">
        <v>1850</v>
      </c>
      <c r="S35" t="n">
        <v>2020</v>
      </c>
      <c r="T35" t="n">
        <v>2190</v>
      </c>
      <c r="U35" t="n">
        <v>2360</v>
      </c>
      <c r="V35" t="n">
        <v>1343</v>
      </c>
      <c r="W35" t="n">
        <v>1136</v>
      </c>
      <c r="X35" t="n">
        <v>1102</v>
      </c>
      <c r="Y35" t="n">
        <v>2700</v>
      </c>
    </row>
    <row r="36">
      <c r="A36" t="n">
        <v>35</v>
      </c>
      <c r="B36" t="n">
        <v>0</v>
      </c>
      <c r="C36" t="n">
        <v>1679</v>
      </c>
      <c r="D36" t="n">
        <v>1983</v>
      </c>
      <c r="E36" t="n">
        <v>2756</v>
      </c>
      <c r="F36" t="n">
        <v>3826</v>
      </c>
      <c r="G36" t="n">
        <v>5291</v>
      </c>
      <c r="H36" t="n">
        <v>7302</v>
      </c>
      <c r="I36" t="n">
        <v>10037</v>
      </c>
      <c r="J36" t="n">
        <v>1350</v>
      </c>
      <c r="K36" t="n">
        <v>1983</v>
      </c>
      <c r="L36" t="n">
        <v>1350</v>
      </c>
      <c r="M36" t="n">
        <v>1000</v>
      </c>
      <c r="N36" t="n">
        <v>1175</v>
      </c>
      <c r="O36" t="n">
        <v>1350</v>
      </c>
      <c r="P36" t="n">
        <v>1525</v>
      </c>
      <c r="Q36" t="n">
        <v>1700</v>
      </c>
      <c r="R36" t="n">
        <v>1875</v>
      </c>
      <c r="S36" t="n">
        <v>2050</v>
      </c>
      <c r="T36" t="n">
        <v>2225</v>
      </c>
      <c r="U36" t="n">
        <v>2400</v>
      </c>
      <c r="V36" t="n">
        <v>1354</v>
      </c>
      <c r="W36" t="n">
        <v>1140</v>
      </c>
      <c r="X36" t="n">
        <v>1105</v>
      </c>
      <c r="Y36" t="n">
        <v>2750</v>
      </c>
    </row>
    <row r="37">
      <c r="A37" t="n">
        <v>36</v>
      </c>
      <c r="B37" t="n">
        <v>0</v>
      </c>
      <c r="C37" t="n">
        <v>1705</v>
      </c>
      <c r="D37" t="n">
        <v>2023</v>
      </c>
      <c r="E37" t="n">
        <v>2839</v>
      </c>
      <c r="F37" t="n">
        <v>3980</v>
      </c>
      <c r="G37" t="n">
        <v>5556</v>
      </c>
      <c r="H37" t="n">
        <v>7741</v>
      </c>
      <c r="I37" t="n">
        <v>10740</v>
      </c>
      <c r="J37" t="n">
        <v>1360</v>
      </c>
      <c r="K37" t="n">
        <v>2023</v>
      </c>
      <c r="L37" t="n">
        <v>1360</v>
      </c>
      <c r="M37" t="n">
        <v>1000</v>
      </c>
      <c r="N37" t="n">
        <v>1180</v>
      </c>
      <c r="O37" t="n">
        <v>1360</v>
      </c>
      <c r="P37" t="n">
        <v>1540</v>
      </c>
      <c r="Q37" t="n">
        <v>1720</v>
      </c>
      <c r="R37" t="n">
        <v>1900</v>
      </c>
      <c r="S37" t="n">
        <v>2080</v>
      </c>
      <c r="T37" t="n">
        <v>2260</v>
      </c>
      <c r="U37" t="n">
        <v>2440</v>
      </c>
      <c r="V37" t="n">
        <v>1365</v>
      </c>
      <c r="W37" t="n">
        <v>1144</v>
      </c>
      <c r="X37" t="n">
        <v>1108</v>
      </c>
      <c r="Y37" t="n">
        <v>2800</v>
      </c>
    </row>
    <row r="38">
      <c r="A38" t="n">
        <v>37</v>
      </c>
      <c r="B38" t="n">
        <v>0</v>
      </c>
      <c r="C38" t="n">
        <v>1731</v>
      </c>
      <c r="D38" t="n">
        <v>2064</v>
      </c>
      <c r="E38" t="n">
        <v>2925</v>
      </c>
      <c r="F38" t="n">
        <v>4140</v>
      </c>
      <c r="G38" t="n">
        <v>5834</v>
      </c>
      <c r="H38" t="n">
        <v>8206</v>
      </c>
      <c r="I38" t="n">
        <v>11492</v>
      </c>
      <c r="J38" t="n">
        <v>1370</v>
      </c>
      <c r="K38" t="n">
        <v>2064</v>
      </c>
      <c r="L38" t="n">
        <v>1370</v>
      </c>
      <c r="M38" t="n">
        <v>1000</v>
      </c>
      <c r="N38" t="n">
        <v>1185</v>
      </c>
      <c r="O38" t="n">
        <v>1370</v>
      </c>
      <c r="P38" t="n">
        <v>1555</v>
      </c>
      <c r="Q38" t="n">
        <v>1740</v>
      </c>
      <c r="R38" t="n">
        <v>1925</v>
      </c>
      <c r="S38" t="n">
        <v>2110</v>
      </c>
      <c r="T38" t="n">
        <v>2295</v>
      </c>
      <c r="U38" t="n">
        <v>2480</v>
      </c>
      <c r="V38" t="n">
        <v>1376</v>
      </c>
      <c r="W38" t="n">
        <v>1148</v>
      </c>
      <c r="X38" t="n">
        <v>1111</v>
      </c>
      <c r="Y38" t="n">
        <v>2850</v>
      </c>
    </row>
    <row r="39">
      <c r="A39" t="n">
        <v>38</v>
      </c>
      <c r="B39" t="n">
        <v>0</v>
      </c>
      <c r="C39" t="n">
        <v>1757</v>
      </c>
      <c r="D39" t="n">
        <v>2106</v>
      </c>
      <c r="E39" t="n">
        <v>3013</v>
      </c>
      <c r="F39" t="n">
        <v>4306</v>
      </c>
      <c r="G39" t="n">
        <v>6126</v>
      </c>
      <c r="H39" t="n">
        <v>8699</v>
      </c>
      <c r="I39" t="n">
        <v>12297</v>
      </c>
      <c r="J39" t="n">
        <v>1380</v>
      </c>
      <c r="K39" t="n">
        <v>2106</v>
      </c>
      <c r="L39" t="n">
        <v>1380</v>
      </c>
      <c r="M39" t="n">
        <v>1000</v>
      </c>
      <c r="N39" t="n">
        <v>1190</v>
      </c>
      <c r="O39" t="n">
        <v>1380</v>
      </c>
      <c r="P39" t="n">
        <v>1570</v>
      </c>
      <c r="Q39" t="n">
        <v>1760</v>
      </c>
      <c r="R39" t="n">
        <v>1950</v>
      </c>
      <c r="S39" t="n">
        <v>2140</v>
      </c>
      <c r="T39" t="n">
        <v>2330</v>
      </c>
      <c r="U39" t="n">
        <v>2520</v>
      </c>
      <c r="V39" t="n">
        <v>1387</v>
      </c>
      <c r="W39" t="n">
        <v>1152</v>
      </c>
      <c r="X39" t="n">
        <v>1114</v>
      </c>
      <c r="Y39" t="n">
        <v>2900</v>
      </c>
    </row>
    <row r="40">
      <c r="A40" t="n">
        <v>39</v>
      </c>
      <c r="B40" t="n">
        <v>0</v>
      </c>
      <c r="C40" t="n">
        <v>1784</v>
      </c>
      <c r="D40" t="n">
        <v>2149</v>
      </c>
      <c r="E40" t="n">
        <v>3104</v>
      </c>
      <c r="F40" t="n">
        <v>4479</v>
      </c>
      <c r="G40" t="n">
        <v>6433</v>
      </c>
      <c r="H40" t="n">
        <v>9221</v>
      </c>
      <c r="I40" t="n">
        <v>13158</v>
      </c>
      <c r="J40" t="n">
        <v>1390</v>
      </c>
      <c r="K40" t="n">
        <v>2149</v>
      </c>
      <c r="L40" t="n">
        <v>1390</v>
      </c>
      <c r="M40" t="n">
        <v>1000</v>
      </c>
      <c r="N40" t="n">
        <v>1195</v>
      </c>
      <c r="O40" t="n">
        <v>1390</v>
      </c>
      <c r="P40" t="n">
        <v>1585</v>
      </c>
      <c r="Q40" t="n">
        <v>1780</v>
      </c>
      <c r="R40" t="n">
        <v>1975</v>
      </c>
      <c r="S40" t="n">
        <v>2170</v>
      </c>
      <c r="T40" t="n">
        <v>2365</v>
      </c>
      <c r="U40" t="n">
        <v>2560</v>
      </c>
      <c r="V40" t="n">
        <v>1398</v>
      </c>
      <c r="W40" t="n">
        <v>1156</v>
      </c>
      <c r="X40" t="n">
        <v>1117</v>
      </c>
      <c r="Y40" t="n">
        <v>2950</v>
      </c>
    </row>
    <row r="41">
      <c r="A41" t="n">
        <v>40</v>
      </c>
      <c r="B41" t="n">
        <v>0</v>
      </c>
      <c r="C41" t="n">
        <v>1811</v>
      </c>
      <c r="D41" t="n">
        <v>2192</v>
      </c>
      <c r="E41" t="n">
        <v>3198</v>
      </c>
      <c r="F41" t="n">
        <v>4659</v>
      </c>
      <c r="G41" t="n">
        <v>6755</v>
      </c>
      <c r="H41" t="n">
        <v>9775</v>
      </c>
      <c r="I41" t="n">
        <v>14080</v>
      </c>
      <c r="J41" t="n">
        <v>1400</v>
      </c>
      <c r="K41" t="n">
        <v>2192</v>
      </c>
      <c r="L41" t="n">
        <v>1400</v>
      </c>
      <c r="M41" t="n">
        <v>1000</v>
      </c>
      <c r="N41" t="n">
        <v>1200</v>
      </c>
      <c r="O41" t="n">
        <v>1400</v>
      </c>
      <c r="P41" t="n">
        <v>1600</v>
      </c>
      <c r="Q41" t="n">
        <v>1800</v>
      </c>
      <c r="R41" t="n">
        <v>2000</v>
      </c>
      <c r="S41" t="n">
        <v>2200</v>
      </c>
      <c r="T41" t="n">
        <v>2400</v>
      </c>
      <c r="U41" t="n">
        <v>2600</v>
      </c>
      <c r="V41" t="n">
        <v>1410</v>
      </c>
      <c r="W41" t="n">
        <v>1160</v>
      </c>
      <c r="X41" t="n">
        <v>1120</v>
      </c>
      <c r="Y41" t="n">
        <v>3000</v>
      </c>
    </row>
    <row r="42">
      <c r="A42" t="n">
        <v>41</v>
      </c>
      <c r="B42" t="n">
        <v>0</v>
      </c>
      <c r="C42" t="n">
        <v>1839</v>
      </c>
      <c r="D42" t="n">
        <v>2236</v>
      </c>
      <c r="E42" t="n">
        <v>3294</v>
      </c>
      <c r="F42" t="n">
        <v>4846</v>
      </c>
      <c r="G42" t="n">
        <v>7093</v>
      </c>
      <c r="H42" t="n">
        <v>10362</v>
      </c>
      <c r="I42" t="n">
        <v>15066</v>
      </c>
      <c r="J42" t="n">
        <v>1410</v>
      </c>
      <c r="K42" t="n">
        <v>2236</v>
      </c>
      <c r="L42" t="n">
        <v>1410</v>
      </c>
      <c r="M42" t="n">
        <v>1000</v>
      </c>
      <c r="N42" t="n">
        <v>1205</v>
      </c>
      <c r="O42" t="n">
        <v>1410</v>
      </c>
      <c r="P42" t="n">
        <v>1615</v>
      </c>
      <c r="Q42" t="n">
        <v>1820</v>
      </c>
      <c r="R42" t="n">
        <v>2025</v>
      </c>
      <c r="S42" t="n">
        <v>2230</v>
      </c>
      <c r="T42" t="n">
        <v>2435</v>
      </c>
      <c r="U42" t="n">
        <v>2640</v>
      </c>
      <c r="V42" t="n">
        <v>1422</v>
      </c>
      <c r="W42" t="n">
        <v>1164</v>
      </c>
      <c r="X42" t="n">
        <v>1123</v>
      </c>
      <c r="Y42" t="n">
        <v>3050</v>
      </c>
    </row>
    <row r="43">
      <c r="A43" t="n">
        <v>42</v>
      </c>
      <c r="B43" t="n">
        <v>0</v>
      </c>
      <c r="C43" t="n">
        <v>1867</v>
      </c>
      <c r="D43" t="n">
        <v>2281</v>
      </c>
      <c r="E43" t="n">
        <v>3393</v>
      </c>
      <c r="F43" t="n">
        <v>5040</v>
      </c>
      <c r="G43" t="n">
        <v>7448</v>
      </c>
      <c r="H43" t="n">
        <v>10984</v>
      </c>
      <c r="I43" t="n">
        <v>16121</v>
      </c>
      <c r="J43" t="n">
        <v>1420</v>
      </c>
      <c r="K43" t="n">
        <v>2281</v>
      </c>
      <c r="L43" t="n">
        <v>1420</v>
      </c>
      <c r="M43" t="n">
        <v>1000</v>
      </c>
      <c r="N43" t="n">
        <v>1210</v>
      </c>
      <c r="O43" t="n">
        <v>1420</v>
      </c>
      <c r="P43" t="n">
        <v>1630</v>
      </c>
      <c r="Q43" t="n">
        <v>1840</v>
      </c>
      <c r="R43" t="n">
        <v>2050</v>
      </c>
      <c r="S43" t="n">
        <v>2260</v>
      </c>
      <c r="T43" t="n">
        <v>2470</v>
      </c>
      <c r="U43" t="n">
        <v>2680</v>
      </c>
      <c r="V43" t="n">
        <v>1434</v>
      </c>
      <c r="W43" t="n">
        <v>1168</v>
      </c>
      <c r="X43" t="n">
        <v>1126</v>
      </c>
      <c r="Y43" t="n">
        <v>3100</v>
      </c>
    </row>
    <row r="44">
      <c r="A44" t="n">
        <v>43</v>
      </c>
      <c r="B44" t="n">
        <v>0</v>
      </c>
      <c r="C44" t="n">
        <v>1896</v>
      </c>
      <c r="D44" t="n">
        <v>2327</v>
      </c>
      <c r="E44" t="n">
        <v>3495</v>
      </c>
      <c r="F44" t="n">
        <v>5242</v>
      </c>
      <c r="G44" t="n">
        <v>7821</v>
      </c>
      <c r="H44" t="n">
        <v>11644</v>
      </c>
      <c r="I44" t="n">
        <v>17250</v>
      </c>
      <c r="J44" t="n">
        <v>1430</v>
      </c>
      <c r="K44" t="n">
        <v>2327</v>
      </c>
      <c r="L44" t="n">
        <v>1430</v>
      </c>
      <c r="M44" t="n">
        <v>1000</v>
      </c>
      <c r="N44" t="n">
        <v>1215</v>
      </c>
      <c r="O44" t="n">
        <v>1430</v>
      </c>
      <c r="P44" t="n">
        <v>1645</v>
      </c>
      <c r="Q44" t="n">
        <v>1860</v>
      </c>
      <c r="R44" t="n">
        <v>2075</v>
      </c>
      <c r="S44" t="n">
        <v>2290</v>
      </c>
      <c r="T44" t="n">
        <v>2505</v>
      </c>
      <c r="U44" t="n">
        <v>2720</v>
      </c>
      <c r="V44" t="n">
        <v>1446</v>
      </c>
      <c r="W44" t="n">
        <v>1172</v>
      </c>
      <c r="X44" t="n">
        <v>1129</v>
      </c>
      <c r="Y44" t="n">
        <v>3150</v>
      </c>
    </row>
    <row r="45">
      <c r="A45" t="n">
        <v>44</v>
      </c>
      <c r="B45" t="n">
        <v>0</v>
      </c>
      <c r="C45" t="n">
        <v>1925</v>
      </c>
      <c r="D45" t="n">
        <v>2374</v>
      </c>
      <c r="E45" t="n">
        <v>3600</v>
      </c>
      <c r="F45" t="n">
        <v>5452</v>
      </c>
      <c r="G45" t="n">
        <v>8213</v>
      </c>
      <c r="H45" t="n">
        <v>12343</v>
      </c>
      <c r="I45" t="n">
        <v>18458</v>
      </c>
      <c r="J45" t="n">
        <v>1440</v>
      </c>
      <c r="K45" t="n">
        <v>2374</v>
      </c>
      <c r="L45" t="n">
        <v>1440</v>
      </c>
      <c r="M45" t="n">
        <v>1000</v>
      </c>
      <c r="N45" t="n">
        <v>1220</v>
      </c>
      <c r="O45" t="n">
        <v>1440</v>
      </c>
      <c r="P45" t="n">
        <v>1660</v>
      </c>
      <c r="Q45" t="n">
        <v>1880</v>
      </c>
      <c r="R45" t="n">
        <v>2100</v>
      </c>
      <c r="S45" t="n">
        <v>2320</v>
      </c>
      <c r="T45" t="n">
        <v>2540</v>
      </c>
      <c r="U45" t="n">
        <v>2760</v>
      </c>
      <c r="V45" t="n">
        <v>1458</v>
      </c>
      <c r="W45" t="n">
        <v>1176</v>
      </c>
      <c r="X45" t="n">
        <v>1132</v>
      </c>
      <c r="Y45" t="n">
        <v>3200</v>
      </c>
    </row>
    <row r="46">
      <c r="A46" t="n">
        <v>45</v>
      </c>
      <c r="B46" t="n">
        <v>0</v>
      </c>
      <c r="C46" t="n">
        <v>1954</v>
      </c>
      <c r="D46" t="n">
        <v>2422</v>
      </c>
      <c r="E46" t="n">
        <v>3708</v>
      </c>
      <c r="F46" t="n">
        <v>5671</v>
      </c>
      <c r="G46" t="n">
        <v>8624</v>
      </c>
      <c r="H46" t="n">
        <v>13084</v>
      </c>
      <c r="I46" t="n">
        <v>19751</v>
      </c>
      <c r="J46" t="n">
        <v>1450</v>
      </c>
      <c r="K46" t="n">
        <v>2422</v>
      </c>
      <c r="L46" t="n">
        <v>1450</v>
      </c>
      <c r="M46" t="n">
        <v>1000</v>
      </c>
      <c r="N46" t="n">
        <v>1225</v>
      </c>
      <c r="O46" t="n">
        <v>1450</v>
      </c>
      <c r="P46" t="n">
        <v>1675</v>
      </c>
      <c r="Q46" t="n">
        <v>1900</v>
      </c>
      <c r="R46" t="n">
        <v>2125</v>
      </c>
      <c r="S46" t="n">
        <v>2350</v>
      </c>
      <c r="T46" t="n">
        <v>2575</v>
      </c>
      <c r="U46" t="n">
        <v>2800</v>
      </c>
      <c r="V46" t="n">
        <v>1470</v>
      </c>
      <c r="W46" t="n">
        <v>1180</v>
      </c>
      <c r="X46" t="n">
        <v>1135</v>
      </c>
      <c r="Y46" t="n">
        <v>3250</v>
      </c>
    </row>
    <row r="47">
      <c r="A47" t="n">
        <v>46</v>
      </c>
      <c r="B47" t="n">
        <v>0</v>
      </c>
      <c r="C47" t="n">
        <v>1984</v>
      </c>
      <c r="D47" t="n">
        <v>2471</v>
      </c>
      <c r="E47" t="n">
        <v>3820</v>
      </c>
      <c r="F47" t="n">
        <v>5898</v>
      </c>
      <c r="G47" t="n">
        <v>9056</v>
      </c>
      <c r="H47" t="n">
        <v>13870</v>
      </c>
      <c r="I47" t="n">
        <v>21134</v>
      </c>
      <c r="J47" t="n">
        <v>1460</v>
      </c>
      <c r="K47" t="n">
        <v>2471</v>
      </c>
      <c r="L47" t="n">
        <v>1460</v>
      </c>
      <c r="M47" t="n">
        <v>1000</v>
      </c>
      <c r="N47" t="n">
        <v>1230</v>
      </c>
      <c r="O47" t="n">
        <v>1460</v>
      </c>
      <c r="P47" t="n">
        <v>1690</v>
      </c>
      <c r="Q47" t="n">
        <v>1920</v>
      </c>
      <c r="R47" t="n">
        <v>2150</v>
      </c>
      <c r="S47" t="n">
        <v>2380</v>
      </c>
      <c r="T47" t="n">
        <v>2610</v>
      </c>
      <c r="U47" t="n">
        <v>2840</v>
      </c>
      <c r="V47" t="n">
        <v>1482</v>
      </c>
      <c r="W47" t="n">
        <v>1184</v>
      </c>
      <c r="X47" t="n">
        <v>1138</v>
      </c>
      <c r="Y47" t="n">
        <v>3300</v>
      </c>
    </row>
    <row r="48">
      <c r="A48" t="n">
        <v>47</v>
      </c>
      <c r="B48" t="n">
        <v>0</v>
      </c>
      <c r="C48" t="n">
        <v>2014</v>
      </c>
      <c r="D48" t="n">
        <v>2521</v>
      </c>
      <c r="E48" t="n">
        <v>3935</v>
      </c>
      <c r="F48" t="n">
        <v>6134</v>
      </c>
      <c r="G48" t="n">
        <v>9509</v>
      </c>
      <c r="H48" t="n">
        <v>14703</v>
      </c>
      <c r="I48" t="n">
        <v>22614</v>
      </c>
      <c r="J48" t="n">
        <v>1470</v>
      </c>
      <c r="K48" t="n">
        <v>2521</v>
      </c>
      <c r="L48" t="n">
        <v>1470</v>
      </c>
      <c r="M48" t="n">
        <v>1000</v>
      </c>
      <c r="N48" t="n">
        <v>1235</v>
      </c>
      <c r="O48" t="n">
        <v>1470</v>
      </c>
      <c r="P48" t="n">
        <v>1705</v>
      </c>
      <c r="Q48" t="n">
        <v>1940</v>
      </c>
      <c r="R48" t="n">
        <v>2175</v>
      </c>
      <c r="S48" t="n">
        <v>2410</v>
      </c>
      <c r="T48" t="n">
        <v>2645</v>
      </c>
      <c r="U48" t="n">
        <v>2880</v>
      </c>
      <c r="V48" t="n">
        <v>1494</v>
      </c>
      <c r="W48" t="n">
        <v>1188</v>
      </c>
      <c r="X48" t="n">
        <v>1141</v>
      </c>
      <c r="Y48" t="n">
        <v>3350</v>
      </c>
    </row>
    <row r="49">
      <c r="A49" t="n">
        <v>48</v>
      </c>
      <c r="B49" t="n">
        <v>0</v>
      </c>
      <c r="C49" t="n">
        <v>2045</v>
      </c>
      <c r="D49" t="n">
        <v>2572</v>
      </c>
      <c r="E49" t="n">
        <v>4054</v>
      </c>
      <c r="F49" t="n">
        <v>6380</v>
      </c>
      <c r="G49" t="n">
        <v>9985</v>
      </c>
      <c r="H49" t="n">
        <v>15586</v>
      </c>
      <c r="I49" t="n">
        <v>24197</v>
      </c>
      <c r="J49" t="n">
        <v>1480</v>
      </c>
      <c r="K49" t="n">
        <v>2572</v>
      </c>
      <c r="L49" t="n">
        <v>1480</v>
      </c>
      <c r="M49" t="n">
        <v>1000</v>
      </c>
      <c r="N49" t="n">
        <v>1240</v>
      </c>
      <c r="O49" t="n">
        <v>1480</v>
      </c>
      <c r="P49" t="n">
        <v>1720</v>
      </c>
      <c r="Q49" t="n">
        <v>1960</v>
      </c>
      <c r="R49" t="n">
        <v>2200</v>
      </c>
      <c r="S49" t="n">
        <v>2440</v>
      </c>
      <c r="T49" t="n">
        <v>2680</v>
      </c>
      <c r="U49" t="n">
        <v>2920</v>
      </c>
      <c r="V49" t="n">
        <v>1506</v>
      </c>
      <c r="W49" t="n">
        <v>1192</v>
      </c>
      <c r="X49" t="n">
        <v>1144</v>
      </c>
      <c r="Y49" t="n">
        <v>3400</v>
      </c>
    </row>
    <row r="50">
      <c r="A50" t="n">
        <v>49</v>
      </c>
      <c r="B50" t="n">
        <v>0</v>
      </c>
      <c r="C50" t="n">
        <v>2076</v>
      </c>
      <c r="D50" t="n">
        <v>2624</v>
      </c>
      <c r="E50" t="n">
        <v>4176</v>
      </c>
      <c r="F50" t="n">
        <v>6636</v>
      </c>
      <c r="G50" t="n">
        <v>10485</v>
      </c>
      <c r="H50" t="n">
        <v>16522</v>
      </c>
      <c r="I50" t="n">
        <v>25891</v>
      </c>
      <c r="J50" t="n">
        <v>1490</v>
      </c>
      <c r="K50" t="n">
        <v>2624</v>
      </c>
      <c r="L50" t="n">
        <v>1490</v>
      </c>
      <c r="M50" t="n">
        <v>1000</v>
      </c>
      <c r="N50" t="n">
        <v>1245</v>
      </c>
      <c r="O50" t="n">
        <v>1490</v>
      </c>
      <c r="P50" t="n">
        <v>1735</v>
      </c>
      <c r="Q50" t="n">
        <v>1980</v>
      </c>
      <c r="R50" t="n">
        <v>2225</v>
      </c>
      <c r="S50" t="n">
        <v>2470</v>
      </c>
      <c r="T50" t="n">
        <v>2715</v>
      </c>
      <c r="U50" t="n">
        <v>2960</v>
      </c>
      <c r="V50" t="n">
        <v>1518</v>
      </c>
      <c r="W50" t="n">
        <v>1196</v>
      </c>
      <c r="X50" t="n">
        <v>1147</v>
      </c>
      <c r="Y50" t="n">
        <v>3450</v>
      </c>
    </row>
    <row r="51">
      <c r="A51" t="n">
        <v>50</v>
      </c>
      <c r="B51" t="n">
        <v>0</v>
      </c>
      <c r="C51" t="n">
        <v>2108</v>
      </c>
      <c r="D51" t="n">
        <v>2677</v>
      </c>
      <c r="E51" t="n">
        <v>4302</v>
      </c>
      <c r="F51" t="n">
        <v>6902</v>
      </c>
      <c r="G51" t="n">
        <v>11010</v>
      </c>
      <c r="H51" t="n">
        <v>17514</v>
      </c>
      <c r="I51" t="n">
        <v>27704</v>
      </c>
      <c r="J51" t="n">
        <v>1500</v>
      </c>
      <c r="K51" t="n">
        <v>2677</v>
      </c>
      <c r="L51" t="n">
        <v>1500</v>
      </c>
      <c r="M51" t="n">
        <v>1000</v>
      </c>
      <c r="N51" t="n">
        <v>1250</v>
      </c>
      <c r="O51" t="n">
        <v>1500</v>
      </c>
      <c r="P51" t="n">
        <v>1750</v>
      </c>
      <c r="Q51" t="n">
        <v>2000</v>
      </c>
      <c r="R51" t="n">
        <v>2250</v>
      </c>
      <c r="S51" t="n">
        <v>2500</v>
      </c>
      <c r="T51" t="n">
        <v>2750</v>
      </c>
      <c r="U51" t="n">
        <v>3000</v>
      </c>
      <c r="V51" t="n">
        <v>1530</v>
      </c>
      <c r="W51" t="n">
        <v>1200</v>
      </c>
      <c r="X51" t="n">
        <v>1150</v>
      </c>
      <c r="Y51" t="n">
        <v>3500</v>
      </c>
    </row>
    <row r="52">
      <c r="A52" t="n">
        <v>51</v>
      </c>
      <c r="B52" t="n">
        <v>0</v>
      </c>
      <c r="C52" t="n">
        <v>2140</v>
      </c>
      <c r="D52" t="n">
        <v>2731</v>
      </c>
      <c r="E52" t="n">
        <v>4432</v>
      </c>
      <c r="F52" t="n">
        <v>7179</v>
      </c>
      <c r="G52" t="n">
        <v>11561</v>
      </c>
      <c r="H52" t="n">
        <v>18565</v>
      </c>
      <c r="I52" t="n">
        <v>29644</v>
      </c>
      <c r="J52" t="n">
        <v>1510</v>
      </c>
      <c r="K52" t="n">
        <v>2731</v>
      </c>
      <c r="L52" t="n">
        <v>1510</v>
      </c>
      <c r="M52" t="n">
        <v>1000</v>
      </c>
      <c r="N52" t="n">
        <v>1255</v>
      </c>
      <c r="O52" t="n">
        <v>1510</v>
      </c>
      <c r="P52" t="n">
        <v>1765</v>
      </c>
      <c r="Q52" t="n">
        <v>2020</v>
      </c>
      <c r="R52" t="n">
        <v>2275</v>
      </c>
      <c r="S52" t="n">
        <v>2530</v>
      </c>
      <c r="T52" t="n">
        <v>2785</v>
      </c>
      <c r="U52" t="n">
        <v>3040</v>
      </c>
      <c r="V52" t="n">
        <v>1542</v>
      </c>
      <c r="W52" t="n">
        <v>1204</v>
      </c>
      <c r="X52" t="n">
        <v>1153</v>
      </c>
      <c r="Y52" t="n">
        <v>3550</v>
      </c>
    </row>
    <row r="53">
      <c r="A53" t="n">
        <v>52</v>
      </c>
      <c r="B53" t="n">
        <v>0</v>
      </c>
      <c r="C53" t="n">
        <v>2173</v>
      </c>
      <c r="D53" t="n">
        <v>2786</v>
      </c>
      <c r="E53" t="n">
        <v>4565</v>
      </c>
      <c r="F53" t="n">
        <v>7467</v>
      </c>
      <c r="G53" t="n">
        <v>12140</v>
      </c>
      <c r="H53" t="n">
        <v>19679</v>
      </c>
      <c r="I53" t="n">
        <v>31720</v>
      </c>
      <c r="J53" t="n">
        <v>1520</v>
      </c>
      <c r="K53" t="n">
        <v>2786</v>
      </c>
      <c r="L53" t="n">
        <v>1520</v>
      </c>
      <c r="M53" t="n">
        <v>1000</v>
      </c>
      <c r="N53" t="n">
        <v>1260</v>
      </c>
      <c r="O53" t="n">
        <v>1520</v>
      </c>
      <c r="P53" t="n">
        <v>1780</v>
      </c>
      <c r="Q53" t="n">
        <v>2040</v>
      </c>
      <c r="R53" t="n">
        <v>2300</v>
      </c>
      <c r="S53" t="n">
        <v>2560</v>
      </c>
      <c r="T53" t="n">
        <v>2820</v>
      </c>
      <c r="U53" t="n">
        <v>3080</v>
      </c>
      <c r="V53" t="n">
        <v>1554</v>
      </c>
      <c r="W53" t="n">
        <v>1208</v>
      </c>
      <c r="X53" t="n">
        <v>1156</v>
      </c>
      <c r="Y53" t="n">
        <v>3600</v>
      </c>
    </row>
    <row r="54">
      <c r="A54" t="n">
        <v>53</v>
      </c>
      <c r="B54" t="n">
        <v>0</v>
      </c>
      <c r="C54" t="n">
        <v>2206</v>
      </c>
      <c r="D54" t="n">
        <v>2842</v>
      </c>
      <c r="E54" t="n">
        <v>4702</v>
      </c>
      <c r="F54" t="n">
        <v>7766</v>
      </c>
      <c r="G54" t="n">
        <v>12747</v>
      </c>
      <c r="H54" t="n">
        <v>20860</v>
      </c>
      <c r="I54" t="n">
        <v>33941</v>
      </c>
      <c r="J54" t="n">
        <v>1530</v>
      </c>
      <c r="K54" t="n">
        <v>2842</v>
      </c>
      <c r="L54" t="n">
        <v>1530</v>
      </c>
      <c r="M54" t="n">
        <v>1000</v>
      </c>
      <c r="N54" t="n">
        <v>1265</v>
      </c>
      <c r="O54" t="n">
        <v>1530</v>
      </c>
      <c r="P54" t="n">
        <v>1795</v>
      </c>
      <c r="Q54" t="n">
        <v>2060</v>
      </c>
      <c r="R54" t="n">
        <v>2325</v>
      </c>
      <c r="S54" t="n">
        <v>2590</v>
      </c>
      <c r="T54" t="n">
        <v>2855</v>
      </c>
      <c r="U54" t="n">
        <v>3120</v>
      </c>
      <c r="V54" t="n">
        <v>1566</v>
      </c>
      <c r="W54" t="n">
        <v>1212</v>
      </c>
      <c r="X54" t="n">
        <v>1159</v>
      </c>
      <c r="Y54" t="n">
        <v>3650</v>
      </c>
    </row>
    <row r="55">
      <c r="A55" t="n">
        <v>54</v>
      </c>
      <c r="B55" t="n">
        <v>0</v>
      </c>
      <c r="C55" t="n">
        <v>2240</v>
      </c>
      <c r="D55" t="n">
        <v>2899</v>
      </c>
      <c r="E55" t="n">
        <v>4844</v>
      </c>
      <c r="F55" t="n">
        <v>8077</v>
      </c>
      <c r="G55" t="n">
        <v>13385</v>
      </c>
      <c r="H55" t="n">
        <v>22112</v>
      </c>
      <c r="I55" t="n">
        <v>36317</v>
      </c>
      <c r="J55" t="n">
        <v>1540</v>
      </c>
      <c r="K55" t="n">
        <v>2899</v>
      </c>
      <c r="L55" t="n">
        <v>1540</v>
      </c>
      <c r="M55" t="n">
        <v>1000</v>
      </c>
      <c r="N55" t="n">
        <v>1270</v>
      </c>
      <c r="O55" t="n">
        <v>1540</v>
      </c>
      <c r="P55" t="n">
        <v>1810</v>
      </c>
      <c r="Q55" t="n">
        <v>2080</v>
      </c>
      <c r="R55" t="n">
        <v>2350</v>
      </c>
      <c r="S55" t="n">
        <v>2620</v>
      </c>
      <c r="T55" t="n">
        <v>2890</v>
      </c>
      <c r="U55" t="n">
        <v>3160</v>
      </c>
      <c r="V55" t="n">
        <v>1578</v>
      </c>
      <c r="W55" t="n">
        <v>1216</v>
      </c>
      <c r="X55" t="n">
        <v>1162</v>
      </c>
      <c r="Y55" t="n">
        <v>3700</v>
      </c>
    </row>
    <row r="56">
      <c r="A56" t="n">
        <v>55</v>
      </c>
      <c r="B56" t="n">
        <v>0</v>
      </c>
      <c r="C56" t="n">
        <v>2274</v>
      </c>
      <c r="D56" t="n">
        <v>2957</v>
      </c>
      <c r="E56" t="n">
        <v>4990</v>
      </c>
      <c r="F56" t="n">
        <v>8401</v>
      </c>
      <c r="G56" t="n">
        <v>14055</v>
      </c>
      <c r="H56" t="n">
        <v>23439</v>
      </c>
      <c r="I56" t="n">
        <v>38860</v>
      </c>
      <c r="J56" t="n">
        <v>1550</v>
      </c>
      <c r="K56" t="n">
        <v>2957</v>
      </c>
      <c r="L56" t="n">
        <v>1550</v>
      </c>
      <c r="M56" t="n">
        <v>1000</v>
      </c>
      <c r="N56" t="n">
        <v>1275</v>
      </c>
      <c r="O56" t="n">
        <v>1550</v>
      </c>
      <c r="P56" t="n">
        <v>1825</v>
      </c>
      <c r="Q56" t="n">
        <v>2100</v>
      </c>
      <c r="R56" t="n">
        <v>2375</v>
      </c>
      <c r="S56" t="n">
        <v>2650</v>
      </c>
      <c r="T56" t="n">
        <v>2925</v>
      </c>
      <c r="U56" t="n">
        <v>3200</v>
      </c>
      <c r="V56" t="n">
        <v>1590</v>
      </c>
      <c r="W56" t="n">
        <v>1220</v>
      </c>
      <c r="X56" t="n">
        <v>1165</v>
      </c>
      <c r="Y56" t="n">
        <v>3750</v>
      </c>
    </row>
    <row r="57">
      <c r="A57" t="n">
        <v>56</v>
      </c>
      <c r="B57" t="n">
        <v>0</v>
      </c>
      <c r="C57" t="n">
        <v>2309</v>
      </c>
      <c r="D57" t="n">
        <v>3017</v>
      </c>
      <c r="E57" t="n">
        <v>5140</v>
      </c>
      <c r="F57" t="n">
        <v>8738</v>
      </c>
      <c r="G57" t="n">
        <v>14758</v>
      </c>
      <c r="H57" t="n">
        <v>24846</v>
      </c>
      <c r="I57" t="n">
        <v>41581</v>
      </c>
      <c r="J57" t="n">
        <v>1560</v>
      </c>
      <c r="K57" t="n">
        <v>3017</v>
      </c>
      <c r="L57" t="n">
        <v>1560</v>
      </c>
      <c r="M57" t="n">
        <v>1000</v>
      </c>
      <c r="N57" t="n">
        <v>1280</v>
      </c>
      <c r="O57" t="n">
        <v>1560</v>
      </c>
      <c r="P57" t="n">
        <v>1840</v>
      </c>
      <c r="Q57" t="n">
        <v>2120</v>
      </c>
      <c r="R57" t="n">
        <v>2400</v>
      </c>
      <c r="S57" t="n">
        <v>2680</v>
      </c>
      <c r="T57" t="n">
        <v>2960</v>
      </c>
      <c r="U57" t="n">
        <v>3240</v>
      </c>
      <c r="V57" t="n">
        <v>1602</v>
      </c>
      <c r="W57" t="n">
        <v>1224</v>
      </c>
      <c r="X57" t="n">
        <v>1168</v>
      </c>
      <c r="Y57" t="n">
        <v>3800</v>
      </c>
    </row>
    <row r="58">
      <c r="A58" t="n">
        <v>57</v>
      </c>
      <c r="B58" t="n">
        <v>0</v>
      </c>
      <c r="C58" t="n">
        <v>2344</v>
      </c>
      <c r="D58" t="n">
        <v>3078</v>
      </c>
      <c r="E58" t="n">
        <v>5295</v>
      </c>
      <c r="F58" t="n">
        <v>9088</v>
      </c>
      <c r="G58" t="n">
        <v>15496</v>
      </c>
      <c r="H58" t="n">
        <v>26337</v>
      </c>
      <c r="I58" t="n">
        <v>44492</v>
      </c>
      <c r="J58" t="n">
        <v>1570</v>
      </c>
      <c r="K58" t="n">
        <v>3078</v>
      </c>
      <c r="L58" t="n">
        <v>1570</v>
      </c>
      <c r="M58" t="n">
        <v>1000</v>
      </c>
      <c r="N58" t="n">
        <v>1285</v>
      </c>
      <c r="O58" t="n">
        <v>1570</v>
      </c>
      <c r="P58" t="n">
        <v>1855</v>
      </c>
      <c r="Q58" t="n">
        <v>2140</v>
      </c>
      <c r="R58" t="n">
        <v>2425</v>
      </c>
      <c r="S58" t="n">
        <v>2710</v>
      </c>
      <c r="T58" t="n">
        <v>2995</v>
      </c>
      <c r="U58" t="n">
        <v>3280</v>
      </c>
      <c r="V58" t="n">
        <v>1615</v>
      </c>
      <c r="W58" t="n">
        <v>1228</v>
      </c>
      <c r="X58" t="n">
        <v>1171</v>
      </c>
      <c r="Y58" t="n">
        <v>3850</v>
      </c>
    </row>
    <row r="59">
      <c r="A59" t="n">
        <v>58</v>
      </c>
      <c r="B59" t="n">
        <v>0</v>
      </c>
      <c r="C59" t="n">
        <v>2380</v>
      </c>
      <c r="D59" t="n">
        <v>3140</v>
      </c>
      <c r="E59" t="n">
        <v>5454</v>
      </c>
      <c r="F59" t="n">
        <v>9452</v>
      </c>
      <c r="G59" t="n">
        <v>16271</v>
      </c>
      <c r="H59" t="n">
        <v>27918</v>
      </c>
      <c r="I59" t="n">
        <v>47607</v>
      </c>
      <c r="J59" t="n">
        <v>1580</v>
      </c>
      <c r="K59" t="n">
        <v>3140</v>
      </c>
      <c r="L59" t="n">
        <v>1580</v>
      </c>
      <c r="M59" t="n">
        <v>1000</v>
      </c>
      <c r="N59" t="n">
        <v>1290</v>
      </c>
      <c r="O59" t="n">
        <v>1580</v>
      </c>
      <c r="P59" t="n">
        <v>1870</v>
      </c>
      <c r="Q59" t="n">
        <v>2160</v>
      </c>
      <c r="R59" t="n">
        <v>2450</v>
      </c>
      <c r="S59" t="n">
        <v>2740</v>
      </c>
      <c r="T59" t="n">
        <v>3030</v>
      </c>
      <c r="U59" t="n">
        <v>3320</v>
      </c>
      <c r="V59" t="n">
        <v>1628</v>
      </c>
      <c r="W59" t="n">
        <v>1232</v>
      </c>
      <c r="X59" t="n">
        <v>1174</v>
      </c>
      <c r="Y59" t="n">
        <v>3900</v>
      </c>
    </row>
    <row r="60">
      <c r="A60" t="n">
        <v>59</v>
      </c>
      <c r="B60" t="n">
        <v>0</v>
      </c>
      <c r="C60" t="n">
        <v>2416</v>
      </c>
      <c r="D60" t="n">
        <v>3203</v>
      </c>
      <c r="E60" t="n">
        <v>5618</v>
      </c>
      <c r="F60" t="n">
        <v>9831</v>
      </c>
      <c r="G60" t="n">
        <v>17085</v>
      </c>
      <c r="H60" t="n">
        <v>29594</v>
      </c>
      <c r="I60" t="n">
        <v>50940</v>
      </c>
      <c r="J60" t="n">
        <v>1590</v>
      </c>
      <c r="K60" t="n">
        <v>3203</v>
      </c>
      <c r="L60" t="n">
        <v>1590</v>
      </c>
      <c r="M60" t="n">
        <v>1000</v>
      </c>
      <c r="N60" t="n">
        <v>1295</v>
      </c>
      <c r="O60" t="n">
        <v>1590</v>
      </c>
      <c r="P60" t="n">
        <v>1885</v>
      </c>
      <c r="Q60" t="n">
        <v>2180</v>
      </c>
      <c r="R60" t="n">
        <v>2475</v>
      </c>
      <c r="S60" t="n">
        <v>2770</v>
      </c>
      <c r="T60" t="n">
        <v>3065</v>
      </c>
      <c r="U60" t="n">
        <v>3360</v>
      </c>
      <c r="V60" t="n">
        <v>1641</v>
      </c>
      <c r="W60" t="n">
        <v>1236</v>
      </c>
      <c r="X60" t="n">
        <v>1177</v>
      </c>
      <c r="Y60" t="n">
        <v>3950</v>
      </c>
    </row>
    <row r="61">
      <c r="A61" t="n">
        <v>60</v>
      </c>
      <c r="B61" t="n">
        <v>0</v>
      </c>
      <c r="C61" t="n">
        <v>2453</v>
      </c>
      <c r="D61" t="n">
        <v>3268</v>
      </c>
      <c r="E61" t="n">
        <v>5787</v>
      </c>
      <c r="F61" t="n">
        <v>10225</v>
      </c>
      <c r="G61" t="n">
        <v>17940</v>
      </c>
      <c r="H61" t="n">
        <v>31370</v>
      </c>
      <c r="I61" t="n">
        <v>54506</v>
      </c>
      <c r="J61" t="n">
        <v>1600</v>
      </c>
      <c r="K61" t="n">
        <v>3268</v>
      </c>
      <c r="L61" t="n">
        <v>1600</v>
      </c>
      <c r="M61" t="n">
        <v>1000</v>
      </c>
      <c r="N61" t="n">
        <v>1300</v>
      </c>
      <c r="O61" t="n">
        <v>1600</v>
      </c>
      <c r="P61" t="n">
        <v>1900</v>
      </c>
      <c r="Q61" t="n">
        <v>2200</v>
      </c>
      <c r="R61" t="n">
        <v>2500</v>
      </c>
      <c r="S61" t="n">
        <v>2800</v>
      </c>
      <c r="T61" t="n">
        <v>3100</v>
      </c>
      <c r="U61" t="n">
        <v>3400</v>
      </c>
      <c r="V61" t="n">
        <v>1654</v>
      </c>
      <c r="W61" t="n">
        <v>1240</v>
      </c>
      <c r="X61" t="n">
        <v>1180</v>
      </c>
      <c r="Y61" t="n">
        <v>4000</v>
      </c>
    </row>
    <row r="62">
      <c r="A62" t="n">
        <v>61</v>
      </c>
      <c r="B62" t="n">
        <v>0</v>
      </c>
      <c r="C62" t="n">
        <v>2490</v>
      </c>
      <c r="D62" t="n">
        <v>3334</v>
      </c>
      <c r="E62" t="n">
        <v>5961</v>
      </c>
      <c r="F62" t="n">
        <v>10634</v>
      </c>
      <c r="G62" t="n">
        <v>18837</v>
      </c>
      <c r="H62" t="n">
        <v>33253</v>
      </c>
      <c r="I62" t="n">
        <v>58322</v>
      </c>
      <c r="J62" t="n">
        <v>1610</v>
      </c>
      <c r="K62" t="n">
        <v>3334</v>
      </c>
      <c r="L62" t="n">
        <v>1610</v>
      </c>
      <c r="M62" t="n">
        <v>1000</v>
      </c>
      <c r="N62" t="n">
        <v>1305</v>
      </c>
      <c r="O62" t="n">
        <v>1610</v>
      </c>
      <c r="P62" t="n">
        <v>1915</v>
      </c>
      <c r="Q62" t="n">
        <v>2220</v>
      </c>
      <c r="R62" t="n">
        <v>2525</v>
      </c>
      <c r="S62" t="n">
        <v>2830</v>
      </c>
      <c r="T62" t="n">
        <v>3135</v>
      </c>
      <c r="U62" t="n">
        <v>3440</v>
      </c>
      <c r="V62" t="n">
        <v>1667</v>
      </c>
      <c r="W62" t="n">
        <v>1244</v>
      </c>
      <c r="X62" t="n">
        <v>1183</v>
      </c>
      <c r="Y62" t="n">
        <v>4050</v>
      </c>
    </row>
    <row r="63">
      <c r="A63" t="n">
        <v>62</v>
      </c>
      <c r="B63" t="n">
        <v>0</v>
      </c>
      <c r="C63" t="n">
        <v>2528</v>
      </c>
      <c r="D63" t="n">
        <v>3401</v>
      </c>
      <c r="E63" t="n">
        <v>6140</v>
      </c>
      <c r="F63" t="n">
        <v>11060</v>
      </c>
      <c r="G63" t="n">
        <v>19779</v>
      </c>
      <c r="H63" t="n">
        <v>35249</v>
      </c>
      <c r="I63" t="n">
        <v>62405</v>
      </c>
      <c r="J63" t="n">
        <v>1620</v>
      </c>
      <c r="K63" t="n">
        <v>3401</v>
      </c>
      <c r="L63" t="n">
        <v>1620</v>
      </c>
      <c r="M63" t="n">
        <v>1000</v>
      </c>
      <c r="N63" t="n">
        <v>1310</v>
      </c>
      <c r="O63" t="n">
        <v>1620</v>
      </c>
      <c r="P63" t="n">
        <v>1930</v>
      </c>
      <c r="Q63" t="n">
        <v>2240</v>
      </c>
      <c r="R63" t="n">
        <v>2550</v>
      </c>
      <c r="S63" t="n">
        <v>2860</v>
      </c>
      <c r="T63" t="n">
        <v>3170</v>
      </c>
      <c r="U63" t="n">
        <v>3480</v>
      </c>
      <c r="V63" t="n">
        <v>1680</v>
      </c>
      <c r="W63" t="n">
        <v>1248</v>
      </c>
      <c r="X63" t="n">
        <v>1186</v>
      </c>
      <c r="Y63" t="n">
        <v>4100</v>
      </c>
    </row>
    <row r="64">
      <c r="A64" t="n">
        <v>63</v>
      </c>
      <c r="B64" t="n">
        <v>0</v>
      </c>
      <c r="C64" t="n">
        <v>2566</v>
      </c>
      <c r="D64" t="n">
        <v>3470</v>
      </c>
      <c r="E64" t="n">
        <v>6325</v>
      </c>
      <c r="F64" t="n">
        <v>11503</v>
      </c>
      <c r="G64" t="n">
        <v>20768</v>
      </c>
      <c r="H64" t="n">
        <v>37364</v>
      </c>
      <c r="I64" t="n">
        <v>66774</v>
      </c>
      <c r="J64" t="n">
        <v>1630</v>
      </c>
      <c r="K64" t="n">
        <v>3470</v>
      </c>
      <c r="L64" t="n">
        <v>1630</v>
      </c>
      <c r="M64" t="n">
        <v>1000</v>
      </c>
      <c r="N64" t="n">
        <v>1315</v>
      </c>
      <c r="O64" t="n">
        <v>1630</v>
      </c>
      <c r="P64" t="n">
        <v>1945</v>
      </c>
      <c r="Q64" t="n">
        <v>2260</v>
      </c>
      <c r="R64" t="n">
        <v>2575</v>
      </c>
      <c r="S64" t="n">
        <v>2890</v>
      </c>
      <c r="T64" t="n">
        <v>3205</v>
      </c>
      <c r="U64" t="n">
        <v>3520</v>
      </c>
      <c r="V64" t="n">
        <v>1693</v>
      </c>
      <c r="W64" t="n">
        <v>1252</v>
      </c>
      <c r="X64" t="n">
        <v>1189</v>
      </c>
      <c r="Y64" t="n">
        <v>4150</v>
      </c>
    </row>
    <row r="65">
      <c r="A65" t="n">
        <v>64</v>
      </c>
      <c r="B65" t="n">
        <v>0</v>
      </c>
      <c r="C65" t="n">
        <v>2605</v>
      </c>
      <c r="D65" t="n">
        <v>3540</v>
      </c>
      <c r="E65" t="n">
        <v>6515</v>
      </c>
      <c r="F65" t="n">
        <v>11964</v>
      </c>
      <c r="G65" t="n">
        <v>21807</v>
      </c>
      <c r="H65" t="n">
        <v>39606</v>
      </c>
      <c r="I65" t="n">
        <v>71449</v>
      </c>
      <c r="J65" t="n">
        <v>1640</v>
      </c>
      <c r="K65" t="n">
        <v>3540</v>
      </c>
      <c r="L65" t="n">
        <v>1640</v>
      </c>
      <c r="M65" t="n">
        <v>1000</v>
      </c>
      <c r="N65" t="n">
        <v>1320</v>
      </c>
      <c r="O65" t="n">
        <v>1640</v>
      </c>
      <c r="P65" t="n">
        <v>1960</v>
      </c>
      <c r="Q65" t="n">
        <v>2280</v>
      </c>
      <c r="R65" t="n">
        <v>2600</v>
      </c>
      <c r="S65" t="n">
        <v>2920</v>
      </c>
      <c r="T65" t="n">
        <v>3240</v>
      </c>
      <c r="U65" t="n">
        <v>3560</v>
      </c>
      <c r="V65" t="n">
        <v>1706</v>
      </c>
      <c r="W65" t="n">
        <v>1256</v>
      </c>
      <c r="X65" t="n">
        <v>1192</v>
      </c>
      <c r="Y65" t="n">
        <v>4200</v>
      </c>
    </row>
    <row r="66">
      <c r="A66" t="n">
        <v>65</v>
      </c>
      <c r="B66" t="n">
        <v>0</v>
      </c>
      <c r="C66" t="n">
        <v>2645</v>
      </c>
      <c r="D66" t="n">
        <v>3611</v>
      </c>
      <c r="E66" t="n">
        <v>6711</v>
      </c>
      <c r="F66" t="n">
        <v>12443</v>
      </c>
      <c r="G66" t="n">
        <v>22898</v>
      </c>
      <c r="H66" t="n">
        <v>41983</v>
      </c>
      <c r="I66" t="n">
        <v>76451</v>
      </c>
      <c r="J66" t="n">
        <v>1650</v>
      </c>
      <c r="K66" t="n">
        <v>3611</v>
      </c>
      <c r="L66" t="n">
        <v>1650</v>
      </c>
      <c r="M66" t="n">
        <v>1000</v>
      </c>
      <c r="N66" t="n">
        <v>1325</v>
      </c>
      <c r="O66" t="n">
        <v>1650</v>
      </c>
      <c r="P66" t="n">
        <v>1975</v>
      </c>
      <c r="Q66" t="n">
        <v>2300</v>
      </c>
      <c r="R66" t="n">
        <v>2625</v>
      </c>
      <c r="S66" t="n">
        <v>2950</v>
      </c>
      <c r="T66" t="n">
        <v>3275</v>
      </c>
      <c r="U66" t="n">
        <v>3600</v>
      </c>
      <c r="V66" t="n">
        <v>1719</v>
      </c>
      <c r="W66" t="n">
        <v>1260</v>
      </c>
      <c r="X66" t="n">
        <v>1195</v>
      </c>
      <c r="Y66" t="n">
        <v>4250</v>
      </c>
    </row>
    <row r="67">
      <c r="A67" t="n">
        <v>66</v>
      </c>
      <c r="B67" t="n">
        <v>0</v>
      </c>
      <c r="C67" t="n">
        <v>2685</v>
      </c>
      <c r="D67" t="n">
        <v>3684</v>
      </c>
      <c r="E67" t="n">
        <v>6913</v>
      </c>
      <c r="F67" t="n">
        <v>12941</v>
      </c>
      <c r="G67" t="n">
        <v>24043</v>
      </c>
      <c r="H67" t="n">
        <v>44502</v>
      </c>
      <c r="I67" t="n">
        <v>81803</v>
      </c>
      <c r="J67" t="n">
        <v>1660</v>
      </c>
      <c r="K67" t="n">
        <v>3684</v>
      </c>
      <c r="L67" t="n">
        <v>1660</v>
      </c>
      <c r="M67" t="n">
        <v>1000</v>
      </c>
      <c r="N67" t="n">
        <v>1330</v>
      </c>
      <c r="O67" t="n">
        <v>1660</v>
      </c>
      <c r="P67" t="n">
        <v>1990</v>
      </c>
      <c r="Q67" t="n">
        <v>2320</v>
      </c>
      <c r="R67" t="n">
        <v>2650</v>
      </c>
      <c r="S67" t="n">
        <v>2980</v>
      </c>
      <c r="T67" t="n">
        <v>3310</v>
      </c>
      <c r="U67" t="n">
        <v>3640</v>
      </c>
      <c r="V67" t="n">
        <v>1732</v>
      </c>
      <c r="W67" t="n">
        <v>1264</v>
      </c>
      <c r="X67" t="n">
        <v>1198</v>
      </c>
      <c r="Y67" t="n">
        <v>4300</v>
      </c>
    </row>
    <row r="68">
      <c r="A68" t="n">
        <v>67</v>
      </c>
      <c r="B68" t="n">
        <v>0</v>
      </c>
      <c r="C68" t="n">
        <v>2726</v>
      </c>
      <c r="D68" t="n">
        <v>3758</v>
      </c>
      <c r="E68" t="n">
        <v>7121</v>
      </c>
      <c r="F68" t="n">
        <v>13459</v>
      </c>
      <c r="G68" t="n">
        <v>25246</v>
      </c>
      <c r="H68" t="n">
        <v>47173</v>
      </c>
      <c r="I68" t="n">
        <v>87530</v>
      </c>
      <c r="J68" t="n">
        <v>1670</v>
      </c>
      <c r="K68" t="n">
        <v>3758</v>
      </c>
      <c r="L68" t="n">
        <v>1670</v>
      </c>
      <c r="M68" t="n">
        <v>1000</v>
      </c>
      <c r="N68" t="n">
        <v>1335</v>
      </c>
      <c r="O68" t="n">
        <v>1670</v>
      </c>
      <c r="P68" t="n">
        <v>2005</v>
      </c>
      <c r="Q68" t="n">
        <v>2340</v>
      </c>
      <c r="R68" t="n">
        <v>2675</v>
      </c>
      <c r="S68" t="n">
        <v>3010</v>
      </c>
      <c r="T68" t="n">
        <v>3345</v>
      </c>
      <c r="U68" t="n">
        <v>3680</v>
      </c>
      <c r="V68" t="n">
        <v>1745</v>
      </c>
      <c r="W68" t="n">
        <v>1268</v>
      </c>
      <c r="X68" t="n">
        <v>1201</v>
      </c>
      <c r="Y68" t="n">
        <v>4350</v>
      </c>
    </row>
    <row r="69">
      <c r="A69" t="n">
        <v>68</v>
      </c>
      <c r="B69" t="n">
        <v>0</v>
      </c>
      <c r="C69" t="n">
        <v>2767</v>
      </c>
      <c r="D69" t="n">
        <v>3834</v>
      </c>
      <c r="E69" t="n">
        <v>7335</v>
      </c>
      <c r="F69" t="n">
        <v>13998</v>
      </c>
      <c r="G69" t="n">
        <v>26509</v>
      </c>
      <c r="H69" t="n">
        <v>50004</v>
      </c>
      <c r="I69" t="n">
        <v>93658</v>
      </c>
      <c r="J69" t="n">
        <v>1680</v>
      </c>
      <c r="K69" t="n">
        <v>3834</v>
      </c>
      <c r="L69" t="n">
        <v>1680</v>
      </c>
      <c r="M69" t="n">
        <v>1000</v>
      </c>
      <c r="N69" t="n">
        <v>1340</v>
      </c>
      <c r="O69" t="n">
        <v>1680</v>
      </c>
      <c r="P69" t="n">
        <v>2020</v>
      </c>
      <c r="Q69" t="n">
        <v>2360</v>
      </c>
      <c r="R69" t="n">
        <v>2700</v>
      </c>
      <c r="S69" t="n">
        <v>3040</v>
      </c>
      <c r="T69" t="n">
        <v>3380</v>
      </c>
      <c r="U69" t="n">
        <v>3720</v>
      </c>
      <c r="V69" t="n">
        <v>1758</v>
      </c>
      <c r="W69" t="n">
        <v>1272</v>
      </c>
      <c r="X69" t="n">
        <v>1204</v>
      </c>
      <c r="Y69" t="n">
        <v>4400</v>
      </c>
    </row>
    <row r="70">
      <c r="A70" t="n">
        <v>69</v>
      </c>
      <c r="B70" t="n">
        <v>0</v>
      </c>
      <c r="C70" t="n">
        <v>2809</v>
      </c>
      <c r="D70" t="n">
        <v>3911</v>
      </c>
      <c r="E70" t="n">
        <v>7556</v>
      </c>
      <c r="F70" t="n">
        <v>14558</v>
      </c>
      <c r="G70" t="n">
        <v>27835</v>
      </c>
      <c r="H70" t="n">
        <v>53005</v>
      </c>
      <c r="I70" t="n">
        <v>100215</v>
      </c>
      <c r="J70" t="n">
        <v>1690</v>
      </c>
      <c r="K70" t="n">
        <v>3911</v>
      </c>
      <c r="L70" t="n">
        <v>1690</v>
      </c>
      <c r="M70" t="n">
        <v>1000</v>
      </c>
      <c r="N70" t="n">
        <v>1345</v>
      </c>
      <c r="O70" t="n">
        <v>1690</v>
      </c>
      <c r="P70" t="n">
        <v>2035</v>
      </c>
      <c r="Q70" t="n">
        <v>2380</v>
      </c>
      <c r="R70" t="n">
        <v>2725</v>
      </c>
      <c r="S70" t="n">
        <v>3070</v>
      </c>
      <c r="T70" t="n">
        <v>3415</v>
      </c>
      <c r="U70" t="n">
        <v>3760</v>
      </c>
      <c r="V70" t="n">
        <v>1771</v>
      </c>
      <c r="W70" t="n">
        <v>1276</v>
      </c>
      <c r="X70" t="n">
        <v>1207</v>
      </c>
      <c r="Y70" t="n">
        <v>4450</v>
      </c>
    </row>
    <row r="71">
      <c r="A71" t="n">
        <v>70</v>
      </c>
      <c r="B71" t="n">
        <v>0</v>
      </c>
      <c r="C71" t="n">
        <v>2852</v>
      </c>
      <c r="D71" t="n">
        <v>3990</v>
      </c>
      <c r="E71" t="n">
        <v>7783</v>
      </c>
      <c r="F71" t="n">
        <v>15141</v>
      </c>
      <c r="G71" t="n">
        <v>29227</v>
      </c>
      <c r="H71" t="n">
        <v>56186</v>
      </c>
      <c r="I71" t="n">
        <v>107231</v>
      </c>
      <c r="J71" t="n">
        <v>1700</v>
      </c>
      <c r="K71" t="n">
        <v>3990</v>
      </c>
      <c r="L71" t="n">
        <v>1700</v>
      </c>
      <c r="M71" t="n">
        <v>1000</v>
      </c>
      <c r="N71" t="n">
        <v>1350</v>
      </c>
      <c r="O71" t="n">
        <v>1700</v>
      </c>
      <c r="P71" t="n">
        <v>2050</v>
      </c>
      <c r="Q71" t="n">
        <v>2400</v>
      </c>
      <c r="R71" t="n">
        <v>2750</v>
      </c>
      <c r="S71" t="n">
        <v>3100</v>
      </c>
      <c r="T71" t="n">
        <v>3450</v>
      </c>
      <c r="U71" t="n">
        <v>3800</v>
      </c>
      <c r="V71" t="n">
        <v>1784</v>
      </c>
      <c r="W71" t="n">
        <v>1280</v>
      </c>
      <c r="X71" t="n">
        <v>1210</v>
      </c>
      <c r="Y71" t="n">
        <v>4500</v>
      </c>
    </row>
    <row r="72">
      <c r="A72" t="n">
        <v>71</v>
      </c>
      <c r="B72" t="n">
        <v>0</v>
      </c>
      <c r="C72" t="n">
        <v>2895</v>
      </c>
      <c r="D72" t="n">
        <v>4070</v>
      </c>
      <c r="E72" t="n">
        <v>8017</v>
      </c>
      <c r="F72" t="n">
        <v>15747</v>
      </c>
      <c r="G72" t="n">
        <v>30689</v>
      </c>
      <c r="H72" t="n">
        <v>59558</v>
      </c>
      <c r="I72" t="n">
        <v>114738</v>
      </c>
      <c r="J72" t="n">
        <v>1710</v>
      </c>
      <c r="K72" t="n">
        <v>4070</v>
      </c>
      <c r="L72" t="n">
        <v>1710</v>
      </c>
      <c r="M72" t="n">
        <v>1000</v>
      </c>
      <c r="N72" t="n">
        <v>1355</v>
      </c>
      <c r="O72" t="n">
        <v>1710</v>
      </c>
      <c r="P72" t="n">
        <v>2065</v>
      </c>
      <c r="Q72" t="n">
        <v>2420</v>
      </c>
      <c r="R72" t="n">
        <v>2775</v>
      </c>
      <c r="S72" t="n">
        <v>3130</v>
      </c>
      <c r="T72" t="n">
        <v>3485</v>
      </c>
      <c r="U72" t="n">
        <v>3840</v>
      </c>
      <c r="V72" t="n">
        <v>1797</v>
      </c>
      <c r="W72" t="n">
        <v>1284</v>
      </c>
      <c r="X72" t="n">
        <v>1213</v>
      </c>
      <c r="Y72" t="n">
        <v>4550</v>
      </c>
    </row>
    <row r="73">
      <c r="A73" t="n">
        <v>72</v>
      </c>
      <c r="B73" t="n">
        <v>0</v>
      </c>
      <c r="C73" t="n">
        <v>2939</v>
      </c>
      <c r="D73" t="n">
        <v>4152</v>
      </c>
      <c r="E73" t="n">
        <v>8258</v>
      </c>
      <c r="F73" t="n">
        <v>16377</v>
      </c>
      <c r="G73" t="n">
        <v>32224</v>
      </c>
      <c r="H73" t="n">
        <v>63132</v>
      </c>
      <c r="I73" t="n">
        <v>122770</v>
      </c>
      <c r="J73" t="n">
        <v>1720</v>
      </c>
      <c r="K73" t="n">
        <v>4152</v>
      </c>
      <c r="L73" t="n">
        <v>1720</v>
      </c>
      <c r="M73" t="n">
        <v>1000</v>
      </c>
      <c r="N73" t="n">
        <v>1360</v>
      </c>
      <c r="O73" t="n">
        <v>1720</v>
      </c>
      <c r="P73" t="n">
        <v>2080</v>
      </c>
      <c r="Q73" t="n">
        <v>2440</v>
      </c>
      <c r="R73" t="n">
        <v>2800</v>
      </c>
      <c r="S73" t="n">
        <v>3160</v>
      </c>
      <c r="T73" t="n">
        <v>3520</v>
      </c>
      <c r="U73" t="n">
        <v>3880</v>
      </c>
      <c r="V73" t="n">
        <v>1811</v>
      </c>
      <c r="W73" t="n">
        <v>1288</v>
      </c>
      <c r="X73" t="n">
        <v>1216</v>
      </c>
      <c r="Y73" t="n">
        <v>4600</v>
      </c>
    </row>
    <row r="74">
      <c r="A74" t="n">
        <v>73</v>
      </c>
      <c r="B74" t="n">
        <v>0</v>
      </c>
      <c r="C74" t="n">
        <v>2984</v>
      </c>
      <c r="D74" t="n">
        <v>4236</v>
      </c>
      <c r="E74" t="n">
        <v>8506</v>
      </c>
      <c r="F74" t="n">
        <v>17033</v>
      </c>
      <c r="G74" t="n">
        <v>33836</v>
      </c>
      <c r="H74" t="n">
        <v>66920</v>
      </c>
      <c r="I74" t="n">
        <v>131364</v>
      </c>
      <c r="J74" t="n">
        <v>1730</v>
      </c>
      <c r="K74" t="n">
        <v>4236</v>
      </c>
      <c r="L74" t="n">
        <v>1730</v>
      </c>
      <c r="M74" t="n">
        <v>1000</v>
      </c>
      <c r="N74" t="n">
        <v>1365</v>
      </c>
      <c r="O74" t="n">
        <v>1730</v>
      </c>
      <c r="P74" t="n">
        <v>2095</v>
      </c>
      <c r="Q74" t="n">
        <v>2460</v>
      </c>
      <c r="R74" t="n">
        <v>2825</v>
      </c>
      <c r="S74" t="n">
        <v>3190</v>
      </c>
      <c r="T74" t="n">
        <v>3555</v>
      </c>
      <c r="U74" t="n">
        <v>3920</v>
      </c>
      <c r="V74" t="n">
        <v>1825</v>
      </c>
      <c r="W74" t="n">
        <v>1292</v>
      </c>
      <c r="X74" t="n">
        <v>1219</v>
      </c>
      <c r="Y74" t="n">
        <v>4650</v>
      </c>
    </row>
    <row r="75">
      <c r="A75" t="n">
        <v>74</v>
      </c>
      <c r="B75" t="n">
        <v>0</v>
      </c>
      <c r="C75" t="n">
        <v>3029</v>
      </c>
      <c r="D75" t="n">
        <v>4321</v>
      </c>
      <c r="E75" t="n">
        <v>8762</v>
      </c>
      <c r="F75" t="n">
        <v>17715</v>
      </c>
      <c r="G75" t="n">
        <v>35528</v>
      </c>
      <c r="H75" t="n">
        <v>70936</v>
      </c>
      <c r="I75" t="n">
        <v>140560</v>
      </c>
      <c r="J75" t="n">
        <v>1740</v>
      </c>
      <c r="K75" t="n">
        <v>4321</v>
      </c>
      <c r="L75" t="n">
        <v>1740</v>
      </c>
      <c r="M75" t="n">
        <v>1000</v>
      </c>
      <c r="N75" t="n">
        <v>1370</v>
      </c>
      <c r="O75" t="n">
        <v>1740</v>
      </c>
      <c r="P75" t="n">
        <v>2110</v>
      </c>
      <c r="Q75" t="n">
        <v>2480</v>
      </c>
      <c r="R75" t="n">
        <v>2850</v>
      </c>
      <c r="S75" t="n">
        <v>3220</v>
      </c>
      <c r="T75" t="n">
        <v>3590</v>
      </c>
      <c r="U75" t="n">
        <v>3960</v>
      </c>
      <c r="V75" t="n">
        <v>1839</v>
      </c>
      <c r="W75" t="n">
        <v>1296</v>
      </c>
      <c r="X75" t="n">
        <v>1222</v>
      </c>
      <c r="Y75" t="n">
        <v>4700</v>
      </c>
    </row>
    <row r="76">
      <c r="A76" t="n">
        <v>75</v>
      </c>
      <c r="B76" t="n">
        <v>0</v>
      </c>
      <c r="C76" t="n">
        <v>3075</v>
      </c>
      <c r="D76" t="n">
        <v>4408</v>
      </c>
      <c r="E76" t="n">
        <v>9025</v>
      </c>
      <c r="F76" t="n">
        <v>18424</v>
      </c>
      <c r="G76" t="n">
        <v>37305</v>
      </c>
      <c r="H76" t="n">
        <v>75193</v>
      </c>
      <c r="I76" t="n">
        <v>150400</v>
      </c>
      <c r="J76" t="n">
        <v>1750</v>
      </c>
      <c r="K76" t="n">
        <v>4408</v>
      </c>
      <c r="L76" t="n">
        <v>1750</v>
      </c>
      <c r="M76" t="n">
        <v>1000</v>
      </c>
      <c r="N76" t="n">
        <v>1375</v>
      </c>
      <c r="O76" t="n">
        <v>1750</v>
      </c>
      <c r="P76" t="n">
        <v>2125</v>
      </c>
      <c r="Q76" t="n">
        <v>2500</v>
      </c>
      <c r="R76" t="n">
        <v>2875</v>
      </c>
      <c r="S76" t="n">
        <v>3250</v>
      </c>
      <c r="T76" t="n">
        <v>3625</v>
      </c>
      <c r="U76" t="n">
        <v>4000</v>
      </c>
      <c r="V76" t="n">
        <v>1853</v>
      </c>
      <c r="W76" t="n">
        <v>1300</v>
      </c>
      <c r="X76" t="n">
        <v>1225</v>
      </c>
      <c r="Y76" t="n">
        <v>4750</v>
      </c>
    </row>
    <row r="77">
      <c r="A77" t="n">
        <v>76</v>
      </c>
      <c r="B77" t="n">
        <v>0</v>
      </c>
      <c r="C77" t="n">
        <v>3122</v>
      </c>
      <c r="D77" t="n">
        <v>4497</v>
      </c>
      <c r="E77" t="n">
        <v>9296</v>
      </c>
      <c r="F77" t="n">
        <v>19161</v>
      </c>
      <c r="G77" t="n">
        <v>39171</v>
      </c>
      <c r="H77" t="n">
        <v>79705</v>
      </c>
      <c r="I77" t="n">
        <v>160928</v>
      </c>
      <c r="J77" t="n">
        <v>1760</v>
      </c>
      <c r="K77" t="n">
        <v>4497</v>
      </c>
      <c r="L77" t="n">
        <v>1760</v>
      </c>
      <c r="M77" t="n">
        <v>1000</v>
      </c>
      <c r="N77" t="n">
        <v>1380</v>
      </c>
      <c r="O77" t="n">
        <v>1760</v>
      </c>
      <c r="P77" t="n">
        <v>2140</v>
      </c>
      <c r="Q77" t="n">
        <v>2520</v>
      </c>
      <c r="R77" t="n">
        <v>2900</v>
      </c>
      <c r="S77" t="n">
        <v>3280</v>
      </c>
      <c r="T77" t="n">
        <v>3660</v>
      </c>
      <c r="U77" t="n">
        <v>4040</v>
      </c>
      <c r="V77" t="n">
        <v>1867</v>
      </c>
      <c r="W77" t="n">
        <v>1304</v>
      </c>
      <c r="X77" t="n">
        <v>1228</v>
      </c>
      <c r="Y77" t="n">
        <v>4800</v>
      </c>
    </row>
    <row r="78">
      <c r="A78" t="n">
        <v>77</v>
      </c>
      <c r="B78" t="n">
        <v>0</v>
      </c>
      <c r="C78" t="n">
        <v>3169</v>
      </c>
      <c r="D78" t="n">
        <v>4587</v>
      </c>
      <c r="E78" t="n">
        <v>9575</v>
      </c>
      <c r="F78" t="n">
        <v>19928</v>
      </c>
      <c r="G78" t="n">
        <v>41130</v>
      </c>
      <c r="H78" t="n">
        <v>84488</v>
      </c>
      <c r="I78" t="n">
        <v>172193</v>
      </c>
      <c r="J78" t="n">
        <v>1770</v>
      </c>
      <c r="K78" t="n">
        <v>4587</v>
      </c>
      <c r="L78" t="n">
        <v>1770</v>
      </c>
      <c r="M78" t="n">
        <v>1000</v>
      </c>
      <c r="N78" t="n">
        <v>1385</v>
      </c>
      <c r="O78" t="n">
        <v>1770</v>
      </c>
      <c r="P78" t="n">
        <v>2155</v>
      </c>
      <c r="Q78" t="n">
        <v>2540</v>
      </c>
      <c r="R78" t="n">
        <v>2925</v>
      </c>
      <c r="S78" t="n">
        <v>3310</v>
      </c>
      <c r="T78" t="n">
        <v>3695</v>
      </c>
      <c r="U78" t="n">
        <v>4080</v>
      </c>
      <c r="V78" t="n">
        <v>1881</v>
      </c>
      <c r="W78" t="n">
        <v>1308</v>
      </c>
      <c r="X78" t="n">
        <v>1231</v>
      </c>
      <c r="Y78" t="n">
        <v>4850</v>
      </c>
    </row>
    <row r="79">
      <c r="A79" t="n">
        <v>78</v>
      </c>
      <c r="B79" t="n">
        <v>0</v>
      </c>
      <c r="C79" t="n">
        <v>3217</v>
      </c>
      <c r="D79" t="n">
        <v>4679</v>
      </c>
      <c r="E79" t="n">
        <v>9863</v>
      </c>
      <c r="F79" t="n">
        <v>20726</v>
      </c>
      <c r="G79" t="n">
        <v>43187</v>
      </c>
      <c r="H79" t="n">
        <v>89558</v>
      </c>
      <c r="I79" t="n">
        <v>184247</v>
      </c>
      <c r="J79" t="n">
        <v>1780</v>
      </c>
      <c r="K79" t="n">
        <v>4679</v>
      </c>
      <c r="L79" t="n">
        <v>1780</v>
      </c>
      <c r="M79" t="n">
        <v>1000</v>
      </c>
      <c r="N79" t="n">
        <v>1390</v>
      </c>
      <c r="O79" t="n">
        <v>1780</v>
      </c>
      <c r="P79" t="n">
        <v>2170</v>
      </c>
      <c r="Q79" t="n">
        <v>2560</v>
      </c>
      <c r="R79" t="n">
        <v>2950</v>
      </c>
      <c r="S79" t="n">
        <v>3340</v>
      </c>
      <c r="T79" t="n">
        <v>3730</v>
      </c>
      <c r="U79" t="n">
        <v>4120</v>
      </c>
      <c r="V79" t="n">
        <v>1895</v>
      </c>
      <c r="W79" t="n">
        <v>1312</v>
      </c>
      <c r="X79" t="n">
        <v>1234</v>
      </c>
      <c r="Y79" t="n">
        <v>4900</v>
      </c>
    </row>
    <row r="80">
      <c r="A80" t="n">
        <v>79</v>
      </c>
      <c r="B80" t="n">
        <v>0</v>
      </c>
      <c r="C80" t="n">
        <v>3266</v>
      </c>
      <c r="D80" t="n">
        <v>4773</v>
      </c>
      <c r="E80" t="n">
        <v>10159</v>
      </c>
      <c r="F80" t="n">
        <v>21556</v>
      </c>
      <c r="G80" t="n">
        <v>45347</v>
      </c>
      <c r="H80" t="n">
        <v>94932</v>
      </c>
      <c r="I80" t="n">
        <v>197145</v>
      </c>
      <c r="J80" t="n">
        <v>1790</v>
      </c>
      <c r="K80" t="n">
        <v>4773</v>
      </c>
      <c r="L80" t="n">
        <v>1790</v>
      </c>
      <c r="M80" t="n">
        <v>1000</v>
      </c>
      <c r="N80" t="n">
        <v>1395</v>
      </c>
      <c r="O80" t="n">
        <v>1790</v>
      </c>
      <c r="P80" t="n">
        <v>2185</v>
      </c>
      <c r="Q80" t="n">
        <v>2580</v>
      </c>
      <c r="R80" t="n">
        <v>2975</v>
      </c>
      <c r="S80" t="n">
        <v>3370</v>
      </c>
      <c r="T80" t="n">
        <v>3765</v>
      </c>
      <c r="U80" t="n">
        <v>4160</v>
      </c>
      <c r="V80" t="n">
        <v>1909</v>
      </c>
      <c r="W80" t="n">
        <v>1316</v>
      </c>
      <c r="X80" t="n">
        <v>1237</v>
      </c>
      <c r="Y80" t="n">
        <v>4950</v>
      </c>
    </row>
    <row r="81">
      <c r="A81" t="n">
        <v>80</v>
      </c>
      <c r="B81" t="n">
        <v>0</v>
      </c>
      <c r="C81" t="n">
        <v>3315</v>
      </c>
      <c r="D81" t="n">
        <v>4869</v>
      </c>
      <c r="E81" t="n">
        <v>10464</v>
      </c>
      <c r="F81" t="n">
        <v>22419</v>
      </c>
      <c r="G81" t="n">
        <v>47615</v>
      </c>
      <c r="H81" t="n">
        <v>100628</v>
      </c>
      <c r="I81" t="n">
        <v>210946</v>
      </c>
      <c r="J81" t="n">
        <v>1800</v>
      </c>
      <c r="K81" t="n">
        <v>4869</v>
      </c>
      <c r="L81" t="n">
        <v>1800</v>
      </c>
      <c r="M81" t="n">
        <v>1000</v>
      </c>
      <c r="N81" t="n">
        <v>1400</v>
      </c>
      <c r="O81" t="n">
        <v>1800</v>
      </c>
      <c r="P81" t="n">
        <v>2200</v>
      </c>
      <c r="Q81" t="n">
        <v>2600</v>
      </c>
      <c r="R81" t="n">
        <v>3000</v>
      </c>
      <c r="S81" t="n">
        <v>3400</v>
      </c>
      <c r="T81" t="n">
        <v>3800</v>
      </c>
      <c r="U81" t="n">
        <v>4200</v>
      </c>
      <c r="V81" t="n">
        <v>1923</v>
      </c>
      <c r="W81" t="n">
        <v>1320</v>
      </c>
      <c r="X81" t="n">
        <v>1240</v>
      </c>
      <c r="Y81" t="n">
        <v>5000</v>
      </c>
    </row>
    <row r="82">
      <c r="A82" t="n">
        <v>81</v>
      </c>
      <c r="B82" t="n">
        <v>0</v>
      </c>
      <c r="C82" t="n">
        <v>3365</v>
      </c>
      <c r="D82" t="n">
        <v>4967</v>
      </c>
      <c r="E82" t="n">
        <v>10778</v>
      </c>
      <c r="F82" t="n">
        <v>23316</v>
      </c>
      <c r="G82" t="n">
        <v>49996</v>
      </c>
      <c r="H82" t="n">
        <v>106666</v>
      </c>
      <c r="I82" t="n">
        <v>225713</v>
      </c>
      <c r="J82" t="n">
        <v>1810</v>
      </c>
      <c r="K82" t="n">
        <v>4967</v>
      </c>
      <c r="L82" t="n">
        <v>1810</v>
      </c>
      <c r="M82" t="n">
        <v>1000</v>
      </c>
      <c r="N82" t="n">
        <v>1405</v>
      </c>
      <c r="O82" t="n">
        <v>1810</v>
      </c>
      <c r="P82" t="n">
        <v>2215</v>
      </c>
      <c r="Q82" t="n">
        <v>2620</v>
      </c>
      <c r="R82" t="n">
        <v>3025</v>
      </c>
      <c r="S82" t="n">
        <v>3430</v>
      </c>
      <c r="T82" t="n">
        <v>3835</v>
      </c>
      <c r="U82" t="n">
        <v>4240</v>
      </c>
      <c r="V82" t="n">
        <v>1937</v>
      </c>
      <c r="W82" t="n">
        <v>1324</v>
      </c>
      <c r="X82" t="n">
        <v>1243</v>
      </c>
      <c r="Y82" t="n">
        <v>5050</v>
      </c>
    </row>
    <row r="83">
      <c r="A83" t="n">
        <v>82</v>
      </c>
      <c r="B83" t="n">
        <v>0</v>
      </c>
      <c r="C83" t="n">
        <v>3416</v>
      </c>
      <c r="D83" t="n">
        <v>5067</v>
      </c>
      <c r="E83" t="n">
        <v>11102</v>
      </c>
      <c r="F83" t="n">
        <v>24249</v>
      </c>
      <c r="G83" t="n">
        <v>52496</v>
      </c>
      <c r="H83" t="n">
        <v>113066</v>
      </c>
      <c r="I83" t="n">
        <v>241513</v>
      </c>
      <c r="J83" t="n">
        <v>1820</v>
      </c>
      <c r="K83" t="n">
        <v>5067</v>
      </c>
      <c r="L83" t="n">
        <v>1820</v>
      </c>
      <c r="M83" t="n">
        <v>1000</v>
      </c>
      <c r="N83" t="n">
        <v>1410</v>
      </c>
      <c r="O83" t="n">
        <v>1820</v>
      </c>
      <c r="P83" t="n">
        <v>2230</v>
      </c>
      <c r="Q83" t="n">
        <v>2640</v>
      </c>
      <c r="R83" t="n">
        <v>3050</v>
      </c>
      <c r="S83" t="n">
        <v>3460</v>
      </c>
      <c r="T83" t="n">
        <v>3870</v>
      </c>
      <c r="U83" t="n">
        <v>4280</v>
      </c>
      <c r="V83" t="n">
        <v>1951</v>
      </c>
      <c r="W83" t="n">
        <v>1328</v>
      </c>
      <c r="X83" t="n">
        <v>1246</v>
      </c>
      <c r="Y83" t="n">
        <v>5100</v>
      </c>
    </row>
    <row r="84">
      <c r="A84" t="n">
        <v>83</v>
      </c>
      <c r="B84" t="n">
        <v>0</v>
      </c>
      <c r="C84" t="n">
        <v>3468</v>
      </c>
      <c r="D84" t="n">
        <v>5169</v>
      </c>
      <c r="E84" t="n">
        <v>11436</v>
      </c>
      <c r="F84" t="n">
        <v>25219</v>
      </c>
      <c r="G84" t="n">
        <v>55121</v>
      </c>
      <c r="H84" t="n">
        <v>119850</v>
      </c>
      <c r="I84" t="n">
        <v>258419</v>
      </c>
      <c r="J84" t="n">
        <v>1830</v>
      </c>
      <c r="K84" t="n">
        <v>5169</v>
      </c>
      <c r="L84" t="n">
        <v>1830</v>
      </c>
      <c r="M84" t="n">
        <v>1000</v>
      </c>
      <c r="N84" t="n">
        <v>1415</v>
      </c>
      <c r="O84" t="n">
        <v>1830</v>
      </c>
      <c r="P84" t="n">
        <v>2245</v>
      </c>
      <c r="Q84" t="n">
        <v>2660</v>
      </c>
      <c r="R84" t="n">
        <v>3075</v>
      </c>
      <c r="S84" t="n">
        <v>3490</v>
      </c>
      <c r="T84" t="n">
        <v>3905</v>
      </c>
      <c r="U84" t="n">
        <v>4320</v>
      </c>
      <c r="V84" t="n">
        <v>1965</v>
      </c>
      <c r="W84" t="n">
        <v>1332</v>
      </c>
      <c r="X84" t="n">
        <v>1249</v>
      </c>
      <c r="Y84" t="n">
        <v>5150</v>
      </c>
    </row>
    <row r="85">
      <c r="A85" t="n">
        <v>84</v>
      </c>
      <c r="B85" t="n">
        <v>0</v>
      </c>
      <c r="C85" t="n">
        <v>3521</v>
      </c>
      <c r="D85" t="n">
        <v>5273</v>
      </c>
      <c r="E85" t="n">
        <v>11780</v>
      </c>
      <c r="F85" t="n">
        <v>26228</v>
      </c>
      <c r="G85" t="n">
        <v>57878</v>
      </c>
      <c r="H85" t="n">
        <v>127041</v>
      </c>
      <c r="I85" t="n">
        <v>276509</v>
      </c>
      <c r="J85" t="n">
        <v>1840</v>
      </c>
      <c r="K85" t="n">
        <v>5273</v>
      </c>
      <c r="L85" t="n">
        <v>1840</v>
      </c>
      <c r="M85" t="n">
        <v>1000</v>
      </c>
      <c r="N85" t="n">
        <v>1420</v>
      </c>
      <c r="O85" t="n">
        <v>1840</v>
      </c>
      <c r="P85" t="n">
        <v>2260</v>
      </c>
      <c r="Q85" t="n">
        <v>2680</v>
      </c>
      <c r="R85" t="n">
        <v>3100</v>
      </c>
      <c r="S85" t="n">
        <v>3520</v>
      </c>
      <c r="T85" t="n">
        <v>3940</v>
      </c>
      <c r="U85" t="n">
        <v>4360</v>
      </c>
      <c r="V85" t="n">
        <v>1979</v>
      </c>
      <c r="W85" t="n">
        <v>1336</v>
      </c>
      <c r="X85" t="n">
        <v>1252</v>
      </c>
      <c r="Y85" t="n">
        <v>5200</v>
      </c>
    </row>
    <row r="86">
      <c r="A86" t="n">
        <v>85</v>
      </c>
      <c r="B86" t="n">
        <v>0</v>
      </c>
      <c r="C86" t="n">
        <v>3574</v>
      </c>
      <c r="D86" t="n">
        <v>5379</v>
      </c>
      <c r="E86" t="n">
        <v>12134</v>
      </c>
      <c r="F86" t="n">
        <v>27278</v>
      </c>
      <c r="G86" t="n">
        <v>60772</v>
      </c>
      <c r="H86" t="n">
        <v>134664</v>
      </c>
      <c r="I86" t="n">
        <v>295865</v>
      </c>
      <c r="J86" t="n">
        <v>1850</v>
      </c>
      <c r="K86" t="n">
        <v>5379</v>
      </c>
      <c r="L86" t="n">
        <v>1850</v>
      </c>
      <c r="M86" t="n">
        <v>1000</v>
      </c>
      <c r="N86" t="n">
        <v>1425</v>
      </c>
      <c r="O86" t="n">
        <v>1850</v>
      </c>
      <c r="P86" t="n">
        <v>2275</v>
      </c>
      <c r="Q86" t="n">
        <v>2700</v>
      </c>
      <c r="R86" t="n">
        <v>3125</v>
      </c>
      <c r="S86" t="n">
        <v>3550</v>
      </c>
      <c r="T86" t="n">
        <v>3975</v>
      </c>
      <c r="U86" t="n">
        <v>4400</v>
      </c>
      <c r="V86" t="n">
        <v>1993</v>
      </c>
      <c r="W86" t="n">
        <v>1340</v>
      </c>
      <c r="X86" t="n">
        <v>1255</v>
      </c>
      <c r="Y86" t="n">
        <v>5250</v>
      </c>
    </row>
    <row r="87">
      <c r="A87" t="n">
        <v>86</v>
      </c>
      <c r="B87" t="n">
        <v>0</v>
      </c>
      <c r="C87" t="n">
        <v>3628</v>
      </c>
      <c r="D87" t="n">
        <v>5487</v>
      </c>
      <c r="E87" t="n">
        <v>12499</v>
      </c>
      <c r="F87" t="n">
        <v>28370</v>
      </c>
      <c r="G87" t="n">
        <v>63811</v>
      </c>
      <c r="H87" t="n">
        <v>142744</v>
      </c>
      <c r="I87" t="n">
        <v>316576</v>
      </c>
      <c r="J87" t="n">
        <v>1860</v>
      </c>
      <c r="K87" t="n">
        <v>5487</v>
      </c>
      <c r="L87" t="n">
        <v>1860</v>
      </c>
      <c r="M87" t="n">
        <v>1000</v>
      </c>
      <c r="N87" t="n">
        <v>1430</v>
      </c>
      <c r="O87" t="n">
        <v>1860</v>
      </c>
      <c r="P87" t="n">
        <v>2290</v>
      </c>
      <c r="Q87" t="n">
        <v>2720</v>
      </c>
      <c r="R87" t="n">
        <v>3150</v>
      </c>
      <c r="S87" t="n">
        <v>3580</v>
      </c>
      <c r="T87" t="n">
        <v>4010</v>
      </c>
      <c r="U87" t="n">
        <v>4440</v>
      </c>
      <c r="V87" t="n">
        <v>2007</v>
      </c>
      <c r="W87" t="n">
        <v>1344</v>
      </c>
      <c r="X87" t="n">
        <v>1258</v>
      </c>
      <c r="Y87" t="n">
        <v>5300</v>
      </c>
    </row>
    <row r="88">
      <c r="A88" t="n">
        <v>87</v>
      </c>
      <c r="B88" t="n">
        <v>0</v>
      </c>
      <c r="C88" t="n">
        <v>3683</v>
      </c>
      <c r="D88" t="n">
        <v>5597</v>
      </c>
      <c r="E88" t="n">
        <v>12874</v>
      </c>
      <c r="F88" t="n">
        <v>29505</v>
      </c>
      <c r="G88" t="n">
        <v>67002</v>
      </c>
      <c r="H88" t="n">
        <v>151309</v>
      </c>
      <c r="I88" t="n">
        <v>338737</v>
      </c>
      <c r="J88" t="n">
        <v>1870</v>
      </c>
      <c r="K88" t="n">
        <v>5597</v>
      </c>
      <c r="L88" t="n">
        <v>1870</v>
      </c>
      <c r="M88" t="n">
        <v>1000</v>
      </c>
      <c r="N88" t="n">
        <v>1435</v>
      </c>
      <c r="O88" t="n">
        <v>1870</v>
      </c>
      <c r="P88" t="n">
        <v>2305</v>
      </c>
      <c r="Q88" t="n">
        <v>2740</v>
      </c>
      <c r="R88" t="n">
        <v>3175</v>
      </c>
      <c r="S88" t="n">
        <v>3610</v>
      </c>
      <c r="T88" t="n">
        <v>4045</v>
      </c>
      <c r="U88" t="n">
        <v>4480</v>
      </c>
      <c r="V88" t="n">
        <v>2022</v>
      </c>
      <c r="W88" t="n">
        <v>1348</v>
      </c>
      <c r="X88" t="n">
        <v>1261</v>
      </c>
      <c r="Y88" t="n">
        <v>5350</v>
      </c>
    </row>
    <row r="89">
      <c r="A89" t="n">
        <v>88</v>
      </c>
      <c r="B89" t="n">
        <v>0</v>
      </c>
      <c r="C89" t="n">
        <v>3739</v>
      </c>
      <c r="D89" t="n">
        <v>5709</v>
      </c>
      <c r="E89" t="n">
        <v>13261</v>
      </c>
      <c r="F89" t="n">
        <v>30686</v>
      </c>
      <c r="G89" t="n">
        <v>70353</v>
      </c>
      <c r="H89" t="n">
        <v>160388</v>
      </c>
      <c r="I89" t="n">
        <v>362449</v>
      </c>
      <c r="J89" t="n">
        <v>1880</v>
      </c>
      <c r="K89" t="n">
        <v>5709</v>
      </c>
      <c r="L89" t="n">
        <v>1880</v>
      </c>
      <c r="M89" t="n">
        <v>1000</v>
      </c>
      <c r="N89" t="n">
        <v>1440</v>
      </c>
      <c r="O89" t="n">
        <v>1880</v>
      </c>
      <c r="P89" t="n">
        <v>2320</v>
      </c>
      <c r="Q89" t="n">
        <v>2760</v>
      </c>
      <c r="R89" t="n">
        <v>3200</v>
      </c>
      <c r="S89" t="n">
        <v>3640</v>
      </c>
      <c r="T89" t="n">
        <v>4080</v>
      </c>
      <c r="U89" t="n">
        <v>4520</v>
      </c>
      <c r="V89" t="n">
        <v>2037</v>
      </c>
      <c r="W89" t="n">
        <v>1352</v>
      </c>
      <c r="X89" t="n">
        <v>1264</v>
      </c>
      <c r="Y89" t="n">
        <v>5400</v>
      </c>
    </row>
    <row r="90">
      <c r="A90" t="n">
        <v>89</v>
      </c>
      <c r="B90" t="n">
        <v>0</v>
      </c>
      <c r="C90" t="n">
        <v>3796</v>
      </c>
      <c r="D90" t="n">
        <v>5824</v>
      </c>
      <c r="E90" t="n">
        <v>13659</v>
      </c>
      <c r="F90" t="n">
        <v>31914</v>
      </c>
      <c r="G90" t="n">
        <v>73871</v>
      </c>
      <c r="H90" t="n">
        <v>170012</v>
      </c>
      <c r="I90" t="n">
        <v>387821</v>
      </c>
      <c r="J90" t="n">
        <v>1890</v>
      </c>
      <c r="K90" t="n">
        <v>5824</v>
      </c>
      <c r="L90" t="n">
        <v>1890</v>
      </c>
      <c r="M90" t="n">
        <v>1000</v>
      </c>
      <c r="N90" t="n">
        <v>1445</v>
      </c>
      <c r="O90" t="n">
        <v>1890</v>
      </c>
      <c r="P90" t="n">
        <v>2335</v>
      </c>
      <c r="Q90" t="n">
        <v>2780</v>
      </c>
      <c r="R90" t="n">
        <v>3225</v>
      </c>
      <c r="S90" t="n">
        <v>3670</v>
      </c>
      <c r="T90" t="n">
        <v>4115</v>
      </c>
      <c r="U90" t="n">
        <v>4560</v>
      </c>
      <c r="V90" t="n">
        <v>2052</v>
      </c>
      <c r="W90" t="n">
        <v>1356</v>
      </c>
      <c r="X90" t="n">
        <v>1267</v>
      </c>
      <c r="Y90" t="n">
        <v>5450</v>
      </c>
    </row>
    <row r="91">
      <c r="A91" t="n">
        <v>90</v>
      </c>
      <c r="B91" t="n">
        <v>0</v>
      </c>
      <c r="C91" t="n">
        <v>3853</v>
      </c>
      <c r="D91" t="n">
        <v>5941</v>
      </c>
      <c r="E91" t="n">
        <v>14069</v>
      </c>
      <c r="F91" t="n">
        <v>33191</v>
      </c>
      <c r="G91" t="n">
        <v>77565</v>
      </c>
      <c r="H91" t="n">
        <v>180213</v>
      </c>
      <c r="I91" t="n">
        <v>414969</v>
      </c>
      <c r="J91" t="n">
        <v>1900</v>
      </c>
      <c r="K91" t="n">
        <v>5941</v>
      </c>
      <c r="L91" t="n">
        <v>1900</v>
      </c>
      <c r="M91" t="n">
        <v>1000</v>
      </c>
      <c r="N91" t="n">
        <v>1450</v>
      </c>
      <c r="O91" t="n">
        <v>1900</v>
      </c>
      <c r="P91" t="n">
        <v>2350</v>
      </c>
      <c r="Q91" t="n">
        <v>2800</v>
      </c>
      <c r="R91" t="n">
        <v>3250</v>
      </c>
      <c r="S91" t="n">
        <v>3700</v>
      </c>
      <c r="T91" t="n">
        <v>4150</v>
      </c>
      <c r="U91" t="n">
        <v>4600</v>
      </c>
      <c r="V91" t="n">
        <v>2067</v>
      </c>
      <c r="W91" t="n">
        <v>1360</v>
      </c>
      <c r="X91" t="n">
        <v>1270</v>
      </c>
      <c r="Y91" t="n">
        <v>5500</v>
      </c>
    </row>
    <row r="92">
      <c r="A92" t="n">
        <v>91</v>
      </c>
      <c r="B92" t="n">
        <v>0</v>
      </c>
      <c r="C92" t="n">
        <v>3911</v>
      </c>
      <c r="D92" t="n">
        <v>6060</v>
      </c>
      <c r="E92" t="n">
        <v>14492</v>
      </c>
      <c r="F92" t="n">
        <v>34519</v>
      </c>
      <c r="G92" t="n">
        <v>81444</v>
      </c>
      <c r="H92" t="n">
        <v>191026</v>
      </c>
      <c r="I92" t="n">
        <v>444017</v>
      </c>
      <c r="J92" t="n">
        <v>1910</v>
      </c>
      <c r="K92" t="n">
        <v>6060</v>
      </c>
      <c r="L92" t="n">
        <v>1910</v>
      </c>
      <c r="M92" t="n">
        <v>1000</v>
      </c>
      <c r="N92" t="n">
        <v>1455</v>
      </c>
      <c r="O92" t="n">
        <v>1910</v>
      </c>
      <c r="P92" t="n">
        <v>2365</v>
      </c>
      <c r="Q92" t="n">
        <v>2820</v>
      </c>
      <c r="R92" t="n">
        <v>3275</v>
      </c>
      <c r="S92" t="n">
        <v>3730</v>
      </c>
      <c r="T92" t="n">
        <v>4185</v>
      </c>
      <c r="U92" t="n">
        <v>4640</v>
      </c>
      <c r="V92" t="n">
        <v>2082</v>
      </c>
      <c r="W92" t="n">
        <v>1364</v>
      </c>
      <c r="X92" t="n">
        <v>1273</v>
      </c>
      <c r="Y92" t="n">
        <v>5550</v>
      </c>
    </row>
    <row r="93">
      <c r="A93" t="n">
        <v>92</v>
      </c>
      <c r="B93" t="n">
        <v>0</v>
      </c>
      <c r="C93" t="n">
        <v>3970</v>
      </c>
      <c r="D93" t="n">
        <v>6182</v>
      </c>
      <c r="E93" t="n">
        <v>14927</v>
      </c>
      <c r="F93" t="n">
        <v>35900</v>
      </c>
      <c r="G93" t="n">
        <v>85517</v>
      </c>
      <c r="H93" t="n">
        <v>202488</v>
      </c>
      <c r="I93" t="n">
        <v>475099</v>
      </c>
      <c r="J93" t="n">
        <v>1920</v>
      </c>
      <c r="K93" t="n">
        <v>6182</v>
      </c>
      <c r="L93" t="n">
        <v>1920</v>
      </c>
      <c r="M93" t="n">
        <v>1000</v>
      </c>
      <c r="N93" t="n">
        <v>1460</v>
      </c>
      <c r="O93" t="n">
        <v>1920</v>
      </c>
      <c r="P93" t="n">
        <v>2380</v>
      </c>
      <c r="Q93" t="n">
        <v>2840</v>
      </c>
      <c r="R93" t="n">
        <v>3300</v>
      </c>
      <c r="S93" t="n">
        <v>3760</v>
      </c>
      <c r="T93" t="n">
        <v>4220</v>
      </c>
      <c r="U93" t="n">
        <v>4680</v>
      </c>
      <c r="V93" t="n">
        <v>2097</v>
      </c>
      <c r="W93" t="n">
        <v>1368</v>
      </c>
      <c r="X93" t="n">
        <v>1276</v>
      </c>
      <c r="Y93" t="n">
        <v>5600</v>
      </c>
    </row>
    <row r="94">
      <c r="A94" t="n">
        <v>93</v>
      </c>
      <c r="B94" t="n">
        <v>0</v>
      </c>
      <c r="C94" t="n">
        <v>4030</v>
      </c>
      <c r="D94" t="n">
        <v>6306</v>
      </c>
      <c r="E94" t="n">
        <v>15375</v>
      </c>
      <c r="F94" t="n">
        <v>37336</v>
      </c>
      <c r="G94" t="n">
        <v>89793</v>
      </c>
      <c r="H94" t="n">
        <v>214638</v>
      </c>
      <c r="I94" t="n">
        <v>508356</v>
      </c>
      <c r="J94" t="n">
        <v>1930</v>
      </c>
      <c r="K94" t="n">
        <v>6306</v>
      </c>
      <c r="L94" t="n">
        <v>1930</v>
      </c>
      <c r="M94" t="n">
        <v>1000</v>
      </c>
      <c r="N94" t="n">
        <v>1465</v>
      </c>
      <c r="O94" t="n">
        <v>1930</v>
      </c>
      <c r="P94" t="n">
        <v>2395</v>
      </c>
      <c r="Q94" t="n">
        <v>2860</v>
      </c>
      <c r="R94" t="n">
        <v>3325</v>
      </c>
      <c r="S94" t="n">
        <v>3790</v>
      </c>
      <c r="T94" t="n">
        <v>4255</v>
      </c>
      <c r="U94" t="n">
        <v>4720</v>
      </c>
      <c r="V94" t="n">
        <v>2112</v>
      </c>
      <c r="W94" t="n">
        <v>1372</v>
      </c>
      <c r="X94" t="n">
        <v>1279</v>
      </c>
      <c r="Y94" t="n">
        <v>5650</v>
      </c>
    </row>
    <row r="95">
      <c r="A95" t="n">
        <v>94</v>
      </c>
      <c r="B95" t="n">
        <v>0</v>
      </c>
      <c r="C95" t="n">
        <v>4091</v>
      </c>
      <c r="D95" t="n">
        <v>6433</v>
      </c>
      <c r="E95" t="n">
        <v>15837</v>
      </c>
      <c r="F95" t="n">
        <v>38830</v>
      </c>
      <c r="G95" t="n">
        <v>94283</v>
      </c>
      <c r="H95" t="n">
        <v>227517</v>
      </c>
      <c r="I95" t="n">
        <v>543941</v>
      </c>
      <c r="J95" t="n">
        <v>1940</v>
      </c>
      <c r="K95" t="n">
        <v>6433</v>
      </c>
      <c r="L95" t="n">
        <v>1940</v>
      </c>
      <c r="M95" t="n">
        <v>1000</v>
      </c>
      <c r="N95" t="n">
        <v>1470</v>
      </c>
      <c r="O95" t="n">
        <v>1940</v>
      </c>
      <c r="P95" t="n">
        <v>2410</v>
      </c>
      <c r="Q95" t="n">
        <v>2880</v>
      </c>
      <c r="R95" t="n">
        <v>3350</v>
      </c>
      <c r="S95" t="n">
        <v>3820</v>
      </c>
      <c r="T95" t="n">
        <v>4290</v>
      </c>
      <c r="U95" t="n">
        <v>4760</v>
      </c>
      <c r="V95" t="n">
        <v>2127</v>
      </c>
      <c r="W95" t="n">
        <v>1376</v>
      </c>
      <c r="X95" t="n">
        <v>1282</v>
      </c>
      <c r="Y95" t="n">
        <v>5700</v>
      </c>
    </row>
    <row r="96">
      <c r="A96" t="n">
        <v>95</v>
      </c>
      <c r="B96" t="n">
        <v>0</v>
      </c>
      <c r="C96" t="n">
        <v>4153</v>
      </c>
      <c r="D96" t="n">
        <v>6562</v>
      </c>
      <c r="E96" t="n">
        <v>16313</v>
      </c>
      <c r="F96" t="n">
        <v>40384</v>
      </c>
      <c r="G96" t="n">
        <v>98998</v>
      </c>
      <c r="H96" t="n">
        <v>241169</v>
      </c>
      <c r="I96" t="n">
        <v>582017</v>
      </c>
      <c r="J96" t="n">
        <v>1950</v>
      </c>
      <c r="K96" t="n">
        <v>6562</v>
      </c>
      <c r="L96" t="n">
        <v>1950</v>
      </c>
      <c r="M96" t="n">
        <v>1000</v>
      </c>
      <c r="N96" t="n">
        <v>1475</v>
      </c>
      <c r="O96" t="n">
        <v>1950</v>
      </c>
      <c r="P96" t="n">
        <v>2425</v>
      </c>
      <c r="Q96" t="n">
        <v>2900</v>
      </c>
      <c r="R96" t="n">
        <v>3375</v>
      </c>
      <c r="S96" t="n">
        <v>3850</v>
      </c>
      <c r="T96" t="n">
        <v>4325</v>
      </c>
      <c r="U96" t="n">
        <v>4800</v>
      </c>
      <c r="V96" t="n">
        <v>2142</v>
      </c>
      <c r="W96" t="n">
        <v>1380</v>
      </c>
      <c r="X96" t="n">
        <v>1285</v>
      </c>
      <c r="Y96" t="n">
        <v>5750</v>
      </c>
    </row>
    <row r="97">
      <c r="A97" t="n">
        <v>96</v>
      </c>
      <c r="B97" t="n">
        <v>0</v>
      </c>
      <c r="C97" t="n">
        <v>4216</v>
      </c>
      <c r="D97" t="n">
        <v>6694</v>
      </c>
      <c r="E97" t="n">
        <v>16803</v>
      </c>
      <c r="F97" t="n">
        <v>42000</v>
      </c>
      <c r="G97" t="n">
        <v>103948</v>
      </c>
      <c r="H97" t="n">
        <v>255640</v>
      </c>
      <c r="I97" t="n">
        <v>622759</v>
      </c>
      <c r="J97" t="n">
        <v>1960</v>
      </c>
      <c r="K97" t="n">
        <v>6694</v>
      </c>
      <c r="L97" t="n">
        <v>1960</v>
      </c>
      <c r="M97" t="n">
        <v>1000</v>
      </c>
      <c r="N97" t="n">
        <v>1480</v>
      </c>
      <c r="O97" t="n">
        <v>1960</v>
      </c>
      <c r="P97" t="n">
        <v>2440</v>
      </c>
      <c r="Q97" t="n">
        <v>2920</v>
      </c>
      <c r="R97" t="n">
        <v>3400</v>
      </c>
      <c r="S97" t="n">
        <v>3880</v>
      </c>
      <c r="T97" t="n">
        <v>4360</v>
      </c>
      <c r="U97" t="n">
        <v>4840</v>
      </c>
      <c r="V97" t="n">
        <v>2157</v>
      </c>
      <c r="W97" t="n">
        <v>1384</v>
      </c>
      <c r="X97" t="n">
        <v>1288</v>
      </c>
      <c r="Y97" t="n">
        <v>5800</v>
      </c>
    </row>
    <row r="98">
      <c r="A98" t="n">
        <v>97</v>
      </c>
      <c r="B98" t="n">
        <v>0</v>
      </c>
      <c r="C98" t="n">
        <v>4280</v>
      </c>
      <c r="D98" t="n">
        <v>6828</v>
      </c>
      <c r="E98" t="n">
        <v>17308</v>
      </c>
      <c r="F98" t="n">
        <v>43680</v>
      </c>
      <c r="G98" t="n">
        <v>109146</v>
      </c>
      <c r="H98" t="n">
        <v>270979</v>
      </c>
      <c r="I98" t="n">
        <v>666353</v>
      </c>
      <c r="J98" t="n">
        <v>1970</v>
      </c>
      <c r="K98" t="n">
        <v>6828</v>
      </c>
      <c r="L98" t="n">
        <v>1970</v>
      </c>
      <c r="M98" t="n">
        <v>1000</v>
      </c>
      <c r="N98" t="n">
        <v>1485</v>
      </c>
      <c r="O98" t="n">
        <v>1970</v>
      </c>
      <c r="P98" t="n">
        <v>2455</v>
      </c>
      <c r="Q98" t="n">
        <v>2940</v>
      </c>
      <c r="R98" t="n">
        <v>3425</v>
      </c>
      <c r="S98" t="n">
        <v>3910</v>
      </c>
      <c r="T98" t="n">
        <v>4395</v>
      </c>
      <c r="U98" t="n">
        <v>4880</v>
      </c>
      <c r="V98" t="n">
        <v>2172</v>
      </c>
      <c r="W98" t="n">
        <v>1388</v>
      </c>
      <c r="X98" t="n">
        <v>1291</v>
      </c>
      <c r="Y98" t="n">
        <v>5850</v>
      </c>
    </row>
    <row r="99">
      <c r="A99" t="n">
        <v>98</v>
      </c>
      <c r="B99" t="n">
        <v>0</v>
      </c>
      <c r="C99" t="n">
        <v>4345</v>
      </c>
      <c r="D99" t="n">
        <v>6965</v>
      </c>
      <c r="E99" t="n">
        <v>17828</v>
      </c>
      <c r="F99" t="n">
        <v>45428</v>
      </c>
      <c r="G99" t="n">
        <v>114604</v>
      </c>
      <c r="H99" t="n">
        <v>287238</v>
      </c>
      <c r="I99" t="n">
        <v>712998</v>
      </c>
      <c r="J99" t="n">
        <v>1980</v>
      </c>
      <c r="K99" t="n">
        <v>6965</v>
      </c>
      <c r="L99" t="n">
        <v>1980</v>
      </c>
      <c r="M99" t="n">
        <v>1000</v>
      </c>
      <c r="N99" t="n">
        <v>1490</v>
      </c>
      <c r="O99" t="n">
        <v>1980</v>
      </c>
      <c r="P99" t="n">
        <v>2470</v>
      </c>
      <c r="Q99" t="n">
        <v>2960</v>
      </c>
      <c r="R99" t="n">
        <v>3450</v>
      </c>
      <c r="S99" t="n">
        <v>3940</v>
      </c>
      <c r="T99" t="n">
        <v>4430</v>
      </c>
      <c r="U99" t="n">
        <v>4920</v>
      </c>
      <c r="V99" t="n">
        <v>2187</v>
      </c>
      <c r="W99" t="n">
        <v>1392</v>
      </c>
      <c r="X99" t="n">
        <v>1294</v>
      </c>
      <c r="Y99" t="n">
        <v>5900</v>
      </c>
    </row>
    <row r="100">
      <c r="A100" t="n">
        <v>99</v>
      </c>
      <c r="B100" t="n">
        <v>0</v>
      </c>
      <c r="C100" t="n">
        <v>4411</v>
      </c>
      <c r="D100" t="n">
        <v>7105</v>
      </c>
      <c r="E100" t="n">
        <v>18363</v>
      </c>
      <c r="F100" t="n">
        <v>47246</v>
      </c>
      <c r="G100" t="n">
        <v>120335</v>
      </c>
      <c r="H100" t="n">
        <v>304473</v>
      </c>
      <c r="I100" t="n">
        <v>762908</v>
      </c>
      <c r="J100" t="n">
        <v>1990</v>
      </c>
      <c r="K100" t="n">
        <v>7105</v>
      </c>
      <c r="L100" t="n">
        <v>1990</v>
      </c>
      <c r="M100" t="n">
        <v>1000</v>
      </c>
      <c r="N100" t="n">
        <v>1495</v>
      </c>
      <c r="O100" t="n">
        <v>1990</v>
      </c>
      <c r="P100" t="n">
        <v>2485</v>
      </c>
      <c r="Q100" t="n">
        <v>2980</v>
      </c>
      <c r="R100" t="n">
        <v>3475</v>
      </c>
      <c r="S100" t="n">
        <v>3970</v>
      </c>
      <c r="T100" t="n">
        <v>4465</v>
      </c>
      <c r="U100" t="n">
        <v>4960</v>
      </c>
      <c r="V100" t="n">
        <v>2202</v>
      </c>
      <c r="W100" t="n">
        <v>1396</v>
      </c>
      <c r="X100" t="n">
        <v>1297</v>
      </c>
      <c r="Y100" t="n">
        <v>5950</v>
      </c>
    </row>
    <row r="101">
      <c r="A101" t="n">
        <v>100</v>
      </c>
      <c r="B101" t="n">
        <v>0</v>
      </c>
      <c r="C101" t="n">
        <v>4478</v>
      </c>
      <c r="D101" t="n">
        <v>7248</v>
      </c>
      <c r="E101" t="n">
        <v>18914</v>
      </c>
      <c r="F101" t="n">
        <v>49136</v>
      </c>
      <c r="G101" t="n">
        <v>126352</v>
      </c>
      <c r="H101" t="n">
        <v>322742</v>
      </c>
      <c r="I101" t="n">
        <v>816312</v>
      </c>
      <c r="J101" t="n">
        <v>2000</v>
      </c>
      <c r="K101" t="n">
        <v>7248</v>
      </c>
      <c r="L101" t="n">
        <v>2000</v>
      </c>
      <c r="M101" t="n">
        <v>1000</v>
      </c>
      <c r="N101" t="n">
        <v>1500</v>
      </c>
      <c r="O101" t="n">
        <v>2000</v>
      </c>
      <c r="P101" t="n">
        <v>2500</v>
      </c>
      <c r="Q101" t="n">
        <v>3000</v>
      </c>
      <c r="R101" t="n">
        <v>3500</v>
      </c>
      <c r="S101" t="n">
        <v>4000</v>
      </c>
      <c r="T101" t="n">
        <v>4500</v>
      </c>
      <c r="U101" t="n">
        <v>5000</v>
      </c>
      <c r="V101" t="n">
        <v>2218</v>
      </c>
      <c r="W101" t="n">
        <v>1400</v>
      </c>
      <c r="X101" t="n">
        <v>1300</v>
      </c>
      <c r="Y101" t="n">
        <v>6000</v>
      </c>
    </row>
    <row r="102">
      <c r="A102" t="n">
        <v>101</v>
      </c>
      <c r="B102" t="n">
        <v>0</v>
      </c>
      <c r="C102" t="n">
        <v>4546</v>
      </c>
      <c r="D102" t="n">
        <v>7393</v>
      </c>
      <c r="E102" t="n">
        <v>19482</v>
      </c>
      <c r="F102" t="n">
        <v>51102</v>
      </c>
      <c r="G102" t="n">
        <v>132670</v>
      </c>
      <c r="H102" t="n">
        <v>342107</v>
      </c>
      <c r="I102" t="n">
        <v>873454</v>
      </c>
      <c r="J102" t="n">
        <v>2000</v>
      </c>
      <c r="K102" t="n">
        <v>7321</v>
      </c>
      <c r="L102" t="n">
        <v>2010</v>
      </c>
      <c r="M102" t="n">
        <v>1001</v>
      </c>
      <c r="N102" t="n">
        <v>1505</v>
      </c>
      <c r="O102" t="n">
        <v>2010</v>
      </c>
      <c r="P102" t="n">
        <v>2515</v>
      </c>
      <c r="Q102" t="n">
        <v>3020</v>
      </c>
      <c r="R102" t="n">
        <v>3525</v>
      </c>
      <c r="S102" t="n">
        <v>4030</v>
      </c>
      <c r="T102" t="n">
        <v>4535</v>
      </c>
      <c r="U102" t="n">
        <v>5040</v>
      </c>
      <c r="V102" t="n">
        <v>2234</v>
      </c>
      <c r="W102" t="n">
        <v>1404</v>
      </c>
      <c r="X102" t="n">
        <v>1303</v>
      </c>
      <c r="Y102" t="n">
        <v>6050</v>
      </c>
    </row>
    <row r="103">
      <c r="A103" t="n">
        <v>102</v>
      </c>
      <c r="B103" t="n">
        <v>0</v>
      </c>
      <c r="C103" t="n">
        <v>4615</v>
      </c>
      <c r="D103" t="n">
        <v>7541</v>
      </c>
      <c r="E103" t="n">
        <v>20067</v>
      </c>
      <c r="F103" t="n">
        <v>53147</v>
      </c>
      <c r="G103" t="n">
        <v>139304</v>
      </c>
      <c r="H103" t="n">
        <v>362634</v>
      </c>
      <c r="I103" t="n">
        <v>934596</v>
      </c>
      <c r="J103" t="n">
        <v>2000</v>
      </c>
      <c r="K103" t="n">
        <v>7395</v>
      </c>
      <c r="L103" t="n">
        <v>2020</v>
      </c>
      <c r="M103" t="n">
        <v>1002</v>
      </c>
      <c r="N103" t="n">
        <v>1510</v>
      </c>
      <c r="O103" t="n">
        <v>2020</v>
      </c>
      <c r="P103" t="n">
        <v>2530</v>
      </c>
      <c r="Q103" t="n">
        <v>3040</v>
      </c>
      <c r="R103" t="n">
        <v>3550</v>
      </c>
      <c r="S103" t="n">
        <v>4060</v>
      </c>
      <c r="T103" t="n">
        <v>4570</v>
      </c>
      <c r="U103" t="n">
        <v>5080</v>
      </c>
      <c r="V103" t="n">
        <v>2250</v>
      </c>
      <c r="W103" t="n">
        <v>1408</v>
      </c>
      <c r="X103" t="n">
        <v>1306</v>
      </c>
      <c r="Y103" t="n">
        <v>6100</v>
      </c>
    </row>
    <row r="104">
      <c r="A104" t="n">
        <v>103</v>
      </c>
      <c r="B104" t="n">
        <v>0</v>
      </c>
      <c r="C104" t="n">
        <v>4685</v>
      </c>
      <c r="D104" t="n">
        <v>7692</v>
      </c>
      <c r="E104" t="n">
        <v>20670</v>
      </c>
      <c r="F104" t="n">
        <v>55273</v>
      </c>
      <c r="G104" t="n">
        <v>146270</v>
      </c>
      <c r="H104" t="n">
        <v>384393</v>
      </c>
      <c r="I104" t="n">
        <v>1000018</v>
      </c>
      <c r="J104" t="n">
        <v>2000</v>
      </c>
      <c r="K104" t="n">
        <v>7469</v>
      </c>
      <c r="L104" t="n">
        <v>2030</v>
      </c>
      <c r="M104" t="n">
        <v>1003</v>
      </c>
      <c r="N104" t="n">
        <v>1515</v>
      </c>
      <c r="O104" t="n">
        <v>2030</v>
      </c>
      <c r="P104" t="n">
        <v>2545</v>
      </c>
      <c r="Q104" t="n">
        <v>3060</v>
      </c>
      <c r="R104" t="n">
        <v>3575</v>
      </c>
      <c r="S104" t="n">
        <v>4090</v>
      </c>
      <c r="T104" t="n">
        <v>4605</v>
      </c>
      <c r="U104" t="n">
        <v>5120</v>
      </c>
      <c r="V104" t="n">
        <v>2266</v>
      </c>
      <c r="W104" t="n">
        <v>1412</v>
      </c>
      <c r="X104" t="n">
        <v>1309</v>
      </c>
      <c r="Y104" t="n">
        <v>6150</v>
      </c>
    </row>
    <row r="105">
      <c r="A105" t="n">
        <v>104</v>
      </c>
      <c r="B105" t="n">
        <v>0</v>
      </c>
      <c r="C105" t="n">
        <v>4756</v>
      </c>
      <c r="D105" t="n">
        <v>7846</v>
      </c>
      <c r="E105" t="n">
        <v>21291</v>
      </c>
      <c r="F105" t="n">
        <v>57484</v>
      </c>
      <c r="G105" t="n">
        <v>153584</v>
      </c>
      <c r="H105" t="n">
        <v>407457</v>
      </c>
      <c r="I105" t="n">
        <v>1070020</v>
      </c>
      <c r="J105" t="n">
        <v>2000</v>
      </c>
      <c r="K105" t="n">
        <v>7544</v>
      </c>
      <c r="L105" t="n">
        <v>2040</v>
      </c>
      <c r="M105" t="n">
        <v>1004</v>
      </c>
      <c r="N105" t="n">
        <v>1520</v>
      </c>
      <c r="O105" t="n">
        <v>2040</v>
      </c>
      <c r="P105" t="n">
        <v>2560</v>
      </c>
      <c r="Q105" t="n">
        <v>3080</v>
      </c>
      <c r="R105" t="n">
        <v>3600</v>
      </c>
      <c r="S105" t="n">
        <v>4120</v>
      </c>
      <c r="T105" t="n">
        <v>4640</v>
      </c>
      <c r="U105" t="n">
        <v>5160</v>
      </c>
      <c r="V105" t="n">
        <v>2282</v>
      </c>
      <c r="W105" t="n">
        <v>1416</v>
      </c>
      <c r="X105" t="n">
        <v>1312</v>
      </c>
      <c r="Y105" t="n">
        <v>6200</v>
      </c>
    </row>
    <row r="106">
      <c r="A106" t="n">
        <v>105</v>
      </c>
      <c r="B106" t="n">
        <v>0</v>
      </c>
      <c r="C106" t="n">
        <v>4828</v>
      </c>
      <c r="D106" t="n">
        <v>8003</v>
      </c>
      <c r="E106" t="n">
        <v>21930</v>
      </c>
      <c r="F106" t="n">
        <v>59784</v>
      </c>
      <c r="G106" t="n">
        <v>161264</v>
      </c>
      <c r="H106" t="n">
        <v>431905</v>
      </c>
      <c r="I106" t="n">
        <v>1144922</v>
      </c>
      <c r="J106" t="n">
        <v>2000</v>
      </c>
      <c r="K106" t="n">
        <v>7620</v>
      </c>
      <c r="L106" t="n">
        <v>2050</v>
      </c>
      <c r="M106" t="n">
        <v>1005</v>
      </c>
      <c r="N106" t="n">
        <v>1525</v>
      </c>
      <c r="O106" t="n">
        <v>2050</v>
      </c>
      <c r="P106" t="n">
        <v>2575</v>
      </c>
      <c r="Q106" t="n">
        <v>3100</v>
      </c>
      <c r="R106" t="n">
        <v>3625</v>
      </c>
      <c r="S106" t="n">
        <v>4150</v>
      </c>
      <c r="T106" t="n">
        <v>4675</v>
      </c>
      <c r="U106" t="n">
        <v>5200</v>
      </c>
      <c r="V106" t="n">
        <v>2298</v>
      </c>
      <c r="W106" t="n">
        <v>1420</v>
      </c>
      <c r="X106" t="n">
        <v>1315</v>
      </c>
      <c r="Y106" t="n">
        <v>6250</v>
      </c>
    </row>
    <row r="107">
      <c r="A107" t="n">
        <v>106</v>
      </c>
      <c r="B107" t="n">
        <v>0</v>
      </c>
      <c r="C107" t="n">
        <v>4901</v>
      </c>
      <c r="D107" t="n">
        <v>8164</v>
      </c>
      <c r="E107" t="n">
        <v>22588</v>
      </c>
      <c r="F107" t="n">
        <v>62176</v>
      </c>
      <c r="G107" t="n">
        <v>169328</v>
      </c>
      <c r="H107" t="n">
        <v>457820</v>
      </c>
      <c r="I107" t="n">
        <v>1225067</v>
      </c>
      <c r="J107" t="n">
        <v>2000</v>
      </c>
      <c r="K107" t="n">
        <v>7697</v>
      </c>
      <c r="L107" t="n">
        <v>2060</v>
      </c>
      <c r="M107" t="n">
        <v>1006</v>
      </c>
      <c r="N107" t="n">
        <v>1530</v>
      </c>
      <c r="O107" t="n">
        <v>2060</v>
      </c>
      <c r="P107" t="n">
        <v>2590</v>
      </c>
      <c r="Q107" t="n">
        <v>3120</v>
      </c>
      <c r="R107" t="n">
        <v>3650</v>
      </c>
      <c r="S107" t="n">
        <v>4180</v>
      </c>
      <c r="T107" t="n">
        <v>4710</v>
      </c>
      <c r="U107" t="n">
        <v>5240</v>
      </c>
      <c r="V107" t="n">
        <v>2314</v>
      </c>
      <c r="W107" t="n">
        <v>1424</v>
      </c>
      <c r="X107" t="n">
        <v>1318</v>
      </c>
      <c r="Y107" t="n">
        <v>6300</v>
      </c>
    </row>
    <row r="108">
      <c r="A108" t="n">
        <v>107</v>
      </c>
      <c r="B108" t="n">
        <v>0</v>
      </c>
      <c r="C108" t="n">
        <v>4975</v>
      </c>
      <c r="D108" t="n">
        <v>8328</v>
      </c>
      <c r="E108" t="n">
        <v>23266</v>
      </c>
      <c r="F108" t="n">
        <v>64664</v>
      </c>
      <c r="G108" t="n">
        <v>177795</v>
      </c>
      <c r="H108" t="n">
        <v>485290</v>
      </c>
      <c r="I108" t="n">
        <v>1310822</v>
      </c>
      <c r="J108" t="n">
        <v>2000</v>
      </c>
      <c r="K108" t="n">
        <v>7774</v>
      </c>
      <c r="L108" t="n">
        <v>2070</v>
      </c>
      <c r="M108" t="n">
        <v>1007</v>
      </c>
      <c r="N108" t="n">
        <v>1535</v>
      </c>
      <c r="O108" t="n">
        <v>2070</v>
      </c>
      <c r="P108" t="n">
        <v>2605</v>
      </c>
      <c r="Q108" t="n">
        <v>3140</v>
      </c>
      <c r="R108" t="n">
        <v>3675</v>
      </c>
      <c r="S108" t="n">
        <v>4210</v>
      </c>
      <c r="T108" t="n">
        <v>4745</v>
      </c>
      <c r="U108" t="n">
        <v>5280</v>
      </c>
      <c r="V108" t="n">
        <v>2330</v>
      </c>
      <c r="W108" t="n">
        <v>1428</v>
      </c>
      <c r="X108" t="n">
        <v>1321</v>
      </c>
      <c r="Y108" t="n">
        <v>6350</v>
      </c>
    </row>
    <row r="109">
      <c r="A109" t="n">
        <v>108</v>
      </c>
      <c r="B109" t="n">
        <v>0</v>
      </c>
      <c r="C109" t="n">
        <v>5050</v>
      </c>
      <c r="D109" t="n">
        <v>8495</v>
      </c>
      <c r="E109" t="n">
        <v>23964</v>
      </c>
      <c r="F109" t="n">
        <v>67251</v>
      </c>
      <c r="G109" t="n">
        <v>186685</v>
      </c>
      <c r="H109" t="n">
        <v>514408</v>
      </c>
      <c r="I109" t="n">
        <v>1402580</v>
      </c>
      <c r="J109" t="n">
        <v>2000</v>
      </c>
      <c r="K109" t="n">
        <v>7852</v>
      </c>
      <c r="L109" t="n">
        <v>2080</v>
      </c>
      <c r="M109" t="n">
        <v>1008</v>
      </c>
      <c r="N109" t="n">
        <v>1540</v>
      </c>
      <c r="O109" t="n">
        <v>2080</v>
      </c>
      <c r="P109" t="n">
        <v>2620</v>
      </c>
      <c r="Q109" t="n">
        <v>3160</v>
      </c>
      <c r="R109" t="n">
        <v>3700</v>
      </c>
      <c r="S109" t="n">
        <v>4240</v>
      </c>
      <c r="T109" t="n">
        <v>4780</v>
      </c>
      <c r="U109" t="n">
        <v>5320</v>
      </c>
      <c r="V109" t="n">
        <v>2346</v>
      </c>
      <c r="W109" t="n">
        <v>1432</v>
      </c>
      <c r="X109" t="n">
        <v>1324</v>
      </c>
      <c r="Y109" t="n">
        <v>6400</v>
      </c>
    </row>
    <row r="110">
      <c r="A110" t="n">
        <v>109</v>
      </c>
      <c r="B110" t="n">
        <v>0</v>
      </c>
      <c r="C110" t="n">
        <v>5126</v>
      </c>
      <c r="D110" t="n">
        <v>8665</v>
      </c>
      <c r="E110" t="n">
        <v>24683</v>
      </c>
      <c r="F110" t="n">
        <v>69942</v>
      </c>
      <c r="G110" t="n">
        <v>196020</v>
      </c>
      <c r="H110" t="n">
        <v>545273</v>
      </c>
      <c r="I110" t="n">
        <v>1500761</v>
      </c>
      <c r="J110" t="n">
        <v>2000</v>
      </c>
      <c r="K110" t="n">
        <v>7931</v>
      </c>
      <c r="L110" t="n">
        <v>2090</v>
      </c>
      <c r="M110" t="n">
        <v>1009</v>
      </c>
      <c r="N110" t="n">
        <v>1545</v>
      </c>
      <c r="O110" t="n">
        <v>2090</v>
      </c>
      <c r="P110" t="n">
        <v>2635</v>
      </c>
      <c r="Q110" t="n">
        <v>3180</v>
      </c>
      <c r="R110" t="n">
        <v>3725</v>
      </c>
      <c r="S110" t="n">
        <v>4270</v>
      </c>
      <c r="T110" t="n">
        <v>4815</v>
      </c>
      <c r="U110" t="n">
        <v>5360</v>
      </c>
      <c r="V110" t="n">
        <v>2362</v>
      </c>
      <c r="W110" t="n">
        <v>1436</v>
      </c>
      <c r="X110" t="n">
        <v>1327</v>
      </c>
      <c r="Y110" t="n">
        <v>6450</v>
      </c>
    </row>
    <row r="111">
      <c r="A111" t="n">
        <v>110</v>
      </c>
      <c r="B111" t="n">
        <v>0</v>
      </c>
      <c r="C111" t="n">
        <v>5203</v>
      </c>
      <c r="D111" t="n">
        <v>8839</v>
      </c>
      <c r="E111" t="n">
        <v>25424</v>
      </c>
      <c r="F111" t="n">
        <v>72740</v>
      </c>
      <c r="G111" t="n">
        <v>205821</v>
      </c>
      <c r="H111" t="n">
        <v>577990</v>
      </c>
      <c r="I111" t="n">
        <v>1605815</v>
      </c>
      <c r="J111" t="n">
        <v>2000</v>
      </c>
      <c r="K111" t="n">
        <v>8011</v>
      </c>
      <c r="L111" t="n">
        <v>2100</v>
      </c>
      <c r="M111" t="n">
        <v>1010</v>
      </c>
      <c r="N111" t="n">
        <v>1550</v>
      </c>
      <c r="O111" t="n">
        <v>2100</v>
      </c>
      <c r="P111" t="n">
        <v>2650</v>
      </c>
      <c r="Q111" t="n">
        <v>3200</v>
      </c>
      <c r="R111" t="n">
        <v>3750</v>
      </c>
      <c r="S111" t="n">
        <v>4300</v>
      </c>
      <c r="T111" t="n">
        <v>4850</v>
      </c>
      <c r="U111" t="n">
        <v>5400</v>
      </c>
      <c r="V111" t="n">
        <v>2378</v>
      </c>
      <c r="W111" t="n">
        <v>1440</v>
      </c>
      <c r="X111" t="n">
        <v>1330</v>
      </c>
      <c r="Y111" t="n">
        <v>6500</v>
      </c>
    </row>
    <row r="112">
      <c r="A112" t="n">
        <v>111</v>
      </c>
      <c r="B112" t="n">
        <v>0</v>
      </c>
      <c r="C112" t="n">
        <v>5282</v>
      </c>
      <c r="D112" t="n">
        <v>9016</v>
      </c>
      <c r="E112" t="n">
        <v>26187</v>
      </c>
      <c r="F112" t="n">
        <v>75650</v>
      </c>
      <c r="G112" t="n">
        <v>216113</v>
      </c>
      <c r="H112" t="n">
        <v>612670</v>
      </c>
      <c r="I112" t="n">
        <v>1718223</v>
      </c>
      <c r="J112" t="n">
        <v>2000</v>
      </c>
      <c r="K112" t="n">
        <v>8092</v>
      </c>
      <c r="L112" t="n">
        <v>2110</v>
      </c>
      <c r="M112" t="n">
        <v>1011</v>
      </c>
      <c r="N112" t="n">
        <v>1555</v>
      </c>
      <c r="O112" t="n">
        <v>2110</v>
      </c>
      <c r="P112" t="n">
        <v>2665</v>
      </c>
      <c r="Q112" t="n">
        <v>3220</v>
      </c>
      <c r="R112" t="n">
        <v>3775</v>
      </c>
      <c r="S112" t="n">
        <v>4330</v>
      </c>
      <c r="T112" t="n">
        <v>4885</v>
      </c>
      <c r="U112" t="n">
        <v>5440</v>
      </c>
      <c r="V112" t="n">
        <v>2394</v>
      </c>
      <c r="W112" t="n">
        <v>1444</v>
      </c>
      <c r="X112" t="n">
        <v>1333</v>
      </c>
      <c r="Y112" t="n">
        <v>6550</v>
      </c>
    </row>
    <row r="113">
      <c r="A113" t="n">
        <v>112</v>
      </c>
      <c r="B113" t="n">
        <v>0</v>
      </c>
      <c r="C113" t="n">
        <v>5362</v>
      </c>
      <c r="D113" t="n">
        <v>9197</v>
      </c>
      <c r="E113" t="n">
        <v>26973</v>
      </c>
      <c r="F113" t="n">
        <v>78676</v>
      </c>
      <c r="G113" t="n">
        <v>226919</v>
      </c>
      <c r="H113" t="n">
        <v>649431</v>
      </c>
      <c r="I113" t="n">
        <v>1838499</v>
      </c>
      <c r="J113" t="n">
        <v>2000</v>
      </c>
      <c r="K113" t="n">
        <v>8173</v>
      </c>
      <c r="L113" t="n">
        <v>2120</v>
      </c>
      <c r="M113" t="n">
        <v>1012</v>
      </c>
      <c r="N113" t="n">
        <v>1560</v>
      </c>
      <c r="O113" t="n">
        <v>2120</v>
      </c>
      <c r="P113" t="n">
        <v>2680</v>
      </c>
      <c r="Q113" t="n">
        <v>3240</v>
      </c>
      <c r="R113" t="n">
        <v>3800</v>
      </c>
      <c r="S113" t="n">
        <v>4360</v>
      </c>
      <c r="T113" t="n">
        <v>4920</v>
      </c>
      <c r="U113" t="n">
        <v>5480</v>
      </c>
      <c r="V113" t="n">
        <v>2410</v>
      </c>
      <c r="W113" t="n">
        <v>1448</v>
      </c>
      <c r="X113" t="n">
        <v>1336</v>
      </c>
      <c r="Y113" t="n">
        <v>6600</v>
      </c>
    </row>
    <row r="114">
      <c r="A114" t="n">
        <v>113</v>
      </c>
      <c r="B114" t="n">
        <v>0</v>
      </c>
      <c r="C114" t="n">
        <v>5443</v>
      </c>
      <c r="D114" t="n">
        <v>9381</v>
      </c>
      <c r="E114" t="n">
        <v>27783</v>
      </c>
      <c r="F114" t="n">
        <v>81824</v>
      </c>
      <c r="G114" t="n">
        <v>238265</v>
      </c>
      <c r="H114" t="n">
        <v>688397</v>
      </c>
      <c r="I114" t="n">
        <v>1967194</v>
      </c>
      <c r="J114" t="n">
        <v>2000</v>
      </c>
      <c r="K114" t="n">
        <v>8255</v>
      </c>
      <c r="L114" t="n">
        <v>2130</v>
      </c>
      <c r="M114" t="n">
        <v>1013</v>
      </c>
      <c r="N114" t="n">
        <v>1565</v>
      </c>
      <c r="O114" t="n">
        <v>2130</v>
      </c>
      <c r="P114" t="n">
        <v>2695</v>
      </c>
      <c r="Q114" t="n">
        <v>3260</v>
      </c>
      <c r="R114" t="n">
        <v>3825</v>
      </c>
      <c r="S114" t="n">
        <v>4390</v>
      </c>
      <c r="T114" t="n">
        <v>4955</v>
      </c>
      <c r="U114" t="n">
        <v>5520</v>
      </c>
      <c r="V114" t="n">
        <v>2427</v>
      </c>
      <c r="W114" t="n">
        <v>1452</v>
      </c>
      <c r="X114" t="n">
        <v>1339</v>
      </c>
      <c r="Y114" t="n">
        <v>6650</v>
      </c>
    </row>
    <row r="115">
      <c r="A115" t="n">
        <v>114</v>
      </c>
      <c r="B115" t="n">
        <v>0</v>
      </c>
      <c r="C115" t="n">
        <v>5525</v>
      </c>
      <c r="D115" t="n">
        <v>9569</v>
      </c>
      <c r="E115" t="n">
        <v>28617</v>
      </c>
      <c r="F115" t="n">
        <v>85097</v>
      </c>
      <c r="G115" t="n">
        <v>250179</v>
      </c>
      <c r="H115" t="n">
        <v>729701</v>
      </c>
      <c r="I115" t="n">
        <v>2104898</v>
      </c>
      <c r="J115" t="n">
        <v>2000</v>
      </c>
      <c r="K115" t="n">
        <v>8338</v>
      </c>
      <c r="L115" t="n">
        <v>2140</v>
      </c>
      <c r="M115" t="n">
        <v>1014</v>
      </c>
      <c r="N115" t="n">
        <v>1570</v>
      </c>
      <c r="O115" t="n">
        <v>2140</v>
      </c>
      <c r="P115" t="n">
        <v>2710</v>
      </c>
      <c r="Q115" t="n">
        <v>3280</v>
      </c>
      <c r="R115" t="n">
        <v>3850</v>
      </c>
      <c r="S115" t="n">
        <v>4420</v>
      </c>
      <c r="T115" t="n">
        <v>4990</v>
      </c>
      <c r="U115" t="n">
        <v>5560</v>
      </c>
      <c r="V115" t="n">
        <v>2444</v>
      </c>
      <c r="W115" t="n">
        <v>1456</v>
      </c>
      <c r="X115" t="n">
        <v>1342</v>
      </c>
      <c r="Y115" t="n">
        <v>6700</v>
      </c>
    </row>
    <row r="116">
      <c r="A116" t="n">
        <v>115</v>
      </c>
      <c r="B116" t="n">
        <v>0</v>
      </c>
      <c r="C116" t="n">
        <v>5608</v>
      </c>
      <c r="D116" t="n">
        <v>9761</v>
      </c>
      <c r="E116" t="n">
        <v>29476</v>
      </c>
      <c r="F116" t="n">
        <v>88501</v>
      </c>
      <c r="G116" t="n">
        <v>262688</v>
      </c>
      <c r="H116" t="n">
        <v>773484</v>
      </c>
      <c r="I116" t="n">
        <v>2252241</v>
      </c>
      <c r="J116" t="n">
        <v>2000</v>
      </c>
      <c r="K116" t="n">
        <v>8422</v>
      </c>
      <c r="L116" t="n">
        <v>2150</v>
      </c>
      <c r="M116" t="n">
        <v>1015</v>
      </c>
      <c r="N116" t="n">
        <v>1575</v>
      </c>
      <c r="O116" t="n">
        <v>2150</v>
      </c>
      <c r="P116" t="n">
        <v>2725</v>
      </c>
      <c r="Q116" t="n">
        <v>3300</v>
      </c>
      <c r="R116" t="n">
        <v>3875</v>
      </c>
      <c r="S116" t="n">
        <v>4450</v>
      </c>
      <c r="T116" t="n">
        <v>5025</v>
      </c>
      <c r="U116" t="n">
        <v>5600</v>
      </c>
      <c r="V116" t="n">
        <v>2461</v>
      </c>
      <c r="W116" t="n">
        <v>1460</v>
      </c>
      <c r="X116" t="n">
        <v>1345</v>
      </c>
      <c r="Y116" t="n">
        <v>6750</v>
      </c>
    </row>
    <row r="117">
      <c r="A117" t="n">
        <v>116</v>
      </c>
      <c r="B117" t="n">
        <v>0</v>
      </c>
      <c r="C117" t="n">
        <v>5693</v>
      </c>
      <c r="D117" t="n">
        <v>9957</v>
      </c>
      <c r="E117" t="n">
        <v>30361</v>
      </c>
      <c r="F117" t="n">
        <v>92042</v>
      </c>
      <c r="G117" t="n">
        <v>275823</v>
      </c>
      <c r="H117" t="n">
        <v>819894</v>
      </c>
      <c r="I117" t="n">
        <v>2409898</v>
      </c>
      <c r="J117" t="n">
        <v>2000</v>
      </c>
      <c r="K117" t="n">
        <v>8507</v>
      </c>
      <c r="L117" t="n">
        <v>2160</v>
      </c>
      <c r="M117" t="n">
        <v>1016</v>
      </c>
      <c r="N117" t="n">
        <v>1580</v>
      </c>
      <c r="O117" t="n">
        <v>2160</v>
      </c>
      <c r="P117" t="n">
        <v>2740</v>
      </c>
      <c r="Q117" t="n">
        <v>3320</v>
      </c>
      <c r="R117" t="n">
        <v>3900</v>
      </c>
      <c r="S117" t="n">
        <v>4480</v>
      </c>
      <c r="T117" t="n">
        <v>5060</v>
      </c>
      <c r="U117" t="n">
        <v>5640</v>
      </c>
      <c r="V117" t="n">
        <v>2478</v>
      </c>
      <c r="W117" t="n">
        <v>1464</v>
      </c>
      <c r="X117" t="n">
        <v>1348</v>
      </c>
      <c r="Y117" t="n">
        <v>6800</v>
      </c>
    </row>
    <row r="118">
      <c r="A118" t="n">
        <v>117</v>
      </c>
      <c r="B118" t="n">
        <v>0</v>
      </c>
      <c r="C118" t="n">
        <v>5779</v>
      </c>
      <c r="D118" t="n">
        <v>10157</v>
      </c>
      <c r="E118" t="n">
        <v>31272</v>
      </c>
      <c r="F118" t="n">
        <v>95724</v>
      </c>
      <c r="G118" t="n">
        <v>289615</v>
      </c>
      <c r="H118" t="n">
        <v>869088</v>
      </c>
      <c r="I118" t="n">
        <v>2578591</v>
      </c>
      <c r="J118" t="n">
        <v>2000</v>
      </c>
      <c r="K118" t="n">
        <v>8593</v>
      </c>
      <c r="L118" t="n">
        <v>2170</v>
      </c>
      <c r="M118" t="n">
        <v>1017</v>
      </c>
      <c r="N118" t="n">
        <v>1585</v>
      </c>
      <c r="O118" t="n">
        <v>2170</v>
      </c>
      <c r="P118" t="n">
        <v>2755</v>
      </c>
      <c r="Q118" t="n">
        <v>3340</v>
      </c>
      <c r="R118" t="n">
        <v>3925</v>
      </c>
      <c r="S118" t="n">
        <v>4510</v>
      </c>
      <c r="T118" t="n">
        <v>5095</v>
      </c>
      <c r="U118" t="n">
        <v>5680</v>
      </c>
      <c r="V118" t="n">
        <v>2495</v>
      </c>
      <c r="W118" t="n">
        <v>1468</v>
      </c>
      <c r="X118" t="n">
        <v>1351</v>
      </c>
      <c r="Y118" t="n">
        <v>6850</v>
      </c>
    </row>
    <row r="119">
      <c r="A119" t="n">
        <v>118</v>
      </c>
      <c r="B119" t="n">
        <v>0</v>
      </c>
      <c r="C119" t="n">
        <v>5866</v>
      </c>
      <c r="D119" t="n">
        <v>10361</v>
      </c>
      <c r="E119" t="n">
        <v>32211</v>
      </c>
      <c r="F119" t="n">
        <v>99553</v>
      </c>
      <c r="G119" t="n">
        <v>304096</v>
      </c>
      <c r="H119" t="n">
        <v>921234</v>
      </c>
      <c r="I119" t="n">
        <v>2759093</v>
      </c>
      <c r="J119" t="n">
        <v>2000</v>
      </c>
      <c r="K119" t="n">
        <v>8679</v>
      </c>
      <c r="L119" t="n">
        <v>2180</v>
      </c>
      <c r="M119" t="n">
        <v>1018</v>
      </c>
      <c r="N119" t="n">
        <v>1590</v>
      </c>
      <c r="O119" t="n">
        <v>2180</v>
      </c>
      <c r="P119" t="n">
        <v>2770</v>
      </c>
      <c r="Q119" t="n">
        <v>3360</v>
      </c>
      <c r="R119" t="n">
        <v>3950</v>
      </c>
      <c r="S119" t="n">
        <v>4540</v>
      </c>
      <c r="T119" t="n">
        <v>5130</v>
      </c>
      <c r="U119" t="n">
        <v>5720</v>
      </c>
      <c r="V119" t="n">
        <v>2512</v>
      </c>
      <c r="W119" t="n">
        <v>1472</v>
      </c>
      <c r="X119" t="n">
        <v>1354</v>
      </c>
      <c r="Y119" t="n">
        <v>6900</v>
      </c>
    </row>
    <row r="120">
      <c r="A120" t="n">
        <v>119</v>
      </c>
      <c r="B120" t="n">
        <v>0</v>
      </c>
      <c r="C120" t="n">
        <v>5954</v>
      </c>
      <c r="D120" t="n">
        <v>10569</v>
      </c>
      <c r="E120" t="n">
        <v>33178</v>
      </c>
      <c r="F120" t="n">
        <v>103536</v>
      </c>
      <c r="G120" t="n">
        <v>319301</v>
      </c>
      <c r="H120" t="n">
        <v>976509</v>
      </c>
      <c r="I120" t="n">
        <v>2952230</v>
      </c>
      <c r="J120" t="n">
        <v>2000</v>
      </c>
      <c r="K120" t="n">
        <v>8766</v>
      </c>
      <c r="L120" t="n">
        <v>2190</v>
      </c>
      <c r="M120" t="n">
        <v>1019</v>
      </c>
      <c r="N120" t="n">
        <v>1595</v>
      </c>
      <c r="O120" t="n">
        <v>2190</v>
      </c>
      <c r="P120" t="n">
        <v>2785</v>
      </c>
      <c r="Q120" t="n">
        <v>3380</v>
      </c>
      <c r="R120" t="n">
        <v>3975</v>
      </c>
      <c r="S120" t="n">
        <v>4570</v>
      </c>
      <c r="T120" t="n">
        <v>5165</v>
      </c>
      <c r="U120" t="n">
        <v>5760</v>
      </c>
      <c r="V120" t="n">
        <v>2529</v>
      </c>
      <c r="W120" t="n">
        <v>1476</v>
      </c>
      <c r="X120" t="n">
        <v>1357</v>
      </c>
      <c r="Y120" t="n">
        <v>6950</v>
      </c>
    </row>
    <row r="121">
      <c r="A121" t="n">
        <v>120</v>
      </c>
      <c r="B121" t="n">
        <v>0</v>
      </c>
      <c r="C121" t="n">
        <v>6044</v>
      </c>
      <c r="D121" t="n">
        <v>10781</v>
      </c>
      <c r="E121" t="n">
        <v>34174</v>
      </c>
      <c r="F121" t="n">
        <v>107678</v>
      </c>
      <c r="G121" t="n">
        <v>335267</v>
      </c>
      <c r="H121" t="n">
        <v>1035100</v>
      </c>
      <c r="I121" t="n">
        <v>3158887</v>
      </c>
      <c r="J121" t="n">
        <v>2000</v>
      </c>
      <c r="K121" t="n">
        <v>8854</v>
      </c>
      <c r="L121" t="n">
        <v>2200</v>
      </c>
      <c r="M121" t="n">
        <v>1020</v>
      </c>
      <c r="N121" t="n">
        <v>1600</v>
      </c>
      <c r="O121" t="n">
        <v>2200</v>
      </c>
      <c r="P121" t="n">
        <v>2800</v>
      </c>
      <c r="Q121" t="n">
        <v>3400</v>
      </c>
      <c r="R121" t="n">
        <v>4000</v>
      </c>
      <c r="S121" t="n">
        <v>4600</v>
      </c>
      <c r="T121" t="n">
        <v>5200</v>
      </c>
      <c r="U121" t="n">
        <v>5800</v>
      </c>
      <c r="V121" t="n">
        <v>2546</v>
      </c>
      <c r="W121" t="n">
        <v>1480</v>
      </c>
      <c r="X121" t="n">
        <v>1360</v>
      </c>
      <c r="Y121" t="n">
        <v>7000</v>
      </c>
    </row>
    <row r="122">
      <c r="A122" t="n">
        <v>121</v>
      </c>
      <c r="B122" t="n">
        <v>0</v>
      </c>
      <c r="C122" t="n">
        <v>6135</v>
      </c>
      <c r="D122" t="n">
        <v>10997</v>
      </c>
      <c r="E122" t="n">
        <v>35200</v>
      </c>
      <c r="F122" t="n">
        <v>111986</v>
      </c>
      <c r="G122" t="n">
        <v>352031</v>
      </c>
      <c r="H122" t="n">
        <v>1097206</v>
      </c>
      <c r="I122" t="n">
        <v>3380010</v>
      </c>
      <c r="J122" t="n">
        <v>2000</v>
      </c>
      <c r="K122" t="n">
        <v>8943</v>
      </c>
      <c r="L122" t="n">
        <v>2210</v>
      </c>
      <c r="M122" t="n">
        <v>1021</v>
      </c>
      <c r="N122" t="n">
        <v>1605</v>
      </c>
      <c r="O122" t="n">
        <v>2210</v>
      </c>
      <c r="P122" t="n">
        <v>2815</v>
      </c>
      <c r="Q122" t="n">
        <v>3420</v>
      </c>
      <c r="R122" t="n">
        <v>4025</v>
      </c>
      <c r="S122" t="n">
        <v>4630</v>
      </c>
      <c r="T122" t="n">
        <v>5235</v>
      </c>
      <c r="U122" t="n">
        <v>5840</v>
      </c>
      <c r="V122" t="n">
        <v>2563</v>
      </c>
      <c r="W122" t="n">
        <v>1484</v>
      </c>
      <c r="X122" t="n">
        <v>1363</v>
      </c>
      <c r="Y122" t="n">
        <v>7010</v>
      </c>
    </row>
    <row r="123">
      <c r="A123" t="n">
        <v>122</v>
      </c>
      <c r="B123" t="n">
        <v>0</v>
      </c>
      <c r="C123" t="n">
        <v>6228</v>
      </c>
      <c r="D123" t="n">
        <v>11217</v>
      </c>
      <c r="E123" t="n">
        <v>36256</v>
      </c>
      <c r="F123" t="n">
        <v>116466</v>
      </c>
      <c r="G123" t="n">
        <v>369633</v>
      </c>
      <c r="H123" t="n">
        <v>1163039</v>
      </c>
      <c r="I123" t="n">
        <v>3616611</v>
      </c>
      <c r="J123" t="n">
        <v>2000</v>
      </c>
      <c r="K123" t="n">
        <v>9033</v>
      </c>
      <c r="L123" t="n">
        <v>2220</v>
      </c>
      <c r="M123" t="n">
        <v>1022</v>
      </c>
      <c r="N123" t="n">
        <v>1610</v>
      </c>
      <c r="O123" t="n">
        <v>2220</v>
      </c>
      <c r="P123" t="n">
        <v>2830</v>
      </c>
      <c r="Q123" t="n">
        <v>3440</v>
      </c>
      <c r="R123" t="n">
        <v>4050</v>
      </c>
      <c r="S123" t="n">
        <v>4660</v>
      </c>
      <c r="T123" t="n">
        <v>5270</v>
      </c>
      <c r="U123" t="n">
        <v>5880</v>
      </c>
      <c r="V123" t="n">
        <v>2580</v>
      </c>
      <c r="W123" t="n">
        <v>1488</v>
      </c>
      <c r="X123" t="n">
        <v>1366</v>
      </c>
      <c r="Y123" t="n">
        <v>7020</v>
      </c>
    </row>
    <row r="124">
      <c r="A124" t="n">
        <v>123</v>
      </c>
      <c r="B124" t="n">
        <v>0</v>
      </c>
      <c r="C124" t="n">
        <v>6322</v>
      </c>
      <c r="D124" t="n">
        <v>11442</v>
      </c>
      <c r="E124" t="n">
        <v>37344</v>
      </c>
      <c r="F124" t="n">
        <v>121125</v>
      </c>
      <c r="G124" t="n">
        <v>388115</v>
      </c>
      <c r="H124" t="n">
        <v>1232822</v>
      </c>
      <c r="I124" t="n">
        <v>3869774</v>
      </c>
      <c r="J124" t="n">
        <v>2000</v>
      </c>
      <c r="K124" t="n">
        <v>9124</v>
      </c>
      <c r="L124" t="n">
        <v>2230</v>
      </c>
      <c r="M124" t="n">
        <v>1023</v>
      </c>
      <c r="N124" t="n">
        <v>1615</v>
      </c>
      <c r="O124" t="n">
        <v>2230</v>
      </c>
      <c r="P124" t="n">
        <v>2845</v>
      </c>
      <c r="Q124" t="n">
        <v>3460</v>
      </c>
      <c r="R124" t="n">
        <v>4075</v>
      </c>
      <c r="S124" t="n">
        <v>4690</v>
      </c>
      <c r="T124" t="n">
        <v>5305</v>
      </c>
      <c r="U124" t="n">
        <v>5920</v>
      </c>
      <c r="V124" t="n">
        <v>2597</v>
      </c>
      <c r="W124" t="n">
        <v>1492</v>
      </c>
      <c r="X124" t="n">
        <v>1369</v>
      </c>
      <c r="Y124" t="n">
        <v>7030</v>
      </c>
    </row>
    <row r="125">
      <c r="A125" t="n">
        <v>124</v>
      </c>
      <c r="B125" t="n">
        <v>0</v>
      </c>
      <c r="C125" t="n">
        <v>6417</v>
      </c>
      <c r="D125" t="n">
        <v>11671</v>
      </c>
      <c r="E125" t="n">
        <v>38465</v>
      </c>
      <c r="F125" t="n">
        <v>125970</v>
      </c>
      <c r="G125" t="n">
        <v>407521</v>
      </c>
      <c r="H125" t="n">
        <v>1306792</v>
      </c>
      <c r="I125" t="n">
        <v>4140659</v>
      </c>
      <c r="J125" t="n">
        <v>2000</v>
      </c>
      <c r="K125" t="n">
        <v>9216</v>
      </c>
      <c r="L125" t="n">
        <v>2240</v>
      </c>
      <c r="M125" t="n">
        <v>1024</v>
      </c>
      <c r="N125" t="n">
        <v>1620</v>
      </c>
      <c r="O125" t="n">
        <v>2240</v>
      </c>
      <c r="P125" t="n">
        <v>2860</v>
      </c>
      <c r="Q125" t="n">
        <v>3480</v>
      </c>
      <c r="R125" t="n">
        <v>4100</v>
      </c>
      <c r="S125" t="n">
        <v>4720</v>
      </c>
      <c r="T125" t="n">
        <v>5340</v>
      </c>
      <c r="U125" t="n">
        <v>5960</v>
      </c>
      <c r="V125" t="n">
        <v>2615</v>
      </c>
      <c r="W125" t="n">
        <v>1496</v>
      </c>
      <c r="X125" t="n">
        <v>1372</v>
      </c>
      <c r="Y125" t="n">
        <v>7040</v>
      </c>
    </row>
    <row r="126">
      <c r="A126" t="n">
        <v>125</v>
      </c>
      <c r="B126" t="n">
        <v>0</v>
      </c>
      <c r="C126" t="n">
        <v>6514</v>
      </c>
      <c r="D126" t="n">
        <v>11905</v>
      </c>
      <c r="E126" t="n">
        <v>39619</v>
      </c>
      <c r="F126" t="n">
        <v>131009</v>
      </c>
      <c r="G126" t="n">
        <v>427898</v>
      </c>
      <c r="H126" t="n">
        <v>1385200</v>
      </c>
      <c r="I126" t="n">
        <v>4430506</v>
      </c>
      <c r="J126" t="n">
        <v>2000</v>
      </c>
      <c r="K126" t="n">
        <v>9309</v>
      </c>
      <c r="L126" t="n">
        <v>2250</v>
      </c>
      <c r="M126" t="n">
        <v>1025</v>
      </c>
      <c r="N126" t="n">
        <v>1625</v>
      </c>
      <c r="O126" t="n">
        <v>2250</v>
      </c>
      <c r="P126" t="n">
        <v>2875</v>
      </c>
      <c r="Q126" t="n">
        <v>3500</v>
      </c>
      <c r="R126" t="n">
        <v>4125</v>
      </c>
      <c r="S126" t="n">
        <v>4750</v>
      </c>
      <c r="T126" t="n">
        <v>5375</v>
      </c>
      <c r="U126" t="n">
        <v>6000</v>
      </c>
      <c r="V126" t="n">
        <v>2633</v>
      </c>
      <c r="W126" t="n">
        <v>1500</v>
      </c>
      <c r="X126" t="n">
        <v>1375</v>
      </c>
      <c r="Y126" t="n">
        <v>7050</v>
      </c>
    </row>
    <row r="127">
      <c r="A127" t="n">
        <v>126</v>
      </c>
      <c r="B127" t="n">
        <v>0</v>
      </c>
      <c r="C127" t="n">
        <v>6612</v>
      </c>
      <c r="D127" t="n">
        <v>12144</v>
      </c>
      <c r="E127" t="n">
        <v>40808</v>
      </c>
      <c r="F127" t="n">
        <v>136250</v>
      </c>
      <c r="G127" t="n">
        <v>449293</v>
      </c>
      <c r="H127" t="n">
        <v>1468312</v>
      </c>
      <c r="I127" t="n">
        <v>4740642</v>
      </c>
      <c r="J127" t="n">
        <v>2000</v>
      </c>
      <c r="K127" t="n">
        <v>9403</v>
      </c>
      <c r="L127" t="n">
        <v>2260</v>
      </c>
      <c r="M127" t="n">
        <v>1026</v>
      </c>
      <c r="N127" t="n">
        <v>1630</v>
      </c>
      <c r="O127" t="n">
        <v>2260</v>
      </c>
      <c r="P127" t="n">
        <v>2890</v>
      </c>
      <c r="Q127" t="n">
        <v>3520</v>
      </c>
      <c r="R127" t="n">
        <v>4150</v>
      </c>
      <c r="S127" t="n">
        <v>4780</v>
      </c>
      <c r="T127" t="n">
        <v>5410</v>
      </c>
      <c r="U127" t="n">
        <v>6040</v>
      </c>
      <c r="V127" t="n">
        <v>2651</v>
      </c>
      <c r="W127" t="n">
        <v>1504</v>
      </c>
      <c r="X127" t="n">
        <v>1378</v>
      </c>
      <c r="Y127" t="n">
        <v>7060</v>
      </c>
    </row>
    <row r="128">
      <c r="A128" t="n">
        <v>127</v>
      </c>
      <c r="B128" t="n">
        <v>0</v>
      </c>
      <c r="C128" t="n">
        <v>6712</v>
      </c>
      <c r="D128" t="n">
        <v>12387</v>
      </c>
      <c r="E128" t="n">
        <v>42033</v>
      </c>
      <c r="F128" t="n">
        <v>141700</v>
      </c>
      <c r="G128" t="n">
        <v>471758</v>
      </c>
      <c r="H128" t="n">
        <v>1556411</v>
      </c>
      <c r="I128" t="n">
        <v>5072487</v>
      </c>
      <c r="J128" t="n">
        <v>2000</v>
      </c>
      <c r="K128" t="n">
        <v>9498</v>
      </c>
      <c r="L128" t="n">
        <v>2270</v>
      </c>
      <c r="M128" t="n">
        <v>1027</v>
      </c>
      <c r="N128" t="n">
        <v>1635</v>
      </c>
      <c r="O128" t="n">
        <v>2270</v>
      </c>
      <c r="P128" t="n">
        <v>2905</v>
      </c>
      <c r="Q128" t="n">
        <v>3540</v>
      </c>
      <c r="R128" t="n">
        <v>4175</v>
      </c>
      <c r="S128" t="n">
        <v>4810</v>
      </c>
      <c r="T128" t="n">
        <v>5445</v>
      </c>
      <c r="U128" t="n">
        <v>6080</v>
      </c>
      <c r="V128" t="n">
        <v>2669</v>
      </c>
      <c r="W128" t="n">
        <v>1508</v>
      </c>
      <c r="X128" t="n">
        <v>1381</v>
      </c>
      <c r="Y128" t="n">
        <v>7070</v>
      </c>
    </row>
    <row r="129">
      <c r="A129" t="n">
        <v>128</v>
      </c>
      <c r="B129" t="n">
        <v>0</v>
      </c>
      <c r="C129" t="n">
        <v>6813</v>
      </c>
      <c r="D129" t="n">
        <v>12635</v>
      </c>
      <c r="E129" t="n">
        <v>43294</v>
      </c>
      <c r="F129" t="n">
        <v>147368</v>
      </c>
      <c r="G129" t="n">
        <v>495346</v>
      </c>
      <c r="H129" t="n">
        <v>1649796</v>
      </c>
      <c r="I129" t="n">
        <v>5427562</v>
      </c>
      <c r="J129" t="n">
        <v>2000</v>
      </c>
      <c r="K129" t="n">
        <v>9593</v>
      </c>
      <c r="L129" t="n">
        <v>2280</v>
      </c>
      <c r="M129" t="n">
        <v>1028</v>
      </c>
      <c r="N129" t="n">
        <v>1640</v>
      </c>
      <c r="O129" t="n">
        <v>2280</v>
      </c>
      <c r="P129" t="n">
        <v>2920</v>
      </c>
      <c r="Q129" t="n">
        <v>3560</v>
      </c>
      <c r="R129" t="n">
        <v>4200</v>
      </c>
      <c r="S129" t="n">
        <v>4840</v>
      </c>
      <c r="T129" t="n">
        <v>5480</v>
      </c>
      <c r="U129" t="n">
        <v>6120</v>
      </c>
      <c r="V129" t="n">
        <v>2687</v>
      </c>
      <c r="W129" t="n">
        <v>1512</v>
      </c>
      <c r="X129" t="n">
        <v>1384</v>
      </c>
      <c r="Y129" t="n">
        <v>7080</v>
      </c>
    </row>
    <row r="130">
      <c r="A130" t="n">
        <v>129</v>
      </c>
      <c r="B130" t="n">
        <v>0</v>
      </c>
      <c r="C130" t="n">
        <v>6916</v>
      </c>
      <c r="D130" t="n">
        <v>12888</v>
      </c>
      <c r="E130" t="n">
        <v>44593</v>
      </c>
      <c r="F130" t="n">
        <v>153263</v>
      </c>
      <c r="G130" t="n">
        <v>520114</v>
      </c>
      <c r="H130" t="n">
        <v>1748784</v>
      </c>
      <c r="I130" t="n">
        <v>5807492</v>
      </c>
      <c r="J130" t="n">
        <v>2000</v>
      </c>
      <c r="K130" t="n">
        <v>9689</v>
      </c>
      <c r="L130" t="n">
        <v>2290</v>
      </c>
      <c r="M130" t="n">
        <v>1029</v>
      </c>
      <c r="N130" t="n">
        <v>1645</v>
      </c>
      <c r="O130" t="n">
        <v>2290</v>
      </c>
      <c r="P130" t="n">
        <v>2935</v>
      </c>
      <c r="Q130" t="n">
        <v>3580</v>
      </c>
      <c r="R130" t="n">
        <v>4225</v>
      </c>
      <c r="S130" t="n">
        <v>4870</v>
      </c>
      <c r="T130" t="n">
        <v>5515</v>
      </c>
      <c r="U130" t="n">
        <v>6160</v>
      </c>
      <c r="V130" t="n">
        <v>2705</v>
      </c>
      <c r="W130" t="n">
        <v>1516</v>
      </c>
      <c r="X130" t="n">
        <v>1387</v>
      </c>
      <c r="Y130" t="n">
        <v>7090</v>
      </c>
    </row>
    <row r="131">
      <c r="A131" t="n">
        <v>130</v>
      </c>
      <c r="B131" t="n">
        <v>0</v>
      </c>
      <c r="C131" t="n">
        <v>7020</v>
      </c>
      <c r="D131" t="n">
        <v>13146</v>
      </c>
      <c r="E131" t="n">
        <v>45931</v>
      </c>
      <c r="F131" t="n">
        <v>159394</v>
      </c>
      <c r="G131" t="n">
        <v>546120</v>
      </c>
      <c r="H131" t="n">
        <v>1853712</v>
      </c>
      <c r="I131" t="n">
        <v>6214017</v>
      </c>
      <c r="J131" t="n">
        <v>2000</v>
      </c>
      <c r="K131" t="n">
        <v>9786</v>
      </c>
      <c r="L131" t="n">
        <v>2300</v>
      </c>
      <c r="M131" t="n">
        <v>1030</v>
      </c>
      <c r="N131" t="n">
        <v>1650</v>
      </c>
      <c r="O131" t="n">
        <v>2300</v>
      </c>
      <c r="P131" t="n">
        <v>2950</v>
      </c>
      <c r="Q131" t="n">
        <v>3600</v>
      </c>
      <c r="R131" t="n">
        <v>4250</v>
      </c>
      <c r="S131" t="n">
        <v>4900</v>
      </c>
      <c r="T131" t="n">
        <v>5550</v>
      </c>
      <c r="U131" t="n">
        <v>6200</v>
      </c>
      <c r="V131" t="n">
        <v>2723</v>
      </c>
      <c r="W131" t="n">
        <v>1520</v>
      </c>
      <c r="X131" t="n">
        <v>1390</v>
      </c>
      <c r="Y131" t="n">
        <v>7100</v>
      </c>
    </row>
    <row r="132">
      <c r="A132" t="n">
        <v>131</v>
      </c>
      <c r="B132" t="n">
        <v>0</v>
      </c>
      <c r="C132" t="n">
        <v>7126</v>
      </c>
      <c r="D132" t="n">
        <v>13409</v>
      </c>
      <c r="E132" t="n">
        <v>47309</v>
      </c>
      <c r="F132" t="n">
        <v>165770</v>
      </c>
      <c r="G132" t="n">
        <v>573426</v>
      </c>
      <c r="H132" t="n">
        <v>1964935</v>
      </c>
      <c r="I132" t="n">
        <v>6648999</v>
      </c>
      <c r="J132" t="n">
        <v>2000</v>
      </c>
      <c r="K132" t="n">
        <v>9884</v>
      </c>
      <c r="L132" t="n">
        <v>2310</v>
      </c>
      <c r="M132" t="n">
        <v>1031</v>
      </c>
      <c r="N132" t="n">
        <v>1655</v>
      </c>
      <c r="O132" t="n">
        <v>2310</v>
      </c>
      <c r="P132" t="n">
        <v>2965</v>
      </c>
      <c r="Q132" t="n">
        <v>3620</v>
      </c>
      <c r="R132" t="n">
        <v>4275</v>
      </c>
      <c r="S132" t="n">
        <v>4930</v>
      </c>
      <c r="T132" t="n">
        <v>5585</v>
      </c>
      <c r="U132" t="n">
        <v>6240</v>
      </c>
      <c r="V132" t="n">
        <v>2741</v>
      </c>
      <c r="W132" t="n">
        <v>1524</v>
      </c>
      <c r="X132" t="n">
        <v>1393</v>
      </c>
      <c r="Y132" t="n">
        <v>7110</v>
      </c>
    </row>
    <row r="133">
      <c r="A133" t="n">
        <v>132</v>
      </c>
      <c r="B133" t="n">
        <v>0</v>
      </c>
      <c r="C133" t="n">
        <v>7233</v>
      </c>
      <c r="D133" t="n">
        <v>13678</v>
      </c>
      <c r="E133" t="n">
        <v>48729</v>
      </c>
      <c r="F133" t="n">
        <v>172401</v>
      </c>
      <c r="G133" t="n">
        <v>602098</v>
      </c>
      <c r="H133" t="n">
        <v>2082832</v>
      </c>
      <c r="I133" t="n">
        <v>7114429</v>
      </c>
      <c r="J133" t="n">
        <v>2000</v>
      </c>
      <c r="K133" t="n">
        <v>9983</v>
      </c>
      <c r="L133" t="n">
        <v>2320</v>
      </c>
      <c r="M133" t="n">
        <v>1032</v>
      </c>
      <c r="N133" t="n">
        <v>1660</v>
      </c>
      <c r="O133" t="n">
        <v>2320</v>
      </c>
      <c r="P133" t="n">
        <v>2980</v>
      </c>
      <c r="Q133" t="n">
        <v>3640</v>
      </c>
      <c r="R133" t="n">
        <v>4300</v>
      </c>
      <c r="S133" t="n">
        <v>4960</v>
      </c>
      <c r="T133" t="n">
        <v>5620</v>
      </c>
      <c r="U133" t="n">
        <v>6280</v>
      </c>
      <c r="V133" t="n">
        <v>2759</v>
      </c>
      <c r="W133" t="n">
        <v>1528</v>
      </c>
      <c r="X133" t="n">
        <v>1396</v>
      </c>
      <c r="Y133" t="n">
        <v>7120</v>
      </c>
    </row>
    <row r="134">
      <c r="A134" t="n">
        <v>133</v>
      </c>
      <c r="B134" t="n">
        <v>0</v>
      </c>
      <c r="C134" t="n">
        <v>7342</v>
      </c>
      <c r="D134" t="n">
        <v>13952</v>
      </c>
      <c r="E134" t="n">
        <v>50191</v>
      </c>
      <c r="F134" t="n">
        <v>179298</v>
      </c>
      <c r="G134" t="n">
        <v>632203</v>
      </c>
      <c r="H134" t="n">
        <v>2207802</v>
      </c>
      <c r="I134" t="n">
        <v>7612440</v>
      </c>
      <c r="J134" t="n">
        <v>2000</v>
      </c>
      <c r="K134" t="n">
        <v>10083</v>
      </c>
      <c r="L134" t="n">
        <v>2330</v>
      </c>
      <c r="M134" t="n">
        <v>1033</v>
      </c>
      <c r="N134" t="n">
        <v>1665</v>
      </c>
      <c r="O134" t="n">
        <v>2330</v>
      </c>
      <c r="P134" t="n">
        <v>2995</v>
      </c>
      <c r="Q134" t="n">
        <v>3660</v>
      </c>
      <c r="R134" t="n">
        <v>4325</v>
      </c>
      <c r="S134" t="n">
        <v>4990</v>
      </c>
      <c r="T134" t="n">
        <v>5655</v>
      </c>
      <c r="U134" t="n">
        <v>6320</v>
      </c>
      <c r="V134" t="n">
        <v>2777</v>
      </c>
      <c r="W134" t="n">
        <v>1532</v>
      </c>
      <c r="X134" t="n">
        <v>1399</v>
      </c>
      <c r="Y134" t="n">
        <v>7130</v>
      </c>
    </row>
    <row r="135">
      <c r="A135" t="n">
        <v>134</v>
      </c>
      <c r="B135" t="n">
        <v>0</v>
      </c>
      <c r="C135" t="n">
        <v>7453</v>
      </c>
      <c r="D135" t="n">
        <v>14232</v>
      </c>
      <c r="E135" t="n">
        <v>51697</v>
      </c>
      <c r="F135" t="n">
        <v>186470</v>
      </c>
      <c r="G135" t="n">
        <v>663814</v>
      </c>
      <c r="H135" t="n">
        <v>2340271</v>
      </c>
      <c r="I135" t="n">
        <v>8145311</v>
      </c>
      <c r="J135" t="n">
        <v>2000</v>
      </c>
      <c r="K135" t="n">
        <v>10184</v>
      </c>
      <c r="L135" t="n">
        <v>2340</v>
      </c>
      <c r="M135" t="n">
        <v>1034</v>
      </c>
      <c r="N135" t="n">
        <v>1670</v>
      </c>
      <c r="O135" t="n">
        <v>2340</v>
      </c>
      <c r="P135" t="n">
        <v>3010</v>
      </c>
      <c r="Q135" t="n">
        <v>3680</v>
      </c>
      <c r="R135" t="n">
        <v>4350</v>
      </c>
      <c r="S135" t="n">
        <v>5020</v>
      </c>
      <c r="T135" t="n">
        <v>5690</v>
      </c>
      <c r="U135" t="n">
        <v>6360</v>
      </c>
      <c r="V135" t="n">
        <v>2795</v>
      </c>
      <c r="W135" t="n">
        <v>1536</v>
      </c>
      <c r="X135" t="n">
        <v>1402</v>
      </c>
      <c r="Y135" t="n">
        <v>7140</v>
      </c>
    </row>
    <row r="136">
      <c r="A136" t="n">
        <v>135</v>
      </c>
      <c r="B136" t="n">
        <v>0</v>
      </c>
      <c r="C136" t="n">
        <v>7565</v>
      </c>
      <c r="D136" t="n">
        <v>14517</v>
      </c>
      <c r="E136" t="n">
        <v>53248</v>
      </c>
      <c r="F136" t="n">
        <v>193929</v>
      </c>
      <c r="G136" t="n">
        <v>697005</v>
      </c>
      <c r="H136" t="n">
        <v>2480688</v>
      </c>
      <c r="I136" t="n">
        <v>8715483</v>
      </c>
      <c r="J136" t="n">
        <v>2000</v>
      </c>
      <c r="K136" t="n">
        <v>10286</v>
      </c>
      <c r="L136" t="n">
        <v>2350</v>
      </c>
      <c r="M136" t="n">
        <v>1035</v>
      </c>
      <c r="N136" t="n">
        <v>1675</v>
      </c>
      <c r="O136" t="n">
        <v>2350</v>
      </c>
      <c r="P136" t="n">
        <v>3025</v>
      </c>
      <c r="Q136" t="n">
        <v>3700</v>
      </c>
      <c r="R136" t="n">
        <v>4375</v>
      </c>
      <c r="S136" t="n">
        <v>5050</v>
      </c>
      <c r="T136" t="n">
        <v>5725</v>
      </c>
      <c r="U136" t="n">
        <v>6400</v>
      </c>
      <c r="V136" t="n">
        <v>2813</v>
      </c>
      <c r="W136" t="n">
        <v>1540</v>
      </c>
      <c r="X136" t="n">
        <v>1405</v>
      </c>
      <c r="Y136" t="n">
        <v>7150</v>
      </c>
    </row>
    <row r="137">
      <c r="A137" t="n">
        <v>136</v>
      </c>
      <c r="B137" t="n">
        <v>0</v>
      </c>
      <c r="C137" t="n">
        <v>7679</v>
      </c>
      <c r="D137" t="n">
        <v>14808</v>
      </c>
      <c r="E137" t="n">
        <v>54846</v>
      </c>
      <c r="F137" t="n">
        <v>201687</v>
      </c>
      <c r="G137" t="n">
        <v>731856</v>
      </c>
      <c r="H137" t="n">
        <v>2629530</v>
      </c>
      <c r="I137" t="n">
        <v>9325567</v>
      </c>
      <c r="J137" t="n">
        <v>2000</v>
      </c>
      <c r="K137" t="n">
        <v>10389</v>
      </c>
      <c r="L137" t="n">
        <v>2360</v>
      </c>
      <c r="M137" t="n">
        <v>1036</v>
      </c>
      <c r="N137" t="n">
        <v>1680</v>
      </c>
      <c r="O137" t="n">
        <v>2360</v>
      </c>
      <c r="P137" t="n">
        <v>3040</v>
      </c>
      <c r="Q137" t="n">
        <v>3720</v>
      </c>
      <c r="R137" t="n">
        <v>4400</v>
      </c>
      <c r="S137" t="n">
        <v>5080</v>
      </c>
      <c r="T137" t="n">
        <v>5760</v>
      </c>
      <c r="U137" t="n">
        <v>6440</v>
      </c>
      <c r="V137" t="n">
        <v>2832</v>
      </c>
      <c r="W137" t="n">
        <v>1544</v>
      </c>
      <c r="X137" t="n">
        <v>1408</v>
      </c>
      <c r="Y137" t="n">
        <v>7160</v>
      </c>
    </row>
    <row r="138">
      <c r="A138" t="n">
        <v>137</v>
      </c>
      <c r="B138" t="n">
        <v>0</v>
      </c>
      <c r="C138" t="n">
        <v>7795</v>
      </c>
      <c r="D138" t="n">
        <v>15105</v>
      </c>
      <c r="E138" t="n">
        <v>56492</v>
      </c>
      <c r="F138" t="n">
        <v>209755</v>
      </c>
      <c r="G138" t="n">
        <v>768449</v>
      </c>
      <c r="H138" t="n">
        <v>2787302</v>
      </c>
      <c r="I138" t="n">
        <v>9978357</v>
      </c>
      <c r="J138" t="n">
        <v>2000</v>
      </c>
      <c r="K138" t="n">
        <v>10493</v>
      </c>
      <c r="L138" t="n">
        <v>2370</v>
      </c>
      <c r="M138" t="n">
        <v>1037</v>
      </c>
      <c r="N138" t="n">
        <v>1685</v>
      </c>
      <c r="O138" t="n">
        <v>2370</v>
      </c>
      <c r="P138" t="n">
        <v>3055</v>
      </c>
      <c r="Q138" t="n">
        <v>3740</v>
      </c>
      <c r="R138" t="n">
        <v>4425</v>
      </c>
      <c r="S138" t="n">
        <v>5110</v>
      </c>
      <c r="T138" t="n">
        <v>5795</v>
      </c>
      <c r="U138" t="n">
        <v>6480</v>
      </c>
      <c r="V138" t="n">
        <v>2851</v>
      </c>
      <c r="W138" t="n">
        <v>1548</v>
      </c>
      <c r="X138" t="n">
        <v>1411</v>
      </c>
      <c r="Y138" t="n">
        <v>7170</v>
      </c>
    </row>
    <row r="139">
      <c r="A139" t="n">
        <v>138</v>
      </c>
      <c r="B139" t="n">
        <v>0</v>
      </c>
      <c r="C139" t="n">
        <v>7912</v>
      </c>
      <c r="D139" t="n">
        <v>15408</v>
      </c>
      <c r="E139" t="n">
        <v>58187</v>
      </c>
      <c r="F139" t="n">
        <v>218146</v>
      </c>
      <c r="G139" t="n">
        <v>806872</v>
      </c>
      <c r="H139" t="n">
        <v>2954541</v>
      </c>
      <c r="I139" t="n">
        <v>10676842</v>
      </c>
      <c r="J139" t="n">
        <v>2000</v>
      </c>
      <c r="K139" t="n">
        <v>10598</v>
      </c>
      <c r="L139" t="n">
        <v>2380</v>
      </c>
      <c r="M139" t="n">
        <v>1038</v>
      </c>
      <c r="N139" t="n">
        <v>1690</v>
      </c>
      <c r="O139" t="n">
        <v>2380</v>
      </c>
      <c r="P139" t="n">
        <v>3070</v>
      </c>
      <c r="Q139" t="n">
        <v>3760</v>
      </c>
      <c r="R139" t="n">
        <v>4450</v>
      </c>
      <c r="S139" t="n">
        <v>5140</v>
      </c>
      <c r="T139" t="n">
        <v>5830</v>
      </c>
      <c r="U139" t="n">
        <v>6520</v>
      </c>
      <c r="V139" t="n">
        <v>2870</v>
      </c>
      <c r="W139" t="n">
        <v>1552</v>
      </c>
      <c r="X139" t="n">
        <v>1414</v>
      </c>
      <c r="Y139" t="n">
        <v>7180</v>
      </c>
    </row>
    <row r="140">
      <c r="A140" t="n">
        <v>139</v>
      </c>
      <c r="B140" t="n">
        <v>0</v>
      </c>
      <c r="C140" t="n">
        <v>8031</v>
      </c>
      <c r="D140" t="n">
        <v>15717</v>
      </c>
      <c r="E140" t="n">
        <v>59933</v>
      </c>
      <c r="F140" t="n">
        <v>226872</v>
      </c>
      <c r="G140" t="n">
        <v>847216</v>
      </c>
      <c r="H140" t="n">
        <v>3131814</v>
      </c>
      <c r="I140" t="n">
        <v>11424221</v>
      </c>
      <c r="J140" t="n">
        <v>2000</v>
      </c>
      <c r="K140" t="n">
        <v>10704</v>
      </c>
      <c r="L140" t="n">
        <v>2390</v>
      </c>
      <c r="M140" t="n">
        <v>1039</v>
      </c>
      <c r="N140" t="n">
        <v>1695</v>
      </c>
      <c r="O140" t="n">
        <v>2390</v>
      </c>
      <c r="P140" t="n">
        <v>3085</v>
      </c>
      <c r="Q140" t="n">
        <v>3780</v>
      </c>
      <c r="R140" t="n">
        <v>4475</v>
      </c>
      <c r="S140" t="n">
        <v>5170</v>
      </c>
      <c r="T140" t="n">
        <v>5865</v>
      </c>
      <c r="U140" t="n">
        <v>6560</v>
      </c>
      <c r="V140" t="n">
        <v>2889</v>
      </c>
      <c r="W140" t="n">
        <v>1556</v>
      </c>
      <c r="X140" t="n">
        <v>1417</v>
      </c>
      <c r="Y140" t="n">
        <v>7190</v>
      </c>
    </row>
    <row r="141">
      <c r="A141" t="n">
        <v>140</v>
      </c>
      <c r="B141" t="n">
        <v>0</v>
      </c>
      <c r="C141" t="n">
        <v>8152</v>
      </c>
      <c r="D141" t="n">
        <v>16032</v>
      </c>
      <c r="E141" t="n">
        <v>61731</v>
      </c>
      <c r="F141" t="n">
        <v>235947</v>
      </c>
      <c r="G141" t="n">
        <v>889577</v>
      </c>
      <c r="H141" t="n">
        <v>3319723</v>
      </c>
      <c r="I141" t="n">
        <v>12223917</v>
      </c>
      <c r="J141" t="n">
        <v>2000</v>
      </c>
      <c r="K141" t="n">
        <v>10812</v>
      </c>
      <c r="L141" t="n">
        <v>2400</v>
      </c>
      <c r="M141" t="n">
        <v>1040</v>
      </c>
      <c r="N141" t="n">
        <v>1700</v>
      </c>
      <c r="O141" t="n">
        <v>2400</v>
      </c>
      <c r="P141" t="n">
        <v>3100</v>
      </c>
      <c r="Q141" t="n">
        <v>3800</v>
      </c>
      <c r="R141" t="n">
        <v>4500</v>
      </c>
      <c r="S141" t="n">
        <v>5200</v>
      </c>
      <c r="T141" t="n">
        <v>5900</v>
      </c>
      <c r="U141" t="n">
        <v>6600</v>
      </c>
      <c r="V141" t="n">
        <v>2908</v>
      </c>
      <c r="W141" t="n">
        <v>1560</v>
      </c>
      <c r="X141" t="n">
        <v>1420</v>
      </c>
      <c r="Y141" t="n">
        <v>7200</v>
      </c>
    </row>
    <row r="142">
      <c r="A142" t="n">
        <v>141</v>
      </c>
      <c r="B142" t="n">
        <v>0</v>
      </c>
      <c r="C142" t="n">
        <v>8275</v>
      </c>
      <c r="D142" t="n">
        <v>16353</v>
      </c>
      <c r="E142" t="n">
        <v>63583</v>
      </c>
      <c r="F142" t="n">
        <v>245385</v>
      </c>
      <c r="G142" t="n">
        <v>934056</v>
      </c>
      <c r="H142" t="n">
        <v>3518907</v>
      </c>
      <c r="I142" t="n">
        <v>13079592</v>
      </c>
      <c r="J142" t="n">
        <v>2000</v>
      </c>
      <c r="K142" t="n">
        <v>10921</v>
      </c>
      <c r="L142" t="n">
        <v>2410</v>
      </c>
      <c r="M142" t="n">
        <v>1041</v>
      </c>
      <c r="N142" t="n">
        <v>1705</v>
      </c>
      <c r="O142" t="n">
        <v>2410</v>
      </c>
      <c r="P142" t="n">
        <v>3115</v>
      </c>
      <c r="Q142" t="n">
        <v>3820</v>
      </c>
      <c r="R142" t="n">
        <v>4525</v>
      </c>
      <c r="S142" t="n">
        <v>5230</v>
      </c>
      <c r="T142" t="n">
        <v>5935</v>
      </c>
      <c r="U142" t="n">
        <v>6640</v>
      </c>
      <c r="V142" t="n">
        <v>2927</v>
      </c>
      <c r="W142" t="n">
        <v>1564</v>
      </c>
      <c r="X142" t="n">
        <v>1423</v>
      </c>
      <c r="Y142" t="n">
        <v>7210</v>
      </c>
    </row>
    <row r="143">
      <c r="A143" t="n">
        <v>142</v>
      </c>
      <c r="B143" t="n">
        <v>0</v>
      </c>
      <c r="C143" t="n">
        <v>8400</v>
      </c>
      <c r="D143" t="n">
        <v>16681</v>
      </c>
      <c r="E143" t="n">
        <v>65491</v>
      </c>
      <c r="F143" t="n">
        <v>255201</v>
      </c>
      <c r="G143" t="n">
        <v>980759</v>
      </c>
      <c r="H143" t="n">
        <v>3730042</v>
      </c>
      <c r="I143" t="n">
        <v>13995164</v>
      </c>
      <c r="J143" t="n">
        <v>2000</v>
      </c>
      <c r="K143" t="n">
        <v>11031</v>
      </c>
      <c r="L143" t="n">
        <v>2420</v>
      </c>
      <c r="M143" t="n">
        <v>1042</v>
      </c>
      <c r="N143" t="n">
        <v>1710</v>
      </c>
      <c r="O143" t="n">
        <v>2420</v>
      </c>
      <c r="P143" t="n">
        <v>3130</v>
      </c>
      <c r="Q143" t="n">
        <v>3840</v>
      </c>
      <c r="R143" t="n">
        <v>4550</v>
      </c>
      <c r="S143" t="n">
        <v>5260</v>
      </c>
      <c r="T143" t="n">
        <v>5970</v>
      </c>
      <c r="U143" t="n">
        <v>6680</v>
      </c>
      <c r="V143" t="n">
        <v>2946</v>
      </c>
      <c r="W143" t="n">
        <v>1568</v>
      </c>
      <c r="X143" t="n">
        <v>1426</v>
      </c>
      <c r="Y143" t="n">
        <v>7220</v>
      </c>
    </row>
    <row r="144">
      <c r="A144" t="n">
        <v>143</v>
      </c>
      <c r="B144" t="n">
        <v>0</v>
      </c>
      <c r="C144" t="n">
        <v>8526</v>
      </c>
      <c r="D144" t="n">
        <v>17015</v>
      </c>
      <c r="E144" t="n">
        <v>67456</v>
      </c>
      <c r="F144" t="n">
        <v>265410</v>
      </c>
      <c r="G144" t="n">
        <v>1029797</v>
      </c>
      <c r="H144" t="n">
        <v>3953845</v>
      </c>
      <c r="I144" t="n">
        <v>14974826</v>
      </c>
      <c r="J144" t="n">
        <v>2000</v>
      </c>
      <c r="K144" t="n">
        <v>11142</v>
      </c>
      <c r="L144" t="n">
        <v>2430</v>
      </c>
      <c r="M144" t="n">
        <v>1043</v>
      </c>
      <c r="N144" t="n">
        <v>1715</v>
      </c>
      <c r="O144" t="n">
        <v>2430</v>
      </c>
      <c r="P144" t="n">
        <v>3145</v>
      </c>
      <c r="Q144" t="n">
        <v>3860</v>
      </c>
      <c r="R144" t="n">
        <v>4575</v>
      </c>
      <c r="S144" t="n">
        <v>5290</v>
      </c>
      <c r="T144" t="n">
        <v>6005</v>
      </c>
      <c r="U144" t="n">
        <v>6720</v>
      </c>
      <c r="V144" t="n">
        <v>2965</v>
      </c>
      <c r="W144" t="n">
        <v>1572</v>
      </c>
      <c r="X144" t="n">
        <v>1429</v>
      </c>
      <c r="Y144" t="n">
        <v>7230</v>
      </c>
    </row>
    <row r="145">
      <c r="A145" t="n">
        <v>144</v>
      </c>
      <c r="B145" t="n">
        <v>0</v>
      </c>
      <c r="C145" t="n">
        <v>8654</v>
      </c>
      <c r="D145" t="n">
        <v>17356</v>
      </c>
      <c r="E145" t="n">
        <v>69480</v>
      </c>
      <c r="F145" t="n">
        <v>276027</v>
      </c>
      <c r="G145" t="n">
        <v>1081287</v>
      </c>
      <c r="H145" t="n">
        <v>4191076</v>
      </c>
      <c r="I145" t="n">
        <v>16023064</v>
      </c>
      <c r="J145" t="n">
        <v>2000</v>
      </c>
      <c r="K145" t="n">
        <v>11254</v>
      </c>
      <c r="L145" t="n">
        <v>2440</v>
      </c>
      <c r="M145" t="n">
        <v>1044</v>
      </c>
      <c r="N145" t="n">
        <v>1720</v>
      </c>
      <c r="O145" t="n">
        <v>2440</v>
      </c>
      <c r="P145" t="n">
        <v>3160</v>
      </c>
      <c r="Q145" t="n">
        <v>3880</v>
      </c>
      <c r="R145" t="n">
        <v>4600</v>
      </c>
      <c r="S145" t="n">
        <v>5320</v>
      </c>
      <c r="T145" t="n">
        <v>6040</v>
      </c>
      <c r="U145" t="n">
        <v>6760</v>
      </c>
      <c r="V145" t="n">
        <v>2984</v>
      </c>
      <c r="W145" t="n">
        <v>1576</v>
      </c>
      <c r="X145" t="n">
        <v>1432</v>
      </c>
      <c r="Y145" t="n">
        <v>7240</v>
      </c>
    </row>
    <row r="146">
      <c r="A146" t="n">
        <v>145</v>
      </c>
      <c r="B146" t="n">
        <v>0</v>
      </c>
      <c r="C146" t="n">
        <v>8784</v>
      </c>
      <c r="D146" t="n">
        <v>17704</v>
      </c>
      <c r="E146" t="n">
        <v>71565</v>
      </c>
      <c r="F146" t="n">
        <v>287069</v>
      </c>
      <c r="G146" t="n">
        <v>1135352</v>
      </c>
      <c r="H146" t="n">
        <v>4442541</v>
      </c>
      <c r="I146" t="n">
        <v>17144679</v>
      </c>
      <c r="J146" t="n">
        <v>2000</v>
      </c>
      <c r="K146" t="n">
        <v>11367</v>
      </c>
      <c r="L146" t="n">
        <v>2450</v>
      </c>
      <c r="M146" t="n">
        <v>1045</v>
      </c>
      <c r="N146" t="n">
        <v>1725</v>
      </c>
      <c r="O146" t="n">
        <v>2450</v>
      </c>
      <c r="P146" t="n">
        <v>3175</v>
      </c>
      <c r="Q146" t="n">
        <v>3900</v>
      </c>
      <c r="R146" t="n">
        <v>4625</v>
      </c>
      <c r="S146" t="n">
        <v>5350</v>
      </c>
      <c r="T146" t="n">
        <v>6075</v>
      </c>
      <c r="U146" t="n">
        <v>6800</v>
      </c>
      <c r="V146" t="n">
        <v>3003</v>
      </c>
      <c r="W146" t="n">
        <v>1580</v>
      </c>
      <c r="X146" t="n">
        <v>1435</v>
      </c>
      <c r="Y146" t="n">
        <v>7250</v>
      </c>
    </row>
    <row r="147">
      <c r="A147" t="n">
        <v>146</v>
      </c>
      <c r="B147" t="n">
        <v>0</v>
      </c>
      <c r="C147" t="n">
        <v>8916</v>
      </c>
      <c r="D147" t="n">
        <v>18059</v>
      </c>
      <c r="E147" t="n">
        <v>73712</v>
      </c>
      <c r="F147" t="n">
        <v>298552</v>
      </c>
      <c r="G147" t="n">
        <v>1192120</v>
      </c>
      <c r="H147" t="n">
        <v>4709094</v>
      </c>
      <c r="I147" t="n">
        <v>18344807</v>
      </c>
      <c r="J147" t="n">
        <v>2000</v>
      </c>
      <c r="K147" t="n">
        <v>11481</v>
      </c>
      <c r="L147" t="n">
        <v>2460</v>
      </c>
      <c r="M147" t="n">
        <v>1046</v>
      </c>
      <c r="N147" t="n">
        <v>1730</v>
      </c>
      <c r="O147" t="n">
        <v>2460</v>
      </c>
      <c r="P147" t="n">
        <v>3190</v>
      </c>
      <c r="Q147" t="n">
        <v>3920</v>
      </c>
      <c r="R147" t="n">
        <v>4650</v>
      </c>
      <c r="S147" t="n">
        <v>5380</v>
      </c>
      <c r="T147" t="n">
        <v>6110</v>
      </c>
      <c r="U147" t="n">
        <v>6840</v>
      </c>
      <c r="V147" t="n">
        <v>3023</v>
      </c>
      <c r="W147" t="n">
        <v>1584</v>
      </c>
      <c r="X147" t="n">
        <v>1438</v>
      </c>
      <c r="Y147" t="n">
        <v>7260</v>
      </c>
    </row>
    <row r="148">
      <c r="A148" t="n">
        <v>147</v>
      </c>
      <c r="B148" t="n">
        <v>0</v>
      </c>
      <c r="C148" t="n">
        <v>9050</v>
      </c>
      <c r="D148" t="n">
        <v>18421</v>
      </c>
      <c r="E148" t="n">
        <v>75924</v>
      </c>
      <c r="F148" t="n">
        <v>310495</v>
      </c>
      <c r="G148" t="n">
        <v>1251726</v>
      </c>
      <c r="H148" t="n">
        <v>4991640</v>
      </c>
      <c r="I148" t="n">
        <v>19628944</v>
      </c>
      <c r="J148" t="n">
        <v>2000</v>
      </c>
      <c r="K148" t="n">
        <v>11596</v>
      </c>
      <c r="L148" t="n">
        <v>2470</v>
      </c>
      <c r="M148" t="n">
        <v>1047</v>
      </c>
      <c r="N148" t="n">
        <v>1735</v>
      </c>
      <c r="O148" t="n">
        <v>2470</v>
      </c>
      <c r="P148" t="n">
        <v>3205</v>
      </c>
      <c r="Q148" t="n">
        <v>3940</v>
      </c>
      <c r="R148" t="n">
        <v>4675</v>
      </c>
      <c r="S148" t="n">
        <v>5410</v>
      </c>
      <c r="T148" t="n">
        <v>6145</v>
      </c>
      <c r="U148" t="n">
        <v>6880</v>
      </c>
      <c r="V148" t="n">
        <v>3043</v>
      </c>
      <c r="W148" t="n">
        <v>1588</v>
      </c>
      <c r="X148" t="n">
        <v>1441</v>
      </c>
      <c r="Y148" t="n">
        <v>7270</v>
      </c>
    </row>
    <row r="149">
      <c r="A149" t="n">
        <v>148</v>
      </c>
      <c r="B149" t="n">
        <v>0</v>
      </c>
      <c r="C149" t="n">
        <v>9186</v>
      </c>
      <c r="D149" t="n">
        <v>18790</v>
      </c>
      <c r="E149" t="n">
        <v>78202</v>
      </c>
      <c r="F149" t="n">
        <v>322915</v>
      </c>
      <c r="G149" t="n">
        <v>1314313</v>
      </c>
      <c r="H149" t="n">
        <v>5291139</v>
      </c>
      <c r="I149" t="n">
        <v>21002971</v>
      </c>
      <c r="J149" t="n">
        <v>2000</v>
      </c>
      <c r="K149" t="n">
        <v>11712</v>
      </c>
      <c r="L149" t="n">
        <v>2480</v>
      </c>
      <c r="M149" t="n">
        <v>1048</v>
      </c>
      <c r="N149" t="n">
        <v>1740</v>
      </c>
      <c r="O149" t="n">
        <v>2480</v>
      </c>
      <c r="P149" t="n">
        <v>3220</v>
      </c>
      <c r="Q149" t="n">
        <v>3960</v>
      </c>
      <c r="R149" t="n">
        <v>4700</v>
      </c>
      <c r="S149" t="n">
        <v>5440</v>
      </c>
      <c r="T149" t="n">
        <v>6180</v>
      </c>
      <c r="U149" t="n">
        <v>6920</v>
      </c>
      <c r="V149" t="n">
        <v>3063</v>
      </c>
      <c r="W149" t="n">
        <v>1592</v>
      </c>
      <c r="X149" t="n">
        <v>1444</v>
      </c>
      <c r="Y149" t="n">
        <v>7280</v>
      </c>
    </row>
    <row r="150">
      <c r="A150" t="n">
        <v>149</v>
      </c>
      <c r="B150" t="n">
        <v>0</v>
      </c>
      <c r="C150" t="n">
        <v>9324</v>
      </c>
      <c r="D150" t="n">
        <v>19166</v>
      </c>
      <c r="E150" t="n">
        <v>80549</v>
      </c>
      <c r="F150" t="n">
        <v>335832</v>
      </c>
      <c r="G150" t="n">
        <v>1380029</v>
      </c>
      <c r="H150" t="n">
        <v>5608608</v>
      </c>
      <c r="I150" t="n">
        <v>22473179</v>
      </c>
      <c r="J150" t="n">
        <v>2000</v>
      </c>
      <c r="K150" t="n">
        <v>11830</v>
      </c>
      <c r="L150" t="n">
        <v>2490</v>
      </c>
      <c r="M150" t="n">
        <v>1049</v>
      </c>
      <c r="N150" t="n">
        <v>1745</v>
      </c>
      <c r="O150" t="n">
        <v>2490</v>
      </c>
      <c r="P150" t="n">
        <v>3235</v>
      </c>
      <c r="Q150" t="n">
        <v>3980</v>
      </c>
      <c r="R150" t="n">
        <v>4725</v>
      </c>
      <c r="S150" t="n">
        <v>5470</v>
      </c>
      <c r="T150" t="n">
        <v>6215</v>
      </c>
      <c r="U150" t="n">
        <v>6960</v>
      </c>
      <c r="V150" t="n">
        <v>3083</v>
      </c>
      <c r="W150" t="n">
        <v>1596</v>
      </c>
      <c r="X150" t="n">
        <v>1447</v>
      </c>
      <c r="Y150" t="n">
        <v>7290</v>
      </c>
    </row>
    <row r="151">
      <c r="A151" t="n">
        <v>150</v>
      </c>
      <c r="B151" t="n">
        <v>0</v>
      </c>
      <c r="C151" t="n">
        <v>9464</v>
      </c>
      <c r="D151" t="n">
        <v>19550</v>
      </c>
      <c r="E151" t="n">
        <v>82966</v>
      </c>
      <c r="F151" t="n">
        <v>349266</v>
      </c>
      <c r="G151" t="n">
        <v>1449031</v>
      </c>
      <c r="H151" t="n">
        <v>5945125</v>
      </c>
      <c r="I151" t="n">
        <v>24046302</v>
      </c>
      <c r="J151" t="n">
        <v>2000</v>
      </c>
      <c r="K151" t="n">
        <v>11949</v>
      </c>
      <c r="L151" t="n">
        <v>2500</v>
      </c>
      <c r="M151" t="n">
        <v>1050</v>
      </c>
      <c r="N151" t="n">
        <v>1750</v>
      </c>
      <c r="O151" t="n">
        <v>2500</v>
      </c>
      <c r="P151" t="n">
        <v>3250</v>
      </c>
      <c r="Q151" t="n">
        <v>4000</v>
      </c>
      <c r="R151" t="n">
        <v>4750</v>
      </c>
      <c r="S151" t="n">
        <v>5500</v>
      </c>
      <c r="T151" t="n">
        <v>6250</v>
      </c>
      <c r="U151" t="n">
        <v>7000</v>
      </c>
      <c r="V151" t="n">
        <v>3103</v>
      </c>
      <c r="W151" t="n">
        <v>1600</v>
      </c>
      <c r="X151" t="n">
        <v>1450</v>
      </c>
      <c r="Y151" t="n">
        <v>7300</v>
      </c>
    </row>
    <row r="152">
      <c r="A152" t="n">
        <v>151</v>
      </c>
      <c r="B152" t="n">
        <v>0</v>
      </c>
      <c r="C152" t="n">
        <v>9606</v>
      </c>
      <c r="D152" t="n">
        <v>19941</v>
      </c>
      <c r="E152" t="n">
        <v>85455</v>
      </c>
      <c r="F152" t="n">
        <v>363237</v>
      </c>
      <c r="G152" t="n">
        <v>1521483</v>
      </c>
      <c r="H152" t="n">
        <v>6301833</v>
      </c>
      <c r="I152" t="n">
        <v>25729544</v>
      </c>
      <c r="J152" t="n">
        <v>2000</v>
      </c>
      <c r="K152" t="n">
        <v>12069</v>
      </c>
      <c r="L152" t="n">
        <v>2500</v>
      </c>
      <c r="M152" t="n">
        <v>1051</v>
      </c>
      <c r="N152" t="n">
        <v>1755</v>
      </c>
      <c r="O152" t="n">
        <v>2510</v>
      </c>
      <c r="P152" t="n">
        <v>3265</v>
      </c>
      <c r="Q152" t="n">
        <v>4020</v>
      </c>
      <c r="R152" t="n">
        <v>4775</v>
      </c>
      <c r="S152" t="n">
        <v>5530</v>
      </c>
      <c r="T152" t="n">
        <v>6285</v>
      </c>
      <c r="U152" t="n">
        <v>7040</v>
      </c>
      <c r="V152" t="n">
        <v>3123</v>
      </c>
      <c r="W152" t="n">
        <v>1604</v>
      </c>
      <c r="X152" t="n">
        <v>1453</v>
      </c>
      <c r="Y152" t="n">
        <v>7310</v>
      </c>
    </row>
    <row r="153">
      <c r="A153" t="n">
        <v>152</v>
      </c>
      <c r="B153" t="n">
        <v>0</v>
      </c>
      <c r="C153" t="n">
        <v>9751</v>
      </c>
      <c r="D153" t="n">
        <v>20340</v>
      </c>
      <c r="E153" t="n">
        <v>88019</v>
      </c>
      <c r="F153" t="n">
        <v>377767</v>
      </c>
      <c r="G153" t="n">
        <v>1597558</v>
      </c>
      <c r="H153" t="n">
        <v>6679943</v>
      </c>
      <c r="I153" t="n">
        <v>27530613</v>
      </c>
      <c r="J153" t="n">
        <v>2000</v>
      </c>
      <c r="K153" t="n">
        <v>12190</v>
      </c>
      <c r="L153" t="n">
        <v>2500</v>
      </c>
      <c r="M153" t="n">
        <v>1052</v>
      </c>
      <c r="N153" t="n">
        <v>1760</v>
      </c>
      <c r="O153" t="n">
        <v>2520</v>
      </c>
      <c r="P153" t="n">
        <v>3280</v>
      </c>
      <c r="Q153" t="n">
        <v>4040</v>
      </c>
      <c r="R153" t="n">
        <v>4800</v>
      </c>
      <c r="S153" t="n">
        <v>5560</v>
      </c>
      <c r="T153" t="n">
        <v>6320</v>
      </c>
      <c r="U153" t="n">
        <v>7080</v>
      </c>
      <c r="V153" t="n">
        <v>3143</v>
      </c>
      <c r="W153" t="n">
        <v>1608</v>
      </c>
      <c r="X153" t="n">
        <v>1456</v>
      </c>
      <c r="Y153" t="n">
        <v>7320</v>
      </c>
    </row>
    <row r="154">
      <c r="A154" t="n">
        <v>153</v>
      </c>
      <c r="B154" t="n">
        <v>0</v>
      </c>
      <c r="C154" t="n">
        <v>9898</v>
      </c>
      <c r="D154" t="n">
        <v>20747</v>
      </c>
      <c r="E154" t="n">
        <v>90660</v>
      </c>
      <c r="F154" t="n">
        <v>392878</v>
      </c>
      <c r="G154" t="n">
        <v>1677436</v>
      </c>
      <c r="H154" t="n">
        <v>7080740</v>
      </c>
      <c r="I154" t="n">
        <v>29457756</v>
      </c>
      <c r="J154" t="n">
        <v>2000</v>
      </c>
      <c r="K154" t="n">
        <v>12312</v>
      </c>
      <c r="L154" t="n">
        <v>2500</v>
      </c>
      <c r="M154" t="n">
        <v>1053</v>
      </c>
      <c r="N154" t="n">
        <v>1765</v>
      </c>
      <c r="O154" t="n">
        <v>2530</v>
      </c>
      <c r="P154" t="n">
        <v>3295</v>
      </c>
      <c r="Q154" t="n">
        <v>4060</v>
      </c>
      <c r="R154" t="n">
        <v>4825</v>
      </c>
      <c r="S154" t="n">
        <v>5590</v>
      </c>
      <c r="T154" t="n">
        <v>6355</v>
      </c>
      <c r="U154" t="n">
        <v>7120</v>
      </c>
      <c r="V154" t="n">
        <v>3163</v>
      </c>
      <c r="W154" t="n">
        <v>1612</v>
      </c>
      <c r="X154" t="n">
        <v>1459</v>
      </c>
      <c r="Y154" t="n">
        <v>7330</v>
      </c>
    </row>
    <row r="155">
      <c r="A155" t="n">
        <v>154</v>
      </c>
      <c r="B155" t="n">
        <v>0</v>
      </c>
      <c r="C155" t="n">
        <v>10047</v>
      </c>
      <c r="D155" t="n">
        <v>21162</v>
      </c>
      <c r="E155" t="n">
        <v>93380</v>
      </c>
      <c r="F155" t="n">
        <v>408594</v>
      </c>
      <c r="G155" t="n">
        <v>1761308</v>
      </c>
      <c r="H155" t="n">
        <v>7505585</v>
      </c>
      <c r="I155" t="n">
        <v>31519799</v>
      </c>
      <c r="J155" t="n">
        <v>2000</v>
      </c>
      <c r="K155" t="n">
        <v>12436</v>
      </c>
      <c r="L155" t="n">
        <v>2500</v>
      </c>
      <c r="M155" t="n">
        <v>1054</v>
      </c>
      <c r="N155" t="n">
        <v>1770</v>
      </c>
      <c r="O155" t="n">
        <v>2540</v>
      </c>
      <c r="P155" t="n">
        <v>3310</v>
      </c>
      <c r="Q155" t="n">
        <v>4080</v>
      </c>
      <c r="R155" t="n">
        <v>4850</v>
      </c>
      <c r="S155" t="n">
        <v>5620</v>
      </c>
      <c r="T155" t="n">
        <v>6390</v>
      </c>
      <c r="U155" t="n">
        <v>7160</v>
      </c>
      <c r="V155" t="n">
        <v>3183</v>
      </c>
      <c r="W155" t="n">
        <v>1616</v>
      </c>
      <c r="X155" t="n">
        <v>1462</v>
      </c>
      <c r="Y155" t="n">
        <v>7340</v>
      </c>
    </row>
    <row r="156">
      <c r="A156" t="n">
        <v>155</v>
      </c>
      <c r="B156" t="n">
        <v>0</v>
      </c>
      <c r="C156" t="n">
        <v>10198</v>
      </c>
      <c r="D156" t="n">
        <v>21586</v>
      </c>
      <c r="E156" t="n">
        <v>96182</v>
      </c>
      <c r="F156" t="n">
        <v>424938</v>
      </c>
      <c r="G156" t="n">
        <v>1849374</v>
      </c>
      <c r="H156" t="n">
        <v>7955921</v>
      </c>
      <c r="I156" t="n">
        <v>33726185</v>
      </c>
      <c r="J156" t="n">
        <v>2000</v>
      </c>
      <c r="K156" t="n">
        <v>12561</v>
      </c>
      <c r="L156" t="n">
        <v>2500</v>
      </c>
      <c r="M156" t="n">
        <v>1055</v>
      </c>
      <c r="N156" t="n">
        <v>1775</v>
      </c>
      <c r="O156" t="n">
        <v>2550</v>
      </c>
      <c r="P156" t="n">
        <v>3325</v>
      </c>
      <c r="Q156" t="n">
        <v>4100</v>
      </c>
      <c r="R156" t="n">
        <v>4875</v>
      </c>
      <c r="S156" t="n">
        <v>5650</v>
      </c>
      <c r="T156" t="n">
        <v>6425</v>
      </c>
      <c r="U156" t="n">
        <v>7200</v>
      </c>
      <c r="V156" t="n">
        <v>3203</v>
      </c>
      <c r="W156" t="n">
        <v>1620</v>
      </c>
      <c r="X156" t="n">
        <v>1465</v>
      </c>
      <c r="Y156" t="n">
        <v>7350</v>
      </c>
    </row>
    <row r="157">
      <c r="A157" t="n">
        <v>156</v>
      </c>
      <c r="B157" t="n">
        <v>0</v>
      </c>
      <c r="C157" t="n">
        <v>10351</v>
      </c>
      <c r="D157" t="n">
        <v>22018</v>
      </c>
      <c r="E157" t="n">
        <v>99068</v>
      </c>
      <c r="F157" t="n">
        <v>441936</v>
      </c>
      <c r="G157" t="n">
        <v>1941843</v>
      </c>
      <c r="H157" t="n">
        <v>8433277</v>
      </c>
      <c r="I157" t="n">
        <v>36087018</v>
      </c>
      <c r="J157" t="n">
        <v>2000</v>
      </c>
      <c r="K157" t="n">
        <v>12687</v>
      </c>
      <c r="L157" t="n">
        <v>2500</v>
      </c>
      <c r="M157" t="n">
        <v>1056</v>
      </c>
      <c r="N157" t="n">
        <v>1780</v>
      </c>
      <c r="O157" t="n">
        <v>2560</v>
      </c>
      <c r="P157" t="n">
        <v>3340</v>
      </c>
      <c r="Q157" t="n">
        <v>4120</v>
      </c>
      <c r="R157" t="n">
        <v>4900</v>
      </c>
      <c r="S157" t="n">
        <v>5680</v>
      </c>
      <c r="T157" t="n">
        <v>6460</v>
      </c>
      <c r="U157" t="n">
        <v>7240</v>
      </c>
      <c r="V157" t="n">
        <v>3224</v>
      </c>
      <c r="W157" t="n">
        <v>1624</v>
      </c>
      <c r="X157" t="n">
        <v>1468</v>
      </c>
      <c r="Y157" t="n">
        <v>7360</v>
      </c>
    </row>
    <row r="158">
      <c r="A158" t="n">
        <v>157</v>
      </c>
      <c r="B158" t="n">
        <v>0</v>
      </c>
      <c r="C158" t="n">
        <v>10507</v>
      </c>
      <c r="D158" t="n">
        <v>22459</v>
      </c>
      <c r="E158" t="n">
        <v>102041</v>
      </c>
      <c r="F158" t="n">
        <v>459614</v>
      </c>
      <c r="G158" t="n">
        <v>2038936</v>
      </c>
      <c r="H158" t="n">
        <v>8939274</v>
      </c>
      <c r="I158" t="n">
        <v>38613110</v>
      </c>
      <c r="J158" t="n">
        <v>2000</v>
      </c>
      <c r="K158" t="n">
        <v>12814</v>
      </c>
      <c r="L158" t="n">
        <v>2500</v>
      </c>
      <c r="M158" t="n">
        <v>1057</v>
      </c>
      <c r="N158" t="n">
        <v>1785</v>
      </c>
      <c r="O158" t="n">
        <v>2570</v>
      </c>
      <c r="P158" t="n">
        <v>3355</v>
      </c>
      <c r="Q158" t="n">
        <v>4140</v>
      </c>
      <c r="R158" t="n">
        <v>4925</v>
      </c>
      <c r="S158" t="n">
        <v>5710</v>
      </c>
      <c r="T158" t="n">
        <v>6495</v>
      </c>
      <c r="U158" t="n">
        <v>7280</v>
      </c>
      <c r="V158" t="n">
        <v>3245</v>
      </c>
      <c r="W158" t="n">
        <v>1628</v>
      </c>
      <c r="X158" t="n">
        <v>1471</v>
      </c>
      <c r="Y158" t="n">
        <v>7370</v>
      </c>
    </row>
    <row r="159">
      <c r="A159" t="n">
        <v>158</v>
      </c>
      <c r="B159" t="n">
        <v>0</v>
      </c>
      <c r="C159" t="n">
        <v>10665</v>
      </c>
      <c r="D159" t="n">
        <v>22909</v>
      </c>
      <c r="E159" t="n">
        <v>105103</v>
      </c>
      <c r="F159" t="n">
        <v>477999</v>
      </c>
      <c r="G159" t="n">
        <v>2140883</v>
      </c>
      <c r="H159" t="n">
        <v>9475631</v>
      </c>
      <c r="I159" t="n">
        <v>41316028</v>
      </c>
      <c r="J159" t="n">
        <v>2000</v>
      </c>
      <c r="K159" t="n">
        <v>12943</v>
      </c>
      <c r="L159" t="n">
        <v>2500</v>
      </c>
      <c r="M159" t="n">
        <v>1058</v>
      </c>
      <c r="N159" t="n">
        <v>1790</v>
      </c>
      <c r="O159" t="n">
        <v>2580</v>
      </c>
      <c r="P159" t="n">
        <v>3370</v>
      </c>
      <c r="Q159" t="n">
        <v>4160</v>
      </c>
      <c r="R159" t="n">
        <v>4950</v>
      </c>
      <c r="S159" t="n">
        <v>5740</v>
      </c>
      <c r="T159" t="n">
        <v>6530</v>
      </c>
      <c r="U159" t="n">
        <v>7320</v>
      </c>
      <c r="V159" t="n">
        <v>3266</v>
      </c>
      <c r="W159" t="n">
        <v>1632</v>
      </c>
      <c r="X159" t="n">
        <v>1474</v>
      </c>
      <c r="Y159" t="n">
        <v>7380</v>
      </c>
    </row>
    <row r="160">
      <c r="A160" t="n">
        <v>159</v>
      </c>
      <c r="B160" t="n">
        <v>0</v>
      </c>
      <c r="C160" t="n">
        <v>10825</v>
      </c>
      <c r="D160" t="n">
        <v>23368</v>
      </c>
      <c r="E160" t="n">
        <v>108257</v>
      </c>
      <c r="F160" t="n">
        <v>497119</v>
      </c>
      <c r="G160" t="n">
        <v>2247928</v>
      </c>
      <c r="H160" t="n">
        <v>10044169</v>
      </c>
      <c r="I160" t="n">
        <v>44208150</v>
      </c>
      <c r="J160" t="n">
        <v>2000</v>
      </c>
      <c r="K160" t="n">
        <v>13073</v>
      </c>
      <c r="L160" t="n">
        <v>2500</v>
      </c>
      <c r="M160" t="n">
        <v>1059</v>
      </c>
      <c r="N160" t="n">
        <v>1795</v>
      </c>
      <c r="O160" t="n">
        <v>2590</v>
      </c>
      <c r="P160" t="n">
        <v>3385</v>
      </c>
      <c r="Q160" t="n">
        <v>4180</v>
      </c>
      <c r="R160" t="n">
        <v>4975</v>
      </c>
      <c r="S160" t="n">
        <v>5770</v>
      </c>
      <c r="T160" t="n">
        <v>6565</v>
      </c>
      <c r="U160" t="n">
        <v>7360</v>
      </c>
      <c r="V160" t="n">
        <v>3287</v>
      </c>
      <c r="W160" t="n">
        <v>1636</v>
      </c>
      <c r="X160" t="n">
        <v>1477</v>
      </c>
      <c r="Y160" t="n">
        <v>7390</v>
      </c>
    </row>
    <row r="161">
      <c r="A161" t="n">
        <v>160</v>
      </c>
      <c r="B161" t="n">
        <v>0</v>
      </c>
      <c r="C161" t="n">
        <v>10988</v>
      </c>
      <c r="D161" t="n">
        <v>23836</v>
      </c>
      <c r="E161" t="n">
        <v>111505</v>
      </c>
      <c r="F161" t="n">
        <v>517004</v>
      </c>
      <c r="G161" t="n">
        <v>2360325</v>
      </c>
      <c r="H161" t="n">
        <v>10646820</v>
      </c>
      <c r="I161" t="n">
        <v>47302721</v>
      </c>
      <c r="J161" t="n">
        <v>2000</v>
      </c>
      <c r="K161" t="n">
        <v>13204</v>
      </c>
      <c r="L161" t="n">
        <v>2500</v>
      </c>
      <c r="M161" t="n">
        <v>1060</v>
      </c>
      <c r="N161" t="n">
        <v>1800</v>
      </c>
      <c r="O161" t="n">
        <v>2600</v>
      </c>
      <c r="P161" t="n">
        <v>3400</v>
      </c>
      <c r="Q161" t="n">
        <v>4200</v>
      </c>
      <c r="R161" t="n">
        <v>5000</v>
      </c>
      <c r="S161" t="n">
        <v>5800</v>
      </c>
      <c r="T161" t="n">
        <v>6600</v>
      </c>
      <c r="U161" t="n">
        <v>7400</v>
      </c>
      <c r="V161" t="n">
        <v>3308</v>
      </c>
      <c r="W161" t="n">
        <v>1640</v>
      </c>
      <c r="X161" t="n">
        <v>1480</v>
      </c>
      <c r="Y161" t="n">
        <v>7400</v>
      </c>
    </row>
    <row r="162">
      <c r="A162" t="n">
        <v>161</v>
      </c>
      <c r="B162" t="n">
        <v>0</v>
      </c>
      <c r="C162" t="n">
        <v>11153</v>
      </c>
      <c r="D162" t="n">
        <v>24313</v>
      </c>
      <c r="E162" t="n">
        <v>114851</v>
      </c>
      <c r="F162" t="n">
        <v>537685</v>
      </c>
      <c r="G162" t="n">
        <v>2478342</v>
      </c>
      <c r="H162" t="n">
        <v>11285630</v>
      </c>
      <c r="I162" t="n">
        <v>50613912</v>
      </c>
      <c r="J162" t="n">
        <v>2000</v>
      </c>
      <c r="K162" t="n">
        <v>13337</v>
      </c>
      <c r="L162" t="n">
        <v>2500</v>
      </c>
      <c r="M162" t="n">
        <v>1061</v>
      </c>
      <c r="N162" t="n">
        <v>1805</v>
      </c>
      <c r="O162" t="n">
        <v>2610</v>
      </c>
      <c r="P162" t="n">
        <v>3415</v>
      </c>
      <c r="Q162" t="n">
        <v>4220</v>
      </c>
      <c r="R162" t="n">
        <v>5025</v>
      </c>
      <c r="S162" t="n">
        <v>5830</v>
      </c>
      <c r="T162" t="n">
        <v>6635</v>
      </c>
      <c r="U162" t="n">
        <v>7440</v>
      </c>
      <c r="V162" t="n">
        <v>3329</v>
      </c>
      <c r="W162" t="n">
        <v>1644</v>
      </c>
      <c r="X162" t="n">
        <v>1483</v>
      </c>
      <c r="Y162" t="n">
        <v>7410</v>
      </c>
    </row>
    <row r="163">
      <c r="A163" t="n">
        <v>162</v>
      </c>
      <c r="B163" t="n">
        <v>0</v>
      </c>
      <c r="C163" t="n">
        <v>11321</v>
      </c>
      <c r="D163" t="n">
        <v>24800</v>
      </c>
      <c r="E163" t="n">
        <v>118297</v>
      </c>
      <c r="F163" t="n">
        <v>559193</v>
      </c>
      <c r="G163" t="n">
        <v>2602260</v>
      </c>
      <c r="H163" t="n">
        <v>11962768</v>
      </c>
      <c r="I163" t="n">
        <v>54156886</v>
      </c>
      <c r="J163" t="n">
        <v>2000</v>
      </c>
      <c r="K163" t="n">
        <v>13471</v>
      </c>
      <c r="L163" t="n">
        <v>2500</v>
      </c>
      <c r="M163" t="n">
        <v>1062</v>
      </c>
      <c r="N163" t="n">
        <v>1810</v>
      </c>
      <c r="O163" t="n">
        <v>2620</v>
      </c>
      <c r="P163" t="n">
        <v>3430</v>
      </c>
      <c r="Q163" t="n">
        <v>4240</v>
      </c>
      <c r="R163" t="n">
        <v>5050</v>
      </c>
      <c r="S163" t="n">
        <v>5860</v>
      </c>
      <c r="T163" t="n">
        <v>6670</v>
      </c>
      <c r="U163" t="n">
        <v>7480</v>
      </c>
      <c r="V163" t="n">
        <v>3350</v>
      </c>
      <c r="W163" t="n">
        <v>1648</v>
      </c>
      <c r="X163" t="n">
        <v>1486</v>
      </c>
      <c r="Y163" t="n">
        <v>7420</v>
      </c>
    </row>
    <row r="164">
      <c r="A164" t="n">
        <v>163</v>
      </c>
      <c r="B164" t="n">
        <v>0</v>
      </c>
      <c r="C164" t="n">
        <v>11491</v>
      </c>
      <c r="D164" t="n">
        <v>25296</v>
      </c>
      <c r="E164" t="n">
        <v>121846</v>
      </c>
      <c r="F164" t="n">
        <v>581561</v>
      </c>
      <c r="G164" t="n">
        <v>2732373</v>
      </c>
      <c r="H164" t="n">
        <v>12680535</v>
      </c>
      <c r="I164" t="n">
        <v>57947869</v>
      </c>
      <c r="J164" t="n">
        <v>2000</v>
      </c>
      <c r="K164" t="n">
        <v>13606</v>
      </c>
      <c r="L164" t="n">
        <v>2500</v>
      </c>
      <c r="M164" t="n">
        <v>1063</v>
      </c>
      <c r="N164" t="n">
        <v>1815</v>
      </c>
      <c r="O164" t="n">
        <v>2630</v>
      </c>
      <c r="P164" t="n">
        <v>3445</v>
      </c>
      <c r="Q164" t="n">
        <v>4260</v>
      </c>
      <c r="R164" t="n">
        <v>5075</v>
      </c>
      <c r="S164" t="n">
        <v>5890</v>
      </c>
      <c r="T164" t="n">
        <v>6705</v>
      </c>
      <c r="U164" t="n">
        <v>7520</v>
      </c>
      <c r="V164" t="n">
        <v>3371</v>
      </c>
      <c r="W164" t="n">
        <v>1652</v>
      </c>
      <c r="X164" t="n">
        <v>1489</v>
      </c>
      <c r="Y164" t="n">
        <v>7430</v>
      </c>
    </row>
    <row r="165">
      <c r="A165" t="n">
        <v>164</v>
      </c>
      <c r="B165" t="n">
        <v>0</v>
      </c>
      <c r="C165" t="n">
        <v>11664</v>
      </c>
      <c r="D165" t="n">
        <v>25802</v>
      </c>
      <c r="E165" t="n">
        <v>125502</v>
      </c>
      <c r="F165" t="n">
        <v>604824</v>
      </c>
      <c r="G165" t="n">
        <v>2868992</v>
      </c>
      <c r="H165" t="n">
        <v>13441368</v>
      </c>
      <c r="I165" t="n">
        <v>62004220</v>
      </c>
      <c r="J165" t="n">
        <v>2000</v>
      </c>
      <c r="K165" t="n">
        <v>13743</v>
      </c>
      <c r="L165" t="n">
        <v>2500</v>
      </c>
      <c r="M165" t="n">
        <v>1064</v>
      </c>
      <c r="N165" t="n">
        <v>1820</v>
      </c>
      <c r="O165" t="n">
        <v>2640</v>
      </c>
      <c r="P165" t="n">
        <v>3460</v>
      </c>
      <c r="Q165" t="n">
        <v>4280</v>
      </c>
      <c r="R165" t="n">
        <v>5100</v>
      </c>
      <c r="S165" t="n">
        <v>5920</v>
      </c>
      <c r="T165" t="n">
        <v>6740</v>
      </c>
      <c r="U165" t="n">
        <v>7560</v>
      </c>
      <c r="V165" t="n">
        <v>3392</v>
      </c>
      <c r="W165" t="n">
        <v>1656</v>
      </c>
      <c r="X165" t="n">
        <v>1492</v>
      </c>
      <c r="Y165" t="n">
        <v>7440</v>
      </c>
    </row>
    <row r="166">
      <c r="A166" t="n">
        <v>165</v>
      </c>
      <c r="B166" t="n">
        <v>0</v>
      </c>
      <c r="C166" t="n">
        <v>11839</v>
      </c>
      <c r="D166" t="n">
        <v>26319</v>
      </c>
      <c r="E166" t="n">
        <v>129268</v>
      </c>
      <c r="F166" t="n">
        <v>629017</v>
      </c>
      <c r="G166" t="n">
        <v>3012442</v>
      </c>
      <c r="H166" t="n">
        <v>14247851</v>
      </c>
      <c r="I166" t="n">
        <v>66344516</v>
      </c>
      <c r="J166" t="n">
        <v>2000</v>
      </c>
      <c r="K166" t="n">
        <v>13881</v>
      </c>
      <c r="L166" t="n">
        <v>2500</v>
      </c>
      <c r="M166" t="n">
        <v>1065</v>
      </c>
      <c r="N166" t="n">
        <v>1825</v>
      </c>
      <c r="O166" t="n">
        <v>2650</v>
      </c>
      <c r="P166" t="n">
        <v>3475</v>
      </c>
      <c r="Q166" t="n">
        <v>4300</v>
      </c>
      <c r="R166" t="n">
        <v>5125</v>
      </c>
      <c r="S166" t="n">
        <v>5950</v>
      </c>
      <c r="T166" t="n">
        <v>6775</v>
      </c>
      <c r="U166" t="n">
        <v>7600</v>
      </c>
      <c r="V166" t="n">
        <v>3413</v>
      </c>
      <c r="W166" t="n">
        <v>1660</v>
      </c>
      <c r="X166" t="n">
        <v>1495</v>
      </c>
      <c r="Y166" t="n">
        <v>7450</v>
      </c>
    </row>
    <row r="167">
      <c r="A167" t="n">
        <v>166</v>
      </c>
      <c r="B167" t="n">
        <v>0</v>
      </c>
      <c r="C167" t="n">
        <v>12017</v>
      </c>
      <c r="D167" t="n">
        <v>26846</v>
      </c>
      <c r="E167" t="n">
        <v>133147</v>
      </c>
      <c r="F167" t="n">
        <v>654178</v>
      </c>
      <c r="G167" t="n">
        <v>3163065</v>
      </c>
      <c r="H167" t="n">
        <v>15102723</v>
      </c>
      <c r="I167" t="n">
        <v>70988633</v>
      </c>
      <c r="J167" t="n">
        <v>2000</v>
      </c>
      <c r="K167" t="n">
        <v>14020</v>
      </c>
      <c r="L167" t="n">
        <v>2500</v>
      </c>
      <c r="M167" t="n">
        <v>1066</v>
      </c>
      <c r="N167" t="n">
        <v>1830</v>
      </c>
      <c r="O167" t="n">
        <v>2660</v>
      </c>
      <c r="P167" t="n">
        <v>3490</v>
      </c>
      <c r="Q167" t="n">
        <v>4320</v>
      </c>
      <c r="R167" t="n">
        <v>5150</v>
      </c>
      <c r="S167" t="n">
        <v>5980</v>
      </c>
      <c r="T167" t="n">
        <v>6810</v>
      </c>
      <c r="U167" t="n">
        <v>7640</v>
      </c>
      <c r="V167" t="n">
        <v>3435</v>
      </c>
      <c r="W167" t="n">
        <v>1664</v>
      </c>
      <c r="X167" t="n">
        <v>1498</v>
      </c>
      <c r="Y167" t="n">
        <v>7460</v>
      </c>
    </row>
    <row r="168">
      <c r="A168" t="n">
        <v>167</v>
      </c>
      <c r="B168" t="n">
        <v>0</v>
      </c>
      <c r="C168" t="n">
        <v>12198</v>
      </c>
      <c r="D168" t="n">
        <v>27383</v>
      </c>
      <c r="E168" t="n">
        <v>137142</v>
      </c>
      <c r="F168" t="n">
        <v>680346</v>
      </c>
      <c r="G168" t="n">
        <v>3321219</v>
      </c>
      <c r="H168" t="n">
        <v>16008887</v>
      </c>
      <c r="I168" t="n">
        <v>75957838</v>
      </c>
      <c r="J168" t="n">
        <v>2000</v>
      </c>
      <c r="K168" t="n">
        <v>14161</v>
      </c>
      <c r="L168" t="n">
        <v>2500</v>
      </c>
      <c r="M168" t="n">
        <v>1067</v>
      </c>
      <c r="N168" t="n">
        <v>1835</v>
      </c>
      <c r="O168" t="n">
        <v>2670</v>
      </c>
      <c r="P168" t="n">
        <v>3505</v>
      </c>
      <c r="Q168" t="n">
        <v>4340</v>
      </c>
      <c r="R168" t="n">
        <v>5175</v>
      </c>
      <c r="S168" t="n">
        <v>6010</v>
      </c>
      <c r="T168" t="n">
        <v>6845</v>
      </c>
      <c r="U168" t="n">
        <v>7680</v>
      </c>
      <c r="V168" t="n">
        <v>3457</v>
      </c>
      <c r="W168" t="n">
        <v>1668</v>
      </c>
      <c r="X168" t="n">
        <v>1501</v>
      </c>
      <c r="Y168" t="n">
        <v>7470</v>
      </c>
    </row>
    <row r="169">
      <c r="A169" t="n">
        <v>168</v>
      </c>
      <c r="B169" t="n">
        <v>0</v>
      </c>
      <c r="C169" t="n">
        <v>12381</v>
      </c>
      <c r="D169" t="n">
        <v>27931</v>
      </c>
      <c r="E169" t="n">
        <v>141257</v>
      </c>
      <c r="F169" t="n">
        <v>707560</v>
      </c>
      <c r="G169" t="n">
        <v>3487280</v>
      </c>
      <c r="H169" t="n">
        <v>16969421</v>
      </c>
      <c r="I169" t="n">
        <v>81274887</v>
      </c>
      <c r="J169" t="n">
        <v>2000</v>
      </c>
      <c r="K169" t="n">
        <v>14303</v>
      </c>
      <c r="L169" t="n">
        <v>2500</v>
      </c>
      <c r="M169" t="n">
        <v>1068</v>
      </c>
      <c r="N169" t="n">
        <v>1840</v>
      </c>
      <c r="O169" t="n">
        <v>2680</v>
      </c>
      <c r="P169" t="n">
        <v>3520</v>
      </c>
      <c r="Q169" t="n">
        <v>4360</v>
      </c>
      <c r="R169" t="n">
        <v>5200</v>
      </c>
      <c r="S169" t="n">
        <v>6040</v>
      </c>
      <c r="T169" t="n">
        <v>6880</v>
      </c>
      <c r="U169" t="n">
        <v>7720</v>
      </c>
      <c r="V169" t="n">
        <v>3479</v>
      </c>
      <c r="W169" t="n">
        <v>1672</v>
      </c>
      <c r="X169" t="n">
        <v>1504</v>
      </c>
      <c r="Y169" t="n">
        <v>7480</v>
      </c>
    </row>
    <row r="170">
      <c r="A170" t="n">
        <v>169</v>
      </c>
      <c r="B170" t="n">
        <v>0</v>
      </c>
      <c r="C170" t="n">
        <v>12567</v>
      </c>
      <c r="D170" t="n">
        <v>28490</v>
      </c>
      <c r="E170" t="n">
        <v>145495</v>
      </c>
      <c r="F170" t="n">
        <v>735863</v>
      </c>
      <c r="G170" t="n">
        <v>3661644</v>
      </c>
      <c r="H170" t="n">
        <v>17987587</v>
      </c>
      <c r="I170" t="n">
        <v>86964130</v>
      </c>
      <c r="J170" t="n">
        <v>2000</v>
      </c>
      <c r="K170" t="n">
        <v>14447</v>
      </c>
      <c r="L170" t="n">
        <v>2500</v>
      </c>
      <c r="M170" t="n">
        <v>1069</v>
      </c>
      <c r="N170" t="n">
        <v>1845</v>
      </c>
      <c r="O170" t="n">
        <v>2690</v>
      </c>
      <c r="P170" t="n">
        <v>3535</v>
      </c>
      <c r="Q170" t="n">
        <v>4380</v>
      </c>
      <c r="R170" t="n">
        <v>5225</v>
      </c>
      <c r="S170" t="n">
        <v>6070</v>
      </c>
      <c r="T170" t="n">
        <v>6915</v>
      </c>
      <c r="U170" t="n">
        <v>7760</v>
      </c>
      <c r="V170" t="n">
        <v>3501</v>
      </c>
      <c r="W170" t="n">
        <v>1676</v>
      </c>
      <c r="X170" t="n">
        <v>1507</v>
      </c>
      <c r="Y170" t="n">
        <v>7490</v>
      </c>
    </row>
    <row r="171">
      <c r="A171" t="n">
        <v>170</v>
      </c>
      <c r="B171" t="n">
        <v>0</v>
      </c>
      <c r="C171" t="n">
        <v>12756</v>
      </c>
      <c r="D171" t="n">
        <v>29060</v>
      </c>
      <c r="E171" t="n">
        <v>149860</v>
      </c>
      <c r="F171" t="n">
        <v>765298</v>
      </c>
      <c r="G171" t="n">
        <v>3844727</v>
      </c>
      <c r="H171" t="n">
        <v>19066843</v>
      </c>
      <c r="I171" t="n">
        <v>93051620</v>
      </c>
      <c r="J171" t="n">
        <v>2000</v>
      </c>
      <c r="K171" t="n">
        <v>14592</v>
      </c>
      <c r="L171" t="n">
        <v>2500</v>
      </c>
      <c r="M171" t="n">
        <v>1070</v>
      </c>
      <c r="N171" t="n">
        <v>1850</v>
      </c>
      <c r="O171" t="n">
        <v>2700</v>
      </c>
      <c r="P171" t="n">
        <v>3550</v>
      </c>
      <c r="Q171" t="n">
        <v>4400</v>
      </c>
      <c r="R171" t="n">
        <v>5250</v>
      </c>
      <c r="S171" t="n">
        <v>6100</v>
      </c>
      <c r="T171" t="n">
        <v>6950</v>
      </c>
      <c r="U171" t="n">
        <v>7800</v>
      </c>
      <c r="V171" t="n">
        <v>3523</v>
      </c>
      <c r="W171" t="n">
        <v>1680</v>
      </c>
      <c r="X171" t="n">
        <v>1510</v>
      </c>
      <c r="Y171" t="n">
        <v>7500</v>
      </c>
    </row>
    <row r="172">
      <c r="A172" t="n">
        <v>171</v>
      </c>
      <c r="B172" t="n">
        <v>0</v>
      </c>
      <c r="C172" t="n">
        <v>12948</v>
      </c>
      <c r="D172" t="n">
        <v>29642</v>
      </c>
      <c r="E172" t="n">
        <v>154356</v>
      </c>
      <c r="F172" t="n">
        <v>795910</v>
      </c>
      <c r="G172" t="n">
        <v>4036964</v>
      </c>
      <c r="H172" t="n">
        <v>20210854</v>
      </c>
      <c r="I172" t="n">
        <v>99565234</v>
      </c>
      <c r="J172" t="n">
        <v>2000</v>
      </c>
      <c r="K172" t="n">
        <v>14738</v>
      </c>
      <c r="L172" t="n">
        <v>2500</v>
      </c>
      <c r="M172" t="n">
        <v>1071</v>
      </c>
      <c r="N172" t="n">
        <v>1855</v>
      </c>
      <c r="O172" t="n">
        <v>2710</v>
      </c>
      <c r="P172" t="n">
        <v>3565</v>
      </c>
      <c r="Q172" t="n">
        <v>4420</v>
      </c>
      <c r="R172" t="n">
        <v>5275</v>
      </c>
      <c r="S172" t="n">
        <v>6130</v>
      </c>
      <c r="T172" t="n">
        <v>6985</v>
      </c>
      <c r="U172" t="n">
        <v>7840</v>
      </c>
      <c r="V172" t="n">
        <v>3545</v>
      </c>
      <c r="W172" t="n">
        <v>1684</v>
      </c>
      <c r="X172" t="n">
        <v>1513</v>
      </c>
      <c r="Y172" t="n">
        <v>7510</v>
      </c>
    </row>
    <row r="173">
      <c r="A173" t="n">
        <v>172</v>
      </c>
      <c r="B173" t="n">
        <v>0</v>
      </c>
      <c r="C173" t="n">
        <v>13143</v>
      </c>
      <c r="D173" t="n">
        <v>30235</v>
      </c>
      <c r="E173" t="n">
        <v>158987</v>
      </c>
      <c r="F173" t="n">
        <v>827747</v>
      </c>
      <c r="G173" t="n">
        <v>4238813</v>
      </c>
      <c r="H173" t="n">
        <v>21423506</v>
      </c>
      <c r="I173" t="n">
        <v>106534801</v>
      </c>
      <c r="J173" t="n">
        <v>2000</v>
      </c>
      <c r="K173" t="n">
        <v>14886</v>
      </c>
      <c r="L173" t="n">
        <v>2500</v>
      </c>
      <c r="M173" t="n">
        <v>1072</v>
      </c>
      <c r="N173" t="n">
        <v>1860</v>
      </c>
      <c r="O173" t="n">
        <v>2720</v>
      </c>
      <c r="P173" t="n">
        <v>3580</v>
      </c>
      <c r="Q173" t="n">
        <v>4440</v>
      </c>
      <c r="R173" t="n">
        <v>5300</v>
      </c>
      <c r="S173" t="n">
        <v>6160</v>
      </c>
      <c r="T173" t="n">
        <v>7020</v>
      </c>
      <c r="U173" t="n">
        <v>7880</v>
      </c>
      <c r="V173" t="n">
        <v>3567</v>
      </c>
      <c r="W173" t="n">
        <v>1688</v>
      </c>
      <c r="X173" t="n">
        <v>1516</v>
      </c>
      <c r="Y173" t="n">
        <v>7520</v>
      </c>
    </row>
    <row r="174">
      <c r="A174" t="n">
        <v>173</v>
      </c>
      <c r="B174" t="n">
        <v>0</v>
      </c>
      <c r="C174" t="n">
        <v>13341</v>
      </c>
      <c r="D174" t="n">
        <v>30840</v>
      </c>
      <c r="E174" t="n">
        <v>163757</v>
      </c>
      <c r="F174" t="n">
        <v>860857</v>
      </c>
      <c r="G174" t="n">
        <v>4450754</v>
      </c>
      <c r="H174" t="n">
        <v>22708917</v>
      </c>
      <c r="I174" t="n">
        <v>113992238</v>
      </c>
      <c r="J174" t="n">
        <v>2000</v>
      </c>
      <c r="K174" t="n">
        <v>15035</v>
      </c>
      <c r="L174" t="n">
        <v>2500</v>
      </c>
      <c r="M174" t="n">
        <v>1073</v>
      </c>
      <c r="N174" t="n">
        <v>1865</v>
      </c>
      <c r="O174" t="n">
        <v>2730</v>
      </c>
      <c r="P174" t="n">
        <v>3595</v>
      </c>
      <c r="Q174" t="n">
        <v>4460</v>
      </c>
      <c r="R174" t="n">
        <v>5325</v>
      </c>
      <c r="S174" t="n">
        <v>6190</v>
      </c>
      <c r="T174" t="n">
        <v>7055</v>
      </c>
      <c r="U174" t="n">
        <v>7920</v>
      </c>
      <c r="V174" t="n">
        <v>3589</v>
      </c>
      <c r="W174" t="n">
        <v>1692</v>
      </c>
      <c r="X174" t="n">
        <v>1519</v>
      </c>
      <c r="Y174" t="n">
        <v>7530</v>
      </c>
    </row>
    <row r="175">
      <c r="A175" t="n">
        <v>174</v>
      </c>
      <c r="B175" t="n">
        <v>0</v>
      </c>
      <c r="C175" t="n">
        <v>13542</v>
      </c>
      <c r="D175" t="n">
        <v>31457</v>
      </c>
      <c r="E175" t="n">
        <v>168670</v>
      </c>
      <c r="F175" t="n">
        <v>895292</v>
      </c>
      <c r="G175" t="n">
        <v>4673292</v>
      </c>
      <c r="H175" t="n">
        <v>24071453</v>
      </c>
      <c r="I175" t="n">
        <v>121971695</v>
      </c>
      <c r="J175" t="n">
        <v>2000</v>
      </c>
      <c r="K175" t="n">
        <v>15186</v>
      </c>
      <c r="L175" t="n">
        <v>2500</v>
      </c>
      <c r="M175" t="n">
        <v>1074</v>
      </c>
      <c r="N175" t="n">
        <v>1870</v>
      </c>
      <c r="O175" t="n">
        <v>2740</v>
      </c>
      <c r="P175" t="n">
        <v>3610</v>
      </c>
      <c r="Q175" t="n">
        <v>4480</v>
      </c>
      <c r="R175" t="n">
        <v>5350</v>
      </c>
      <c r="S175" t="n">
        <v>6220</v>
      </c>
      <c r="T175" t="n">
        <v>7090</v>
      </c>
      <c r="U175" t="n">
        <v>7960</v>
      </c>
      <c r="V175" t="n">
        <v>3611</v>
      </c>
      <c r="W175" t="n">
        <v>1696</v>
      </c>
      <c r="X175" t="n">
        <v>1522</v>
      </c>
      <c r="Y175" t="n">
        <v>7540</v>
      </c>
    </row>
    <row r="176">
      <c r="A176" t="n">
        <v>175</v>
      </c>
      <c r="B176" t="n">
        <v>0</v>
      </c>
      <c r="C176" t="n">
        <v>13746</v>
      </c>
      <c r="D176" t="n">
        <v>32087</v>
      </c>
      <c r="E176" t="n">
        <v>173731</v>
      </c>
      <c r="F176" t="n">
        <v>931104</v>
      </c>
      <c r="G176" t="n">
        <v>4906957</v>
      </c>
      <c r="H176" t="n">
        <v>25515741</v>
      </c>
      <c r="I176" t="n">
        <v>130509714</v>
      </c>
      <c r="J176" t="n">
        <v>2000</v>
      </c>
      <c r="K176" t="n">
        <v>15338</v>
      </c>
      <c r="L176" t="n">
        <v>2500</v>
      </c>
      <c r="M176" t="n">
        <v>1075</v>
      </c>
      <c r="N176" t="n">
        <v>1875</v>
      </c>
      <c r="O176" t="n">
        <v>2750</v>
      </c>
      <c r="P176" t="n">
        <v>3625</v>
      </c>
      <c r="Q176" t="n">
        <v>4500</v>
      </c>
      <c r="R176" t="n">
        <v>5375</v>
      </c>
      <c r="S176" t="n">
        <v>6250</v>
      </c>
      <c r="T176" t="n">
        <v>7125</v>
      </c>
      <c r="U176" t="n">
        <v>8000</v>
      </c>
      <c r="V176" t="n">
        <v>3634</v>
      </c>
      <c r="W176" t="n">
        <v>1700</v>
      </c>
      <c r="X176" t="n">
        <v>1525</v>
      </c>
      <c r="Y176" t="n">
        <v>7550</v>
      </c>
    </row>
    <row r="177">
      <c r="A177" t="n">
        <v>176</v>
      </c>
      <c r="B177" t="n">
        <v>0</v>
      </c>
      <c r="C177" t="n">
        <v>13953</v>
      </c>
      <c r="D177" t="n">
        <v>32729</v>
      </c>
      <c r="E177" t="n">
        <v>178943</v>
      </c>
      <c r="F177" t="n">
        <v>968349</v>
      </c>
      <c r="G177" t="n">
        <v>5152305</v>
      </c>
      <c r="H177" t="n">
        <v>27046686</v>
      </c>
      <c r="I177" t="n">
        <v>139645394</v>
      </c>
      <c r="J177" t="n">
        <v>2000</v>
      </c>
      <c r="K177" t="n">
        <v>15492</v>
      </c>
      <c r="L177" t="n">
        <v>2500</v>
      </c>
      <c r="M177" t="n">
        <v>1076</v>
      </c>
      <c r="N177" t="n">
        <v>1880</v>
      </c>
      <c r="O177" t="n">
        <v>2760</v>
      </c>
      <c r="P177" t="n">
        <v>3640</v>
      </c>
      <c r="Q177" t="n">
        <v>4520</v>
      </c>
      <c r="R177" t="n">
        <v>5400</v>
      </c>
      <c r="S177" t="n">
        <v>6280</v>
      </c>
      <c r="T177" t="n">
        <v>7160</v>
      </c>
      <c r="U177" t="n">
        <v>8040</v>
      </c>
      <c r="V177" t="n">
        <v>3657</v>
      </c>
      <c r="W177" t="n">
        <v>1704</v>
      </c>
      <c r="X177" t="n">
        <v>1528</v>
      </c>
      <c r="Y177" t="n">
        <v>7560</v>
      </c>
    </row>
    <row r="178">
      <c r="A178" t="n">
        <v>177</v>
      </c>
      <c r="B178" t="n">
        <v>0</v>
      </c>
      <c r="C178" t="n">
        <v>14163</v>
      </c>
      <c r="D178" t="n">
        <v>33384</v>
      </c>
      <c r="E178" t="n">
        <v>184312</v>
      </c>
      <c r="F178" t="n">
        <v>1007083</v>
      </c>
      <c r="G178" t="n">
        <v>5409921</v>
      </c>
      <c r="H178" t="n">
        <v>28669488</v>
      </c>
      <c r="I178" t="n">
        <v>149420572</v>
      </c>
      <c r="J178" t="n">
        <v>2000</v>
      </c>
      <c r="K178" t="n">
        <v>15647</v>
      </c>
      <c r="L178" t="n">
        <v>2500</v>
      </c>
      <c r="M178" t="n">
        <v>1077</v>
      </c>
      <c r="N178" t="n">
        <v>1885</v>
      </c>
      <c r="O178" t="n">
        <v>2770</v>
      </c>
      <c r="P178" t="n">
        <v>3655</v>
      </c>
      <c r="Q178" t="n">
        <v>4540</v>
      </c>
      <c r="R178" t="n">
        <v>5425</v>
      </c>
      <c r="S178" t="n">
        <v>6310</v>
      </c>
      <c r="T178" t="n">
        <v>7195</v>
      </c>
      <c r="U178" t="n">
        <v>8080</v>
      </c>
      <c r="V178" t="n">
        <v>3680</v>
      </c>
      <c r="W178" t="n">
        <v>1708</v>
      </c>
      <c r="X178" t="n">
        <v>1531</v>
      </c>
      <c r="Y178" t="n">
        <v>7570</v>
      </c>
    </row>
    <row r="179">
      <c r="A179" t="n">
        <v>178</v>
      </c>
      <c r="B179" t="n">
        <v>0</v>
      </c>
      <c r="C179" t="n">
        <v>14376</v>
      </c>
      <c r="D179" t="n">
        <v>34052</v>
      </c>
      <c r="E179" t="n">
        <v>189842</v>
      </c>
      <c r="F179" t="n">
        <v>1047367</v>
      </c>
      <c r="G179" t="n">
        <v>5680418</v>
      </c>
      <c r="H179" t="n">
        <v>30389658</v>
      </c>
      <c r="I179" t="n">
        <v>159880013</v>
      </c>
      <c r="J179" t="n">
        <v>2000</v>
      </c>
      <c r="K179" t="n">
        <v>15804</v>
      </c>
      <c r="L179" t="n">
        <v>2500</v>
      </c>
      <c r="M179" t="n">
        <v>1078</v>
      </c>
      <c r="N179" t="n">
        <v>1890</v>
      </c>
      <c r="O179" t="n">
        <v>2780</v>
      </c>
      <c r="P179" t="n">
        <v>3670</v>
      </c>
      <c r="Q179" t="n">
        <v>4560</v>
      </c>
      <c r="R179" t="n">
        <v>5450</v>
      </c>
      <c r="S179" t="n">
        <v>6340</v>
      </c>
      <c r="T179" t="n">
        <v>7230</v>
      </c>
      <c r="U179" t="n">
        <v>8120</v>
      </c>
      <c r="V179" t="n">
        <v>3703</v>
      </c>
      <c r="W179" t="n">
        <v>1712</v>
      </c>
      <c r="X179" t="n">
        <v>1534</v>
      </c>
      <c r="Y179" t="n">
        <v>7580</v>
      </c>
    </row>
    <row r="180">
      <c r="A180" t="n">
        <v>179</v>
      </c>
      <c r="B180" t="n">
        <v>0</v>
      </c>
      <c r="C180" t="n">
        <v>14592</v>
      </c>
      <c r="D180" t="n">
        <v>34734</v>
      </c>
      <c r="E180" t="n">
        <v>195538</v>
      </c>
      <c r="F180" t="n">
        <v>1089262</v>
      </c>
      <c r="G180" t="n">
        <v>5964439</v>
      </c>
      <c r="H180" t="n">
        <v>32213038</v>
      </c>
      <c r="I180" t="n">
        <v>171071614</v>
      </c>
      <c r="J180" t="n">
        <v>2000</v>
      </c>
      <c r="K180" t="n">
        <v>15963</v>
      </c>
      <c r="L180" t="n">
        <v>2500</v>
      </c>
      <c r="M180" t="n">
        <v>1079</v>
      </c>
      <c r="N180" t="n">
        <v>1895</v>
      </c>
      <c r="O180" t="n">
        <v>2790</v>
      </c>
      <c r="P180" t="n">
        <v>3685</v>
      </c>
      <c r="Q180" t="n">
        <v>4580</v>
      </c>
      <c r="R180" t="n">
        <v>5475</v>
      </c>
      <c r="S180" t="n">
        <v>6370</v>
      </c>
      <c r="T180" t="n">
        <v>7265</v>
      </c>
      <c r="U180" t="n">
        <v>8160</v>
      </c>
      <c r="V180" t="n">
        <v>3726</v>
      </c>
      <c r="W180" t="n">
        <v>1716</v>
      </c>
      <c r="X180" t="n">
        <v>1537</v>
      </c>
      <c r="Y180" t="n">
        <v>7590</v>
      </c>
    </row>
    <row r="181">
      <c r="A181" t="n">
        <v>180</v>
      </c>
      <c r="B181" t="n">
        <v>0</v>
      </c>
      <c r="C181" t="n">
        <v>14811</v>
      </c>
      <c r="D181" t="n">
        <v>35429</v>
      </c>
      <c r="E181" t="n">
        <v>201405</v>
      </c>
      <c r="F181" t="n">
        <v>1132833</v>
      </c>
      <c r="G181" t="n">
        <v>6262661</v>
      </c>
      <c r="H181" t="n">
        <v>34145821</v>
      </c>
      <c r="I181" t="n">
        <v>183046627</v>
      </c>
      <c r="J181" t="n">
        <v>2000</v>
      </c>
      <c r="K181" t="n">
        <v>16123</v>
      </c>
      <c r="L181" t="n">
        <v>2500</v>
      </c>
      <c r="M181" t="n">
        <v>1080</v>
      </c>
      <c r="N181" t="n">
        <v>1900</v>
      </c>
      <c r="O181" t="n">
        <v>2800</v>
      </c>
      <c r="P181" t="n">
        <v>3700</v>
      </c>
      <c r="Q181" t="n">
        <v>4600</v>
      </c>
      <c r="R181" t="n">
        <v>5500</v>
      </c>
      <c r="S181" t="n">
        <v>6400</v>
      </c>
      <c r="T181" t="n">
        <v>7300</v>
      </c>
      <c r="U181" t="n">
        <v>8200</v>
      </c>
      <c r="V181" t="n">
        <v>3749</v>
      </c>
      <c r="W181" t="n">
        <v>1720</v>
      </c>
      <c r="X181" t="n">
        <v>1540</v>
      </c>
      <c r="Y181" t="n">
        <v>7600</v>
      </c>
    </row>
    <row r="182">
      <c r="A182" t="n">
        <v>181</v>
      </c>
      <c r="B182" t="n">
        <v>0</v>
      </c>
      <c r="C182" t="n">
        <v>15034</v>
      </c>
      <c r="D182" t="n">
        <v>36138</v>
      </c>
      <c r="E182" t="n">
        <v>207448</v>
      </c>
      <c r="F182" t="n">
        <v>1178147</v>
      </c>
      <c r="G182" t="n">
        <v>6575795</v>
      </c>
      <c r="H182" t="n">
        <v>36194571</v>
      </c>
      <c r="I182" t="n">
        <v>195859891</v>
      </c>
      <c r="J182" t="n">
        <v>2000</v>
      </c>
      <c r="K182" t="n">
        <v>16285</v>
      </c>
      <c r="L182" t="n">
        <v>2500</v>
      </c>
      <c r="M182" t="n">
        <v>1081</v>
      </c>
      <c r="N182" t="n">
        <v>1905</v>
      </c>
      <c r="O182" t="n">
        <v>2810</v>
      </c>
      <c r="P182" t="n">
        <v>3715</v>
      </c>
      <c r="Q182" t="n">
        <v>4620</v>
      </c>
      <c r="R182" t="n">
        <v>5525</v>
      </c>
      <c r="S182" t="n">
        <v>6430</v>
      </c>
      <c r="T182" t="n">
        <v>7335</v>
      </c>
      <c r="U182" t="n">
        <v>8240</v>
      </c>
      <c r="V182" t="n">
        <v>3772</v>
      </c>
      <c r="W182" t="n">
        <v>1724</v>
      </c>
      <c r="X182" t="n">
        <v>1543</v>
      </c>
      <c r="Y182" t="n">
        <v>7610</v>
      </c>
    </row>
    <row r="183">
      <c r="A183" t="n">
        <v>182</v>
      </c>
      <c r="B183" t="n">
        <v>0</v>
      </c>
      <c r="C183" t="n">
        <v>15260</v>
      </c>
      <c r="D183" t="n">
        <v>36861</v>
      </c>
      <c r="E183" t="n">
        <v>213672</v>
      </c>
      <c r="F183" t="n">
        <v>1225273</v>
      </c>
      <c r="G183" t="n">
        <v>6904585</v>
      </c>
      <c r="H183" t="n">
        <v>38366246</v>
      </c>
      <c r="I183" t="n">
        <v>209570084</v>
      </c>
      <c r="J183" t="n">
        <v>2000</v>
      </c>
      <c r="K183" t="n">
        <v>16448</v>
      </c>
      <c r="L183" t="n">
        <v>2500</v>
      </c>
      <c r="M183" t="n">
        <v>1082</v>
      </c>
      <c r="N183" t="n">
        <v>1910</v>
      </c>
      <c r="O183" t="n">
        <v>2820</v>
      </c>
      <c r="P183" t="n">
        <v>3730</v>
      </c>
      <c r="Q183" t="n">
        <v>4640</v>
      </c>
      <c r="R183" t="n">
        <v>5550</v>
      </c>
      <c r="S183" t="n">
        <v>6460</v>
      </c>
      <c r="T183" t="n">
        <v>7370</v>
      </c>
      <c r="U183" t="n">
        <v>8280</v>
      </c>
      <c r="V183" t="n">
        <v>3795</v>
      </c>
      <c r="W183" t="n">
        <v>1728</v>
      </c>
      <c r="X183" t="n">
        <v>1546</v>
      </c>
      <c r="Y183" t="n">
        <v>7620</v>
      </c>
    </row>
    <row r="184">
      <c r="A184" t="n">
        <v>183</v>
      </c>
      <c r="B184" t="n">
        <v>0</v>
      </c>
      <c r="C184" t="n">
        <v>15489</v>
      </c>
      <c r="D184" t="n">
        <v>37599</v>
      </c>
      <c r="E184" t="n">
        <v>220083</v>
      </c>
      <c r="F184" t="n">
        <v>1274284</v>
      </c>
      <c r="G184" t="n">
        <v>7249815</v>
      </c>
      <c r="H184" t="n">
        <v>40668221</v>
      </c>
      <c r="I184" t="n">
        <v>224239990</v>
      </c>
      <c r="J184" t="n">
        <v>2000</v>
      </c>
      <c r="K184" t="n">
        <v>16613</v>
      </c>
      <c r="L184" t="n">
        <v>2500</v>
      </c>
      <c r="M184" t="n">
        <v>1083</v>
      </c>
      <c r="N184" t="n">
        <v>1915</v>
      </c>
      <c r="O184" t="n">
        <v>2830</v>
      </c>
      <c r="P184" t="n">
        <v>3745</v>
      </c>
      <c r="Q184" t="n">
        <v>4660</v>
      </c>
      <c r="R184" t="n">
        <v>5575</v>
      </c>
      <c r="S184" t="n">
        <v>6490</v>
      </c>
      <c r="T184" t="n">
        <v>7405</v>
      </c>
      <c r="U184" t="n">
        <v>8320</v>
      </c>
      <c r="V184" t="n">
        <v>3818</v>
      </c>
      <c r="W184" t="n">
        <v>1732</v>
      </c>
      <c r="X184" t="n">
        <v>1549</v>
      </c>
      <c r="Y184" t="n">
        <v>7630</v>
      </c>
    </row>
    <row r="185">
      <c r="A185" t="n">
        <v>184</v>
      </c>
      <c r="B185" t="n">
        <v>0</v>
      </c>
      <c r="C185" t="n">
        <v>15722</v>
      </c>
      <c r="D185" t="n">
        <v>38351</v>
      </c>
      <c r="E185" t="n">
        <v>226686</v>
      </c>
      <c r="F185" t="n">
        <v>1325256</v>
      </c>
      <c r="G185" t="n">
        <v>7612306</v>
      </c>
      <c r="H185" t="n">
        <v>43108315</v>
      </c>
      <c r="I185" t="n">
        <v>239936790</v>
      </c>
      <c r="J185" t="n">
        <v>2000</v>
      </c>
      <c r="K185" t="n">
        <v>16780</v>
      </c>
      <c r="L185" t="n">
        <v>2500</v>
      </c>
      <c r="M185" t="n">
        <v>1084</v>
      </c>
      <c r="N185" t="n">
        <v>1920</v>
      </c>
      <c r="O185" t="n">
        <v>2840</v>
      </c>
      <c r="P185" t="n">
        <v>3760</v>
      </c>
      <c r="Q185" t="n">
        <v>4680</v>
      </c>
      <c r="R185" t="n">
        <v>5600</v>
      </c>
      <c r="S185" t="n">
        <v>6520</v>
      </c>
      <c r="T185" t="n">
        <v>7440</v>
      </c>
      <c r="U185" t="n">
        <v>8360</v>
      </c>
      <c r="V185" t="n">
        <v>3842</v>
      </c>
      <c r="W185" t="n">
        <v>1736</v>
      </c>
      <c r="X185" t="n">
        <v>1552</v>
      </c>
      <c r="Y185" t="n">
        <v>7640</v>
      </c>
    </row>
    <row r="186">
      <c r="A186" t="n">
        <v>185</v>
      </c>
      <c r="B186" t="n">
        <v>0</v>
      </c>
      <c r="C186" t="n">
        <v>15958</v>
      </c>
      <c r="D186" t="n">
        <v>39119</v>
      </c>
      <c r="E186" t="n">
        <v>233487</v>
      </c>
      <c r="F186" t="n">
        <v>1378267</v>
      </c>
      <c r="G186" t="n">
        <v>7992922</v>
      </c>
      <c r="H186" t="n">
        <v>45694814</v>
      </c>
      <c r="I186" t="n">
        <v>256732366</v>
      </c>
      <c r="J186" t="n">
        <v>2000</v>
      </c>
      <c r="K186" t="n">
        <v>16948</v>
      </c>
      <c r="L186" t="n">
        <v>2500</v>
      </c>
      <c r="M186" t="n">
        <v>1085</v>
      </c>
      <c r="N186" t="n">
        <v>1925</v>
      </c>
      <c r="O186" t="n">
        <v>2850</v>
      </c>
      <c r="P186" t="n">
        <v>3775</v>
      </c>
      <c r="Q186" t="n">
        <v>4700</v>
      </c>
      <c r="R186" t="n">
        <v>5625</v>
      </c>
      <c r="S186" t="n">
        <v>6550</v>
      </c>
      <c r="T186" t="n">
        <v>7475</v>
      </c>
      <c r="U186" t="n">
        <v>8400</v>
      </c>
      <c r="V186" t="n">
        <v>3866</v>
      </c>
      <c r="W186" t="n">
        <v>1740</v>
      </c>
      <c r="X186" t="n">
        <v>1555</v>
      </c>
      <c r="Y186" t="n">
        <v>7650</v>
      </c>
    </row>
    <row r="187">
      <c r="A187" t="n">
        <v>186</v>
      </c>
      <c r="B187" t="n">
        <v>0</v>
      </c>
      <c r="C187" t="n">
        <v>16198</v>
      </c>
      <c r="D187" t="n">
        <v>39902</v>
      </c>
      <c r="E187" t="n">
        <v>240492</v>
      </c>
      <c r="F187" t="n">
        <v>1433398</v>
      </c>
      <c r="G187" t="n">
        <v>8392569</v>
      </c>
      <c r="H187" t="n">
        <v>48436503</v>
      </c>
      <c r="I187" t="n">
        <v>274703632</v>
      </c>
      <c r="J187" t="n">
        <v>2000</v>
      </c>
      <c r="K187" t="n">
        <v>17118</v>
      </c>
      <c r="L187" t="n">
        <v>2500</v>
      </c>
      <c r="M187" t="n">
        <v>1086</v>
      </c>
      <c r="N187" t="n">
        <v>1930</v>
      </c>
      <c r="O187" t="n">
        <v>2860</v>
      </c>
      <c r="P187" t="n">
        <v>3790</v>
      </c>
      <c r="Q187" t="n">
        <v>4720</v>
      </c>
      <c r="R187" t="n">
        <v>5650</v>
      </c>
      <c r="S187" t="n">
        <v>6580</v>
      </c>
      <c r="T187" t="n">
        <v>7510</v>
      </c>
      <c r="U187" t="n">
        <v>8440</v>
      </c>
      <c r="V187" t="n">
        <v>3890</v>
      </c>
      <c r="W187" t="n">
        <v>1744</v>
      </c>
      <c r="X187" t="n">
        <v>1558</v>
      </c>
      <c r="Y187" t="n">
        <v>7660</v>
      </c>
    </row>
    <row r="188">
      <c r="A188" t="n">
        <v>187</v>
      </c>
      <c r="B188" t="n">
        <v>0</v>
      </c>
      <c r="C188" t="n">
        <v>16441</v>
      </c>
      <c r="D188" t="n">
        <v>40701</v>
      </c>
      <c r="E188" t="n">
        <v>247707</v>
      </c>
      <c r="F188" t="n">
        <v>1490734</v>
      </c>
      <c r="G188" t="n">
        <v>8812198</v>
      </c>
      <c r="H188" t="n">
        <v>51342694</v>
      </c>
      <c r="I188" t="n">
        <v>293932887</v>
      </c>
      <c r="J188" t="n">
        <v>2000</v>
      </c>
      <c r="K188" t="n">
        <v>17290</v>
      </c>
      <c r="L188" t="n">
        <v>2500</v>
      </c>
      <c r="M188" t="n">
        <v>1087</v>
      </c>
      <c r="N188" t="n">
        <v>1935</v>
      </c>
      <c r="O188" t="n">
        <v>2870</v>
      </c>
      <c r="P188" t="n">
        <v>3805</v>
      </c>
      <c r="Q188" t="n">
        <v>4740</v>
      </c>
      <c r="R188" t="n">
        <v>5675</v>
      </c>
      <c r="S188" t="n">
        <v>6610</v>
      </c>
      <c r="T188" t="n">
        <v>7545</v>
      </c>
      <c r="U188" t="n">
        <v>8480</v>
      </c>
      <c r="V188" t="n">
        <v>3914</v>
      </c>
      <c r="W188" t="n">
        <v>1748</v>
      </c>
      <c r="X188" t="n">
        <v>1561</v>
      </c>
      <c r="Y188" t="n">
        <v>7670</v>
      </c>
    </row>
    <row r="189">
      <c r="A189" t="n">
        <v>188</v>
      </c>
      <c r="B189" t="n">
        <v>0</v>
      </c>
      <c r="C189" t="n">
        <v>16688</v>
      </c>
      <c r="D189" t="n">
        <v>41516</v>
      </c>
      <c r="E189" t="n">
        <v>255139</v>
      </c>
      <c r="F189" t="n">
        <v>1550364</v>
      </c>
      <c r="G189" t="n">
        <v>9252808</v>
      </c>
      <c r="H189" t="n">
        <v>54423256</v>
      </c>
      <c r="I189" t="n">
        <v>314508190</v>
      </c>
      <c r="J189" t="n">
        <v>2000</v>
      </c>
      <c r="K189" t="n">
        <v>17463</v>
      </c>
      <c r="L189" t="n">
        <v>2500</v>
      </c>
      <c r="M189" t="n">
        <v>1088</v>
      </c>
      <c r="N189" t="n">
        <v>1940</v>
      </c>
      <c r="O189" t="n">
        <v>2880</v>
      </c>
      <c r="P189" t="n">
        <v>3820</v>
      </c>
      <c r="Q189" t="n">
        <v>4760</v>
      </c>
      <c r="R189" t="n">
        <v>5700</v>
      </c>
      <c r="S189" t="n">
        <v>6640</v>
      </c>
      <c r="T189" t="n">
        <v>7580</v>
      </c>
      <c r="U189" t="n">
        <v>8520</v>
      </c>
      <c r="V189" t="n">
        <v>3938</v>
      </c>
      <c r="W189" t="n">
        <v>1752</v>
      </c>
      <c r="X189" t="n">
        <v>1564</v>
      </c>
      <c r="Y189" t="n">
        <v>7680</v>
      </c>
    </row>
    <row r="190">
      <c r="A190" t="n">
        <v>189</v>
      </c>
      <c r="B190" t="n">
        <v>0</v>
      </c>
      <c r="C190" t="n">
        <v>16939</v>
      </c>
      <c r="D190" t="n">
        <v>42347</v>
      </c>
      <c r="E190" t="n">
        <v>262794</v>
      </c>
      <c r="F190" t="n">
        <v>1612379</v>
      </c>
      <c r="G190" t="n">
        <v>9715449</v>
      </c>
      <c r="H190" t="n">
        <v>57688652</v>
      </c>
      <c r="I190" t="n">
        <v>336523764</v>
      </c>
      <c r="J190" t="n">
        <v>2000</v>
      </c>
      <c r="K190" t="n">
        <v>17638</v>
      </c>
      <c r="L190" t="n">
        <v>2500</v>
      </c>
      <c r="M190" t="n">
        <v>1089</v>
      </c>
      <c r="N190" t="n">
        <v>1945</v>
      </c>
      <c r="O190" t="n">
        <v>2890</v>
      </c>
      <c r="P190" t="n">
        <v>3835</v>
      </c>
      <c r="Q190" t="n">
        <v>4780</v>
      </c>
      <c r="R190" t="n">
        <v>5725</v>
      </c>
      <c r="S190" t="n">
        <v>6670</v>
      </c>
      <c r="T190" t="n">
        <v>7615</v>
      </c>
      <c r="U190" t="n">
        <v>8560</v>
      </c>
      <c r="V190" t="n">
        <v>3962</v>
      </c>
      <c r="W190" t="n">
        <v>1756</v>
      </c>
      <c r="X190" t="n">
        <v>1567</v>
      </c>
      <c r="Y190" t="n">
        <v>7690</v>
      </c>
    </row>
    <row r="191">
      <c r="A191" t="n">
        <v>190</v>
      </c>
      <c r="B191" t="n">
        <v>0</v>
      </c>
      <c r="C191" t="n">
        <v>17194</v>
      </c>
      <c r="D191" t="n">
        <v>43194</v>
      </c>
      <c r="E191" t="n">
        <v>270678</v>
      </c>
      <c r="F191" t="n">
        <v>1676875</v>
      </c>
      <c r="G191" t="n">
        <v>10201222</v>
      </c>
      <c r="H191" t="n">
        <v>61149972</v>
      </c>
      <c r="I191" t="n">
        <v>360080428</v>
      </c>
      <c r="J191" t="n">
        <v>2000</v>
      </c>
      <c r="K191" t="n">
        <v>17815</v>
      </c>
      <c r="L191" t="n">
        <v>2500</v>
      </c>
      <c r="M191" t="n">
        <v>1090</v>
      </c>
      <c r="N191" t="n">
        <v>1950</v>
      </c>
      <c r="O191" t="n">
        <v>2900</v>
      </c>
      <c r="P191" t="n">
        <v>3850</v>
      </c>
      <c r="Q191" t="n">
        <v>4800</v>
      </c>
      <c r="R191" t="n">
        <v>5750</v>
      </c>
      <c r="S191" t="n">
        <v>6700</v>
      </c>
      <c r="T191" t="n">
        <v>7650</v>
      </c>
      <c r="U191" t="n">
        <v>8600</v>
      </c>
      <c r="V191" t="n">
        <v>3986</v>
      </c>
      <c r="W191" t="n">
        <v>1760</v>
      </c>
      <c r="X191" t="n">
        <v>1570</v>
      </c>
      <c r="Y191" t="n">
        <v>7700</v>
      </c>
    </row>
    <row r="192">
      <c r="A192" t="n">
        <v>191</v>
      </c>
      <c r="B192" t="n">
        <v>0</v>
      </c>
      <c r="C192" t="n">
        <v>17452</v>
      </c>
      <c r="D192" t="n">
        <v>44058</v>
      </c>
      <c r="E192" t="n">
        <v>278799</v>
      </c>
      <c r="F192" t="n">
        <v>1743950</v>
      </c>
      <c r="G192" t="n">
        <v>10711284</v>
      </c>
      <c r="H192" t="n">
        <v>64818971</v>
      </c>
      <c r="I192" t="n">
        <v>385286058</v>
      </c>
      <c r="J192" t="n">
        <v>2000</v>
      </c>
      <c r="K192" t="n">
        <v>17994</v>
      </c>
      <c r="L192" t="n">
        <v>2500</v>
      </c>
      <c r="M192" t="n">
        <v>1091</v>
      </c>
      <c r="N192" t="n">
        <v>1955</v>
      </c>
      <c r="O192" t="n">
        <v>2910</v>
      </c>
      <c r="P192" t="n">
        <v>3865</v>
      </c>
      <c r="Q192" t="n">
        <v>4820</v>
      </c>
      <c r="R192" t="n">
        <v>5775</v>
      </c>
      <c r="S192" t="n">
        <v>6730</v>
      </c>
      <c r="T192" t="n">
        <v>7685</v>
      </c>
      <c r="U192" t="n">
        <v>8640</v>
      </c>
      <c r="V192" t="n">
        <v>4010</v>
      </c>
      <c r="W192" t="n">
        <v>1764</v>
      </c>
      <c r="X192" t="n">
        <v>1573</v>
      </c>
      <c r="Y192" t="n">
        <v>7710</v>
      </c>
    </row>
    <row r="193">
      <c r="A193" t="n">
        <v>192</v>
      </c>
      <c r="B193" t="n">
        <v>0</v>
      </c>
      <c r="C193" t="n">
        <v>17714</v>
      </c>
      <c r="D193" t="n">
        <v>44940</v>
      </c>
      <c r="E193" t="n">
        <v>287163</v>
      </c>
      <c r="F193" t="n">
        <v>1813708</v>
      </c>
      <c r="G193" t="n">
        <v>11246849</v>
      </c>
      <c r="H193" t="n">
        <v>68708110</v>
      </c>
      <c r="I193" t="n">
        <v>412256083</v>
      </c>
      <c r="J193" t="n">
        <v>2000</v>
      </c>
      <c r="K193" t="n">
        <v>18174</v>
      </c>
      <c r="L193" t="n">
        <v>2500</v>
      </c>
      <c r="M193" t="n">
        <v>1092</v>
      </c>
      <c r="N193" t="n">
        <v>1960</v>
      </c>
      <c r="O193" t="n">
        <v>2920</v>
      </c>
      <c r="P193" t="n">
        <v>3880</v>
      </c>
      <c r="Q193" t="n">
        <v>4840</v>
      </c>
      <c r="R193" t="n">
        <v>5800</v>
      </c>
      <c r="S193" t="n">
        <v>6760</v>
      </c>
      <c r="T193" t="n">
        <v>7720</v>
      </c>
      <c r="U193" t="n">
        <v>8680</v>
      </c>
      <c r="V193" t="n">
        <v>4035</v>
      </c>
      <c r="W193" t="n">
        <v>1768</v>
      </c>
      <c r="X193" t="n">
        <v>1576</v>
      </c>
      <c r="Y193" t="n">
        <v>7720</v>
      </c>
    </row>
    <row r="194">
      <c r="A194" t="n">
        <v>193</v>
      </c>
      <c r="B194" t="n">
        <v>0</v>
      </c>
      <c r="C194" t="n">
        <v>17980</v>
      </c>
      <c r="D194" t="n">
        <v>45839</v>
      </c>
      <c r="E194" t="n">
        <v>295778</v>
      </c>
      <c r="F194" t="n">
        <v>1886257</v>
      </c>
      <c r="G194" t="n">
        <v>11809192</v>
      </c>
      <c r="H194" t="n">
        <v>72830597</v>
      </c>
      <c r="I194" t="n">
        <v>441114009</v>
      </c>
      <c r="J194" t="n">
        <v>2000</v>
      </c>
      <c r="K194" t="n">
        <v>18356</v>
      </c>
      <c r="L194" t="n">
        <v>2500</v>
      </c>
      <c r="M194" t="n">
        <v>1093</v>
      </c>
      <c r="N194" t="n">
        <v>1965</v>
      </c>
      <c r="O194" t="n">
        <v>2930</v>
      </c>
      <c r="P194" t="n">
        <v>3895</v>
      </c>
      <c r="Q194" t="n">
        <v>4860</v>
      </c>
      <c r="R194" t="n">
        <v>5825</v>
      </c>
      <c r="S194" t="n">
        <v>6790</v>
      </c>
      <c r="T194" t="n">
        <v>7755</v>
      </c>
      <c r="U194" t="n">
        <v>8720</v>
      </c>
      <c r="V194" t="n">
        <v>4060</v>
      </c>
      <c r="W194" t="n">
        <v>1772</v>
      </c>
      <c r="X194" t="n">
        <v>1579</v>
      </c>
      <c r="Y194" t="n">
        <v>7730</v>
      </c>
    </row>
    <row r="195">
      <c r="A195" t="n">
        <v>194</v>
      </c>
      <c r="B195" t="n">
        <v>0</v>
      </c>
      <c r="C195" t="n">
        <v>18250</v>
      </c>
      <c r="D195" t="n">
        <v>46756</v>
      </c>
      <c r="E195" t="n">
        <v>304652</v>
      </c>
      <c r="F195" t="n">
        <v>1961708</v>
      </c>
      <c r="G195" t="n">
        <v>12399652</v>
      </c>
      <c r="H195" t="n">
        <v>77200433</v>
      </c>
      <c r="I195" t="n">
        <v>471991990</v>
      </c>
      <c r="J195" t="n">
        <v>2000</v>
      </c>
      <c r="K195" t="n">
        <v>18540</v>
      </c>
      <c r="L195" t="n">
        <v>2500</v>
      </c>
      <c r="M195" t="n">
        <v>1094</v>
      </c>
      <c r="N195" t="n">
        <v>1970</v>
      </c>
      <c r="O195" t="n">
        <v>2940</v>
      </c>
      <c r="P195" t="n">
        <v>3910</v>
      </c>
      <c r="Q195" t="n">
        <v>4880</v>
      </c>
      <c r="R195" t="n">
        <v>5850</v>
      </c>
      <c r="S195" t="n">
        <v>6820</v>
      </c>
      <c r="T195" t="n">
        <v>7790</v>
      </c>
      <c r="U195" t="n">
        <v>8760</v>
      </c>
      <c r="V195" t="n">
        <v>4085</v>
      </c>
      <c r="W195" t="n">
        <v>1776</v>
      </c>
      <c r="X195" t="n">
        <v>1582</v>
      </c>
      <c r="Y195" t="n">
        <v>7740</v>
      </c>
    </row>
    <row r="196">
      <c r="A196" t="n">
        <v>195</v>
      </c>
      <c r="B196" t="n">
        <v>0</v>
      </c>
      <c r="C196" t="n">
        <v>18524</v>
      </c>
      <c r="D196" t="n">
        <v>47692</v>
      </c>
      <c r="E196" t="n">
        <v>313792</v>
      </c>
      <c r="F196" t="n">
        <v>2040177</v>
      </c>
      <c r="G196" t="n">
        <v>13019635</v>
      </c>
      <c r="H196" t="n">
        <v>81832459</v>
      </c>
      <c r="I196" t="n">
        <v>505031430</v>
      </c>
      <c r="J196" t="n">
        <v>2000</v>
      </c>
      <c r="K196" t="n">
        <v>18726</v>
      </c>
      <c r="L196" t="n">
        <v>2500</v>
      </c>
      <c r="M196" t="n">
        <v>1095</v>
      </c>
      <c r="N196" t="n">
        <v>1975</v>
      </c>
      <c r="O196" t="n">
        <v>2950</v>
      </c>
      <c r="P196" t="n">
        <v>3925</v>
      </c>
      <c r="Q196" t="n">
        <v>4900</v>
      </c>
      <c r="R196" t="n">
        <v>5875</v>
      </c>
      <c r="S196" t="n">
        <v>6850</v>
      </c>
      <c r="T196" t="n">
        <v>7825</v>
      </c>
      <c r="U196" t="n">
        <v>8800</v>
      </c>
      <c r="V196" t="n">
        <v>4110</v>
      </c>
      <c r="W196" t="n">
        <v>1780</v>
      </c>
      <c r="X196" t="n">
        <v>1585</v>
      </c>
      <c r="Y196" t="n">
        <v>7750</v>
      </c>
    </row>
    <row r="197">
      <c r="A197" t="n">
        <v>196</v>
      </c>
      <c r="B197" t="n">
        <v>0</v>
      </c>
      <c r="C197" t="n">
        <v>18802</v>
      </c>
      <c r="D197" t="n">
        <v>48646</v>
      </c>
      <c r="E197" t="n">
        <v>323206</v>
      </c>
      <c r="F197" t="n">
        <v>2121785</v>
      </c>
      <c r="G197" t="n">
        <v>13670617</v>
      </c>
      <c r="H197" t="n">
        <v>86742407</v>
      </c>
      <c r="I197" t="n">
        <v>540383631</v>
      </c>
      <c r="J197" t="n">
        <v>2000</v>
      </c>
      <c r="K197" t="n">
        <v>18914</v>
      </c>
      <c r="L197" t="n">
        <v>2500</v>
      </c>
      <c r="M197" t="n">
        <v>1096</v>
      </c>
      <c r="N197" t="n">
        <v>1980</v>
      </c>
      <c r="O197" t="n">
        <v>2960</v>
      </c>
      <c r="P197" t="n">
        <v>3940</v>
      </c>
      <c r="Q197" t="n">
        <v>4920</v>
      </c>
      <c r="R197" t="n">
        <v>5900</v>
      </c>
      <c r="S197" t="n">
        <v>6880</v>
      </c>
      <c r="T197" t="n">
        <v>7860</v>
      </c>
      <c r="U197" t="n">
        <v>8840</v>
      </c>
      <c r="V197" t="n">
        <v>4135</v>
      </c>
      <c r="W197" t="n">
        <v>1784</v>
      </c>
      <c r="X197" t="n">
        <v>1588</v>
      </c>
      <c r="Y197" t="n">
        <v>7760</v>
      </c>
    </row>
    <row r="198">
      <c r="A198" t="n">
        <v>197</v>
      </c>
      <c r="B198" t="n">
        <v>0</v>
      </c>
      <c r="C198" t="n">
        <v>19085</v>
      </c>
      <c r="D198" t="n">
        <v>49619</v>
      </c>
      <c r="E198" t="n">
        <v>332903</v>
      </c>
      <c r="F198" t="n">
        <v>2206657</v>
      </c>
      <c r="G198" t="n">
        <v>14354148</v>
      </c>
      <c r="H198" t="n">
        <v>91946952</v>
      </c>
      <c r="I198" t="n">
        <v>578210486</v>
      </c>
      <c r="J198" t="n">
        <v>2000</v>
      </c>
      <c r="K198" t="n">
        <v>19104</v>
      </c>
      <c r="L198" t="n">
        <v>2500</v>
      </c>
      <c r="M198" t="n">
        <v>1097</v>
      </c>
      <c r="N198" t="n">
        <v>1985</v>
      </c>
      <c r="O198" t="n">
        <v>2970</v>
      </c>
      <c r="P198" t="n">
        <v>3955</v>
      </c>
      <c r="Q198" t="n">
        <v>4940</v>
      </c>
      <c r="R198" t="n">
        <v>5925</v>
      </c>
      <c r="S198" t="n">
        <v>6910</v>
      </c>
      <c r="T198" t="n">
        <v>7895</v>
      </c>
      <c r="U198" t="n">
        <v>8880</v>
      </c>
      <c r="V198" t="n">
        <v>4160</v>
      </c>
      <c r="W198" t="n">
        <v>1788</v>
      </c>
      <c r="X198" t="n">
        <v>1591</v>
      </c>
      <c r="Y198" t="n">
        <v>7770</v>
      </c>
    </row>
    <row r="199">
      <c r="A199" t="n">
        <v>198</v>
      </c>
      <c r="B199" t="n">
        <v>0</v>
      </c>
      <c r="C199" t="n">
        <v>19372</v>
      </c>
      <c r="D199" t="n">
        <v>50612</v>
      </c>
      <c r="E199" t="n">
        <v>342891</v>
      </c>
      <c r="F199" t="n">
        <v>2294924</v>
      </c>
      <c r="G199" t="n">
        <v>15071856</v>
      </c>
      <c r="H199" t="n">
        <v>97463770</v>
      </c>
      <c r="I199" t="n">
        <v>618685221</v>
      </c>
      <c r="J199" t="n">
        <v>2000</v>
      </c>
      <c r="K199" t="n">
        <v>19296</v>
      </c>
      <c r="L199" t="n">
        <v>2500</v>
      </c>
      <c r="M199" t="n">
        <v>1098</v>
      </c>
      <c r="N199" t="n">
        <v>1990</v>
      </c>
      <c r="O199" t="n">
        <v>2980</v>
      </c>
      <c r="P199" t="n">
        <v>3970</v>
      </c>
      <c r="Q199" t="n">
        <v>4960</v>
      </c>
      <c r="R199" t="n">
        <v>5950</v>
      </c>
      <c r="S199" t="n">
        <v>6940</v>
      </c>
      <c r="T199" t="n">
        <v>7930</v>
      </c>
      <c r="U199" t="n">
        <v>8920</v>
      </c>
      <c r="V199" t="n">
        <v>4185</v>
      </c>
      <c r="W199" t="n">
        <v>1792</v>
      </c>
      <c r="X199" t="n">
        <v>1594</v>
      </c>
      <c r="Y199" t="n">
        <v>7780</v>
      </c>
    </row>
    <row r="200">
      <c r="A200" t="n">
        <v>199</v>
      </c>
      <c r="B200" t="n">
        <v>0</v>
      </c>
      <c r="C200" t="n">
        <v>19663</v>
      </c>
      <c r="D200" t="n">
        <v>51625</v>
      </c>
      <c r="E200" t="n">
        <v>353178</v>
      </c>
      <c r="F200" t="n">
        <v>2386721</v>
      </c>
      <c r="G200" t="n">
        <v>15825449</v>
      </c>
      <c r="H200" t="n">
        <v>103311597</v>
      </c>
      <c r="I200" t="n">
        <v>661993187</v>
      </c>
      <c r="J200" t="n">
        <v>2000</v>
      </c>
      <c r="K200" t="n">
        <v>19489</v>
      </c>
      <c r="L200" t="n">
        <v>2500</v>
      </c>
      <c r="M200" t="n">
        <v>1099</v>
      </c>
      <c r="N200" t="n">
        <v>1995</v>
      </c>
      <c r="O200" t="n">
        <v>2990</v>
      </c>
      <c r="P200" t="n">
        <v>3985</v>
      </c>
      <c r="Q200" t="n">
        <v>4980</v>
      </c>
      <c r="R200" t="n">
        <v>5975</v>
      </c>
      <c r="S200" t="n">
        <v>6970</v>
      </c>
      <c r="T200" t="n">
        <v>7965</v>
      </c>
      <c r="U200" t="n">
        <v>8960</v>
      </c>
      <c r="V200" t="n">
        <v>4210</v>
      </c>
      <c r="W200" t="n">
        <v>1796</v>
      </c>
      <c r="X200" t="n">
        <v>1597</v>
      </c>
      <c r="Y200" t="n">
        <v>7790</v>
      </c>
    </row>
    <row r="201">
      <c r="A201" t="n">
        <v>200</v>
      </c>
      <c r="B201" t="n">
        <v>0</v>
      </c>
      <c r="C201" t="n">
        <v>19958</v>
      </c>
      <c r="D201" t="n">
        <v>52658</v>
      </c>
      <c r="E201" t="n">
        <v>363774</v>
      </c>
      <c r="F201" t="n">
        <v>2482190</v>
      </c>
      <c r="G201" t="n">
        <v>16616722</v>
      </c>
      <c r="H201" t="n">
        <v>109510293</v>
      </c>
      <c r="I201" t="n">
        <v>708332711</v>
      </c>
      <c r="J201" t="n">
        <v>2000</v>
      </c>
      <c r="K201" t="n">
        <v>19684</v>
      </c>
      <c r="L201" t="n">
        <v>2500</v>
      </c>
      <c r="M201" t="n">
        <v>1100</v>
      </c>
      <c r="N201" t="n">
        <v>2000</v>
      </c>
      <c r="O201" t="n">
        <v>3000</v>
      </c>
      <c r="P201" t="n">
        <v>4000</v>
      </c>
      <c r="Q201" t="n">
        <v>5000</v>
      </c>
      <c r="R201" t="n">
        <v>6000</v>
      </c>
      <c r="S201" t="n">
        <v>7000</v>
      </c>
      <c r="T201" t="n">
        <v>8000</v>
      </c>
      <c r="U201" t="n">
        <v>9000</v>
      </c>
      <c r="V201" t="n">
        <v>4236</v>
      </c>
      <c r="W201" t="n">
        <v>1800</v>
      </c>
      <c r="X201" t="n">
        <v>1600</v>
      </c>
      <c r="Y201" t="n">
        <v>7800</v>
      </c>
    </row>
    <row r="202">
      <c r="A202" t="n">
        <v>201</v>
      </c>
      <c r="B202" t="n">
        <v>0</v>
      </c>
      <c r="C202" t="n">
        <v>20258</v>
      </c>
      <c r="D202" t="n">
        <v>53712</v>
      </c>
      <c r="E202" t="n">
        <v>374688</v>
      </c>
      <c r="F202" t="n">
        <v>2581478</v>
      </c>
      <c r="G202" t="n">
        <v>17447559</v>
      </c>
      <c r="H202" t="n">
        <v>116080911</v>
      </c>
      <c r="I202" t="n">
        <v>757916001</v>
      </c>
      <c r="J202" t="n">
        <v>2000</v>
      </c>
      <c r="K202" t="n">
        <v>19881</v>
      </c>
      <c r="L202" t="n">
        <v>2500</v>
      </c>
      <c r="M202" t="n">
        <v>1100</v>
      </c>
      <c r="N202" t="n">
        <v>2005</v>
      </c>
      <c r="O202" t="n">
        <v>3010</v>
      </c>
      <c r="P202" t="n">
        <v>4015</v>
      </c>
      <c r="Q202" t="n">
        <v>5020</v>
      </c>
      <c r="R202" t="n">
        <v>6025</v>
      </c>
      <c r="S202" t="n">
        <v>7030</v>
      </c>
      <c r="T202" t="n">
        <v>8035</v>
      </c>
      <c r="U202" t="n">
        <v>9040</v>
      </c>
      <c r="V202" t="n">
        <v>4262</v>
      </c>
      <c r="W202" t="n">
        <v>1804</v>
      </c>
      <c r="X202" t="n">
        <v>1603</v>
      </c>
      <c r="Y202" t="n">
        <v>7810</v>
      </c>
    </row>
    <row r="203">
      <c r="A203" t="n">
        <v>202</v>
      </c>
      <c r="B203" t="n">
        <v>0</v>
      </c>
      <c r="C203" t="n">
        <v>20562</v>
      </c>
      <c r="D203" t="n">
        <v>54787</v>
      </c>
      <c r="E203" t="n">
        <v>385929</v>
      </c>
      <c r="F203" t="n">
        <v>2684738</v>
      </c>
      <c r="G203" t="n">
        <v>18319937</v>
      </c>
      <c r="H203" t="n">
        <v>123045766</v>
      </c>
      <c r="I203" t="n">
        <v>810970122</v>
      </c>
      <c r="J203" t="n">
        <v>2000</v>
      </c>
      <c r="K203" t="n">
        <v>20080</v>
      </c>
      <c r="L203" t="n">
        <v>2500</v>
      </c>
      <c r="M203" t="n">
        <v>1100</v>
      </c>
      <c r="N203" t="n">
        <v>2010</v>
      </c>
      <c r="O203" t="n">
        <v>3020</v>
      </c>
      <c r="P203" t="n">
        <v>4030</v>
      </c>
      <c r="Q203" t="n">
        <v>5040</v>
      </c>
      <c r="R203" t="n">
        <v>6050</v>
      </c>
      <c r="S203" t="n">
        <v>7060</v>
      </c>
      <c r="T203" t="n">
        <v>8070</v>
      </c>
      <c r="U203" t="n">
        <v>9080</v>
      </c>
      <c r="V203" t="n">
        <v>4288</v>
      </c>
      <c r="W203" t="n">
        <v>1808</v>
      </c>
      <c r="X203" t="n">
        <v>1606</v>
      </c>
      <c r="Y203" t="n">
        <v>7820</v>
      </c>
    </row>
    <row r="204">
      <c r="A204" t="n">
        <v>203</v>
      </c>
      <c r="B204" t="n">
        <v>0</v>
      </c>
      <c r="C204" t="n">
        <v>20871</v>
      </c>
      <c r="D204" t="n">
        <v>55883</v>
      </c>
      <c r="E204" t="n">
        <v>397507</v>
      </c>
      <c r="F204" t="n">
        <v>2792128</v>
      </c>
      <c r="G204" t="n">
        <v>19235934</v>
      </c>
      <c r="H204" t="n">
        <v>130428512</v>
      </c>
      <c r="I204" t="n">
        <v>867738031</v>
      </c>
      <c r="J204" t="n">
        <v>2000</v>
      </c>
      <c r="K204" t="n">
        <v>20281</v>
      </c>
      <c r="L204" t="n">
        <v>2500</v>
      </c>
      <c r="M204" t="n">
        <v>1100</v>
      </c>
      <c r="N204" t="n">
        <v>2015</v>
      </c>
      <c r="O204" t="n">
        <v>3030</v>
      </c>
      <c r="P204" t="n">
        <v>4045</v>
      </c>
      <c r="Q204" t="n">
        <v>5060</v>
      </c>
      <c r="R204" t="n">
        <v>6075</v>
      </c>
      <c r="S204" t="n">
        <v>7090</v>
      </c>
      <c r="T204" t="n">
        <v>8105</v>
      </c>
      <c r="U204" t="n">
        <v>9120</v>
      </c>
      <c r="V204" t="n">
        <v>4314</v>
      </c>
      <c r="W204" t="n">
        <v>1812</v>
      </c>
      <c r="X204" t="n">
        <v>1609</v>
      </c>
      <c r="Y204" t="n">
        <v>7830</v>
      </c>
    </row>
    <row r="205">
      <c r="A205" t="n">
        <v>204</v>
      </c>
      <c r="B205" t="n">
        <v>0</v>
      </c>
      <c r="C205" t="n">
        <v>21185</v>
      </c>
      <c r="D205" t="n">
        <v>57001</v>
      </c>
      <c r="E205" t="n">
        <v>409433</v>
      </c>
      <c r="F205" t="n">
        <v>2903814</v>
      </c>
      <c r="G205" t="n">
        <v>20197731</v>
      </c>
      <c r="H205" t="n">
        <v>138254223</v>
      </c>
      <c r="I205" t="n">
        <v>928479694</v>
      </c>
      <c r="J205" t="n">
        <v>2000</v>
      </c>
      <c r="K205" t="n">
        <v>20484</v>
      </c>
      <c r="L205" t="n">
        <v>2500</v>
      </c>
      <c r="M205" t="n">
        <v>1100</v>
      </c>
      <c r="N205" t="n">
        <v>2020</v>
      </c>
      <c r="O205" t="n">
        <v>3040</v>
      </c>
      <c r="P205" t="n">
        <v>4060</v>
      </c>
      <c r="Q205" t="n">
        <v>5080</v>
      </c>
      <c r="R205" t="n">
        <v>6100</v>
      </c>
      <c r="S205" t="n">
        <v>7120</v>
      </c>
      <c r="T205" t="n">
        <v>8140</v>
      </c>
      <c r="U205" t="n">
        <v>9160</v>
      </c>
      <c r="V205" t="n">
        <v>4340</v>
      </c>
      <c r="W205" t="n">
        <v>1816</v>
      </c>
      <c r="X205" t="n">
        <v>1612</v>
      </c>
      <c r="Y205" t="n">
        <v>7840</v>
      </c>
    </row>
    <row r="206">
      <c r="A206" t="n">
        <v>205</v>
      </c>
      <c r="B206" t="n">
        <v>0</v>
      </c>
      <c r="C206" t="n">
        <v>21503</v>
      </c>
      <c r="D206" t="n">
        <v>58142</v>
      </c>
      <c r="E206" t="n">
        <v>421716</v>
      </c>
      <c r="F206" t="n">
        <v>3019967</v>
      </c>
      <c r="G206" t="n">
        <v>21207618</v>
      </c>
      <c r="H206" t="n">
        <v>146549477</v>
      </c>
      <c r="I206" t="n">
        <v>993473273</v>
      </c>
      <c r="J206" t="n">
        <v>2000</v>
      </c>
      <c r="K206" t="n">
        <v>20689</v>
      </c>
      <c r="L206" t="n">
        <v>2500</v>
      </c>
      <c r="M206" t="n">
        <v>1100</v>
      </c>
      <c r="N206" t="n">
        <v>2025</v>
      </c>
      <c r="O206" t="n">
        <v>3050</v>
      </c>
      <c r="P206" t="n">
        <v>4075</v>
      </c>
      <c r="Q206" t="n">
        <v>5100</v>
      </c>
      <c r="R206" t="n">
        <v>6125</v>
      </c>
      <c r="S206" t="n">
        <v>7150</v>
      </c>
      <c r="T206" t="n">
        <v>8175</v>
      </c>
      <c r="U206" t="n">
        <v>9200</v>
      </c>
      <c r="V206" t="n">
        <v>4366</v>
      </c>
      <c r="W206" t="n">
        <v>1820</v>
      </c>
      <c r="X206" t="n">
        <v>1615</v>
      </c>
      <c r="Y206" t="n">
        <v>7850</v>
      </c>
    </row>
    <row r="207">
      <c r="A207" t="n">
        <v>206</v>
      </c>
      <c r="B207" t="n">
        <v>0</v>
      </c>
      <c r="C207" t="n">
        <v>21826</v>
      </c>
      <c r="D207" t="n">
        <v>59305</v>
      </c>
      <c r="E207" t="n">
        <v>434368</v>
      </c>
      <c r="F207" t="n">
        <v>3140766</v>
      </c>
      <c r="G207" t="n">
        <v>22267999</v>
      </c>
      <c r="H207" t="n">
        <v>155342446</v>
      </c>
      <c r="I207" t="n">
        <v>1063016403</v>
      </c>
      <c r="J207" t="n">
        <v>2000</v>
      </c>
      <c r="K207" t="n">
        <v>20896</v>
      </c>
      <c r="L207" t="n">
        <v>2500</v>
      </c>
      <c r="M207" t="n">
        <v>1100</v>
      </c>
      <c r="N207" t="n">
        <v>2030</v>
      </c>
      <c r="O207" t="n">
        <v>3060</v>
      </c>
      <c r="P207" t="n">
        <v>4090</v>
      </c>
      <c r="Q207" t="n">
        <v>5120</v>
      </c>
      <c r="R207" t="n">
        <v>6150</v>
      </c>
      <c r="S207" t="n">
        <v>7180</v>
      </c>
      <c r="T207" t="n">
        <v>8210</v>
      </c>
      <c r="U207" t="n">
        <v>9240</v>
      </c>
      <c r="V207" t="n">
        <v>4392</v>
      </c>
      <c r="W207" t="n">
        <v>1824</v>
      </c>
      <c r="X207" t="n">
        <v>1618</v>
      </c>
      <c r="Y207" t="n">
        <v>7860</v>
      </c>
    </row>
    <row r="208">
      <c r="A208" t="n">
        <v>207</v>
      </c>
      <c r="B208" t="n">
        <v>0</v>
      </c>
      <c r="C208" t="n">
        <v>22154</v>
      </c>
      <c r="D208" t="n">
        <v>60492</v>
      </c>
      <c r="E208" t="n">
        <v>447400</v>
      </c>
      <c r="F208" t="n">
        <v>3266397</v>
      </c>
      <c r="G208" t="n">
        <v>23381399</v>
      </c>
      <c r="H208" t="n">
        <v>164662993</v>
      </c>
      <c r="I208" t="n">
        <v>1137427552</v>
      </c>
      <c r="J208" t="n">
        <v>2000</v>
      </c>
      <c r="K208" t="n">
        <v>21105</v>
      </c>
      <c r="L208" t="n">
        <v>2500</v>
      </c>
      <c r="M208" t="n">
        <v>1100</v>
      </c>
      <c r="N208" t="n">
        <v>2035</v>
      </c>
      <c r="O208" t="n">
        <v>3070</v>
      </c>
      <c r="P208" t="n">
        <v>4105</v>
      </c>
      <c r="Q208" t="n">
        <v>5140</v>
      </c>
      <c r="R208" t="n">
        <v>6175</v>
      </c>
      <c r="S208" t="n">
        <v>7210</v>
      </c>
      <c r="T208" t="n">
        <v>8245</v>
      </c>
      <c r="U208" t="n">
        <v>9280</v>
      </c>
      <c r="V208" t="n">
        <v>4418</v>
      </c>
      <c r="W208" t="n">
        <v>1828</v>
      </c>
      <c r="X208" t="n">
        <v>1621</v>
      </c>
      <c r="Y208" t="n">
        <v>7870</v>
      </c>
    </row>
    <row r="209">
      <c r="A209" t="n">
        <v>208</v>
      </c>
      <c r="B209" t="n">
        <v>0</v>
      </c>
      <c r="C209" t="n">
        <v>22487</v>
      </c>
      <c r="D209" t="n">
        <v>61702</v>
      </c>
      <c r="E209" t="n">
        <v>460822</v>
      </c>
      <c r="F209" t="n">
        <v>3397053</v>
      </c>
      <c r="G209" t="n">
        <v>24550469</v>
      </c>
      <c r="H209" t="n">
        <v>174542773</v>
      </c>
      <c r="I209" t="n">
        <v>1217047481</v>
      </c>
      <c r="J209" t="n">
        <v>2000</v>
      </c>
      <c r="K209" t="n">
        <v>21317</v>
      </c>
      <c r="L209" t="n">
        <v>2500</v>
      </c>
      <c r="M209" t="n">
        <v>1100</v>
      </c>
      <c r="N209" t="n">
        <v>2040</v>
      </c>
      <c r="O209" t="n">
        <v>3080</v>
      </c>
      <c r="P209" t="n">
        <v>4120</v>
      </c>
      <c r="Q209" t="n">
        <v>5160</v>
      </c>
      <c r="R209" t="n">
        <v>6200</v>
      </c>
      <c r="S209" t="n">
        <v>7240</v>
      </c>
      <c r="T209" t="n">
        <v>8280</v>
      </c>
      <c r="U209" t="n">
        <v>9320</v>
      </c>
      <c r="V209" t="n">
        <v>4445</v>
      </c>
      <c r="W209" t="n">
        <v>1832</v>
      </c>
      <c r="X209" t="n">
        <v>1624</v>
      </c>
      <c r="Y209" t="n">
        <v>7880</v>
      </c>
    </row>
    <row r="210">
      <c r="A210" t="n">
        <v>209</v>
      </c>
      <c r="B210" t="n">
        <v>0</v>
      </c>
      <c r="C210" t="n">
        <v>22825</v>
      </c>
      <c r="D210" t="n">
        <v>62937</v>
      </c>
      <c r="E210" t="n">
        <v>474647</v>
      </c>
      <c r="F210" t="n">
        <v>3532936</v>
      </c>
      <c r="G210" t="n">
        <v>25777993</v>
      </c>
      <c r="H210" t="n">
        <v>185015340</v>
      </c>
      <c r="I210" t="n">
        <v>1302240805</v>
      </c>
      <c r="J210" t="n">
        <v>2000</v>
      </c>
      <c r="K210" t="n">
        <v>21531</v>
      </c>
      <c r="L210" t="n">
        <v>2500</v>
      </c>
      <c r="M210" t="n">
        <v>1100</v>
      </c>
      <c r="N210" t="n">
        <v>2045</v>
      </c>
      <c r="O210" t="n">
        <v>3090</v>
      </c>
      <c r="P210" t="n">
        <v>4135</v>
      </c>
      <c r="Q210" t="n">
        <v>5180</v>
      </c>
      <c r="R210" t="n">
        <v>6225</v>
      </c>
      <c r="S210" t="n">
        <v>7270</v>
      </c>
      <c r="T210" t="n">
        <v>8315</v>
      </c>
      <c r="U210" t="n">
        <v>9360</v>
      </c>
      <c r="V210" t="n">
        <v>4472</v>
      </c>
      <c r="W210" t="n">
        <v>1836</v>
      </c>
      <c r="X210" t="n">
        <v>1627</v>
      </c>
      <c r="Y210" t="n">
        <v>7890</v>
      </c>
    </row>
    <row r="211">
      <c r="A211" t="n">
        <v>210</v>
      </c>
      <c r="B211" t="n">
        <v>0</v>
      </c>
      <c r="C211" t="n">
        <v>23168</v>
      </c>
      <c r="D211" t="n">
        <v>64196</v>
      </c>
      <c r="E211" t="n">
        <v>488887</v>
      </c>
      <c r="F211" t="n">
        <v>3674254</v>
      </c>
      <c r="G211" t="n">
        <v>27066893</v>
      </c>
      <c r="H211" t="n">
        <v>196116261</v>
      </c>
      <c r="I211" t="n">
        <v>1393397662</v>
      </c>
      <c r="J211" t="n">
        <v>2000</v>
      </c>
      <c r="K211" t="n">
        <v>21747</v>
      </c>
      <c r="L211" t="n">
        <v>2500</v>
      </c>
      <c r="M211" t="n">
        <v>1100</v>
      </c>
      <c r="N211" t="n">
        <v>2050</v>
      </c>
      <c r="O211" t="n">
        <v>3100</v>
      </c>
      <c r="P211" t="n">
        <v>4150</v>
      </c>
      <c r="Q211" t="n">
        <v>5200</v>
      </c>
      <c r="R211" t="n">
        <v>6250</v>
      </c>
      <c r="S211" t="n">
        <v>7300</v>
      </c>
      <c r="T211" t="n">
        <v>8350</v>
      </c>
      <c r="U211" t="n">
        <v>9400</v>
      </c>
      <c r="V211" t="n">
        <v>4499</v>
      </c>
      <c r="W211" t="n">
        <v>1840</v>
      </c>
      <c r="X211" t="n">
        <v>1630</v>
      </c>
      <c r="Y211" t="n">
        <v>7900</v>
      </c>
    </row>
    <row r="212">
      <c r="A212" t="n">
        <v>211</v>
      </c>
      <c r="B212" t="n">
        <v>0</v>
      </c>
      <c r="C212" t="n">
        <v>23516</v>
      </c>
      <c r="D212" t="n">
        <v>65480</v>
      </c>
      <c r="E212" t="n">
        <v>503554</v>
      </c>
      <c r="F212" t="n">
        <v>3821225</v>
      </c>
      <c r="G212" t="n">
        <v>28420238</v>
      </c>
      <c r="H212" t="n">
        <v>207883237</v>
      </c>
      <c r="I212" t="n">
        <v>1490935499</v>
      </c>
      <c r="J212" t="n">
        <v>2000</v>
      </c>
      <c r="K212" t="n">
        <v>21965</v>
      </c>
      <c r="L212" t="n">
        <v>2500</v>
      </c>
      <c r="M212" t="n">
        <v>1100</v>
      </c>
      <c r="N212" t="n">
        <v>2055</v>
      </c>
      <c r="O212" t="n">
        <v>3110</v>
      </c>
      <c r="P212" t="n">
        <v>4165</v>
      </c>
      <c r="Q212" t="n">
        <v>5220</v>
      </c>
      <c r="R212" t="n">
        <v>6275</v>
      </c>
      <c r="S212" t="n">
        <v>7330</v>
      </c>
      <c r="T212" t="n">
        <v>8385</v>
      </c>
      <c r="U212" t="n">
        <v>9440</v>
      </c>
      <c r="V212" t="n">
        <v>4526</v>
      </c>
      <c r="W212" t="n">
        <v>1844</v>
      </c>
      <c r="X212" t="n">
        <v>1633</v>
      </c>
      <c r="Y212" t="n">
        <v>7910</v>
      </c>
    </row>
    <row r="213">
      <c r="A213" t="n">
        <v>212</v>
      </c>
      <c r="B213" t="n">
        <v>0</v>
      </c>
      <c r="C213" t="n">
        <v>23869</v>
      </c>
      <c r="D213" t="n">
        <v>66790</v>
      </c>
      <c r="E213" t="n">
        <v>518661</v>
      </c>
      <c r="F213" t="n">
        <v>3974074</v>
      </c>
      <c r="G213" t="n">
        <v>29841250</v>
      </c>
      <c r="H213" t="n">
        <v>220356232</v>
      </c>
      <c r="I213" t="n">
        <v>1595300984</v>
      </c>
      <c r="J213" t="n">
        <v>2000</v>
      </c>
      <c r="K213" t="n">
        <v>22185</v>
      </c>
      <c r="L213" t="n">
        <v>2500</v>
      </c>
      <c r="M213" t="n">
        <v>1100</v>
      </c>
      <c r="N213" t="n">
        <v>2060</v>
      </c>
      <c r="O213" t="n">
        <v>3120</v>
      </c>
      <c r="P213" t="n">
        <v>4180</v>
      </c>
      <c r="Q213" t="n">
        <v>5240</v>
      </c>
      <c r="R213" t="n">
        <v>6300</v>
      </c>
      <c r="S213" t="n">
        <v>7360</v>
      </c>
      <c r="T213" t="n">
        <v>8420</v>
      </c>
      <c r="U213" t="n">
        <v>9480</v>
      </c>
      <c r="V213" t="n">
        <v>4553</v>
      </c>
      <c r="W213" t="n">
        <v>1848</v>
      </c>
      <c r="X213" t="n">
        <v>1636</v>
      </c>
      <c r="Y213" t="n">
        <v>7920</v>
      </c>
    </row>
    <row r="214">
      <c r="A214" t="n">
        <v>213</v>
      </c>
      <c r="B214" t="n">
        <v>0</v>
      </c>
      <c r="C214" t="n">
        <v>24228</v>
      </c>
      <c r="D214" t="n">
        <v>68126</v>
      </c>
      <c r="E214" t="n">
        <v>534221</v>
      </c>
      <c r="F214" t="n">
        <v>4133037</v>
      </c>
      <c r="G214" t="n">
        <v>31333313</v>
      </c>
      <c r="H214" t="n">
        <v>233577606</v>
      </c>
      <c r="I214" t="n">
        <v>1706972053</v>
      </c>
      <c r="J214" t="n">
        <v>2000</v>
      </c>
      <c r="K214" t="n">
        <v>22407</v>
      </c>
      <c r="L214" t="n">
        <v>2500</v>
      </c>
      <c r="M214" t="n">
        <v>1100</v>
      </c>
      <c r="N214" t="n">
        <v>2065</v>
      </c>
      <c r="O214" t="n">
        <v>3130</v>
      </c>
      <c r="P214" t="n">
        <v>4195</v>
      </c>
      <c r="Q214" t="n">
        <v>5260</v>
      </c>
      <c r="R214" t="n">
        <v>6325</v>
      </c>
      <c r="S214" t="n">
        <v>7390</v>
      </c>
      <c r="T214" t="n">
        <v>8455</v>
      </c>
      <c r="U214" t="n">
        <v>9520</v>
      </c>
      <c r="V214" t="n">
        <v>4580</v>
      </c>
      <c r="W214" t="n">
        <v>1852</v>
      </c>
      <c r="X214" t="n">
        <v>1639</v>
      </c>
      <c r="Y214" t="n">
        <v>7930</v>
      </c>
    </row>
    <row r="215">
      <c r="A215" t="n">
        <v>214</v>
      </c>
      <c r="B215" t="n">
        <v>0</v>
      </c>
      <c r="C215" t="n">
        <v>24592</v>
      </c>
      <c r="D215" t="n">
        <v>69489</v>
      </c>
      <c r="E215" t="n">
        <v>550248</v>
      </c>
      <c r="F215" t="n">
        <v>4298359</v>
      </c>
      <c r="G215" t="n">
        <v>32899979</v>
      </c>
      <c r="H215" t="n">
        <v>247592263</v>
      </c>
      <c r="I215" t="n">
        <v>1826460097</v>
      </c>
      <c r="J215" t="n">
        <v>2000</v>
      </c>
      <c r="K215" t="n">
        <v>22632</v>
      </c>
      <c r="L215" t="n">
        <v>2500</v>
      </c>
      <c r="M215" t="n">
        <v>1100</v>
      </c>
      <c r="N215" t="n">
        <v>2070</v>
      </c>
      <c r="O215" t="n">
        <v>3140</v>
      </c>
      <c r="P215" t="n">
        <v>4210</v>
      </c>
      <c r="Q215" t="n">
        <v>5280</v>
      </c>
      <c r="R215" t="n">
        <v>6350</v>
      </c>
      <c r="S215" t="n">
        <v>7420</v>
      </c>
      <c r="T215" t="n">
        <v>8490</v>
      </c>
      <c r="U215" t="n">
        <v>9560</v>
      </c>
      <c r="V215" t="n">
        <v>4607</v>
      </c>
      <c r="W215" t="n">
        <v>1856</v>
      </c>
      <c r="X215" t="n">
        <v>1642</v>
      </c>
      <c r="Y215" t="n">
        <v>7940</v>
      </c>
    </row>
    <row r="216">
      <c r="A216" t="n">
        <v>215</v>
      </c>
      <c r="B216" t="n">
        <v>0</v>
      </c>
      <c r="C216" t="n">
        <v>24961</v>
      </c>
      <c r="D216" t="n">
        <v>70879</v>
      </c>
      <c r="E216" t="n">
        <v>566756</v>
      </c>
      <c r="F216" t="n">
        <v>4470294</v>
      </c>
      <c r="G216" t="n">
        <v>34544978</v>
      </c>
      <c r="H216" t="n">
        <v>262447799</v>
      </c>
      <c r="I216" t="n">
        <v>1954312304</v>
      </c>
      <c r="J216" t="n">
        <v>2000</v>
      </c>
      <c r="K216" t="n">
        <v>22859</v>
      </c>
      <c r="L216" t="n">
        <v>2500</v>
      </c>
      <c r="M216" t="n">
        <v>1100</v>
      </c>
      <c r="N216" t="n">
        <v>2075</v>
      </c>
      <c r="O216" t="n">
        <v>3150</v>
      </c>
      <c r="P216" t="n">
        <v>4225</v>
      </c>
      <c r="Q216" t="n">
        <v>5300</v>
      </c>
      <c r="R216" t="n">
        <v>6375</v>
      </c>
      <c r="S216" t="n">
        <v>7450</v>
      </c>
      <c r="T216" t="n">
        <v>8525</v>
      </c>
      <c r="U216" t="n">
        <v>9600</v>
      </c>
      <c r="V216" t="n">
        <v>4635</v>
      </c>
      <c r="W216" t="n">
        <v>1860</v>
      </c>
      <c r="X216" t="n">
        <v>1645</v>
      </c>
      <c r="Y216" t="n">
        <v>7950</v>
      </c>
    </row>
    <row r="217">
      <c r="A217" t="n">
        <v>216</v>
      </c>
      <c r="B217" t="n">
        <v>0</v>
      </c>
      <c r="C217" t="n">
        <v>25336</v>
      </c>
      <c r="D217" t="n">
        <v>72297</v>
      </c>
      <c r="E217" t="n">
        <v>583759</v>
      </c>
      <c r="F217" t="n">
        <v>4649106</v>
      </c>
      <c r="G217" t="n">
        <v>36272227</v>
      </c>
      <c r="H217" t="n">
        <v>278194667</v>
      </c>
      <c r="I217" t="n">
        <v>2091114166</v>
      </c>
      <c r="J217" t="n">
        <v>2000</v>
      </c>
      <c r="K217" t="n">
        <v>23088</v>
      </c>
      <c r="L217" t="n">
        <v>2500</v>
      </c>
      <c r="M217" t="n">
        <v>1100</v>
      </c>
      <c r="N217" t="n">
        <v>2080</v>
      </c>
      <c r="O217" t="n">
        <v>3160</v>
      </c>
      <c r="P217" t="n">
        <v>4240</v>
      </c>
      <c r="Q217" t="n">
        <v>5320</v>
      </c>
      <c r="R217" t="n">
        <v>6400</v>
      </c>
      <c r="S217" t="n">
        <v>7480</v>
      </c>
      <c r="T217" t="n">
        <v>8560</v>
      </c>
      <c r="U217" t="n">
        <v>9640</v>
      </c>
      <c r="V217" t="n">
        <v>4663</v>
      </c>
      <c r="W217" t="n">
        <v>1864</v>
      </c>
      <c r="X217" t="n">
        <v>1648</v>
      </c>
      <c r="Y217" t="n">
        <v>7960</v>
      </c>
    </row>
    <row r="218">
      <c r="A218" t="n">
        <v>217</v>
      </c>
      <c r="B218" t="n">
        <v>0</v>
      </c>
      <c r="C218" t="n">
        <v>25717</v>
      </c>
      <c r="D218" t="n">
        <v>73743</v>
      </c>
      <c r="E218" t="n">
        <v>601272</v>
      </c>
      <c r="F218" t="n">
        <v>4835071</v>
      </c>
      <c r="G218" t="n">
        <v>38085839</v>
      </c>
      <c r="H218" t="n">
        <v>294886348</v>
      </c>
      <c r="I218" t="n">
        <v>2237492158</v>
      </c>
      <c r="J218" t="n">
        <v>2000</v>
      </c>
      <c r="K218" t="n">
        <v>23319</v>
      </c>
      <c r="L218" t="n">
        <v>2500</v>
      </c>
      <c r="M218" t="n">
        <v>1100</v>
      </c>
      <c r="N218" t="n">
        <v>2085</v>
      </c>
      <c r="O218" t="n">
        <v>3170</v>
      </c>
      <c r="P218" t="n">
        <v>4255</v>
      </c>
      <c r="Q218" t="n">
        <v>5340</v>
      </c>
      <c r="R218" t="n">
        <v>6425</v>
      </c>
      <c r="S218" t="n">
        <v>7510</v>
      </c>
      <c r="T218" t="n">
        <v>8595</v>
      </c>
      <c r="U218" t="n">
        <v>9680</v>
      </c>
      <c r="V218" t="n">
        <v>4691</v>
      </c>
      <c r="W218" t="n">
        <v>1868</v>
      </c>
      <c r="X218" t="n">
        <v>1651</v>
      </c>
      <c r="Y218" t="n">
        <v>7970</v>
      </c>
    </row>
    <row r="219">
      <c r="A219" t="n">
        <v>218</v>
      </c>
      <c r="B219" t="n">
        <v>0</v>
      </c>
      <c r="C219" t="n">
        <v>26103</v>
      </c>
      <c r="D219" t="n">
        <v>75218</v>
      </c>
      <c r="E219" t="n">
        <v>619311</v>
      </c>
      <c r="F219" t="n">
        <v>5028474</v>
      </c>
      <c r="G219" t="n">
        <v>39990131</v>
      </c>
      <c r="H219" t="n">
        <v>312579529</v>
      </c>
      <c r="I219" t="n">
        <v>2394116610</v>
      </c>
      <c r="J219" t="n">
        <v>2000</v>
      </c>
      <c r="K219" t="n">
        <v>23553</v>
      </c>
      <c r="L219" t="n">
        <v>2500</v>
      </c>
      <c r="M219" t="n">
        <v>1100</v>
      </c>
      <c r="N219" t="n">
        <v>2090</v>
      </c>
      <c r="O219" t="n">
        <v>3180</v>
      </c>
      <c r="P219" t="n">
        <v>4270</v>
      </c>
      <c r="Q219" t="n">
        <v>5360</v>
      </c>
      <c r="R219" t="n">
        <v>6450</v>
      </c>
      <c r="S219" t="n">
        <v>7540</v>
      </c>
      <c r="T219" t="n">
        <v>8630</v>
      </c>
      <c r="U219" t="n">
        <v>9720</v>
      </c>
      <c r="V219" t="n">
        <v>4719</v>
      </c>
      <c r="W219" t="n">
        <v>1872</v>
      </c>
      <c r="X219" t="n">
        <v>1654</v>
      </c>
      <c r="Y219" t="n">
        <v>7980</v>
      </c>
    </row>
    <row r="220">
      <c r="A220" t="n">
        <v>219</v>
      </c>
      <c r="B220" t="n">
        <v>0</v>
      </c>
      <c r="C220" t="n">
        <v>26495</v>
      </c>
      <c r="D220" t="n">
        <v>76723</v>
      </c>
      <c r="E220" t="n">
        <v>637891</v>
      </c>
      <c r="F220" t="n">
        <v>5229613</v>
      </c>
      <c r="G220" t="n">
        <v>41989638</v>
      </c>
      <c r="H220" t="n">
        <v>331334301</v>
      </c>
      <c r="I220" t="n">
        <v>2561704773</v>
      </c>
      <c r="J220" t="n">
        <v>2000</v>
      </c>
      <c r="K220" t="n">
        <v>23789</v>
      </c>
      <c r="L220" t="n">
        <v>2500</v>
      </c>
      <c r="M220" t="n">
        <v>1100</v>
      </c>
      <c r="N220" t="n">
        <v>2095</v>
      </c>
      <c r="O220" t="n">
        <v>3190</v>
      </c>
      <c r="P220" t="n">
        <v>4285</v>
      </c>
      <c r="Q220" t="n">
        <v>5380</v>
      </c>
      <c r="R220" t="n">
        <v>6475</v>
      </c>
      <c r="S220" t="n">
        <v>7570</v>
      </c>
      <c r="T220" t="n">
        <v>8665</v>
      </c>
      <c r="U220" t="n">
        <v>9760</v>
      </c>
      <c r="V220" t="n">
        <v>4747</v>
      </c>
      <c r="W220" t="n">
        <v>1876</v>
      </c>
      <c r="X220" t="n">
        <v>1657</v>
      </c>
      <c r="Y220" t="n">
        <v>7990</v>
      </c>
    </row>
    <row r="221">
      <c r="A221" t="n">
        <v>220</v>
      </c>
      <c r="B221" t="n">
        <v>0</v>
      </c>
      <c r="C221" t="n">
        <v>26893</v>
      </c>
      <c r="D221" t="n">
        <v>78258</v>
      </c>
      <c r="E221" t="n">
        <v>657028</v>
      </c>
      <c r="F221" t="n">
        <v>5438798</v>
      </c>
      <c r="G221" t="n">
        <v>44089120</v>
      </c>
      <c r="H221" t="n">
        <v>351214360</v>
      </c>
      <c r="I221" t="n">
        <v>2741024108</v>
      </c>
      <c r="J221" t="n">
        <v>2000</v>
      </c>
      <c r="K221" t="n">
        <v>24027</v>
      </c>
      <c r="L221" t="n">
        <v>2500</v>
      </c>
      <c r="M221" t="n">
        <v>1100</v>
      </c>
      <c r="N221" t="n">
        <v>2100</v>
      </c>
      <c r="O221" t="n">
        <v>3200</v>
      </c>
      <c r="P221" t="n">
        <v>4300</v>
      </c>
      <c r="Q221" t="n">
        <v>5400</v>
      </c>
      <c r="R221" t="n">
        <v>6500</v>
      </c>
      <c r="S221" t="n">
        <v>7600</v>
      </c>
      <c r="T221" t="n">
        <v>8700</v>
      </c>
      <c r="U221" t="n">
        <v>9800</v>
      </c>
      <c r="V221" t="n">
        <v>4775</v>
      </c>
      <c r="W221" t="n">
        <v>1880</v>
      </c>
      <c r="X221" t="n">
        <v>1660</v>
      </c>
      <c r="Y221" t="n">
        <v>8000</v>
      </c>
    </row>
    <row r="222">
      <c r="A222" t="n">
        <v>221</v>
      </c>
      <c r="B222" t="n">
        <v>0</v>
      </c>
      <c r="C222" t="n">
        <v>27297</v>
      </c>
      <c r="D222" t="n">
        <v>79824</v>
      </c>
      <c r="E222" t="n">
        <v>676739</v>
      </c>
      <c r="F222" t="n">
        <v>5656350</v>
      </c>
      <c r="G222" t="n">
        <v>46293576</v>
      </c>
      <c r="H222" t="n">
        <v>372287222</v>
      </c>
      <c r="I222" t="n">
        <v>2932895796</v>
      </c>
      <c r="J222" t="n">
        <v>2000</v>
      </c>
      <c r="K222" t="n">
        <v>24268</v>
      </c>
      <c r="L222" t="n">
        <v>2500</v>
      </c>
      <c r="M222" t="n">
        <v>1100</v>
      </c>
      <c r="N222" t="n">
        <v>2105</v>
      </c>
      <c r="O222" t="n">
        <v>3210</v>
      </c>
      <c r="P222" t="n">
        <v>4315</v>
      </c>
      <c r="Q222" t="n">
        <v>5420</v>
      </c>
      <c r="R222" t="n">
        <v>6525</v>
      </c>
      <c r="S222" t="n">
        <v>7630</v>
      </c>
      <c r="T222" t="n">
        <v>8735</v>
      </c>
      <c r="U222" t="n">
        <v>9840</v>
      </c>
      <c r="V222" t="n">
        <v>4803</v>
      </c>
      <c r="W222" t="n">
        <v>1884</v>
      </c>
      <c r="X222" t="n">
        <v>1663</v>
      </c>
      <c r="Y222" t="n">
        <v>8010</v>
      </c>
    </row>
    <row r="223">
      <c r="A223" t="n">
        <v>222</v>
      </c>
      <c r="B223" t="n">
        <v>0</v>
      </c>
      <c r="C223" t="n">
        <v>27707</v>
      </c>
      <c r="D223" t="n">
        <v>81421</v>
      </c>
      <c r="E223" t="n">
        <v>697042</v>
      </c>
      <c r="F223" t="n">
        <v>5882604</v>
      </c>
      <c r="G223" t="n">
        <v>48608255</v>
      </c>
      <c r="H223" t="n">
        <v>394624456</v>
      </c>
      <c r="I223" t="n">
        <v>3138198502</v>
      </c>
      <c r="J223" t="n">
        <v>2000</v>
      </c>
      <c r="K223" t="n">
        <v>24511</v>
      </c>
      <c r="L223" t="n">
        <v>2500</v>
      </c>
      <c r="M223" t="n">
        <v>1100</v>
      </c>
      <c r="N223" t="n">
        <v>2110</v>
      </c>
      <c r="O223" t="n">
        <v>3220</v>
      </c>
      <c r="P223" t="n">
        <v>4330</v>
      </c>
      <c r="Q223" t="n">
        <v>5440</v>
      </c>
      <c r="R223" t="n">
        <v>6550</v>
      </c>
      <c r="S223" t="n">
        <v>7660</v>
      </c>
      <c r="T223" t="n">
        <v>8770</v>
      </c>
      <c r="U223" t="n">
        <v>9880</v>
      </c>
      <c r="V223" t="n">
        <v>4832</v>
      </c>
      <c r="W223" t="n">
        <v>1888</v>
      </c>
      <c r="X223" t="n">
        <v>1666</v>
      </c>
      <c r="Y223" t="n">
        <v>8020</v>
      </c>
    </row>
    <row r="224">
      <c r="A224" t="n">
        <v>223</v>
      </c>
      <c r="B224" t="n">
        <v>0</v>
      </c>
      <c r="C224" t="n">
        <v>28123</v>
      </c>
      <c r="D224" t="n">
        <v>83050</v>
      </c>
      <c r="E224" t="n">
        <v>717954</v>
      </c>
      <c r="F224" t="n">
        <v>6117909</v>
      </c>
      <c r="G224" t="n">
        <v>51038668</v>
      </c>
      <c r="H224" t="n">
        <v>418301924</v>
      </c>
      <c r="I224" t="n">
        <v>3357872398</v>
      </c>
      <c r="J224" t="n">
        <v>2000</v>
      </c>
      <c r="K224" t="n">
        <v>24757</v>
      </c>
      <c r="L224" t="n">
        <v>2500</v>
      </c>
      <c r="M224" t="n">
        <v>1100</v>
      </c>
      <c r="N224" t="n">
        <v>2115</v>
      </c>
      <c r="O224" t="n">
        <v>3230</v>
      </c>
      <c r="P224" t="n">
        <v>4345</v>
      </c>
      <c r="Q224" t="n">
        <v>5460</v>
      </c>
      <c r="R224" t="n">
        <v>6575</v>
      </c>
      <c r="S224" t="n">
        <v>7690</v>
      </c>
      <c r="T224" t="n">
        <v>8805</v>
      </c>
      <c r="U224" t="n">
        <v>9920</v>
      </c>
      <c r="V224" t="n">
        <v>4861</v>
      </c>
      <c r="W224" t="n">
        <v>1892</v>
      </c>
      <c r="X224" t="n">
        <v>1669</v>
      </c>
      <c r="Y224" t="n">
        <v>8030</v>
      </c>
    </row>
    <row r="225">
      <c r="A225" t="n">
        <v>224</v>
      </c>
      <c r="B225" t="n">
        <v>0</v>
      </c>
      <c r="C225" t="n">
        <v>28545</v>
      </c>
      <c r="D225" t="n">
        <v>84711</v>
      </c>
      <c r="E225" t="n">
        <v>739493</v>
      </c>
      <c r="F225" t="n">
        <v>6362626</v>
      </c>
      <c r="G225" t="n">
        <v>53590602</v>
      </c>
      <c r="H225" t="n">
        <v>443400040</v>
      </c>
      <c r="I225" t="n">
        <v>3592923466</v>
      </c>
      <c r="J225" t="n">
        <v>2000</v>
      </c>
      <c r="K225" t="n">
        <v>25005</v>
      </c>
      <c r="L225" t="n">
        <v>2500</v>
      </c>
      <c r="M225" t="n">
        <v>1100</v>
      </c>
      <c r="N225" t="n">
        <v>2120</v>
      </c>
      <c r="O225" t="n">
        <v>3240</v>
      </c>
      <c r="P225" t="n">
        <v>4360</v>
      </c>
      <c r="Q225" t="n">
        <v>5480</v>
      </c>
      <c r="R225" t="n">
        <v>6600</v>
      </c>
      <c r="S225" t="n">
        <v>7720</v>
      </c>
      <c r="T225" t="n">
        <v>8840</v>
      </c>
      <c r="U225" t="n">
        <v>9960</v>
      </c>
      <c r="V225" t="n">
        <v>4890</v>
      </c>
      <c r="W225" t="n">
        <v>1896</v>
      </c>
      <c r="X225" t="n">
        <v>1672</v>
      </c>
      <c r="Y225" t="n">
        <v>8040</v>
      </c>
    </row>
    <row r="226">
      <c r="A226" t="n">
        <v>225</v>
      </c>
      <c r="B226" t="n">
        <v>0</v>
      </c>
      <c r="C226" t="n">
        <v>28974</v>
      </c>
      <c r="D226" t="n">
        <v>86406</v>
      </c>
      <c r="E226" t="n">
        <v>761678</v>
      </c>
      <c r="F226" t="n">
        <v>6617132</v>
      </c>
      <c r="G226" t="n">
        <v>56270133</v>
      </c>
      <c r="H226" t="n">
        <v>470004043</v>
      </c>
      <c r="I226" t="n">
        <v>3844428109</v>
      </c>
      <c r="J226" t="n">
        <v>2000</v>
      </c>
      <c r="K226" t="n">
        <v>25256</v>
      </c>
      <c r="L226" t="n">
        <v>2500</v>
      </c>
      <c r="M226" t="n">
        <v>1100</v>
      </c>
      <c r="N226" t="n">
        <v>2125</v>
      </c>
      <c r="O226" t="n">
        <v>3250</v>
      </c>
      <c r="P226" t="n">
        <v>4375</v>
      </c>
      <c r="Q226" t="n">
        <v>5500</v>
      </c>
      <c r="R226" t="n">
        <v>6625</v>
      </c>
      <c r="S226" t="n">
        <v>7750</v>
      </c>
      <c r="T226" t="n">
        <v>8875</v>
      </c>
      <c r="U226" t="n">
        <v>10000</v>
      </c>
      <c r="V226" t="n">
        <v>4919</v>
      </c>
      <c r="W226" t="n">
        <v>1900</v>
      </c>
      <c r="X226" t="n">
        <v>1675</v>
      </c>
      <c r="Y226" t="n">
        <v>8050</v>
      </c>
    </row>
    <row r="227">
      <c r="A227" t="n">
        <v>226</v>
      </c>
      <c r="B227" t="n">
        <v>0</v>
      </c>
      <c r="C227" t="n">
        <v>29409</v>
      </c>
      <c r="D227" t="n">
        <v>88135</v>
      </c>
      <c r="E227" t="n">
        <v>784529</v>
      </c>
      <c r="F227" t="n">
        <v>6881818</v>
      </c>
      <c r="G227" t="n">
        <v>59083640</v>
      </c>
      <c r="H227" t="n">
        <v>498204286</v>
      </c>
      <c r="I227" t="n">
        <v>4113538077</v>
      </c>
      <c r="J227" t="n">
        <v>2000</v>
      </c>
      <c r="K227" t="n">
        <v>25509</v>
      </c>
      <c r="L227" t="n">
        <v>2500</v>
      </c>
      <c r="M227" t="n">
        <v>1100</v>
      </c>
      <c r="N227" t="n">
        <v>2130</v>
      </c>
      <c r="O227" t="n">
        <v>3260</v>
      </c>
      <c r="P227" t="n">
        <v>4390</v>
      </c>
      <c r="Q227" t="n">
        <v>5520</v>
      </c>
      <c r="R227" t="n">
        <v>6650</v>
      </c>
      <c r="S227" t="n">
        <v>7780</v>
      </c>
      <c r="T227" t="n">
        <v>8910</v>
      </c>
      <c r="U227" t="n">
        <v>10040</v>
      </c>
      <c r="V227" t="n">
        <v>4948</v>
      </c>
      <c r="W227" t="n">
        <v>1904</v>
      </c>
      <c r="X227" t="n">
        <v>1678</v>
      </c>
      <c r="Y227" t="n">
        <v>8060</v>
      </c>
    </row>
    <row r="228">
      <c r="A228" t="n">
        <v>227</v>
      </c>
      <c r="B228" t="n">
        <v>0</v>
      </c>
      <c r="C228" t="n">
        <v>29851</v>
      </c>
      <c r="D228" t="n">
        <v>89898</v>
      </c>
      <c r="E228" t="n">
        <v>808065</v>
      </c>
      <c r="F228" t="n">
        <v>7157091</v>
      </c>
      <c r="G228" t="n">
        <v>62037822</v>
      </c>
      <c r="H228" t="n">
        <v>528096544</v>
      </c>
      <c r="I228" t="n">
        <v>4401485743</v>
      </c>
      <c r="J228" t="n">
        <v>2000</v>
      </c>
      <c r="K228" t="n">
        <v>25765</v>
      </c>
      <c r="L228" t="n">
        <v>2500</v>
      </c>
      <c r="M228" t="n">
        <v>1100</v>
      </c>
      <c r="N228" t="n">
        <v>2135</v>
      </c>
      <c r="O228" t="n">
        <v>3270</v>
      </c>
      <c r="P228" t="n">
        <v>4405</v>
      </c>
      <c r="Q228" t="n">
        <v>5540</v>
      </c>
      <c r="R228" t="n">
        <v>6675</v>
      </c>
      <c r="S228" t="n">
        <v>7810</v>
      </c>
      <c r="T228" t="n">
        <v>8945</v>
      </c>
      <c r="U228" t="n">
        <v>10080</v>
      </c>
      <c r="V228" t="n">
        <v>4977</v>
      </c>
      <c r="W228" t="n">
        <v>1908</v>
      </c>
      <c r="X228" t="n">
        <v>1681</v>
      </c>
      <c r="Y228" t="n">
        <v>8070</v>
      </c>
    </row>
    <row r="229">
      <c r="A229" t="n">
        <v>228</v>
      </c>
      <c r="B229" t="n">
        <v>0</v>
      </c>
      <c r="C229" t="n">
        <v>30299</v>
      </c>
      <c r="D229" t="n">
        <v>91696</v>
      </c>
      <c r="E229" t="n">
        <v>832307</v>
      </c>
      <c r="F229" t="n">
        <v>7443375</v>
      </c>
      <c r="G229" t="n">
        <v>65139714</v>
      </c>
      <c r="H229" t="n">
        <v>559782337</v>
      </c>
      <c r="I229" t="n">
        <v>4709589746</v>
      </c>
      <c r="J229" t="n">
        <v>2000</v>
      </c>
      <c r="K229" t="n">
        <v>26023</v>
      </c>
      <c r="L229" t="n">
        <v>2500</v>
      </c>
      <c r="M229" t="n">
        <v>1100</v>
      </c>
      <c r="N229" t="n">
        <v>2140</v>
      </c>
      <c r="O229" t="n">
        <v>3280</v>
      </c>
      <c r="P229" t="n">
        <v>4420</v>
      </c>
      <c r="Q229" t="n">
        <v>5560</v>
      </c>
      <c r="R229" t="n">
        <v>6700</v>
      </c>
      <c r="S229" t="n">
        <v>7840</v>
      </c>
      <c r="T229" t="n">
        <v>8980</v>
      </c>
      <c r="U229" t="n">
        <v>10120</v>
      </c>
      <c r="V229" t="n">
        <v>5006</v>
      </c>
      <c r="W229" t="n">
        <v>1912</v>
      </c>
      <c r="X229" t="n">
        <v>1684</v>
      </c>
      <c r="Y229" t="n">
        <v>8080</v>
      </c>
    </row>
    <row r="230">
      <c r="A230" t="n">
        <v>229</v>
      </c>
      <c r="B230" t="n">
        <v>0</v>
      </c>
      <c r="C230" t="n">
        <v>30754</v>
      </c>
      <c r="D230" t="n">
        <v>93530</v>
      </c>
      <c r="E230" t="n">
        <v>857277</v>
      </c>
      <c r="F230" t="n">
        <v>7741110</v>
      </c>
      <c r="G230" t="n">
        <v>68396700</v>
      </c>
      <c r="H230" t="n">
        <v>593369278</v>
      </c>
      <c r="I230" t="n">
        <v>5039261029</v>
      </c>
      <c r="J230" t="n">
        <v>2000</v>
      </c>
      <c r="K230" t="n">
        <v>26284</v>
      </c>
      <c r="L230" t="n">
        <v>2500</v>
      </c>
      <c r="M230" t="n">
        <v>1100</v>
      </c>
      <c r="N230" t="n">
        <v>2145</v>
      </c>
      <c r="O230" t="n">
        <v>3290</v>
      </c>
      <c r="P230" t="n">
        <v>4435</v>
      </c>
      <c r="Q230" t="n">
        <v>5580</v>
      </c>
      <c r="R230" t="n">
        <v>6725</v>
      </c>
      <c r="S230" t="n">
        <v>7870</v>
      </c>
      <c r="T230" t="n">
        <v>9015</v>
      </c>
      <c r="U230" t="n">
        <v>10160</v>
      </c>
      <c r="V230" t="n">
        <v>5036</v>
      </c>
      <c r="W230" t="n">
        <v>1916</v>
      </c>
      <c r="X230" t="n">
        <v>1687</v>
      </c>
      <c r="Y230" t="n">
        <v>8090</v>
      </c>
    </row>
    <row r="231">
      <c r="A231" t="n">
        <v>230</v>
      </c>
      <c r="B231" t="n">
        <v>0</v>
      </c>
      <c r="C231" t="n">
        <v>31216</v>
      </c>
      <c r="D231" t="n">
        <v>95401</v>
      </c>
      <c r="E231" t="n">
        <v>882996</v>
      </c>
      <c r="F231" t="n">
        <v>8050755</v>
      </c>
      <c r="G231" t="n">
        <v>71816535</v>
      </c>
      <c r="H231" t="n">
        <v>628971435</v>
      </c>
      <c r="I231" t="n">
        <v>5392009302</v>
      </c>
      <c r="J231" t="n">
        <v>2000</v>
      </c>
      <c r="K231" t="n">
        <v>26547</v>
      </c>
      <c r="L231" t="n">
        <v>2500</v>
      </c>
      <c r="M231" t="n">
        <v>1100</v>
      </c>
      <c r="N231" t="n">
        <v>2150</v>
      </c>
      <c r="O231" t="n">
        <v>3300</v>
      </c>
      <c r="P231" t="n">
        <v>4450</v>
      </c>
      <c r="Q231" t="n">
        <v>5600</v>
      </c>
      <c r="R231" t="n">
        <v>6750</v>
      </c>
      <c r="S231" t="n">
        <v>7900</v>
      </c>
      <c r="T231" t="n">
        <v>9050</v>
      </c>
      <c r="U231" t="n">
        <v>10200</v>
      </c>
      <c r="V231" t="n">
        <v>5066</v>
      </c>
      <c r="W231" t="n">
        <v>1920</v>
      </c>
      <c r="X231" t="n">
        <v>1690</v>
      </c>
      <c r="Y231" t="n">
        <v>8100</v>
      </c>
    </row>
    <row r="232">
      <c r="A232" t="n">
        <v>231</v>
      </c>
      <c r="B232" t="n">
        <v>0</v>
      </c>
      <c r="C232" t="n">
        <v>31685</v>
      </c>
      <c r="D232" t="n">
        <v>97310</v>
      </c>
      <c r="E232" t="n">
        <v>909486</v>
      </c>
      <c r="F232" t="n">
        <v>8372786</v>
      </c>
      <c r="G232" t="n">
        <v>75407362</v>
      </c>
      <c r="H232" t="n">
        <v>666709722</v>
      </c>
      <c r="I232" t="n">
        <v>5769449954</v>
      </c>
      <c r="J232" t="n">
        <v>2000</v>
      </c>
      <c r="K232" t="n">
        <v>26813</v>
      </c>
      <c r="L232" t="n">
        <v>2500</v>
      </c>
      <c r="M232" t="n">
        <v>1100</v>
      </c>
      <c r="N232" t="n">
        <v>2155</v>
      </c>
      <c r="O232" t="n">
        <v>3310</v>
      </c>
      <c r="P232" t="n">
        <v>4465</v>
      </c>
      <c r="Q232" t="n">
        <v>5620</v>
      </c>
      <c r="R232" t="n">
        <v>6775</v>
      </c>
      <c r="S232" t="n">
        <v>7930</v>
      </c>
      <c r="T232" t="n">
        <v>9085</v>
      </c>
      <c r="U232" t="n">
        <v>10240</v>
      </c>
      <c r="V232" t="n">
        <v>5096</v>
      </c>
      <c r="W232" t="n">
        <v>1924</v>
      </c>
      <c r="X232" t="n">
        <v>1693</v>
      </c>
      <c r="Y232" t="n">
        <v>8110</v>
      </c>
    </row>
    <row r="233">
      <c r="A233" t="n">
        <v>232</v>
      </c>
      <c r="B233" t="n">
        <v>0</v>
      </c>
      <c r="C233" t="n">
        <v>32161</v>
      </c>
      <c r="D233" t="n">
        <v>99257</v>
      </c>
      <c r="E233" t="n">
        <v>936771</v>
      </c>
      <c r="F233" t="n">
        <v>8707698</v>
      </c>
      <c r="G233" t="n">
        <v>79177731</v>
      </c>
      <c r="H233" t="n">
        <v>706712306</v>
      </c>
      <c r="I233" t="n">
        <v>6173311451</v>
      </c>
      <c r="J233" t="n">
        <v>2000</v>
      </c>
      <c r="K233" t="n">
        <v>27082</v>
      </c>
      <c r="L233" t="n">
        <v>2500</v>
      </c>
      <c r="M233" t="n">
        <v>1100</v>
      </c>
      <c r="N233" t="n">
        <v>2160</v>
      </c>
      <c r="O233" t="n">
        <v>3320</v>
      </c>
      <c r="P233" t="n">
        <v>4480</v>
      </c>
      <c r="Q233" t="n">
        <v>5640</v>
      </c>
      <c r="R233" t="n">
        <v>6800</v>
      </c>
      <c r="S233" t="n">
        <v>7960</v>
      </c>
      <c r="T233" t="n">
        <v>9120</v>
      </c>
      <c r="U233" t="n">
        <v>10280</v>
      </c>
      <c r="V233" t="n">
        <v>5126</v>
      </c>
      <c r="W233" t="n">
        <v>1928</v>
      </c>
      <c r="X233" t="n">
        <v>1696</v>
      </c>
      <c r="Y233" t="n">
        <v>8120</v>
      </c>
    </row>
    <row r="234">
      <c r="A234" t="n">
        <v>233</v>
      </c>
      <c r="B234" t="n">
        <v>0</v>
      </c>
      <c r="C234" t="n">
        <v>32644</v>
      </c>
      <c r="D234" t="n">
        <v>101243</v>
      </c>
      <c r="E234" t="n">
        <v>964875</v>
      </c>
      <c r="F234" t="n">
        <v>9056006</v>
      </c>
      <c r="G234" t="n">
        <v>83136618</v>
      </c>
      <c r="H234" t="n">
        <v>749115045</v>
      </c>
      <c r="I234" t="n">
        <v>6605443253</v>
      </c>
      <c r="J234" t="n">
        <v>2000</v>
      </c>
      <c r="K234" t="n">
        <v>27353</v>
      </c>
      <c r="L234" t="n">
        <v>2500</v>
      </c>
      <c r="M234" t="n">
        <v>1100</v>
      </c>
      <c r="N234" t="n">
        <v>2165</v>
      </c>
      <c r="O234" t="n">
        <v>3330</v>
      </c>
      <c r="P234" t="n">
        <v>4495</v>
      </c>
      <c r="Q234" t="n">
        <v>5660</v>
      </c>
      <c r="R234" t="n">
        <v>6825</v>
      </c>
      <c r="S234" t="n">
        <v>7990</v>
      </c>
      <c r="T234" t="n">
        <v>9155</v>
      </c>
      <c r="U234" t="n">
        <v>10320</v>
      </c>
      <c r="V234" t="n">
        <v>5156</v>
      </c>
      <c r="W234" t="n">
        <v>1932</v>
      </c>
      <c r="X234" t="n">
        <v>1699</v>
      </c>
      <c r="Y234" t="n">
        <v>8130</v>
      </c>
    </row>
    <row r="235">
      <c r="A235" t="n">
        <v>234</v>
      </c>
      <c r="B235" t="n">
        <v>0</v>
      </c>
      <c r="C235" t="n">
        <v>33134</v>
      </c>
      <c r="D235" t="n">
        <v>103268</v>
      </c>
      <c r="E235" t="n">
        <v>993822</v>
      </c>
      <c r="F235" t="n">
        <v>9418247</v>
      </c>
      <c r="G235" t="n">
        <v>87293449</v>
      </c>
      <c r="H235" t="n">
        <v>794061948</v>
      </c>
      <c r="I235" t="n">
        <v>7067824281</v>
      </c>
      <c r="J235" t="n">
        <v>2000</v>
      </c>
      <c r="K235" t="n">
        <v>27627</v>
      </c>
      <c r="L235" t="n">
        <v>2500</v>
      </c>
      <c r="M235" t="n">
        <v>1100</v>
      </c>
      <c r="N235" t="n">
        <v>2170</v>
      </c>
      <c r="O235" t="n">
        <v>3340</v>
      </c>
      <c r="P235" t="n">
        <v>4510</v>
      </c>
      <c r="Q235" t="n">
        <v>5680</v>
      </c>
      <c r="R235" t="n">
        <v>6850</v>
      </c>
      <c r="S235" t="n">
        <v>8020</v>
      </c>
      <c r="T235" t="n">
        <v>9190</v>
      </c>
      <c r="U235" t="n">
        <v>10360</v>
      </c>
      <c r="V235" t="n">
        <v>5186</v>
      </c>
      <c r="W235" t="n">
        <v>1936</v>
      </c>
      <c r="X235" t="n">
        <v>1702</v>
      </c>
      <c r="Y235" t="n">
        <v>8140</v>
      </c>
    </row>
    <row r="236">
      <c r="A236" t="n">
        <v>235</v>
      </c>
      <c r="B236" t="n">
        <v>0</v>
      </c>
      <c r="C236" t="n">
        <v>33632</v>
      </c>
      <c r="D236" t="n">
        <v>105334</v>
      </c>
      <c r="E236" t="n">
        <v>1023637</v>
      </c>
      <c r="F236" t="n">
        <v>9794977</v>
      </c>
      <c r="G236" t="n">
        <v>91658122</v>
      </c>
      <c r="H236" t="n">
        <v>841705665</v>
      </c>
      <c r="I236" t="n">
        <v>7562571981</v>
      </c>
      <c r="J236" t="n">
        <v>2000</v>
      </c>
      <c r="K236" t="n">
        <v>27904</v>
      </c>
      <c r="L236" t="n">
        <v>2500</v>
      </c>
      <c r="M236" t="n">
        <v>1100</v>
      </c>
      <c r="N236" t="n">
        <v>2175</v>
      </c>
      <c r="O236" t="n">
        <v>3350</v>
      </c>
      <c r="P236" t="n">
        <v>4525</v>
      </c>
      <c r="Q236" t="n">
        <v>5700</v>
      </c>
      <c r="R236" t="n">
        <v>6875</v>
      </c>
      <c r="S236" t="n">
        <v>8050</v>
      </c>
      <c r="T236" t="n">
        <v>9225</v>
      </c>
      <c r="U236" t="n">
        <v>10400</v>
      </c>
      <c r="V236" t="n">
        <v>5216</v>
      </c>
      <c r="W236" t="n">
        <v>1940</v>
      </c>
      <c r="X236" t="n">
        <v>1705</v>
      </c>
      <c r="Y236" t="n">
        <v>8150</v>
      </c>
    </row>
    <row r="237">
      <c r="A237" t="n">
        <v>236</v>
      </c>
      <c r="B237" t="n">
        <v>0</v>
      </c>
      <c r="C237" t="n">
        <v>34137</v>
      </c>
      <c r="D237" t="n">
        <v>107441</v>
      </c>
      <c r="E237" t="n">
        <v>1054347</v>
      </c>
      <c r="F237" t="n">
        <v>10186777</v>
      </c>
      <c r="G237" t="n">
        <v>96241029</v>
      </c>
      <c r="H237" t="n">
        <v>892208005</v>
      </c>
      <c r="I237" t="n">
        <v>8091952020</v>
      </c>
      <c r="J237" t="n">
        <v>2000</v>
      </c>
      <c r="K237" t="n">
        <v>28184</v>
      </c>
      <c r="L237" t="n">
        <v>2500</v>
      </c>
      <c r="M237" t="n">
        <v>1100</v>
      </c>
      <c r="N237" t="n">
        <v>2180</v>
      </c>
      <c r="O237" t="n">
        <v>3360</v>
      </c>
      <c r="P237" t="n">
        <v>4540</v>
      </c>
      <c r="Q237" t="n">
        <v>5720</v>
      </c>
      <c r="R237" t="n">
        <v>6900</v>
      </c>
      <c r="S237" t="n">
        <v>8080</v>
      </c>
      <c r="T237" t="n">
        <v>9260</v>
      </c>
      <c r="U237" t="n">
        <v>10440</v>
      </c>
      <c r="V237" t="n">
        <v>5247</v>
      </c>
      <c r="W237" t="n">
        <v>1944</v>
      </c>
      <c r="X237" t="n">
        <v>1708</v>
      </c>
      <c r="Y237" t="n">
        <v>8160</v>
      </c>
    </row>
    <row r="238">
      <c r="A238" t="n">
        <v>237</v>
      </c>
      <c r="B238" t="n">
        <v>0</v>
      </c>
      <c r="C238" t="n">
        <v>34650</v>
      </c>
      <c r="D238" t="n">
        <v>109590</v>
      </c>
      <c r="E238" t="n">
        <v>1085978</v>
      </c>
      <c r="F238" t="n">
        <v>10594249</v>
      </c>
      <c r="G238" t="n">
        <v>101053081</v>
      </c>
      <c r="H238" t="n">
        <v>945740486</v>
      </c>
      <c r="I238" t="n">
        <v>8658388662</v>
      </c>
      <c r="J238" t="n">
        <v>2000</v>
      </c>
      <c r="K238" t="n">
        <v>28466</v>
      </c>
      <c r="L238" t="n">
        <v>2500</v>
      </c>
      <c r="M238" t="n">
        <v>1100</v>
      </c>
      <c r="N238" t="n">
        <v>2185</v>
      </c>
      <c r="O238" t="n">
        <v>3370</v>
      </c>
      <c r="P238" t="n">
        <v>4555</v>
      </c>
      <c r="Q238" t="n">
        <v>5740</v>
      </c>
      <c r="R238" t="n">
        <v>6925</v>
      </c>
      <c r="S238" t="n">
        <v>8110</v>
      </c>
      <c r="T238" t="n">
        <v>9295</v>
      </c>
      <c r="U238" t="n">
        <v>10480</v>
      </c>
      <c r="V238" t="n">
        <v>5278</v>
      </c>
      <c r="W238" t="n">
        <v>1948</v>
      </c>
      <c r="X238" t="n">
        <v>1711</v>
      </c>
      <c r="Y238" t="n">
        <v>8170</v>
      </c>
    </row>
    <row r="239">
      <c r="A239" t="n">
        <v>238</v>
      </c>
      <c r="B239" t="n">
        <v>0</v>
      </c>
      <c r="C239" t="n">
        <v>35170</v>
      </c>
      <c r="D239" t="n">
        <v>111782</v>
      </c>
      <c r="E239" t="n">
        <v>1118558</v>
      </c>
      <c r="F239" t="n">
        <v>11018019</v>
      </c>
      <c r="G239" t="n">
        <v>106105736</v>
      </c>
      <c r="H239" t="n">
        <v>1002484916</v>
      </c>
      <c r="I239" t="n">
        <v>9264475869</v>
      </c>
      <c r="J239" t="n">
        <v>2000</v>
      </c>
      <c r="K239" t="n">
        <v>28751</v>
      </c>
      <c r="L239" t="n">
        <v>2500</v>
      </c>
      <c r="M239" t="n">
        <v>1100</v>
      </c>
      <c r="N239" t="n">
        <v>2190</v>
      </c>
      <c r="O239" t="n">
        <v>3380</v>
      </c>
      <c r="P239" t="n">
        <v>4570</v>
      </c>
      <c r="Q239" t="n">
        <v>5760</v>
      </c>
      <c r="R239" t="n">
        <v>6950</v>
      </c>
      <c r="S239" t="n">
        <v>8140</v>
      </c>
      <c r="T239" t="n">
        <v>9330</v>
      </c>
      <c r="U239" t="n">
        <v>10520</v>
      </c>
      <c r="V239" t="n">
        <v>5309</v>
      </c>
      <c r="W239" t="n">
        <v>1952</v>
      </c>
      <c r="X239" t="n">
        <v>1714</v>
      </c>
      <c r="Y239" t="n">
        <v>8180</v>
      </c>
    </row>
    <row r="240">
      <c r="A240" t="n">
        <v>239</v>
      </c>
      <c r="B240" t="n">
        <v>0</v>
      </c>
      <c r="C240" t="n">
        <v>35698</v>
      </c>
      <c r="D240" t="n">
        <v>114018</v>
      </c>
      <c r="E240" t="n">
        <v>1152115</v>
      </c>
      <c r="F240" t="n">
        <v>11458740</v>
      </c>
      <c r="G240" t="n">
        <v>111411023</v>
      </c>
      <c r="H240" t="n">
        <v>1062634011</v>
      </c>
      <c r="I240" t="n">
        <v>9912989180</v>
      </c>
      <c r="J240" t="n">
        <v>2000</v>
      </c>
      <c r="K240" t="n">
        <v>29039</v>
      </c>
      <c r="L240" t="n">
        <v>2500</v>
      </c>
      <c r="M240" t="n">
        <v>1100</v>
      </c>
      <c r="N240" t="n">
        <v>2195</v>
      </c>
      <c r="O240" t="n">
        <v>3390</v>
      </c>
      <c r="P240" t="n">
        <v>4585</v>
      </c>
      <c r="Q240" t="n">
        <v>5780</v>
      </c>
      <c r="R240" t="n">
        <v>6975</v>
      </c>
      <c r="S240" t="n">
        <v>8170</v>
      </c>
      <c r="T240" t="n">
        <v>9365</v>
      </c>
      <c r="U240" t="n">
        <v>10560</v>
      </c>
      <c r="V240" t="n">
        <v>5340</v>
      </c>
      <c r="W240" t="n">
        <v>1956</v>
      </c>
      <c r="X240" t="n">
        <v>1717</v>
      </c>
      <c r="Y240" t="n">
        <v>8190</v>
      </c>
    </row>
    <row r="241">
      <c r="A241" t="n">
        <v>240</v>
      </c>
      <c r="B241" t="n">
        <v>0</v>
      </c>
      <c r="C241" t="n">
        <v>36234</v>
      </c>
      <c r="D241" t="n">
        <v>116299</v>
      </c>
      <c r="E241" t="n">
        <v>1186679</v>
      </c>
      <c r="F241" t="n">
        <v>11917090</v>
      </c>
      <c r="G241" t="n">
        <v>116981575</v>
      </c>
      <c r="H241" t="n">
        <v>1126392052</v>
      </c>
      <c r="I241" t="n">
        <v>10606898423</v>
      </c>
      <c r="J241" t="n">
        <v>2000</v>
      </c>
      <c r="K241" t="n">
        <v>29330</v>
      </c>
      <c r="L241" t="n">
        <v>2500</v>
      </c>
      <c r="M241" t="n">
        <v>1100</v>
      </c>
      <c r="N241" t="n">
        <v>2200</v>
      </c>
      <c r="O241" t="n">
        <v>3400</v>
      </c>
      <c r="P241" t="n">
        <v>4600</v>
      </c>
      <c r="Q241" t="n">
        <v>5800</v>
      </c>
      <c r="R241" t="n">
        <v>7000</v>
      </c>
      <c r="S241" t="n">
        <v>8200</v>
      </c>
      <c r="T241" t="n">
        <v>9400</v>
      </c>
      <c r="U241" t="n">
        <v>10600</v>
      </c>
      <c r="V241" t="n">
        <v>5371</v>
      </c>
      <c r="W241" t="n">
        <v>1960</v>
      </c>
      <c r="X241" t="n">
        <v>1720</v>
      </c>
      <c r="Y241" t="n">
        <v>8200</v>
      </c>
    </row>
    <row r="242">
      <c r="A242" t="n">
        <v>241</v>
      </c>
      <c r="B242" t="n">
        <v>0</v>
      </c>
      <c r="C242" t="n">
        <v>36778</v>
      </c>
      <c r="D242" t="n">
        <v>118625</v>
      </c>
      <c r="E242" t="n">
        <v>1222280</v>
      </c>
      <c r="F242" t="n">
        <v>12393774</v>
      </c>
      <c r="G242" t="n">
        <v>122830654</v>
      </c>
      <c r="H242" t="n">
        <v>1193975576</v>
      </c>
      <c r="I242" t="n">
        <v>11349381313</v>
      </c>
      <c r="J242" t="n">
        <v>2000</v>
      </c>
      <c r="K242" t="n">
        <v>29624</v>
      </c>
      <c r="L242" t="n">
        <v>2500</v>
      </c>
      <c r="M242" t="n">
        <v>1100</v>
      </c>
      <c r="N242" t="n">
        <v>2205</v>
      </c>
      <c r="O242" t="n">
        <v>3410</v>
      </c>
      <c r="P242" t="n">
        <v>4615</v>
      </c>
      <c r="Q242" t="n">
        <v>5820</v>
      </c>
      <c r="R242" t="n">
        <v>7025</v>
      </c>
      <c r="S242" t="n">
        <v>8230</v>
      </c>
      <c r="T242" t="n">
        <v>9435</v>
      </c>
      <c r="U242" t="n">
        <v>10640</v>
      </c>
      <c r="V242" t="n">
        <v>5402</v>
      </c>
      <c r="W242" t="n">
        <v>1964</v>
      </c>
      <c r="X242" t="n">
        <v>1723</v>
      </c>
      <c r="Y242" t="n">
        <v>8210</v>
      </c>
    </row>
    <row r="243">
      <c r="A243" t="n">
        <v>242</v>
      </c>
      <c r="B243" t="n">
        <v>0</v>
      </c>
      <c r="C243" t="n">
        <v>37330</v>
      </c>
      <c r="D243" t="n">
        <v>120998</v>
      </c>
      <c r="E243" t="n">
        <v>1258949</v>
      </c>
      <c r="F243" t="n">
        <v>12889525</v>
      </c>
      <c r="G243" t="n">
        <v>128972187</v>
      </c>
      <c r="H243" t="n">
        <v>1265614111</v>
      </c>
      <c r="I243" t="n">
        <v>12143838005</v>
      </c>
      <c r="J243" t="n">
        <v>2000</v>
      </c>
      <c r="K243" t="n">
        <v>29921</v>
      </c>
      <c r="L243" t="n">
        <v>2500</v>
      </c>
      <c r="M243" t="n">
        <v>1100</v>
      </c>
      <c r="N243" t="n">
        <v>2210</v>
      </c>
      <c r="O243" t="n">
        <v>3420</v>
      </c>
      <c r="P243" t="n">
        <v>4630</v>
      </c>
      <c r="Q243" t="n">
        <v>5840</v>
      </c>
      <c r="R243" t="n">
        <v>7050</v>
      </c>
      <c r="S243" t="n">
        <v>8260</v>
      </c>
      <c r="T243" t="n">
        <v>9470</v>
      </c>
      <c r="U243" t="n">
        <v>10680</v>
      </c>
      <c r="V243" t="n">
        <v>5434</v>
      </c>
      <c r="W243" t="n">
        <v>1968</v>
      </c>
      <c r="X243" t="n">
        <v>1726</v>
      </c>
      <c r="Y243" t="n">
        <v>8220</v>
      </c>
    </row>
    <row r="244">
      <c r="A244" t="n">
        <v>243</v>
      </c>
      <c r="B244" t="n">
        <v>0</v>
      </c>
      <c r="C244" t="n">
        <v>37890</v>
      </c>
      <c r="D244" t="n">
        <v>123418</v>
      </c>
      <c r="E244" t="n">
        <v>1296718</v>
      </c>
      <c r="F244" t="n">
        <v>13405106</v>
      </c>
      <c r="G244" t="n">
        <v>135420797</v>
      </c>
      <c r="H244" t="n">
        <v>1341550958</v>
      </c>
      <c r="I244" t="n">
        <v>12993906666</v>
      </c>
      <c r="J244" t="n">
        <v>2000</v>
      </c>
      <c r="K244" t="n">
        <v>30221</v>
      </c>
      <c r="L244" t="n">
        <v>2500</v>
      </c>
      <c r="M244" t="n">
        <v>1100</v>
      </c>
      <c r="N244" t="n">
        <v>2215</v>
      </c>
      <c r="O244" t="n">
        <v>3430</v>
      </c>
      <c r="P244" t="n">
        <v>4645</v>
      </c>
      <c r="Q244" t="n">
        <v>5860</v>
      </c>
      <c r="R244" t="n">
        <v>7075</v>
      </c>
      <c r="S244" t="n">
        <v>8290</v>
      </c>
      <c r="T244" t="n">
        <v>9505</v>
      </c>
      <c r="U244" t="n">
        <v>10720</v>
      </c>
      <c r="V244" t="n">
        <v>5466</v>
      </c>
      <c r="W244" t="n">
        <v>1972</v>
      </c>
      <c r="X244" t="n">
        <v>1729</v>
      </c>
      <c r="Y244" t="n">
        <v>8230</v>
      </c>
    </row>
    <row r="245">
      <c r="A245" t="n">
        <v>244</v>
      </c>
      <c r="B245" t="n">
        <v>0</v>
      </c>
      <c r="C245" t="n">
        <v>38459</v>
      </c>
      <c r="D245" t="n">
        <v>125887</v>
      </c>
      <c r="E245" t="n">
        <v>1335620</v>
      </c>
      <c r="F245" t="n">
        <v>13941311</v>
      </c>
      <c r="G245" t="n">
        <v>142191837</v>
      </c>
      <c r="H245" t="n">
        <v>1422044016</v>
      </c>
      <c r="I245" t="n">
        <v>13903480133</v>
      </c>
      <c r="J245" t="n">
        <v>2000</v>
      </c>
      <c r="K245" t="n">
        <v>30524</v>
      </c>
      <c r="L245" t="n">
        <v>2500</v>
      </c>
      <c r="M245" t="n">
        <v>1100</v>
      </c>
      <c r="N245" t="n">
        <v>2220</v>
      </c>
      <c r="O245" t="n">
        <v>3440</v>
      </c>
      <c r="P245" t="n">
        <v>4660</v>
      </c>
      <c r="Q245" t="n">
        <v>5880</v>
      </c>
      <c r="R245" t="n">
        <v>7100</v>
      </c>
      <c r="S245" t="n">
        <v>8320</v>
      </c>
      <c r="T245" t="n">
        <v>9540</v>
      </c>
      <c r="U245" t="n">
        <v>10760</v>
      </c>
      <c r="V245" t="n">
        <v>5498</v>
      </c>
      <c r="W245" t="n">
        <v>1976</v>
      </c>
      <c r="X245" t="n">
        <v>1732</v>
      </c>
      <c r="Y245" t="n">
        <v>8240</v>
      </c>
    </row>
    <row r="246">
      <c r="A246" t="n">
        <v>245</v>
      </c>
      <c r="B246" t="n">
        <v>0</v>
      </c>
      <c r="C246" t="n">
        <v>39036</v>
      </c>
      <c r="D246" t="n">
        <v>128405</v>
      </c>
      <c r="E246" t="n">
        <v>1375689</v>
      </c>
      <c r="F246" t="n">
        <v>14498964</v>
      </c>
      <c r="G246" t="n">
        <v>149301429</v>
      </c>
      <c r="H246" t="n">
        <v>1507366657</v>
      </c>
      <c r="I246" t="n">
        <v>14876723743</v>
      </c>
      <c r="J246" t="n">
        <v>2000</v>
      </c>
      <c r="K246" t="n">
        <v>30830</v>
      </c>
      <c r="L246" t="n">
        <v>2500</v>
      </c>
      <c r="M246" t="n">
        <v>1100</v>
      </c>
      <c r="N246" t="n">
        <v>2225</v>
      </c>
      <c r="O246" t="n">
        <v>3450</v>
      </c>
      <c r="P246" t="n">
        <v>4675</v>
      </c>
      <c r="Q246" t="n">
        <v>5900</v>
      </c>
      <c r="R246" t="n">
        <v>7125</v>
      </c>
      <c r="S246" t="n">
        <v>8350</v>
      </c>
      <c r="T246" t="n">
        <v>9575</v>
      </c>
      <c r="U246" t="n">
        <v>10800</v>
      </c>
      <c r="V246" t="n">
        <v>5530</v>
      </c>
      <c r="W246" t="n">
        <v>1980</v>
      </c>
      <c r="X246" t="n">
        <v>1735</v>
      </c>
      <c r="Y246" t="n">
        <v>8250</v>
      </c>
    </row>
    <row r="247">
      <c r="A247" t="n">
        <v>246</v>
      </c>
      <c r="B247" t="n">
        <v>0</v>
      </c>
      <c r="C247" t="n">
        <v>39622</v>
      </c>
      <c r="D247" t="n">
        <v>130974</v>
      </c>
      <c r="E247" t="n">
        <v>1416960</v>
      </c>
      <c r="F247" t="n">
        <v>15078923</v>
      </c>
      <c r="G247" t="n">
        <v>156766501</v>
      </c>
      <c r="H247" t="n">
        <v>1597808657</v>
      </c>
      <c r="I247" t="n">
        <v>15918094406</v>
      </c>
      <c r="J247" t="n">
        <v>2000</v>
      </c>
      <c r="K247" t="n">
        <v>31139</v>
      </c>
      <c r="L247" t="n">
        <v>2500</v>
      </c>
      <c r="M247" t="n">
        <v>1100</v>
      </c>
      <c r="N247" t="n">
        <v>2230</v>
      </c>
      <c r="O247" t="n">
        <v>3460</v>
      </c>
      <c r="P247" t="n">
        <v>4690</v>
      </c>
      <c r="Q247" t="n">
        <v>5920</v>
      </c>
      <c r="R247" t="n">
        <v>7150</v>
      </c>
      <c r="S247" t="n">
        <v>8380</v>
      </c>
      <c r="T247" t="n">
        <v>9610</v>
      </c>
      <c r="U247" t="n">
        <v>10840</v>
      </c>
      <c r="V247" t="n">
        <v>5562</v>
      </c>
      <c r="W247" t="n">
        <v>1984</v>
      </c>
      <c r="X247" t="n">
        <v>1738</v>
      </c>
      <c r="Y247" t="n">
        <v>8260</v>
      </c>
    </row>
    <row r="248">
      <c r="A248" t="n">
        <v>247</v>
      </c>
      <c r="B248" t="n">
        <v>0</v>
      </c>
      <c r="C248" t="n">
        <v>40217</v>
      </c>
      <c r="D248" t="n">
        <v>133594</v>
      </c>
      <c r="E248" t="n">
        <v>1459469</v>
      </c>
      <c r="F248" t="n">
        <v>15682080</v>
      </c>
      <c r="G248" t="n">
        <v>164604827</v>
      </c>
      <c r="H248" t="n">
        <v>1693677177</v>
      </c>
      <c r="I248" t="n">
        <v>17032361015</v>
      </c>
      <c r="J248" t="n">
        <v>2000</v>
      </c>
      <c r="K248" t="n">
        <v>31451</v>
      </c>
      <c r="L248" t="n">
        <v>2500</v>
      </c>
      <c r="M248" t="n">
        <v>1100</v>
      </c>
      <c r="N248" t="n">
        <v>2235</v>
      </c>
      <c r="O248" t="n">
        <v>3470</v>
      </c>
      <c r="P248" t="n">
        <v>4705</v>
      </c>
      <c r="Q248" t="n">
        <v>5940</v>
      </c>
      <c r="R248" t="n">
        <v>7175</v>
      </c>
      <c r="S248" t="n">
        <v>8410</v>
      </c>
      <c r="T248" t="n">
        <v>9645</v>
      </c>
      <c r="U248" t="n">
        <v>10880</v>
      </c>
      <c r="V248" t="n">
        <v>5594</v>
      </c>
      <c r="W248" t="n">
        <v>1988</v>
      </c>
      <c r="X248" t="n">
        <v>1741</v>
      </c>
      <c r="Y248" t="n">
        <v>8270</v>
      </c>
    </row>
    <row r="249">
      <c r="A249" t="n">
        <v>248</v>
      </c>
      <c r="B249" t="n">
        <v>0</v>
      </c>
      <c r="C249" t="n">
        <v>40821</v>
      </c>
      <c r="D249" t="n">
        <v>136266</v>
      </c>
      <c r="E249" t="n">
        <v>1503254</v>
      </c>
      <c r="F249" t="n">
        <v>16309364</v>
      </c>
      <c r="G249" t="n">
        <v>172835069</v>
      </c>
      <c r="H249" t="n">
        <v>1795297808</v>
      </c>
      <c r="I249" t="n">
        <v>18224626287</v>
      </c>
      <c r="J249" t="n">
        <v>2000</v>
      </c>
      <c r="K249" t="n">
        <v>31766</v>
      </c>
      <c r="L249" t="n">
        <v>2500</v>
      </c>
      <c r="M249" t="n">
        <v>1100</v>
      </c>
      <c r="N249" t="n">
        <v>2240</v>
      </c>
      <c r="O249" t="n">
        <v>3480</v>
      </c>
      <c r="P249" t="n">
        <v>4720</v>
      </c>
      <c r="Q249" t="n">
        <v>5960</v>
      </c>
      <c r="R249" t="n">
        <v>7200</v>
      </c>
      <c r="S249" t="n">
        <v>8440</v>
      </c>
      <c r="T249" t="n">
        <v>9680</v>
      </c>
      <c r="U249" t="n">
        <v>10920</v>
      </c>
      <c r="V249" t="n">
        <v>5626</v>
      </c>
      <c r="W249" t="n">
        <v>1992</v>
      </c>
      <c r="X249" t="n">
        <v>1744</v>
      </c>
      <c r="Y249" t="n">
        <v>8280</v>
      </c>
    </row>
    <row r="250">
      <c r="A250" t="n">
        <v>249</v>
      </c>
      <c r="B250" t="n">
        <v>0</v>
      </c>
      <c r="C250" t="n">
        <v>41434</v>
      </c>
      <c r="D250" t="n">
        <v>138992</v>
      </c>
      <c r="E250" t="n">
        <v>1548352</v>
      </c>
      <c r="F250" t="n">
        <v>16961739</v>
      </c>
      <c r="G250" t="n">
        <v>181476823</v>
      </c>
      <c r="H250" t="n">
        <v>1903015677</v>
      </c>
      <c r="I250" t="n">
        <v>19500350128</v>
      </c>
      <c r="J250" t="n">
        <v>2000</v>
      </c>
      <c r="K250" t="n">
        <v>32084</v>
      </c>
      <c r="L250" t="n">
        <v>2500</v>
      </c>
      <c r="M250" t="n">
        <v>1100</v>
      </c>
      <c r="N250" t="n">
        <v>2245</v>
      </c>
      <c r="O250" t="n">
        <v>3490</v>
      </c>
      <c r="P250" t="n">
        <v>4735</v>
      </c>
      <c r="Q250" t="n">
        <v>5980</v>
      </c>
      <c r="R250" t="n">
        <v>7225</v>
      </c>
      <c r="S250" t="n">
        <v>8470</v>
      </c>
      <c r="T250" t="n">
        <v>9715</v>
      </c>
      <c r="U250" t="n">
        <v>10960</v>
      </c>
      <c r="V250" t="n">
        <v>5659</v>
      </c>
      <c r="W250" t="n">
        <v>1996</v>
      </c>
      <c r="X250" t="n">
        <v>1747</v>
      </c>
      <c r="Y250" t="n">
        <v>8290</v>
      </c>
    </row>
    <row r="251">
      <c r="A251" t="n">
        <v>250</v>
      </c>
      <c r="B251" t="n">
        <v>0</v>
      </c>
      <c r="C251" t="n">
        <v>42056</v>
      </c>
      <c r="D251" t="n">
        <v>141772</v>
      </c>
      <c r="E251" t="n">
        <v>1594803</v>
      </c>
      <c r="F251" t="n">
        <v>17640209</v>
      </c>
      <c r="G251" t="n">
        <v>190550665</v>
      </c>
      <c r="H251" t="n">
        <v>2017196618</v>
      </c>
      <c r="I251" t="n">
        <v>20865374637</v>
      </c>
      <c r="J251" t="n">
        <v>2000</v>
      </c>
      <c r="K251" t="n">
        <v>32405</v>
      </c>
      <c r="L251" t="n">
        <v>2500</v>
      </c>
      <c r="M251" t="n">
        <v>1100</v>
      </c>
      <c r="N251" t="n">
        <v>2250</v>
      </c>
      <c r="O251" t="n">
        <v>3500</v>
      </c>
      <c r="P251" t="n">
        <v>4750</v>
      </c>
      <c r="Q251" t="n">
        <v>6000</v>
      </c>
      <c r="R251" t="n">
        <v>7250</v>
      </c>
      <c r="S251" t="n">
        <v>8500</v>
      </c>
      <c r="T251" t="n">
        <v>9750</v>
      </c>
      <c r="U251" t="n">
        <v>11000</v>
      </c>
      <c r="V251" t="n">
        <v>5692</v>
      </c>
      <c r="W251" t="n">
        <v>2000</v>
      </c>
      <c r="X251" t="n">
        <v>1750</v>
      </c>
      <c r="Y251" t="n">
        <v>8300</v>
      </c>
    </row>
    <row r="252">
      <c r="A252" t="n">
        <v>251</v>
      </c>
      <c r="B252" t="n">
        <v>0</v>
      </c>
      <c r="C252" t="n">
        <v>42687</v>
      </c>
      <c r="D252" t="n">
        <v>144608</v>
      </c>
      <c r="E252" t="n">
        <v>1642648</v>
      </c>
      <c r="F252" t="n">
        <v>18345818</v>
      </c>
      <c r="G252" t="n">
        <v>200078199</v>
      </c>
      <c r="H252" t="n">
        <v>2138228416</v>
      </c>
      <c r="I252" t="n">
        <v>22325950862</v>
      </c>
      <c r="J252" t="n">
        <v>2000</v>
      </c>
      <c r="K252" t="n">
        <v>32730</v>
      </c>
      <c r="L252" t="n">
        <v>2500</v>
      </c>
      <c r="M252" t="n">
        <v>1100</v>
      </c>
      <c r="N252" t="n">
        <v>2255</v>
      </c>
      <c r="O252" t="n">
        <v>3510</v>
      </c>
      <c r="P252" t="n">
        <v>4765</v>
      </c>
      <c r="Q252" t="n">
        <v>6020</v>
      </c>
      <c r="R252" t="n">
        <v>7275</v>
      </c>
      <c r="S252" t="n">
        <v>8530</v>
      </c>
      <c r="T252" t="n">
        <v>9785</v>
      </c>
      <c r="U252" t="n">
        <v>11040</v>
      </c>
      <c r="V252" t="n">
        <v>5725</v>
      </c>
      <c r="W252" t="n">
        <v>2004</v>
      </c>
      <c r="X252" t="n">
        <v>1753</v>
      </c>
      <c r="Y252" t="n">
        <v>8310</v>
      </c>
    </row>
    <row r="253">
      <c r="A253" t="n">
        <v>252</v>
      </c>
      <c r="B253" t="n">
        <v>0</v>
      </c>
      <c r="C253" t="n">
        <v>43328</v>
      </c>
      <c r="D253" t="n">
        <v>147501</v>
      </c>
      <c r="E253" t="n">
        <v>1691928</v>
      </c>
      <c r="F253" t="n">
        <v>19079651</v>
      </c>
      <c r="G253" t="n">
        <v>210082109</v>
      </c>
      <c r="H253" t="n">
        <v>2266522121</v>
      </c>
      <c r="I253" t="n">
        <v>23888767423</v>
      </c>
      <c r="J253" t="n">
        <v>2000</v>
      </c>
      <c r="K253" t="n">
        <v>33058</v>
      </c>
      <c r="L253" t="n">
        <v>2500</v>
      </c>
      <c r="M253" t="n">
        <v>1100</v>
      </c>
      <c r="N253" t="n">
        <v>2260</v>
      </c>
      <c r="O253" t="n">
        <v>3520</v>
      </c>
      <c r="P253" t="n">
        <v>4780</v>
      </c>
      <c r="Q253" t="n">
        <v>6040</v>
      </c>
      <c r="R253" t="n">
        <v>7300</v>
      </c>
      <c r="S253" t="n">
        <v>8560</v>
      </c>
      <c r="T253" t="n">
        <v>9820</v>
      </c>
      <c r="U253" t="n">
        <v>11080</v>
      </c>
      <c r="V253" t="n">
        <v>5758</v>
      </c>
      <c r="W253" t="n">
        <v>2008</v>
      </c>
      <c r="X253" t="n">
        <v>1756</v>
      </c>
      <c r="Y253" t="n">
        <v>8320</v>
      </c>
    </row>
    <row r="254">
      <c r="A254" t="n">
        <v>253</v>
      </c>
      <c r="B254" t="n">
        <v>0</v>
      </c>
      <c r="C254" t="n">
        <v>43978</v>
      </c>
      <c r="D254" t="n">
        <v>150452</v>
      </c>
      <c r="E254" t="n">
        <v>1742686</v>
      </c>
      <c r="F254" t="n">
        <v>19842838</v>
      </c>
      <c r="G254" t="n">
        <v>220586215</v>
      </c>
      <c r="H254" t="n">
        <v>2402513449</v>
      </c>
      <c r="I254" t="n">
        <v>25560981143</v>
      </c>
      <c r="J254" t="n">
        <v>2000</v>
      </c>
      <c r="K254" t="n">
        <v>33389</v>
      </c>
      <c r="L254" t="n">
        <v>2500</v>
      </c>
      <c r="M254" t="n">
        <v>1100</v>
      </c>
      <c r="N254" t="n">
        <v>2265</v>
      </c>
      <c r="O254" t="n">
        <v>3530</v>
      </c>
      <c r="P254" t="n">
        <v>4795</v>
      </c>
      <c r="Q254" t="n">
        <v>6060</v>
      </c>
      <c r="R254" t="n">
        <v>7325</v>
      </c>
      <c r="S254" t="n">
        <v>8590</v>
      </c>
      <c r="T254" t="n">
        <v>9855</v>
      </c>
      <c r="U254" t="n">
        <v>11120</v>
      </c>
      <c r="V254" t="n">
        <v>5791</v>
      </c>
      <c r="W254" t="n">
        <v>2012</v>
      </c>
      <c r="X254" t="n">
        <v>1759</v>
      </c>
      <c r="Y254" t="n">
        <v>8330</v>
      </c>
    </row>
    <row r="255">
      <c r="A255" t="n">
        <v>254</v>
      </c>
      <c r="B255" t="n">
        <v>0</v>
      </c>
      <c r="C255" t="n">
        <v>44638</v>
      </c>
      <c r="D255" t="n">
        <v>153462</v>
      </c>
      <c r="E255" t="n">
        <v>1794967</v>
      </c>
      <c r="F255" t="n">
        <v>20636552</v>
      </c>
      <c r="G255" t="n">
        <v>231615526</v>
      </c>
      <c r="H255" t="n">
        <v>2546664256</v>
      </c>
      <c r="I255" t="n">
        <v>27350249824</v>
      </c>
      <c r="J255" t="n">
        <v>2000</v>
      </c>
      <c r="K255" t="n">
        <v>33723</v>
      </c>
      <c r="L255" t="n">
        <v>2500</v>
      </c>
      <c r="M255" t="n">
        <v>1100</v>
      </c>
      <c r="N255" t="n">
        <v>2270</v>
      </c>
      <c r="O255" t="n">
        <v>3540</v>
      </c>
      <c r="P255" t="n">
        <v>4810</v>
      </c>
      <c r="Q255" t="n">
        <v>6080</v>
      </c>
      <c r="R255" t="n">
        <v>7350</v>
      </c>
      <c r="S255" t="n">
        <v>8620</v>
      </c>
      <c r="T255" t="n">
        <v>9890</v>
      </c>
      <c r="U255" t="n">
        <v>11160</v>
      </c>
      <c r="V255" t="n">
        <v>5824</v>
      </c>
      <c r="W255" t="n">
        <v>2016</v>
      </c>
      <c r="X255" t="n">
        <v>1762</v>
      </c>
      <c r="Y255" t="n">
        <v>8340</v>
      </c>
    </row>
    <row r="256">
      <c r="A256" t="n">
        <v>255</v>
      </c>
      <c r="B256" t="n">
        <v>0</v>
      </c>
      <c r="C256" t="n">
        <v>45308</v>
      </c>
      <c r="D256" t="n">
        <v>156532</v>
      </c>
      <c r="E256" t="n">
        <v>1848817</v>
      </c>
      <c r="F256" t="n">
        <v>21462015</v>
      </c>
      <c r="G256" t="n">
        <v>243196303</v>
      </c>
      <c r="H256" t="n">
        <v>2699464112</v>
      </c>
      <c r="I256" t="n">
        <v>29264767312</v>
      </c>
      <c r="J256" t="n">
        <v>2000</v>
      </c>
      <c r="K256" t="n">
        <v>34061</v>
      </c>
      <c r="L256" t="n">
        <v>2500</v>
      </c>
      <c r="M256" t="n">
        <v>1100</v>
      </c>
      <c r="N256" t="n">
        <v>2275</v>
      </c>
      <c r="O256" t="n">
        <v>3550</v>
      </c>
      <c r="P256" t="n">
        <v>4825</v>
      </c>
      <c r="Q256" t="n">
        <v>6100</v>
      </c>
      <c r="R256" t="n">
        <v>7375</v>
      </c>
      <c r="S256" t="n">
        <v>8650</v>
      </c>
      <c r="T256" t="n">
        <v>9925</v>
      </c>
      <c r="U256" t="n">
        <v>11200</v>
      </c>
      <c r="V256" t="n">
        <v>5858</v>
      </c>
      <c r="W256" t="n">
        <v>2020</v>
      </c>
      <c r="X256" t="n">
        <v>1765</v>
      </c>
      <c r="Y256" t="n">
        <v>8350</v>
      </c>
    </row>
    <row r="257">
      <c r="A257" t="n">
        <v>256</v>
      </c>
      <c r="B257" t="n">
        <v>0</v>
      </c>
      <c r="C257" t="n">
        <v>45988</v>
      </c>
      <c r="D257" t="n">
        <v>159663</v>
      </c>
      <c r="E257" t="n">
        <v>1904282</v>
      </c>
      <c r="F257" t="n">
        <v>22320496</v>
      </c>
      <c r="G257" t="n">
        <v>255356119</v>
      </c>
      <c r="H257" t="n">
        <v>2861431959</v>
      </c>
      <c r="I257" t="n">
        <v>31313301024</v>
      </c>
      <c r="J257" t="n">
        <v>2000</v>
      </c>
      <c r="K257" t="n">
        <v>34402</v>
      </c>
      <c r="L257" t="n">
        <v>2500</v>
      </c>
      <c r="M257" t="n">
        <v>1100</v>
      </c>
      <c r="N257" t="n">
        <v>2280</v>
      </c>
      <c r="O257" t="n">
        <v>3560</v>
      </c>
      <c r="P257" t="n">
        <v>4840</v>
      </c>
      <c r="Q257" t="n">
        <v>6120</v>
      </c>
      <c r="R257" t="n">
        <v>7400</v>
      </c>
      <c r="S257" t="n">
        <v>8680</v>
      </c>
      <c r="T257" t="n">
        <v>9960</v>
      </c>
      <c r="U257" t="n">
        <v>11240</v>
      </c>
      <c r="V257" t="n">
        <v>5892</v>
      </c>
      <c r="W257" t="n">
        <v>2024</v>
      </c>
      <c r="X257" t="n">
        <v>1768</v>
      </c>
      <c r="Y257" t="n">
        <v>8360</v>
      </c>
    </row>
    <row r="258">
      <c r="A258" t="n">
        <v>257</v>
      </c>
      <c r="B258" t="n">
        <v>0</v>
      </c>
      <c r="C258" t="n">
        <v>46678</v>
      </c>
      <c r="D258" t="n">
        <v>162857</v>
      </c>
      <c r="E258" t="n">
        <v>1961411</v>
      </c>
      <c r="F258" t="n">
        <v>23213316</v>
      </c>
      <c r="G258" t="n">
        <v>268123925</v>
      </c>
      <c r="H258" t="n">
        <v>3033117877</v>
      </c>
      <c r="I258" t="n">
        <v>33505232096</v>
      </c>
      <c r="J258" t="n">
        <v>2000</v>
      </c>
      <c r="K258" t="n">
        <v>34747</v>
      </c>
      <c r="L258" t="n">
        <v>2500</v>
      </c>
      <c r="M258" t="n">
        <v>1100</v>
      </c>
      <c r="N258" t="n">
        <v>2285</v>
      </c>
      <c r="O258" t="n">
        <v>3570</v>
      </c>
      <c r="P258" t="n">
        <v>4855</v>
      </c>
      <c r="Q258" t="n">
        <v>6140</v>
      </c>
      <c r="R258" t="n">
        <v>7425</v>
      </c>
      <c r="S258" t="n">
        <v>8710</v>
      </c>
      <c r="T258" t="n">
        <v>9995</v>
      </c>
      <c r="U258" t="n">
        <v>11280</v>
      </c>
      <c r="V258" t="n">
        <v>5926</v>
      </c>
      <c r="W258" t="n">
        <v>2028</v>
      </c>
      <c r="X258" t="n">
        <v>1771</v>
      </c>
      <c r="Y258" t="n">
        <v>8370</v>
      </c>
    </row>
    <row r="259">
      <c r="A259" t="n">
        <v>258</v>
      </c>
      <c r="B259" t="n">
        <v>0</v>
      </c>
      <c r="C259" t="n">
        <v>47379</v>
      </c>
      <c r="D259" t="n">
        <v>166115</v>
      </c>
      <c r="E259" t="n">
        <v>2020254</v>
      </c>
      <c r="F259" t="n">
        <v>24141849</v>
      </c>
      <c r="G259" t="n">
        <v>281530122</v>
      </c>
      <c r="H259" t="n">
        <v>3215104950</v>
      </c>
      <c r="I259" t="n">
        <v>35850598343</v>
      </c>
      <c r="J259" t="n">
        <v>2000</v>
      </c>
      <c r="K259" t="n">
        <v>35095</v>
      </c>
      <c r="L259" t="n">
        <v>2500</v>
      </c>
      <c r="M259" t="n">
        <v>1100</v>
      </c>
      <c r="N259" t="n">
        <v>2290</v>
      </c>
      <c r="O259" t="n">
        <v>3580</v>
      </c>
      <c r="P259" t="n">
        <v>4870</v>
      </c>
      <c r="Q259" t="n">
        <v>6160</v>
      </c>
      <c r="R259" t="n">
        <v>7450</v>
      </c>
      <c r="S259" t="n">
        <v>8740</v>
      </c>
      <c r="T259" t="n">
        <v>10030</v>
      </c>
      <c r="U259" t="n">
        <v>11320</v>
      </c>
      <c r="V259" t="n">
        <v>5960</v>
      </c>
      <c r="W259" t="n">
        <v>2032</v>
      </c>
      <c r="X259" t="n">
        <v>1774</v>
      </c>
      <c r="Y259" t="n">
        <v>8380</v>
      </c>
    </row>
    <row r="260">
      <c r="A260" t="n">
        <v>259</v>
      </c>
      <c r="B260" t="n">
        <v>0</v>
      </c>
      <c r="C260" t="n">
        <v>48090</v>
      </c>
      <c r="D260" t="n">
        <v>169438</v>
      </c>
      <c r="E260" t="n">
        <v>2080862</v>
      </c>
      <c r="F260" t="n">
        <v>25107523</v>
      </c>
      <c r="G260" t="n">
        <v>295606629</v>
      </c>
      <c r="H260" t="n">
        <v>3408011247</v>
      </c>
      <c r="I260" t="n">
        <v>38360140228</v>
      </c>
      <c r="J260" t="n">
        <v>2000</v>
      </c>
      <c r="K260" t="n">
        <v>35446</v>
      </c>
      <c r="L260" t="n">
        <v>2500</v>
      </c>
      <c r="M260" t="n">
        <v>1100</v>
      </c>
      <c r="N260" t="n">
        <v>2295</v>
      </c>
      <c r="O260" t="n">
        <v>3590</v>
      </c>
      <c r="P260" t="n">
        <v>4885</v>
      </c>
      <c r="Q260" t="n">
        <v>6180</v>
      </c>
      <c r="R260" t="n">
        <v>7475</v>
      </c>
      <c r="S260" t="n">
        <v>8770</v>
      </c>
      <c r="T260" t="n">
        <v>10065</v>
      </c>
      <c r="U260" t="n">
        <v>11360</v>
      </c>
      <c r="V260" t="n">
        <v>5994</v>
      </c>
      <c r="W260" t="n">
        <v>2036</v>
      </c>
      <c r="X260" t="n">
        <v>1777</v>
      </c>
      <c r="Y260" t="n">
        <v>8390</v>
      </c>
    </row>
    <row r="261">
      <c r="A261" t="n">
        <v>260</v>
      </c>
      <c r="B261" t="n">
        <v>0</v>
      </c>
      <c r="C261" t="n">
        <v>48812</v>
      </c>
      <c r="D261" t="n">
        <v>172827</v>
      </c>
      <c r="E261" t="n">
        <v>2143288</v>
      </c>
      <c r="F261" t="n">
        <v>26111824</v>
      </c>
      <c r="G261" t="n">
        <v>310386961</v>
      </c>
      <c r="H261" t="n">
        <v>3612491922</v>
      </c>
      <c r="I261" t="n">
        <v>41045350044</v>
      </c>
      <c r="J261" t="n">
        <v>2000</v>
      </c>
      <c r="K261" t="n">
        <v>35801</v>
      </c>
      <c r="L261" t="n">
        <v>2500</v>
      </c>
      <c r="M261" t="n">
        <v>1100</v>
      </c>
      <c r="N261" t="n">
        <v>2300</v>
      </c>
      <c r="O261" t="n">
        <v>3600</v>
      </c>
      <c r="P261" t="n">
        <v>4900</v>
      </c>
      <c r="Q261" t="n">
        <v>6200</v>
      </c>
      <c r="R261" t="n">
        <v>7500</v>
      </c>
      <c r="S261" t="n">
        <v>8800</v>
      </c>
      <c r="T261" t="n">
        <v>10100</v>
      </c>
      <c r="U261" t="n">
        <v>11400</v>
      </c>
      <c r="V261" t="n">
        <v>6028</v>
      </c>
      <c r="W261" t="n">
        <v>2040</v>
      </c>
      <c r="X261" t="n">
        <v>1780</v>
      </c>
      <c r="Y261" t="n">
        <v>8400</v>
      </c>
    </row>
    <row r="262">
      <c r="A262" t="n">
        <v>261</v>
      </c>
      <c r="B262" t="n">
        <v>0</v>
      </c>
      <c r="C262" t="n">
        <v>49545</v>
      </c>
      <c r="D262" t="n">
        <v>176284</v>
      </c>
      <c r="E262" t="n">
        <v>2207587</v>
      </c>
      <c r="F262" t="n">
        <v>27156297</v>
      </c>
      <c r="G262" t="n">
        <v>325906310</v>
      </c>
      <c r="H262" t="n">
        <v>3829241438</v>
      </c>
      <c r="I262" t="n">
        <v>43918524548</v>
      </c>
      <c r="J262" t="n">
        <v>2000</v>
      </c>
      <c r="K262" t="n">
        <v>36160</v>
      </c>
      <c r="L262" t="n">
        <v>2500</v>
      </c>
      <c r="M262" t="n">
        <v>1100</v>
      </c>
      <c r="N262" t="n">
        <v>2305</v>
      </c>
      <c r="O262" t="n">
        <v>3610</v>
      </c>
      <c r="P262" t="n">
        <v>4915</v>
      </c>
      <c r="Q262" t="n">
        <v>6220</v>
      </c>
      <c r="R262" t="n">
        <v>7525</v>
      </c>
      <c r="S262" t="n">
        <v>8830</v>
      </c>
      <c r="T262" t="n">
        <v>10135</v>
      </c>
      <c r="U262" t="n">
        <v>11440</v>
      </c>
      <c r="V262" t="n">
        <v>6063</v>
      </c>
      <c r="W262" t="n">
        <v>2044</v>
      </c>
      <c r="X262" t="n">
        <v>1783</v>
      </c>
      <c r="Y262" t="n">
        <v>8410</v>
      </c>
    </row>
    <row r="263">
      <c r="A263" t="n">
        <v>262</v>
      </c>
      <c r="B263" t="n">
        <v>0</v>
      </c>
      <c r="C263" t="n">
        <v>50289</v>
      </c>
      <c r="D263" t="n">
        <v>179810</v>
      </c>
      <c r="E263" t="n">
        <v>2273815</v>
      </c>
      <c r="F263" t="n">
        <v>28242549</v>
      </c>
      <c r="G263" t="n">
        <v>342201626</v>
      </c>
      <c r="H263" t="n">
        <v>4058995925</v>
      </c>
      <c r="I263" t="n">
        <v>46992821267</v>
      </c>
      <c r="J263" t="n">
        <v>2000</v>
      </c>
      <c r="K263" t="n">
        <v>36522</v>
      </c>
      <c r="L263" t="n">
        <v>2500</v>
      </c>
      <c r="M263" t="n">
        <v>1100</v>
      </c>
      <c r="N263" t="n">
        <v>2310</v>
      </c>
      <c r="O263" t="n">
        <v>3620</v>
      </c>
      <c r="P263" t="n">
        <v>4930</v>
      </c>
      <c r="Q263" t="n">
        <v>6240</v>
      </c>
      <c r="R263" t="n">
        <v>7550</v>
      </c>
      <c r="S263" t="n">
        <v>8860</v>
      </c>
      <c r="T263" t="n">
        <v>10170</v>
      </c>
      <c r="U263" t="n">
        <v>11480</v>
      </c>
      <c r="V263" t="n">
        <v>6098</v>
      </c>
      <c r="W263" t="n">
        <v>2048</v>
      </c>
      <c r="X263" t="n">
        <v>1786</v>
      </c>
      <c r="Y263" t="n">
        <v>8420</v>
      </c>
    </row>
    <row r="264">
      <c r="A264" t="n">
        <v>263</v>
      </c>
      <c r="B264" t="n">
        <v>0</v>
      </c>
      <c r="C264" t="n">
        <v>51044</v>
      </c>
      <c r="D264" t="n">
        <v>183407</v>
      </c>
      <c r="E264" t="n">
        <v>2342030</v>
      </c>
      <c r="F264" t="n">
        <v>29372251</v>
      </c>
      <c r="G264" t="n">
        <v>359311708</v>
      </c>
      <c r="H264" t="n">
        <v>4302535681</v>
      </c>
      <c r="I264" t="n">
        <v>50282318756</v>
      </c>
      <c r="J264" t="n">
        <v>2000</v>
      </c>
      <c r="K264" t="n">
        <v>36888</v>
      </c>
      <c r="L264" t="n">
        <v>2500</v>
      </c>
      <c r="M264" t="n">
        <v>1100</v>
      </c>
      <c r="N264" t="n">
        <v>2315</v>
      </c>
      <c r="O264" t="n">
        <v>3630</v>
      </c>
      <c r="P264" t="n">
        <v>4945</v>
      </c>
      <c r="Q264" t="n">
        <v>6260</v>
      </c>
      <c r="R264" t="n">
        <v>7575</v>
      </c>
      <c r="S264" t="n">
        <v>8890</v>
      </c>
      <c r="T264" t="n">
        <v>10205</v>
      </c>
      <c r="U264" t="n">
        <v>11520</v>
      </c>
      <c r="V264" t="n">
        <v>6133</v>
      </c>
      <c r="W264" t="n">
        <v>2052</v>
      </c>
      <c r="X264" t="n">
        <v>1789</v>
      </c>
      <c r="Y264" t="n">
        <v>8430</v>
      </c>
    </row>
    <row r="265">
      <c r="A265" t="n">
        <v>264</v>
      </c>
      <c r="B265" t="n">
        <v>0</v>
      </c>
      <c r="C265" t="n">
        <v>51810</v>
      </c>
      <c r="D265" t="n">
        <v>187076</v>
      </c>
      <c r="E265" t="n">
        <v>2412291</v>
      </c>
      <c r="F265" t="n">
        <v>30547142</v>
      </c>
      <c r="G265" t="n">
        <v>377277294</v>
      </c>
      <c r="H265" t="n">
        <v>4560687822</v>
      </c>
      <c r="I265" t="n">
        <v>53802081069</v>
      </c>
      <c r="J265" t="n">
        <v>2000</v>
      </c>
      <c r="K265" t="n">
        <v>37257</v>
      </c>
      <c r="L265" t="n">
        <v>2500</v>
      </c>
      <c r="M265" t="n">
        <v>1100</v>
      </c>
      <c r="N265" t="n">
        <v>2320</v>
      </c>
      <c r="O265" t="n">
        <v>3640</v>
      </c>
      <c r="P265" t="n">
        <v>4960</v>
      </c>
      <c r="Q265" t="n">
        <v>6280</v>
      </c>
      <c r="R265" t="n">
        <v>7600</v>
      </c>
      <c r="S265" t="n">
        <v>8920</v>
      </c>
      <c r="T265" t="n">
        <v>10240</v>
      </c>
      <c r="U265" t="n">
        <v>11560</v>
      </c>
      <c r="V265" t="n">
        <v>6168</v>
      </c>
      <c r="W265" t="n">
        <v>2056</v>
      </c>
      <c r="X265" t="n">
        <v>1792</v>
      </c>
      <c r="Y265" t="n">
        <v>8440</v>
      </c>
    </row>
    <row r="266">
      <c r="A266" t="n">
        <v>265</v>
      </c>
      <c r="B266" t="n">
        <v>0</v>
      </c>
      <c r="C266" t="n">
        <v>52588</v>
      </c>
      <c r="D266" t="n">
        <v>190818</v>
      </c>
      <c r="E266" t="n">
        <v>2484660</v>
      </c>
      <c r="F266" t="n">
        <v>31769028</v>
      </c>
      <c r="G266" t="n">
        <v>396141159</v>
      </c>
      <c r="H266" t="n">
        <v>4834329092</v>
      </c>
      <c r="I266" t="n">
        <v>57568226744</v>
      </c>
      <c r="J266" t="n">
        <v>2000</v>
      </c>
      <c r="K266" t="n">
        <v>37630</v>
      </c>
      <c r="L266" t="n">
        <v>2500</v>
      </c>
      <c r="M266" t="n">
        <v>1100</v>
      </c>
      <c r="N266" t="n">
        <v>2325</v>
      </c>
      <c r="O266" t="n">
        <v>3650</v>
      </c>
      <c r="P266" t="n">
        <v>4975</v>
      </c>
      <c r="Q266" t="n">
        <v>6300</v>
      </c>
      <c r="R266" t="n">
        <v>7625</v>
      </c>
      <c r="S266" t="n">
        <v>8950</v>
      </c>
      <c r="T266" t="n">
        <v>10275</v>
      </c>
      <c r="U266" t="n">
        <v>11600</v>
      </c>
      <c r="V266" t="n">
        <v>6203</v>
      </c>
      <c r="W266" t="n">
        <v>2060</v>
      </c>
      <c r="X266" t="n">
        <v>1795</v>
      </c>
      <c r="Y266" t="n">
        <v>8450</v>
      </c>
    </row>
    <row r="267">
      <c r="A267" t="n">
        <v>266</v>
      </c>
      <c r="B267" t="n">
        <v>0</v>
      </c>
      <c r="C267" t="n">
        <v>53377</v>
      </c>
      <c r="D267" t="n">
        <v>194635</v>
      </c>
      <c r="E267" t="n">
        <v>2559200</v>
      </c>
      <c r="F267" t="n">
        <v>33039790</v>
      </c>
      <c r="G267" t="n">
        <v>415948217</v>
      </c>
      <c r="H267" t="n">
        <v>5124388838</v>
      </c>
      <c r="I267" t="n">
        <v>61598002617</v>
      </c>
      <c r="J267" t="n">
        <v>2000</v>
      </c>
      <c r="K267" t="n">
        <v>38007</v>
      </c>
      <c r="L267" t="n">
        <v>2500</v>
      </c>
      <c r="M267" t="n">
        <v>1100</v>
      </c>
      <c r="N267" t="n">
        <v>2330</v>
      </c>
      <c r="O267" t="n">
        <v>3660</v>
      </c>
      <c r="P267" t="n">
        <v>4990</v>
      </c>
      <c r="Q267" t="n">
        <v>6320</v>
      </c>
      <c r="R267" t="n">
        <v>7650</v>
      </c>
      <c r="S267" t="n">
        <v>8980</v>
      </c>
      <c r="T267" t="n">
        <v>10310</v>
      </c>
      <c r="U267" t="n">
        <v>11640</v>
      </c>
      <c r="V267" t="n">
        <v>6239</v>
      </c>
      <c r="W267" t="n">
        <v>2064</v>
      </c>
      <c r="X267" t="n">
        <v>1798</v>
      </c>
      <c r="Y267" t="n">
        <v>8460</v>
      </c>
    </row>
    <row r="268">
      <c r="A268" t="n">
        <v>267</v>
      </c>
      <c r="B268" t="n">
        <v>0</v>
      </c>
      <c r="C268" t="n">
        <v>54178</v>
      </c>
      <c r="D268" t="n">
        <v>198528</v>
      </c>
      <c r="E268" t="n">
        <v>2635976</v>
      </c>
      <c r="F268" t="n">
        <v>34361382</v>
      </c>
      <c r="G268" t="n">
        <v>436745628</v>
      </c>
      <c r="H268" t="n">
        <v>5431852169</v>
      </c>
      <c r="I268" t="n">
        <v>65909862801</v>
      </c>
      <c r="J268" t="n">
        <v>2000</v>
      </c>
      <c r="K268" t="n">
        <v>38388</v>
      </c>
      <c r="L268" t="n">
        <v>2500</v>
      </c>
      <c r="M268" t="n">
        <v>1100</v>
      </c>
      <c r="N268" t="n">
        <v>2335</v>
      </c>
      <c r="O268" t="n">
        <v>3670</v>
      </c>
      <c r="P268" t="n">
        <v>5005</v>
      </c>
      <c r="Q268" t="n">
        <v>6340</v>
      </c>
      <c r="R268" t="n">
        <v>7675</v>
      </c>
      <c r="S268" t="n">
        <v>9010</v>
      </c>
      <c r="T268" t="n">
        <v>10345</v>
      </c>
      <c r="U268" t="n">
        <v>11680</v>
      </c>
      <c r="V268" t="n">
        <v>6275</v>
      </c>
      <c r="W268" t="n">
        <v>2068</v>
      </c>
      <c r="X268" t="n">
        <v>1801</v>
      </c>
      <c r="Y268" t="n">
        <v>8470</v>
      </c>
    </row>
    <row r="269">
      <c r="A269" t="n">
        <v>268</v>
      </c>
      <c r="B269" t="n">
        <v>0</v>
      </c>
      <c r="C269" t="n">
        <v>54991</v>
      </c>
      <c r="D269" t="n">
        <v>202499</v>
      </c>
      <c r="E269" t="n">
        <v>2715056</v>
      </c>
      <c r="F269" t="n">
        <v>35735838</v>
      </c>
      <c r="G269" t="n">
        <v>458582910</v>
      </c>
      <c r="H269" t="n">
        <v>5757763300</v>
      </c>
      <c r="I269" t="n">
        <v>70523553198</v>
      </c>
      <c r="J269" t="n">
        <v>2000</v>
      </c>
      <c r="K269" t="n">
        <v>38772</v>
      </c>
      <c r="L269" t="n">
        <v>2500</v>
      </c>
      <c r="M269" t="n">
        <v>1100</v>
      </c>
      <c r="N269" t="n">
        <v>2340</v>
      </c>
      <c r="O269" t="n">
        <v>3680</v>
      </c>
      <c r="P269" t="n">
        <v>5020</v>
      </c>
      <c r="Q269" t="n">
        <v>6360</v>
      </c>
      <c r="R269" t="n">
        <v>7700</v>
      </c>
      <c r="S269" t="n">
        <v>9040</v>
      </c>
      <c r="T269" t="n">
        <v>10380</v>
      </c>
      <c r="U269" t="n">
        <v>11720</v>
      </c>
      <c r="V269" t="n">
        <v>6311</v>
      </c>
      <c r="W269" t="n">
        <v>2072</v>
      </c>
      <c r="X269" t="n">
        <v>1804</v>
      </c>
      <c r="Y269" t="n">
        <v>8480</v>
      </c>
    </row>
    <row r="270">
      <c r="A270" t="n">
        <v>269</v>
      </c>
      <c r="B270" t="n">
        <v>0</v>
      </c>
      <c r="C270" t="n">
        <v>55816</v>
      </c>
      <c r="D270" t="n">
        <v>206549</v>
      </c>
      <c r="E270" t="n">
        <v>2796508</v>
      </c>
      <c r="F270" t="n">
        <v>37165272</v>
      </c>
      <c r="G270" t="n">
        <v>481512056</v>
      </c>
      <c r="H270" t="n">
        <v>6103229098</v>
      </c>
      <c r="I270" t="n">
        <v>75460201922</v>
      </c>
      <c r="J270" t="n">
        <v>2000</v>
      </c>
      <c r="K270" t="n">
        <v>39160</v>
      </c>
      <c r="L270" t="n">
        <v>2500</v>
      </c>
      <c r="M270" t="n">
        <v>1100</v>
      </c>
      <c r="N270" t="n">
        <v>2345</v>
      </c>
      <c r="O270" t="n">
        <v>3690</v>
      </c>
      <c r="P270" t="n">
        <v>5035</v>
      </c>
      <c r="Q270" t="n">
        <v>6380</v>
      </c>
      <c r="R270" t="n">
        <v>7725</v>
      </c>
      <c r="S270" t="n">
        <v>9070</v>
      </c>
      <c r="T270" t="n">
        <v>10415</v>
      </c>
      <c r="U270" t="n">
        <v>11760</v>
      </c>
      <c r="V270" t="n">
        <v>6347</v>
      </c>
      <c r="W270" t="n">
        <v>2076</v>
      </c>
      <c r="X270" t="n">
        <v>1807</v>
      </c>
      <c r="Y270" t="n">
        <v>8490</v>
      </c>
    </row>
    <row r="271">
      <c r="A271" t="n">
        <v>270</v>
      </c>
      <c r="B271" t="n">
        <v>0</v>
      </c>
      <c r="C271" t="n">
        <v>56654</v>
      </c>
      <c r="D271" t="n">
        <v>210680</v>
      </c>
      <c r="E271" t="n">
        <v>2880404</v>
      </c>
      <c r="F271" t="n">
        <v>38651883</v>
      </c>
      <c r="G271" t="n">
        <v>505587659</v>
      </c>
      <c r="H271" t="n">
        <v>6469422844</v>
      </c>
      <c r="I271" t="n">
        <v>80742416057</v>
      </c>
      <c r="J271" t="n">
        <v>2000</v>
      </c>
      <c r="K271" t="n">
        <v>39552</v>
      </c>
      <c r="L271" t="n">
        <v>2500</v>
      </c>
      <c r="M271" t="n">
        <v>1100</v>
      </c>
      <c r="N271" t="n">
        <v>2350</v>
      </c>
      <c r="O271" t="n">
        <v>3700</v>
      </c>
      <c r="P271" t="n">
        <v>5050</v>
      </c>
      <c r="Q271" t="n">
        <v>6400</v>
      </c>
      <c r="R271" t="n">
        <v>7750</v>
      </c>
      <c r="S271" t="n">
        <v>9100</v>
      </c>
      <c r="T271" t="n">
        <v>10450</v>
      </c>
      <c r="U271" t="n">
        <v>11800</v>
      </c>
      <c r="V271" t="n">
        <v>6383</v>
      </c>
      <c r="W271" t="n">
        <v>2080</v>
      </c>
      <c r="X271" t="n">
        <v>1810</v>
      </c>
      <c r="Y271" t="n">
        <v>8500</v>
      </c>
    </row>
    <row r="272">
      <c r="A272" t="n">
        <v>271</v>
      </c>
      <c r="B272" t="n">
        <v>0</v>
      </c>
      <c r="C272" t="n">
        <v>57504</v>
      </c>
      <c r="D272" t="n">
        <v>214894</v>
      </c>
      <c r="E272" t="n">
        <v>2966817</v>
      </c>
      <c r="F272" t="n">
        <v>40197959</v>
      </c>
      <c r="G272" t="n">
        <v>530867042</v>
      </c>
      <c r="H272" t="n">
        <v>6857588215</v>
      </c>
      <c r="I272" t="n">
        <v>86394385181</v>
      </c>
      <c r="J272" t="n">
        <v>2000</v>
      </c>
      <c r="K272" t="n">
        <v>39948</v>
      </c>
      <c r="L272" t="n">
        <v>2500</v>
      </c>
      <c r="M272" t="n">
        <v>1100</v>
      </c>
      <c r="N272" t="n">
        <v>2355</v>
      </c>
      <c r="O272" t="n">
        <v>3710</v>
      </c>
      <c r="P272" t="n">
        <v>5065</v>
      </c>
      <c r="Q272" t="n">
        <v>6420</v>
      </c>
      <c r="R272" t="n">
        <v>7775</v>
      </c>
      <c r="S272" t="n">
        <v>9130</v>
      </c>
      <c r="T272" t="n">
        <v>10485</v>
      </c>
      <c r="U272" t="n">
        <v>11840</v>
      </c>
      <c r="V272" t="n">
        <v>6419</v>
      </c>
      <c r="W272" t="n">
        <v>2084</v>
      </c>
      <c r="X272" t="n">
        <v>1813</v>
      </c>
      <c r="Y272" t="n">
        <v>8510</v>
      </c>
    </row>
    <row r="273">
      <c r="A273" t="n">
        <v>272</v>
      </c>
      <c r="B273" t="n">
        <v>0</v>
      </c>
      <c r="C273" t="n">
        <v>58367</v>
      </c>
      <c r="D273" t="n">
        <v>219192</v>
      </c>
      <c r="E273" t="n">
        <v>3055822</v>
      </c>
      <c r="F273" t="n">
        <v>41805878</v>
      </c>
      <c r="G273" t="n">
        <v>557410395</v>
      </c>
      <c r="H273" t="n">
        <v>7269043508</v>
      </c>
      <c r="I273" t="n">
        <v>92441992144</v>
      </c>
      <c r="J273" t="n">
        <v>2000</v>
      </c>
      <c r="K273" t="n">
        <v>40348</v>
      </c>
      <c r="L273" t="n">
        <v>2500</v>
      </c>
      <c r="M273" t="n">
        <v>1100</v>
      </c>
      <c r="N273" t="n">
        <v>2360</v>
      </c>
      <c r="O273" t="n">
        <v>3720</v>
      </c>
      <c r="P273" t="n">
        <v>5080</v>
      </c>
      <c r="Q273" t="n">
        <v>6440</v>
      </c>
      <c r="R273" t="n">
        <v>7800</v>
      </c>
      <c r="S273" t="n">
        <v>9160</v>
      </c>
      <c r="T273" t="n">
        <v>10520</v>
      </c>
      <c r="U273" t="n">
        <v>11880</v>
      </c>
      <c r="V273" t="n">
        <v>6456</v>
      </c>
      <c r="W273" t="n">
        <v>2088</v>
      </c>
      <c r="X273" t="n">
        <v>1816</v>
      </c>
      <c r="Y273" t="n">
        <v>8520</v>
      </c>
    </row>
    <row r="274">
      <c r="A274" t="n">
        <v>273</v>
      </c>
      <c r="B274" t="n">
        <v>0</v>
      </c>
      <c r="C274" t="n">
        <v>59243</v>
      </c>
      <c r="D274" t="n">
        <v>223576</v>
      </c>
      <c r="E274" t="n">
        <v>3147497</v>
      </c>
      <c r="F274" t="n">
        <v>43478114</v>
      </c>
      <c r="G274" t="n">
        <v>585280915</v>
      </c>
      <c r="H274" t="n">
        <v>7705186119</v>
      </c>
      <c r="I274" t="n">
        <v>98912931595</v>
      </c>
      <c r="J274" t="n">
        <v>2000</v>
      </c>
      <c r="K274" t="n">
        <v>40752</v>
      </c>
      <c r="L274" t="n">
        <v>2500</v>
      </c>
      <c r="M274" t="n">
        <v>1100</v>
      </c>
      <c r="N274" t="n">
        <v>2365</v>
      </c>
      <c r="O274" t="n">
        <v>3730</v>
      </c>
      <c r="P274" t="n">
        <v>5095</v>
      </c>
      <c r="Q274" t="n">
        <v>6460</v>
      </c>
      <c r="R274" t="n">
        <v>7825</v>
      </c>
      <c r="S274" t="n">
        <v>9190</v>
      </c>
      <c r="T274" t="n">
        <v>10555</v>
      </c>
      <c r="U274" t="n">
        <v>11920</v>
      </c>
      <c r="V274" t="n">
        <v>6493</v>
      </c>
      <c r="W274" t="n">
        <v>2092</v>
      </c>
      <c r="X274" t="n">
        <v>1819</v>
      </c>
      <c r="Y274" t="n">
        <v>8530</v>
      </c>
    </row>
    <row r="275">
      <c r="A275" t="n">
        <v>274</v>
      </c>
      <c r="B275" t="n">
        <v>0</v>
      </c>
      <c r="C275" t="n">
        <v>60132</v>
      </c>
      <c r="D275" t="n">
        <v>228048</v>
      </c>
      <c r="E275" t="n">
        <v>3241922</v>
      </c>
      <c r="F275" t="n">
        <v>45217239</v>
      </c>
      <c r="G275" t="n">
        <v>614544961</v>
      </c>
      <c r="H275" t="n">
        <v>8167497287</v>
      </c>
      <c r="I275" t="n">
        <v>105836836807</v>
      </c>
      <c r="J275" t="n">
        <v>2000</v>
      </c>
      <c r="K275" t="n">
        <v>41160</v>
      </c>
      <c r="L275" t="n">
        <v>2500</v>
      </c>
      <c r="M275" t="n">
        <v>1100</v>
      </c>
      <c r="N275" t="n">
        <v>2370</v>
      </c>
      <c r="O275" t="n">
        <v>3740</v>
      </c>
      <c r="P275" t="n">
        <v>5110</v>
      </c>
      <c r="Q275" t="n">
        <v>6480</v>
      </c>
      <c r="R275" t="n">
        <v>7850</v>
      </c>
      <c r="S275" t="n">
        <v>9220</v>
      </c>
      <c r="T275" t="n">
        <v>10590</v>
      </c>
      <c r="U275" t="n">
        <v>11960</v>
      </c>
      <c r="V275" t="n">
        <v>6530</v>
      </c>
      <c r="W275" t="n">
        <v>2096</v>
      </c>
      <c r="X275" t="n">
        <v>1822</v>
      </c>
      <c r="Y275" t="n">
        <v>8540</v>
      </c>
    </row>
    <row r="276">
      <c r="A276" t="n">
        <v>275</v>
      </c>
      <c r="B276" t="n">
        <v>0</v>
      </c>
      <c r="C276" t="n">
        <v>61034</v>
      </c>
      <c r="D276" t="n">
        <v>232609</v>
      </c>
      <c r="E276" t="n">
        <v>3339180</v>
      </c>
      <c r="F276" t="n">
        <v>47025929</v>
      </c>
      <c r="G276" t="n">
        <v>645272210</v>
      </c>
      <c r="H276" t="n">
        <v>8657547125</v>
      </c>
      <c r="I276" t="n">
        <v>113245415384</v>
      </c>
      <c r="J276" t="n">
        <v>2000</v>
      </c>
      <c r="K276" t="n">
        <v>41572</v>
      </c>
      <c r="L276" t="n">
        <v>2500</v>
      </c>
      <c r="M276" t="n">
        <v>1100</v>
      </c>
      <c r="N276" t="n">
        <v>2375</v>
      </c>
      <c r="O276" t="n">
        <v>3750</v>
      </c>
      <c r="P276" t="n">
        <v>5125</v>
      </c>
      <c r="Q276" t="n">
        <v>6500</v>
      </c>
      <c r="R276" t="n">
        <v>7875</v>
      </c>
      <c r="S276" t="n">
        <v>9250</v>
      </c>
      <c r="T276" t="n">
        <v>10625</v>
      </c>
      <c r="U276" t="n">
        <v>12000</v>
      </c>
      <c r="V276" t="n">
        <v>6567</v>
      </c>
      <c r="W276" t="n">
        <v>2100</v>
      </c>
      <c r="X276" t="n">
        <v>1825</v>
      </c>
      <c r="Y276" t="n">
        <v>8550</v>
      </c>
    </row>
    <row r="277">
      <c r="A277" t="n">
        <v>276</v>
      </c>
      <c r="B277" t="n">
        <v>0</v>
      </c>
      <c r="C277" t="n">
        <v>61950</v>
      </c>
      <c r="D277" t="n">
        <v>237262</v>
      </c>
      <c r="E277" t="n">
        <v>3439356</v>
      </c>
      <c r="F277" t="n">
        <v>48906967</v>
      </c>
      <c r="G277" t="n">
        <v>677535821</v>
      </c>
      <c r="H277" t="n">
        <v>9176999953</v>
      </c>
      <c r="I277" t="n">
        <v>121172594461</v>
      </c>
      <c r="J277" t="n">
        <v>2000</v>
      </c>
      <c r="K277" t="n">
        <v>41988</v>
      </c>
      <c r="L277" t="n">
        <v>2500</v>
      </c>
      <c r="M277" t="n">
        <v>1100</v>
      </c>
      <c r="N277" t="n">
        <v>2380</v>
      </c>
      <c r="O277" t="n">
        <v>3760</v>
      </c>
      <c r="P277" t="n">
        <v>5140</v>
      </c>
      <c r="Q277" t="n">
        <v>6520</v>
      </c>
      <c r="R277" t="n">
        <v>7900</v>
      </c>
      <c r="S277" t="n">
        <v>9280</v>
      </c>
      <c r="T277" t="n">
        <v>10660</v>
      </c>
      <c r="U277" t="n">
        <v>12040</v>
      </c>
      <c r="V277" t="n">
        <v>6604</v>
      </c>
      <c r="W277" t="n">
        <v>2104</v>
      </c>
      <c r="X277" t="n">
        <v>1828</v>
      </c>
      <c r="Y277" t="n">
        <v>8560</v>
      </c>
    </row>
    <row r="278">
      <c r="A278" t="n">
        <v>277</v>
      </c>
      <c r="B278" t="n">
        <v>0</v>
      </c>
      <c r="C278" t="n">
        <v>62880</v>
      </c>
      <c r="D278" t="n">
        <v>242008</v>
      </c>
      <c r="E278" t="n">
        <v>3542537</v>
      </c>
      <c r="F278" t="n">
        <v>50863246</v>
      </c>
      <c r="G278" t="n">
        <v>711412613</v>
      </c>
      <c r="H278" t="n">
        <v>9727619951</v>
      </c>
      <c r="I278" t="n">
        <v>129654676074</v>
      </c>
      <c r="J278" t="n">
        <v>2000</v>
      </c>
      <c r="K278" t="n">
        <v>42408</v>
      </c>
      <c r="L278" t="n">
        <v>2500</v>
      </c>
      <c r="M278" t="n">
        <v>1100</v>
      </c>
      <c r="N278" t="n">
        <v>2385</v>
      </c>
      <c r="O278" t="n">
        <v>3770</v>
      </c>
      <c r="P278" t="n">
        <v>5155</v>
      </c>
      <c r="Q278" t="n">
        <v>6540</v>
      </c>
      <c r="R278" t="n">
        <v>7925</v>
      </c>
      <c r="S278" t="n">
        <v>9310</v>
      </c>
      <c r="T278" t="n">
        <v>10695</v>
      </c>
      <c r="U278" t="n">
        <v>12080</v>
      </c>
      <c r="V278" t="n">
        <v>6642</v>
      </c>
      <c r="W278" t="n">
        <v>2108</v>
      </c>
      <c r="X278" t="n">
        <v>1831</v>
      </c>
      <c r="Y278" t="n">
        <v>8570</v>
      </c>
    </row>
    <row r="279">
      <c r="A279" t="n">
        <v>278</v>
      </c>
      <c r="B279" t="n">
        <v>0</v>
      </c>
      <c r="C279" t="n">
        <v>63824</v>
      </c>
      <c r="D279" t="n">
        <v>246849</v>
      </c>
      <c r="E279" t="n">
        <v>3648814</v>
      </c>
      <c r="F279" t="n">
        <v>52897776</v>
      </c>
      <c r="G279" t="n">
        <v>746983244</v>
      </c>
      <c r="H279" t="n">
        <v>10311277149</v>
      </c>
      <c r="I279" t="n">
        <v>138730503400</v>
      </c>
      <c r="J279" t="n">
        <v>2000</v>
      </c>
      <c r="K279" t="n">
        <v>42833</v>
      </c>
      <c r="L279" t="n">
        <v>2500</v>
      </c>
      <c r="M279" t="n">
        <v>1100</v>
      </c>
      <c r="N279" t="n">
        <v>2390</v>
      </c>
      <c r="O279" t="n">
        <v>3780</v>
      </c>
      <c r="P279" t="n">
        <v>5170</v>
      </c>
      <c r="Q279" t="n">
        <v>6560</v>
      </c>
      <c r="R279" t="n">
        <v>7950</v>
      </c>
      <c r="S279" t="n">
        <v>9340</v>
      </c>
      <c r="T279" t="n">
        <v>10730</v>
      </c>
      <c r="U279" t="n">
        <v>12120</v>
      </c>
      <c r="V279" t="n">
        <v>6680</v>
      </c>
      <c r="W279" t="n">
        <v>2112</v>
      </c>
      <c r="X279" t="n">
        <v>1834</v>
      </c>
      <c r="Y279" t="n">
        <v>8580</v>
      </c>
    </row>
    <row r="280">
      <c r="A280" t="n">
        <v>279</v>
      </c>
      <c r="B280" t="n">
        <v>0</v>
      </c>
      <c r="C280" t="n">
        <v>64782</v>
      </c>
      <c r="D280" t="n">
        <v>251786</v>
      </c>
      <c r="E280" t="n">
        <v>3758279</v>
      </c>
      <c r="F280" t="n">
        <v>55013688</v>
      </c>
      <c r="G280" t="n">
        <v>784332407</v>
      </c>
      <c r="H280" t="n">
        <v>10929953778</v>
      </c>
      <c r="I280" t="n">
        <v>148441638638</v>
      </c>
      <c r="J280" t="n">
        <v>2000</v>
      </c>
      <c r="K280" t="n">
        <v>43262</v>
      </c>
      <c r="L280" t="n">
        <v>2500</v>
      </c>
      <c r="M280" t="n">
        <v>1100</v>
      </c>
      <c r="N280" t="n">
        <v>2395</v>
      </c>
      <c r="O280" t="n">
        <v>3790</v>
      </c>
      <c r="P280" t="n">
        <v>5185</v>
      </c>
      <c r="Q280" t="n">
        <v>6580</v>
      </c>
      <c r="R280" t="n">
        <v>7975</v>
      </c>
      <c r="S280" t="n">
        <v>9370</v>
      </c>
      <c r="T280" t="n">
        <v>10765</v>
      </c>
      <c r="U280" t="n">
        <v>12160</v>
      </c>
      <c r="V280" t="n">
        <v>6718</v>
      </c>
      <c r="W280" t="n">
        <v>2116</v>
      </c>
      <c r="X280" t="n">
        <v>1837</v>
      </c>
      <c r="Y280" t="n">
        <v>8590</v>
      </c>
    </row>
    <row r="281">
      <c r="A281" t="n">
        <v>280</v>
      </c>
      <c r="B281" t="n">
        <v>0</v>
      </c>
      <c r="C281" t="n">
        <v>65754</v>
      </c>
      <c r="D281" t="n">
        <v>256822</v>
      </c>
      <c r="E281" t="n">
        <v>3871028</v>
      </c>
      <c r="F281" t="n">
        <v>57214236</v>
      </c>
      <c r="G281" t="n">
        <v>823549028</v>
      </c>
      <c r="H281" t="n">
        <v>11585751005</v>
      </c>
      <c r="I281" t="n">
        <v>158832553343</v>
      </c>
      <c r="J281" t="n">
        <v>2000</v>
      </c>
      <c r="K281" t="n">
        <v>43695</v>
      </c>
      <c r="L281" t="n">
        <v>2500</v>
      </c>
      <c r="M281" t="n">
        <v>1100</v>
      </c>
      <c r="N281" t="n">
        <v>2400</v>
      </c>
      <c r="O281" t="n">
        <v>3800</v>
      </c>
      <c r="P281" t="n">
        <v>5200</v>
      </c>
      <c r="Q281" t="n">
        <v>6600</v>
      </c>
      <c r="R281" t="n">
        <v>8000</v>
      </c>
      <c r="S281" t="n">
        <v>9400</v>
      </c>
      <c r="T281" t="n">
        <v>10800</v>
      </c>
      <c r="U281" t="n">
        <v>12200</v>
      </c>
      <c r="V281" t="n">
        <v>6756</v>
      </c>
      <c r="W281" t="n">
        <v>2120</v>
      </c>
      <c r="X281" t="n">
        <v>1840</v>
      </c>
      <c r="Y281" t="n">
        <v>8600</v>
      </c>
    </row>
    <row r="282">
      <c r="A282" t="n">
        <v>281</v>
      </c>
      <c r="B282" t="n">
        <v>0</v>
      </c>
      <c r="C282" t="n">
        <v>66741</v>
      </c>
      <c r="D282" t="n">
        <v>261959</v>
      </c>
      <c r="E282" t="n">
        <v>3987159</v>
      </c>
      <c r="F282" t="n">
        <v>59502806</v>
      </c>
      <c r="G282" t="n">
        <v>864726480</v>
      </c>
      <c r="H282" t="n">
        <v>12280896066</v>
      </c>
      <c r="I282" t="n">
        <v>169950832078</v>
      </c>
      <c r="J282" t="n">
        <v>2000</v>
      </c>
      <c r="K282" t="n">
        <v>44132</v>
      </c>
      <c r="L282" t="n">
        <v>2500</v>
      </c>
      <c r="M282" t="n">
        <v>1100</v>
      </c>
      <c r="N282" t="n">
        <v>2405</v>
      </c>
      <c r="O282" t="n">
        <v>3810</v>
      </c>
      <c r="P282" t="n">
        <v>5215</v>
      </c>
      <c r="Q282" t="n">
        <v>6620</v>
      </c>
      <c r="R282" t="n">
        <v>8025</v>
      </c>
      <c r="S282" t="n">
        <v>9430</v>
      </c>
      <c r="T282" t="n">
        <v>10835</v>
      </c>
      <c r="U282" t="n">
        <v>12240</v>
      </c>
      <c r="V282" t="n">
        <v>6794</v>
      </c>
      <c r="W282" t="n">
        <v>2124</v>
      </c>
      <c r="X282" t="n">
        <v>1843</v>
      </c>
      <c r="Y282" t="n">
        <v>8610</v>
      </c>
    </row>
    <row r="283">
      <c r="A283" t="n">
        <v>282</v>
      </c>
      <c r="B283" t="n">
        <v>0</v>
      </c>
      <c r="C283" t="n">
        <v>67743</v>
      </c>
      <c r="D283" t="n">
        <v>267199</v>
      </c>
      <c r="E283" t="n">
        <v>4106774</v>
      </c>
      <c r="F283" t="n">
        <v>61882919</v>
      </c>
      <c r="G283" t="n">
        <v>907962804</v>
      </c>
      <c r="H283" t="n">
        <v>13017749830</v>
      </c>
      <c r="I283" t="n">
        <v>181847390324</v>
      </c>
      <c r="J283" t="n">
        <v>2000</v>
      </c>
      <c r="K283" t="n">
        <v>44574</v>
      </c>
      <c r="L283" t="n">
        <v>2500</v>
      </c>
      <c r="M283" t="n">
        <v>1100</v>
      </c>
      <c r="N283" t="n">
        <v>2410</v>
      </c>
      <c r="O283" t="n">
        <v>3820</v>
      </c>
      <c r="P283" t="n">
        <v>5230</v>
      </c>
      <c r="Q283" t="n">
        <v>6640</v>
      </c>
      <c r="R283" t="n">
        <v>8050</v>
      </c>
      <c r="S283" t="n">
        <v>9460</v>
      </c>
      <c r="T283" t="n">
        <v>10870</v>
      </c>
      <c r="U283" t="n">
        <v>12280</v>
      </c>
      <c r="V283" t="n">
        <v>6832</v>
      </c>
      <c r="W283" t="n">
        <v>2128</v>
      </c>
      <c r="X283" t="n">
        <v>1846</v>
      </c>
      <c r="Y283" t="n">
        <v>8620</v>
      </c>
    </row>
    <row r="284">
      <c r="A284" t="n">
        <v>283</v>
      </c>
      <c r="B284" t="n">
        <v>0</v>
      </c>
      <c r="C284" t="n">
        <v>68760</v>
      </c>
      <c r="D284" t="n">
        <v>272543</v>
      </c>
      <c r="E284" t="n">
        <v>4229978</v>
      </c>
      <c r="F284" t="n">
        <v>64358236</v>
      </c>
      <c r="G284" t="n">
        <v>953360945</v>
      </c>
      <c r="H284" t="n">
        <v>13798814820</v>
      </c>
      <c r="I284" t="n">
        <v>194576707647</v>
      </c>
      <c r="J284" t="n">
        <v>2000</v>
      </c>
      <c r="K284" t="n">
        <v>45020</v>
      </c>
      <c r="L284" t="n">
        <v>2500</v>
      </c>
      <c r="M284" t="n">
        <v>1100</v>
      </c>
      <c r="N284" t="n">
        <v>2415</v>
      </c>
      <c r="O284" t="n">
        <v>3830</v>
      </c>
      <c r="P284" t="n">
        <v>5245</v>
      </c>
      <c r="Q284" t="n">
        <v>6660</v>
      </c>
      <c r="R284" t="n">
        <v>8075</v>
      </c>
      <c r="S284" t="n">
        <v>9490</v>
      </c>
      <c r="T284" t="n">
        <v>10905</v>
      </c>
      <c r="U284" t="n">
        <v>12320</v>
      </c>
      <c r="V284" t="n">
        <v>6871</v>
      </c>
      <c r="W284" t="n">
        <v>2132</v>
      </c>
      <c r="X284" t="n">
        <v>1849</v>
      </c>
      <c r="Y284" t="n">
        <v>8630</v>
      </c>
    </row>
    <row r="285">
      <c r="A285" t="n">
        <v>284</v>
      </c>
      <c r="B285" t="n">
        <v>0</v>
      </c>
      <c r="C285" t="n">
        <v>69792</v>
      </c>
      <c r="D285" t="n">
        <v>277994</v>
      </c>
      <c r="E285" t="n">
        <v>4356878</v>
      </c>
      <c r="F285" t="n">
        <v>66932566</v>
      </c>
      <c r="G285" t="n">
        <v>1001028993</v>
      </c>
      <c r="H285" t="n">
        <v>14626743710</v>
      </c>
      <c r="I285" t="n">
        <v>208197077183</v>
      </c>
      <c r="J285" t="n">
        <v>2000</v>
      </c>
      <c r="K285" t="n">
        <v>45471</v>
      </c>
      <c r="L285" t="n">
        <v>2500</v>
      </c>
      <c r="M285" t="n">
        <v>1100</v>
      </c>
      <c r="N285" t="n">
        <v>2420</v>
      </c>
      <c r="O285" t="n">
        <v>3840</v>
      </c>
      <c r="P285" t="n">
        <v>5260</v>
      </c>
      <c r="Q285" t="n">
        <v>6680</v>
      </c>
      <c r="R285" t="n">
        <v>8100</v>
      </c>
      <c r="S285" t="n">
        <v>9520</v>
      </c>
      <c r="T285" t="n">
        <v>10940</v>
      </c>
      <c r="U285" t="n">
        <v>12360</v>
      </c>
      <c r="V285" t="n">
        <v>6910</v>
      </c>
      <c r="W285" t="n">
        <v>2136</v>
      </c>
      <c r="X285" t="n">
        <v>1852</v>
      </c>
      <c r="Y285" t="n">
        <v>8640</v>
      </c>
    </row>
    <row r="286">
      <c r="A286" t="n">
        <v>285</v>
      </c>
      <c r="B286" t="n">
        <v>0</v>
      </c>
      <c r="C286" t="n">
        <v>70839</v>
      </c>
      <c r="D286" t="n">
        <v>283554</v>
      </c>
      <c r="E286" t="n">
        <v>4487585</v>
      </c>
      <c r="F286" t="n">
        <v>69609869</v>
      </c>
      <c r="G286" t="n">
        <v>1051080443</v>
      </c>
      <c r="H286" t="n">
        <v>15504348333</v>
      </c>
      <c r="I286" t="n">
        <v>222770872586</v>
      </c>
      <c r="J286" t="n">
        <v>2000</v>
      </c>
      <c r="K286" t="n">
        <v>45926</v>
      </c>
      <c r="L286" t="n">
        <v>2500</v>
      </c>
      <c r="M286" t="n">
        <v>1100</v>
      </c>
      <c r="N286" t="n">
        <v>2425</v>
      </c>
      <c r="O286" t="n">
        <v>3850</v>
      </c>
      <c r="P286" t="n">
        <v>5275</v>
      </c>
      <c r="Q286" t="n">
        <v>6700</v>
      </c>
      <c r="R286" t="n">
        <v>8125</v>
      </c>
      <c r="S286" t="n">
        <v>9550</v>
      </c>
      <c r="T286" t="n">
        <v>10975</v>
      </c>
      <c r="U286" t="n">
        <v>12400</v>
      </c>
      <c r="V286" t="n">
        <v>6949</v>
      </c>
      <c r="W286" t="n">
        <v>2140</v>
      </c>
      <c r="X286" t="n">
        <v>1855</v>
      </c>
      <c r="Y286" t="n">
        <v>8650</v>
      </c>
    </row>
    <row r="287">
      <c r="A287" t="n">
        <v>286</v>
      </c>
      <c r="B287" t="n">
        <v>0</v>
      </c>
      <c r="C287" t="n">
        <v>71902</v>
      </c>
      <c r="D287" t="n">
        <v>289226</v>
      </c>
      <c r="E287" t="n">
        <v>4622213</v>
      </c>
      <c r="F287" t="n">
        <v>72394264</v>
      </c>
      <c r="G287" t="n">
        <v>1103634466</v>
      </c>
      <c r="H287" t="n">
        <v>16434609233</v>
      </c>
      <c r="I287" t="n">
        <v>238364833668</v>
      </c>
      <c r="J287" t="n">
        <v>2000</v>
      </c>
      <c r="K287" t="n">
        <v>46386</v>
      </c>
      <c r="L287" t="n">
        <v>2500</v>
      </c>
      <c r="M287" t="n">
        <v>1100</v>
      </c>
      <c r="N287" t="n">
        <v>2430</v>
      </c>
      <c r="O287" t="n">
        <v>3860</v>
      </c>
      <c r="P287" t="n">
        <v>5290</v>
      </c>
      <c r="Q287" t="n">
        <v>6720</v>
      </c>
      <c r="R287" t="n">
        <v>8150</v>
      </c>
      <c r="S287" t="n">
        <v>9580</v>
      </c>
      <c r="T287" t="n">
        <v>11010</v>
      </c>
      <c r="U287" t="n">
        <v>12440</v>
      </c>
      <c r="V287" t="n">
        <v>6988</v>
      </c>
      <c r="W287" t="n">
        <v>2144</v>
      </c>
      <c r="X287" t="n">
        <v>1858</v>
      </c>
      <c r="Y287" t="n">
        <v>8660</v>
      </c>
    </row>
    <row r="288">
      <c r="A288" t="n">
        <v>287</v>
      </c>
      <c r="B288" t="n">
        <v>0</v>
      </c>
      <c r="C288" t="n">
        <v>72981</v>
      </c>
      <c r="D288" t="n">
        <v>295011</v>
      </c>
      <c r="E288" t="n">
        <v>4760880</v>
      </c>
      <c r="F288" t="n">
        <v>75290035</v>
      </c>
      <c r="G288" t="n">
        <v>1158816190</v>
      </c>
      <c r="H288" t="n">
        <v>17420685787</v>
      </c>
      <c r="I288" t="n">
        <v>255050372025</v>
      </c>
      <c r="J288" t="n">
        <v>2000</v>
      </c>
      <c r="K288" t="n">
        <v>46850</v>
      </c>
      <c r="L288" t="n">
        <v>2500</v>
      </c>
      <c r="M288" t="n">
        <v>1100</v>
      </c>
      <c r="N288" t="n">
        <v>2435</v>
      </c>
      <c r="O288" t="n">
        <v>3870</v>
      </c>
      <c r="P288" t="n">
        <v>5305</v>
      </c>
      <c r="Q288" t="n">
        <v>6740</v>
      </c>
      <c r="R288" t="n">
        <v>8175</v>
      </c>
      <c r="S288" t="n">
        <v>9610</v>
      </c>
      <c r="T288" t="n">
        <v>11045</v>
      </c>
      <c r="U288" t="n">
        <v>12480</v>
      </c>
      <c r="V288" t="n">
        <v>7027</v>
      </c>
      <c r="W288" t="n">
        <v>2148</v>
      </c>
      <c r="X288" t="n">
        <v>1861</v>
      </c>
      <c r="Y288" t="n">
        <v>8670</v>
      </c>
    </row>
    <row r="289">
      <c r="A289" t="n">
        <v>288</v>
      </c>
      <c r="B289" t="n">
        <v>0</v>
      </c>
      <c r="C289" t="n">
        <v>74076</v>
      </c>
      <c r="D289" t="n">
        <v>300912</v>
      </c>
      <c r="E289" t="n">
        <v>4903707</v>
      </c>
      <c r="F289" t="n">
        <v>78301637</v>
      </c>
      <c r="G289" t="n">
        <v>1216757000</v>
      </c>
      <c r="H289" t="n">
        <v>18465926935</v>
      </c>
      <c r="I289" t="n">
        <v>272903898067</v>
      </c>
      <c r="J289" t="n">
        <v>2000</v>
      </c>
      <c r="K289" t="n">
        <v>47319</v>
      </c>
      <c r="L289" t="n">
        <v>2500</v>
      </c>
      <c r="M289" t="n">
        <v>1100</v>
      </c>
      <c r="N289" t="n">
        <v>2440</v>
      </c>
      <c r="O289" t="n">
        <v>3880</v>
      </c>
      <c r="P289" t="n">
        <v>5320</v>
      </c>
      <c r="Q289" t="n">
        <v>6760</v>
      </c>
      <c r="R289" t="n">
        <v>8200</v>
      </c>
      <c r="S289" t="n">
        <v>9640</v>
      </c>
      <c r="T289" t="n">
        <v>11080</v>
      </c>
      <c r="U289" t="n">
        <v>12520</v>
      </c>
      <c r="V289" t="n">
        <v>7067</v>
      </c>
      <c r="W289" t="n">
        <v>2152</v>
      </c>
      <c r="X289" t="n">
        <v>1864</v>
      </c>
      <c r="Y289" t="n">
        <v>8680</v>
      </c>
    </row>
    <row r="290">
      <c r="A290" t="n">
        <v>289</v>
      </c>
      <c r="B290" t="n">
        <v>0</v>
      </c>
      <c r="C290" t="n">
        <v>75188</v>
      </c>
      <c r="D290" t="n">
        <v>306931</v>
      </c>
      <c r="E290" t="n">
        <v>5050819</v>
      </c>
      <c r="F290" t="n">
        <v>81433703</v>
      </c>
      <c r="G290" t="n">
        <v>1277594850</v>
      </c>
      <c r="H290" t="n">
        <v>19573882552</v>
      </c>
      <c r="I290" t="n">
        <v>292007170932</v>
      </c>
      <c r="J290" t="n">
        <v>2000</v>
      </c>
      <c r="K290" t="n">
        <v>47793</v>
      </c>
      <c r="L290" t="n">
        <v>2500</v>
      </c>
      <c r="M290" t="n">
        <v>1100</v>
      </c>
      <c r="N290" t="n">
        <v>2445</v>
      </c>
      <c r="O290" t="n">
        <v>3890</v>
      </c>
      <c r="P290" t="n">
        <v>5335</v>
      </c>
      <c r="Q290" t="n">
        <v>6780</v>
      </c>
      <c r="R290" t="n">
        <v>8225</v>
      </c>
      <c r="S290" t="n">
        <v>9670</v>
      </c>
      <c r="T290" t="n">
        <v>11115</v>
      </c>
      <c r="U290" t="n">
        <v>12560</v>
      </c>
      <c r="V290" t="n">
        <v>7107</v>
      </c>
      <c r="W290" t="n">
        <v>2156</v>
      </c>
      <c r="X290" t="n">
        <v>1867</v>
      </c>
      <c r="Y290" t="n">
        <v>8690</v>
      </c>
    </row>
    <row r="291">
      <c r="A291" t="n">
        <v>290</v>
      </c>
      <c r="B291" t="n">
        <v>0</v>
      </c>
      <c r="C291" t="n">
        <v>76316</v>
      </c>
      <c r="D291" t="n">
        <v>313070</v>
      </c>
      <c r="E291" t="n">
        <v>5202344</v>
      </c>
      <c r="F291" t="n">
        <v>84691052</v>
      </c>
      <c r="G291" t="n">
        <v>1341474593</v>
      </c>
      <c r="H291" t="n">
        <v>20748315506</v>
      </c>
      <c r="I291" t="n">
        <v>312447672898</v>
      </c>
      <c r="J291" t="n">
        <v>2000</v>
      </c>
      <c r="K291" t="n">
        <v>48271</v>
      </c>
      <c r="L291" t="n">
        <v>2500</v>
      </c>
      <c r="M291" t="n">
        <v>1100</v>
      </c>
      <c r="N291" t="n">
        <v>2450</v>
      </c>
      <c r="O291" t="n">
        <v>3900</v>
      </c>
      <c r="P291" t="n">
        <v>5350</v>
      </c>
      <c r="Q291" t="n">
        <v>6800</v>
      </c>
      <c r="R291" t="n">
        <v>8250</v>
      </c>
      <c r="S291" t="n">
        <v>9700</v>
      </c>
      <c r="T291" t="n">
        <v>11150</v>
      </c>
      <c r="U291" t="n">
        <v>12600</v>
      </c>
      <c r="V291" t="n">
        <v>7147</v>
      </c>
      <c r="W291" t="n">
        <v>2160</v>
      </c>
      <c r="X291" t="n">
        <v>1870</v>
      </c>
      <c r="Y291" t="n">
        <v>8700</v>
      </c>
    </row>
    <row r="292">
      <c r="A292" t="n">
        <v>291</v>
      </c>
      <c r="B292" t="n">
        <v>0</v>
      </c>
      <c r="C292" t="n">
        <v>77461</v>
      </c>
      <c r="D292" t="n">
        <v>319332</v>
      </c>
      <c r="E292" t="n">
        <v>5358415</v>
      </c>
      <c r="F292" t="n">
        <v>88078695</v>
      </c>
      <c r="G292" t="n">
        <v>1408548323</v>
      </c>
      <c r="H292" t="n">
        <v>21993214437</v>
      </c>
      <c r="I292" t="n">
        <v>334319010001</v>
      </c>
      <c r="J292" t="n">
        <v>2000</v>
      </c>
      <c r="K292" t="n">
        <v>48754</v>
      </c>
      <c r="L292" t="n">
        <v>2500</v>
      </c>
      <c r="M292" t="n">
        <v>1100</v>
      </c>
      <c r="N292" t="n">
        <v>2455</v>
      </c>
      <c r="O292" t="n">
        <v>3910</v>
      </c>
      <c r="P292" t="n">
        <v>5365</v>
      </c>
      <c r="Q292" t="n">
        <v>6820</v>
      </c>
      <c r="R292" t="n">
        <v>8275</v>
      </c>
      <c r="S292" t="n">
        <v>9730</v>
      </c>
      <c r="T292" t="n">
        <v>11185</v>
      </c>
      <c r="U292" t="n">
        <v>12640</v>
      </c>
      <c r="V292" t="n">
        <v>7187</v>
      </c>
      <c r="W292" t="n">
        <v>2164</v>
      </c>
      <c r="X292" t="n">
        <v>1873</v>
      </c>
      <c r="Y292" t="n">
        <v>8710</v>
      </c>
    </row>
    <row r="293">
      <c r="A293" t="n">
        <v>292</v>
      </c>
      <c r="B293" t="n">
        <v>0</v>
      </c>
      <c r="C293" t="n">
        <v>78623</v>
      </c>
      <c r="D293" t="n">
        <v>325719</v>
      </c>
      <c r="E293" t="n">
        <v>5519168</v>
      </c>
      <c r="F293" t="n">
        <v>91601843</v>
      </c>
      <c r="G293" t="n">
        <v>1478975740</v>
      </c>
      <c r="H293" t="n">
        <v>23312807304</v>
      </c>
      <c r="I293" t="n">
        <v>357721340702</v>
      </c>
      <c r="J293" t="n">
        <v>2000</v>
      </c>
      <c r="K293" t="n">
        <v>49242</v>
      </c>
      <c r="L293" t="n">
        <v>2500</v>
      </c>
      <c r="M293" t="n">
        <v>1100</v>
      </c>
      <c r="N293" t="n">
        <v>2460</v>
      </c>
      <c r="O293" t="n">
        <v>3920</v>
      </c>
      <c r="P293" t="n">
        <v>5380</v>
      </c>
      <c r="Q293" t="n">
        <v>6840</v>
      </c>
      <c r="R293" t="n">
        <v>8300</v>
      </c>
      <c r="S293" t="n">
        <v>9760</v>
      </c>
      <c r="T293" t="n">
        <v>11220</v>
      </c>
      <c r="U293" t="n">
        <v>12680</v>
      </c>
      <c r="V293" t="n">
        <v>7227</v>
      </c>
      <c r="W293" t="n">
        <v>2168</v>
      </c>
      <c r="X293" t="n">
        <v>1876</v>
      </c>
      <c r="Y293" t="n">
        <v>8720</v>
      </c>
    </row>
    <row r="294">
      <c r="A294" t="n">
        <v>293</v>
      </c>
      <c r="B294" t="n">
        <v>0</v>
      </c>
      <c r="C294" t="n">
        <v>79803</v>
      </c>
      <c r="D294" t="n">
        <v>332234</v>
      </c>
      <c r="E294" t="n">
        <v>5684744</v>
      </c>
      <c r="F294" t="n">
        <v>95265917</v>
      </c>
      <c r="G294" t="n">
        <v>1552924527</v>
      </c>
      <c r="H294" t="n">
        <v>24711575743</v>
      </c>
      <c r="I294" t="n">
        <v>382761834552</v>
      </c>
      <c r="J294" t="n">
        <v>2000</v>
      </c>
      <c r="K294" t="n">
        <v>49735</v>
      </c>
      <c r="L294" t="n">
        <v>2500</v>
      </c>
      <c r="M294" t="n">
        <v>1100</v>
      </c>
      <c r="N294" t="n">
        <v>2465</v>
      </c>
      <c r="O294" t="n">
        <v>3930</v>
      </c>
      <c r="P294" t="n">
        <v>5395</v>
      </c>
      <c r="Q294" t="n">
        <v>6860</v>
      </c>
      <c r="R294" t="n">
        <v>8325</v>
      </c>
      <c r="S294" t="n">
        <v>9790</v>
      </c>
      <c r="T294" t="n">
        <v>11255</v>
      </c>
      <c r="U294" t="n">
        <v>12720</v>
      </c>
      <c r="V294" t="n">
        <v>7268</v>
      </c>
      <c r="W294" t="n">
        <v>2172</v>
      </c>
      <c r="X294" t="n">
        <v>1879</v>
      </c>
      <c r="Y294" t="n">
        <v>8730</v>
      </c>
    </row>
    <row r="295">
      <c r="A295" t="n">
        <v>294</v>
      </c>
      <c r="B295" t="n">
        <v>0</v>
      </c>
      <c r="C295" t="n">
        <v>81001</v>
      </c>
      <c r="D295" t="n">
        <v>338879</v>
      </c>
      <c r="E295" t="n">
        <v>5855287</v>
      </c>
      <c r="F295" t="n">
        <v>99076554</v>
      </c>
      <c r="G295" t="n">
        <v>1630570754</v>
      </c>
      <c r="H295" t="n">
        <v>26194270288</v>
      </c>
      <c r="I295" t="n">
        <v>409555162971</v>
      </c>
      <c r="J295" t="n">
        <v>2000</v>
      </c>
      <c r="K295" t="n">
        <v>50233</v>
      </c>
      <c r="L295" t="n">
        <v>2500</v>
      </c>
      <c r="M295" t="n">
        <v>1100</v>
      </c>
      <c r="N295" t="n">
        <v>2470</v>
      </c>
      <c r="O295" t="n">
        <v>3940</v>
      </c>
      <c r="P295" t="n">
        <v>5410</v>
      </c>
      <c r="Q295" t="n">
        <v>6880</v>
      </c>
      <c r="R295" t="n">
        <v>8350</v>
      </c>
      <c r="S295" t="n">
        <v>9820</v>
      </c>
      <c r="T295" t="n">
        <v>11290</v>
      </c>
      <c r="U295" t="n">
        <v>12760</v>
      </c>
      <c r="V295" t="n">
        <v>7309</v>
      </c>
      <c r="W295" t="n">
        <v>2176</v>
      </c>
      <c r="X295" t="n">
        <v>1882</v>
      </c>
      <c r="Y295" t="n">
        <v>8740</v>
      </c>
    </row>
    <row r="296">
      <c r="A296" t="n">
        <v>295</v>
      </c>
      <c r="B296" t="n">
        <v>0</v>
      </c>
      <c r="C296" t="n">
        <v>82217</v>
      </c>
      <c r="D296" t="n">
        <v>345657</v>
      </c>
      <c r="E296" t="n">
        <v>6030946</v>
      </c>
      <c r="F296" t="n">
        <v>103039617</v>
      </c>
      <c r="G296" t="n">
        <v>1712099292</v>
      </c>
      <c r="H296" t="n">
        <v>27765926506</v>
      </c>
      <c r="I296" t="n">
        <v>438224024379</v>
      </c>
      <c r="J296" t="n">
        <v>2000</v>
      </c>
      <c r="K296" t="n">
        <v>50736</v>
      </c>
      <c r="L296" t="n">
        <v>2500</v>
      </c>
      <c r="M296" t="n">
        <v>1100</v>
      </c>
      <c r="N296" t="n">
        <v>2475</v>
      </c>
      <c r="O296" t="n">
        <v>3950</v>
      </c>
      <c r="P296" t="n">
        <v>5425</v>
      </c>
      <c r="Q296" t="n">
        <v>6900</v>
      </c>
      <c r="R296" t="n">
        <v>8375</v>
      </c>
      <c r="S296" t="n">
        <v>9850</v>
      </c>
      <c r="T296" t="n">
        <v>11325</v>
      </c>
      <c r="U296" t="n">
        <v>12800</v>
      </c>
      <c r="V296" t="n">
        <v>7350</v>
      </c>
      <c r="W296" t="n">
        <v>2180</v>
      </c>
      <c r="X296" t="n">
        <v>1885</v>
      </c>
      <c r="Y296" t="n">
        <v>8750</v>
      </c>
    </row>
    <row r="297">
      <c r="A297" t="n">
        <v>296</v>
      </c>
      <c r="B297" t="n">
        <v>0</v>
      </c>
      <c r="C297" t="n">
        <v>83451</v>
      </c>
      <c r="D297" t="n">
        <v>352571</v>
      </c>
      <c r="E297" t="n">
        <v>6211875</v>
      </c>
      <c r="F297" t="n">
        <v>107161202</v>
      </c>
      <c r="G297" t="n">
        <v>1797704257</v>
      </c>
      <c r="H297" t="n">
        <v>29431882097</v>
      </c>
      <c r="I297" t="n">
        <v>468899706086</v>
      </c>
      <c r="J297" t="n">
        <v>2000</v>
      </c>
      <c r="K297" t="n">
        <v>51244</v>
      </c>
      <c r="L297" t="n">
        <v>2500</v>
      </c>
      <c r="M297" t="n">
        <v>1100</v>
      </c>
      <c r="N297" t="n">
        <v>2480</v>
      </c>
      <c r="O297" t="n">
        <v>3960</v>
      </c>
      <c r="P297" t="n">
        <v>5440</v>
      </c>
      <c r="Q297" t="n">
        <v>6920</v>
      </c>
      <c r="R297" t="n">
        <v>8400</v>
      </c>
      <c r="S297" t="n">
        <v>9880</v>
      </c>
      <c r="T297" t="n">
        <v>11360</v>
      </c>
      <c r="U297" t="n">
        <v>12840</v>
      </c>
      <c r="V297" t="n">
        <v>7391</v>
      </c>
      <c r="W297" t="n">
        <v>2184</v>
      </c>
      <c r="X297" t="n">
        <v>1888</v>
      </c>
      <c r="Y297" t="n">
        <v>8760</v>
      </c>
    </row>
    <row r="298">
      <c r="A298" t="n">
        <v>297</v>
      </c>
      <c r="B298" t="n">
        <v>0</v>
      </c>
      <c r="C298" t="n">
        <v>84703</v>
      </c>
      <c r="D298" t="n">
        <v>359623</v>
      </c>
      <c r="E298" t="n">
        <v>6398232</v>
      </c>
      <c r="F298" t="n">
        <v>111447651</v>
      </c>
      <c r="G298" t="n">
        <v>1887589470</v>
      </c>
      <c r="H298" t="n">
        <v>31197795023</v>
      </c>
      <c r="I298" t="n">
        <v>501722685513</v>
      </c>
      <c r="J298" t="n">
        <v>2000</v>
      </c>
      <c r="K298" t="n">
        <v>51757</v>
      </c>
      <c r="L298" t="n">
        <v>2500</v>
      </c>
      <c r="M298" t="n">
        <v>1100</v>
      </c>
      <c r="N298" t="n">
        <v>2485</v>
      </c>
      <c r="O298" t="n">
        <v>3970</v>
      </c>
      <c r="P298" t="n">
        <v>5455</v>
      </c>
      <c r="Q298" t="n">
        <v>6940</v>
      </c>
      <c r="R298" t="n">
        <v>8425</v>
      </c>
      <c r="S298" t="n">
        <v>9910</v>
      </c>
      <c r="T298" t="n">
        <v>11395</v>
      </c>
      <c r="U298" t="n">
        <v>12880</v>
      </c>
      <c r="V298" t="n">
        <v>7432</v>
      </c>
      <c r="W298" t="n">
        <v>2188</v>
      </c>
      <c r="X298" t="n">
        <v>1891</v>
      </c>
      <c r="Y298" t="n">
        <v>8770</v>
      </c>
    </row>
    <row r="299">
      <c r="A299" t="n">
        <v>298</v>
      </c>
      <c r="B299" t="n">
        <v>0</v>
      </c>
      <c r="C299" t="n">
        <v>85974</v>
      </c>
      <c r="D299" t="n">
        <v>366816</v>
      </c>
      <c r="E299" t="n">
        <v>6590179</v>
      </c>
      <c r="F299" t="n">
        <v>115905558</v>
      </c>
      <c r="G299" t="n">
        <v>1981968944</v>
      </c>
      <c r="H299" t="n">
        <v>33069662725</v>
      </c>
      <c r="I299" t="n">
        <v>536843273499</v>
      </c>
      <c r="J299" t="n">
        <v>2000</v>
      </c>
      <c r="K299" t="n">
        <v>52275</v>
      </c>
      <c r="L299" t="n">
        <v>2500</v>
      </c>
      <c r="M299" t="n">
        <v>1100</v>
      </c>
      <c r="N299" t="n">
        <v>2490</v>
      </c>
      <c r="O299" t="n">
        <v>3980</v>
      </c>
      <c r="P299" t="n">
        <v>5470</v>
      </c>
      <c r="Q299" t="n">
        <v>6960</v>
      </c>
      <c r="R299" t="n">
        <v>8450</v>
      </c>
      <c r="S299" t="n">
        <v>9940</v>
      </c>
      <c r="T299" t="n">
        <v>11430</v>
      </c>
      <c r="U299" t="n">
        <v>12920</v>
      </c>
      <c r="V299" t="n">
        <v>7474</v>
      </c>
      <c r="W299" t="n">
        <v>2192</v>
      </c>
      <c r="X299" t="n">
        <v>1894</v>
      </c>
      <c r="Y299" t="n">
        <v>8780</v>
      </c>
    </row>
    <row r="300">
      <c r="A300" t="n">
        <v>299</v>
      </c>
      <c r="B300" t="n">
        <v>0</v>
      </c>
      <c r="C300" t="n">
        <v>87264</v>
      </c>
      <c r="D300" t="n">
        <v>374153</v>
      </c>
      <c r="E300" t="n">
        <v>6787885</v>
      </c>
      <c r="F300" t="n">
        <v>120541781</v>
      </c>
      <c r="G300" t="n">
        <v>2081067392</v>
      </c>
      <c r="H300" t="n">
        <v>35053842489</v>
      </c>
      <c r="I300" t="n">
        <v>574422302644</v>
      </c>
      <c r="J300" t="n">
        <v>2000</v>
      </c>
      <c r="K300" t="n">
        <v>52798</v>
      </c>
      <c r="L300" t="n">
        <v>2500</v>
      </c>
      <c r="M300" t="n">
        <v>1100</v>
      </c>
      <c r="N300" t="n">
        <v>2495</v>
      </c>
      <c r="O300" t="n">
        <v>3990</v>
      </c>
      <c r="P300" t="n">
        <v>5485</v>
      </c>
      <c r="Q300" t="n">
        <v>6980</v>
      </c>
      <c r="R300" t="n">
        <v>8475</v>
      </c>
      <c r="S300" t="n">
        <v>9970</v>
      </c>
      <c r="T300" t="n">
        <v>11465</v>
      </c>
      <c r="U300" t="n">
        <v>12960</v>
      </c>
      <c r="V300" t="n">
        <v>7516</v>
      </c>
      <c r="W300" t="n">
        <v>2196</v>
      </c>
      <c r="X300" t="n">
        <v>1897</v>
      </c>
      <c r="Y300" t="n">
        <v>8790</v>
      </c>
    </row>
    <row r="301">
      <c r="A301" t="n">
        <v>300</v>
      </c>
      <c r="B301" t="n">
        <v>0</v>
      </c>
      <c r="C301" t="n">
        <v>88573</v>
      </c>
      <c r="D301" t="n">
        <v>381637</v>
      </c>
      <c r="E301" t="n">
        <v>6991522</v>
      </c>
      <c r="F301" t="n">
        <v>125363453</v>
      </c>
      <c r="G301" t="n">
        <v>2185120762</v>
      </c>
      <c r="H301" t="n">
        <v>37157073039</v>
      </c>
      <c r="I301" t="n">
        <v>614631863830</v>
      </c>
      <c r="J301" t="n">
        <v>2000</v>
      </c>
      <c r="K301" t="n">
        <v>53326</v>
      </c>
      <c r="L301" t="n">
        <v>2500</v>
      </c>
      <c r="M301" t="n">
        <v>1100</v>
      </c>
      <c r="N301" t="n">
        <v>2500</v>
      </c>
      <c r="O301" t="n">
        <v>4000</v>
      </c>
      <c r="P301" t="n">
        <v>5500</v>
      </c>
      <c r="Q301" t="n">
        <v>7000</v>
      </c>
      <c r="R301" t="n">
        <v>8500</v>
      </c>
      <c r="S301" t="n">
        <v>10000</v>
      </c>
      <c r="T301" t="n">
        <v>11500</v>
      </c>
      <c r="U301" t="n">
        <v>13000</v>
      </c>
      <c r="V301" t="n">
        <v>7558</v>
      </c>
      <c r="W301" t="n">
        <v>2200</v>
      </c>
      <c r="X301" t="n">
        <v>1900</v>
      </c>
      <c r="Y301" t="n">
        <v>8800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6"/>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8" customWidth="1" min="3" max="3"/>
    <col width="11" customWidth="1" min="4" max="4"/>
    <col width="15" customWidth="1" min="5" max="5"/>
    <col width="13" customWidth="1" min="6" max="6"/>
    <col width="8" customWidth="1" min="7" max="7"/>
    <col width="15" customWidth="1" min="8" max="8"/>
    <col width="11" customWidth="1" min="9" max="9"/>
    <col width="12" customWidth="1" min="10" max="10"/>
    <col width="18" customWidth="1" min="11" max="11"/>
    <col width="11" customWidth="1" min="12" max="12"/>
    <col width="14" customWidth="1" min="13" max="13"/>
    <col width="17" customWidth="1" min="14" max="14"/>
    <col width="16" customWidth="1" min="15" max="15"/>
    <col width="18" customWidth="1" min="16" max="16"/>
    <col width="20" customWidth="1" min="17" max="17"/>
    <col width="16" customWidth="1" min="18" max="18"/>
    <col width="15" customWidth="1" min="19" max="19"/>
    <col width="20" customWidth="1" min="20" max="20"/>
    <col width="20" customWidth="1" min="21" max="21"/>
    <col width="8" customWidth="1" min="22" max="22"/>
    <col width="60" customWidth="1" min="23" max="23"/>
  </cols>
  <sheetData>
    <row r="1">
      <c r="A1" s="8" t="inlineStr">
        <is>
          <t>Key</t>
        </is>
      </c>
      <c r="B1" s="8" t="inlineStr">
        <is>
          <t>Name</t>
        </is>
      </c>
      <c r="C1" s="8" t="inlineStr">
        <is>
          <t>JobStep</t>
        </is>
      </c>
      <c r="D1" s="8" t="inlineStr">
        <is>
          <t>Cooldown(s)</t>
        </is>
      </c>
      <c r="E1" s="8" t="inlineStr">
        <is>
          <t>CostsActionSlot</t>
        </is>
      </c>
      <c r="F1" s="8" t="inlineStr">
        <is>
          <t>HitsPerCast</t>
        </is>
      </c>
      <c r="G1" s="8" t="inlineStr">
        <is>
          <t>ICD(s)</t>
        </is>
      </c>
      <c r="H1" s="8" t="inlineStr">
        <is>
          <t>ActiveWindow(s)</t>
        </is>
      </c>
      <c r="I1" s="8" t="inlineStr">
        <is>
          <t>ProcChance%</t>
        </is>
      </c>
      <c r="J1" s="8" t="inlineStr">
        <is>
          <t>RollsPerCast</t>
        </is>
      </c>
      <c r="K1" s="8" t="inlineStr">
        <is>
          <t>BaseDamage(tenths%)</t>
        </is>
      </c>
      <c r="L1" s="8" t="inlineStr">
        <is>
          <t>FactorIndex</t>
        </is>
      </c>
      <c r="M1" s="8" t="inlineStr">
        <is>
          <t>ScalesWithLevel</t>
        </is>
      </c>
      <c r="N1" s="8" t="inlineStr">
        <is>
          <t>SkillMasteryBonus%</t>
        </is>
      </c>
      <c r="O1" s="8" t="inlineStr">
        <is>
          <t>MasteryBossDamage%</t>
        </is>
      </c>
      <c r="P1" s="8" t="inlineStr">
        <is>
          <t>MasteryNormalDamage%</t>
        </is>
      </c>
      <c r="Q1" s="8" t="inlineStr">
        <is>
          <t>NormalMonsterTargets</t>
        </is>
      </c>
      <c r="R1" s="8" t="inlineStr">
        <is>
          <t>BuffTargetStat</t>
        </is>
      </c>
      <c r="S1" s="8" t="inlineStr">
        <is>
          <t>BuffDuration(s)</t>
        </is>
      </c>
      <c r="T1" s="8" t="inlineStr">
        <is>
          <t>MapleHeroBase(tenths%)</t>
        </is>
      </c>
      <c r="U1" s="8" t="inlineStr">
        <is>
          <t>MapleHeroFactorIndex</t>
        </is>
      </c>
      <c r="V1" s="8" t="inlineStr">
        <is>
          <t>Stacks</t>
        </is>
      </c>
      <c r="W1" s="8" t="inlineStr">
        <is>
          <t>Note</t>
        </is>
      </c>
    </row>
    <row r="2">
      <c r="A2" t="inlineStr">
        <is>
          <t>BIG_BANG</t>
        </is>
      </c>
      <c r="B2" t="inlineStr">
        <is>
          <t>Big Bang</t>
        </is>
      </c>
      <c r="C2" t="n">
        <v>4</v>
      </c>
      <c r="D2" t="inlineStr"/>
      <c r="E2" t="b">
        <v>0</v>
      </c>
      <c r="F2">
        <f>IF(Inputs!$B$3&gt;=136,6,5)</f>
        <v/>
      </c>
      <c r="G2" t="n">
        <v>0</v>
      </c>
      <c r="H2" t="n">
        <v>0</v>
      </c>
      <c r="I2" t="n">
        <v>100</v>
      </c>
      <c r="J2" t="n">
        <v>1</v>
      </c>
      <c r="K2" t="inlineStr"/>
      <c r="L2" t="inlineStr"/>
      <c r="M2" t="b">
        <v>1</v>
      </c>
      <c r="N2">
        <f>SUMPRODUCT((Inputs!$B$3&gt;={102,106,116,120,128,132})*{10,1,1,1,1,1})</f>
        <v/>
      </c>
      <c r="O2">
        <f>SUMPRODUCT((Inputs!$B$3&gt;={111,124})*{10,10})</f>
        <v/>
      </c>
      <c r="P2" t="n">
        <v>0</v>
      </c>
      <c r="Q2">
        <f>6+Inputs!$B$32</f>
        <v/>
      </c>
      <c r="R2" t="inlineStr"/>
      <c r="S2" t="n">
        <v>0</v>
      </c>
      <c r="T2" t="inlineStr"/>
      <c r="U2" t="inlineStr"/>
      <c r="V2" t="inlineStr"/>
      <c r="W2" t="inlineStr">
        <is>
          <t>4th-job basic-attack effect (supersedes Energy Bolt/Holy Arrow/Shining Ray). HIGH-CONFIDENCE REUSE (not independently reverse-engineered — Bishop has no individual skill wiki pages at all): level-1 text ('290% damage to 6 target(s) 5 time(s)') is word-for-word identical to Ice-Lightning-Mage's own Chain Lightning, so this reuses that exact factorIndex 21/baseDamage 2900 tenths% pair, matching Inputs!skill_coefficient (=290*basic_factor/1000) exactly, same mechanism as every sibling class's own basic-attack row. SkillMasteryBonus% is the 6-tier 'Big Bang - Damage' mastery chain (102/106/116/120/128/132, cumulative totals 10%-&gt;15%, DELTA increments 10 then +1 five times). MasteryBossDamage% is the 2-tier 'Big Bang - Boss Monster Damage' chain (111/124, +10% each, +20% total). HitsPerCast 5-&gt;6 once the level-136 'Strike' mastery unlocks.</t>
        </is>
      </c>
    </row>
    <row r="3">
      <c r="A3" t="inlineStr">
        <is>
          <t>MAGIC_GUARD</t>
        </is>
      </c>
      <c r="B3" t="inlineStr">
        <is>
          <t>Magic Guard</t>
        </is>
      </c>
      <c r="C3" t="n">
        <v>1</v>
      </c>
      <c r="D3">
        <f>IF(Inputs!$B$3&gt;=21,30*0.7,30)</f>
        <v/>
      </c>
      <c r="E3" t="b">
        <v>1</v>
      </c>
      <c r="F3" t="n">
        <v>1</v>
      </c>
      <c r="G3" t="n">
        <v>0</v>
      </c>
      <c r="H3" t="n">
        <v>0</v>
      </c>
      <c r="I3" t="n">
        <v>100</v>
      </c>
      <c r="J3" t="n">
        <v>1</v>
      </c>
      <c r="K3" t="n">
        <v>120</v>
      </c>
      <c r="L3" t="n">
        <v>21</v>
      </c>
      <c r="M3" t="b">
        <v>1</v>
      </c>
      <c r="N3" t="n">
        <v>0</v>
      </c>
      <c r="O3" t="n">
        <v>0</v>
      </c>
      <c r="P3" t="n">
        <v>0</v>
      </c>
      <c r="Q3" t="n">
        <v>1</v>
      </c>
      <c r="R3" t="inlineStr">
        <is>
          <t>ATTACK</t>
        </is>
      </c>
      <c r="S3" t="n">
        <v>15</v>
      </c>
      <c r="T3" t="inlineStr"/>
      <c r="U3" t="inlineStr"/>
      <c r="V3" t="inlineStr"/>
      <c r="W3" t="inlineStr">
        <is>
          <t>Self-buff, +12%-&gt;16.8% Attack, 15s duration/30s cooldown (Mastery Lv.21 -30% cooldown -&gt; 21s). factorIndex 21, baseDamage 120 tenths%. Shared verbatim w/ FP-Mage/Ice-Lightning-Mage (identical wiki wording and numbers).</t>
        </is>
      </c>
    </row>
    <row r="4">
      <c r="A4" t="inlineStr">
        <is>
          <t>HEAL</t>
        </is>
      </c>
      <c r="B4" t="inlineStr">
        <is>
          <t>Heal (self Attack%)</t>
        </is>
      </c>
      <c r="C4" t="n">
        <v>2</v>
      </c>
      <c r="D4" t="n">
        <v>18</v>
      </c>
      <c r="E4" t="b">
        <v>1</v>
      </c>
      <c r="F4" t="n">
        <v>1</v>
      </c>
      <c r="G4" t="n">
        <v>0</v>
      </c>
      <c r="H4" t="n">
        <v>0</v>
      </c>
      <c r="I4" t="n">
        <v>100</v>
      </c>
      <c r="J4" t="n">
        <v>1</v>
      </c>
      <c r="K4" t="n">
        <v>100</v>
      </c>
      <c r="L4" t="n">
        <v>22</v>
      </c>
      <c r="M4" t="b">
        <v>1</v>
      </c>
      <c r="N4">
        <f>SUMPRODUCT((Inputs!$B$3&gt;={54})*{8})</f>
        <v/>
      </c>
      <c r="O4" t="n">
        <v>0</v>
      </c>
      <c r="P4" t="n">
        <v>0</v>
      </c>
      <c r="Q4" t="n">
        <v>1</v>
      </c>
      <c r="R4" t="inlineStr">
        <is>
          <t>ATTACK</t>
        </is>
      </c>
      <c r="S4">
        <f>IF(Inputs!$B$3&gt;=39,10*1.5,10)</f>
        <v/>
      </c>
      <c r="T4" t="inlineStr"/>
      <c r="U4" t="inlineStr"/>
      <c r="V4" t="inlineStr"/>
      <c r="W4" t="inlineStr">
        <is>
          <t>FLAGGED ASSUMPTION (no wiki curve — only the level-1 value is known): factorIndex 22 (buff/passive convention), baseDamage 100 tenths% (10% level-1). Heal's own HP-recovery component is entirely out of scope (no HP tracking anywhere in this calculator). The conditional '+10% Attack while target HP&gt;=70%' component is modeled always-on (steady-state 'healthy' assumption, same tier as Ice-Lightning-Mage's always-5-Frost-stacks convention). Self-inclusive ('allied players' — matches Meditation's own established self-inclusive precedent in FP-Mage/Ice-Lightning-Mage). Duration 10s (Mastery Lv.39 'Heal - Persistence' +50% -&gt; 15s), cooldown 18s. SkillMasteryBonus% is the SEPARATE Mastery Lv.54 'Heal - Attack' (+8% Attack when the caster's OWN HP&gt;=50%) — a distinct mastery from the base skill's own conditional effect, also modeled always-on under the same 100%-HP assumption.</t>
        </is>
      </c>
    </row>
    <row r="5">
      <c r="A5" t="inlineStr">
        <is>
          <t>BLESS</t>
        </is>
      </c>
      <c r="B5" t="inlineStr">
        <is>
          <t>Bless</t>
        </is>
      </c>
      <c r="C5" t="n">
        <v>2</v>
      </c>
      <c r="D5" t="n">
        <v>24</v>
      </c>
      <c r="E5" t="b">
        <v>1</v>
      </c>
      <c r="F5" t="n">
        <v>1</v>
      </c>
      <c r="G5" t="n">
        <v>0</v>
      </c>
      <c r="H5" t="n">
        <v>0</v>
      </c>
      <c r="I5" t="n">
        <v>100</v>
      </c>
      <c r="J5" t="n">
        <v>1</v>
      </c>
      <c r="K5" t="n">
        <v>160</v>
      </c>
      <c r="L5" t="n">
        <v>22</v>
      </c>
      <c r="M5" t="b">
        <v>1</v>
      </c>
      <c r="N5" t="n">
        <v>0</v>
      </c>
      <c r="O5" t="n">
        <v>0</v>
      </c>
      <c r="P5" t="n">
        <v>0</v>
      </c>
      <c r="Q5" t="n">
        <v>1</v>
      </c>
      <c r="R5" t="inlineStr">
        <is>
          <t>ATTACK</t>
        </is>
      </c>
      <c r="S5">
        <f>IF(Inputs!$B$3&gt;=44,15*1.3,15)</f>
        <v/>
      </c>
      <c r="T5" t="inlineStr"/>
      <c r="U5" t="inlineStr"/>
      <c r="V5" t="inlineStr"/>
      <c r="W5" t="inlineStr">
        <is>
          <t>FLAGGED ASSUMPTION: factorIndex 22, baseDamage 160 tenths% (16% level-1). Bishop's own Meditation-equivalent (near-identical wording: 'Increases the Attack of allied players by 16% for 15 sec'), self-inclusive. Duration 15s (Mastery Lv.44 'Bless - Persistence' +30% -&gt; 19.5s), cooldown 24s.</t>
        </is>
      </c>
    </row>
    <row r="6">
      <c r="A6" t="inlineStr">
        <is>
          <t>ANGEL_RAY</t>
        </is>
      </c>
      <c r="B6" t="inlineStr">
        <is>
          <t>Angel Ray</t>
        </is>
      </c>
      <c r="C6" t="n">
        <v>4</v>
      </c>
      <c r="D6" t="n">
        <v>17</v>
      </c>
      <c r="E6" t="b">
        <v>1</v>
      </c>
      <c r="F6" t="n">
        <v>6</v>
      </c>
      <c r="G6" t="n">
        <v>0</v>
      </c>
      <c r="H6" t="n">
        <v>0</v>
      </c>
      <c r="I6" t="n">
        <v>100</v>
      </c>
      <c r="J6" t="n">
        <v>1</v>
      </c>
      <c r="K6" t="n">
        <v>6800</v>
      </c>
      <c r="L6" t="n">
        <v>12</v>
      </c>
      <c r="M6" t="b">
        <v>1</v>
      </c>
      <c r="N6">
        <f>SUMPRODUCT((Inputs!$B$3&gt;={108})*{50})</f>
        <v/>
      </c>
      <c r="O6" t="n">
        <v>0</v>
      </c>
      <c r="P6" t="n">
        <v>0</v>
      </c>
      <c r="Q6" t="n">
        <v>1</v>
      </c>
      <c r="R6" t="inlineStr"/>
      <c r="S6" t="n">
        <v>0</v>
      </c>
      <c r="T6" t="inlineStr"/>
      <c r="U6" t="inlineStr"/>
      <c r="V6" t="inlineStr"/>
      <c r="W6" t="inlineStr">
        <is>
          <t>FLAGGED ASSUMPTION: factorIndex 12 (burst convention), baseDamage 6800 tenths% (680% level-1). Wiki: 'Attacks the target with a holy sword 3 times to deal 680% damage 2 time(s) each' — read as 6 total hits (3 strikes x 2), single-target (no target count given, stun not modeled). Cooldown 17s. Mastery Lv.108 'Angel Ray - Damage' +50% (real SkillMasteryBonus%, separate from the Lv.122 Boss Monster Damage proc mastery).</t>
        </is>
      </c>
    </row>
    <row r="7">
      <c r="A7" t="inlineStr">
        <is>
          <t>ANGEL_RAY_BOSS_PROC</t>
        </is>
      </c>
      <c r="B7" t="inlineStr">
        <is>
          <t>Angel Ray - Boss Monster Damage (Mastery Lv.122)</t>
        </is>
      </c>
      <c r="C7" t="n">
        <v>4</v>
      </c>
      <c r="D7">
        <f>Skills!D6</f>
        <v/>
      </c>
      <c r="E7" t="b">
        <v>0</v>
      </c>
      <c r="F7" t="n">
        <v>1</v>
      </c>
      <c r="G7" t="n">
        <v>0</v>
      </c>
      <c r="H7" t="n">
        <v>0</v>
      </c>
      <c r="I7" t="n">
        <v>100</v>
      </c>
      <c r="J7" t="n">
        <v>1</v>
      </c>
      <c r="K7" t="n">
        <v>6800</v>
      </c>
      <c r="L7" t="n">
        <v>12</v>
      </c>
      <c r="M7" t="b">
        <v>1</v>
      </c>
      <c r="N7" t="n">
        <v>0</v>
      </c>
      <c r="O7" t="n">
        <v>0</v>
      </c>
      <c r="P7" t="n">
        <v>0</v>
      </c>
      <c r="Q7" t="n">
        <v>1</v>
      </c>
      <c r="R7" t="inlineStr"/>
      <c r="S7" t="n">
        <v>0</v>
      </c>
      <c r="T7" t="inlineStr"/>
      <c r="U7" t="inlineStr"/>
      <c r="V7" t="inlineStr"/>
      <c r="W7" t="inlineStr">
        <is>
          <t>FLAGGED ASSUMPTION: factorIndex 12 (same as its parent), baseDamage 6800 tenths% (matches the mastery's own stated 680%, which the wiki confirms 'increases with Angel Ray skill level' — i.e. it scales, not a flat bonus). Standalone proc row mirroring Ice-Lightning-Mage's Blizzard - Final Attack precedent: shares Angel Ray's own live Cooldown(s) cell. Unconditional on a boss hit (not a percentage roll — the wiki's own wording is 'when hitting a boss monster', no chance given), so ProcChance%=100 here is a placeholder; the boss-only condition is applied directly in this row's own bespoke Calc!O formula via (1-Inputs!normal_weight_frac) instead of the generic target-multiplier, since it must be 1 for boss AND pvp (both single-target) but 0 for pure normal-monster fights.</t>
        </is>
      </c>
    </row>
    <row r="8">
      <c r="A8" t="inlineStr">
        <is>
          <t>GENESIS</t>
        </is>
      </c>
      <c r="B8" t="inlineStr">
        <is>
          <t>Genesis</t>
        </is>
      </c>
      <c r="C8" t="n">
        <v>4</v>
      </c>
      <c r="D8">
        <f>IF(Inputs!$B$3&gt;=126,23*0.7,23)</f>
        <v/>
      </c>
      <c r="E8" t="b">
        <v>1</v>
      </c>
      <c r="F8" t="n">
        <v>6</v>
      </c>
      <c r="G8" t="n">
        <v>0</v>
      </c>
      <c r="H8" t="n">
        <v>0</v>
      </c>
      <c r="I8" t="n">
        <v>100</v>
      </c>
      <c r="J8" t="n">
        <v>1</v>
      </c>
      <c r="K8" t="n">
        <v>7000</v>
      </c>
      <c r="L8" t="n">
        <v>12</v>
      </c>
      <c r="M8" t="b">
        <v>1</v>
      </c>
      <c r="N8">
        <f>SUMPRODUCT((Inputs!$B$3&gt;={118})*{50})</f>
        <v/>
      </c>
      <c r="O8" t="n">
        <v>0</v>
      </c>
      <c r="P8" t="n">
        <v>0</v>
      </c>
      <c r="Q8" t="n">
        <v>10</v>
      </c>
      <c r="R8" t="inlineStr"/>
      <c r="S8" t="n">
        <v>0</v>
      </c>
      <c r="T8" t="inlineStr"/>
      <c r="U8" t="inlineStr"/>
      <c r="V8" t="inlineStr"/>
      <c r="W8" t="inlineStr">
        <is>
          <t>FLAGGED ASSUMPTION: factorIndex 12, baseDamage 7000 tenths% (700% level-1). Wiki: 'Drops a pillar of holy light on 10 nearby target(s) to deal 700% damage 6 time(s)' — burst, not a DoT (no duration/tick-interval given). Cooldown 23s. Mastery Lv.118 'Genesis - Damage' +50% (real SkillMasteryBonus%), Lv.126 'Genesis - Reuse' -30% cooldown (baked into the Cooldown(s) formula).</t>
        </is>
      </c>
    </row>
    <row r="9">
      <c r="A9" t="inlineStr">
        <is>
          <t>BAHAMUT</t>
        </is>
      </c>
      <c r="B9" t="inlineStr">
        <is>
          <t>Bahamut</t>
        </is>
      </c>
      <c r="C9" t="n">
        <v>4</v>
      </c>
      <c r="D9">
        <f>IF(Inputs!$B$3&gt;=138,80*0.7,80)</f>
        <v/>
      </c>
      <c r="E9" t="b">
        <v>1</v>
      </c>
      <c r="F9" t="n">
        <v>1</v>
      </c>
      <c r="G9" t="n">
        <v>4</v>
      </c>
      <c r="H9" t="n">
        <v>30</v>
      </c>
      <c r="I9" t="n">
        <v>100</v>
      </c>
      <c r="J9" t="n">
        <v>1</v>
      </c>
      <c r="K9" t="n">
        <v>35000</v>
      </c>
      <c r="L9" t="n">
        <v>12</v>
      </c>
      <c r="M9" t="b">
        <v>1</v>
      </c>
      <c r="N9">
        <f>SUMPRODUCT((Inputs!$B$3&gt;={130})*{50})</f>
        <v/>
      </c>
      <c r="O9" t="n">
        <v>0</v>
      </c>
      <c r="P9" t="n">
        <v>0</v>
      </c>
      <c r="Q9">
        <f>IF(Inputs!$B$3&gt;=130,6,3)</f>
        <v/>
      </c>
      <c r="R9" t="inlineStr"/>
      <c r="S9" t="n">
        <v>0</v>
      </c>
      <c r="T9" t="inlineStr"/>
      <c r="U9" t="inlineStr"/>
      <c r="V9" t="inlineStr"/>
      <c r="W9" t="inlineStr">
        <is>
          <t>HIGH-CONFIDENCE REUSE (see BIG_BANG's own note on the data-gap situation): level-1 text ('3500% damage every 4 sec to 3 target(s)... 30 sec... 80 sec cooldown') is word-for-word identical to Ice-Lightning-Mage's own Elquines, so this reuses that exact factorIndex 12/baseDamage 35000 tenths% pair. Mastery Lv.130 'Bahamut - Damage &amp; Target' +50% dmg AND +3 max targets (3-&gt;6, baked into the NormalMonsterTargets formula), Lv.138 'Bahamut - Reuse' -30% cooldown.</t>
        </is>
      </c>
    </row>
    <row r="10">
      <c r="A10" t="inlineStr">
        <is>
          <t>HOLY_FOUNTAIN</t>
        </is>
      </c>
      <c r="B10" t="inlineStr">
        <is>
          <t>Holy Fountain (Boss Dmg mastery only)</t>
        </is>
      </c>
      <c r="C10" t="n">
        <v>3</v>
      </c>
      <c r="D10" t="n">
        <v>30</v>
      </c>
      <c r="E10" t="b">
        <v>1</v>
      </c>
      <c r="F10" t="n">
        <v>1</v>
      </c>
      <c r="G10" t="n">
        <v>0</v>
      </c>
      <c r="H10" t="n">
        <v>0</v>
      </c>
      <c r="I10" t="n">
        <v>100</v>
      </c>
      <c r="J10" t="n">
        <v>1</v>
      </c>
      <c r="K10" t="inlineStr"/>
      <c r="L10" t="inlineStr"/>
      <c r="M10" t="b">
        <v>0</v>
      </c>
      <c r="N10" t="n">
        <v>0</v>
      </c>
      <c r="O10" t="n">
        <v>0</v>
      </c>
      <c r="P10" t="n">
        <v>0</v>
      </c>
      <c r="Q10" t="n">
        <v>1</v>
      </c>
      <c r="R10" t="inlineStr"/>
      <c r="S10" t="n">
        <v>0</v>
      </c>
      <c r="T10" t="inlineStr"/>
      <c r="U10" t="inlineStr"/>
      <c r="V10" t="inlineStr"/>
      <c r="W10" t="inlineStr">
        <is>
          <t>Holy Fountain's own base skill is pure HP recovery — entirely out of scope (no HP tracking anywhere in this calculator), so this row carries no BaseDamage/FactorIndex of its own; it exists only to hold a live Cooldown(s) cell (patched 40s-&gt;30s per the Aug 13 2026 patch note — the wiki page itself is stale) for Mastery Lv.68's own duty-cycle uptime reference (see build_summary_sheet) and to participate correctly in the cast-rate action-economy sum (CostsActionSlot=True). Mastery Lv.68 'Holy Fountain - Boss Monster Damage' (patched 10%-&gt;20%, confirmed in the Aug 13 2026 patch PDF) is a flat, non-scaling bonus (matches every other '-Boss Monster Damage' mastery elsewhere in this project, which are all flat level_gated_sum values, not factor-curve-scaled) — modeled as a duty-cycle-averaged self Boss Monster Damage buff tied to this row's own cooldown, mirroring Ice-Lightning-Mage's Freezing Breath - Weaken treatment exactly.</t>
        </is>
      </c>
    </row>
    <row r="11">
      <c r="A11" t="inlineStr">
        <is>
          <t>HOLY_MAGIC_SHELL</t>
        </is>
      </c>
      <c r="B11" t="inlineStr">
        <is>
          <t>Holy Magic Shell (self Attack%)</t>
        </is>
      </c>
      <c r="C11" t="n">
        <v>3</v>
      </c>
      <c r="D11" t="n">
        <v>27</v>
      </c>
      <c r="E11" t="b">
        <v>1</v>
      </c>
      <c r="F11" t="n">
        <v>1</v>
      </c>
      <c r="G11" t="n">
        <v>0</v>
      </c>
      <c r="H11" t="n">
        <v>0</v>
      </c>
      <c r="I11" t="n">
        <v>100</v>
      </c>
      <c r="J11" t="n">
        <v>1</v>
      </c>
      <c r="K11" t="n">
        <v>150</v>
      </c>
      <c r="L11" t="n">
        <v>22</v>
      </c>
      <c r="M11" t="b">
        <v>1</v>
      </c>
      <c r="N11" t="n">
        <v>0</v>
      </c>
      <c r="O11" t="n">
        <v>0</v>
      </c>
      <c r="P11" t="n">
        <v>0</v>
      </c>
      <c r="Q11" t="n">
        <v>1</v>
      </c>
      <c r="R11" t="inlineStr">
        <is>
          <t>ATTACK</t>
        </is>
      </c>
      <c r="S11" t="n">
        <v>22</v>
      </c>
      <c r="T11" t="inlineStr"/>
      <c r="U11" t="inlineStr"/>
      <c r="V11" t="inlineStr"/>
      <c r="W11" t="inlineStr">
        <is>
          <t>FLAGGED ASSUMPTION: factorIndex 22, baseDamage 150 tenths% (15% level-1). Wiki: 'Increases Attack by 15%... decreases damage taken by allied players by 5%' — the damage-taken reduction is defensive, out of scope (same exclusion precedent as Ice-Lightning-Mage's Frozen Break -5%-damage-taken note). Attack component modeled like Magic Guard, self-inclusive. Duration 22s, cooldown 27s. Mastery Lv.82 'Purification' (removes 1 debuff) not modeled — no debuff mechanic exists anywhere in this calculator.</t>
        </is>
      </c>
    </row>
    <row r="12">
      <c r="A12" t="inlineStr">
        <is>
          <t>HOLY_SYMBOL</t>
        </is>
      </c>
      <c r="B12" t="inlineStr">
        <is>
          <t>Holy Symbol</t>
        </is>
      </c>
      <c r="C12" t="n">
        <v>3</v>
      </c>
      <c r="D12" t="n">
        <v>28</v>
      </c>
      <c r="E12" t="b">
        <v>0</v>
      </c>
      <c r="F12" t="n">
        <v>1</v>
      </c>
      <c r="G12" t="n">
        <v>0</v>
      </c>
      <c r="H12" t="n">
        <v>0</v>
      </c>
      <c r="I12" t="n">
        <v>100</v>
      </c>
      <c r="J12" t="n">
        <v>1</v>
      </c>
      <c r="K12" t="n">
        <v>150</v>
      </c>
      <c r="L12" t="n">
        <v>22</v>
      </c>
      <c r="M12" t="b">
        <v>1</v>
      </c>
      <c r="N12" t="n">
        <v>0</v>
      </c>
      <c r="O12">
        <f>SUMPRODUCT((Inputs!$B$3&gt;={90})*{25})</f>
        <v/>
      </c>
      <c r="P12" t="n">
        <v>0</v>
      </c>
      <c r="Q12" t="n">
        <v>1</v>
      </c>
      <c r="R12" t="inlineStr"/>
      <c r="S12">
        <f>IF(Inputs!$B$3&gt;=98,14*1.5,14)</f>
        <v/>
      </c>
      <c r="T12" t="inlineStr"/>
      <c r="U12" t="inlineStr"/>
      <c r="V12" t="inlineStr"/>
      <c r="W12" t="inlineStr">
        <is>
          <t>FLAGGED ASSUMPTION: factorIndex 22, baseDamage 150 tenths% (15% level-1). Wiki: 'Increases allied players' Normal Monster Damage by 15%... every 28 sec' — auto-triggering passive, not player-cast (CostsActionSlot=False). Duration 14s (Mastery Lv.98 'Holy Symbol - Persistence' +50% -&gt; 21s). This row's own F-value feeds a duty-cycle-averaged bespoke Normal-Monster-only global bonus in build_summary_sheet (a new R_NORMAL_DMG_BONUS slot, structurally the normal-monster-only mirror of R_MONSTER_DMG_BONUS/Freezing Breath - Weaken), NOT the generic BuffTargetStat mechanism (left blank here since NM-only doesn't map onto any existing generic target). Debuff Tolerance component not modeled (no debuff mechanic exists). MasteryBossDamage% here holds Mastery Lv.90 'Holy Symbol - Damage Boost' (+25% flat Damage% if allied players excluding self &lt;=2) — ALWAYS TRUE for a solo player, so this becomes an unconditional flat Damage% bonus once unlocked, folded into the same Summary R_DAMAGE_BONUS-style slot Ice-Lightning-Mage's Frozen Break/Frost Clutch use (NOT consumed as MasteryBossDamage% normally would be — this row isn't a DAMAGE_ROW_KEYS row at all, so that field is otherwise unused here, safe to reuse purely as storage. Deliberately NOT stored in SkillMasteryBonus% — that field IS consumed unconditionally by the generic F-column formula for every row, which would have silently contaminated this row's own F-value (also legitimately used above for the Normal Monster Damage bonus calculation) — caught via the categorical monster_type sweep, not by the default-boss verification alone.</t>
        </is>
      </c>
    </row>
    <row r="13">
      <c r="A13" t="inlineStr">
        <is>
          <t>ADVANCED_BLESSING</t>
        </is>
      </c>
      <c r="B13" t="inlineStr">
        <is>
          <t>Advanced Blessing</t>
        </is>
      </c>
      <c r="C13" t="n">
        <v>4</v>
      </c>
      <c r="D13" t="n">
        <v>26</v>
      </c>
      <c r="E13" t="b">
        <v>1</v>
      </c>
      <c r="F13" t="n">
        <v>1</v>
      </c>
      <c r="G13" t="n">
        <v>0</v>
      </c>
      <c r="H13" t="n">
        <v>0</v>
      </c>
      <c r="I13" t="n">
        <v>100</v>
      </c>
      <c r="J13" t="n">
        <v>1</v>
      </c>
      <c r="K13" t="n">
        <v>70</v>
      </c>
      <c r="L13" t="n">
        <v>22</v>
      </c>
      <c r="M13" t="b">
        <v>1</v>
      </c>
      <c r="N13">
        <f>SUMPRODUCT((Inputs!$B$3&gt;={113})*{4})</f>
        <v/>
      </c>
      <c r="O13" t="n">
        <v>0</v>
      </c>
      <c r="P13" t="n">
        <v>0</v>
      </c>
      <c r="Q13" t="n">
        <v>1</v>
      </c>
      <c r="R13" t="inlineStr">
        <is>
          <t>FINAL_DAMAGE</t>
        </is>
      </c>
      <c r="S13" t="n">
        <v>20</v>
      </c>
      <c r="T13" t="inlineStr"/>
      <c r="U13" t="inlineStr"/>
      <c r="V13" t="inlineStr"/>
      <c r="W13" t="inlineStr">
        <is>
          <t>FLAGGED ASSUMPTION: factorIndex 22, baseDamage 70 tenths% (7% level-1). Wiki: 'Increases Final Damage of allied players by 7%... decreases their MP Cost by 7%' — MP-cost reduction out of scope (MP not tracked). Self-inclusive, FINAL_DAMAGE target (joins the Average Buff Multiplier chain in Summary alongside Magic Guard/Heal/Bless/Holy Magic Shell/Infinity). Duration 20s, cooldown 26s. Mastery Lv.113 '+4% Final Damage while MP&gt;=50%' modeled always-on (MP-condition-ignored, same decision as MP Eater/Element Amplification) — folded additively into this row's own SkillMasteryBonus%.</t>
        </is>
      </c>
    </row>
    <row r="14">
      <c r="A14" t="inlineStr">
        <is>
          <t>TRIUMPH_FEATHER</t>
        </is>
      </c>
      <c r="B14" t="inlineStr">
        <is>
          <t>Triumph Feather</t>
        </is>
      </c>
      <c r="C14" t="n">
        <v>3</v>
      </c>
      <c r="D14" t="inlineStr"/>
      <c r="E14" t="b">
        <v>0</v>
      </c>
      <c r="F14">
        <f>IF(Inputs!$B$3&gt;=104,3,2)</f>
        <v/>
      </c>
      <c r="G14" t="n">
        <v>1</v>
      </c>
      <c r="H14" t="n">
        <v>0</v>
      </c>
      <c r="I14" t="n">
        <v>35</v>
      </c>
      <c r="J14" t="n">
        <v>1</v>
      </c>
      <c r="K14" t="n">
        <v>1500</v>
      </c>
      <c r="L14" t="n">
        <v>12</v>
      </c>
      <c r="M14" t="b">
        <v>1</v>
      </c>
      <c r="N14">
        <f>SUMPRODUCT((Inputs!$B$3&gt;={73})*{50})</f>
        <v/>
      </c>
      <c r="O14" t="n">
        <v>0</v>
      </c>
      <c r="P14" t="n">
        <v>0</v>
      </c>
      <c r="Q14">
        <f>IF(Inputs!$B$3&gt;=94,7,1)</f>
        <v/>
      </c>
      <c r="R14" t="inlineStr"/>
      <c r="S14" t="n">
        <v>0</v>
      </c>
      <c r="T14" t="inlineStr"/>
      <c r="U14" t="inlineStr"/>
      <c r="V14" t="inlineStr"/>
      <c r="W14" t="inlineStr">
        <is>
          <t>FLAGGED ASSUMPTION: factorIndex 12, baseDamage 1500 tenths% (150% level-1). Genuinely new 2-stage-proc mechanic: wiki says 'When attacking, harnesses the power of the angel for 10 sec with a 15% chance [Mastery Lv.78 +10%p -&gt; 25%]. While harnessing, 35% chance/attack to create angel feathers dealing 150% additional damage 2 time(s), 1s ICD per target (treated as a single global ICD in this per-second-DPS model, not per-target).' Modeled as: this row's own ProcChance%=35 is stage 2's chance; stage 1's own steady-state busy-fraction (chance 15%/25%, duration 10s, driven by the character's own attack rate) is computed in build_calc_sheet as a bespoke multiplier on this row's own Calc!O formula, mirroring the queueing-rate approximation FP-Mage's own Meteor Proc uses — NOT the generic H-column ProcProbability-only pattern every other row uses, since this needs BOTH stages combined. Mastery Lv.73 +50% dmg (real SkillMasteryBonus%), Lv.94 'Harnessing' removes the 1s-per-target activation limit and spreads to 7 random targets (modeled here purely as the already-uncapped ICD assumption plus NormalMonsterTargets 1-&gt;7 — the ICD-removal itself is a known simplification, effectively a no-op under the already-global-ICD treatment, flagged as a known simplification), Lv.104 'Triumph Feather - Strike' +1 hit count (2-&gt;3, baked into the HitsPerCast formula — same convention as every other Strike+1 mastery elsewhere in this project). Maple Hero (Bishop's own, different mechanic shape — see MAPLE_HERO_BISHOP row) feeds this row's own Final Damage chain directly, not the generic MapleHeroMultiplier (I) column.</t>
        </is>
      </c>
    </row>
    <row r="15">
      <c r="A15" t="inlineStr">
        <is>
          <t>MAPLE_HERO_BISHOP</t>
        </is>
      </c>
      <c r="B15" t="inlineStr">
        <is>
          <t>Maple Hero</t>
        </is>
      </c>
      <c r="C15" t="n">
        <v>4</v>
      </c>
      <c r="D15" t="inlineStr"/>
      <c r="E15" t="b">
        <v>0</v>
      </c>
      <c r="F15" t="n">
        <v>1</v>
      </c>
      <c r="G15" t="n">
        <v>0</v>
      </c>
      <c r="H15" t="n">
        <v>0</v>
      </c>
      <c r="I15" t="n">
        <v>100</v>
      </c>
      <c r="J15" t="n">
        <v>1</v>
      </c>
      <c r="K15" t="n">
        <v>500</v>
      </c>
      <c r="L15" t="n">
        <v>23</v>
      </c>
      <c r="M15" t="b">
        <v>1</v>
      </c>
      <c r="N15" t="n">
        <v>0</v>
      </c>
      <c r="O15" t="n">
        <v>0</v>
      </c>
      <c r="P15" t="n">
        <v>0</v>
      </c>
      <c r="Q15" t="n">
        <v>1</v>
      </c>
      <c r="R15" t="inlineStr"/>
      <c r="S15" t="n">
        <v>0</v>
      </c>
      <c r="T15" t="inlineStr"/>
      <c r="U15" t="inlineStr"/>
      <c r="V15" t="inlineStr"/>
      <c r="W15" t="inlineStr">
        <is>
          <t>FLAGGED ASSUMPTION: factorIndex 23 (Maple Hero convention, matching every other class's own Maple Hero factorIndex), baseDamage 500 tenths% (50% level-1). Bishop's own Maple Hero targets Triumph Feather with a DIFFERENT mechanic shape than every other class's Maple Hero: 'Increases Final Damage of [Triumph Feather] by 50%' — a genuine Final-Damage-chain additive term (like Element Amplification), NOT a MapleHeroBase-scaled 'additional damage%' multiplier. No independent DPS row of its own (Calc columns J-N stay blank/0, same 'no independent row' pattern as Night Lord's own Night Lord's Mark) — only D/E/F (its own scaling coefficient) are computed, read directly by Triumph Feather's own Calc!K formula. Also increases HP Recovery of Heal/Holy Fountain (out of scope, no HP tracking).</t>
        </is>
      </c>
    </row>
    <row r="16">
      <c r="A16" t="inlineStr">
        <is>
          <t>MP_EATER_MP_BOOST</t>
        </is>
      </c>
      <c r="B16" t="inlineStr">
        <is>
          <t>MP Eater - MP Boost (Mastery Lv.49)</t>
        </is>
      </c>
      <c r="C16" t="n">
        <v>2</v>
      </c>
      <c r="D16" t="inlineStr"/>
      <c r="E16" t="b">
        <v>0</v>
      </c>
      <c r="F16" t="n">
        <v>1</v>
      </c>
      <c r="G16" t="n">
        <v>0</v>
      </c>
      <c r="H16" t="n">
        <v>0</v>
      </c>
      <c r="I16" t="n">
        <v>100</v>
      </c>
      <c r="J16" t="n">
        <v>1</v>
      </c>
      <c r="K16" t="n">
        <v>70</v>
      </c>
      <c r="L16" t="n">
        <v>0</v>
      </c>
      <c r="M16" t="b">
        <v>0</v>
      </c>
      <c r="N16" t="n">
        <v>0</v>
      </c>
      <c r="O16" t="n">
        <v>0</v>
      </c>
      <c r="P16" t="n">
        <v>0</v>
      </c>
      <c r="Q16" t="n">
        <v>1</v>
      </c>
      <c r="R16" t="inlineStr"/>
      <c r="S16" t="n">
        <v>0</v>
      </c>
      <c r="T16" t="inlineStr"/>
      <c r="U16" t="inlineStr"/>
      <c r="V16" t="inlineStr"/>
      <c r="W16" t="inlineStr">
        <is>
          <t>Shared verbatim w/ FP-Mage/Ice-Lightning-Mage: flat always-on +7% Attack Speed once unlocked (MP&gt;=50%(patched 35%) condition ignored per the always-on decision). Real, always-on contributor (NOT baked into Inputs) — folds into the Attack Speed diminishing-returns stack in Summary once unlocked, no uptime averaging (not a timed buff). FactorIndex is an unused placeholder (ScalesWithLevel=False).</t>
        </is>
      </c>
    </row>
    <row r="17">
      <c r="A17" t="inlineStr">
        <is>
          <t>ELEMENT_AMPLIFICATION</t>
        </is>
      </c>
      <c r="B17" t="inlineStr">
        <is>
          <t>Element Amplification</t>
        </is>
      </c>
      <c r="C17" t="n">
        <v>3</v>
      </c>
      <c r="D17" t="inlineStr"/>
      <c r="E17" t="b">
        <v>0</v>
      </c>
      <c r="F17" t="n">
        <v>1</v>
      </c>
      <c r="G17" t="n">
        <v>0</v>
      </c>
      <c r="H17" t="n">
        <v>0</v>
      </c>
      <c r="I17" t="n">
        <v>100</v>
      </c>
      <c r="J17" t="n">
        <v>1</v>
      </c>
      <c r="K17" t="n">
        <v>150</v>
      </c>
      <c r="L17" t="n">
        <v>22</v>
      </c>
      <c r="M17" t="b">
        <v>1</v>
      </c>
      <c r="N17" t="n">
        <v>0</v>
      </c>
      <c r="O17" t="n">
        <v>0</v>
      </c>
      <c r="P17" t="n">
        <v>0</v>
      </c>
      <c r="Q17" t="n">
        <v>1</v>
      </c>
      <c r="R17" t="inlineStr">
        <is>
          <t>FINAL_DAMAGE</t>
        </is>
      </c>
      <c r="S17" t="n">
        <v>0</v>
      </c>
      <c r="T17" t="inlineStr"/>
      <c r="U17" t="inlineStr"/>
      <c r="V17" t="inlineStr"/>
      <c r="W17" t="inlineStr">
        <is>
          <t>Shared verbatim w/ FP-Mage/Ice-Lightning-Mage: +15%-&gt;24% Final Damage, unconditional (ignore the MP&gt;=50%(patched 35%) condition per the same always-on decision applied everywhere else). Not reflected in Inputs — added directly into the Final Damage chain.</t>
        </is>
      </c>
    </row>
    <row r="18">
      <c r="A18" t="inlineStr">
        <is>
          <t>INFINITY</t>
        </is>
      </c>
      <c r="B18" t="inlineStr">
        <is>
          <t>Infinity</t>
        </is>
      </c>
      <c r="C18" t="n">
        <v>4</v>
      </c>
      <c r="D18" t="n">
        <v>30</v>
      </c>
      <c r="E18" t="b">
        <v>1</v>
      </c>
      <c r="F18" t="n">
        <v>1</v>
      </c>
      <c r="G18" t="n">
        <v>0</v>
      </c>
      <c r="H18" t="n">
        <v>0</v>
      </c>
      <c r="I18" t="n">
        <v>100</v>
      </c>
      <c r="J18" t="n">
        <v>1</v>
      </c>
      <c r="K18" t="n">
        <v>150</v>
      </c>
      <c r="L18" t="n">
        <v>21</v>
      </c>
      <c r="M18" t="b">
        <v>1</v>
      </c>
      <c r="N18" t="n">
        <v>0</v>
      </c>
      <c r="O18" t="n">
        <v>0</v>
      </c>
      <c r="P18" t="n">
        <v>0</v>
      </c>
      <c r="Q18" t="n">
        <v>1</v>
      </c>
      <c r="R18" t="inlineStr">
        <is>
          <t>FINAL_DAMAGE</t>
        </is>
      </c>
      <c r="S18" t="n">
        <v>15</v>
      </c>
      <c r="T18" t="inlineStr"/>
      <c r="U18" t="inlineStr"/>
      <c r="V18" t="inlineStr"/>
      <c r="W18" t="inlineStr">
        <is>
          <t>Shared verbatim w/ Ice-Lightning-Mage: base +15%-&gt;27% Final Damage for 15s, additionally +1%-&gt;1.8%/sec stacking up to 10 times — time-averaged total collapses to base*64/45 exactly (reverse-engineered for Ice-Lightning-Mage, identical wiki wording here). This row's own Calc!F needs the same bespoke base*64/45 formula in build_calc_sheet as every other class's Infinity, not the generic F-column formula.</t>
        </is>
      </c>
    </row>
    <row r="19">
      <c r="A19" t="inlineStr">
        <is>
          <t>BLOOD_OF_THE_DIVINE</t>
        </is>
      </c>
      <c r="B19" t="inlineStr">
        <is>
          <t>Blood of the Divine</t>
        </is>
      </c>
      <c r="C19" t="n">
        <v>4</v>
      </c>
      <c r="D19" t="inlineStr"/>
      <c r="E19" t="b">
        <v>0</v>
      </c>
      <c r="F19" t="n">
        <v>1</v>
      </c>
      <c r="G19" t="n">
        <v>0</v>
      </c>
      <c r="H19" t="n">
        <v>0</v>
      </c>
      <c r="I19" t="n">
        <v>100</v>
      </c>
      <c r="J19" t="n">
        <v>1</v>
      </c>
      <c r="K19" t="n">
        <v>50</v>
      </c>
      <c r="L19" t="n">
        <v>22</v>
      </c>
      <c r="M19" t="b">
        <v>1</v>
      </c>
      <c r="N19" t="n">
        <v>0</v>
      </c>
      <c r="O19" t="n">
        <v>0</v>
      </c>
      <c r="P19" t="n">
        <v>0</v>
      </c>
      <c r="Q19" t="n">
        <v>1</v>
      </c>
      <c r="R19" t="inlineStr"/>
      <c r="S19" t="n">
        <v>0</v>
      </c>
      <c r="T19" t="inlineStr"/>
      <c r="U19" t="inlineStr"/>
      <c r="V19" t="inlineStr"/>
      <c r="W19" t="inlineStr">
        <is>
          <t>FLAGGED ASSUMPTION: factorIndex 22, baseDamage 50 tenths% (5% level-1, the Final Damage component). HP-scaling passive — HP isn't tracked anywhere in this calculator, so modeled assuming permanently 100% HP (steady-state favorable assumption, same tier as Ice-Lightning-Mage's always-5-Frost-stacks convention). Wiki: 'Increases Final Damage by 5%. For every 10% of current HP increases Critical Damage by 2%' -&gt; at 100% HP, +20% Crit Damage, modeled as 4x this row's own F-value (preserving the level-1 5%FD:20%CD ratio across the same factor curve, a further simplification since no separate curve data exists for the Crit Damage component) — feeds a new Summary R_CRIT_DAMAGE_BONUS slot (mirrors Night Lord's own R_CRIT_DAMAGE_BONUS for Frailty Curse). Final Damage component feeds the Final Damage chain directly (like Element Amplification). Mastery Lv.134 '+1.5% Attack Speed per 10% HP' -&gt; flat +15% Attack Speed at 100% HP, modeled as a FLAT non-scaling addition (matches how masteries are typically flat elsewhere in this project, independent of this row's own F-value) once level&gt;=134, folded into the same always-on AS_BONUS slot MP_EATER_MP_BOOST feeds.</t>
        </is>
      </c>
    </row>
    <row r="20">
      <c r="A20" t="inlineStr">
        <is>
          <t>MAGIC_ACCELERATION</t>
        </is>
      </c>
      <c r="B20" t="inlineStr">
        <is>
          <t>Magic Acceleration</t>
        </is>
      </c>
      <c r="C20" t="n">
        <v>2</v>
      </c>
      <c r="D20" t="inlineStr"/>
      <c r="E20" t="b">
        <v>0</v>
      </c>
      <c r="F20" t="n">
        <v>1</v>
      </c>
      <c r="G20" t="n">
        <v>0</v>
      </c>
      <c r="H20" t="n">
        <v>0</v>
      </c>
      <c r="I20" t="n">
        <v>100</v>
      </c>
      <c r="J20" t="n">
        <v>1</v>
      </c>
      <c r="K20" t="n">
        <v>50</v>
      </c>
      <c r="L20" t="n">
        <v>22</v>
      </c>
      <c r="M20" t="b">
        <v>1</v>
      </c>
      <c r="N20" t="n">
        <v>0</v>
      </c>
      <c r="O20" t="n">
        <v>0</v>
      </c>
      <c r="P20" t="n">
        <v>0</v>
      </c>
      <c r="Q20" t="n">
        <v>1</v>
      </c>
      <c r="R20" t="inlineStr">
        <is>
          <t>ATTACK_SPEED</t>
        </is>
      </c>
      <c r="S20" t="n">
        <v>0</v>
      </c>
      <c r="T20" t="inlineStr"/>
      <c r="U20" t="inlineStr"/>
      <c r="V20" t="inlineStr"/>
      <c r="W20" t="inlineStr">
        <is>
          <t>Shared verbatim w/ FP-Mage/Ice-Lightning-Mage: Magic Critical pattern, already baked into Inputs!ATTACK_SPEED%; feeds the 2nd-Job Skill Level Bonus Sensitivity delta only.</t>
        </is>
      </c>
    </row>
    <row r="21">
      <c r="A21" t="inlineStr">
        <is>
          <t>SPELL_MASTERY</t>
        </is>
      </c>
      <c r="B21" t="inlineStr">
        <is>
          <t>Spell Mastery</t>
        </is>
      </c>
      <c r="C21" t="n">
        <v>2</v>
      </c>
      <c r="D21" t="inlineStr"/>
      <c r="E21" t="b">
        <v>0</v>
      </c>
      <c r="F21" t="n">
        <v>1</v>
      </c>
      <c r="G21" t="n">
        <v>0</v>
      </c>
      <c r="H21" t="n">
        <v>0</v>
      </c>
      <c r="I21" t="n">
        <v>100</v>
      </c>
      <c r="J21" t="n">
        <v>1</v>
      </c>
      <c r="K21" t="n">
        <v>150</v>
      </c>
      <c r="L21" t="n">
        <v>22</v>
      </c>
      <c r="M21" t="b">
        <v>1</v>
      </c>
      <c r="N21" t="n">
        <v>0</v>
      </c>
      <c r="O21" t="n">
        <v>0</v>
      </c>
      <c r="P21" t="n">
        <v>0</v>
      </c>
      <c r="Q21" t="n">
        <v>1</v>
      </c>
      <c r="R21" t="inlineStr">
        <is>
          <t>MIN_DAMAGE</t>
        </is>
      </c>
      <c r="S21" t="n">
        <v>0</v>
      </c>
      <c r="T21" t="inlineStr"/>
      <c r="U21" t="inlineStr"/>
      <c r="V21" t="inlineStr"/>
      <c r="W21" t="inlineStr">
        <is>
          <t>Shared verbatim w/ FP-Mage/Ice-Lightning-Mage: Magic Critical pattern, already baked into Inputs!MIN_DAMAGE%; feeds the 2nd-Job Skill Level Bonus delta.</t>
        </is>
      </c>
    </row>
    <row r="22">
      <c r="A22" t="inlineStr">
        <is>
          <t>HIGH_WISDOM</t>
        </is>
      </c>
      <c r="B22" t="inlineStr">
        <is>
          <t>High Wisdom</t>
        </is>
      </c>
      <c r="C22" t="n">
        <v>2</v>
      </c>
      <c r="D22" t="inlineStr"/>
      <c r="E22" t="b">
        <v>0</v>
      </c>
      <c r="F22" t="n">
        <v>1</v>
      </c>
      <c r="G22" t="n">
        <v>0</v>
      </c>
      <c r="H22" t="n">
        <v>0</v>
      </c>
      <c r="I22" t="n">
        <v>100</v>
      </c>
      <c r="J22" t="n">
        <v>1</v>
      </c>
      <c r="K22" t="n">
        <v>80</v>
      </c>
      <c r="L22" t="n">
        <v>22</v>
      </c>
      <c r="M22" t="b">
        <v>1</v>
      </c>
      <c r="N22" t="n">
        <v>0</v>
      </c>
      <c r="O22" t="n">
        <v>0</v>
      </c>
      <c r="P22" t="n">
        <v>0</v>
      </c>
      <c r="Q22" t="n">
        <v>1</v>
      </c>
      <c r="R22" t="inlineStr">
        <is>
          <t>CRIT_RATE</t>
        </is>
      </c>
      <c r="S22" t="n">
        <v>0</v>
      </c>
      <c r="T22" t="inlineStr"/>
      <c r="U22" t="inlineStr"/>
      <c r="V22" t="inlineStr"/>
      <c r="W22" t="inlineStr">
        <is>
          <t>Shared verbatim w/ Ice-Lightning-Mage: Magic Critical pattern, already baked into Inputs!CRIT_RATE% (jointly with Magic Critical (Crit Rate) below); feeds the 2nd-Job Skill Level Bonus delta.</t>
        </is>
      </c>
    </row>
    <row r="23">
      <c r="A23" t="inlineStr">
        <is>
          <t>MAGIC_CRITICAL_RATE</t>
        </is>
      </c>
      <c r="B23" t="inlineStr">
        <is>
          <t>Magic Critical (Crit Rate)</t>
        </is>
      </c>
      <c r="C23" t="n">
        <v>3</v>
      </c>
      <c r="D23" t="inlineStr"/>
      <c r="E23" t="b">
        <v>0</v>
      </c>
      <c r="F23" t="n">
        <v>1</v>
      </c>
      <c r="G23" t="n">
        <v>0</v>
      </c>
      <c r="H23" t="n">
        <v>0</v>
      </c>
      <c r="I23" t="n">
        <v>100</v>
      </c>
      <c r="J23" t="n">
        <v>1</v>
      </c>
      <c r="K23" t="n">
        <v>80</v>
      </c>
      <c r="L23" t="n">
        <v>22</v>
      </c>
      <c r="M23" t="b">
        <v>1</v>
      </c>
      <c r="N23" t="n">
        <v>0</v>
      </c>
      <c r="O23" t="n">
        <v>0</v>
      </c>
      <c r="P23" t="n">
        <v>0</v>
      </c>
      <c r="Q23" t="n">
        <v>1</v>
      </c>
      <c r="R23" t="inlineStr">
        <is>
          <t>CRIT_RATE</t>
        </is>
      </c>
      <c r="S23" t="n">
        <v>0</v>
      </c>
      <c r="T23" t="inlineStr"/>
      <c r="U23" t="inlineStr"/>
      <c r="V23" t="inlineStr"/>
      <c r="W23" t="inlineStr">
        <is>
          <t>Shared verbatim w/ FP-Mage/Ice-Lightning-Mage: Magic Critical pattern, already baked into Inputs!CRIT_RATE%; feeds the 3rd-Job Skill Level Bonus delta.</t>
        </is>
      </c>
    </row>
    <row r="24">
      <c r="A24" t="inlineStr">
        <is>
          <t>MAGIC_CRITICAL_DAMAGE</t>
        </is>
      </c>
      <c r="B24" t="inlineStr">
        <is>
          <t>Magic Critical (Crit Damage)</t>
        </is>
      </c>
      <c r="C24" t="n">
        <v>3</v>
      </c>
      <c r="D24" t="inlineStr"/>
      <c r="E24" t="b">
        <v>0</v>
      </c>
      <c r="F24" t="n">
        <v>1</v>
      </c>
      <c r="G24" t="n">
        <v>0</v>
      </c>
      <c r="H24" t="n">
        <v>0</v>
      </c>
      <c r="I24" t="n">
        <v>100</v>
      </c>
      <c r="J24" t="n">
        <v>1</v>
      </c>
      <c r="K24" t="n">
        <v>120</v>
      </c>
      <c r="L24" t="n">
        <v>22</v>
      </c>
      <c r="M24" t="b">
        <v>1</v>
      </c>
      <c r="N24" t="n">
        <v>0</v>
      </c>
      <c r="O24" t="n">
        <v>0</v>
      </c>
      <c r="P24" t="n">
        <v>0</v>
      </c>
      <c r="Q24" t="n">
        <v>1</v>
      </c>
      <c r="R24" t="inlineStr">
        <is>
          <t>CRIT_DAMAGE</t>
        </is>
      </c>
      <c r="S24" t="n">
        <v>0</v>
      </c>
      <c r="T24" t="inlineStr"/>
      <c r="U24" t="inlineStr"/>
      <c r="V24" t="inlineStr"/>
      <c r="W24" t="inlineStr">
        <is>
          <t>Shared verbatim w/ FP-Mage/Ice-Lightning-Mage: Magic Critical pattern, already baked into Inputs!CRIT_DAMAGE%; feeds the 3rd-Job Skill Level Bonus delta.</t>
        </is>
      </c>
    </row>
    <row r="25">
      <c r="A25" t="inlineStr">
        <is>
          <t>BUFF_MASTERY</t>
        </is>
      </c>
      <c r="B25" t="inlineStr">
        <is>
          <t>Buff Mastery</t>
        </is>
      </c>
      <c r="C25" t="n">
        <v>4</v>
      </c>
      <c r="D25" t="inlineStr"/>
      <c r="E25" t="b">
        <v>0</v>
      </c>
      <c r="F25" t="n">
        <v>1</v>
      </c>
      <c r="G25" t="n">
        <v>0</v>
      </c>
      <c r="H25" t="n">
        <v>0</v>
      </c>
      <c r="I25" t="n">
        <v>100</v>
      </c>
      <c r="J25" t="n">
        <v>1</v>
      </c>
      <c r="K25" t="n">
        <v>100</v>
      </c>
      <c r="L25" t="n">
        <v>22</v>
      </c>
      <c r="M25" t="b">
        <v>1</v>
      </c>
      <c r="N25" t="n">
        <v>0</v>
      </c>
      <c r="O25" t="n">
        <v>0</v>
      </c>
      <c r="P25" t="n">
        <v>0</v>
      </c>
      <c r="Q25" t="n">
        <v>1</v>
      </c>
      <c r="R25" t="inlineStr"/>
      <c r="S25" t="n">
        <v>0</v>
      </c>
      <c r="T25" t="inlineStr"/>
      <c r="U25" t="inlineStr"/>
      <c r="V25" t="inlineStr"/>
      <c r="W25" t="inlineStr">
        <is>
          <t>Shared verbatim w/ FP-Mage/Ice-Lightning-Mage: feeds bdi_with_buff_mastery_expr (Buff Duration Increase %) at unlock level 117 — not reflected in Inputs.</t>
        </is>
      </c>
    </row>
    <row r="26">
      <c r="A26" t="inlineStr">
        <is>
          <t>ARCANE_AIM</t>
        </is>
      </c>
      <c r="B26" t="inlineStr">
        <is>
          <t>Arcane Aim</t>
        </is>
      </c>
      <c r="C26" t="n">
        <v>4</v>
      </c>
      <c r="D26" t="inlineStr"/>
      <c r="E26" t="b">
        <v>0</v>
      </c>
      <c r="F26" t="n">
        <v>1</v>
      </c>
      <c r="G26" t="n">
        <v>0</v>
      </c>
      <c r="H26" t="n">
        <v>0</v>
      </c>
      <c r="I26" t="n">
        <v>100</v>
      </c>
      <c r="J26" t="n">
        <v>1</v>
      </c>
      <c r="K26" t="n">
        <v>30</v>
      </c>
      <c r="L26" t="n">
        <v>22</v>
      </c>
      <c r="M26" t="b">
        <v>1</v>
      </c>
      <c r="N26" t="n">
        <v>0</v>
      </c>
      <c r="O26" t="n">
        <v>0</v>
      </c>
      <c r="P26" t="n">
        <v>0</v>
      </c>
      <c r="Q26" t="n">
        <v>1</v>
      </c>
      <c r="R26" t="inlineStr"/>
      <c r="S26" t="n">
        <v>0</v>
      </c>
      <c r="T26" t="inlineStr"/>
      <c r="U26" t="inlineStr"/>
      <c r="V26" t="inlineStr"/>
      <c r="W26" t="inlineStr">
        <is>
          <t>Shared verbatim w/ FP-Mage/Ice-Lightning-Mage: 25% chance, +Final Damage% for 10s, stacks x5 — modeled always at max 5 stacks, combined multiplicatively as (1+Calc!F/100)^5.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40" customWidth="1" min="2" max="2"/>
    <col width="10" customWidth="1" min="3" max="3"/>
    <col width="12" customWidth="1" min="4" max="4"/>
    <col width="9" customWidth="1" min="5" max="5"/>
    <col width="15" customWidth="1" min="6" max="6"/>
    <col width="13" customWidth="1" min="7" max="7"/>
    <col width="14" customWidth="1" min="8" max="8"/>
    <col width="17" customWidth="1" min="9" max="9"/>
    <col width="13" customWidth="1" min="10" max="10"/>
    <col width="15" customWidth="1" min="11" max="11"/>
    <col width="12" customWidth="1" min="12" max="12"/>
    <col width="12" customWidth="1" min="13" max="13"/>
    <col width="17" customWidth="1" min="14" max="14"/>
    <col width="12" customWidth="1" min="15" max="15"/>
    <col width="10" customWidth="1" min="16" max="16"/>
  </cols>
  <sheetData>
    <row r="1">
      <c r="A1" s="8" t="inlineStr">
        <is>
          <t>Key</t>
        </is>
      </c>
      <c r="B1" s="8" t="inlineStr">
        <is>
          <t>Name</t>
        </is>
      </c>
      <c r="C1" s="8" t="inlineStr">
        <is>
          <t>Unlocked</t>
        </is>
      </c>
      <c r="D1" s="8" t="inlineStr">
        <is>
          <t>InputLevel</t>
        </is>
      </c>
      <c r="E1" s="8" t="inlineStr">
        <is>
          <t>Factor</t>
        </is>
      </c>
      <c r="F1" s="8" t="inlineStr">
        <is>
          <t>CoefficientPercent</t>
        </is>
      </c>
      <c r="G1" s="8" t="inlineStr">
        <is>
          <t>EffectiveHits</t>
        </is>
      </c>
      <c r="H1" s="8" t="inlineStr">
        <is>
          <t>ProcProbability</t>
        </is>
      </c>
      <c r="I1" s="8" t="inlineStr">
        <is>
          <t>MapleHeroMultiplier</t>
        </is>
      </c>
      <c r="J1" s="8" t="inlineStr">
        <is>
          <t>BaseDamage</t>
        </is>
      </c>
      <c r="K1" s="8" t="inlineStr">
        <is>
          <t>BaseHitDamage</t>
        </is>
      </c>
      <c r="L1" s="8" t="inlineStr">
        <is>
          <t>NonCritAvg</t>
        </is>
      </c>
      <c r="M1" s="8" t="inlineStr">
        <is>
          <t>CritAvg</t>
        </is>
      </c>
      <c r="N1" s="8" t="inlineStr">
        <is>
          <t>ExpectedDamage(perHit)</t>
        </is>
      </c>
      <c r="O1" s="8" t="inlineStr">
        <is>
          <t>DPS</t>
        </is>
      </c>
      <c r="P1" s="8" t="inlineStr">
        <is>
          <t>% of Total</t>
        </is>
      </c>
      <c r="Q1" t="inlineStr">
        <is>
          <t>InvCooldown</t>
        </is>
      </c>
      <c r="R1" t="inlineStr">
        <is>
          <t>CastsInFight</t>
        </is>
      </c>
      <c r="Z1" s="5" t="inlineStr">
        <is>
          <t>Maple Hero helper (unused — see Note on MAPLE_HERO_BISHOP row)</t>
        </is>
      </c>
    </row>
    <row r="2">
      <c r="A2">
        <f>Skills!A2</f>
        <v/>
      </c>
      <c r="B2">
        <f>Skills!B2</f>
        <v/>
      </c>
      <c r="C2">
        <f>Inputs!$B$3&gt;=100</f>
        <v/>
      </c>
      <c r="D2" t="inlineStr"/>
      <c r="E2" t="inlineStr"/>
      <c r="F2">
        <f>Summary!$B$47+Skills!N2</f>
        <v/>
      </c>
      <c r="G2">
        <f>Skills!F2*IF(Skills!G2&gt;0,Skills!H2/Skills!G2,1)</f>
        <v/>
      </c>
      <c r="H2">
        <f>1-(1-Skills!I2/100)^Skills!J2</f>
        <v/>
      </c>
      <c r="I2">
        <f>IF(Skills!T2&lt;&gt;"",1+(Skills!T2/10)*($Z$3/1000)/100,1)</f>
        <v/>
      </c>
      <c r="J2">
        <f>Summary!$B$43*(F2/100)</f>
        <v/>
      </c>
      <c r="K2">
        <f>J2*(1+Summary!$B$44/100)*(1+(Inputs!$B$14+Summary!$B$53)/100)*(1+IF(Inputs!$B$4="pvp",0,(1-Summary!$B$48)*(Inputs!$B$19+Skills!O2+Summary!$B$51)+Summary!$B$48*(Inputs!$B$20+Skills!P2+Summary!$B$52))/100)*(1+Inputs!$B$15/100)*(5000/(6000+Inputs!$B$7*(1-Inputs!$B$18/100)))*(1+Inputs!$B$23/100)*(1+IF(C17=TRUE,F17,0)/100)*(1+IF(C19=TRUE,F19,0)/100)*(1+IF(Skills!A2="TRIUMPH_FEATHER",IF(C15=TRUE,F15,0),0)/100)*(1+IF(C26=TRUE,F26,0)/100)^5*(1+(IF(Skills!A2="BIG_BANG",Inputs!$B$16,Inputs!$B$17))/100)*(Summary!$B$50*I2)</f>
        <v/>
      </c>
      <c r="L2">
        <f>K2*(MIN(Inputs!$B$21,Inputs!$B$22)/100+Inputs!$B$22/100)/2</f>
        <v/>
      </c>
      <c r="M2">
        <f>L2*(1+(Inputs!$B$9+Summary!$B$54)/100)</f>
        <v/>
      </c>
      <c r="N2">
        <f>L2*(1-MIN(Inputs!$B$8,100)/100)+M2*(MIN(Inputs!$B$8,100)/100)</f>
        <v/>
      </c>
      <c r="O2">
        <f>IF(C2,Skills!F2*N2*Summary!$B$58*IF(Inputs!$B$4="pvp",1,(1-Summary!$B$48)*(1)+Summary!$B$48*(MIN(Skills!Q2,Inputs!$B$37))),0)</f>
        <v/>
      </c>
      <c r="P2">
        <f>IF(Summary!$B$3=0,0,O2/Summary!$B$3)</f>
        <v/>
      </c>
      <c r="Q2">
        <f>IFERROR(1/IF(Inputs!$B$4="pvp",15,MAX(0.1,Skills!D2-IF(Skills!E2=TRUE,Inputs!$B$31,0))),0)</f>
        <v/>
      </c>
      <c r="R2" t="n">
        <v>0</v>
      </c>
      <c r="Z2">
        <f>MAX(0,(Inputs!$B$3-100)*3)+Inputs!$B$27+Inputs!$B$28</f>
        <v/>
      </c>
    </row>
    <row r="3">
      <c r="A3">
        <f>Skills!A3</f>
        <v/>
      </c>
      <c r="B3">
        <f>Skills!B3</f>
        <v/>
      </c>
      <c r="C3">
        <f>Inputs!$B$3&gt;=15</f>
        <v/>
      </c>
      <c r="D3">
        <f>IF(Skills!C3=1,60+Inputs!$B$24+Inputs!$B$28,IF(Skills!C3=2,90+Inputs!$B$25+Inputs!$B$28,IF(Skills!C3=3,120+Inputs!$B$26+Inputs!$B$28,MAX(0,(Inputs!$B$3-100)*3)+Inputs!$B$27+Inputs!$B$28)))</f>
        <v/>
      </c>
      <c r="E3">
        <f>INDEX(FactorTable!$B$2:$Y$301, MATCH(ROUND(MIN(300,MAX(1,D3)),0), FactorTable!$A$2:$A$301,0), Skills!L3+1)</f>
        <v/>
      </c>
      <c r="F3">
        <f>IF(Skills!M3=TRUE,(Skills!K3/10)*(E3/1000),Skills!K3/10)+Skills!N3</f>
        <v/>
      </c>
      <c r="G3">
        <f>Skills!F3*IF(Skills!G3&gt;0,Skills!H3/Skills!G3,1)</f>
        <v/>
      </c>
      <c r="H3">
        <f>1-(1-Skills!I3/100)^Skills!J3</f>
        <v/>
      </c>
      <c r="I3">
        <f>IF(Skills!T3&lt;&gt;"",1+(Skills!T3/10)*($Z$3/1000)/100,1)</f>
        <v/>
      </c>
      <c r="J3" t="inlineStr"/>
      <c r="K3" t="inlineStr"/>
      <c r="L3" t="inlineStr"/>
      <c r="M3" t="inlineStr"/>
      <c r="N3" t="inlineStr"/>
      <c r="O3" t="n">
        <v>0</v>
      </c>
      <c r="P3">
        <f>IF(Summary!$B$3=0,0,O3/Summary!$B$3)</f>
        <v/>
      </c>
      <c r="Q3">
        <f>IFERROR(1/IF(Inputs!$B$4="pvp",15,MAX(0.1,Skills!D3-IF(Skills!E3=TRUE,Inputs!$B$31,0))),0)</f>
        <v/>
      </c>
      <c r="R3">
        <f>IF(AND(Inputs!$B$4&lt;&gt;"pvp",Inputs!$B$35&gt;0),(INT(Inputs!$B$35/IF(Inputs!$B$4="pvp",15,MAX(0.1,Skills!D3-IF(Skills!E3=TRUE,Inputs!$B$31,0))))+1),0)</f>
        <v/>
      </c>
      <c r="Z3">
        <f>INDEX(FactorTable!$B$2:$Y$301, MATCH(ROUND(MIN(300,MAX(1,Z2)),0), FactorTable!$A$2:$A$301,0), 24)</f>
        <v/>
      </c>
    </row>
    <row r="4">
      <c r="A4">
        <f>Skills!A4</f>
        <v/>
      </c>
      <c r="B4">
        <f>Skills!B4</f>
        <v/>
      </c>
      <c r="C4">
        <f>Inputs!$B$3&gt;=38</f>
        <v/>
      </c>
      <c r="D4">
        <f>IF(Skills!C4=1,60+Inputs!$B$24+Inputs!$B$28,IF(Skills!C4=2,90+Inputs!$B$25+Inputs!$B$28,IF(Skills!C4=3,120+Inputs!$B$26+Inputs!$B$28,MAX(0,(Inputs!$B$3-100)*3)+Inputs!$B$27+Inputs!$B$28)))</f>
        <v/>
      </c>
      <c r="E4">
        <f>INDEX(FactorTable!$B$2:$Y$301, MATCH(ROUND(MIN(300,MAX(1,D4)),0), FactorTable!$A$2:$A$301,0), Skills!L4+1)</f>
        <v/>
      </c>
      <c r="F4">
        <f>IF(Skills!M4=TRUE,(Skills!K4/10)*(E4/1000),Skills!K4/10)+Skills!N4</f>
        <v/>
      </c>
      <c r="G4">
        <f>Skills!F4*IF(Skills!G4&gt;0,Skills!H4/Skills!G4,1)</f>
        <v/>
      </c>
      <c r="H4">
        <f>1-(1-Skills!I4/100)^Skills!J4</f>
        <v/>
      </c>
      <c r="I4">
        <f>IF(Skills!T4&lt;&gt;"",1+(Skills!T4/10)*($Z$3/1000)/100,1)</f>
        <v/>
      </c>
      <c r="J4" t="inlineStr"/>
      <c r="K4" t="inlineStr"/>
      <c r="L4" t="inlineStr"/>
      <c r="M4" t="inlineStr"/>
      <c r="N4" t="inlineStr"/>
      <c r="O4" t="n">
        <v>0</v>
      </c>
      <c r="P4">
        <f>IF(Summary!$B$3=0,0,O4/Summary!$B$3)</f>
        <v/>
      </c>
      <c r="Q4">
        <f>IFERROR(1/IF(Inputs!$B$4="pvp",15,MAX(0.1,Skills!D4-IF(Skills!E4=TRUE,Inputs!$B$31,0))),0)</f>
        <v/>
      </c>
      <c r="R4">
        <f>IF(AND(Inputs!$B$4&lt;&gt;"pvp",Inputs!$B$35&gt;0),(INT(Inputs!$B$35/IF(Inputs!$B$4="pvp",15,MAX(0.1,Skills!D4-IF(Skills!E4=TRUE,Inputs!$B$31,0))))+1),0)</f>
        <v/>
      </c>
    </row>
    <row r="5">
      <c r="A5">
        <f>Skills!A5</f>
        <v/>
      </c>
      <c r="B5">
        <f>Skills!B5</f>
        <v/>
      </c>
      <c r="C5">
        <f>Inputs!$B$3&gt;=40</f>
        <v/>
      </c>
      <c r="D5">
        <f>IF(Skills!C5=1,60+Inputs!$B$24+Inputs!$B$28,IF(Skills!C5=2,90+Inputs!$B$25+Inputs!$B$28,IF(Skills!C5=3,120+Inputs!$B$26+Inputs!$B$28,MAX(0,(Inputs!$B$3-100)*3)+Inputs!$B$27+Inputs!$B$28)))</f>
        <v/>
      </c>
      <c r="E5">
        <f>INDEX(FactorTable!$B$2:$Y$301, MATCH(ROUND(MIN(300,MAX(1,D5)),0), FactorTable!$A$2:$A$301,0), Skills!L5+1)</f>
        <v/>
      </c>
      <c r="F5">
        <f>IF(Skills!M5=TRUE,(Skills!K5/10)*(E5/1000),Skills!K5/10)+Skills!N5</f>
        <v/>
      </c>
      <c r="G5">
        <f>Skills!F5*IF(Skills!G5&gt;0,Skills!H5/Skills!G5,1)</f>
        <v/>
      </c>
      <c r="H5">
        <f>1-(1-Skills!I5/100)^Skills!J5</f>
        <v/>
      </c>
      <c r="I5">
        <f>IF(Skills!T5&lt;&gt;"",1+(Skills!T5/10)*($Z$3/1000)/100,1)</f>
        <v/>
      </c>
      <c r="J5" t="inlineStr"/>
      <c r="K5" t="inlineStr"/>
      <c r="L5" t="inlineStr"/>
      <c r="M5" t="inlineStr"/>
      <c r="N5" t="inlineStr"/>
      <c r="O5" t="n">
        <v>0</v>
      </c>
      <c r="P5">
        <f>IF(Summary!$B$3=0,0,O5/Summary!$B$3)</f>
        <v/>
      </c>
      <c r="Q5">
        <f>IFERROR(1/IF(Inputs!$B$4="pvp",15,MAX(0.1,Skills!D5-IF(Skills!E5=TRUE,Inputs!$B$31,0))),0)</f>
        <v/>
      </c>
      <c r="R5">
        <f>IF(AND(Inputs!$B$4&lt;&gt;"pvp",Inputs!$B$35&gt;0),(INT(Inputs!$B$35/IF(Inputs!$B$4="pvp",15,MAX(0.1,Skills!D5-IF(Skills!E5=TRUE,Inputs!$B$31,0))))+1),0)</f>
        <v/>
      </c>
    </row>
    <row r="6">
      <c r="A6">
        <f>Skills!A6</f>
        <v/>
      </c>
      <c r="B6">
        <f>Skills!B6</f>
        <v/>
      </c>
      <c r="C6">
        <f>Inputs!$B$3&gt;=103</f>
        <v/>
      </c>
      <c r="D6">
        <f>IF(Skills!C6=1,60+Inputs!$B$24+Inputs!$B$28,IF(Skills!C6=2,90+Inputs!$B$25+Inputs!$B$28,IF(Skills!C6=3,120+Inputs!$B$26+Inputs!$B$28,MAX(0,(Inputs!$B$3-100)*3)+Inputs!$B$27+Inputs!$B$28)))</f>
        <v/>
      </c>
      <c r="E6">
        <f>INDEX(FactorTable!$B$2:$Y$301, MATCH(ROUND(MIN(300,MAX(1,D6)),0), FactorTable!$A$2:$A$301,0), Skills!L6+1)</f>
        <v/>
      </c>
      <c r="F6">
        <f>IF(Skills!M6=TRUE,(Skills!K6/10)*(E6/1000),Skills!K6/10)+Skills!N6</f>
        <v/>
      </c>
      <c r="G6">
        <f>Skills!F6*IF(Skills!G6&gt;0,Skills!H6/Skills!G6,1)</f>
        <v/>
      </c>
      <c r="H6">
        <f>1-(1-Skills!I6/100)^Skills!J6</f>
        <v/>
      </c>
      <c r="I6">
        <f>IF(Skills!T6&lt;&gt;"",1+(Skills!T6/10)*($Z$3/1000)/100,1)</f>
        <v/>
      </c>
      <c r="J6">
        <f>Summary!$B$43*(F6/100)</f>
        <v/>
      </c>
      <c r="K6">
        <f>J6*(1+Summary!$B$44/100)*(1+(Inputs!$B$14+Summary!$B$53)/100)*(1+IF(Inputs!$B$4="pvp",0,(1-Summary!$B$48)*(Inputs!$B$19+Skills!O6+Summary!$B$51)+Summary!$B$48*(Inputs!$B$20+Skills!P6+Summary!$B$52))/100)*(1+Inputs!$B$15/100)*(5000/(6000+Inputs!$B$7*(1-Inputs!$B$18/100)))*(1+Inputs!$B$23/100)*(1+IF(C17=TRUE,F17,0)/100)*(1+IF(C19=TRUE,F19,0)/100)*(1+IF(Skills!A6="TRIUMPH_FEATHER",IF(C15=TRUE,F15,0),0)/100)*(1+IF(C26=TRUE,F26,0)/100)^5*(1+(IF(Skills!A6="BIG_BANG",Inputs!$B$16,Inputs!$B$17))/100)*(Summary!$B$50*I6)</f>
        <v/>
      </c>
      <c r="L6">
        <f>K6*(MIN(Inputs!$B$21,Inputs!$B$22)/100+Inputs!$B$22/100)/2</f>
        <v/>
      </c>
      <c r="M6">
        <f>L6*(1+(Inputs!$B$9+Summary!$B$54)/100)</f>
        <v/>
      </c>
      <c r="N6">
        <f>L6*(1-MIN(Inputs!$B$8,100)/100)+M6*(MIN(Inputs!$B$8,100)/100)</f>
        <v/>
      </c>
      <c r="O6">
        <f>IF(C6,H6*N6*IF(AND(Inputs!$B$4&lt;&gt;"pvp",Inputs!$B$35&gt;0),((Skills!F6*((R6-1)*IF(Skills!G6&gt;0,Skills!H6/Skills!G6,1)+IF(Skills!G6&gt;0,MIN(Skills!H6,MAX(0,Inputs!$B$35-((R6-1)*IF(Inputs!$B$4="pvp",15,MAX(0.1,Skills!D6-IF(Skills!E6=TRUE,Inputs!$B$31,0))))))/Skills!G6,1)))/Inputs!$B$35),G6*Q6)*IF(Inputs!$B$4="pvp",1,(1-Summary!$B$48)*(1)+Summary!$B$48*(MIN(Skills!Q6,Inputs!$B$37))),0)</f>
        <v/>
      </c>
      <c r="P6">
        <f>IF(Summary!$B$3=0,0,O6/Summary!$B$3)</f>
        <v/>
      </c>
      <c r="Q6">
        <f>IFERROR(1/IF(Inputs!$B$4="pvp",15,MAX(0.1,Skills!D6-IF(Skills!E6=TRUE,Inputs!$B$31,0))),0)</f>
        <v/>
      </c>
      <c r="R6">
        <f>IF(AND(Inputs!$B$4&lt;&gt;"pvp",Inputs!$B$35&gt;0),(INT(Inputs!$B$35/IF(Inputs!$B$4="pvp",15,MAX(0.1,Skills!D6-IF(Skills!E6=TRUE,Inputs!$B$31,0))))+1),0)</f>
        <v/>
      </c>
    </row>
    <row r="7">
      <c r="A7">
        <f>Skills!A7</f>
        <v/>
      </c>
      <c r="B7">
        <f>Skills!B7</f>
        <v/>
      </c>
      <c r="C7">
        <f>Inputs!$B$3&gt;=122</f>
        <v/>
      </c>
      <c r="D7">
        <f>IF(Skills!C7=1,60+Inputs!$B$24+Inputs!$B$28,IF(Skills!C7=2,90+Inputs!$B$25+Inputs!$B$28,IF(Skills!C7=3,120+Inputs!$B$26+Inputs!$B$28,MAX(0,(Inputs!$B$3-100)*3)+Inputs!$B$27+Inputs!$B$28)))</f>
        <v/>
      </c>
      <c r="E7">
        <f>INDEX(FactorTable!$B$2:$Y$301, MATCH(ROUND(MIN(300,MAX(1,D7)),0), FactorTable!$A$2:$A$301,0), Skills!L7+1)</f>
        <v/>
      </c>
      <c r="F7">
        <f>IF(Skills!M7=TRUE,(Skills!K7/10)*(E7/1000),Skills!K7/10)+Skills!N7</f>
        <v/>
      </c>
      <c r="G7">
        <f>Skills!F7*IF(Skills!G7&gt;0,Skills!H7/Skills!G7,1)</f>
        <v/>
      </c>
      <c r="H7">
        <f>1-(1-Skills!I7/100)^Skills!J7</f>
        <v/>
      </c>
      <c r="I7">
        <f>IF(Skills!T7&lt;&gt;"",1+(Skills!T7/10)*($Z$3/1000)/100,1)</f>
        <v/>
      </c>
      <c r="J7">
        <f>Summary!$B$43*(F7/100)</f>
        <v/>
      </c>
      <c r="K7">
        <f>J7*(1+Summary!$B$44/100)*(1+(Inputs!$B$14+Summary!$B$53)/100)*(1+IF(Inputs!$B$4="pvp",0,(1-Summary!$B$48)*(Inputs!$B$19+Skills!O7+Summary!$B$51)+Summary!$B$48*(Inputs!$B$20+Skills!P7+Summary!$B$52))/100)*(1+Inputs!$B$15/100)*(5000/(6000+Inputs!$B$7*(1-Inputs!$B$18/100)))*(1+Inputs!$B$23/100)*(1+IF(C17=TRUE,F17,0)/100)*(1+IF(C19=TRUE,F19,0)/100)*(1+IF(Skills!A7="TRIUMPH_FEATHER",IF(C15=TRUE,F15,0),0)/100)*(1+IF(C26=TRUE,F26,0)/100)^5*(1+(IF(Skills!A7="BIG_BANG",Inputs!$B$16,Inputs!$B$17))/100)*(Summary!$B$50*I7)</f>
        <v/>
      </c>
      <c r="L7">
        <f>K7*(MIN(Inputs!$B$21,Inputs!$B$22)/100+Inputs!$B$22/100)/2</f>
        <v/>
      </c>
      <c r="M7">
        <f>L7*(1+(Inputs!$B$9+Summary!$B$54)/100)</f>
        <v/>
      </c>
      <c r="N7">
        <f>L7*(1-MIN(Inputs!$B$8,100)/100)+M7*(MIN(Inputs!$B$8,100)/100)</f>
        <v/>
      </c>
      <c r="O7">
        <f>IF(C7,H7*N7*IF(AND(Inputs!$B$4&lt;&gt;"pvp",Inputs!$B$35&gt;0),((Skills!F7*((R7-1)*IF(Skills!G7&gt;0,Skills!H7/Skills!G7,1)+IF(Skills!G7&gt;0,MIN(Skills!H7,MAX(0,Inputs!$B$35-((R7-1)*IF(Inputs!$B$4="pvp",15,MAX(0.1,Skills!D7-IF(Skills!E6=TRUE,Inputs!$B$31,0))))))/Skills!G7,1)))/Inputs!$B$35),G7*Q7)*(1-Summary!$B$48),0)</f>
        <v/>
      </c>
      <c r="P7">
        <f>IF(Summary!$B$3=0,0,O7/Summary!$B$3)</f>
        <v/>
      </c>
      <c r="Q7">
        <f>IFERROR(1/IF(Inputs!$B$4="pvp",15,MAX(0.1,Skills!D7-IF(Skills!E6=TRUE,Inputs!$B$31,0))),0)</f>
        <v/>
      </c>
      <c r="R7">
        <f>IF(AND(Inputs!$B$4&lt;&gt;"pvp",Inputs!$B$35&gt;0),(INT(Inputs!$B$35/IF(Inputs!$B$4="pvp",15,MAX(0.1,Skills!D7-IF(Skills!E6=TRUE,Inputs!$B$31,0))))+1),0)</f>
        <v/>
      </c>
    </row>
    <row r="8">
      <c r="A8">
        <f>Skills!A8</f>
        <v/>
      </c>
      <c r="B8">
        <f>Skills!B8</f>
        <v/>
      </c>
      <c r="C8">
        <f>Inputs!$B$3&gt;=105</f>
        <v/>
      </c>
      <c r="D8">
        <f>IF(Skills!C8=1,60+Inputs!$B$24+Inputs!$B$28,IF(Skills!C8=2,90+Inputs!$B$25+Inputs!$B$28,IF(Skills!C8=3,120+Inputs!$B$26+Inputs!$B$28,MAX(0,(Inputs!$B$3-100)*3)+Inputs!$B$27+Inputs!$B$28)))</f>
        <v/>
      </c>
      <c r="E8">
        <f>INDEX(FactorTable!$B$2:$Y$301, MATCH(ROUND(MIN(300,MAX(1,D8)),0), FactorTable!$A$2:$A$301,0), Skills!L8+1)</f>
        <v/>
      </c>
      <c r="F8">
        <f>IF(Skills!M8=TRUE,(Skills!K8/10)*(E8/1000),Skills!K8/10)+Skills!N8</f>
        <v/>
      </c>
      <c r="G8">
        <f>Skills!F8*IF(Skills!G8&gt;0,Skills!H8/Skills!G8,1)</f>
        <v/>
      </c>
      <c r="H8">
        <f>1-(1-Skills!I8/100)^Skills!J8</f>
        <v/>
      </c>
      <c r="I8">
        <f>IF(Skills!T8&lt;&gt;"",1+(Skills!T8/10)*($Z$3/1000)/100,1)</f>
        <v/>
      </c>
      <c r="J8">
        <f>Summary!$B$43*(F8/100)</f>
        <v/>
      </c>
      <c r="K8">
        <f>J8*(1+Summary!$B$44/100)*(1+(Inputs!$B$14+Summary!$B$53)/100)*(1+IF(Inputs!$B$4="pvp",0,(1-Summary!$B$48)*(Inputs!$B$19+Skills!O8+Summary!$B$51)+Summary!$B$48*(Inputs!$B$20+Skills!P8+Summary!$B$52))/100)*(1+Inputs!$B$15/100)*(5000/(6000+Inputs!$B$7*(1-Inputs!$B$18/100)))*(1+Inputs!$B$23/100)*(1+IF(C17=TRUE,F17,0)/100)*(1+IF(C19=TRUE,F19,0)/100)*(1+IF(Skills!A8="TRIUMPH_FEATHER",IF(C15=TRUE,F15,0),0)/100)*(1+IF(C26=TRUE,F26,0)/100)^5*(1+(IF(Skills!A8="BIG_BANG",Inputs!$B$16,Inputs!$B$17))/100)*(Summary!$B$50*I8)</f>
        <v/>
      </c>
      <c r="L8">
        <f>K8*(MIN(Inputs!$B$21,Inputs!$B$22)/100+Inputs!$B$22/100)/2</f>
        <v/>
      </c>
      <c r="M8">
        <f>L8*(1+(Inputs!$B$9+Summary!$B$54)/100)</f>
        <v/>
      </c>
      <c r="N8">
        <f>L8*(1-MIN(Inputs!$B$8,100)/100)+M8*(MIN(Inputs!$B$8,100)/100)</f>
        <v/>
      </c>
      <c r="O8">
        <f>IF(C8,H8*N8*IF(AND(Inputs!$B$4&lt;&gt;"pvp",Inputs!$B$35&gt;0),((Skills!F8*((R8-1)*IF(Skills!G8&gt;0,Skills!H8/Skills!G8,1)+IF(Skills!G8&gt;0,MIN(Skills!H8,MAX(0,Inputs!$B$35-((R8-1)*IF(Inputs!$B$4="pvp",15,MAX(0.1,Skills!D8-IF(Skills!E8=TRUE,Inputs!$B$31,0))))))/Skills!G8,1)))/Inputs!$B$35),G8*Q8)*IF(Inputs!$B$4="pvp",1,(1-Summary!$B$48)*(1)+Summary!$B$48*(MIN(Skills!Q8,Inputs!$B$37))),0)</f>
        <v/>
      </c>
      <c r="P8">
        <f>IF(Summary!$B$3=0,0,O8/Summary!$B$3)</f>
        <v/>
      </c>
      <c r="Q8">
        <f>IFERROR(1/IF(Inputs!$B$4="pvp",15,MAX(0.1,Skills!D8-IF(Skills!E8=TRUE,Inputs!$B$31,0))),0)</f>
        <v/>
      </c>
      <c r="R8">
        <f>IF(AND(Inputs!$B$4&lt;&gt;"pvp",Inputs!$B$35&gt;0),(INT(Inputs!$B$35/IF(Inputs!$B$4="pvp",15,MAX(0.1,Skills!D8-IF(Skills!E8=TRUE,Inputs!$B$31,0))))+1),0)</f>
        <v/>
      </c>
    </row>
    <row r="9">
      <c r="A9">
        <f>Skills!A9</f>
        <v/>
      </c>
      <c r="B9">
        <f>Skills!B9</f>
        <v/>
      </c>
      <c r="C9">
        <f>Inputs!$B$3&gt;=115</f>
        <v/>
      </c>
      <c r="D9">
        <f>IF(Skills!C9=1,60+Inputs!$B$24+Inputs!$B$28,IF(Skills!C9=2,90+Inputs!$B$25+Inputs!$B$28,IF(Skills!C9=3,120+Inputs!$B$26+Inputs!$B$28,MAX(0,(Inputs!$B$3-100)*3)+Inputs!$B$27+Inputs!$B$28)))</f>
        <v/>
      </c>
      <c r="E9">
        <f>INDEX(FactorTable!$B$2:$Y$301, MATCH(ROUND(MIN(300,MAX(1,D9)),0), FactorTable!$A$2:$A$301,0), Skills!L9+1)</f>
        <v/>
      </c>
      <c r="F9">
        <f>IF(Skills!M9=TRUE,(Skills!K9/10)*(E9/1000),Skills!K9/10)+Skills!N9</f>
        <v/>
      </c>
      <c r="G9">
        <f>Skills!F9*IF(Skills!G9&gt;0,Skills!H9/Skills!G9,1)</f>
        <v/>
      </c>
      <c r="H9">
        <f>1-(1-Skills!I9/100)^Skills!J9</f>
        <v/>
      </c>
      <c r="I9">
        <f>IF(Skills!T9&lt;&gt;"",1+(Skills!T9/10)*($Z$3/1000)/100,1)</f>
        <v/>
      </c>
      <c r="J9">
        <f>Summary!$B$43*(F9/100)</f>
        <v/>
      </c>
      <c r="K9">
        <f>J9*(1+Summary!$B$44/100)*(1+(Inputs!$B$14+Summary!$B$53)/100)*(1+IF(Inputs!$B$4="pvp",0,(1-Summary!$B$48)*(Inputs!$B$19+Skills!O9+Summary!$B$51)+Summary!$B$48*(Inputs!$B$20+Skills!P9+Summary!$B$52))/100)*(1+Inputs!$B$15/100)*(5000/(6000+Inputs!$B$7*(1-Inputs!$B$18/100)))*(1+Inputs!$B$23/100)*(1+IF(C17=TRUE,F17,0)/100)*(1+IF(C19=TRUE,F19,0)/100)*(1+IF(Skills!A9="TRIUMPH_FEATHER",IF(C15=TRUE,F15,0),0)/100)*(1+IF(C26=TRUE,F26,0)/100)^5*(1+(IF(Skills!A9="BIG_BANG",Inputs!$B$16,Inputs!$B$17))/100)*(Summary!$B$50*I9)</f>
        <v/>
      </c>
      <c r="L9">
        <f>K9*(MIN(Inputs!$B$21,Inputs!$B$22)/100+Inputs!$B$22/100)/2</f>
        <v/>
      </c>
      <c r="M9">
        <f>L9*(1+(Inputs!$B$9+Summary!$B$54)/100)</f>
        <v/>
      </c>
      <c r="N9">
        <f>L9*(1-MIN(Inputs!$B$8,100)/100)+M9*(MIN(Inputs!$B$8,100)/100)</f>
        <v/>
      </c>
      <c r="O9">
        <f>IF(C9,H9*N9*IF(AND(Inputs!$B$4&lt;&gt;"pvp",Inputs!$B$35&gt;0),((Skills!F9*((R9-1)*IF(Skills!G9&gt;0,Skills!H9/Skills!G9,1)+IF(Skills!G9&gt;0,MIN(Skills!H9,MAX(0,Inputs!$B$35-((R9-1)*IF(Inputs!$B$4="pvp",15,MAX(0.1,Skills!D9-IF(Skills!E9=TRUE,Inputs!$B$31,0))))))/Skills!G9,1)))/Inputs!$B$35),G9*Q9)*IF(Inputs!$B$4="pvp",1,(1-Summary!$B$48)*(1)+Summary!$B$48*(MIN(Skills!Q9,Inputs!$B$37))),0)</f>
        <v/>
      </c>
      <c r="P9">
        <f>IF(Summary!$B$3=0,0,O9/Summary!$B$3)</f>
        <v/>
      </c>
      <c r="Q9">
        <f>IFERROR(1/IF(Inputs!$B$4="pvp",15,MAX(0.1,Skills!D9-IF(Skills!E9=TRUE,Inputs!$B$31,0))),0)</f>
        <v/>
      </c>
      <c r="R9">
        <f>IF(AND(Inputs!$B$4&lt;&gt;"pvp",Inputs!$B$35&gt;0),(INT(Inputs!$B$35/IF(Inputs!$B$4="pvp",15,MAX(0.1,Skills!D9-IF(Skills!E9=TRUE,Inputs!$B$31,0))))+1),0)</f>
        <v/>
      </c>
    </row>
    <row r="10">
      <c r="A10">
        <f>Skills!A10</f>
        <v/>
      </c>
      <c r="B10">
        <f>Skills!B10</f>
        <v/>
      </c>
      <c r="C10">
        <f>Inputs!$B$3&gt;=66</f>
        <v/>
      </c>
      <c r="D10">
        <f>IF(Skills!C10=1,60+Inputs!$B$24+Inputs!$B$28,IF(Skills!C10=2,90+Inputs!$B$25+Inputs!$B$28,IF(Skills!C10=3,120+Inputs!$B$26+Inputs!$B$28,MAX(0,(Inputs!$B$3-100)*3)+Inputs!$B$27+Inputs!$B$28)))</f>
        <v/>
      </c>
      <c r="E10">
        <f>INDEX(FactorTable!$B$2:$Y$301, MATCH(ROUND(MIN(300,MAX(1,D10)),0), FactorTable!$A$2:$A$301,0), Skills!L10+1)</f>
        <v/>
      </c>
      <c r="F10" t="n">
        <v>0</v>
      </c>
      <c r="G10">
        <f>Skills!F10*IF(Skills!G10&gt;0,Skills!H10/Skills!G10,1)</f>
        <v/>
      </c>
      <c r="H10">
        <f>1-(1-Skills!I10/100)^Skills!J10</f>
        <v/>
      </c>
      <c r="I10">
        <f>IF(Skills!T10&lt;&gt;"",1+(Skills!T10/10)*($Z$3/1000)/100,1)</f>
        <v/>
      </c>
      <c r="J10" t="inlineStr"/>
      <c r="K10" t="inlineStr"/>
      <c r="L10" t="inlineStr"/>
      <c r="M10" t="inlineStr"/>
      <c r="N10" t="inlineStr"/>
      <c r="O10" t="n">
        <v>0</v>
      </c>
      <c r="P10">
        <f>IF(Summary!$B$3=0,0,O10/Summary!$B$3)</f>
        <v/>
      </c>
      <c r="Q10">
        <f>IFERROR(1/IF(Inputs!$B$4="pvp",15,MAX(0.1,Skills!D10-IF(Skills!E10=TRUE,Inputs!$B$31,0))),0)</f>
        <v/>
      </c>
      <c r="R10">
        <f>IF(AND(Inputs!$B$4&lt;&gt;"pvp",Inputs!$B$35&gt;0),(INT(Inputs!$B$35/IF(Inputs!$B$4="pvp",15,MAX(0.1,Skills!D10-IF(Skills!E10=TRUE,Inputs!$B$31,0))))+1),0)</f>
        <v/>
      </c>
    </row>
    <row r="11">
      <c r="A11">
        <f>Skills!A11</f>
        <v/>
      </c>
      <c r="B11">
        <f>Skills!B11</f>
        <v/>
      </c>
      <c r="C11">
        <f>Inputs!$B$3&gt;=69</f>
        <v/>
      </c>
      <c r="D11">
        <f>IF(Skills!C11=1,60+Inputs!$B$24+Inputs!$B$28,IF(Skills!C11=2,90+Inputs!$B$25+Inputs!$B$28,IF(Skills!C11=3,120+Inputs!$B$26+Inputs!$B$28,MAX(0,(Inputs!$B$3-100)*3)+Inputs!$B$27+Inputs!$B$28)))</f>
        <v/>
      </c>
      <c r="E11">
        <f>INDEX(FactorTable!$B$2:$Y$301, MATCH(ROUND(MIN(300,MAX(1,D11)),0), FactorTable!$A$2:$A$301,0), Skills!L11+1)</f>
        <v/>
      </c>
      <c r="F11">
        <f>IF(Skills!M11=TRUE,(Skills!K11/10)*(E11/1000),Skills!K11/10)+Skills!N11</f>
        <v/>
      </c>
      <c r="G11">
        <f>Skills!F11*IF(Skills!G11&gt;0,Skills!H11/Skills!G11,1)</f>
        <v/>
      </c>
      <c r="H11">
        <f>1-(1-Skills!I11/100)^Skills!J11</f>
        <v/>
      </c>
      <c r="I11">
        <f>IF(Skills!T11&lt;&gt;"",1+(Skills!T11/10)*($Z$3/1000)/100,1)</f>
        <v/>
      </c>
      <c r="J11" t="inlineStr"/>
      <c r="K11" t="inlineStr"/>
      <c r="L11" t="inlineStr"/>
      <c r="M11" t="inlineStr"/>
      <c r="N11" t="inlineStr"/>
      <c r="O11" t="n">
        <v>0</v>
      </c>
      <c r="P11">
        <f>IF(Summary!$B$3=0,0,O11/Summary!$B$3)</f>
        <v/>
      </c>
      <c r="Q11">
        <f>IFERROR(1/IF(Inputs!$B$4="pvp",15,MAX(0.1,Skills!D11-IF(Skills!E11=TRUE,Inputs!$B$31,0))),0)</f>
        <v/>
      </c>
      <c r="R11">
        <f>IF(AND(Inputs!$B$4&lt;&gt;"pvp",Inputs!$B$35&gt;0),(INT(Inputs!$B$35/IF(Inputs!$B$4="pvp",15,MAX(0.1,Skills!D11-IF(Skills!E11=TRUE,Inputs!$B$31,0))))+1),0)</f>
        <v/>
      </c>
    </row>
    <row r="12">
      <c r="A12">
        <f>Skills!A12</f>
        <v/>
      </c>
      <c r="B12">
        <f>Skills!B12</f>
        <v/>
      </c>
      <c r="C12">
        <f>Inputs!$B$3&gt;=72</f>
        <v/>
      </c>
      <c r="D12">
        <f>IF(Skills!C12=1,60+Inputs!$B$24+Inputs!$B$28,IF(Skills!C12=2,90+Inputs!$B$25+Inputs!$B$28,IF(Skills!C12=3,120+Inputs!$B$26+Inputs!$B$28,MAX(0,(Inputs!$B$3-100)*3)+Inputs!$B$27+Inputs!$B$28)))</f>
        <v/>
      </c>
      <c r="E12">
        <f>INDEX(FactorTable!$B$2:$Y$301, MATCH(ROUND(MIN(300,MAX(1,D12)),0), FactorTable!$A$2:$A$301,0), Skills!L12+1)</f>
        <v/>
      </c>
      <c r="F12">
        <f>IF(Skills!M12=TRUE,(Skills!K12/10)*(E12/1000),Skills!K12/10)+Skills!N12</f>
        <v/>
      </c>
      <c r="G12">
        <f>Skills!F12*IF(Skills!G12&gt;0,Skills!H12/Skills!G12,1)</f>
        <v/>
      </c>
      <c r="H12">
        <f>1-(1-Skills!I12/100)^Skills!J12</f>
        <v/>
      </c>
      <c r="I12">
        <f>IF(Skills!T12&lt;&gt;"",1+(Skills!T12/10)*($Z$3/1000)/100,1)</f>
        <v/>
      </c>
      <c r="J12" t="inlineStr"/>
      <c r="K12" t="inlineStr"/>
      <c r="L12" t="inlineStr"/>
      <c r="M12" t="inlineStr"/>
      <c r="N12" t="inlineStr"/>
      <c r="O12" t="n">
        <v>0</v>
      </c>
      <c r="P12">
        <f>IF(Summary!$B$3=0,0,O12/Summary!$B$3)</f>
        <v/>
      </c>
      <c r="Q12">
        <f>IFERROR(1/IF(Inputs!$B$4="pvp",15,MAX(0.1,Skills!D12-IF(Skills!E12=TRUE,Inputs!$B$31,0))),0)</f>
        <v/>
      </c>
      <c r="R12">
        <f>IF(AND(Inputs!$B$4&lt;&gt;"pvp",Inputs!$B$35&gt;0),(INT(Inputs!$B$35/IF(Inputs!$B$4="pvp",15,MAX(0.1,Skills!D12-IF(Skills!E12=TRUE,Inputs!$B$31,0))))+1),0)</f>
        <v/>
      </c>
    </row>
    <row r="13">
      <c r="A13">
        <f>Skills!A13</f>
        <v/>
      </c>
      <c r="B13">
        <f>Skills!B13</f>
        <v/>
      </c>
      <c r="C13">
        <f>Inputs!$B$3&gt;=107</f>
        <v/>
      </c>
      <c r="D13">
        <f>IF(Skills!C13=1,60+Inputs!$B$24+Inputs!$B$28,IF(Skills!C13=2,90+Inputs!$B$25+Inputs!$B$28,IF(Skills!C13=3,120+Inputs!$B$26+Inputs!$B$28,MAX(0,(Inputs!$B$3-100)*3)+Inputs!$B$27+Inputs!$B$28)))</f>
        <v/>
      </c>
      <c r="E13">
        <f>INDEX(FactorTable!$B$2:$Y$301, MATCH(ROUND(MIN(300,MAX(1,D13)),0), FactorTable!$A$2:$A$301,0), Skills!L13+1)</f>
        <v/>
      </c>
      <c r="F13">
        <f>IF(Skills!M13=TRUE,(Skills!K13/10)*(E13/1000),Skills!K13/10)+Skills!N13</f>
        <v/>
      </c>
      <c r="G13">
        <f>Skills!F13*IF(Skills!G13&gt;0,Skills!H13/Skills!G13,1)</f>
        <v/>
      </c>
      <c r="H13">
        <f>1-(1-Skills!I13/100)^Skills!J13</f>
        <v/>
      </c>
      <c r="I13">
        <f>IF(Skills!T13&lt;&gt;"",1+(Skills!T13/10)*($Z$3/1000)/100,1)</f>
        <v/>
      </c>
      <c r="J13" t="inlineStr"/>
      <c r="K13" t="inlineStr"/>
      <c r="L13" t="inlineStr"/>
      <c r="M13" t="inlineStr"/>
      <c r="N13" t="inlineStr"/>
      <c r="O13" t="n">
        <v>0</v>
      </c>
      <c r="P13">
        <f>IF(Summary!$B$3=0,0,O13/Summary!$B$3)</f>
        <v/>
      </c>
      <c r="Q13">
        <f>IFERROR(1/IF(Inputs!$B$4="pvp",15,MAX(0.1,Skills!D13-IF(Skills!E13=TRUE,Inputs!$B$31,0))),0)</f>
        <v/>
      </c>
      <c r="R13">
        <f>IF(AND(Inputs!$B$4&lt;&gt;"pvp",Inputs!$B$35&gt;0),(INT(Inputs!$B$35/IF(Inputs!$B$4="pvp",15,MAX(0.1,Skills!D13-IF(Skills!E13=TRUE,Inputs!$B$31,0))))+1),0)</f>
        <v/>
      </c>
    </row>
    <row r="14">
      <c r="A14">
        <f>Skills!A14</f>
        <v/>
      </c>
      <c r="B14">
        <f>Skills!B14</f>
        <v/>
      </c>
      <c r="C14">
        <f>Inputs!$B$3&gt;=63</f>
        <v/>
      </c>
      <c r="D14">
        <f>IF(Skills!C14=1,60+Inputs!$B$24+Inputs!$B$28,IF(Skills!C14=2,90+Inputs!$B$25+Inputs!$B$28,IF(Skills!C14=3,120+Inputs!$B$26+Inputs!$B$28,MAX(0,(Inputs!$B$3-100)*3)+Inputs!$B$27+Inputs!$B$28)))</f>
        <v/>
      </c>
      <c r="E14">
        <f>INDEX(FactorTable!$B$2:$Y$301, MATCH(ROUND(MIN(300,MAX(1,D14)),0), FactorTable!$A$2:$A$301,0), Skills!L14+1)</f>
        <v/>
      </c>
      <c r="F14">
        <f>IF(Skills!M14=TRUE,(Skills!K14/10)*(E14/1000),Skills!K14/10)+Skills!N14</f>
        <v/>
      </c>
      <c r="G14">
        <f>Skills!F14*IF(Skills!G14&gt;0,Skills!H14/Skills!G14,1)</f>
        <v/>
      </c>
      <c r="H14">
        <f>1-(1-Skills!I14/100)^Skills!J14</f>
        <v/>
      </c>
      <c r="I14">
        <f>IF(Skills!T14&lt;&gt;"",1+(Skills!T14/10)*($Z$3/1000)/100,1)</f>
        <v/>
      </c>
      <c r="J14">
        <f>Summary!$B$43*(F14/100)</f>
        <v/>
      </c>
      <c r="K14">
        <f>J14*(1+Summary!$B$44/100)*(1+(Inputs!$B$14+Summary!$B$53)/100)*(1+IF(Inputs!$B$4="pvp",0,(1-Summary!$B$48)*(Inputs!$B$19+Skills!O14+Summary!$B$51)+Summary!$B$48*(Inputs!$B$20+Skills!P14+Summary!$B$52))/100)*(1+Inputs!$B$15/100)*(5000/(6000+Inputs!$B$7*(1-Inputs!$B$18/100)))*(1+Inputs!$B$23/100)*(1+IF(C17=TRUE,F17,0)/100)*(1+IF(C19=TRUE,F19,0)/100)*(1+IF(Skills!A14="TRIUMPH_FEATHER",IF(C15=TRUE,F15,0),0)/100)*(1+IF(C26=TRUE,F26,0)/100)^5*(1+(IF(Skills!A14="BIG_BANG",Inputs!$B$16,Inputs!$B$17))/100)*(Summary!$B$50*I14)</f>
        <v/>
      </c>
      <c r="L14">
        <f>K14*(MIN(Inputs!$B$21,Inputs!$B$22)/100+Inputs!$B$22/100)/2</f>
        <v/>
      </c>
      <c r="M14">
        <f>L14*(1+(Inputs!$B$9+Summary!$B$54)/100)</f>
        <v/>
      </c>
      <c r="N14">
        <f>L14*(1-MIN(Inputs!$B$8,100)/100)+M14*(MIN(Inputs!$B$8,100)/100)</f>
        <v/>
      </c>
      <c r="O14">
        <f>IF(C14,Skills!F14*N14*((IF(Inputs!$B$3&gt;=78,25,15)/100*Summary!$B$56*10)/(1+IF(Inputs!$B$3&gt;=78,25,15)/100*Summary!$B$56*10))*(Skills!I14/100*Summary!$B$56)/(1+Skills!G14*Skills!I14/100*Summary!$B$56)*IF(Inputs!$B$4="pvp",1,(1-Summary!$B$48)*(1)+Summary!$B$48*(MIN(Skills!Q14,Inputs!$B$37))),0)</f>
        <v/>
      </c>
      <c r="P14">
        <f>IF(Summary!$B$3=0,0,O14/Summary!$B$3)</f>
        <v/>
      </c>
      <c r="Q14">
        <f>IFERROR(1/IF(Inputs!$B$4="pvp",15,MAX(0.1,Skills!D14-IF(Skills!E14=TRUE,Inputs!$B$31,0))),0)</f>
        <v/>
      </c>
      <c r="R14" t="n">
        <v>0</v>
      </c>
    </row>
    <row r="15">
      <c r="A15">
        <f>Skills!A15</f>
        <v/>
      </c>
      <c r="B15">
        <f>Skills!B15</f>
        <v/>
      </c>
      <c r="C15">
        <f>Inputs!$B$3&gt;=100</f>
        <v/>
      </c>
      <c r="D15">
        <f>IF(Skills!C15=1,60+Inputs!$B$24+Inputs!$B$28,IF(Skills!C15=2,90+Inputs!$B$25+Inputs!$B$28,IF(Skills!C15=3,120+Inputs!$B$26+Inputs!$B$28,MAX(0,(Inputs!$B$3-100)*3)+Inputs!$B$27+Inputs!$B$28)))</f>
        <v/>
      </c>
      <c r="E15">
        <f>INDEX(FactorTable!$B$2:$Y$301, MATCH(ROUND(MIN(300,MAX(1,D15)),0), FactorTable!$A$2:$A$301,0), Skills!L15+1)</f>
        <v/>
      </c>
      <c r="F15">
        <f>IF(Skills!M15=TRUE,(Skills!K15/10)*(E15/1000),Skills!K15/10)+Skills!N15</f>
        <v/>
      </c>
      <c r="G15">
        <f>Skills!F15*IF(Skills!G15&gt;0,Skills!H15/Skills!G15,1)</f>
        <v/>
      </c>
      <c r="H15">
        <f>1-(1-Skills!I15/100)^Skills!J15</f>
        <v/>
      </c>
      <c r="I15">
        <f>IF(Skills!T15&lt;&gt;"",1+(Skills!T15/10)*($Z$3/1000)/100,1)</f>
        <v/>
      </c>
      <c r="J15" t="inlineStr"/>
      <c r="K15" t="inlineStr"/>
      <c r="L15" t="inlineStr"/>
      <c r="M15" t="inlineStr"/>
      <c r="N15" t="inlineStr"/>
      <c r="O15" t="n">
        <v>0</v>
      </c>
      <c r="P15">
        <f>IF(Summary!$B$3=0,0,O15/Summary!$B$3)</f>
        <v/>
      </c>
      <c r="Q15">
        <f>IFERROR(1/IF(Inputs!$B$4="pvp",15,MAX(0.1,Skills!D15-IF(Skills!E15=TRUE,Inputs!$B$31,0))),0)</f>
        <v/>
      </c>
      <c r="R15" t="n">
        <v>0</v>
      </c>
    </row>
    <row r="16">
      <c r="A16">
        <f>Skills!A16</f>
        <v/>
      </c>
      <c r="B16">
        <f>Skills!B16</f>
        <v/>
      </c>
      <c r="C16">
        <f>Inputs!$B$3&gt;=49</f>
        <v/>
      </c>
      <c r="D16">
        <f>IF(Skills!C16=1,60+Inputs!$B$24+Inputs!$B$28,IF(Skills!C16=2,90+Inputs!$B$25+Inputs!$B$28,IF(Skills!C16=3,120+Inputs!$B$26+Inputs!$B$28,MAX(0,(Inputs!$B$3-100)*3)+Inputs!$B$27+Inputs!$B$28)))</f>
        <v/>
      </c>
      <c r="E16">
        <f>INDEX(FactorTable!$B$2:$Y$301, MATCH(ROUND(MIN(300,MAX(1,D16)),0), FactorTable!$A$2:$A$301,0), Skills!L16+1)</f>
        <v/>
      </c>
      <c r="F16">
        <f>IF(Skills!M16=TRUE,(Skills!K16/10)*(E16/1000),Skills!K16/10)+Skills!N16</f>
        <v/>
      </c>
      <c r="G16">
        <f>Skills!F16*IF(Skills!G16&gt;0,Skills!H16/Skills!G16,1)</f>
        <v/>
      </c>
      <c r="H16">
        <f>1-(1-Skills!I16/100)^Skills!J16</f>
        <v/>
      </c>
      <c r="I16">
        <f>IF(Skills!T16&lt;&gt;"",1+(Skills!T16/10)*($Z$3/1000)/100,1)</f>
        <v/>
      </c>
      <c r="J16" t="inlineStr"/>
      <c r="K16" t="inlineStr"/>
      <c r="L16" t="inlineStr"/>
      <c r="M16" t="inlineStr"/>
      <c r="N16" t="inlineStr"/>
      <c r="O16" t="n">
        <v>0</v>
      </c>
      <c r="P16">
        <f>IF(Summary!$B$3=0,0,O16/Summary!$B$3)</f>
        <v/>
      </c>
      <c r="Q16">
        <f>IFERROR(1/IF(Inputs!$B$4="pvp",15,MAX(0.1,Skills!D16-IF(Skills!E16=TRUE,Inputs!$B$31,0))),0)</f>
        <v/>
      </c>
      <c r="R16" t="n">
        <v>0</v>
      </c>
    </row>
    <row r="17">
      <c r="A17">
        <f>Skills!A17</f>
        <v/>
      </c>
      <c r="B17">
        <f>Skills!B17</f>
        <v/>
      </c>
      <c r="C17">
        <f>Inputs!$B$3&gt;=75</f>
        <v/>
      </c>
      <c r="D17">
        <f>IF(Skills!C17=1,60+Inputs!$B$24+Inputs!$B$28,IF(Skills!C17=2,90+Inputs!$B$25+Inputs!$B$28,IF(Skills!C17=3,120+Inputs!$B$26+Inputs!$B$28,MAX(0,(Inputs!$B$3-100)*3)+Inputs!$B$27+Inputs!$B$28)))</f>
        <v/>
      </c>
      <c r="E17">
        <f>INDEX(FactorTable!$B$2:$Y$301, MATCH(ROUND(MIN(300,MAX(1,D17)),0), FactorTable!$A$2:$A$301,0), Skills!L17+1)</f>
        <v/>
      </c>
      <c r="F17">
        <f>IF(Skills!M17=TRUE,(Skills!K17/10)*(E17/1000),Skills!K17/10)+Skills!N17</f>
        <v/>
      </c>
      <c r="G17">
        <f>Skills!F17*IF(Skills!G17&gt;0,Skills!H17/Skills!G17,1)</f>
        <v/>
      </c>
      <c r="H17">
        <f>1-(1-Skills!I17/100)^Skills!J17</f>
        <v/>
      </c>
      <c r="I17">
        <f>IF(Skills!T17&lt;&gt;"",1+(Skills!T17/10)*($Z$3/1000)/100,1)</f>
        <v/>
      </c>
      <c r="J17" t="inlineStr"/>
      <c r="K17" t="inlineStr"/>
      <c r="L17" t="inlineStr"/>
      <c r="M17" t="inlineStr"/>
      <c r="N17" t="inlineStr"/>
      <c r="O17" t="n">
        <v>0</v>
      </c>
      <c r="P17">
        <f>IF(Summary!$B$3=0,0,O17/Summary!$B$3)</f>
        <v/>
      </c>
      <c r="Q17">
        <f>IFERROR(1/IF(Inputs!$B$4="pvp",15,MAX(0.1,Skills!D17-IF(Skills!E17=TRUE,Inputs!$B$31,0))),0)</f>
        <v/>
      </c>
      <c r="R17" t="n">
        <v>0</v>
      </c>
    </row>
    <row r="18">
      <c r="A18">
        <f>Skills!A18</f>
        <v/>
      </c>
      <c r="B18">
        <f>Skills!B18</f>
        <v/>
      </c>
      <c r="C18">
        <f>Inputs!$B$3&gt;=110</f>
        <v/>
      </c>
      <c r="D18">
        <f>IF(Skills!C18=1,60+Inputs!$B$24+Inputs!$B$28,IF(Skills!C18=2,90+Inputs!$B$25+Inputs!$B$28,IF(Skills!C18=3,120+Inputs!$B$26+Inputs!$B$28,MAX(0,(Inputs!$B$3-100)*3)+Inputs!$B$27+Inputs!$B$28)))</f>
        <v/>
      </c>
      <c r="E18">
        <f>INDEX(FactorTable!$B$2:$Y$301, MATCH(ROUND(MIN(300,MAX(1,D18)),0), FactorTable!$A$2:$A$301,0), Skills!L18+1)</f>
        <v/>
      </c>
      <c r="F18">
        <f>(Skills!K18/10)*(E18/1000)*64/45+Skills!N18</f>
        <v/>
      </c>
      <c r="G18">
        <f>Skills!F18*IF(Skills!G18&gt;0,Skills!H18/Skills!G18,1)</f>
        <v/>
      </c>
      <c r="H18">
        <f>1-(1-Skills!I18/100)^Skills!J18</f>
        <v/>
      </c>
      <c r="I18">
        <f>IF(Skills!T18&lt;&gt;"",1+(Skills!T18/10)*($Z$3/1000)/100,1)</f>
        <v/>
      </c>
      <c r="J18" t="inlineStr"/>
      <c r="K18" t="inlineStr"/>
      <c r="L18" t="inlineStr"/>
      <c r="M18" t="inlineStr"/>
      <c r="N18" t="inlineStr"/>
      <c r="O18" t="n">
        <v>0</v>
      </c>
      <c r="P18">
        <f>IF(Summary!$B$3=0,0,O18/Summary!$B$3)</f>
        <v/>
      </c>
      <c r="Q18">
        <f>IFERROR(1/IF(Inputs!$B$4="pvp",15,MAX(0.1,Skills!D18-IF(Skills!E18=TRUE,Inputs!$B$31,0))),0)</f>
        <v/>
      </c>
      <c r="R18">
        <f>IF(AND(Inputs!$B$4&lt;&gt;"pvp",Inputs!$B$35&gt;0),(INT(Inputs!$B$35/IF(Inputs!$B$4="pvp",15,MAX(0.1,Skills!D18-IF(Skills!E18=TRUE,Inputs!$B$31,0))))+1),0)</f>
        <v/>
      </c>
    </row>
    <row r="19">
      <c r="A19">
        <f>Skills!A19</f>
        <v/>
      </c>
      <c r="B19">
        <f>Skills!B19</f>
        <v/>
      </c>
      <c r="C19">
        <f>Inputs!$B$3&gt;=125</f>
        <v/>
      </c>
      <c r="D19">
        <f>IF(Skills!C19=1,60+Inputs!$B$24+Inputs!$B$28,IF(Skills!C19=2,90+Inputs!$B$25+Inputs!$B$28,IF(Skills!C19=3,120+Inputs!$B$26+Inputs!$B$28,MAX(0,(Inputs!$B$3-100)*3)+Inputs!$B$27+Inputs!$B$28)))</f>
        <v/>
      </c>
      <c r="E19">
        <f>INDEX(FactorTable!$B$2:$Y$301, MATCH(ROUND(MIN(300,MAX(1,D19)),0), FactorTable!$A$2:$A$301,0), Skills!L19+1)</f>
        <v/>
      </c>
      <c r="F19">
        <f>IF(Skills!M19=TRUE,(Skills!K19/10)*(E19/1000),Skills!K19/10)+Skills!N19</f>
        <v/>
      </c>
      <c r="G19">
        <f>Skills!F19*IF(Skills!G19&gt;0,Skills!H19/Skills!G19,1)</f>
        <v/>
      </c>
      <c r="H19">
        <f>1-(1-Skills!I19/100)^Skills!J19</f>
        <v/>
      </c>
      <c r="I19">
        <f>IF(Skills!T19&lt;&gt;"",1+(Skills!T19/10)*($Z$3/1000)/100,1)</f>
        <v/>
      </c>
      <c r="J19" t="inlineStr"/>
      <c r="K19" t="inlineStr"/>
      <c r="L19" t="inlineStr"/>
      <c r="M19" t="inlineStr"/>
      <c r="N19" t="inlineStr"/>
      <c r="O19" t="n">
        <v>0</v>
      </c>
      <c r="P19">
        <f>IF(Summary!$B$3=0,0,O19/Summary!$B$3)</f>
        <v/>
      </c>
      <c r="Q19">
        <f>IFERROR(1/IF(Inputs!$B$4="pvp",15,MAX(0.1,Skills!D19-IF(Skills!E19=TRUE,Inputs!$B$31,0))),0)</f>
        <v/>
      </c>
      <c r="R19" t="n">
        <v>0</v>
      </c>
    </row>
    <row r="20">
      <c r="A20">
        <f>Skills!A20</f>
        <v/>
      </c>
      <c r="B20">
        <f>Skills!B20</f>
        <v/>
      </c>
      <c r="C20">
        <f>Inputs!$B$3&gt;=33</f>
        <v/>
      </c>
      <c r="D20">
        <f>IF(Skills!C20=1,60+Inputs!$B$24+Inputs!$B$28,IF(Skills!C20=2,90+Inputs!$B$25+Inputs!$B$28,IF(Skills!C20=3,120+Inputs!$B$26+Inputs!$B$28,MAX(0,(Inputs!$B$3-100)*3)+Inputs!$B$27+Inputs!$B$28)))</f>
        <v/>
      </c>
      <c r="E20">
        <f>INDEX(FactorTable!$B$2:$Y$301, MATCH(ROUND(MIN(300,MAX(1,D20)),0), FactorTable!$A$2:$A$301,0), Skills!L20+1)</f>
        <v/>
      </c>
      <c r="F20">
        <f>IF(Skills!M20=TRUE,(Skills!K20/10)*(E20/1000),Skills!K20/10)+Skills!N20</f>
        <v/>
      </c>
      <c r="G20">
        <f>Skills!F20*IF(Skills!G20&gt;0,Skills!H20/Skills!G20,1)</f>
        <v/>
      </c>
      <c r="H20">
        <f>1-(1-Skills!I20/100)^Skills!J20</f>
        <v/>
      </c>
      <c r="I20">
        <f>IF(Skills!T20&lt;&gt;"",1+(Skills!T20/10)*($Z$3/1000)/100,1)</f>
        <v/>
      </c>
      <c r="J20" t="inlineStr"/>
      <c r="K20" t="inlineStr"/>
      <c r="L20" t="inlineStr"/>
      <c r="M20" t="inlineStr"/>
      <c r="N20" t="inlineStr"/>
      <c r="O20" t="n">
        <v>0</v>
      </c>
      <c r="P20">
        <f>IF(Summary!$B$3=0,0,O20/Summary!$B$3)</f>
        <v/>
      </c>
      <c r="Q20">
        <f>IFERROR(1/IF(Inputs!$B$4="pvp",15,MAX(0.1,Skills!D20-IF(Skills!E20=TRUE,Inputs!$B$31,0))),0)</f>
        <v/>
      </c>
      <c r="R20" t="n">
        <v>0</v>
      </c>
    </row>
    <row r="21">
      <c r="A21">
        <f>Skills!A21</f>
        <v/>
      </c>
      <c r="B21">
        <f>Skills!B21</f>
        <v/>
      </c>
      <c r="C21">
        <f>Inputs!$B$3&gt;=43</f>
        <v/>
      </c>
      <c r="D21">
        <f>IF(Skills!C21=1,60+Inputs!$B$24+Inputs!$B$28,IF(Skills!C21=2,90+Inputs!$B$25+Inputs!$B$28,IF(Skills!C21=3,120+Inputs!$B$26+Inputs!$B$28,MAX(0,(Inputs!$B$3-100)*3)+Inputs!$B$27+Inputs!$B$28)))</f>
        <v/>
      </c>
      <c r="E21">
        <f>INDEX(FactorTable!$B$2:$Y$301, MATCH(ROUND(MIN(300,MAX(1,D21)),0), FactorTable!$A$2:$A$301,0), Skills!L21+1)</f>
        <v/>
      </c>
      <c r="F21">
        <f>IF(Skills!M21=TRUE,(Skills!K21/10)*(E21/1000),Skills!K21/10)+Skills!N21</f>
        <v/>
      </c>
      <c r="G21">
        <f>Skills!F21*IF(Skills!G21&gt;0,Skills!H21/Skills!G21,1)</f>
        <v/>
      </c>
      <c r="H21">
        <f>1-(1-Skills!I21/100)^Skills!J21</f>
        <v/>
      </c>
      <c r="I21">
        <f>IF(Skills!T21&lt;&gt;"",1+(Skills!T21/10)*($Z$3/1000)/100,1)</f>
        <v/>
      </c>
      <c r="J21" t="inlineStr"/>
      <c r="K21" t="inlineStr"/>
      <c r="L21" t="inlineStr"/>
      <c r="M21" t="inlineStr"/>
      <c r="N21" t="inlineStr"/>
      <c r="O21" t="n">
        <v>0</v>
      </c>
      <c r="P21">
        <f>IF(Summary!$B$3=0,0,O21/Summary!$B$3)</f>
        <v/>
      </c>
      <c r="Q21">
        <f>IFERROR(1/IF(Inputs!$B$4="pvp",15,MAX(0.1,Skills!D21-IF(Skills!E21=TRUE,Inputs!$B$31,0))),0)</f>
        <v/>
      </c>
      <c r="R21" t="n">
        <v>0</v>
      </c>
    </row>
    <row r="22">
      <c r="A22">
        <f>Skills!A22</f>
        <v/>
      </c>
      <c r="B22">
        <f>Skills!B22</f>
        <v/>
      </c>
      <c r="C22">
        <f>Inputs!$B$3&gt;=50</f>
        <v/>
      </c>
      <c r="D22">
        <f>IF(Skills!C22=1,60+Inputs!$B$24+Inputs!$B$28,IF(Skills!C22=2,90+Inputs!$B$25+Inputs!$B$28,IF(Skills!C22=3,120+Inputs!$B$26+Inputs!$B$28,MAX(0,(Inputs!$B$3-100)*3)+Inputs!$B$27+Inputs!$B$28)))</f>
        <v/>
      </c>
      <c r="E22">
        <f>INDEX(FactorTable!$B$2:$Y$301, MATCH(ROUND(MIN(300,MAX(1,D22)),0), FactorTable!$A$2:$A$301,0), Skills!L22+1)</f>
        <v/>
      </c>
      <c r="F22">
        <f>IF(Skills!M22=TRUE,(Skills!K22/10)*(E22/1000),Skills!K22/10)+Skills!N22</f>
        <v/>
      </c>
      <c r="G22">
        <f>Skills!F22*IF(Skills!G22&gt;0,Skills!H22/Skills!G22,1)</f>
        <v/>
      </c>
      <c r="H22">
        <f>1-(1-Skills!I22/100)^Skills!J22</f>
        <v/>
      </c>
      <c r="I22">
        <f>IF(Skills!T22&lt;&gt;"",1+(Skills!T22/10)*($Z$3/1000)/100,1)</f>
        <v/>
      </c>
      <c r="J22" t="inlineStr"/>
      <c r="K22" t="inlineStr"/>
      <c r="L22" t="inlineStr"/>
      <c r="M22" t="inlineStr"/>
      <c r="N22" t="inlineStr"/>
      <c r="O22" t="n">
        <v>0</v>
      </c>
      <c r="P22">
        <f>IF(Summary!$B$3=0,0,O22/Summary!$B$3)</f>
        <v/>
      </c>
      <c r="Q22">
        <f>IFERROR(1/IF(Inputs!$B$4="pvp",15,MAX(0.1,Skills!D22-IF(Skills!E22=TRUE,Inputs!$B$31,0))),0)</f>
        <v/>
      </c>
      <c r="R22" t="n">
        <v>0</v>
      </c>
    </row>
    <row r="23">
      <c r="A23">
        <f>Skills!A23</f>
        <v/>
      </c>
      <c r="B23">
        <f>Skills!B23</f>
        <v/>
      </c>
      <c r="C23">
        <f>Inputs!$B$3&gt;=74</f>
        <v/>
      </c>
      <c r="D23">
        <f>IF(Skills!C23=1,60+Inputs!$B$24+Inputs!$B$28,IF(Skills!C23=2,90+Inputs!$B$25+Inputs!$B$28,IF(Skills!C23=3,120+Inputs!$B$26+Inputs!$B$28,MAX(0,(Inputs!$B$3-100)*3)+Inputs!$B$27+Inputs!$B$28)))</f>
        <v/>
      </c>
      <c r="E23">
        <f>INDEX(FactorTable!$B$2:$Y$301, MATCH(ROUND(MIN(300,MAX(1,D23)),0), FactorTable!$A$2:$A$301,0), Skills!L23+1)</f>
        <v/>
      </c>
      <c r="F23">
        <f>IF(Skills!M23=TRUE,(Skills!K23/10)*(E23/1000),Skills!K23/10)+Skills!N23</f>
        <v/>
      </c>
      <c r="G23">
        <f>Skills!F23*IF(Skills!G23&gt;0,Skills!H23/Skills!G23,1)</f>
        <v/>
      </c>
      <c r="H23">
        <f>1-(1-Skills!I23/100)^Skills!J23</f>
        <v/>
      </c>
      <c r="I23">
        <f>IF(Skills!T23&lt;&gt;"",1+(Skills!T23/10)*($Z$3/1000)/100,1)</f>
        <v/>
      </c>
      <c r="J23" t="inlineStr"/>
      <c r="K23" t="inlineStr"/>
      <c r="L23" t="inlineStr"/>
      <c r="M23" t="inlineStr"/>
      <c r="N23" t="inlineStr"/>
      <c r="O23" t="n">
        <v>0</v>
      </c>
      <c r="P23">
        <f>IF(Summary!$B$3=0,0,O23/Summary!$B$3)</f>
        <v/>
      </c>
      <c r="Q23">
        <f>IFERROR(1/IF(Inputs!$B$4="pvp",15,MAX(0.1,Skills!D23-IF(Skills!E23=TRUE,Inputs!$B$31,0))),0)</f>
        <v/>
      </c>
      <c r="R23" t="n">
        <v>0</v>
      </c>
    </row>
    <row r="24">
      <c r="A24">
        <f>Skills!A24</f>
        <v/>
      </c>
      <c r="B24">
        <f>Skills!B24</f>
        <v/>
      </c>
      <c r="C24">
        <f>Inputs!$B$3&gt;=74</f>
        <v/>
      </c>
      <c r="D24">
        <f>IF(Skills!C24=1,60+Inputs!$B$24+Inputs!$B$28,IF(Skills!C24=2,90+Inputs!$B$25+Inputs!$B$28,IF(Skills!C24=3,120+Inputs!$B$26+Inputs!$B$28,MAX(0,(Inputs!$B$3-100)*3)+Inputs!$B$27+Inputs!$B$28)))</f>
        <v/>
      </c>
      <c r="E24">
        <f>INDEX(FactorTable!$B$2:$Y$301, MATCH(ROUND(MIN(300,MAX(1,D24)),0), FactorTable!$A$2:$A$301,0), Skills!L24+1)</f>
        <v/>
      </c>
      <c r="F24">
        <f>IF(Skills!M24=TRUE,(Skills!K24/10)*(E24/1000),Skills!K24/10)+Skills!N24</f>
        <v/>
      </c>
      <c r="G24">
        <f>Skills!F24*IF(Skills!G24&gt;0,Skills!H24/Skills!G24,1)</f>
        <v/>
      </c>
      <c r="H24">
        <f>1-(1-Skills!I24/100)^Skills!J24</f>
        <v/>
      </c>
      <c r="I24">
        <f>IF(Skills!T24&lt;&gt;"",1+(Skills!T24/10)*($Z$3/1000)/100,1)</f>
        <v/>
      </c>
      <c r="J24" t="inlineStr"/>
      <c r="K24" t="inlineStr"/>
      <c r="L24" t="inlineStr"/>
      <c r="M24" t="inlineStr"/>
      <c r="N24" t="inlineStr"/>
      <c r="O24" t="n">
        <v>0</v>
      </c>
      <c r="P24">
        <f>IF(Summary!$B$3=0,0,O24/Summary!$B$3)</f>
        <v/>
      </c>
      <c r="Q24">
        <f>IFERROR(1/IF(Inputs!$B$4="pvp",15,MAX(0.1,Skills!D24-IF(Skills!E24=TRUE,Inputs!$B$31,0))),0)</f>
        <v/>
      </c>
      <c r="R24" t="n">
        <v>0</v>
      </c>
    </row>
    <row r="25">
      <c r="A25">
        <f>Skills!A25</f>
        <v/>
      </c>
      <c r="B25">
        <f>Skills!B25</f>
        <v/>
      </c>
      <c r="C25">
        <f>Inputs!$B$3&gt;=117</f>
        <v/>
      </c>
      <c r="D25">
        <f>IF(Skills!C25=1,60+Inputs!$B$24+Inputs!$B$28,IF(Skills!C25=2,90+Inputs!$B$25+Inputs!$B$28,IF(Skills!C25=3,120+Inputs!$B$26+Inputs!$B$28,MAX(0,(Inputs!$B$3-100)*3)+Inputs!$B$27+Inputs!$B$28)))</f>
        <v/>
      </c>
      <c r="E25">
        <f>INDEX(FactorTable!$B$2:$Y$301, MATCH(ROUND(MIN(300,MAX(1,D25)),0), FactorTable!$A$2:$A$301,0), Skills!L25+1)</f>
        <v/>
      </c>
      <c r="F25">
        <f>IF(Skills!M25=TRUE,(Skills!K25/10)*(E25/1000),Skills!K25/10)+Skills!N25</f>
        <v/>
      </c>
      <c r="G25">
        <f>Skills!F25*IF(Skills!G25&gt;0,Skills!H25/Skills!G25,1)</f>
        <v/>
      </c>
      <c r="H25">
        <f>1-(1-Skills!I25/100)^Skills!J25</f>
        <v/>
      </c>
      <c r="I25">
        <f>IF(Skills!T25&lt;&gt;"",1+(Skills!T25/10)*($Z$3/1000)/100,1)</f>
        <v/>
      </c>
      <c r="J25" t="inlineStr"/>
      <c r="K25" t="inlineStr"/>
      <c r="L25" t="inlineStr"/>
      <c r="M25" t="inlineStr"/>
      <c r="N25" t="inlineStr"/>
      <c r="O25" t="n">
        <v>0</v>
      </c>
      <c r="P25">
        <f>IF(Summary!$B$3=0,0,O25/Summary!$B$3)</f>
        <v/>
      </c>
      <c r="Q25">
        <f>IFERROR(1/IF(Inputs!$B$4="pvp",15,MAX(0.1,Skills!D25-IF(Skills!E25=TRUE,Inputs!$B$31,0))),0)</f>
        <v/>
      </c>
      <c r="R25" t="n">
        <v>0</v>
      </c>
    </row>
    <row r="26">
      <c r="A26">
        <f>Skills!A26</f>
        <v/>
      </c>
      <c r="B26">
        <f>Skills!B26</f>
        <v/>
      </c>
      <c r="C26">
        <f>Inputs!$B$3&gt;=120</f>
        <v/>
      </c>
      <c r="D26">
        <f>IF(Skills!C26=1,60+Inputs!$B$24+Inputs!$B$28,IF(Skills!C26=2,90+Inputs!$B$25+Inputs!$B$28,IF(Skills!C26=3,120+Inputs!$B$26+Inputs!$B$28,MAX(0,(Inputs!$B$3-100)*3)+Inputs!$B$27+Inputs!$B$28)))</f>
        <v/>
      </c>
      <c r="E26">
        <f>INDEX(FactorTable!$B$2:$Y$301, MATCH(ROUND(MIN(300,MAX(1,D26)),0), FactorTable!$A$2:$A$301,0), Skills!L26+1)</f>
        <v/>
      </c>
      <c r="F26">
        <f>IF(Skills!M26=TRUE,(Skills!K26/10)*(E26/1000),Skills!K26/10)+Skills!N26</f>
        <v/>
      </c>
      <c r="G26">
        <f>Skills!F26*IF(Skills!G26&gt;0,Skills!H26/Skills!G26,1)</f>
        <v/>
      </c>
      <c r="H26">
        <f>1-(1-Skills!I26/100)^Skills!J26</f>
        <v/>
      </c>
      <c r="I26">
        <f>IF(Skills!T26&lt;&gt;"",1+(Skills!T26/10)*($Z$3/1000)/100,1)</f>
        <v/>
      </c>
      <c r="J26" t="inlineStr"/>
      <c r="K26" t="inlineStr"/>
      <c r="L26" t="inlineStr"/>
      <c r="M26" t="inlineStr"/>
      <c r="N26" t="inlineStr"/>
      <c r="O26" t="n">
        <v>0</v>
      </c>
      <c r="P26">
        <f>IF(Summary!$B$3=0,0,O26/Summary!$B$3)</f>
        <v/>
      </c>
      <c r="Q26">
        <f>IFERROR(1/IF(Inputs!$B$4="pvp",15,MAX(0.1,Skills!D26-IF(Skills!E26=TRUE,Inputs!$B$31,0))),0)</f>
        <v/>
      </c>
      <c r="R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cols>
    <col width="65" customWidth="1" min="1" max="1"/>
    <col width="16" customWidth="1" min="2" max="2"/>
    <col width="12" customWidth="1" min="3" max="3"/>
  </cols>
  <sheetData>
    <row r="1">
      <c r="A1" s="4" t="inlineStr">
        <is>
          <t>Bishop — DPS Summary</t>
        </is>
      </c>
    </row>
    <row r="3">
      <c r="A3" s="9" t="inlineStr">
        <is>
          <t>TOTAL DPS</t>
        </is>
      </c>
      <c r="B3" s="9">
        <f>SUM(Calc!O2:O26)</f>
        <v/>
      </c>
    </row>
    <row r="5">
      <c r="A5" s="7" t="inlineStr">
        <is>
          <t>Per-Skill DPS Breakdown</t>
        </is>
      </c>
    </row>
    <row r="6">
      <c r="A6" s="8" t="inlineStr">
        <is>
          <t>Skill</t>
        </is>
      </c>
      <c r="B6" s="8" t="inlineStr">
        <is>
          <t>DPS</t>
        </is>
      </c>
      <c r="C6" s="8" t="inlineStr">
        <is>
          <t>% of Total</t>
        </is>
      </c>
    </row>
    <row r="7">
      <c r="A7">
        <f>Calc!B2</f>
        <v/>
      </c>
      <c r="B7">
        <f>Calc!O2</f>
        <v/>
      </c>
      <c r="C7">
        <f>Calc!P2*100</f>
        <v/>
      </c>
    </row>
    <row r="8">
      <c r="A8">
        <f>Calc!B6</f>
        <v/>
      </c>
      <c r="B8">
        <f>Calc!O6</f>
        <v/>
      </c>
      <c r="C8">
        <f>Calc!P6*100</f>
        <v/>
      </c>
    </row>
    <row r="9">
      <c r="A9">
        <f>Calc!B7</f>
        <v/>
      </c>
      <c r="B9">
        <f>Calc!O7</f>
        <v/>
      </c>
      <c r="C9">
        <f>Calc!P7*100</f>
        <v/>
      </c>
    </row>
    <row r="10">
      <c r="A10">
        <f>Calc!B8</f>
        <v/>
      </c>
      <c r="B10">
        <f>Calc!O8</f>
        <v/>
      </c>
      <c r="C10">
        <f>Calc!P8*100</f>
        <v/>
      </c>
    </row>
    <row r="11">
      <c r="A11">
        <f>Calc!B9</f>
        <v/>
      </c>
      <c r="B11">
        <f>Calc!O9</f>
        <v/>
      </c>
      <c r="C11">
        <f>Calc!P9*100</f>
        <v/>
      </c>
    </row>
    <row r="12">
      <c r="A12">
        <f>Calc!B14</f>
        <v/>
      </c>
      <c r="B12">
        <f>Calc!O14</f>
        <v/>
      </c>
      <c r="C12">
        <f>Calc!P14*100</f>
        <v/>
      </c>
    </row>
    <row r="13">
      <c r="A13" s="7" t="inlineStr">
        <is>
          <t>Marginal DPS &amp; Stat Value (see Sensitivity for full detail)</t>
        </is>
      </c>
    </row>
    <row r="15">
      <c r="A15" s="8" t="inlineStr">
        <is>
          <t>Stat</t>
        </is>
      </c>
      <c r="B15" s="8" t="inlineStr">
        <is>
          <t>DPS per +1</t>
        </is>
      </c>
      <c r="C15" s="8" t="inlineStr">
        <is>
          <t>Units per +1% DPS</t>
        </is>
      </c>
    </row>
    <row r="16">
      <c r="A16">
        <f>Sensitivity!A5</f>
        <v/>
      </c>
      <c r="B16">
        <f>Sensitivity!H5</f>
        <v/>
      </c>
      <c r="C16">
        <f>Sensitivity!B5</f>
        <v/>
      </c>
    </row>
    <row r="17">
      <c r="A17">
        <f>Sensitivity!A6</f>
        <v/>
      </c>
      <c r="B17">
        <f>Sensitivity!H6</f>
        <v/>
      </c>
      <c r="C17">
        <f>Sensitivity!B6</f>
        <v/>
      </c>
    </row>
    <row r="18">
      <c r="A18">
        <f>Sensitivity!A7</f>
        <v/>
      </c>
      <c r="B18">
        <f>Sensitivity!H7</f>
        <v/>
      </c>
      <c r="C18">
        <f>Sensitivity!B7</f>
        <v/>
      </c>
    </row>
    <row r="19">
      <c r="A19">
        <f>Sensitivity!A8</f>
        <v/>
      </c>
      <c r="B19">
        <f>Sensitivity!H8</f>
        <v/>
      </c>
      <c r="C19">
        <f>Sensitivity!B8</f>
        <v/>
      </c>
    </row>
    <row r="20">
      <c r="A20">
        <f>Sensitivity!A9</f>
        <v/>
      </c>
      <c r="B20">
        <f>Sensitivity!H9</f>
        <v/>
      </c>
      <c r="C20">
        <f>Sensitivity!B9</f>
        <v/>
      </c>
    </row>
    <row r="21">
      <c r="A21">
        <f>Sensitivity!A10</f>
        <v/>
      </c>
      <c r="B21">
        <f>Sensitivity!H10</f>
        <v/>
      </c>
      <c r="C21">
        <f>Sensitivity!B10</f>
        <v/>
      </c>
    </row>
    <row r="22">
      <c r="A22">
        <f>Sensitivity!A11</f>
        <v/>
      </c>
      <c r="B22">
        <f>Sensitivity!H11</f>
        <v/>
      </c>
      <c r="C22">
        <f>Sensitivity!B11</f>
        <v/>
      </c>
    </row>
    <row r="23">
      <c r="A23">
        <f>Sensitivity!A12</f>
        <v/>
      </c>
      <c r="B23">
        <f>Sensitivity!H12</f>
        <v/>
      </c>
      <c r="C23">
        <f>Sensitivity!B12</f>
        <v/>
      </c>
    </row>
    <row r="24">
      <c r="A24">
        <f>Sensitivity!A13</f>
        <v/>
      </c>
      <c r="B24">
        <f>Sensitivity!H13</f>
        <v/>
      </c>
      <c r="C24">
        <f>Sensitivity!B13</f>
        <v/>
      </c>
    </row>
    <row r="25">
      <c r="A25">
        <f>Sensitivity!A14</f>
        <v/>
      </c>
      <c r="B25">
        <f>Sensitivity!H14</f>
        <v/>
      </c>
      <c r="C25">
        <f>Sensitivity!B14</f>
        <v/>
      </c>
    </row>
    <row r="26">
      <c r="A26">
        <f>Sensitivity!A15</f>
        <v/>
      </c>
      <c r="B26">
        <f>Sensitivity!H15</f>
        <v/>
      </c>
      <c r="C26">
        <f>Sensitivity!B15</f>
        <v/>
      </c>
    </row>
    <row r="27">
      <c r="A27">
        <f>Sensitivity!A16</f>
        <v/>
      </c>
      <c r="B27">
        <f>Sensitivity!H16</f>
        <v/>
      </c>
      <c r="C27">
        <f>Sensitivity!B16</f>
        <v/>
      </c>
    </row>
    <row r="28">
      <c r="A28">
        <f>Sensitivity!A17</f>
        <v/>
      </c>
      <c r="B28">
        <f>Sensitivity!H17</f>
        <v/>
      </c>
      <c r="C28">
        <f>Sensitivity!B17</f>
        <v/>
      </c>
    </row>
    <row r="29">
      <c r="A29">
        <f>Sensitivity!A18</f>
        <v/>
      </c>
      <c r="B29">
        <f>Sensitivity!H18</f>
        <v/>
      </c>
      <c r="C29">
        <f>Sensitivity!B18</f>
        <v/>
      </c>
    </row>
    <row r="30">
      <c r="A30">
        <f>Sensitivity!A19</f>
        <v/>
      </c>
      <c r="B30">
        <f>Sensitivity!H19</f>
        <v/>
      </c>
      <c r="C30">
        <f>Sensitivity!B19</f>
        <v/>
      </c>
    </row>
    <row r="31">
      <c r="A31">
        <f>Sensitivity!A20</f>
        <v/>
      </c>
      <c r="B31">
        <f>Sensitivity!H20</f>
        <v/>
      </c>
      <c r="C31">
        <f>Sensitivity!B20</f>
        <v/>
      </c>
    </row>
    <row r="32">
      <c r="A32">
        <f>Sensitivity!A21</f>
        <v/>
      </c>
      <c r="B32">
        <f>Sensitivity!H21</f>
        <v/>
      </c>
      <c r="C32">
        <f>Sensitivity!B21</f>
        <v/>
      </c>
    </row>
    <row r="33">
      <c r="A33">
        <f>Sensitivity!A22</f>
        <v/>
      </c>
      <c r="B33">
        <f>Sensitivity!H22</f>
        <v/>
      </c>
      <c r="C33">
        <f>Sensitivity!B22</f>
        <v/>
      </c>
    </row>
    <row r="34">
      <c r="A34">
        <f>Sensitivity!A23</f>
        <v/>
      </c>
      <c r="B34">
        <f>Sensitivity!H23</f>
        <v/>
      </c>
      <c r="C34">
        <f>Sensitivity!B23</f>
        <v/>
      </c>
    </row>
    <row r="35">
      <c r="A35">
        <f>Sensitivity!A24</f>
        <v/>
      </c>
      <c r="B35">
        <f>Sensitivity!H24</f>
        <v/>
      </c>
      <c r="C35">
        <f>Sensitivity!B24</f>
        <v/>
      </c>
    </row>
    <row r="36">
      <c r="A36">
        <f>Sensitivity!A25</f>
        <v/>
      </c>
      <c r="B36">
        <f>Sensitivity!H25</f>
        <v/>
      </c>
      <c r="C36">
        <f>Sensitivity!B25</f>
        <v/>
      </c>
    </row>
    <row r="37">
      <c r="A37">
        <f>Sensitivity!A26</f>
        <v/>
      </c>
      <c r="B37">
        <f>Sensitivity!H26</f>
        <v/>
      </c>
      <c r="C37">
        <f>Sensitivity!B26</f>
        <v/>
      </c>
    </row>
    <row r="38">
      <c r="A38">
        <f>Sensitivity!A27</f>
        <v/>
      </c>
      <c r="B38">
        <f>Sensitivity!H27</f>
        <v/>
      </c>
      <c r="C38">
        <f>Sensitivity!B27</f>
        <v/>
      </c>
    </row>
    <row r="39">
      <c r="A39">
        <f>Sensitivity!A28</f>
        <v/>
      </c>
      <c r="B39">
        <f>Sensitivity!H28</f>
        <v/>
      </c>
      <c r="C39">
        <f>Sensitivity!B28</f>
        <v/>
      </c>
    </row>
    <row r="40">
      <c r="A40">
        <f>Sensitivity!A29</f>
        <v/>
      </c>
      <c r="B40">
        <f>Sensitivity!H29</f>
        <v/>
      </c>
      <c r="C40">
        <f>Sensitivity!B29</f>
        <v/>
      </c>
    </row>
    <row r="42">
      <c r="A42" s="7" t="inlineStr">
        <is>
          <t>Derived Values (read-only, computed from Inputs)</t>
        </is>
      </c>
    </row>
    <row r="43">
      <c r="A43" t="inlineStr">
        <is>
          <t>ATTACK (= Flat ATTACK x (1+ATTACK%/100))</t>
        </is>
      </c>
      <c r="B43">
        <f>Inputs!$B$5*(1+Inputs!$B$6/100)</f>
        <v/>
      </c>
    </row>
    <row r="44">
      <c r="A44" t="inlineStr">
        <is>
          <t>STAT_DAMAGE % (= 1% of total INT + 0.25% of LUK)</t>
        </is>
      </c>
      <c r="B44">
        <f>(Inputs!$B$11*(1+Inputs!$B$12/100))*0.01+Inputs!$B$13*0.0025</f>
        <v/>
      </c>
    </row>
    <row r="45">
      <c r="A45" t="inlineStr">
        <is>
          <t>Basic Attack (Big Bang) Input Level (4th job formula)</t>
        </is>
      </c>
      <c r="B45">
        <f>MAX(0,(Inputs!$B$3-100)*3)+Inputs!$B$27+Inputs!$B$28</f>
        <v/>
      </c>
    </row>
    <row r="46">
      <c r="A46" t="inlineStr">
        <is>
          <t>Basic Attack Factor (factorIndex 21, from Big Bang == Chain Lightning reuse)</t>
        </is>
      </c>
      <c r="B46">
        <f>INDEX(FactorTable!$B$2:$Y$301, MATCH(ROUND(MIN(300,MAX(1,Summary!$B$45)),0), FactorTable!$A$2:$A$301,0), 22)</f>
        <v/>
      </c>
    </row>
    <row r="47">
      <c r="A47" t="inlineStr">
        <is>
          <t>SKILL_COEFFICIENT — Big Bang base coefficient % (before Skill Mastery)</t>
        </is>
      </c>
      <c r="B47">
        <f>290*Summary!$B$46/1000</f>
        <v/>
      </c>
    </row>
    <row r="48">
      <c r="A48" t="inlineStr">
        <is>
          <t>Normal-Monster Weight (= 0 for boss, 1 for normal, Breakthrough Normal Weight % for breakthrough, 0 for pvp)</t>
        </is>
      </c>
      <c r="B48">
        <f>IF(Inputs!$B$4="normal",1,IF(Inputs!$B$4="breakthrough",Inputs!$B$36/100,0))</f>
        <v/>
      </c>
    </row>
    <row r="50">
      <c r="A50" t="inlineStr">
        <is>
          <t>Average Buff Multiplier (Magic Guard + Heal + Bless + Holy Magic Shell, summed; then Advanced Blessing, Infinity)</t>
        </is>
      </c>
      <c r="B50">
        <f>(1+(IF(Calc!C3=TRUE,Calc!F3*IF(AND(Inputs!$B$4&lt;&gt;"pvp",Inputs!$B$35&gt;0),(((Calc!R3-1)*(Skills!S3*(1+(Inputs!$B$33+IF(Inputs!$B$3&gt;=117,Calc!F25,0))/100))+MIN((Skills!S3*(1+(Inputs!$B$33+IF(Inputs!$B$3&gt;=117,Calc!F25,0))/100)),MAX(0,Inputs!$B$35-((Calc!R3-1)*Skills!D3))))/Inputs!$B$35),IF(Inputs!$B$4="pvp",MIN((Skills!S3*(1+(Inputs!$B$33+IF(Inputs!$B$3&gt;=117,Calc!F25,0))/100)),15)/15,(Skills!S3*(1+(Inputs!$B$33+IF(Inputs!$B$3&gt;=117,Calc!F25,0))/100))/Skills!D3)),0)+IF(Calc!C4=TRUE,Calc!F4*IF(AND(Inputs!$B$4&lt;&gt;"pvp",Inputs!$B$35&gt;0),(((Calc!R4-1)*(Skills!S4*(1+(Inputs!$B$33+IF(Inputs!$B$3&gt;=117,Calc!F25,0))/100))+MIN((Skills!S4*(1+(Inputs!$B$33+IF(Inputs!$B$3&gt;=117,Calc!F25,0))/100)),MAX(0,Inputs!$B$35-((Calc!R4-1)*Skills!D4))))/Inputs!$B$35),IF(Inputs!$B$4="pvp",MIN((Skills!S4*(1+(Inputs!$B$33+IF(Inputs!$B$3&gt;=117,Calc!F25,0))/100)),15)/15,(Skills!S4*(1+(Inputs!$B$33+IF(Inputs!$B$3&gt;=117,Calc!F25,0))/100))/Skills!D4)),0)+IF(Calc!C5=TRUE,Calc!F5*IF(AND(Inputs!$B$4&lt;&gt;"pvp",Inputs!$B$35&gt;0),(((Calc!R5-1)*(Skills!S5*(1+(Inputs!$B$33+IF(Inputs!$B$3&gt;=117,Calc!F25,0))/100))+MIN((Skills!S5*(1+(Inputs!$B$33+IF(Inputs!$B$3&gt;=117,Calc!F25,0))/100)),MAX(0,Inputs!$B$35-((Calc!R5-1)*Skills!D5))))/Inputs!$B$35),IF(Inputs!$B$4="pvp",MIN((Skills!S5*(1+(Inputs!$B$33+IF(Inputs!$B$3&gt;=117,Calc!F25,0))/100)),15)/15,(Skills!S5*(1+(Inputs!$B$33+IF(Inputs!$B$3&gt;=117,Calc!F25,0))/100))/Skills!D5)),0)+IF(Calc!C11=TRUE,Calc!F11*IF(AND(Inputs!$B$4&lt;&gt;"pvp",Inputs!$B$35&gt;0),(((Calc!R11-1)*(Skills!S11*(1+(Inputs!$B$33+IF(Inputs!$B$3&gt;=117,Calc!F25,0))/100))+MIN((Skills!S11*(1+(Inputs!$B$33+IF(Inputs!$B$3&gt;=117,Calc!F25,0))/100)),MAX(0,Inputs!$B$35-((Calc!R11-1)*Skills!D11))))/Inputs!$B$35),IF(Inputs!$B$4="pvp",MIN((Skills!S11*(1+(Inputs!$B$33+IF(Inputs!$B$3&gt;=117,Calc!F25,0))/100)),15)/15,(Skills!S11*(1+(Inputs!$B$33+IF(Inputs!$B$3&gt;=117,Calc!F25,0))/100))/Skills!D11)),0))/100)*IF(Calc!C13=TRUE,(1+Calc!F13*IF(AND(Inputs!$B$4&lt;&gt;"pvp",Inputs!$B$35&gt;0),(((Calc!R13-1)*(Skills!S13*(1+(Inputs!$B$33+IF(Inputs!$B$3&gt;=117,Calc!F25,0))/100))+MIN((Skills!S13*(1+(Inputs!$B$33+IF(Inputs!$B$3&gt;=117,Calc!F25,0))/100)),MAX(0,Inputs!$B$35-((Calc!R13-1)*Skills!D13))))/Inputs!$B$35),IF(Inputs!$B$4="pvp",MIN((Skills!S13*(1+(Inputs!$B$33+IF(Inputs!$B$3&gt;=117,Calc!F25,0))/100)),15)/15,(Skills!S13*(1+(Inputs!$B$33+IF(Inputs!$B$3&gt;=117,Calc!F25,0))/100))/Skills!D13))/100),1)*IF(Calc!C18=TRUE,(1+Calc!F18*IF(AND(Inputs!$B$4&lt;&gt;"pvp",Inputs!$B$35&gt;0),(((Calc!R18-1)*(Skills!S18*(1+(Inputs!$B$33+IF(Inputs!$B$3&gt;=117,Calc!F25,0))/100))+MIN((Skills!S18*(1+(Inputs!$B$33+IF(Inputs!$B$3&gt;=117,Calc!F25,0))/100)),MAX(0,Inputs!$B$35-((Calc!R18-1)*Skills!D18))))/Inputs!$B$35),IF(Inputs!$B$4="pvp",MIN((Skills!S18*(1+(Inputs!$B$33+IF(Inputs!$B$3&gt;=117,Calc!F25,0))/100)),15)/15,(Skills!S18*(1+(Inputs!$B$33+IF(Inputs!$B$3&gt;=117,Calc!F25,0))/100))/Skills!D18))/100),1)</f>
        <v/>
      </c>
    </row>
    <row r="51">
      <c r="A51" t="inlineStr">
        <is>
          <t>Monster Damage Taken Bonus % (Holy Fountain - Boss Monster Damage, averaged)</t>
        </is>
      </c>
      <c r="B51">
        <f>IF(Inputs!$B$3&gt;=68,20*IF(Inputs!$B$4="pvp",MIN((15*(1+(Inputs!$B$33+IF(Inputs!$B$3&gt;=117,Calc!F25,0))/100)),15)/15,(15*(1+(Inputs!$B$33+IF(Inputs!$B$3&gt;=117,Calc!F25,0))/100))/Skills!D10),0)</f>
        <v/>
      </c>
    </row>
    <row r="52">
      <c r="A52" t="inlineStr">
        <is>
          <t>Normal Monster Damage Bonus % (Holy Symbol, averaged)</t>
        </is>
      </c>
      <c r="B52">
        <f>IF(Calc!C12=TRUE,Calc!F12*IF(AND(Inputs!$B$4&lt;&gt;"pvp",Inputs!$B$35&gt;0),(((Calc!R12-1)*(Skills!S12*(1+(Inputs!$B$33+IF(Inputs!$B$3&gt;=117,Calc!F25,0))/100))+MIN((Skills!S12*(1+(Inputs!$B$33+IF(Inputs!$B$3&gt;=117,Calc!F25,0))/100)),MAX(0,Inputs!$B$35-((Calc!R12-1)*Skills!D12))))/Inputs!$B$35),IF(Inputs!$B$4="pvp",MIN((Skills!S12*(1+(Inputs!$B$33+IF(Inputs!$B$3&gt;=117,Calc!F25,0))/100)),15)/15,(Skills!S12*(1+(Inputs!$B$33+IF(Inputs!$B$3&gt;=117,Calc!F25,0))/100))/Skills!D12)),0)</f>
        <v/>
      </c>
    </row>
    <row r="53">
      <c r="A53" t="inlineStr">
        <is>
          <t>Damage % Bonus (Holy Symbol - Damage Boost, solo-always-true)</t>
        </is>
      </c>
      <c r="B53">
        <f>Skills!O12</f>
        <v/>
      </c>
    </row>
    <row r="54">
      <c r="A54" t="inlineStr">
        <is>
          <t>Crit Damage % Bonus (Blood of the Divine, assumed 100% HP)</t>
        </is>
      </c>
      <c r="B54">
        <f>4*IF(Calc!C19=TRUE,Calc!F19,0)</f>
        <v/>
      </c>
    </row>
    <row r="55">
      <c r="A55" t="inlineStr">
        <is>
          <t>Attack Speed Bonus % (MP Eater - MP Boost + Blood of the Divine - Attack Speed, always-on)</t>
        </is>
      </c>
      <c r="B55">
        <f>IF(Calc!C16=TRUE,Calc!F16,0)+IF(Inputs!$B$3&gt;=134,15,0)</f>
        <v/>
      </c>
    </row>
    <row r="56">
      <c r="A56" t="inlineStr">
        <is>
          <t>Actions Per Second (Attack Speed combined via diminishing-returns stack, factor 150, then capped)</t>
        </is>
      </c>
      <c r="B56">
        <f>1+MIN(150,150*(1-(1-Inputs!$B$10/150)*(1-B55/150)))/100</f>
        <v/>
      </c>
    </row>
    <row r="57">
      <c r="A57" t="inlineStr">
        <is>
          <t>Skill + Buff Cast Rate (subtracted from Big Bang, 1/s)</t>
        </is>
      </c>
      <c r="B57">
        <f>IF(AND(Inputs!$B$4&lt;&gt;"pvp",Inputs!$B$35&gt;0),SUMPRODUCT((Skills!E2:E26=TRUE)*(Calc!C2:C26=TRUE)*Calc!R2:R26)/Inputs!$B$35,SUMPRODUCT((Skills!E2:E26=TRUE)*(Calc!C2:C26=TRUE)*Calc!Q2:Q26))</f>
        <v/>
      </c>
    </row>
    <row r="58">
      <c r="A58" t="inlineStr">
        <is>
          <t>Big Bang Casts Per Second (basic-attack rate)</t>
        </is>
      </c>
      <c r="B58">
        <f>MAX(0,B56-B57)</f>
        <v/>
      </c>
    </row>
    <row r="59">
      <c r="A59" t="inlineStr">
        <is>
          <t>Big Bang DPS</t>
        </is>
      </c>
      <c r="B59">
        <f>Calc!O2</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1054"/>
  <sheetViews>
    <sheetView workbookViewId="0">
      <pane ySplit="4" topLeftCell="A5" activePane="bottomLeft" state="frozen"/>
      <selection pane="bottomLeft" activeCell="A1" sqref="A1"/>
    </sheetView>
  </sheetViews>
  <sheetFormatPr baseColWidth="8" defaultRowHeight="15"/>
  <cols>
    <col width="40" customWidth="1" min="1" max="1"/>
    <col width="16" customWidth="1" min="2" max="2"/>
    <col width="8" customWidth="1" min="3" max="3"/>
    <col width="14" customWidth="1" min="4" max="4"/>
    <col width="14" customWidth="1" min="5" max="5"/>
    <col width="16" customWidth="1" min="6" max="6"/>
    <col width="14" customWidth="1" min="7" max="7"/>
    <col width="12" customWidth="1" min="8" max="8"/>
    <col width="10" customWidth="1" min="9" max="9"/>
  </cols>
  <sheetData>
    <row r="1">
      <c r="A1" s="4" t="inlineStr">
        <is>
          <t>Marginal DPS per +1 (percentage point / skill level / flat point)</t>
        </is>
      </c>
    </row>
    <row r="2">
      <c r="A2" t="inlineStr">
        <is>
          <t>Attack Speed and Def Pen combine their +1 via the diminishing-returns formula (new = (1-(1-old/factor)*(1-1/factor))*factor), not a flat add.</t>
        </is>
      </c>
    </row>
    <row r="4">
      <c r="A4" s="8" t="inlineStr">
        <is>
          <t>Stat</t>
        </is>
      </c>
      <c r="B4" s="8" t="inlineStr">
        <is>
          <t>Units per +1% DPS</t>
        </is>
      </c>
      <c r="C4" s="8" t="inlineStr">
        <is>
          <t>Type</t>
        </is>
      </c>
      <c r="D4" s="8" t="inlineStr">
        <is>
          <t>Current Value</t>
        </is>
      </c>
      <c r="E4" s="8" t="inlineStr">
        <is>
          <t>New Value</t>
        </is>
      </c>
      <c r="F4" s="8" t="inlineStr">
        <is>
          <t>Baseline Total DPS</t>
        </is>
      </c>
      <c r="G4" s="8" t="inlineStr">
        <is>
          <t>New Total DPS</t>
        </is>
      </c>
      <c r="H4" s="8" t="inlineStr">
        <is>
          <t>DPS Gain</t>
        </is>
      </c>
      <c r="I4" s="8" t="inlineStr">
        <is>
          <t>% Gain</t>
        </is>
      </c>
    </row>
    <row r="5">
      <c r="A5" t="inlineStr">
        <is>
          <t>Flat INT</t>
        </is>
      </c>
      <c r="B5">
        <f>IFERROR(1/(I5-100),"n/a")</f>
        <v/>
      </c>
      <c r="C5" t="inlineStr">
        <is>
          <t>flat</t>
        </is>
      </c>
      <c r="D5">
        <f>Inputs!$B$11</f>
        <v/>
      </c>
      <c r="E5">
        <f>(Inputs!$B$11+1)</f>
        <v/>
      </c>
      <c r="F5">
        <f>Summary!$B$3</f>
        <v/>
      </c>
      <c r="G5">
        <f>B70</f>
        <v/>
      </c>
      <c r="H5">
        <f>G5-F5</f>
        <v/>
      </c>
      <c r="I5">
        <f>IF(F5=0,0,G5/F5*100)</f>
        <v/>
      </c>
    </row>
    <row r="6">
      <c r="A6" t="inlineStr">
        <is>
          <t>INT %</t>
        </is>
      </c>
      <c r="B6">
        <f>IFERROR(1/(I6-100),"n/a")</f>
        <v/>
      </c>
      <c r="C6" t="inlineStr">
        <is>
          <t>pct</t>
        </is>
      </c>
      <c r="D6">
        <f>Inputs!$B$12</f>
        <v/>
      </c>
      <c r="E6">
        <f>(Inputs!$B$12+1)</f>
        <v/>
      </c>
      <c r="F6">
        <f>Summary!$B$3</f>
        <v/>
      </c>
      <c r="G6">
        <f>B111</f>
        <v/>
      </c>
      <c r="H6">
        <f>G6-F6</f>
        <v/>
      </c>
      <c r="I6">
        <f>IF(F6=0,0,G6/F6*100)</f>
        <v/>
      </c>
    </row>
    <row r="7">
      <c r="A7" t="inlineStr">
        <is>
          <t>DAMAGE %</t>
        </is>
      </c>
      <c r="B7">
        <f>IFERROR(1/(I7-100),"n/a")</f>
        <v/>
      </c>
      <c r="C7" t="inlineStr">
        <is>
          <t>pct</t>
        </is>
      </c>
      <c r="D7">
        <f>Inputs!$B$14</f>
        <v/>
      </c>
      <c r="E7">
        <f>(Inputs!$B$14+1)</f>
        <v/>
      </c>
      <c r="F7">
        <f>Summary!$B$3</f>
        <v/>
      </c>
      <c r="G7">
        <f>B152</f>
        <v/>
      </c>
      <c r="H7">
        <f>G7-F7</f>
        <v/>
      </c>
      <c r="I7">
        <f>IF(F7=0,0,G7/F7*100)</f>
        <v/>
      </c>
    </row>
    <row r="8">
      <c r="A8" t="inlineStr">
        <is>
          <t>DAMAGE_AMP %</t>
        </is>
      </c>
      <c r="B8">
        <f>IFERROR(1/(I8-100),"n/a")</f>
        <v/>
      </c>
      <c r="C8" t="inlineStr">
        <is>
          <t>pct</t>
        </is>
      </c>
      <c r="D8">
        <f>Inputs!$B$15</f>
        <v/>
      </c>
      <c r="E8">
        <f>(Inputs!$B$15+1)</f>
        <v/>
      </c>
      <c r="F8">
        <f>Summary!$B$3</f>
        <v/>
      </c>
      <c r="G8">
        <f>B193</f>
        <v/>
      </c>
      <c r="H8">
        <f>G8-F8</f>
        <v/>
      </c>
      <c r="I8">
        <f>IF(F8=0,0,G8/F8*100)</f>
        <v/>
      </c>
    </row>
    <row r="9">
      <c r="A9" t="inlineStr">
        <is>
          <t>BOSS_DAMAGE %</t>
        </is>
      </c>
      <c r="B9">
        <f>IFERROR(1/(I9-100),"n/a")</f>
        <v/>
      </c>
      <c r="C9" t="inlineStr">
        <is>
          <t>pct</t>
        </is>
      </c>
      <c r="D9">
        <f>Inputs!$B$19</f>
        <v/>
      </c>
      <c r="E9">
        <f>(Inputs!$B$19+1)</f>
        <v/>
      </c>
      <c r="F9">
        <f>Summary!$B$3</f>
        <v/>
      </c>
      <c r="G9">
        <f>B234</f>
        <v/>
      </c>
      <c r="H9">
        <f>G9-F9</f>
        <v/>
      </c>
      <c r="I9">
        <f>IF(F9=0,0,G9/F9*100)</f>
        <v/>
      </c>
    </row>
    <row r="10">
      <c r="A10" t="inlineStr">
        <is>
          <t>NORMAL_DAMAGE %</t>
        </is>
      </c>
      <c r="B10">
        <f>IFERROR(1/(I10-100),"n/a")</f>
        <v/>
      </c>
      <c r="C10" t="inlineStr">
        <is>
          <t>pct</t>
        </is>
      </c>
      <c r="D10">
        <f>Inputs!$B$20</f>
        <v/>
      </c>
      <c r="E10">
        <f>(Inputs!$B$20+1)</f>
        <v/>
      </c>
      <c r="F10">
        <f>Summary!$B$3</f>
        <v/>
      </c>
      <c r="G10">
        <f>B275</f>
        <v/>
      </c>
      <c r="H10">
        <f>G10-F10</f>
        <v/>
      </c>
      <c r="I10">
        <f>IF(F10=0,0,G10/F10*100)</f>
        <v/>
      </c>
    </row>
    <row r="11">
      <c r="A11" t="inlineStr">
        <is>
          <t>FINAL_DAMAGE % (multiplicative source)</t>
        </is>
      </c>
      <c r="B11">
        <f>IFERROR(1/(I11-100),"n/a")</f>
        <v/>
      </c>
      <c r="C11" t="inlineStr">
        <is>
          <t>mult</t>
        </is>
      </c>
      <c r="D11">
        <f>Inputs!$B$23</f>
        <v/>
      </c>
      <c r="E11">
        <f>((((1+Inputs!$B$23/100)*(1.01))-1)*100)</f>
        <v/>
      </c>
      <c r="F11">
        <f>Summary!$B$3</f>
        <v/>
      </c>
      <c r="G11">
        <f>B316</f>
        <v/>
      </c>
      <c r="H11">
        <f>G11-F11</f>
        <v/>
      </c>
      <c r="I11">
        <f>IF(F11=0,0,G11/F11*100)</f>
        <v/>
      </c>
    </row>
    <row r="12">
      <c r="A12" t="inlineStr">
        <is>
          <t>MIN_DAMAGE %</t>
        </is>
      </c>
      <c r="B12">
        <f>IFERROR(1/(I12-100),"n/a")</f>
        <v/>
      </c>
      <c r="C12" t="inlineStr">
        <is>
          <t>pct</t>
        </is>
      </c>
      <c r="D12">
        <f>Inputs!$B$21</f>
        <v/>
      </c>
      <c r="E12">
        <f>(Inputs!$B$21+1)</f>
        <v/>
      </c>
      <c r="F12">
        <f>Summary!$B$3</f>
        <v/>
      </c>
      <c r="G12">
        <f>B357</f>
        <v/>
      </c>
      <c r="H12">
        <f>G12-F12</f>
        <v/>
      </c>
      <c r="I12">
        <f>IF(F12=0,0,G12/F12*100)</f>
        <v/>
      </c>
    </row>
    <row r="13">
      <c r="A13" t="inlineStr">
        <is>
          <t>MAX_DAMAGE %</t>
        </is>
      </c>
      <c r="B13">
        <f>IFERROR(1/(I13-100),"n/a")</f>
        <v/>
      </c>
      <c r="C13" t="inlineStr">
        <is>
          <t>pct</t>
        </is>
      </c>
      <c r="D13">
        <f>Inputs!$B$22</f>
        <v/>
      </c>
      <c r="E13">
        <f>(Inputs!$B$22+1)</f>
        <v/>
      </c>
      <c r="F13">
        <f>Summary!$B$3</f>
        <v/>
      </c>
      <c r="G13">
        <f>B398</f>
        <v/>
      </c>
      <c r="H13">
        <f>G13-F13</f>
        <v/>
      </c>
      <c r="I13">
        <f>IF(F13=0,0,G13/F13*100)</f>
        <v/>
      </c>
    </row>
    <row r="14">
      <c r="A14" t="inlineStr">
        <is>
          <t>CRIT_RATE %</t>
        </is>
      </c>
      <c r="B14">
        <f>IFERROR(1/(I14-100),"n/a")</f>
        <v/>
      </c>
      <c r="C14" t="inlineStr">
        <is>
          <t>pct</t>
        </is>
      </c>
      <c r="D14">
        <f>Inputs!$B$8</f>
        <v/>
      </c>
      <c r="E14">
        <f>(Inputs!$B$8+1)</f>
        <v/>
      </c>
      <c r="F14">
        <f>Summary!$B$3</f>
        <v/>
      </c>
      <c r="G14">
        <f>B439</f>
        <v/>
      </c>
      <c r="H14">
        <f>G14-F14</f>
        <v/>
      </c>
      <c r="I14">
        <f>IF(F14=0,0,G14/F14*100)</f>
        <v/>
      </c>
    </row>
    <row r="15">
      <c r="A15" t="inlineStr">
        <is>
          <t>CRIT_DAMAGE %</t>
        </is>
      </c>
      <c r="B15">
        <f>IFERROR(1/(I15-100),"n/a")</f>
        <v/>
      </c>
      <c r="C15" t="inlineStr">
        <is>
          <t>pct</t>
        </is>
      </c>
      <c r="D15">
        <f>Inputs!$B$9</f>
        <v/>
      </c>
      <c r="E15">
        <f>(Inputs!$B$9+1)</f>
        <v/>
      </c>
      <c r="F15">
        <f>Summary!$B$3</f>
        <v/>
      </c>
      <c r="G15">
        <f>B480</f>
        <v/>
      </c>
      <c r="H15">
        <f>G15-F15</f>
        <v/>
      </c>
      <c r="I15">
        <f>IF(F15=0,0,G15/F15*100)</f>
        <v/>
      </c>
    </row>
    <row r="16">
      <c r="A16" t="inlineStr">
        <is>
          <t>ATTACK_SPEED % (diminishing returns, factor 150)</t>
        </is>
      </c>
      <c r="B16">
        <f>IFERROR(1/(I16-100),"n/a")</f>
        <v/>
      </c>
      <c r="C16" t="inlineStr">
        <is>
          <t>dr150</t>
        </is>
      </c>
      <c r="D16">
        <f>Inputs!$B$10</f>
        <v/>
      </c>
      <c r="E16">
        <f>((1-(1-Inputs!$B$10/150)*(1-1/150))*150)</f>
        <v/>
      </c>
      <c r="F16">
        <f>Summary!$B$3</f>
        <v/>
      </c>
      <c r="G16">
        <f>B521</f>
        <v/>
      </c>
      <c r="H16">
        <f>G16-F16</f>
        <v/>
      </c>
      <c r="I16">
        <f>IF(F16=0,0,G16/F16*100)</f>
        <v/>
      </c>
    </row>
    <row r="17">
      <c r="A17" t="inlineStr">
        <is>
          <t>DEF_PEN % (diminishing returns, factor 100)</t>
        </is>
      </c>
      <c r="B17">
        <f>IFERROR(1/(I17-100),"n/a")</f>
        <v/>
      </c>
      <c r="C17" t="inlineStr">
        <is>
          <t>dr100</t>
        </is>
      </c>
      <c r="D17">
        <f>Inputs!$B$18</f>
        <v/>
      </c>
      <c r="E17">
        <f>((1-(1-Inputs!$B$18/100)*(1-1/100))*100)</f>
        <v/>
      </c>
      <c r="F17">
        <f>Summary!$B$3</f>
        <v/>
      </c>
      <c r="G17">
        <f>B562</f>
        <v/>
      </c>
      <c r="H17">
        <f>G17-F17</f>
        <v/>
      </c>
      <c r="I17">
        <f>IF(F17=0,0,G17/F17*100)</f>
        <v/>
      </c>
    </row>
    <row r="18">
      <c r="A18" t="inlineStr">
        <is>
          <t>BASIC_ATTACK_DAMAGE %</t>
        </is>
      </c>
      <c r="B18">
        <f>IFERROR(1/(I18-100),"n/a")</f>
        <v/>
      </c>
      <c r="C18" t="inlineStr">
        <is>
          <t>pct</t>
        </is>
      </c>
      <c r="D18">
        <f>Inputs!$B$16</f>
        <v/>
      </c>
      <c r="E18">
        <f>(Inputs!$B$16+1)</f>
        <v/>
      </c>
      <c r="F18">
        <f>Summary!$B$3</f>
        <v/>
      </c>
      <c r="G18">
        <f>B603</f>
        <v/>
      </c>
      <c r="H18">
        <f>G18-F18</f>
        <v/>
      </c>
      <c r="I18">
        <f>IF(F18=0,0,G18/F18*100)</f>
        <v/>
      </c>
    </row>
    <row r="19">
      <c r="A19" t="inlineStr">
        <is>
          <t>SKILL_DAMAGE %</t>
        </is>
      </c>
      <c r="B19">
        <f>IFERROR(1/(I19-100),"n/a")</f>
        <v/>
      </c>
      <c r="C19" t="inlineStr">
        <is>
          <t>pct</t>
        </is>
      </c>
      <c r="D19">
        <f>Inputs!$B$17</f>
        <v/>
      </c>
      <c r="E19">
        <f>(Inputs!$B$17+1)</f>
        <v/>
      </c>
      <c r="F19">
        <f>Summary!$B$3</f>
        <v/>
      </c>
      <c r="G19">
        <f>B644</f>
        <v/>
      </c>
      <c r="H19">
        <f>G19-F19</f>
        <v/>
      </c>
      <c r="I19">
        <f>IF(F19=0,0,G19/F19*100)</f>
        <v/>
      </c>
    </row>
    <row r="20">
      <c r="A20" t="inlineStr">
        <is>
          <t>Skill Level Bonus — 1st Job</t>
        </is>
      </c>
      <c r="B20">
        <f>IFERROR(1/(I20-100),"n/a")</f>
        <v/>
      </c>
      <c r="C20" t="inlineStr">
        <is>
          <t>level</t>
        </is>
      </c>
      <c r="D20">
        <f>Inputs!$B$24</f>
        <v/>
      </c>
      <c r="E20">
        <f>(Inputs!$B$24+1)</f>
        <v/>
      </c>
      <c r="F20">
        <f>Summary!$B$3</f>
        <v/>
      </c>
      <c r="G20">
        <f>B685</f>
        <v/>
      </c>
      <c r="H20">
        <f>G20-F20</f>
        <v/>
      </c>
      <c r="I20">
        <f>IF(F20=0,0,G20/F20*100)</f>
        <v/>
      </c>
    </row>
    <row r="21">
      <c r="A21" t="inlineStr">
        <is>
          <t>Skill Level Bonus — 2nd Job</t>
        </is>
      </c>
      <c r="B21">
        <f>IFERROR(1/(I21-100),"n/a")</f>
        <v/>
      </c>
      <c r="C21" t="inlineStr">
        <is>
          <t>level</t>
        </is>
      </c>
      <c r="D21">
        <f>Inputs!$B$25</f>
        <v/>
      </c>
      <c r="E21">
        <f>(Inputs!$B$25+1)</f>
        <v/>
      </c>
      <c r="F21">
        <f>Summary!$B$3</f>
        <v/>
      </c>
      <c r="G21">
        <f>B726</f>
        <v/>
      </c>
      <c r="H21">
        <f>G21-F21</f>
        <v/>
      </c>
      <c r="I21">
        <f>IF(F21=0,0,G21/F21*100)</f>
        <v/>
      </c>
    </row>
    <row r="22">
      <c r="A22" t="inlineStr">
        <is>
          <t>Skill Level Bonus — 3rd Job</t>
        </is>
      </c>
      <c r="B22">
        <f>IFERROR(1/(I22-100),"n/a")</f>
        <v/>
      </c>
      <c r="C22" t="inlineStr">
        <is>
          <t>level</t>
        </is>
      </c>
      <c r="D22">
        <f>Inputs!$B$26</f>
        <v/>
      </c>
      <c r="E22">
        <f>(Inputs!$B$26+1)</f>
        <v/>
      </c>
      <c r="F22">
        <f>Summary!$B$3</f>
        <v/>
      </c>
      <c r="G22">
        <f>B767</f>
        <v/>
      </c>
      <c r="H22">
        <f>G22-F22</f>
        <v/>
      </c>
      <c r="I22">
        <f>IF(F22=0,0,G22/F22*100)</f>
        <v/>
      </c>
    </row>
    <row r="23">
      <c r="A23" t="inlineStr">
        <is>
          <t>Skill Level Bonus — 4th Job</t>
        </is>
      </c>
      <c r="B23">
        <f>IFERROR(1/(I23-100),"n/a")</f>
        <v/>
      </c>
      <c r="C23" t="inlineStr">
        <is>
          <t>level</t>
        </is>
      </c>
      <c r="D23">
        <f>Inputs!$B$27</f>
        <v/>
      </c>
      <c r="E23">
        <f>(Inputs!$B$27+1)</f>
        <v/>
      </c>
      <c r="F23">
        <f>Summary!$B$3</f>
        <v/>
      </c>
      <c r="G23">
        <f>B808</f>
        <v/>
      </c>
      <c r="H23">
        <f>G23-F23</f>
        <v/>
      </c>
      <c r="I23">
        <f>IF(F23=0,0,G23/F23*100)</f>
        <v/>
      </c>
    </row>
    <row r="24">
      <c r="A24" t="inlineStr">
        <is>
          <t>Skill Level Bonus — All Skills</t>
        </is>
      </c>
      <c r="B24">
        <f>IFERROR(1/(I24-100),"n/a")</f>
        <v/>
      </c>
      <c r="C24" t="inlineStr">
        <is>
          <t>level</t>
        </is>
      </c>
      <c r="D24">
        <f>Inputs!$B$28</f>
        <v/>
      </c>
      <c r="E24">
        <f>(Inputs!$B$28+1)</f>
        <v/>
      </c>
      <c r="F24">
        <f>Summary!$B$3</f>
        <v/>
      </c>
      <c r="G24">
        <f>B849</f>
        <v/>
      </c>
      <c r="H24">
        <f>G24-F24</f>
        <v/>
      </c>
      <c r="I24">
        <f>IF(F24=0,0,G24/F24*100)</f>
        <v/>
      </c>
    </row>
    <row r="25">
      <c r="A25" t="inlineStr">
        <is>
          <t>Flat ATTACK</t>
        </is>
      </c>
      <c r="B25">
        <f>IFERROR(1/(I25-100),"n/a")</f>
        <v/>
      </c>
      <c r="C25" t="inlineStr">
        <is>
          <t>flat</t>
        </is>
      </c>
      <c r="D25">
        <f>Inputs!$B$5</f>
        <v/>
      </c>
      <c r="E25">
        <f>(Inputs!$B$5+1)</f>
        <v/>
      </c>
      <c r="F25">
        <f>Summary!$B$3</f>
        <v/>
      </c>
      <c r="G25">
        <f>B890</f>
        <v/>
      </c>
      <c r="H25">
        <f>G25-F25</f>
        <v/>
      </c>
      <c r="I25">
        <f>IF(F25=0,0,G25/F25*100)</f>
        <v/>
      </c>
    </row>
    <row r="26">
      <c r="A26" t="inlineStr">
        <is>
          <t>ATTACK %</t>
        </is>
      </c>
      <c r="B26">
        <f>IFERROR(1/(I26-100),"n/a")</f>
        <v/>
      </c>
      <c r="C26" t="inlineStr">
        <is>
          <t>pct</t>
        </is>
      </c>
      <c r="D26">
        <f>Inputs!$B$6</f>
        <v/>
      </c>
      <c r="E26">
        <f>(Inputs!$B$6+1)</f>
        <v/>
      </c>
      <c r="F26">
        <f>Summary!$B$3</f>
        <v/>
      </c>
      <c r="G26">
        <f>B931</f>
        <v/>
      </c>
      <c r="H26">
        <f>G26-F26</f>
        <v/>
      </c>
      <c r="I26">
        <f>IF(F26=0,0,G26/F26*100)</f>
        <v/>
      </c>
    </row>
    <row r="27">
      <c r="A27" t="inlineStr">
        <is>
          <t>Skill Cooldown Decrease (seconds)</t>
        </is>
      </c>
      <c r="B27">
        <f>IFERROR(1/(I27-100),"n/a")</f>
        <v/>
      </c>
      <c r="C27" t="inlineStr">
        <is>
          <t>flat</t>
        </is>
      </c>
      <c r="D27">
        <f>Inputs!$B$31</f>
        <v/>
      </c>
      <c r="E27">
        <f>(Inputs!$B$31+1)</f>
        <v/>
      </c>
      <c r="F27">
        <f>Summary!$B$3</f>
        <v/>
      </c>
      <c r="G27">
        <f>B972</f>
        <v/>
      </c>
      <c r="H27">
        <f>G27-F27</f>
        <v/>
      </c>
      <c r="I27">
        <f>IF(F27=0,0,G27/F27*100)</f>
        <v/>
      </c>
    </row>
    <row r="28">
      <c r="A28" t="inlineStr">
        <is>
          <t>Basic Attack Target Increase (flat)</t>
        </is>
      </c>
      <c r="B28">
        <f>IFERROR(1/(I28-100),"n/a")</f>
        <v/>
      </c>
      <c r="C28" t="inlineStr">
        <is>
          <t>flat</t>
        </is>
      </c>
      <c r="D28">
        <f>Inputs!$B$32</f>
        <v/>
      </c>
      <c r="E28">
        <f>(Inputs!$B$32+1)</f>
        <v/>
      </c>
      <c r="F28">
        <f>Summary!$B$3</f>
        <v/>
      </c>
      <c r="G28">
        <f>B1013</f>
        <v/>
      </c>
      <c r="H28">
        <f>G28-F28</f>
        <v/>
      </c>
      <c r="I28">
        <f>IF(F28=0,0,G28/F28*100)</f>
        <v/>
      </c>
    </row>
    <row r="29">
      <c r="A29" t="inlineStr">
        <is>
          <t>Buff Duration Increase %</t>
        </is>
      </c>
      <c r="B29">
        <f>IFERROR(1/(I29-100),"n/a")</f>
        <v/>
      </c>
      <c r="C29" t="inlineStr">
        <is>
          <t>pct</t>
        </is>
      </c>
      <c r="D29">
        <f>Inputs!$B$33</f>
        <v/>
      </c>
      <c r="E29">
        <f>(Inputs!$B$33+1)</f>
        <v/>
      </c>
      <c r="F29">
        <f>Summary!$B$3</f>
        <v/>
      </c>
      <c r="G29">
        <f>B1054</f>
        <v/>
      </c>
      <c r="H29">
        <f>G29-F29</f>
        <v/>
      </c>
      <c r="I29">
        <f>IF(F29=0,0,G29/F29*100)</f>
        <v/>
      </c>
    </row>
    <row r="32">
      <c r="A32" s="5" t="inlineStr">
        <is>
          <t>Stat: Flat INT</t>
        </is>
      </c>
    </row>
    <row r="33">
      <c r="A33" s="8" t="inlineStr">
        <is>
          <t>Key</t>
        </is>
      </c>
      <c r="B33" s="8" t="inlineStr">
        <is>
          <t>Name</t>
        </is>
      </c>
      <c r="C33" s="8" t="inlineStr">
        <is>
          <t>Unlocked</t>
        </is>
      </c>
      <c r="D33" s="8" t="inlineStr">
        <is>
          <t>InputLevel</t>
        </is>
      </c>
      <c r="E33" s="8" t="inlineStr">
        <is>
          <t>Factor</t>
        </is>
      </c>
      <c r="F33" s="8" t="inlineStr">
        <is>
          <t>CoefficientPercent</t>
        </is>
      </c>
      <c r="G33" s="8" t="inlineStr">
        <is>
          <t>EffectiveHits</t>
        </is>
      </c>
      <c r="H33" s="8" t="inlineStr">
        <is>
          <t>ProcProbability</t>
        </is>
      </c>
      <c r="I33" s="8" t="inlineStr">
        <is>
          <t>MapleHeroMultiplier</t>
        </is>
      </c>
      <c r="J33" s="8" t="inlineStr">
        <is>
          <t>BaseDamage</t>
        </is>
      </c>
      <c r="K33" s="8" t="inlineStr">
        <is>
          <t>BaseHitDamage</t>
        </is>
      </c>
      <c r="L33" s="8" t="inlineStr">
        <is>
          <t>NonCritAvg</t>
        </is>
      </c>
      <c r="M33" s="8" t="inlineStr">
        <is>
          <t>CritAvg</t>
        </is>
      </c>
      <c r="N33" s="8" t="inlineStr">
        <is>
          <t>ExpectedDamage(perHit)</t>
        </is>
      </c>
      <c r="O33" s="8" t="inlineStr">
        <is>
          <t>DPS</t>
        </is>
      </c>
      <c r="P33" s="8" t="inlineStr">
        <is>
          <t>% of Total</t>
        </is>
      </c>
      <c r="R33" t="inlineStr">
        <is>
          <t>helpers</t>
        </is>
      </c>
    </row>
    <row r="34">
      <c r="A34">
        <f>Skills!A2</f>
        <v/>
      </c>
      <c r="B34">
        <f>Skills!B2</f>
        <v/>
      </c>
      <c r="C34">
        <f>Inputs!$B$3&gt;=100</f>
        <v/>
      </c>
      <c r="D34" t="inlineStr"/>
      <c r="E34" t="inlineStr"/>
      <c r="F34">
        <f>T36+Skills!N2</f>
        <v/>
      </c>
      <c r="G34">
        <f>Calc!G2</f>
        <v/>
      </c>
      <c r="H34">
        <f>Calc!H2</f>
        <v/>
      </c>
      <c r="I34">
        <f>IF(Skills!T2&lt;&gt;"",1+(Skills!T2/10)*($Z$3/1000)/100,1)</f>
        <v/>
      </c>
      <c r="J34">
        <f>((Inputs!$B$5*(1+Inputs!$B$6/100))+(((Inputs!$B$11+1)*(1+Inputs!$B$12/100))-(Inputs!$B$11*(1+Inputs!$B$12/100)))*(1+Inputs!$B$6/100))*(F34/100)</f>
        <v/>
      </c>
      <c r="K34">
        <f>J34*(1+(((Inputs!$B$11+1)*(1+Inputs!$B$12/100))*0.01+Inputs!$B$13*0.0025)/100)*(1+(Inputs!$B$14+B63)/100)*(1+IF(Inputs!$B$4="pvp",0,(1-Summary!$B$48)*(Inputs!$B$19+Skills!O2+B61)+Summary!$B$48*(Inputs!$B$20+Skills!P2+B62))/100)*(1+Inputs!$B$15/100)*(5000/(6000+Inputs!$B$7*(1-Inputs!$B$18/100)))*(1+Inputs!$B$23/100)*(1+IF(C49=TRUE,F49,0)/100)*(1+IF(C51=TRUE,F51,0)/100)*(1+IF(Skills!A2="TRIUMPH_FEATHER",IF(C47=TRUE,F47,0),0)/100)*(1+IF(C58=TRUE,F58,0)/100)^5*(1+(IF(Skills!A2="BIG_BANG",Inputs!$B$16,Inputs!$B$17))/100)*(B60*I34)</f>
        <v/>
      </c>
      <c r="L34">
        <f>K34*(MIN(Inputs!$B$21+(F53-Calc!F21),Inputs!$B$22)/100+Inputs!$B$22/100)/2</f>
        <v/>
      </c>
      <c r="M34">
        <f>L34*(1+(Inputs!$B$9+B64+(F56-Calc!F24))/100)</f>
        <v/>
      </c>
      <c r="N34">
        <f>L34*(1-MIN(Inputs!$B$8+((F55-Calc!F23)+(F54-Calc!F22)),100)/100)+M34*(MIN(Inputs!$B$8+((F55-Calc!F23)+(F54-Calc!F22)),100)/100)</f>
        <v/>
      </c>
      <c r="O34">
        <f>IF(C34,Skills!F2*N34*B68*IF(Inputs!$B$4="pvp",1,(1-Summary!$B$48)*(1)+Summary!$B$48*(MIN((6+Inputs!$B$32),Inputs!$B$37))),0)</f>
        <v/>
      </c>
      <c r="P34">
        <f>IF(B70=0,0,O34/B70)</f>
        <v/>
      </c>
      <c r="S34" t="n">
        <v>0</v>
      </c>
      <c r="T34">
        <f>MAX(0,(Inputs!$B$3-100)*3)+Inputs!$B$27+Inputs!$B$28</f>
        <v/>
      </c>
      <c r="V34">
        <f>IFERROR(1/IF(Inputs!$B$4="pvp",15,MAX(0.1,Skills!D2-IF(Skills!E2=TRUE,Inputs!$B$31,0))),0)</f>
        <v/>
      </c>
    </row>
    <row r="35">
      <c r="A35">
        <f>Skills!A3</f>
        <v/>
      </c>
      <c r="B35">
        <f>Skills!B3</f>
        <v/>
      </c>
      <c r="C35">
        <f>Inputs!$B$3&gt;=15</f>
        <v/>
      </c>
      <c r="D35">
        <f>IF(Skills!C3=1,60+Inputs!$B$24+Inputs!$B$28,IF(Skills!C3=2,90+Inputs!$B$25+Inputs!$B$28,IF(Skills!C3=3,120+Inputs!$B$26+Inputs!$B$28,MAX(0,(Inputs!$B$3-100)*3)+Inputs!$B$27+Inputs!$B$28)))</f>
        <v/>
      </c>
      <c r="E35">
        <f>INDEX(FactorTable!$B$2:$Y$301, MATCH(ROUND(MIN(300,MAX(1,D35)),0), FactorTable!$A$2:$A$301,0), Skills!L3+1)</f>
        <v/>
      </c>
      <c r="F35">
        <f>IF(Skills!M3=TRUE,(Skills!K3/10)*(E35/1000),Skills!K3/10)+Skills!N3</f>
        <v/>
      </c>
      <c r="G35">
        <f>Calc!G3</f>
        <v/>
      </c>
      <c r="H35">
        <f>Calc!H3</f>
        <v/>
      </c>
      <c r="I35">
        <f>IF(Skills!T3&lt;&gt;"",1+(Skills!T3/10)*($Z$3/1000)/100,1)</f>
        <v/>
      </c>
      <c r="J35" t="inlineStr"/>
      <c r="K35" t="inlineStr"/>
      <c r="L35" t="inlineStr"/>
      <c r="M35" t="inlineStr"/>
      <c r="N35" t="inlineStr"/>
      <c r="O35" t="n">
        <v>0</v>
      </c>
      <c r="P35">
        <f>IF(B70=0,0,O35/B70)</f>
        <v/>
      </c>
      <c r="S35">
        <f>IF(AND(Inputs!$B$4&lt;&gt;"pvp",Inputs!$B$35&gt;0),(INT(Inputs!$B$35/IF(Inputs!$B$4="pvp",15,MAX(0.1,Skills!D3-IF(Skills!E3=TRUE,Inputs!$B$31,0))))+1),0)</f>
        <v/>
      </c>
      <c r="T35">
        <f>INDEX(FactorTable!$B$2:$Y$301, MATCH(ROUND(MIN(300,MAX(1,T34)),0), FactorTable!$A$2:$A$301,0), 22)</f>
        <v/>
      </c>
      <c r="V35">
        <f>IFERROR(1/IF(Inputs!$B$4="pvp",15,MAX(0.1,Skills!D3-IF(Skills!E3=TRUE,Inputs!$B$31,0))),0)</f>
        <v/>
      </c>
    </row>
    <row r="36">
      <c r="A36">
        <f>Skills!A4</f>
        <v/>
      </c>
      <c r="B36">
        <f>Skills!B4</f>
        <v/>
      </c>
      <c r="C36">
        <f>Inputs!$B$3&gt;=38</f>
        <v/>
      </c>
      <c r="D36">
        <f>IF(Skills!C4=1,60+Inputs!$B$24+Inputs!$B$28,IF(Skills!C4=2,90+Inputs!$B$25+Inputs!$B$28,IF(Skills!C4=3,120+Inputs!$B$26+Inputs!$B$28,MAX(0,(Inputs!$B$3-100)*3)+Inputs!$B$27+Inputs!$B$28)))</f>
        <v/>
      </c>
      <c r="E36">
        <f>INDEX(FactorTable!$B$2:$Y$301, MATCH(ROUND(MIN(300,MAX(1,D36)),0), FactorTable!$A$2:$A$301,0), Skills!L4+1)</f>
        <v/>
      </c>
      <c r="F36">
        <f>IF(Skills!M4=TRUE,(Skills!K4/10)*(E36/1000),Skills!K4/10)+Skills!N4</f>
        <v/>
      </c>
      <c r="G36">
        <f>Calc!G4</f>
        <v/>
      </c>
      <c r="H36">
        <f>Calc!H4</f>
        <v/>
      </c>
      <c r="I36">
        <f>IF(Skills!T4&lt;&gt;"",1+(Skills!T4/10)*($Z$3/1000)/100,1)</f>
        <v/>
      </c>
      <c r="J36" t="inlineStr"/>
      <c r="K36" t="inlineStr"/>
      <c r="L36" t="inlineStr"/>
      <c r="M36" t="inlineStr"/>
      <c r="N36" t="inlineStr"/>
      <c r="O36" t="n">
        <v>0</v>
      </c>
      <c r="P36">
        <f>IF(B70=0,0,O36/B70)</f>
        <v/>
      </c>
      <c r="S36">
        <f>IF(AND(Inputs!$B$4&lt;&gt;"pvp",Inputs!$B$35&gt;0),(INT(Inputs!$B$35/IF(Inputs!$B$4="pvp",15,MAX(0.1,Skills!D4-IF(Skills!E4=TRUE,Inputs!$B$31,0))))+1),0)</f>
        <v/>
      </c>
      <c r="T36">
        <f>290*T35/1000</f>
        <v/>
      </c>
      <c r="V36">
        <f>IFERROR(1/IF(Inputs!$B$4="pvp",15,MAX(0.1,Skills!D4-IF(Skills!E4=TRUE,Inputs!$B$31,0))),0)</f>
        <v/>
      </c>
    </row>
    <row r="37">
      <c r="A37">
        <f>Skills!A5</f>
        <v/>
      </c>
      <c r="B37">
        <f>Skills!B5</f>
        <v/>
      </c>
      <c r="C37">
        <f>Inputs!$B$3&gt;=40</f>
        <v/>
      </c>
      <c r="D37">
        <f>IF(Skills!C5=1,60+Inputs!$B$24+Inputs!$B$28,IF(Skills!C5=2,90+Inputs!$B$25+Inputs!$B$28,IF(Skills!C5=3,120+Inputs!$B$26+Inputs!$B$28,MAX(0,(Inputs!$B$3-100)*3)+Inputs!$B$27+Inputs!$B$28)))</f>
        <v/>
      </c>
      <c r="E37">
        <f>INDEX(FactorTable!$B$2:$Y$301, MATCH(ROUND(MIN(300,MAX(1,D37)),0), FactorTable!$A$2:$A$301,0), Skills!L5+1)</f>
        <v/>
      </c>
      <c r="F37">
        <f>IF(Skills!M5=TRUE,(Skills!K5/10)*(E37/1000),Skills!K5/10)+Skills!N5</f>
        <v/>
      </c>
      <c r="G37">
        <f>Calc!G5</f>
        <v/>
      </c>
      <c r="H37">
        <f>Calc!H5</f>
        <v/>
      </c>
      <c r="I37">
        <f>IF(Skills!T5&lt;&gt;"",1+(Skills!T5/10)*($Z$3/1000)/100,1)</f>
        <v/>
      </c>
      <c r="J37" t="inlineStr"/>
      <c r="K37" t="inlineStr"/>
      <c r="L37" t="inlineStr"/>
      <c r="M37" t="inlineStr"/>
      <c r="N37" t="inlineStr"/>
      <c r="O37" t="n">
        <v>0</v>
      </c>
      <c r="P37">
        <f>IF(B70=0,0,O37/B70)</f>
        <v/>
      </c>
      <c r="S37">
        <f>IF(AND(Inputs!$B$4&lt;&gt;"pvp",Inputs!$B$35&gt;0),(INT(Inputs!$B$35/IF(Inputs!$B$4="pvp",15,MAX(0.1,Skills!D5-IF(Skills!E5=TRUE,Inputs!$B$31,0))))+1),0)</f>
        <v/>
      </c>
      <c r="V37">
        <f>IFERROR(1/IF(Inputs!$B$4="pvp",15,MAX(0.1,Skills!D5-IF(Skills!E5=TRUE,Inputs!$B$31,0))),0)</f>
        <v/>
      </c>
    </row>
    <row r="38">
      <c r="A38">
        <f>Skills!A6</f>
        <v/>
      </c>
      <c r="B38">
        <f>Skills!B6</f>
        <v/>
      </c>
      <c r="C38">
        <f>Inputs!$B$3&gt;=103</f>
        <v/>
      </c>
      <c r="D38">
        <f>IF(Skills!C6=1,60+Inputs!$B$24+Inputs!$B$28,IF(Skills!C6=2,90+Inputs!$B$25+Inputs!$B$28,IF(Skills!C6=3,120+Inputs!$B$26+Inputs!$B$28,MAX(0,(Inputs!$B$3-100)*3)+Inputs!$B$27+Inputs!$B$28)))</f>
        <v/>
      </c>
      <c r="E38">
        <f>INDEX(FactorTable!$B$2:$Y$301, MATCH(ROUND(MIN(300,MAX(1,D38)),0), FactorTable!$A$2:$A$301,0), Skills!L6+1)</f>
        <v/>
      </c>
      <c r="F38">
        <f>IF(Skills!M6=TRUE,(Skills!K6/10)*(E38/1000),Skills!K6/10)+Skills!N6</f>
        <v/>
      </c>
      <c r="G38">
        <f>Calc!G6</f>
        <v/>
      </c>
      <c r="H38">
        <f>Calc!H6</f>
        <v/>
      </c>
      <c r="I38">
        <f>IF(Skills!T6&lt;&gt;"",1+(Skills!T6/10)*($Z$3/1000)/100,1)</f>
        <v/>
      </c>
      <c r="J38">
        <f>((Inputs!$B$5*(1+Inputs!$B$6/100))+(((Inputs!$B$11+1)*(1+Inputs!$B$12/100))-(Inputs!$B$11*(1+Inputs!$B$12/100)))*(1+Inputs!$B$6/100))*(F38/100)</f>
        <v/>
      </c>
      <c r="K38">
        <f>J38*(1+(((Inputs!$B$11+1)*(1+Inputs!$B$12/100))*0.01+Inputs!$B$13*0.0025)/100)*(1+(Inputs!$B$14+B63)/100)*(1+IF(Inputs!$B$4="pvp",0,(1-Summary!$B$48)*(Inputs!$B$19+Skills!O6+B61)+Summary!$B$48*(Inputs!$B$20+Skills!P6+B62))/100)*(1+Inputs!$B$15/100)*(5000/(6000+Inputs!$B$7*(1-Inputs!$B$18/100)))*(1+Inputs!$B$23/100)*(1+IF(C49=TRUE,F49,0)/100)*(1+IF(C51=TRUE,F51,0)/100)*(1+IF(Skills!A6="TRIUMPH_FEATHER",IF(C47=TRUE,F47,0),0)/100)*(1+IF(C58=TRUE,F58,0)/100)^5*(1+(IF(Skills!A6="BIG_BANG",Inputs!$B$16,Inputs!$B$17))/100)*(B60*I38)</f>
        <v/>
      </c>
      <c r="L38">
        <f>K38*(MIN(Inputs!$B$21+(F53-Calc!F21),Inputs!$B$22)/100+Inputs!$B$22/100)/2</f>
        <v/>
      </c>
      <c r="M38">
        <f>L38*(1+(Inputs!$B$9+B64+(F56-Calc!F24))/100)</f>
        <v/>
      </c>
      <c r="N38">
        <f>L38*(1-MIN(Inputs!$B$8+((F55-Calc!F23)+(F54-Calc!F22)),100)/100)+M38*(MIN(Inputs!$B$8+((F55-Calc!F23)+(F54-Calc!F22)),100)/100)</f>
        <v/>
      </c>
      <c r="O38">
        <f>IF(C38,H38*N38*IF(AND(Inputs!$B$4&lt;&gt;"pvp",Inputs!$B$35&gt;0),((Skills!F6*((S38-1)*IF(Skills!G6&gt;0,Skills!H6/Skills!G6,1)+IF(Skills!G6&gt;0,MIN(Skills!H6,MAX(0,Inputs!$B$35-((S38-1)*IF(Inputs!$B$4="pvp",15,MAX(0.1,Skills!D6-IF(Skills!E6=TRUE,Inputs!$B$31,0))))))/Skills!G6,1)))/Inputs!$B$35),G38*V38)*IF(Inputs!$B$4="pvp",1,(1-Summary!$B$48)*(1)+Summary!$B$48*(MIN(Skills!Q6,Inputs!$B$37))),0)</f>
        <v/>
      </c>
      <c r="P38">
        <f>IF(B70=0,0,O38/B70)</f>
        <v/>
      </c>
      <c r="S38">
        <f>IF(AND(Inputs!$B$4&lt;&gt;"pvp",Inputs!$B$35&gt;0),(INT(Inputs!$B$35/IF(Inputs!$B$4="pvp",15,MAX(0.1,Skills!D6-IF(Skills!E6=TRUE,Inputs!$B$31,0))))+1),0)</f>
        <v/>
      </c>
      <c r="V38">
        <f>IFERROR(1/IF(Inputs!$B$4="pvp",15,MAX(0.1,Skills!D6-IF(Skills!E6=TRUE,Inputs!$B$31,0))),0)</f>
        <v/>
      </c>
    </row>
    <row r="39">
      <c r="A39">
        <f>Skills!A7</f>
        <v/>
      </c>
      <c r="B39">
        <f>Skills!B7</f>
        <v/>
      </c>
      <c r="C39">
        <f>Inputs!$B$3&gt;=122</f>
        <v/>
      </c>
      <c r="D39">
        <f>IF(Skills!C7=1,60+Inputs!$B$24+Inputs!$B$28,IF(Skills!C7=2,90+Inputs!$B$25+Inputs!$B$28,IF(Skills!C7=3,120+Inputs!$B$26+Inputs!$B$28,MAX(0,(Inputs!$B$3-100)*3)+Inputs!$B$27+Inputs!$B$28)))</f>
        <v/>
      </c>
      <c r="E39">
        <f>INDEX(FactorTable!$B$2:$Y$301, MATCH(ROUND(MIN(300,MAX(1,D39)),0), FactorTable!$A$2:$A$301,0), Skills!L7+1)</f>
        <v/>
      </c>
      <c r="F39">
        <f>IF(Skills!M7=TRUE,(Skills!K7/10)*(E39/1000),Skills!K7/10)+Skills!N7</f>
        <v/>
      </c>
      <c r="G39">
        <f>Calc!G7</f>
        <v/>
      </c>
      <c r="H39">
        <f>Calc!H7</f>
        <v/>
      </c>
      <c r="I39">
        <f>IF(Skills!T7&lt;&gt;"",1+(Skills!T7/10)*($Z$3/1000)/100,1)</f>
        <v/>
      </c>
      <c r="J39">
        <f>((Inputs!$B$5*(1+Inputs!$B$6/100))+(((Inputs!$B$11+1)*(1+Inputs!$B$12/100))-(Inputs!$B$11*(1+Inputs!$B$12/100)))*(1+Inputs!$B$6/100))*(F39/100)</f>
        <v/>
      </c>
      <c r="K39">
        <f>J39*(1+(((Inputs!$B$11+1)*(1+Inputs!$B$12/100))*0.01+Inputs!$B$13*0.0025)/100)*(1+(Inputs!$B$14+B63)/100)*(1+IF(Inputs!$B$4="pvp",0,(1-Summary!$B$48)*(Inputs!$B$19+Skills!O7+B61)+Summary!$B$48*(Inputs!$B$20+Skills!P7+B62))/100)*(1+Inputs!$B$15/100)*(5000/(6000+Inputs!$B$7*(1-Inputs!$B$18/100)))*(1+Inputs!$B$23/100)*(1+IF(C49=TRUE,F49,0)/100)*(1+IF(C51=TRUE,F51,0)/100)*(1+IF(Skills!A7="TRIUMPH_FEATHER",IF(C47=TRUE,F47,0),0)/100)*(1+IF(C58=TRUE,F58,0)/100)^5*(1+(IF(Skills!A7="BIG_BANG",Inputs!$B$16,Inputs!$B$17))/100)*(B60*I39)</f>
        <v/>
      </c>
      <c r="L39">
        <f>K39*(MIN(Inputs!$B$21+(F53-Calc!F21),Inputs!$B$22)/100+Inputs!$B$22/100)/2</f>
        <v/>
      </c>
      <c r="M39">
        <f>L39*(1+(Inputs!$B$9+B64+(F56-Calc!F24))/100)</f>
        <v/>
      </c>
      <c r="N39">
        <f>L39*(1-MIN(Inputs!$B$8+((F55-Calc!F23)+(F54-Calc!F22)),100)/100)+M39*(MIN(Inputs!$B$8+((F55-Calc!F23)+(F54-Calc!F22)),100)/100)</f>
        <v/>
      </c>
      <c r="O39">
        <f>IF(C39,H39*N39*IF(AND(Inputs!$B$4&lt;&gt;"pvp",Inputs!$B$35&gt;0),((Skills!F7*((S39-1)*IF(Skills!G7&gt;0,Skills!H7/Skills!G7,1)+IF(Skills!G7&gt;0,MIN(Skills!H7,MAX(0,Inputs!$B$35-((S39-1)*IF(Inputs!$B$4="pvp",15,MAX(0.1,Skills!D7-IF(Skills!E6=TRUE,Inputs!$B$31,0))))))/Skills!G7,1)))/Inputs!$B$35),G39*V39)*(1-Summary!$B$48),0)</f>
        <v/>
      </c>
      <c r="P39">
        <f>IF(B70=0,0,O39/B70)</f>
        <v/>
      </c>
      <c r="S39">
        <f>IF(AND(Inputs!$B$4&lt;&gt;"pvp",Inputs!$B$35&gt;0),(INT(Inputs!$B$35/IF(Inputs!$B$4="pvp",15,MAX(0.1,Skills!D7-IF(Skills!E6=TRUE,Inputs!$B$31,0))))+1),0)</f>
        <v/>
      </c>
      <c r="V39">
        <f>IFERROR(1/IF(Inputs!$B$4="pvp",15,MAX(0.1,Skills!D7-IF(Skills!E6=TRUE,Inputs!$B$31,0))),0)</f>
        <v/>
      </c>
    </row>
    <row r="40">
      <c r="A40">
        <f>Skills!A8</f>
        <v/>
      </c>
      <c r="B40">
        <f>Skills!B8</f>
        <v/>
      </c>
      <c r="C40">
        <f>Inputs!$B$3&gt;=105</f>
        <v/>
      </c>
      <c r="D40">
        <f>IF(Skills!C8=1,60+Inputs!$B$24+Inputs!$B$28,IF(Skills!C8=2,90+Inputs!$B$25+Inputs!$B$28,IF(Skills!C8=3,120+Inputs!$B$26+Inputs!$B$28,MAX(0,(Inputs!$B$3-100)*3)+Inputs!$B$27+Inputs!$B$28)))</f>
        <v/>
      </c>
      <c r="E40">
        <f>INDEX(FactorTable!$B$2:$Y$301, MATCH(ROUND(MIN(300,MAX(1,D40)),0), FactorTable!$A$2:$A$301,0), Skills!L8+1)</f>
        <v/>
      </c>
      <c r="F40">
        <f>IF(Skills!M8=TRUE,(Skills!K8/10)*(E40/1000),Skills!K8/10)+Skills!N8</f>
        <v/>
      </c>
      <c r="G40">
        <f>Calc!G8</f>
        <v/>
      </c>
      <c r="H40">
        <f>Calc!H8</f>
        <v/>
      </c>
      <c r="I40">
        <f>IF(Skills!T8&lt;&gt;"",1+(Skills!T8/10)*($Z$3/1000)/100,1)</f>
        <v/>
      </c>
      <c r="J40">
        <f>((Inputs!$B$5*(1+Inputs!$B$6/100))+(((Inputs!$B$11+1)*(1+Inputs!$B$12/100))-(Inputs!$B$11*(1+Inputs!$B$12/100)))*(1+Inputs!$B$6/100))*(F40/100)</f>
        <v/>
      </c>
      <c r="K40">
        <f>J40*(1+(((Inputs!$B$11+1)*(1+Inputs!$B$12/100))*0.01+Inputs!$B$13*0.0025)/100)*(1+(Inputs!$B$14+B63)/100)*(1+IF(Inputs!$B$4="pvp",0,(1-Summary!$B$48)*(Inputs!$B$19+Skills!O8+B61)+Summary!$B$48*(Inputs!$B$20+Skills!P8+B62))/100)*(1+Inputs!$B$15/100)*(5000/(6000+Inputs!$B$7*(1-Inputs!$B$18/100)))*(1+Inputs!$B$23/100)*(1+IF(C49=TRUE,F49,0)/100)*(1+IF(C51=TRUE,F51,0)/100)*(1+IF(Skills!A8="TRIUMPH_FEATHER",IF(C47=TRUE,F47,0),0)/100)*(1+IF(C58=TRUE,F58,0)/100)^5*(1+(IF(Skills!A8="BIG_BANG",Inputs!$B$16,Inputs!$B$17))/100)*(B60*I40)</f>
        <v/>
      </c>
      <c r="L40">
        <f>K40*(MIN(Inputs!$B$21+(F53-Calc!F21),Inputs!$B$22)/100+Inputs!$B$22/100)/2</f>
        <v/>
      </c>
      <c r="M40">
        <f>L40*(1+(Inputs!$B$9+B64+(F56-Calc!F24))/100)</f>
        <v/>
      </c>
      <c r="N40">
        <f>L40*(1-MIN(Inputs!$B$8+((F55-Calc!F23)+(F54-Calc!F22)),100)/100)+M40*(MIN(Inputs!$B$8+((F55-Calc!F23)+(F54-Calc!F22)),100)/100)</f>
        <v/>
      </c>
      <c r="O40">
        <f>IF(C40,H40*N40*IF(AND(Inputs!$B$4&lt;&gt;"pvp",Inputs!$B$35&gt;0),((Skills!F8*((S40-1)*IF(Skills!G8&gt;0,Skills!H8/Skills!G8,1)+IF(Skills!G8&gt;0,MIN(Skills!H8,MAX(0,Inputs!$B$35-((S40-1)*IF(Inputs!$B$4="pvp",15,MAX(0.1,Skills!D8-IF(Skills!E8=TRUE,Inputs!$B$31,0))))))/Skills!G8,1)))/Inputs!$B$35),G40*V40)*IF(Inputs!$B$4="pvp",1,(1-Summary!$B$48)*(1)+Summary!$B$48*(MIN(Skills!Q8,Inputs!$B$37))),0)</f>
        <v/>
      </c>
      <c r="P40">
        <f>IF(B70=0,0,O40/B70)</f>
        <v/>
      </c>
      <c r="S40">
        <f>IF(AND(Inputs!$B$4&lt;&gt;"pvp",Inputs!$B$35&gt;0),(INT(Inputs!$B$35/IF(Inputs!$B$4="pvp",15,MAX(0.1,Skills!D8-IF(Skills!E8=TRUE,Inputs!$B$31,0))))+1),0)</f>
        <v/>
      </c>
      <c r="V40">
        <f>IFERROR(1/IF(Inputs!$B$4="pvp",15,MAX(0.1,Skills!D8-IF(Skills!E8=TRUE,Inputs!$B$31,0))),0)</f>
        <v/>
      </c>
    </row>
    <row r="41">
      <c r="A41">
        <f>Skills!A9</f>
        <v/>
      </c>
      <c r="B41">
        <f>Skills!B9</f>
        <v/>
      </c>
      <c r="C41">
        <f>Inputs!$B$3&gt;=115</f>
        <v/>
      </c>
      <c r="D41">
        <f>IF(Skills!C9=1,60+Inputs!$B$24+Inputs!$B$28,IF(Skills!C9=2,90+Inputs!$B$25+Inputs!$B$28,IF(Skills!C9=3,120+Inputs!$B$26+Inputs!$B$28,MAX(0,(Inputs!$B$3-100)*3)+Inputs!$B$27+Inputs!$B$28)))</f>
        <v/>
      </c>
      <c r="E41">
        <f>INDEX(FactorTable!$B$2:$Y$301, MATCH(ROUND(MIN(300,MAX(1,D41)),0), FactorTable!$A$2:$A$301,0), Skills!L9+1)</f>
        <v/>
      </c>
      <c r="F41">
        <f>IF(Skills!M9=TRUE,(Skills!K9/10)*(E41/1000),Skills!K9/10)+Skills!N9</f>
        <v/>
      </c>
      <c r="G41">
        <f>Calc!G9</f>
        <v/>
      </c>
      <c r="H41">
        <f>Calc!H9</f>
        <v/>
      </c>
      <c r="I41">
        <f>IF(Skills!T9&lt;&gt;"",1+(Skills!T9/10)*($Z$3/1000)/100,1)</f>
        <v/>
      </c>
      <c r="J41">
        <f>((Inputs!$B$5*(1+Inputs!$B$6/100))+(((Inputs!$B$11+1)*(1+Inputs!$B$12/100))-(Inputs!$B$11*(1+Inputs!$B$12/100)))*(1+Inputs!$B$6/100))*(F41/100)</f>
        <v/>
      </c>
      <c r="K41">
        <f>J41*(1+(((Inputs!$B$11+1)*(1+Inputs!$B$12/100))*0.01+Inputs!$B$13*0.0025)/100)*(1+(Inputs!$B$14+B63)/100)*(1+IF(Inputs!$B$4="pvp",0,(1-Summary!$B$48)*(Inputs!$B$19+Skills!O9+B61)+Summary!$B$48*(Inputs!$B$20+Skills!P9+B62))/100)*(1+Inputs!$B$15/100)*(5000/(6000+Inputs!$B$7*(1-Inputs!$B$18/100)))*(1+Inputs!$B$23/100)*(1+IF(C49=TRUE,F49,0)/100)*(1+IF(C51=TRUE,F51,0)/100)*(1+IF(Skills!A9="TRIUMPH_FEATHER",IF(C47=TRUE,F47,0),0)/100)*(1+IF(C58=TRUE,F58,0)/100)^5*(1+(IF(Skills!A9="BIG_BANG",Inputs!$B$16,Inputs!$B$17))/100)*(B60*I41)</f>
        <v/>
      </c>
      <c r="L41">
        <f>K41*(MIN(Inputs!$B$21+(F53-Calc!F21),Inputs!$B$22)/100+Inputs!$B$22/100)/2</f>
        <v/>
      </c>
      <c r="M41">
        <f>L41*(1+(Inputs!$B$9+B64+(F56-Calc!F24))/100)</f>
        <v/>
      </c>
      <c r="N41">
        <f>L41*(1-MIN(Inputs!$B$8+((F55-Calc!F23)+(F54-Calc!F22)),100)/100)+M41*(MIN(Inputs!$B$8+((F55-Calc!F23)+(F54-Calc!F22)),100)/100)</f>
        <v/>
      </c>
      <c r="O41">
        <f>IF(C41,H41*N41*IF(AND(Inputs!$B$4&lt;&gt;"pvp",Inputs!$B$35&gt;0),((Skills!F9*((S41-1)*IF(Skills!G9&gt;0,Skills!H9/Skills!G9,1)+IF(Skills!G9&gt;0,MIN(Skills!H9,MAX(0,Inputs!$B$35-((S41-1)*IF(Inputs!$B$4="pvp",15,MAX(0.1,Skills!D9-IF(Skills!E9=TRUE,Inputs!$B$31,0))))))/Skills!G9,1)))/Inputs!$B$35),G41*V41)*IF(Inputs!$B$4="pvp",1,(1-Summary!$B$48)*(1)+Summary!$B$48*(MIN(Skills!Q9,Inputs!$B$37))),0)</f>
        <v/>
      </c>
      <c r="P41">
        <f>IF(B70=0,0,O41/B70)</f>
        <v/>
      </c>
      <c r="S41">
        <f>IF(AND(Inputs!$B$4&lt;&gt;"pvp",Inputs!$B$35&gt;0),(INT(Inputs!$B$35/IF(Inputs!$B$4="pvp",15,MAX(0.1,Skills!D9-IF(Skills!E9=TRUE,Inputs!$B$31,0))))+1),0)</f>
        <v/>
      </c>
      <c r="V41">
        <f>IFERROR(1/IF(Inputs!$B$4="pvp",15,MAX(0.1,Skills!D9-IF(Skills!E9=TRUE,Inputs!$B$31,0))),0)</f>
        <v/>
      </c>
    </row>
    <row r="42">
      <c r="A42">
        <f>Skills!A10</f>
        <v/>
      </c>
      <c r="B42">
        <f>Skills!B10</f>
        <v/>
      </c>
      <c r="C42">
        <f>Inputs!$B$3&gt;=66</f>
        <v/>
      </c>
      <c r="D42">
        <f>IF(Skills!C10=1,60+Inputs!$B$24+Inputs!$B$28,IF(Skills!C10=2,90+Inputs!$B$25+Inputs!$B$28,IF(Skills!C10=3,120+Inputs!$B$26+Inputs!$B$28,MAX(0,(Inputs!$B$3-100)*3)+Inputs!$B$27+Inputs!$B$28)))</f>
        <v/>
      </c>
      <c r="E42">
        <f>INDEX(FactorTable!$B$2:$Y$301, MATCH(ROUND(MIN(300,MAX(1,D42)),0), FactorTable!$A$2:$A$301,0), Skills!L10+1)</f>
        <v/>
      </c>
      <c r="F42" t="n">
        <v>0</v>
      </c>
      <c r="G42">
        <f>Calc!G10</f>
        <v/>
      </c>
      <c r="H42">
        <f>Calc!H10</f>
        <v/>
      </c>
      <c r="I42">
        <f>IF(Skills!T10&lt;&gt;"",1+(Skills!T10/10)*($Z$3/1000)/100,1)</f>
        <v/>
      </c>
      <c r="J42" t="inlineStr"/>
      <c r="K42" t="inlineStr"/>
      <c r="L42" t="inlineStr"/>
      <c r="M42" t="inlineStr"/>
      <c r="N42" t="inlineStr"/>
      <c r="O42" t="n">
        <v>0</v>
      </c>
      <c r="P42">
        <f>IF(B70=0,0,O42/B70)</f>
        <v/>
      </c>
      <c r="S42">
        <f>IF(AND(Inputs!$B$4&lt;&gt;"pvp",Inputs!$B$35&gt;0),(INT(Inputs!$B$35/IF(Inputs!$B$4="pvp",15,MAX(0.1,Skills!D10-IF(Skills!E10=TRUE,Inputs!$B$31,0))))+1),0)</f>
        <v/>
      </c>
      <c r="V42">
        <f>IFERROR(1/IF(Inputs!$B$4="pvp",15,MAX(0.1,Skills!D10-IF(Skills!E10=TRUE,Inputs!$B$31,0))),0)</f>
        <v/>
      </c>
    </row>
    <row r="43">
      <c r="A43">
        <f>Skills!A11</f>
        <v/>
      </c>
      <c r="B43">
        <f>Skills!B11</f>
        <v/>
      </c>
      <c r="C43">
        <f>Inputs!$B$3&gt;=69</f>
        <v/>
      </c>
      <c r="D43">
        <f>IF(Skills!C11=1,60+Inputs!$B$24+Inputs!$B$28,IF(Skills!C11=2,90+Inputs!$B$25+Inputs!$B$28,IF(Skills!C11=3,120+Inputs!$B$26+Inputs!$B$28,MAX(0,(Inputs!$B$3-100)*3)+Inputs!$B$27+Inputs!$B$28)))</f>
        <v/>
      </c>
      <c r="E43">
        <f>INDEX(FactorTable!$B$2:$Y$301, MATCH(ROUND(MIN(300,MAX(1,D43)),0), FactorTable!$A$2:$A$301,0), Skills!L11+1)</f>
        <v/>
      </c>
      <c r="F43">
        <f>IF(Skills!M11=TRUE,(Skills!K11/10)*(E43/1000),Skills!K11/10)+Skills!N11</f>
        <v/>
      </c>
      <c r="G43">
        <f>Calc!G11</f>
        <v/>
      </c>
      <c r="H43">
        <f>Calc!H11</f>
        <v/>
      </c>
      <c r="I43">
        <f>IF(Skills!T11&lt;&gt;"",1+(Skills!T11/10)*($Z$3/1000)/100,1)</f>
        <v/>
      </c>
      <c r="J43" t="inlineStr"/>
      <c r="K43" t="inlineStr"/>
      <c r="L43" t="inlineStr"/>
      <c r="M43" t="inlineStr"/>
      <c r="N43" t="inlineStr"/>
      <c r="O43" t="n">
        <v>0</v>
      </c>
      <c r="P43">
        <f>IF(B70=0,0,O43/B70)</f>
        <v/>
      </c>
      <c r="S43">
        <f>IF(AND(Inputs!$B$4&lt;&gt;"pvp",Inputs!$B$35&gt;0),(INT(Inputs!$B$35/IF(Inputs!$B$4="pvp",15,MAX(0.1,Skills!D11-IF(Skills!E11=TRUE,Inputs!$B$31,0))))+1),0)</f>
        <v/>
      </c>
      <c r="V43">
        <f>IFERROR(1/IF(Inputs!$B$4="pvp",15,MAX(0.1,Skills!D11-IF(Skills!E11=TRUE,Inputs!$B$31,0))),0)</f>
        <v/>
      </c>
    </row>
    <row r="44">
      <c r="A44">
        <f>Skills!A12</f>
        <v/>
      </c>
      <c r="B44">
        <f>Skills!B12</f>
        <v/>
      </c>
      <c r="C44">
        <f>Inputs!$B$3&gt;=72</f>
        <v/>
      </c>
      <c r="D44">
        <f>IF(Skills!C12=1,60+Inputs!$B$24+Inputs!$B$28,IF(Skills!C12=2,90+Inputs!$B$25+Inputs!$B$28,IF(Skills!C12=3,120+Inputs!$B$26+Inputs!$B$28,MAX(0,(Inputs!$B$3-100)*3)+Inputs!$B$27+Inputs!$B$28)))</f>
        <v/>
      </c>
      <c r="E44">
        <f>INDEX(FactorTable!$B$2:$Y$301, MATCH(ROUND(MIN(300,MAX(1,D44)),0), FactorTable!$A$2:$A$301,0), Skills!L12+1)</f>
        <v/>
      </c>
      <c r="F44">
        <f>IF(Skills!M12=TRUE,(Skills!K12/10)*(E44/1000),Skills!K12/10)+Skills!N12</f>
        <v/>
      </c>
      <c r="G44">
        <f>Calc!G12</f>
        <v/>
      </c>
      <c r="H44">
        <f>Calc!H12</f>
        <v/>
      </c>
      <c r="I44">
        <f>IF(Skills!T12&lt;&gt;"",1+(Skills!T12/10)*($Z$3/1000)/100,1)</f>
        <v/>
      </c>
      <c r="J44" t="inlineStr"/>
      <c r="K44" t="inlineStr"/>
      <c r="L44" t="inlineStr"/>
      <c r="M44" t="inlineStr"/>
      <c r="N44" t="inlineStr"/>
      <c r="O44" t="n">
        <v>0</v>
      </c>
      <c r="P44">
        <f>IF(B70=0,0,O44/B70)</f>
        <v/>
      </c>
      <c r="S44">
        <f>IF(AND(Inputs!$B$4&lt;&gt;"pvp",Inputs!$B$35&gt;0),(INT(Inputs!$B$35/IF(Inputs!$B$4="pvp",15,MAX(0.1,Skills!D12-IF(Skills!E12=TRUE,Inputs!$B$31,0))))+1),0)</f>
        <v/>
      </c>
      <c r="V44">
        <f>IFERROR(1/IF(Inputs!$B$4="pvp",15,MAX(0.1,Skills!D12-IF(Skills!E12=TRUE,Inputs!$B$31,0))),0)</f>
        <v/>
      </c>
    </row>
    <row r="45">
      <c r="A45">
        <f>Skills!A13</f>
        <v/>
      </c>
      <c r="B45">
        <f>Skills!B13</f>
        <v/>
      </c>
      <c r="C45">
        <f>Inputs!$B$3&gt;=107</f>
        <v/>
      </c>
      <c r="D45">
        <f>IF(Skills!C13=1,60+Inputs!$B$24+Inputs!$B$28,IF(Skills!C13=2,90+Inputs!$B$25+Inputs!$B$28,IF(Skills!C13=3,120+Inputs!$B$26+Inputs!$B$28,MAX(0,(Inputs!$B$3-100)*3)+Inputs!$B$27+Inputs!$B$28)))</f>
        <v/>
      </c>
      <c r="E45">
        <f>INDEX(FactorTable!$B$2:$Y$301, MATCH(ROUND(MIN(300,MAX(1,D45)),0), FactorTable!$A$2:$A$301,0), Skills!L13+1)</f>
        <v/>
      </c>
      <c r="F45">
        <f>IF(Skills!M13=TRUE,(Skills!K13/10)*(E45/1000),Skills!K13/10)+Skills!N13</f>
        <v/>
      </c>
      <c r="G45">
        <f>Calc!G13</f>
        <v/>
      </c>
      <c r="H45">
        <f>Calc!H13</f>
        <v/>
      </c>
      <c r="I45">
        <f>IF(Skills!T13&lt;&gt;"",1+(Skills!T13/10)*($Z$3/1000)/100,1)</f>
        <v/>
      </c>
      <c r="J45" t="inlineStr"/>
      <c r="K45" t="inlineStr"/>
      <c r="L45" t="inlineStr"/>
      <c r="M45" t="inlineStr"/>
      <c r="N45" t="inlineStr"/>
      <c r="O45" t="n">
        <v>0</v>
      </c>
      <c r="P45">
        <f>IF(B70=0,0,O45/B70)</f>
        <v/>
      </c>
      <c r="S45">
        <f>IF(AND(Inputs!$B$4&lt;&gt;"pvp",Inputs!$B$35&gt;0),(INT(Inputs!$B$35/IF(Inputs!$B$4="pvp",15,MAX(0.1,Skills!D13-IF(Skills!E13=TRUE,Inputs!$B$31,0))))+1),0)</f>
        <v/>
      </c>
      <c r="V45">
        <f>IFERROR(1/IF(Inputs!$B$4="pvp",15,MAX(0.1,Skills!D13-IF(Skills!E13=TRUE,Inputs!$B$31,0))),0)</f>
        <v/>
      </c>
    </row>
    <row r="46">
      <c r="A46">
        <f>Skills!A14</f>
        <v/>
      </c>
      <c r="B46">
        <f>Skills!B14</f>
        <v/>
      </c>
      <c r="C46">
        <f>Inputs!$B$3&gt;=63</f>
        <v/>
      </c>
      <c r="D46">
        <f>IF(Skills!C14=1,60+Inputs!$B$24+Inputs!$B$28,IF(Skills!C14=2,90+Inputs!$B$25+Inputs!$B$28,IF(Skills!C14=3,120+Inputs!$B$26+Inputs!$B$28,MAX(0,(Inputs!$B$3-100)*3)+Inputs!$B$27+Inputs!$B$28)))</f>
        <v/>
      </c>
      <c r="E46">
        <f>INDEX(FactorTable!$B$2:$Y$301, MATCH(ROUND(MIN(300,MAX(1,D46)),0), FactorTable!$A$2:$A$301,0), Skills!L14+1)</f>
        <v/>
      </c>
      <c r="F46">
        <f>IF(Skills!M14=TRUE,(Skills!K14/10)*(E46/1000),Skills!K14/10)+Skills!N14</f>
        <v/>
      </c>
      <c r="G46">
        <f>Calc!G14</f>
        <v/>
      </c>
      <c r="H46">
        <f>Calc!H14</f>
        <v/>
      </c>
      <c r="I46">
        <f>IF(Skills!T14&lt;&gt;"",1+(Skills!T14/10)*($Z$3/1000)/100,1)</f>
        <v/>
      </c>
      <c r="J46">
        <f>((Inputs!$B$5*(1+Inputs!$B$6/100))+(((Inputs!$B$11+1)*(1+Inputs!$B$12/100))-(Inputs!$B$11*(1+Inputs!$B$12/100)))*(1+Inputs!$B$6/100))*(F46/100)</f>
        <v/>
      </c>
      <c r="K46">
        <f>J46*(1+(((Inputs!$B$11+1)*(1+Inputs!$B$12/100))*0.01+Inputs!$B$13*0.0025)/100)*(1+(Inputs!$B$14+B63)/100)*(1+IF(Inputs!$B$4="pvp",0,(1-Summary!$B$48)*(Inputs!$B$19+Skills!O14+B61)+Summary!$B$48*(Inputs!$B$20+Skills!P14+B62))/100)*(1+Inputs!$B$15/100)*(5000/(6000+Inputs!$B$7*(1-Inputs!$B$18/100)))*(1+Inputs!$B$23/100)*(1+IF(C49=TRUE,F49,0)/100)*(1+IF(C51=TRUE,F51,0)/100)*(1+IF(Skills!A14="TRIUMPH_FEATHER",IF(C47=TRUE,F47,0),0)/100)*(1+IF(C58=TRUE,F58,0)/100)^5*(1+(IF(Skills!A14="BIG_BANG",Inputs!$B$16,Inputs!$B$17))/100)*(B60*I46)</f>
        <v/>
      </c>
      <c r="L46">
        <f>K46*(MIN(Inputs!$B$21+(F53-Calc!F21),Inputs!$B$22)/100+Inputs!$B$22/100)/2</f>
        <v/>
      </c>
      <c r="M46">
        <f>L46*(1+(Inputs!$B$9+B64+(F56-Calc!F24))/100)</f>
        <v/>
      </c>
      <c r="N46">
        <f>L46*(1-MIN(Inputs!$B$8+((F55-Calc!F23)+(F54-Calc!F22)),100)/100)+M46*(MIN(Inputs!$B$8+((F55-Calc!F23)+(F54-Calc!F22)),100)/100)</f>
        <v/>
      </c>
      <c r="O46">
        <f>IF(C46,Skills!F14*N46*((IF(Inputs!$B$3&gt;=78,25,15)/100*B66*10)/(1+IF(Inputs!$B$3&gt;=78,25,15)/100*B66*10))*(Skills!I14/100*B66)/(1+Skills!G14*Skills!I14/100*B66)*IF(Inputs!$B$4="pvp",1,(1-Summary!$B$48)*(1)+Summary!$B$48*(MIN(Skills!Q14,Inputs!$B$37))),0)</f>
        <v/>
      </c>
      <c r="P46">
        <f>IF(B70=0,0,O46/B70)</f>
        <v/>
      </c>
      <c r="S46" t="n">
        <v>0</v>
      </c>
      <c r="V46">
        <f>IFERROR(1/IF(Inputs!$B$4="pvp",15,MAX(0.1,Skills!D14-IF(Skills!E14=TRUE,Inputs!$B$31,0))),0)</f>
        <v/>
      </c>
    </row>
    <row r="47">
      <c r="A47">
        <f>Skills!A15</f>
        <v/>
      </c>
      <c r="B47">
        <f>Skills!B15</f>
        <v/>
      </c>
      <c r="C47">
        <f>Inputs!$B$3&gt;=100</f>
        <v/>
      </c>
      <c r="D47">
        <f>IF(Skills!C15=1,60+Inputs!$B$24+Inputs!$B$28,IF(Skills!C15=2,90+Inputs!$B$25+Inputs!$B$28,IF(Skills!C15=3,120+Inputs!$B$26+Inputs!$B$28,MAX(0,(Inputs!$B$3-100)*3)+Inputs!$B$27+Inputs!$B$28)))</f>
        <v/>
      </c>
      <c r="E47">
        <f>INDEX(FactorTable!$B$2:$Y$301, MATCH(ROUND(MIN(300,MAX(1,D47)),0), FactorTable!$A$2:$A$301,0), Skills!L15+1)</f>
        <v/>
      </c>
      <c r="F47">
        <f>IF(Skills!M15=TRUE,(Skills!K15/10)*(E47/1000),Skills!K15/10)+Skills!N15</f>
        <v/>
      </c>
      <c r="G47">
        <f>Calc!G15</f>
        <v/>
      </c>
      <c r="H47">
        <f>Calc!H15</f>
        <v/>
      </c>
      <c r="I47">
        <f>IF(Skills!T15&lt;&gt;"",1+(Skills!T15/10)*($Z$3/1000)/100,1)</f>
        <v/>
      </c>
      <c r="J47" t="inlineStr"/>
      <c r="K47" t="inlineStr"/>
      <c r="L47" t="inlineStr"/>
      <c r="M47" t="inlineStr"/>
      <c r="N47" t="inlineStr"/>
      <c r="O47" t="n">
        <v>0</v>
      </c>
      <c r="P47">
        <f>IF(B70=0,0,O47/B70)</f>
        <v/>
      </c>
      <c r="S47" t="n">
        <v>0</v>
      </c>
      <c r="V47">
        <f>IFERROR(1/IF(Inputs!$B$4="pvp",15,MAX(0.1,Skills!D15-IF(Skills!E15=TRUE,Inputs!$B$31,0))),0)</f>
        <v/>
      </c>
    </row>
    <row r="48">
      <c r="A48">
        <f>Skills!A16</f>
        <v/>
      </c>
      <c r="B48">
        <f>Skills!B16</f>
        <v/>
      </c>
      <c r="C48">
        <f>Inputs!$B$3&gt;=49</f>
        <v/>
      </c>
      <c r="D48">
        <f>IF(Skills!C16=1,60+Inputs!$B$24+Inputs!$B$28,IF(Skills!C16=2,90+Inputs!$B$25+Inputs!$B$28,IF(Skills!C16=3,120+Inputs!$B$26+Inputs!$B$28,MAX(0,(Inputs!$B$3-100)*3)+Inputs!$B$27+Inputs!$B$28)))</f>
        <v/>
      </c>
      <c r="E48">
        <f>INDEX(FactorTable!$B$2:$Y$301, MATCH(ROUND(MIN(300,MAX(1,D48)),0), FactorTable!$A$2:$A$301,0), Skills!L16+1)</f>
        <v/>
      </c>
      <c r="F48">
        <f>IF(Skills!M16=TRUE,(Skills!K16/10)*(E48/1000),Skills!K16/10)+Skills!N16</f>
        <v/>
      </c>
      <c r="G48">
        <f>Calc!G16</f>
        <v/>
      </c>
      <c r="H48">
        <f>Calc!H16</f>
        <v/>
      </c>
      <c r="I48">
        <f>IF(Skills!T16&lt;&gt;"",1+(Skills!T16/10)*($Z$3/1000)/100,1)</f>
        <v/>
      </c>
      <c r="J48" t="inlineStr"/>
      <c r="K48" t="inlineStr"/>
      <c r="L48" t="inlineStr"/>
      <c r="M48" t="inlineStr"/>
      <c r="N48" t="inlineStr"/>
      <c r="O48" t="n">
        <v>0</v>
      </c>
      <c r="P48">
        <f>IF(B70=0,0,O48/B70)</f>
        <v/>
      </c>
      <c r="S48" t="n">
        <v>0</v>
      </c>
      <c r="V48">
        <f>IFERROR(1/IF(Inputs!$B$4="pvp",15,MAX(0.1,Skills!D16-IF(Skills!E16=TRUE,Inputs!$B$31,0))),0)</f>
        <v/>
      </c>
    </row>
    <row r="49">
      <c r="A49">
        <f>Skills!A17</f>
        <v/>
      </c>
      <c r="B49">
        <f>Skills!B17</f>
        <v/>
      </c>
      <c r="C49">
        <f>Inputs!$B$3&gt;=75</f>
        <v/>
      </c>
      <c r="D49">
        <f>IF(Skills!C17=1,60+Inputs!$B$24+Inputs!$B$28,IF(Skills!C17=2,90+Inputs!$B$25+Inputs!$B$28,IF(Skills!C17=3,120+Inputs!$B$26+Inputs!$B$28,MAX(0,(Inputs!$B$3-100)*3)+Inputs!$B$27+Inputs!$B$28)))</f>
        <v/>
      </c>
      <c r="E49">
        <f>INDEX(FactorTable!$B$2:$Y$301, MATCH(ROUND(MIN(300,MAX(1,D49)),0), FactorTable!$A$2:$A$301,0), Skills!L17+1)</f>
        <v/>
      </c>
      <c r="F49">
        <f>IF(Skills!M17=TRUE,(Skills!K17/10)*(E49/1000),Skills!K17/10)+Skills!N17</f>
        <v/>
      </c>
      <c r="G49">
        <f>Calc!G17</f>
        <v/>
      </c>
      <c r="H49">
        <f>Calc!H17</f>
        <v/>
      </c>
      <c r="I49">
        <f>IF(Skills!T17&lt;&gt;"",1+(Skills!T17/10)*($Z$3/1000)/100,1)</f>
        <v/>
      </c>
      <c r="J49" t="inlineStr"/>
      <c r="K49" t="inlineStr"/>
      <c r="L49" t="inlineStr"/>
      <c r="M49" t="inlineStr"/>
      <c r="N49" t="inlineStr"/>
      <c r="O49" t="n">
        <v>0</v>
      </c>
      <c r="P49">
        <f>IF(B70=0,0,O49/B70)</f>
        <v/>
      </c>
      <c r="S49" t="n">
        <v>0</v>
      </c>
      <c r="V49">
        <f>IFERROR(1/IF(Inputs!$B$4="pvp",15,MAX(0.1,Skills!D17-IF(Skills!E17=TRUE,Inputs!$B$31,0))),0)</f>
        <v/>
      </c>
    </row>
    <row r="50">
      <c r="A50">
        <f>Skills!A18</f>
        <v/>
      </c>
      <c r="B50">
        <f>Skills!B18</f>
        <v/>
      </c>
      <c r="C50">
        <f>Inputs!$B$3&gt;=110</f>
        <v/>
      </c>
      <c r="D50">
        <f>IF(Skills!C18=1,60+Inputs!$B$24+Inputs!$B$28,IF(Skills!C18=2,90+Inputs!$B$25+Inputs!$B$28,IF(Skills!C18=3,120+Inputs!$B$26+Inputs!$B$28,MAX(0,(Inputs!$B$3-100)*3)+Inputs!$B$27+Inputs!$B$28)))</f>
        <v/>
      </c>
      <c r="E50">
        <f>INDEX(FactorTable!$B$2:$Y$301, MATCH(ROUND(MIN(300,MAX(1,D50)),0), FactorTable!$A$2:$A$301,0), Skills!L18+1)</f>
        <v/>
      </c>
      <c r="F50">
        <f>(Skills!K18/10)*(E50/1000)*64/45+Skills!N18</f>
        <v/>
      </c>
      <c r="G50">
        <f>Calc!G18</f>
        <v/>
      </c>
      <c r="H50">
        <f>Calc!H18</f>
        <v/>
      </c>
      <c r="I50">
        <f>IF(Skills!T18&lt;&gt;"",1+(Skills!T18/10)*($Z$3/1000)/100,1)</f>
        <v/>
      </c>
      <c r="J50" t="inlineStr"/>
      <c r="K50" t="inlineStr"/>
      <c r="L50" t="inlineStr"/>
      <c r="M50" t="inlineStr"/>
      <c r="N50" t="inlineStr"/>
      <c r="O50" t="n">
        <v>0</v>
      </c>
      <c r="P50">
        <f>IF(B70=0,0,O50/B70)</f>
        <v/>
      </c>
      <c r="S50">
        <f>IF(AND(Inputs!$B$4&lt;&gt;"pvp",Inputs!$B$35&gt;0),(INT(Inputs!$B$35/IF(Inputs!$B$4="pvp",15,MAX(0.1,Skills!D18-IF(Skills!E18=TRUE,Inputs!$B$31,0))))+1),0)</f>
        <v/>
      </c>
      <c r="V50">
        <f>IFERROR(1/IF(Inputs!$B$4="pvp",15,MAX(0.1,Skills!D18-IF(Skills!E18=TRUE,Inputs!$B$31,0))),0)</f>
        <v/>
      </c>
    </row>
    <row r="51">
      <c r="A51">
        <f>Skills!A19</f>
        <v/>
      </c>
      <c r="B51">
        <f>Skills!B19</f>
        <v/>
      </c>
      <c r="C51">
        <f>Inputs!$B$3&gt;=125</f>
        <v/>
      </c>
      <c r="D51">
        <f>IF(Skills!C19=1,60+Inputs!$B$24+Inputs!$B$28,IF(Skills!C19=2,90+Inputs!$B$25+Inputs!$B$28,IF(Skills!C19=3,120+Inputs!$B$26+Inputs!$B$28,MAX(0,(Inputs!$B$3-100)*3)+Inputs!$B$27+Inputs!$B$28)))</f>
        <v/>
      </c>
      <c r="E51">
        <f>INDEX(FactorTable!$B$2:$Y$301, MATCH(ROUND(MIN(300,MAX(1,D51)),0), FactorTable!$A$2:$A$301,0), Skills!L19+1)</f>
        <v/>
      </c>
      <c r="F51">
        <f>IF(Skills!M19=TRUE,(Skills!K19/10)*(E51/1000),Skills!K19/10)+Skills!N19</f>
        <v/>
      </c>
      <c r="G51">
        <f>Calc!G19</f>
        <v/>
      </c>
      <c r="H51">
        <f>Calc!H19</f>
        <v/>
      </c>
      <c r="I51">
        <f>IF(Skills!T19&lt;&gt;"",1+(Skills!T19/10)*($Z$3/1000)/100,1)</f>
        <v/>
      </c>
      <c r="J51" t="inlineStr"/>
      <c r="K51" t="inlineStr"/>
      <c r="L51" t="inlineStr"/>
      <c r="M51" t="inlineStr"/>
      <c r="N51" t="inlineStr"/>
      <c r="O51" t="n">
        <v>0</v>
      </c>
      <c r="P51">
        <f>IF(B70=0,0,O51/B70)</f>
        <v/>
      </c>
      <c r="S51" t="n">
        <v>0</v>
      </c>
      <c r="V51">
        <f>IFERROR(1/IF(Inputs!$B$4="pvp",15,MAX(0.1,Skills!D19-IF(Skills!E19=TRUE,Inputs!$B$31,0))),0)</f>
        <v/>
      </c>
    </row>
    <row r="52">
      <c r="A52">
        <f>Skills!A20</f>
        <v/>
      </c>
      <c r="B52">
        <f>Skills!B20</f>
        <v/>
      </c>
      <c r="C52">
        <f>Inputs!$B$3&gt;=33</f>
        <v/>
      </c>
      <c r="D52">
        <f>IF(Skills!C20=1,60+Inputs!$B$24+Inputs!$B$28,IF(Skills!C20=2,90+Inputs!$B$25+Inputs!$B$28,IF(Skills!C20=3,120+Inputs!$B$26+Inputs!$B$28,MAX(0,(Inputs!$B$3-100)*3)+Inputs!$B$27+Inputs!$B$28)))</f>
        <v/>
      </c>
      <c r="E52">
        <f>INDEX(FactorTable!$B$2:$Y$301, MATCH(ROUND(MIN(300,MAX(1,D52)),0), FactorTable!$A$2:$A$301,0), Skills!L20+1)</f>
        <v/>
      </c>
      <c r="F52">
        <f>IF(Skills!M20=TRUE,(Skills!K20/10)*(E52/1000),Skills!K20/10)+Skills!N20</f>
        <v/>
      </c>
      <c r="G52">
        <f>Calc!G20</f>
        <v/>
      </c>
      <c r="H52">
        <f>Calc!H20</f>
        <v/>
      </c>
      <c r="I52">
        <f>IF(Skills!T20&lt;&gt;"",1+(Skills!T20/10)*($Z$3/1000)/100,1)</f>
        <v/>
      </c>
      <c r="J52" t="inlineStr"/>
      <c r="K52" t="inlineStr"/>
      <c r="L52" t="inlineStr"/>
      <c r="M52" t="inlineStr"/>
      <c r="N52" t="inlineStr"/>
      <c r="O52" t="n">
        <v>0</v>
      </c>
      <c r="P52">
        <f>IF(B70=0,0,O52/B70)</f>
        <v/>
      </c>
      <c r="S52" t="n">
        <v>0</v>
      </c>
      <c r="V52">
        <f>IFERROR(1/IF(Inputs!$B$4="pvp",15,MAX(0.1,Skills!D20-IF(Skills!E20=TRUE,Inputs!$B$31,0))),0)</f>
        <v/>
      </c>
    </row>
    <row r="53">
      <c r="A53">
        <f>Skills!A21</f>
        <v/>
      </c>
      <c r="B53">
        <f>Skills!B21</f>
        <v/>
      </c>
      <c r="C53">
        <f>Inputs!$B$3&gt;=43</f>
        <v/>
      </c>
      <c r="D53">
        <f>IF(Skills!C21=1,60+Inputs!$B$24+Inputs!$B$28,IF(Skills!C21=2,90+Inputs!$B$25+Inputs!$B$28,IF(Skills!C21=3,120+Inputs!$B$26+Inputs!$B$28,MAX(0,(Inputs!$B$3-100)*3)+Inputs!$B$27+Inputs!$B$28)))</f>
        <v/>
      </c>
      <c r="E53">
        <f>INDEX(FactorTable!$B$2:$Y$301, MATCH(ROUND(MIN(300,MAX(1,D53)),0), FactorTable!$A$2:$A$301,0), Skills!L21+1)</f>
        <v/>
      </c>
      <c r="F53">
        <f>IF(Skills!M21=TRUE,(Skills!K21/10)*(E53/1000),Skills!K21/10)+Skills!N21</f>
        <v/>
      </c>
      <c r="G53">
        <f>Calc!G21</f>
        <v/>
      </c>
      <c r="H53">
        <f>Calc!H21</f>
        <v/>
      </c>
      <c r="I53">
        <f>IF(Skills!T21&lt;&gt;"",1+(Skills!T21/10)*($Z$3/1000)/100,1)</f>
        <v/>
      </c>
      <c r="J53" t="inlineStr"/>
      <c r="K53" t="inlineStr"/>
      <c r="L53" t="inlineStr"/>
      <c r="M53" t="inlineStr"/>
      <c r="N53" t="inlineStr"/>
      <c r="O53" t="n">
        <v>0</v>
      </c>
      <c r="P53">
        <f>IF(B70=0,0,O53/B70)</f>
        <v/>
      </c>
      <c r="S53" t="n">
        <v>0</v>
      </c>
      <c r="V53">
        <f>IFERROR(1/IF(Inputs!$B$4="pvp",15,MAX(0.1,Skills!D21-IF(Skills!E21=TRUE,Inputs!$B$31,0))),0)</f>
        <v/>
      </c>
    </row>
    <row r="54">
      <c r="A54">
        <f>Skills!A22</f>
        <v/>
      </c>
      <c r="B54">
        <f>Skills!B22</f>
        <v/>
      </c>
      <c r="C54">
        <f>Inputs!$B$3&gt;=50</f>
        <v/>
      </c>
      <c r="D54">
        <f>IF(Skills!C22=1,60+Inputs!$B$24+Inputs!$B$28,IF(Skills!C22=2,90+Inputs!$B$25+Inputs!$B$28,IF(Skills!C22=3,120+Inputs!$B$26+Inputs!$B$28,MAX(0,(Inputs!$B$3-100)*3)+Inputs!$B$27+Inputs!$B$28)))</f>
        <v/>
      </c>
      <c r="E54">
        <f>INDEX(FactorTable!$B$2:$Y$301, MATCH(ROUND(MIN(300,MAX(1,D54)),0), FactorTable!$A$2:$A$301,0), Skills!L22+1)</f>
        <v/>
      </c>
      <c r="F54">
        <f>IF(Skills!M22=TRUE,(Skills!K22/10)*(E54/1000),Skills!K22/10)+Skills!N22</f>
        <v/>
      </c>
      <c r="G54">
        <f>Calc!G22</f>
        <v/>
      </c>
      <c r="H54">
        <f>Calc!H22</f>
        <v/>
      </c>
      <c r="I54">
        <f>IF(Skills!T22&lt;&gt;"",1+(Skills!T22/10)*($Z$3/1000)/100,1)</f>
        <v/>
      </c>
      <c r="J54" t="inlineStr"/>
      <c r="K54" t="inlineStr"/>
      <c r="L54" t="inlineStr"/>
      <c r="M54" t="inlineStr"/>
      <c r="N54" t="inlineStr"/>
      <c r="O54" t="n">
        <v>0</v>
      </c>
      <c r="P54">
        <f>IF(B70=0,0,O54/B70)</f>
        <v/>
      </c>
      <c r="S54" t="n">
        <v>0</v>
      </c>
      <c r="V54">
        <f>IFERROR(1/IF(Inputs!$B$4="pvp",15,MAX(0.1,Skills!D22-IF(Skills!E22=TRUE,Inputs!$B$31,0))),0)</f>
        <v/>
      </c>
    </row>
    <row r="55">
      <c r="A55">
        <f>Skills!A23</f>
        <v/>
      </c>
      <c r="B55">
        <f>Skills!B23</f>
        <v/>
      </c>
      <c r="C55">
        <f>Inputs!$B$3&gt;=74</f>
        <v/>
      </c>
      <c r="D55">
        <f>IF(Skills!C23=1,60+Inputs!$B$24+Inputs!$B$28,IF(Skills!C23=2,90+Inputs!$B$25+Inputs!$B$28,IF(Skills!C23=3,120+Inputs!$B$26+Inputs!$B$28,MAX(0,(Inputs!$B$3-100)*3)+Inputs!$B$27+Inputs!$B$28)))</f>
        <v/>
      </c>
      <c r="E55">
        <f>INDEX(FactorTable!$B$2:$Y$301, MATCH(ROUND(MIN(300,MAX(1,D55)),0), FactorTable!$A$2:$A$301,0), Skills!L23+1)</f>
        <v/>
      </c>
      <c r="F55">
        <f>IF(Skills!M23=TRUE,(Skills!K23/10)*(E55/1000),Skills!K23/10)+Skills!N23</f>
        <v/>
      </c>
      <c r="G55">
        <f>Calc!G23</f>
        <v/>
      </c>
      <c r="H55">
        <f>Calc!H23</f>
        <v/>
      </c>
      <c r="I55">
        <f>IF(Skills!T23&lt;&gt;"",1+(Skills!T23/10)*($Z$3/1000)/100,1)</f>
        <v/>
      </c>
      <c r="J55" t="inlineStr"/>
      <c r="K55" t="inlineStr"/>
      <c r="L55" t="inlineStr"/>
      <c r="M55" t="inlineStr"/>
      <c r="N55" t="inlineStr"/>
      <c r="O55" t="n">
        <v>0</v>
      </c>
      <c r="P55">
        <f>IF(B70=0,0,O55/B70)</f>
        <v/>
      </c>
      <c r="S55" t="n">
        <v>0</v>
      </c>
      <c r="V55">
        <f>IFERROR(1/IF(Inputs!$B$4="pvp",15,MAX(0.1,Skills!D23-IF(Skills!E23=TRUE,Inputs!$B$31,0))),0)</f>
        <v/>
      </c>
    </row>
    <row r="56">
      <c r="A56">
        <f>Skills!A24</f>
        <v/>
      </c>
      <c r="B56">
        <f>Skills!B24</f>
        <v/>
      </c>
      <c r="C56">
        <f>Inputs!$B$3&gt;=74</f>
        <v/>
      </c>
      <c r="D56">
        <f>IF(Skills!C24=1,60+Inputs!$B$24+Inputs!$B$28,IF(Skills!C24=2,90+Inputs!$B$25+Inputs!$B$28,IF(Skills!C24=3,120+Inputs!$B$26+Inputs!$B$28,MAX(0,(Inputs!$B$3-100)*3)+Inputs!$B$27+Inputs!$B$28)))</f>
        <v/>
      </c>
      <c r="E56">
        <f>INDEX(FactorTable!$B$2:$Y$301, MATCH(ROUND(MIN(300,MAX(1,D56)),0), FactorTable!$A$2:$A$301,0), Skills!L24+1)</f>
        <v/>
      </c>
      <c r="F56">
        <f>IF(Skills!M24=TRUE,(Skills!K24/10)*(E56/1000),Skills!K24/10)+Skills!N24</f>
        <v/>
      </c>
      <c r="G56">
        <f>Calc!G24</f>
        <v/>
      </c>
      <c r="H56">
        <f>Calc!H24</f>
        <v/>
      </c>
      <c r="I56">
        <f>IF(Skills!T24&lt;&gt;"",1+(Skills!T24/10)*($Z$3/1000)/100,1)</f>
        <v/>
      </c>
      <c r="J56" t="inlineStr"/>
      <c r="K56" t="inlineStr"/>
      <c r="L56" t="inlineStr"/>
      <c r="M56" t="inlineStr"/>
      <c r="N56" t="inlineStr"/>
      <c r="O56" t="n">
        <v>0</v>
      </c>
      <c r="P56">
        <f>IF(B70=0,0,O56/B70)</f>
        <v/>
      </c>
      <c r="S56" t="n">
        <v>0</v>
      </c>
      <c r="V56">
        <f>IFERROR(1/IF(Inputs!$B$4="pvp",15,MAX(0.1,Skills!D24-IF(Skills!E24=TRUE,Inputs!$B$31,0))),0)</f>
        <v/>
      </c>
    </row>
    <row r="57">
      <c r="A57">
        <f>Skills!A25</f>
        <v/>
      </c>
      <c r="B57">
        <f>Skills!B25</f>
        <v/>
      </c>
      <c r="C57">
        <f>Inputs!$B$3&gt;=117</f>
        <v/>
      </c>
      <c r="D57">
        <f>IF(Skills!C25=1,60+Inputs!$B$24+Inputs!$B$28,IF(Skills!C25=2,90+Inputs!$B$25+Inputs!$B$28,IF(Skills!C25=3,120+Inputs!$B$26+Inputs!$B$28,MAX(0,(Inputs!$B$3-100)*3)+Inputs!$B$27+Inputs!$B$28)))</f>
        <v/>
      </c>
      <c r="E57">
        <f>INDEX(FactorTable!$B$2:$Y$301, MATCH(ROUND(MIN(300,MAX(1,D57)),0), FactorTable!$A$2:$A$301,0), Skills!L25+1)</f>
        <v/>
      </c>
      <c r="F57">
        <f>IF(Skills!M25=TRUE,(Skills!K25/10)*(E57/1000),Skills!K25/10)+Skills!N25</f>
        <v/>
      </c>
      <c r="G57">
        <f>Calc!G25</f>
        <v/>
      </c>
      <c r="H57">
        <f>Calc!H25</f>
        <v/>
      </c>
      <c r="I57">
        <f>IF(Skills!T25&lt;&gt;"",1+(Skills!T25/10)*($Z$3/1000)/100,1)</f>
        <v/>
      </c>
      <c r="J57" t="inlineStr"/>
      <c r="K57" t="inlineStr"/>
      <c r="L57" t="inlineStr"/>
      <c r="M57" t="inlineStr"/>
      <c r="N57" t="inlineStr"/>
      <c r="O57" t="n">
        <v>0</v>
      </c>
      <c r="P57">
        <f>IF(B70=0,0,O57/B70)</f>
        <v/>
      </c>
      <c r="S57" t="n">
        <v>0</v>
      </c>
      <c r="V57">
        <f>IFERROR(1/IF(Inputs!$B$4="pvp",15,MAX(0.1,Skills!D25-IF(Skills!E25=TRUE,Inputs!$B$31,0))),0)</f>
        <v/>
      </c>
    </row>
    <row r="58">
      <c r="A58">
        <f>Skills!A26</f>
        <v/>
      </c>
      <c r="B58">
        <f>Skills!B26</f>
        <v/>
      </c>
      <c r="C58">
        <f>Inputs!$B$3&gt;=120</f>
        <v/>
      </c>
      <c r="D58">
        <f>IF(Skills!C26=1,60+Inputs!$B$24+Inputs!$B$28,IF(Skills!C26=2,90+Inputs!$B$25+Inputs!$B$28,IF(Skills!C26=3,120+Inputs!$B$26+Inputs!$B$28,MAX(0,(Inputs!$B$3-100)*3)+Inputs!$B$27+Inputs!$B$28)))</f>
        <v/>
      </c>
      <c r="E58">
        <f>INDEX(FactorTable!$B$2:$Y$301, MATCH(ROUND(MIN(300,MAX(1,D58)),0), FactorTable!$A$2:$A$301,0), Skills!L26+1)</f>
        <v/>
      </c>
      <c r="F58">
        <f>IF(Skills!M26=TRUE,(Skills!K26/10)*(E58/1000),Skills!K26/10)+Skills!N26</f>
        <v/>
      </c>
      <c r="G58">
        <f>Calc!G26</f>
        <v/>
      </c>
      <c r="H58">
        <f>Calc!H26</f>
        <v/>
      </c>
      <c r="I58">
        <f>IF(Skills!T26&lt;&gt;"",1+(Skills!T26/10)*($Z$3/1000)/100,1)</f>
        <v/>
      </c>
      <c r="J58" t="inlineStr"/>
      <c r="K58" t="inlineStr"/>
      <c r="L58" t="inlineStr"/>
      <c r="M58" t="inlineStr"/>
      <c r="N58" t="inlineStr"/>
      <c r="O58" t="n">
        <v>0</v>
      </c>
      <c r="P58">
        <f>IF(B70=0,0,O58/B70)</f>
        <v/>
      </c>
      <c r="S58" t="n">
        <v>0</v>
      </c>
      <c r="V58">
        <f>IFERROR(1/IF(Inputs!$B$4="pvp",15,MAX(0.1,Skills!D26-IF(Skills!E26=TRUE,Inputs!$B$31,0))),0)</f>
        <v/>
      </c>
    </row>
    <row r="60">
      <c r="A60" t="inlineStr">
        <is>
          <t>Average Buff Multiplier</t>
        </is>
      </c>
      <c r="B60">
        <f>(1+(IF(C35=TRUE,F35*IF(AND(Inputs!$B$4&lt;&gt;"pvp",Inputs!$B$35&gt;0),(((S35-1)*(Skills!S3*(1+(Inputs!$B$33+IF(Inputs!$B$3&gt;=117,F57,0))/100))+MIN((Skills!S3*(1+(Inputs!$B$33+IF(Inputs!$B$3&gt;=117,F57,0))/100)),MAX(0,Inputs!$B$35-((S35-1)*Skills!D3))))/Inputs!$B$35),IF(Inputs!$B$4="pvp",MIN((Skills!S3*(1+(Inputs!$B$33+IF(Inputs!$B$3&gt;=117,F57,0))/100)),15)/15,(Skills!S3*(1+(Inputs!$B$33+IF(Inputs!$B$3&gt;=117,F57,0))/100))/Skills!D3)),0)+IF(C36=TRUE,F36*IF(AND(Inputs!$B$4&lt;&gt;"pvp",Inputs!$B$35&gt;0),(((S36-1)*(Skills!S4*(1+(Inputs!$B$33+IF(Inputs!$B$3&gt;=117,F57,0))/100))+MIN((Skills!S4*(1+(Inputs!$B$33+IF(Inputs!$B$3&gt;=117,F57,0))/100)),MAX(0,Inputs!$B$35-((S36-1)*Skills!D4))))/Inputs!$B$35),IF(Inputs!$B$4="pvp",MIN((Skills!S4*(1+(Inputs!$B$33+IF(Inputs!$B$3&gt;=117,F57,0))/100)),15)/15,(Skills!S4*(1+(Inputs!$B$33+IF(Inputs!$B$3&gt;=117,F57,0))/100))/Skills!D4)),0)+IF(C37=TRUE,F37*IF(AND(Inputs!$B$4&lt;&gt;"pvp",Inputs!$B$35&gt;0),(((S37-1)*(Skills!S5*(1+(Inputs!$B$33+IF(Inputs!$B$3&gt;=117,F57,0))/100))+MIN((Skills!S5*(1+(Inputs!$B$33+IF(Inputs!$B$3&gt;=117,F57,0))/100)),MAX(0,Inputs!$B$35-((S37-1)*Skills!D5))))/Inputs!$B$35),IF(Inputs!$B$4="pvp",MIN((Skills!S5*(1+(Inputs!$B$33+IF(Inputs!$B$3&gt;=117,F57,0))/100)),15)/15,(Skills!S5*(1+(Inputs!$B$33+IF(Inputs!$B$3&gt;=117,F57,0))/100))/Skills!D5)),0)+IF(C43=TRUE,F43*IF(AND(Inputs!$B$4&lt;&gt;"pvp",Inputs!$B$35&gt;0),(((S43-1)*(Skills!S11*(1+(Inputs!$B$33+IF(Inputs!$B$3&gt;=117,F57,0))/100))+MIN((Skills!S11*(1+(Inputs!$B$33+IF(Inputs!$B$3&gt;=117,F57,0))/100)),MAX(0,Inputs!$B$35-((S43-1)*Skills!D11))))/Inputs!$B$35),IF(Inputs!$B$4="pvp",MIN((Skills!S11*(1+(Inputs!$B$33+IF(Inputs!$B$3&gt;=117,F57,0))/100)),15)/15,(Skills!S11*(1+(Inputs!$B$33+IF(Inputs!$B$3&gt;=117,F57,0))/100))/Skills!D11)),0))/100)*IF(C45=TRUE,(1+F45*IF(AND(Inputs!$B$4&lt;&gt;"pvp",Inputs!$B$35&gt;0),(((S45-1)*(Skills!S13*(1+(Inputs!$B$33+IF(Inputs!$B$3&gt;=117,F57,0))/100))+MIN((Skills!S13*(1+(Inputs!$B$33+IF(Inputs!$B$3&gt;=117,F57,0))/100)),MAX(0,Inputs!$B$35-((S45-1)*Skills!D13))))/Inputs!$B$35),IF(Inputs!$B$4="pvp",MIN((Skills!S13*(1+(Inputs!$B$33+IF(Inputs!$B$3&gt;=117,F57,0))/100)),15)/15,(Skills!S13*(1+(Inputs!$B$33+IF(Inputs!$B$3&gt;=117,F57,0))/100))/Skills!D13))/100),1)*IF(C50=TRUE,(1+F50*IF(AND(Inputs!$B$4&lt;&gt;"pvp",Inputs!$B$35&gt;0),(((S50-1)*(Skills!S18*(1+(Inputs!$B$33+IF(Inputs!$B$3&gt;=117,F57,0))/100))+MIN((Skills!S18*(1+(Inputs!$B$33+IF(Inputs!$B$3&gt;=117,F57,0))/100)),MAX(0,Inputs!$B$35-((S50-1)*Skills!D18))))/Inputs!$B$35),IF(Inputs!$B$4="pvp",MIN((Skills!S18*(1+(Inputs!$B$33+IF(Inputs!$B$3&gt;=117,F57,0))/100)),15)/15,(Skills!S18*(1+(Inputs!$B$33+IF(Inputs!$B$3&gt;=117,F57,0))/100))/Skills!D18))/100),1)</f>
        <v/>
      </c>
    </row>
    <row r="61">
      <c r="A61" t="inlineStr">
        <is>
          <t>Monster Damage Taken Bonus % (Holy Fountain)</t>
        </is>
      </c>
      <c r="B61">
        <f>IF(Inputs!$B$3&gt;=68,20*IF(Inputs!$B$4="pvp",MIN((15*(1+(Inputs!$B$33+IF(Inputs!$B$3&gt;=117,F57,0))/100)),15)/15,(15*(1+(Inputs!$B$33+IF(Inputs!$B$3&gt;=117,F57,0))/100))/Skills!D10),0)</f>
        <v/>
      </c>
    </row>
    <row r="62">
      <c r="A62" t="inlineStr">
        <is>
          <t>Normal Monster Damage Bonus % (Holy Symbol)</t>
        </is>
      </c>
      <c r="B62">
        <f>IF(C44=TRUE,F44*IF(AND(Inputs!$B$4&lt;&gt;"pvp",Inputs!$B$35&gt;0),(((S44-1)*(Skills!S12*(1+(Inputs!$B$33+IF(Inputs!$B$3&gt;=117,F57,0))/100))+MIN((Skills!S12*(1+(Inputs!$B$33+IF(Inputs!$B$3&gt;=117,F57,0))/100)),MAX(0,Inputs!$B$35-((S44-1)*Skills!D12))))/Inputs!$B$35),IF(Inputs!$B$4="pvp",MIN((Skills!S12*(1+(Inputs!$B$33+IF(Inputs!$B$3&gt;=117,F57,0))/100)),15)/15,(Skills!S12*(1+(Inputs!$B$33+IF(Inputs!$B$3&gt;=117,F57,0))/100))/Skills!D12)),0)</f>
        <v/>
      </c>
    </row>
    <row r="63">
      <c r="A63" t="inlineStr">
        <is>
          <t>Damage % Bonus (Holy Symbol - Damage Boost)</t>
        </is>
      </c>
      <c r="B63">
        <f>Skills!O12</f>
        <v/>
      </c>
    </row>
    <row r="64">
      <c r="A64" t="inlineStr">
        <is>
          <t>Crit Damage % Bonus (Blood of the Divine)</t>
        </is>
      </c>
      <c r="B64">
        <f>4*IF(C51=TRUE,F51,0)</f>
        <v/>
      </c>
    </row>
    <row r="65">
      <c r="A65" t="inlineStr">
        <is>
          <t>Attack Speed Bonus %</t>
        </is>
      </c>
      <c r="B65">
        <f>IF(C48=TRUE,F48+(F52-Calc!F20),0)+IF(Inputs!$B$3&gt;=134,15,0)</f>
        <v/>
      </c>
    </row>
    <row r="66">
      <c r="A66" t="inlineStr">
        <is>
          <t>Actions Per Second</t>
        </is>
      </c>
      <c r="B66">
        <f>1+MIN(150,150*(1-(1-Inputs!$B$10/150)*(1-B65/150)))/100</f>
        <v/>
      </c>
    </row>
    <row r="67">
      <c r="A67" t="inlineStr">
        <is>
          <t>Skill + Buff Cast Rate</t>
        </is>
      </c>
      <c r="B67">
        <f>IF(AND(Inputs!$B$4&lt;&gt;"pvp",Inputs!$B$35&gt;0),SUMPRODUCT((Skills!E2:E26=TRUE)*(C34:C58=TRUE)*S34:S58)/Inputs!$B$35,SUMPRODUCT((Skills!E2:E26=TRUE)*(C34:C58=TRUE)*V34:V58))</f>
        <v/>
      </c>
    </row>
    <row r="68">
      <c r="A68" t="inlineStr">
        <is>
          <t>Big Bang Casts Per Second</t>
        </is>
      </c>
      <c r="B68">
        <f>MAX(0,B66-B67)</f>
        <v/>
      </c>
    </row>
    <row r="70">
      <c r="A70" s="5" t="inlineStr">
        <is>
          <t>TOTAL DPS</t>
        </is>
      </c>
      <c r="B70" s="5">
        <f>SUM(O34:O58)</f>
        <v/>
      </c>
    </row>
    <row r="73">
      <c r="A73" s="5" t="inlineStr">
        <is>
          <t>Stat: INT %</t>
        </is>
      </c>
    </row>
    <row r="74">
      <c r="A74" s="8" t="inlineStr">
        <is>
          <t>Key</t>
        </is>
      </c>
      <c r="B74" s="8" t="inlineStr">
        <is>
          <t>Name</t>
        </is>
      </c>
      <c r="C74" s="8" t="inlineStr">
        <is>
          <t>Unlocked</t>
        </is>
      </c>
      <c r="D74" s="8" t="inlineStr">
        <is>
          <t>InputLevel</t>
        </is>
      </c>
      <c r="E74" s="8" t="inlineStr">
        <is>
          <t>Factor</t>
        </is>
      </c>
      <c r="F74" s="8" t="inlineStr">
        <is>
          <t>CoefficientPercent</t>
        </is>
      </c>
      <c r="G74" s="8" t="inlineStr">
        <is>
          <t>EffectiveHits</t>
        </is>
      </c>
      <c r="H74" s="8" t="inlineStr">
        <is>
          <t>ProcProbability</t>
        </is>
      </c>
      <c r="I74" s="8" t="inlineStr">
        <is>
          <t>MapleHeroMultiplier</t>
        </is>
      </c>
      <c r="J74" s="8" t="inlineStr">
        <is>
          <t>BaseDamage</t>
        </is>
      </c>
      <c r="K74" s="8" t="inlineStr">
        <is>
          <t>BaseHitDamage</t>
        </is>
      </c>
      <c r="L74" s="8" t="inlineStr">
        <is>
          <t>NonCritAvg</t>
        </is>
      </c>
      <c r="M74" s="8" t="inlineStr">
        <is>
          <t>CritAvg</t>
        </is>
      </c>
      <c r="N74" s="8" t="inlineStr">
        <is>
          <t>ExpectedDamage(perHit)</t>
        </is>
      </c>
      <c r="O74" s="8" t="inlineStr">
        <is>
          <t>DPS</t>
        </is>
      </c>
      <c r="P74" s="8" t="inlineStr">
        <is>
          <t>% of Total</t>
        </is>
      </c>
      <c r="R74" t="inlineStr">
        <is>
          <t>helpers</t>
        </is>
      </c>
    </row>
    <row r="75">
      <c r="A75">
        <f>Skills!A2</f>
        <v/>
      </c>
      <c r="B75">
        <f>Skills!B2</f>
        <v/>
      </c>
      <c r="C75">
        <f>Inputs!$B$3&gt;=100</f>
        <v/>
      </c>
      <c r="D75" t="inlineStr"/>
      <c r="E75" t="inlineStr"/>
      <c r="F75">
        <f>T77+Skills!N2</f>
        <v/>
      </c>
      <c r="G75">
        <f>Calc!G2</f>
        <v/>
      </c>
      <c r="H75">
        <f>Calc!H2</f>
        <v/>
      </c>
      <c r="I75">
        <f>IF(Skills!T2&lt;&gt;"",1+(Skills!T2/10)*($Z$3/1000)/100,1)</f>
        <v/>
      </c>
      <c r="J75">
        <f>((Inputs!$B$5*(1+Inputs!$B$6/100))+((Inputs!$B$11*(1+(Inputs!$B$12+1)/100))-(Inputs!$B$11*(1+Inputs!$B$12/100)))*(1+Inputs!$B$6/100))*(F75/100)</f>
        <v/>
      </c>
      <c r="K75">
        <f>J75*(1+((Inputs!$B$11*(1+(Inputs!$B$12+1)/100))*0.01+Inputs!$B$13*0.0025)/100)*(1+(Inputs!$B$14+B104)/100)*(1+IF(Inputs!$B$4="pvp",0,(1-Summary!$B$48)*(Inputs!$B$19+Skills!O2+B102)+Summary!$B$48*(Inputs!$B$20+Skills!P2+B103))/100)*(1+Inputs!$B$15/100)*(5000/(6000+Inputs!$B$7*(1-Inputs!$B$18/100)))*(1+Inputs!$B$23/100)*(1+IF(C90=TRUE,F90,0)/100)*(1+IF(C92=TRUE,F92,0)/100)*(1+IF(Skills!A2="TRIUMPH_FEATHER",IF(C88=TRUE,F88,0),0)/100)*(1+IF(C99=TRUE,F99,0)/100)^5*(1+(IF(Skills!A2="BIG_BANG",Inputs!$B$16,Inputs!$B$17))/100)*(B101*I75)</f>
        <v/>
      </c>
      <c r="L75">
        <f>K75*(MIN(Inputs!$B$21+(F94-Calc!F21),Inputs!$B$22)/100+Inputs!$B$22/100)/2</f>
        <v/>
      </c>
      <c r="M75">
        <f>L75*(1+(Inputs!$B$9+B105+(F97-Calc!F24))/100)</f>
        <v/>
      </c>
      <c r="N75">
        <f>L75*(1-MIN(Inputs!$B$8+((F96-Calc!F23)+(F95-Calc!F22)),100)/100)+M75*(MIN(Inputs!$B$8+((F96-Calc!F23)+(F95-Calc!F22)),100)/100)</f>
        <v/>
      </c>
      <c r="O75">
        <f>IF(C75,Skills!F2*N75*B109*IF(Inputs!$B$4="pvp",1,(1-Summary!$B$48)*(1)+Summary!$B$48*(MIN((6+Inputs!$B$32),Inputs!$B$37))),0)</f>
        <v/>
      </c>
      <c r="P75">
        <f>IF(B111=0,0,O75/B111)</f>
        <v/>
      </c>
      <c r="S75" t="n">
        <v>0</v>
      </c>
      <c r="T75">
        <f>MAX(0,(Inputs!$B$3-100)*3)+Inputs!$B$27+Inputs!$B$28</f>
        <v/>
      </c>
      <c r="V75">
        <f>IFERROR(1/IF(Inputs!$B$4="pvp",15,MAX(0.1,Skills!D2-IF(Skills!E2=TRUE,Inputs!$B$31,0))),0)</f>
        <v/>
      </c>
    </row>
    <row r="76">
      <c r="A76">
        <f>Skills!A3</f>
        <v/>
      </c>
      <c r="B76">
        <f>Skills!B3</f>
        <v/>
      </c>
      <c r="C76">
        <f>Inputs!$B$3&gt;=15</f>
        <v/>
      </c>
      <c r="D76">
        <f>IF(Skills!C3=1,60+Inputs!$B$24+Inputs!$B$28,IF(Skills!C3=2,90+Inputs!$B$25+Inputs!$B$28,IF(Skills!C3=3,120+Inputs!$B$26+Inputs!$B$28,MAX(0,(Inputs!$B$3-100)*3)+Inputs!$B$27+Inputs!$B$28)))</f>
        <v/>
      </c>
      <c r="E76">
        <f>INDEX(FactorTable!$B$2:$Y$301, MATCH(ROUND(MIN(300,MAX(1,D76)),0), FactorTable!$A$2:$A$301,0), Skills!L3+1)</f>
        <v/>
      </c>
      <c r="F76">
        <f>IF(Skills!M3=TRUE,(Skills!K3/10)*(E76/1000),Skills!K3/10)+Skills!N3</f>
        <v/>
      </c>
      <c r="G76">
        <f>Calc!G3</f>
        <v/>
      </c>
      <c r="H76">
        <f>Calc!H3</f>
        <v/>
      </c>
      <c r="I76">
        <f>IF(Skills!T3&lt;&gt;"",1+(Skills!T3/10)*($Z$3/1000)/100,1)</f>
        <v/>
      </c>
      <c r="J76" t="inlineStr"/>
      <c r="K76" t="inlineStr"/>
      <c r="L76" t="inlineStr"/>
      <c r="M76" t="inlineStr"/>
      <c r="N76" t="inlineStr"/>
      <c r="O76" t="n">
        <v>0</v>
      </c>
      <c r="P76">
        <f>IF(B111=0,0,O76/B111)</f>
        <v/>
      </c>
      <c r="S76">
        <f>IF(AND(Inputs!$B$4&lt;&gt;"pvp",Inputs!$B$35&gt;0),(INT(Inputs!$B$35/IF(Inputs!$B$4="pvp",15,MAX(0.1,Skills!D3-IF(Skills!E3=TRUE,Inputs!$B$31,0))))+1),0)</f>
        <v/>
      </c>
      <c r="T76">
        <f>INDEX(FactorTable!$B$2:$Y$301, MATCH(ROUND(MIN(300,MAX(1,T75)),0), FactorTable!$A$2:$A$301,0), 22)</f>
        <v/>
      </c>
      <c r="V76">
        <f>IFERROR(1/IF(Inputs!$B$4="pvp",15,MAX(0.1,Skills!D3-IF(Skills!E3=TRUE,Inputs!$B$31,0))),0)</f>
        <v/>
      </c>
    </row>
    <row r="77">
      <c r="A77">
        <f>Skills!A4</f>
        <v/>
      </c>
      <c r="B77">
        <f>Skills!B4</f>
        <v/>
      </c>
      <c r="C77">
        <f>Inputs!$B$3&gt;=38</f>
        <v/>
      </c>
      <c r="D77">
        <f>IF(Skills!C4=1,60+Inputs!$B$24+Inputs!$B$28,IF(Skills!C4=2,90+Inputs!$B$25+Inputs!$B$28,IF(Skills!C4=3,120+Inputs!$B$26+Inputs!$B$28,MAX(0,(Inputs!$B$3-100)*3)+Inputs!$B$27+Inputs!$B$28)))</f>
        <v/>
      </c>
      <c r="E77">
        <f>INDEX(FactorTable!$B$2:$Y$301, MATCH(ROUND(MIN(300,MAX(1,D77)),0), FactorTable!$A$2:$A$301,0), Skills!L4+1)</f>
        <v/>
      </c>
      <c r="F77">
        <f>IF(Skills!M4=TRUE,(Skills!K4/10)*(E77/1000),Skills!K4/10)+Skills!N4</f>
        <v/>
      </c>
      <c r="G77">
        <f>Calc!G4</f>
        <v/>
      </c>
      <c r="H77">
        <f>Calc!H4</f>
        <v/>
      </c>
      <c r="I77">
        <f>IF(Skills!T4&lt;&gt;"",1+(Skills!T4/10)*($Z$3/1000)/100,1)</f>
        <v/>
      </c>
      <c r="J77" t="inlineStr"/>
      <c r="K77" t="inlineStr"/>
      <c r="L77" t="inlineStr"/>
      <c r="M77" t="inlineStr"/>
      <c r="N77" t="inlineStr"/>
      <c r="O77" t="n">
        <v>0</v>
      </c>
      <c r="P77">
        <f>IF(B111=0,0,O77/B111)</f>
        <v/>
      </c>
      <c r="S77">
        <f>IF(AND(Inputs!$B$4&lt;&gt;"pvp",Inputs!$B$35&gt;0),(INT(Inputs!$B$35/IF(Inputs!$B$4="pvp",15,MAX(0.1,Skills!D4-IF(Skills!E4=TRUE,Inputs!$B$31,0))))+1),0)</f>
        <v/>
      </c>
      <c r="T77">
        <f>290*T76/1000</f>
        <v/>
      </c>
      <c r="V77">
        <f>IFERROR(1/IF(Inputs!$B$4="pvp",15,MAX(0.1,Skills!D4-IF(Skills!E4=TRUE,Inputs!$B$31,0))),0)</f>
        <v/>
      </c>
    </row>
    <row r="78">
      <c r="A78">
        <f>Skills!A5</f>
        <v/>
      </c>
      <c r="B78">
        <f>Skills!B5</f>
        <v/>
      </c>
      <c r="C78">
        <f>Inputs!$B$3&gt;=40</f>
        <v/>
      </c>
      <c r="D78">
        <f>IF(Skills!C5=1,60+Inputs!$B$24+Inputs!$B$28,IF(Skills!C5=2,90+Inputs!$B$25+Inputs!$B$28,IF(Skills!C5=3,120+Inputs!$B$26+Inputs!$B$28,MAX(0,(Inputs!$B$3-100)*3)+Inputs!$B$27+Inputs!$B$28)))</f>
        <v/>
      </c>
      <c r="E78">
        <f>INDEX(FactorTable!$B$2:$Y$301, MATCH(ROUND(MIN(300,MAX(1,D78)),0), FactorTable!$A$2:$A$301,0), Skills!L5+1)</f>
        <v/>
      </c>
      <c r="F78">
        <f>IF(Skills!M5=TRUE,(Skills!K5/10)*(E78/1000),Skills!K5/10)+Skills!N5</f>
        <v/>
      </c>
      <c r="G78">
        <f>Calc!G5</f>
        <v/>
      </c>
      <c r="H78">
        <f>Calc!H5</f>
        <v/>
      </c>
      <c r="I78">
        <f>IF(Skills!T5&lt;&gt;"",1+(Skills!T5/10)*($Z$3/1000)/100,1)</f>
        <v/>
      </c>
      <c r="J78" t="inlineStr"/>
      <c r="K78" t="inlineStr"/>
      <c r="L78" t="inlineStr"/>
      <c r="M78" t="inlineStr"/>
      <c r="N78" t="inlineStr"/>
      <c r="O78" t="n">
        <v>0</v>
      </c>
      <c r="P78">
        <f>IF(B111=0,0,O78/B111)</f>
        <v/>
      </c>
      <c r="S78">
        <f>IF(AND(Inputs!$B$4&lt;&gt;"pvp",Inputs!$B$35&gt;0),(INT(Inputs!$B$35/IF(Inputs!$B$4="pvp",15,MAX(0.1,Skills!D5-IF(Skills!E5=TRUE,Inputs!$B$31,0))))+1),0)</f>
        <v/>
      </c>
      <c r="V78">
        <f>IFERROR(1/IF(Inputs!$B$4="pvp",15,MAX(0.1,Skills!D5-IF(Skills!E5=TRUE,Inputs!$B$31,0))),0)</f>
        <v/>
      </c>
    </row>
    <row r="79">
      <c r="A79">
        <f>Skills!A6</f>
        <v/>
      </c>
      <c r="B79">
        <f>Skills!B6</f>
        <v/>
      </c>
      <c r="C79">
        <f>Inputs!$B$3&gt;=103</f>
        <v/>
      </c>
      <c r="D79">
        <f>IF(Skills!C6=1,60+Inputs!$B$24+Inputs!$B$28,IF(Skills!C6=2,90+Inputs!$B$25+Inputs!$B$28,IF(Skills!C6=3,120+Inputs!$B$26+Inputs!$B$28,MAX(0,(Inputs!$B$3-100)*3)+Inputs!$B$27+Inputs!$B$28)))</f>
        <v/>
      </c>
      <c r="E79">
        <f>INDEX(FactorTable!$B$2:$Y$301, MATCH(ROUND(MIN(300,MAX(1,D79)),0), FactorTable!$A$2:$A$301,0), Skills!L6+1)</f>
        <v/>
      </c>
      <c r="F79">
        <f>IF(Skills!M6=TRUE,(Skills!K6/10)*(E79/1000),Skills!K6/10)+Skills!N6</f>
        <v/>
      </c>
      <c r="G79">
        <f>Calc!G6</f>
        <v/>
      </c>
      <c r="H79">
        <f>Calc!H6</f>
        <v/>
      </c>
      <c r="I79">
        <f>IF(Skills!T6&lt;&gt;"",1+(Skills!T6/10)*($Z$3/1000)/100,1)</f>
        <v/>
      </c>
      <c r="J79">
        <f>((Inputs!$B$5*(1+Inputs!$B$6/100))+((Inputs!$B$11*(1+(Inputs!$B$12+1)/100))-(Inputs!$B$11*(1+Inputs!$B$12/100)))*(1+Inputs!$B$6/100))*(F79/100)</f>
        <v/>
      </c>
      <c r="K79">
        <f>J79*(1+((Inputs!$B$11*(1+(Inputs!$B$12+1)/100))*0.01+Inputs!$B$13*0.0025)/100)*(1+(Inputs!$B$14+B104)/100)*(1+IF(Inputs!$B$4="pvp",0,(1-Summary!$B$48)*(Inputs!$B$19+Skills!O6+B102)+Summary!$B$48*(Inputs!$B$20+Skills!P6+B103))/100)*(1+Inputs!$B$15/100)*(5000/(6000+Inputs!$B$7*(1-Inputs!$B$18/100)))*(1+Inputs!$B$23/100)*(1+IF(C90=TRUE,F90,0)/100)*(1+IF(C92=TRUE,F92,0)/100)*(1+IF(Skills!A6="TRIUMPH_FEATHER",IF(C88=TRUE,F88,0),0)/100)*(1+IF(C99=TRUE,F99,0)/100)^5*(1+(IF(Skills!A6="BIG_BANG",Inputs!$B$16,Inputs!$B$17))/100)*(B101*I79)</f>
        <v/>
      </c>
      <c r="L79">
        <f>K79*(MIN(Inputs!$B$21+(F94-Calc!F21),Inputs!$B$22)/100+Inputs!$B$22/100)/2</f>
        <v/>
      </c>
      <c r="M79">
        <f>L79*(1+(Inputs!$B$9+B105+(F97-Calc!F24))/100)</f>
        <v/>
      </c>
      <c r="N79">
        <f>L79*(1-MIN(Inputs!$B$8+((F96-Calc!F23)+(F95-Calc!F22)),100)/100)+M79*(MIN(Inputs!$B$8+((F96-Calc!F23)+(F95-Calc!F22)),100)/100)</f>
        <v/>
      </c>
      <c r="O79">
        <f>IF(C79,H79*N79*IF(AND(Inputs!$B$4&lt;&gt;"pvp",Inputs!$B$35&gt;0),((Skills!F6*((S79-1)*IF(Skills!G6&gt;0,Skills!H6/Skills!G6,1)+IF(Skills!G6&gt;0,MIN(Skills!H6,MAX(0,Inputs!$B$35-((S79-1)*IF(Inputs!$B$4="pvp",15,MAX(0.1,Skills!D6-IF(Skills!E6=TRUE,Inputs!$B$31,0))))))/Skills!G6,1)))/Inputs!$B$35),G79*V79)*IF(Inputs!$B$4="pvp",1,(1-Summary!$B$48)*(1)+Summary!$B$48*(MIN(Skills!Q6,Inputs!$B$37))),0)</f>
        <v/>
      </c>
      <c r="P79">
        <f>IF(B111=0,0,O79/B111)</f>
        <v/>
      </c>
      <c r="S79">
        <f>IF(AND(Inputs!$B$4&lt;&gt;"pvp",Inputs!$B$35&gt;0),(INT(Inputs!$B$35/IF(Inputs!$B$4="pvp",15,MAX(0.1,Skills!D6-IF(Skills!E6=TRUE,Inputs!$B$31,0))))+1),0)</f>
        <v/>
      </c>
      <c r="V79">
        <f>IFERROR(1/IF(Inputs!$B$4="pvp",15,MAX(0.1,Skills!D6-IF(Skills!E6=TRUE,Inputs!$B$31,0))),0)</f>
        <v/>
      </c>
    </row>
    <row r="80">
      <c r="A80">
        <f>Skills!A7</f>
        <v/>
      </c>
      <c r="B80">
        <f>Skills!B7</f>
        <v/>
      </c>
      <c r="C80">
        <f>Inputs!$B$3&gt;=122</f>
        <v/>
      </c>
      <c r="D80">
        <f>IF(Skills!C7=1,60+Inputs!$B$24+Inputs!$B$28,IF(Skills!C7=2,90+Inputs!$B$25+Inputs!$B$28,IF(Skills!C7=3,120+Inputs!$B$26+Inputs!$B$28,MAX(0,(Inputs!$B$3-100)*3)+Inputs!$B$27+Inputs!$B$28)))</f>
        <v/>
      </c>
      <c r="E80">
        <f>INDEX(FactorTable!$B$2:$Y$301, MATCH(ROUND(MIN(300,MAX(1,D80)),0), FactorTable!$A$2:$A$301,0), Skills!L7+1)</f>
        <v/>
      </c>
      <c r="F80">
        <f>IF(Skills!M7=TRUE,(Skills!K7/10)*(E80/1000),Skills!K7/10)+Skills!N7</f>
        <v/>
      </c>
      <c r="G80">
        <f>Calc!G7</f>
        <v/>
      </c>
      <c r="H80">
        <f>Calc!H7</f>
        <v/>
      </c>
      <c r="I80">
        <f>IF(Skills!T7&lt;&gt;"",1+(Skills!T7/10)*($Z$3/1000)/100,1)</f>
        <v/>
      </c>
      <c r="J80">
        <f>((Inputs!$B$5*(1+Inputs!$B$6/100))+((Inputs!$B$11*(1+(Inputs!$B$12+1)/100))-(Inputs!$B$11*(1+Inputs!$B$12/100)))*(1+Inputs!$B$6/100))*(F80/100)</f>
        <v/>
      </c>
      <c r="K80">
        <f>J80*(1+((Inputs!$B$11*(1+(Inputs!$B$12+1)/100))*0.01+Inputs!$B$13*0.0025)/100)*(1+(Inputs!$B$14+B104)/100)*(1+IF(Inputs!$B$4="pvp",0,(1-Summary!$B$48)*(Inputs!$B$19+Skills!O7+B102)+Summary!$B$48*(Inputs!$B$20+Skills!P7+B103))/100)*(1+Inputs!$B$15/100)*(5000/(6000+Inputs!$B$7*(1-Inputs!$B$18/100)))*(1+Inputs!$B$23/100)*(1+IF(C90=TRUE,F90,0)/100)*(1+IF(C92=TRUE,F92,0)/100)*(1+IF(Skills!A7="TRIUMPH_FEATHER",IF(C88=TRUE,F88,0),0)/100)*(1+IF(C99=TRUE,F99,0)/100)^5*(1+(IF(Skills!A7="BIG_BANG",Inputs!$B$16,Inputs!$B$17))/100)*(B101*I80)</f>
        <v/>
      </c>
      <c r="L80">
        <f>K80*(MIN(Inputs!$B$21+(F94-Calc!F21),Inputs!$B$22)/100+Inputs!$B$22/100)/2</f>
        <v/>
      </c>
      <c r="M80">
        <f>L80*(1+(Inputs!$B$9+B105+(F97-Calc!F24))/100)</f>
        <v/>
      </c>
      <c r="N80">
        <f>L80*(1-MIN(Inputs!$B$8+((F96-Calc!F23)+(F95-Calc!F22)),100)/100)+M80*(MIN(Inputs!$B$8+((F96-Calc!F23)+(F95-Calc!F22)),100)/100)</f>
        <v/>
      </c>
      <c r="O80">
        <f>IF(C80,H80*N80*IF(AND(Inputs!$B$4&lt;&gt;"pvp",Inputs!$B$35&gt;0),((Skills!F7*((S80-1)*IF(Skills!G7&gt;0,Skills!H7/Skills!G7,1)+IF(Skills!G7&gt;0,MIN(Skills!H7,MAX(0,Inputs!$B$35-((S80-1)*IF(Inputs!$B$4="pvp",15,MAX(0.1,Skills!D7-IF(Skills!E6=TRUE,Inputs!$B$31,0))))))/Skills!G7,1)))/Inputs!$B$35),G80*V80)*(1-Summary!$B$48),0)</f>
        <v/>
      </c>
      <c r="P80">
        <f>IF(B111=0,0,O80/B111)</f>
        <v/>
      </c>
      <c r="S80">
        <f>IF(AND(Inputs!$B$4&lt;&gt;"pvp",Inputs!$B$35&gt;0),(INT(Inputs!$B$35/IF(Inputs!$B$4="pvp",15,MAX(0.1,Skills!D7-IF(Skills!E6=TRUE,Inputs!$B$31,0))))+1),0)</f>
        <v/>
      </c>
      <c r="V80">
        <f>IFERROR(1/IF(Inputs!$B$4="pvp",15,MAX(0.1,Skills!D7-IF(Skills!E6=TRUE,Inputs!$B$31,0))),0)</f>
        <v/>
      </c>
    </row>
    <row r="81">
      <c r="A81">
        <f>Skills!A8</f>
        <v/>
      </c>
      <c r="B81">
        <f>Skills!B8</f>
        <v/>
      </c>
      <c r="C81">
        <f>Inputs!$B$3&gt;=105</f>
        <v/>
      </c>
      <c r="D81">
        <f>IF(Skills!C8=1,60+Inputs!$B$24+Inputs!$B$28,IF(Skills!C8=2,90+Inputs!$B$25+Inputs!$B$28,IF(Skills!C8=3,120+Inputs!$B$26+Inputs!$B$28,MAX(0,(Inputs!$B$3-100)*3)+Inputs!$B$27+Inputs!$B$28)))</f>
        <v/>
      </c>
      <c r="E81">
        <f>INDEX(FactorTable!$B$2:$Y$301, MATCH(ROUND(MIN(300,MAX(1,D81)),0), FactorTable!$A$2:$A$301,0), Skills!L8+1)</f>
        <v/>
      </c>
      <c r="F81">
        <f>IF(Skills!M8=TRUE,(Skills!K8/10)*(E81/1000),Skills!K8/10)+Skills!N8</f>
        <v/>
      </c>
      <c r="G81">
        <f>Calc!G8</f>
        <v/>
      </c>
      <c r="H81">
        <f>Calc!H8</f>
        <v/>
      </c>
      <c r="I81">
        <f>IF(Skills!T8&lt;&gt;"",1+(Skills!T8/10)*($Z$3/1000)/100,1)</f>
        <v/>
      </c>
      <c r="J81">
        <f>((Inputs!$B$5*(1+Inputs!$B$6/100))+((Inputs!$B$11*(1+(Inputs!$B$12+1)/100))-(Inputs!$B$11*(1+Inputs!$B$12/100)))*(1+Inputs!$B$6/100))*(F81/100)</f>
        <v/>
      </c>
      <c r="K81">
        <f>J81*(1+((Inputs!$B$11*(1+(Inputs!$B$12+1)/100))*0.01+Inputs!$B$13*0.0025)/100)*(1+(Inputs!$B$14+B104)/100)*(1+IF(Inputs!$B$4="pvp",0,(1-Summary!$B$48)*(Inputs!$B$19+Skills!O8+B102)+Summary!$B$48*(Inputs!$B$20+Skills!P8+B103))/100)*(1+Inputs!$B$15/100)*(5000/(6000+Inputs!$B$7*(1-Inputs!$B$18/100)))*(1+Inputs!$B$23/100)*(1+IF(C90=TRUE,F90,0)/100)*(1+IF(C92=TRUE,F92,0)/100)*(1+IF(Skills!A8="TRIUMPH_FEATHER",IF(C88=TRUE,F88,0),0)/100)*(1+IF(C99=TRUE,F99,0)/100)^5*(1+(IF(Skills!A8="BIG_BANG",Inputs!$B$16,Inputs!$B$17))/100)*(B101*I81)</f>
        <v/>
      </c>
      <c r="L81">
        <f>K81*(MIN(Inputs!$B$21+(F94-Calc!F21),Inputs!$B$22)/100+Inputs!$B$22/100)/2</f>
        <v/>
      </c>
      <c r="M81">
        <f>L81*(1+(Inputs!$B$9+B105+(F97-Calc!F24))/100)</f>
        <v/>
      </c>
      <c r="N81">
        <f>L81*(1-MIN(Inputs!$B$8+((F96-Calc!F23)+(F95-Calc!F22)),100)/100)+M81*(MIN(Inputs!$B$8+((F96-Calc!F23)+(F95-Calc!F22)),100)/100)</f>
        <v/>
      </c>
      <c r="O81">
        <f>IF(C81,H81*N81*IF(AND(Inputs!$B$4&lt;&gt;"pvp",Inputs!$B$35&gt;0),((Skills!F8*((S81-1)*IF(Skills!G8&gt;0,Skills!H8/Skills!G8,1)+IF(Skills!G8&gt;0,MIN(Skills!H8,MAX(0,Inputs!$B$35-((S81-1)*IF(Inputs!$B$4="pvp",15,MAX(0.1,Skills!D8-IF(Skills!E8=TRUE,Inputs!$B$31,0))))))/Skills!G8,1)))/Inputs!$B$35),G81*V81)*IF(Inputs!$B$4="pvp",1,(1-Summary!$B$48)*(1)+Summary!$B$48*(MIN(Skills!Q8,Inputs!$B$37))),0)</f>
        <v/>
      </c>
      <c r="P81">
        <f>IF(B111=0,0,O81/B111)</f>
        <v/>
      </c>
      <c r="S81">
        <f>IF(AND(Inputs!$B$4&lt;&gt;"pvp",Inputs!$B$35&gt;0),(INT(Inputs!$B$35/IF(Inputs!$B$4="pvp",15,MAX(0.1,Skills!D8-IF(Skills!E8=TRUE,Inputs!$B$31,0))))+1),0)</f>
        <v/>
      </c>
      <c r="V81">
        <f>IFERROR(1/IF(Inputs!$B$4="pvp",15,MAX(0.1,Skills!D8-IF(Skills!E8=TRUE,Inputs!$B$31,0))),0)</f>
        <v/>
      </c>
    </row>
    <row r="82">
      <c r="A82">
        <f>Skills!A9</f>
        <v/>
      </c>
      <c r="B82">
        <f>Skills!B9</f>
        <v/>
      </c>
      <c r="C82">
        <f>Inputs!$B$3&gt;=115</f>
        <v/>
      </c>
      <c r="D82">
        <f>IF(Skills!C9=1,60+Inputs!$B$24+Inputs!$B$28,IF(Skills!C9=2,90+Inputs!$B$25+Inputs!$B$28,IF(Skills!C9=3,120+Inputs!$B$26+Inputs!$B$28,MAX(0,(Inputs!$B$3-100)*3)+Inputs!$B$27+Inputs!$B$28)))</f>
        <v/>
      </c>
      <c r="E82">
        <f>INDEX(FactorTable!$B$2:$Y$301, MATCH(ROUND(MIN(300,MAX(1,D82)),0), FactorTable!$A$2:$A$301,0), Skills!L9+1)</f>
        <v/>
      </c>
      <c r="F82">
        <f>IF(Skills!M9=TRUE,(Skills!K9/10)*(E82/1000),Skills!K9/10)+Skills!N9</f>
        <v/>
      </c>
      <c r="G82">
        <f>Calc!G9</f>
        <v/>
      </c>
      <c r="H82">
        <f>Calc!H9</f>
        <v/>
      </c>
      <c r="I82">
        <f>IF(Skills!T9&lt;&gt;"",1+(Skills!T9/10)*($Z$3/1000)/100,1)</f>
        <v/>
      </c>
      <c r="J82">
        <f>((Inputs!$B$5*(1+Inputs!$B$6/100))+((Inputs!$B$11*(1+(Inputs!$B$12+1)/100))-(Inputs!$B$11*(1+Inputs!$B$12/100)))*(1+Inputs!$B$6/100))*(F82/100)</f>
        <v/>
      </c>
      <c r="K82">
        <f>J82*(1+((Inputs!$B$11*(1+(Inputs!$B$12+1)/100))*0.01+Inputs!$B$13*0.0025)/100)*(1+(Inputs!$B$14+B104)/100)*(1+IF(Inputs!$B$4="pvp",0,(1-Summary!$B$48)*(Inputs!$B$19+Skills!O9+B102)+Summary!$B$48*(Inputs!$B$20+Skills!P9+B103))/100)*(1+Inputs!$B$15/100)*(5000/(6000+Inputs!$B$7*(1-Inputs!$B$18/100)))*(1+Inputs!$B$23/100)*(1+IF(C90=TRUE,F90,0)/100)*(1+IF(C92=TRUE,F92,0)/100)*(1+IF(Skills!A9="TRIUMPH_FEATHER",IF(C88=TRUE,F88,0),0)/100)*(1+IF(C99=TRUE,F99,0)/100)^5*(1+(IF(Skills!A9="BIG_BANG",Inputs!$B$16,Inputs!$B$17))/100)*(B101*I82)</f>
        <v/>
      </c>
      <c r="L82">
        <f>K82*(MIN(Inputs!$B$21+(F94-Calc!F21),Inputs!$B$22)/100+Inputs!$B$22/100)/2</f>
        <v/>
      </c>
      <c r="M82">
        <f>L82*(1+(Inputs!$B$9+B105+(F97-Calc!F24))/100)</f>
        <v/>
      </c>
      <c r="N82">
        <f>L82*(1-MIN(Inputs!$B$8+((F96-Calc!F23)+(F95-Calc!F22)),100)/100)+M82*(MIN(Inputs!$B$8+((F96-Calc!F23)+(F95-Calc!F22)),100)/100)</f>
        <v/>
      </c>
      <c r="O82">
        <f>IF(C82,H82*N82*IF(AND(Inputs!$B$4&lt;&gt;"pvp",Inputs!$B$35&gt;0),((Skills!F9*((S82-1)*IF(Skills!G9&gt;0,Skills!H9/Skills!G9,1)+IF(Skills!G9&gt;0,MIN(Skills!H9,MAX(0,Inputs!$B$35-((S82-1)*IF(Inputs!$B$4="pvp",15,MAX(0.1,Skills!D9-IF(Skills!E9=TRUE,Inputs!$B$31,0))))))/Skills!G9,1)))/Inputs!$B$35),G82*V82)*IF(Inputs!$B$4="pvp",1,(1-Summary!$B$48)*(1)+Summary!$B$48*(MIN(Skills!Q9,Inputs!$B$37))),0)</f>
        <v/>
      </c>
      <c r="P82">
        <f>IF(B111=0,0,O82/B111)</f>
        <v/>
      </c>
      <c r="S82">
        <f>IF(AND(Inputs!$B$4&lt;&gt;"pvp",Inputs!$B$35&gt;0),(INT(Inputs!$B$35/IF(Inputs!$B$4="pvp",15,MAX(0.1,Skills!D9-IF(Skills!E9=TRUE,Inputs!$B$31,0))))+1),0)</f>
        <v/>
      </c>
      <c r="V82">
        <f>IFERROR(1/IF(Inputs!$B$4="pvp",15,MAX(0.1,Skills!D9-IF(Skills!E9=TRUE,Inputs!$B$31,0))),0)</f>
        <v/>
      </c>
    </row>
    <row r="83">
      <c r="A83">
        <f>Skills!A10</f>
        <v/>
      </c>
      <c r="B83">
        <f>Skills!B10</f>
        <v/>
      </c>
      <c r="C83">
        <f>Inputs!$B$3&gt;=66</f>
        <v/>
      </c>
      <c r="D83">
        <f>IF(Skills!C10=1,60+Inputs!$B$24+Inputs!$B$28,IF(Skills!C10=2,90+Inputs!$B$25+Inputs!$B$28,IF(Skills!C10=3,120+Inputs!$B$26+Inputs!$B$28,MAX(0,(Inputs!$B$3-100)*3)+Inputs!$B$27+Inputs!$B$28)))</f>
        <v/>
      </c>
      <c r="E83">
        <f>INDEX(FactorTable!$B$2:$Y$301, MATCH(ROUND(MIN(300,MAX(1,D83)),0), FactorTable!$A$2:$A$301,0), Skills!L10+1)</f>
        <v/>
      </c>
      <c r="F83" t="n">
        <v>0</v>
      </c>
      <c r="G83">
        <f>Calc!G10</f>
        <v/>
      </c>
      <c r="H83">
        <f>Calc!H10</f>
        <v/>
      </c>
      <c r="I83">
        <f>IF(Skills!T10&lt;&gt;"",1+(Skills!T10/10)*($Z$3/1000)/100,1)</f>
        <v/>
      </c>
      <c r="J83" t="inlineStr"/>
      <c r="K83" t="inlineStr"/>
      <c r="L83" t="inlineStr"/>
      <c r="M83" t="inlineStr"/>
      <c r="N83" t="inlineStr"/>
      <c r="O83" t="n">
        <v>0</v>
      </c>
      <c r="P83">
        <f>IF(B111=0,0,O83/B111)</f>
        <v/>
      </c>
      <c r="S83">
        <f>IF(AND(Inputs!$B$4&lt;&gt;"pvp",Inputs!$B$35&gt;0),(INT(Inputs!$B$35/IF(Inputs!$B$4="pvp",15,MAX(0.1,Skills!D10-IF(Skills!E10=TRUE,Inputs!$B$31,0))))+1),0)</f>
        <v/>
      </c>
      <c r="V83">
        <f>IFERROR(1/IF(Inputs!$B$4="pvp",15,MAX(0.1,Skills!D10-IF(Skills!E10=TRUE,Inputs!$B$31,0))),0)</f>
        <v/>
      </c>
    </row>
    <row r="84">
      <c r="A84">
        <f>Skills!A11</f>
        <v/>
      </c>
      <c r="B84">
        <f>Skills!B11</f>
        <v/>
      </c>
      <c r="C84">
        <f>Inputs!$B$3&gt;=69</f>
        <v/>
      </c>
      <c r="D84">
        <f>IF(Skills!C11=1,60+Inputs!$B$24+Inputs!$B$28,IF(Skills!C11=2,90+Inputs!$B$25+Inputs!$B$28,IF(Skills!C11=3,120+Inputs!$B$26+Inputs!$B$28,MAX(0,(Inputs!$B$3-100)*3)+Inputs!$B$27+Inputs!$B$28)))</f>
        <v/>
      </c>
      <c r="E84">
        <f>INDEX(FactorTable!$B$2:$Y$301, MATCH(ROUND(MIN(300,MAX(1,D84)),0), FactorTable!$A$2:$A$301,0), Skills!L11+1)</f>
        <v/>
      </c>
      <c r="F84">
        <f>IF(Skills!M11=TRUE,(Skills!K11/10)*(E84/1000),Skills!K11/10)+Skills!N11</f>
        <v/>
      </c>
      <c r="G84">
        <f>Calc!G11</f>
        <v/>
      </c>
      <c r="H84">
        <f>Calc!H11</f>
        <v/>
      </c>
      <c r="I84">
        <f>IF(Skills!T11&lt;&gt;"",1+(Skills!T11/10)*($Z$3/1000)/100,1)</f>
        <v/>
      </c>
      <c r="J84" t="inlineStr"/>
      <c r="K84" t="inlineStr"/>
      <c r="L84" t="inlineStr"/>
      <c r="M84" t="inlineStr"/>
      <c r="N84" t="inlineStr"/>
      <c r="O84" t="n">
        <v>0</v>
      </c>
      <c r="P84">
        <f>IF(B111=0,0,O84/B111)</f>
        <v/>
      </c>
      <c r="S84">
        <f>IF(AND(Inputs!$B$4&lt;&gt;"pvp",Inputs!$B$35&gt;0),(INT(Inputs!$B$35/IF(Inputs!$B$4="pvp",15,MAX(0.1,Skills!D11-IF(Skills!E11=TRUE,Inputs!$B$31,0))))+1),0)</f>
        <v/>
      </c>
      <c r="V84">
        <f>IFERROR(1/IF(Inputs!$B$4="pvp",15,MAX(0.1,Skills!D11-IF(Skills!E11=TRUE,Inputs!$B$31,0))),0)</f>
        <v/>
      </c>
    </row>
    <row r="85">
      <c r="A85">
        <f>Skills!A12</f>
        <v/>
      </c>
      <c r="B85">
        <f>Skills!B12</f>
        <v/>
      </c>
      <c r="C85">
        <f>Inputs!$B$3&gt;=72</f>
        <v/>
      </c>
      <c r="D85">
        <f>IF(Skills!C12=1,60+Inputs!$B$24+Inputs!$B$28,IF(Skills!C12=2,90+Inputs!$B$25+Inputs!$B$28,IF(Skills!C12=3,120+Inputs!$B$26+Inputs!$B$28,MAX(0,(Inputs!$B$3-100)*3)+Inputs!$B$27+Inputs!$B$28)))</f>
        <v/>
      </c>
      <c r="E85">
        <f>INDEX(FactorTable!$B$2:$Y$301, MATCH(ROUND(MIN(300,MAX(1,D85)),0), FactorTable!$A$2:$A$301,0), Skills!L12+1)</f>
        <v/>
      </c>
      <c r="F85">
        <f>IF(Skills!M12=TRUE,(Skills!K12/10)*(E85/1000),Skills!K12/10)+Skills!N12</f>
        <v/>
      </c>
      <c r="G85">
        <f>Calc!G12</f>
        <v/>
      </c>
      <c r="H85">
        <f>Calc!H12</f>
        <v/>
      </c>
      <c r="I85">
        <f>IF(Skills!T12&lt;&gt;"",1+(Skills!T12/10)*($Z$3/1000)/100,1)</f>
        <v/>
      </c>
      <c r="J85" t="inlineStr"/>
      <c r="K85" t="inlineStr"/>
      <c r="L85" t="inlineStr"/>
      <c r="M85" t="inlineStr"/>
      <c r="N85" t="inlineStr"/>
      <c r="O85" t="n">
        <v>0</v>
      </c>
      <c r="P85">
        <f>IF(B111=0,0,O85/B111)</f>
        <v/>
      </c>
      <c r="S85">
        <f>IF(AND(Inputs!$B$4&lt;&gt;"pvp",Inputs!$B$35&gt;0),(INT(Inputs!$B$35/IF(Inputs!$B$4="pvp",15,MAX(0.1,Skills!D12-IF(Skills!E12=TRUE,Inputs!$B$31,0))))+1),0)</f>
        <v/>
      </c>
      <c r="V85">
        <f>IFERROR(1/IF(Inputs!$B$4="pvp",15,MAX(0.1,Skills!D12-IF(Skills!E12=TRUE,Inputs!$B$31,0))),0)</f>
        <v/>
      </c>
    </row>
    <row r="86">
      <c r="A86">
        <f>Skills!A13</f>
        <v/>
      </c>
      <c r="B86">
        <f>Skills!B13</f>
        <v/>
      </c>
      <c r="C86">
        <f>Inputs!$B$3&gt;=107</f>
        <v/>
      </c>
      <c r="D86">
        <f>IF(Skills!C13=1,60+Inputs!$B$24+Inputs!$B$28,IF(Skills!C13=2,90+Inputs!$B$25+Inputs!$B$28,IF(Skills!C13=3,120+Inputs!$B$26+Inputs!$B$28,MAX(0,(Inputs!$B$3-100)*3)+Inputs!$B$27+Inputs!$B$28)))</f>
        <v/>
      </c>
      <c r="E86">
        <f>INDEX(FactorTable!$B$2:$Y$301, MATCH(ROUND(MIN(300,MAX(1,D86)),0), FactorTable!$A$2:$A$301,0), Skills!L13+1)</f>
        <v/>
      </c>
      <c r="F86">
        <f>IF(Skills!M13=TRUE,(Skills!K13/10)*(E86/1000),Skills!K13/10)+Skills!N13</f>
        <v/>
      </c>
      <c r="G86">
        <f>Calc!G13</f>
        <v/>
      </c>
      <c r="H86">
        <f>Calc!H13</f>
        <v/>
      </c>
      <c r="I86">
        <f>IF(Skills!T13&lt;&gt;"",1+(Skills!T13/10)*($Z$3/1000)/100,1)</f>
        <v/>
      </c>
      <c r="J86" t="inlineStr"/>
      <c r="K86" t="inlineStr"/>
      <c r="L86" t="inlineStr"/>
      <c r="M86" t="inlineStr"/>
      <c r="N86" t="inlineStr"/>
      <c r="O86" t="n">
        <v>0</v>
      </c>
      <c r="P86">
        <f>IF(B111=0,0,O86/B111)</f>
        <v/>
      </c>
      <c r="S86">
        <f>IF(AND(Inputs!$B$4&lt;&gt;"pvp",Inputs!$B$35&gt;0),(INT(Inputs!$B$35/IF(Inputs!$B$4="pvp",15,MAX(0.1,Skills!D13-IF(Skills!E13=TRUE,Inputs!$B$31,0))))+1),0)</f>
        <v/>
      </c>
      <c r="V86">
        <f>IFERROR(1/IF(Inputs!$B$4="pvp",15,MAX(0.1,Skills!D13-IF(Skills!E13=TRUE,Inputs!$B$31,0))),0)</f>
        <v/>
      </c>
    </row>
    <row r="87">
      <c r="A87">
        <f>Skills!A14</f>
        <v/>
      </c>
      <c r="B87">
        <f>Skills!B14</f>
        <v/>
      </c>
      <c r="C87">
        <f>Inputs!$B$3&gt;=63</f>
        <v/>
      </c>
      <c r="D87">
        <f>IF(Skills!C14=1,60+Inputs!$B$24+Inputs!$B$28,IF(Skills!C14=2,90+Inputs!$B$25+Inputs!$B$28,IF(Skills!C14=3,120+Inputs!$B$26+Inputs!$B$28,MAX(0,(Inputs!$B$3-100)*3)+Inputs!$B$27+Inputs!$B$28)))</f>
        <v/>
      </c>
      <c r="E87">
        <f>INDEX(FactorTable!$B$2:$Y$301, MATCH(ROUND(MIN(300,MAX(1,D87)),0), FactorTable!$A$2:$A$301,0), Skills!L14+1)</f>
        <v/>
      </c>
      <c r="F87">
        <f>IF(Skills!M14=TRUE,(Skills!K14/10)*(E87/1000),Skills!K14/10)+Skills!N14</f>
        <v/>
      </c>
      <c r="G87">
        <f>Calc!G14</f>
        <v/>
      </c>
      <c r="H87">
        <f>Calc!H14</f>
        <v/>
      </c>
      <c r="I87">
        <f>IF(Skills!T14&lt;&gt;"",1+(Skills!T14/10)*($Z$3/1000)/100,1)</f>
        <v/>
      </c>
      <c r="J87">
        <f>((Inputs!$B$5*(1+Inputs!$B$6/100))+((Inputs!$B$11*(1+(Inputs!$B$12+1)/100))-(Inputs!$B$11*(1+Inputs!$B$12/100)))*(1+Inputs!$B$6/100))*(F87/100)</f>
        <v/>
      </c>
      <c r="K87">
        <f>J87*(1+((Inputs!$B$11*(1+(Inputs!$B$12+1)/100))*0.01+Inputs!$B$13*0.0025)/100)*(1+(Inputs!$B$14+B104)/100)*(1+IF(Inputs!$B$4="pvp",0,(1-Summary!$B$48)*(Inputs!$B$19+Skills!O14+B102)+Summary!$B$48*(Inputs!$B$20+Skills!P14+B103))/100)*(1+Inputs!$B$15/100)*(5000/(6000+Inputs!$B$7*(1-Inputs!$B$18/100)))*(1+Inputs!$B$23/100)*(1+IF(C90=TRUE,F90,0)/100)*(1+IF(C92=TRUE,F92,0)/100)*(1+IF(Skills!A14="TRIUMPH_FEATHER",IF(C88=TRUE,F88,0),0)/100)*(1+IF(C99=TRUE,F99,0)/100)^5*(1+(IF(Skills!A14="BIG_BANG",Inputs!$B$16,Inputs!$B$17))/100)*(B101*I87)</f>
        <v/>
      </c>
      <c r="L87">
        <f>K87*(MIN(Inputs!$B$21+(F94-Calc!F21),Inputs!$B$22)/100+Inputs!$B$22/100)/2</f>
        <v/>
      </c>
      <c r="M87">
        <f>L87*(1+(Inputs!$B$9+B105+(F97-Calc!F24))/100)</f>
        <v/>
      </c>
      <c r="N87">
        <f>L87*(1-MIN(Inputs!$B$8+((F96-Calc!F23)+(F95-Calc!F22)),100)/100)+M87*(MIN(Inputs!$B$8+((F96-Calc!F23)+(F95-Calc!F22)),100)/100)</f>
        <v/>
      </c>
      <c r="O87">
        <f>IF(C87,Skills!F14*N87*((IF(Inputs!$B$3&gt;=78,25,15)/100*B107*10)/(1+IF(Inputs!$B$3&gt;=78,25,15)/100*B107*10))*(Skills!I14/100*B107)/(1+Skills!G14*Skills!I14/100*B107)*IF(Inputs!$B$4="pvp",1,(1-Summary!$B$48)*(1)+Summary!$B$48*(MIN(Skills!Q14,Inputs!$B$37))),0)</f>
        <v/>
      </c>
      <c r="P87">
        <f>IF(B111=0,0,O87/B111)</f>
        <v/>
      </c>
      <c r="S87" t="n">
        <v>0</v>
      </c>
      <c r="V87">
        <f>IFERROR(1/IF(Inputs!$B$4="pvp",15,MAX(0.1,Skills!D14-IF(Skills!E14=TRUE,Inputs!$B$31,0))),0)</f>
        <v/>
      </c>
    </row>
    <row r="88">
      <c r="A88">
        <f>Skills!A15</f>
        <v/>
      </c>
      <c r="B88">
        <f>Skills!B15</f>
        <v/>
      </c>
      <c r="C88">
        <f>Inputs!$B$3&gt;=100</f>
        <v/>
      </c>
      <c r="D88">
        <f>IF(Skills!C15=1,60+Inputs!$B$24+Inputs!$B$28,IF(Skills!C15=2,90+Inputs!$B$25+Inputs!$B$28,IF(Skills!C15=3,120+Inputs!$B$26+Inputs!$B$28,MAX(0,(Inputs!$B$3-100)*3)+Inputs!$B$27+Inputs!$B$28)))</f>
        <v/>
      </c>
      <c r="E88">
        <f>INDEX(FactorTable!$B$2:$Y$301, MATCH(ROUND(MIN(300,MAX(1,D88)),0), FactorTable!$A$2:$A$301,0), Skills!L15+1)</f>
        <v/>
      </c>
      <c r="F88">
        <f>IF(Skills!M15=TRUE,(Skills!K15/10)*(E88/1000),Skills!K15/10)+Skills!N15</f>
        <v/>
      </c>
      <c r="G88">
        <f>Calc!G15</f>
        <v/>
      </c>
      <c r="H88">
        <f>Calc!H15</f>
        <v/>
      </c>
      <c r="I88">
        <f>IF(Skills!T15&lt;&gt;"",1+(Skills!T15/10)*($Z$3/1000)/100,1)</f>
        <v/>
      </c>
      <c r="J88" t="inlineStr"/>
      <c r="K88" t="inlineStr"/>
      <c r="L88" t="inlineStr"/>
      <c r="M88" t="inlineStr"/>
      <c r="N88" t="inlineStr"/>
      <c r="O88" t="n">
        <v>0</v>
      </c>
      <c r="P88">
        <f>IF(B111=0,0,O88/B111)</f>
        <v/>
      </c>
      <c r="S88" t="n">
        <v>0</v>
      </c>
      <c r="V88">
        <f>IFERROR(1/IF(Inputs!$B$4="pvp",15,MAX(0.1,Skills!D15-IF(Skills!E15=TRUE,Inputs!$B$31,0))),0)</f>
        <v/>
      </c>
    </row>
    <row r="89">
      <c r="A89">
        <f>Skills!A16</f>
        <v/>
      </c>
      <c r="B89">
        <f>Skills!B16</f>
        <v/>
      </c>
      <c r="C89">
        <f>Inputs!$B$3&gt;=49</f>
        <v/>
      </c>
      <c r="D89">
        <f>IF(Skills!C16=1,60+Inputs!$B$24+Inputs!$B$28,IF(Skills!C16=2,90+Inputs!$B$25+Inputs!$B$28,IF(Skills!C16=3,120+Inputs!$B$26+Inputs!$B$28,MAX(0,(Inputs!$B$3-100)*3)+Inputs!$B$27+Inputs!$B$28)))</f>
        <v/>
      </c>
      <c r="E89">
        <f>INDEX(FactorTable!$B$2:$Y$301, MATCH(ROUND(MIN(300,MAX(1,D89)),0), FactorTable!$A$2:$A$301,0), Skills!L16+1)</f>
        <v/>
      </c>
      <c r="F89">
        <f>IF(Skills!M16=TRUE,(Skills!K16/10)*(E89/1000),Skills!K16/10)+Skills!N16</f>
        <v/>
      </c>
      <c r="G89">
        <f>Calc!G16</f>
        <v/>
      </c>
      <c r="H89">
        <f>Calc!H16</f>
        <v/>
      </c>
      <c r="I89">
        <f>IF(Skills!T16&lt;&gt;"",1+(Skills!T16/10)*($Z$3/1000)/100,1)</f>
        <v/>
      </c>
      <c r="J89" t="inlineStr"/>
      <c r="K89" t="inlineStr"/>
      <c r="L89" t="inlineStr"/>
      <c r="M89" t="inlineStr"/>
      <c r="N89" t="inlineStr"/>
      <c r="O89" t="n">
        <v>0</v>
      </c>
      <c r="P89">
        <f>IF(B111=0,0,O89/B111)</f>
        <v/>
      </c>
      <c r="S89" t="n">
        <v>0</v>
      </c>
      <c r="V89">
        <f>IFERROR(1/IF(Inputs!$B$4="pvp",15,MAX(0.1,Skills!D16-IF(Skills!E16=TRUE,Inputs!$B$31,0))),0)</f>
        <v/>
      </c>
    </row>
    <row r="90">
      <c r="A90">
        <f>Skills!A17</f>
        <v/>
      </c>
      <c r="B90">
        <f>Skills!B17</f>
        <v/>
      </c>
      <c r="C90">
        <f>Inputs!$B$3&gt;=75</f>
        <v/>
      </c>
      <c r="D90">
        <f>IF(Skills!C17=1,60+Inputs!$B$24+Inputs!$B$28,IF(Skills!C17=2,90+Inputs!$B$25+Inputs!$B$28,IF(Skills!C17=3,120+Inputs!$B$26+Inputs!$B$28,MAX(0,(Inputs!$B$3-100)*3)+Inputs!$B$27+Inputs!$B$28)))</f>
        <v/>
      </c>
      <c r="E90">
        <f>INDEX(FactorTable!$B$2:$Y$301, MATCH(ROUND(MIN(300,MAX(1,D90)),0), FactorTable!$A$2:$A$301,0), Skills!L17+1)</f>
        <v/>
      </c>
      <c r="F90">
        <f>IF(Skills!M17=TRUE,(Skills!K17/10)*(E90/1000),Skills!K17/10)+Skills!N17</f>
        <v/>
      </c>
      <c r="G90">
        <f>Calc!G17</f>
        <v/>
      </c>
      <c r="H90">
        <f>Calc!H17</f>
        <v/>
      </c>
      <c r="I90">
        <f>IF(Skills!T17&lt;&gt;"",1+(Skills!T17/10)*($Z$3/1000)/100,1)</f>
        <v/>
      </c>
      <c r="J90" t="inlineStr"/>
      <c r="K90" t="inlineStr"/>
      <c r="L90" t="inlineStr"/>
      <c r="M90" t="inlineStr"/>
      <c r="N90" t="inlineStr"/>
      <c r="O90" t="n">
        <v>0</v>
      </c>
      <c r="P90">
        <f>IF(B111=0,0,O90/B111)</f>
        <v/>
      </c>
      <c r="S90" t="n">
        <v>0</v>
      </c>
      <c r="V90">
        <f>IFERROR(1/IF(Inputs!$B$4="pvp",15,MAX(0.1,Skills!D17-IF(Skills!E17=TRUE,Inputs!$B$31,0))),0)</f>
        <v/>
      </c>
    </row>
    <row r="91">
      <c r="A91">
        <f>Skills!A18</f>
        <v/>
      </c>
      <c r="B91">
        <f>Skills!B18</f>
        <v/>
      </c>
      <c r="C91">
        <f>Inputs!$B$3&gt;=110</f>
        <v/>
      </c>
      <c r="D91">
        <f>IF(Skills!C18=1,60+Inputs!$B$24+Inputs!$B$28,IF(Skills!C18=2,90+Inputs!$B$25+Inputs!$B$28,IF(Skills!C18=3,120+Inputs!$B$26+Inputs!$B$28,MAX(0,(Inputs!$B$3-100)*3)+Inputs!$B$27+Inputs!$B$28)))</f>
        <v/>
      </c>
      <c r="E91">
        <f>INDEX(FactorTable!$B$2:$Y$301, MATCH(ROUND(MIN(300,MAX(1,D91)),0), FactorTable!$A$2:$A$301,0), Skills!L18+1)</f>
        <v/>
      </c>
      <c r="F91">
        <f>(Skills!K18/10)*(E91/1000)*64/45+Skills!N18</f>
        <v/>
      </c>
      <c r="G91">
        <f>Calc!G18</f>
        <v/>
      </c>
      <c r="H91">
        <f>Calc!H18</f>
        <v/>
      </c>
      <c r="I91">
        <f>IF(Skills!T18&lt;&gt;"",1+(Skills!T18/10)*($Z$3/1000)/100,1)</f>
        <v/>
      </c>
      <c r="J91" t="inlineStr"/>
      <c r="K91" t="inlineStr"/>
      <c r="L91" t="inlineStr"/>
      <c r="M91" t="inlineStr"/>
      <c r="N91" t="inlineStr"/>
      <c r="O91" t="n">
        <v>0</v>
      </c>
      <c r="P91">
        <f>IF(B111=0,0,O91/B111)</f>
        <v/>
      </c>
      <c r="S91">
        <f>IF(AND(Inputs!$B$4&lt;&gt;"pvp",Inputs!$B$35&gt;0),(INT(Inputs!$B$35/IF(Inputs!$B$4="pvp",15,MAX(0.1,Skills!D18-IF(Skills!E18=TRUE,Inputs!$B$31,0))))+1),0)</f>
        <v/>
      </c>
      <c r="V91">
        <f>IFERROR(1/IF(Inputs!$B$4="pvp",15,MAX(0.1,Skills!D18-IF(Skills!E18=TRUE,Inputs!$B$31,0))),0)</f>
        <v/>
      </c>
    </row>
    <row r="92">
      <c r="A92">
        <f>Skills!A19</f>
        <v/>
      </c>
      <c r="B92">
        <f>Skills!B19</f>
        <v/>
      </c>
      <c r="C92">
        <f>Inputs!$B$3&gt;=125</f>
        <v/>
      </c>
      <c r="D92">
        <f>IF(Skills!C19=1,60+Inputs!$B$24+Inputs!$B$28,IF(Skills!C19=2,90+Inputs!$B$25+Inputs!$B$28,IF(Skills!C19=3,120+Inputs!$B$26+Inputs!$B$28,MAX(0,(Inputs!$B$3-100)*3)+Inputs!$B$27+Inputs!$B$28)))</f>
        <v/>
      </c>
      <c r="E92">
        <f>INDEX(FactorTable!$B$2:$Y$301, MATCH(ROUND(MIN(300,MAX(1,D92)),0), FactorTable!$A$2:$A$301,0), Skills!L19+1)</f>
        <v/>
      </c>
      <c r="F92">
        <f>IF(Skills!M19=TRUE,(Skills!K19/10)*(E92/1000),Skills!K19/10)+Skills!N19</f>
        <v/>
      </c>
      <c r="G92">
        <f>Calc!G19</f>
        <v/>
      </c>
      <c r="H92">
        <f>Calc!H19</f>
        <v/>
      </c>
      <c r="I92">
        <f>IF(Skills!T19&lt;&gt;"",1+(Skills!T19/10)*($Z$3/1000)/100,1)</f>
        <v/>
      </c>
      <c r="J92" t="inlineStr"/>
      <c r="K92" t="inlineStr"/>
      <c r="L92" t="inlineStr"/>
      <c r="M92" t="inlineStr"/>
      <c r="N92" t="inlineStr"/>
      <c r="O92" t="n">
        <v>0</v>
      </c>
      <c r="P92">
        <f>IF(B111=0,0,O92/B111)</f>
        <v/>
      </c>
      <c r="S92" t="n">
        <v>0</v>
      </c>
      <c r="V92">
        <f>IFERROR(1/IF(Inputs!$B$4="pvp",15,MAX(0.1,Skills!D19-IF(Skills!E19=TRUE,Inputs!$B$31,0))),0)</f>
        <v/>
      </c>
    </row>
    <row r="93">
      <c r="A93">
        <f>Skills!A20</f>
        <v/>
      </c>
      <c r="B93">
        <f>Skills!B20</f>
        <v/>
      </c>
      <c r="C93">
        <f>Inputs!$B$3&gt;=33</f>
        <v/>
      </c>
      <c r="D93">
        <f>IF(Skills!C20=1,60+Inputs!$B$24+Inputs!$B$28,IF(Skills!C20=2,90+Inputs!$B$25+Inputs!$B$28,IF(Skills!C20=3,120+Inputs!$B$26+Inputs!$B$28,MAX(0,(Inputs!$B$3-100)*3)+Inputs!$B$27+Inputs!$B$28)))</f>
        <v/>
      </c>
      <c r="E93">
        <f>INDEX(FactorTable!$B$2:$Y$301, MATCH(ROUND(MIN(300,MAX(1,D93)),0), FactorTable!$A$2:$A$301,0), Skills!L20+1)</f>
        <v/>
      </c>
      <c r="F93">
        <f>IF(Skills!M20=TRUE,(Skills!K20/10)*(E93/1000),Skills!K20/10)+Skills!N20</f>
        <v/>
      </c>
      <c r="G93">
        <f>Calc!G20</f>
        <v/>
      </c>
      <c r="H93">
        <f>Calc!H20</f>
        <v/>
      </c>
      <c r="I93">
        <f>IF(Skills!T20&lt;&gt;"",1+(Skills!T20/10)*($Z$3/1000)/100,1)</f>
        <v/>
      </c>
      <c r="J93" t="inlineStr"/>
      <c r="K93" t="inlineStr"/>
      <c r="L93" t="inlineStr"/>
      <c r="M93" t="inlineStr"/>
      <c r="N93" t="inlineStr"/>
      <c r="O93" t="n">
        <v>0</v>
      </c>
      <c r="P93">
        <f>IF(B111=0,0,O93/B111)</f>
        <v/>
      </c>
      <c r="S93" t="n">
        <v>0</v>
      </c>
      <c r="V93">
        <f>IFERROR(1/IF(Inputs!$B$4="pvp",15,MAX(0.1,Skills!D20-IF(Skills!E20=TRUE,Inputs!$B$31,0))),0)</f>
        <v/>
      </c>
    </row>
    <row r="94">
      <c r="A94">
        <f>Skills!A21</f>
        <v/>
      </c>
      <c r="B94">
        <f>Skills!B21</f>
        <v/>
      </c>
      <c r="C94">
        <f>Inputs!$B$3&gt;=43</f>
        <v/>
      </c>
      <c r="D94">
        <f>IF(Skills!C21=1,60+Inputs!$B$24+Inputs!$B$28,IF(Skills!C21=2,90+Inputs!$B$25+Inputs!$B$28,IF(Skills!C21=3,120+Inputs!$B$26+Inputs!$B$28,MAX(0,(Inputs!$B$3-100)*3)+Inputs!$B$27+Inputs!$B$28)))</f>
        <v/>
      </c>
      <c r="E94">
        <f>INDEX(FactorTable!$B$2:$Y$301, MATCH(ROUND(MIN(300,MAX(1,D94)),0), FactorTable!$A$2:$A$301,0), Skills!L21+1)</f>
        <v/>
      </c>
      <c r="F94">
        <f>IF(Skills!M21=TRUE,(Skills!K21/10)*(E94/1000),Skills!K21/10)+Skills!N21</f>
        <v/>
      </c>
      <c r="G94">
        <f>Calc!G21</f>
        <v/>
      </c>
      <c r="H94">
        <f>Calc!H21</f>
        <v/>
      </c>
      <c r="I94">
        <f>IF(Skills!T21&lt;&gt;"",1+(Skills!T21/10)*($Z$3/1000)/100,1)</f>
        <v/>
      </c>
      <c r="J94" t="inlineStr"/>
      <c r="K94" t="inlineStr"/>
      <c r="L94" t="inlineStr"/>
      <c r="M94" t="inlineStr"/>
      <c r="N94" t="inlineStr"/>
      <c r="O94" t="n">
        <v>0</v>
      </c>
      <c r="P94">
        <f>IF(B111=0,0,O94/B111)</f>
        <v/>
      </c>
      <c r="S94" t="n">
        <v>0</v>
      </c>
      <c r="V94">
        <f>IFERROR(1/IF(Inputs!$B$4="pvp",15,MAX(0.1,Skills!D21-IF(Skills!E21=TRUE,Inputs!$B$31,0))),0)</f>
        <v/>
      </c>
    </row>
    <row r="95">
      <c r="A95">
        <f>Skills!A22</f>
        <v/>
      </c>
      <c r="B95">
        <f>Skills!B22</f>
        <v/>
      </c>
      <c r="C95">
        <f>Inputs!$B$3&gt;=50</f>
        <v/>
      </c>
      <c r="D95">
        <f>IF(Skills!C22=1,60+Inputs!$B$24+Inputs!$B$28,IF(Skills!C22=2,90+Inputs!$B$25+Inputs!$B$28,IF(Skills!C22=3,120+Inputs!$B$26+Inputs!$B$28,MAX(0,(Inputs!$B$3-100)*3)+Inputs!$B$27+Inputs!$B$28)))</f>
        <v/>
      </c>
      <c r="E95">
        <f>INDEX(FactorTable!$B$2:$Y$301, MATCH(ROUND(MIN(300,MAX(1,D95)),0), FactorTable!$A$2:$A$301,0), Skills!L22+1)</f>
        <v/>
      </c>
      <c r="F95">
        <f>IF(Skills!M22=TRUE,(Skills!K22/10)*(E95/1000),Skills!K22/10)+Skills!N22</f>
        <v/>
      </c>
      <c r="G95">
        <f>Calc!G22</f>
        <v/>
      </c>
      <c r="H95">
        <f>Calc!H22</f>
        <v/>
      </c>
      <c r="I95">
        <f>IF(Skills!T22&lt;&gt;"",1+(Skills!T22/10)*($Z$3/1000)/100,1)</f>
        <v/>
      </c>
      <c r="J95" t="inlineStr"/>
      <c r="K95" t="inlineStr"/>
      <c r="L95" t="inlineStr"/>
      <c r="M95" t="inlineStr"/>
      <c r="N95" t="inlineStr"/>
      <c r="O95" t="n">
        <v>0</v>
      </c>
      <c r="P95">
        <f>IF(B111=0,0,O95/B111)</f>
        <v/>
      </c>
      <c r="S95" t="n">
        <v>0</v>
      </c>
      <c r="V95">
        <f>IFERROR(1/IF(Inputs!$B$4="pvp",15,MAX(0.1,Skills!D22-IF(Skills!E22=TRUE,Inputs!$B$31,0))),0)</f>
        <v/>
      </c>
    </row>
    <row r="96">
      <c r="A96">
        <f>Skills!A23</f>
        <v/>
      </c>
      <c r="B96">
        <f>Skills!B23</f>
        <v/>
      </c>
      <c r="C96">
        <f>Inputs!$B$3&gt;=74</f>
        <v/>
      </c>
      <c r="D96">
        <f>IF(Skills!C23=1,60+Inputs!$B$24+Inputs!$B$28,IF(Skills!C23=2,90+Inputs!$B$25+Inputs!$B$28,IF(Skills!C23=3,120+Inputs!$B$26+Inputs!$B$28,MAX(0,(Inputs!$B$3-100)*3)+Inputs!$B$27+Inputs!$B$28)))</f>
        <v/>
      </c>
      <c r="E96">
        <f>INDEX(FactorTable!$B$2:$Y$301, MATCH(ROUND(MIN(300,MAX(1,D96)),0), FactorTable!$A$2:$A$301,0), Skills!L23+1)</f>
        <v/>
      </c>
      <c r="F96">
        <f>IF(Skills!M23=TRUE,(Skills!K23/10)*(E96/1000),Skills!K23/10)+Skills!N23</f>
        <v/>
      </c>
      <c r="G96">
        <f>Calc!G23</f>
        <v/>
      </c>
      <c r="H96">
        <f>Calc!H23</f>
        <v/>
      </c>
      <c r="I96">
        <f>IF(Skills!T23&lt;&gt;"",1+(Skills!T23/10)*($Z$3/1000)/100,1)</f>
        <v/>
      </c>
      <c r="J96" t="inlineStr"/>
      <c r="K96" t="inlineStr"/>
      <c r="L96" t="inlineStr"/>
      <c r="M96" t="inlineStr"/>
      <c r="N96" t="inlineStr"/>
      <c r="O96" t="n">
        <v>0</v>
      </c>
      <c r="P96">
        <f>IF(B111=0,0,O96/B111)</f>
        <v/>
      </c>
      <c r="S96" t="n">
        <v>0</v>
      </c>
      <c r="V96">
        <f>IFERROR(1/IF(Inputs!$B$4="pvp",15,MAX(0.1,Skills!D23-IF(Skills!E23=TRUE,Inputs!$B$31,0))),0)</f>
        <v/>
      </c>
    </row>
    <row r="97">
      <c r="A97">
        <f>Skills!A24</f>
        <v/>
      </c>
      <c r="B97">
        <f>Skills!B24</f>
        <v/>
      </c>
      <c r="C97">
        <f>Inputs!$B$3&gt;=74</f>
        <v/>
      </c>
      <c r="D97">
        <f>IF(Skills!C24=1,60+Inputs!$B$24+Inputs!$B$28,IF(Skills!C24=2,90+Inputs!$B$25+Inputs!$B$28,IF(Skills!C24=3,120+Inputs!$B$26+Inputs!$B$28,MAX(0,(Inputs!$B$3-100)*3)+Inputs!$B$27+Inputs!$B$28)))</f>
        <v/>
      </c>
      <c r="E97">
        <f>INDEX(FactorTable!$B$2:$Y$301, MATCH(ROUND(MIN(300,MAX(1,D97)),0), FactorTable!$A$2:$A$301,0), Skills!L24+1)</f>
        <v/>
      </c>
      <c r="F97">
        <f>IF(Skills!M24=TRUE,(Skills!K24/10)*(E97/1000),Skills!K24/10)+Skills!N24</f>
        <v/>
      </c>
      <c r="G97">
        <f>Calc!G24</f>
        <v/>
      </c>
      <c r="H97">
        <f>Calc!H24</f>
        <v/>
      </c>
      <c r="I97">
        <f>IF(Skills!T24&lt;&gt;"",1+(Skills!T24/10)*($Z$3/1000)/100,1)</f>
        <v/>
      </c>
      <c r="J97" t="inlineStr"/>
      <c r="K97" t="inlineStr"/>
      <c r="L97" t="inlineStr"/>
      <c r="M97" t="inlineStr"/>
      <c r="N97" t="inlineStr"/>
      <c r="O97" t="n">
        <v>0</v>
      </c>
      <c r="P97">
        <f>IF(B111=0,0,O97/B111)</f>
        <v/>
      </c>
      <c r="S97" t="n">
        <v>0</v>
      </c>
      <c r="V97">
        <f>IFERROR(1/IF(Inputs!$B$4="pvp",15,MAX(0.1,Skills!D24-IF(Skills!E24=TRUE,Inputs!$B$31,0))),0)</f>
        <v/>
      </c>
    </row>
    <row r="98">
      <c r="A98">
        <f>Skills!A25</f>
        <v/>
      </c>
      <c r="B98">
        <f>Skills!B25</f>
        <v/>
      </c>
      <c r="C98">
        <f>Inputs!$B$3&gt;=117</f>
        <v/>
      </c>
      <c r="D98">
        <f>IF(Skills!C25=1,60+Inputs!$B$24+Inputs!$B$28,IF(Skills!C25=2,90+Inputs!$B$25+Inputs!$B$28,IF(Skills!C25=3,120+Inputs!$B$26+Inputs!$B$28,MAX(0,(Inputs!$B$3-100)*3)+Inputs!$B$27+Inputs!$B$28)))</f>
        <v/>
      </c>
      <c r="E98">
        <f>INDEX(FactorTable!$B$2:$Y$301, MATCH(ROUND(MIN(300,MAX(1,D98)),0), FactorTable!$A$2:$A$301,0), Skills!L25+1)</f>
        <v/>
      </c>
      <c r="F98">
        <f>IF(Skills!M25=TRUE,(Skills!K25/10)*(E98/1000),Skills!K25/10)+Skills!N25</f>
        <v/>
      </c>
      <c r="G98">
        <f>Calc!G25</f>
        <v/>
      </c>
      <c r="H98">
        <f>Calc!H25</f>
        <v/>
      </c>
      <c r="I98">
        <f>IF(Skills!T25&lt;&gt;"",1+(Skills!T25/10)*($Z$3/1000)/100,1)</f>
        <v/>
      </c>
      <c r="J98" t="inlineStr"/>
      <c r="K98" t="inlineStr"/>
      <c r="L98" t="inlineStr"/>
      <c r="M98" t="inlineStr"/>
      <c r="N98" t="inlineStr"/>
      <c r="O98" t="n">
        <v>0</v>
      </c>
      <c r="P98">
        <f>IF(B111=0,0,O98/B111)</f>
        <v/>
      </c>
      <c r="S98" t="n">
        <v>0</v>
      </c>
      <c r="V98">
        <f>IFERROR(1/IF(Inputs!$B$4="pvp",15,MAX(0.1,Skills!D25-IF(Skills!E25=TRUE,Inputs!$B$31,0))),0)</f>
        <v/>
      </c>
    </row>
    <row r="99">
      <c r="A99">
        <f>Skills!A26</f>
        <v/>
      </c>
      <c r="B99">
        <f>Skills!B26</f>
        <v/>
      </c>
      <c r="C99">
        <f>Inputs!$B$3&gt;=120</f>
        <v/>
      </c>
      <c r="D99">
        <f>IF(Skills!C26=1,60+Inputs!$B$24+Inputs!$B$28,IF(Skills!C26=2,90+Inputs!$B$25+Inputs!$B$28,IF(Skills!C26=3,120+Inputs!$B$26+Inputs!$B$28,MAX(0,(Inputs!$B$3-100)*3)+Inputs!$B$27+Inputs!$B$28)))</f>
        <v/>
      </c>
      <c r="E99">
        <f>INDEX(FactorTable!$B$2:$Y$301, MATCH(ROUND(MIN(300,MAX(1,D99)),0), FactorTable!$A$2:$A$301,0), Skills!L26+1)</f>
        <v/>
      </c>
      <c r="F99">
        <f>IF(Skills!M26=TRUE,(Skills!K26/10)*(E99/1000),Skills!K26/10)+Skills!N26</f>
        <v/>
      </c>
      <c r="G99">
        <f>Calc!G26</f>
        <v/>
      </c>
      <c r="H99">
        <f>Calc!H26</f>
        <v/>
      </c>
      <c r="I99">
        <f>IF(Skills!T26&lt;&gt;"",1+(Skills!T26/10)*($Z$3/1000)/100,1)</f>
        <v/>
      </c>
      <c r="J99" t="inlineStr"/>
      <c r="K99" t="inlineStr"/>
      <c r="L99" t="inlineStr"/>
      <c r="M99" t="inlineStr"/>
      <c r="N99" t="inlineStr"/>
      <c r="O99" t="n">
        <v>0</v>
      </c>
      <c r="P99">
        <f>IF(B111=0,0,O99/B111)</f>
        <v/>
      </c>
      <c r="S99" t="n">
        <v>0</v>
      </c>
      <c r="V99">
        <f>IFERROR(1/IF(Inputs!$B$4="pvp",15,MAX(0.1,Skills!D26-IF(Skills!E26=TRUE,Inputs!$B$31,0))),0)</f>
        <v/>
      </c>
    </row>
    <row r="101">
      <c r="A101" t="inlineStr">
        <is>
          <t>Average Buff Multiplier</t>
        </is>
      </c>
      <c r="B101">
        <f>(1+(IF(C76=TRUE,F76*IF(AND(Inputs!$B$4&lt;&gt;"pvp",Inputs!$B$35&gt;0),(((S76-1)*(Skills!S3*(1+(Inputs!$B$33+IF(Inputs!$B$3&gt;=117,F98,0))/100))+MIN((Skills!S3*(1+(Inputs!$B$33+IF(Inputs!$B$3&gt;=117,F98,0))/100)),MAX(0,Inputs!$B$35-((S76-1)*Skills!D3))))/Inputs!$B$35),IF(Inputs!$B$4="pvp",MIN((Skills!S3*(1+(Inputs!$B$33+IF(Inputs!$B$3&gt;=117,F98,0))/100)),15)/15,(Skills!S3*(1+(Inputs!$B$33+IF(Inputs!$B$3&gt;=117,F98,0))/100))/Skills!D3)),0)+IF(C77=TRUE,F77*IF(AND(Inputs!$B$4&lt;&gt;"pvp",Inputs!$B$35&gt;0),(((S77-1)*(Skills!S4*(1+(Inputs!$B$33+IF(Inputs!$B$3&gt;=117,F98,0))/100))+MIN((Skills!S4*(1+(Inputs!$B$33+IF(Inputs!$B$3&gt;=117,F98,0))/100)),MAX(0,Inputs!$B$35-((S77-1)*Skills!D4))))/Inputs!$B$35),IF(Inputs!$B$4="pvp",MIN((Skills!S4*(1+(Inputs!$B$33+IF(Inputs!$B$3&gt;=117,F98,0))/100)),15)/15,(Skills!S4*(1+(Inputs!$B$33+IF(Inputs!$B$3&gt;=117,F98,0))/100))/Skills!D4)),0)+IF(C78=TRUE,F78*IF(AND(Inputs!$B$4&lt;&gt;"pvp",Inputs!$B$35&gt;0),(((S78-1)*(Skills!S5*(1+(Inputs!$B$33+IF(Inputs!$B$3&gt;=117,F98,0))/100))+MIN((Skills!S5*(1+(Inputs!$B$33+IF(Inputs!$B$3&gt;=117,F98,0))/100)),MAX(0,Inputs!$B$35-((S78-1)*Skills!D5))))/Inputs!$B$35),IF(Inputs!$B$4="pvp",MIN((Skills!S5*(1+(Inputs!$B$33+IF(Inputs!$B$3&gt;=117,F98,0))/100)),15)/15,(Skills!S5*(1+(Inputs!$B$33+IF(Inputs!$B$3&gt;=117,F98,0))/100))/Skills!D5)),0)+IF(C84=TRUE,F84*IF(AND(Inputs!$B$4&lt;&gt;"pvp",Inputs!$B$35&gt;0),(((S84-1)*(Skills!S11*(1+(Inputs!$B$33+IF(Inputs!$B$3&gt;=117,F98,0))/100))+MIN((Skills!S11*(1+(Inputs!$B$33+IF(Inputs!$B$3&gt;=117,F98,0))/100)),MAX(0,Inputs!$B$35-((S84-1)*Skills!D11))))/Inputs!$B$35),IF(Inputs!$B$4="pvp",MIN((Skills!S11*(1+(Inputs!$B$33+IF(Inputs!$B$3&gt;=117,F98,0))/100)),15)/15,(Skills!S11*(1+(Inputs!$B$33+IF(Inputs!$B$3&gt;=117,F98,0))/100))/Skills!D11)),0))/100)*IF(C86=TRUE,(1+F86*IF(AND(Inputs!$B$4&lt;&gt;"pvp",Inputs!$B$35&gt;0),(((S86-1)*(Skills!S13*(1+(Inputs!$B$33+IF(Inputs!$B$3&gt;=117,F98,0))/100))+MIN((Skills!S13*(1+(Inputs!$B$33+IF(Inputs!$B$3&gt;=117,F98,0))/100)),MAX(0,Inputs!$B$35-((S86-1)*Skills!D13))))/Inputs!$B$35),IF(Inputs!$B$4="pvp",MIN((Skills!S13*(1+(Inputs!$B$33+IF(Inputs!$B$3&gt;=117,F98,0))/100)),15)/15,(Skills!S13*(1+(Inputs!$B$33+IF(Inputs!$B$3&gt;=117,F98,0))/100))/Skills!D13))/100),1)*IF(C91=TRUE,(1+F91*IF(AND(Inputs!$B$4&lt;&gt;"pvp",Inputs!$B$35&gt;0),(((S91-1)*(Skills!S18*(1+(Inputs!$B$33+IF(Inputs!$B$3&gt;=117,F98,0))/100))+MIN((Skills!S18*(1+(Inputs!$B$33+IF(Inputs!$B$3&gt;=117,F98,0))/100)),MAX(0,Inputs!$B$35-((S91-1)*Skills!D18))))/Inputs!$B$35),IF(Inputs!$B$4="pvp",MIN((Skills!S18*(1+(Inputs!$B$33+IF(Inputs!$B$3&gt;=117,F98,0))/100)),15)/15,(Skills!S18*(1+(Inputs!$B$33+IF(Inputs!$B$3&gt;=117,F98,0))/100))/Skills!D18))/100),1)</f>
        <v/>
      </c>
    </row>
    <row r="102">
      <c r="A102" t="inlineStr">
        <is>
          <t>Monster Damage Taken Bonus % (Holy Fountain)</t>
        </is>
      </c>
      <c r="B102">
        <f>IF(Inputs!$B$3&gt;=68,20*IF(Inputs!$B$4="pvp",MIN((15*(1+(Inputs!$B$33+IF(Inputs!$B$3&gt;=117,F98,0))/100)),15)/15,(15*(1+(Inputs!$B$33+IF(Inputs!$B$3&gt;=117,F98,0))/100))/Skills!D10),0)</f>
        <v/>
      </c>
    </row>
    <row r="103">
      <c r="A103" t="inlineStr">
        <is>
          <t>Normal Monster Damage Bonus % (Holy Symbol)</t>
        </is>
      </c>
      <c r="B103">
        <f>IF(C85=TRUE,F85*IF(AND(Inputs!$B$4&lt;&gt;"pvp",Inputs!$B$35&gt;0),(((S85-1)*(Skills!S12*(1+(Inputs!$B$33+IF(Inputs!$B$3&gt;=117,F98,0))/100))+MIN((Skills!S12*(1+(Inputs!$B$33+IF(Inputs!$B$3&gt;=117,F98,0))/100)),MAX(0,Inputs!$B$35-((S85-1)*Skills!D12))))/Inputs!$B$35),IF(Inputs!$B$4="pvp",MIN((Skills!S12*(1+(Inputs!$B$33+IF(Inputs!$B$3&gt;=117,F98,0))/100)),15)/15,(Skills!S12*(1+(Inputs!$B$33+IF(Inputs!$B$3&gt;=117,F98,0))/100))/Skills!D12)),0)</f>
        <v/>
      </c>
    </row>
    <row r="104">
      <c r="A104" t="inlineStr">
        <is>
          <t>Damage % Bonus (Holy Symbol - Damage Boost)</t>
        </is>
      </c>
      <c r="B104">
        <f>Skills!O12</f>
        <v/>
      </c>
    </row>
    <row r="105">
      <c r="A105" t="inlineStr">
        <is>
          <t>Crit Damage % Bonus (Blood of the Divine)</t>
        </is>
      </c>
      <c r="B105">
        <f>4*IF(C92=TRUE,F92,0)</f>
        <v/>
      </c>
    </row>
    <row r="106">
      <c r="A106" t="inlineStr">
        <is>
          <t>Attack Speed Bonus %</t>
        </is>
      </c>
      <c r="B106">
        <f>IF(C89=TRUE,F89+(F93-Calc!F20),0)+IF(Inputs!$B$3&gt;=134,15,0)</f>
        <v/>
      </c>
    </row>
    <row r="107">
      <c r="A107" t="inlineStr">
        <is>
          <t>Actions Per Second</t>
        </is>
      </c>
      <c r="B107">
        <f>1+MIN(150,150*(1-(1-Inputs!$B$10/150)*(1-B106/150)))/100</f>
        <v/>
      </c>
    </row>
    <row r="108">
      <c r="A108" t="inlineStr">
        <is>
          <t>Skill + Buff Cast Rate</t>
        </is>
      </c>
      <c r="B108">
        <f>IF(AND(Inputs!$B$4&lt;&gt;"pvp",Inputs!$B$35&gt;0),SUMPRODUCT((Skills!E2:E26=TRUE)*(C75:C99=TRUE)*S75:S99)/Inputs!$B$35,SUMPRODUCT((Skills!E2:E26=TRUE)*(C75:C99=TRUE)*V75:V99))</f>
        <v/>
      </c>
    </row>
    <row r="109">
      <c r="A109" t="inlineStr">
        <is>
          <t>Big Bang Casts Per Second</t>
        </is>
      </c>
      <c r="B109">
        <f>MAX(0,B107-B108)</f>
        <v/>
      </c>
    </row>
    <row r="111">
      <c r="A111" s="5" t="inlineStr">
        <is>
          <t>TOTAL DPS</t>
        </is>
      </c>
      <c r="B111" s="5">
        <f>SUM(O75:O99)</f>
        <v/>
      </c>
    </row>
    <row r="114">
      <c r="A114" s="5" t="inlineStr">
        <is>
          <t>Stat: DAMAGE %</t>
        </is>
      </c>
    </row>
    <row r="115">
      <c r="A115" s="8" t="inlineStr">
        <is>
          <t>Key</t>
        </is>
      </c>
      <c r="B115" s="8" t="inlineStr">
        <is>
          <t>Name</t>
        </is>
      </c>
      <c r="C115" s="8" t="inlineStr">
        <is>
          <t>Unlocked</t>
        </is>
      </c>
      <c r="D115" s="8" t="inlineStr">
        <is>
          <t>InputLevel</t>
        </is>
      </c>
      <c r="E115" s="8" t="inlineStr">
        <is>
          <t>Factor</t>
        </is>
      </c>
      <c r="F115" s="8" t="inlineStr">
        <is>
          <t>CoefficientPercent</t>
        </is>
      </c>
      <c r="G115" s="8" t="inlineStr">
        <is>
          <t>EffectiveHits</t>
        </is>
      </c>
      <c r="H115" s="8" t="inlineStr">
        <is>
          <t>ProcProbability</t>
        </is>
      </c>
      <c r="I115" s="8" t="inlineStr">
        <is>
          <t>MapleHeroMultiplier</t>
        </is>
      </c>
      <c r="J115" s="8" t="inlineStr">
        <is>
          <t>BaseDamage</t>
        </is>
      </c>
      <c r="K115" s="8" t="inlineStr">
        <is>
          <t>BaseHitDamage</t>
        </is>
      </c>
      <c r="L115" s="8" t="inlineStr">
        <is>
          <t>NonCritAvg</t>
        </is>
      </c>
      <c r="M115" s="8" t="inlineStr">
        <is>
          <t>CritAvg</t>
        </is>
      </c>
      <c r="N115" s="8" t="inlineStr">
        <is>
          <t>ExpectedDamage(perHit)</t>
        </is>
      </c>
      <c r="O115" s="8" t="inlineStr">
        <is>
          <t>DPS</t>
        </is>
      </c>
      <c r="P115" s="8" t="inlineStr">
        <is>
          <t>% of Total</t>
        </is>
      </c>
      <c r="R115" t="inlineStr">
        <is>
          <t>helpers</t>
        </is>
      </c>
    </row>
    <row r="116">
      <c r="A116">
        <f>Skills!A2</f>
        <v/>
      </c>
      <c r="B116">
        <f>Skills!B2</f>
        <v/>
      </c>
      <c r="C116">
        <f>Inputs!$B$3&gt;=100</f>
        <v/>
      </c>
      <c r="D116" t="inlineStr"/>
      <c r="E116" t="inlineStr"/>
      <c r="F116">
        <f>T118+Skills!N2</f>
        <v/>
      </c>
      <c r="G116">
        <f>Calc!G2</f>
        <v/>
      </c>
      <c r="H116">
        <f>Calc!H2</f>
        <v/>
      </c>
      <c r="I116">
        <f>IF(Skills!T2&lt;&gt;"",1+(Skills!T2/10)*($Z$3/1000)/100,1)</f>
        <v/>
      </c>
      <c r="J116">
        <f>((Inputs!$B$5*(1+Inputs!$B$6/100))+((Inputs!$B$11*(1+Inputs!$B$12/100))-(Inputs!$B$11*(1+Inputs!$B$12/100)))*(1+Inputs!$B$6/100))*(F116/100)</f>
        <v/>
      </c>
      <c r="K116">
        <f>J116*(1+((Inputs!$B$11*(1+Inputs!$B$12/100))*0.01+Inputs!$B$13*0.0025)/100)*(1+((Inputs!$B$14+1)+B145)/100)*(1+IF(Inputs!$B$4="pvp",0,(1-Summary!$B$48)*(Inputs!$B$19+Skills!O2+B143)+Summary!$B$48*(Inputs!$B$20+Skills!P2+B144))/100)*(1+Inputs!$B$15/100)*(5000/(6000+Inputs!$B$7*(1-Inputs!$B$18/100)))*(1+Inputs!$B$23/100)*(1+IF(C131=TRUE,F131,0)/100)*(1+IF(C133=TRUE,F133,0)/100)*(1+IF(Skills!A2="TRIUMPH_FEATHER",IF(C129=TRUE,F129,0),0)/100)*(1+IF(C140=TRUE,F140,0)/100)^5*(1+(IF(Skills!A2="BIG_BANG",Inputs!$B$16,Inputs!$B$17))/100)*(B142*I116)</f>
        <v/>
      </c>
      <c r="L116">
        <f>K116*(MIN(Inputs!$B$21+(F135-Calc!F21),Inputs!$B$22)/100+Inputs!$B$22/100)/2</f>
        <v/>
      </c>
      <c r="M116">
        <f>L116*(1+(Inputs!$B$9+B146+(F138-Calc!F24))/100)</f>
        <v/>
      </c>
      <c r="N116">
        <f>L116*(1-MIN(Inputs!$B$8+((F137-Calc!F23)+(F136-Calc!F22)),100)/100)+M116*(MIN(Inputs!$B$8+((F137-Calc!F23)+(F136-Calc!F22)),100)/100)</f>
        <v/>
      </c>
      <c r="O116">
        <f>IF(C116,Skills!F2*N116*B150*IF(Inputs!$B$4="pvp",1,(1-Summary!$B$48)*(1)+Summary!$B$48*(MIN((6+Inputs!$B$32),Inputs!$B$37))),0)</f>
        <v/>
      </c>
      <c r="P116">
        <f>IF(B152=0,0,O116/B152)</f>
        <v/>
      </c>
      <c r="S116" t="n">
        <v>0</v>
      </c>
      <c r="T116">
        <f>MAX(0,(Inputs!$B$3-100)*3)+Inputs!$B$27+Inputs!$B$28</f>
        <v/>
      </c>
      <c r="V116">
        <f>IFERROR(1/IF(Inputs!$B$4="pvp",15,MAX(0.1,Skills!D2-IF(Skills!E2=TRUE,Inputs!$B$31,0))),0)</f>
        <v/>
      </c>
    </row>
    <row r="117">
      <c r="A117">
        <f>Skills!A3</f>
        <v/>
      </c>
      <c r="B117">
        <f>Skills!B3</f>
        <v/>
      </c>
      <c r="C117">
        <f>Inputs!$B$3&gt;=15</f>
        <v/>
      </c>
      <c r="D117">
        <f>IF(Skills!C3=1,60+Inputs!$B$24+Inputs!$B$28,IF(Skills!C3=2,90+Inputs!$B$25+Inputs!$B$28,IF(Skills!C3=3,120+Inputs!$B$26+Inputs!$B$28,MAX(0,(Inputs!$B$3-100)*3)+Inputs!$B$27+Inputs!$B$28)))</f>
        <v/>
      </c>
      <c r="E117">
        <f>INDEX(FactorTable!$B$2:$Y$301, MATCH(ROUND(MIN(300,MAX(1,D117)),0), FactorTable!$A$2:$A$301,0), Skills!L3+1)</f>
        <v/>
      </c>
      <c r="F117">
        <f>IF(Skills!M3=TRUE,(Skills!K3/10)*(E117/1000),Skills!K3/10)+Skills!N3</f>
        <v/>
      </c>
      <c r="G117">
        <f>Calc!G3</f>
        <v/>
      </c>
      <c r="H117">
        <f>Calc!H3</f>
        <v/>
      </c>
      <c r="I117">
        <f>IF(Skills!T3&lt;&gt;"",1+(Skills!T3/10)*($Z$3/1000)/100,1)</f>
        <v/>
      </c>
      <c r="J117" t="inlineStr"/>
      <c r="K117" t="inlineStr"/>
      <c r="L117" t="inlineStr"/>
      <c r="M117" t="inlineStr"/>
      <c r="N117" t="inlineStr"/>
      <c r="O117" t="n">
        <v>0</v>
      </c>
      <c r="P117">
        <f>IF(B152=0,0,O117/B152)</f>
        <v/>
      </c>
      <c r="S117">
        <f>IF(AND(Inputs!$B$4&lt;&gt;"pvp",Inputs!$B$35&gt;0),(INT(Inputs!$B$35/IF(Inputs!$B$4="pvp",15,MAX(0.1,Skills!D3-IF(Skills!E3=TRUE,Inputs!$B$31,0))))+1),0)</f>
        <v/>
      </c>
      <c r="T117">
        <f>INDEX(FactorTable!$B$2:$Y$301, MATCH(ROUND(MIN(300,MAX(1,T116)),0), FactorTable!$A$2:$A$301,0), 22)</f>
        <v/>
      </c>
      <c r="V117">
        <f>IFERROR(1/IF(Inputs!$B$4="pvp",15,MAX(0.1,Skills!D3-IF(Skills!E3=TRUE,Inputs!$B$31,0))),0)</f>
        <v/>
      </c>
    </row>
    <row r="118">
      <c r="A118">
        <f>Skills!A4</f>
        <v/>
      </c>
      <c r="B118">
        <f>Skills!B4</f>
        <v/>
      </c>
      <c r="C118">
        <f>Inputs!$B$3&gt;=38</f>
        <v/>
      </c>
      <c r="D118">
        <f>IF(Skills!C4=1,60+Inputs!$B$24+Inputs!$B$28,IF(Skills!C4=2,90+Inputs!$B$25+Inputs!$B$28,IF(Skills!C4=3,120+Inputs!$B$26+Inputs!$B$28,MAX(0,(Inputs!$B$3-100)*3)+Inputs!$B$27+Inputs!$B$28)))</f>
        <v/>
      </c>
      <c r="E118">
        <f>INDEX(FactorTable!$B$2:$Y$301, MATCH(ROUND(MIN(300,MAX(1,D118)),0), FactorTable!$A$2:$A$301,0), Skills!L4+1)</f>
        <v/>
      </c>
      <c r="F118">
        <f>IF(Skills!M4=TRUE,(Skills!K4/10)*(E118/1000),Skills!K4/10)+Skills!N4</f>
        <v/>
      </c>
      <c r="G118">
        <f>Calc!G4</f>
        <v/>
      </c>
      <c r="H118">
        <f>Calc!H4</f>
        <v/>
      </c>
      <c r="I118">
        <f>IF(Skills!T4&lt;&gt;"",1+(Skills!T4/10)*($Z$3/1000)/100,1)</f>
        <v/>
      </c>
      <c r="J118" t="inlineStr"/>
      <c r="K118" t="inlineStr"/>
      <c r="L118" t="inlineStr"/>
      <c r="M118" t="inlineStr"/>
      <c r="N118" t="inlineStr"/>
      <c r="O118" t="n">
        <v>0</v>
      </c>
      <c r="P118">
        <f>IF(B152=0,0,O118/B152)</f>
        <v/>
      </c>
      <c r="S118">
        <f>IF(AND(Inputs!$B$4&lt;&gt;"pvp",Inputs!$B$35&gt;0),(INT(Inputs!$B$35/IF(Inputs!$B$4="pvp",15,MAX(0.1,Skills!D4-IF(Skills!E4=TRUE,Inputs!$B$31,0))))+1),0)</f>
        <v/>
      </c>
      <c r="T118">
        <f>290*T117/1000</f>
        <v/>
      </c>
      <c r="V118">
        <f>IFERROR(1/IF(Inputs!$B$4="pvp",15,MAX(0.1,Skills!D4-IF(Skills!E4=TRUE,Inputs!$B$31,0))),0)</f>
        <v/>
      </c>
    </row>
    <row r="119">
      <c r="A119">
        <f>Skills!A5</f>
        <v/>
      </c>
      <c r="B119">
        <f>Skills!B5</f>
        <v/>
      </c>
      <c r="C119">
        <f>Inputs!$B$3&gt;=40</f>
        <v/>
      </c>
      <c r="D119">
        <f>IF(Skills!C5=1,60+Inputs!$B$24+Inputs!$B$28,IF(Skills!C5=2,90+Inputs!$B$25+Inputs!$B$28,IF(Skills!C5=3,120+Inputs!$B$26+Inputs!$B$28,MAX(0,(Inputs!$B$3-100)*3)+Inputs!$B$27+Inputs!$B$28)))</f>
        <v/>
      </c>
      <c r="E119">
        <f>INDEX(FactorTable!$B$2:$Y$301, MATCH(ROUND(MIN(300,MAX(1,D119)),0), FactorTable!$A$2:$A$301,0), Skills!L5+1)</f>
        <v/>
      </c>
      <c r="F119">
        <f>IF(Skills!M5=TRUE,(Skills!K5/10)*(E119/1000),Skills!K5/10)+Skills!N5</f>
        <v/>
      </c>
      <c r="G119">
        <f>Calc!G5</f>
        <v/>
      </c>
      <c r="H119">
        <f>Calc!H5</f>
        <v/>
      </c>
      <c r="I119">
        <f>IF(Skills!T5&lt;&gt;"",1+(Skills!T5/10)*($Z$3/1000)/100,1)</f>
        <v/>
      </c>
      <c r="J119" t="inlineStr"/>
      <c r="K119" t="inlineStr"/>
      <c r="L119" t="inlineStr"/>
      <c r="M119" t="inlineStr"/>
      <c r="N119" t="inlineStr"/>
      <c r="O119" t="n">
        <v>0</v>
      </c>
      <c r="P119">
        <f>IF(B152=0,0,O119/B152)</f>
        <v/>
      </c>
      <c r="S119">
        <f>IF(AND(Inputs!$B$4&lt;&gt;"pvp",Inputs!$B$35&gt;0),(INT(Inputs!$B$35/IF(Inputs!$B$4="pvp",15,MAX(0.1,Skills!D5-IF(Skills!E5=TRUE,Inputs!$B$31,0))))+1),0)</f>
        <v/>
      </c>
      <c r="V119">
        <f>IFERROR(1/IF(Inputs!$B$4="pvp",15,MAX(0.1,Skills!D5-IF(Skills!E5=TRUE,Inputs!$B$31,0))),0)</f>
        <v/>
      </c>
    </row>
    <row r="120">
      <c r="A120">
        <f>Skills!A6</f>
        <v/>
      </c>
      <c r="B120">
        <f>Skills!B6</f>
        <v/>
      </c>
      <c r="C120">
        <f>Inputs!$B$3&gt;=103</f>
        <v/>
      </c>
      <c r="D120">
        <f>IF(Skills!C6=1,60+Inputs!$B$24+Inputs!$B$28,IF(Skills!C6=2,90+Inputs!$B$25+Inputs!$B$28,IF(Skills!C6=3,120+Inputs!$B$26+Inputs!$B$28,MAX(0,(Inputs!$B$3-100)*3)+Inputs!$B$27+Inputs!$B$28)))</f>
        <v/>
      </c>
      <c r="E120">
        <f>INDEX(FactorTable!$B$2:$Y$301, MATCH(ROUND(MIN(300,MAX(1,D120)),0), FactorTable!$A$2:$A$301,0), Skills!L6+1)</f>
        <v/>
      </c>
      <c r="F120">
        <f>IF(Skills!M6=TRUE,(Skills!K6/10)*(E120/1000),Skills!K6/10)+Skills!N6</f>
        <v/>
      </c>
      <c r="G120">
        <f>Calc!G6</f>
        <v/>
      </c>
      <c r="H120">
        <f>Calc!H6</f>
        <v/>
      </c>
      <c r="I120">
        <f>IF(Skills!T6&lt;&gt;"",1+(Skills!T6/10)*($Z$3/1000)/100,1)</f>
        <v/>
      </c>
      <c r="J120">
        <f>((Inputs!$B$5*(1+Inputs!$B$6/100))+((Inputs!$B$11*(1+Inputs!$B$12/100))-(Inputs!$B$11*(1+Inputs!$B$12/100)))*(1+Inputs!$B$6/100))*(F120/100)</f>
        <v/>
      </c>
      <c r="K120">
        <f>J120*(1+((Inputs!$B$11*(1+Inputs!$B$12/100))*0.01+Inputs!$B$13*0.0025)/100)*(1+((Inputs!$B$14+1)+B145)/100)*(1+IF(Inputs!$B$4="pvp",0,(1-Summary!$B$48)*(Inputs!$B$19+Skills!O6+B143)+Summary!$B$48*(Inputs!$B$20+Skills!P6+B144))/100)*(1+Inputs!$B$15/100)*(5000/(6000+Inputs!$B$7*(1-Inputs!$B$18/100)))*(1+Inputs!$B$23/100)*(1+IF(C131=TRUE,F131,0)/100)*(1+IF(C133=TRUE,F133,0)/100)*(1+IF(Skills!A6="TRIUMPH_FEATHER",IF(C129=TRUE,F129,0),0)/100)*(1+IF(C140=TRUE,F140,0)/100)^5*(1+(IF(Skills!A6="BIG_BANG",Inputs!$B$16,Inputs!$B$17))/100)*(B142*I120)</f>
        <v/>
      </c>
      <c r="L120">
        <f>K120*(MIN(Inputs!$B$21+(F135-Calc!F21),Inputs!$B$22)/100+Inputs!$B$22/100)/2</f>
        <v/>
      </c>
      <c r="M120">
        <f>L120*(1+(Inputs!$B$9+B146+(F138-Calc!F24))/100)</f>
        <v/>
      </c>
      <c r="N120">
        <f>L120*(1-MIN(Inputs!$B$8+((F137-Calc!F23)+(F136-Calc!F22)),100)/100)+M120*(MIN(Inputs!$B$8+((F137-Calc!F23)+(F136-Calc!F22)),100)/100)</f>
        <v/>
      </c>
      <c r="O120">
        <f>IF(C120,H120*N120*IF(AND(Inputs!$B$4&lt;&gt;"pvp",Inputs!$B$35&gt;0),((Skills!F6*((S120-1)*IF(Skills!G6&gt;0,Skills!H6/Skills!G6,1)+IF(Skills!G6&gt;0,MIN(Skills!H6,MAX(0,Inputs!$B$35-((S120-1)*IF(Inputs!$B$4="pvp",15,MAX(0.1,Skills!D6-IF(Skills!E6=TRUE,Inputs!$B$31,0))))))/Skills!G6,1)))/Inputs!$B$35),G120*V120)*IF(Inputs!$B$4="pvp",1,(1-Summary!$B$48)*(1)+Summary!$B$48*(MIN(Skills!Q6,Inputs!$B$37))),0)</f>
        <v/>
      </c>
      <c r="P120">
        <f>IF(B152=0,0,O120/B152)</f>
        <v/>
      </c>
      <c r="S120">
        <f>IF(AND(Inputs!$B$4&lt;&gt;"pvp",Inputs!$B$35&gt;0),(INT(Inputs!$B$35/IF(Inputs!$B$4="pvp",15,MAX(0.1,Skills!D6-IF(Skills!E6=TRUE,Inputs!$B$31,0))))+1),0)</f>
        <v/>
      </c>
      <c r="V120">
        <f>IFERROR(1/IF(Inputs!$B$4="pvp",15,MAX(0.1,Skills!D6-IF(Skills!E6=TRUE,Inputs!$B$31,0))),0)</f>
        <v/>
      </c>
    </row>
    <row r="121">
      <c r="A121">
        <f>Skills!A7</f>
        <v/>
      </c>
      <c r="B121">
        <f>Skills!B7</f>
        <v/>
      </c>
      <c r="C121">
        <f>Inputs!$B$3&gt;=122</f>
        <v/>
      </c>
      <c r="D121">
        <f>IF(Skills!C7=1,60+Inputs!$B$24+Inputs!$B$28,IF(Skills!C7=2,90+Inputs!$B$25+Inputs!$B$28,IF(Skills!C7=3,120+Inputs!$B$26+Inputs!$B$28,MAX(0,(Inputs!$B$3-100)*3)+Inputs!$B$27+Inputs!$B$28)))</f>
        <v/>
      </c>
      <c r="E121">
        <f>INDEX(FactorTable!$B$2:$Y$301, MATCH(ROUND(MIN(300,MAX(1,D121)),0), FactorTable!$A$2:$A$301,0), Skills!L7+1)</f>
        <v/>
      </c>
      <c r="F121">
        <f>IF(Skills!M7=TRUE,(Skills!K7/10)*(E121/1000),Skills!K7/10)+Skills!N7</f>
        <v/>
      </c>
      <c r="G121">
        <f>Calc!G7</f>
        <v/>
      </c>
      <c r="H121">
        <f>Calc!H7</f>
        <v/>
      </c>
      <c r="I121">
        <f>IF(Skills!T7&lt;&gt;"",1+(Skills!T7/10)*($Z$3/1000)/100,1)</f>
        <v/>
      </c>
      <c r="J121">
        <f>((Inputs!$B$5*(1+Inputs!$B$6/100))+((Inputs!$B$11*(1+Inputs!$B$12/100))-(Inputs!$B$11*(1+Inputs!$B$12/100)))*(1+Inputs!$B$6/100))*(F121/100)</f>
        <v/>
      </c>
      <c r="K121">
        <f>J121*(1+((Inputs!$B$11*(1+Inputs!$B$12/100))*0.01+Inputs!$B$13*0.0025)/100)*(1+((Inputs!$B$14+1)+B145)/100)*(1+IF(Inputs!$B$4="pvp",0,(1-Summary!$B$48)*(Inputs!$B$19+Skills!O7+B143)+Summary!$B$48*(Inputs!$B$20+Skills!P7+B144))/100)*(1+Inputs!$B$15/100)*(5000/(6000+Inputs!$B$7*(1-Inputs!$B$18/100)))*(1+Inputs!$B$23/100)*(1+IF(C131=TRUE,F131,0)/100)*(1+IF(C133=TRUE,F133,0)/100)*(1+IF(Skills!A7="TRIUMPH_FEATHER",IF(C129=TRUE,F129,0),0)/100)*(1+IF(C140=TRUE,F140,0)/100)^5*(1+(IF(Skills!A7="BIG_BANG",Inputs!$B$16,Inputs!$B$17))/100)*(B142*I121)</f>
        <v/>
      </c>
      <c r="L121">
        <f>K121*(MIN(Inputs!$B$21+(F135-Calc!F21),Inputs!$B$22)/100+Inputs!$B$22/100)/2</f>
        <v/>
      </c>
      <c r="M121">
        <f>L121*(1+(Inputs!$B$9+B146+(F138-Calc!F24))/100)</f>
        <v/>
      </c>
      <c r="N121">
        <f>L121*(1-MIN(Inputs!$B$8+((F137-Calc!F23)+(F136-Calc!F22)),100)/100)+M121*(MIN(Inputs!$B$8+((F137-Calc!F23)+(F136-Calc!F22)),100)/100)</f>
        <v/>
      </c>
      <c r="O121">
        <f>IF(C121,H121*N121*IF(AND(Inputs!$B$4&lt;&gt;"pvp",Inputs!$B$35&gt;0),((Skills!F7*((S121-1)*IF(Skills!G7&gt;0,Skills!H7/Skills!G7,1)+IF(Skills!G7&gt;0,MIN(Skills!H7,MAX(0,Inputs!$B$35-((S121-1)*IF(Inputs!$B$4="pvp",15,MAX(0.1,Skills!D7-IF(Skills!E6=TRUE,Inputs!$B$31,0))))))/Skills!G7,1)))/Inputs!$B$35),G121*V121)*(1-Summary!$B$48),0)</f>
        <v/>
      </c>
      <c r="P121">
        <f>IF(B152=0,0,O121/B152)</f>
        <v/>
      </c>
      <c r="S121">
        <f>IF(AND(Inputs!$B$4&lt;&gt;"pvp",Inputs!$B$35&gt;0),(INT(Inputs!$B$35/IF(Inputs!$B$4="pvp",15,MAX(0.1,Skills!D7-IF(Skills!E6=TRUE,Inputs!$B$31,0))))+1),0)</f>
        <v/>
      </c>
      <c r="V121">
        <f>IFERROR(1/IF(Inputs!$B$4="pvp",15,MAX(0.1,Skills!D7-IF(Skills!E6=TRUE,Inputs!$B$31,0))),0)</f>
        <v/>
      </c>
    </row>
    <row r="122">
      <c r="A122">
        <f>Skills!A8</f>
        <v/>
      </c>
      <c r="B122">
        <f>Skills!B8</f>
        <v/>
      </c>
      <c r="C122">
        <f>Inputs!$B$3&gt;=105</f>
        <v/>
      </c>
      <c r="D122">
        <f>IF(Skills!C8=1,60+Inputs!$B$24+Inputs!$B$28,IF(Skills!C8=2,90+Inputs!$B$25+Inputs!$B$28,IF(Skills!C8=3,120+Inputs!$B$26+Inputs!$B$28,MAX(0,(Inputs!$B$3-100)*3)+Inputs!$B$27+Inputs!$B$28)))</f>
        <v/>
      </c>
      <c r="E122">
        <f>INDEX(FactorTable!$B$2:$Y$301, MATCH(ROUND(MIN(300,MAX(1,D122)),0), FactorTable!$A$2:$A$301,0), Skills!L8+1)</f>
        <v/>
      </c>
      <c r="F122">
        <f>IF(Skills!M8=TRUE,(Skills!K8/10)*(E122/1000),Skills!K8/10)+Skills!N8</f>
        <v/>
      </c>
      <c r="G122">
        <f>Calc!G8</f>
        <v/>
      </c>
      <c r="H122">
        <f>Calc!H8</f>
        <v/>
      </c>
      <c r="I122">
        <f>IF(Skills!T8&lt;&gt;"",1+(Skills!T8/10)*($Z$3/1000)/100,1)</f>
        <v/>
      </c>
      <c r="J122">
        <f>((Inputs!$B$5*(1+Inputs!$B$6/100))+((Inputs!$B$11*(1+Inputs!$B$12/100))-(Inputs!$B$11*(1+Inputs!$B$12/100)))*(1+Inputs!$B$6/100))*(F122/100)</f>
        <v/>
      </c>
      <c r="K122">
        <f>J122*(1+((Inputs!$B$11*(1+Inputs!$B$12/100))*0.01+Inputs!$B$13*0.0025)/100)*(1+((Inputs!$B$14+1)+B145)/100)*(1+IF(Inputs!$B$4="pvp",0,(1-Summary!$B$48)*(Inputs!$B$19+Skills!O8+B143)+Summary!$B$48*(Inputs!$B$20+Skills!P8+B144))/100)*(1+Inputs!$B$15/100)*(5000/(6000+Inputs!$B$7*(1-Inputs!$B$18/100)))*(1+Inputs!$B$23/100)*(1+IF(C131=TRUE,F131,0)/100)*(1+IF(C133=TRUE,F133,0)/100)*(1+IF(Skills!A8="TRIUMPH_FEATHER",IF(C129=TRUE,F129,0),0)/100)*(1+IF(C140=TRUE,F140,0)/100)^5*(1+(IF(Skills!A8="BIG_BANG",Inputs!$B$16,Inputs!$B$17))/100)*(B142*I122)</f>
        <v/>
      </c>
      <c r="L122">
        <f>K122*(MIN(Inputs!$B$21+(F135-Calc!F21),Inputs!$B$22)/100+Inputs!$B$22/100)/2</f>
        <v/>
      </c>
      <c r="M122">
        <f>L122*(1+(Inputs!$B$9+B146+(F138-Calc!F24))/100)</f>
        <v/>
      </c>
      <c r="N122">
        <f>L122*(1-MIN(Inputs!$B$8+((F137-Calc!F23)+(F136-Calc!F22)),100)/100)+M122*(MIN(Inputs!$B$8+((F137-Calc!F23)+(F136-Calc!F22)),100)/100)</f>
        <v/>
      </c>
      <c r="O122">
        <f>IF(C122,H122*N122*IF(AND(Inputs!$B$4&lt;&gt;"pvp",Inputs!$B$35&gt;0),((Skills!F8*((S122-1)*IF(Skills!G8&gt;0,Skills!H8/Skills!G8,1)+IF(Skills!G8&gt;0,MIN(Skills!H8,MAX(0,Inputs!$B$35-((S122-1)*IF(Inputs!$B$4="pvp",15,MAX(0.1,Skills!D8-IF(Skills!E8=TRUE,Inputs!$B$31,0))))))/Skills!G8,1)))/Inputs!$B$35),G122*V122)*IF(Inputs!$B$4="pvp",1,(1-Summary!$B$48)*(1)+Summary!$B$48*(MIN(Skills!Q8,Inputs!$B$37))),0)</f>
        <v/>
      </c>
      <c r="P122">
        <f>IF(B152=0,0,O122/B152)</f>
        <v/>
      </c>
      <c r="S122">
        <f>IF(AND(Inputs!$B$4&lt;&gt;"pvp",Inputs!$B$35&gt;0),(INT(Inputs!$B$35/IF(Inputs!$B$4="pvp",15,MAX(0.1,Skills!D8-IF(Skills!E8=TRUE,Inputs!$B$31,0))))+1),0)</f>
        <v/>
      </c>
      <c r="V122">
        <f>IFERROR(1/IF(Inputs!$B$4="pvp",15,MAX(0.1,Skills!D8-IF(Skills!E8=TRUE,Inputs!$B$31,0))),0)</f>
        <v/>
      </c>
    </row>
    <row r="123">
      <c r="A123">
        <f>Skills!A9</f>
        <v/>
      </c>
      <c r="B123">
        <f>Skills!B9</f>
        <v/>
      </c>
      <c r="C123">
        <f>Inputs!$B$3&gt;=115</f>
        <v/>
      </c>
      <c r="D123">
        <f>IF(Skills!C9=1,60+Inputs!$B$24+Inputs!$B$28,IF(Skills!C9=2,90+Inputs!$B$25+Inputs!$B$28,IF(Skills!C9=3,120+Inputs!$B$26+Inputs!$B$28,MAX(0,(Inputs!$B$3-100)*3)+Inputs!$B$27+Inputs!$B$28)))</f>
        <v/>
      </c>
      <c r="E123">
        <f>INDEX(FactorTable!$B$2:$Y$301, MATCH(ROUND(MIN(300,MAX(1,D123)),0), FactorTable!$A$2:$A$301,0), Skills!L9+1)</f>
        <v/>
      </c>
      <c r="F123">
        <f>IF(Skills!M9=TRUE,(Skills!K9/10)*(E123/1000),Skills!K9/10)+Skills!N9</f>
        <v/>
      </c>
      <c r="G123">
        <f>Calc!G9</f>
        <v/>
      </c>
      <c r="H123">
        <f>Calc!H9</f>
        <v/>
      </c>
      <c r="I123">
        <f>IF(Skills!T9&lt;&gt;"",1+(Skills!T9/10)*($Z$3/1000)/100,1)</f>
        <v/>
      </c>
      <c r="J123">
        <f>((Inputs!$B$5*(1+Inputs!$B$6/100))+((Inputs!$B$11*(1+Inputs!$B$12/100))-(Inputs!$B$11*(1+Inputs!$B$12/100)))*(1+Inputs!$B$6/100))*(F123/100)</f>
        <v/>
      </c>
      <c r="K123">
        <f>J123*(1+((Inputs!$B$11*(1+Inputs!$B$12/100))*0.01+Inputs!$B$13*0.0025)/100)*(1+((Inputs!$B$14+1)+B145)/100)*(1+IF(Inputs!$B$4="pvp",0,(1-Summary!$B$48)*(Inputs!$B$19+Skills!O9+B143)+Summary!$B$48*(Inputs!$B$20+Skills!P9+B144))/100)*(1+Inputs!$B$15/100)*(5000/(6000+Inputs!$B$7*(1-Inputs!$B$18/100)))*(1+Inputs!$B$23/100)*(1+IF(C131=TRUE,F131,0)/100)*(1+IF(C133=TRUE,F133,0)/100)*(1+IF(Skills!A9="TRIUMPH_FEATHER",IF(C129=TRUE,F129,0),0)/100)*(1+IF(C140=TRUE,F140,0)/100)^5*(1+(IF(Skills!A9="BIG_BANG",Inputs!$B$16,Inputs!$B$17))/100)*(B142*I123)</f>
        <v/>
      </c>
      <c r="L123">
        <f>K123*(MIN(Inputs!$B$21+(F135-Calc!F21),Inputs!$B$22)/100+Inputs!$B$22/100)/2</f>
        <v/>
      </c>
      <c r="M123">
        <f>L123*(1+(Inputs!$B$9+B146+(F138-Calc!F24))/100)</f>
        <v/>
      </c>
      <c r="N123">
        <f>L123*(1-MIN(Inputs!$B$8+((F137-Calc!F23)+(F136-Calc!F22)),100)/100)+M123*(MIN(Inputs!$B$8+((F137-Calc!F23)+(F136-Calc!F22)),100)/100)</f>
        <v/>
      </c>
      <c r="O123">
        <f>IF(C123,H123*N123*IF(AND(Inputs!$B$4&lt;&gt;"pvp",Inputs!$B$35&gt;0),((Skills!F9*((S123-1)*IF(Skills!G9&gt;0,Skills!H9/Skills!G9,1)+IF(Skills!G9&gt;0,MIN(Skills!H9,MAX(0,Inputs!$B$35-((S123-1)*IF(Inputs!$B$4="pvp",15,MAX(0.1,Skills!D9-IF(Skills!E9=TRUE,Inputs!$B$31,0))))))/Skills!G9,1)))/Inputs!$B$35),G123*V123)*IF(Inputs!$B$4="pvp",1,(1-Summary!$B$48)*(1)+Summary!$B$48*(MIN(Skills!Q9,Inputs!$B$37))),0)</f>
        <v/>
      </c>
      <c r="P123">
        <f>IF(B152=0,0,O123/B152)</f>
        <v/>
      </c>
      <c r="S123">
        <f>IF(AND(Inputs!$B$4&lt;&gt;"pvp",Inputs!$B$35&gt;0),(INT(Inputs!$B$35/IF(Inputs!$B$4="pvp",15,MAX(0.1,Skills!D9-IF(Skills!E9=TRUE,Inputs!$B$31,0))))+1),0)</f>
        <v/>
      </c>
      <c r="V123">
        <f>IFERROR(1/IF(Inputs!$B$4="pvp",15,MAX(0.1,Skills!D9-IF(Skills!E9=TRUE,Inputs!$B$31,0))),0)</f>
        <v/>
      </c>
    </row>
    <row r="124">
      <c r="A124">
        <f>Skills!A10</f>
        <v/>
      </c>
      <c r="B124">
        <f>Skills!B10</f>
        <v/>
      </c>
      <c r="C124">
        <f>Inputs!$B$3&gt;=66</f>
        <v/>
      </c>
      <c r="D124">
        <f>IF(Skills!C10=1,60+Inputs!$B$24+Inputs!$B$28,IF(Skills!C10=2,90+Inputs!$B$25+Inputs!$B$28,IF(Skills!C10=3,120+Inputs!$B$26+Inputs!$B$28,MAX(0,(Inputs!$B$3-100)*3)+Inputs!$B$27+Inputs!$B$28)))</f>
        <v/>
      </c>
      <c r="E124">
        <f>INDEX(FactorTable!$B$2:$Y$301, MATCH(ROUND(MIN(300,MAX(1,D124)),0), FactorTable!$A$2:$A$301,0), Skills!L10+1)</f>
        <v/>
      </c>
      <c r="F124" t="n">
        <v>0</v>
      </c>
      <c r="G124">
        <f>Calc!G10</f>
        <v/>
      </c>
      <c r="H124">
        <f>Calc!H10</f>
        <v/>
      </c>
      <c r="I124">
        <f>IF(Skills!T10&lt;&gt;"",1+(Skills!T10/10)*($Z$3/1000)/100,1)</f>
        <v/>
      </c>
      <c r="J124" t="inlineStr"/>
      <c r="K124" t="inlineStr"/>
      <c r="L124" t="inlineStr"/>
      <c r="M124" t="inlineStr"/>
      <c r="N124" t="inlineStr"/>
      <c r="O124" t="n">
        <v>0</v>
      </c>
      <c r="P124">
        <f>IF(B152=0,0,O124/B152)</f>
        <v/>
      </c>
      <c r="S124">
        <f>IF(AND(Inputs!$B$4&lt;&gt;"pvp",Inputs!$B$35&gt;0),(INT(Inputs!$B$35/IF(Inputs!$B$4="pvp",15,MAX(0.1,Skills!D10-IF(Skills!E10=TRUE,Inputs!$B$31,0))))+1),0)</f>
        <v/>
      </c>
      <c r="V124">
        <f>IFERROR(1/IF(Inputs!$B$4="pvp",15,MAX(0.1,Skills!D10-IF(Skills!E10=TRUE,Inputs!$B$31,0))),0)</f>
        <v/>
      </c>
    </row>
    <row r="125">
      <c r="A125">
        <f>Skills!A11</f>
        <v/>
      </c>
      <c r="B125">
        <f>Skills!B11</f>
        <v/>
      </c>
      <c r="C125">
        <f>Inputs!$B$3&gt;=69</f>
        <v/>
      </c>
      <c r="D125">
        <f>IF(Skills!C11=1,60+Inputs!$B$24+Inputs!$B$28,IF(Skills!C11=2,90+Inputs!$B$25+Inputs!$B$28,IF(Skills!C11=3,120+Inputs!$B$26+Inputs!$B$28,MAX(0,(Inputs!$B$3-100)*3)+Inputs!$B$27+Inputs!$B$28)))</f>
        <v/>
      </c>
      <c r="E125">
        <f>INDEX(FactorTable!$B$2:$Y$301, MATCH(ROUND(MIN(300,MAX(1,D125)),0), FactorTable!$A$2:$A$301,0), Skills!L11+1)</f>
        <v/>
      </c>
      <c r="F125">
        <f>IF(Skills!M11=TRUE,(Skills!K11/10)*(E125/1000),Skills!K11/10)+Skills!N11</f>
        <v/>
      </c>
      <c r="G125">
        <f>Calc!G11</f>
        <v/>
      </c>
      <c r="H125">
        <f>Calc!H11</f>
        <v/>
      </c>
      <c r="I125">
        <f>IF(Skills!T11&lt;&gt;"",1+(Skills!T11/10)*($Z$3/1000)/100,1)</f>
        <v/>
      </c>
      <c r="J125" t="inlineStr"/>
      <c r="K125" t="inlineStr"/>
      <c r="L125" t="inlineStr"/>
      <c r="M125" t="inlineStr"/>
      <c r="N125" t="inlineStr"/>
      <c r="O125" t="n">
        <v>0</v>
      </c>
      <c r="P125">
        <f>IF(B152=0,0,O125/B152)</f>
        <v/>
      </c>
      <c r="S125">
        <f>IF(AND(Inputs!$B$4&lt;&gt;"pvp",Inputs!$B$35&gt;0),(INT(Inputs!$B$35/IF(Inputs!$B$4="pvp",15,MAX(0.1,Skills!D11-IF(Skills!E11=TRUE,Inputs!$B$31,0))))+1),0)</f>
        <v/>
      </c>
      <c r="V125">
        <f>IFERROR(1/IF(Inputs!$B$4="pvp",15,MAX(0.1,Skills!D11-IF(Skills!E11=TRUE,Inputs!$B$31,0))),0)</f>
        <v/>
      </c>
    </row>
    <row r="126">
      <c r="A126">
        <f>Skills!A12</f>
        <v/>
      </c>
      <c r="B126">
        <f>Skills!B12</f>
        <v/>
      </c>
      <c r="C126">
        <f>Inputs!$B$3&gt;=72</f>
        <v/>
      </c>
      <c r="D126">
        <f>IF(Skills!C12=1,60+Inputs!$B$24+Inputs!$B$28,IF(Skills!C12=2,90+Inputs!$B$25+Inputs!$B$28,IF(Skills!C12=3,120+Inputs!$B$26+Inputs!$B$28,MAX(0,(Inputs!$B$3-100)*3)+Inputs!$B$27+Inputs!$B$28)))</f>
        <v/>
      </c>
      <c r="E126">
        <f>INDEX(FactorTable!$B$2:$Y$301, MATCH(ROUND(MIN(300,MAX(1,D126)),0), FactorTable!$A$2:$A$301,0), Skills!L12+1)</f>
        <v/>
      </c>
      <c r="F126">
        <f>IF(Skills!M12=TRUE,(Skills!K12/10)*(E126/1000),Skills!K12/10)+Skills!N12</f>
        <v/>
      </c>
      <c r="G126">
        <f>Calc!G12</f>
        <v/>
      </c>
      <c r="H126">
        <f>Calc!H12</f>
        <v/>
      </c>
      <c r="I126">
        <f>IF(Skills!T12&lt;&gt;"",1+(Skills!T12/10)*($Z$3/1000)/100,1)</f>
        <v/>
      </c>
      <c r="J126" t="inlineStr"/>
      <c r="K126" t="inlineStr"/>
      <c r="L126" t="inlineStr"/>
      <c r="M126" t="inlineStr"/>
      <c r="N126" t="inlineStr"/>
      <c r="O126" t="n">
        <v>0</v>
      </c>
      <c r="P126">
        <f>IF(B152=0,0,O126/B152)</f>
        <v/>
      </c>
      <c r="S126">
        <f>IF(AND(Inputs!$B$4&lt;&gt;"pvp",Inputs!$B$35&gt;0),(INT(Inputs!$B$35/IF(Inputs!$B$4="pvp",15,MAX(0.1,Skills!D12-IF(Skills!E12=TRUE,Inputs!$B$31,0))))+1),0)</f>
        <v/>
      </c>
      <c r="V126">
        <f>IFERROR(1/IF(Inputs!$B$4="pvp",15,MAX(0.1,Skills!D12-IF(Skills!E12=TRUE,Inputs!$B$31,0))),0)</f>
        <v/>
      </c>
    </row>
    <row r="127">
      <c r="A127">
        <f>Skills!A13</f>
        <v/>
      </c>
      <c r="B127">
        <f>Skills!B13</f>
        <v/>
      </c>
      <c r="C127">
        <f>Inputs!$B$3&gt;=107</f>
        <v/>
      </c>
      <c r="D127">
        <f>IF(Skills!C13=1,60+Inputs!$B$24+Inputs!$B$28,IF(Skills!C13=2,90+Inputs!$B$25+Inputs!$B$28,IF(Skills!C13=3,120+Inputs!$B$26+Inputs!$B$28,MAX(0,(Inputs!$B$3-100)*3)+Inputs!$B$27+Inputs!$B$28)))</f>
        <v/>
      </c>
      <c r="E127">
        <f>INDEX(FactorTable!$B$2:$Y$301, MATCH(ROUND(MIN(300,MAX(1,D127)),0), FactorTable!$A$2:$A$301,0), Skills!L13+1)</f>
        <v/>
      </c>
      <c r="F127">
        <f>IF(Skills!M13=TRUE,(Skills!K13/10)*(E127/1000),Skills!K13/10)+Skills!N13</f>
        <v/>
      </c>
      <c r="G127">
        <f>Calc!G13</f>
        <v/>
      </c>
      <c r="H127">
        <f>Calc!H13</f>
        <v/>
      </c>
      <c r="I127">
        <f>IF(Skills!T13&lt;&gt;"",1+(Skills!T13/10)*($Z$3/1000)/100,1)</f>
        <v/>
      </c>
      <c r="J127" t="inlineStr"/>
      <c r="K127" t="inlineStr"/>
      <c r="L127" t="inlineStr"/>
      <c r="M127" t="inlineStr"/>
      <c r="N127" t="inlineStr"/>
      <c r="O127" t="n">
        <v>0</v>
      </c>
      <c r="P127">
        <f>IF(B152=0,0,O127/B152)</f>
        <v/>
      </c>
      <c r="S127">
        <f>IF(AND(Inputs!$B$4&lt;&gt;"pvp",Inputs!$B$35&gt;0),(INT(Inputs!$B$35/IF(Inputs!$B$4="pvp",15,MAX(0.1,Skills!D13-IF(Skills!E13=TRUE,Inputs!$B$31,0))))+1),0)</f>
        <v/>
      </c>
      <c r="V127">
        <f>IFERROR(1/IF(Inputs!$B$4="pvp",15,MAX(0.1,Skills!D13-IF(Skills!E13=TRUE,Inputs!$B$31,0))),0)</f>
        <v/>
      </c>
    </row>
    <row r="128">
      <c r="A128">
        <f>Skills!A14</f>
        <v/>
      </c>
      <c r="B128">
        <f>Skills!B14</f>
        <v/>
      </c>
      <c r="C128">
        <f>Inputs!$B$3&gt;=63</f>
        <v/>
      </c>
      <c r="D128">
        <f>IF(Skills!C14=1,60+Inputs!$B$24+Inputs!$B$28,IF(Skills!C14=2,90+Inputs!$B$25+Inputs!$B$28,IF(Skills!C14=3,120+Inputs!$B$26+Inputs!$B$28,MAX(0,(Inputs!$B$3-100)*3)+Inputs!$B$27+Inputs!$B$28)))</f>
        <v/>
      </c>
      <c r="E128">
        <f>INDEX(FactorTable!$B$2:$Y$301, MATCH(ROUND(MIN(300,MAX(1,D128)),0), FactorTable!$A$2:$A$301,0), Skills!L14+1)</f>
        <v/>
      </c>
      <c r="F128">
        <f>IF(Skills!M14=TRUE,(Skills!K14/10)*(E128/1000),Skills!K14/10)+Skills!N14</f>
        <v/>
      </c>
      <c r="G128">
        <f>Calc!G14</f>
        <v/>
      </c>
      <c r="H128">
        <f>Calc!H14</f>
        <v/>
      </c>
      <c r="I128">
        <f>IF(Skills!T14&lt;&gt;"",1+(Skills!T14/10)*($Z$3/1000)/100,1)</f>
        <v/>
      </c>
      <c r="J128">
        <f>((Inputs!$B$5*(1+Inputs!$B$6/100))+((Inputs!$B$11*(1+Inputs!$B$12/100))-(Inputs!$B$11*(1+Inputs!$B$12/100)))*(1+Inputs!$B$6/100))*(F128/100)</f>
        <v/>
      </c>
      <c r="K128">
        <f>J128*(1+((Inputs!$B$11*(1+Inputs!$B$12/100))*0.01+Inputs!$B$13*0.0025)/100)*(1+((Inputs!$B$14+1)+B145)/100)*(1+IF(Inputs!$B$4="pvp",0,(1-Summary!$B$48)*(Inputs!$B$19+Skills!O14+B143)+Summary!$B$48*(Inputs!$B$20+Skills!P14+B144))/100)*(1+Inputs!$B$15/100)*(5000/(6000+Inputs!$B$7*(1-Inputs!$B$18/100)))*(1+Inputs!$B$23/100)*(1+IF(C131=TRUE,F131,0)/100)*(1+IF(C133=TRUE,F133,0)/100)*(1+IF(Skills!A14="TRIUMPH_FEATHER",IF(C129=TRUE,F129,0),0)/100)*(1+IF(C140=TRUE,F140,0)/100)^5*(1+(IF(Skills!A14="BIG_BANG",Inputs!$B$16,Inputs!$B$17))/100)*(B142*I128)</f>
        <v/>
      </c>
      <c r="L128">
        <f>K128*(MIN(Inputs!$B$21+(F135-Calc!F21),Inputs!$B$22)/100+Inputs!$B$22/100)/2</f>
        <v/>
      </c>
      <c r="M128">
        <f>L128*(1+(Inputs!$B$9+B146+(F138-Calc!F24))/100)</f>
        <v/>
      </c>
      <c r="N128">
        <f>L128*(1-MIN(Inputs!$B$8+((F137-Calc!F23)+(F136-Calc!F22)),100)/100)+M128*(MIN(Inputs!$B$8+((F137-Calc!F23)+(F136-Calc!F22)),100)/100)</f>
        <v/>
      </c>
      <c r="O128">
        <f>IF(C128,Skills!F14*N128*((IF(Inputs!$B$3&gt;=78,25,15)/100*B148*10)/(1+IF(Inputs!$B$3&gt;=78,25,15)/100*B148*10))*(Skills!I14/100*B148)/(1+Skills!G14*Skills!I14/100*B148)*IF(Inputs!$B$4="pvp",1,(1-Summary!$B$48)*(1)+Summary!$B$48*(MIN(Skills!Q14,Inputs!$B$37))),0)</f>
        <v/>
      </c>
      <c r="P128">
        <f>IF(B152=0,0,O128/B152)</f>
        <v/>
      </c>
      <c r="S128" t="n">
        <v>0</v>
      </c>
      <c r="V128">
        <f>IFERROR(1/IF(Inputs!$B$4="pvp",15,MAX(0.1,Skills!D14-IF(Skills!E14=TRUE,Inputs!$B$31,0))),0)</f>
        <v/>
      </c>
    </row>
    <row r="129">
      <c r="A129">
        <f>Skills!A15</f>
        <v/>
      </c>
      <c r="B129">
        <f>Skills!B15</f>
        <v/>
      </c>
      <c r="C129">
        <f>Inputs!$B$3&gt;=100</f>
        <v/>
      </c>
      <c r="D129">
        <f>IF(Skills!C15=1,60+Inputs!$B$24+Inputs!$B$28,IF(Skills!C15=2,90+Inputs!$B$25+Inputs!$B$28,IF(Skills!C15=3,120+Inputs!$B$26+Inputs!$B$28,MAX(0,(Inputs!$B$3-100)*3)+Inputs!$B$27+Inputs!$B$28)))</f>
        <v/>
      </c>
      <c r="E129">
        <f>INDEX(FactorTable!$B$2:$Y$301, MATCH(ROUND(MIN(300,MAX(1,D129)),0), FactorTable!$A$2:$A$301,0), Skills!L15+1)</f>
        <v/>
      </c>
      <c r="F129">
        <f>IF(Skills!M15=TRUE,(Skills!K15/10)*(E129/1000),Skills!K15/10)+Skills!N15</f>
        <v/>
      </c>
      <c r="G129">
        <f>Calc!G15</f>
        <v/>
      </c>
      <c r="H129">
        <f>Calc!H15</f>
        <v/>
      </c>
      <c r="I129">
        <f>IF(Skills!T15&lt;&gt;"",1+(Skills!T15/10)*($Z$3/1000)/100,1)</f>
        <v/>
      </c>
      <c r="J129" t="inlineStr"/>
      <c r="K129" t="inlineStr"/>
      <c r="L129" t="inlineStr"/>
      <c r="M129" t="inlineStr"/>
      <c r="N129" t="inlineStr"/>
      <c r="O129" t="n">
        <v>0</v>
      </c>
      <c r="P129">
        <f>IF(B152=0,0,O129/B152)</f>
        <v/>
      </c>
      <c r="S129" t="n">
        <v>0</v>
      </c>
      <c r="V129">
        <f>IFERROR(1/IF(Inputs!$B$4="pvp",15,MAX(0.1,Skills!D15-IF(Skills!E15=TRUE,Inputs!$B$31,0))),0)</f>
        <v/>
      </c>
    </row>
    <row r="130">
      <c r="A130">
        <f>Skills!A16</f>
        <v/>
      </c>
      <c r="B130">
        <f>Skills!B16</f>
        <v/>
      </c>
      <c r="C130">
        <f>Inputs!$B$3&gt;=49</f>
        <v/>
      </c>
      <c r="D130">
        <f>IF(Skills!C16=1,60+Inputs!$B$24+Inputs!$B$28,IF(Skills!C16=2,90+Inputs!$B$25+Inputs!$B$28,IF(Skills!C16=3,120+Inputs!$B$26+Inputs!$B$28,MAX(0,(Inputs!$B$3-100)*3)+Inputs!$B$27+Inputs!$B$28)))</f>
        <v/>
      </c>
      <c r="E130">
        <f>INDEX(FactorTable!$B$2:$Y$301, MATCH(ROUND(MIN(300,MAX(1,D130)),0), FactorTable!$A$2:$A$301,0), Skills!L16+1)</f>
        <v/>
      </c>
      <c r="F130">
        <f>IF(Skills!M16=TRUE,(Skills!K16/10)*(E130/1000),Skills!K16/10)+Skills!N16</f>
        <v/>
      </c>
      <c r="G130">
        <f>Calc!G16</f>
        <v/>
      </c>
      <c r="H130">
        <f>Calc!H16</f>
        <v/>
      </c>
      <c r="I130">
        <f>IF(Skills!T16&lt;&gt;"",1+(Skills!T16/10)*($Z$3/1000)/100,1)</f>
        <v/>
      </c>
      <c r="J130" t="inlineStr"/>
      <c r="K130" t="inlineStr"/>
      <c r="L130" t="inlineStr"/>
      <c r="M130" t="inlineStr"/>
      <c r="N130" t="inlineStr"/>
      <c r="O130" t="n">
        <v>0</v>
      </c>
      <c r="P130">
        <f>IF(B152=0,0,O130/B152)</f>
        <v/>
      </c>
      <c r="S130" t="n">
        <v>0</v>
      </c>
      <c r="V130">
        <f>IFERROR(1/IF(Inputs!$B$4="pvp",15,MAX(0.1,Skills!D16-IF(Skills!E16=TRUE,Inputs!$B$31,0))),0)</f>
        <v/>
      </c>
    </row>
    <row r="131">
      <c r="A131">
        <f>Skills!A17</f>
        <v/>
      </c>
      <c r="B131">
        <f>Skills!B17</f>
        <v/>
      </c>
      <c r="C131">
        <f>Inputs!$B$3&gt;=75</f>
        <v/>
      </c>
      <c r="D131">
        <f>IF(Skills!C17=1,60+Inputs!$B$24+Inputs!$B$28,IF(Skills!C17=2,90+Inputs!$B$25+Inputs!$B$28,IF(Skills!C17=3,120+Inputs!$B$26+Inputs!$B$28,MAX(0,(Inputs!$B$3-100)*3)+Inputs!$B$27+Inputs!$B$28)))</f>
        <v/>
      </c>
      <c r="E131">
        <f>INDEX(FactorTable!$B$2:$Y$301, MATCH(ROUND(MIN(300,MAX(1,D131)),0), FactorTable!$A$2:$A$301,0), Skills!L17+1)</f>
        <v/>
      </c>
      <c r="F131">
        <f>IF(Skills!M17=TRUE,(Skills!K17/10)*(E131/1000),Skills!K17/10)+Skills!N17</f>
        <v/>
      </c>
      <c r="G131">
        <f>Calc!G17</f>
        <v/>
      </c>
      <c r="H131">
        <f>Calc!H17</f>
        <v/>
      </c>
      <c r="I131">
        <f>IF(Skills!T17&lt;&gt;"",1+(Skills!T17/10)*($Z$3/1000)/100,1)</f>
        <v/>
      </c>
      <c r="J131" t="inlineStr"/>
      <c r="K131" t="inlineStr"/>
      <c r="L131" t="inlineStr"/>
      <c r="M131" t="inlineStr"/>
      <c r="N131" t="inlineStr"/>
      <c r="O131" t="n">
        <v>0</v>
      </c>
      <c r="P131">
        <f>IF(B152=0,0,O131/B152)</f>
        <v/>
      </c>
      <c r="S131" t="n">
        <v>0</v>
      </c>
      <c r="V131">
        <f>IFERROR(1/IF(Inputs!$B$4="pvp",15,MAX(0.1,Skills!D17-IF(Skills!E17=TRUE,Inputs!$B$31,0))),0)</f>
        <v/>
      </c>
    </row>
    <row r="132">
      <c r="A132">
        <f>Skills!A18</f>
        <v/>
      </c>
      <c r="B132">
        <f>Skills!B18</f>
        <v/>
      </c>
      <c r="C132">
        <f>Inputs!$B$3&gt;=110</f>
        <v/>
      </c>
      <c r="D132">
        <f>IF(Skills!C18=1,60+Inputs!$B$24+Inputs!$B$28,IF(Skills!C18=2,90+Inputs!$B$25+Inputs!$B$28,IF(Skills!C18=3,120+Inputs!$B$26+Inputs!$B$28,MAX(0,(Inputs!$B$3-100)*3)+Inputs!$B$27+Inputs!$B$28)))</f>
        <v/>
      </c>
      <c r="E132">
        <f>INDEX(FactorTable!$B$2:$Y$301, MATCH(ROUND(MIN(300,MAX(1,D132)),0), FactorTable!$A$2:$A$301,0), Skills!L18+1)</f>
        <v/>
      </c>
      <c r="F132">
        <f>(Skills!K18/10)*(E132/1000)*64/45+Skills!N18</f>
        <v/>
      </c>
      <c r="G132">
        <f>Calc!G18</f>
        <v/>
      </c>
      <c r="H132">
        <f>Calc!H18</f>
        <v/>
      </c>
      <c r="I132">
        <f>IF(Skills!T18&lt;&gt;"",1+(Skills!T18/10)*($Z$3/1000)/100,1)</f>
        <v/>
      </c>
      <c r="J132" t="inlineStr"/>
      <c r="K132" t="inlineStr"/>
      <c r="L132" t="inlineStr"/>
      <c r="M132" t="inlineStr"/>
      <c r="N132" t="inlineStr"/>
      <c r="O132" t="n">
        <v>0</v>
      </c>
      <c r="P132">
        <f>IF(B152=0,0,O132/B152)</f>
        <v/>
      </c>
      <c r="S132">
        <f>IF(AND(Inputs!$B$4&lt;&gt;"pvp",Inputs!$B$35&gt;0),(INT(Inputs!$B$35/IF(Inputs!$B$4="pvp",15,MAX(0.1,Skills!D18-IF(Skills!E18=TRUE,Inputs!$B$31,0))))+1),0)</f>
        <v/>
      </c>
      <c r="V132">
        <f>IFERROR(1/IF(Inputs!$B$4="pvp",15,MAX(0.1,Skills!D18-IF(Skills!E18=TRUE,Inputs!$B$31,0))),0)</f>
        <v/>
      </c>
    </row>
    <row r="133">
      <c r="A133">
        <f>Skills!A19</f>
        <v/>
      </c>
      <c r="B133">
        <f>Skills!B19</f>
        <v/>
      </c>
      <c r="C133">
        <f>Inputs!$B$3&gt;=125</f>
        <v/>
      </c>
      <c r="D133">
        <f>IF(Skills!C19=1,60+Inputs!$B$24+Inputs!$B$28,IF(Skills!C19=2,90+Inputs!$B$25+Inputs!$B$28,IF(Skills!C19=3,120+Inputs!$B$26+Inputs!$B$28,MAX(0,(Inputs!$B$3-100)*3)+Inputs!$B$27+Inputs!$B$28)))</f>
        <v/>
      </c>
      <c r="E133">
        <f>INDEX(FactorTable!$B$2:$Y$301, MATCH(ROUND(MIN(300,MAX(1,D133)),0), FactorTable!$A$2:$A$301,0), Skills!L19+1)</f>
        <v/>
      </c>
      <c r="F133">
        <f>IF(Skills!M19=TRUE,(Skills!K19/10)*(E133/1000),Skills!K19/10)+Skills!N19</f>
        <v/>
      </c>
      <c r="G133">
        <f>Calc!G19</f>
        <v/>
      </c>
      <c r="H133">
        <f>Calc!H19</f>
        <v/>
      </c>
      <c r="I133">
        <f>IF(Skills!T19&lt;&gt;"",1+(Skills!T19/10)*($Z$3/1000)/100,1)</f>
        <v/>
      </c>
      <c r="J133" t="inlineStr"/>
      <c r="K133" t="inlineStr"/>
      <c r="L133" t="inlineStr"/>
      <c r="M133" t="inlineStr"/>
      <c r="N133" t="inlineStr"/>
      <c r="O133" t="n">
        <v>0</v>
      </c>
      <c r="P133">
        <f>IF(B152=0,0,O133/B152)</f>
        <v/>
      </c>
      <c r="S133" t="n">
        <v>0</v>
      </c>
      <c r="V133">
        <f>IFERROR(1/IF(Inputs!$B$4="pvp",15,MAX(0.1,Skills!D19-IF(Skills!E19=TRUE,Inputs!$B$31,0))),0)</f>
        <v/>
      </c>
    </row>
    <row r="134">
      <c r="A134">
        <f>Skills!A20</f>
        <v/>
      </c>
      <c r="B134">
        <f>Skills!B20</f>
        <v/>
      </c>
      <c r="C134">
        <f>Inputs!$B$3&gt;=33</f>
        <v/>
      </c>
      <c r="D134">
        <f>IF(Skills!C20=1,60+Inputs!$B$24+Inputs!$B$28,IF(Skills!C20=2,90+Inputs!$B$25+Inputs!$B$28,IF(Skills!C20=3,120+Inputs!$B$26+Inputs!$B$28,MAX(0,(Inputs!$B$3-100)*3)+Inputs!$B$27+Inputs!$B$28)))</f>
        <v/>
      </c>
      <c r="E134">
        <f>INDEX(FactorTable!$B$2:$Y$301, MATCH(ROUND(MIN(300,MAX(1,D134)),0), FactorTable!$A$2:$A$301,0), Skills!L20+1)</f>
        <v/>
      </c>
      <c r="F134">
        <f>IF(Skills!M20=TRUE,(Skills!K20/10)*(E134/1000),Skills!K20/10)+Skills!N20</f>
        <v/>
      </c>
      <c r="G134">
        <f>Calc!G20</f>
        <v/>
      </c>
      <c r="H134">
        <f>Calc!H20</f>
        <v/>
      </c>
      <c r="I134">
        <f>IF(Skills!T20&lt;&gt;"",1+(Skills!T20/10)*($Z$3/1000)/100,1)</f>
        <v/>
      </c>
      <c r="J134" t="inlineStr"/>
      <c r="K134" t="inlineStr"/>
      <c r="L134" t="inlineStr"/>
      <c r="M134" t="inlineStr"/>
      <c r="N134" t="inlineStr"/>
      <c r="O134" t="n">
        <v>0</v>
      </c>
      <c r="P134">
        <f>IF(B152=0,0,O134/B152)</f>
        <v/>
      </c>
      <c r="S134" t="n">
        <v>0</v>
      </c>
      <c r="V134">
        <f>IFERROR(1/IF(Inputs!$B$4="pvp",15,MAX(0.1,Skills!D20-IF(Skills!E20=TRUE,Inputs!$B$31,0))),0)</f>
        <v/>
      </c>
    </row>
    <row r="135">
      <c r="A135">
        <f>Skills!A21</f>
        <v/>
      </c>
      <c r="B135">
        <f>Skills!B21</f>
        <v/>
      </c>
      <c r="C135">
        <f>Inputs!$B$3&gt;=43</f>
        <v/>
      </c>
      <c r="D135">
        <f>IF(Skills!C21=1,60+Inputs!$B$24+Inputs!$B$28,IF(Skills!C21=2,90+Inputs!$B$25+Inputs!$B$28,IF(Skills!C21=3,120+Inputs!$B$26+Inputs!$B$28,MAX(0,(Inputs!$B$3-100)*3)+Inputs!$B$27+Inputs!$B$28)))</f>
        <v/>
      </c>
      <c r="E135">
        <f>INDEX(FactorTable!$B$2:$Y$301, MATCH(ROUND(MIN(300,MAX(1,D135)),0), FactorTable!$A$2:$A$301,0), Skills!L21+1)</f>
        <v/>
      </c>
      <c r="F135">
        <f>IF(Skills!M21=TRUE,(Skills!K21/10)*(E135/1000),Skills!K21/10)+Skills!N21</f>
        <v/>
      </c>
      <c r="G135">
        <f>Calc!G21</f>
        <v/>
      </c>
      <c r="H135">
        <f>Calc!H21</f>
        <v/>
      </c>
      <c r="I135">
        <f>IF(Skills!T21&lt;&gt;"",1+(Skills!T21/10)*($Z$3/1000)/100,1)</f>
        <v/>
      </c>
      <c r="J135" t="inlineStr"/>
      <c r="K135" t="inlineStr"/>
      <c r="L135" t="inlineStr"/>
      <c r="M135" t="inlineStr"/>
      <c r="N135" t="inlineStr"/>
      <c r="O135" t="n">
        <v>0</v>
      </c>
      <c r="P135">
        <f>IF(B152=0,0,O135/B152)</f>
        <v/>
      </c>
      <c r="S135" t="n">
        <v>0</v>
      </c>
      <c r="V135">
        <f>IFERROR(1/IF(Inputs!$B$4="pvp",15,MAX(0.1,Skills!D21-IF(Skills!E21=TRUE,Inputs!$B$31,0))),0)</f>
        <v/>
      </c>
    </row>
    <row r="136">
      <c r="A136">
        <f>Skills!A22</f>
        <v/>
      </c>
      <c r="B136">
        <f>Skills!B22</f>
        <v/>
      </c>
      <c r="C136">
        <f>Inputs!$B$3&gt;=50</f>
        <v/>
      </c>
      <c r="D136">
        <f>IF(Skills!C22=1,60+Inputs!$B$24+Inputs!$B$28,IF(Skills!C22=2,90+Inputs!$B$25+Inputs!$B$28,IF(Skills!C22=3,120+Inputs!$B$26+Inputs!$B$28,MAX(0,(Inputs!$B$3-100)*3)+Inputs!$B$27+Inputs!$B$28)))</f>
        <v/>
      </c>
      <c r="E136">
        <f>INDEX(FactorTable!$B$2:$Y$301, MATCH(ROUND(MIN(300,MAX(1,D136)),0), FactorTable!$A$2:$A$301,0), Skills!L22+1)</f>
        <v/>
      </c>
      <c r="F136">
        <f>IF(Skills!M22=TRUE,(Skills!K22/10)*(E136/1000),Skills!K22/10)+Skills!N22</f>
        <v/>
      </c>
      <c r="G136">
        <f>Calc!G22</f>
        <v/>
      </c>
      <c r="H136">
        <f>Calc!H22</f>
        <v/>
      </c>
      <c r="I136">
        <f>IF(Skills!T22&lt;&gt;"",1+(Skills!T22/10)*($Z$3/1000)/100,1)</f>
        <v/>
      </c>
      <c r="J136" t="inlineStr"/>
      <c r="K136" t="inlineStr"/>
      <c r="L136" t="inlineStr"/>
      <c r="M136" t="inlineStr"/>
      <c r="N136" t="inlineStr"/>
      <c r="O136" t="n">
        <v>0</v>
      </c>
      <c r="P136">
        <f>IF(B152=0,0,O136/B152)</f>
        <v/>
      </c>
      <c r="S136" t="n">
        <v>0</v>
      </c>
      <c r="V136">
        <f>IFERROR(1/IF(Inputs!$B$4="pvp",15,MAX(0.1,Skills!D22-IF(Skills!E22=TRUE,Inputs!$B$31,0))),0)</f>
        <v/>
      </c>
    </row>
    <row r="137">
      <c r="A137">
        <f>Skills!A23</f>
        <v/>
      </c>
      <c r="B137">
        <f>Skills!B23</f>
        <v/>
      </c>
      <c r="C137">
        <f>Inputs!$B$3&gt;=74</f>
        <v/>
      </c>
      <c r="D137">
        <f>IF(Skills!C23=1,60+Inputs!$B$24+Inputs!$B$28,IF(Skills!C23=2,90+Inputs!$B$25+Inputs!$B$28,IF(Skills!C23=3,120+Inputs!$B$26+Inputs!$B$28,MAX(0,(Inputs!$B$3-100)*3)+Inputs!$B$27+Inputs!$B$28)))</f>
        <v/>
      </c>
      <c r="E137">
        <f>INDEX(FactorTable!$B$2:$Y$301, MATCH(ROUND(MIN(300,MAX(1,D137)),0), FactorTable!$A$2:$A$301,0), Skills!L23+1)</f>
        <v/>
      </c>
      <c r="F137">
        <f>IF(Skills!M23=TRUE,(Skills!K23/10)*(E137/1000),Skills!K23/10)+Skills!N23</f>
        <v/>
      </c>
      <c r="G137">
        <f>Calc!G23</f>
        <v/>
      </c>
      <c r="H137">
        <f>Calc!H23</f>
        <v/>
      </c>
      <c r="I137">
        <f>IF(Skills!T23&lt;&gt;"",1+(Skills!T23/10)*($Z$3/1000)/100,1)</f>
        <v/>
      </c>
      <c r="J137" t="inlineStr"/>
      <c r="K137" t="inlineStr"/>
      <c r="L137" t="inlineStr"/>
      <c r="M137" t="inlineStr"/>
      <c r="N137" t="inlineStr"/>
      <c r="O137" t="n">
        <v>0</v>
      </c>
      <c r="P137">
        <f>IF(B152=0,0,O137/B152)</f>
        <v/>
      </c>
      <c r="S137" t="n">
        <v>0</v>
      </c>
      <c r="V137">
        <f>IFERROR(1/IF(Inputs!$B$4="pvp",15,MAX(0.1,Skills!D23-IF(Skills!E23=TRUE,Inputs!$B$31,0))),0)</f>
        <v/>
      </c>
    </row>
    <row r="138">
      <c r="A138">
        <f>Skills!A24</f>
        <v/>
      </c>
      <c r="B138">
        <f>Skills!B24</f>
        <v/>
      </c>
      <c r="C138">
        <f>Inputs!$B$3&gt;=74</f>
        <v/>
      </c>
      <c r="D138">
        <f>IF(Skills!C24=1,60+Inputs!$B$24+Inputs!$B$28,IF(Skills!C24=2,90+Inputs!$B$25+Inputs!$B$28,IF(Skills!C24=3,120+Inputs!$B$26+Inputs!$B$28,MAX(0,(Inputs!$B$3-100)*3)+Inputs!$B$27+Inputs!$B$28)))</f>
        <v/>
      </c>
      <c r="E138">
        <f>INDEX(FactorTable!$B$2:$Y$301, MATCH(ROUND(MIN(300,MAX(1,D138)),0), FactorTable!$A$2:$A$301,0), Skills!L24+1)</f>
        <v/>
      </c>
      <c r="F138">
        <f>IF(Skills!M24=TRUE,(Skills!K24/10)*(E138/1000),Skills!K24/10)+Skills!N24</f>
        <v/>
      </c>
      <c r="G138">
        <f>Calc!G24</f>
        <v/>
      </c>
      <c r="H138">
        <f>Calc!H24</f>
        <v/>
      </c>
      <c r="I138">
        <f>IF(Skills!T24&lt;&gt;"",1+(Skills!T24/10)*($Z$3/1000)/100,1)</f>
        <v/>
      </c>
      <c r="J138" t="inlineStr"/>
      <c r="K138" t="inlineStr"/>
      <c r="L138" t="inlineStr"/>
      <c r="M138" t="inlineStr"/>
      <c r="N138" t="inlineStr"/>
      <c r="O138" t="n">
        <v>0</v>
      </c>
      <c r="P138">
        <f>IF(B152=0,0,O138/B152)</f>
        <v/>
      </c>
      <c r="S138" t="n">
        <v>0</v>
      </c>
      <c r="V138">
        <f>IFERROR(1/IF(Inputs!$B$4="pvp",15,MAX(0.1,Skills!D24-IF(Skills!E24=TRUE,Inputs!$B$31,0))),0)</f>
        <v/>
      </c>
    </row>
    <row r="139">
      <c r="A139">
        <f>Skills!A25</f>
        <v/>
      </c>
      <c r="B139">
        <f>Skills!B25</f>
        <v/>
      </c>
      <c r="C139">
        <f>Inputs!$B$3&gt;=117</f>
        <v/>
      </c>
      <c r="D139">
        <f>IF(Skills!C25=1,60+Inputs!$B$24+Inputs!$B$28,IF(Skills!C25=2,90+Inputs!$B$25+Inputs!$B$28,IF(Skills!C25=3,120+Inputs!$B$26+Inputs!$B$28,MAX(0,(Inputs!$B$3-100)*3)+Inputs!$B$27+Inputs!$B$28)))</f>
        <v/>
      </c>
      <c r="E139">
        <f>INDEX(FactorTable!$B$2:$Y$301, MATCH(ROUND(MIN(300,MAX(1,D139)),0), FactorTable!$A$2:$A$301,0), Skills!L25+1)</f>
        <v/>
      </c>
      <c r="F139">
        <f>IF(Skills!M25=TRUE,(Skills!K25/10)*(E139/1000),Skills!K25/10)+Skills!N25</f>
        <v/>
      </c>
      <c r="G139">
        <f>Calc!G25</f>
        <v/>
      </c>
      <c r="H139">
        <f>Calc!H25</f>
        <v/>
      </c>
      <c r="I139">
        <f>IF(Skills!T25&lt;&gt;"",1+(Skills!T25/10)*($Z$3/1000)/100,1)</f>
        <v/>
      </c>
      <c r="J139" t="inlineStr"/>
      <c r="K139" t="inlineStr"/>
      <c r="L139" t="inlineStr"/>
      <c r="M139" t="inlineStr"/>
      <c r="N139" t="inlineStr"/>
      <c r="O139" t="n">
        <v>0</v>
      </c>
      <c r="P139">
        <f>IF(B152=0,0,O139/B152)</f>
        <v/>
      </c>
      <c r="S139" t="n">
        <v>0</v>
      </c>
      <c r="V139">
        <f>IFERROR(1/IF(Inputs!$B$4="pvp",15,MAX(0.1,Skills!D25-IF(Skills!E25=TRUE,Inputs!$B$31,0))),0)</f>
        <v/>
      </c>
    </row>
    <row r="140">
      <c r="A140">
        <f>Skills!A26</f>
        <v/>
      </c>
      <c r="B140">
        <f>Skills!B26</f>
        <v/>
      </c>
      <c r="C140">
        <f>Inputs!$B$3&gt;=120</f>
        <v/>
      </c>
      <c r="D140">
        <f>IF(Skills!C26=1,60+Inputs!$B$24+Inputs!$B$28,IF(Skills!C26=2,90+Inputs!$B$25+Inputs!$B$28,IF(Skills!C26=3,120+Inputs!$B$26+Inputs!$B$28,MAX(0,(Inputs!$B$3-100)*3)+Inputs!$B$27+Inputs!$B$28)))</f>
        <v/>
      </c>
      <c r="E140">
        <f>INDEX(FactorTable!$B$2:$Y$301, MATCH(ROUND(MIN(300,MAX(1,D140)),0), FactorTable!$A$2:$A$301,0), Skills!L26+1)</f>
        <v/>
      </c>
      <c r="F140">
        <f>IF(Skills!M26=TRUE,(Skills!K26/10)*(E140/1000),Skills!K26/10)+Skills!N26</f>
        <v/>
      </c>
      <c r="G140">
        <f>Calc!G26</f>
        <v/>
      </c>
      <c r="H140">
        <f>Calc!H26</f>
        <v/>
      </c>
      <c r="I140">
        <f>IF(Skills!T26&lt;&gt;"",1+(Skills!T26/10)*($Z$3/1000)/100,1)</f>
        <v/>
      </c>
      <c r="J140" t="inlineStr"/>
      <c r="K140" t="inlineStr"/>
      <c r="L140" t="inlineStr"/>
      <c r="M140" t="inlineStr"/>
      <c r="N140" t="inlineStr"/>
      <c r="O140" t="n">
        <v>0</v>
      </c>
      <c r="P140">
        <f>IF(B152=0,0,O140/B152)</f>
        <v/>
      </c>
      <c r="S140" t="n">
        <v>0</v>
      </c>
      <c r="V140">
        <f>IFERROR(1/IF(Inputs!$B$4="pvp",15,MAX(0.1,Skills!D26-IF(Skills!E26=TRUE,Inputs!$B$31,0))),0)</f>
        <v/>
      </c>
    </row>
    <row r="142">
      <c r="A142" t="inlineStr">
        <is>
          <t>Average Buff Multiplier</t>
        </is>
      </c>
      <c r="B142">
        <f>(1+(IF(C117=TRUE,F117*IF(AND(Inputs!$B$4&lt;&gt;"pvp",Inputs!$B$35&gt;0),(((S117-1)*(Skills!S3*(1+(Inputs!$B$33+IF(Inputs!$B$3&gt;=117,F139,0))/100))+MIN((Skills!S3*(1+(Inputs!$B$33+IF(Inputs!$B$3&gt;=117,F139,0))/100)),MAX(0,Inputs!$B$35-((S117-1)*Skills!D3))))/Inputs!$B$35),IF(Inputs!$B$4="pvp",MIN((Skills!S3*(1+(Inputs!$B$33+IF(Inputs!$B$3&gt;=117,F139,0))/100)),15)/15,(Skills!S3*(1+(Inputs!$B$33+IF(Inputs!$B$3&gt;=117,F139,0))/100))/Skills!D3)),0)+IF(C118=TRUE,F118*IF(AND(Inputs!$B$4&lt;&gt;"pvp",Inputs!$B$35&gt;0),(((S118-1)*(Skills!S4*(1+(Inputs!$B$33+IF(Inputs!$B$3&gt;=117,F139,0))/100))+MIN((Skills!S4*(1+(Inputs!$B$33+IF(Inputs!$B$3&gt;=117,F139,0))/100)),MAX(0,Inputs!$B$35-((S118-1)*Skills!D4))))/Inputs!$B$35),IF(Inputs!$B$4="pvp",MIN((Skills!S4*(1+(Inputs!$B$33+IF(Inputs!$B$3&gt;=117,F139,0))/100)),15)/15,(Skills!S4*(1+(Inputs!$B$33+IF(Inputs!$B$3&gt;=117,F139,0))/100))/Skills!D4)),0)+IF(C119=TRUE,F119*IF(AND(Inputs!$B$4&lt;&gt;"pvp",Inputs!$B$35&gt;0),(((S119-1)*(Skills!S5*(1+(Inputs!$B$33+IF(Inputs!$B$3&gt;=117,F139,0))/100))+MIN((Skills!S5*(1+(Inputs!$B$33+IF(Inputs!$B$3&gt;=117,F139,0))/100)),MAX(0,Inputs!$B$35-((S119-1)*Skills!D5))))/Inputs!$B$35),IF(Inputs!$B$4="pvp",MIN((Skills!S5*(1+(Inputs!$B$33+IF(Inputs!$B$3&gt;=117,F139,0))/100)),15)/15,(Skills!S5*(1+(Inputs!$B$33+IF(Inputs!$B$3&gt;=117,F139,0))/100))/Skills!D5)),0)+IF(C125=TRUE,F125*IF(AND(Inputs!$B$4&lt;&gt;"pvp",Inputs!$B$35&gt;0),(((S125-1)*(Skills!S11*(1+(Inputs!$B$33+IF(Inputs!$B$3&gt;=117,F139,0))/100))+MIN((Skills!S11*(1+(Inputs!$B$33+IF(Inputs!$B$3&gt;=117,F139,0))/100)),MAX(0,Inputs!$B$35-((S125-1)*Skills!D11))))/Inputs!$B$35),IF(Inputs!$B$4="pvp",MIN((Skills!S11*(1+(Inputs!$B$33+IF(Inputs!$B$3&gt;=117,F139,0))/100)),15)/15,(Skills!S11*(1+(Inputs!$B$33+IF(Inputs!$B$3&gt;=117,F139,0))/100))/Skills!D11)),0))/100)*IF(C127=TRUE,(1+F127*IF(AND(Inputs!$B$4&lt;&gt;"pvp",Inputs!$B$35&gt;0),(((S127-1)*(Skills!S13*(1+(Inputs!$B$33+IF(Inputs!$B$3&gt;=117,F139,0))/100))+MIN((Skills!S13*(1+(Inputs!$B$33+IF(Inputs!$B$3&gt;=117,F139,0))/100)),MAX(0,Inputs!$B$35-((S127-1)*Skills!D13))))/Inputs!$B$35),IF(Inputs!$B$4="pvp",MIN((Skills!S13*(1+(Inputs!$B$33+IF(Inputs!$B$3&gt;=117,F139,0))/100)),15)/15,(Skills!S13*(1+(Inputs!$B$33+IF(Inputs!$B$3&gt;=117,F139,0))/100))/Skills!D13))/100),1)*IF(C132=TRUE,(1+F132*IF(AND(Inputs!$B$4&lt;&gt;"pvp",Inputs!$B$35&gt;0),(((S132-1)*(Skills!S18*(1+(Inputs!$B$33+IF(Inputs!$B$3&gt;=117,F139,0))/100))+MIN((Skills!S18*(1+(Inputs!$B$33+IF(Inputs!$B$3&gt;=117,F139,0))/100)),MAX(0,Inputs!$B$35-((S132-1)*Skills!D18))))/Inputs!$B$35),IF(Inputs!$B$4="pvp",MIN((Skills!S18*(1+(Inputs!$B$33+IF(Inputs!$B$3&gt;=117,F139,0))/100)),15)/15,(Skills!S18*(1+(Inputs!$B$33+IF(Inputs!$B$3&gt;=117,F139,0))/100))/Skills!D18))/100),1)</f>
        <v/>
      </c>
    </row>
    <row r="143">
      <c r="A143" t="inlineStr">
        <is>
          <t>Monster Damage Taken Bonus % (Holy Fountain)</t>
        </is>
      </c>
      <c r="B143">
        <f>IF(Inputs!$B$3&gt;=68,20*IF(Inputs!$B$4="pvp",MIN((15*(1+(Inputs!$B$33+IF(Inputs!$B$3&gt;=117,F139,0))/100)),15)/15,(15*(1+(Inputs!$B$33+IF(Inputs!$B$3&gt;=117,F139,0))/100))/Skills!D10),0)</f>
        <v/>
      </c>
    </row>
    <row r="144">
      <c r="A144" t="inlineStr">
        <is>
          <t>Normal Monster Damage Bonus % (Holy Symbol)</t>
        </is>
      </c>
      <c r="B144">
        <f>IF(C126=TRUE,F126*IF(AND(Inputs!$B$4&lt;&gt;"pvp",Inputs!$B$35&gt;0),(((S126-1)*(Skills!S12*(1+(Inputs!$B$33+IF(Inputs!$B$3&gt;=117,F139,0))/100))+MIN((Skills!S12*(1+(Inputs!$B$33+IF(Inputs!$B$3&gt;=117,F139,0))/100)),MAX(0,Inputs!$B$35-((S126-1)*Skills!D12))))/Inputs!$B$35),IF(Inputs!$B$4="pvp",MIN((Skills!S12*(1+(Inputs!$B$33+IF(Inputs!$B$3&gt;=117,F139,0))/100)),15)/15,(Skills!S12*(1+(Inputs!$B$33+IF(Inputs!$B$3&gt;=117,F139,0))/100))/Skills!D12)),0)</f>
        <v/>
      </c>
    </row>
    <row r="145">
      <c r="A145" t="inlineStr">
        <is>
          <t>Damage % Bonus (Holy Symbol - Damage Boost)</t>
        </is>
      </c>
      <c r="B145">
        <f>Skills!O12</f>
        <v/>
      </c>
    </row>
    <row r="146">
      <c r="A146" t="inlineStr">
        <is>
          <t>Crit Damage % Bonus (Blood of the Divine)</t>
        </is>
      </c>
      <c r="B146">
        <f>4*IF(C133=TRUE,F133,0)</f>
        <v/>
      </c>
    </row>
    <row r="147">
      <c r="A147" t="inlineStr">
        <is>
          <t>Attack Speed Bonus %</t>
        </is>
      </c>
      <c r="B147">
        <f>IF(C130=TRUE,F130+(F134-Calc!F20),0)+IF(Inputs!$B$3&gt;=134,15,0)</f>
        <v/>
      </c>
    </row>
    <row r="148">
      <c r="A148" t="inlineStr">
        <is>
          <t>Actions Per Second</t>
        </is>
      </c>
      <c r="B148">
        <f>1+MIN(150,150*(1-(1-Inputs!$B$10/150)*(1-B147/150)))/100</f>
        <v/>
      </c>
    </row>
    <row r="149">
      <c r="A149" t="inlineStr">
        <is>
          <t>Skill + Buff Cast Rate</t>
        </is>
      </c>
      <c r="B149">
        <f>IF(AND(Inputs!$B$4&lt;&gt;"pvp",Inputs!$B$35&gt;0),SUMPRODUCT((Skills!E2:E26=TRUE)*(C116:C140=TRUE)*S116:S140)/Inputs!$B$35,SUMPRODUCT((Skills!E2:E26=TRUE)*(C116:C140=TRUE)*V116:V140))</f>
        <v/>
      </c>
    </row>
    <row r="150">
      <c r="A150" t="inlineStr">
        <is>
          <t>Big Bang Casts Per Second</t>
        </is>
      </c>
      <c r="B150">
        <f>MAX(0,B148-B149)</f>
        <v/>
      </c>
    </row>
    <row r="152">
      <c r="A152" s="5" t="inlineStr">
        <is>
          <t>TOTAL DPS</t>
        </is>
      </c>
      <c r="B152" s="5">
        <f>SUM(O116:O140)</f>
        <v/>
      </c>
    </row>
    <row r="155">
      <c r="A155" s="5" t="inlineStr">
        <is>
          <t>Stat: DAMAGE_AMP %</t>
        </is>
      </c>
    </row>
    <row r="156">
      <c r="A156" s="8" t="inlineStr">
        <is>
          <t>Key</t>
        </is>
      </c>
      <c r="B156" s="8" t="inlineStr">
        <is>
          <t>Name</t>
        </is>
      </c>
      <c r="C156" s="8" t="inlineStr">
        <is>
          <t>Unlocked</t>
        </is>
      </c>
      <c r="D156" s="8" t="inlineStr">
        <is>
          <t>InputLevel</t>
        </is>
      </c>
      <c r="E156" s="8" t="inlineStr">
        <is>
          <t>Factor</t>
        </is>
      </c>
      <c r="F156" s="8" t="inlineStr">
        <is>
          <t>CoefficientPercent</t>
        </is>
      </c>
      <c r="G156" s="8" t="inlineStr">
        <is>
          <t>EffectiveHits</t>
        </is>
      </c>
      <c r="H156" s="8" t="inlineStr">
        <is>
          <t>ProcProbability</t>
        </is>
      </c>
      <c r="I156" s="8" t="inlineStr">
        <is>
          <t>MapleHeroMultiplier</t>
        </is>
      </c>
      <c r="J156" s="8" t="inlineStr">
        <is>
          <t>BaseDamage</t>
        </is>
      </c>
      <c r="K156" s="8" t="inlineStr">
        <is>
          <t>BaseHitDamage</t>
        </is>
      </c>
      <c r="L156" s="8" t="inlineStr">
        <is>
          <t>NonCritAvg</t>
        </is>
      </c>
      <c r="M156" s="8" t="inlineStr">
        <is>
          <t>CritAvg</t>
        </is>
      </c>
      <c r="N156" s="8" t="inlineStr">
        <is>
          <t>ExpectedDamage(perHit)</t>
        </is>
      </c>
      <c r="O156" s="8" t="inlineStr">
        <is>
          <t>DPS</t>
        </is>
      </c>
      <c r="P156" s="8" t="inlineStr">
        <is>
          <t>% of Total</t>
        </is>
      </c>
      <c r="R156" t="inlineStr">
        <is>
          <t>helpers</t>
        </is>
      </c>
    </row>
    <row r="157">
      <c r="A157">
        <f>Skills!A2</f>
        <v/>
      </c>
      <c r="B157">
        <f>Skills!B2</f>
        <v/>
      </c>
      <c r="C157">
        <f>Inputs!$B$3&gt;=100</f>
        <v/>
      </c>
      <c r="D157" t="inlineStr"/>
      <c r="E157" t="inlineStr"/>
      <c r="F157">
        <f>T159+Skills!N2</f>
        <v/>
      </c>
      <c r="G157">
        <f>Calc!G2</f>
        <v/>
      </c>
      <c r="H157">
        <f>Calc!H2</f>
        <v/>
      </c>
      <c r="I157">
        <f>IF(Skills!T2&lt;&gt;"",1+(Skills!T2/10)*($Z$3/1000)/100,1)</f>
        <v/>
      </c>
      <c r="J157">
        <f>((Inputs!$B$5*(1+Inputs!$B$6/100))+((Inputs!$B$11*(1+Inputs!$B$12/100))-(Inputs!$B$11*(1+Inputs!$B$12/100)))*(1+Inputs!$B$6/100))*(F157/100)</f>
        <v/>
      </c>
      <c r="K157">
        <f>J157*(1+((Inputs!$B$11*(1+Inputs!$B$12/100))*0.01+Inputs!$B$13*0.0025)/100)*(1+(Inputs!$B$14+B186)/100)*(1+IF(Inputs!$B$4="pvp",0,(1-Summary!$B$48)*(Inputs!$B$19+Skills!O2+B184)+Summary!$B$48*(Inputs!$B$20+Skills!P2+B185))/100)*(1+(Inputs!$B$15+1)/100)*(5000/(6000+Inputs!$B$7*(1-Inputs!$B$18/100)))*(1+Inputs!$B$23/100)*(1+IF(C172=TRUE,F172,0)/100)*(1+IF(C174=TRUE,F174,0)/100)*(1+IF(Skills!A2="TRIUMPH_FEATHER",IF(C170=TRUE,F170,0),0)/100)*(1+IF(C181=TRUE,F181,0)/100)^5*(1+(IF(Skills!A2="BIG_BANG",Inputs!$B$16,Inputs!$B$17))/100)*(B183*I157)</f>
        <v/>
      </c>
      <c r="L157">
        <f>K157*(MIN(Inputs!$B$21+(F176-Calc!F21),Inputs!$B$22)/100+Inputs!$B$22/100)/2</f>
        <v/>
      </c>
      <c r="M157">
        <f>L157*(1+(Inputs!$B$9+B187+(F179-Calc!F24))/100)</f>
        <v/>
      </c>
      <c r="N157">
        <f>L157*(1-MIN(Inputs!$B$8+((F178-Calc!F23)+(F177-Calc!F22)),100)/100)+M157*(MIN(Inputs!$B$8+((F178-Calc!F23)+(F177-Calc!F22)),100)/100)</f>
        <v/>
      </c>
      <c r="O157">
        <f>IF(C157,Skills!F2*N157*B191*IF(Inputs!$B$4="pvp",1,(1-Summary!$B$48)*(1)+Summary!$B$48*(MIN((6+Inputs!$B$32),Inputs!$B$37))),0)</f>
        <v/>
      </c>
      <c r="P157">
        <f>IF(B193=0,0,O157/B193)</f>
        <v/>
      </c>
      <c r="S157" t="n">
        <v>0</v>
      </c>
      <c r="T157">
        <f>MAX(0,(Inputs!$B$3-100)*3)+Inputs!$B$27+Inputs!$B$28</f>
        <v/>
      </c>
      <c r="V157">
        <f>IFERROR(1/IF(Inputs!$B$4="pvp",15,MAX(0.1,Skills!D2-IF(Skills!E2=TRUE,Inputs!$B$31,0))),0)</f>
        <v/>
      </c>
    </row>
    <row r="158">
      <c r="A158">
        <f>Skills!A3</f>
        <v/>
      </c>
      <c r="B158">
        <f>Skills!B3</f>
        <v/>
      </c>
      <c r="C158">
        <f>Inputs!$B$3&gt;=15</f>
        <v/>
      </c>
      <c r="D158">
        <f>IF(Skills!C3=1,60+Inputs!$B$24+Inputs!$B$28,IF(Skills!C3=2,90+Inputs!$B$25+Inputs!$B$28,IF(Skills!C3=3,120+Inputs!$B$26+Inputs!$B$28,MAX(0,(Inputs!$B$3-100)*3)+Inputs!$B$27+Inputs!$B$28)))</f>
        <v/>
      </c>
      <c r="E158">
        <f>INDEX(FactorTable!$B$2:$Y$301, MATCH(ROUND(MIN(300,MAX(1,D158)),0), FactorTable!$A$2:$A$301,0), Skills!L3+1)</f>
        <v/>
      </c>
      <c r="F158">
        <f>IF(Skills!M3=TRUE,(Skills!K3/10)*(E158/1000),Skills!K3/10)+Skills!N3</f>
        <v/>
      </c>
      <c r="G158">
        <f>Calc!G3</f>
        <v/>
      </c>
      <c r="H158">
        <f>Calc!H3</f>
        <v/>
      </c>
      <c r="I158">
        <f>IF(Skills!T3&lt;&gt;"",1+(Skills!T3/10)*($Z$3/1000)/100,1)</f>
        <v/>
      </c>
      <c r="J158" t="inlineStr"/>
      <c r="K158" t="inlineStr"/>
      <c r="L158" t="inlineStr"/>
      <c r="M158" t="inlineStr"/>
      <c r="N158" t="inlineStr"/>
      <c r="O158" t="n">
        <v>0</v>
      </c>
      <c r="P158">
        <f>IF(B193=0,0,O158/B193)</f>
        <v/>
      </c>
      <c r="S158">
        <f>IF(AND(Inputs!$B$4&lt;&gt;"pvp",Inputs!$B$35&gt;0),(INT(Inputs!$B$35/IF(Inputs!$B$4="pvp",15,MAX(0.1,Skills!D3-IF(Skills!E3=TRUE,Inputs!$B$31,0))))+1),0)</f>
        <v/>
      </c>
      <c r="T158">
        <f>INDEX(FactorTable!$B$2:$Y$301, MATCH(ROUND(MIN(300,MAX(1,T157)),0), FactorTable!$A$2:$A$301,0), 22)</f>
        <v/>
      </c>
      <c r="V158">
        <f>IFERROR(1/IF(Inputs!$B$4="pvp",15,MAX(0.1,Skills!D3-IF(Skills!E3=TRUE,Inputs!$B$31,0))),0)</f>
        <v/>
      </c>
    </row>
    <row r="159">
      <c r="A159">
        <f>Skills!A4</f>
        <v/>
      </c>
      <c r="B159">
        <f>Skills!B4</f>
        <v/>
      </c>
      <c r="C159">
        <f>Inputs!$B$3&gt;=38</f>
        <v/>
      </c>
      <c r="D159">
        <f>IF(Skills!C4=1,60+Inputs!$B$24+Inputs!$B$28,IF(Skills!C4=2,90+Inputs!$B$25+Inputs!$B$28,IF(Skills!C4=3,120+Inputs!$B$26+Inputs!$B$28,MAX(0,(Inputs!$B$3-100)*3)+Inputs!$B$27+Inputs!$B$28)))</f>
        <v/>
      </c>
      <c r="E159">
        <f>INDEX(FactorTable!$B$2:$Y$301, MATCH(ROUND(MIN(300,MAX(1,D159)),0), FactorTable!$A$2:$A$301,0), Skills!L4+1)</f>
        <v/>
      </c>
      <c r="F159">
        <f>IF(Skills!M4=TRUE,(Skills!K4/10)*(E159/1000),Skills!K4/10)+Skills!N4</f>
        <v/>
      </c>
      <c r="G159">
        <f>Calc!G4</f>
        <v/>
      </c>
      <c r="H159">
        <f>Calc!H4</f>
        <v/>
      </c>
      <c r="I159">
        <f>IF(Skills!T4&lt;&gt;"",1+(Skills!T4/10)*($Z$3/1000)/100,1)</f>
        <v/>
      </c>
      <c r="J159" t="inlineStr"/>
      <c r="K159" t="inlineStr"/>
      <c r="L159" t="inlineStr"/>
      <c r="M159" t="inlineStr"/>
      <c r="N159" t="inlineStr"/>
      <c r="O159" t="n">
        <v>0</v>
      </c>
      <c r="P159">
        <f>IF(B193=0,0,O159/B193)</f>
        <v/>
      </c>
      <c r="S159">
        <f>IF(AND(Inputs!$B$4&lt;&gt;"pvp",Inputs!$B$35&gt;0),(INT(Inputs!$B$35/IF(Inputs!$B$4="pvp",15,MAX(0.1,Skills!D4-IF(Skills!E4=TRUE,Inputs!$B$31,0))))+1),0)</f>
        <v/>
      </c>
      <c r="T159">
        <f>290*T158/1000</f>
        <v/>
      </c>
      <c r="V159">
        <f>IFERROR(1/IF(Inputs!$B$4="pvp",15,MAX(0.1,Skills!D4-IF(Skills!E4=TRUE,Inputs!$B$31,0))),0)</f>
        <v/>
      </c>
    </row>
    <row r="160">
      <c r="A160">
        <f>Skills!A5</f>
        <v/>
      </c>
      <c r="B160">
        <f>Skills!B5</f>
        <v/>
      </c>
      <c r="C160">
        <f>Inputs!$B$3&gt;=40</f>
        <v/>
      </c>
      <c r="D160">
        <f>IF(Skills!C5=1,60+Inputs!$B$24+Inputs!$B$28,IF(Skills!C5=2,90+Inputs!$B$25+Inputs!$B$28,IF(Skills!C5=3,120+Inputs!$B$26+Inputs!$B$28,MAX(0,(Inputs!$B$3-100)*3)+Inputs!$B$27+Inputs!$B$28)))</f>
        <v/>
      </c>
      <c r="E160">
        <f>INDEX(FactorTable!$B$2:$Y$301, MATCH(ROUND(MIN(300,MAX(1,D160)),0), FactorTable!$A$2:$A$301,0), Skills!L5+1)</f>
        <v/>
      </c>
      <c r="F160">
        <f>IF(Skills!M5=TRUE,(Skills!K5/10)*(E160/1000),Skills!K5/10)+Skills!N5</f>
        <v/>
      </c>
      <c r="G160">
        <f>Calc!G5</f>
        <v/>
      </c>
      <c r="H160">
        <f>Calc!H5</f>
        <v/>
      </c>
      <c r="I160">
        <f>IF(Skills!T5&lt;&gt;"",1+(Skills!T5/10)*($Z$3/1000)/100,1)</f>
        <v/>
      </c>
      <c r="J160" t="inlineStr"/>
      <c r="K160" t="inlineStr"/>
      <c r="L160" t="inlineStr"/>
      <c r="M160" t="inlineStr"/>
      <c r="N160" t="inlineStr"/>
      <c r="O160" t="n">
        <v>0</v>
      </c>
      <c r="P160">
        <f>IF(B193=0,0,O160/B193)</f>
        <v/>
      </c>
      <c r="S160">
        <f>IF(AND(Inputs!$B$4&lt;&gt;"pvp",Inputs!$B$35&gt;0),(INT(Inputs!$B$35/IF(Inputs!$B$4="pvp",15,MAX(0.1,Skills!D5-IF(Skills!E5=TRUE,Inputs!$B$31,0))))+1),0)</f>
        <v/>
      </c>
      <c r="V160">
        <f>IFERROR(1/IF(Inputs!$B$4="pvp",15,MAX(0.1,Skills!D5-IF(Skills!E5=TRUE,Inputs!$B$31,0))),0)</f>
        <v/>
      </c>
    </row>
    <row r="161">
      <c r="A161">
        <f>Skills!A6</f>
        <v/>
      </c>
      <c r="B161">
        <f>Skills!B6</f>
        <v/>
      </c>
      <c r="C161">
        <f>Inputs!$B$3&gt;=103</f>
        <v/>
      </c>
      <c r="D161">
        <f>IF(Skills!C6=1,60+Inputs!$B$24+Inputs!$B$28,IF(Skills!C6=2,90+Inputs!$B$25+Inputs!$B$28,IF(Skills!C6=3,120+Inputs!$B$26+Inputs!$B$28,MAX(0,(Inputs!$B$3-100)*3)+Inputs!$B$27+Inputs!$B$28)))</f>
        <v/>
      </c>
      <c r="E161">
        <f>INDEX(FactorTable!$B$2:$Y$301, MATCH(ROUND(MIN(300,MAX(1,D161)),0), FactorTable!$A$2:$A$301,0), Skills!L6+1)</f>
        <v/>
      </c>
      <c r="F161">
        <f>IF(Skills!M6=TRUE,(Skills!K6/10)*(E161/1000),Skills!K6/10)+Skills!N6</f>
        <v/>
      </c>
      <c r="G161">
        <f>Calc!G6</f>
        <v/>
      </c>
      <c r="H161">
        <f>Calc!H6</f>
        <v/>
      </c>
      <c r="I161">
        <f>IF(Skills!T6&lt;&gt;"",1+(Skills!T6/10)*($Z$3/1000)/100,1)</f>
        <v/>
      </c>
      <c r="J161">
        <f>((Inputs!$B$5*(1+Inputs!$B$6/100))+((Inputs!$B$11*(1+Inputs!$B$12/100))-(Inputs!$B$11*(1+Inputs!$B$12/100)))*(1+Inputs!$B$6/100))*(F161/100)</f>
        <v/>
      </c>
      <c r="K161">
        <f>J161*(1+((Inputs!$B$11*(1+Inputs!$B$12/100))*0.01+Inputs!$B$13*0.0025)/100)*(1+(Inputs!$B$14+B186)/100)*(1+IF(Inputs!$B$4="pvp",0,(1-Summary!$B$48)*(Inputs!$B$19+Skills!O6+B184)+Summary!$B$48*(Inputs!$B$20+Skills!P6+B185))/100)*(1+(Inputs!$B$15+1)/100)*(5000/(6000+Inputs!$B$7*(1-Inputs!$B$18/100)))*(1+Inputs!$B$23/100)*(1+IF(C172=TRUE,F172,0)/100)*(1+IF(C174=TRUE,F174,0)/100)*(1+IF(Skills!A6="TRIUMPH_FEATHER",IF(C170=TRUE,F170,0),0)/100)*(1+IF(C181=TRUE,F181,0)/100)^5*(1+(IF(Skills!A6="BIG_BANG",Inputs!$B$16,Inputs!$B$17))/100)*(B183*I161)</f>
        <v/>
      </c>
      <c r="L161">
        <f>K161*(MIN(Inputs!$B$21+(F176-Calc!F21),Inputs!$B$22)/100+Inputs!$B$22/100)/2</f>
        <v/>
      </c>
      <c r="M161">
        <f>L161*(1+(Inputs!$B$9+B187+(F179-Calc!F24))/100)</f>
        <v/>
      </c>
      <c r="N161">
        <f>L161*(1-MIN(Inputs!$B$8+((F178-Calc!F23)+(F177-Calc!F22)),100)/100)+M161*(MIN(Inputs!$B$8+((F178-Calc!F23)+(F177-Calc!F22)),100)/100)</f>
        <v/>
      </c>
      <c r="O161">
        <f>IF(C161,H161*N161*IF(AND(Inputs!$B$4&lt;&gt;"pvp",Inputs!$B$35&gt;0),((Skills!F6*((S161-1)*IF(Skills!G6&gt;0,Skills!H6/Skills!G6,1)+IF(Skills!G6&gt;0,MIN(Skills!H6,MAX(0,Inputs!$B$35-((S161-1)*IF(Inputs!$B$4="pvp",15,MAX(0.1,Skills!D6-IF(Skills!E6=TRUE,Inputs!$B$31,0))))))/Skills!G6,1)))/Inputs!$B$35),G161*V161)*IF(Inputs!$B$4="pvp",1,(1-Summary!$B$48)*(1)+Summary!$B$48*(MIN(Skills!Q6,Inputs!$B$37))),0)</f>
        <v/>
      </c>
      <c r="P161">
        <f>IF(B193=0,0,O161/B193)</f>
        <v/>
      </c>
      <c r="S161">
        <f>IF(AND(Inputs!$B$4&lt;&gt;"pvp",Inputs!$B$35&gt;0),(INT(Inputs!$B$35/IF(Inputs!$B$4="pvp",15,MAX(0.1,Skills!D6-IF(Skills!E6=TRUE,Inputs!$B$31,0))))+1),0)</f>
        <v/>
      </c>
      <c r="V161">
        <f>IFERROR(1/IF(Inputs!$B$4="pvp",15,MAX(0.1,Skills!D6-IF(Skills!E6=TRUE,Inputs!$B$31,0))),0)</f>
        <v/>
      </c>
    </row>
    <row r="162">
      <c r="A162">
        <f>Skills!A7</f>
        <v/>
      </c>
      <c r="B162">
        <f>Skills!B7</f>
        <v/>
      </c>
      <c r="C162">
        <f>Inputs!$B$3&gt;=122</f>
        <v/>
      </c>
      <c r="D162">
        <f>IF(Skills!C7=1,60+Inputs!$B$24+Inputs!$B$28,IF(Skills!C7=2,90+Inputs!$B$25+Inputs!$B$28,IF(Skills!C7=3,120+Inputs!$B$26+Inputs!$B$28,MAX(0,(Inputs!$B$3-100)*3)+Inputs!$B$27+Inputs!$B$28)))</f>
        <v/>
      </c>
      <c r="E162">
        <f>INDEX(FactorTable!$B$2:$Y$301, MATCH(ROUND(MIN(300,MAX(1,D162)),0), FactorTable!$A$2:$A$301,0), Skills!L7+1)</f>
        <v/>
      </c>
      <c r="F162">
        <f>IF(Skills!M7=TRUE,(Skills!K7/10)*(E162/1000),Skills!K7/10)+Skills!N7</f>
        <v/>
      </c>
      <c r="G162">
        <f>Calc!G7</f>
        <v/>
      </c>
      <c r="H162">
        <f>Calc!H7</f>
        <v/>
      </c>
      <c r="I162">
        <f>IF(Skills!T7&lt;&gt;"",1+(Skills!T7/10)*($Z$3/1000)/100,1)</f>
        <v/>
      </c>
      <c r="J162">
        <f>((Inputs!$B$5*(1+Inputs!$B$6/100))+((Inputs!$B$11*(1+Inputs!$B$12/100))-(Inputs!$B$11*(1+Inputs!$B$12/100)))*(1+Inputs!$B$6/100))*(F162/100)</f>
        <v/>
      </c>
      <c r="K162">
        <f>J162*(1+((Inputs!$B$11*(1+Inputs!$B$12/100))*0.01+Inputs!$B$13*0.0025)/100)*(1+(Inputs!$B$14+B186)/100)*(1+IF(Inputs!$B$4="pvp",0,(1-Summary!$B$48)*(Inputs!$B$19+Skills!O7+B184)+Summary!$B$48*(Inputs!$B$20+Skills!P7+B185))/100)*(1+(Inputs!$B$15+1)/100)*(5000/(6000+Inputs!$B$7*(1-Inputs!$B$18/100)))*(1+Inputs!$B$23/100)*(1+IF(C172=TRUE,F172,0)/100)*(1+IF(C174=TRUE,F174,0)/100)*(1+IF(Skills!A7="TRIUMPH_FEATHER",IF(C170=TRUE,F170,0),0)/100)*(1+IF(C181=TRUE,F181,0)/100)^5*(1+(IF(Skills!A7="BIG_BANG",Inputs!$B$16,Inputs!$B$17))/100)*(B183*I162)</f>
        <v/>
      </c>
      <c r="L162">
        <f>K162*(MIN(Inputs!$B$21+(F176-Calc!F21),Inputs!$B$22)/100+Inputs!$B$22/100)/2</f>
        <v/>
      </c>
      <c r="M162">
        <f>L162*(1+(Inputs!$B$9+B187+(F179-Calc!F24))/100)</f>
        <v/>
      </c>
      <c r="N162">
        <f>L162*(1-MIN(Inputs!$B$8+((F178-Calc!F23)+(F177-Calc!F22)),100)/100)+M162*(MIN(Inputs!$B$8+((F178-Calc!F23)+(F177-Calc!F22)),100)/100)</f>
        <v/>
      </c>
      <c r="O162">
        <f>IF(C162,H162*N162*IF(AND(Inputs!$B$4&lt;&gt;"pvp",Inputs!$B$35&gt;0),((Skills!F7*((S162-1)*IF(Skills!G7&gt;0,Skills!H7/Skills!G7,1)+IF(Skills!G7&gt;0,MIN(Skills!H7,MAX(0,Inputs!$B$35-((S162-1)*IF(Inputs!$B$4="pvp",15,MAX(0.1,Skills!D7-IF(Skills!E6=TRUE,Inputs!$B$31,0))))))/Skills!G7,1)))/Inputs!$B$35),G162*V162)*(1-Summary!$B$48),0)</f>
        <v/>
      </c>
      <c r="P162">
        <f>IF(B193=0,0,O162/B193)</f>
        <v/>
      </c>
      <c r="S162">
        <f>IF(AND(Inputs!$B$4&lt;&gt;"pvp",Inputs!$B$35&gt;0),(INT(Inputs!$B$35/IF(Inputs!$B$4="pvp",15,MAX(0.1,Skills!D7-IF(Skills!E6=TRUE,Inputs!$B$31,0))))+1),0)</f>
        <v/>
      </c>
      <c r="V162">
        <f>IFERROR(1/IF(Inputs!$B$4="pvp",15,MAX(0.1,Skills!D7-IF(Skills!E6=TRUE,Inputs!$B$31,0))),0)</f>
        <v/>
      </c>
    </row>
    <row r="163">
      <c r="A163">
        <f>Skills!A8</f>
        <v/>
      </c>
      <c r="B163">
        <f>Skills!B8</f>
        <v/>
      </c>
      <c r="C163">
        <f>Inputs!$B$3&gt;=105</f>
        <v/>
      </c>
      <c r="D163">
        <f>IF(Skills!C8=1,60+Inputs!$B$24+Inputs!$B$28,IF(Skills!C8=2,90+Inputs!$B$25+Inputs!$B$28,IF(Skills!C8=3,120+Inputs!$B$26+Inputs!$B$28,MAX(0,(Inputs!$B$3-100)*3)+Inputs!$B$27+Inputs!$B$28)))</f>
        <v/>
      </c>
      <c r="E163">
        <f>INDEX(FactorTable!$B$2:$Y$301, MATCH(ROUND(MIN(300,MAX(1,D163)),0), FactorTable!$A$2:$A$301,0), Skills!L8+1)</f>
        <v/>
      </c>
      <c r="F163">
        <f>IF(Skills!M8=TRUE,(Skills!K8/10)*(E163/1000),Skills!K8/10)+Skills!N8</f>
        <v/>
      </c>
      <c r="G163">
        <f>Calc!G8</f>
        <v/>
      </c>
      <c r="H163">
        <f>Calc!H8</f>
        <v/>
      </c>
      <c r="I163">
        <f>IF(Skills!T8&lt;&gt;"",1+(Skills!T8/10)*($Z$3/1000)/100,1)</f>
        <v/>
      </c>
      <c r="J163">
        <f>((Inputs!$B$5*(1+Inputs!$B$6/100))+((Inputs!$B$11*(1+Inputs!$B$12/100))-(Inputs!$B$11*(1+Inputs!$B$12/100)))*(1+Inputs!$B$6/100))*(F163/100)</f>
        <v/>
      </c>
      <c r="K163">
        <f>J163*(1+((Inputs!$B$11*(1+Inputs!$B$12/100))*0.01+Inputs!$B$13*0.0025)/100)*(1+(Inputs!$B$14+B186)/100)*(1+IF(Inputs!$B$4="pvp",0,(1-Summary!$B$48)*(Inputs!$B$19+Skills!O8+B184)+Summary!$B$48*(Inputs!$B$20+Skills!P8+B185))/100)*(1+(Inputs!$B$15+1)/100)*(5000/(6000+Inputs!$B$7*(1-Inputs!$B$18/100)))*(1+Inputs!$B$23/100)*(1+IF(C172=TRUE,F172,0)/100)*(1+IF(C174=TRUE,F174,0)/100)*(1+IF(Skills!A8="TRIUMPH_FEATHER",IF(C170=TRUE,F170,0),0)/100)*(1+IF(C181=TRUE,F181,0)/100)^5*(1+(IF(Skills!A8="BIG_BANG",Inputs!$B$16,Inputs!$B$17))/100)*(B183*I163)</f>
        <v/>
      </c>
      <c r="L163">
        <f>K163*(MIN(Inputs!$B$21+(F176-Calc!F21),Inputs!$B$22)/100+Inputs!$B$22/100)/2</f>
        <v/>
      </c>
      <c r="M163">
        <f>L163*(1+(Inputs!$B$9+B187+(F179-Calc!F24))/100)</f>
        <v/>
      </c>
      <c r="N163">
        <f>L163*(1-MIN(Inputs!$B$8+((F178-Calc!F23)+(F177-Calc!F22)),100)/100)+M163*(MIN(Inputs!$B$8+((F178-Calc!F23)+(F177-Calc!F22)),100)/100)</f>
        <v/>
      </c>
      <c r="O163">
        <f>IF(C163,H163*N163*IF(AND(Inputs!$B$4&lt;&gt;"pvp",Inputs!$B$35&gt;0),((Skills!F8*((S163-1)*IF(Skills!G8&gt;0,Skills!H8/Skills!G8,1)+IF(Skills!G8&gt;0,MIN(Skills!H8,MAX(0,Inputs!$B$35-((S163-1)*IF(Inputs!$B$4="pvp",15,MAX(0.1,Skills!D8-IF(Skills!E8=TRUE,Inputs!$B$31,0))))))/Skills!G8,1)))/Inputs!$B$35),G163*V163)*IF(Inputs!$B$4="pvp",1,(1-Summary!$B$48)*(1)+Summary!$B$48*(MIN(Skills!Q8,Inputs!$B$37))),0)</f>
        <v/>
      </c>
      <c r="P163">
        <f>IF(B193=0,0,O163/B193)</f>
        <v/>
      </c>
      <c r="S163">
        <f>IF(AND(Inputs!$B$4&lt;&gt;"pvp",Inputs!$B$35&gt;0),(INT(Inputs!$B$35/IF(Inputs!$B$4="pvp",15,MAX(0.1,Skills!D8-IF(Skills!E8=TRUE,Inputs!$B$31,0))))+1),0)</f>
        <v/>
      </c>
      <c r="V163">
        <f>IFERROR(1/IF(Inputs!$B$4="pvp",15,MAX(0.1,Skills!D8-IF(Skills!E8=TRUE,Inputs!$B$31,0))),0)</f>
        <v/>
      </c>
    </row>
    <row r="164">
      <c r="A164">
        <f>Skills!A9</f>
        <v/>
      </c>
      <c r="B164">
        <f>Skills!B9</f>
        <v/>
      </c>
      <c r="C164">
        <f>Inputs!$B$3&gt;=115</f>
        <v/>
      </c>
      <c r="D164">
        <f>IF(Skills!C9=1,60+Inputs!$B$24+Inputs!$B$28,IF(Skills!C9=2,90+Inputs!$B$25+Inputs!$B$28,IF(Skills!C9=3,120+Inputs!$B$26+Inputs!$B$28,MAX(0,(Inputs!$B$3-100)*3)+Inputs!$B$27+Inputs!$B$28)))</f>
        <v/>
      </c>
      <c r="E164">
        <f>INDEX(FactorTable!$B$2:$Y$301, MATCH(ROUND(MIN(300,MAX(1,D164)),0), FactorTable!$A$2:$A$301,0), Skills!L9+1)</f>
        <v/>
      </c>
      <c r="F164">
        <f>IF(Skills!M9=TRUE,(Skills!K9/10)*(E164/1000),Skills!K9/10)+Skills!N9</f>
        <v/>
      </c>
      <c r="G164">
        <f>Calc!G9</f>
        <v/>
      </c>
      <c r="H164">
        <f>Calc!H9</f>
        <v/>
      </c>
      <c r="I164">
        <f>IF(Skills!T9&lt;&gt;"",1+(Skills!T9/10)*($Z$3/1000)/100,1)</f>
        <v/>
      </c>
      <c r="J164">
        <f>((Inputs!$B$5*(1+Inputs!$B$6/100))+((Inputs!$B$11*(1+Inputs!$B$12/100))-(Inputs!$B$11*(1+Inputs!$B$12/100)))*(1+Inputs!$B$6/100))*(F164/100)</f>
        <v/>
      </c>
      <c r="K164">
        <f>J164*(1+((Inputs!$B$11*(1+Inputs!$B$12/100))*0.01+Inputs!$B$13*0.0025)/100)*(1+(Inputs!$B$14+B186)/100)*(1+IF(Inputs!$B$4="pvp",0,(1-Summary!$B$48)*(Inputs!$B$19+Skills!O9+B184)+Summary!$B$48*(Inputs!$B$20+Skills!P9+B185))/100)*(1+(Inputs!$B$15+1)/100)*(5000/(6000+Inputs!$B$7*(1-Inputs!$B$18/100)))*(1+Inputs!$B$23/100)*(1+IF(C172=TRUE,F172,0)/100)*(1+IF(C174=TRUE,F174,0)/100)*(1+IF(Skills!A9="TRIUMPH_FEATHER",IF(C170=TRUE,F170,0),0)/100)*(1+IF(C181=TRUE,F181,0)/100)^5*(1+(IF(Skills!A9="BIG_BANG",Inputs!$B$16,Inputs!$B$17))/100)*(B183*I164)</f>
        <v/>
      </c>
      <c r="L164">
        <f>K164*(MIN(Inputs!$B$21+(F176-Calc!F21),Inputs!$B$22)/100+Inputs!$B$22/100)/2</f>
        <v/>
      </c>
      <c r="M164">
        <f>L164*(1+(Inputs!$B$9+B187+(F179-Calc!F24))/100)</f>
        <v/>
      </c>
      <c r="N164">
        <f>L164*(1-MIN(Inputs!$B$8+((F178-Calc!F23)+(F177-Calc!F22)),100)/100)+M164*(MIN(Inputs!$B$8+((F178-Calc!F23)+(F177-Calc!F22)),100)/100)</f>
        <v/>
      </c>
      <c r="O164">
        <f>IF(C164,H164*N164*IF(AND(Inputs!$B$4&lt;&gt;"pvp",Inputs!$B$35&gt;0),((Skills!F9*((S164-1)*IF(Skills!G9&gt;0,Skills!H9/Skills!G9,1)+IF(Skills!G9&gt;0,MIN(Skills!H9,MAX(0,Inputs!$B$35-((S164-1)*IF(Inputs!$B$4="pvp",15,MAX(0.1,Skills!D9-IF(Skills!E9=TRUE,Inputs!$B$31,0))))))/Skills!G9,1)))/Inputs!$B$35),G164*V164)*IF(Inputs!$B$4="pvp",1,(1-Summary!$B$48)*(1)+Summary!$B$48*(MIN(Skills!Q9,Inputs!$B$37))),0)</f>
        <v/>
      </c>
      <c r="P164">
        <f>IF(B193=0,0,O164/B193)</f>
        <v/>
      </c>
      <c r="S164">
        <f>IF(AND(Inputs!$B$4&lt;&gt;"pvp",Inputs!$B$35&gt;0),(INT(Inputs!$B$35/IF(Inputs!$B$4="pvp",15,MAX(0.1,Skills!D9-IF(Skills!E9=TRUE,Inputs!$B$31,0))))+1),0)</f>
        <v/>
      </c>
      <c r="V164">
        <f>IFERROR(1/IF(Inputs!$B$4="pvp",15,MAX(0.1,Skills!D9-IF(Skills!E9=TRUE,Inputs!$B$31,0))),0)</f>
        <v/>
      </c>
    </row>
    <row r="165">
      <c r="A165">
        <f>Skills!A10</f>
        <v/>
      </c>
      <c r="B165">
        <f>Skills!B10</f>
        <v/>
      </c>
      <c r="C165">
        <f>Inputs!$B$3&gt;=66</f>
        <v/>
      </c>
      <c r="D165">
        <f>IF(Skills!C10=1,60+Inputs!$B$24+Inputs!$B$28,IF(Skills!C10=2,90+Inputs!$B$25+Inputs!$B$28,IF(Skills!C10=3,120+Inputs!$B$26+Inputs!$B$28,MAX(0,(Inputs!$B$3-100)*3)+Inputs!$B$27+Inputs!$B$28)))</f>
        <v/>
      </c>
      <c r="E165">
        <f>INDEX(FactorTable!$B$2:$Y$301, MATCH(ROUND(MIN(300,MAX(1,D165)),0), FactorTable!$A$2:$A$301,0), Skills!L10+1)</f>
        <v/>
      </c>
      <c r="F165" t="n">
        <v>0</v>
      </c>
      <c r="G165">
        <f>Calc!G10</f>
        <v/>
      </c>
      <c r="H165">
        <f>Calc!H10</f>
        <v/>
      </c>
      <c r="I165">
        <f>IF(Skills!T10&lt;&gt;"",1+(Skills!T10/10)*($Z$3/1000)/100,1)</f>
        <v/>
      </c>
      <c r="J165" t="inlineStr"/>
      <c r="K165" t="inlineStr"/>
      <c r="L165" t="inlineStr"/>
      <c r="M165" t="inlineStr"/>
      <c r="N165" t="inlineStr"/>
      <c r="O165" t="n">
        <v>0</v>
      </c>
      <c r="P165">
        <f>IF(B193=0,0,O165/B193)</f>
        <v/>
      </c>
      <c r="S165">
        <f>IF(AND(Inputs!$B$4&lt;&gt;"pvp",Inputs!$B$35&gt;0),(INT(Inputs!$B$35/IF(Inputs!$B$4="pvp",15,MAX(0.1,Skills!D10-IF(Skills!E10=TRUE,Inputs!$B$31,0))))+1),0)</f>
        <v/>
      </c>
      <c r="V165">
        <f>IFERROR(1/IF(Inputs!$B$4="pvp",15,MAX(0.1,Skills!D10-IF(Skills!E10=TRUE,Inputs!$B$31,0))),0)</f>
        <v/>
      </c>
    </row>
    <row r="166">
      <c r="A166">
        <f>Skills!A11</f>
        <v/>
      </c>
      <c r="B166">
        <f>Skills!B11</f>
        <v/>
      </c>
      <c r="C166">
        <f>Inputs!$B$3&gt;=69</f>
        <v/>
      </c>
      <c r="D166">
        <f>IF(Skills!C11=1,60+Inputs!$B$24+Inputs!$B$28,IF(Skills!C11=2,90+Inputs!$B$25+Inputs!$B$28,IF(Skills!C11=3,120+Inputs!$B$26+Inputs!$B$28,MAX(0,(Inputs!$B$3-100)*3)+Inputs!$B$27+Inputs!$B$28)))</f>
        <v/>
      </c>
      <c r="E166">
        <f>INDEX(FactorTable!$B$2:$Y$301, MATCH(ROUND(MIN(300,MAX(1,D166)),0), FactorTable!$A$2:$A$301,0), Skills!L11+1)</f>
        <v/>
      </c>
      <c r="F166">
        <f>IF(Skills!M11=TRUE,(Skills!K11/10)*(E166/1000),Skills!K11/10)+Skills!N11</f>
        <v/>
      </c>
      <c r="G166">
        <f>Calc!G11</f>
        <v/>
      </c>
      <c r="H166">
        <f>Calc!H11</f>
        <v/>
      </c>
      <c r="I166">
        <f>IF(Skills!T11&lt;&gt;"",1+(Skills!T11/10)*($Z$3/1000)/100,1)</f>
        <v/>
      </c>
      <c r="J166" t="inlineStr"/>
      <c r="K166" t="inlineStr"/>
      <c r="L166" t="inlineStr"/>
      <c r="M166" t="inlineStr"/>
      <c r="N166" t="inlineStr"/>
      <c r="O166" t="n">
        <v>0</v>
      </c>
      <c r="P166">
        <f>IF(B193=0,0,O166/B193)</f>
        <v/>
      </c>
      <c r="S166">
        <f>IF(AND(Inputs!$B$4&lt;&gt;"pvp",Inputs!$B$35&gt;0),(INT(Inputs!$B$35/IF(Inputs!$B$4="pvp",15,MAX(0.1,Skills!D11-IF(Skills!E11=TRUE,Inputs!$B$31,0))))+1),0)</f>
        <v/>
      </c>
      <c r="V166">
        <f>IFERROR(1/IF(Inputs!$B$4="pvp",15,MAX(0.1,Skills!D11-IF(Skills!E11=TRUE,Inputs!$B$31,0))),0)</f>
        <v/>
      </c>
    </row>
    <row r="167">
      <c r="A167">
        <f>Skills!A12</f>
        <v/>
      </c>
      <c r="B167">
        <f>Skills!B12</f>
        <v/>
      </c>
      <c r="C167">
        <f>Inputs!$B$3&gt;=72</f>
        <v/>
      </c>
      <c r="D167">
        <f>IF(Skills!C12=1,60+Inputs!$B$24+Inputs!$B$28,IF(Skills!C12=2,90+Inputs!$B$25+Inputs!$B$28,IF(Skills!C12=3,120+Inputs!$B$26+Inputs!$B$28,MAX(0,(Inputs!$B$3-100)*3)+Inputs!$B$27+Inputs!$B$28)))</f>
        <v/>
      </c>
      <c r="E167">
        <f>INDEX(FactorTable!$B$2:$Y$301, MATCH(ROUND(MIN(300,MAX(1,D167)),0), FactorTable!$A$2:$A$301,0), Skills!L12+1)</f>
        <v/>
      </c>
      <c r="F167">
        <f>IF(Skills!M12=TRUE,(Skills!K12/10)*(E167/1000),Skills!K12/10)+Skills!N12</f>
        <v/>
      </c>
      <c r="G167">
        <f>Calc!G12</f>
        <v/>
      </c>
      <c r="H167">
        <f>Calc!H12</f>
        <v/>
      </c>
      <c r="I167">
        <f>IF(Skills!T12&lt;&gt;"",1+(Skills!T12/10)*($Z$3/1000)/100,1)</f>
        <v/>
      </c>
      <c r="J167" t="inlineStr"/>
      <c r="K167" t="inlineStr"/>
      <c r="L167" t="inlineStr"/>
      <c r="M167" t="inlineStr"/>
      <c r="N167" t="inlineStr"/>
      <c r="O167" t="n">
        <v>0</v>
      </c>
      <c r="P167">
        <f>IF(B193=0,0,O167/B193)</f>
        <v/>
      </c>
      <c r="S167">
        <f>IF(AND(Inputs!$B$4&lt;&gt;"pvp",Inputs!$B$35&gt;0),(INT(Inputs!$B$35/IF(Inputs!$B$4="pvp",15,MAX(0.1,Skills!D12-IF(Skills!E12=TRUE,Inputs!$B$31,0))))+1),0)</f>
        <v/>
      </c>
      <c r="V167">
        <f>IFERROR(1/IF(Inputs!$B$4="pvp",15,MAX(0.1,Skills!D12-IF(Skills!E12=TRUE,Inputs!$B$31,0))),0)</f>
        <v/>
      </c>
    </row>
    <row r="168">
      <c r="A168">
        <f>Skills!A13</f>
        <v/>
      </c>
      <c r="B168">
        <f>Skills!B13</f>
        <v/>
      </c>
      <c r="C168">
        <f>Inputs!$B$3&gt;=107</f>
        <v/>
      </c>
      <c r="D168">
        <f>IF(Skills!C13=1,60+Inputs!$B$24+Inputs!$B$28,IF(Skills!C13=2,90+Inputs!$B$25+Inputs!$B$28,IF(Skills!C13=3,120+Inputs!$B$26+Inputs!$B$28,MAX(0,(Inputs!$B$3-100)*3)+Inputs!$B$27+Inputs!$B$28)))</f>
        <v/>
      </c>
      <c r="E168">
        <f>INDEX(FactorTable!$B$2:$Y$301, MATCH(ROUND(MIN(300,MAX(1,D168)),0), FactorTable!$A$2:$A$301,0), Skills!L13+1)</f>
        <v/>
      </c>
      <c r="F168">
        <f>IF(Skills!M13=TRUE,(Skills!K13/10)*(E168/1000),Skills!K13/10)+Skills!N13</f>
        <v/>
      </c>
      <c r="G168">
        <f>Calc!G13</f>
        <v/>
      </c>
      <c r="H168">
        <f>Calc!H13</f>
        <v/>
      </c>
      <c r="I168">
        <f>IF(Skills!T13&lt;&gt;"",1+(Skills!T13/10)*($Z$3/1000)/100,1)</f>
        <v/>
      </c>
      <c r="J168" t="inlineStr"/>
      <c r="K168" t="inlineStr"/>
      <c r="L168" t="inlineStr"/>
      <c r="M168" t="inlineStr"/>
      <c r="N168" t="inlineStr"/>
      <c r="O168" t="n">
        <v>0</v>
      </c>
      <c r="P168">
        <f>IF(B193=0,0,O168/B193)</f>
        <v/>
      </c>
      <c r="S168">
        <f>IF(AND(Inputs!$B$4&lt;&gt;"pvp",Inputs!$B$35&gt;0),(INT(Inputs!$B$35/IF(Inputs!$B$4="pvp",15,MAX(0.1,Skills!D13-IF(Skills!E13=TRUE,Inputs!$B$31,0))))+1),0)</f>
        <v/>
      </c>
      <c r="V168">
        <f>IFERROR(1/IF(Inputs!$B$4="pvp",15,MAX(0.1,Skills!D13-IF(Skills!E13=TRUE,Inputs!$B$31,0))),0)</f>
        <v/>
      </c>
    </row>
    <row r="169">
      <c r="A169">
        <f>Skills!A14</f>
        <v/>
      </c>
      <c r="B169">
        <f>Skills!B14</f>
        <v/>
      </c>
      <c r="C169">
        <f>Inputs!$B$3&gt;=63</f>
        <v/>
      </c>
      <c r="D169">
        <f>IF(Skills!C14=1,60+Inputs!$B$24+Inputs!$B$28,IF(Skills!C14=2,90+Inputs!$B$25+Inputs!$B$28,IF(Skills!C14=3,120+Inputs!$B$26+Inputs!$B$28,MAX(0,(Inputs!$B$3-100)*3)+Inputs!$B$27+Inputs!$B$28)))</f>
        <v/>
      </c>
      <c r="E169">
        <f>INDEX(FactorTable!$B$2:$Y$301, MATCH(ROUND(MIN(300,MAX(1,D169)),0), FactorTable!$A$2:$A$301,0), Skills!L14+1)</f>
        <v/>
      </c>
      <c r="F169">
        <f>IF(Skills!M14=TRUE,(Skills!K14/10)*(E169/1000),Skills!K14/10)+Skills!N14</f>
        <v/>
      </c>
      <c r="G169">
        <f>Calc!G14</f>
        <v/>
      </c>
      <c r="H169">
        <f>Calc!H14</f>
        <v/>
      </c>
      <c r="I169">
        <f>IF(Skills!T14&lt;&gt;"",1+(Skills!T14/10)*($Z$3/1000)/100,1)</f>
        <v/>
      </c>
      <c r="J169">
        <f>((Inputs!$B$5*(1+Inputs!$B$6/100))+((Inputs!$B$11*(1+Inputs!$B$12/100))-(Inputs!$B$11*(1+Inputs!$B$12/100)))*(1+Inputs!$B$6/100))*(F169/100)</f>
        <v/>
      </c>
      <c r="K169">
        <f>J169*(1+((Inputs!$B$11*(1+Inputs!$B$12/100))*0.01+Inputs!$B$13*0.0025)/100)*(1+(Inputs!$B$14+B186)/100)*(1+IF(Inputs!$B$4="pvp",0,(1-Summary!$B$48)*(Inputs!$B$19+Skills!O14+B184)+Summary!$B$48*(Inputs!$B$20+Skills!P14+B185))/100)*(1+(Inputs!$B$15+1)/100)*(5000/(6000+Inputs!$B$7*(1-Inputs!$B$18/100)))*(1+Inputs!$B$23/100)*(1+IF(C172=TRUE,F172,0)/100)*(1+IF(C174=TRUE,F174,0)/100)*(1+IF(Skills!A14="TRIUMPH_FEATHER",IF(C170=TRUE,F170,0),0)/100)*(1+IF(C181=TRUE,F181,0)/100)^5*(1+(IF(Skills!A14="BIG_BANG",Inputs!$B$16,Inputs!$B$17))/100)*(B183*I169)</f>
        <v/>
      </c>
      <c r="L169">
        <f>K169*(MIN(Inputs!$B$21+(F176-Calc!F21),Inputs!$B$22)/100+Inputs!$B$22/100)/2</f>
        <v/>
      </c>
      <c r="M169">
        <f>L169*(1+(Inputs!$B$9+B187+(F179-Calc!F24))/100)</f>
        <v/>
      </c>
      <c r="N169">
        <f>L169*(1-MIN(Inputs!$B$8+((F178-Calc!F23)+(F177-Calc!F22)),100)/100)+M169*(MIN(Inputs!$B$8+((F178-Calc!F23)+(F177-Calc!F22)),100)/100)</f>
        <v/>
      </c>
      <c r="O169">
        <f>IF(C169,Skills!F14*N169*((IF(Inputs!$B$3&gt;=78,25,15)/100*B189*10)/(1+IF(Inputs!$B$3&gt;=78,25,15)/100*B189*10))*(Skills!I14/100*B189)/(1+Skills!G14*Skills!I14/100*B189)*IF(Inputs!$B$4="pvp",1,(1-Summary!$B$48)*(1)+Summary!$B$48*(MIN(Skills!Q14,Inputs!$B$37))),0)</f>
        <v/>
      </c>
      <c r="P169">
        <f>IF(B193=0,0,O169/B193)</f>
        <v/>
      </c>
      <c r="S169" t="n">
        <v>0</v>
      </c>
      <c r="V169">
        <f>IFERROR(1/IF(Inputs!$B$4="pvp",15,MAX(0.1,Skills!D14-IF(Skills!E14=TRUE,Inputs!$B$31,0))),0)</f>
        <v/>
      </c>
    </row>
    <row r="170">
      <c r="A170">
        <f>Skills!A15</f>
        <v/>
      </c>
      <c r="B170">
        <f>Skills!B15</f>
        <v/>
      </c>
      <c r="C170">
        <f>Inputs!$B$3&gt;=100</f>
        <v/>
      </c>
      <c r="D170">
        <f>IF(Skills!C15=1,60+Inputs!$B$24+Inputs!$B$28,IF(Skills!C15=2,90+Inputs!$B$25+Inputs!$B$28,IF(Skills!C15=3,120+Inputs!$B$26+Inputs!$B$28,MAX(0,(Inputs!$B$3-100)*3)+Inputs!$B$27+Inputs!$B$28)))</f>
        <v/>
      </c>
      <c r="E170">
        <f>INDEX(FactorTable!$B$2:$Y$301, MATCH(ROUND(MIN(300,MAX(1,D170)),0), FactorTable!$A$2:$A$301,0), Skills!L15+1)</f>
        <v/>
      </c>
      <c r="F170">
        <f>IF(Skills!M15=TRUE,(Skills!K15/10)*(E170/1000),Skills!K15/10)+Skills!N15</f>
        <v/>
      </c>
      <c r="G170">
        <f>Calc!G15</f>
        <v/>
      </c>
      <c r="H170">
        <f>Calc!H15</f>
        <v/>
      </c>
      <c r="I170">
        <f>IF(Skills!T15&lt;&gt;"",1+(Skills!T15/10)*($Z$3/1000)/100,1)</f>
        <v/>
      </c>
      <c r="J170" t="inlineStr"/>
      <c r="K170" t="inlineStr"/>
      <c r="L170" t="inlineStr"/>
      <c r="M170" t="inlineStr"/>
      <c r="N170" t="inlineStr"/>
      <c r="O170" t="n">
        <v>0</v>
      </c>
      <c r="P170">
        <f>IF(B193=0,0,O170/B193)</f>
        <v/>
      </c>
      <c r="S170" t="n">
        <v>0</v>
      </c>
      <c r="V170">
        <f>IFERROR(1/IF(Inputs!$B$4="pvp",15,MAX(0.1,Skills!D15-IF(Skills!E15=TRUE,Inputs!$B$31,0))),0)</f>
        <v/>
      </c>
    </row>
    <row r="171">
      <c r="A171">
        <f>Skills!A16</f>
        <v/>
      </c>
      <c r="B171">
        <f>Skills!B16</f>
        <v/>
      </c>
      <c r="C171">
        <f>Inputs!$B$3&gt;=49</f>
        <v/>
      </c>
      <c r="D171">
        <f>IF(Skills!C16=1,60+Inputs!$B$24+Inputs!$B$28,IF(Skills!C16=2,90+Inputs!$B$25+Inputs!$B$28,IF(Skills!C16=3,120+Inputs!$B$26+Inputs!$B$28,MAX(0,(Inputs!$B$3-100)*3)+Inputs!$B$27+Inputs!$B$28)))</f>
        <v/>
      </c>
      <c r="E171">
        <f>INDEX(FactorTable!$B$2:$Y$301, MATCH(ROUND(MIN(300,MAX(1,D171)),0), FactorTable!$A$2:$A$301,0), Skills!L16+1)</f>
        <v/>
      </c>
      <c r="F171">
        <f>IF(Skills!M16=TRUE,(Skills!K16/10)*(E171/1000),Skills!K16/10)+Skills!N16</f>
        <v/>
      </c>
      <c r="G171">
        <f>Calc!G16</f>
        <v/>
      </c>
      <c r="H171">
        <f>Calc!H16</f>
        <v/>
      </c>
      <c r="I171">
        <f>IF(Skills!T16&lt;&gt;"",1+(Skills!T16/10)*($Z$3/1000)/100,1)</f>
        <v/>
      </c>
      <c r="J171" t="inlineStr"/>
      <c r="K171" t="inlineStr"/>
      <c r="L171" t="inlineStr"/>
      <c r="M171" t="inlineStr"/>
      <c r="N171" t="inlineStr"/>
      <c r="O171" t="n">
        <v>0</v>
      </c>
      <c r="P171">
        <f>IF(B193=0,0,O171/B193)</f>
        <v/>
      </c>
      <c r="S171" t="n">
        <v>0</v>
      </c>
      <c r="V171">
        <f>IFERROR(1/IF(Inputs!$B$4="pvp",15,MAX(0.1,Skills!D16-IF(Skills!E16=TRUE,Inputs!$B$31,0))),0)</f>
        <v/>
      </c>
    </row>
    <row r="172">
      <c r="A172">
        <f>Skills!A17</f>
        <v/>
      </c>
      <c r="B172">
        <f>Skills!B17</f>
        <v/>
      </c>
      <c r="C172">
        <f>Inputs!$B$3&gt;=75</f>
        <v/>
      </c>
      <c r="D172">
        <f>IF(Skills!C17=1,60+Inputs!$B$24+Inputs!$B$28,IF(Skills!C17=2,90+Inputs!$B$25+Inputs!$B$28,IF(Skills!C17=3,120+Inputs!$B$26+Inputs!$B$28,MAX(0,(Inputs!$B$3-100)*3)+Inputs!$B$27+Inputs!$B$28)))</f>
        <v/>
      </c>
      <c r="E172">
        <f>INDEX(FactorTable!$B$2:$Y$301, MATCH(ROUND(MIN(300,MAX(1,D172)),0), FactorTable!$A$2:$A$301,0), Skills!L17+1)</f>
        <v/>
      </c>
      <c r="F172">
        <f>IF(Skills!M17=TRUE,(Skills!K17/10)*(E172/1000),Skills!K17/10)+Skills!N17</f>
        <v/>
      </c>
      <c r="G172">
        <f>Calc!G17</f>
        <v/>
      </c>
      <c r="H172">
        <f>Calc!H17</f>
        <v/>
      </c>
      <c r="I172">
        <f>IF(Skills!T17&lt;&gt;"",1+(Skills!T17/10)*($Z$3/1000)/100,1)</f>
        <v/>
      </c>
      <c r="J172" t="inlineStr"/>
      <c r="K172" t="inlineStr"/>
      <c r="L172" t="inlineStr"/>
      <c r="M172" t="inlineStr"/>
      <c r="N172" t="inlineStr"/>
      <c r="O172" t="n">
        <v>0</v>
      </c>
      <c r="P172">
        <f>IF(B193=0,0,O172/B193)</f>
        <v/>
      </c>
      <c r="S172" t="n">
        <v>0</v>
      </c>
      <c r="V172">
        <f>IFERROR(1/IF(Inputs!$B$4="pvp",15,MAX(0.1,Skills!D17-IF(Skills!E17=TRUE,Inputs!$B$31,0))),0)</f>
        <v/>
      </c>
    </row>
    <row r="173">
      <c r="A173">
        <f>Skills!A18</f>
        <v/>
      </c>
      <c r="B173">
        <f>Skills!B18</f>
        <v/>
      </c>
      <c r="C173">
        <f>Inputs!$B$3&gt;=110</f>
        <v/>
      </c>
      <c r="D173">
        <f>IF(Skills!C18=1,60+Inputs!$B$24+Inputs!$B$28,IF(Skills!C18=2,90+Inputs!$B$25+Inputs!$B$28,IF(Skills!C18=3,120+Inputs!$B$26+Inputs!$B$28,MAX(0,(Inputs!$B$3-100)*3)+Inputs!$B$27+Inputs!$B$28)))</f>
        <v/>
      </c>
      <c r="E173">
        <f>INDEX(FactorTable!$B$2:$Y$301, MATCH(ROUND(MIN(300,MAX(1,D173)),0), FactorTable!$A$2:$A$301,0), Skills!L18+1)</f>
        <v/>
      </c>
      <c r="F173">
        <f>(Skills!K18/10)*(E173/1000)*64/45+Skills!N18</f>
        <v/>
      </c>
      <c r="G173">
        <f>Calc!G18</f>
        <v/>
      </c>
      <c r="H173">
        <f>Calc!H18</f>
        <v/>
      </c>
      <c r="I173">
        <f>IF(Skills!T18&lt;&gt;"",1+(Skills!T18/10)*($Z$3/1000)/100,1)</f>
        <v/>
      </c>
      <c r="J173" t="inlineStr"/>
      <c r="K173" t="inlineStr"/>
      <c r="L173" t="inlineStr"/>
      <c r="M173" t="inlineStr"/>
      <c r="N173" t="inlineStr"/>
      <c r="O173" t="n">
        <v>0</v>
      </c>
      <c r="P173">
        <f>IF(B193=0,0,O173/B193)</f>
        <v/>
      </c>
      <c r="S173">
        <f>IF(AND(Inputs!$B$4&lt;&gt;"pvp",Inputs!$B$35&gt;0),(INT(Inputs!$B$35/IF(Inputs!$B$4="pvp",15,MAX(0.1,Skills!D18-IF(Skills!E18=TRUE,Inputs!$B$31,0))))+1),0)</f>
        <v/>
      </c>
      <c r="V173">
        <f>IFERROR(1/IF(Inputs!$B$4="pvp",15,MAX(0.1,Skills!D18-IF(Skills!E18=TRUE,Inputs!$B$31,0))),0)</f>
        <v/>
      </c>
    </row>
    <row r="174">
      <c r="A174">
        <f>Skills!A19</f>
        <v/>
      </c>
      <c r="B174">
        <f>Skills!B19</f>
        <v/>
      </c>
      <c r="C174">
        <f>Inputs!$B$3&gt;=125</f>
        <v/>
      </c>
      <c r="D174">
        <f>IF(Skills!C19=1,60+Inputs!$B$24+Inputs!$B$28,IF(Skills!C19=2,90+Inputs!$B$25+Inputs!$B$28,IF(Skills!C19=3,120+Inputs!$B$26+Inputs!$B$28,MAX(0,(Inputs!$B$3-100)*3)+Inputs!$B$27+Inputs!$B$28)))</f>
        <v/>
      </c>
      <c r="E174">
        <f>INDEX(FactorTable!$B$2:$Y$301, MATCH(ROUND(MIN(300,MAX(1,D174)),0), FactorTable!$A$2:$A$301,0), Skills!L19+1)</f>
        <v/>
      </c>
      <c r="F174">
        <f>IF(Skills!M19=TRUE,(Skills!K19/10)*(E174/1000),Skills!K19/10)+Skills!N19</f>
        <v/>
      </c>
      <c r="G174">
        <f>Calc!G19</f>
        <v/>
      </c>
      <c r="H174">
        <f>Calc!H19</f>
        <v/>
      </c>
      <c r="I174">
        <f>IF(Skills!T19&lt;&gt;"",1+(Skills!T19/10)*($Z$3/1000)/100,1)</f>
        <v/>
      </c>
      <c r="J174" t="inlineStr"/>
      <c r="K174" t="inlineStr"/>
      <c r="L174" t="inlineStr"/>
      <c r="M174" t="inlineStr"/>
      <c r="N174" t="inlineStr"/>
      <c r="O174" t="n">
        <v>0</v>
      </c>
      <c r="P174">
        <f>IF(B193=0,0,O174/B193)</f>
        <v/>
      </c>
      <c r="S174" t="n">
        <v>0</v>
      </c>
      <c r="V174">
        <f>IFERROR(1/IF(Inputs!$B$4="pvp",15,MAX(0.1,Skills!D19-IF(Skills!E19=TRUE,Inputs!$B$31,0))),0)</f>
        <v/>
      </c>
    </row>
    <row r="175">
      <c r="A175">
        <f>Skills!A20</f>
        <v/>
      </c>
      <c r="B175">
        <f>Skills!B20</f>
        <v/>
      </c>
      <c r="C175">
        <f>Inputs!$B$3&gt;=33</f>
        <v/>
      </c>
      <c r="D175">
        <f>IF(Skills!C20=1,60+Inputs!$B$24+Inputs!$B$28,IF(Skills!C20=2,90+Inputs!$B$25+Inputs!$B$28,IF(Skills!C20=3,120+Inputs!$B$26+Inputs!$B$28,MAX(0,(Inputs!$B$3-100)*3)+Inputs!$B$27+Inputs!$B$28)))</f>
        <v/>
      </c>
      <c r="E175">
        <f>INDEX(FactorTable!$B$2:$Y$301, MATCH(ROUND(MIN(300,MAX(1,D175)),0), FactorTable!$A$2:$A$301,0), Skills!L20+1)</f>
        <v/>
      </c>
      <c r="F175">
        <f>IF(Skills!M20=TRUE,(Skills!K20/10)*(E175/1000),Skills!K20/10)+Skills!N20</f>
        <v/>
      </c>
      <c r="G175">
        <f>Calc!G20</f>
        <v/>
      </c>
      <c r="H175">
        <f>Calc!H20</f>
        <v/>
      </c>
      <c r="I175">
        <f>IF(Skills!T20&lt;&gt;"",1+(Skills!T20/10)*($Z$3/1000)/100,1)</f>
        <v/>
      </c>
      <c r="J175" t="inlineStr"/>
      <c r="K175" t="inlineStr"/>
      <c r="L175" t="inlineStr"/>
      <c r="M175" t="inlineStr"/>
      <c r="N175" t="inlineStr"/>
      <c r="O175" t="n">
        <v>0</v>
      </c>
      <c r="P175">
        <f>IF(B193=0,0,O175/B193)</f>
        <v/>
      </c>
      <c r="S175" t="n">
        <v>0</v>
      </c>
      <c r="V175">
        <f>IFERROR(1/IF(Inputs!$B$4="pvp",15,MAX(0.1,Skills!D20-IF(Skills!E20=TRUE,Inputs!$B$31,0))),0)</f>
        <v/>
      </c>
    </row>
    <row r="176">
      <c r="A176">
        <f>Skills!A21</f>
        <v/>
      </c>
      <c r="B176">
        <f>Skills!B21</f>
        <v/>
      </c>
      <c r="C176">
        <f>Inputs!$B$3&gt;=43</f>
        <v/>
      </c>
      <c r="D176">
        <f>IF(Skills!C21=1,60+Inputs!$B$24+Inputs!$B$28,IF(Skills!C21=2,90+Inputs!$B$25+Inputs!$B$28,IF(Skills!C21=3,120+Inputs!$B$26+Inputs!$B$28,MAX(0,(Inputs!$B$3-100)*3)+Inputs!$B$27+Inputs!$B$28)))</f>
        <v/>
      </c>
      <c r="E176">
        <f>INDEX(FactorTable!$B$2:$Y$301, MATCH(ROUND(MIN(300,MAX(1,D176)),0), FactorTable!$A$2:$A$301,0), Skills!L21+1)</f>
        <v/>
      </c>
      <c r="F176">
        <f>IF(Skills!M21=TRUE,(Skills!K21/10)*(E176/1000),Skills!K21/10)+Skills!N21</f>
        <v/>
      </c>
      <c r="G176">
        <f>Calc!G21</f>
        <v/>
      </c>
      <c r="H176">
        <f>Calc!H21</f>
        <v/>
      </c>
      <c r="I176">
        <f>IF(Skills!T21&lt;&gt;"",1+(Skills!T21/10)*($Z$3/1000)/100,1)</f>
        <v/>
      </c>
      <c r="J176" t="inlineStr"/>
      <c r="K176" t="inlineStr"/>
      <c r="L176" t="inlineStr"/>
      <c r="M176" t="inlineStr"/>
      <c r="N176" t="inlineStr"/>
      <c r="O176" t="n">
        <v>0</v>
      </c>
      <c r="P176">
        <f>IF(B193=0,0,O176/B193)</f>
        <v/>
      </c>
      <c r="S176" t="n">
        <v>0</v>
      </c>
      <c r="V176">
        <f>IFERROR(1/IF(Inputs!$B$4="pvp",15,MAX(0.1,Skills!D21-IF(Skills!E21=TRUE,Inputs!$B$31,0))),0)</f>
        <v/>
      </c>
    </row>
    <row r="177">
      <c r="A177">
        <f>Skills!A22</f>
        <v/>
      </c>
      <c r="B177">
        <f>Skills!B22</f>
        <v/>
      </c>
      <c r="C177">
        <f>Inputs!$B$3&gt;=50</f>
        <v/>
      </c>
      <c r="D177">
        <f>IF(Skills!C22=1,60+Inputs!$B$24+Inputs!$B$28,IF(Skills!C22=2,90+Inputs!$B$25+Inputs!$B$28,IF(Skills!C22=3,120+Inputs!$B$26+Inputs!$B$28,MAX(0,(Inputs!$B$3-100)*3)+Inputs!$B$27+Inputs!$B$28)))</f>
        <v/>
      </c>
      <c r="E177">
        <f>INDEX(FactorTable!$B$2:$Y$301, MATCH(ROUND(MIN(300,MAX(1,D177)),0), FactorTable!$A$2:$A$301,0), Skills!L22+1)</f>
        <v/>
      </c>
      <c r="F177">
        <f>IF(Skills!M22=TRUE,(Skills!K22/10)*(E177/1000),Skills!K22/10)+Skills!N22</f>
        <v/>
      </c>
      <c r="G177">
        <f>Calc!G22</f>
        <v/>
      </c>
      <c r="H177">
        <f>Calc!H22</f>
        <v/>
      </c>
      <c r="I177">
        <f>IF(Skills!T22&lt;&gt;"",1+(Skills!T22/10)*($Z$3/1000)/100,1)</f>
        <v/>
      </c>
      <c r="J177" t="inlineStr"/>
      <c r="K177" t="inlineStr"/>
      <c r="L177" t="inlineStr"/>
      <c r="M177" t="inlineStr"/>
      <c r="N177" t="inlineStr"/>
      <c r="O177" t="n">
        <v>0</v>
      </c>
      <c r="P177">
        <f>IF(B193=0,0,O177/B193)</f>
        <v/>
      </c>
      <c r="S177" t="n">
        <v>0</v>
      </c>
      <c r="V177">
        <f>IFERROR(1/IF(Inputs!$B$4="pvp",15,MAX(0.1,Skills!D22-IF(Skills!E22=TRUE,Inputs!$B$31,0))),0)</f>
        <v/>
      </c>
    </row>
    <row r="178">
      <c r="A178">
        <f>Skills!A23</f>
        <v/>
      </c>
      <c r="B178">
        <f>Skills!B23</f>
        <v/>
      </c>
      <c r="C178">
        <f>Inputs!$B$3&gt;=74</f>
        <v/>
      </c>
      <c r="D178">
        <f>IF(Skills!C23=1,60+Inputs!$B$24+Inputs!$B$28,IF(Skills!C23=2,90+Inputs!$B$25+Inputs!$B$28,IF(Skills!C23=3,120+Inputs!$B$26+Inputs!$B$28,MAX(0,(Inputs!$B$3-100)*3)+Inputs!$B$27+Inputs!$B$28)))</f>
        <v/>
      </c>
      <c r="E178">
        <f>INDEX(FactorTable!$B$2:$Y$301, MATCH(ROUND(MIN(300,MAX(1,D178)),0), FactorTable!$A$2:$A$301,0), Skills!L23+1)</f>
        <v/>
      </c>
      <c r="F178">
        <f>IF(Skills!M23=TRUE,(Skills!K23/10)*(E178/1000),Skills!K23/10)+Skills!N23</f>
        <v/>
      </c>
      <c r="G178">
        <f>Calc!G23</f>
        <v/>
      </c>
      <c r="H178">
        <f>Calc!H23</f>
        <v/>
      </c>
      <c r="I178">
        <f>IF(Skills!T23&lt;&gt;"",1+(Skills!T23/10)*($Z$3/1000)/100,1)</f>
        <v/>
      </c>
      <c r="J178" t="inlineStr"/>
      <c r="K178" t="inlineStr"/>
      <c r="L178" t="inlineStr"/>
      <c r="M178" t="inlineStr"/>
      <c r="N178" t="inlineStr"/>
      <c r="O178" t="n">
        <v>0</v>
      </c>
      <c r="P178">
        <f>IF(B193=0,0,O178/B193)</f>
        <v/>
      </c>
      <c r="S178" t="n">
        <v>0</v>
      </c>
      <c r="V178">
        <f>IFERROR(1/IF(Inputs!$B$4="pvp",15,MAX(0.1,Skills!D23-IF(Skills!E23=TRUE,Inputs!$B$31,0))),0)</f>
        <v/>
      </c>
    </row>
    <row r="179">
      <c r="A179">
        <f>Skills!A24</f>
        <v/>
      </c>
      <c r="B179">
        <f>Skills!B24</f>
        <v/>
      </c>
      <c r="C179">
        <f>Inputs!$B$3&gt;=74</f>
        <v/>
      </c>
      <c r="D179">
        <f>IF(Skills!C24=1,60+Inputs!$B$24+Inputs!$B$28,IF(Skills!C24=2,90+Inputs!$B$25+Inputs!$B$28,IF(Skills!C24=3,120+Inputs!$B$26+Inputs!$B$28,MAX(0,(Inputs!$B$3-100)*3)+Inputs!$B$27+Inputs!$B$28)))</f>
        <v/>
      </c>
      <c r="E179">
        <f>INDEX(FactorTable!$B$2:$Y$301, MATCH(ROUND(MIN(300,MAX(1,D179)),0), FactorTable!$A$2:$A$301,0), Skills!L24+1)</f>
        <v/>
      </c>
      <c r="F179">
        <f>IF(Skills!M24=TRUE,(Skills!K24/10)*(E179/1000),Skills!K24/10)+Skills!N24</f>
        <v/>
      </c>
      <c r="G179">
        <f>Calc!G24</f>
        <v/>
      </c>
      <c r="H179">
        <f>Calc!H24</f>
        <v/>
      </c>
      <c r="I179">
        <f>IF(Skills!T24&lt;&gt;"",1+(Skills!T24/10)*($Z$3/1000)/100,1)</f>
        <v/>
      </c>
      <c r="J179" t="inlineStr"/>
      <c r="K179" t="inlineStr"/>
      <c r="L179" t="inlineStr"/>
      <c r="M179" t="inlineStr"/>
      <c r="N179" t="inlineStr"/>
      <c r="O179" t="n">
        <v>0</v>
      </c>
      <c r="P179">
        <f>IF(B193=0,0,O179/B193)</f>
        <v/>
      </c>
      <c r="S179" t="n">
        <v>0</v>
      </c>
      <c r="V179">
        <f>IFERROR(1/IF(Inputs!$B$4="pvp",15,MAX(0.1,Skills!D24-IF(Skills!E24=TRUE,Inputs!$B$31,0))),0)</f>
        <v/>
      </c>
    </row>
    <row r="180">
      <c r="A180">
        <f>Skills!A25</f>
        <v/>
      </c>
      <c r="B180">
        <f>Skills!B25</f>
        <v/>
      </c>
      <c r="C180">
        <f>Inputs!$B$3&gt;=117</f>
        <v/>
      </c>
      <c r="D180">
        <f>IF(Skills!C25=1,60+Inputs!$B$24+Inputs!$B$28,IF(Skills!C25=2,90+Inputs!$B$25+Inputs!$B$28,IF(Skills!C25=3,120+Inputs!$B$26+Inputs!$B$28,MAX(0,(Inputs!$B$3-100)*3)+Inputs!$B$27+Inputs!$B$28)))</f>
        <v/>
      </c>
      <c r="E180">
        <f>INDEX(FactorTable!$B$2:$Y$301, MATCH(ROUND(MIN(300,MAX(1,D180)),0), FactorTable!$A$2:$A$301,0), Skills!L25+1)</f>
        <v/>
      </c>
      <c r="F180">
        <f>IF(Skills!M25=TRUE,(Skills!K25/10)*(E180/1000),Skills!K25/10)+Skills!N25</f>
        <v/>
      </c>
      <c r="G180">
        <f>Calc!G25</f>
        <v/>
      </c>
      <c r="H180">
        <f>Calc!H25</f>
        <v/>
      </c>
      <c r="I180">
        <f>IF(Skills!T25&lt;&gt;"",1+(Skills!T25/10)*($Z$3/1000)/100,1)</f>
        <v/>
      </c>
      <c r="J180" t="inlineStr"/>
      <c r="K180" t="inlineStr"/>
      <c r="L180" t="inlineStr"/>
      <c r="M180" t="inlineStr"/>
      <c r="N180" t="inlineStr"/>
      <c r="O180" t="n">
        <v>0</v>
      </c>
      <c r="P180">
        <f>IF(B193=0,0,O180/B193)</f>
        <v/>
      </c>
      <c r="S180" t="n">
        <v>0</v>
      </c>
      <c r="V180">
        <f>IFERROR(1/IF(Inputs!$B$4="pvp",15,MAX(0.1,Skills!D25-IF(Skills!E25=TRUE,Inputs!$B$31,0))),0)</f>
        <v/>
      </c>
    </row>
    <row r="181">
      <c r="A181">
        <f>Skills!A26</f>
        <v/>
      </c>
      <c r="B181">
        <f>Skills!B26</f>
        <v/>
      </c>
      <c r="C181">
        <f>Inputs!$B$3&gt;=120</f>
        <v/>
      </c>
      <c r="D181">
        <f>IF(Skills!C26=1,60+Inputs!$B$24+Inputs!$B$28,IF(Skills!C26=2,90+Inputs!$B$25+Inputs!$B$28,IF(Skills!C26=3,120+Inputs!$B$26+Inputs!$B$28,MAX(0,(Inputs!$B$3-100)*3)+Inputs!$B$27+Inputs!$B$28)))</f>
        <v/>
      </c>
      <c r="E181">
        <f>INDEX(FactorTable!$B$2:$Y$301, MATCH(ROUND(MIN(300,MAX(1,D181)),0), FactorTable!$A$2:$A$301,0), Skills!L26+1)</f>
        <v/>
      </c>
      <c r="F181">
        <f>IF(Skills!M26=TRUE,(Skills!K26/10)*(E181/1000),Skills!K26/10)+Skills!N26</f>
        <v/>
      </c>
      <c r="G181">
        <f>Calc!G26</f>
        <v/>
      </c>
      <c r="H181">
        <f>Calc!H26</f>
        <v/>
      </c>
      <c r="I181">
        <f>IF(Skills!T26&lt;&gt;"",1+(Skills!T26/10)*($Z$3/1000)/100,1)</f>
        <v/>
      </c>
      <c r="J181" t="inlineStr"/>
      <c r="K181" t="inlineStr"/>
      <c r="L181" t="inlineStr"/>
      <c r="M181" t="inlineStr"/>
      <c r="N181" t="inlineStr"/>
      <c r="O181" t="n">
        <v>0</v>
      </c>
      <c r="P181">
        <f>IF(B193=0,0,O181/B193)</f>
        <v/>
      </c>
      <c r="S181" t="n">
        <v>0</v>
      </c>
      <c r="V181">
        <f>IFERROR(1/IF(Inputs!$B$4="pvp",15,MAX(0.1,Skills!D26-IF(Skills!E26=TRUE,Inputs!$B$31,0))),0)</f>
        <v/>
      </c>
    </row>
    <row r="183">
      <c r="A183" t="inlineStr">
        <is>
          <t>Average Buff Multiplier</t>
        </is>
      </c>
      <c r="B183">
        <f>(1+(IF(C158=TRUE,F158*IF(AND(Inputs!$B$4&lt;&gt;"pvp",Inputs!$B$35&gt;0),(((S158-1)*(Skills!S3*(1+(Inputs!$B$33+IF(Inputs!$B$3&gt;=117,F180,0))/100))+MIN((Skills!S3*(1+(Inputs!$B$33+IF(Inputs!$B$3&gt;=117,F180,0))/100)),MAX(0,Inputs!$B$35-((S158-1)*Skills!D3))))/Inputs!$B$35),IF(Inputs!$B$4="pvp",MIN((Skills!S3*(1+(Inputs!$B$33+IF(Inputs!$B$3&gt;=117,F180,0))/100)),15)/15,(Skills!S3*(1+(Inputs!$B$33+IF(Inputs!$B$3&gt;=117,F180,0))/100))/Skills!D3)),0)+IF(C159=TRUE,F159*IF(AND(Inputs!$B$4&lt;&gt;"pvp",Inputs!$B$35&gt;0),(((S159-1)*(Skills!S4*(1+(Inputs!$B$33+IF(Inputs!$B$3&gt;=117,F180,0))/100))+MIN((Skills!S4*(1+(Inputs!$B$33+IF(Inputs!$B$3&gt;=117,F180,0))/100)),MAX(0,Inputs!$B$35-((S159-1)*Skills!D4))))/Inputs!$B$35),IF(Inputs!$B$4="pvp",MIN((Skills!S4*(1+(Inputs!$B$33+IF(Inputs!$B$3&gt;=117,F180,0))/100)),15)/15,(Skills!S4*(1+(Inputs!$B$33+IF(Inputs!$B$3&gt;=117,F180,0))/100))/Skills!D4)),0)+IF(C160=TRUE,F160*IF(AND(Inputs!$B$4&lt;&gt;"pvp",Inputs!$B$35&gt;0),(((S160-1)*(Skills!S5*(1+(Inputs!$B$33+IF(Inputs!$B$3&gt;=117,F180,0))/100))+MIN((Skills!S5*(1+(Inputs!$B$33+IF(Inputs!$B$3&gt;=117,F180,0))/100)),MAX(0,Inputs!$B$35-((S160-1)*Skills!D5))))/Inputs!$B$35),IF(Inputs!$B$4="pvp",MIN((Skills!S5*(1+(Inputs!$B$33+IF(Inputs!$B$3&gt;=117,F180,0))/100)),15)/15,(Skills!S5*(1+(Inputs!$B$33+IF(Inputs!$B$3&gt;=117,F180,0))/100))/Skills!D5)),0)+IF(C166=TRUE,F166*IF(AND(Inputs!$B$4&lt;&gt;"pvp",Inputs!$B$35&gt;0),(((S166-1)*(Skills!S11*(1+(Inputs!$B$33+IF(Inputs!$B$3&gt;=117,F180,0))/100))+MIN((Skills!S11*(1+(Inputs!$B$33+IF(Inputs!$B$3&gt;=117,F180,0))/100)),MAX(0,Inputs!$B$35-((S166-1)*Skills!D11))))/Inputs!$B$35),IF(Inputs!$B$4="pvp",MIN((Skills!S11*(1+(Inputs!$B$33+IF(Inputs!$B$3&gt;=117,F180,0))/100)),15)/15,(Skills!S11*(1+(Inputs!$B$33+IF(Inputs!$B$3&gt;=117,F180,0))/100))/Skills!D11)),0))/100)*IF(C168=TRUE,(1+F168*IF(AND(Inputs!$B$4&lt;&gt;"pvp",Inputs!$B$35&gt;0),(((S168-1)*(Skills!S13*(1+(Inputs!$B$33+IF(Inputs!$B$3&gt;=117,F180,0))/100))+MIN((Skills!S13*(1+(Inputs!$B$33+IF(Inputs!$B$3&gt;=117,F180,0))/100)),MAX(0,Inputs!$B$35-((S168-1)*Skills!D13))))/Inputs!$B$35),IF(Inputs!$B$4="pvp",MIN((Skills!S13*(1+(Inputs!$B$33+IF(Inputs!$B$3&gt;=117,F180,0))/100)),15)/15,(Skills!S13*(1+(Inputs!$B$33+IF(Inputs!$B$3&gt;=117,F180,0))/100))/Skills!D13))/100),1)*IF(C173=TRUE,(1+F173*IF(AND(Inputs!$B$4&lt;&gt;"pvp",Inputs!$B$35&gt;0),(((S173-1)*(Skills!S18*(1+(Inputs!$B$33+IF(Inputs!$B$3&gt;=117,F180,0))/100))+MIN((Skills!S18*(1+(Inputs!$B$33+IF(Inputs!$B$3&gt;=117,F180,0))/100)),MAX(0,Inputs!$B$35-((S173-1)*Skills!D18))))/Inputs!$B$35),IF(Inputs!$B$4="pvp",MIN((Skills!S18*(1+(Inputs!$B$33+IF(Inputs!$B$3&gt;=117,F180,0))/100)),15)/15,(Skills!S18*(1+(Inputs!$B$33+IF(Inputs!$B$3&gt;=117,F180,0))/100))/Skills!D18))/100),1)</f>
        <v/>
      </c>
    </row>
    <row r="184">
      <c r="A184" t="inlineStr">
        <is>
          <t>Monster Damage Taken Bonus % (Holy Fountain)</t>
        </is>
      </c>
      <c r="B184">
        <f>IF(Inputs!$B$3&gt;=68,20*IF(Inputs!$B$4="pvp",MIN((15*(1+(Inputs!$B$33+IF(Inputs!$B$3&gt;=117,F180,0))/100)),15)/15,(15*(1+(Inputs!$B$33+IF(Inputs!$B$3&gt;=117,F180,0))/100))/Skills!D10),0)</f>
        <v/>
      </c>
    </row>
    <row r="185">
      <c r="A185" t="inlineStr">
        <is>
          <t>Normal Monster Damage Bonus % (Holy Symbol)</t>
        </is>
      </c>
      <c r="B185">
        <f>IF(C167=TRUE,F167*IF(AND(Inputs!$B$4&lt;&gt;"pvp",Inputs!$B$35&gt;0),(((S167-1)*(Skills!S12*(1+(Inputs!$B$33+IF(Inputs!$B$3&gt;=117,F180,0))/100))+MIN((Skills!S12*(1+(Inputs!$B$33+IF(Inputs!$B$3&gt;=117,F180,0))/100)),MAX(0,Inputs!$B$35-((S167-1)*Skills!D12))))/Inputs!$B$35),IF(Inputs!$B$4="pvp",MIN((Skills!S12*(1+(Inputs!$B$33+IF(Inputs!$B$3&gt;=117,F180,0))/100)),15)/15,(Skills!S12*(1+(Inputs!$B$33+IF(Inputs!$B$3&gt;=117,F180,0))/100))/Skills!D12)),0)</f>
        <v/>
      </c>
    </row>
    <row r="186">
      <c r="A186" t="inlineStr">
        <is>
          <t>Damage % Bonus (Holy Symbol - Damage Boost)</t>
        </is>
      </c>
      <c r="B186">
        <f>Skills!O12</f>
        <v/>
      </c>
    </row>
    <row r="187">
      <c r="A187" t="inlineStr">
        <is>
          <t>Crit Damage % Bonus (Blood of the Divine)</t>
        </is>
      </c>
      <c r="B187">
        <f>4*IF(C174=TRUE,F174,0)</f>
        <v/>
      </c>
    </row>
    <row r="188">
      <c r="A188" t="inlineStr">
        <is>
          <t>Attack Speed Bonus %</t>
        </is>
      </c>
      <c r="B188">
        <f>IF(C171=TRUE,F171+(F175-Calc!F20),0)+IF(Inputs!$B$3&gt;=134,15,0)</f>
        <v/>
      </c>
    </row>
    <row r="189">
      <c r="A189" t="inlineStr">
        <is>
          <t>Actions Per Second</t>
        </is>
      </c>
      <c r="B189">
        <f>1+MIN(150,150*(1-(1-Inputs!$B$10/150)*(1-B188/150)))/100</f>
        <v/>
      </c>
    </row>
    <row r="190">
      <c r="A190" t="inlineStr">
        <is>
          <t>Skill + Buff Cast Rate</t>
        </is>
      </c>
      <c r="B190">
        <f>IF(AND(Inputs!$B$4&lt;&gt;"pvp",Inputs!$B$35&gt;0),SUMPRODUCT((Skills!E2:E26=TRUE)*(C157:C181=TRUE)*S157:S181)/Inputs!$B$35,SUMPRODUCT((Skills!E2:E26=TRUE)*(C157:C181=TRUE)*V157:V181))</f>
        <v/>
      </c>
    </row>
    <row r="191">
      <c r="A191" t="inlineStr">
        <is>
          <t>Big Bang Casts Per Second</t>
        </is>
      </c>
      <c r="B191">
        <f>MAX(0,B189-B190)</f>
        <v/>
      </c>
    </row>
    <row r="193">
      <c r="A193" s="5" t="inlineStr">
        <is>
          <t>TOTAL DPS</t>
        </is>
      </c>
      <c r="B193" s="5">
        <f>SUM(O157:O181)</f>
        <v/>
      </c>
    </row>
    <row r="196">
      <c r="A196" s="5" t="inlineStr">
        <is>
          <t>Stat: BOSS_DAMAGE %</t>
        </is>
      </c>
    </row>
    <row r="197">
      <c r="A197" s="8" t="inlineStr">
        <is>
          <t>Key</t>
        </is>
      </c>
      <c r="B197" s="8" t="inlineStr">
        <is>
          <t>Name</t>
        </is>
      </c>
      <c r="C197" s="8" t="inlineStr">
        <is>
          <t>Unlocked</t>
        </is>
      </c>
      <c r="D197" s="8" t="inlineStr">
        <is>
          <t>InputLevel</t>
        </is>
      </c>
      <c r="E197" s="8" t="inlineStr">
        <is>
          <t>Factor</t>
        </is>
      </c>
      <c r="F197" s="8" t="inlineStr">
        <is>
          <t>CoefficientPercent</t>
        </is>
      </c>
      <c r="G197" s="8" t="inlineStr">
        <is>
          <t>EffectiveHits</t>
        </is>
      </c>
      <c r="H197" s="8" t="inlineStr">
        <is>
          <t>ProcProbability</t>
        </is>
      </c>
      <c r="I197" s="8" t="inlineStr">
        <is>
          <t>MapleHeroMultiplier</t>
        </is>
      </c>
      <c r="J197" s="8" t="inlineStr">
        <is>
          <t>BaseDamage</t>
        </is>
      </c>
      <c r="K197" s="8" t="inlineStr">
        <is>
          <t>BaseHitDamage</t>
        </is>
      </c>
      <c r="L197" s="8" t="inlineStr">
        <is>
          <t>NonCritAvg</t>
        </is>
      </c>
      <c r="M197" s="8" t="inlineStr">
        <is>
          <t>CritAvg</t>
        </is>
      </c>
      <c r="N197" s="8" t="inlineStr">
        <is>
          <t>ExpectedDamage(perHit)</t>
        </is>
      </c>
      <c r="O197" s="8" t="inlineStr">
        <is>
          <t>DPS</t>
        </is>
      </c>
      <c r="P197" s="8" t="inlineStr">
        <is>
          <t>% of Total</t>
        </is>
      </c>
      <c r="R197" t="inlineStr">
        <is>
          <t>helpers</t>
        </is>
      </c>
    </row>
    <row r="198">
      <c r="A198">
        <f>Skills!A2</f>
        <v/>
      </c>
      <c r="B198">
        <f>Skills!B2</f>
        <v/>
      </c>
      <c r="C198">
        <f>Inputs!$B$3&gt;=100</f>
        <v/>
      </c>
      <c r="D198" t="inlineStr"/>
      <c r="E198" t="inlineStr"/>
      <c r="F198">
        <f>T200+Skills!N2</f>
        <v/>
      </c>
      <c r="G198">
        <f>Calc!G2</f>
        <v/>
      </c>
      <c r="H198">
        <f>Calc!H2</f>
        <v/>
      </c>
      <c r="I198">
        <f>IF(Skills!T2&lt;&gt;"",1+(Skills!T2/10)*($Z$3/1000)/100,1)</f>
        <v/>
      </c>
      <c r="J198">
        <f>((Inputs!$B$5*(1+Inputs!$B$6/100))+((Inputs!$B$11*(1+Inputs!$B$12/100))-(Inputs!$B$11*(1+Inputs!$B$12/100)))*(1+Inputs!$B$6/100))*(F198/100)</f>
        <v/>
      </c>
      <c r="K198">
        <f>J198*(1+((Inputs!$B$11*(1+Inputs!$B$12/100))*0.01+Inputs!$B$13*0.0025)/100)*(1+(Inputs!$B$14+B227)/100)*(1+IF(Inputs!$B$4="pvp",0,(1-Summary!$B$48)*((Inputs!$B$19+1)+Skills!O2+B225)+Summary!$B$48*(Inputs!$B$20+Skills!P2+B226))/100)*(1+Inputs!$B$15/100)*(5000/(6000+Inputs!$B$7*(1-Inputs!$B$18/100)))*(1+Inputs!$B$23/100)*(1+IF(C213=TRUE,F213,0)/100)*(1+IF(C215=TRUE,F215,0)/100)*(1+IF(Skills!A2="TRIUMPH_FEATHER",IF(C211=TRUE,F211,0),0)/100)*(1+IF(C222=TRUE,F222,0)/100)^5*(1+(IF(Skills!A2="BIG_BANG",Inputs!$B$16,Inputs!$B$17))/100)*(B224*I198)</f>
        <v/>
      </c>
      <c r="L198">
        <f>K198*(MIN(Inputs!$B$21+(F217-Calc!F21),Inputs!$B$22)/100+Inputs!$B$22/100)/2</f>
        <v/>
      </c>
      <c r="M198">
        <f>L198*(1+(Inputs!$B$9+B228+(F220-Calc!F24))/100)</f>
        <v/>
      </c>
      <c r="N198">
        <f>L198*(1-MIN(Inputs!$B$8+((F219-Calc!F23)+(F218-Calc!F22)),100)/100)+M198*(MIN(Inputs!$B$8+((F219-Calc!F23)+(F218-Calc!F22)),100)/100)</f>
        <v/>
      </c>
      <c r="O198">
        <f>IF(C198,Skills!F2*N198*B232*IF(Inputs!$B$4="pvp",1,(1-Summary!$B$48)*(1)+Summary!$B$48*(MIN((6+Inputs!$B$32),Inputs!$B$37))),0)</f>
        <v/>
      </c>
      <c r="P198">
        <f>IF(B234=0,0,O198/B234)</f>
        <v/>
      </c>
      <c r="S198" t="n">
        <v>0</v>
      </c>
      <c r="T198">
        <f>MAX(0,(Inputs!$B$3-100)*3)+Inputs!$B$27+Inputs!$B$28</f>
        <v/>
      </c>
      <c r="V198">
        <f>IFERROR(1/IF(Inputs!$B$4="pvp",15,MAX(0.1,Skills!D2-IF(Skills!E2=TRUE,Inputs!$B$31,0))),0)</f>
        <v/>
      </c>
    </row>
    <row r="199">
      <c r="A199">
        <f>Skills!A3</f>
        <v/>
      </c>
      <c r="B199">
        <f>Skills!B3</f>
        <v/>
      </c>
      <c r="C199">
        <f>Inputs!$B$3&gt;=15</f>
        <v/>
      </c>
      <c r="D199">
        <f>IF(Skills!C3=1,60+Inputs!$B$24+Inputs!$B$28,IF(Skills!C3=2,90+Inputs!$B$25+Inputs!$B$28,IF(Skills!C3=3,120+Inputs!$B$26+Inputs!$B$28,MAX(0,(Inputs!$B$3-100)*3)+Inputs!$B$27+Inputs!$B$28)))</f>
        <v/>
      </c>
      <c r="E199">
        <f>INDEX(FactorTable!$B$2:$Y$301, MATCH(ROUND(MIN(300,MAX(1,D199)),0), FactorTable!$A$2:$A$301,0), Skills!L3+1)</f>
        <v/>
      </c>
      <c r="F199">
        <f>IF(Skills!M3=TRUE,(Skills!K3/10)*(E199/1000),Skills!K3/10)+Skills!N3</f>
        <v/>
      </c>
      <c r="G199">
        <f>Calc!G3</f>
        <v/>
      </c>
      <c r="H199">
        <f>Calc!H3</f>
        <v/>
      </c>
      <c r="I199">
        <f>IF(Skills!T3&lt;&gt;"",1+(Skills!T3/10)*($Z$3/1000)/100,1)</f>
        <v/>
      </c>
      <c r="J199" t="inlineStr"/>
      <c r="K199" t="inlineStr"/>
      <c r="L199" t="inlineStr"/>
      <c r="M199" t="inlineStr"/>
      <c r="N199" t="inlineStr"/>
      <c r="O199" t="n">
        <v>0</v>
      </c>
      <c r="P199">
        <f>IF(B234=0,0,O199/B234)</f>
        <v/>
      </c>
      <c r="S199">
        <f>IF(AND(Inputs!$B$4&lt;&gt;"pvp",Inputs!$B$35&gt;0),(INT(Inputs!$B$35/IF(Inputs!$B$4="pvp",15,MAX(0.1,Skills!D3-IF(Skills!E3=TRUE,Inputs!$B$31,0))))+1),0)</f>
        <v/>
      </c>
      <c r="T199">
        <f>INDEX(FactorTable!$B$2:$Y$301, MATCH(ROUND(MIN(300,MAX(1,T198)),0), FactorTable!$A$2:$A$301,0), 22)</f>
        <v/>
      </c>
      <c r="V199">
        <f>IFERROR(1/IF(Inputs!$B$4="pvp",15,MAX(0.1,Skills!D3-IF(Skills!E3=TRUE,Inputs!$B$31,0))),0)</f>
        <v/>
      </c>
    </row>
    <row r="200">
      <c r="A200">
        <f>Skills!A4</f>
        <v/>
      </c>
      <c r="B200">
        <f>Skills!B4</f>
        <v/>
      </c>
      <c r="C200">
        <f>Inputs!$B$3&gt;=38</f>
        <v/>
      </c>
      <c r="D200">
        <f>IF(Skills!C4=1,60+Inputs!$B$24+Inputs!$B$28,IF(Skills!C4=2,90+Inputs!$B$25+Inputs!$B$28,IF(Skills!C4=3,120+Inputs!$B$26+Inputs!$B$28,MAX(0,(Inputs!$B$3-100)*3)+Inputs!$B$27+Inputs!$B$28)))</f>
        <v/>
      </c>
      <c r="E200">
        <f>INDEX(FactorTable!$B$2:$Y$301, MATCH(ROUND(MIN(300,MAX(1,D200)),0), FactorTable!$A$2:$A$301,0), Skills!L4+1)</f>
        <v/>
      </c>
      <c r="F200">
        <f>IF(Skills!M4=TRUE,(Skills!K4/10)*(E200/1000),Skills!K4/10)+Skills!N4</f>
        <v/>
      </c>
      <c r="G200">
        <f>Calc!G4</f>
        <v/>
      </c>
      <c r="H200">
        <f>Calc!H4</f>
        <v/>
      </c>
      <c r="I200">
        <f>IF(Skills!T4&lt;&gt;"",1+(Skills!T4/10)*($Z$3/1000)/100,1)</f>
        <v/>
      </c>
      <c r="J200" t="inlineStr"/>
      <c r="K200" t="inlineStr"/>
      <c r="L200" t="inlineStr"/>
      <c r="M200" t="inlineStr"/>
      <c r="N200" t="inlineStr"/>
      <c r="O200" t="n">
        <v>0</v>
      </c>
      <c r="P200">
        <f>IF(B234=0,0,O200/B234)</f>
        <v/>
      </c>
      <c r="S200">
        <f>IF(AND(Inputs!$B$4&lt;&gt;"pvp",Inputs!$B$35&gt;0),(INT(Inputs!$B$35/IF(Inputs!$B$4="pvp",15,MAX(0.1,Skills!D4-IF(Skills!E4=TRUE,Inputs!$B$31,0))))+1),0)</f>
        <v/>
      </c>
      <c r="T200">
        <f>290*T199/1000</f>
        <v/>
      </c>
      <c r="V200">
        <f>IFERROR(1/IF(Inputs!$B$4="pvp",15,MAX(0.1,Skills!D4-IF(Skills!E4=TRUE,Inputs!$B$31,0))),0)</f>
        <v/>
      </c>
    </row>
    <row r="201">
      <c r="A201">
        <f>Skills!A5</f>
        <v/>
      </c>
      <c r="B201">
        <f>Skills!B5</f>
        <v/>
      </c>
      <c r="C201">
        <f>Inputs!$B$3&gt;=40</f>
        <v/>
      </c>
      <c r="D201">
        <f>IF(Skills!C5=1,60+Inputs!$B$24+Inputs!$B$28,IF(Skills!C5=2,90+Inputs!$B$25+Inputs!$B$28,IF(Skills!C5=3,120+Inputs!$B$26+Inputs!$B$28,MAX(0,(Inputs!$B$3-100)*3)+Inputs!$B$27+Inputs!$B$28)))</f>
        <v/>
      </c>
      <c r="E201">
        <f>INDEX(FactorTable!$B$2:$Y$301, MATCH(ROUND(MIN(300,MAX(1,D201)),0), FactorTable!$A$2:$A$301,0), Skills!L5+1)</f>
        <v/>
      </c>
      <c r="F201">
        <f>IF(Skills!M5=TRUE,(Skills!K5/10)*(E201/1000),Skills!K5/10)+Skills!N5</f>
        <v/>
      </c>
      <c r="G201">
        <f>Calc!G5</f>
        <v/>
      </c>
      <c r="H201">
        <f>Calc!H5</f>
        <v/>
      </c>
      <c r="I201">
        <f>IF(Skills!T5&lt;&gt;"",1+(Skills!T5/10)*($Z$3/1000)/100,1)</f>
        <v/>
      </c>
      <c r="J201" t="inlineStr"/>
      <c r="K201" t="inlineStr"/>
      <c r="L201" t="inlineStr"/>
      <c r="M201" t="inlineStr"/>
      <c r="N201" t="inlineStr"/>
      <c r="O201" t="n">
        <v>0</v>
      </c>
      <c r="P201">
        <f>IF(B234=0,0,O201/B234)</f>
        <v/>
      </c>
      <c r="S201">
        <f>IF(AND(Inputs!$B$4&lt;&gt;"pvp",Inputs!$B$35&gt;0),(INT(Inputs!$B$35/IF(Inputs!$B$4="pvp",15,MAX(0.1,Skills!D5-IF(Skills!E5=TRUE,Inputs!$B$31,0))))+1),0)</f>
        <v/>
      </c>
      <c r="V201">
        <f>IFERROR(1/IF(Inputs!$B$4="pvp",15,MAX(0.1,Skills!D5-IF(Skills!E5=TRUE,Inputs!$B$31,0))),0)</f>
        <v/>
      </c>
    </row>
    <row r="202">
      <c r="A202">
        <f>Skills!A6</f>
        <v/>
      </c>
      <c r="B202">
        <f>Skills!B6</f>
        <v/>
      </c>
      <c r="C202">
        <f>Inputs!$B$3&gt;=103</f>
        <v/>
      </c>
      <c r="D202">
        <f>IF(Skills!C6=1,60+Inputs!$B$24+Inputs!$B$28,IF(Skills!C6=2,90+Inputs!$B$25+Inputs!$B$28,IF(Skills!C6=3,120+Inputs!$B$26+Inputs!$B$28,MAX(0,(Inputs!$B$3-100)*3)+Inputs!$B$27+Inputs!$B$28)))</f>
        <v/>
      </c>
      <c r="E202">
        <f>INDEX(FactorTable!$B$2:$Y$301, MATCH(ROUND(MIN(300,MAX(1,D202)),0), FactorTable!$A$2:$A$301,0), Skills!L6+1)</f>
        <v/>
      </c>
      <c r="F202">
        <f>IF(Skills!M6=TRUE,(Skills!K6/10)*(E202/1000),Skills!K6/10)+Skills!N6</f>
        <v/>
      </c>
      <c r="G202">
        <f>Calc!G6</f>
        <v/>
      </c>
      <c r="H202">
        <f>Calc!H6</f>
        <v/>
      </c>
      <c r="I202">
        <f>IF(Skills!T6&lt;&gt;"",1+(Skills!T6/10)*($Z$3/1000)/100,1)</f>
        <v/>
      </c>
      <c r="J202">
        <f>((Inputs!$B$5*(1+Inputs!$B$6/100))+((Inputs!$B$11*(1+Inputs!$B$12/100))-(Inputs!$B$11*(1+Inputs!$B$12/100)))*(1+Inputs!$B$6/100))*(F202/100)</f>
        <v/>
      </c>
      <c r="K202">
        <f>J202*(1+((Inputs!$B$11*(1+Inputs!$B$12/100))*0.01+Inputs!$B$13*0.0025)/100)*(1+(Inputs!$B$14+B227)/100)*(1+IF(Inputs!$B$4="pvp",0,(1-Summary!$B$48)*((Inputs!$B$19+1)+Skills!O6+B225)+Summary!$B$48*(Inputs!$B$20+Skills!P6+B226))/100)*(1+Inputs!$B$15/100)*(5000/(6000+Inputs!$B$7*(1-Inputs!$B$18/100)))*(1+Inputs!$B$23/100)*(1+IF(C213=TRUE,F213,0)/100)*(1+IF(C215=TRUE,F215,0)/100)*(1+IF(Skills!A6="TRIUMPH_FEATHER",IF(C211=TRUE,F211,0),0)/100)*(1+IF(C222=TRUE,F222,0)/100)^5*(1+(IF(Skills!A6="BIG_BANG",Inputs!$B$16,Inputs!$B$17))/100)*(B224*I202)</f>
        <v/>
      </c>
      <c r="L202">
        <f>K202*(MIN(Inputs!$B$21+(F217-Calc!F21),Inputs!$B$22)/100+Inputs!$B$22/100)/2</f>
        <v/>
      </c>
      <c r="M202">
        <f>L202*(1+(Inputs!$B$9+B228+(F220-Calc!F24))/100)</f>
        <v/>
      </c>
      <c r="N202">
        <f>L202*(1-MIN(Inputs!$B$8+((F219-Calc!F23)+(F218-Calc!F22)),100)/100)+M202*(MIN(Inputs!$B$8+((F219-Calc!F23)+(F218-Calc!F22)),100)/100)</f>
        <v/>
      </c>
      <c r="O202">
        <f>IF(C202,H202*N202*IF(AND(Inputs!$B$4&lt;&gt;"pvp",Inputs!$B$35&gt;0),((Skills!F6*((S202-1)*IF(Skills!G6&gt;0,Skills!H6/Skills!G6,1)+IF(Skills!G6&gt;0,MIN(Skills!H6,MAX(0,Inputs!$B$35-((S202-1)*IF(Inputs!$B$4="pvp",15,MAX(0.1,Skills!D6-IF(Skills!E6=TRUE,Inputs!$B$31,0))))))/Skills!G6,1)))/Inputs!$B$35),G202*V202)*IF(Inputs!$B$4="pvp",1,(1-Summary!$B$48)*(1)+Summary!$B$48*(MIN(Skills!Q6,Inputs!$B$37))),0)</f>
        <v/>
      </c>
      <c r="P202">
        <f>IF(B234=0,0,O202/B234)</f>
        <v/>
      </c>
      <c r="S202">
        <f>IF(AND(Inputs!$B$4&lt;&gt;"pvp",Inputs!$B$35&gt;0),(INT(Inputs!$B$35/IF(Inputs!$B$4="pvp",15,MAX(0.1,Skills!D6-IF(Skills!E6=TRUE,Inputs!$B$31,0))))+1),0)</f>
        <v/>
      </c>
      <c r="V202">
        <f>IFERROR(1/IF(Inputs!$B$4="pvp",15,MAX(0.1,Skills!D6-IF(Skills!E6=TRUE,Inputs!$B$31,0))),0)</f>
        <v/>
      </c>
    </row>
    <row r="203">
      <c r="A203">
        <f>Skills!A7</f>
        <v/>
      </c>
      <c r="B203">
        <f>Skills!B7</f>
        <v/>
      </c>
      <c r="C203">
        <f>Inputs!$B$3&gt;=122</f>
        <v/>
      </c>
      <c r="D203">
        <f>IF(Skills!C7=1,60+Inputs!$B$24+Inputs!$B$28,IF(Skills!C7=2,90+Inputs!$B$25+Inputs!$B$28,IF(Skills!C7=3,120+Inputs!$B$26+Inputs!$B$28,MAX(0,(Inputs!$B$3-100)*3)+Inputs!$B$27+Inputs!$B$28)))</f>
        <v/>
      </c>
      <c r="E203">
        <f>INDEX(FactorTable!$B$2:$Y$301, MATCH(ROUND(MIN(300,MAX(1,D203)),0), FactorTable!$A$2:$A$301,0), Skills!L7+1)</f>
        <v/>
      </c>
      <c r="F203">
        <f>IF(Skills!M7=TRUE,(Skills!K7/10)*(E203/1000),Skills!K7/10)+Skills!N7</f>
        <v/>
      </c>
      <c r="G203">
        <f>Calc!G7</f>
        <v/>
      </c>
      <c r="H203">
        <f>Calc!H7</f>
        <v/>
      </c>
      <c r="I203">
        <f>IF(Skills!T7&lt;&gt;"",1+(Skills!T7/10)*($Z$3/1000)/100,1)</f>
        <v/>
      </c>
      <c r="J203">
        <f>((Inputs!$B$5*(1+Inputs!$B$6/100))+((Inputs!$B$11*(1+Inputs!$B$12/100))-(Inputs!$B$11*(1+Inputs!$B$12/100)))*(1+Inputs!$B$6/100))*(F203/100)</f>
        <v/>
      </c>
      <c r="K203">
        <f>J203*(1+((Inputs!$B$11*(1+Inputs!$B$12/100))*0.01+Inputs!$B$13*0.0025)/100)*(1+(Inputs!$B$14+B227)/100)*(1+IF(Inputs!$B$4="pvp",0,(1-Summary!$B$48)*((Inputs!$B$19+1)+Skills!O7+B225)+Summary!$B$48*(Inputs!$B$20+Skills!P7+B226))/100)*(1+Inputs!$B$15/100)*(5000/(6000+Inputs!$B$7*(1-Inputs!$B$18/100)))*(1+Inputs!$B$23/100)*(1+IF(C213=TRUE,F213,0)/100)*(1+IF(C215=TRUE,F215,0)/100)*(1+IF(Skills!A7="TRIUMPH_FEATHER",IF(C211=TRUE,F211,0),0)/100)*(1+IF(C222=TRUE,F222,0)/100)^5*(1+(IF(Skills!A7="BIG_BANG",Inputs!$B$16,Inputs!$B$17))/100)*(B224*I203)</f>
        <v/>
      </c>
      <c r="L203">
        <f>K203*(MIN(Inputs!$B$21+(F217-Calc!F21),Inputs!$B$22)/100+Inputs!$B$22/100)/2</f>
        <v/>
      </c>
      <c r="M203">
        <f>L203*(1+(Inputs!$B$9+B228+(F220-Calc!F24))/100)</f>
        <v/>
      </c>
      <c r="N203">
        <f>L203*(1-MIN(Inputs!$B$8+((F219-Calc!F23)+(F218-Calc!F22)),100)/100)+M203*(MIN(Inputs!$B$8+((F219-Calc!F23)+(F218-Calc!F22)),100)/100)</f>
        <v/>
      </c>
      <c r="O203">
        <f>IF(C203,H203*N203*IF(AND(Inputs!$B$4&lt;&gt;"pvp",Inputs!$B$35&gt;0),((Skills!F7*((S203-1)*IF(Skills!G7&gt;0,Skills!H7/Skills!G7,1)+IF(Skills!G7&gt;0,MIN(Skills!H7,MAX(0,Inputs!$B$35-((S203-1)*IF(Inputs!$B$4="pvp",15,MAX(0.1,Skills!D7-IF(Skills!E6=TRUE,Inputs!$B$31,0))))))/Skills!G7,1)))/Inputs!$B$35),G203*V203)*(1-Summary!$B$48),0)</f>
        <v/>
      </c>
      <c r="P203">
        <f>IF(B234=0,0,O203/B234)</f>
        <v/>
      </c>
      <c r="S203">
        <f>IF(AND(Inputs!$B$4&lt;&gt;"pvp",Inputs!$B$35&gt;0),(INT(Inputs!$B$35/IF(Inputs!$B$4="pvp",15,MAX(0.1,Skills!D7-IF(Skills!E6=TRUE,Inputs!$B$31,0))))+1),0)</f>
        <v/>
      </c>
      <c r="V203">
        <f>IFERROR(1/IF(Inputs!$B$4="pvp",15,MAX(0.1,Skills!D7-IF(Skills!E6=TRUE,Inputs!$B$31,0))),0)</f>
        <v/>
      </c>
    </row>
    <row r="204">
      <c r="A204">
        <f>Skills!A8</f>
        <v/>
      </c>
      <c r="B204">
        <f>Skills!B8</f>
        <v/>
      </c>
      <c r="C204">
        <f>Inputs!$B$3&gt;=105</f>
        <v/>
      </c>
      <c r="D204">
        <f>IF(Skills!C8=1,60+Inputs!$B$24+Inputs!$B$28,IF(Skills!C8=2,90+Inputs!$B$25+Inputs!$B$28,IF(Skills!C8=3,120+Inputs!$B$26+Inputs!$B$28,MAX(0,(Inputs!$B$3-100)*3)+Inputs!$B$27+Inputs!$B$28)))</f>
        <v/>
      </c>
      <c r="E204">
        <f>INDEX(FactorTable!$B$2:$Y$301, MATCH(ROUND(MIN(300,MAX(1,D204)),0), FactorTable!$A$2:$A$301,0), Skills!L8+1)</f>
        <v/>
      </c>
      <c r="F204">
        <f>IF(Skills!M8=TRUE,(Skills!K8/10)*(E204/1000),Skills!K8/10)+Skills!N8</f>
        <v/>
      </c>
      <c r="G204">
        <f>Calc!G8</f>
        <v/>
      </c>
      <c r="H204">
        <f>Calc!H8</f>
        <v/>
      </c>
      <c r="I204">
        <f>IF(Skills!T8&lt;&gt;"",1+(Skills!T8/10)*($Z$3/1000)/100,1)</f>
        <v/>
      </c>
      <c r="J204">
        <f>((Inputs!$B$5*(1+Inputs!$B$6/100))+((Inputs!$B$11*(1+Inputs!$B$12/100))-(Inputs!$B$11*(1+Inputs!$B$12/100)))*(1+Inputs!$B$6/100))*(F204/100)</f>
        <v/>
      </c>
      <c r="K204">
        <f>J204*(1+((Inputs!$B$11*(1+Inputs!$B$12/100))*0.01+Inputs!$B$13*0.0025)/100)*(1+(Inputs!$B$14+B227)/100)*(1+IF(Inputs!$B$4="pvp",0,(1-Summary!$B$48)*((Inputs!$B$19+1)+Skills!O8+B225)+Summary!$B$48*(Inputs!$B$20+Skills!P8+B226))/100)*(1+Inputs!$B$15/100)*(5000/(6000+Inputs!$B$7*(1-Inputs!$B$18/100)))*(1+Inputs!$B$23/100)*(1+IF(C213=TRUE,F213,0)/100)*(1+IF(C215=TRUE,F215,0)/100)*(1+IF(Skills!A8="TRIUMPH_FEATHER",IF(C211=TRUE,F211,0),0)/100)*(1+IF(C222=TRUE,F222,0)/100)^5*(1+(IF(Skills!A8="BIG_BANG",Inputs!$B$16,Inputs!$B$17))/100)*(B224*I204)</f>
        <v/>
      </c>
      <c r="L204">
        <f>K204*(MIN(Inputs!$B$21+(F217-Calc!F21),Inputs!$B$22)/100+Inputs!$B$22/100)/2</f>
        <v/>
      </c>
      <c r="M204">
        <f>L204*(1+(Inputs!$B$9+B228+(F220-Calc!F24))/100)</f>
        <v/>
      </c>
      <c r="N204">
        <f>L204*(1-MIN(Inputs!$B$8+((F219-Calc!F23)+(F218-Calc!F22)),100)/100)+M204*(MIN(Inputs!$B$8+((F219-Calc!F23)+(F218-Calc!F22)),100)/100)</f>
        <v/>
      </c>
      <c r="O204">
        <f>IF(C204,H204*N204*IF(AND(Inputs!$B$4&lt;&gt;"pvp",Inputs!$B$35&gt;0),((Skills!F8*((S204-1)*IF(Skills!G8&gt;0,Skills!H8/Skills!G8,1)+IF(Skills!G8&gt;0,MIN(Skills!H8,MAX(0,Inputs!$B$35-((S204-1)*IF(Inputs!$B$4="pvp",15,MAX(0.1,Skills!D8-IF(Skills!E8=TRUE,Inputs!$B$31,0))))))/Skills!G8,1)))/Inputs!$B$35),G204*V204)*IF(Inputs!$B$4="pvp",1,(1-Summary!$B$48)*(1)+Summary!$B$48*(MIN(Skills!Q8,Inputs!$B$37))),0)</f>
        <v/>
      </c>
      <c r="P204">
        <f>IF(B234=0,0,O204/B234)</f>
        <v/>
      </c>
      <c r="S204">
        <f>IF(AND(Inputs!$B$4&lt;&gt;"pvp",Inputs!$B$35&gt;0),(INT(Inputs!$B$35/IF(Inputs!$B$4="pvp",15,MAX(0.1,Skills!D8-IF(Skills!E8=TRUE,Inputs!$B$31,0))))+1),0)</f>
        <v/>
      </c>
      <c r="V204">
        <f>IFERROR(1/IF(Inputs!$B$4="pvp",15,MAX(0.1,Skills!D8-IF(Skills!E8=TRUE,Inputs!$B$31,0))),0)</f>
        <v/>
      </c>
    </row>
    <row r="205">
      <c r="A205">
        <f>Skills!A9</f>
        <v/>
      </c>
      <c r="B205">
        <f>Skills!B9</f>
        <v/>
      </c>
      <c r="C205">
        <f>Inputs!$B$3&gt;=115</f>
        <v/>
      </c>
      <c r="D205">
        <f>IF(Skills!C9=1,60+Inputs!$B$24+Inputs!$B$28,IF(Skills!C9=2,90+Inputs!$B$25+Inputs!$B$28,IF(Skills!C9=3,120+Inputs!$B$26+Inputs!$B$28,MAX(0,(Inputs!$B$3-100)*3)+Inputs!$B$27+Inputs!$B$28)))</f>
        <v/>
      </c>
      <c r="E205">
        <f>INDEX(FactorTable!$B$2:$Y$301, MATCH(ROUND(MIN(300,MAX(1,D205)),0), FactorTable!$A$2:$A$301,0), Skills!L9+1)</f>
        <v/>
      </c>
      <c r="F205">
        <f>IF(Skills!M9=TRUE,(Skills!K9/10)*(E205/1000),Skills!K9/10)+Skills!N9</f>
        <v/>
      </c>
      <c r="G205">
        <f>Calc!G9</f>
        <v/>
      </c>
      <c r="H205">
        <f>Calc!H9</f>
        <v/>
      </c>
      <c r="I205">
        <f>IF(Skills!T9&lt;&gt;"",1+(Skills!T9/10)*($Z$3/1000)/100,1)</f>
        <v/>
      </c>
      <c r="J205">
        <f>((Inputs!$B$5*(1+Inputs!$B$6/100))+((Inputs!$B$11*(1+Inputs!$B$12/100))-(Inputs!$B$11*(1+Inputs!$B$12/100)))*(1+Inputs!$B$6/100))*(F205/100)</f>
        <v/>
      </c>
      <c r="K205">
        <f>J205*(1+((Inputs!$B$11*(1+Inputs!$B$12/100))*0.01+Inputs!$B$13*0.0025)/100)*(1+(Inputs!$B$14+B227)/100)*(1+IF(Inputs!$B$4="pvp",0,(1-Summary!$B$48)*((Inputs!$B$19+1)+Skills!O9+B225)+Summary!$B$48*(Inputs!$B$20+Skills!P9+B226))/100)*(1+Inputs!$B$15/100)*(5000/(6000+Inputs!$B$7*(1-Inputs!$B$18/100)))*(1+Inputs!$B$23/100)*(1+IF(C213=TRUE,F213,0)/100)*(1+IF(C215=TRUE,F215,0)/100)*(1+IF(Skills!A9="TRIUMPH_FEATHER",IF(C211=TRUE,F211,0),0)/100)*(1+IF(C222=TRUE,F222,0)/100)^5*(1+(IF(Skills!A9="BIG_BANG",Inputs!$B$16,Inputs!$B$17))/100)*(B224*I205)</f>
        <v/>
      </c>
      <c r="L205">
        <f>K205*(MIN(Inputs!$B$21+(F217-Calc!F21),Inputs!$B$22)/100+Inputs!$B$22/100)/2</f>
        <v/>
      </c>
      <c r="M205">
        <f>L205*(1+(Inputs!$B$9+B228+(F220-Calc!F24))/100)</f>
        <v/>
      </c>
      <c r="N205">
        <f>L205*(1-MIN(Inputs!$B$8+((F219-Calc!F23)+(F218-Calc!F22)),100)/100)+M205*(MIN(Inputs!$B$8+((F219-Calc!F23)+(F218-Calc!F22)),100)/100)</f>
        <v/>
      </c>
      <c r="O205">
        <f>IF(C205,H205*N205*IF(AND(Inputs!$B$4&lt;&gt;"pvp",Inputs!$B$35&gt;0),((Skills!F9*((S205-1)*IF(Skills!G9&gt;0,Skills!H9/Skills!G9,1)+IF(Skills!G9&gt;0,MIN(Skills!H9,MAX(0,Inputs!$B$35-((S205-1)*IF(Inputs!$B$4="pvp",15,MAX(0.1,Skills!D9-IF(Skills!E9=TRUE,Inputs!$B$31,0))))))/Skills!G9,1)))/Inputs!$B$35),G205*V205)*IF(Inputs!$B$4="pvp",1,(1-Summary!$B$48)*(1)+Summary!$B$48*(MIN(Skills!Q9,Inputs!$B$37))),0)</f>
        <v/>
      </c>
      <c r="P205">
        <f>IF(B234=0,0,O205/B234)</f>
        <v/>
      </c>
      <c r="S205">
        <f>IF(AND(Inputs!$B$4&lt;&gt;"pvp",Inputs!$B$35&gt;0),(INT(Inputs!$B$35/IF(Inputs!$B$4="pvp",15,MAX(0.1,Skills!D9-IF(Skills!E9=TRUE,Inputs!$B$31,0))))+1),0)</f>
        <v/>
      </c>
      <c r="V205">
        <f>IFERROR(1/IF(Inputs!$B$4="pvp",15,MAX(0.1,Skills!D9-IF(Skills!E9=TRUE,Inputs!$B$31,0))),0)</f>
        <v/>
      </c>
    </row>
    <row r="206">
      <c r="A206">
        <f>Skills!A10</f>
        <v/>
      </c>
      <c r="B206">
        <f>Skills!B10</f>
        <v/>
      </c>
      <c r="C206">
        <f>Inputs!$B$3&gt;=66</f>
        <v/>
      </c>
      <c r="D206">
        <f>IF(Skills!C10=1,60+Inputs!$B$24+Inputs!$B$28,IF(Skills!C10=2,90+Inputs!$B$25+Inputs!$B$28,IF(Skills!C10=3,120+Inputs!$B$26+Inputs!$B$28,MAX(0,(Inputs!$B$3-100)*3)+Inputs!$B$27+Inputs!$B$28)))</f>
        <v/>
      </c>
      <c r="E206">
        <f>INDEX(FactorTable!$B$2:$Y$301, MATCH(ROUND(MIN(300,MAX(1,D206)),0), FactorTable!$A$2:$A$301,0), Skills!L10+1)</f>
        <v/>
      </c>
      <c r="F206" t="n">
        <v>0</v>
      </c>
      <c r="G206">
        <f>Calc!G10</f>
        <v/>
      </c>
      <c r="H206">
        <f>Calc!H10</f>
        <v/>
      </c>
      <c r="I206">
        <f>IF(Skills!T10&lt;&gt;"",1+(Skills!T10/10)*($Z$3/1000)/100,1)</f>
        <v/>
      </c>
      <c r="J206" t="inlineStr"/>
      <c r="K206" t="inlineStr"/>
      <c r="L206" t="inlineStr"/>
      <c r="M206" t="inlineStr"/>
      <c r="N206" t="inlineStr"/>
      <c r="O206" t="n">
        <v>0</v>
      </c>
      <c r="P206">
        <f>IF(B234=0,0,O206/B234)</f>
        <v/>
      </c>
      <c r="S206">
        <f>IF(AND(Inputs!$B$4&lt;&gt;"pvp",Inputs!$B$35&gt;0),(INT(Inputs!$B$35/IF(Inputs!$B$4="pvp",15,MAX(0.1,Skills!D10-IF(Skills!E10=TRUE,Inputs!$B$31,0))))+1),0)</f>
        <v/>
      </c>
      <c r="V206">
        <f>IFERROR(1/IF(Inputs!$B$4="pvp",15,MAX(0.1,Skills!D10-IF(Skills!E10=TRUE,Inputs!$B$31,0))),0)</f>
        <v/>
      </c>
    </row>
    <row r="207">
      <c r="A207">
        <f>Skills!A11</f>
        <v/>
      </c>
      <c r="B207">
        <f>Skills!B11</f>
        <v/>
      </c>
      <c r="C207">
        <f>Inputs!$B$3&gt;=69</f>
        <v/>
      </c>
      <c r="D207">
        <f>IF(Skills!C11=1,60+Inputs!$B$24+Inputs!$B$28,IF(Skills!C11=2,90+Inputs!$B$25+Inputs!$B$28,IF(Skills!C11=3,120+Inputs!$B$26+Inputs!$B$28,MAX(0,(Inputs!$B$3-100)*3)+Inputs!$B$27+Inputs!$B$28)))</f>
        <v/>
      </c>
      <c r="E207">
        <f>INDEX(FactorTable!$B$2:$Y$301, MATCH(ROUND(MIN(300,MAX(1,D207)),0), FactorTable!$A$2:$A$301,0), Skills!L11+1)</f>
        <v/>
      </c>
      <c r="F207">
        <f>IF(Skills!M11=TRUE,(Skills!K11/10)*(E207/1000),Skills!K11/10)+Skills!N11</f>
        <v/>
      </c>
      <c r="G207">
        <f>Calc!G11</f>
        <v/>
      </c>
      <c r="H207">
        <f>Calc!H11</f>
        <v/>
      </c>
      <c r="I207">
        <f>IF(Skills!T11&lt;&gt;"",1+(Skills!T11/10)*($Z$3/1000)/100,1)</f>
        <v/>
      </c>
      <c r="J207" t="inlineStr"/>
      <c r="K207" t="inlineStr"/>
      <c r="L207" t="inlineStr"/>
      <c r="M207" t="inlineStr"/>
      <c r="N207" t="inlineStr"/>
      <c r="O207" t="n">
        <v>0</v>
      </c>
      <c r="P207">
        <f>IF(B234=0,0,O207/B234)</f>
        <v/>
      </c>
      <c r="S207">
        <f>IF(AND(Inputs!$B$4&lt;&gt;"pvp",Inputs!$B$35&gt;0),(INT(Inputs!$B$35/IF(Inputs!$B$4="pvp",15,MAX(0.1,Skills!D11-IF(Skills!E11=TRUE,Inputs!$B$31,0))))+1),0)</f>
        <v/>
      </c>
      <c r="V207">
        <f>IFERROR(1/IF(Inputs!$B$4="pvp",15,MAX(0.1,Skills!D11-IF(Skills!E11=TRUE,Inputs!$B$31,0))),0)</f>
        <v/>
      </c>
    </row>
    <row r="208">
      <c r="A208">
        <f>Skills!A12</f>
        <v/>
      </c>
      <c r="B208">
        <f>Skills!B12</f>
        <v/>
      </c>
      <c r="C208">
        <f>Inputs!$B$3&gt;=72</f>
        <v/>
      </c>
      <c r="D208">
        <f>IF(Skills!C12=1,60+Inputs!$B$24+Inputs!$B$28,IF(Skills!C12=2,90+Inputs!$B$25+Inputs!$B$28,IF(Skills!C12=3,120+Inputs!$B$26+Inputs!$B$28,MAX(0,(Inputs!$B$3-100)*3)+Inputs!$B$27+Inputs!$B$28)))</f>
        <v/>
      </c>
      <c r="E208">
        <f>INDEX(FactorTable!$B$2:$Y$301, MATCH(ROUND(MIN(300,MAX(1,D208)),0), FactorTable!$A$2:$A$301,0), Skills!L12+1)</f>
        <v/>
      </c>
      <c r="F208">
        <f>IF(Skills!M12=TRUE,(Skills!K12/10)*(E208/1000),Skills!K12/10)+Skills!N12</f>
        <v/>
      </c>
      <c r="G208">
        <f>Calc!G12</f>
        <v/>
      </c>
      <c r="H208">
        <f>Calc!H12</f>
        <v/>
      </c>
      <c r="I208">
        <f>IF(Skills!T12&lt;&gt;"",1+(Skills!T12/10)*($Z$3/1000)/100,1)</f>
        <v/>
      </c>
      <c r="J208" t="inlineStr"/>
      <c r="K208" t="inlineStr"/>
      <c r="L208" t="inlineStr"/>
      <c r="M208" t="inlineStr"/>
      <c r="N208" t="inlineStr"/>
      <c r="O208" t="n">
        <v>0</v>
      </c>
      <c r="P208">
        <f>IF(B234=0,0,O208/B234)</f>
        <v/>
      </c>
      <c r="S208">
        <f>IF(AND(Inputs!$B$4&lt;&gt;"pvp",Inputs!$B$35&gt;0),(INT(Inputs!$B$35/IF(Inputs!$B$4="pvp",15,MAX(0.1,Skills!D12-IF(Skills!E12=TRUE,Inputs!$B$31,0))))+1),0)</f>
        <v/>
      </c>
      <c r="V208">
        <f>IFERROR(1/IF(Inputs!$B$4="pvp",15,MAX(0.1,Skills!D12-IF(Skills!E12=TRUE,Inputs!$B$31,0))),0)</f>
        <v/>
      </c>
    </row>
    <row r="209">
      <c r="A209">
        <f>Skills!A13</f>
        <v/>
      </c>
      <c r="B209">
        <f>Skills!B13</f>
        <v/>
      </c>
      <c r="C209">
        <f>Inputs!$B$3&gt;=107</f>
        <v/>
      </c>
      <c r="D209">
        <f>IF(Skills!C13=1,60+Inputs!$B$24+Inputs!$B$28,IF(Skills!C13=2,90+Inputs!$B$25+Inputs!$B$28,IF(Skills!C13=3,120+Inputs!$B$26+Inputs!$B$28,MAX(0,(Inputs!$B$3-100)*3)+Inputs!$B$27+Inputs!$B$28)))</f>
        <v/>
      </c>
      <c r="E209">
        <f>INDEX(FactorTable!$B$2:$Y$301, MATCH(ROUND(MIN(300,MAX(1,D209)),0), FactorTable!$A$2:$A$301,0), Skills!L13+1)</f>
        <v/>
      </c>
      <c r="F209">
        <f>IF(Skills!M13=TRUE,(Skills!K13/10)*(E209/1000),Skills!K13/10)+Skills!N13</f>
        <v/>
      </c>
      <c r="G209">
        <f>Calc!G13</f>
        <v/>
      </c>
      <c r="H209">
        <f>Calc!H13</f>
        <v/>
      </c>
      <c r="I209">
        <f>IF(Skills!T13&lt;&gt;"",1+(Skills!T13/10)*($Z$3/1000)/100,1)</f>
        <v/>
      </c>
      <c r="J209" t="inlineStr"/>
      <c r="K209" t="inlineStr"/>
      <c r="L209" t="inlineStr"/>
      <c r="M209" t="inlineStr"/>
      <c r="N209" t="inlineStr"/>
      <c r="O209" t="n">
        <v>0</v>
      </c>
      <c r="P209">
        <f>IF(B234=0,0,O209/B234)</f>
        <v/>
      </c>
      <c r="S209">
        <f>IF(AND(Inputs!$B$4&lt;&gt;"pvp",Inputs!$B$35&gt;0),(INT(Inputs!$B$35/IF(Inputs!$B$4="pvp",15,MAX(0.1,Skills!D13-IF(Skills!E13=TRUE,Inputs!$B$31,0))))+1),0)</f>
        <v/>
      </c>
      <c r="V209">
        <f>IFERROR(1/IF(Inputs!$B$4="pvp",15,MAX(0.1,Skills!D13-IF(Skills!E13=TRUE,Inputs!$B$31,0))),0)</f>
        <v/>
      </c>
    </row>
    <row r="210">
      <c r="A210">
        <f>Skills!A14</f>
        <v/>
      </c>
      <c r="B210">
        <f>Skills!B14</f>
        <v/>
      </c>
      <c r="C210">
        <f>Inputs!$B$3&gt;=63</f>
        <v/>
      </c>
      <c r="D210">
        <f>IF(Skills!C14=1,60+Inputs!$B$24+Inputs!$B$28,IF(Skills!C14=2,90+Inputs!$B$25+Inputs!$B$28,IF(Skills!C14=3,120+Inputs!$B$26+Inputs!$B$28,MAX(0,(Inputs!$B$3-100)*3)+Inputs!$B$27+Inputs!$B$28)))</f>
        <v/>
      </c>
      <c r="E210">
        <f>INDEX(FactorTable!$B$2:$Y$301, MATCH(ROUND(MIN(300,MAX(1,D210)),0), FactorTable!$A$2:$A$301,0), Skills!L14+1)</f>
        <v/>
      </c>
      <c r="F210">
        <f>IF(Skills!M14=TRUE,(Skills!K14/10)*(E210/1000),Skills!K14/10)+Skills!N14</f>
        <v/>
      </c>
      <c r="G210">
        <f>Calc!G14</f>
        <v/>
      </c>
      <c r="H210">
        <f>Calc!H14</f>
        <v/>
      </c>
      <c r="I210">
        <f>IF(Skills!T14&lt;&gt;"",1+(Skills!T14/10)*($Z$3/1000)/100,1)</f>
        <v/>
      </c>
      <c r="J210">
        <f>((Inputs!$B$5*(1+Inputs!$B$6/100))+((Inputs!$B$11*(1+Inputs!$B$12/100))-(Inputs!$B$11*(1+Inputs!$B$12/100)))*(1+Inputs!$B$6/100))*(F210/100)</f>
        <v/>
      </c>
      <c r="K210">
        <f>J210*(1+((Inputs!$B$11*(1+Inputs!$B$12/100))*0.01+Inputs!$B$13*0.0025)/100)*(1+(Inputs!$B$14+B227)/100)*(1+IF(Inputs!$B$4="pvp",0,(1-Summary!$B$48)*((Inputs!$B$19+1)+Skills!O14+B225)+Summary!$B$48*(Inputs!$B$20+Skills!P14+B226))/100)*(1+Inputs!$B$15/100)*(5000/(6000+Inputs!$B$7*(1-Inputs!$B$18/100)))*(1+Inputs!$B$23/100)*(1+IF(C213=TRUE,F213,0)/100)*(1+IF(C215=TRUE,F215,0)/100)*(1+IF(Skills!A14="TRIUMPH_FEATHER",IF(C211=TRUE,F211,0),0)/100)*(1+IF(C222=TRUE,F222,0)/100)^5*(1+(IF(Skills!A14="BIG_BANG",Inputs!$B$16,Inputs!$B$17))/100)*(B224*I210)</f>
        <v/>
      </c>
      <c r="L210">
        <f>K210*(MIN(Inputs!$B$21+(F217-Calc!F21),Inputs!$B$22)/100+Inputs!$B$22/100)/2</f>
        <v/>
      </c>
      <c r="M210">
        <f>L210*(1+(Inputs!$B$9+B228+(F220-Calc!F24))/100)</f>
        <v/>
      </c>
      <c r="N210">
        <f>L210*(1-MIN(Inputs!$B$8+((F219-Calc!F23)+(F218-Calc!F22)),100)/100)+M210*(MIN(Inputs!$B$8+((F219-Calc!F23)+(F218-Calc!F22)),100)/100)</f>
        <v/>
      </c>
      <c r="O210">
        <f>IF(C210,Skills!F14*N210*((IF(Inputs!$B$3&gt;=78,25,15)/100*B230*10)/(1+IF(Inputs!$B$3&gt;=78,25,15)/100*B230*10))*(Skills!I14/100*B230)/(1+Skills!G14*Skills!I14/100*B230)*IF(Inputs!$B$4="pvp",1,(1-Summary!$B$48)*(1)+Summary!$B$48*(MIN(Skills!Q14,Inputs!$B$37))),0)</f>
        <v/>
      </c>
      <c r="P210">
        <f>IF(B234=0,0,O210/B234)</f>
        <v/>
      </c>
      <c r="S210" t="n">
        <v>0</v>
      </c>
      <c r="V210">
        <f>IFERROR(1/IF(Inputs!$B$4="pvp",15,MAX(0.1,Skills!D14-IF(Skills!E14=TRUE,Inputs!$B$31,0))),0)</f>
        <v/>
      </c>
    </row>
    <row r="211">
      <c r="A211">
        <f>Skills!A15</f>
        <v/>
      </c>
      <c r="B211">
        <f>Skills!B15</f>
        <v/>
      </c>
      <c r="C211">
        <f>Inputs!$B$3&gt;=100</f>
        <v/>
      </c>
      <c r="D211">
        <f>IF(Skills!C15=1,60+Inputs!$B$24+Inputs!$B$28,IF(Skills!C15=2,90+Inputs!$B$25+Inputs!$B$28,IF(Skills!C15=3,120+Inputs!$B$26+Inputs!$B$28,MAX(0,(Inputs!$B$3-100)*3)+Inputs!$B$27+Inputs!$B$28)))</f>
        <v/>
      </c>
      <c r="E211">
        <f>INDEX(FactorTable!$B$2:$Y$301, MATCH(ROUND(MIN(300,MAX(1,D211)),0), FactorTable!$A$2:$A$301,0), Skills!L15+1)</f>
        <v/>
      </c>
      <c r="F211">
        <f>IF(Skills!M15=TRUE,(Skills!K15/10)*(E211/1000),Skills!K15/10)+Skills!N15</f>
        <v/>
      </c>
      <c r="G211">
        <f>Calc!G15</f>
        <v/>
      </c>
      <c r="H211">
        <f>Calc!H15</f>
        <v/>
      </c>
      <c r="I211">
        <f>IF(Skills!T15&lt;&gt;"",1+(Skills!T15/10)*($Z$3/1000)/100,1)</f>
        <v/>
      </c>
      <c r="J211" t="inlineStr"/>
      <c r="K211" t="inlineStr"/>
      <c r="L211" t="inlineStr"/>
      <c r="M211" t="inlineStr"/>
      <c r="N211" t="inlineStr"/>
      <c r="O211" t="n">
        <v>0</v>
      </c>
      <c r="P211">
        <f>IF(B234=0,0,O211/B234)</f>
        <v/>
      </c>
      <c r="S211" t="n">
        <v>0</v>
      </c>
      <c r="V211">
        <f>IFERROR(1/IF(Inputs!$B$4="pvp",15,MAX(0.1,Skills!D15-IF(Skills!E15=TRUE,Inputs!$B$31,0))),0)</f>
        <v/>
      </c>
    </row>
    <row r="212">
      <c r="A212">
        <f>Skills!A16</f>
        <v/>
      </c>
      <c r="B212">
        <f>Skills!B16</f>
        <v/>
      </c>
      <c r="C212">
        <f>Inputs!$B$3&gt;=49</f>
        <v/>
      </c>
      <c r="D212">
        <f>IF(Skills!C16=1,60+Inputs!$B$24+Inputs!$B$28,IF(Skills!C16=2,90+Inputs!$B$25+Inputs!$B$28,IF(Skills!C16=3,120+Inputs!$B$26+Inputs!$B$28,MAX(0,(Inputs!$B$3-100)*3)+Inputs!$B$27+Inputs!$B$28)))</f>
        <v/>
      </c>
      <c r="E212">
        <f>INDEX(FactorTable!$B$2:$Y$301, MATCH(ROUND(MIN(300,MAX(1,D212)),0), FactorTable!$A$2:$A$301,0), Skills!L16+1)</f>
        <v/>
      </c>
      <c r="F212">
        <f>IF(Skills!M16=TRUE,(Skills!K16/10)*(E212/1000),Skills!K16/10)+Skills!N16</f>
        <v/>
      </c>
      <c r="G212">
        <f>Calc!G16</f>
        <v/>
      </c>
      <c r="H212">
        <f>Calc!H16</f>
        <v/>
      </c>
      <c r="I212">
        <f>IF(Skills!T16&lt;&gt;"",1+(Skills!T16/10)*($Z$3/1000)/100,1)</f>
        <v/>
      </c>
      <c r="J212" t="inlineStr"/>
      <c r="K212" t="inlineStr"/>
      <c r="L212" t="inlineStr"/>
      <c r="M212" t="inlineStr"/>
      <c r="N212" t="inlineStr"/>
      <c r="O212" t="n">
        <v>0</v>
      </c>
      <c r="P212">
        <f>IF(B234=0,0,O212/B234)</f>
        <v/>
      </c>
      <c r="S212" t="n">
        <v>0</v>
      </c>
      <c r="V212">
        <f>IFERROR(1/IF(Inputs!$B$4="pvp",15,MAX(0.1,Skills!D16-IF(Skills!E16=TRUE,Inputs!$B$31,0))),0)</f>
        <v/>
      </c>
    </row>
    <row r="213">
      <c r="A213">
        <f>Skills!A17</f>
        <v/>
      </c>
      <c r="B213">
        <f>Skills!B17</f>
        <v/>
      </c>
      <c r="C213">
        <f>Inputs!$B$3&gt;=75</f>
        <v/>
      </c>
      <c r="D213">
        <f>IF(Skills!C17=1,60+Inputs!$B$24+Inputs!$B$28,IF(Skills!C17=2,90+Inputs!$B$25+Inputs!$B$28,IF(Skills!C17=3,120+Inputs!$B$26+Inputs!$B$28,MAX(0,(Inputs!$B$3-100)*3)+Inputs!$B$27+Inputs!$B$28)))</f>
        <v/>
      </c>
      <c r="E213">
        <f>INDEX(FactorTable!$B$2:$Y$301, MATCH(ROUND(MIN(300,MAX(1,D213)),0), FactorTable!$A$2:$A$301,0), Skills!L17+1)</f>
        <v/>
      </c>
      <c r="F213">
        <f>IF(Skills!M17=TRUE,(Skills!K17/10)*(E213/1000),Skills!K17/10)+Skills!N17</f>
        <v/>
      </c>
      <c r="G213">
        <f>Calc!G17</f>
        <v/>
      </c>
      <c r="H213">
        <f>Calc!H17</f>
        <v/>
      </c>
      <c r="I213">
        <f>IF(Skills!T17&lt;&gt;"",1+(Skills!T17/10)*($Z$3/1000)/100,1)</f>
        <v/>
      </c>
      <c r="J213" t="inlineStr"/>
      <c r="K213" t="inlineStr"/>
      <c r="L213" t="inlineStr"/>
      <c r="M213" t="inlineStr"/>
      <c r="N213" t="inlineStr"/>
      <c r="O213" t="n">
        <v>0</v>
      </c>
      <c r="P213">
        <f>IF(B234=0,0,O213/B234)</f>
        <v/>
      </c>
      <c r="S213" t="n">
        <v>0</v>
      </c>
      <c r="V213">
        <f>IFERROR(1/IF(Inputs!$B$4="pvp",15,MAX(0.1,Skills!D17-IF(Skills!E17=TRUE,Inputs!$B$31,0))),0)</f>
        <v/>
      </c>
    </row>
    <row r="214">
      <c r="A214">
        <f>Skills!A18</f>
        <v/>
      </c>
      <c r="B214">
        <f>Skills!B18</f>
        <v/>
      </c>
      <c r="C214">
        <f>Inputs!$B$3&gt;=110</f>
        <v/>
      </c>
      <c r="D214">
        <f>IF(Skills!C18=1,60+Inputs!$B$24+Inputs!$B$28,IF(Skills!C18=2,90+Inputs!$B$25+Inputs!$B$28,IF(Skills!C18=3,120+Inputs!$B$26+Inputs!$B$28,MAX(0,(Inputs!$B$3-100)*3)+Inputs!$B$27+Inputs!$B$28)))</f>
        <v/>
      </c>
      <c r="E214">
        <f>INDEX(FactorTable!$B$2:$Y$301, MATCH(ROUND(MIN(300,MAX(1,D214)),0), FactorTable!$A$2:$A$301,0), Skills!L18+1)</f>
        <v/>
      </c>
      <c r="F214">
        <f>(Skills!K18/10)*(E214/1000)*64/45+Skills!N18</f>
        <v/>
      </c>
      <c r="G214">
        <f>Calc!G18</f>
        <v/>
      </c>
      <c r="H214">
        <f>Calc!H18</f>
        <v/>
      </c>
      <c r="I214">
        <f>IF(Skills!T18&lt;&gt;"",1+(Skills!T18/10)*($Z$3/1000)/100,1)</f>
        <v/>
      </c>
      <c r="J214" t="inlineStr"/>
      <c r="K214" t="inlineStr"/>
      <c r="L214" t="inlineStr"/>
      <c r="M214" t="inlineStr"/>
      <c r="N214" t="inlineStr"/>
      <c r="O214" t="n">
        <v>0</v>
      </c>
      <c r="P214">
        <f>IF(B234=0,0,O214/B234)</f>
        <v/>
      </c>
      <c r="S214">
        <f>IF(AND(Inputs!$B$4&lt;&gt;"pvp",Inputs!$B$35&gt;0),(INT(Inputs!$B$35/IF(Inputs!$B$4="pvp",15,MAX(0.1,Skills!D18-IF(Skills!E18=TRUE,Inputs!$B$31,0))))+1),0)</f>
        <v/>
      </c>
      <c r="V214">
        <f>IFERROR(1/IF(Inputs!$B$4="pvp",15,MAX(0.1,Skills!D18-IF(Skills!E18=TRUE,Inputs!$B$31,0))),0)</f>
        <v/>
      </c>
    </row>
    <row r="215">
      <c r="A215">
        <f>Skills!A19</f>
        <v/>
      </c>
      <c r="B215">
        <f>Skills!B19</f>
        <v/>
      </c>
      <c r="C215">
        <f>Inputs!$B$3&gt;=125</f>
        <v/>
      </c>
      <c r="D215">
        <f>IF(Skills!C19=1,60+Inputs!$B$24+Inputs!$B$28,IF(Skills!C19=2,90+Inputs!$B$25+Inputs!$B$28,IF(Skills!C19=3,120+Inputs!$B$26+Inputs!$B$28,MAX(0,(Inputs!$B$3-100)*3)+Inputs!$B$27+Inputs!$B$28)))</f>
        <v/>
      </c>
      <c r="E215">
        <f>INDEX(FactorTable!$B$2:$Y$301, MATCH(ROUND(MIN(300,MAX(1,D215)),0), FactorTable!$A$2:$A$301,0), Skills!L19+1)</f>
        <v/>
      </c>
      <c r="F215">
        <f>IF(Skills!M19=TRUE,(Skills!K19/10)*(E215/1000),Skills!K19/10)+Skills!N19</f>
        <v/>
      </c>
      <c r="G215">
        <f>Calc!G19</f>
        <v/>
      </c>
      <c r="H215">
        <f>Calc!H19</f>
        <v/>
      </c>
      <c r="I215">
        <f>IF(Skills!T19&lt;&gt;"",1+(Skills!T19/10)*($Z$3/1000)/100,1)</f>
        <v/>
      </c>
      <c r="J215" t="inlineStr"/>
      <c r="K215" t="inlineStr"/>
      <c r="L215" t="inlineStr"/>
      <c r="M215" t="inlineStr"/>
      <c r="N215" t="inlineStr"/>
      <c r="O215" t="n">
        <v>0</v>
      </c>
      <c r="P215">
        <f>IF(B234=0,0,O215/B234)</f>
        <v/>
      </c>
      <c r="S215" t="n">
        <v>0</v>
      </c>
      <c r="V215">
        <f>IFERROR(1/IF(Inputs!$B$4="pvp",15,MAX(0.1,Skills!D19-IF(Skills!E19=TRUE,Inputs!$B$31,0))),0)</f>
        <v/>
      </c>
    </row>
    <row r="216">
      <c r="A216">
        <f>Skills!A20</f>
        <v/>
      </c>
      <c r="B216">
        <f>Skills!B20</f>
        <v/>
      </c>
      <c r="C216">
        <f>Inputs!$B$3&gt;=33</f>
        <v/>
      </c>
      <c r="D216">
        <f>IF(Skills!C20=1,60+Inputs!$B$24+Inputs!$B$28,IF(Skills!C20=2,90+Inputs!$B$25+Inputs!$B$28,IF(Skills!C20=3,120+Inputs!$B$26+Inputs!$B$28,MAX(0,(Inputs!$B$3-100)*3)+Inputs!$B$27+Inputs!$B$28)))</f>
        <v/>
      </c>
      <c r="E216">
        <f>INDEX(FactorTable!$B$2:$Y$301, MATCH(ROUND(MIN(300,MAX(1,D216)),0), FactorTable!$A$2:$A$301,0), Skills!L20+1)</f>
        <v/>
      </c>
      <c r="F216">
        <f>IF(Skills!M20=TRUE,(Skills!K20/10)*(E216/1000),Skills!K20/10)+Skills!N20</f>
        <v/>
      </c>
      <c r="G216">
        <f>Calc!G20</f>
        <v/>
      </c>
      <c r="H216">
        <f>Calc!H20</f>
        <v/>
      </c>
      <c r="I216">
        <f>IF(Skills!T20&lt;&gt;"",1+(Skills!T20/10)*($Z$3/1000)/100,1)</f>
        <v/>
      </c>
      <c r="J216" t="inlineStr"/>
      <c r="K216" t="inlineStr"/>
      <c r="L216" t="inlineStr"/>
      <c r="M216" t="inlineStr"/>
      <c r="N216" t="inlineStr"/>
      <c r="O216" t="n">
        <v>0</v>
      </c>
      <c r="P216">
        <f>IF(B234=0,0,O216/B234)</f>
        <v/>
      </c>
      <c r="S216" t="n">
        <v>0</v>
      </c>
      <c r="V216">
        <f>IFERROR(1/IF(Inputs!$B$4="pvp",15,MAX(0.1,Skills!D20-IF(Skills!E20=TRUE,Inputs!$B$31,0))),0)</f>
        <v/>
      </c>
    </row>
    <row r="217">
      <c r="A217">
        <f>Skills!A21</f>
        <v/>
      </c>
      <c r="B217">
        <f>Skills!B21</f>
        <v/>
      </c>
      <c r="C217">
        <f>Inputs!$B$3&gt;=43</f>
        <v/>
      </c>
      <c r="D217">
        <f>IF(Skills!C21=1,60+Inputs!$B$24+Inputs!$B$28,IF(Skills!C21=2,90+Inputs!$B$25+Inputs!$B$28,IF(Skills!C21=3,120+Inputs!$B$26+Inputs!$B$28,MAX(0,(Inputs!$B$3-100)*3)+Inputs!$B$27+Inputs!$B$28)))</f>
        <v/>
      </c>
      <c r="E217">
        <f>INDEX(FactorTable!$B$2:$Y$301, MATCH(ROUND(MIN(300,MAX(1,D217)),0), FactorTable!$A$2:$A$301,0), Skills!L21+1)</f>
        <v/>
      </c>
      <c r="F217">
        <f>IF(Skills!M21=TRUE,(Skills!K21/10)*(E217/1000),Skills!K21/10)+Skills!N21</f>
        <v/>
      </c>
      <c r="G217">
        <f>Calc!G21</f>
        <v/>
      </c>
      <c r="H217">
        <f>Calc!H21</f>
        <v/>
      </c>
      <c r="I217">
        <f>IF(Skills!T21&lt;&gt;"",1+(Skills!T21/10)*($Z$3/1000)/100,1)</f>
        <v/>
      </c>
      <c r="J217" t="inlineStr"/>
      <c r="K217" t="inlineStr"/>
      <c r="L217" t="inlineStr"/>
      <c r="M217" t="inlineStr"/>
      <c r="N217" t="inlineStr"/>
      <c r="O217" t="n">
        <v>0</v>
      </c>
      <c r="P217">
        <f>IF(B234=0,0,O217/B234)</f>
        <v/>
      </c>
      <c r="S217" t="n">
        <v>0</v>
      </c>
      <c r="V217">
        <f>IFERROR(1/IF(Inputs!$B$4="pvp",15,MAX(0.1,Skills!D21-IF(Skills!E21=TRUE,Inputs!$B$31,0))),0)</f>
        <v/>
      </c>
    </row>
    <row r="218">
      <c r="A218">
        <f>Skills!A22</f>
        <v/>
      </c>
      <c r="B218">
        <f>Skills!B22</f>
        <v/>
      </c>
      <c r="C218">
        <f>Inputs!$B$3&gt;=50</f>
        <v/>
      </c>
      <c r="D218">
        <f>IF(Skills!C22=1,60+Inputs!$B$24+Inputs!$B$28,IF(Skills!C22=2,90+Inputs!$B$25+Inputs!$B$28,IF(Skills!C22=3,120+Inputs!$B$26+Inputs!$B$28,MAX(0,(Inputs!$B$3-100)*3)+Inputs!$B$27+Inputs!$B$28)))</f>
        <v/>
      </c>
      <c r="E218">
        <f>INDEX(FactorTable!$B$2:$Y$301, MATCH(ROUND(MIN(300,MAX(1,D218)),0), FactorTable!$A$2:$A$301,0), Skills!L22+1)</f>
        <v/>
      </c>
      <c r="F218">
        <f>IF(Skills!M22=TRUE,(Skills!K22/10)*(E218/1000),Skills!K22/10)+Skills!N22</f>
        <v/>
      </c>
      <c r="G218">
        <f>Calc!G22</f>
        <v/>
      </c>
      <c r="H218">
        <f>Calc!H22</f>
        <v/>
      </c>
      <c r="I218">
        <f>IF(Skills!T22&lt;&gt;"",1+(Skills!T22/10)*($Z$3/1000)/100,1)</f>
        <v/>
      </c>
      <c r="J218" t="inlineStr"/>
      <c r="K218" t="inlineStr"/>
      <c r="L218" t="inlineStr"/>
      <c r="M218" t="inlineStr"/>
      <c r="N218" t="inlineStr"/>
      <c r="O218" t="n">
        <v>0</v>
      </c>
      <c r="P218">
        <f>IF(B234=0,0,O218/B234)</f>
        <v/>
      </c>
      <c r="S218" t="n">
        <v>0</v>
      </c>
      <c r="V218">
        <f>IFERROR(1/IF(Inputs!$B$4="pvp",15,MAX(0.1,Skills!D22-IF(Skills!E22=TRUE,Inputs!$B$31,0))),0)</f>
        <v/>
      </c>
    </row>
    <row r="219">
      <c r="A219">
        <f>Skills!A23</f>
        <v/>
      </c>
      <c r="B219">
        <f>Skills!B23</f>
        <v/>
      </c>
      <c r="C219">
        <f>Inputs!$B$3&gt;=74</f>
        <v/>
      </c>
      <c r="D219">
        <f>IF(Skills!C23=1,60+Inputs!$B$24+Inputs!$B$28,IF(Skills!C23=2,90+Inputs!$B$25+Inputs!$B$28,IF(Skills!C23=3,120+Inputs!$B$26+Inputs!$B$28,MAX(0,(Inputs!$B$3-100)*3)+Inputs!$B$27+Inputs!$B$28)))</f>
        <v/>
      </c>
      <c r="E219">
        <f>INDEX(FactorTable!$B$2:$Y$301, MATCH(ROUND(MIN(300,MAX(1,D219)),0), FactorTable!$A$2:$A$301,0), Skills!L23+1)</f>
        <v/>
      </c>
      <c r="F219">
        <f>IF(Skills!M23=TRUE,(Skills!K23/10)*(E219/1000),Skills!K23/10)+Skills!N23</f>
        <v/>
      </c>
      <c r="G219">
        <f>Calc!G23</f>
        <v/>
      </c>
      <c r="H219">
        <f>Calc!H23</f>
        <v/>
      </c>
      <c r="I219">
        <f>IF(Skills!T23&lt;&gt;"",1+(Skills!T23/10)*($Z$3/1000)/100,1)</f>
        <v/>
      </c>
      <c r="J219" t="inlineStr"/>
      <c r="K219" t="inlineStr"/>
      <c r="L219" t="inlineStr"/>
      <c r="M219" t="inlineStr"/>
      <c r="N219" t="inlineStr"/>
      <c r="O219" t="n">
        <v>0</v>
      </c>
      <c r="P219">
        <f>IF(B234=0,0,O219/B234)</f>
        <v/>
      </c>
      <c r="S219" t="n">
        <v>0</v>
      </c>
      <c r="V219">
        <f>IFERROR(1/IF(Inputs!$B$4="pvp",15,MAX(0.1,Skills!D23-IF(Skills!E23=TRUE,Inputs!$B$31,0))),0)</f>
        <v/>
      </c>
    </row>
    <row r="220">
      <c r="A220">
        <f>Skills!A24</f>
        <v/>
      </c>
      <c r="B220">
        <f>Skills!B24</f>
        <v/>
      </c>
      <c r="C220">
        <f>Inputs!$B$3&gt;=74</f>
        <v/>
      </c>
      <c r="D220">
        <f>IF(Skills!C24=1,60+Inputs!$B$24+Inputs!$B$28,IF(Skills!C24=2,90+Inputs!$B$25+Inputs!$B$28,IF(Skills!C24=3,120+Inputs!$B$26+Inputs!$B$28,MAX(0,(Inputs!$B$3-100)*3)+Inputs!$B$27+Inputs!$B$28)))</f>
        <v/>
      </c>
      <c r="E220">
        <f>INDEX(FactorTable!$B$2:$Y$301, MATCH(ROUND(MIN(300,MAX(1,D220)),0), FactorTable!$A$2:$A$301,0), Skills!L24+1)</f>
        <v/>
      </c>
      <c r="F220">
        <f>IF(Skills!M24=TRUE,(Skills!K24/10)*(E220/1000),Skills!K24/10)+Skills!N24</f>
        <v/>
      </c>
      <c r="G220">
        <f>Calc!G24</f>
        <v/>
      </c>
      <c r="H220">
        <f>Calc!H24</f>
        <v/>
      </c>
      <c r="I220">
        <f>IF(Skills!T24&lt;&gt;"",1+(Skills!T24/10)*($Z$3/1000)/100,1)</f>
        <v/>
      </c>
      <c r="J220" t="inlineStr"/>
      <c r="K220" t="inlineStr"/>
      <c r="L220" t="inlineStr"/>
      <c r="M220" t="inlineStr"/>
      <c r="N220" t="inlineStr"/>
      <c r="O220" t="n">
        <v>0</v>
      </c>
      <c r="P220">
        <f>IF(B234=0,0,O220/B234)</f>
        <v/>
      </c>
      <c r="S220" t="n">
        <v>0</v>
      </c>
      <c r="V220">
        <f>IFERROR(1/IF(Inputs!$B$4="pvp",15,MAX(0.1,Skills!D24-IF(Skills!E24=TRUE,Inputs!$B$31,0))),0)</f>
        <v/>
      </c>
    </row>
    <row r="221">
      <c r="A221">
        <f>Skills!A25</f>
        <v/>
      </c>
      <c r="B221">
        <f>Skills!B25</f>
        <v/>
      </c>
      <c r="C221">
        <f>Inputs!$B$3&gt;=117</f>
        <v/>
      </c>
      <c r="D221">
        <f>IF(Skills!C25=1,60+Inputs!$B$24+Inputs!$B$28,IF(Skills!C25=2,90+Inputs!$B$25+Inputs!$B$28,IF(Skills!C25=3,120+Inputs!$B$26+Inputs!$B$28,MAX(0,(Inputs!$B$3-100)*3)+Inputs!$B$27+Inputs!$B$28)))</f>
        <v/>
      </c>
      <c r="E221">
        <f>INDEX(FactorTable!$B$2:$Y$301, MATCH(ROUND(MIN(300,MAX(1,D221)),0), FactorTable!$A$2:$A$301,0), Skills!L25+1)</f>
        <v/>
      </c>
      <c r="F221">
        <f>IF(Skills!M25=TRUE,(Skills!K25/10)*(E221/1000),Skills!K25/10)+Skills!N25</f>
        <v/>
      </c>
      <c r="G221">
        <f>Calc!G25</f>
        <v/>
      </c>
      <c r="H221">
        <f>Calc!H25</f>
        <v/>
      </c>
      <c r="I221">
        <f>IF(Skills!T25&lt;&gt;"",1+(Skills!T25/10)*($Z$3/1000)/100,1)</f>
        <v/>
      </c>
      <c r="J221" t="inlineStr"/>
      <c r="K221" t="inlineStr"/>
      <c r="L221" t="inlineStr"/>
      <c r="M221" t="inlineStr"/>
      <c r="N221" t="inlineStr"/>
      <c r="O221" t="n">
        <v>0</v>
      </c>
      <c r="P221">
        <f>IF(B234=0,0,O221/B234)</f>
        <v/>
      </c>
      <c r="S221" t="n">
        <v>0</v>
      </c>
      <c r="V221">
        <f>IFERROR(1/IF(Inputs!$B$4="pvp",15,MAX(0.1,Skills!D25-IF(Skills!E25=TRUE,Inputs!$B$31,0))),0)</f>
        <v/>
      </c>
    </row>
    <row r="222">
      <c r="A222">
        <f>Skills!A26</f>
        <v/>
      </c>
      <c r="B222">
        <f>Skills!B26</f>
        <v/>
      </c>
      <c r="C222">
        <f>Inputs!$B$3&gt;=120</f>
        <v/>
      </c>
      <c r="D222">
        <f>IF(Skills!C26=1,60+Inputs!$B$24+Inputs!$B$28,IF(Skills!C26=2,90+Inputs!$B$25+Inputs!$B$28,IF(Skills!C26=3,120+Inputs!$B$26+Inputs!$B$28,MAX(0,(Inputs!$B$3-100)*3)+Inputs!$B$27+Inputs!$B$28)))</f>
        <v/>
      </c>
      <c r="E222">
        <f>INDEX(FactorTable!$B$2:$Y$301, MATCH(ROUND(MIN(300,MAX(1,D222)),0), FactorTable!$A$2:$A$301,0), Skills!L26+1)</f>
        <v/>
      </c>
      <c r="F222">
        <f>IF(Skills!M26=TRUE,(Skills!K26/10)*(E222/1000),Skills!K26/10)+Skills!N26</f>
        <v/>
      </c>
      <c r="G222">
        <f>Calc!G26</f>
        <v/>
      </c>
      <c r="H222">
        <f>Calc!H26</f>
        <v/>
      </c>
      <c r="I222">
        <f>IF(Skills!T26&lt;&gt;"",1+(Skills!T26/10)*($Z$3/1000)/100,1)</f>
        <v/>
      </c>
      <c r="J222" t="inlineStr"/>
      <c r="K222" t="inlineStr"/>
      <c r="L222" t="inlineStr"/>
      <c r="M222" t="inlineStr"/>
      <c r="N222" t="inlineStr"/>
      <c r="O222" t="n">
        <v>0</v>
      </c>
      <c r="P222">
        <f>IF(B234=0,0,O222/B234)</f>
        <v/>
      </c>
      <c r="S222" t="n">
        <v>0</v>
      </c>
      <c r="V222">
        <f>IFERROR(1/IF(Inputs!$B$4="pvp",15,MAX(0.1,Skills!D26-IF(Skills!E26=TRUE,Inputs!$B$31,0))),0)</f>
        <v/>
      </c>
    </row>
    <row r="224">
      <c r="A224" t="inlineStr">
        <is>
          <t>Average Buff Multiplier</t>
        </is>
      </c>
      <c r="B224">
        <f>(1+(IF(C199=TRUE,F199*IF(AND(Inputs!$B$4&lt;&gt;"pvp",Inputs!$B$35&gt;0),(((S199-1)*(Skills!S3*(1+(Inputs!$B$33+IF(Inputs!$B$3&gt;=117,F221,0))/100))+MIN((Skills!S3*(1+(Inputs!$B$33+IF(Inputs!$B$3&gt;=117,F221,0))/100)),MAX(0,Inputs!$B$35-((S199-1)*Skills!D3))))/Inputs!$B$35),IF(Inputs!$B$4="pvp",MIN((Skills!S3*(1+(Inputs!$B$33+IF(Inputs!$B$3&gt;=117,F221,0))/100)),15)/15,(Skills!S3*(1+(Inputs!$B$33+IF(Inputs!$B$3&gt;=117,F221,0))/100))/Skills!D3)),0)+IF(C200=TRUE,F200*IF(AND(Inputs!$B$4&lt;&gt;"pvp",Inputs!$B$35&gt;0),(((S200-1)*(Skills!S4*(1+(Inputs!$B$33+IF(Inputs!$B$3&gt;=117,F221,0))/100))+MIN((Skills!S4*(1+(Inputs!$B$33+IF(Inputs!$B$3&gt;=117,F221,0))/100)),MAX(0,Inputs!$B$35-((S200-1)*Skills!D4))))/Inputs!$B$35),IF(Inputs!$B$4="pvp",MIN((Skills!S4*(1+(Inputs!$B$33+IF(Inputs!$B$3&gt;=117,F221,0))/100)),15)/15,(Skills!S4*(1+(Inputs!$B$33+IF(Inputs!$B$3&gt;=117,F221,0))/100))/Skills!D4)),0)+IF(C201=TRUE,F201*IF(AND(Inputs!$B$4&lt;&gt;"pvp",Inputs!$B$35&gt;0),(((S201-1)*(Skills!S5*(1+(Inputs!$B$33+IF(Inputs!$B$3&gt;=117,F221,0))/100))+MIN((Skills!S5*(1+(Inputs!$B$33+IF(Inputs!$B$3&gt;=117,F221,0))/100)),MAX(0,Inputs!$B$35-((S201-1)*Skills!D5))))/Inputs!$B$35),IF(Inputs!$B$4="pvp",MIN((Skills!S5*(1+(Inputs!$B$33+IF(Inputs!$B$3&gt;=117,F221,0))/100)),15)/15,(Skills!S5*(1+(Inputs!$B$33+IF(Inputs!$B$3&gt;=117,F221,0))/100))/Skills!D5)),0)+IF(C207=TRUE,F207*IF(AND(Inputs!$B$4&lt;&gt;"pvp",Inputs!$B$35&gt;0),(((S207-1)*(Skills!S11*(1+(Inputs!$B$33+IF(Inputs!$B$3&gt;=117,F221,0))/100))+MIN((Skills!S11*(1+(Inputs!$B$33+IF(Inputs!$B$3&gt;=117,F221,0))/100)),MAX(0,Inputs!$B$35-((S207-1)*Skills!D11))))/Inputs!$B$35),IF(Inputs!$B$4="pvp",MIN((Skills!S11*(1+(Inputs!$B$33+IF(Inputs!$B$3&gt;=117,F221,0))/100)),15)/15,(Skills!S11*(1+(Inputs!$B$33+IF(Inputs!$B$3&gt;=117,F221,0))/100))/Skills!D11)),0))/100)*IF(C209=TRUE,(1+F209*IF(AND(Inputs!$B$4&lt;&gt;"pvp",Inputs!$B$35&gt;0),(((S209-1)*(Skills!S13*(1+(Inputs!$B$33+IF(Inputs!$B$3&gt;=117,F221,0))/100))+MIN((Skills!S13*(1+(Inputs!$B$33+IF(Inputs!$B$3&gt;=117,F221,0))/100)),MAX(0,Inputs!$B$35-((S209-1)*Skills!D13))))/Inputs!$B$35),IF(Inputs!$B$4="pvp",MIN((Skills!S13*(1+(Inputs!$B$33+IF(Inputs!$B$3&gt;=117,F221,0))/100)),15)/15,(Skills!S13*(1+(Inputs!$B$33+IF(Inputs!$B$3&gt;=117,F221,0))/100))/Skills!D13))/100),1)*IF(C214=TRUE,(1+F214*IF(AND(Inputs!$B$4&lt;&gt;"pvp",Inputs!$B$35&gt;0),(((S214-1)*(Skills!S18*(1+(Inputs!$B$33+IF(Inputs!$B$3&gt;=117,F221,0))/100))+MIN((Skills!S18*(1+(Inputs!$B$33+IF(Inputs!$B$3&gt;=117,F221,0))/100)),MAX(0,Inputs!$B$35-((S214-1)*Skills!D18))))/Inputs!$B$35),IF(Inputs!$B$4="pvp",MIN((Skills!S18*(1+(Inputs!$B$33+IF(Inputs!$B$3&gt;=117,F221,0))/100)),15)/15,(Skills!S18*(1+(Inputs!$B$33+IF(Inputs!$B$3&gt;=117,F221,0))/100))/Skills!D18))/100),1)</f>
        <v/>
      </c>
    </row>
    <row r="225">
      <c r="A225" t="inlineStr">
        <is>
          <t>Monster Damage Taken Bonus % (Holy Fountain)</t>
        </is>
      </c>
      <c r="B225">
        <f>IF(Inputs!$B$3&gt;=68,20*IF(Inputs!$B$4="pvp",MIN((15*(1+(Inputs!$B$33+IF(Inputs!$B$3&gt;=117,F221,0))/100)),15)/15,(15*(1+(Inputs!$B$33+IF(Inputs!$B$3&gt;=117,F221,0))/100))/Skills!D10),0)</f>
        <v/>
      </c>
    </row>
    <row r="226">
      <c r="A226" t="inlineStr">
        <is>
          <t>Normal Monster Damage Bonus % (Holy Symbol)</t>
        </is>
      </c>
      <c r="B226">
        <f>IF(C208=TRUE,F208*IF(AND(Inputs!$B$4&lt;&gt;"pvp",Inputs!$B$35&gt;0),(((S208-1)*(Skills!S12*(1+(Inputs!$B$33+IF(Inputs!$B$3&gt;=117,F221,0))/100))+MIN((Skills!S12*(1+(Inputs!$B$33+IF(Inputs!$B$3&gt;=117,F221,0))/100)),MAX(0,Inputs!$B$35-((S208-1)*Skills!D12))))/Inputs!$B$35),IF(Inputs!$B$4="pvp",MIN((Skills!S12*(1+(Inputs!$B$33+IF(Inputs!$B$3&gt;=117,F221,0))/100)),15)/15,(Skills!S12*(1+(Inputs!$B$33+IF(Inputs!$B$3&gt;=117,F221,0))/100))/Skills!D12)),0)</f>
        <v/>
      </c>
    </row>
    <row r="227">
      <c r="A227" t="inlineStr">
        <is>
          <t>Damage % Bonus (Holy Symbol - Damage Boost)</t>
        </is>
      </c>
      <c r="B227">
        <f>Skills!O12</f>
        <v/>
      </c>
    </row>
    <row r="228">
      <c r="A228" t="inlineStr">
        <is>
          <t>Crit Damage % Bonus (Blood of the Divine)</t>
        </is>
      </c>
      <c r="B228">
        <f>4*IF(C215=TRUE,F215,0)</f>
        <v/>
      </c>
    </row>
    <row r="229">
      <c r="A229" t="inlineStr">
        <is>
          <t>Attack Speed Bonus %</t>
        </is>
      </c>
      <c r="B229">
        <f>IF(C212=TRUE,F212+(F216-Calc!F20),0)+IF(Inputs!$B$3&gt;=134,15,0)</f>
        <v/>
      </c>
    </row>
    <row r="230">
      <c r="A230" t="inlineStr">
        <is>
          <t>Actions Per Second</t>
        </is>
      </c>
      <c r="B230">
        <f>1+MIN(150,150*(1-(1-Inputs!$B$10/150)*(1-B229/150)))/100</f>
        <v/>
      </c>
    </row>
    <row r="231">
      <c r="A231" t="inlineStr">
        <is>
          <t>Skill + Buff Cast Rate</t>
        </is>
      </c>
      <c r="B231">
        <f>IF(AND(Inputs!$B$4&lt;&gt;"pvp",Inputs!$B$35&gt;0),SUMPRODUCT((Skills!E2:E26=TRUE)*(C198:C222=TRUE)*S198:S222)/Inputs!$B$35,SUMPRODUCT((Skills!E2:E26=TRUE)*(C198:C222=TRUE)*V198:V222))</f>
        <v/>
      </c>
    </row>
    <row r="232">
      <c r="A232" t="inlineStr">
        <is>
          <t>Big Bang Casts Per Second</t>
        </is>
      </c>
      <c r="B232">
        <f>MAX(0,B230-B231)</f>
        <v/>
      </c>
    </row>
    <row r="234">
      <c r="A234" s="5" t="inlineStr">
        <is>
          <t>TOTAL DPS</t>
        </is>
      </c>
      <c r="B234" s="5">
        <f>SUM(O198:O222)</f>
        <v/>
      </c>
    </row>
    <row r="237">
      <c r="A237" s="5" t="inlineStr">
        <is>
          <t>Stat: NORMAL_DAMAGE %</t>
        </is>
      </c>
    </row>
    <row r="238">
      <c r="A238" s="8" t="inlineStr">
        <is>
          <t>Key</t>
        </is>
      </c>
      <c r="B238" s="8" t="inlineStr">
        <is>
          <t>Name</t>
        </is>
      </c>
      <c r="C238" s="8" t="inlineStr">
        <is>
          <t>Unlocked</t>
        </is>
      </c>
      <c r="D238" s="8" t="inlineStr">
        <is>
          <t>InputLevel</t>
        </is>
      </c>
      <c r="E238" s="8" t="inlineStr">
        <is>
          <t>Factor</t>
        </is>
      </c>
      <c r="F238" s="8" t="inlineStr">
        <is>
          <t>CoefficientPercent</t>
        </is>
      </c>
      <c r="G238" s="8" t="inlineStr">
        <is>
          <t>EffectiveHits</t>
        </is>
      </c>
      <c r="H238" s="8" t="inlineStr">
        <is>
          <t>ProcProbability</t>
        </is>
      </c>
      <c r="I238" s="8" t="inlineStr">
        <is>
          <t>MapleHeroMultiplier</t>
        </is>
      </c>
      <c r="J238" s="8" t="inlineStr">
        <is>
          <t>BaseDamage</t>
        </is>
      </c>
      <c r="K238" s="8" t="inlineStr">
        <is>
          <t>BaseHitDamage</t>
        </is>
      </c>
      <c r="L238" s="8" t="inlineStr">
        <is>
          <t>NonCritAvg</t>
        </is>
      </c>
      <c r="M238" s="8" t="inlineStr">
        <is>
          <t>CritAvg</t>
        </is>
      </c>
      <c r="N238" s="8" t="inlineStr">
        <is>
          <t>ExpectedDamage(perHit)</t>
        </is>
      </c>
      <c r="O238" s="8" t="inlineStr">
        <is>
          <t>DPS</t>
        </is>
      </c>
      <c r="P238" s="8" t="inlineStr">
        <is>
          <t>% of Total</t>
        </is>
      </c>
      <c r="R238" t="inlineStr">
        <is>
          <t>helpers</t>
        </is>
      </c>
    </row>
    <row r="239">
      <c r="A239">
        <f>Skills!A2</f>
        <v/>
      </c>
      <c r="B239">
        <f>Skills!B2</f>
        <v/>
      </c>
      <c r="C239">
        <f>Inputs!$B$3&gt;=100</f>
        <v/>
      </c>
      <c r="D239" t="inlineStr"/>
      <c r="E239" t="inlineStr"/>
      <c r="F239">
        <f>T241+Skills!N2</f>
        <v/>
      </c>
      <c r="G239">
        <f>Calc!G2</f>
        <v/>
      </c>
      <c r="H239">
        <f>Calc!H2</f>
        <v/>
      </c>
      <c r="I239">
        <f>IF(Skills!T2&lt;&gt;"",1+(Skills!T2/10)*($Z$3/1000)/100,1)</f>
        <v/>
      </c>
      <c r="J239">
        <f>((Inputs!$B$5*(1+Inputs!$B$6/100))+((Inputs!$B$11*(1+Inputs!$B$12/100))-(Inputs!$B$11*(1+Inputs!$B$12/100)))*(1+Inputs!$B$6/100))*(F239/100)</f>
        <v/>
      </c>
      <c r="K239">
        <f>J239*(1+((Inputs!$B$11*(1+Inputs!$B$12/100))*0.01+Inputs!$B$13*0.0025)/100)*(1+(Inputs!$B$14+B268)/100)*(1+IF(Inputs!$B$4="pvp",0,(1-Summary!$B$48)*(Inputs!$B$19+Skills!O2+B266)+Summary!$B$48*((Inputs!$B$20+1)+Skills!P2+B267))/100)*(1+Inputs!$B$15/100)*(5000/(6000+Inputs!$B$7*(1-Inputs!$B$18/100)))*(1+Inputs!$B$23/100)*(1+IF(C254=TRUE,F254,0)/100)*(1+IF(C256=TRUE,F256,0)/100)*(1+IF(Skills!A2="TRIUMPH_FEATHER",IF(C252=TRUE,F252,0),0)/100)*(1+IF(C263=TRUE,F263,0)/100)^5*(1+(IF(Skills!A2="BIG_BANG",Inputs!$B$16,Inputs!$B$17))/100)*(B265*I239)</f>
        <v/>
      </c>
      <c r="L239">
        <f>K239*(MIN(Inputs!$B$21+(F258-Calc!F21),Inputs!$B$22)/100+Inputs!$B$22/100)/2</f>
        <v/>
      </c>
      <c r="M239">
        <f>L239*(1+(Inputs!$B$9+B269+(F261-Calc!F24))/100)</f>
        <v/>
      </c>
      <c r="N239">
        <f>L239*(1-MIN(Inputs!$B$8+((F260-Calc!F23)+(F259-Calc!F22)),100)/100)+M239*(MIN(Inputs!$B$8+((F260-Calc!F23)+(F259-Calc!F22)),100)/100)</f>
        <v/>
      </c>
      <c r="O239">
        <f>IF(C239,Skills!F2*N239*B273*IF(Inputs!$B$4="pvp",1,(1-Summary!$B$48)*(1)+Summary!$B$48*(MIN((6+Inputs!$B$32),Inputs!$B$37))),0)</f>
        <v/>
      </c>
      <c r="P239">
        <f>IF(B275=0,0,O239/B275)</f>
        <v/>
      </c>
      <c r="S239" t="n">
        <v>0</v>
      </c>
      <c r="T239">
        <f>MAX(0,(Inputs!$B$3-100)*3)+Inputs!$B$27+Inputs!$B$28</f>
        <v/>
      </c>
      <c r="V239">
        <f>IFERROR(1/IF(Inputs!$B$4="pvp",15,MAX(0.1,Skills!D2-IF(Skills!E2=TRUE,Inputs!$B$31,0))),0)</f>
        <v/>
      </c>
    </row>
    <row r="240">
      <c r="A240">
        <f>Skills!A3</f>
        <v/>
      </c>
      <c r="B240">
        <f>Skills!B3</f>
        <v/>
      </c>
      <c r="C240">
        <f>Inputs!$B$3&gt;=15</f>
        <v/>
      </c>
      <c r="D240">
        <f>IF(Skills!C3=1,60+Inputs!$B$24+Inputs!$B$28,IF(Skills!C3=2,90+Inputs!$B$25+Inputs!$B$28,IF(Skills!C3=3,120+Inputs!$B$26+Inputs!$B$28,MAX(0,(Inputs!$B$3-100)*3)+Inputs!$B$27+Inputs!$B$28)))</f>
        <v/>
      </c>
      <c r="E240">
        <f>INDEX(FactorTable!$B$2:$Y$301, MATCH(ROUND(MIN(300,MAX(1,D240)),0), FactorTable!$A$2:$A$301,0), Skills!L3+1)</f>
        <v/>
      </c>
      <c r="F240">
        <f>IF(Skills!M3=TRUE,(Skills!K3/10)*(E240/1000),Skills!K3/10)+Skills!N3</f>
        <v/>
      </c>
      <c r="G240">
        <f>Calc!G3</f>
        <v/>
      </c>
      <c r="H240">
        <f>Calc!H3</f>
        <v/>
      </c>
      <c r="I240">
        <f>IF(Skills!T3&lt;&gt;"",1+(Skills!T3/10)*($Z$3/1000)/100,1)</f>
        <v/>
      </c>
      <c r="J240" t="inlineStr"/>
      <c r="K240" t="inlineStr"/>
      <c r="L240" t="inlineStr"/>
      <c r="M240" t="inlineStr"/>
      <c r="N240" t="inlineStr"/>
      <c r="O240" t="n">
        <v>0</v>
      </c>
      <c r="P240">
        <f>IF(B275=0,0,O240/B275)</f>
        <v/>
      </c>
      <c r="S240">
        <f>IF(AND(Inputs!$B$4&lt;&gt;"pvp",Inputs!$B$35&gt;0),(INT(Inputs!$B$35/IF(Inputs!$B$4="pvp",15,MAX(0.1,Skills!D3-IF(Skills!E3=TRUE,Inputs!$B$31,0))))+1),0)</f>
        <v/>
      </c>
      <c r="T240">
        <f>INDEX(FactorTable!$B$2:$Y$301, MATCH(ROUND(MIN(300,MAX(1,T239)),0), FactorTable!$A$2:$A$301,0), 22)</f>
        <v/>
      </c>
      <c r="V240">
        <f>IFERROR(1/IF(Inputs!$B$4="pvp",15,MAX(0.1,Skills!D3-IF(Skills!E3=TRUE,Inputs!$B$31,0))),0)</f>
        <v/>
      </c>
    </row>
    <row r="241">
      <c r="A241">
        <f>Skills!A4</f>
        <v/>
      </c>
      <c r="B241">
        <f>Skills!B4</f>
        <v/>
      </c>
      <c r="C241">
        <f>Inputs!$B$3&gt;=38</f>
        <v/>
      </c>
      <c r="D241">
        <f>IF(Skills!C4=1,60+Inputs!$B$24+Inputs!$B$28,IF(Skills!C4=2,90+Inputs!$B$25+Inputs!$B$28,IF(Skills!C4=3,120+Inputs!$B$26+Inputs!$B$28,MAX(0,(Inputs!$B$3-100)*3)+Inputs!$B$27+Inputs!$B$28)))</f>
        <v/>
      </c>
      <c r="E241">
        <f>INDEX(FactorTable!$B$2:$Y$301, MATCH(ROUND(MIN(300,MAX(1,D241)),0), FactorTable!$A$2:$A$301,0), Skills!L4+1)</f>
        <v/>
      </c>
      <c r="F241">
        <f>IF(Skills!M4=TRUE,(Skills!K4/10)*(E241/1000),Skills!K4/10)+Skills!N4</f>
        <v/>
      </c>
      <c r="G241">
        <f>Calc!G4</f>
        <v/>
      </c>
      <c r="H241">
        <f>Calc!H4</f>
        <v/>
      </c>
      <c r="I241">
        <f>IF(Skills!T4&lt;&gt;"",1+(Skills!T4/10)*($Z$3/1000)/100,1)</f>
        <v/>
      </c>
      <c r="J241" t="inlineStr"/>
      <c r="K241" t="inlineStr"/>
      <c r="L241" t="inlineStr"/>
      <c r="M241" t="inlineStr"/>
      <c r="N241" t="inlineStr"/>
      <c r="O241" t="n">
        <v>0</v>
      </c>
      <c r="P241">
        <f>IF(B275=0,0,O241/B275)</f>
        <v/>
      </c>
      <c r="S241">
        <f>IF(AND(Inputs!$B$4&lt;&gt;"pvp",Inputs!$B$35&gt;0),(INT(Inputs!$B$35/IF(Inputs!$B$4="pvp",15,MAX(0.1,Skills!D4-IF(Skills!E4=TRUE,Inputs!$B$31,0))))+1),0)</f>
        <v/>
      </c>
      <c r="T241">
        <f>290*T240/1000</f>
        <v/>
      </c>
      <c r="V241">
        <f>IFERROR(1/IF(Inputs!$B$4="pvp",15,MAX(0.1,Skills!D4-IF(Skills!E4=TRUE,Inputs!$B$31,0))),0)</f>
        <v/>
      </c>
    </row>
    <row r="242">
      <c r="A242">
        <f>Skills!A5</f>
        <v/>
      </c>
      <c r="B242">
        <f>Skills!B5</f>
        <v/>
      </c>
      <c r="C242">
        <f>Inputs!$B$3&gt;=40</f>
        <v/>
      </c>
      <c r="D242">
        <f>IF(Skills!C5=1,60+Inputs!$B$24+Inputs!$B$28,IF(Skills!C5=2,90+Inputs!$B$25+Inputs!$B$28,IF(Skills!C5=3,120+Inputs!$B$26+Inputs!$B$28,MAX(0,(Inputs!$B$3-100)*3)+Inputs!$B$27+Inputs!$B$28)))</f>
        <v/>
      </c>
      <c r="E242">
        <f>INDEX(FactorTable!$B$2:$Y$301, MATCH(ROUND(MIN(300,MAX(1,D242)),0), FactorTable!$A$2:$A$301,0), Skills!L5+1)</f>
        <v/>
      </c>
      <c r="F242">
        <f>IF(Skills!M5=TRUE,(Skills!K5/10)*(E242/1000),Skills!K5/10)+Skills!N5</f>
        <v/>
      </c>
      <c r="G242">
        <f>Calc!G5</f>
        <v/>
      </c>
      <c r="H242">
        <f>Calc!H5</f>
        <v/>
      </c>
      <c r="I242">
        <f>IF(Skills!T5&lt;&gt;"",1+(Skills!T5/10)*($Z$3/1000)/100,1)</f>
        <v/>
      </c>
      <c r="J242" t="inlineStr"/>
      <c r="K242" t="inlineStr"/>
      <c r="L242" t="inlineStr"/>
      <c r="M242" t="inlineStr"/>
      <c r="N242" t="inlineStr"/>
      <c r="O242" t="n">
        <v>0</v>
      </c>
      <c r="P242">
        <f>IF(B275=0,0,O242/B275)</f>
        <v/>
      </c>
      <c r="S242">
        <f>IF(AND(Inputs!$B$4&lt;&gt;"pvp",Inputs!$B$35&gt;0),(INT(Inputs!$B$35/IF(Inputs!$B$4="pvp",15,MAX(0.1,Skills!D5-IF(Skills!E5=TRUE,Inputs!$B$31,0))))+1),0)</f>
        <v/>
      </c>
      <c r="V242">
        <f>IFERROR(1/IF(Inputs!$B$4="pvp",15,MAX(0.1,Skills!D5-IF(Skills!E5=TRUE,Inputs!$B$31,0))),0)</f>
        <v/>
      </c>
    </row>
    <row r="243">
      <c r="A243">
        <f>Skills!A6</f>
        <v/>
      </c>
      <c r="B243">
        <f>Skills!B6</f>
        <v/>
      </c>
      <c r="C243">
        <f>Inputs!$B$3&gt;=103</f>
        <v/>
      </c>
      <c r="D243">
        <f>IF(Skills!C6=1,60+Inputs!$B$24+Inputs!$B$28,IF(Skills!C6=2,90+Inputs!$B$25+Inputs!$B$28,IF(Skills!C6=3,120+Inputs!$B$26+Inputs!$B$28,MAX(0,(Inputs!$B$3-100)*3)+Inputs!$B$27+Inputs!$B$28)))</f>
        <v/>
      </c>
      <c r="E243">
        <f>INDEX(FactorTable!$B$2:$Y$301, MATCH(ROUND(MIN(300,MAX(1,D243)),0), FactorTable!$A$2:$A$301,0), Skills!L6+1)</f>
        <v/>
      </c>
      <c r="F243">
        <f>IF(Skills!M6=TRUE,(Skills!K6/10)*(E243/1000),Skills!K6/10)+Skills!N6</f>
        <v/>
      </c>
      <c r="G243">
        <f>Calc!G6</f>
        <v/>
      </c>
      <c r="H243">
        <f>Calc!H6</f>
        <v/>
      </c>
      <c r="I243">
        <f>IF(Skills!T6&lt;&gt;"",1+(Skills!T6/10)*($Z$3/1000)/100,1)</f>
        <v/>
      </c>
      <c r="J243">
        <f>((Inputs!$B$5*(1+Inputs!$B$6/100))+((Inputs!$B$11*(1+Inputs!$B$12/100))-(Inputs!$B$11*(1+Inputs!$B$12/100)))*(1+Inputs!$B$6/100))*(F243/100)</f>
        <v/>
      </c>
      <c r="K243">
        <f>J243*(1+((Inputs!$B$11*(1+Inputs!$B$12/100))*0.01+Inputs!$B$13*0.0025)/100)*(1+(Inputs!$B$14+B268)/100)*(1+IF(Inputs!$B$4="pvp",0,(1-Summary!$B$48)*(Inputs!$B$19+Skills!O6+B266)+Summary!$B$48*((Inputs!$B$20+1)+Skills!P6+B267))/100)*(1+Inputs!$B$15/100)*(5000/(6000+Inputs!$B$7*(1-Inputs!$B$18/100)))*(1+Inputs!$B$23/100)*(1+IF(C254=TRUE,F254,0)/100)*(1+IF(C256=TRUE,F256,0)/100)*(1+IF(Skills!A6="TRIUMPH_FEATHER",IF(C252=TRUE,F252,0),0)/100)*(1+IF(C263=TRUE,F263,0)/100)^5*(1+(IF(Skills!A6="BIG_BANG",Inputs!$B$16,Inputs!$B$17))/100)*(B265*I243)</f>
        <v/>
      </c>
      <c r="L243">
        <f>K243*(MIN(Inputs!$B$21+(F258-Calc!F21),Inputs!$B$22)/100+Inputs!$B$22/100)/2</f>
        <v/>
      </c>
      <c r="M243">
        <f>L243*(1+(Inputs!$B$9+B269+(F261-Calc!F24))/100)</f>
        <v/>
      </c>
      <c r="N243">
        <f>L243*(1-MIN(Inputs!$B$8+((F260-Calc!F23)+(F259-Calc!F22)),100)/100)+M243*(MIN(Inputs!$B$8+((F260-Calc!F23)+(F259-Calc!F22)),100)/100)</f>
        <v/>
      </c>
      <c r="O243">
        <f>IF(C243,H243*N243*IF(AND(Inputs!$B$4&lt;&gt;"pvp",Inputs!$B$35&gt;0),((Skills!F6*((S243-1)*IF(Skills!G6&gt;0,Skills!H6/Skills!G6,1)+IF(Skills!G6&gt;0,MIN(Skills!H6,MAX(0,Inputs!$B$35-((S243-1)*IF(Inputs!$B$4="pvp",15,MAX(0.1,Skills!D6-IF(Skills!E6=TRUE,Inputs!$B$31,0))))))/Skills!G6,1)))/Inputs!$B$35),G243*V243)*IF(Inputs!$B$4="pvp",1,(1-Summary!$B$48)*(1)+Summary!$B$48*(MIN(Skills!Q6,Inputs!$B$37))),0)</f>
        <v/>
      </c>
      <c r="P243">
        <f>IF(B275=0,0,O243/B275)</f>
        <v/>
      </c>
      <c r="S243">
        <f>IF(AND(Inputs!$B$4&lt;&gt;"pvp",Inputs!$B$35&gt;0),(INT(Inputs!$B$35/IF(Inputs!$B$4="pvp",15,MAX(0.1,Skills!D6-IF(Skills!E6=TRUE,Inputs!$B$31,0))))+1),0)</f>
        <v/>
      </c>
      <c r="V243">
        <f>IFERROR(1/IF(Inputs!$B$4="pvp",15,MAX(0.1,Skills!D6-IF(Skills!E6=TRUE,Inputs!$B$31,0))),0)</f>
        <v/>
      </c>
    </row>
    <row r="244">
      <c r="A244">
        <f>Skills!A7</f>
        <v/>
      </c>
      <c r="B244">
        <f>Skills!B7</f>
        <v/>
      </c>
      <c r="C244">
        <f>Inputs!$B$3&gt;=122</f>
        <v/>
      </c>
      <c r="D244">
        <f>IF(Skills!C7=1,60+Inputs!$B$24+Inputs!$B$28,IF(Skills!C7=2,90+Inputs!$B$25+Inputs!$B$28,IF(Skills!C7=3,120+Inputs!$B$26+Inputs!$B$28,MAX(0,(Inputs!$B$3-100)*3)+Inputs!$B$27+Inputs!$B$28)))</f>
        <v/>
      </c>
      <c r="E244">
        <f>INDEX(FactorTable!$B$2:$Y$301, MATCH(ROUND(MIN(300,MAX(1,D244)),0), FactorTable!$A$2:$A$301,0), Skills!L7+1)</f>
        <v/>
      </c>
      <c r="F244">
        <f>IF(Skills!M7=TRUE,(Skills!K7/10)*(E244/1000),Skills!K7/10)+Skills!N7</f>
        <v/>
      </c>
      <c r="G244">
        <f>Calc!G7</f>
        <v/>
      </c>
      <c r="H244">
        <f>Calc!H7</f>
        <v/>
      </c>
      <c r="I244">
        <f>IF(Skills!T7&lt;&gt;"",1+(Skills!T7/10)*($Z$3/1000)/100,1)</f>
        <v/>
      </c>
      <c r="J244">
        <f>((Inputs!$B$5*(1+Inputs!$B$6/100))+((Inputs!$B$11*(1+Inputs!$B$12/100))-(Inputs!$B$11*(1+Inputs!$B$12/100)))*(1+Inputs!$B$6/100))*(F244/100)</f>
        <v/>
      </c>
      <c r="K244">
        <f>J244*(1+((Inputs!$B$11*(1+Inputs!$B$12/100))*0.01+Inputs!$B$13*0.0025)/100)*(1+(Inputs!$B$14+B268)/100)*(1+IF(Inputs!$B$4="pvp",0,(1-Summary!$B$48)*(Inputs!$B$19+Skills!O7+B266)+Summary!$B$48*((Inputs!$B$20+1)+Skills!P7+B267))/100)*(1+Inputs!$B$15/100)*(5000/(6000+Inputs!$B$7*(1-Inputs!$B$18/100)))*(1+Inputs!$B$23/100)*(1+IF(C254=TRUE,F254,0)/100)*(1+IF(C256=TRUE,F256,0)/100)*(1+IF(Skills!A7="TRIUMPH_FEATHER",IF(C252=TRUE,F252,0),0)/100)*(1+IF(C263=TRUE,F263,0)/100)^5*(1+(IF(Skills!A7="BIG_BANG",Inputs!$B$16,Inputs!$B$17))/100)*(B265*I244)</f>
        <v/>
      </c>
      <c r="L244">
        <f>K244*(MIN(Inputs!$B$21+(F258-Calc!F21),Inputs!$B$22)/100+Inputs!$B$22/100)/2</f>
        <v/>
      </c>
      <c r="M244">
        <f>L244*(1+(Inputs!$B$9+B269+(F261-Calc!F24))/100)</f>
        <v/>
      </c>
      <c r="N244">
        <f>L244*(1-MIN(Inputs!$B$8+((F260-Calc!F23)+(F259-Calc!F22)),100)/100)+M244*(MIN(Inputs!$B$8+((F260-Calc!F23)+(F259-Calc!F22)),100)/100)</f>
        <v/>
      </c>
      <c r="O244">
        <f>IF(C244,H244*N244*IF(AND(Inputs!$B$4&lt;&gt;"pvp",Inputs!$B$35&gt;0),((Skills!F7*((S244-1)*IF(Skills!G7&gt;0,Skills!H7/Skills!G7,1)+IF(Skills!G7&gt;0,MIN(Skills!H7,MAX(0,Inputs!$B$35-((S244-1)*IF(Inputs!$B$4="pvp",15,MAX(0.1,Skills!D7-IF(Skills!E6=TRUE,Inputs!$B$31,0))))))/Skills!G7,1)))/Inputs!$B$35),G244*V244)*(1-Summary!$B$48),0)</f>
        <v/>
      </c>
      <c r="P244">
        <f>IF(B275=0,0,O244/B275)</f>
        <v/>
      </c>
      <c r="S244">
        <f>IF(AND(Inputs!$B$4&lt;&gt;"pvp",Inputs!$B$35&gt;0),(INT(Inputs!$B$35/IF(Inputs!$B$4="pvp",15,MAX(0.1,Skills!D7-IF(Skills!E6=TRUE,Inputs!$B$31,0))))+1),0)</f>
        <v/>
      </c>
      <c r="V244">
        <f>IFERROR(1/IF(Inputs!$B$4="pvp",15,MAX(0.1,Skills!D7-IF(Skills!E6=TRUE,Inputs!$B$31,0))),0)</f>
        <v/>
      </c>
    </row>
    <row r="245">
      <c r="A245">
        <f>Skills!A8</f>
        <v/>
      </c>
      <c r="B245">
        <f>Skills!B8</f>
        <v/>
      </c>
      <c r="C245">
        <f>Inputs!$B$3&gt;=105</f>
        <v/>
      </c>
      <c r="D245">
        <f>IF(Skills!C8=1,60+Inputs!$B$24+Inputs!$B$28,IF(Skills!C8=2,90+Inputs!$B$25+Inputs!$B$28,IF(Skills!C8=3,120+Inputs!$B$26+Inputs!$B$28,MAX(0,(Inputs!$B$3-100)*3)+Inputs!$B$27+Inputs!$B$28)))</f>
        <v/>
      </c>
      <c r="E245">
        <f>INDEX(FactorTable!$B$2:$Y$301, MATCH(ROUND(MIN(300,MAX(1,D245)),0), FactorTable!$A$2:$A$301,0), Skills!L8+1)</f>
        <v/>
      </c>
      <c r="F245">
        <f>IF(Skills!M8=TRUE,(Skills!K8/10)*(E245/1000),Skills!K8/10)+Skills!N8</f>
        <v/>
      </c>
      <c r="G245">
        <f>Calc!G8</f>
        <v/>
      </c>
      <c r="H245">
        <f>Calc!H8</f>
        <v/>
      </c>
      <c r="I245">
        <f>IF(Skills!T8&lt;&gt;"",1+(Skills!T8/10)*($Z$3/1000)/100,1)</f>
        <v/>
      </c>
      <c r="J245">
        <f>((Inputs!$B$5*(1+Inputs!$B$6/100))+((Inputs!$B$11*(1+Inputs!$B$12/100))-(Inputs!$B$11*(1+Inputs!$B$12/100)))*(1+Inputs!$B$6/100))*(F245/100)</f>
        <v/>
      </c>
      <c r="K245">
        <f>J245*(1+((Inputs!$B$11*(1+Inputs!$B$12/100))*0.01+Inputs!$B$13*0.0025)/100)*(1+(Inputs!$B$14+B268)/100)*(1+IF(Inputs!$B$4="pvp",0,(1-Summary!$B$48)*(Inputs!$B$19+Skills!O8+B266)+Summary!$B$48*((Inputs!$B$20+1)+Skills!P8+B267))/100)*(1+Inputs!$B$15/100)*(5000/(6000+Inputs!$B$7*(1-Inputs!$B$18/100)))*(1+Inputs!$B$23/100)*(1+IF(C254=TRUE,F254,0)/100)*(1+IF(C256=TRUE,F256,0)/100)*(1+IF(Skills!A8="TRIUMPH_FEATHER",IF(C252=TRUE,F252,0),0)/100)*(1+IF(C263=TRUE,F263,0)/100)^5*(1+(IF(Skills!A8="BIG_BANG",Inputs!$B$16,Inputs!$B$17))/100)*(B265*I245)</f>
        <v/>
      </c>
      <c r="L245">
        <f>K245*(MIN(Inputs!$B$21+(F258-Calc!F21),Inputs!$B$22)/100+Inputs!$B$22/100)/2</f>
        <v/>
      </c>
      <c r="M245">
        <f>L245*(1+(Inputs!$B$9+B269+(F261-Calc!F24))/100)</f>
        <v/>
      </c>
      <c r="N245">
        <f>L245*(1-MIN(Inputs!$B$8+((F260-Calc!F23)+(F259-Calc!F22)),100)/100)+M245*(MIN(Inputs!$B$8+((F260-Calc!F23)+(F259-Calc!F22)),100)/100)</f>
        <v/>
      </c>
      <c r="O245">
        <f>IF(C245,H245*N245*IF(AND(Inputs!$B$4&lt;&gt;"pvp",Inputs!$B$35&gt;0),((Skills!F8*((S245-1)*IF(Skills!G8&gt;0,Skills!H8/Skills!G8,1)+IF(Skills!G8&gt;0,MIN(Skills!H8,MAX(0,Inputs!$B$35-((S245-1)*IF(Inputs!$B$4="pvp",15,MAX(0.1,Skills!D8-IF(Skills!E8=TRUE,Inputs!$B$31,0))))))/Skills!G8,1)))/Inputs!$B$35),G245*V245)*IF(Inputs!$B$4="pvp",1,(1-Summary!$B$48)*(1)+Summary!$B$48*(MIN(Skills!Q8,Inputs!$B$37))),0)</f>
        <v/>
      </c>
      <c r="P245">
        <f>IF(B275=0,0,O245/B275)</f>
        <v/>
      </c>
      <c r="S245">
        <f>IF(AND(Inputs!$B$4&lt;&gt;"pvp",Inputs!$B$35&gt;0),(INT(Inputs!$B$35/IF(Inputs!$B$4="pvp",15,MAX(0.1,Skills!D8-IF(Skills!E8=TRUE,Inputs!$B$31,0))))+1),0)</f>
        <v/>
      </c>
      <c r="V245">
        <f>IFERROR(1/IF(Inputs!$B$4="pvp",15,MAX(0.1,Skills!D8-IF(Skills!E8=TRUE,Inputs!$B$31,0))),0)</f>
        <v/>
      </c>
    </row>
    <row r="246">
      <c r="A246">
        <f>Skills!A9</f>
        <v/>
      </c>
      <c r="B246">
        <f>Skills!B9</f>
        <v/>
      </c>
      <c r="C246">
        <f>Inputs!$B$3&gt;=115</f>
        <v/>
      </c>
      <c r="D246">
        <f>IF(Skills!C9=1,60+Inputs!$B$24+Inputs!$B$28,IF(Skills!C9=2,90+Inputs!$B$25+Inputs!$B$28,IF(Skills!C9=3,120+Inputs!$B$26+Inputs!$B$28,MAX(0,(Inputs!$B$3-100)*3)+Inputs!$B$27+Inputs!$B$28)))</f>
        <v/>
      </c>
      <c r="E246">
        <f>INDEX(FactorTable!$B$2:$Y$301, MATCH(ROUND(MIN(300,MAX(1,D246)),0), FactorTable!$A$2:$A$301,0), Skills!L9+1)</f>
        <v/>
      </c>
      <c r="F246">
        <f>IF(Skills!M9=TRUE,(Skills!K9/10)*(E246/1000),Skills!K9/10)+Skills!N9</f>
        <v/>
      </c>
      <c r="G246">
        <f>Calc!G9</f>
        <v/>
      </c>
      <c r="H246">
        <f>Calc!H9</f>
        <v/>
      </c>
      <c r="I246">
        <f>IF(Skills!T9&lt;&gt;"",1+(Skills!T9/10)*($Z$3/1000)/100,1)</f>
        <v/>
      </c>
      <c r="J246">
        <f>((Inputs!$B$5*(1+Inputs!$B$6/100))+((Inputs!$B$11*(1+Inputs!$B$12/100))-(Inputs!$B$11*(1+Inputs!$B$12/100)))*(1+Inputs!$B$6/100))*(F246/100)</f>
        <v/>
      </c>
      <c r="K246">
        <f>J246*(1+((Inputs!$B$11*(1+Inputs!$B$12/100))*0.01+Inputs!$B$13*0.0025)/100)*(1+(Inputs!$B$14+B268)/100)*(1+IF(Inputs!$B$4="pvp",0,(1-Summary!$B$48)*(Inputs!$B$19+Skills!O9+B266)+Summary!$B$48*((Inputs!$B$20+1)+Skills!P9+B267))/100)*(1+Inputs!$B$15/100)*(5000/(6000+Inputs!$B$7*(1-Inputs!$B$18/100)))*(1+Inputs!$B$23/100)*(1+IF(C254=TRUE,F254,0)/100)*(1+IF(C256=TRUE,F256,0)/100)*(1+IF(Skills!A9="TRIUMPH_FEATHER",IF(C252=TRUE,F252,0),0)/100)*(1+IF(C263=TRUE,F263,0)/100)^5*(1+(IF(Skills!A9="BIG_BANG",Inputs!$B$16,Inputs!$B$17))/100)*(B265*I246)</f>
        <v/>
      </c>
      <c r="L246">
        <f>K246*(MIN(Inputs!$B$21+(F258-Calc!F21),Inputs!$B$22)/100+Inputs!$B$22/100)/2</f>
        <v/>
      </c>
      <c r="M246">
        <f>L246*(1+(Inputs!$B$9+B269+(F261-Calc!F24))/100)</f>
        <v/>
      </c>
      <c r="N246">
        <f>L246*(1-MIN(Inputs!$B$8+((F260-Calc!F23)+(F259-Calc!F22)),100)/100)+M246*(MIN(Inputs!$B$8+((F260-Calc!F23)+(F259-Calc!F22)),100)/100)</f>
        <v/>
      </c>
      <c r="O246">
        <f>IF(C246,H246*N246*IF(AND(Inputs!$B$4&lt;&gt;"pvp",Inputs!$B$35&gt;0),((Skills!F9*((S246-1)*IF(Skills!G9&gt;0,Skills!H9/Skills!G9,1)+IF(Skills!G9&gt;0,MIN(Skills!H9,MAX(0,Inputs!$B$35-((S246-1)*IF(Inputs!$B$4="pvp",15,MAX(0.1,Skills!D9-IF(Skills!E9=TRUE,Inputs!$B$31,0))))))/Skills!G9,1)))/Inputs!$B$35),G246*V246)*IF(Inputs!$B$4="pvp",1,(1-Summary!$B$48)*(1)+Summary!$B$48*(MIN(Skills!Q9,Inputs!$B$37))),0)</f>
        <v/>
      </c>
      <c r="P246">
        <f>IF(B275=0,0,O246/B275)</f>
        <v/>
      </c>
      <c r="S246">
        <f>IF(AND(Inputs!$B$4&lt;&gt;"pvp",Inputs!$B$35&gt;0),(INT(Inputs!$B$35/IF(Inputs!$B$4="pvp",15,MAX(0.1,Skills!D9-IF(Skills!E9=TRUE,Inputs!$B$31,0))))+1),0)</f>
        <v/>
      </c>
      <c r="V246">
        <f>IFERROR(1/IF(Inputs!$B$4="pvp",15,MAX(0.1,Skills!D9-IF(Skills!E9=TRUE,Inputs!$B$31,0))),0)</f>
        <v/>
      </c>
    </row>
    <row r="247">
      <c r="A247">
        <f>Skills!A10</f>
        <v/>
      </c>
      <c r="B247">
        <f>Skills!B10</f>
        <v/>
      </c>
      <c r="C247">
        <f>Inputs!$B$3&gt;=66</f>
        <v/>
      </c>
      <c r="D247">
        <f>IF(Skills!C10=1,60+Inputs!$B$24+Inputs!$B$28,IF(Skills!C10=2,90+Inputs!$B$25+Inputs!$B$28,IF(Skills!C10=3,120+Inputs!$B$26+Inputs!$B$28,MAX(0,(Inputs!$B$3-100)*3)+Inputs!$B$27+Inputs!$B$28)))</f>
        <v/>
      </c>
      <c r="E247">
        <f>INDEX(FactorTable!$B$2:$Y$301, MATCH(ROUND(MIN(300,MAX(1,D247)),0), FactorTable!$A$2:$A$301,0), Skills!L10+1)</f>
        <v/>
      </c>
      <c r="F247" t="n">
        <v>0</v>
      </c>
      <c r="G247">
        <f>Calc!G10</f>
        <v/>
      </c>
      <c r="H247">
        <f>Calc!H10</f>
        <v/>
      </c>
      <c r="I247">
        <f>IF(Skills!T10&lt;&gt;"",1+(Skills!T10/10)*($Z$3/1000)/100,1)</f>
        <v/>
      </c>
      <c r="J247" t="inlineStr"/>
      <c r="K247" t="inlineStr"/>
      <c r="L247" t="inlineStr"/>
      <c r="M247" t="inlineStr"/>
      <c r="N247" t="inlineStr"/>
      <c r="O247" t="n">
        <v>0</v>
      </c>
      <c r="P247">
        <f>IF(B275=0,0,O247/B275)</f>
        <v/>
      </c>
      <c r="S247">
        <f>IF(AND(Inputs!$B$4&lt;&gt;"pvp",Inputs!$B$35&gt;0),(INT(Inputs!$B$35/IF(Inputs!$B$4="pvp",15,MAX(0.1,Skills!D10-IF(Skills!E10=TRUE,Inputs!$B$31,0))))+1),0)</f>
        <v/>
      </c>
      <c r="V247">
        <f>IFERROR(1/IF(Inputs!$B$4="pvp",15,MAX(0.1,Skills!D10-IF(Skills!E10=TRUE,Inputs!$B$31,0))),0)</f>
        <v/>
      </c>
    </row>
    <row r="248">
      <c r="A248">
        <f>Skills!A11</f>
        <v/>
      </c>
      <c r="B248">
        <f>Skills!B11</f>
        <v/>
      </c>
      <c r="C248">
        <f>Inputs!$B$3&gt;=69</f>
        <v/>
      </c>
      <c r="D248">
        <f>IF(Skills!C11=1,60+Inputs!$B$24+Inputs!$B$28,IF(Skills!C11=2,90+Inputs!$B$25+Inputs!$B$28,IF(Skills!C11=3,120+Inputs!$B$26+Inputs!$B$28,MAX(0,(Inputs!$B$3-100)*3)+Inputs!$B$27+Inputs!$B$28)))</f>
        <v/>
      </c>
      <c r="E248">
        <f>INDEX(FactorTable!$B$2:$Y$301, MATCH(ROUND(MIN(300,MAX(1,D248)),0), FactorTable!$A$2:$A$301,0), Skills!L11+1)</f>
        <v/>
      </c>
      <c r="F248">
        <f>IF(Skills!M11=TRUE,(Skills!K11/10)*(E248/1000),Skills!K11/10)+Skills!N11</f>
        <v/>
      </c>
      <c r="G248">
        <f>Calc!G11</f>
        <v/>
      </c>
      <c r="H248">
        <f>Calc!H11</f>
        <v/>
      </c>
      <c r="I248">
        <f>IF(Skills!T11&lt;&gt;"",1+(Skills!T11/10)*($Z$3/1000)/100,1)</f>
        <v/>
      </c>
      <c r="J248" t="inlineStr"/>
      <c r="K248" t="inlineStr"/>
      <c r="L248" t="inlineStr"/>
      <c r="M248" t="inlineStr"/>
      <c r="N248" t="inlineStr"/>
      <c r="O248" t="n">
        <v>0</v>
      </c>
      <c r="P248">
        <f>IF(B275=0,0,O248/B275)</f>
        <v/>
      </c>
      <c r="S248">
        <f>IF(AND(Inputs!$B$4&lt;&gt;"pvp",Inputs!$B$35&gt;0),(INT(Inputs!$B$35/IF(Inputs!$B$4="pvp",15,MAX(0.1,Skills!D11-IF(Skills!E11=TRUE,Inputs!$B$31,0))))+1),0)</f>
        <v/>
      </c>
      <c r="V248">
        <f>IFERROR(1/IF(Inputs!$B$4="pvp",15,MAX(0.1,Skills!D11-IF(Skills!E11=TRUE,Inputs!$B$31,0))),0)</f>
        <v/>
      </c>
    </row>
    <row r="249">
      <c r="A249">
        <f>Skills!A12</f>
        <v/>
      </c>
      <c r="B249">
        <f>Skills!B12</f>
        <v/>
      </c>
      <c r="C249">
        <f>Inputs!$B$3&gt;=72</f>
        <v/>
      </c>
      <c r="D249">
        <f>IF(Skills!C12=1,60+Inputs!$B$24+Inputs!$B$28,IF(Skills!C12=2,90+Inputs!$B$25+Inputs!$B$28,IF(Skills!C12=3,120+Inputs!$B$26+Inputs!$B$28,MAX(0,(Inputs!$B$3-100)*3)+Inputs!$B$27+Inputs!$B$28)))</f>
        <v/>
      </c>
      <c r="E249">
        <f>INDEX(FactorTable!$B$2:$Y$301, MATCH(ROUND(MIN(300,MAX(1,D249)),0), FactorTable!$A$2:$A$301,0), Skills!L12+1)</f>
        <v/>
      </c>
      <c r="F249">
        <f>IF(Skills!M12=TRUE,(Skills!K12/10)*(E249/1000),Skills!K12/10)+Skills!N12</f>
        <v/>
      </c>
      <c r="G249">
        <f>Calc!G12</f>
        <v/>
      </c>
      <c r="H249">
        <f>Calc!H12</f>
        <v/>
      </c>
      <c r="I249">
        <f>IF(Skills!T12&lt;&gt;"",1+(Skills!T12/10)*($Z$3/1000)/100,1)</f>
        <v/>
      </c>
      <c r="J249" t="inlineStr"/>
      <c r="K249" t="inlineStr"/>
      <c r="L249" t="inlineStr"/>
      <c r="M249" t="inlineStr"/>
      <c r="N249" t="inlineStr"/>
      <c r="O249" t="n">
        <v>0</v>
      </c>
      <c r="P249">
        <f>IF(B275=0,0,O249/B275)</f>
        <v/>
      </c>
      <c r="S249">
        <f>IF(AND(Inputs!$B$4&lt;&gt;"pvp",Inputs!$B$35&gt;0),(INT(Inputs!$B$35/IF(Inputs!$B$4="pvp",15,MAX(0.1,Skills!D12-IF(Skills!E12=TRUE,Inputs!$B$31,0))))+1),0)</f>
        <v/>
      </c>
      <c r="V249">
        <f>IFERROR(1/IF(Inputs!$B$4="pvp",15,MAX(0.1,Skills!D12-IF(Skills!E12=TRUE,Inputs!$B$31,0))),0)</f>
        <v/>
      </c>
    </row>
    <row r="250">
      <c r="A250">
        <f>Skills!A13</f>
        <v/>
      </c>
      <c r="B250">
        <f>Skills!B13</f>
        <v/>
      </c>
      <c r="C250">
        <f>Inputs!$B$3&gt;=107</f>
        <v/>
      </c>
      <c r="D250">
        <f>IF(Skills!C13=1,60+Inputs!$B$24+Inputs!$B$28,IF(Skills!C13=2,90+Inputs!$B$25+Inputs!$B$28,IF(Skills!C13=3,120+Inputs!$B$26+Inputs!$B$28,MAX(0,(Inputs!$B$3-100)*3)+Inputs!$B$27+Inputs!$B$28)))</f>
        <v/>
      </c>
      <c r="E250">
        <f>INDEX(FactorTable!$B$2:$Y$301, MATCH(ROUND(MIN(300,MAX(1,D250)),0), FactorTable!$A$2:$A$301,0), Skills!L13+1)</f>
        <v/>
      </c>
      <c r="F250">
        <f>IF(Skills!M13=TRUE,(Skills!K13/10)*(E250/1000),Skills!K13/10)+Skills!N13</f>
        <v/>
      </c>
      <c r="G250">
        <f>Calc!G13</f>
        <v/>
      </c>
      <c r="H250">
        <f>Calc!H13</f>
        <v/>
      </c>
      <c r="I250">
        <f>IF(Skills!T13&lt;&gt;"",1+(Skills!T13/10)*($Z$3/1000)/100,1)</f>
        <v/>
      </c>
      <c r="J250" t="inlineStr"/>
      <c r="K250" t="inlineStr"/>
      <c r="L250" t="inlineStr"/>
      <c r="M250" t="inlineStr"/>
      <c r="N250" t="inlineStr"/>
      <c r="O250" t="n">
        <v>0</v>
      </c>
      <c r="P250">
        <f>IF(B275=0,0,O250/B275)</f>
        <v/>
      </c>
      <c r="S250">
        <f>IF(AND(Inputs!$B$4&lt;&gt;"pvp",Inputs!$B$35&gt;0),(INT(Inputs!$B$35/IF(Inputs!$B$4="pvp",15,MAX(0.1,Skills!D13-IF(Skills!E13=TRUE,Inputs!$B$31,0))))+1),0)</f>
        <v/>
      </c>
      <c r="V250">
        <f>IFERROR(1/IF(Inputs!$B$4="pvp",15,MAX(0.1,Skills!D13-IF(Skills!E13=TRUE,Inputs!$B$31,0))),0)</f>
        <v/>
      </c>
    </row>
    <row r="251">
      <c r="A251">
        <f>Skills!A14</f>
        <v/>
      </c>
      <c r="B251">
        <f>Skills!B14</f>
        <v/>
      </c>
      <c r="C251">
        <f>Inputs!$B$3&gt;=63</f>
        <v/>
      </c>
      <c r="D251">
        <f>IF(Skills!C14=1,60+Inputs!$B$24+Inputs!$B$28,IF(Skills!C14=2,90+Inputs!$B$25+Inputs!$B$28,IF(Skills!C14=3,120+Inputs!$B$26+Inputs!$B$28,MAX(0,(Inputs!$B$3-100)*3)+Inputs!$B$27+Inputs!$B$28)))</f>
        <v/>
      </c>
      <c r="E251">
        <f>INDEX(FactorTable!$B$2:$Y$301, MATCH(ROUND(MIN(300,MAX(1,D251)),0), FactorTable!$A$2:$A$301,0), Skills!L14+1)</f>
        <v/>
      </c>
      <c r="F251">
        <f>IF(Skills!M14=TRUE,(Skills!K14/10)*(E251/1000),Skills!K14/10)+Skills!N14</f>
        <v/>
      </c>
      <c r="G251">
        <f>Calc!G14</f>
        <v/>
      </c>
      <c r="H251">
        <f>Calc!H14</f>
        <v/>
      </c>
      <c r="I251">
        <f>IF(Skills!T14&lt;&gt;"",1+(Skills!T14/10)*($Z$3/1000)/100,1)</f>
        <v/>
      </c>
      <c r="J251">
        <f>((Inputs!$B$5*(1+Inputs!$B$6/100))+((Inputs!$B$11*(1+Inputs!$B$12/100))-(Inputs!$B$11*(1+Inputs!$B$12/100)))*(1+Inputs!$B$6/100))*(F251/100)</f>
        <v/>
      </c>
      <c r="K251">
        <f>J251*(1+((Inputs!$B$11*(1+Inputs!$B$12/100))*0.01+Inputs!$B$13*0.0025)/100)*(1+(Inputs!$B$14+B268)/100)*(1+IF(Inputs!$B$4="pvp",0,(1-Summary!$B$48)*(Inputs!$B$19+Skills!O14+B266)+Summary!$B$48*((Inputs!$B$20+1)+Skills!P14+B267))/100)*(1+Inputs!$B$15/100)*(5000/(6000+Inputs!$B$7*(1-Inputs!$B$18/100)))*(1+Inputs!$B$23/100)*(1+IF(C254=TRUE,F254,0)/100)*(1+IF(C256=TRUE,F256,0)/100)*(1+IF(Skills!A14="TRIUMPH_FEATHER",IF(C252=TRUE,F252,0),0)/100)*(1+IF(C263=TRUE,F263,0)/100)^5*(1+(IF(Skills!A14="BIG_BANG",Inputs!$B$16,Inputs!$B$17))/100)*(B265*I251)</f>
        <v/>
      </c>
      <c r="L251">
        <f>K251*(MIN(Inputs!$B$21+(F258-Calc!F21),Inputs!$B$22)/100+Inputs!$B$22/100)/2</f>
        <v/>
      </c>
      <c r="M251">
        <f>L251*(1+(Inputs!$B$9+B269+(F261-Calc!F24))/100)</f>
        <v/>
      </c>
      <c r="N251">
        <f>L251*(1-MIN(Inputs!$B$8+((F260-Calc!F23)+(F259-Calc!F22)),100)/100)+M251*(MIN(Inputs!$B$8+((F260-Calc!F23)+(F259-Calc!F22)),100)/100)</f>
        <v/>
      </c>
      <c r="O251">
        <f>IF(C251,Skills!F14*N251*((IF(Inputs!$B$3&gt;=78,25,15)/100*B271*10)/(1+IF(Inputs!$B$3&gt;=78,25,15)/100*B271*10))*(Skills!I14/100*B271)/(1+Skills!G14*Skills!I14/100*B271)*IF(Inputs!$B$4="pvp",1,(1-Summary!$B$48)*(1)+Summary!$B$48*(MIN(Skills!Q14,Inputs!$B$37))),0)</f>
        <v/>
      </c>
      <c r="P251">
        <f>IF(B275=0,0,O251/B275)</f>
        <v/>
      </c>
      <c r="S251" t="n">
        <v>0</v>
      </c>
      <c r="V251">
        <f>IFERROR(1/IF(Inputs!$B$4="pvp",15,MAX(0.1,Skills!D14-IF(Skills!E14=TRUE,Inputs!$B$31,0))),0)</f>
        <v/>
      </c>
    </row>
    <row r="252">
      <c r="A252">
        <f>Skills!A15</f>
        <v/>
      </c>
      <c r="B252">
        <f>Skills!B15</f>
        <v/>
      </c>
      <c r="C252">
        <f>Inputs!$B$3&gt;=100</f>
        <v/>
      </c>
      <c r="D252">
        <f>IF(Skills!C15=1,60+Inputs!$B$24+Inputs!$B$28,IF(Skills!C15=2,90+Inputs!$B$25+Inputs!$B$28,IF(Skills!C15=3,120+Inputs!$B$26+Inputs!$B$28,MAX(0,(Inputs!$B$3-100)*3)+Inputs!$B$27+Inputs!$B$28)))</f>
        <v/>
      </c>
      <c r="E252">
        <f>INDEX(FactorTable!$B$2:$Y$301, MATCH(ROUND(MIN(300,MAX(1,D252)),0), FactorTable!$A$2:$A$301,0), Skills!L15+1)</f>
        <v/>
      </c>
      <c r="F252">
        <f>IF(Skills!M15=TRUE,(Skills!K15/10)*(E252/1000),Skills!K15/10)+Skills!N15</f>
        <v/>
      </c>
      <c r="G252">
        <f>Calc!G15</f>
        <v/>
      </c>
      <c r="H252">
        <f>Calc!H15</f>
        <v/>
      </c>
      <c r="I252">
        <f>IF(Skills!T15&lt;&gt;"",1+(Skills!T15/10)*($Z$3/1000)/100,1)</f>
        <v/>
      </c>
      <c r="J252" t="inlineStr"/>
      <c r="K252" t="inlineStr"/>
      <c r="L252" t="inlineStr"/>
      <c r="M252" t="inlineStr"/>
      <c r="N252" t="inlineStr"/>
      <c r="O252" t="n">
        <v>0</v>
      </c>
      <c r="P252">
        <f>IF(B275=0,0,O252/B275)</f>
        <v/>
      </c>
      <c r="S252" t="n">
        <v>0</v>
      </c>
      <c r="V252">
        <f>IFERROR(1/IF(Inputs!$B$4="pvp",15,MAX(0.1,Skills!D15-IF(Skills!E15=TRUE,Inputs!$B$31,0))),0)</f>
        <v/>
      </c>
    </row>
    <row r="253">
      <c r="A253">
        <f>Skills!A16</f>
        <v/>
      </c>
      <c r="B253">
        <f>Skills!B16</f>
        <v/>
      </c>
      <c r="C253">
        <f>Inputs!$B$3&gt;=49</f>
        <v/>
      </c>
      <c r="D253">
        <f>IF(Skills!C16=1,60+Inputs!$B$24+Inputs!$B$28,IF(Skills!C16=2,90+Inputs!$B$25+Inputs!$B$28,IF(Skills!C16=3,120+Inputs!$B$26+Inputs!$B$28,MAX(0,(Inputs!$B$3-100)*3)+Inputs!$B$27+Inputs!$B$28)))</f>
        <v/>
      </c>
      <c r="E253">
        <f>INDEX(FactorTable!$B$2:$Y$301, MATCH(ROUND(MIN(300,MAX(1,D253)),0), FactorTable!$A$2:$A$301,0), Skills!L16+1)</f>
        <v/>
      </c>
      <c r="F253">
        <f>IF(Skills!M16=TRUE,(Skills!K16/10)*(E253/1000),Skills!K16/10)+Skills!N16</f>
        <v/>
      </c>
      <c r="G253">
        <f>Calc!G16</f>
        <v/>
      </c>
      <c r="H253">
        <f>Calc!H16</f>
        <v/>
      </c>
      <c r="I253">
        <f>IF(Skills!T16&lt;&gt;"",1+(Skills!T16/10)*($Z$3/1000)/100,1)</f>
        <v/>
      </c>
      <c r="J253" t="inlineStr"/>
      <c r="K253" t="inlineStr"/>
      <c r="L253" t="inlineStr"/>
      <c r="M253" t="inlineStr"/>
      <c r="N253" t="inlineStr"/>
      <c r="O253" t="n">
        <v>0</v>
      </c>
      <c r="P253">
        <f>IF(B275=0,0,O253/B275)</f>
        <v/>
      </c>
      <c r="S253" t="n">
        <v>0</v>
      </c>
      <c r="V253">
        <f>IFERROR(1/IF(Inputs!$B$4="pvp",15,MAX(0.1,Skills!D16-IF(Skills!E16=TRUE,Inputs!$B$31,0))),0)</f>
        <v/>
      </c>
    </row>
    <row r="254">
      <c r="A254">
        <f>Skills!A17</f>
        <v/>
      </c>
      <c r="B254">
        <f>Skills!B17</f>
        <v/>
      </c>
      <c r="C254">
        <f>Inputs!$B$3&gt;=75</f>
        <v/>
      </c>
      <c r="D254">
        <f>IF(Skills!C17=1,60+Inputs!$B$24+Inputs!$B$28,IF(Skills!C17=2,90+Inputs!$B$25+Inputs!$B$28,IF(Skills!C17=3,120+Inputs!$B$26+Inputs!$B$28,MAX(0,(Inputs!$B$3-100)*3)+Inputs!$B$27+Inputs!$B$28)))</f>
        <v/>
      </c>
      <c r="E254">
        <f>INDEX(FactorTable!$B$2:$Y$301, MATCH(ROUND(MIN(300,MAX(1,D254)),0), FactorTable!$A$2:$A$301,0), Skills!L17+1)</f>
        <v/>
      </c>
      <c r="F254">
        <f>IF(Skills!M17=TRUE,(Skills!K17/10)*(E254/1000),Skills!K17/10)+Skills!N17</f>
        <v/>
      </c>
      <c r="G254">
        <f>Calc!G17</f>
        <v/>
      </c>
      <c r="H254">
        <f>Calc!H17</f>
        <v/>
      </c>
      <c r="I254">
        <f>IF(Skills!T17&lt;&gt;"",1+(Skills!T17/10)*($Z$3/1000)/100,1)</f>
        <v/>
      </c>
      <c r="J254" t="inlineStr"/>
      <c r="K254" t="inlineStr"/>
      <c r="L254" t="inlineStr"/>
      <c r="M254" t="inlineStr"/>
      <c r="N254" t="inlineStr"/>
      <c r="O254" t="n">
        <v>0</v>
      </c>
      <c r="P254">
        <f>IF(B275=0,0,O254/B275)</f>
        <v/>
      </c>
      <c r="S254" t="n">
        <v>0</v>
      </c>
      <c r="V254">
        <f>IFERROR(1/IF(Inputs!$B$4="pvp",15,MAX(0.1,Skills!D17-IF(Skills!E17=TRUE,Inputs!$B$31,0))),0)</f>
        <v/>
      </c>
    </row>
    <row r="255">
      <c r="A255">
        <f>Skills!A18</f>
        <v/>
      </c>
      <c r="B255">
        <f>Skills!B18</f>
        <v/>
      </c>
      <c r="C255">
        <f>Inputs!$B$3&gt;=110</f>
        <v/>
      </c>
      <c r="D255">
        <f>IF(Skills!C18=1,60+Inputs!$B$24+Inputs!$B$28,IF(Skills!C18=2,90+Inputs!$B$25+Inputs!$B$28,IF(Skills!C18=3,120+Inputs!$B$26+Inputs!$B$28,MAX(0,(Inputs!$B$3-100)*3)+Inputs!$B$27+Inputs!$B$28)))</f>
        <v/>
      </c>
      <c r="E255">
        <f>INDEX(FactorTable!$B$2:$Y$301, MATCH(ROUND(MIN(300,MAX(1,D255)),0), FactorTable!$A$2:$A$301,0), Skills!L18+1)</f>
        <v/>
      </c>
      <c r="F255">
        <f>(Skills!K18/10)*(E255/1000)*64/45+Skills!N18</f>
        <v/>
      </c>
      <c r="G255">
        <f>Calc!G18</f>
        <v/>
      </c>
      <c r="H255">
        <f>Calc!H18</f>
        <v/>
      </c>
      <c r="I255">
        <f>IF(Skills!T18&lt;&gt;"",1+(Skills!T18/10)*($Z$3/1000)/100,1)</f>
        <v/>
      </c>
      <c r="J255" t="inlineStr"/>
      <c r="K255" t="inlineStr"/>
      <c r="L255" t="inlineStr"/>
      <c r="M255" t="inlineStr"/>
      <c r="N255" t="inlineStr"/>
      <c r="O255" t="n">
        <v>0</v>
      </c>
      <c r="P255">
        <f>IF(B275=0,0,O255/B275)</f>
        <v/>
      </c>
      <c r="S255">
        <f>IF(AND(Inputs!$B$4&lt;&gt;"pvp",Inputs!$B$35&gt;0),(INT(Inputs!$B$35/IF(Inputs!$B$4="pvp",15,MAX(0.1,Skills!D18-IF(Skills!E18=TRUE,Inputs!$B$31,0))))+1),0)</f>
        <v/>
      </c>
      <c r="V255">
        <f>IFERROR(1/IF(Inputs!$B$4="pvp",15,MAX(0.1,Skills!D18-IF(Skills!E18=TRUE,Inputs!$B$31,0))),0)</f>
        <v/>
      </c>
    </row>
    <row r="256">
      <c r="A256">
        <f>Skills!A19</f>
        <v/>
      </c>
      <c r="B256">
        <f>Skills!B19</f>
        <v/>
      </c>
      <c r="C256">
        <f>Inputs!$B$3&gt;=125</f>
        <v/>
      </c>
      <c r="D256">
        <f>IF(Skills!C19=1,60+Inputs!$B$24+Inputs!$B$28,IF(Skills!C19=2,90+Inputs!$B$25+Inputs!$B$28,IF(Skills!C19=3,120+Inputs!$B$26+Inputs!$B$28,MAX(0,(Inputs!$B$3-100)*3)+Inputs!$B$27+Inputs!$B$28)))</f>
        <v/>
      </c>
      <c r="E256">
        <f>INDEX(FactorTable!$B$2:$Y$301, MATCH(ROUND(MIN(300,MAX(1,D256)),0), FactorTable!$A$2:$A$301,0), Skills!L19+1)</f>
        <v/>
      </c>
      <c r="F256">
        <f>IF(Skills!M19=TRUE,(Skills!K19/10)*(E256/1000),Skills!K19/10)+Skills!N19</f>
        <v/>
      </c>
      <c r="G256">
        <f>Calc!G19</f>
        <v/>
      </c>
      <c r="H256">
        <f>Calc!H19</f>
        <v/>
      </c>
      <c r="I256">
        <f>IF(Skills!T19&lt;&gt;"",1+(Skills!T19/10)*($Z$3/1000)/100,1)</f>
        <v/>
      </c>
      <c r="J256" t="inlineStr"/>
      <c r="K256" t="inlineStr"/>
      <c r="L256" t="inlineStr"/>
      <c r="M256" t="inlineStr"/>
      <c r="N256" t="inlineStr"/>
      <c r="O256" t="n">
        <v>0</v>
      </c>
      <c r="P256">
        <f>IF(B275=0,0,O256/B275)</f>
        <v/>
      </c>
      <c r="S256" t="n">
        <v>0</v>
      </c>
      <c r="V256">
        <f>IFERROR(1/IF(Inputs!$B$4="pvp",15,MAX(0.1,Skills!D19-IF(Skills!E19=TRUE,Inputs!$B$31,0))),0)</f>
        <v/>
      </c>
    </row>
    <row r="257">
      <c r="A257">
        <f>Skills!A20</f>
        <v/>
      </c>
      <c r="B257">
        <f>Skills!B20</f>
        <v/>
      </c>
      <c r="C257">
        <f>Inputs!$B$3&gt;=33</f>
        <v/>
      </c>
      <c r="D257">
        <f>IF(Skills!C20=1,60+Inputs!$B$24+Inputs!$B$28,IF(Skills!C20=2,90+Inputs!$B$25+Inputs!$B$28,IF(Skills!C20=3,120+Inputs!$B$26+Inputs!$B$28,MAX(0,(Inputs!$B$3-100)*3)+Inputs!$B$27+Inputs!$B$28)))</f>
        <v/>
      </c>
      <c r="E257">
        <f>INDEX(FactorTable!$B$2:$Y$301, MATCH(ROUND(MIN(300,MAX(1,D257)),0), FactorTable!$A$2:$A$301,0), Skills!L20+1)</f>
        <v/>
      </c>
      <c r="F257">
        <f>IF(Skills!M20=TRUE,(Skills!K20/10)*(E257/1000),Skills!K20/10)+Skills!N20</f>
        <v/>
      </c>
      <c r="G257">
        <f>Calc!G20</f>
        <v/>
      </c>
      <c r="H257">
        <f>Calc!H20</f>
        <v/>
      </c>
      <c r="I257">
        <f>IF(Skills!T20&lt;&gt;"",1+(Skills!T20/10)*($Z$3/1000)/100,1)</f>
        <v/>
      </c>
      <c r="J257" t="inlineStr"/>
      <c r="K257" t="inlineStr"/>
      <c r="L257" t="inlineStr"/>
      <c r="M257" t="inlineStr"/>
      <c r="N257" t="inlineStr"/>
      <c r="O257" t="n">
        <v>0</v>
      </c>
      <c r="P257">
        <f>IF(B275=0,0,O257/B275)</f>
        <v/>
      </c>
      <c r="S257" t="n">
        <v>0</v>
      </c>
      <c r="V257">
        <f>IFERROR(1/IF(Inputs!$B$4="pvp",15,MAX(0.1,Skills!D20-IF(Skills!E20=TRUE,Inputs!$B$31,0))),0)</f>
        <v/>
      </c>
    </row>
    <row r="258">
      <c r="A258">
        <f>Skills!A21</f>
        <v/>
      </c>
      <c r="B258">
        <f>Skills!B21</f>
        <v/>
      </c>
      <c r="C258">
        <f>Inputs!$B$3&gt;=43</f>
        <v/>
      </c>
      <c r="D258">
        <f>IF(Skills!C21=1,60+Inputs!$B$24+Inputs!$B$28,IF(Skills!C21=2,90+Inputs!$B$25+Inputs!$B$28,IF(Skills!C21=3,120+Inputs!$B$26+Inputs!$B$28,MAX(0,(Inputs!$B$3-100)*3)+Inputs!$B$27+Inputs!$B$28)))</f>
        <v/>
      </c>
      <c r="E258">
        <f>INDEX(FactorTable!$B$2:$Y$301, MATCH(ROUND(MIN(300,MAX(1,D258)),0), FactorTable!$A$2:$A$301,0), Skills!L21+1)</f>
        <v/>
      </c>
      <c r="F258">
        <f>IF(Skills!M21=TRUE,(Skills!K21/10)*(E258/1000),Skills!K21/10)+Skills!N21</f>
        <v/>
      </c>
      <c r="G258">
        <f>Calc!G21</f>
        <v/>
      </c>
      <c r="H258">
        <f>Calc!H21</f>
        <v/>
      </c>
      <c r="I258">
        <f>IF(Skills!T21&lt;&gt;"",1+(Skills!T21/10)*($Z$3/1000)/100,1)</f>
        <v/>
      </c>
      <c r="J258" t="inlineStr"/>
      <c r="K258" t="inlineStr"/>
      <c r="L258" t="inlineStr"/>
      <c r="M258" t="inlineStr"/>
      <c r="N258" t="inlineStr"/>
      <c r="O258" t="n">
        <v>0</v>
      </c>
      <c r="P258">
        <f>IF(B275=0,0,O258/B275)</f>
        <v/>
      </c>
      <c r="S258" t="n">
        <v>0</v>
      </c>
      <c r="V258">
        <f>IFERROR(1/IF(Inputs!$B$4="pvp",15,MAX(0.1,Skills!D21-IF(Skills!E21=TRUE,Inputs!$B$31,0))),0)</f>
        <v/>
      </c>
    </row>
    <row r="259">
      <c r="A259">
        <f>Skills!A22</f>
        <v/>
      </c>
      <c r="B259">
        <f>Skills!B22</f>
        <v/>
      </c>
      <c r="C259">
        <f>Inputs!$B$3&gt;=50</f>
        <v/>
      </c>
      <c r="D259">
        <f>IF(Skills!C22=1,60+Inputs!$B$24+Inputs!$B$28,IF(Skills!C22=2,90+Inputs!$B$25+Inputs!$B$28,IF(Skills!C22=3,120+Inputs!$B$26+Inputs!$B$28,MAX(0,(Inputs!$B$3-100)*3)+Inputs!$B$27+Inputs!$B$28)))</f>
        <v/>
      </c>
      <c r="E259">
        <f>INDEX(FactorTable!$B$2:$Y$301, MATCH(ROUND(MIN(300,MAX(1,D259)),0), FactorTable!$A$2:$A$301,0), Skills!L22+1)</f>
        <v/>
      </c>
      <c r="F259">
        <f>IF(Skills!M22=TRUE,(Skills!K22/10)*(E259/1000),Skills!K22/10)+Skills!N22</f>
        <v/>
      </c>
      <c r="G259">
        <f>Calc!G22</f>
        <v/>
      </c>
      <c r="H259">
        <f>Calc!H22</f>
        <v/>
      </c>
      <c r="I259">
        <f>IF(Skills!T22&lt;&gt;"",1+(Skills!T22/10)*($Z$3/1000)/100,1)</f>
        <v/>
      </c>
      <c r="J259" t="inlineStr"/>
      <c r="K259" t="inlineStr"/>
      <c r="L259" t="inlineStr"/>
      <c r="M259" t="inlineStr"/>
      <c r="N259" t="inlineStr"/>
      <c r="O259" t="n">
        <v>0</v>
      </c>
      <c r="P259">
        <f>IF(B275=0,0,O259/B275)</f>
        <v/>
      </c>
      <c r="S259" t="n">
        <v>0</v>
      </c>
      <c r="V259">
        <f>IFERROR(1/IF(Inputs!$B$4="pvp",15,MAX(0.1,Skills!D22-IF(Skills!E22=TRUE,Inputs!$B$31,0))),0)</f>
        <v/>
      </c>
    </row>
    <row r="260">
      <c r="A260">
        <f>Skills!A23</f>
        <v/>
      </c>
      <c r="B260">
        <f>Skills!B23</f>
        <v/>
      </c>
      <c r="C260">
        <f>Inputs!$B$3&gt;=74</f>
        <v/>
      </c>
      <c r="D260">
        <f>IF(Skills!C23=1,60+Inputs!$B$24+Inputs!$B$28,IF(Skills!C23=2,90+Inputs!$B$25+Inputs!$B$28,IF(Skills!C23=3,120+Inputs!$B$26+Inputs!$B$28,MAX(0,(Inputs!$B$3-100)*3)+Inputs!$B$27+Inputs!$B$28)))</f>
        <v/>
      </c>
      <c r="E260">
        <f>INDEX(FactorTable!$B$2:$Y$301, MATCH(ROUND(MIN(300,MAX(1,D260)),0), FactorTable!$A$2:$A$301,0), Skills!L23+1)</f>
        <v/>
      </c>
      <c r="F260">
        <f>IF(Skills!M23=TRUE,(Skills!K23/10)*(E260/1000),Skills!K23/10)+Skills!N23</f>
        <v/>
      </c>
      <c r="G260">
        <f>Calc!G23</f>
        <v/>
      </c>
      <c r="H260">
        <f>Calc!H23</f>
        <v/>
      </c>
      <c r="I260">
        <f>IF(Skills!T23&lt;&gt;"",1+(Skills!T23/10)*($Z$3/1000)/100,1)</f>
        <v/>
      </c>
      <c r="J260" t="inlineStr"/>
      <c r="K260" t="inlineStr"/>
      <c r="L260" t="inlineStr"/>
      <c r="M260" t="inlineStr"/>
      <c r="N260" t="inlineStr"/>
      <c r="O260" t="n">
        <v>0</v>
      </c>
      <c r="P260">
        <f>IF(B275=0,0,O260/B275)</f>
        <v/>
      </c>
      <c r="S260" t="n">
        <v>0</v>
      </c>
      <c r="V260">
        <f>IFERROR(1/IF(Inputs!$B$4="pvp",15,MAX(0.1,Skills!D23-IF(Skills!E23=TRUE,Inputs!$B$31,0))),0)</f>
        <v/>
      </c>
    </row>
    <row r="261">
      <c r="A261">
        <f>Skills!A24</f>
        <v/>
      </c>
      <c r="B261">
        <f>Skills!B24</f>
        <v/>
      </c>
      <c r="C261">
        <f>Inputs!$B$3&gt;=74</f>
        <v/>
      </c>
      <c r="D261">
        <f>IF(Skills!C24=1,60+Inputs!$B$24+Inputs!$B$28,IF(Skills!C24=2,90+Inputs!$B$25+Inputs!$B$28,IF(Skills!C24=3,120+Inputs!$B$26+Inputs!$B$28,MAX(0,(Inputs!$B$3-100)*3)+Inputs!$B$27+Inputs!$B$28)))</f>
        <v/>
      </c>
      <c r="E261">
        <f>INDEX(FactorTable!$B$2:$Y$301, MATCH(ROUND(MIN(300,MAX(1,D261)),0), FactorTable!$A$2:$A$301,0), Skills!L24+1)</f>
        <v/>
      </c>
      <c r="F261">
        <f>IF(Skills!M24=TRUE,(Skills!K24/10)*(E261/1000),Skills!K24/10)+Skills!N24</f>
        <v/>
      </c>
      <c r="G261">
        <f>Calc!G24</f>
        <v/>
      </c>
      <c r="H261">
        <f>Calc!H24</f>
        <v/>
      </c>
      <c r="I261">
        <f>IF(Skills!T24&lt;&gt;"",1+(Skills!T24/10)*($Z$3/1000)/100,1)</f>
        <v/>
      </c>
      <c r="J261" t="inlineStr"/>
      <c r="K261" t="inlineStr"/>
      <c r="L261" t="inlineStr"/>
      <c r="M261" t="inlineStr"/>
      <c r="N261" t="inlineStr"/>
      <c r="O261" t="n">
        <v>0</v>
      </c>
      <c r="P261">
        <f>IF(B275=0,0,O261/B275)</f>
        <v/>
      </c>
      <c r="S261" t="n">
        <v>0</v>
      </c>
      <c r="V261">
        <f>IFERROR(1/IF(Inputs!$B$4="pvp",15,MAX(0.1,Skills!D24-IF(Skills!E24=TRUE,Inputs!$B$31,0))),0)</f>
        <v/>
      </c>
    </row>
    <row r="262">
      <c r="A262">
        <f>Skills!A25</f>
        <v/>
      </c>
      <c r="B262">
        <f>Skills!B25</f>
        <v/>
      </c>
      <c r="C262">
        <f>Inputs!$B$3&gt;=117</f>
        <v/>
      </c>
      <c r="D262">
        <f>IF(Skills!C25=1,60+Inputs!$B$24+Inputs!$B$28,IF(Skills!C25=2,90+Inputs!$B$25+Inputs!$B$28,IF(Skills!C25=3,120+Inputs!$B$26+Inputs!$B$28,MAX(0,(Inputs!$B$3-100)*3)+Inputs!$B$27+Inputs!$B$28)))</f>
        <v/>
      </c>
      <c r="E262">
        <f>INDEX(FactorTable!$B$2:$Y$301, MATCH(ROUND(MIN(300,MAX(1,D262)),0), FactorTable!$A$2:$A$301,0), Skills!L25+1)</f>
        <v/>
      </c>
      <c r="F262">
        <f>IF(Skills!M25=TRUE,(Skills!K25/10)*(E262/1000),Skills!K25/10)+Skills!N25</f>
        <v/>
      </c>
      <c r="G262">
        <f>Calc!G25</f>
        <v/>
      </c>
      <c r="H262">
        <f>Calc!H25</f>
        <v/>
      </c>
      <c r="I262">
        <f>IF(Skills!T25&lt;&gt;"",1+(Skills!T25/10)*($Z$3/1000)/100,1)</f>
        <v/>
      </c>
      <c r="J262" t="inlineStr"/>
      <c r="K262" t="inlineStr"/>
      <c r="L262" t="inlineStr"/>
      <c r="M262" t="inlineStr"/>
      <c r="N262" t="inlineStr"/>
      <c r="O262" t="n">
        <v>0</v>
      </c>
      <c r="P262">
        <f>IF(B275=0,0,O262/B275)</f>
        <v/>
      </c>
      <c r="S262" t="n">
        <v>0</v>
      </c>
      <c r="V262">
        <f>IFERROR(1/IF(Inputs!$B$4="pvp",15,MAX(0.1,Skills!D25-IF(Skills!E25=TRUE,Inputs!$B$31,0))),0)</f>
        <v/>
      </c>
    </row>
    <row r="263">
      <c r="A263">
        <f>Skills!A26</f>
        <v/>
      </c>
      <c r="B263">
        <f>Skills!B26</f>
        <v/>
      </c>
      <c r="C263">
        <f>Inputs!$B$3&gt;=120</f>
        <v/>
      </c>
      <c r="D263">
        <f>IF(Skills!C26=1,60+Inputs!$B$24+Inputs!$B$28,IF(Skills!C26=2,90+Inputs!$B$25+Inputs!$B$28,IF(Skills!C26=3,120+Inputs!$B$26+Inputs!$B$28,MAX(0,(Inputs!$B$3-100)*3)+Inputs!$B$27+Inputs!$B$28)))</f>
        <v/>
      </c>
      <c r="E263">
        <f>INDEX(FactorTable!$B$2:$Y$301, MATCH(ROUND(MIN(300,MAX(1,D263)),0), FactorTable!$A$2:$A$301,0), Skills!L26+1)</f>
        <v/>
      </c>
      <c r="F263">
        <f>IF(Skills!M26=TRUE,(Skills!K26/10)*(E263/1000),Skills!K26/10)+Skills!N26</f>
        <v/>
      </c>
      <c r="G263">
        <f>Calc!G26</f>
        <v/>
      </c>
      <c r="H263">
        <f>Calc!H26</f>
        <v/>
      </c>
      <c r="I263">
        <f>IF(Skills!T26&lt;&gt;"",1+(Skills!T26/10)*($Z$3/1000)/100,1)</f>
        <v/>
      </c>
      <c r="J263" t="inlineStr"/>
      <c r="K263" t="inlineStr"/>
      <c r="L263" t="inlineStr"/>
      <c r="M263" t="inlineStr"/>
      <c r="N263" t="inlineStr"/>
      <c r="O263" t="n">
        <v>0</v>
      </c>
      <c r="P263">
        <f>IF(B275=0,0,O263/B275)</f>
        <v/>
      </c>
      <c r="S263" t="n">
        <v>0</v>
      </c>
      <c r="V263">
        <f>IFERROR(1/IF(Inputs!$B$4="pvp",15,MAX(0.1,Skills!D26-IF(Skills!E26=TRUE,Inputs!$B$31,0))),0)</f>
        <v/>
      </c>
    </row>
    <row r="265">
      <c r="A265" t="inlineStr">
        <is>
          <t>Average Buff Multiplier</t>
        </is>
      </c>
      <c r="B265">
        <f>(1+(IF(C240=TRUE,F240*IF(AND(Inputs!$B$4&lt;&gt;"pvp",Inputs!$B$35&gt;0),(((S240-1)*(Skills!S3*(1+(Inputs!$B$33+IF(Inputs!$B$3&gt;=117,F262,0))/100))+MIN((Skills!S3*(1+(Inputs!$B$33+IF(Inputs!$B$3&gt;=117,F262,0))/100)),MAX(0,Inputs!$B$35-((S240-1)*Skills!D3))))/Inputs!$B$35),IF(Inputs!$B$4="pvp",MIN((Skills!S3*(1+(Inputs!$B$33+IF(Inputs!$B$3&gt;=117,F262,0))/100)),15)/15,(Skills!S3*(1+(Inputs!$B$33+IF(Inputs!$B$3&gt;=117,F262,0))/100))/Skills!D3)),0)+IF(C241=TRUE,F241*IF(AND(Inputs!$B$4&lt;&gt;"pvp",Inputs!$B$35&gt;0),(((S241-1)*(Skills!S4*(1+(Inputs!$B$33+IF(Inputs!$B$3&gt;=117,F262,0))/100))+MIN((Skills!S4*(1+(Inputs!$B$33+IF(Inputs!$B$3&gt;=117,F262,0))/100)),MAX(0,Inputs!$B$35-((S241-1)*Skills!D4))))/Inputs!$B$35),IF(Inputs!$B$4="pvp",MIN((Skills!S4*(1+(Inputs!$B$33+IF(Inputs!$B$3&gt;=117,F262,0))/100)),15)/15,(Skills!S4*(1+(Inputs!$B$33+IF(Inputs!$B$3&gt;=117,F262,0))/100))/Skills!D4)),0)+IF(C242=TRUE,F242*IF(AND(Inputs!$B$4&lt;&gt;"pvp",Inputs!$B$35&gt;0),(((S242-1)*(Skills!S5*(1+(Inputs!$B$33+IF(Inputs!$B$3&gt;=117,F262,0))/100))+MIN((Skills!S5*(1+(Inputs!$B$33+IF(Inputs!$B$3&gt;=117,F262,0))/100)),MAX(0,Inputs!$B$35-((S242-1)*Skills!D5))))/Inputs!$B$35),IF(Inputs!$B$4="pvp",MIN((Skills!S5*(1+(Inputs!$B$33+IF(Inputs!$B$3&gt;=117,F262,0))/100)),15)/15,(Skills!S5*(1+(Inputs!$B$33+IF(Inputs!$B$3&gt;=117,F262,0))/100))/Skills!D5)),0)+IF(C248=TRUE,F248*IF(AND(Inputs!$B$4&lt;&gt;"pvp",Inputs!$B$35&gt;0),(((S248-1)*(Skills!S11*(1+(Inputs!$B$33+IF(Inputs!$B$3&gt;=117,F262,0))/100))+MIN((Skills!S11*(1+(Inputs!$B$33+IF(Inputs!$B$3&gt;=117,F262,0))/100)),MAX(0,Inputs!$B$35-((S248-1)*Skills!D11))))/Inputs!$B$35),IF(Inputs!$B$4="pvp",MIN((Skills!S11*(1+(Inputs!$B$33+IF(Inputs!$B$3&gt;=117,F262,0))/100)),15)/15,(Skills!S11*(1+(Inputs!$B$33+IF(Inputs!$B$3&gt;=117,F262,0))/100))/Skills!D11)),0))/100)*IF(C250=TRUE,(1+F250*IF(AND(Inputs!$B$4&lt;&gt;"pvp",Inputs!$B$35&gt;0),(((S250-1)*(Skills!S13*(1+(Inputs!$B$33+IF(Inputs!$B$3&gt;=117,F262,0))/100))+MIN((Skills!S13*(1+(Inputs!$B$33+IF(Inputs!$B$3&gt;=117,F262,0))/100)),MAX(0,Inputs!$B$35-((S250-1)*Skills!D13))))/Inputs!$B$35),IF(Inputs!$B$4="pvp",MIN((Skills!S13*(1+(Inputs!$B$33+IF(Inputs!$B$3&gt;=117,F262,0))/100)),15)/15,(Skills!S13*(1+(Inputs!$B$33+IF(Inputs!$B$3&gt;=117,F262,0))/100))/Skills!D13))/100),1)*IF(C255=TRUE,(1+F255*IF(AND(Inputs!$B$4&lt;&gt;"pvp",Inputs!$B$35&gt;0),(((S255-1)*(Skills!S18*(1+(Inputs!$B$33+IF(Inputs!$B$3&gt;=117,F262,0))/100))+MIN((Skills!S18*(1+(Inputs!$B$33+IF(Inputs!$B$3&gt;=117,F262,0))/100)),MAX(0,Inputs!$B$35-((S255-1)*Skills!D18))))/Inputs!$B$35),IF(Inputs!$B$4="pvp",MIN((Skills!S18*(1+(Inputs!$B$33+IF(Inputs!$B$3&gt;=117,F262,0))/100)),15)/15,(Skills!S18*(1+(Inputs!$B$33+IF(Inputs!$B$3&gt;=117,F262,0))/100))/Skills!D18))/100),1)</f>
        <v/>
      </c>
    </row>
    <row r="266">
      <c r="A266" t="inlineStr">
        <is>
          <t>Monster Damage Taken Bonus % (Holy Fountain)</t>
        </is>
      </c>
      <c r="B266">
        <f>IF(Inputs!$B$3&gt;=68,20*IF(Inputs!$B$4="pvp",MIN((15*(1+(Inputs!$B$33+IF(Inputs!$B$3&gt;=117,F262,0))/100)),15)/15,(15*(1+(Inputs!$B$33+IF(Inputs!$B$3&gt;=117,F262,0))/100))/Skills!D10),0)</f>
        <v/>
      </c>
    </row>
    <row r="267">
      <c r="A267" t="inlineStr">
        <is>
          <t>Normal Monster Damage Bonus % (Holy Symbol)</t>
        </is>
      </c>
      <c r="B267">
        <f>IF(C249=TRUE,F249*IF(AND(Inputs!$B$4&lt;&gt;"pvp",Inputs!$B$35&gt;0),(((S249-1)*(Skills!S12*(1+(Inputs!$B$33+IF(Inputs!$B$3&gt;=117,F262,0))/100))+MIN((Skills!S12*(1+(Inputs!$B$33+IF(Inputs!$B$3&gt;=117,F262,0))/100)),MAX(0,Inputs!$B$35-((S249-1)*Skills!D12))))/Inputs!$B$35),IF(Inputs!$B$4="pvp",MIN((Skills!S12*(1+(Inputs!$B$33+IF(Inputs!$B$3&gt;=117,F262,0))/100)),15)/15,(Skills!S12*(1+(Inputs!$B$33+IF(Inputs!$B$3&gt;=117,F262,0))/100))/Skills!D12)),0)</f>
        <v/>
      </c>
    </row>
    <row r="268">
      <c r="A268" t="inlineStr">
        <is>
          <t>Damage % Bonus (Holy Symbol - Damage Boost)</t>
        </is>
      </c>
      <c r="B268">
        <f>Skills!O12</f>
        <v/>
      </c>
    </row>
    <row r="269">
      <c r="A269" t="inlineStr">
        <is>
          <t>Crit Damage % Bonus (Blood of the Divine)</t>
        </is>
      </c>
      <c r="B269">
        <f>4*IF(C256=TRUE,F256,0)</f>
        <v/>
      </c>
    </row>
    <row r="270">
      <c r="A270" t="inlineStr">
        <is>
          <t>Attack Speed Bonus %</t>
        </is>
      </c>
      <c r="B270">
        <f>IF(C253=TRUE,F253+(F257-Calc!F20),0)+IF(Inputs!$B$3&gt;=134,15,0)</f>
        <v/>
      </c>
    </row>
    <row r="271">
      <c r="A271" t="inlineStr">
        <is>
          <t>Actions Per Second</t>
        </is>
      </c>
      <c r="B271">
        <f>1+MIN(150,150*(1-(1-Inputs!$B$10/150)*(1-B270/150)))/100</f>
        <v/>
      </c>
    </row>
    <row r="272">
      <c r="A272" t="inlineStr">
        <is>
          <t>Skill + Buff Cast Rate</t>
        </is>
      </c>
      <c r="B272">
        <f>IF(AND(Inputs!$B$4&lt;&gt;"pvp",Inputs!$B$35&gt;0),SUMPRODUCT((Skills!E2:E26=TRUE)*(C239:C263=TRUE)*S239:S263)/Inputs!$B$35,SUMPRODUCT((Skills!E2:E26=TRUE)*(C239:C263=TRUE)*V239:V263))</f>
        <v/>
      </c>
    </row>
    <row r="273">
      <c r="A273" t="inlineStr">
        <is>
          <t>Big Bang Casts Per Second</t>
        </is>
      </c>
      <c r="B273">
        <f>MAX(0,B271-B272)</f>
        <v/>
      </c>
    </row>
    <row r="275">
      <c r="A275" s="5" t="inlineStr">
        <is>
          <t>TOTAL DPS</t>
        </is>
      </c>
      <c r="B275" s="5">
        <f>SUM(O239:O263)</f>
        <v/>
      </c>
    </row>
    <row r="278">
      <c r="A278" s="5" t="inlineStr">
        <is>
          <t>Stat: FINAL_DAMAGE % (multiplicative source)</t>
        </is>
      </c>
    </row>
    <row r="279">
      <c r="A279" s="8" t="inlineStr">
        <is>
          <t>Key</t>
        </is>
      </c>
      <c r="B279" s="8" t="inlineStr">
        <is>
          <t>Name</t>
        </is>
      </c>
      <c r="C279" s="8" t="inlineStr">
        <is>
          <t>Unlocked</t>
        </is>
      </c>
      <c r="D279" s="8" t="inlineStr">
        <is>
          <t>InputLevel</t>
        </is>
      </c>
      <c r="E279" s="8" t="inlineStr">
        <is>
          <t>Factor</t>
        </is>
      </c>
      <c r="F279" s="8" t="inlineStr">
        <is>
          <t>CoefficientPercent</t>
        </is>
      </c>
      <c r="G279" s="8" t="inlineStr">
        <is>
          <t>EffectiveHits</t>
        </is>
      </c>
      <c r="H279" s="8" t="inlineStr">
        <is>
          <t>ProcProbability</t>
        </is>
      </c>
      <c r="I279" s="8" t="inlineStr">
        <is>
          <t>MapleHeroMultiplier</t>
        </is>
      </c>
      <c r="J279" s="8" t="inlineStr">
        <is>
          <t>BaseDamage</t>
        </is>
      </c>
      <c r="K279" s="8" t="inlineStr">
        <is>
          <t>BaseHitDamage</t>
        </is>
      </c>
      <c r="L279" s="8" t="inlineStr">
        <is>
          <t>NonCritAvg</t>
        </is>
      </c>
      <c r="M279" s="8" t="inlineStr">
        <is>
          <t>CritAvg</t>
        </is>
      </c>
      <c r="N279" s="8" t="inlineStr">
        <is>
          <t>ExpectedDamage(perHit)</t>
        </is>
      </c>
      <c r="O279" s="8" t="inlineStr">
        <is>
          <t>DPS</t>
        </is>
      </c>
      <c r="P279" s="8" t="inlineStr">
        <is>
          <t>% of Total</t>
        </is>
      </c>
      <c r="R279" t="inlineStr">
        <is>
          <t>helpers</t>
        </is>
      </c>
    </row>
    <row r="280">
      <c r="A280">
        <f>Skills!A2</f>
        <v/>
      </c>
      <c r="B280">
        <f>Skills!B2</f>
        <v/>
      </c>
      <c r="C280">
        <f>Inputs!$B$3&gt;=100</f>
        <v/>
      </c>
      <c r="D280" t="inlineStr"/>
      <c r="E280" t="inlineStr"/>
      <c r="F280">
        <f>T282+Skills!N2</f>
        <v/>
      </c>
      <c r="G280">
        <f>Calc!G2</f>
        <v/>
      </c>
      <c r="H280">
        <f>Calc!H2</f>
        <v/>
      </c>
      <c r="I280">
        <f>IF(Skills!T2&lt;&gt;"",1+(Skills!T2/10)*($Z$3/1000)/100,1)</f>
        <v/>
      </c>
      <c r="J280">
        <f>((Inputs!$B$5*(1+Inputs!$B$6/100))+((Inputs!$B$11*(1+Inputs!$B$12/100))-(Inputs!$B$11*(1+Inputs!$B$12/100)))*(1+Inputs!$B$6/100))*(F280/100)</f>
        <v/>
      </c>
      <c r="K280">
        <f>J280*(1+((Inputs!$B$11*(1+Inputs!$B$12/100))*0.01+Inputs!$B$13*0.0025)/100)*(1+(Inputs!$B$14+B309)/100)*(1+IF(Inputs!$B$4="pvp",0,(1-Summary!$B$48)*(Inputs!$B$19+Skills!O2+B307)+Summary!$B$48*(Inputs!$B$20+Skills!P2+B308))/100)*(1+Inputs!$B$15/100)*(5000/(6000+Inputs!$B$7*(1-Inputs!$B$18/100)))*(1+((((1+Inputs!$B$23/100)*(1.01))-1)*100)/100)*(1+IF(C295=TRUE,F295,0)/100)*(1+IF(C297=TRUE,F297,0)/100)*(1+IF(Skills!A2="TRIUMPH_FEATHER",IF(C293=TRUE,F293,0),0)/100)*(1+IF(C304=TRUE,F304,0)/100)^5*(1+(IF(Skills!A2="BIG_BANG",Inputs!$B$16,Inputs!$B$17))/100)*(B306*I280)</f>
        <v/>
      </c>
      <c r="L280">
        <f>K280*(MIN(Inputs!$B$21+(F299-Calc!F21),Inputs!$B$22)/100+Inputs!$B$22/100)/2</f>
        <v/>
      </c>
      <c r="M280">
        <f>L280*(1+(Inputs!$B$9+B310+(F302-Calc!F24))/100)</f>
        <v/>
      </c>
      <c r="N280">
        <f>L280*(1-MIN(Inputs!$B$8+((F301-Calc!F23)+(F300-Calc!F22)),100)/100)+M280*(MIN(Inputs!$B$8+((F301-Calc!F23)+(F300-Calc!F22)),100)/100)</f>
        <v/>
      </c>
      <c r="O280">
        <f>IF(C280,Skills!F2*N280*B314*IF(Inputs!$B$4="pvp",1,(1-Summary!$B$48)*(1)+Summary!$B$48*(MIN((6+Inputs!$B$32),Inputs!$B$37))),0)</f>
        <v/>
      </c>
      <c r="P280">
        <f>IF(B316=0,0,O280/B316)</f>
        <v/>
      </c>
      <c r="S280" t="n">
        <v>0</v>
      </c>
      <c r="T280">
        <f>MAX(0,(Inputs!$B$3-100)*3)+Inputs!$B$27+Inputs!$B$28</f>
        <v/>
      </c>
      <c r="V280">
        <f>IFERROR(1/IF(Inputs!$B$4="pvp",15,MAX(0.1,Skills!D2-IF(Skills!E2=TRUE,Inputs!$B$31,0))),0)</f>
        <v/>
      </c>
    </row>
    <row r="281">
      <c r="A281">
        <f>Skills!A3</f>
        <v/>
      </c>
      <c r="B281">
        <f>Skills!B3</f>
        <v/>
      </c>
      <c r="C281">
        <f>Inputs!$B$3&gt;=15</f>
        <v/>
      </c>
      <c r="D281">
        <f>IF(Skills!C3=1,60+Inputs!$B$24+Inputs!$B$28,IF(Skills!C3=2,90+Inputs!$B$25+Inputs!$B$28,IF(Skills!C3=3,120+Inputs!$B$26+Inputs!$B$28,MAX(0,(Inputs!$B$3-100)*3)+Inputs!$B$27+Inputs!$B$28)))</f>
        <v/>
      </c>
      <c r="E281">
        <f>INDEX(FactorTable!$B$2:$Y$301, MATCH(ROUND(MIN(300,MAX(1,D281)),0), FactorTable!$A$2:$A$301,0), Skills!L3+1)</f>
        <v/>
      </c>
      <c r="F281">
        <f>IF(Skills!M3=TRUE,(Skills!K3/10)*(E281/1000),Skills!K3/10)+Skills!N3</f>
        <v/>
      </c>
      <c r="G281">
        <f>Calc!G3</f>
        <v/>
      </c>
      <c r="H281">
        <f>Calc!H3</f>
        <v/>
      </c>
      <c r="I281">
        <f>IF(Skills!T3&lt;&gt;"",1+(Skills!T3/10)*($Z$3/1000)/100,1)</f>
        <v/>
      </c>
      <c r="J281" t="inlineStr"/>
      <c r="K281" t="inlineStr"/>
      <c r="L281" t="inlineStr"/>
      <c r="M281" t="inlineStr"/>
      <c r="N281" t="inlineStr"/>
      <c r="O281" t="n">
        <v>0</v>
      </c>
      <c r="P281">
        <f>IF(B316=0,0,O281/B316)</f>
        <v/>
      </c>
      <c r="S281">
        <f>IF(AND(Inputs!$B$4&lt;&gt;"pvp",Inputs!$B$35&gt;0),(INT(Inputs!$B$35/IF(Inputs!$B$4="pvp",15,MAX(0.1,Skills!D3-IF(Skills!E3=TRUE,Inputs!$B$31,0))))+1),0)</f>
        <v/>
      </c>
      <c r="T281">
        <f>INDEX(FactorTable!$B$2:$Y$301, MATCH(ROUND(MIN(300,MAX(1,T280)),0), FactorTable!$A$2:$A$301,0), 22)</f>
        <v/>
      </c>
      <c r="V281">
        <f>IFERROR(1/IF(Inputs!$B$4="pvp",15,MAX(0.1,Skills!D3-IF(Skills!E3=TRUE,Inputs!$B$31,0))),0)</f>
        <v/>
      </c>
    </row>
    <row r="282">
      <c r="A282">
        <f>Skills!A4</f>
        <v/>
      </c>
      <c r="B282">
        <f>Skills!B4</f>
        <v/>
      </c>
      <c r="C282">
        <f>Inputs!$B$3&gt;=38</f>
        <v/>
      </c>
      <c r="D282">
        <f>IF(Skills!C4=1,60+Inputs!$B$24+Inputs!$B$28,IF(Skills!C4=2,90+Inputs!$B$25+Inputs!$B$28,IF(Skills!C4=3,120+Inputs!$B$26+Inputs!$B$28,MAX(0,(Inputs!$B$3-100)*3)+Inputs!$B$27+Inputs!$B$28)))</f>
        <v/>
      </c>
      <c r="E282">
        <f>INDEX(FactorTable!$B$2:$Y$301, MATCH(ROUND(MIN(300,MAX(1,D282)),0), FactorTable!$A$2:$A$301,0), Skills!L4+1)</f>
        <v/>
      </c>
      <c r="F282">
        <f>IF(Skills!M4=TRUE,(Skills!K4/10)*(E282/1000),Skills!K4/10)+Skills!N4</f>
        <v/>
      </c>
      <c r="G282">
        <f>Calc!G4</f>
        <v/>
      </c>
      <c r="H282">
        <f>Calc!H4</f>
        <v/>
      </c>
      <c r="I282">
        <f>IF(Skills!T4&lt;&gt;"",1+(Skills!T4/10)*($Z$3/1000)/100,1)</f>
        <v/>
      </c>
      <c r="J282" t="inlineStr"/>
      <c r="K282" t="inlineStr"/>
      <c r="L282" t="inlineStr"/>
      <c r="M282" t="inlineStr"/>
      <c r="N282" t="inlineStr"/>
      <c r="O282" t="n">
        <v>0</v>
      </c>
      <c r="P282">
        <f>IF(B316=0,0,O282/B316)</f>
        <v/>
      </c>
      <c r="S282">
        <f>IF(AND(Inputs!$B$4&lt;&gt;"pvp",Inputs!$B$35&gt;0),(INT(Inputs!$B$35/IF(Inputs!$B$4="pvp",15,MAX(0.1,Skills!D4-IF(Skills!E4=TRUE,Inputs!$B$31,0))))+1),0)</f>
        <v/>
      </c>
      <c r="T282">
        <f>290*T281/1000</f>
        <v/>
      </c>
      <c r="V282">
        <f>IFERROR(1/IF(Inputs!$B$4="pvp",15,MAX(0.1,Skills!D4-IF(Skills!E4=TRUE,Inputs!$B$31,0))),0)</f>
        <v/>
      </c>
    </row>
    <row r="283">
      <c r="A283">
        <f>Skills!A5</f>
        <v/>
      </c>
      <c r="B283">
        <f>Skills!B5</f>
        <v/>
      </c>
      <c r="C283">
        <f>Inputs!$B$3&gt;=40</f>
        <v/>
      </c>
      <c r="D283">
        <f>IF(Skills!C5=1,60+Inputs!$B$24+Inputs!$B$28,IF(Skills!C5=2,90+Inputs!$B$25+Inputs!$B$28,IF(Skills!C5=3,120+Inputs!$B$26+Inputs!$B$28,MAX(0,(Inputs!$B$3-100)*3)+Inputs!$B$27+Inputs!$B$28)))</f>
        <v/>
      </c>
      <c r="E283">
        <f>INDEX(FactorTable!$B$2:$Y$301, MATCH(ROUND(MIN(300,MAX(1,D283)),0), FactorTable!$A$2:$A$301,0), Skills!L5+1)</f>
        <v/>
      </c>
      <c r="F283">
        <f>IF(Skills!M5=TRUE,(Skills!K5/10)*(E283/1000),Skills!K5/10)+Skills!N5</f>
        <v/>
      </c>
      <c r="G283">
        <f>Calc!G5</f>
        <v/>
      </c>
      <c r="H283">
        <f>Calc!H5</f>
        <v/>
      </c>
      <c r="I283">
        <f>IF(Skills!T5&lt;&gt;"",1+(Skills!T5/10)*($Z$3/1000)/100,1)</f>
        <v/>
      </c>
      <c r="J283" t="inlineStr"/>
      <c r="K283" t="inlineStr"/>
      <c r="L283" t="inlineStr"/>
      <c r="M283" t="inlineStr"/>
      <c r="N283" t="inlineStr"/>
      <c r="O283" t="n">
        <v>0</v>
      </c>
      <c r="P283">
        <f>IF(B316=0,0,O283/B316)</f>
        <v/>
      </c>
      <c r="S283">
        <f>IF(AND(Inputs!$B$4&lt;&gt;"pvp",Inputs!$B$35&gt;0),(INT(Inputs!$B$35/IF(Inputs!$B$4="pvp",15,MAX(0.1,Skills!D5-IF(Skills!E5=TRUE,Inputs!$B$31,0))))+1),0)</f>
        <v/>
      </c>
      <c r="V283">
        <f>IFERROR(1/IF(Inputs!$B$4="pvp",15,MAX(0.1,Skills!D5-IF(Skills!E5=TRUE,Inputs!$B$31,0))),0)</f>
        <v/>
      </c>
    </row>
    <row r="284">
      <c r="A284">
        <f>Skills!A6</f>
        <v/>
      </c>
      <c r="B284">
        <f>Skills!B6</f>
        <v/>
      </c>
      <c r="C284">
        <f>Inputs!$B$3&gt;=103</f>
        <v/>
      </c>
      <c r="D284">
        <f>IF(Skills!C6=1,60+Inputs!$B$24+Inputs!$B$28,IF(Skills!C6=2,90+Inputs!$B$25+Inputs!$B$28,IF(Skills!C6=3,120+Inputs!$B$26+Inputs!$B$28,MAX(0,(Inputs!$B$3-100)*3)+Inputs!$B$27+Inputs!$B$28)))</f>
        <v/>
      </c>
      <c r="E284">
        <f>INDEX(FactorTable!$B$2:$Y$301, MATCH(ROUND(MIN(300,MAX(1,D284)),0), FactorTable!$A$2:$A$301,0), Skills!L6+1)</f>
        <v/>
      </c>
      <c r="F284">
        <f>IF(Skills!M6=TRUE,(Skills!K6/10)*(E284/1000),Skills!K6/10)+Skills!N6</f>
        <v/>
      </c>
      <c r="G284">
        <f>Calc!G6</f>
        <v/>
      </c>
      <c r="H284">
        <f>Calc!H6</f>
        <v/>
      </c>
      <c r="I284">
        <f>IF(Skills!T6&lt;&gt;"",1+(Skills!T6/10)*($Z$3/1000)/100,1)</f>
        <v/>
      </c>
      <c r="J284">
        <f>((Inputs!$B$5*(1+Inputs!$B$6/100))+((Inputs!$B$11*(1+Inputs!$B$12/100))-(Inputs!$B$11*(1+Inputs!$B$12/100)))*(1+Inputs!$B$6/100))*(F284/100)</f>
        <v/>
      </c>
      <c r="K284">
        <f>J284*(1+((Inputs!$B$11*(1+Inputs!$B$12/100))*0.01+Inputs!$B$13*0.0025)/100)*(1+(Inputs!$B$14+B309)/100)*(1+IF(Inputs!$B$4="pvp",0,(1-Summary!$B$48)*(Inputs!$B$19+Skills!O6+B307)+Summary!$B$48*(Inputs!$B$20+Skills!P6+B308))/100)*(1+Inputs!$B$15/100)*(5000/(6000+Inputs!$B$7*(1-Inputs!$B$18/100)))*(1+((((1+Inputs!$B$23/100)*(1.01))-1)*100)/100)*(1+IF(C295=TRUE,F295,0)/100)*(1+IF(C297=TRUE,F297,0)/100)*(1+IF(Skills!A6="TRIUMPH_FEATHER",IF(C293=TRUE,F293,0),0)/100)*(1+IF(C304=TRUE,F304,0)/100)^5*(1+(IF(Skills!A6="BIG_BANG",Inputs!$B$16,Inputs!$B$17))/100)*(B306*I284)</f>
        <v/>
      </c>
      <c r="L284">
        <f>K284*(MIN(Inputs!$B$21+(F299-Calc!F21),Inputs!$B$22)/100+Inputs!$B$22/100)/2</f>
        <v/>
      </c>
      <c r="M284">
        <f>L284*(1+(Inputs!$B$9+B310+(F302-Calc!F24))/100)</f>
        <v/>
      </c>
      <c r="N284">
        <f>L284*(1-MIN(Inputs!$B$8+((F301-Calc!F23)+(F300-Calc!F22)),100)/100)+M284*(MIN(Inputs!$B$8+((F301-Calc!F23)+(F300-Calc!F22)),100)/100)</f>
        <v/>
      </c>
      <c r="O284">
        <f>IF(C284,H284*N284*IF(AND(Inputs!$B$4&lt;&gt;"pvp",Inputs!$B$35&gt;0),((Skills!F6*((S284-1)*IF(Skills!G6&gt;0,Skills!H6/Skills!G6,1)+IF(Skills!G6&gt;0,MIN(Skills!H6,MAX(0,Inputs!$B$35-((S284-1)*IF(Inputs!$B$4="pvp",15,MAX(0.1,Skills!D6-IF(Skills!E6=TRUE,Inputs!$B$31,0))))))/Skills!G6,1)))/Inputs!$B$35),G284*V284)*IF(Inputs!$B$4="pvp",1,(1-Summary!$B$48)*(1)+Summary!$B$48*(MIN(Skills!Q6,Inputs!$B$37))),0)</f>
        <v/>
      </c>
      <c r="P284">
        <f>IF(B316=0,0,O284/B316)</f>
        <v/>
      </c>
      <c r="S284">
        <f>IF(AND(Inputs!$B$4&lt;&gt;"pvp",Inputs!$B$35&gt;0),(INT(Inputs!$B$35/IF(Inputs!$B$4="pvp",15,MAX(0.1,Skills!D6-IF(Skills!E6=TRUE,Inputs!$B$31,0))))+1),0)</f>
        <v/>
      </c>
      <c r="V284">
        <f>IFERROR(1/IF(Inputs!$B$4="pvp",15,MAX(0.1,Skills!D6-IF(Skills!E6=TRUE,Inputs!$B$31,0))),0)</f>
        <v/>
      </c>
    </row>
    <row r="285">
      <c r="A285">
        <f>Skills!A7</f>
        <v/>
      </c>
      <c r="B285">
        <f>Skills!B7</f>
        <v/>
      </c>
      <c r="C285">
        <f>Inputs!$B$3&gt;=122</f>
        <v/>
      </c>
      <c r="D285">
        <f>IF(Skills!C7=1,60+Inputs!$B$24+Inputs!$B$28,IF(Skills!C7=2,90+Inputs!$B$25+Inputs!$B$28,IF(Skills!C7=3,120+Inputs!$B$26+Inputs!$B$28,MAX(0,(Inputs!$B$3-100)*3)+Inputs!$B$27+Inputs!$B$28)))</f>
        <v/>
      </c>
      <c r="E285">
        <f>INDEX(FactorTable!$B$2:$Y$301, MATCH(ROUND(MIN(300,MAX(1,D285)),0), FactorTable!$A$2:$A$301,0), Skills!L7+1)</f>
        <v/>
      </c>
      <c r="F285">
        <f>IF(Skills!M7=TRUE,(Skills!K7/10)*(E285/1000),Skills!K7/10)+Skills!N7</f>
        <v/>
      </c>
      <c r="G285">
        <f>Calc!G7</f>
        <v/>
      </c>
      <c r="H285">
        <f>Calc!H7</f>
        <v/>
      </c>
      <c r="I285">
        <f>IF(Skills!T7&lt;&gt;"",1+(Skills!T7/10)*($Z$3/1000)/100,1)</f>
        <v/>
      </c>
      <c r="J285">
        <f>((Inputs!$B$5*(1+Inputs!$B$6/100))+((Inputs!$B$11*(1+Inputs!$B$12/100))-(Inputs!$B$11*(1+Inputs!$B$12/100)))*(1+Inputs!$B$6/100))*(F285/100)</f>
        <v/>
      </c>
      <c r="K285">
        <f>J285*(1+((Inputs!$B$11*(1+Inputs!$B$12/100))*0.01+Inputs!$B$13*0.0025)/100)*(1+(Inputs!$B$14+B309)/100)*(1+IF(Inputs!$B$4="pvp",0,(1-Summary!$B$48)*(Inputs!$B$19+Skills!O7+B307)+Summary!$B$48*(Inputs!$B$20+Skills!P7+B308))/100)*(1+Inputs!$B$15/100)*(5000/(6000+Inputs!$B$7*(1-Inputs!$B$18/100)))*(1+((((1+Inputs!$B$23/100)*(1.01))-1)*100)/100)*(1+IF(C295=TRUE,F295,0)/100)*(1+IF(C297=TRUE,F297,0)/100)*(1+IF(Skills!A7="TRIUMPH_FEATHER",IF(C293=TRUE,F293,0),0)/100)*(1+IF(C304=TRUE,F304,0)/100)^5*(1+(IF(Skills!A7="BIG_BANG",Inputs!$B$16,Inputs!$B$17))/100)*(B306*I285)</f>
        <v/>
      </c>
      <c r="L285">
        <f>K285*(MIN(Inputs!$B$21+(F299-Calc!F21),Inputs!$B$22)/100+Inputs!$B$22/100)/2</f>
        <v/>
      </c>
      <c r="M285">
        <f>L285*(1+(Inputs!$B$9+B310+(F302-Calc!F24))/100)</f>
        <v/>
      </c>
      <c r="N285">
        <f>L285*(1-MIN(Inputs!$B$8+((F301-Calc!F23)+(F300-Calc!F22)),100)/100)+M285*(MIN(Inputs!$B$8+((F301-Calc!F23)+(F300-Calc!F22)),100)/100)</f>
        <v/>
      </c>
      <c r="O285">
        <f>IF(C285,H285*N285*IF(AND(Inputs!$B$4&lt;&gt;"pvp",Inputs!$B$35&gt;0),((Skills!F7*((S285-1)*IF(Skills!G7&gt;0,Skills!H7/Skills!G7,1)+IF(Skills!G7&gt;0,MIN(Skills!H7,MAX(0,Inputs!$B$35-((S285-1)*IF(Inputs!$B$4="pvp",15,MAX(0.1,Skills!D7-IF(Skills!E6=TRUE,Inputs!$B$31,0))))))/Skills!G7,1)))/Inputs!$B$35),G285*V285)*(1-Summary!$B$48),0)</f>
        <v/>
      </c>
      <c r="P285">
        <f>IF(B316=0,0,O285/B316)</f>
        <v/>
      </c>
      <c r="S285">
        <f>IF(AND(Inputs!$B$4&lt;&gt;"pvp",Inputs!$B$35&gt;0),(INT(Inputs!$B$35/IF(Inputs!$B$4="pvp",15,MAX(0.1,Skills!D7-IF(Skills!E6=TRUE,Inputs!$B$31,0))))+1),0)</f>
        <v/>
      </c>
      <c r="V285">
        <f>IFERROR(1/IF(Inputs!$B$4="pvp",15,MAX(0.1,Skills!D7-IF(Skills!E6=TRUE,Inputs!$B$31,0))),0)</f>
        <v/>
      </c>
    </row>
    <row r="286">
      <c r="A286">
        <f>Skills!A8</f>
        <v/>
      </c>
      <c r="B286">
        <f>Skills!B8</f>
        <v/>
      </c>
      <c r="C286">
        <f>Inputs!$B$3&gt;=105</f>
        <v/>
      </c>
      <c r="D286">
        <f>IF(Skills!C8=1,60+Inputs!$B$24+Inputs!$B$28,IF(Skills!C8=2,90+Inputs!$B$25+Inputs!$B$28,IF(Skills!C8=3,120+Inputs!$B$26+Inputs!$B$28,MAX(0,(Inputs!$B$3-100)*3)+Inputs!$B$27+Inputs!$B$28)))</f>
        <v/>
      </c>
      <c r="E286">
        <f>INDEX(FactorTable!$B$2:$Y$301, MATCH(ROUND(MIN(300,MAX(1,D286)),0), FactorTable!$A$2:$A$301,0), Skills!L8+1)</f>
        <v/>
      </c>
      <c r="F286">
        <f>IF(Skills!M8=TRUE,(Skills!K8/10)*(E286/1000),Skills!K8/10)+Skills!N8</f>
        <v/>
      </c>
      <c r="G286">
        <f>Calc!G8</f>
        <v/>
      </c>
      <c r="H286">
        <f>Calc!H8</f>
        <v/>
      </c>
      <c r="I286">
        <f>IF(Skills!T8&lt;&gt;"",1+(Skills!T8/10)*($Z$3/1000)/100,1)</f>
        <v/>
      </c>
      <c r="J286">
        <f>((Inputs!$B$5*(1+Inputs!$B$6/100))+((Inputs!$B$11*(1+Inputs!$B$12/100))-(Inputs!$B$11*(1+Inputs!$B$12/100)))*(1+Inputs!$B$6/100))*(F286/100)</f>
        <v/>
      </c>
      <c r="K286">
        <f>J286*(1+((Inputs!$B$11*(1+Inputs!$B$12/100))*0.01+Inputs!$B$13*0.0025)/100)*(1+(Inputs!$B$14+B309)/100)*(1+IF(Inputs!$B$4="pvp",0,(1-Summary!$B$48)*(Inputs!$B$19+Skills!O8+B307)+Summary!$B$48*(Inputs!$B$20+Skills!P8+B308))/100)*(1+Inputs!$B$15/100)*(5000/(6000+Inputs!$B$7*(1-Inputs!$B$18/100)))*(1+((((1+Inputs!$B$23/100)*(1.01))-1)*100)/100)*(1+IF(C295=TRUE,F295,0)/100)*(1+IF(C297=TRUE,F297,0)/100)*(1+IF(Skills!A8="TRIUMPH_FEATHER",IF(C293=TRUE,F293,0),0)/100)*(1+IF(C304=TRUE,F304,0)/100)^5*(1+(IF(Skills!A8="BIG_BANG",Inputs!$B$16,Inputs!$B$17))/100)*(B306*I286)</f>
        <v/>
      </c>
      <c r="L286">
        <f>K286*(MIN(Inputs!$B$21+(F299-Calc!F21),Inputs!$B$22)/100+Inputs!$B$22/100)/2</f>
        <v/>
      </c>
      <c r="M286">
        <f>L286*(1+(Inputs!$B$9+B310+(F302-Calc!F24))/100)</f>
        <v/>
      </c>
      <c r="N286">
        <f>L286*(1-MIN(Inputs!$B$8+((F301-Calc!F23)+(F300-Calc!F22)),100)/100)+M286*(MIN(Inputs!$B$8+((F301-Calc!F23)+(F300-Calc!F22)),100)/100)</f>
        <v/>
      </c>
      <c r="O286">
        <f>IF(C286,H286*N286*IF(AND(Inputs!$B$4&lt;&gt;"pvp",Inputs!$B$35&gt;0),((Skills!F8*((S286-1)*IF(Skills!G8&gt;0,Skills!H8/Skills!G8,1)+IF(Skills!G8&gt;0,MIN(Skills!H8,MAX(0,Inputs!$B$35-((S286-1)*IF(Inputs!$B$4="pvp",15,MAX(0.1,Skills!D8-IF(Skills!E8=TRUE,Inputs!$B$31,0))))))/Skills!G8,1)))/Inputs!$B$35),G286*V286)*IF(Inputs!$B$4="pvp",1,(1-Summary!$B$48)*(1)+Summary!$B$48*(MIN(Skills!Q8,Inputs!$B$37))),0)</f>
        <v/>
      </c>
      <c r="P286">
        <f>IF(B316=0,0,O286/B316)</f>
        <v/>
      </c>
      <c r="S286">
        <f>IF(AND(Inputs!$B$4&lt;&gt;"pvp",Inputs!$B$35&gt;0),(INT(Inputs!$B$35/IF(Inputs!$B$4="pvp",15,MAX(0.1,Skills!D8-IF(Skills!E8=TRUE,Inputs!$B$31,0))))+1),0)</f>
        <v/>
      </c>
      <c r="V286">
        <f>IFERROR(1/IF(Inputs!$B$4="pvp",15,MAX(0.1,Skills!D8-IF(Skills!E8=TRUE,Inputs!$B$31,0))),0)</f>
        <v/>
      </c>
    </row>
    <row r="287">
      <c r="A287">
        <f>Skills!A9</f>
        <v/>
      </c>
      <c r="B287">
        <f>Skills!B9</f>
        <v/>
      </c>
      <c r="C287">
        <f>Inputs!$B$3&gt;=115</f>
        <v/>
      </c>
      <c r="D287">
        <f>IF(Skills!C9=1,60+Inputs!$B$24+Inputs!$B$28,IF(Skills!C9=2,90+Inputs!$B$25+Inputs!$B$28,IF(Skills!C9=3,120+Inputs!$B$26+Inputs!$B$28,MAX(0,(Inputs!$B$3-100)*3)+Inputs!$B$27+Inputs!$B$28)))</f>
        <v/>
      </c>
      <c r="E287">
        <f>INDEX(FactorTable!$B$2:$Y$301, MATCH(ROUND(MIN(300,MAX(1,D287)),0), FactorTable!$A$2:$A$301,0), Skills!L9+1)</f>
        <v/>
      </c>
      <c r="F287">
        <f>IF(Skills!M9=TRUE,(Skills!K9/10)*(E287/1000),Skills!K9/10)+Skills!N9</f>
        <v/>
      </c>
      <c r="G287">
        <f>Calc!G9</f>
        <v/>
      </c>
      <c r="H287">
        <f>Calc!H9</f>
        <v/>
      </c>
      <c r="I287">
        <f>IF(Skills!T9&lt;&gt;"",1+(Skills!T9/10)*($Z$3/1000)/100,1)</f>
        <v/>
      </c>
      <c r="J287">
        <f>((Inputs!$B$5*(1+Inputs!$B$6/100))+((Inputs!$B$11*(1+Inputs!$B$12/100))-(Inputs!$B$11*(1+Inputs!$B$12/100)))*(1+Inputs!$B$6/100))*(F287/100)</f>
        <v/>
      </c>
      <c r="K287">
        <f>J287*(1+((Inputs!$B$11*(1+Inputs!$B$12/100))*0.01+Inputs!$B$13*0.0025)/100)*(1+(Inputs!$B$14+B309)/100)*(1+IF(Inputs!$B$4="pvp",0,(1-Summary!$B$48)*(Inputs!$B$19+Skills!O9+B307)+Summary!$B$48*(Inputs!$B$20+Skills!P9+B308))/100)*(1+Inputs!$B$15/100)*(5000/(6000+Inputs!$B$7*(1-Inputs!$B$18/100)))*(1+((((1+Inputs!$B$23/100)*(1.01))-1)*100)/100)*(1+IF(C295=TRUE,F295,0)/100)*(1+IF(C297=TRUE,F297,0)/100)*(1+IF(Skills!A9="TRIUMPH_FEATHER",IF(C293=TRUE,F293,0),0)/100)*(1+IF(C304=TRUE,F304,0)/100)^5*(1+(IF(Skills!A9="BIG_BANG",Inputs!$B$16,Inputs!$B$17))/100)*(B306*I287)</f>
        <v/>
      </c>
      <c r="L287">
        <f>K287*(MIN(Inputs!$B$21+(F299-Calc!F21),Inputs!$B$22)/100+Inputs!$B$22/100)/2</f>
        <v/>
      </c>
      <c r="M287">
        <f>L287*(1+(Inputs!$B$9+B310+(F302-Calc!F24))/100)</f>
        <v/>
      </c>
      <c r="N287">
        <f>L287*(1-MIN(Inputs!$B$8+((F301-Calc!F23)+(F300-Calc!F22)),100)/100)+M287*(MIN(Inputs!$B$8+((F301-Calc!F23)+(F300-Calc!F22)),100)/100)</f>
        <v/>
      </c>
      <c r="O287">
        <f>IF(C287,H287*N287*IF(AND(Inputs!$B$4&lt;&gt;"pvp",Inputs!$B$35&gt;0),((Skills!F9*((S287-1)*IF(Skills!G9&gt;0,Skills!H9/Skills!G9,1)+IF(Skills!G9&gt;0,MIN(Skills!H9,MAX(0,Inputs!$B$35-((S287-1)*IF(Inputs!$B$4="pvp",15,MAX(0.1,Skills!D9-IF(Skills!E9=TRUE,Inputs!$B$31,0))))))/Skills!G9,1)))/Inputs!$B$35),G287*V287)*IF(Inputs!$B$4="pvp",1,(1-Summary!$B$48)*(1)+Summary!$B$48*(MIN(Skills!Q9,Inputs!$B$37))),0)</f>
        <v/>
      </c>
      <c r="P287">
        <f>IF(B316=0,0,O287/B316)</f>
        <v/>
      </c>
      <c r="S287">
        <f>IF(AND(Inputs!$B$4&lt;&gt;"pvp",Inputs!$B$35&gt;0),(INT(Inputs!$B$35/IF(Inputs!$B$4="pvp",15,MAX(0.1,Skills!D9-IF(Skills!E9=TRUE,Inputs!$B$31,0))))+1),0)</f>
        <v/>
      </c>
      <c r="V287">
        <f>IFERROR(1/IF(Inputs!$B$4="pvp",15,MAX(0.1,Skills!D9-IF(Skills!E9=TRUE,Inputs!$B$31,0))),0)</f>
        <v/>
      </c>
    </row>
    <row r="288">
      <c r="A288">
        <f>Skills!A10</f>
        <v/>
      </c>
      <c r="B288">
        <f>Skills!B10</f>
        <v/>
      </c>
      <c r="C288">
        <f>Inputs!$B$3&gt;=66</f>
        <v/>
      </c>
      <c r="D288">
        <f>IF(Skills!C10=1,60+Inputs!$B$24+Inputs!$B$28,IF(Skills!C10=2,90+Inputs!$B$25+Inputs!$B$28,IF(Skills!C10=3,120+Inputs!$B$26+Inputs!$B$28,MAX(0,(Inputs!$B$3-100)*3)+Inputs!$B$27+Inputs!$B$28)))</f>
        <v/>
      </c>
      <c r="E288">
        <f>INDEX(FactorTable!$B$2:$Y$301, MATCH(ROUND(MIN(300,MAX(1,D288)),0), FactorTable!$A$2:$A$301,0), Skills!L10+1)</f>
        <v/>
      </c>
      <c r="F288" t="n">
        <v>0</v>
      </c>
      <c r="G288">
        <f>Calc!G10</f>
        <v/>
      </c>
      <c r="H288">
        <f>Calc!H10</f>
        <v/>
      </c>
      <c r="I288">
        <f>IF(Skills!T10&lt;&gt;"",1+(Skills!T10/10)*($Z$3/1000)/100,1)</f>
        <v/>
      </c>
      <c r="J288" t="inlineStr"/>
      <c r="K288" t="inlineStr"/>
      <c r="L288" t="inlineStr"/>
      <c r="M288" t="inlineStr"/>
      <c r="N288" t="inlineStr"/>
      <c r="O288" t="n">
        <v>0</v>
      </c>
      <c r="P288">
        <f>IF(B316=0,0,O288/B316)</f>
        <v/>
      </c>
      <c r="S288">
        <f>IF(AND(Inputs!$B$4&lt;&gt;"pvp",Inputs!$B$35&gt;0),(INT(Inputs!$B$35/IF(Inputs!$B$4="pvp",15,MAX(0.1,Skills!D10-IF(Skills!E10=TRUE,Inputs!$B$31,0))))+1),0)</f>
        <v/>
      </c>
      <c r="V288">
        <f>IFERROR(1/IF(Inputs!$B$4="pvp",15,MAX(0.1,Skills!D10-IF(Skills!E10=TRUE,Inputs!$B$31,0))),0)</f>
        <v/>
      </c>
    </row>
    <row r="289">
      <c r="A289">
        <f>Skills!A11</f>
        <v/>
      </c>
      <c r="B289">
        <f>Skills!B11</f>
        <v/>
      </c>
      <c r="C289">
        <f>Inputs!$B$3&gt;=69</f>
        <v/>
      </c>
      <c r="D289">
        <f>IF(Skills!C11=1,60+Inputs!$B$24+Inputs!$B$28,IF(Skills!C11=2,90+Inputs!$B$25+Inputs!$B$28,IF(Skills!C11=3,120+Inputs!$B$26+Inputs!$B$28,MAX(0,(Inputs!$B$3-100)*3)+Inputs!$B$27+Inputs!$B$28)))</f>
        <v/>
      </c>
      <c r="E289">
        <f>INDEX(FactorTable!$B$2:$Y$301, MATCH(ROUND(MIN(300,MAX(1,D289)),0), FactorTable!$A$2:$A$301,0), Skills!L11+1)</f>
        <v/>
      </c>
      <c r="F289">
        <f>IF(Skills!M11=TRUE,(Skills!K11/10)*(E289/1000),Skills!K11/10)+Skills!N11</f>
        <v/>
      </c>
      <c r="G289">
        <f>Calc!G11</f>
        <v/>
      </c>
      <c r="H289">
        <f>Calc!H11</f>
        <v/>
      </c>
      <c r="I289">
        <f>IF(Skills!T11&lt;&gt;"",1+(Skills!T11/10)*($Z$3/1000)/100,1)</f>
        <v/>
      </c>
      <c r="J289" t="inlineStr"/>
      <c r="K289" t="inlineStr"/>
      <c r="L289" t="inlineStr"/>
      <c r="M289" t="inlineStr"/>
      <c r="N289" t="inlineStr"/>
      <c r="O289" t="n">
        <v>0</v>
      </c>
      <c r="P289">
        <f>IF(B316=0,0,O289/B316)</f>
        <v/>
      </c>
      <c r="S289">
        <f>IF(AND(Inputs!$B$4&lt;&gt;"pvp",Inputs!$B$35&gt;0),(INT(Inputs!$B$35/IF(Inputs!$B$4="pvp",15,MAX(0.1,Skills!D11-IF(Skills!E11=TRUE,Inputs!$B$31,0))))+1),0)</f>
        <v/>
      </c>
      <c r="V289">
        <f>IFERROR(1/IF(Inputs!$B$4="pvp",15,MAX(0.1,Skills!D11-IF(Skills!E11=TRUE,Inputs!$B$31,0))),0)</f>
        <v/>
      </c>
    </row>
    <row r="290">
      <c r="A290">
        <f>Skills!A12</f>
        <v/>
      </c>
      <c r="B290">
        <f>Skills!B12</f>
        <v/>
      </c>
      <c r="C290">
        <f>Inputs!$B$3&gt;=72</f>
        <v/>
      </c>
      <c r="D290">
        <f>IF(Skills!C12=1,60+Inputs!$B$24+Inputs!$B$28,IF(Skills!C12=2,90+Inputs!$B$25+Inputs!$B$28,IF(Skills!C12=3,120+Inputs!$B$26+Inputs!$B$28,MAX(0,(Inputs!$B$3-100)*3)+Inputs!$B$27+Inputs!$B$28)))</f>
        <v/>
      </c>
      <c r="E290">
        <f>INDEX(FactorTable!$B$2:$Y$301, MATCH(ROUND(MIN(300,MAX(1,D290)),0), FactorTable!$A$2:$A$301,0), Skills!L12+1)</f>
        <v/>
      </c>
      <c r="F290">
        <f>IF(Skills!M12=TRUE,(Skills!K12/10)*(E290/1000),Skills!K12/10)+Skills!N12</f>
        <v/>
      </c>
      <c r="G290">
        <f>Calc!G12</f>
        <v/>
      </c>
      <c r="H290">
        <f>Calc!H12</f>
        <v/>
      </c>
      <c r="I290">
        <f>IF(Skills!T12&lt;&gt;"",1+(Skills!T12/10)*($Z$3/1000)/100,1)</f>
        <v/>
      </c>
      <c r="J290" t="inlineStr"/>
      <c r="K290" t="inlineStr"/>
      <c r="L290" t="inlineStr"/>
      <c r="M290" t="inlineStr"/>
      <c r="N290" t="inlineStr"/>
      <c r="O290" t="n">
        <v>0</v>
      </c>
      <c r="P290">
        <f>IF(B316=0,0,O290/B316)</f>
        <v/>
      </c>
      <c r="S290">
        <f>IF(AND(Inputs!$B$4&lt;&gt;"pvp",Inputs!$B$35&gt;0),(INT(Inputs!$B$35/IF(Inputs!$B$4="pvp",15,MAX(0.1,Skills!D12-IF(Skills!E12=TRUE,Inputs!$B$31,0))))+1),0)</f>
        <v/>
      </c>
      <c r="V290">
        <f>IFERROR(1/IF(Inputs!$B$4="pvp",15,MAX(0.1,Skills!D12-IF(Skills!E12=TRUE,Inputs!$B$31,0))),0)</f>
        <v/>
      </c>
    </row>
    <row r="291">
      <c r="A291">
        <f>Skills!A13</f>
        <v/>
      </c>
      <c r="B291">
        <f>Skills!B13</f>
        <v/>
      </c>
      <c r="C291">
        <f>Inputs!$B$3&gt;=107</f>
        <v/>
      </c>
      <c r="D291">
        <f>IF(Skills!C13=1,60+Inputs!$B$24+Inputs!$B$28,IF(Skills!C13=2,90+Inputs!$B$25+Inputs!$B$28,IF(Skills!C13=3,120+Inputs!$B$26+Inputs!$B$28,MAX(0,(Inputs!$B$3-100)*3)+Inputs!$B$27+Inputs!$B$28)))</f>
        <v/>
      </c>
      <c r="E291">
        <f>INDEX(FactorTable!$B$2:$Y$301, MATCH(ROUND(MIN(300,MAX(1,D291)),0), FactorTable!$A$2:$A$301,0), Skills!L13+1)</f>
        <v/>
      </c>
      <c r="F291">
        <f>IF(Skills!M13=TRUE,(Skills!K13/10)*(E291/1000),Skills!K13/10)+Skills!N13</f>
        <v/>
      </c>
      <c r="G291">
        <f>Calc!G13</f>
        <v/>
      </c>
      <c r="H291">
        <f>Calc!H13</f>
        <v/>
      </c>
      <c r="I291">
        <f>IF(Skills!T13&lt;&gt;"",1+(Skills!T13/10)*($Z$3/1000)/100,1)</f>
        <v/>
      </c>
      <c r="J291" t="inlineStr"/>
      <c r="K291" t="inlineStr"/>
      <c r="L291" t="inlineStr"/>
      <c r="M291" t="inlineStr"/>
      <c r="N291" t="inlineStr"/>
      <c r="O291" t="n">
        <v>0</v>
      </c>
      <c r="P291">
        <f>IF(B316=0,0,O291/B316)</f>
        <v/>
      </c>
      <c r="S291">
        <f>IF(AND(Inputs!$B$4&lt;&gt;"pvp",Inputs!$B$35&gt;0),(INT(Inputs!$B$35/IF(Inputs!$B$4="pvp",15,MAX(0.1,Skills!D13-IF(Skills!E13=TRUE,Inputs!$B$31,0))))+1),0)</f>
        <v/>
      </c>
      <c r="V291">
        <f>IFERROR(1/IF(Inputs!$B$4="pvp",15,MAX(0.1,Skills!D13-IF(Skills!E13=TRUE,Inputs!$B$31,0))),0)</f>
        <v/>
      </c>
    </row>
    <row r="292">
      <c r="A292">
        <f>Skills!A14</f>
        <v/>
      </c>
      <c r="B292">
        <f>Skills!B14</f>
        <v/>
      </c>
      <c r="C292">
        <f>Inputs!$B$3&gt;=63</f>
        <v/>
      </c>
      <c r="D292">
        <f>IF(Skills!C14=1,60+Inputs!$B$24+Inputs!$B$28,IF(Skills!C14=2,90+Inputs!$B$25+Inputs!$B$28,IF(Skills!C14=3,120+Inputs!$B$26+Inputs!$B$28,MAX(0,(Inputs!$B$3-100)*3)+Inputs!$B$27+Inputs!$B$28)))</f>
        <v/>
      </c>
      <c r="E292">
        <f>INDEX(FactorTable!$B$2:$Y$301, MATCH(ROUND(MIN(300,MAX(1,D292)),0), FactorTable!$A$2:$A$301,0), Skills!L14+1)</f>
        <v/>
      </c>
      <c r="F292">
        <f>IF(Skills!M14=TRUE,(Skills!K14/10)*(E292/1000),Skills!K14/10)+Skills!N14</f>
        <v/>
      </c>
      <c r="G292">
        <f>Calc!G14</f>
        <v/>
      </c>
      <c r="H292">
        <f>Calc!H14</f>
        <v/>
      </c>
      <c r="I292">
        <f>IF(Skills!T14&lt;&gt;"",1+(Skills!T14/10)*($Z$3/1000)/100,1)</f>
        <v/>
      </c>
      <c r="J292">
        <f>((Inputs!$B$5*(1+Inputs!$B$6/100))+((Inputs!$B$11*(1+Inputs!$B$12/100))-(Inputs!$B$11*(1+Inputs!$B$12/100)))*(1+Inputs!$B$6/100))*(F292/100)</f>
        <v/>
      </c>
      <c r="K292">
        <f>J292*(1+((Inputs!$B$11*(1+Inputs!$B$12/100))*0.01+Inputs!$B$13*0.0025)/100)*(1+(Inputs!$B$14+B309)/100)*(1+IF(Inputs!$B$4="pvp",0,(1-Summary!$B$48)*(Inputs!$B$19+Skills!O14+B307)+Summary!$B$48*(Inputs!$B$20+Skills!P14+B308))/100)*(1+Inputs!$B$15/100)*(5000/(6000+Inputs!$B$7*(1-Inputs!$B$18/100)))*(1+((((1+Inputs!$B$23/100)*(1.01))-1)*100)/100)*(1+IF(C295=TRUE,F295,0)/100)*(1+IF(C297=TRUE,F297,0)/100)*(1+IF(Skills!A14="TRIUMPH_FEATHER",IF(C293=TRUE,F293,0),0)/100)*(1+IF(C304=TRUE,F304,0)/100)^5*(1+(IF(Skills!A14="BIG_BANG",Inputs!$B$16,Inputs!$B$17))/100)*(B306*I292)</f>
        <v/>
      </c>
      <c r="L292">
        <f>K292*(MIN(Inputs!$B$21+(F299-Calc!F21),Inputs!$B$22)/100+Inputs!$B$22/100)/2</f>
        <v/>
      </c>
      <c r="M292">
        <f>L292*(1+(Inputs!$B$9+B310+(F302-Calc!F24))/100)</f>
        <v/>
      </c>
      <c r="N292">
        <f>L292*(1-MIN(Inputs!$B$8+((F301-Calc!F23)+(F300-Calc!F22)),100)/100)+M292*(MIN(Inputs!$B$8+((F301-Calc!F23)+(F300-Calc!F22)),100)/100)</f>
        <v/>
      </c>
      <c r="O292">
        <f>IF(C292,Skills!F14*N292*((IF(Inputs!$B$3&gt;=78,25,15)/100*B312*10)/(1+IF(Inputs!$B$3&gt;=78,25,15)/100*B312*10))*(Skills!I14/100*B312)/(1+Skills!G14*Skills!I14/100*B312)*IF(Inputs!$B$4="pvp",1,(1-Summary!$B$48)*(1)+Summary!$B$48*(MIN(Skills!Q14,Inputs!$B$37))),0)</f>
        <v/>
      </c>
      <c r="P292">
        <f>IF(B316=0,0,O292/B316)</f>
        <v/>
      </c>
      <c r="S292" t="n">
        <v>0</v>
      </c>
      <c r="V292">
        <f>IFERROR(1/IF(Inputs!$B$4="pvp",15,MAX(0.1,Skills!D14-IF(Skills!E14=TRUE,Inputs!$B$31,0))),0)</f>
        <v/>
      </c>
    </row>
    <row r="293">
      <c r="A293">
        <f>Skills!A15</f>
        <v/>
      </c>
      <c r="B293">
        <f>Skills!B15</f>
        <v/>
      </c>
      <c r="C293">
        <f>Inputs!$B$3&gt;=100</f>
        <v/>
      </c>
      <c r="D293">
        <f>IF(Skills!C15=1,60+Inputs!$B$24+Inputs!$B$28,IF(Skills!C15=2,90+Inputs!$B$25+Inputs!$B$28,IF(Skills!C15=3,120+Inputs!$B$26+Inputs!$B$28,MAX(0,(Inputs!$B$3-100)*3)+Inputs!$B$27+Inputs!$B$28)))</f>
        <v/>
      </c>
      <c r="E293">
        <f>INDEX(FactorTable!$B$2:$Y$301, MATCH(ROUND(MIN(300,MAX(1,D293)),0), FactorTable!$A$2:$A$301,0), Skills!L15+1)</f>
        <v/>
      </c>
      <c r="F293">
        <f>IF(Skills!M15=TRUE,(Skills!K15/10)*(E293/1000),Skills!K15/10)+Skills!N15</f>
        <v/>
      </c>
      <c r="G293">
        <f>Calc!G15</f>
        <v/>
      </c>
      <c r="H293">
        <f>Calc!H15</f>
        <v/>
      </c>
      <c r="I293">
        <f>IF(Skills!T15&lt;&gt;"",1+(Skills!T15/10)*($Z$3/1000)/100,1)</f>
        <v/>
      </c>
      <c r="J293" t="inlineStr"/>
      <c r="K293" t="inlineStr"/>
      <c r="L293" t="inlineStr"/>
      <c r="M293" t="inlineStr"/>
      <c r="N293" t="inlineStr"/>
      <c r="O293" t="n">
        <v>0</v>
      </c>
      <c r="P293">
        <f>IF(B316=0,0,O293/B316)</f>
        <v/>
      </c>
      <c r="S293" t="n">
        <v>0</v>
      </c>
      <c r="V293">
        <f>IFERROR(1/IF(Inputs!$B$4="pvp",15,MAX(0.1,Skills!D15-IF(Skills!E15=TRUE,Inputs!$B$31,0))),0)</f>
        <v/>
      </c>
    </row>
    <row r="294">
      <c r="A294">
        <f>Skills!A16</f>
        <v/>
      </c>
      <c r="B294">
        <f>Skills!B16</f>
        <v/>
      </c>
      <c r="C294">
        <f>Inputs!$B$3&gt;=49</f>
        <v/>
      </c>
      <c r="D294">
        <f>IF(Skills!C16=1,60+Inputs!$B$24+Inputs!$B$28,IF(Skills!C16=2,90+Inputs!$B$25+Inputs!$B$28,IF(Skills!C16=3,120+Inputs!$B$26+Inputs!$B$28,MAX(0,(Inputs!$B$3-100)*3)+Inputs!$B$27+Inputs!$B$28)))</f>
        <v/>
      </c>
      <c r="E294">
        <f>INDEX(FactorTable!$B$2:$Y$301, MATCH(ROUND(MIN(300,MAX(1,D294)),0), FactorTable!$A$2:$A$301,0), Skills!L16+1)</f>
        <v/>
      </c>
      <c r="F294">
        <f>IF(Skills!M16=TRUE,(Skills!K16/10)*(E294/1000),Skills!K16/10)+Skills!N16</f>
        <v/>
      </c>
      <c r="G294">
        <f>Calc!G16</f>
        <v/>
      </c>
      <c r="H294">
        <f>Calc!H16</f>
        <v/>
      </c>
      <c r="I294">
        <f>IF(Skills!T16&lt;&gt;"",1+(Skills!T16/10)*($Z$3/1000)/100,1)</f>
        <v/>
      </c>
      <c r="J294" t="inlineStr"/>
      <c r="K294" t="inlineStr"/>
      <c r="L294" t="inlineStr"/>
      <c r="M294" t="inlineStr"/>
      <c r="N294" t="inlineStr"/>
      <c r="O294" t="n">
        <v>0</v>
      </c>
      <c r="P294">
        <f>IF(B316=0,0,O294/B316)</f>
        <v/>
      </c>
      <c r="S294" t="n">
        <v>0</v>
      </c>
      <c r="V294">
        <f>IFERROR(1/IF(Inputs!$B$4="pvp",15,MAX(0.1,Skills!D16-IF(Skills!E16=TRUE,Inputs!$B$31,0))),0)</f>
        <v/>
      </c>
    </row>
    <row r="295">
      <c r="A295">
        <f>Skills!A17</f>
        <v/>
      </c>
      <c r="B295">
        <f>Skills!B17</f>
        <v/>
      </c>
      <c r="C295">
        <f>Inputs!$B$3&gt;=75</f>
        <v/>
      </c>
      <c r="D295">
        <f>IF(Skills!C17=1,60+Inputs!$B$24+Inputs!$B$28,IF(Skills!C17=2,90+Inputs!$B$25+Inputs!$B$28,IF(Skills!C17=3,120+Inputs!$B$26+Inputs!$B$28,MAX(0,(Inputs!$B$3-100)*3)+Inputs!$B$27+Inputs!$B$28)))</f>
        <v/>
      </c>
      <c r="E295">
        <f>INDEX(FactorTable!$B$2:$Y$301, MATCH(ROUND(MIN(300,MAX(1,D295)),0), FactorTable!$A$2:$A$301,0), Skills!L17+1)</f>
        <v/>
      </c>
      <c r="F295">
        <f>IF(Skills!M17=TRUE,(Skills!K17/10)*(E295/1000),Skills!K17/10)+Skills!N17</f>
        <v/>
      </c>
      <c r="G295">
        <f>Calc!G17</f>
        <v/>
      </c>
      <c r="H295">
        <f>Calc!H17</f>
        <v/>
      </c>
      <c r="I295">
        <f>IF(Skills!T17&lt;&gt;"",1+(Skills!T17/10)*($Z$3/1000)/100,1)</f>
        <v/>
      </c>
      <c r="J295" t="inlineStr"/>
      <c r="K295" t="inlineStr"/>
      <c r="L295" t="inlineStr"/>
      <c r="M295" t="inlineStr"/>
      <c r="N295" t="inlineStr"/>
      <c r="O295" t="n">
        <v>0</v>
      </c>
      <c r="P295">
        <f>IF(B316=0,0,O295/B316)</f>
        <v/>
      </c>
      <c r="S295" t="n">
        <v>0</v>
      </c>
      <c r="V295">
        <f>IFERROR(1/IF(Inputs!$B$4="pvp",15,MAX(0.1,Skills!D17-IF(Skills!E17=TRUE,Inputs!$B$31,0))),0)</f>
        <v/>
      </c>
    </row>
    <row r="296">
      <c r="A296">
        <f>Skills!A18</f>
        <v/>
      </c>
      <c r="B296">
        <f>Skills!B18</f>
        <v/>
      </c>
      <c r="C296">
        <f>Inputs!$B$3&gt;=110</f>
        <v/>
      </c>
      <c r="D296">
        <f>IF(Skills!C18=1,60+Inputs!$B$24+Inputs!$B$28,IF(Skills!C18=2,90+Inputs!$B$25+Inputs!$B$28,IF(Skills!C18=3,120+Inputs!$B$26+Inputs!$B$28,MAX(0,(Inputs!$B$3-100)*3)+Inputs!$B$27+Inputs!$B$28)))</f>
        <v/>
      </c>
      <c r="E296">
        <f>INDEX(FactorTable!$B$2:$Y$301, MATCH(ROUND(MIN(300,MAX(1,D296)),0), FactorTable!$A$2:$A$301,0), Skills!L18+1)</f>
        <v/>
      </c>
      <c r="F296">
        <f>(Skills!K18/10)*(E296/1000)*64/45+Skills!N18</f>
        <v/>
      </c>
      <c r="G296">
        <f>Calc!G18</f>
        <v/>
      </c>
      <c r="H296">
        <f>Calc!H18</f>
        <v/>
      </c>
      <c r="I296">
        <f>IF(Skills!T18&lt;&gt;"",1+(Skills!T18/10)*($Z$3/1000)/100,1)</f>
        <v/>
      </c>
      <c r="J296" t="inlineStr"/>
      <c r="K296" t="inlineStr"/>
      <c r="L296" t="inlineStr"/>
      <c r="M296" t="inlineStr"/>
      <c r="N296" t="inlineStr"/>
      <c r="O296" t="n">
        <v>0</v>
      </c>
      <c r="P296">
        <f>IF(B316=0,0,O296/B316)</f>
        <v/>
      </c>
      <c r="S296">
        <f>IF(AND(Inputs!$B$4&lt;&gt;"pvp",Inputs!$B$35&gt;0),(INT(Inputs!$B$35/IF(Inputs!$B$4="pvp",15,MAX(0.1,Skills!D18-IF(Skills!E18=TRUE,Inputs!$B$31,0))))+1),0)</f>
        <v/>
      </c>
      <c r="V296">
        <f>IFERROR(1/IF(Inputs!$B$4="pvp",15,MAX(0.1,Skills!D18-IF(Skills!E18=TRUE,Inputs!$B$31,0))),0)</f>
        <v/>
      </c>
    </row>
    <row r="297">
      <c r="A297">
        <f>Skills!A19</f>
        <v/>
      </c>
      <c r="B297">
        <f>Skills!B19</f>
        <v/>
      </c>
      <c r="C297">
        <f>Inputs!$B$3&gt;=125</f>
        <v/>
      </c>
      <c r="D297">
        <f>IF(Skills!C19=1,60+Inputs!$B$24+Inputs!$B$28,IF(Skills!C19=2,90+Inputs!$B$25+Inputs!$B$28,IF(Skills!C19=3,120+Inputs!$B$26+Inputs!$B$28,MAX(0,(Inputs!$B$3-100)*3)+Inputs!$B$27+Inputs!$B$28)))</f>
        <v/>
      </c>
      <c r="E297">
        <f>INDEX(FactorTable!$B$2:$Y$301, MATCH(ROUND(MIN(300,MAX(1,D297)),0), FactorTable!$A$2:$A$301,0), Skills!L19+1)</f>
        <v/>
      </c>
      <c r="F297">
        <f>IF(Skills!M19=TRUE,(Skills!K19/10)*(E297/1000),Skills!K19/10)+Skills!N19</f>
        <v/>
      </c>
      <c r="G297">
        <f>Calc!G19</f>
        <v/>
      </c>
      <c r="H297">
        <f>Calc!H19</f>
        <v/>
      </c>
      <c r="I297">
        <f>IF(Skills!T19&lt;&gt;"",1+(Skills!T19/10)*($Z$3/1000)/100,1)</f>
        <v/>
      </c>
      <c r="J297" t="inlineStr"/>
      <c r="K297" t="inlineStr"/>
      <c r="L297" t="inlineStr"/>
      <c r="M297" t="inlineStr"/>
      <c r="N297" t="inlineStr"/>
      <c r="O297" t="n">
        <v>0</v>
      </c>
      <c r="P297">
        <f>IF(B316=0,0,O297/B316)</f>
        <v/>
      </c>
      <c r="S297" t="n">
        <v>0</v>
      </c>
      <c r="V297">
        <f>IFERROR(1/IF(Inputs!$B$4="pvp",15,MAX(0.1,Skills!D19-IF(Skills!E19=TRUE,Inputs!$B$31,0))),0)</f>
        <v/>
      </c>
    </row>
    <row r="298">
      <c r="A298">
        <f>Skills!A20</f>
        <v/>
      </c>
      <c r="B298">
        <f>Skills!B20</f>
        <v/>
      </c>
      <c r="C298">
        <f>Inputs!$B$3&gt;=33</f>
        <v/>
      </c>
      <c r="D298">
        <f>IF(Skills!C20=1,60+Inputs!$B$24+Inputs!$B$28,IF(Skills!C20=2,90+Inputs!$B$25+Inputs!$B$28,IF(Skills!C20=3,120+Inputs!$B$26+Inputs!$B$28,MAX(0,(Inputs!$B$3-100)*3)+Inputs!$B$27+Inputs!$B$28)))</f>
        <v/>
      </c>
      <c r="E298">
        <f>INDEX(FactorTable!$B$2:$Y$301, MATCH(ROUND(MIN(300,MAX(1,D298)),0), FactorTable!$A$2:$A$301,0), Skills!L20+1)</f>
        <v/>
      </c>
      <c r="F298">
        <f>IF(Skills!M20=TRUE,(Skills!K20/10)*(E298/1000),Skills!K20/10)+Skills!N20</f>
        <v/>
      </c>
      <c r="G298">
        <f>Calc!G20</f>
        <v/>
      </c>
      <c r="H298">
        <f>Calc!H20</f>
        <v/>
      </c>
      <c r="I298">
        <f>IF(Skills!T20&lt;&gt;"",1+(Skills!T20/10)*($Z$3/1000)/100,1)</f>
        <v/>
      </c>
      <c r="J298" t="inlineStr"/>
      <c r="K298" t="inlineStr"/>
      <c r="L298" t="inlineStr"/>
      <c r="M298" t="inlineStr"/>
      <c r="N298" t="inlineStr"/>
      <c r="O298" t="n">
        <v>0</v>
      </c>
      <c r="P298">
        <f>IF(B316=0,0,O298/B316)</f>
        <v/>
      </c>
      <c r="S298" t="n">
        <v>0</v>
      </c>
      <c r="V298">
        <f>IFERROR(1/IF(Inputs!$B$4="pvp",15,MAX(0.1,Skills!D20-IF(Skills!E20=TRUE,Inputs!$B$31,0))),0)</f>
        <v/>
      </c>
    </row>
    <row r="299">
      <c r="A299">
        <f>Skills!A21</f>
        <v/>
      </c>
      <c r="B299">
        <f>Skills!B21</f>
        <v/>
      </c>
      <c r="C299">
        <f>Inputs!$B$3&gt;=43</f>
        <v/>
      </c>
      <c r="D299">
        <f>IF(Skills!C21=1,60+Inputs!$B$24+Inputs!$B$28,IF(Skills!C21=2,90+Inputs!$B$25+Inputs!$B$28,IF(Skills!C21=3,120+Inputs!$B$26+Inputs!$B$28,MAX(0,(Inputs!$B$3-100)*3)+Inputs!$B$27+Inputs!$B$28)))</f>
        <v/>
      </c>
      <c r="E299">
        <f>INDEX(FactorTable!$B$2:$Y$301, MATCH(ROUND(MIN(300,MAX(1,D299)),0), FactorTable!$A$2:$A$301,0), Skills!L21+1)</f>
        <v/>
      </c>
      <c r="F299">
        <f>IF(Skills!M21=TRUE,(Skills!K21/10)*(E299/1000),Skills!K21/10)+Skills!N21</f>
        <v/>
      </c>
      <c r="G299">
        <f>Calc!G21</f>
        <v/>
      </c>
      <c r="H299">
        <f>Calc!H21</f>
        <v/>
      </c>
      <c r="I299">
        <f>IF(Skills!T21&lt;&gt;"",1+(Skills!T21/10)*($Z$3/1000)/100,1)</f>
        <v/>
      </c>
      <c r="J299" t="inlineStr"/>
      <c r="K299" t="inlineStr"/>
      <c r="L299" t="inlineStr"/>
      <c r="M299" t="inlineStr"/>
      <c r="N299" t="inlineStr"/>
      <c r="O299" t="n">
        <v>0</v>
      </c>
      <c r="P299">
        <f>IF(B316=0,0,O299/B316)</f>
        <v/>
      </c>
      <c r="S299" t="n">
        <v>0</v>
      </c>
      <c r="V299">
        <f>IFERROR(1/IF(Inputs!$B$4="pvp",15,MAX(0.1,Skills!D21-IF(Skills!E21=TRUE,Inputs!$B$31,0))),0)</f>
        <v/>
      </c>
    </row>
    <row r="300">
      <c r="A300">
        <f>Skills!A22</f>
        <v/>
      </c>
      <c r="B300">
        <f>Skills!B22</f>
        <v/>
      </c>
      <c r="C300">
        <f>Inputs!$B$3&gt;=50</f>
        <v/>
      </c>
      <c r="D300">
        <f>IF(Skills!C22=1,60+Inputs!$B$24+Inputs!$B$28,IF(Skills!C22=2,90+Inputs!$B$25+Inputs!$B$28,IF(Skills!C22=3,120+Inputs!$B$26+Inputs!$B$28,MAX(0,(Inputs!$B$3-100)*3)+Inputs!$B$27+Inputs!$B$28)))</f>
        <v/>
      </c>
      <c r="E300">
        <f>INDEX(FactorTable!$B$2:$Y$301, MATCH(ROUND(MIN(300,MAX(1,D300)),0), FactorTable!$A$2:$A$301,0), Skills!L22+1)</f>
        <v/>
      </c>
      <c r="F300">
        <f>IF(Skills!M22=TRUE,(Skills!K22/10)*(E300/1000),Skills!K22/10)+Skills!N22</f>
        <v/>
      </c>
      <c r="G300">
        <f>Calc!G22</f>
        <v/>
      </c>
      <c r="H300">
        <f>Calc!H22</f>
        <v/>
      </c>
      <c r="I300">
        <f>IF(Skills!T22&lt;&gt;"",1+(Skills!T22/10)*($Z$3/1000)/100,1)</f>
        <v/>
      </c>
      <c r="J300" t="inlineStr"/>
      <c r="K300" t="inlineStr"/>
      <c r="L300" t="inlineStr"/>
      <c r="M300" t="inlineStr"/>
      <c r="N300" t="inlineStr"/>
      <c r="O300" t="n">
        <v>0</v>
      </c>
      <c r="P300">
        <f>IF(B316=0,0,O300/B316)</f>
        <v/>
      </c>
      <c r="S300" t="n">
        <v>0</v>
      </c>
      <c r="V300">
        <f>IFERROR(1/IF(Inputs!$B$4="pvp",15,MAX(0.1,Skills!D22-IF(Skills!E22=TRUE,Inputs!$B$31,0))),0)</f>
        <v/>
      </c>
    </row>
    <row r="301">
      <c r="A301">
        <f>Skills!A23</f>
        <v/>
      </c>
      <c r="B301">
        <f>Skills!B23</f>
        <v/>
      </c>
      <c r="C301">
        <f>Inputs!$B$3&gt;=74</f>
        <v/>
      </c>
      <c r="D301">
        <f>IF(Skills!C23=1,60+Inputs!$B$24+Inputs!$B$28,IF(Skills!C23=2,90+Inputs!$B$25+Inputs!$B$28,IF(Skills!C23=3,120+Inputs!$B$26+Inputs!$B$28,MAX(0,(Inputs!$B$3-100)*3)+Inputs!$B$27+Inputs!$B$28)))</f>
        <v/>
      </c>
      <c r="E301">
        <f>INDEX(FactorTable!$B$2:$Y$301, MATCH(ROUND(MIN(300,MAX(1,D301)),0), FactorTable!$A$2:$A$301,0), Skills!L23+1)</f>
        <v/>
      </c>
      <c r="F301">
        <f>IF(Skills!M23=TRUE,(Skills!K23/10)*(E301/1000),Skills!K23/10)+Skills!N23</f>
        <v/>
      </c>
      <c r="G301">
        <f>Calc!G23</f>
        <v/>
      </c>
      <c r="H301">
        <f>Calc!H23</f>
        <v/>
      </c>
      <c r="I301">
        <f>IF(Skills!T23&lt;&gt;"",1+(Skills!T23/10)*($Z$3/1000)/100,1)</f>
        <v/>
      </c>
      <c r="J301" t="inlineStr"/>
      <c r="K301" t="inlineStr"/>
      <c r="L301" t="inlineStr"/>
      <c r="M301" t="inlineStr"/>
      <c r="N301" t="inlineStr"/>
      <c r="O301" t="n">
        <v>0</v>
      </c>
      <c r="P301">
        <f>IF(B316=0,0,O301/B316)</f>
        <v/>
      </c>
      <c r="S301" t="n">
        <v>0</v>
      </c>
      <c r="V301">
        <f>IFERROR(1/IF(Inputs!$B$4="pvp",15,MAX(0.1,Skills!D23-IF(Skills!E23=TRUE,Inputs!$B$31,0))),0)</f>
        <v/>
      </c>
    </row>
    <row r="302">
      <c r="A302">
        <f>Skills!A24</f>
        <v/>
      </c>
      <c r="B302">
        <f>Skills!B24</f>
        <v/>
      </c>
      <c r="C302">
        <f>Inputs!$B$3&gt;=74</f>
        <v/>
      </c>
      <c r="D302">
        <f>IF(Skills!C24=1,60+Inputs!$B$24+Inputs!$B$28,IF(Skills!C24=2,90+Inputs!$B$25+Inputs!$B$28,IF(Skills!C24=3,120+Inputs!$B$26+Inputs!$B$28,MAX(0,(Inputs!$B$3-100)*3)+Inputs!$B$27+Inputs!$B$28)))</f>
        <v/>
      </c>
      <c r="E302">
        <f>INDEX(FactorTable!$B$2:$Y$301, MATCH(ROUND(MIN(300,MAX(1,D302)),0), FactorTable!$A$2:$A$301,0), Skills!L24+1)</f>
        <v/>
      </c>
      <c r="F302">
        <f>IF(Skills!M24=TRUE,(Skills!K24/10)*(E302/1000),Skills!K24/10)+Skills!N24</f>
        <v/>
      </c>
      <c r="G302">
        <f>Calc!G24</f>
        <v/>
      </c>
      <c r="H302">
        <f>Calc!H24</f>
        <v/>
      </c>
      <c r="I302">
        <f>IF(Skills!T24&lt;&gt;"",1+(Skills!T24/10)*($Z$3/1000)/100,1)</f>
        <v/>
      </c>
      <c r="J302" t="inlineStr"/>
      <c r="K302" t="inlineStr"/>
      <c r="L302" t="inlineStr"/>
      <c r="M302" t="inlineStr"/>
      <c r="N302" t="inlineStr"/>
      <c r="O302" t="n">
        <v>0</v>
      </c>
      <c r="P302">
        <f>IF(B316=0,0,O302/B316)</f>
        <v/>
      </c>
      <c r="S302" t="n">
        <v>0</v>
      </c>
      <c r="V302">
        <f>IFERROR(1/IF(Inputs!$B$4="pvp",15,MAX(0.1,Skills!D24-IF(Skills!E24=TRUE,Inputs!$B$31,0))),0)</f>
        <v/>
      </c>
    </row>
    <row r="303">
      <c r="A303">
        <f>Skills!A25</f>
        <v/>
      </c>
      <c r="B303">
        <f>Skills!B25</f>
        <v/>
      </c>
      <c r="C303">
        <f>Inputs!$B$3&gt;=117</f>
        <v/>
      </c>
      <c r="D303">
        <f>IF(Skills!C25=1,60+Inputs!$B$24+Inputs!$B$28,IF(Skills!C25=2,90+Inputs!$B$25+Inputs!$B$28,IF(Skills!C25=3,120+Inputs!$B$26+Inputs!$B$28,MAX(0,(Inputs!$B$3-100)*3)+Inputs!$B$27+Inputs!$B$28)))</f>
        <v/>
      </c>
      <c r="E303">
        <f>INDEX(FactorTable!$B$2:$Y$301, MATCH(ROUND(MIN(300,MAX(1,D303)),0), FactorTable!$A$2:$A$301,0), Skills!L25+1)</f>
        <v/>
      </c>
      <c r="F303">
        <f>IF(Skills!M25=TRUE,(Skills!K25/10)*(E303/1000),Skills!K25/10)+Skills!N25</f>
        <v/>
      </c>
      <c r="G303">
        <f>Calc!G25</f>
        <v/>
      </c>
      <c r="H303">
        <f>Calc!H25</f>
        <v/>
      </c>
      <c r="I303">
        <f>IF(Skills!T25&lt;&gt;"",1+(Skills!T25/10)*($Z$3/1000)/100,1)</f>
        <v/>
      </c>
      <c r="J303" t="inlineStr"/>
      <c r="K303" t="inlineStr"/>
      <c r="L303" t="inlineStr"/>
      <c r="M303" t="inlineStr"/>
      <c r="N303" t="inlineStr"/>
      <c r="O303" t="n">
        <v>0</v>
      </c>
      <c r="P303">
        <f>IF(B316=0,0,O303/B316)</f>
        <v/>
      </c>
      <c r="S303" t="n">
        <v>0</v>
      </c>
      <c r="V303">
        <f>IFERROR(1/IF(Inputs!$B$4="pvp",15,MAX(0.1,Skills!D25-IF(Skills!E25=TRUE,Inputs!$B$31,0))),0)</f>
        <v/>
      </c>
    </row>
    <row r="304">
      <c r="A304">
        <f>Skills!A26</f>
        <v/>
      </c>
      <c r="B304">
        <f>Skills!B26</f>
        <v/>
      </c>
      <c r="C304">
        <f>Inputs!$B$3&gt;=120</f>
        <v/>
      </c>
      <c r="D304">
        <f>IF(Skills!C26=1,60+Inputs!$B$24+Inputs!$B$28,IF(Skills!C26=2,90+Inputs!$B$25+Inputs!$B$28,IF(Skills!C26=3,120+Inputs!$B$26+Inputs!$B$28,MAX(0,(Inputs!$B$3-100)*3)+Inputs!$B$27+Inputs!$B$28)))</f>
        <v/>
      </c>
      <c r="E304">
        <f>INDEX(FactorTable!$B$2:$Y$301, MATCH(ROUND(MIN(300,MAX(1,D304)),0), FactorTable!$A$2:$A$301,0), Skills!L26+1)</f>
        <v/>
      </c>
      <c r="F304">
        <f>IF(Skills!M26=TRUE,(Skills!K26/10)*(E304/1000),Skills!K26/10)+Skills!N26</f>
        <v/>
      </c>
      <c r="G304">
        <f>Calc!G26</f>
        <v/>
      </c>
      <c r="H304">
        <f>Calc!H26</f>
        <v/>
      </c>
      <c r="I304">
        <f>IF(Skills!T26&lt;&gt;"",1+(Skills!T26/10)*($Z$3/1000)/100,1)</f>
        <v/>
      </c>
      <c r="J304" t="inlineStr"/>
      <c r="K304" t="inlineStr"/>
      <c r="L304" t="inlineStr"/>
      <c r="M304" t="inlineStr"/>
      <c r="N304" t="inlineStr"/>
      <c r="O304" t="n">
        <v>0</v>
      </c>
      <c r="P304">
        <f>IF(B316=0,0,O304/B316)</f>
        <v/>
      </c>
      <c r="S304" t="n">
        <v>0</v>
      </c>
      <c r="V304">
        <f>IFERROR(1/IF(Inputs!$B$4="pvp",15,MAX(0.1,Skills!D26-IF(Skills!E26=TRUE,Inputs!$B$31,0))),0)</f>
        <v/>
      </c>
    </row>
    <row r="306">
      <c r="A306" t="inlineStr">
        <is>
          <t>Average Buff Multiplier</t>
        </is>
      </c>
      <c r="B306">
        <f>(1+(IF(C281=TRUE,F281*IF(AND(Inputs!$B$4&lt;&gt;"pvp",Inputs!$B$35&gt;0),(((S281-1)*(Skills!S3*(1+(Inputs!$B$33+IF(Inputs!$B$3&gt;=117,F303,0))/100))+MIN((Skills!S3*(1+(Inputs!$B$33+IF(Inputs!$B$3&gt;=117,F303,0))/100)),MAX(0,Inputs!$B$35-((S281-1)*Skills!D3))))/Inputs!$B$35),IF(Inputs!$B$4="pvp",MIN((Skills!S3*(1+(Inputs!$B$33+IF(Inputs!$B$3&gt;=117,F303,0))/100)),15)/15,(Skills!S3*(1+(Inputs!$B$33+IF(Inputs!$B$3&gt;=117,F303,0))/100))/Skills!D3)),0)+IF(C282=TRUE,F282*IF(AND(Inputs!$B$4&lt;&gt;"pvp",Inputs!$B$35&gt;0),(((S282-1)*(Skills!S4*(1+(Inputs!$B$33+IF(Inputs!$B$3&gt;=117,F303,0))/100))+MIN((Skills!S4*(1+(Inputs!$B$33+IF(Inputs!$B$3&gt;=117,F303,0))/100)),MAX(0,Inputs!$B$35-((S282-1)*Skills!D4))))/Inputs!$B$35),IF(Inputs!$B$4="pvp",MIN((Skills!S4*(1+(Inputs!$B$33+IF(Inputs!$B$3&gt;=117,F303,0))/100)),15)/15,(Skills!S4*(1+(Inputs!$B$33+IF(Inputs!$B$3&gt;=117,F303,0))/100))/Skills!D4)),0)+IF(C283=TRUE,F283*IF(AND(Inputs!$B$4&lt;&gt;"pvp",Inputs!$B$35&gt;0),(((S283-1)*(Skills!S5*(1+(Inputs!$B$33+IF(Inputs!$B$3&gt;=117,F303,0))/100))+MIN((Skills!S5*(1+(Inputs!$B$33+IF(Inputs!$B$3&gt;=117,F303,0))/100)),MAX(0,Inputs!$B$35-((S283-1)*Skills!D5))))/Inputs!$B$35),IF(Inputs!$B$4="pvp",MIN((Skills!S5*(1+(Inputs!$B$33+IF(Inputs!$B$3&gt;=117,F303,0))/100)),15)/15,(Skills!S5*(1+(Inputs!$B$33+IF(Inputs!$B$3&gt;=117,F303,0))/100))/Skills!D5)),0)+IF(C289=TRUE,F289*IF(AND(Inputs!$B$4&lt;&gt;"pvp",Inputs!$B$35&gt;0),(((S289-1)*(Skills!S11*(1+(Inputs!$B$33+IF(Inputs!$B$3&gt;=117,F303,0))/100))+MIN((Skills!S11*(1+(Inputs!$B$33+IF(Inputs!$B$3&gt;=117,F303,0))/100)),MAX(0,Inputs!$B$35-((S289-1)*Skills!D11))))/Inputs!$B$35),IF(Inputs!$B$4="pvp",MIN((Skills!S11*(1+(Inputs!$B$33+IF(Inputs!$B$3&gt;=117,F303,0))/100)),15)/15,(Skills!S11*(1+(Inputs!$B$33+IF(Inputs!$B$3&gt;=117,F303,0))/100))/Skills!D11)),0))/100)*IF(C291=TRUE,(1+F291*IF(AND(Inputs!$B$4&lt;&gt;"pvp",Inputs!$B$35&gt;0),(((S291-1)*(Skills!S13*(1+(Inputs!$B$33+IF(Inputs!$B$3&gt;=117,F303,0))/100))+MIN((Skills!S13*(1+(Inputs!$B$33+IF(Inputs!$B$3&gt;=117,F303,0))/100)),MAX(0,Inputs!$B$35-((S291-1)*Skills!D13))))/Inputs!$B$35),IF(Inputs!$B$4="pvp",MIN((Skills!S13*(1+(Inputs!$B$33+IF(Inputs!$B$3&gt;=117,F303,0))/100)),15)/15,(Skills!S13*(1+(Inputs!$B$33+IF(Inputs!$B$3&gt;=117,F303,0))/100))/Skills!D13))/100),1)*IF(C296=TRUE,(1+F296*IF(AND(Inputs!$B$4&lt;&gt;"pvp",Inputs!$B$35&gt;0),(((S296-1)*(Skills!S18*(1+(Inputs!$B$33+IF(Inputs!$B$3&gt;=117,F303,0))/100))+MIN((Skills!S18*(1+(Inputs!$B$33+IF(Inputs!$B$3&gt;=117,F303,0))/100)),MAX(0,Inputs!$B$35-((S296-1)*Skills!D18))))/Inputs!$B$35),IF(Inputs!$B$4="pvp",MIN((Skills!S18*(1+(Inputs!$B$33+IF(Inputs!$B$3&gt;=117,F303,0))/100)),15)/15,(Skills!S18*(1+(Inputs!$B$33+IF(Inputs!$B$3&gt;=117,F303,0))/100))/Skills!D18))/100),1)</f>
        <v/>
      </c>
    </row>
    <row r="307">
      <c r="A307" t="inlineStr">
        <is>
          <t>Monster Damage Taken Bonus % (Holy Fountain)</t>
        </is>
      </c>
      <c r="B307">
        <f>IF(Inputs!$B$3&gt;=68,20*IF(Inputs!$B$4="pvp",MIN((15*(1+(Inputs!$B$33+IF(Inputs!$B$3&gt;=117,F303,0))/100)),15)/15,(15*(1+(Inputs!$B$33+IF(Inputs!$B$3&gt;=117,F303,0))/100))/Skills!D10),0)</f>
        <v/>
      </c>
    </row>
    <row r="308">
      <c r="A308" t="inlineStr">
        <is>
          <t>Normal Monster Damage Bonus % (Holy Symbol)</t>
        </is>
      </c>
      <c r="B308">
        <f>IF(C290=TRUE,F290*IF(AND(Inputs!$B$4&lt;&gt;"pvp",Inputs!$B$35&gt;0),(((S290-1)*(Skills!S12*(1+(Inputs!$B$33+IF(Inputs!$B$3&gt;=117,F303,0))/100))+MIN((Skills!S12*(1+(Inputs!$B$33+IF(Inputs!$B$3&gt;=117,F303,0))/100)),MAX(0,Inputs!$B$35-((S290-1)*Skills!D12))))/Inputs!$B$35),IF(Inputs!$B$4="pvp",MIN((Skills!S12*(1+(Inputs!$B$33+IF(Inputs!$B$3&gt;=117,F303,0))/100)),15)/15,(Skills!S12*(1+(Inputs!$B$33+IF(Inputs!$B$3&gt;=117,F303,0))/100))/Skills!D12)),0)</f>
        <v/>
      </c>
    </row>
    <row r="309">
      <c r="A309" t="inlineStr">
        <is>
          <t>Damage % Bonus (Holy Symbol - Damage Boost)</t>
        </is>
      </c>
      <c r="B309">
        <f>Skills!O12</f>
        <v/>
      </c>
    </row>
    <row r="310">
      <c r="A310" t="inlineStr">
        <is>
          <t>Crit Damage % Bonus (Blood of the Divine)</t>
        </is>
      </c>
      <c r="B310">
        <f>4*IF(C297=TRUE,F297,0)</f>
        <v/>
      </c>
    </row>
    <row r="311">
      <c r="A311" t="inlineStr">
        <is>
          <t>Attack Speed Bonus %</t>
        </is>
      </c>
      <c r="B311">
        <f>IF(C294=TRUE,F294+(F298-Calc!F20),0)+IF(Inputs!$B$3&gt;=134,15,0)</f>
        <v/>
      </c>
    </row>
    <row r="312">
      <c r="A312" t="inlineStr">
        <is>
          <t>Actions Per Second</t>
        </is>
      </c>
      <c r="B312">
        <f>1+MIN(150,150*(1-(1-Inputs!$B$10/150)*(1-B311/150)))/100</f>
        <v/>
      </c>
    </row>
    <row r="313">
      <c r="A313" t="inlineStr">
        <is>
          <t>Skill + Buff Cast Rate</t>
        </is>
      </c>
      <c r="B313">
        <f>IF(AND(Inputs!$B$4&lt;&gt;"pvp",Inputs!$B$35&gt;0),SUMPRODUCT((Skills!E2:E26=TRUE)*(C280:C304=TRUE)*S280:S304)/Inputs!$B$35,SUMPRODUCT((Skills!E2:E26=TRUE)*(C280:C304=TRUE)*V280:V304))</f>
        <v/>
      </c>
    </row>
    <row r="314">
      <c r="A314" t="inlineStr">
        <is>
          <t>Big Bang Casts Per Second</t>
        </is>
      </c>
      <c r="B314">
        <f>MAX(0,B312-B313)</f>
        <v/>
      </c>
    </row>
    <row r="316">
      <c r="A316" s="5" t="inlineStr">
        <is>
          <t>TOTAL DPS</t>
        </is>
      </c>
      <c r="B316" s="5">
        <f>SUM(O280:O304)</f>
        <v/>
      </c>
    </row>
    <row r="319">
      <c r="A319" s="5" t="inlineStr">
        <is>
          <t>Stat: MIN_DAMAGE %</t>
        </is>
      </c>
    </row>
    <row r="320">
      <c r="A320" s="8" t="inlineStr">
        <is>
          <t>Key</t>
        </is>
      </c>
      <c r="B320" s="8" t="inlineStr">
        <is>
          <t>Name</t>
        </is>
      </c>
      <c r="C320" s="8" t="inlineStr">
        <is>
          <t>Unlocked</t>
        </is>
      </c>
      <c r="D320" s="8" t="inlineStr">
        <is>
          <t>InputLevel</t>
        </is>
      </c>
      <c r="E320" s="8" t="inlineStr">
        <is>
          <t>Factor</t>
        </is>
      </c>
      <c r="F320" s="8" t="inlineStr">
        <is>
          <t>CoefficientPercent</t>
        </is>
      </c>
      <c r="G320" s="8" t="inlineStr">
        <is>
          <t>EffectiveHits</t>
        </is>
      </c>
      <c r="H320" s="8" t="inlineStr">
        <is>
          <t>ProcProbability</t>
        </is>
      </c>
      <c r="I320" s="8" t="inlineStr">
        <is>
          <t>MapleHeroMultiplier</t>
        </is>
      </c>
      <c r="J320" s="8" t="inlineStr">
        <is>
          <t>BaseDamage</t>
        </is>
      </c>
      <c r="K320" s="8" t="inlineStr">
        <is>
          <t>BaseHitDamage</t>
        </is>
      </c>
      <c r="L320" s="8" t="inlineStr">
        <is>
          <t>NonCritAvg</t>
        </is>
      </c>
      <c r="M320" s="8" t="inlineStr">
        <is>
          <t>CritAvg</t>
        </is>
      </c>
      <c r="N320" s="8" t="inlineStr">
        <is>
          <t>ExpectedDamage(perHit)</t>
        </is>
      </c>
      <c r="O320" s="8" t="inlineStr">
        <is>
          <t>DPS</t>
        </is>
      </c>
      <c r="P320" s="8" t="inlineStr">
        <is>
          <t>% of Total</t>
        </is>
      </c>
      <c r="R320" t="inlineStr">
        <is>
          <t>helpers</t>
        </is>
      </c>
    </row>
    <row r="321">
      <c r="A321">
        <f>Skills!A2</f>
        <v/>
      </c>
      <c r="B321">
        <f>Skills!B2</f>
        <v/>
      </c>
      <c r="C321">
        <f>Inputs!$B$3&gt;=100</f>
        <v/>
      </c>
      <c r="D321" t="inlineStr"/>
      <c r="E321" t="inlineStr"/>
      <c r="F321">
        <f>T323+Skills!N2</f>
        <v/>
      </c>
      <c r="G321">
        <f>Calc!G2</f>
        <v/>
      </c>
      <c r="H321">
        <f>Calc!H2</f>
        <v/>
      </c>
      <c r="I321">
        <f>IF(Skills!T2&lt;&gt;"",1+(Skills!T2/10)*($Z$3/1000)/100,1)</f>
        <v/>
      </c>
      <c r="J321">
        <f>((Inputs!$B$5*(1+Inputs!$B$6/100))+((Inputs!$B$11*(1+Inputs!$B$12/100))-(Inputs!$B$11*(1+Inputs!$B$12/100)))*(1+Inputs!$B$6/100))*(F321/100)</f>
        <v/>
      </c>
      <c r="K321">
        <f>J321*(1+((Inputs!$B$11*(1+Inputs!$B$12/100))*0.01+Inputs!$B$13*0.0025)/100)*(1+(Inputs!$B$14+B350)/100)*(1+IF(Inputs!$B$4="pvp",0,(1-Summary!$B$48)*(Inputs!$B$19+Skills!O2+B348)+Summary!$B$48*(Inputs!$B$20+Skills!P2+B349))/100)*(1+Inputs!$B$15/100)*(5000/(6000+Inputs!$B$7*(1-Inputs!$B$18/100)))*(1+Inputs!$B$23/100)*(1+IF(C336=TRUE,F336,0)/100)*(1+IF(C338=TRUE,F338,0)/100)*(1+IF(Skills!A2="TRIUMPH_FEATHER",IF(C334=TRUE,F334,0),0)/100)*(1+IF(C345=TRUE,F345,0)/100)^5*(1+(IF(Skills!A2="BIG_BANG",Inputs!$B$16,Inputs!$B$17))/100)*(B347*I321)</f>
        <v/>
      </c>
      <c r="L321">
        <f>K321*(MIN((Inputs!$B$21+1)+(F340-Calc!F21),Inputs!$B$22)/100+Inputs!$B$22/100)/2</f>
        <v/>
      </c>
      <c r="M321">
        <f>L321*(1+(Inputs!$B$9+B351+(F343-Calc!F24))/100)</f>
        <v/>
      </c>
      <c r="N321">
        <f>L321*(1-MIN(Inputs!$B$8+((F342-Calc!F23)+(F341-Calc!F22)),100)/100)+M321*(MIN(Inputs!$B$8+((F342-Calc!F23)+(F341-Calc!F22)),100)/100)</f>
        <v/>
      </c>
      <c r="O321">
        <f>IF(C321,Skills!F2*N321*B355*IF(Inputs!$B$4="pvp",1,(1-Summary!$B$48)*(1)+Summary!$B$48*(MIN((6+Inputs!$B$32),Inputs!$B$37))),0)</f>
        <v/>
      </c>
      <c r="P321">
        <f>IF(B357=0,0,O321/B357)</f>
        <v/>
      </c>
      <c r="S321" t="n">
        <v>0</v>
      </c>
      <c r="T321">
        <f>MAX(0,(Inputs!$B$3-100)*3)+Inputs!$B$27+Inputs!$B$28</f>
        <v/>
      </c>
      <c r="V321">
        <f>IFERROR(1/IF(Inputs!$B$4="pvp",15,MAX(0.1,Skills!D2-IF(Skills!E2=TRUE,Inputs!$B$31,0))),0)</f>
        <v/>
      </c>
    </row>
    <row r="322">
      <c r="A322">
        <f>Skills!A3</f>
        <v/>
      </c>
      <c r="B322">
        <f>Skills!B3</f>
        <v/>
      </c>
      <c r="C322">
        <f>Inputs!$B$3&gt;=15</f>
        <v/>
      </c>
      <c r="D322">
        <f>IF(Skills!C3=1,60+Inputs!$B$24+Inputs!$B$28,IF(Skills!C3=2,90+Inputs!$B$25+Inputs!$B$28,IF(Skills!C3=3,120+Inputs!$B$26+Inputs!$B$28,MAX(0,(Inputs!$B$3-100)*3)+Inputs!$B$27+Inputs!$B$28)))</f>
        <v/>
      </c>
      <c r="E322">
        <f>INDEX(FactorTable!$B$2:$Y$301, MATCH(ROUND(MIN(300,MAX(1,D322)),0), FactorTable!$A$2:$A$301,0), Skills!L3+1)</f>
        <v/>
      </c>
      <c r="F322">
        <f>IF(Skills!M3=TRUE,(Skills!K3/10)*(E322/1000),Skills!K3/10)+Skills!N3</f>
        <v/>
      </c>
      <c r="G322">
        <f>Calc!G3</f>
        <v/>
      </c>
      <c r="H322">
        <f>Calc!H3</f>
        <v/>
      </c>
      <c r="I322">
        <f>IF(Skills!T3&lt;&gt;"",1+(Skills!T3/10)*($Z$3/1000)/100,1)</f>
        <v/>
      </c>
      <c r="J322" t="inlineStr"/>
      <c r="K322" t="inlineStr"/>
      <c r="L322" t="inlineStr"/>
      <c r="M322" t="inlineStr"/>
      <c r="N322" t="inlineStr"/>
      <c r="O322" t="n">
        <v>0</v>
      </c>
      <c r="P322">
        <f>IF(B357=0,0,O322/B357)</f>
        <v/>
      </c>
      <c r="S322">
        <f>IF(AND(Inputs!$B$4&lt;&gt;"pvp",Inputs!$B$35&gt;0),(INT(Inputs!$B$35/IF(Inputs!$B$4="pvp",15,MAX(0.1,Skills!D3-IF(Skills!E3=TRUE,Inputs!$B$31,0))))+1),0)</f>
        <v/>
      </c>
      <c r="T322">
        <f>INDEX(FactorTable!$B$2:$Y$301, MATCH(ROUND(MIN(300,MAX(1,T321)),0), FactorTable!$A$2:$A$301,0), 22)</f>
        <v/>
      </c>
      <c r="V322">
        <f>IFERROR(1/IF(Inputs!$B$4="pvp",15,MAX(0.1,Skills!D3-IF(Skills!E3=TRUE,Inputs!$B$31,0))),0)</f>
        <v/>
      </c>
    </row>
    <row r="323">
      <c r="A323">
        <f>Skills!A4</f>
        <v/>
      </c>
      <c r="B323">
        <f>Skills!B4</f>
        <v/>
      </c>
      <c r="C323">
        <f>Inputs!$B$3&gt;=38</f>
        <v/>
      </c>
      <c r="D323">
        <f>IF(Skills!C4=1,60+Inputs!$B$24+Inputs!$B$28,IF(Skills!C4=2,90+Inputs!$B$25+Inputs!$B$28,IF(Skills!C4=3,120+Inputs!$B$26+Inputs!$B$28,MAX(0,(Inputs!$B$3-100)*3)+Inputs!$B$27+Inputs!$B$28)))</f>
        <v/>
      </c>
      <c r="E323">
        <f>INDEX(FactorTable!$B$2:$Y$301, MATCH(ROUND(MIN(300,MAX(1,D323)),0), FactorTable!$A$2:$A$301,0), Skills!L4+1)</f>
        <v/>
      </c>
      <c r="F323">
        <f>IF(Skills!M4=TRUE,(Skills!K4/10)*(E323/1000),Skills!K4/10)+Skills!N4</f>
        <v/>
      </c>
      <c r="G323">
        <f>Calc!G4</f>
        <v/>
      </c>
      <c r="H323">
        <f>Calc!H4</f>
        <v/>
      </c>
      <c r="I323">
        <f>IF(Skills!T4&lt;&gt;"",1+(Skills!T4/10)*($Z$3/1000)/100,1)</f>
        <v/>
      </c>
      <c r="J323" t="inlineStr"/>
      <c r="K323" t="inlineStr"/>
      <c r="L323" t="inlineStr"/>
      <c r="M323" t="inlineStr"/>
      <c r="N323" t="inlineStr"/>
      <c r="O323" t="n">
        <v>0</v>
      </c>
      <c r="P323">
        <f>IF(B357=0,0,O323/B357)</f>
        <v/>
      </c>
      <c r="S323">
        <f>IF(AND(Inputs!$B$4&lt;&gt;"pvp",Inputs!$B$35&gt;0),(INT(Inputs!$B$35/IF(Inputs!$B$4="pvp",15,MAX(0.1,Skills!D4-IF(Skills!E4=TRUE,Inputs!$B$31,0))))+1),0)</f>
        <v/>
      </c>
      <c r="T323">
        <f>290*T322/1000</f>
        <v/>
      </c>
      <c r="V323">
        <f>IFERROR(1/IF(Inputs!$B$4="pvp",15,MAX(0.1,Skills!D4-IF(Skills!E4=TRUE,Inputs!$B$31,0))),0)</f>
        <v/>
      </c>
    </row>
    <row r="324">
      <c r="A324">
        <f>Skills!A5</f>
        <v/>
      </c>
      <c r="B324">
        <f>Skills!B5</f>
        <v/>
      </c>
      <c r="C324">
        <f>Inputs!$B$3&gt;=40</f>
        <v/>
      </c>
      <c r="D324">
        <f>IF(Skills!C5=1,60+Inputs!$B$24+Inputs!$B$28,IF(Skills!C5=2,90+Inputs!$B$25+Inputs!$B$28,IF(Skills!C5=3,120+Inputs!$B$26+Inputs!$B$28,MAX(0,(Inputs!$B$3-100)*3)+Inputs!$B$27+Inputs!$B$28)))</f>
        <v/>
      </c>
      <c r="E324">
        <f>INDEX(FactorTable!$B$2:$Y$301, MATCH(ROUND(MIN(300,MAX(1,D324)),0), FactorTable!$A$2:$A$301,0), Skills!L5+1)</f>
        <v/>
      </c>
      <c r="F324">
        <f>IF(Skills!M5=TRUE,(Skills!K5/10)*(E324/1000),Skills!K5/10)+Skills!N5</f>
        <v/>
      </c>
      <c r="G324">
        <f>Calc!G5</f>
        <v/>
      </c>
      <c r="H324">
        <f>Calc!H5</f>
        <v/>
      </c>
      <c r="I324">
        <f>IF(Skills!T5&lt;&gt;"",1+(Skills!T5/10)*($Z$3/1000)/100,1)</f>
        <v/>
      </c>
      <c r="J324" t="inlineStr"/>
      <c r="K324" t="inlineStr"/>
      <c r="L324" t="inlineStr"/>
      <c r="M324" t="inlineStr"/>
      <c r="N324" t="inlineStr"/>
      <c r="O324" t="n">
        <v>0</v>
      </c>
      <c r="P324">
        <f>IF(B357=0,0,O324/B357)</f>
        <v/>
      </c>
      <c r="S324">
        <f>IF(AND(Inputs!$B$4&lt;&gt;"pvp",Inputs!$B$35&gt;0),(INT(Inputs!$B$35/IF(Inputs!$B$4="pvp",15,MAX(0.1,Skills!D5-IF(Skills!E5=TRUE,Inputs!$B$31,0))))+1),0)</f>
        <v/>
      </c>
      <c r="V324">
        <f>IFERROR(1/IF(Inputs!$B$4="pvp",15,MAX(0.1,Skills!D5-IF(Skills!E5=TRUE,Inputs!$B$31,0))),0)</f>
        <v/>
      </c>
    </row>
    <row r="325">
      <c r="A325">
        <f>Skills!A6</f>
        <v/>
      </c>
      <c r="B325">
        <f>Skills!B6</f>
        <v/>
      </c>
      <c r="C325">
        <f>Inputs!$B$3&gt;=103</f>
        <v/>
      </c>
      <c r="D325">
        <f>IF(Skills!C6=1,60+Inputs!$B$24+Inputs!$B$28,IF(Skills!C6=2,90+Inputs!$B$25+Inputs!$B$28,IF(Skills!C6=3,120+Inputs!$B$26+Inputs!$B$28,MAX(0,(Inputs!$B$3-100)*3)+Inputs!$B$27+Inputs!$B$28)))</f>
        <v/>
      </c>
      <c r="E325">
        <f>INDEX(FactorTable!$B$2:$Y$301, MATCH(ROUND(MIN(300,MAX(1,D325)),0), FactorTable!$A$2:$A$301,0), Skills!L6+1)</f>
        <v/>
      </c>
      <c r="F325">
        <f>IF(Skills!M6=TRUE,(Skills!K6/10)*(E325/1000),Skills!K6/10)+Skills!N6</f>
        <v/>
      </c>
      <c r="G325">
        <f>Calc!G6</f>
        <v/>
      </c>
      <c r="H325">
        <f>Calc!H6</f>
        <v/>
      </c>
      <c r="I325">
        <f>IF(Skills!T6&lt;&gt;"",1+(Skills!T6/10)*($Z$3/1000)/100,1)</f>
        <v/>
      </c>
      <c r="J325">
        <f>((Inputs!$B$5*(1+Inputs!$B$6/100))+((Inputs!$B$11*(1+Inputs!$B$12/100))-(Inputs!$B$11*(1+Inputs!$B$12/100)))*(1+Inputs!$B$6/100))*(F325/100)</f>
        <v/>
      </c>
      <c r="K325">
        <f>J325*(1+((Inputs!$B$11*(1+Inputs!$B$12/100))*0.01+Inputs!$B$13*0.0025)/100)*(1+(Inputs!$B$14+B350)/100)*(1+IF(Inputs!$B$4="pvp",0,(1-Summary!$B$48)*(Inputs!$B$19+Skills!O6+B348)+Summary!$B$48*(Inputs!$B$20+Skills!P6+B349))/100)*(1+Inputs!$B$15/100)*(5000/(6000+Inputs!$B$7*(1-Inputs!$B$18/100)))*(1+Inputs!$B$23/100)*(1+IF(C336=TRUE,F336,0)/100)*(1+IF(C338=TRUE,F338,0)/100)*(1+IF(Skills!A6="TRIUMPH_FEATHER",IF(C334=TRUE,F334,0),0)/100)*(1+IF(C345=TRUE,F345,0)/100)^5*(1+(IF(Skills!A6="BIG_BANG",Inputs!$B$16,Inputs!$B$17))/100)*(B347*I325)</f>
        <v/>
      </c>
      <c r="L325">
        <f>K325*(MIN((Inputs!$B$21+1)+(F340-Calc!F21),Inputs!$B$22)/100+Inputs!$B$22/100)/2</f>
        <v/>
      </c>
      <c r="M325">
        <f>L325*(1+(Inputs!$B$9+B351+(F343-Calc!F24))/100)</f>
        <v/>
      </c>
      <c r="N325">
        <f>L325*(1-MIN(Inputs!$B$8+((F342-Calc!F23)+(F341-Calc!F22)),100)/100)+M325*(MIN(Inputs!$B$8+((F342-Calc!F23)+(F341-Calc!F22)),100)/100)</f>
        <v/>
      </c>
      <c r="O325">
        <f>IF(C325,H325*N325*IF(AND(Inputs!$B$4&lt;&gt;"pvp",Inputs!$B$35&gt;0),((Skills!F6*((S325-1)*IF(Skills!G6&gt;0,Skills!H6/Skills!G6,1)+IF(Skills!G6&gt;0,MIN(Skills!H6,MAX(0,Inputs!$B$35-((S325-1)*IF(Inputs!$B$4="pvp",15,MAX(0.1,Skills!D6-IF(Skills!E6=TRUE,Inputs!$B$31,0))))))/Skills!G6,1)))/Inputs!$B$35),G325*V325)*IF(Inputs!$B$4="pvp",1,(1-Summary!$B$48)*(1)+Summary!$B$48*(MIN(Skills!Q6,Inputs!$B$37))),0)</f>
        <v/>
      </c>
      <c r="P325">
        <f>IF(B357=0,0,O325/B357)</f>
        <v/>
      </c>
      <c r="S325">
        <f>IF(AND(Inputs!$B$4&lt;&gt;"pvp",Inputs!$B$35&gt;0),(INT(Inputs!$B$35/IF(Inputs!$B$4="pvp",15,MAX(0.1,Skills!D6-IF(Skills!E6=TRUE,Inputs!$B$31,0))))+1),0)</f>
        <v/>
      </c>
      <c r="V325">
        <f>IFERROR(1/IF(Inputs!$B$4="pvp",15,MAX(0.1,Skills!D6-IF(Skills!E6=TRUE,Inputs!$B$31,0))),0)</f>
        <v/>
      </c>
    </row>
    <row r="326">
      <c r="A326">
        <f>Skills!A7</f>
        <v/>
      </c>
      <c r="B326">
        <f>Skills!B7</f>
        <v/>
      </c>
      <c r="C326">
        <f>Inputs!$B$3&gt;=122</f>
        <v/>
      </c>
      <c r="D326">
        <f>IF(Skills!C7=1,60+Inputs!$B$24+Inputs!$B$28,IF(Skills!C7=2,90+Inputs!$B$25+Inputs!$B$28,IF(Skills!C7=3,120+Inputs!$B$26+Inputs!$B$28,MAX(0,(Inputs!$B$3-100)*3)+Inputs!$B$27+Inputs!$B$28)))</f>
        <v/>
      </c>
      <c r="E326">
        <f>INDEX(FactorTable!$B$2:$Y$301, MATCH(ROUND(MIN(300,MAX(1,D326)),0), FactorTable!$A$2:$A$301,0), Skills!L7+1)</f>
        <v/>
      </c>
      <c r="F326">
        <f>IF(Skills!M7=TRUE,(Skills!K7/10)*(E326/1000),Skills!K7/10)+Skills!N7</f>
        <v/>
      </c>
      <c r="G326">
        <f>Calc!G7</f>
        <v/>
      </c>
      <c r="H326">
        <f>Calc!H7</f>
        <v/>
      </c>
      <c r="I326">
        <f>IF(Skills!T7&lt;&gt;"",1+(Skills!T7/10)*($Z$3/1000)/100,1)</f>
        <v/>
      </c>
      <c r="J326">
        <f>((Inputs!$B$5*(1+Inputs!$B$6/100))+((Inputs!$B$11*(1+Inputs!$B$12/100))-(Inputs!$B$11*(1+Inputs!$B$12/100)))*(1+Inputs!$B$6/100))*(F326/100)</f>
        <v/>
      </c>
      <c r="K326">
        <f>J326*(1+((Inputs!$B$11*(1+Inputs!$B$12/100))*0.01+Inputs!$B$13*0.0025)/100)*(1+(Inputs!$B$14+B350)/100)*(1+IF(Inputs!$B$4="pvp",0,(1-Summary!$B$48)*(Inputs!$B$19+Skills!O7+B348)+Summary!$B$48*(Inputs!$B$20+Skills!P7+B349))/100)*(1+Inputs!$B$15/100)*(5000/(6000+Inputs!$B$7*(1-Inputs!$B$18/100)))*(1+Inputs!$B$23/100)*(1+IF(C336=TRUE,F336,0)/100)*(1+IF(C338=TRUE,F338,0)/100)*(1+IF(Skills!A7="TRIUMPH_FEATHER",IF(C334=TRUE,F334,0),0)/100)*(1+IF(C345=TRUE,F345,0)/100)^5*(1+(IF(Skills!A7="BIG_BANG",Inputs!$B$16,Inputs!$B$17))/100)*(B347*I326)</f>
        <v/>
      </c>
      <c r="L326">
        <f>K326*(MIN((Inputs!$B$21+1)+(F340-Calc!F21),Inputs!$B$22)/100+Inputs!$B$22/100)/2</f>
        <v/>
      </c>
      <c r="M326">
        <f>L326*(1+(Inputs!$B$9+B351+(F343-Calc!F24))/100)</f>
        <v/>
      </c>
      <c r="N326">
        <f>L326*(1-MIN(Inputs!$B$8+((F342-Calc!F23)+(F341-Calc!F22)),100)/100)+M326*(MIN(Inputs!$B$8+((F342-Calc!F23)+(F341-Calc!F22)),100)/100)</f>
        <v/>
      </c>
      <c r="O326">
        <f>IF(C326,H326*N326*IF(AND(Inputs!$B$4&lt;&gt;"pvp",Inputs!$B$35&gt;0),((Skills!F7*((S326-1)*IF(Skills!G7&gt;0,Skills!H7/Skills!G7,1)+IF(Skills!G7&gt;0,MIN(Skills!H7,MAX(0,Inputs!$B$35-((S326-1)*IF(Inputs!$B$4="pvp",15,MAX(0.1,Skills!D7-IF(Skills!E6=TRUE,Inputs!$B$31,0))))))/Skills!G7,1)))/Inputs!$B$35),G326*V326)*(1-Summary!$B$48),0)</f>
        <v/>
      </c>
      <c r="P326">
        <f>IF(B357=0,0,O326/B357)</f>
        <v/>
      </c>
      <c r="S326">
        <f>IF(AND(Inputs!$B$4&lt;&gt;"pvp",Inputs!$B$35&gt;0),(INT(Inputs!$B$35/IF(Inputs!$B$4="pvp",15,MAX(0.1,Skills!D7-IF(Skills!E6=TRUE,Inputs!$B$31,0))))+1),0)</f>
        <v/>
      </c>
      <c r="V326">
        <f>IFERROR(1/IF(Inputs!$B$4="pvp",15,MAX(0.1,Skills!D7-IF(Skills!E6=TRUE,Inputs!$B$31,0))),0)</f>
        <v/>
      </c>
    </row>
    <row r="327">
      <c r="A327">
        <f>Skills!A8</f>
        <v/>
      </c>
      <c r="B327">
        <f>Skills!B8</f>
        <v/>
      </c>
      <c r="C327">
        <f>Inputs!$B$3&gt;=105</f>
        <v/>
      </c>
      <c r="D327">
        <f>IF(Skills!C8=1,60+Inputs!$B$24+Inputs!$B$28,IF(Skills!C8=2,90+Inputs!$B$25+Inputs!$B$28,IF(Skills!C8=3,120+Inputs!$B$26+Inputs!$B$28,MAX(0,(Inputs!$B$3-100)*3)+Inputs!$B$27+Inputs!$B$28)))</f>
        <v/>
      </c>
      <c r="E327">
        <f>INDEX(FactorTable!$B$2:$Y$301, MATCH(ROUND(MIN(300,MAX(1,D327)),0), FactorTable!$A$2:$A$301,0), Skills!L8+1)</f>
        <v/>
      </c>
      <c r="F327">
        <f>IF(Skills!M8=TRUE,(Skills!K8/10)*(E327/1000),Skills!K8/10)+Skills!N8</f>
        <v/>
      </c>
      <c r="G327">
        <f>Calc!G8</f>
        <v/>
      </c>
      <c r="H327">
        <f>Calc!H8</f>
        <v/>
      </c>
      <c r="I327">
        <f>IF(Skills!T8&lt;&gt;"",1+(Skills!T8/10)*($Z$3/1000)/100,1)</f>
        <v/>
      </c>
      <c r="J327">
        <f>((Inputs!$B$5*(1+Inputs!$B$6/100))+((Inputs!$B$11*(1+Inputs!$B$12/100))-(Inputs!$B$11*(1+Inputs!$B$12/100)))*(1+Inputs!$B$6/100))*(F327/100)</f>
        <v/>
      </c>
      <c r="K327">
        <f>J327*(1+((Inputs!$B$11*(1+Inputs!$B$12/100))*0.01+Inputs!$B$13*0.0025)/100)*(1+(Inputs!$B$14+B350)/100)*(1+IF(Inputs!$B$4="pvp",0,(1-Summary!$B$48)*(Inputs!$B$19+Skills!O8+B348)+Summary!$B$48*(Inputs!$B$20+Skills!P8+B349))/100)*(1+Inputs!$B$15/100)*(5000/(6000+Inputs!$B$7*(1-Inputs!$B$18/100)))*(1+Inputs!$B$23/100)*(1+IF(C336=TRUE,F336,0)/100)*(1+IF(C338=TRUE,F338,0)/100)*(1+IF(Skills!A8="TRIUMPH_FEATHER",IF(C334=TRUE,F334,0),0)/100)*(1+IF(C345=TRUE,F345,0)/100)^5*(1+(IF(Skills!A8="BIG_BANG",Inputs!$B$16,Inputs!$B$17))/100)*(B347*I327)</f>
        <v/>
      </c>
      <c r="L327">
        <f>K327*(MIN((Inputs!$B$21+1)+(F340-Calc!F21),Inputs!$B$22)/100+Inputs!$B$22/100)/2</f>
        <v/>
      </c>
      <c r="M327">
        <f>L327*(1+(Inputs!$B$9+B351+(F343-Calc!F24))/100)</f>
        <v/>
      </c>
      <c r="N327">
        <f>L327*(1-MIN(Inputs!$B$8+((F342-Calc!F23)+(F341-Calc!F22)),100)/100)+M327*(MIN(Inputs!$B$8+((F342-Calc!F23)+(F341-Calc!F22)),100)/100)</f>
        <v/>
      </c>
      <c r="O327">
        <f>IF(C327,H327*N327*IF(AND(Inputs!$B$4&lt;&gt;"pvp",Inputs!$B$35&gt;0),((Skills!F8*((S327-1)*IF(Skills!G8&gt;0,Skills!H8/Skills!G8,1)+IF(Skills!G8&gt;0,MIN(Skills!H8,MAX(0,Inputs!$B$35-((S327-1)*IF(Inputs!$B$4="pvp",15,MAX(0.1,Skills!D8-IF(Skills!E8=TRUE,Inputs!$B$31,0))))))/Skills!G8,1)))/Inputs!$B$35),G327*V327)*IF(Inputs!$B$4="pvp",1,(1-Summary!$B$48)*(1)+Summary!$B$48*(MIN(Skills!Q8,Inputs!$B$37))),0)</f>
        <v/>
      </c>
      <c r="P327">
        <f>IF(B357=0,0,O327/B357)</f>
        <v/>
      </c>
      <c r="S327">
        <f>IF(AND(Inputs!$B$4&lt;&gt;"pvp",Inputs!$B$35&gt;0),(INT(Inputs!$B$35/IF(Inputs!$B$4="pvp",15,MAX(0.1,Skills!D8-IF(Skills!E8=TRUE,Inputs!$B$31,0))))+1),0)</f>
        <v/>
      </c>
      <c r="V327">
        <f>IFERROR(1/IF(Inputs!$B$4="pvp",15,MAX(0.1,Skills!D8-IF(Skills!E8=TRUE,Inputs!$B$31,0))),0)</f>
        <v/>
      </c>
    </row>
    <row r="328">
      <c r="A328">
        <f>Skills!A9</f>
        <v/>
      </c>
      <c r="B328">
        <f>Skills!B9</f>
        <v/>
      </c>
      <c r="C328">
        <f>Inputs!$B$3&gt;=115</f>
        <v/>
      </c>
      <c r="D328">
        <f>IF(Skills!C9=1,60+Inputs!$B$24+Inputs!$B$28,IF(Skills!C9=2,90+Inputs!$B$25+Inputs!$B$28,IF(Skills!C9=3,120+Inputs!$B$26+Inputs!$B$28,MAX(0,(Inputs!$B$3-100)*3)+Inputs!$B$27+Inputs!$B$28)))</f>
        <v/>
      </c>
      <c r="E328">
        <f>INDEX(FactorTable!$B$2:$Y$301, MATCH(ROUND(MIN(300,MAX(1,D328)),0), FactorTable!$A$2:$A$301,0), Skills!L9+1)</f>
        <v/>
      </c>
      <c r="F328">
        <f>IF(Skills!M9=TRUE,(Skills!K9/10)*(E328/1000),Skills!K9/10)+Skills!N9</f>
        <v/>
      </c>
      <c r="G328">
        <f>Calc!G9</f>
        <v/>
      </c>
      <c r="H328">
        <f>Calc!H9</f>
        <v/>
      </c>
      <c r="I328">
        <f>IF(Skills!T9&lt;&gt;"",1+(Skills!T9/10)*($Z$3/1000)/100,1)</f>
        <v/>
      </c>
      <c r="J328">
        <f>((Inputs!$B$5*(1+Inputs!$B$6/100))+((Inputs!$B$11*(1+Inputs!$B$12/100))-(Inputs!$B$11*(1+Inputs!$B$12/100)))*(1+Inputs!$B$6/100))*(F328/100)</f>
        <v/>
      </c>
      <c r="K328">
        <f>J328*(1+((Inputs!$B$11*(1+Inputs!$B$12/100))*0.01+Inputs!$B$13*0.0025)/100)*(1+(Inputs!$B$14+B350)/100)*(1+IF(Inputs!$B$4="pvp",0,(1-Summary!$B$48)*(Inputs!$B$19+Skills!O9+B348)+Summary!$B$48*(Inputs!$B$20+Skills!P9+B349))/100)*(1+Inputs!$B$15/100)*(5000/(6000+Inputs!$B$7*(1-Inputs!$B$18/100)))*(1+Inputs!$B$23/100)*(1+IF(C336=TRUE,F336,0)/100)*(1+IF(C338=TRUE,F338,0)/100)*(1+IF(Skills!A9="TRIUMPH_FEATHER",IF(C334=TRUE,F334,0),0)/100)*(1+IF(C345=TRUE,F345,0)/100)^5*(1+(IF(Skills!A9="BIG_BANG",Inputs!$B$16,Inputs!$B$17))/100)*(B347*I328)</f>
        <v/>
      </c>
      <c r="L328">
        <f>K328*(MIN((Inputs!$B$21+1)+(F340-Calc!F21),Inputs!$B$22)/100+Inputs!$B$22/100)/2</f>
        <v/>
      </c>
      <c r="M328">
        <f>L328*(1+(Inputs!$B$9+B351+(F343-Calc!F24))/100)</f>
        <v/>
      </c>
      <c r="N328">
        <f>L328*(1-MIN(Inputs!$B$8+((F342-Calc!F23)+(F341-Calc!F22)),100)/100)+M328*(MIN(Inputs!$B$8+((F342-Calc!F23)+(F341-Calc!F22)),100)/100)</f>
        <v/>
      </c>
      <c r="O328">
        <f>IF(C328,H328*N328*IF(AND(Inputs!$B$4&lt;&gt;"pvp",Inputs!$B$35&gt;0),((Skills!F9*((S328-1)*IF(Skills!G9&gt;0,Skills!H9/Skills!G9,1)+IF(Skills!G9&gt;0,MIN(Skills!H9,MAX(0,Inputs!$B$35-((S328-1)*IF(Inputs!$B$4="pvp",15,MAX(0.1,Skills!D9-IF(Skills!E9=TRUE,Inputs!$B$31,0))))))/Skills!G9,1)))/Inputs!$B$35),G328*V328)*IF(Inputs!$B$4="pvp",1,(1-Summary!$B$48)*(1)+Summary!$B$48*(MIN(Skills!Q9,Inputs!$B$37))),0)</f>
        <v/>
      </c>
      <c r="P328">
        <f>IF(B357=0,0,O328/B357)</f>
        <v/>
      </c>
      <c r="S328">
        <f>IF(AND(Inputs!$B$4&lt;&gt;"pvp",Inputs!$B$35&gt;0),(INT(Inputs!$B$35/IF(Inputs!$B$4="pvp",15,MAX(0.1,Skills!D9-IF(Skills!E9=TRUE,Inputs!$B$31,0))))+1),0)</f>
        <v/>
      </c>
      <c r="V328">
        <f>IFERROR(1/IF(Inputs!$B$4="pvp",15,MAX(0.1,Skills!D9-IF(Skills!E9=TRUE,Inputs!$B$31,0))),0)</f>
        <v/>
      </c>
    </row>
    <row r="329">
      <c r="A329">
        <f>Skills!A10</f>
        <v/>
      </c>
      <c r="B329">
        <f>Skills!B10</f>
        <v/>
      </c>
      <c r="C329">
        <f>Inputs!$B$3&gt;=66</f>
        <v/>
      </c>
      <c r="D329">
        <f>IF(Skills!C10=1,60+Inputs!$B$24+Inputs!$B$28,IF(Skills!C10=2,90+Inputs!$B$25+Inputs!$B$28,IF(Skills!C10=3,120+Inputs!$B$26+Inputs!$B$28,MAX(0,(Inputs!$B$3-100)*3)+Inputs!$B$27+Inputs!$B$28)))</f>
        <v/>
      </c>
      <c r="E329">
        <f>INDEX(FactorTable!$B$2:$Y$301, MATCH(ROUND(MIN(300,MAX(1,D329)),0), FactorTable!$A$2:$A$301,0), Skills!L10+1)</f>
        <v/>
      </c>
      <c r="F329" t="n">
        <v>0</v>
      </c>
      <c r="G329">
        <f>Calc!G10</f>
        <v/>
      </c>
      <c r="H329">
        <f>Calc!H10</f>
        <v/>
      </c>
      <c r="I329">
        <f>IF(Skills!T10&lt;&gt;"",1+(Skills!T10/10)*($Z$3/1000)/100,1)</f>
        <v/>
      </c>
      <c r="J329" t="inlineStr"/>
      <c r="K329" t="inlineStr"/>
      <c r="L329" t="inlineStr"/>
      <c r="M329" t="inlineStr"/>
      <c r="N329" t="inlineStr"/>
      <c r="O329" t="n">
        <v>0</v>
      </c>
      <c r="P329">
        <f>IF(B357=0,0,O329/B357)</f>
        <v/>
      </c>
      <c r="S329">
        <f>IF(AND(Inputs!$B$4&lt;&gt;"pvp",Inputs!$B$35&gt;0),(INT(Inputs!$B$35/IF(Inputs!$B$4="pvp",15,MAX(0.1,Skills!D10-IF(Skills!E10=TRUE,Inputs!$B$31,0))))+1),0)</f>
        <v/>
      </c>
      <c r="V329">
        <f>IFERROR(1/IF(Inputs!$B$4="pvp",15,MAX(0.1,Skills!D10-IF(Skills!E10=TRUE,Inputs!$B$31,0))),0)</f>
        <v/>
      </c>
    </row>
    <row r="330">
      <c r="A330">
        <f>Skills!A11</f>
        <v/>
      </c>
      <c r="B330">
        <f>Skills!B11</f>
        <v/>
      </c>
      <c r="C330">
        <f>Inputs!$B$3&gt;=69</f>
        <v/>
      </c>
      <c r="D330">
        <f>IF(Skills!C11=1,60+Inputs!$B$24+Inputs!$B$28,IF(Skills!C11=2,90+Inputs!$B$25+Inputs!$B$28,IF(Skills!C11=3,120+Inputs!$B$26+Inputs!$B$28,MAX(0,(Inputs!$B$3-100)*3)+Inputs!$B$27+Inputs!$B$28)))</f>
        <v/>
      </c>
      <c r="E330">
        <f>INDEX(FactorTable!$B$2:$Y$301, MATCH(ROUND(MIN(300,MAX(1,D330)),0), FactorTable!$A$2:$A$301,0), Skills!L11+1)</f>
        <v/>
      </c>
      <c r="F330">
        <f>IF(Skills!M11=TRUE,(Skills!K11/10)*(E330/1000),Skills!K11/10)+Skills!N11</f>
        <v/>
      </c>
      <c r="G330">
        <f>Calc!G11</f>
        <v/>
      </c>
      <c r="H330">
        <f>Calc!H11</f>
        <v/>
      </c>
      <c r="I330">
        <f>IF(Skills!T11&lt;&gt;"",1+(Skills!T11/10)*($Z$3/1000)/100,1)</f>
        <v/>
      </c>
      <c r="J330" t="inlineStr"/>
      <c r="K330" t="inlineStr"/>
      <c r="L330" t="inlineStr"/>
      <c r="M330" t="inlineStr"/>
      <c r="N330" t="inlineStr"/>
      <c r="O330" t="n">
        <v>0</v>
      </c>
      <c r="P330">
        <f>IF(B357=0,0,O330/B357)</f>
        <v/>
      </c>
      <c r="S330">
        <f>IF(AND(Inputs!$B$4&lt;&gt;"pvp",Inputs!$B$35&gt;0),(INT(Inputs!$B$35/IF(Inputs!$B$4="pvp",15,MAX(0.1,Skills!D11-IF(Skills!E11=TRUE,Inputs!$B$31,0))))+1),0)</f>
        <v/>
      </c>
      <c r="V330">
        <f>IFERROR(1/IF(Inputs!$B$4="pvp",15,MAX(0.1,Skills!D11-IF(Skills!E11=TRUE,Inputs!$B$31,0))),0)</f>
        <v/>
      </c>
    </row>
    <row r="331">
      <c r="A331">
        <f>Skills!A12</f>
        <v/>
      </c>
      <c r="B331">
        <f>Skills!B12</f>
        <v/>
      </c>
      <c r="C331">
        <f>Inputs!$B$3&gt;=72</f>
        <v/>
      </c>
      <c r="D331">
        <f>IF(Skills!C12=1,60+Inputs!$B$24+Inputs!$B$28,IF(Skills!C12=2,90+Inputs!$B$25+Inputs!$B$28,IF(Skills!C12=3,120+Inputs!$B$26+Inputs!$B$28,MAX(0,(Inputs!$B$3-100)*3)+Inputs!$B$27+Inputs!$B$28)))</f>
        <v/>
      </c>
      <c r="E331">
        <f>INDEX(FactorTable!$B$2:$Y$301, MATCH(ROUND(MIN(300,MAX(1,D331)),0), FactorTable!$A$2:$A$301,0), Skills!L12+1)</f>
        <v/>
      </c>
      <c r="F331">
        <f>IF(Skills!M12=TRUE,(Skills!K12/10)*(E331/1000),Skills!K12/10)+Skills!N12</f>
        <v/>
      </c>
      <c r="G331">
        <f>Calc!G12</f>
        <v/>
      </c>
      <c r="H331">
        <f>Calc!H12</f>
        <v/>
      </c>
      <c r="I331">
        <f>IF(Skills!T12&lt;&gt;"",1+(Skills!T12/10)*($Z$3/1000)/100,1)</f>
        <v/>
      </c>
      <c r="J331" t="inlineStr"/>
      <c r="K331" t="inlineStr"/>
      <c r="L331" t="inlineStr"/>
      <c r="M331" t="inlineStr"/>
      <c r="N331" t="inlineStr"/>
      <c r="O331" t="n">
        <v>0</v>
      </c>
      <c r="P331">
        <f>IF(B357=0,0,O331/B357)</f>
        <v/>
      </c>
      <c r="S331">
        <f>IF(AND(Inputs!$B$4&lt;&gt;"pvp",Inputs!$B$35&gt;0),(INT(Inputs!$B$35/IF(Inputs!$B$4="pvp",15,MAX(0.1,Skills!D12-IF(Skills!E12=TRUE,Inputs!$B$31,0))))+1),0)</f>
        <v/>
      </c>
      <c r="V331">
        <f>IFERROR(1/IF(Inputs!$B$4="pvp",15,MAX(0.1,Skills!D12-IF(Skills!E12=TRUE,Inputs!$B$31,0))),0)</f>
        <v/>
      </c>
    </row>
    <row r="332">
      <c r="A332">
        <f>Skills!A13</f>
        <v/>
      </c>
      <c r="B332">
        <f>Skills!B13</f>
        <v/>
      </c>
      <c r="C332">
        <f>Inputs!$B$3&gt;=107</f>
        <v/>
      </c>
      <c r="D332">
        <f>IF(Skills!C13=1,60+Inputs!$B$24+Inputs!$B$28,IF(Skills!C13=2,90+Inputs!$B$25+Inputs!$B$28,IF(Skills!C13=3,120+Inputs!$B$26+Inputs!$B$28,MAX(0,(Inputs!$B$3-100)*3)+Inputs!$B$27+Inputs!$B$28)))</f>
        <v/>
      </c>
      <c r="E332">
        <f>INDEX(FactorTable!$B$2:$Y$301, MATCH(ROUND(MIN(300,MAX(1,D332)),0), FactorTable!$A$2:$A$301,0), Skills!L13+1)</f>
        <v/>
      </c>
      <c r="F332">
        <f>IF(Skills!M13=TRUE,(Skills!K13/10)*(E332/1000),Skills!K13/10)+Skills!N13</f>
        <v/>
      </c>
      <c r="G332">
        <f>Calc!G13</f>
        <v/>
      </c>
      <c r="H332">
        <f>Calc!H13</f>
        <v/>
      </c>
      <c r="I332">
        <f>IF(Skills!T13&lt;&gt;"",1+(Skills!T13/10)*($Z$3/1000)/100,1)</f>
        <v/>
      </c>
      <c r="J332" t="inlineStr"/>
      <c r="K332" t="inlineStr"/>
      <c r="L332" t="inlineStr"/>
      <c r="M332" t="inlineStr"/>
      <c r="N332" t="inlineStr"/>
      <c r="O332" t="n">
        <v>0</v>
      </c>
      <c r="P332">
        <f>IF(B357=0,0,O332/B357)</f>
        <v/>
      </c>
      <c r="S332">
        <f>IF(AND(Inputs!$B$4&lt;&gt;"pvp",Inputs!$B$35&gt;0),(INT(Inputs!$B$35/IF(Inputs!$B$4="pvp",15,MAX(0.1,Skills!D13-IF(Skills!E13=TRUE,Inputs!$B$31,0))))+1),0)</f>
        <v/>
      </c>
      <c r="V332">
        <f>IFERROR(1/IF(Inputs!$B$4="pvp",15,MAX(0.1,Skills!D13-IF(Skills!E13=TRUE,Inputs!$B$31,0))),0)</f>
        <v/>
      </c>
    </row>
    <row r="333">
      <c r="A333">
        <f>Skills!A14</f>
        <v/>
      </c>
      <c r="B333">
        <f>Skills!B14</f>
        <v/>
      </c>
      <c r="C333">
        <f>Inputs!$B$3&gt;=63</f>
        <v/>
      </c>
      <c r="D333">
        <f>IF(Skills!C14=1,60+Inputs!$B$24+Inputs!$B$28,IF(Skills!C14=2,90+Inputs!$B$25+Inputs!$B$28,IF(Skills!C14=3,120+Inputs!$B$26+Inputs!$B$28,MAX(0,(Inputs!$B$3-100)*3)+Inputs!$B$27+Inputs!$B$28)))</f>
        <v/>
      </c>
      <c r="E333">
        <f>INDEX(FactorTable!$B$2:$Y$301, MATCH(ROUND(MIN(300,MAX(1,D333)),0), FactorTable!$A$2:$A$301,0), Skills!L14+1)</f>
        <v/>
      </c>
      <c r="F333">
        <f>IF(Skills!M14=TRUE,(Skills!K14/10)*(E333/1000),Skills!K14/10)+Skills!N14</f>
        <v/>
      </c>
      <c r="G333">
        <f>Calc!G14</f>
        <v/>
      </c>
      <c r="H333">
        <f>Calc!H14</f>
        <v/>
      </c>
      <c r="I333">
        <f>IF(Skills!T14&lt;&gt;"",1+(Skills!T14/10)*($Z$3/1000)/100,1)</f>
        <v/>
      </c>
      <c r="J333">
        <f>((Inputs!$B$5*(1+Inputs!$B$6/100))+((Inputs!$B$11*(1+Inputs!$B$12/100))-(Inputs!$B$11*(1+Inputs!$B$12/100)))*(1+Inputs!$B$6/100))*(F333/100)</f>
        <v/>
      </c>
      <c r="K333">
        <f>J333*(1+((Inputs!$B$11*(1+Inputs!$B$12/100))*0.01+Inputs!$B$13*0.0025)/100)*(1+(Inputs!$B$14+B350)/100)*(1+IF(Inputs!$B$4="pvp",0,(1-Summary!$B$48)*(Inputs!$B$19+Skills!O14+B348)+Summary!$B$48*(Inputs!$B$20+Skills!P14+B349))/100)*(1+Inputs!$B$15/100)*(5000/(6000+Inputs!$B$7*(1-Inputs!$B$18/100)))*(1+Inputs!$B$23/100)*(1+IF(C336=TRUE,F336,0)/100)*(1+IF(C338=TRUE,F338,0)/100)*(1+IF(Skills!A14="TRIUMPH_FEATHER",IF(C334=TRUE,F334,0),0)/100)*(1+IF(C345=TRUE,F345,0)/100)^5*(1+(IF(Skills!A14="BIG_BANG",Inputs!$B$16,Inputs!$B$17))/100)*(B347*I333)</f>
        <v/>
      </c>
      <c r="L333">
        <f>K333*(MIN((Inputs!$B$21+1)+(F340-Calc!F21),Inputs!$B$22)/100+Inputs!$B$22/100)/2</f>
        <v/>
      </c>
      <c r="M333">
        <f>L333*(1+(Inputs!$B$9+B351+(F343-Calc!F24))/100)</f>
        <v/>
      </c>
      <c r="N333">
        <f>L333*(1-MIN(Inputs!$B$8+((F342-Calc!F23)+(F341-Calc!F22)),100)/100)+M333*(MIN(Inputs!$B$8+((F342-Calc!F23)+(F341-Calc!F22)),100)/100)</f>
        <v/>
      </c>
      <c r="O333">
        <f>IF(C333,Skills!F14*N333*((IF(Inputs!$B$3&gt;=78,25,15)/100*B353*10)/(1+IF(Inputs!$B$3&gt;=78,25,15)/100*B353*10))*(Skills!I14/100*B353)/(1+Skills!G14*Skills!I14/100*B353)*IF(Inputs!$B$4="pvp",1,(1-Summary!$B$48)*(1)+Summary!$B$48*(MIN(Skills!Q14,Inputs!$B$37))),0)</f>
        <v/>
      </c>
      <c r="P333">
        <f>IF(B357=0,0,O333/B357)</f>
        <v/>
      </c>
      <c r="S333" t="n">
        <v>0</v>
      </c>
      <c r="V333">
        <f>IFERROR(1/IF(Inputs!$B$4="pvp",15,MAX(0.1,Skills!D14-IF(Skills!E14=TRUE,Inputs!$B$31,0))),0)</f>
        <v/>
      </c>
    </row>
    <row r="334">
      <c r="A334">
        <f>Skills!A15</f>
        <v/>
      </c>
      <c r="B334">
        <f>Skills!B15</f>
        <v/>
      </c>
      <c r="C334">
        <f>Inputs!$B$3&gt;=100</f>
        <v/>
      </c>
      <c r="D334">
        <f>IF(Skills!C15=1,60+Inputs!$B$24+Inputs!$B$28,IF(Skills!C15=2,90+Inputs!$B$25+Inputs!$B$28,IF(Skills!C15=3,120+Inputs!$B$26+Inputs!$B$28,MAX(0,(Inputs!$B$3-100)*3)+Inputs!$B$27+Inputs!$B$28)))</f>
        <v/>
      </c>
      <c r="E334">
        <f>INDEX(FactorTable!$B$2:$Y$301, MATCH(ROUND(MIN(300,MAX(1,D334)),0), FactorTable!$A$2:$A$301,0), Skills!L15+1)</f>
        <v/>
      </c>
      <c r="F334">
        <f>IF(Skills!M15=TRUE,(Skills!K15/10)*(E334/1000),Skills!K15/10)+Skills!N15</f>
        <v/>
      </c>
      <c r="G334">
        <f>Calc!G15</f>
        <v/>
      </c>
      <c r="H334">
        <f>Calc!H15</f>
        <v/>
      </c>
      <c r="I334">
        <f>IF(Skills!T15&lt;&gt;"",1+(Skills!T15/10)*($Z$3/1000)/100,1)</f>
        <v/>
      </c>
      <c r="J334" t="inlineStr"/>
      <c r="K334" t="inlineStr"/>
      <c r="L334" t="inlineStr"/>
      <c r="M334" t="inlineStr"/>
      <c r="N334" t="inlineStr"/>
      <c r="O334" t="n">
        <v>0</v>
      </c>
      <c r="P334">
        <f>IF(B357=0,0,O334/B357)</f>
        <v/>
      </c>
      <c r="S334" t="n">
        <v>0</v>
      </c>
      <c r="V334">
        <f>IFERROR(1/IF(Inputs!$B$4="pvp",15,MAX(0.1,Skills!D15-IF(Skills!E15=TRUE,Inputs!$B$31,0))),0)</f>
        <v/>
      </c>
    </row>
    <row r="335">
      <c r="A335">
        <f>Skills!A16</f>
        <v/>
      </c>
      <c r="B335">
        <f>Skills!B16</f>
        <v/>
      </c>
      <c r="C335">
        <f>Inputs!$B$3&gt;=49</f>
        <v/>
      </c>
      <c r="D335">
        <f>IF(Skills!C16=1,60+Inputs!$B$24+Inputs!$B$28,IF(Skills!C16=2,90+Inputs!$B$25+Inputs!$B$28,IF(Skills!C16=3,120+Inputs!$B$26+Inputs!$B$28,MAX(0,(Inputs!$B$3-100)*3)+Inputs!$B$27+Inputs!$B$28)))</f>
        <v/>
      </c>
      <c r="E335">
        <f>INDEX(FactorTable!$B$2:$Y$301, MATCH(ROUND(MIN(300,MAX(1,D335)),0), FactorTable!$A$2:$A$301,0), Skills!L16+1)</f>
        <v/>
      </c>
      <c r="F335">
        <f>IF(Skills!M16=TRUE,(Skills!K16/10)*(E335/1000),Skills!K16/10)+Skills!N16</f>
        <v/>
      </c>
      <c r="G335">
        <f>Calc!G16</f>
        <v/>
      </c>
      <c r="H335">
        <f>Calc!H16</f>
        <v/>
      </c>
      <c r="I335">
        <f>IF(Skills!T16&lt;&gt;"",1+(Skills!T16/10)*($Z$3/1000)/100,1)</f>
        <v/>
      </c>
      <c r="J335" t="inlineStr"/>
      <c r="K335" t="inlineStr"/>
      <c r="L335" t="inlineStr"/>
      <c r="M335" t="inlineStr"/>
      <c r="N335" t="inlineStr"/>
      <c r="O335" t="n">
        <v>0</v>
      </c>
      <c r="P335">
        <f>IF(B357=0,0,O335/B357)</f>
        <v/>
      </c>
      <c r="S335" t="n">
        <v>0</v>
      </c>
      <c r="V335">
        <f>IFERROR(1/IF(Inputs!$B$4="pvp",15,MAX(0.1,Skills!D16-IF(Skills!E16=TRUE,Inputs!$B$31,0))),0)</f>
        <v/>
      </c>
    </row>
    <row r="336">
      <c r="A336">
        <f>Skills!A17</f>
        <v/>
      </c>
      <c r="B336">
        <f>Skills!B17</f>
        <v/>
      </c>
      <c r="C336">
        <f>Inputs!$B$3&gt;=75</f>
        <v/>
      </c>
      <c r="D336">
        <f>IF(Skills!C17=1,60+Inputs!$B$24+Inputs!$B$28,IF(Skills!C17=2,90+Inputs!$B$25+Inputs!$B$28,IF(Skills!C17=3,120+Inputs!$B$26+Inputs!$B$28,MAX(0,(Inputs!$B$3-100)*3)+Inputs!$B$27+Inputs!$B$28)))</f>
        <v/>
      </c>
      <c r="E336">
        <f>INDEX(FactorTable!$B$2:$Y$301, MATCH(ROUND(MIN(300,MAX(1,D336)),0), FactorTable!$A$2:$A$301,0), Skills!L17+1)</f>
        <v/>
      </c>
      <c r="F336">
        <f>IF(Skills!M17=TRUE,(Skills!K17/10)*(E336/1000),Skills!K17/10)+Skills!N17</f>
        <v/>
      </c>
      <c r="G336">
        <f>Calc!G17</f>
        <v/>
      </c>
      <c r="H336">
        <f>Calc!H17</f>
        <v/>
      </c>
      <c r="I336">
        <f>IF(Skills!T17&lt;&gt;"",1+(Skills!T17/10)*($Z$3/1000)/100,1)</f>
        <v/>
      </c>
      <c r="J336" t="inlineStr"/>
      <c r="K336" t="inlineStr"/>
      <c r="L336" t="inlineStr"/>
      <c r="M336" t="inlineStr"/>
      <c r="N336" t="inlineStr"/>
      <c r="O336" t="n">
        <v>0</v>
      </c>
      <c r="P336">
        <f>IF(B357=0,0,O336/B357)</f>
        <v/>
      </c>
      <c r="S336" t="n">
        <v>0</v>
      </c>
      <c r="V336">
        <f>IFERROR(1/IF(Inputs!$B$4="pvp",15,MAX(0.1,Skills!D17-IF(Skills!E17=TRUE,Inputs!$B$31,0))),0)</f>
        <v/>
      </c>
    </row>
    <row r="337">
      <c r="A337">
        <f>Skills!A18</f>
        <v/>
      </c>
      <c r="B337">
        <f>Skills!B18</f>
        <v/>
      </c>
      <c r="C337">
        <f>Inputs!$B$3&gt;=110</f>
        <v/>
      </c>
      <c r="D337">
        <f>IF(Skills!C18=1,60+Inputs!$B$24+Inputs!$B$28,IF(Skills!C18=2,90+Inputs!$B$25+Inputs!$B$28,IF(Skills!C18=3,120+Inputs!$B$26+Inputs!$B$28,MAX(0,(Inputs!$B$3-100)*3)+Inputs!$B$27+Inputs!$B$28)))</f>
        <v/>
      </c>
      <c r="E337">
        <f>INDEX(FactorTable!$B$2:$Y$301, MATCH(ROUND(MIN(300,MAX(1,D337)),0), FactorTable!$A$2:$A$301,0), Skills!L18+1)</f>
        <v/>
      </c>
      <c r="F337">
        <f>(Skills!K18/10)*(E337/1000)*64/45+Skills!N18</f>
        <v/>
      </c>
      <c r="G337">
        <f>Calc!G18</f>
        <v/>
      </c>
      <c r="H337">
        <f>Calc!H18</f>
        <v/>
      </c>
      <c r="I337">
        <f>IF(Skills!T18&lt;&gt;"",1+(Skills!T18/10)*($Z$3/1000)/100,1)</f>
        <v/>
      </c>
      <c r="J337" t="inlineStr"/>
      <c r="K337" t="inlineStr"/>
      <c r="L337" t="inlineStr"/>
      <c r="M337" t="inlineStr"/>
      <c r="N337" t="inlineStr"/>
      <c r="O337" t="n">
        <v>0</v>
      </c>
      <c r="P337">
        <f>IF(B357=0,0,O337/B357)</f>
        <v/>
      </c>
      <c r="S337">
        <f>IF(AND(Inputs!$B$4&lt;&gt;"pvp",Inputs!$B$35&gt;0),(INT(Inputs!$B$35/IF(Inputs!$B$4="pvp",15,MAX(0.1,Skills!D18-IF(Skills!E18=TRUE,Inputs!$B$31,0))))+1),0)</f>
        <v/>
      </c>
      <c r="V337">
        <f>IFERROR(1/IF(Inputs!$B$4="pvp",15,MAX(0.1,Skills!D18-IF(Skills!E18=TRUE,Inputs!$B$31,0))),0)</f>
        <v/>
      </c>
    </row>
    <row r="338">
      <c r="A338">
        <f>Skills!A19</f>
        <v/>
      </c>
      <c r="B338">
        <f>Skills!B19</f>
        <v/>
      </c>
      <c r="C338">
        <f>Inputs!$B$3&gt;=125</f>
        <v/>
      </c>
      <c r="D338">
        <f>IF(Skills!C19=1,60+Inputs!$B$24+Inputs!$B$28,IF(Skills!C19=2,90+Inputs!$B$25+Inputs!$B$28,IF(Skills!C19=3,120+Inputs!$B$26+Inputs!$B$28,MAX(0,(Inputs!$B$3-100)*3)+Inputs!$B$27+Inputs!$B$28)))</f>
        <v/>
      </c>
      <c r="E338">
        <f>INDEX(FactorTable!$B$2:$Y$301, MATCH(ROUND(MIN(300,MAX(1,D338)),0), FactorTable!$A$2:$A$301,0), Skills!L19+1)</f>
        <v/>
      </c>
      <c r="F338">
        <f>IF(Skills!M19=TRUE,(Skills!K19/10)*(E338/1000),Skills!K19/10)+Skills!N19</f>
        <v/>
      </c>
      <c r="G338">
        <f>Calc!G19</f>
        <v/>
      </c>
      <c r="H338">
        <f>Calc!H19</f>
        <v/>
      </c>
      <c r="I338">
        <f>IF(Skills!T19&lt;&gt;"",1+(Skills!T19/10)*($Z$3/1000)/100,1)</f>
        <v/>
      </c>
      <c r="J338" t="inlineStr"/>
      <c r="K338" t="inlineStr"/>
      <c r="L338" t="inlineStr"/>
      <c r="M338" t="inlineStr"/>
      <c r="N338" t="inlineStr"/>
      <c r="O338" t="n">
        <v>0</v>
      </c>
      <c r="P338">
        <f>IF(B357=0,0,O338/B357)</f>
        <v/>
      </c>
      <c r="S338" t="n">
        <v>0</v>
      </c>
      <c r="V338">
        <f>IFERROR(1/IF(Inputs!$B$4="pvp",15,MAX(0.1,Skills!D19-IF(Skills!E19=TRUE,Inputs!$B$31,0))),0)</f>
        <v/>
      </c>
    </row>
    <row r="339">
      <c r="A339">
        <f>Skills!A20</f>
        <v/>
      </c>
      <c r="B339">
        <f>Skills!B20</f>
        <v/>
      </c>
      <c r="C339">
        <f>Inputs!$B$3&gt;=33</f>
        <v/>
      </c>
      <c r="D339">
        <f>IF(Skills!C20=1,60+Inputs!$B$24+Inputs!$B$28,IF(Skills!C20=2,90+Inputs!$B$25+Inputs!$B$28,IF(Skills!C20=3,120+Inputs!$B$26+Inputs!$B$28,MAX(0,(Inputs!$B$3-100)*3)+Inputs!$B$27+Inputs!$B$28)))</f>
        <v/>
      </c>
      <c r="E339">
        <f>INDEX(FactorTable!$B$2:$Y$301, MATCH(ROUND(MIN(300,MAX(1,D339)),0), FactorTable!$A$2:$A$301,0), Skills!L20+1)</f>
        <v/>
      </c>
      <c r="F339">
        <f>IF(Skills!M20=TRUE,(Skills!K20/10)*(E339/1000),Skills!K20/10)+Skills!N20</f>
        <v/>
      </c>
      <c r="G339">
        <f>Calc!G20</f>
        <v/>
      </c>
      <c r="H339">
        <f>Calc!H20</f>
        <v/>
      </c>
      <c r="I339">
        <f>IF(Skills!T20&lt;&gt;"",1+(Skills!T20/10)*($Z$3/1000)/100,1)</f>
        <v/>
      </c>
      <c r="J339" t="inlineStr"/>
      <c r="K339" t="inlineStr"/>
      <c r="L339" t="inlineStr"/>
      <c r="M339" t="inlineStr"/>
      <c r="N339" t="inlineStr"/>
      <c r="O339" t="n">
        <v>0</v>
      </c>
      <c r="P339">
        <f>IF(B357=0,0,O339/B357)</f>
        <v/>
      </c>
      <c r="S339" t="n">
        <v>0</v>
      </c>
      <c r="V339">
        <f>IFERROR(1/IF(Inputs!$B$4="pvp",15,MAX(0.1,Skills!D20-IF(Skills!E20=TRUE,Inputs!$B$31,0))),0)</f>
        <v/>
      </c>
    </row>
    <row r="340">
      <c r="A340">
        <f>Skills!A21</f>
        <v/>
      </c>
      <c r="B340">
        <f>Skills!B21</f>
        <v/>
      </c>
      <c r="C340">
        <f>Inputs!$B$3&gt;=43</f>
        <v/>
      </c>
      <c r="D340">
        <f>IF(Skills!C21=1,60+Inputs!$B$24+Inputs!$B$28,IF(Skills!C21=2,90+Inputs!$B$25+Inputs!$B$28,IF(Skills!C21=3,120+Inputs!$B$26+Inputs!$B$28,MAX(0,(Inputs!$B$3-100)*3)+Inputs!$B$27+Inputs!$B$28)))</f>
        <v/>
      </c>
      <c r="E340">
        <f>INDEX(FactorTable!$B$2:$Y$301, MATCH(ROUND(MIN(300,MAX(1,D340)),0), FactorTable!$A$2:$A$301,0), Skills!L21+1)</f>
        <v/>
      </c>
      <c r="F340">
        <f>IF(Skills!M21=TRUE,(Skills!K21/10)*(E340/1000),Skills!K21/10)+Skills!N21</f>
        <v/>
      </c>
      <c r="G340">
        <f>Calc!G21</f>
        <v/>
      </c>
      <c r="H340">
        <f>Calc!H21</f>
        <v/>
      </c>
      <c r="I340">
        <f>IF(Skills!T21&lt;&gt;"",1+(Skills!T21/10)*($Z$3/1000)/100,1)</f>
        <v/>
      </c>
      <c r="J340" t="inlineStr"/>
      <c r="K340" t="inlineStr"/>
      <c r="L340" t="inlineStr"/>
      <c r="M340" t="inlineStr"/>
      <c r="N340" t="inlineStr"/>
      <c r="O340" t="n">
        <v>0</v>
      </c>
      <c r="P340">
        <f>IF(B357=0,0,O340/B357)</f>
        <v/>
      </c>
      <c r="S340" t="n">
        <v>0</v>
      </c>
      <c r="V340">
        <f>IFERROR(1/IF(Inputs!$B$4="pvp",15,MAX(0.1,Skills!D21-IF(Skills!E21=TRUE,Inputs!$B$31,0))),0)</f>
        <v/>
      </c>
    </row>
    <row r="341">
      <c r="A341">
        <f>Skills!A22</f>
        <v/>
      </c>
      <c r="B341">
        <f>Skills!B22</f>
        <v/>
      </c>
      <c r="C341">
        <f>Inputs!$B$3&gt;=50</f>
        <v/>
      </c>
      <c r="D341">
        <f>IF(Skills!C22=1,60+Inputs!$B$24+Inputs!$B$28,IF(Skills!C22=2,90+Inputs!$B$25+Inputs!$B$28,IF(Skills!C22=3,120+Inputs!$B$26+Inputs!$B$28,MAX(0,(Inputs!$B$3-100)*3)+Inputs!$B$27+Inputs!$B$28)))</f>
        <v/>
      </c>
      <c r="E341">
        <f>INDEX(FactorTable!$B$2:$Y$301, MATCH(ROUND(MIN(300,MAX(1,D341)),0), FactorTable!$A$2:$A$301,0), Skills!L22+1)</f>
        <v/>
      </c>
      <c r="F341">
        <f>IF(Skills!M22=TRUE,(Skills!K22/10)*(E341/1000),Skills!K22/10)+Skills!N22</f>
        <v/>
      </c>
      <c r="G341">
        <f>Calc!G22</f>
        <v/>
      </c>
      <c r="H341">
        <f>Calc!H22</f>
        <v/>
      </c>
      <c r="I341">
        <f>IF(Skills!T22&lt;&gt;"",1+(Skills!T22/10)*($Z$3/1000)/100,1)</f>
        <v/>
      </c>
      <c r="J341" t="inlineStr"/>
      <c r="K341" t="inlineStr"/>
      <c r="L341" t="inlineStr"/>
      <c r="M341" t="inlineStr"/>
      <c r="N341" t="inlineStr"/>
      <c r="O341" t="n">
        <v>0</v>
      </c>
      <c r="P341">
        <f>IF(B357=0,0,O341/B357)</f>
        <v/>
      </c>
      <c r="S341" t="n">
        <v>0</v>
      </c>
      <c r="V341">
        <f>IFERROR(1/IF(Inputs!$B$4="pvp",15,MAX(0.1,Skills!D22-IF(Skills!E22=TRUE,Inputs!$B$31,0))),0)</f>
        <v/>
      </c>
    </row>
    <row r="342">
      <c r="A342">
        <f>Skills!A23</f>
        <v/>
      </c>
      <c r="B342">
        <f>Skills!B23</f>
        <v/>
      </c>
      <c r="C342">
        <f>Inputs!$B$3&gt;=74</f>
        <v/>
      </c>
      <c r="D342">
        <f>IF(Skills!C23=1,60+Inputs!$B$24+Inputs!$B$28,IF(Skills!C23=2,90+Inputs!$B$25+Inputs!$B$28,IF(Skills!C23=3,120+Inputs!$B$26+Inputs!$B$28,MAX(0,(Inputs!$B$3-100)*3)+Inputs!$B$27+Inputs!$B$28)))</f>
        <v/>
      </c>
      <c r="E342">
        <f>INDEX(FactorTable!$B$2:$Y$301, MATCH(ROUND(MIN(300,MAX(1,D342)),0), FactorTable!$A$2:$A$301,0), Skills!L23+1)</f>
        <v/>
      </c>
      <c r="F342">
        <f>IF(Skills!M23=TRUE,(Skills!K23/10)*(E342/1000),Skills!K23/10)+Skills!N23</f>
        <v/>
      </c>
      <c r="G342">
        <f>Calc!G23</f>
        <v/>
      </c>
      <c r="H342">
        <f>Calc!H23</f>
        <v/>
      </c>
      <c r="I342">
        <f>IF(Skills!T23&lt;&gt;"",1+(Skills!T23/10)*($Z$3/1000)/100,1)</f>
        <v/>
      </c>
      <c r="J342" t="inlineStr"/>
      <c r="K342" t="inlineStr"/>
      <c r="L342" t="inlineStr"/>
      <c r="M342" t="inlineStr"/>
      <c r="N342" t="inlineStr"/>
      <c r="O342" t="n">
        <v>0</v>
      </c>
      <c r="P342">
        <f>IF(B357=0,0,O342/B357)</f>
        <v/>
      </c>
      <c r="S342" t="n">
        <v>0</v>
      </c>
      <c r="V342">
        <f>IFERROR(1/IF(Inputs!$B$4="pvp",15,MAX(0.1,Skills!D23-IF(Skills!E23=TRUE,Inputs!$B$31,0))),0)</f>
        <v/>
      </c>
    </row>
    <row r="343">
      <c r="A343">
        <f>Skills!A24</f>
        <v/>
      </c>
      <c r="B343">
        <f>Skills!B24</f>
        <v/>
      </c>
      <c r="C343">
        <f>Inputs!$B$3&gt;=74</f>
        <v/>
      </c>
      <c r="D343">
        <f>IF(Skills!C24=1,60+Inputs!$B$24+Inputs!$B$28,IF(Skills!C24=2,90+Inputs!$B$25+Inputs!$B$28,IF(Skills!C24=3,120+Inputs!$B$26+Inputs!$B$28,MAX(0,(Inputs!$B$3-100)*3)+Inputs!$B$27+Inputs!$B$28)))</f>
        <v/>
      </c>
      <c r="E343">
        <f>INDEX(FactorTable!$B$2:$Y$301, MATCH(ROUND(MIN(300,MAX(1,D343)),0), FactorTable!$A$2:$A$301,0), Skills!L24+1)</f>
        <v/>
      </c>
      <c r="F343">
        <f>IF(Skills!M24=TRUE,(Skills!K24/10)*(E343/1000),Skills!K24/10)+Skills!N24</f>
        <v/>
      </c>
      <c r="G343">
        <f>Calc!G24</f>
        <v/>
      </c>
      <c r="H343">
        <f>Calc!H24</f>
        <v/>
      </c>
      <c r="I343">
        <f>IF(Skills!T24&lt;&gt;"",1+(Skills!T24/10)*($Z$3/1000)/100,1)</f>
        <v/>
      </c>
      <c r="J343" t="inlineStr"/>
      <c r="K343" t="inlineStr"/>
      <c r="L343" t="inlineStr"/>
      <c r="M343" t="inlineStr"/>
      <c r="N343" t="inlineStr"/>
      <c r="O343" t="n">
        <v>0</v>
      </c>
      <c r="P343">
        <f>IF(B357=0,0,O343/B357)</f>
        <v/>
      </c>
      <c r="S343" t="n">
        <v>0</v>
      </c>
      <c r="V343">
        <f>IFERROR(1/IF(Inputs!$B$4="pvp",15,MAX(0.1,Skills!D24-IF(Skills!E24=TRUE,Inputs!$B$31,0))),0)</f>
        <v/>
      </c>
    </row>
    <row r="344">
      <c r="A344">
        <f>Skills!A25</f>
        <v/>
      </c>
      <c r="B344">
        <f>Skills!B25</f>
        <v/>
      </c>
      <c r="C344">
        <f>Inputs!$B$3&gt;=117</f>
        <v/>
      </c>
      <c r="D344">
        <f>IF(Skills!C25=1,60+Inputs!$B$24+Inputs!$B$28,IF(Skills!C25=2,90+Inputs!$B$25+Inputs!$B$28,IF(Skills!C25=3,120+Inputs!$B$26+Inputs!$B$28,MAX(0,(Inputs!$B$3-100)*3)+Inputs!$B$27+Inputs!$B$28)))</f>
        <v/>
      </c>
      <c r="E344">
        <f>INDEX(FactorTable!$B$2:$Y$301, MATCH(ROUND(MIN(300,MAX(1,D344)),0), FactorTable!$A$2:$A$301,0), Skills!L25+1)</f>
        <v/>
      </c>
      <c r="F344">
        <f>IF(Skills!M25=TRUE,(Skills!K25/10)*(E344/1000),Skills!K25/10)+Skills!N25</f>
        <v/>
      </c>
      <c r="G344">
        <f>Calc!G25</f>
        <v/>
      </c>
      <c r="H344">
        <f>Calc!H25</f>
        <v/>
      </c>
      <c r="I344">
        <f>IF(Skills!T25&lt;&gt;"",1+(Skills!T25/10)*($Z$3/1000)/100,1)</f>
        <v/>
      </c>
      <c r="J344" t="inlineStr"/>
      <c r="K344" t="inlineStr"/>
      <c r="L344" t="inlineStr"/>
      <c r="M344" t="inlineStr"/>
      <c r="N344" t="inlineStr"/>
      <c r="O344" t="n">
        <v>0</v>
      </c>
      <c r="P344">
        <f>IF(B357=0,0,O344/B357)</f>
        <v/>
      </c>
      <c r="S344" t="n">
        <v>0</v>
      </c>
      <c r="V344">
        <f>IFERROR(1/IF(Inputs!$B$4="pvp",15,MAX(0.1,Skills!D25-IF(Skills!E25=TRUE,Inputs!$B$31,0))),0)</f>
        <v/>
      </c>
    </row>
    <row r="345">
      <c r="A345">
        <f>Skills!A26</f>
        <v/>
      </c>
      <c r="B345">
        <f>Skills!B26</f>
        <v/>
      </c>
      <c r="C345">
        <f>Inputs!$B$3&gt;=120</f>
        <v/>
      </c>
      <c r="D345">
        <f>IF(Skills!C26=1,60+Inputs!$B$24+Inputs!$B$28,IF(Skills!C26=2,90+Inputs!$B$25+Inputs!$B$28,IF(Skills!C26=3,120+Inputs!$B$26+Inputs!$B$28,MAX(0,(Inputs!$B$3-100)*3)+Inputs!$B$27+Inputs!$B$28)))</f>
        <v/>
      </c>
      <c r="E345">
        <f>INDEX(FactorTable!$B$2:$Y$301, MATCH(ROUND(MIN(300,MAX(1,D345)),0), FactorTable!$A$2:$A$301,0), Skills!L26+1)</f>
        <v/>
      </c>
      <c r="F345">
        <f>IF(Skills!M26=TRUE,(Skills!K26/10)*(E345/1000),Skills!K26/10)+Skills!N26</f>
        <v/>
      </c>
      <c r="G345">
        <f>Calc!G26</f>
        <v/>
      </c>
      <c r="H345">
        <f>Calc!H26</f>
        <v/>
      </c>
      <c r="I345">
        <f>IF(Skills!T26&lt;&gt;"",1+(Skills!T26/10)*($Z$3/1000)/100,1)</f>
        <v/>
      </c>
      <c r="J345" t="inlineStr"/>
      <c r="K345" t="inlineStr"/>
      <c r="L345" t="inlineStr"/>
      <c r="M345" t="inlineStr"/>
      <c r="N345" t="inlineStr"/>
      <c r="O345" t="n">
        <v>0</v>
      </c>
      <c r="P345">
        <f>IF(B357=0,0,O345/B357)</f>
        <v/>
      </c>
      <c r="S345" t="n">
        <v>0</v>
      </c>
      <c r="V345">
        <f>IFERROR(1/IF(Inputs!$B$4="pvp",15,MAX(0.1,Skills!D26-IF(Skills!E26=TRUE,Inputs!$B$31,0))),0)</f>
        <v/>
      </c>
    </row>
    <row r="347">
      <c r="A347" t="inlineStr">
        <is>
          <t>Average Buff Multiplier</t>
        </is>
      </c>
      <c r="B347">
        <f>(1+(IF(C322=TRUE,F322*IF(AND(Inputs!$B$4&lt;&gt;"pvp",Inputs!$B$35&gt;0),(((S322-1)*(Skills!S3*(1+(Inputs!$B$33+IF(Inputs!$B$3&gt;=117,F344,0))/100))+MIN((Skills!S3*(1+(Inputs!$B$33+IF(Inputs!$B$3&gt;=117,F344,0))/100)),MAX(0,Inputs!$B$35-((S322-1)*Skills!D3))))/Inputs!$B$35),IF(Inputs!$B$4="pvp",MIN((Skills!S3*(1+(Inputs!$B$33+IF(Inputs!$B$3&gt;=117,F344,0))/100)),15)/15,(Skills!S3*(1+(Inputs!$B$33+IF(Inputs!$B$3&gt;=117,F344,0))/100))/Skills!D3)),0)+IF(C323=TRUE,F323*IF(AND(Inputs!$B$4&lt;&gt;"pvp",Inputs!$B$35&gt;0),(((S323-1)*(Skills!S4*(1+(Inputs!$B$33+IF(Inputs!$B$3&gt;=117,F344,0))/100))+MIN((Skills!S4*(1+(Inputs!$B$33+IF(Inputs!$B$3&gt;=117,F344,0))/100)),MAX(0,Inputs!$B$35-((S323-1)*Skills!D4))))/Inputs!$B$35),IF(Inputs!$B$4="pvp",MIN((Skills!S4*(1+(Inputs!$B$33+IF(Inputs!$B$3&gt;=117,F344,0))/100)),15)/15,(Skills!S4*(1+(Inputs!$B$33+IF(Inputs!$B$3&gt;=117,F344,0))/100))/Skills!D4)),0)+IF(C324=TRUE,F324*IF(AND(Inputs!$B$4&lt;&gt;"pvp",Inputs!$B$35&gt;0),(((S324-1)*(Skills!S5*(1+(Inputs!$B$33+IF(Inputs!$B$3&gt;=117,F344,0))/100))+MIN((Skills!S5*(1+(Inputs!$B$33+IF(Inputs!$B$3&gt;=117,F344,0))/100)),MAX(0,Inputs!$B$35-((S324-1)*Skills!D5))))/Inputs!$B$35),IF(Inputs!$B$4="pvp",MIN((Skills!S5*(1+(Inputs!$B$33+IF(Inputs!$B$3&gt;=117,F344,0))/100)),15)/15,(Skills!S5*(1+(Inputs!$B$33+IF(Inputs!$B$3&gt;=117,F344,0))/100))/Skills!D5)),0)+IF(C330=TRUE,F330*IF(AND(Inputs!$B$4&lt;&gt;"pvp",Inputs!$B$35&gt;0),(((S330-1)*(Skills!S11*(1+(Inputs!$B$33+IF(Inputs!$B$3&gt;=117,F344,0))/100))+MIN((Skills!S11*(1+(Inputs!$B$33+IF(Inputs!$B$3&gt;=117,F344,0))/100)),MAX(0,Inputs!$B$35-((S330-1)*Skills!D11))))/Inputs!$B$35),IF(Inputs!$B$4="pvp",MIN((Skills!S11*(1+(Inputs!$B$33+IF(Inputs!$B$3&gt;=117,F344,0))/100)),15)/15,(Skills!S11*(1+(Inputs!$B$33+IF(Inputs!$B$3&gt;=117,F344,0))/100))/Skills!D11)),0))/100)*IF(C332=TRUE,(1+F332*IF(AND(Inputs!$B$4&lt;&gt;"pvp",Inputs!$B$35&gt;0),(((S332-1)*(Skills!S13*(1+(Inputs!$B$33+IF(Inputs!$B$3&gt;=117,F344,0))/100))+MIN((Skills!S13*(1+(Inputs!$B$33+IF(Inputs!$B$3&gt;=117,F344,0))/100)),MAX(0,Inputs!$B$35-((S332-1)*Skills!D13))))/Inputs!$B$35),IF(Inputs!$B$4="pvp",MIN((Skills!S13*(1+(Inputs!$B$33+IF(Inputs!$B$3&gt;=117,F344,0))/100)),15)/15,(Skills!S13*(1+(Inputs!$B$33+IF(Inputs!$B$3&gt;=117,F344,0))/100))/Skills!D13))/100),1)*IF(C337=TRUE,(1+F337*IF(AND(Inputs!$B$4&lt;&gt;"pvp",Inputs!$B$35&gt;0),(((S337-1)*(Skills!S18*(1+(Inputs!$B$33+IF(Inputs!$B$3&gt;=117,F344,0))/100))+MIN((Skills!S18*(1+(Inputs!$B$33+IF(Inputs!$B$3&gt;=117,F344,0))/100)),MAX(0,Inputs!$B$35-((S337-1)*Skills!D18))))/Inputs!$B$35),IF(Inputs!$B$4="pvp",MIN((Skills!S18*(1+(Inputs!$B$33+IF(Inputs!$B$3&gt;=117,F344,0))/100)),15)/15,(Skills!S18*(1+(Inputs!$B$33+IF(Inputs!$B$3&gt;=117,F344,0))/100))/Skills!D18))/100),1)</f>
        <v/>
      </c>
    </row>
    <row r="348">
      <c r="A348" t="inlineStr">
        <is>
          <t>Monster Damage Taken Bonus % (Holy Fountain)</t>
        </is>
      </c>
      <c r="B348">
        <f>IF(Inputs!$B$3&gt;=68,20*IF(Inputs!$B$4="pvp",MIN((15*(1+(Inputs!$B$33+IF(Inputs!$B$3&gt;=117,F344,0))/100)),15)/15,(15*(1+(Inputs!$B$33+IF(Inputs!$B$3&gt;=117,F344,0))/100))/Skills!D10),0)</f>
        <v/>
      </c>
    </row>
    <row r="349">
      <c r="A349" t="inlineStr">
        <is>
          <t>Normal Monster Damage Bonus % (Holy Symbol)</t>
        </is>
      </c>
      <c r="B349">
        <f>IF(C331=TRUE,F331*IF(AND(Inputs!$B$4&lt;&gt;"pvp",Inputs!$B$35&gt;0),(((S331-1)*(Skills!S12*(1+(Inputs!$B$33+IF(Inputs!$B$3&gt;=117,F344,0))/100))+MIN((Skills!S12*(1+(Inputs!$B$33+IF(Inputs!$B$3&gt;=117,F344,0))/100)),MAX(0,Inputs!$B$35-((S331-1)*Skills!D12))))/Inputs!$B$35),IF(Inputs!$B$4="pvp",MIN((Skills!S12*(1+(Inputs!$B$33+IF(Inputs!$B$3&gt;=117,F344,0))/100)),15)/15,(Skills!S12*(1+(Inputs!$B$33+IF(Inputs!$B$3&gt;=117,F344,0))/100))/Skills!D12)),0)</f>
        <v/>
      </c>
    </row>
    <row r="350">
      <c r="A350" t="inlineStr">
        <is>
          <t>Damage % Bonus (Holy Symbol - Damage Boost)</t>
        </is>
      </c>
      <c r="B350">
        <f>Skills!O12</f>
        <v/>
      </c>
    </row>
    <row r="351">
      <c r="A351" t="inlineStr">
        <is>
          <t>Crit Damage % Bonus (Blood of the Divine)</t>
        </is>
      </c>
      <c r="B351">
        <f>4*IF(C338=TRUE,F338,0)</f>
        <v/>
      </c>
    </row>
    <row r="352">
      <c r="A352" t="inlineStr">
        <is>
          <t>Attack Speed Bonus %</t>
        </is>
      </c>
      <c r="B352">
        <f>IF(C335=TRUE,F335+(F339-Calc!F20),0)+IF(Inputs!$B$3&gt;=134,15,0)</f>
        <v/>
      </c>
    </row>
    <row r="353">
      <c r="A353" t="inlineStr">
        <is>
          <t>Actions Per Second</t>
        </is>
      </c>
      <c r="B353">
        <f>1+MIN(150,150*(1-(1-Inputs!$B$10/150)*(1-B352/150)))/100</f>
        <v/>
      </c>
    </row>
    <row r="354">
      <c r="A354" t="inlineStr">
        <is>
          <t>Skill + Buff Cast Rate</t>
        </is>
      </c>
      <c r="B354">
        <f>IF(AND(Inputs!$B$4&lt;&gt;"pvp",Inputs!$B$35&gt;0),SUMPRODUCT((Skills!E2:E26=TRUE)*(C321:C345=TRUE)*S321:S345)/Inputs!$B$35,SUMPRODUCT((Skills!E2:E26=TRUE)*(C321:C345=TRUE)*V321:V345))</f>
        <v/>
      </c>
    </row>
    <row r="355">
      <c r="A355" t="inlineStr">
        <is>
          <t>Big Bang Casts Per Second</t>
        </is>
      </c>
      <c r="B355">
        <f>MAX(0,B353-B354)</f>
        <v/>
      </c>
    </row>
    <row r="357">
      <c r="A357" s="5" t="inlineStr">
        <is>
          <t>TOTAL DPS</t>
        </is>
      </c>
      <c r="B357" s="5">
        <f>SUM(O321:O345)</f>
        <v/>
      </c>
    </row>
    <row r="360">
      <c r="A360" s="5" t="inlineStr">
        <is>
          <t>Stat: MAX_DAMAGE %</t>
        </is>
      </c>
    </row>
    <row r="361">
      <c r="A361" s="8" t="inlineStr">
        <is>
          <t>Key</t>
        </is>
      </c>
      <c r="B361" s="8" t="inlineStr">
        <is>
          <t>Name</t>
        </is>
      </c>
      <c r="C361" s="8" t="inlineStr">
        <is>
          <t>Unlocked</t>
        </is>
      </c>
      <c r="D361" s="8" t="inlineStr">
        <is>
          <t>InputLevel</t>
        </is>
      </c>
      <c r="E361" s="8" t="inlineStr">
        <is>
          <t>Factor</t>
        </is>
      </c>
      <c r="F361" s="8" t="inlineStr">
        <is>
          <t>CoefficientPercent</t>
        </is>
      </c>
      <c r="G361" s="8" t="inlineStr">
        <is>
          <t>EffectiveHits</t>
        </is>
      </c>
      <c r="H361" s="8" t="inlineStr">
        <is>
          <t>ProcProbability</t>
        </is>
      </c>
      <c r="I361" s="8" t="inlineStr">
        <is>
          <t>MapleHeroMultiplier</t>
        </is>
      </c>
      <c r="J361" s="8" t="inlineStr">
        <is>
          <t>BaseDamage</t>
        </is>
      </c>
      <c r="K361" s="8" t="inlineStr">
        <is>
          <t>BaseHitDamage</t>
        </is>
      </c>
      <c r="L361" s="8" t="inlineStr">
        <is>
          <t>NonCritAvg</t>
        </is>
      </c>
      <c r="M361" s="8" t="inlineStr">
        <is>
          <t>CritAvg</t>
        </is>
      </c>
      <c r="N361" s="8" t="inlineStr">
        <is>
          <t>ExpectedDamage(perHit)</t>
        </is>
      </c>
      <c r="O361" s="8" t="inlineStr">
        <is>
          <t>DPS</t>
        </is>
      </c>
      <c r="P361" s="8" t="inlineStr">
        <is>
          <t>% of Total</t>
        </is>
      </c>
      <c r="R361" t="inlineStr">
        <is>
          <t>helpers</t>
        </is>
      </c>
    </row>
    <row r="362">
      <c r="A362">
        <f>Skills!A2</f>
        <v/>
      </c>
      <c r="B362">
        <f>Skills!B2</f>
        <v/>
      </c>
      <c r="C362">
        <f>Inputs!$B$3&gt;=100</f>
        <v/>
      </c>
      <c r="D362" t="inlineStr"/>
      <c r="E362" t="inlineStr"/>
      <c r="F362">
        <f>T364+Skills!N2</f>
        <v/>
      </c>
      <c r="G362">
        <f>Calc!G2</f>
        <v/>
      </c>
      <c r="H362">
        <f>Calc!H2</f>
        <v/>
      </c>
      <c r="I362">
        <f>IF(Skills!T2&lt;&gt;"",1+(Skills!T2/10)*($Z$3/1000)/100,1)</f>
        <v/>
      </c>
      <c r="J362">
        <f>((Inputs!$B$5*(1+Inputs!$B$6/100))+((Inputs!$B$11*(1+Inputs!$B$12/100))-(Inputs!$B$11*(1+Inputs!$B$12/100)))*(1+Inputs!$B$6/100))*(F362/100)</f>
        <v/>
      </c>
      <c r="K362">
        <f>J362*(1+((Inputs!$B$11*(1+Inputs!$B$12/100))*0.01+Inputs!$B$13*0.0025)/100)*(1+(Inputs!$B$14+B391)/100)*(1+IF(Inputs!$B$4="pvp",0,(1-Summary!$B$48)*(Inputs!$B$19+Skills!O2+B389)+Summary!$B$48*(Inputs!$B$20+Skills!P2+B390))/100)*(1+Inputs!$B$15/100)*(5000/(6000+Inputs!$B$7*(1-Inputs!$B$18/100)))*(1+Inputs!$B$23/100)*(1+IF(C377=TRUE,F377,0)/100)*(1+IF(C379=TRUE,F379,0)/100)*(1+IF(Skills!A2="TRIUMPH_FEATHER",IF(C375=TRUE,F375,0),0)/100)*(1+IF(C386=TRUE,F386,0)/100)^5*(1+(IF(Skills!A2="BIG_BANG",Inputs!$B$16,Inputs!$B$17))/100)*(B388*I362)</f>
        <v/>
      </c>
      <c r="L362">
        <f>K362*(MIN(Inputs!$B$21+(F381-Calc!F21),(Inputs!$B$22+1))/100+(Inputs!$B$22+1)/100)/2</f>
        <v/>
      </c>
      <c r="M362">
        <f>L362*(1+(Inputs!$B$9+B392+(F384-Calc!F24))/100)</f>
        <v/>
      </c>
      <c r="N362">
        <f>L362*(1-MIN(Inputs!$B$8+((F383-Calc!F23)+(F382-Calc!F22)),100)/100)+M362*(MIN(Inputs!$B$8+((F383-Calc!F23)+(F382-Calc!F22)),100)/100)</f>
        <v/>
      </c>
      <c r="O362">
        <f>IF(C362,Skills!F2*N362*B396*IF(Inputs!$B$4="pvp",1,(1-Summary!$B$48)*(1)+Summary!$B$48*(MIN((6+Inputs!$B$32),Inputs!$B$37))),0)</f>
        <v/>
      </c>
      <c r="P362">
        <f>IF(B398=0,0,O362/B398)</f>
        <v/>
      </c>
      <c r="S362" t="n">
        <v>0</v>
      </c>
      <c r="T362">
        <f>MAX(0,(Inputs!$B$3-100)*3)+Inputs!$B$27+Inputs!$B$28</f>
        <v/>
      </c>
      <c r="V362">
        <f>IFERROR(1/IF(Inputs!$B$4="pvp",15,MAX(0.1,Skills!D2-IF(Skills!E2=TRUE,Inputs!$B$31,0))),0)</f>
        <v/>
      </c>
    </row>
    <row r="363">
      <c r="A363">
        <f>Skills!A3</f>
        <v/>
      </c>
      <c r="B363">
        <f>Skills!B3</f>
        <v/>
      </c>
      <c r="C363">
        <f>Inputs!$B$3&gt;=15</f>
        <v/>
      </c>
      <c r="D363">
        <f>IF(Skills!C3=1,60+Inputs!$B$24+Inputs!$B$28,IF(Skills!C3=2,90+Inputs!$B$25+Inputs!$B$28,IF(Skills!C3=3,120+Inputs!$B$26+Inputs!$B$28,MAX(0,(Inputs!$B$3-100)*3)+Inputs!$B$27+Inputs!$B$28)))</f>
        <v/>
      </c>
      <c r="E363">
        <f>INDEX(FactorTable!$B$2:$Y$301, MATCH(ROUND(MIN(300,MAX(1,D363)),0), FactorTable!$A$2:$A$301,0), Skills!L3+1)</f>
        <v/>
      </c>
      <c r="F363">
        <f>IF(Skills!M3=TRUE,(Skills!K3/10)*(E363/1000),Skills!K3/10)+Skills!N3</f>
        <v/>
      </c>
      <c r="G363">
        <f>Calc!G3</f>
        <v/>
      </c>
      <c r="H363">
        <f>Calc!H3</f>
        <v/>
      </c>
      <c r="I363">
        <f>IF(Skills!T3&lt;&gt;"",1+(Skills!T3/10)*($Z$3/1000)/100,1)</f>
        <v/>
      </c>
      <c r="J363" t="inlineStr"/>
      <c r="K363" t="inlineStr"/>
      <c r="L363" t="inlineStr"/>
      <c r="M363" t="inlineStr"/>
      <c r="N363" t="inlineStr"/>
      <c r="O363" t="n">
        <v>0</v>
      </c>
      <c r="P363">
        <f>IF(B398=0,0,O363/B398)</f>
        <v/>
      </c>
      <c r="S363">
        <f>IF(AND(Inputs!$B$4&lt;&gt;"pvp",Inputs!$B$35&gt;0),(INT(Inputs!$B$35/IF(Inputs!$B$4="pvp",15,MAX(0.1,Skills!D3-IF(Skills!E3=TRUE,Inputs!$B$31,0))))+1),0)</f>
        <v/>
      </c>
      <c r="T363">
        <f>INDEX(FactorTable!$B$2:$Y$301, MATCH(ROUND(MIN(300,MAX(1,T362)),0), FactorTable!$A$2:$A$301,0), 22)</f>
        <v/>
      </c>
      <c r="V363">
        <f>IFERROR(1/IF(Inputs!$B$4="pvp",15,MAX(0.1,Skills!D3-IF(Skills!E3=TRUE,Inputs!$B$31,0))),0)</f>
        <v/>
      </c>
    </row>
    <row r="364">
      <c r="A364">
        <f>Skills!A4</f>
        <v/>
      </c>
      <c r="B364">
        <f>Skills!B4</f>
        <v/>
      </c>
      <c r="C364">
        <f>Inputs!$B$3&gt;=38</f>
        <v/>
      </c>
      <c r="D364">
        <f>IF(Skills!C4=1,60+Inputs!$B$24+Inputs!$B$28,IF(Skills!C4=2,90+Inputs!$B$25+Inputs!$B$28,IF(Skills!C4=3,120+Inputs!$B$26+Inputs!$B$28,MAX(0,(Inputs!$B$3-100)*3)+Inputs!$B$27+Inputs!$B$28)))</f>
        <v/>
      </c>
      <c r="E364">
        <f>INDEX(FactorTable!$B$2:$Y$301, MATCH(ROUND(MIN(300,MAX(1,D364)),0), FactorTable!$A$2:$A$301,0), Skills!L4+1)</f>
        <v/>
      </c>
      <c r="F364">
        <f>IF(Skills!M4=TRUE,(Skills!K4/10)*(E364/1000),Skills!K4/10)+Skills!N4</f>
        <v/>
      </c>
      <c r="G364">
        <f>Calc!G4</f>
        <v/>
      </c>
      <c r="H364">
        <f>Calc!H4</f>
        <v/>
      </c>
      <c r="I364">
        <f>IF(Skills!T4&lt;&gt;"",1+(Skills!T4/10)*($Z$3/1000)/100,1)</f>
        <v/>
      </c>
      <c r="J364" t="inlineStr"/>
      <c r="K364" t="inlineStr"/>
      <c r="L364" t="inlineStr"/>
      <c r="M364" t="inlineStr"/>
      <c r="N364" t="inlineStr"/>
      <c r="O364" t="n">
        <v>0</v>
      </c>
      <c r="P364">
        <f>IF(B398=0,0,O364/B398)</f>
        <v/>
      </c>
      <c r="S364">
        <f>IF(AND(Inputs!$B$4&lt;&gt;"pvp",Inputs!$B$35&gt;0),(INT(Inputs!$B$35/IF(Inputs!$B$4="pvp",15,MAX(0.1,Skills!D4-IF(Skills!E4=TRUE,Inputs!$B$31,0))))+1),0)</f>
        <v/>
      </c>
      <c r="T364">
        <f>290*T363/1000</f>
        <v/>
      </c>
      <c r="V364">
        <f>IFERROR(1/IF(Inputs!$B$4="pvp",15,MAX(0.1,Skills!D4-IF(Skills!E4=TRUE,Inputs!$B$31,0))),0)</f>
        <v/>
      </c>
    </row>
    <row r="365">
      <c r="A365">
        <f>Skills!A5</f>
        <v/>
      </c>
      <c r="B365">
        <f>Skills!B5</f>
        <v/>
      </c>
      <c r="C365">
        <f>Inputs!$B$3&gt;=40</f>
        <v/>
      </c>
      <c r="D365">
        <f>IF(Skills!C5=1,60+Inputs!$B$24+Inputs!$B$28,IF(Skills!C5=2,90+Inputs!$B$25+Inputs!$B$28,IF(Skills!C5=3,120+Inputs!$B$26+Inputs!$B$28,MAX(0,(Inputs!$B$3-100)*3)+Inputs!$B$27+Inputs!$B$28)))</f>
        <v/>
      </c>
      <c r="E365">
        <f>INDEX(FactorTable!$B$2:$Y$301, MATCH(ROUND(MIN(300,MAX(1,D365)),0), FactorTable!$A$2:$A$301,0), Skills!L5+1)</f>
        <v/>
      </c>
      <c r="F365">
        <f>IF(Skills!M5=TRUE,(Skills!K5/10)*(E365/1000),Skills!K5/10)+Skills!N5</f>
        <v/>
      </c>
      <c r="G365">
        <f>Calc!G5</f>
        <v/>
      </c>
      <c r="H365">
        <f>Calc!H5</f>
        <v/>
      </c>
      <c r="I365">
        <f>IF(Skills!T5&lt;&gt;"",1+(Skills!T5/10)*($Z$3/1000)/100,1)</f>
        <v/>
      </c>
      <c r="J365" t="inlineStr"/>
      <c r="K365" t="inlineStr"/>
      <c r="L365" t="inlineStr"/>
      <c r="M365" t="inlineStr"/>
      <c r="N365" t="inlineStr"/>
      <c r="O365" t="n">
        <v>0</v>
      </c>
      <c r="P365">
        <f>IF(B398=0,0,O365/B398)</f>
        <v/>
      </c>
      <c r="S365">
        <f>IF(AND(Inputs!$B$4&lt;&gt;"pvp",Inputs!$B$35&gt;0),(INT(Inputs!$B$35/IF(Inputs!$B$4="pvp",15,MAX(0.1,Skills!D5-IF(Skills!E5=TRUE,Inputs!$B$31,0))))+1),0)</f>
        <v/>
      </c>
      <c r="V365">
        <f>IFERROR(1/IF(Inputs!$B$4="pvp",15,MAX(0.1,Skills!D5-IF(Skills!E5=TRUE,Inputs!$B$31,0))),0)</f>
        <v/>
      </c>
    </row>
    <row r="366">
      <c r="A366">
        <f>Skills!A6</f>
        <v/>
      </c>
      <c r="B366">
        <f>Skills!B6</f>
        <v/>
      </c>
      <c r="C366">
        <f>Inputs!$B$3&gt;=103</f>
        <v/>
      </c>
      <c r="D366">
        <f>IF(Skills!C6=1,60+Inputs!$B$24+Inputs!$B$28,IF(Skills!C6=2,90+Inputs!$B$25+Inputs!$B$28,IF(Skills!C6=3,120+Inputs!$B$26+Inputs!$B$28,MAX(0,(Inputs!$B$3-100)*3)+Inputs!$B$27+Inputs!$B$28)))</f>
        <v/>
      </c>
      <c r="E366">
        <f>INDEX(FactorTable!$B$2:$Y$301, MATCH(ROUND(MIN(300,MAX(1,D366)),0), FactorTable!$A$2:$A$301,0), Skills!L6+1)</f>
        <v/>
      </c>
      <c r="F366">
        <f>IF(Skills!M6=TRUE,(Skills!K6/10)*(E366/1000),Skills!K6/10)+Skills!N6</f>
        <v/>
      </c>
      <c r="G366">
        <f>Calc!G6</f>
        <v/>
      </c>
      <c r="H366">
        <f>Calc!H6</f>
        <v/>
      </c>
      <c r="I366">
        <f>IF(Skills!T6&lt;&gt;"",1+(Skills!T6/10)*($Z$3/1000)/100,1)</f>
        <v/>
      </c>
      <c r="J366">
        <f>((Inputs!$B$5*(1+Inputs!$B$6/100))+((Inputs!$B$11*(1+Inputs!$B$12/100))-(Inputs!$B$11*(1+Inputs!$B$12/100)))*(1+Inputs!$B$6/100))*(F366/100)</f>
        <v/>
      </c>
      <c r="K366">
        <f>J366*(1+((Inputs!$B$11*(1+Inputs!$B$12/100))*0.01+Inputs!$B$13*0.0025)/100)*(1+(Inputs!$B$14+B391)/100)*(1+IF(Inputs!$B$4="pvp",0,(1-Summary!$B$48)*(Inputs!$B$19+Skills!O6+B389)+Summary!$B$48*(Inputs!$B$20+Skills!P6+B390))/100)*(1+Inputs!$B$15/100)*(5000/(6000+Inputs!$B$7*(1-Inputs!$B$18/100)))*(1+Inputs!$B$23/100)*(1+IF(C377=TRUE,F377,0)/100)*(1+IF(C379=TRUE,F379,0)/100)*(1+IF(Skills!A6="TRIUMPH_FEATHER",IF(C375=TRUE,F375,0),0)/100)*(1+IF(C386=TRUE,F386,0)/100)^5*(1+(IF(Skills!A6="BIG_BANG",Inputs!$B$16,Inputs!$B$17))/100)*(B388*I366)</f>
        <v/>
      </c>
      <c r="L366">
        <f>K366*(MIN(Inputs!$B$21+(F381-Calc!F21),(Inputs!$B$22+1))/100+(Inputs!$B$22+1)/100)/2</f>
        <v/>
      </c>
      <c r="M366">
        <f>L366*(1+(Inputs!$B$9+B392+(F384-Calc!F24))/100)</f>
        <v/>
      </c>
      <c r="N366">
        <f>L366*(1-MIN(Inputs!$B$8+((F383-Calc!F23)+(F382-Calc!F22)),100)/100)+M366*(MIN(Inputs!$B$8+((F383-Calc!F23)+(F382-Calc!F22)),100)/100)</f>
        <v/>
      </c>
      <c r="O366">
        <f>IF(C366,H366*N366*IF(AND(Inputs!$B$4&lt;&gt;"pvp",Inputs!$B$35&gt;0),((Skills!F6*((S366-1)*IF(Skills!G6&gt;0,Skills!H6/Skills!G6,1)+IF(Skills!G6&gt;0,MIN(Skills!H6,MAX(0,Inputs!$B$35-((S366-1)*IF(Inputs!$B$4="pvp",15,MAX(0.1,Skills!D6-IF(Skills!E6=TRUE,Inputs!$B$31,0))))))/Skills!G6,1)))/Inputs!$B$35),G366*V366)*IF(Inputs!$B$4="pvp",1,(1-Summary!$B$48)*(1)+Summary!$B$48*(MIN(Skills!Q6,Inputs!$B$37))),0)</f>
        <v/>
      </c>
      <c r="P366">
        <f>IF(B398=0,0,O366/B398)</f>
        <v/>
      </c>
      <c r="S366">
        <f>IF(AND(Inputs!$B$4&lt;&gt;"pvp",Inputs!$B$35&gt;0),(INT(Inputs!$B$35/IF(Inputs!$B$4="pvp",15,MAX(0.1,Skills!D6-IF(Skills!E6=TRUE,Inputs!$B$31,0))))+1),0)</f>
        <v/>
      </c>
      <c r="V366">
        <f>IFERROR(1/IF(Inputs!$B$4="pvp",15,MAX(0.1,Skills!D6-IF(Skills!E6=TRUE,Inputs!$B$31,0))),0)</f>
        <v/>
      </c>
    </row>
    <row r="367">
      <c r="A367">
        <f>Skills!A7</f>
        <v/>
      </c>
      <c r="B367">
        <f>Skills!B7</f>
        <v/>
      </c>
      <c r="C367">
        <f>Inputs!$B$3&gt;=122</f>
        <v/>
      </c>
      <c r="D367">
        <f>IF(Skills!C7=1,60+Inputs!$B$24+Inputs!$B$28,IF(Skills!C7=2,90+Inputs!$B$25+Inputs!$B$28,IF(Skills!C7=3,120+Inputs!$B$26+Inputs!$B$28,MAX(0,(Inputs!$B$3-100)*3)+Inputs!$B$27+Inputs!$B$28)))</f>
        <v/>
      </c>
      <c r="E367">
        <f>INDEX(FactorTable!$B$2:$Y$301, MATCH(ROUND(MIN(300,MAX(1,D367)),0), FactorTable!$A$2:$A$301,0), Skills!L7+1)</f>
        <v/>
      </c>
      <c r="F367">
        <f>IF(Skills!M7=TRUE,(Skills!K7/10)*(E367/1000),Skills!K7/10)+Skills!N7</f>
        <v/>
      </c>
      <c r="G367">
        <f>Calc!G7</f>
        <v/>
      </c>
      <c r="H367">
        <f>Calc!H7</f>
        <v/>
      </c>
      <c r="I367">
        <f>IF(Skills!T7&lt;&gt;"",1+(Skills!T7/10)*($Z$3/1000)/100,1)</f>
        <v/>
      </c>
      <c r="J367">
        <f>((Inputs!$B$5*(1+Inputs!$B$6/100))+((Inputs!$B$11*(1+Inputs!$B$12/100))-(Inputs!$B$11*(1+Inputs!$B$12/100)))*(1+Inputs!$B$6/100))*(F367/100)</f>
        <v/>
      </c>
      <c r="K367">
        <f>J367*(1+((Inputs!$B$11*(1+Inputs!$B$12/100))*0.01+Inputs!$B$13*0.0025)/100)*(1+(Inputs!$B$14+B391)/100)*(1+IF(Inputs!$B$4="pvp",0,(1-Summary!$B$48)*(Inputs!$B$19+Skills!O7+B389)+Summary!$B$48*(Inputs!$B$20+Skills!P7+B390))/100)*(1+Inputs!$B$15/100)*(5000/(6000+Inputs!$B$7*(1-Inputs!$B$18/100)))*(1+Inputs!$B$23/100)*(1+IF(C377=TRUE,F377,0)/100)*(1+IF(C379=TRUE,F379,0)/100)*(1+IF(Skills!A7="TRIUMPH_FEATHER",IF(C375=TRUE,F375,0),0)/100)*(1+IF(C386=TRUE,F386,0)/100)^5*(1+(IF(Skills!A7="BIG_BANG",Inputs!$B$16,Inputs!$B$17))/100)*(B388*I367)</f>
        <v/>
      </c>
      <c r="L367">
        <f>K367*(MIN(Inputs!$B$21+(F381-Calc!F21),(Inputs!$B$22+1))/100+(Inputs!$B$22+1)/100)/2</f>
        <v/>
      </c>
      <c r="M367">
        <f>L367*(1+(Inputs!$B$9+B392+(F384-Calc!F24))/100)</f>
        <v/>
      </c>
      <c r="N367">
        <f>L367*(1-MIN(Inputs!$B$8+((F383-Calc!F23)+(F382-Calc!F22)),100)/100)+M367*(MIN(Inputs!$B$8+((F383-Calc!F23)+(F382-Calc!F22)),100)/100)</f>
        <v/>
      </c>
      <c r="O367">
        <f>IF(C367,H367*N367*IF(AND(Inputs!$B$4&lt;&gt;"pvp",Inputs!$B$35&gt;0),((Skills!F7*((S367-1)*IF(Skills!G7&gt;0,Skills!H7/Skills!G7,1)+IF(Skills!G7&gt;0,MIN(Skills!H7,MAX(0,Inputs!$B$35-((S367-1)*IF(Inputs!$B$4="pvp",15,MAX(0.1,Skills!D7-IF(Skills!E6=TRUE,Inputs!$B$31,0))))))/Skills!G7,1)))/Inputs!$B$35),G367*V367)*(1-Summary!$B$48),0)</f>
        <v/>
      </c>
      <c r="P367">
        <f>IF(B398=0,0,O367/B398)</f>
        <v/>
      </c>
      <c r="S367">
        <f>IF(AND(Inputs!$B$4&lt;&gt;"pvp",Inputs!$B$35&gt;0),(INT(Inputs!$B$35/IF(Inputs!$B$4="pvp",15,MAX(0.1,Skills!D7-IF(Skills!E6=TRUE,Inputs!$B$31,0))))+1),0)</f>
        <v/>
      </c>
      <c r="V367">
        <f>IFERROR(1/IF(Inputs!$B$4="pvp",15,MAX(0.1,Skills!D7-IF(Skills!E6=TRUE,Inputs!$B$31,0))),0)</f>
        <v/>
      </c>
    </row>
    <row r="368">
      <c r="A368">
        <f>Skills!A8</f>
        <v/>
      </c>
      <c r="B368">
        <f>Skills!B8</f>
        <v/>
      </c>
      <c r="C368">
        <f>Inputs!$B$3&gt;=105</f>
        <v/>
      </c>
      <c r="D368">
        <f>IF(Skills!C8=1,60+Inputs!$B$24+Inputs!$B$28,IF(Skills!C8=2,90+Inputs!$B$25+Inputs!$B$28,IF(Skills!C8=3,120+Inputs!$B$26+Inputs!$B$28,MAX(0,(Inputs!$B$3-100)*3)+Inputs!$B$27+Inputs!$B$28)))</f>
        <v/>
      </c>
      <c r="E368">
        <f>INDEX(FactorTable!$B$2:$Y$301, MATCH(ROUND(MIN(300,MAX(1,D368)),0), FactorTable!$A$2:$A$301,0), Skills!L8+1)</f>
        <v/>
      </c>
      <c r="F368">
        <f>IF(Skills!M8=TRUE,(Skills!K8/10)*(E368/1000),Skills!K8/10)+Skills!N8</f>
        <v/>
      </c>
      <c r="G368">
        <f>Calc!G8</f>
        <v/>
      </c>
      <c r="H368">
        <f>Calc!H8</f>
        <v/>
      </c>
      <c r="I368">
        <f>IF(Skills!T8&lt;&gt;"",1+(Skills!T8/10)*($Z$3/1000)/100,1)</f>
        <v/>
      </c>
      <c r="J368">
        <f>((Inputs!$B$5*(1+Inputs!$B$6/100))+((Inputs!$B$11*(1+Inputs!$B$12/100))-(Inputs!$B$11*(1+Inputs!$B$12/100)))*(1+Inputs!$B$6/100))*(F368/100)</f>
        <v/>
      </c>
      <c r="K368">
        <f>J368*(1+((Inputs!$B$11*(1+Inputs!$B$12/100))*0.01+Inputs!$B$13*0.0025)/100)*(1+(Inputs!$B$14+B391)/100)*(1+IF(Inputs!$B$4="pvp",0,(1-Summary!$B$48)*(Inputs!$B$19+Skills!O8+B389)+Summary!$B$48*(Inputs!$B$20+Skills!P8+B390))/100)*(1+Inputs!$B$15/100)*(5000/(6000+Inputs!$B$7*(1-Inputs!$B$18/100)))*(1+Inputs!$B$23/100)*(1+IF(C377=TRUE,F377,0)/100)*(1+IF(C379=TRUE,F379,0)/100)*(1+IF(Skills!A8="TRIUMPH_FEATHER",IF(C375=TRUE,F375,0),0)/100)*(1+IF(C386=TRUE,F386,0)/100)^5*(1+(IF(Skills!A8="BIG_BANG",Inputs!$B$16,Inputs!$B$17))/100)*(B388*I368)</f>
        <v/>
      </c>
      <c r="L368">
        <f>K368*(MIN(Inputs!$B$21+(F381-Calc!F21),(Inputs!$B$22+1))/100+(Inputs!$B$22+1)/100)/2</f>
        <v/>
      </c>
      <c r="M368">
        <f>L368*(1+(Inputs!$B$9+B392+(F384-Calc!F24))/100)</f>
        <v/>
      </c>
      <c r="N368">
        <f>L368*(1-MIN(Inputs!$B$8+((F383-Calc!F23)+(F382-Calc!F22)),100)/100)+M368*(MIN(Inputs!$B$8+((F383-Calc!F23)+(F382-Calc!F22)),100)/100)</f>
        <v/>
      </c>
      <c r="O368">
        <f>IF(C368,H368*N368*IF(AND(Inputs!$B$4&lt;&gt;"pvp",Inputs!$B$35&gt;0),((Skills!F8*((S368-1)*IF(Skills!G8&gt;0,Skills!H8/Skills!G8,1)+IF(Skills!G8&gt;0,MIN(Skills!H8,MAX(0,Inputs!$B$35-((S368-1)*IF(Inputs!$B$4="pvp",15,MAX(0.1,Skills!D8-IF(Skills!E8=TRUE,Inputs!$B$31,0))))))/Skills!G8,1)))/Inputs!$B$35),G368*V368)*IF(Inputs!$B$4="pvp",1,(1-Summary!$B$48)*(1)+Summary!$B$48*(MIN(Skills!Q8,Inputs!$B$37))),0)</f>
        <v/>
      </c>
      <c r="P368">
        <f>IF(B398=0,0,O368/B398)</f>
        <v/>
      </c>
      <c r="S368">
        <f>IF(AND(Inputs!$B$4&lt;&gt;"pvp",Inputs!$B$35&gt;0),(INT(Inputs!$B$35/IF(Inputs!$B$4="pvp",15,MAX(0.1,Skills!D8-IF(Skills!E8=TRUE,Inputs!$B$31,0))))+1),0)</f>
        <v/>
      </c>
      <c r="V368">
        <f>IFERROR(1/IF(Inputs!$B$4="pvp",15,MAX(0.1,Skills!D8-IF(Skills!E8=TRUE,Inputs!$B$31,0))),0)</f>
        <v/>
      </c>
    </row>
    <row r="369">
      <c r="A369">
        <f>Skills!A9</f>
        <v/>
      </c>
      <c r="B369">
        <f>Skills!B9</f>
        <v/>
      </c>
      <c r="C369">
        <f>Inputs!$B$3&gt;=115</f>
        <v/>
      </c>
      <c r="D369">
        <f>IF(Skills!C9=1,60+Inputs!$B$24+Inputs!$B$28,IF(Skills!C9=2,90+Inputs!$B$25+Inputs!$B$28,IF(Skills!C9=3,120+Inputs!$B$26+Inputs!$B$28,MAX(0,(Inputs!$B$3-100)*3)+Inputs!$B$27+Inputs!$B$28)))</f>
        <v/>
      </c>
      <c r="E369">
        <f>INDEX(FactorTable!$B$2:$Y$301, MATCH(ROUND(MIN(300,MAX(1,D369)),0), FactorTable!$A$2:$A$301,0), Skills!L9+1)</f>
        <v/>
      </c>
      <c r="F369">
        <f>IF(Skills!M9=TRUE,(Skills!K9/10)*(E369/1000),Skills!K9/10)+Skills!N9</f>
        <v/>
      </c>
      <c r="G369">
        <f>Calc!G9</f>
        <v/>
      </c>
      <c r="H369">
        <f>Calc!H9</f>
        <v/>
      </c>
      <c r="I369">
        <f>IF(Skills!T9&lt;&gt;"",1+(Skills!T9/10)*($Z$3/1000)/100,1)</f>
        <v/>
      </c>
      <c r="J369">
        <f>((Inputs!$B$5*(1+Inputs!$B$6/100))+((Inputs!$B$11*(1+Inputs!$B$12/100))-(Inputs!$B$11*(1+Inputs!$B$12/100)))*(1+Inputs!$B$6/100))*(F369/100)</f>
        <v/>
      </c>
      <c r="K369">
        <f>J369*(1+((Inputs!$B$11*(1+Inputs!$B$12/100))*0.01+Inputs!$B$13*0.0025)/100)*(1+(Inputs!$B$14+B391)/100)*(1+IF(Inputs!$B$4="pvp",0,(1-Summary!$B$48)*(Inputs!$B$19+Skills!O9+B389)+Summary!$B$48*(Inputs!$B$20+Skills!P9+B390))/100)*(1+Inputs!$B$15/100)*(5000/(6000+Inputs!$B$7*(1-Inputs!$B$18/100)))*(1+Inputs!$B$23/100)*(1+IF(C377=TRUE,F377,0)/100)*(1+IF(C379=TRUE,F379,0)/100)*(1+IF(Skills!A9="TRIUMPH_FEATHER",IF(C375=TRUE,F375,0),0)/100)*(1+IF(C386=TRUE,F386,0)/100)^5*(1+(IF(Skills!A9="BIG_BANG",Inputs!$B$16,Inputs!$B$17))/100)*(B388*I369)</f>
        <v/>
      </c>
      <c r="L369">
        <f>K369*(MIN(Inputs!$B$21+(F381-Calc!F21),(Inputs!$B$22+1))/100+(Inputs!$B$22+1)/100)/2</f>
        <v/>
      </c>
      <c r="M369">
        <f>L369*(1+(Inputs!$B$9+B392+(F384-Calc!F24))/100)</f>
        <v/>
      </c>
      <c r="N369">
        <f>L369*(1-MIN(Inputs!$B$8+((F383-Calc!F23)+(F382-Calc!F22)),100)/100)+M369*(MIN(Inputs!$B$8+((F383-Calc!F23)+(F382-Calc!F22)),100)/100)</f>
        <v/>
      </c>
      <c r="O369">
        <f>IF(C369,H369*N369*IF(AND(Inputs!$B$4&lt;&gt;"pvp",Inputs!$B$35&gt;0),((Skills!F9*((S369-1)*IF(Skills!G9&gt;0,Skills!H9/Skills!G9,1)+IF(Skills!G9&gt;0,MIN(Skills!H9,MAX(0,Inputs!$B$35-((S369-1)*IF(Inputs!$B$4="pvp",15,MAX(0.1,Skills!D9-IF(Skills!E9=TRUE,Inputs!$B$31,0))))))/Skills!G9,1)))/Inputs!$B$35),G369*V369)*IF(Inputs!$B$4="pvp",1,(1-Summary!$B$48)*(1)+Summary!$B$48*(MIN(Skills!Q9,Inputs!$B$37))),0)</f>
        <v/>
      </c>
      <c r="P369">
        <f>IF(B398=0,0,O369/B398)</f>
        <v/>
      </c>
      <c r="S369">
        <f>IF(AND(Inputs!$B$4&lt;&gt;"pvp",Inputs!$B$35&gt;0),(INT(Inputs!$B$35/IF(Inputs!$B$4="pvp",15,MAX(0.1,Skills!D9-IF(Skills!E9=TRUE,Inputs!$B$31,0))))+1),0)</f>
        <v/>
      </c>
      <c r="V369">
        <f>IFERROR(1/IF(Inputs!$B$4="pvp",15,MAX(0.1,Skills!D9-IF(Skills!E9=TRUE,Inputs!$B$31,0))),0)</f>
        <v/>
      </c>
    </row>
    <row r="370">
      <c r="A370">
        <f>Skills!A10</f>
        <v/>
      </c>
      <c r="B370">
        <f>Skills!B10</f>
        <v/>
      </c>
      <c r="C370">
        <f>Inputs!$B$3&gt;=66</f>
        <v/>
      </c>
      <c r="D370">
        <f>IF(Skills!C10=1,60+Inputs!$B$24+Inputs!$B$28,IF(Skills!C10=2,90+Inputs!$B$25+Inputs!$B$28,IF(Skills!C10=3,120+Inputs!$B$26+Inputs!$B$28,MAX(0,(Inputs!$B$3-100)*3)+Inputs!$B$27+Inputs!$B$28)))</f>
        <v/>
      </c>
      <c r="E370">
        <f>INDEX(FactorTable!$B$2:$Y$301, MATCH(ROUND(MIN(300,MAX(1,D370)),0), FactorTable!$A$2:$A$301,0), Skills!L10+1)</f>
        <v/>
      </c>
      <c r="F370" t="n">
        <v>0</v>
      </c>
      <c r="G370">
        <f>Calc!G10</f>
        <v/>
      </c>
      <c r="H370">
        <f>Calc!H10</f>
        <v/>
      </c>
      <c r="I370">
        <f>IF(Skills!T10&lt;&gt;"",1+(Skills!T10/10)*($Z$3/1000)/100,1)</f>
        <v/>
      </c>
      <c r="J370" t="inlineStr"/>
      <c r="K370" t="inlineStr"/>
      <c r="L370" t="inlineStr"/>
      <c r="M370" t="inlineStr"/>
      <c r="N370" t="inlineStr"/>
      <c r="O370" t="n">
        <v>0</v>
      </c>
      <c r="P370">
        <f>IF(B398=0,0,O370/B398)</f>
        <v/>
      </c>
      <c r="S370">
        <f>IF(AND(Inputs!$B$4&lt;&gt;"pvp",Inputs!$B$35&gt;0),(INT(Inputs!$B$35/IF(Inputs!$B$4="pvp",15,MAX(0.1,Skills!D10-IF(Skills!E10=TRUE,Inputs!$B$31,0))))+1),0)</f>
        <v/>
      </c>
      <c r="V370">
        <f>IFERROR(1/IF(Inputs!$B$4="pvp",15,MAX(0.1,Skills!D10-IF(Skills!E10=TRUE,Inputs!$B$31,0))),0)</f>
        <v/>
      </c>
    </row>
    <row r="371">
      <c r="A371">
        <f>Skills!A11</f>
        <v/>
      </c>
      <c r="B371">
        <f>Skills!B11</f>
        <v/>
      </c>
      <c r="C371">
        <f>Inputs!$B$3&gt;=69</f>
        <v/>
      </c>
      <c r="D371">
        <f>IF(Skills!C11=1,60+Inputs!$B$24+Inputs!$B$28,IF(Skills!C11=2,90+Inputs!$B$25+Inputs!$B$28,IF(Skills!C11=3,120+Inputs!$B$26+Inputs!$B$28,MAX(0,(Inputs!$B$3-100)*3)+Inputs!$B$27+Inputs!$B$28)))</f>
        <v/>
      </c>
      <c r="E371">
        <f>INDEX(FactorTable!$B$2:$Y$301, MATCH(ROUND(MIN(300,MAX(1,D371)),0), FactorTable!$A$2:$A$301,0), Skills!L11+1)</f>
        <v/>
      </c>
      <c r="F371">
        <f>IF(Skills!M11=TRUE,(Skills!K11/10)*(E371/1000),Skills!K11/10)+Skills!N11</f>
        <v/>
      </c>
      <c r="G371">
        <f>Calc!G11</f>
        <v/>
      </c>
      <c r="H371">
        <f>Calc!H11</f>
        <v/>
      </c>
      <c r="I371">
        <f>IF(Skills!T11&lt;&gt;"",1+(Skills!T11/10)*($Z$3/1000)/100,1)</f>
        <v/>
      </c>
      <c r="J371" t="inlineStr"/>
      <c r="K371" t="inlineStr"/>
      <c r="L371" t="inlineStr"/>
      <c r="M371" t="inlineStr"/>
      <c r="N371" t="inlineStr"/>
      <c r="O371" t="n">
        <v>0</v>
      </c>
      <c r="P371">
        <f>IF(B398=0,0,O371/B398)</f>
        <v/>
      </c>
      <c r="S371">
        <f>IF(AND(Inputs!$B$4&lt;&gt;"pvp",Inputs!$B$35&gt;0),(INT(Inputs!$B$35/IF(Inputs!$B$4="pvp",15,MAX(0.1,Skills!D11-IF(Skills!E11=TRUE,Inputs!$B$31,0))))+1),0)</f>
        <v/>
      </c>
      <c r="V371">
        <f>IFERROR(1/IF(Inputs!$B$4="pvp",15,MAX(0.1,Skills!D11-IF(Skills!E11=TRUE,Inputs!$B$31,0))),0)</f>
        <v/>
      </c>
    </row>
    <row r="372">
      <c r="A372">
        <f>Skills!A12</f>
        <v/>
      </c>
      <c r="B372">
        <f>Skills!B12</f>
        <v/>
      </c>
      <c r="C372">
        <f>Inputs!$B$3&gt;=72</f>
        <v/>
      </c>
      <c r="D372">
        <f>IF(Skills!C12=1,60+Inputs!$B$24+Inputs!$B$28,IF(Skills!C12=2,90+Inputs!$B$25+Inputs!$B$28,IF(Skills!C12=3,120+Inputs!$B$26+Inputs!$B$28,MAX(0,(Inputs!$B$3-100)*3)+Inputs!$B$27+Inputs!$B$28)))</f>
        <v/>
      </c>
      <c r="E372">
        <f>INDEX(FactorTable!$B$2:$Y$301, MATCH(ROUND(MIN(300,MAX(1,D372)),0), FactorTable!$A$2:$A$301,0), Skills!L12+1)</f>
        <v/>
      </c>
      <c r="F372">
        <f>IF(Skills!M12=TRUE,(Skills!K12/10)*(E372/1000),Skills!K12/10)+Skills!N12</f>
        <v/>
      </c>
      <c r="G372">
        <f>Calc!G12</f>
        <v/>
      </c>
      <c r="H372">
        <f>Calc!H12</f>
        <v/>
      </c>
      <c r="I372">
        <f>IF(Skills!T12&lt;&gt;"",1+(Skills!T12/10)*($Z$3/1000)/100,1)</f>
        <v/>
      </c>
      <c r="J372" t="inlineStr"/>
      <c r="K372" t="inlineStr"/>
      <c r="L372" t="inlineStr"/>
      <c r="M372" t="inlineStr"/>
      <c r="N372" t="inlineStr"/>
      <c r="O372" t="n">
        <v>0</v>
      </c>
      <c r="P372">
        <f>IF(B398=0,0,O372/B398)</f>
        <v/>
      </c>
      <c r="S372">
        <f>IF(AND(Inputs!$B$4&lt;&gt;"pvp",Inputs!$B$35&gt;0),(INT(Inputs!$B$35/IF(Inputs!$B$4="pvp",15,MAX(0.1,Skills!D12-IF(Skills!E12=TRUE,Inputs!$B$31,0))))+1),0)</f>
        <v/>
      </c>
      <c r="V372">
        <f>IFERROR(1/IF(Inputs!$B$4="pvp",15,MAX(0.1,Skills!D12-IF(Skills!E12=TRUE,Inputs!$B$31,0))),0)</f>
        <v/>
      </c>
    </row>
    <row r="373">
      <c r="A373">
        <f>Skills!A13</f>
        <v/>
      </c>
      <c r="B373">
        <f>Skills!B13</f>
        <v/>
      </c>
      <c r="C373">
        <f>Inputs!$B$3&gt;=107</f>
        <v/>
      </c>
      <c r="D373">
        <f>IF(Skills!C13=1,60+Inputs!$B$24+Inputs!$B$28,IF(Skills!C13=2,90+Inputs!$B$25+Inputs!$B$28,IF(Skills!C13=3,120+Inputs!$B$26+Inputs!$B$28,MAX(0,(Inputs!$B$3-100)*3)+Inputs!$B$27+Inputs!$B$28)))</f>
        <v/>
      </c>
      <c r="E373">
        <f>INDEX(FactorTable!$B$2:$Y$301, MATCH(ROUND(MIN(300,MAX(1,D373)),0), FactorTable!$A$2:$A$301,0), Skills!L13+1)</f>
        <v/>
      </c>
      <c r="F373">
        <f>IF(Skills!M13=TRUE,(Skills!K13/10)*(E373/1000),Skills!K13/10)+Skills!N13</f>
        <v/>
      </c>
      <c r="G373">
        <f>Calc!G13</f>
        <v/>
      </c>
      <c r="H373">
        <f>Calc!H13</f>
        <v/>
      </c>
      <c r="I373">
        <f>IF(Skills!T13&lt;&gt;"",1+(Skills!T13/10)*($Z$3/1000)/100,1)</f>
        <v/>
      </c>
      <c r="J373" t="inlineStr"/>
      <c r="K373" t="inlineStr"/>
      <c r="L373" t="inlineStr"/>
      <c r="M373" t="inlineStr"/>
      <c r="N373" t="inlineStr"/>
      <c r="O373" t="n">
        <v>0</v>
      </c>
      <c r="P373">
        <f>IF(B398=0,0,O373/B398)</f>
        <v/>
      </c>
      <c r="S373">
        <f>IF(AND(Inputs!$B$4&lt;&gt;"pvp",Inputs!$B$35&gt;0),(INT(Inputs!$B$35/IF(Inputs!$B$4="pvp",15,MAX(0.1,Skills!D13-IF(Skills!E13=TRUE,Inputs!$B$31,0))))+1),0)</f>
        <v/>
      </c>
      <c r="V373">
        <f>IFERROR(1/IF(Inputs!$B$4="pvp",15,MAX(0.1,Skills!D13-IF(Skills!E13=TRUE,Inputs!$B$31,0))),0)</f>
        <v/>
      </c>
    </row>
    <row r="374">
      <c r="A374">
        <f>Skills!A14</f>
        <v/>
      </c>
      <c r="B374">
        <f>Skills!B14</f>
        <v/>
      </c>
      <c r="C374">
        <f>Inputs!$B$3&gt;=63</f>
        <v/>
      </c>
      <c r="D374">
        <f>IF(Skills!C14=1,60+Inputs!$B$24+Inputs!$B$28,IF(Skills!C14=2,90+Inputs!$B$25+Inputs!$B$28,IF(Skills!C14=3,120+Inputs!$B$26+Inputs!$B$28,MAX(0,(Inputs!$B$3-100)*3)+Inputs!$B$27+Inputs!$B$28)))</f>
        <v/>
      </c>
      <c r="E374">
        <f>INDEX(FactorTable!$B$2:$Y$301, MATCH(ROUND(MIN(300,MAX(1,D374)),0), FactorTable!$A$2:$A$301,0), Skills!L14+1)</f>
        <v/>
      </c>
      <c r="F374">
        <f>IF(Skills!M14=TRUE,(Skills!K14/10)*(E374/1000),Skills!K14/10)+Skills!N14</f>
        <v/>
      </c>
      <c r="G374">
        <f>Calc!G14</f>
        <v/>
      </c>
      <c r="H374">
        <f>Calc!H14</f>
        <v/>
      </c>
      <c r="I374">
        <f>IF(Skills!T14&lt;&gt;"",1+(Skills!T14/10)*($Z$3/1000)/100,1)</f>
        <v/>
      </c>
      <c r="J374">
        <f>((Inputs!$B$5*(1+Inputs!$B$6/100))+((Inputs!$B$11*(1+Inputs!$B$12/100))-(Inputs!$B$11*(1+Inputs!$B$12/100)))*(1+Inputs!$B$6/100))*(F374/100)</f>
        <v/>
      </c>
      <c r="K374">
        <f>J374*(1+((Inputs!$B$11*(1+Inputs!$B$12/100))*0.01+Inputs!$B$13*0.0025)/100)*(1+(Inputs!$B$14+B391)/100)*(1+IF(Inputs!$B$4="pvp",0,(1-Summary!$B$48)*(Inputs!$B$19+Skills!O14+B389)+Summary!$B$48*(Inputs!$B$20+Skills!P14+B390))/100)*(1+Inputs!$B$15/100)*(5000/(6000+Inputs!$B$7*(1-Inputs!$B$18/100)))*(1+Inputs!$B$23/100)*(1+IF(C377=TRUE,F377,0)/100)*(1+IF(C379=TRUE,F379,0)/100)*(1+IF(Skills!A14="TRIUMPH_FEATHER",IF(C375=TRUE,F375,0),0)/100)*(1+IF(C386=TRUE,F386,0)/100)^5*(1+(IF(Skills!A14="BIG_BANG",Inputs!$B$16,Inputs!$B$17))/100)*(B388*I374)</f>
        <v/>
      </c>
      <c r="L374">
        <f>K374*(MIN(Inputs!$B$21+(F381-Calc!F21),(Inputs!$B$22+1))/100+(Inputs!$B$22+1)/100)/2</f>
        <v/>
      </c>
      <c r="M374">
        <f>L374*(1+(Inputs!$B$9+B392+(F384-Calc!F24))/100)</f>
        <v/>
      </c>
      <c r="N374">
        <f>L374*(1-MIN(Inputs!$B$8+((F383-Calc!F23)+(F382-Calc!F22)),100)/100)+M374*(MIN(Inputs!$B$8+((F383-Calc!F23)+(F382-Calc!F22)),100)/100)</f>
        <v/>
      </c>
      <c r="O374">
        <f>IF(C374,Skills!F14*N374*((IF(Inputs!$B$3&gt;=78,25,15)/100*B394*10)/(1+IF(Inputs!$B$3&gt;=78,25,15)/100*B394*10))*(Skills!I14/100*B394)/(1+Skills!G14*Skills!I14/100*B394)*IF(Inputs!$B$4="pvp",1,(1-Summary!$B$48)*(1)+Summary!$B$48*(MIN(Skills!Q14,Inputs!$B$37))),0)</f>
        <v/>
      </c>
      <c r="P374">
        <f>IF(B398=0,0,O374/B398)</f>
        <v/>
      </c>
      <c r="S374" t="n">
        <v>0</v>
      </c>
      <c r="V374">
        <f>IFERROR(1/IF(Inputs!$B$4="pvp",15,MAX(0.1,Skills!D14-IF(Skills!E14=TRUE,Inputs!$B$31,0))),0)</f>
        <v/>
      </c>
    </row>
    <row r="375">
      <c r="A375">
        <f>Skills!A15</f>
        <v/>
      </c>
      <c r="B375">
        <f>Skills!B15</f>
        <v/>
      </c>
      <c r="C375">
        <f>Inputs!$B$3&gt;=100</f>
        <v/>
      </c>
      <c r="D375">
        <f>IF(Skills!C15=1,60+Inputs!$B$24+Inputs!$B$28,IF(Skills!C15=2,90+Inputs!$B$25+Inputs!$B$28,IF(Skills!C15=3,120+Inputs!$B$26+Inputs!$B$28,MAX(0,(Inputs!$B$3-100)*3)+Inputs!$B$27+Inputs!$B$28)))</f>
        <v/>
      </c>
      <c r="E375">
        <f>INDEX(FactorTable!$B$2:$Y$301, MATCH(ROUND(MIN(300,MAX(1,D375)),0), FactorTable!$A$2:$A$301,0), Skills!L15+1)</f>
        <v/>
      </c>
      <c r="F375">
        <f>IF(Skills!M15=TRUE,(Skills!K15/10)*(E375/1000),Skills!K15/10)+Skills!N15</f>
        <v/>
      </c>
      <c r="G375">
        <f>Calc!G15</f>
        <v/>
      </c>
      <c r="H375">
        <f>Calc!H15</f>
        <v/>
      </c>
      <c r="I375">
        <f>IF(Skills!T15&lt;&gt;"",1+(Skills!T15/10)*($Z$3/1000)/100,1)</f>
        <v/>
      </c>
      <c r="J375" t="inlineStr"/>
      <c r="K375" t="inlineStr"/>
      <c r="L375" t="inlineStr"/>
      <c r="M375" t="inlineStr"/>
      <c r="N375" t="inlineStr"/>
      <c r="O375" t="n">
        <v>0</v>
      </c>
      <c r="P375">
        <f>IF(B398=0,0,O375/B398)</f>
        <v/>
      </c>
      <c r="S375" t="n">
        <v>0</v>
      </c>
      <c r="V375">
        <f>IFERROR(1/IF(Inputs!$B$4="pvp",15,MAX(0.1,Skills!D15-IF(Skills!E15=TRUE,Inputs!$B$31,0))),0)</f>
        <v/>
      </c>
    </row>
    <row r="376">
      <c r="A376">
        <f>Skills!A16</f>
        <v/>
      </c>
      <c r="B376">
        <f>Skills!B16</f>
        <v/>
      </c>
      <c r="C376">
        <f>Inputs!$B$3&gt;=49</f>
        <v/>
      </c>
      <c r="D376">
        <f>IF(Skills!C16=1,60+Inputs!$B$24+Inputs!$B$28,IF(Skills!C16=2,90+Inputs!$B$25+Inputs!$B$28,IF(Skills!C16=3,120+Inputs!$B$26+Inputs!$B$28,MAX(0,(Inputs!$B$3-100)*3)+Inputs!$B$27+Inputs!$B$28)))</f>
        <v/>
      </c>
      <c r="E376">
        <f>INDEX(FactorTable!$B$2:$Y$301, MATCH(ROUND(MIN(300,MAX(1,D376)),0), FactorTable!$A$2:$A$301,0), Skills!L16+1)</f>
        <v/>
      </c>
      <c r="F376">
        <f>IF(Skills!M16=TRUE,(Skills!K16/10)*(E376/1000),Skills!K16/10)+Skills!N16</f>
        <v/>
      </c>
      <c r="G376">
        <f>Calc!G16</f>
        <v/>
      </c>
      <c r="H376">
        <f>Calc!H16</f>
        <v/>
      </c>
      <c r="I376">
        <f>IF(Skills!T16&lt;&gt;"",1+(Skills!T16/10)*($Z$3/1000)/100,1)</f>
        <v/>
      </c>
      <c r="J376" t="inlineStr"/>
      <c r="K376" t="inlineStr"/>
      <c r="L376" t="inlineStr"/>
      <c r="M376" t="inlineStr"/>
      <c r="N376" t="inlineStr"/>
      <c r="O376" t="n">
        <v>0</v>
      </c>
      <c r="P376">
        <f>IF(B398=0,0,O376/B398)</f>
        <v/>
      </c>
      <c r="S376" t="n">
        <v>0</v>
      </c>
      <c r="V376">
        <f>IFERROR(1/IF(Inputs!$B$4="pvp",15,MAX(0.1,Skills!D16-IF(Skills!E16=TRUE,Inputs!$B$31,0))),0)</f>
        <v/>
      </c>
    </row>
    <row r="377">
      <c r="A377">
        <f>Skills!A17</f>
        <v/>
      </c>
      <c r="B377">
        <f>Skills!B17</f>
        <v/>
      </c>
      <c r="C377">
        <f>Inputs!$B$3&gt;=75</f>
        <v/>
      </c>
      <c r="D377">
        <f>IF(Skills!C17=1,60+Inputs!$B$24+Inputs!$B$28,IF(Skills!C17=2,90+Inputs!$B$25+Inputs!$B$28,IF(Skills!C17=3,120+Inputs!$B$26+Inputs!$B$28,MAX(0,(Inputs!$B$3-100)*3)+Inputs!$B$27+Inputs!$B$28)))</f>
        <v/>
      </c>
      <c r="E377">
        <f>INDEX(FactorTable!$B$2:$Y$301, MATCH(ROUND(MIN(300,MAX(1,D377)),0), FactorTable!$A$2:$A$301,0), Skills!L17+1)</f>
        <v/>
      </c>
      <c r="F377">
        <f>IF(Skills!M17=TRUE,(Skills!K17/10)*(E377/1000),Skills!K17/10)+Skills!N17</f>
        <v/>
      </c>
      <c r="G377">
        <f>Calc!G17</f>
        <v/>
      </c>
      <c r="H377">
        <f>Calc!H17</f>
        <v/>
      </c>
      <c r="I377">
        <f>IF(Skills!T17&lt;&gt;"",1+(Skills!T17/10)*($Z$3/1000)/100,1)</f>
        <v/>
      </c>
      <c r="J377" t="inlineStr"/>
      <c r="K377" t="inlineStr"/>
      <c r="L377" t="inlineStr"/>
      <c r="M377" t="inlineStr"/>
      <c r="N377" t="inlineStr"/>
      <c r="O377" t="n">
        <v>0</v>
      </c>
      <c r="P377">
        <f>IF(B398=0,0,O377/B398)</f>
        <v/>
      </c>
      <c r="S377" t="n">
        <v>0</v>
      </c>
      <c r="V377">
        <f>IFERROR(1/IF(Inputs!$B$4="pvp",15,MAX(0.1,Skills!D17-IF(Skills!E17=TRUE,Inputs!$B$31,0))),0)</f>
        <v/>
      </c>
    </row>
    <row r="378">
      <c r="A378">
        <f>Skills!A18</f>
        <v/>
      </c>
      <c r="B378">
        <f>Skills!B18</f>
        <v/>
      </c>
      <c r="C378">
        <f>Inputs!$B$3&gt;=110</f>
        <v/>
      </c>
      <c r="D378">
        <f>IF(Skills!C18=1,60+Inputs!$B$24+Inputs!$B$28,IF(Skills!C18=2,90+Inputs!$B$25+Inputs!$B$28,IF(Skills!C18=3,120+Inputs!$B$26+Inputs!$B$28,MAX(0,(Inputs!$B$3-100)*3)+Inputs!$B$27+Inputs!$B$28)))</f>
        <v/>
      </c>
      <c r="E378">
        <f>INDEX(FactorTable!$B$2:$Y$301, MATCH(ROUND(MIN(300,MAX(1,D378)),0), FactorTable!$A$2:$A$301,0), Skills!L18+1)</f>
        <v/>
      </c>
      <c r="F378">
        <f>(Skills!K18/10)*(E378/1000)*64/45+Skills!N18</f>
        <v/>
      </c>
      <c r="G378">
        <f>Calc!G18</f>
        <v/>
      </c>
      <c r="H378">
        <f>Calc!H18</f>
        <v/>
      </c>
      <c r="I378">
        <f>IF(Skills!T18&lt;&gt;"",1+(Skills!T18/10)*($Z$3/1000)/100,1)</f>
        <v/>
      </c>
      <c r="J378" t="inlineStr"/>
      <c r="K378" t="inlineStr"/>
      <c r="L378" t="inlineStr"/>
      <c r="M378" t="inlineStr"/>
      <c r="N378" t="inlineStr"/>
      <c r="O378" t="n">
        <v>0</v>
      </c>
      <c r="P378">
        <f>IF(B398=0,0,O378/B398)</f>
        <v/>
      </c>
      <c r="S378">
        <f>IF(AND(Inputs!$B$4&lt;&gt;"pvp",Inputs!$B$35&gt;0),(INT(Inputs!$B$35/IF(Inputs!$B$4="pvp",15,MAX(0.1,Skills!D18-IF(Skills!E18=TRUE,Inputs!$B$31,0))))+1),0)</f>
        <v/>
      </c>
      <c r="V378">
        <f>IFERROR(1/IF(Inputs!$B$4="pvp",15,MAX(0.1,Skills!D18-IF(Skills!E18=TRUE,Inputs!$B$31,0))),0)</f>
        <v/>
      </c>
    </row>
    <row r="379">
      <c r="A379">
        <f>Skills!A19</f>
        <v/>
      </c>
      <c r="B379">
        <f>Skills!B19</f>
        <v/>
      </c>
      <c r="C379">
        <f>Inputs!$B$3&gt;=125</f>
        <v/>
      </c>
      <c r="D379">
        <f>IF(Skills!C19=1,60+Inputs!$B$24+Inputs!$B$28,IF(Skills!C19=2,90+Inputs!$B$25+Inputs!$B$28,IF(Skills!C19=3,120+Inputs!$B$26+Inputs!$B$28,MAX(0,(Inputs!$B$3-100)*3)+Inputs!$B$27+Inputs!$B$28)))</f>
        <v/>
      </c>
      <c r="E379">
        <f>INDEX(FactorTable!$B$2:$Y$301, MATCH(ROUND(MIN(300,MAX(1,D379)),0), FactorTable!$A$2:$A$301,0), Skills!L19+1)</f>
        <v/>
      </c>
      <c r="F379">
        <f>IF(Skills!M19=TRUE,(Skills!K19/10)*(E379/1000),Skills!K19/10)+Skills!N19</f>
        <v/>
      </c>
      <c r="G379">
        <f>Calc!G19</f>
        <v/>
      </c>
      <c r="H379">
        <f>Calc!H19</f>
        <v/>
      </c>
      <c r="I379">
        <f>IF(Skills!T19&lt;&gt;"",1+(Skills!T19/10)*($Z$3/1000)/100,1)</f>
        <v/>
      </c>
      <c r="J379" t="inlineStr"/>
      <c r="K379" t="inlineStr"/>
      <c r="L379" t="inlineStr"/>
      <c r="M379" t="inlineStr"/>
      <c r="N379" t="inlineStr"/>
      <c r="O379" t="n">
        <v>0</v>
      </c>
      <c r="P379">
        <f>IF(B398=0,0,O379/B398)</f>
        <v/>
      </c>
      <c r="S379" t="n">
        <v>0</v>
      </c>
      <c r="V379">
        <f>IFERROR(1/IF(Inputs!$B$4="pvp",15,MAX(0.1,Skills!D19-IF(Skills!E19=TRUE,Inputs!$B$31,0))),0)</f>
        <v/>
      </c>
    </row>
    <row r="380">
      <c r="A380">
        <f>Skills!A20</f>
        <v/>
      </c>
      <c r="B380">
        <f>Skills!B20</f>
        <v/>
      </c>
      <c r="C380">
        <f>Inputs!$B$3&gt;=33</f>
        <v/>
      </c>
      <c r="D380">
        <f>IF(Skills!C20=1,60+Inputs!$B$24+Inputs!$B$28,IF(Skills!C20=2,90+Inputs!$B$25+Inputs!$B$28,IF(Skills!C20=3,120+Inputs!$B$26+Inputs!$B$28,MAX(0,(Inputs!$B$3-100)*3)+Inputs!$B$27+Inputs!$B$28)))</f>
        <v/>
      </c>
      <c r="E380">
        <f>INDEX(FactorTable!$B$2:$Y$301, MATCH(ROUND(MIN(300,MAX(1,D380)),0), FactorTable!$A$2:$A$301,0), Skills!L20+1)</f>
        <v/>
      </c>
      <c r="F380">
        <f>IF(Skills!M20=TRUE,(Skills!K20/10)*(E380/1000),Skills!K20/10)+Skills!N20</f>
        <v/>
      </c>
      <c r="G380">
        <f>Calc!G20</f>
        <v/>
      </c>
      <c r="H380">
        <f>Calc!H20</f>
        <v/>
      </c>
      <c r="I380">
        <f>IF(Skills!T20&lt;&gt;"",1+(Skills!T20/10)*($Z$3/1000)/100,1)</f>
        <v/>
      </c>
      <c r="J380" t="inlineStr"/>
      <c r="K380" t="inlineStr"/>
      <c r="L380" t="inlineStr"/>
      <c r="M380" t="inlineStr"/>
      <c r="N380" t="inlineStr"/>
      <c r="O380" t="n">
        <v>0</v>
      </c>
      <c r="P380">
        <f>IF(B398=0,0,O380/B398)</f>
        <v/>
      </c>
      <c r="S380" t="n">
        <v>0</v>
      </c>
      <c r="V380">
        <f>IFERROR(1/IF(Inputs!$B$4="pvp",15,MAX(0.1,Skills!D20-IF(Skills!E20=TRUE,Inputs!$B$31,0))),0)</f>
        <v/>
      </c>
    </row>
    <row r="381">
      <c r="A381">
        <f>Skills!A21</f>
        <v/>
      </c>
      <c r="B381">
        <f>Skills!B21</f>
        <v/>
      </c>
      <c r="C381">
        <f>Inputs!$B$3&gt;=43</f>
        <v/>
      </c>
      <c r="D381">
        <f>IF(Skills!C21=1,60+Inputs!$B$24+Inputs!$B$28,IF(Skills!C21=2,90+Inputs!$B$25+Inputs!$B$28,IF(Skills!C21=3,120+Inputs!$B$26+Inputs!$B$28,MAX(0,(Inputs!$B$3-100)*3)+Inputs!$B$27+Inputs!$B$28)))</f>
        <v/>
      </c>
      <c r="E381">
        <f>INDEX(FactorTable!$B$2:$Y$301, MATCH(ROUND(MIN(300,MAX(1,D381)),0), FactorTable!$A$2:$A$301,0), Skills!L21+1)</f>
        <v/>
      </c>
      <c r="F381">
        <f>IF(Skills!M21=TRUE,(Skills!K21/10)*(E381/1000),Skills!K21/10)+Skills!N21</f>
        <v/>
      </c>
      <c r="G381">
        <f>Calc!G21</f>
        <v/>
      </c>
      <c r="H381">
        <f>Calc!H21</f>
        <v/>
      </c>
      <c r="I381">
        <f>IF(Skills!T21&lt;&gt;"",1+(Skills!T21/10)*($Z$3/1000)/100,1)</f>
        <v/>
      </c>
      <c r="J381" t="inlineStr"/>
      <c r="K381" t="inlineStr"/>
      <c r="L381" t="inlineStr"/>
      <c r="M381" t="inlineStr"/>
      <c r="N381" t="inlineStr"/>
      <c r="O381" t="n">
        <v>0</v>
      </c>
      <c r="P381">
        <f>IF(B398=0,0,O381/B398)</f>
        <v/>
      </c>
      <c r="S381" t="n">
        <v>0</v>
      </c>
      <c r="V381">
        <f>IFERROR(1/IF(Inputs!$B$4="pvp",15,MAX(0.1,Skills!D21-IF(Skills!E21=TRUE,Inputs!$B$31,0))),0)</f>
        <v/>
      </c>
    </row>
    <row r="382">
      <c r="A382">
        <f>Skills!A22</f>
        <v/>
      </c>
      <c r="B382">
        <f>Skills!B22</f>
        <v/>
      </c>
      <c r="C382">
        <f>Inputs!$B$3&gt;=50</f>
        <v/>
      </c>
      <c r="D382">
        <f>IF(Skills!C22=1,60+Inputs!$B$24+Inputs!$B$28,IF(Skills!C22=2,90+Inputs!$B$25+Inputs!$B$28,IF(Skills!C22=3,120+Inputs!$B$26+Inputs!$B$28,MAX(0,(Inputs!$B$3-100)*3)+Inputs!$B$27+Inputs!$B$28)))</f>
        <v/>
      </c>
      <c r="E382">
        <f>INDEX(FactorTable!$B$2:$Y$301, MATCH(ROUND(MIN(300,MAX(1,D382)),0), FactorTable!$A$2:$A$301,0), Skills!L22+1)</f>
        <v/>
      </c>
      <c r="F382">
        <f>IF(Skills!M22=TRUE,(Skills!K22/10)*(E382/1000),Skills!K22/10)+Skills!N22</f>
        <v/>
      </c>
      <c r="G382">
        <f>Calc!G22</f>
        <v/>
      </c>
      <c r="H382">
        <f>Calc!H22</f>
        <v/>
      </c>
      <c r="I382">
        <f>IF(Skills!T22&lt;&gt;"",1+(Skills!T22/10)*($Z$3/1000)/100,1)</f>
        <v/>
      </c>
      <c r="J382" t="inlineStr"/>
      <c r="K382" t="inlineStr"/>
      <c r="L382" t="inlineStr"/>
      <c r="M382" t="inlineStr"/>
      <c r="N382" t="inlineStr"/>
      <c r="O382" t="n">
        <v>0</v>
      </c>
      <c r="P382">
        <f>IF(B398=0,0,O382/B398)</f>
        <v/>
      </c>
      <c r="S382" t="n">
        <v>0</v>
      </c>
      <c r="V382">
        <f>IFERROR(1/IF(Inputs!$B$4="pvp",15,MAX(0.1,Skills!D22-IF(Skills!E22=TRUE,Inputs!$B$31,0))),0)</f>
        <v/>
      </c>
    </row>
    <row r="383">
      <c r="A383">
        <f>Skills!A23</f>
        <v/>
      </c>
      <c r="B383">
        <f>Skills!B23</f>
        <v/>
      </c>
      <c r="C383">
        <f>Inputs!$B$3&gt;=74</f>
        <v/>
      </c>
      <c r="D383">
        <f>IF(Skills!C23=1,60+Inputs!$B$24+Inputs!$B$28,IF(Skills!C23=2,90+Inputs!$B$25+Inputs!$B$28,IF(Skills!C23=3,120+Inputs!$B$26+Inputs!$B$28,MAX(0,(Inputs!$B$3-100)*3)+Inputs!$B$27+Inputs!$B$28)))</f>
        <v/>
      </c>
      <c r="E383">
        <f>INDEX(FactorTable!$B$2:$Y$301, MATCH(ROUND(MIN(300,MAX(1,D383)),0), FactorTable!$A$2:$A$301,0), Skills!L23+1)</f>
        <v/>
      </c>
      <c r="F383">
        <f>IF(Skills!M23=TRUE,(Skills!K23/10)*(E383/1000),Skills!K23/10)+Skills!N23</f>
        <v/>
      </c>
      <c r="G383">
        <f>Calc!G23</f>
        <v/>
      </c>
      <c r="H383">
        <f>Calc!H23</f>
        <v/>
      </c>
      <c r="I383">
        <f>IF(Skills!T23&lt;&gt;"",1+(Skills!T23/10)*($Z$3/1000)/100,1)</f>
        <v/>
      </c>
      <c r="J383" t="inlineStr"/>
      <c r="K383" t="inlineStr"/>
      <c r="L383" t="inlineStr"/>
      <c r="M383" t="inlineStr"/>
      <c r="N383" t="inlineStr"/>
      <c r="O383" t="n">
        <v>0</v>
      </c>
      <c r="P383">
        <f>IF(B398=0,0,O383/B398)</f>
        <v/>
      </c>
      <c r="S383" t="n">
        <v>0</v>
      </c>
      <c r="V383">
        <f>IFERROR(1/IF(Inputs!$B$4="pvp",15,MAX(0.1,Skills!D23-IF(Skills!E23=TRUE,Inputs!$B$31,0))),0)</f>
        <v/>
      </c>
    </row>
    <row r="384">
      <c r="A384">
        <f>Skills!A24</f>
        <v/>
      </c>
      <c r="B384">
        <f>Skills!B24</f>
        <v/>
      </c>
      <c r="C384">
        <f>Inputs!$B$3&gt;=74</f>
        <v/>
      </c>
      <c r="D384">
        <f>IF(Skills!C24=1,60+Inputs!$B$24+Inputs!$B$28,IF(Skills!C24=2,90+Inputs!$B$25+Inputs!$B$28,IF(Skills!C24=3,120+Inputs!$B$26+Inputs!$B$28,MAX(0,(Inputs!$B$3-100)*3)+Inputs!$B$27+Inputs!$B$28)))</f>
        <v/>
      </c>
      <c r="E384">
        <f>INDEX(FactorTable!$B$2:$Y$301, MATCH(ROUND(MIN(300,MAX(1,D384)),0), FactorTable!$A$2:$A$301,0), Skills!L24+1)</f>
        <v/>
      </c>
      <c r="F384">
        <f>IF(Skills!M24=TRUE,(Skills!K24/10)*(E384/1000),Skills!K24/10)+Skills!N24</f>
        <v/>
      </c>
      <c r="G384">
        <f>Calc!G24</f>
        <v/>
      </c>
      <c r="H384">
        <f>Calc!H24</f>
        <v/>
      </c>
      <c r="I384">
        <f>IF(Skills!T24&lt;&gt;"",1+(Skills!T24/10)*($Z$3/1000)/100,1)</f>
        <v/>
      </c>
      <c r="J384" t="inlineStr"/>
      <c r="K384" t="inlineStr"/>
      <c r="L384" t="inlineStr"/>
      <c r="M384" t="inlineStr"/>
      <c r="N384" t="inlineStr"/>
      <c r="O384" t="n">
        <v>0</v>
      </c>
      <c r="P384">
        <f>IF(B398=0,0,O384/B398)</f>
        <v/>
      </c>
      <c r="S384" t="n">
        <v>0</v>
      </c>
      <c r="V384">
        <f>IFERROR(1/IF(Inputs!$B$4="pvp",15,MAX(0.1,Skills!D24-IF(Skills!E24=TRUE,Inputs!$B$31,0))),0)</f>
        <v/>
      </c>
    </row>
    <row r="385">
      <c r="A385">
        <f>Skills!A25</f>
        <v/>
      </c>
      <c r="B385">
        <f>Skills!B25</f>
        <v/>
      </c>
      <c r="C385">
        <f>Inputs!$B$3&gt;=117</f>
        <v/>
      </c>
      <c r="D385">
        <f>IF(Skills!C25=1,60+Inputs!$B$24+Inputs!$B$28,IF(Skills!C25=2,90+Inputs!$B$25+Inputs!$B$28,IF(Skills!C25=3,120+Inputs!$B$26+Inputs!$B$28,MAX(0,(Inputs!$B$3-100)*3)+Inputs!$B$27+Inputs!$B$28)))</f>
        <v/>
      </c>
      <c r="E385">
        <f>INDEX(FactorTable!$B$2:$Y$301, MATCH(ROUND(MIN(300,MAX(1,D385)),0), FactorTable!$A$2:$A$301,0), Skills!L25+1)</f>
        <v/>
      </c>
      <c r="F385">
        <f>IF(Skills!M25=TRUE,(Skills!K25/10)*(E385/1000),Skills!K25/10)+Skills!N25</f>
        <v/>
      </c>
      <c r="G385">
        <f>Calc!G25</f>
        <v/>
      </c>
      <c r="H385">
        <f>Calc!H25</f>
        <v/>
      </c>
      <c r="I385">
        <f>IF(Skills!T25&lt;&gt;"",1+(Skills!T25/10)*($Z$3/1000)/100,1)</f>
        <v/>
      </c>
      <c r="J385" t="inlineStr"/>
      <c r="K385" t="inlineStr"/>
      <c r="L385" t="inlineStr"/>
      <c r="M385" t="inlineStr"/>
      <c r="N385" t="inlineStr"/>
      <c r="O385" t="n">
        <v>0</v>
      </c>
      <c r="P385">
        <f>IF(B398=0,0,O385/B398)</f>
        <v/>
      </c>
      <c r="S385" t="n">
        <v>0</v>
      </c>
      <c r="V385">
        <f>IFERROR(1/IF(Inputs!$B$4="pvp",15,MAX(0.1,Skills!D25-IF(Skills!E25=TRUE,Inputs!$B$31,0))),0)</f>
        <v/>
      </c>
    </row>
    <row r="386">
      <c r="A386">
        <f>Skills!A26</f>
        <v/>
      </c>
      <c r="B386">
        <f>Skills!B26</f>
        <v/>
      </c>
      <c r="C386">
        <f>Inputs!$B$3&gt;=120</f>
        <v/>
      </c>
      <c r="D386">
        <f>IF(Skills!C26=1,60+Inputs!$B$24+Inputs!$B$28,IF(Skills!C26=2,90+Inputs!$B$25+Inputs!$B$28,IF(Skills!C26=3,120+Inputs!$B$26+Inputs!$B$28,MAX(0,(Inputs!$B$3-100)*3)+Inputs!$B$27+Inputs!$B$28)))</f>
        <v/>
      </c>
      <c r="E386">
        <f>INDEX(FactorTable!$B$2:$Y$301, MATCH(ROUND(MIN(300,MAX(1,D386)),0), FactorTable!$A$2:$A$301,0), Skills!L26+1)</f>
        <v/>
      </c>
      <c r="F386">
        <f>IF(Skills!M26=TRUE,(Skills!K26/10)*(E386/1000),Skills!K26/10)+Skills!N26</f>
        <v/>
      </c>
      <c r="G386">
        <f>Calc!G26</f>
        <v/>
      </c>
      <c r="H386">
        <f>Calc!H26</f>
        <v/>
      </c>
      <c r="I386">
        <f>IF(Skills!T26&lt;&gt;"",1+(Skills!T26/10)*($Z$3/1000)/100,1)</f>
        <v/>
      </c>
      <c r="J386" t="inlineStr"/>
      <c r="K386" t="inlineStr"/>
      <c r="L386" t="inlineStr"/>
      <c r="M386" t="inlineStr"/>
      <c r="N386" t="inlineStr"/>
      <c r="O386" t="n">
        <v>0</v>
      </c>
      <c r="P386">
        <f>IF(B398=0,0,O386/B398)</f>
        <v/>
      </c>
      <c r="S386" t="n">
        <v>0</v>
      </c>
      <c r="V386">
        <f>IFERROR(1/IF(Inputs!$B$4="pvp",15,MAX(0.1,Skills!D26-IF(Skills!E26=TRUE,Inputs!$B$31,0))),0)</f>
        <v/>
      </c>
    </row>
    <row r="388">
      <c r="A388" t="inlineStr">
        <is>
          <t>Average Buff Multiplier</t>
        </is>
      </c>
      <c r="B388">
        <f>(1+(IF(C363=TRUE,F363*IF(AND(Inputs!$B$4&lt;&gt;"pvp",Inputs!$B$35&gt;0),(((S363-1)*(Skills!S3*(1+(Inputs!$B$33+IF(Inputs!$B$3&gt;=117,F385,0))/100))+MIN((Skills!S3*(1+(Inputs!$B$33+IF(Inputs!$B$3&gt;=117,F385,0))/100)),MAX(0,Inputs!$B$35-((S363-1)*Skills!D3))))/Inputs!$B$35),IF(Inputs!$B$4="pvp",MIN((Skills!S3*(1+(Inputs!$B$33+IF(Inputs!$B$3&gt;=117,F385,0))/100)),15)/15,(Skills!S3*(1+(Inputs!$B$33+IF(Inputs!$B$3&gt;=117,F385,0))/100))/Skills!D3)),0)+IF(C364=TRUE,F364*IF(AND(Inputs!$B$4&lt;&gt;"pvp",Inputs!$B$35&gt;0),(((S364-1)*(Skills!S4*(1+(Inputs!$B$33+IF(Inputs!$B$3&gt;=117,F385,0))/100))+MIN((Skills!S4*(1+(Inputs!$B$33+IF(Inputs!$B$3&gt;=117,F385,0))/100)),MAX(0,Inputs!$B$35-((S364-1)*Skills!D4))))/Inputs!$B$35),IF(Inputs!$B$4="pvp",MIN((Skills!S4*(1+(Inputs!$B$33+IF(Inputs!$B$3&gt;=117,F385,0))/100)),15)/15,(Skills!S4*(1+(Inputs!$B$33+IF(Inputs!$B$3&gt;=117,F385,0))/100))/Skills!D4)),0)+IF(C365=TRUE,F365*IF(AND(Inputs!$B$4&lt;&gt;"pvp",Inputs!$B$35&gt;0),(((S365-1)*(Skills!S5*(1+(Inputs!$B$33+IF(Inputs!$B$3&gt;=117,F385,0))/100))+MIN((Skills!S5*(1+(Inputs!$B$33+IF(Inputs!$B$3&gt;=117,F385,0))/100)),MAX(0,Inputs!$B$35-((S365-1)*Skills!D5))))/Inputs!$B$35),IF(Inputs!$B$4="pvp",MIN((Skills!S5*(1+(Inputs!$B$33+IF(Inputs!$B$3&gt;=117,F385,0))/100)),15)/15,(Skills!S5*(1+(Inputs!$B$33+IF(Inputs!$B$3&gt;=117,F385,0))/100))/Skills!D5)),0)+IF(C371=TRUE,F371*IF(AND(Inputs!$B$4&lt;&gt;"pvp",Inputs!$B$35&gt;0),(((S371-1)*(Skills!S11*(1+(Inputs!$B$33+IF(Inputs!$B$3&gt;=117,F385,0))/100))+MIN((Skills!S11*(1+(Inputs!$B$33+IF(Inputs!$B$3&gt;=117,F385,0))/100)),MAX(0,Inputs!$B$35-((S371-1)*Skills!D11))))/Inputs!$B$35),IF(Inputs!$B$4="pvp",MIN((Skills!S11*(1+(Inputs!$B$33+IF(Inputs!$B$3&gt;=117,F385,0))/100)),15)/15,(Skills!S11*(1+(Inputs!$B$33+IF(Inputs!$B$3&gt;=117,F385,0))/100))/Skills!D11)),0))/100)*IF(C373=TRUE,(1+F373*IF(AND(Inputs!$B$4&lt;&gt;"pvp",Inputs!$B$35&gt;0),(((S373-1)*(Skills!S13*(1+(Inputs!$B$33+IF(Inputs!$B$3&gt;=117,F385,0))/100))+MIN((Skills!S13*(1+(Inputs!$B$33+IF(Inputs!$B$3&gt;=117,F385,0))/100)),MAX(0,Inputs!$B$35-((S373-1)*Skills!D13))))/Inputs!$B$35),IF(Inputs!$B$4="pvp",MIN((Skills!S13*(1+(Inputs!$B$33+IF(Inputs!$B$3&gt;=117,F385,0))/100)),15)/15,(Skills!S13*(1+(Inputs!$B$33+IF(Inputs!$B$3&gt;=117,F385,0))/100))/Skills!D13))/100),1)*IF(C378=TRUE,(1+F378*IF(AND(Inputs!$B$4&lt;&gt;"pvp",Inputs!$B$35&gt;0),(((S378-1)*(Skills!S18*(1+(Inputs!$B$33+IF(Inputs!$B$3&gt;=117,F385,0))/100))+MIN((Skills!S18*(1+(Inputs!$B$33+IF(Inputs!$B$3&gt;=117,F385,0))/100)),MAX(0,Inputs!$B$35-((S378-1)*Skills!D18))))/Inputs!$B$35),IF(Inputs!$B$4="pvp",MIN((Skills!S18*(1+(Inputs!$B$33+IF(Inputs!$B$3&gt;=117,F385,0))/100)),15)/15,(Skills!S18*(1+(Inputs!$B$33+IF(Inputs!$B$3&gt;=117,F385,0))/100))/Skills!D18))/100),1)</f>
        <v/>
      </c>
    </row>
    <row r="389">
      <c r="A389" t="inlineStr">
        <is>
          <t>Monster Damage Taken Bonus % (Holy Fountain)</t>
        </is>
      </c>
      <c r="B389">
        <f>IF(Inputs!$B$3&gt;=68,20*IF(Inputs!$B$4="pvp",MIN((15*(1+(Inputs!$B$33+IF(Inputs!$B$3&gt;=117,F385,0))/100)),15)/15,(15*(1+(Inputs!$B$33+IF(Inputs!$B$3&gt;=117,F385,0))/100))/Skills!D10),0)</f>
        <v/>
      </c>
    </row>
    <row r="390">
      <c r="A390" t="inlineStr">
        <is>
          <t>Normal Monster Damage Bonus % (Holy Symbol)</t>
        </is>
      </c>
      <c r="B390">
        <f>IF(C372=TRUE,F372*IF(AND(Inputs!$B$4&lt;&gt;"pvp",Inputs!$B$35&gt;0),(((S372-1)*(Skills!S12*(1+(Inputs!$B$33+IF(Inputs!$B$3&gt;=117,F385,0))/100))+MIN((Skills!S12*(1+(Inputs!$B$33+IF(Inputs!$B$3&gt;=117,F385,0))/100)),MAX(0,Inputs!$B$35-((S372-1)*Skills!D12))))/Inputs!$B$35),IF(Inputs!$B$4="pvp",MIN((Skills!S12*(1+(Inputs!$B$33+IF(Inputs!$B$3&gt;=117,F385,0))/100)),15)/15,(Skills!S12*(1+(Inputs!$B$33+IF(Inputs!$B$3&gt;=117,F385,0))/100))/Skills!D12)),0)</f>
        <v/>
      </c>
    </row>
    <row r="391">
      <c r="A391" t="inlineStr">
        <is>
          <t>Damage % Bonus (Holy Symbol - Damage Boost)</t>
        </is>
      </c>
      <c r="B391">
        <f>Skills!O12</f>
        <v/>
      </c>
    </row>
    <row r="392">
      <c r="A392" t="inlineStr">
        <is>
          <t>Crit Damage % Bonus (Blood of the Divine)</t>
        </is>
      </c>
      <c r="B392">
        <f>4*IF(C379=TRUE,F379,0)</f>
        <v/>
      </c>
    </row>
    <row r="393">
      <c r="A393" t="inlineStr">
        <is>
          <t>Attack Speed Bonus %</t>
        </is>
      </c>
      <c r="B393">
        <f>IF(C376=TRUE,F376+(F380-Calc!F20),0)+IF(Inputs!$B$3&gt;=134,15,0)</f>
        <v/>
      </c>
    </row>
    <row r="394">
      <c r="A394" t="inlineStr">
        <is>
          <t>Actions Per Second</t>
        </is>
      </c>
      <c r="B394">
        <f>1+MIN(150,150*(1-(1-Inputs!$B$10/150)*(1-B393/150)))/100</f>
        <v/>
      </c>
    </row>
    <row r="395">
      <c r="A395" t="inlineStr">
        <is>
          <t>Skill + Buff Cast Rate</t>
        </is>
      </c>
      <c r="B395">
        <f>IF(AND(Inputs!$B$4&lt;&gt;"pvp",Inputs!$B$35&gt;0),SUMPRODUCT((Skills!E2:E26=TRUE)*(C362:C386=TRUE)*S362:S386)/Inputs!$B$35,SUMPRODUCT((Skills!E2:E26=TRUE)*(C362:C386=TRUE)*V362:V386))</f>
        <v/>
      </c>
    </row>
    <row r="396">
      <c r="A396" t="inlineStr">
        <is>
          <t>Big Bang Casts Per Second</t>
        </is>
      </c>
      <c r="B396">
        <f>MAX(0,B394-B395)</f>
        <v/>
      </c>
    </row>
    <row r="398">
      <c r="A398" s="5" t="inlineStr">
        <is>
          <t>TOTAL DPS</t>
        </is>
      </c>
      <c r="B398" s="5">
        <f>SUM(O362:O386)</f>
        <v/>
      </c>
    </row>
    <row r="401">
      <c r="A401" s="5" t="inlineStr">
        <is>
          <t>Stat: CRIT_RATE %</t>
        </is>
      </c>
    </row>
    <row r="402">
      <c r="A402" s="8" t="inlineStr">
        <is>
          <t>Key</t>
        </is>
      </c>
      <c r="B402" s="8" t="inlineStr">
        <is>
          <t>Name</t>
        </is>
      </c>
      <c r="C402" s="8" t="inlineStr">
        <is>
          <t>Unlocked</t>
        </is>
      </c>
      <c r="D402" s="8" t="inlineStr">
        <is>
          <t>InputLevel</t>
        </is>
      </c>
      <c r="E402" s="8" t="inlineStr">
        <is>
          <t>Factor</t>
        </is>
      </c>
      <c r="F402" s="8" t="inlineStr">
        <is>
          <t>CoefficientPercent</t>
        </is>
      </c>
      <c r="G402" s="8" t="inlineStr">
        <is>
          <t>EffectiveHits</t>
        </is>
      </c>
      <c r="H402" s="8" t="inlineStr">
        <is>
          <t>ProcProbability</t>
        </is>
      </c>
      <c r="I402" s="8" t="inlineStr">
        <is>
          <t>MapleHeroMultiplier</t>
        </is>
      </c>
      <c r="J402" s="8" t="inlineStr">
        <is>
          <t>BaseDamage</t>
        </is>
      </c>
      <c r="K402" s="8" t="inlineStr">
        <is>
          <t>BaseHitDamage</t>
        </is>
      </c>
      <c r="L402" s="8" t="inlineStr">
        <is>
          <t>NonCritAvg</t>
        </is>
      </c>
      <c r="M402" s="8" t="inlineStr">
        <is>
          <t>CritAvg</t>
        </is>
      </c>
      <c r="N402" s="8" t="inlineStr">
        <is>
          <t>ExpectedDamage(perHit)</t>
        </is>
      </c>
      <c r="O402" s="8" t="inlineStr">
        <is>
          <t>DPS</t>
        </is>
      </c>
      <c r="P402" s="8" t="inlineStr">
        <is>
          <t>% of Total</t>
        </is>
      </c>
      <c r="R402" t="inlineStr">
        <is>
          <t>helpers</t>
        </is>
      </c>
    </row>
    <row r="403">
      <c r="A403">
        <f>Skills!A2</f>
        <v/>
      </c>
      <c r="B403">
        <f>Skills!B2</f>
        <v/>
      </c>
      <c r="C403">
        <f>Inputs!$B$3&gt;=100</f>
        <v/>
      </c>
      <c r="D403" t="inlineStr"/>
      <c r="E403" t="inlineStr"/>
      <c r="F403">
        <f>T405+Skills!N2</f>
        <v/>
      </c>
      <c r="G403">
        <f>Calc!G2</f>
        <v/>
      </c>
      <c r="H403">
        <f>Calc!H2</f>
        <v/>
      </c>
      <c r="I403">
        <f>IF(Skills!T2&lt;&gt;"",1+(Skills!T2/10)*($Z$3/1000)/100,1)</f>
        <v/>
      </c>
      <c r="J403">
        <f>((Inputs!$B$5*(1+Inputs!$B$6/100))+((Inputs!$B$11*(1+Inputs!$B$12/100))-(Inputs!$B$11*(1+Inputs!$B$12/100)))*(1+Inputs!$B$6/100))*(F403/100)</f>
        <v/>
      </c>
      <c r="K403">
        <f>J403*(1+((Inputs!$B$11*(1+Inputs!$B$12/100))*0.01+Inputs!$B$13*0.0025)/100)*(1+(Inputs!$B$14+B432)/100)*(1+IF(Inputs!$B$4="pvp",0,(1-Summary!$B$48)*(Inputs!$B$19+Skills!O2+B430)+Summary!$B$48*(Inputs!$B$20+Skills!P2+B431))/100)*(1+Inputs!$B$15/100)*(5000/(6000+Inputs!$B$7*(1-Inputs!$B$18/100)))*(1+Inputs!$B$23/100)*(1+IF(C418=TRUE,F418,0)/100)*(1+IF(C420=TRUE,F420,0)/100)*(1+IF(Skills!A2="TRIUMPH_FEATHER",IF(C416=TRUE,F416,0),0)/100)*(1+IF(C427=TRUE,F427,0)/100)^5*(1+(IF(Skills!A2="BIG_BANG",Inputs!$B$16,Inputs!$B$17))/100)*(B429*I403)</f>
        <v/>
      </c>
      <c r="L403">
        <f>K403*(MIN(Inputs!$B$21+(F422-Calc!F21),Inputs!$B$22)/100+Inputs!$B$22/100)/2</f>
        <v/>
      </c>
      <c r="M403">
        <f>L403*(1+(Inputs!$B$9+B433+(F425-Calc!F24))/100)</f>
        <v/>
      </c>
      <c r="N403">
        <f>L403*(1-MIN((Inputs!$B$8+1)+((F424-Calc!F23)+(F423-Calc!F22)),100)/100)+M403*(MIN((Inputs!$B$8+1)+((F424-Calc!F23)+(F423-Calc!F22)),100)/100)</f>
        <v/>
      </c>
      <c r="O403">
        <f>IF(C403,Skills!F2*N403*B437*IF(Inputs!$B$4="pvp",1,(1-Summary!$B$48)*(1)+Summary!$B$48*(MIN((6+Inputs!$B$32),Inputs!$B$37))),0)</f>
        <v/>
      </c>
      <c r="P403">
        <f>IF(B439=0,0,O403/B439)</f>
        <v/>
      </c>
      <c r="S403" t="n">
        <v>0</v>
      </c>
      <c r="T403">
        <f>MAX(0,(Inputs!$B$3-100)*3)+Inputs!$B$27+Inputs!$B$28</f>
        <v/>
      </c>
      <c r="V403">
        <f>IFERROR(1/IF(Inputs!$B$4="pvp",15,MAX(0.1,Skills!D2-IF(Skills!E2=TRUE,Inputs!$B$31,0))),0)</f>
        <v/>
      </c>
    </row>
    <row r="404">
      <c r="A404">
        <f>Skills!A3</f>
        <v/>
      </c>
      <c r="B404">
        <f>Skills!B3</f>
        <v/>
      </c>
      <c r="C404">
        <f>Inputs!$B$3&gt;=15</f>
        <v/>
      </c>
      <c r="D404">
        <f>IF(Skills!C3=1,60+Inputs!$B$24+Inputs!$B$28,IF(Skills!C3=2,90+Inputs!$B$25+Inputs!$B$28,IF(Skills!C3=3,120+Inputs!$B$26+Inputs!$B$28,MAX(0,(Inputs!$B$3-100)*3)+Inputs!$B$27+Inputs!$B$28)))</f>
        <v/>
      </c>
      <c r="E404">
        <f>INDEX(FactorTable!$B$2:$Y$301, MATCH(ROUND(MIN(300,MAX(1,D404)),0), FactorTable!$A$2:$A$301,0), Skills!L3+1)</f>
        <v/>
      </c>
      <c r="F404">
        <f>IF(Skills!M3=TRUE,(Skills!K3/10)*(E404/1000),Skills!K3/10)+Skills!N3</f>
        <v/>
      </c>
      <c r="G404">
        <f>Calc!G3</f>
        <v/>
      </c>
      <c r="H404">
        <f>Calc!H3</f>
        <v/>
      </c>
      <c r="I404">
        <f>IF(Skills!T3&lt;&gt;"",1+(Skills!T3/10)*($Z$3/1000)/100,1)</f>
        <v/>
      </c>
      <c r="J404" t="inlineStr"/>
      <c r="K404" t="inlineStr"/>
      <c r="L404" t="inlineStr"/>
      <c r="M404" t="inlineStr"/>
      <c r="N404" t="inlineStr"/>
      <c r="O404" t="n">
        <v>0</v>
      </c>
      <c r="P404">
        <f>IF(B439=0,0,O404/B439)</f>
        <v/>
      </c>
      <c r="S404">
        <f>IF(AND(Inputs!$B$4&lt;&gt;"pvp",Inputs!$B$35&gt;0),(INT(Inputs!$B$35/IF(Inputs!$B$4="pvp",15,MAX(0.1,Skills!D3-IF(Skills!E3=TRUE,Inputs!$B$31,0))))+1),0)</f>
        <v/>
      </c>
      <c r="T404">
        <f>INDEX(FactorTable!$B$2:$Y$301, MATCH(ROUND(MIN(300,MAX(1,T403)),0), FactorTable!$A$2:$A$301,0), 22)</f>
        <v/>
      </c>
      <c r="V404">
        <f>IFERROR(1/IF(Inputs!$B$4="pvp",15,MAX(0.1,Skills!D3-IF(Skills!E3=TRUE,Inputs!$B$31,0))),0)</f>
        <v/>
      </c>
    </row>
    <row r="405">
      <c r="A405">
        <f>Skills!A4</f>
        <v/>
      </c>
      <c r="B405">
        <f>Skills!B4</f>
        <v/>
      </c>
      <c r="C405">
        <f>Inputs!$B$3&gt;=38</f>
        <v/>
      </c>
      <c r="D405">
        <f>IF(Skills!C4=1,60+Inputs!$B$24+Inputs!$B$28,IF(Skills!C4=2,90+Inputs!$B$25+Inputs!$B$28,IF(Skills!C4=3,120+Inputs!$B$26+Inputs!$B$28,MAX(0,(Inputs!$B$3-100)*3)+Inputs!$B$27+Inputs!$B$28)))</f>
        <v/>
      </c>
      <c r="E405">
        <f>INDEX(FactorTable!$B$2:$Y$301, MATCH(ROUND(MIN(300,MAX(1,D405)),0), FactorTable!$A$2:$A$301,0), Skills!L4+1)</f>
        <v/>
      </c>
      <c r="F405">
        <f>IF(Skills!M4=TRUE,(Skills!K4/10)*(E405/1000),Skills!K4/10)+Skills!N4</f>
        <v/>
      </c>
      <c r="G405">
        <f>Calc!G4</f>
        <v/>
      </c>
      <c r="H405">
        <f>Calc!H4</f>
        <v/>
      </c>
      <c r="I405">
        <f>IF(Skills!T4&lt;&gt;"",1+(Skills!T4/10)*($Z$3/1000)/100,1)</f>
        <v/>
      </c>
      <c r="J405" t="inlineStr"/>
      <c r="K405" t="inlineStr"/>
      <c r="L405" t="inlineStr"/>
      <c r="M405" t="inlineStr"/>
      <c r="N405" t="inlineStr"/>
      <c r="O405" t="n">
        <v>0</v>
      </c>
      <c r="P405">
        <f>IF(B439=0,0,O405/B439)</f>
        <v/>
      </c>
      <c r="S405">
        <f>IF(AND(Inputs!$B$4&lt;&gt;"pvp",Inputs!$B$35&gt;0),(INT(Inputs!$B$35/IF(Inputs!$B$4="pvp",15,MAX(0.1,Skills!D4-IF(Skills!E4=TRUE,Inputs!$B$31,0))))+1),0)</f>
        <v/>
      </c>
      <c r="T405">
        <f>290*T404/1000</f>
        <v/>
      </c>
      <c r="V405">
        <f>IFERROR(1/IF(Inputs!$B$4="pvp",15,MAX(0.1,Skills!D4-IF(Skills!E4=TRUE,Inputs!$B$31,0))),0)</f>
        <v/>
      </c>
    </row>
    <row r="406">
      <c r="A406">
        <f>Skills!A5</f>
        <v/>
      </c>
      <c r="B406">
        <f>Skills!B5</f>
        <v/>
      </c>
      <c r="C406">
        <f>Inputs!$B$3&gt;=40</f>
        <v/>
      </c>
      <c r="D406">
        <f>IF(Skills!C5=1,60+Inputs!$B$24+Inputs!$B$28,IF(Skills!C5=2,90+Inputs!$B$25+Inputs!$B$28,IF(Skills!C5=3,120+Inputs!$B$26+Inputs!$B$28,MAX(0,(Inputs!$B$3-100)*3)+Inputs!$B$27+Inputs!$B$28)))</f>
        <v/>
      </c>
      <c r="E406">
        <f>INDEX(FactorTable!$B$2:$Y$301, MATCH(ROUND(MIN(300,MAX(1,D406)),0), FactorTable!$A$2:$A$301,0), Skills!L5+1)</f>
        <v/>
      </c>
      <c r="F406">
        <f>IF(Skills!M5=TRUE,(Skills!K5/10)*(E406/1000),Skills!K5/10)+Skills!N5</f>
        <v/>
      </c>
      <c r="G406">
        <f>Calc!G5</f>
        <v/>
      </c>
      <c r="H406">
        <f>Calc!H5</f>
        <v/>
      </c>
      <c r="I406">
        <f>IF(Skills!T5&lt;&gt;"",1+(Skills!T5/10)*($Z$3/1000)/100,1)</f>
        <v/>
      </c>
      <c r="J406" t="inlineStr"/>
      <c r="K406" t="inlineStr"/>
      <c r="L406" t="inlineStr"/>
      <c r="M406" t="inlineStr"/>
      <c r="N406" t="inlineStr"/>
      <c r="O406" t="n">
        <v>0</v>
      </c>
      <c r="P406">
        <f>IF(B439=0,0,O406/B439)</f>
        <v/>
      </c>
      <c r="S406">
        <f>IF(AND(Inputs!$B$4&lt;&gt;"pvp",Inputs!$B$35&gt;0),(INT(Inputs!$B$35/IF(Inputs!$B$4="pvp",15,MAX(0.1,Skills!D5-IF(Skills!E5=TRUE,Inputs!$B$31,0))))+1),0)</f>
        <v/>
      </c>
      <c r="V406">
        <f>IFERROR(1/IF(Inputs!$B$4="pvp",15,MAX(0.1,Skills!D5-IF(Skills!E5=TRUE,Inputs!$B$31,0))),0)</f>
        <v/>
      </c>
    </row>
    <row r="407">
      <c r="A407">
        <f>Skills!A6</f>
        <v/>
      </c>
      <c r="B407">
        <f>Skills!B6</f>
        <v/>
      </c>
      <c r="C407">
        <f>Inputs!$B$3&gt;=103</f>
        <v/>
      </c>
      <c r="D407">
        <f>IF(Skills!C6=1,60+Inputs!$B$24+Inputs!$B$28,IF(Skills!C6=2,90+Inputs!$B$25+Inputs!$B$28,IF(Skills!C6=3,120+Inputs!$B$26+Inputs!$B$28,MAX(0,(Inputs!$B$3-100)*3)+Inputs!$B$27+Inputs!$B$28)))</f>
        <v/>
      </c>
      <c r="E407">
        <f>INDEX(FactorTable!$B$2:$Y$301, MATCH(ROUND(MIN(300,MAX(1,D407)),0), FactorTable!$A$2:$A$301,0), Skills!L6+1)</f>
        <v/>
      </c>
      <c r="F407">
        <f>IF(Skills!M6=TRUE,(Skills!K6/10)*(E407/1000),Skills!K6/10)+Skills!N6</f>
        <v/>
      </c>
      <c r="G407">
        <f>Calc!G6</f>
        <v/>
      </c>
      <c r="H407">
        <f>Calc!H6</f>
        <v/>
      </c>
      <c r="I407">
        <f>IF(Skills!T6&lt;&gt;"",1+(Skills!T6/10)*($Z$3/1000)/100,1)</f>
        <v/>
      </c>
      <c r="J407">
        <f>((Inputs!$B$5*(1+Inputs!$B$6/100))+((Inputs!$B$11*(1+Inputs!$B$12/100))-(Inputs!$B$11*(1+Inputs!$B$12/100)))*(1+Inputs!$B$6/100))*(F407/100)</f>
        <v/>
      </c>
      <c r="K407">
        <f>J407*(1+((Inputs!$B$11*(1+Inputs!$B$12/100))*0.01+Inputs!$B$13*0.0025)/100)*(1+(Inputs!$B$14+B432)/100)*(1+IF(Inputs!$B$4="pvp",0,(1-Summary!$B$48)*(Inputs!$B$19+Skills!O6+B430)+Summary!$B$48*(Inputs!$B$20+Skills!P6+B431))/100)*(1+Inputs!$B$15/100)*(5000/(6000+Inputs!$B$7*(1-Inputs!$B$18/100)))*(1+Inputs!$B$23/100)*(1+IF(C418=TRUE,F418,0)/100)*(1+IF(C420=TRUE,F420,0)/100)*(1+IF(Skills!A6="TRIUMPH_FEATHER",IF(C416=TRUE,F416,0),0)/100)*(1+IF(C427=TRUE,F427,0)/100)^5*(1+(IF(Skills!A6="BIG_BANG",Inputs!$B$16,Inputs!$B$17))/100)*(B429*I407)</f>
        <v/>
      </c>
      <c r="L407">
        <f>K407*(MIN(Inputs!$B$21+(F422-Calc!F21),Inputs!$B$22)/100+Inputs!$B$22/100)/2</f>
        <v/>
      </c>
      <c r="M407">
        <f>L407*(1+(Inputs!$B$9+B433+(F425-Calc!F24))/100)</f>
        <v/>
      </c>
      <c r="N407">
        <f>L407*(1-MIN((Inputs!$B$8+1)+((F424-Calc!F23)+(F423-Calc!F22)),100)/100)+M407*(MIN((Inputs!$B$8+1)+((F424-Calc!F23)+(F423-Calc!F22)),100)/100)</f>
        <v/>
      </c>
      <c r="O407">
        <f>IF(C407,H407*N407*IF(AND(Inputs!$B$4&lt;&gt;"pvp",Inputs!$B$35&gt;0),((Skills!F6*((S407-1)*IF(Skills!G6&gt;0,Skills!H6/Skills!G6,1)+IF(Skills!G6&gt;0,MIN(Skills!H6,MAX(0,Inputs!$B$35-((S407-1)*IF(Inputs!$B$4="pvp",15,MAX(0.1,Skills!D6-IF(Skills!E6=TRUE,Inputs!$B$31,0))))))/Skills!G6,1)))/Inputs!$B$35),G407*V407)*IF(Inputs!$B$4="pvp",1,(1-Summary!$B$48)*(1)+Summary!$B$48*(MIN(Skills!Q6,Inputs!$B$37))),0)</f>
        <v/>
      </c>
      <c r="P407">
        <f>IF(B439=0,0,O407/B439)</f>
        <v/>
      </c>
      <c r="S407">
        <f>IF(AND(Inputs!$B$4&lt;&gt;"pvp",Inputs!$B$35&gt;0),(INT(Inputs!$B$35/IF(Inputs!$B$4="pvp",15,MAX(0.1,Skills!D6-IF(Skills!E6=TRUE,Inputs!$B$31,0))))+1),0)</f>
        <v/>
      </c>
      <c r="V407">
        <f>IFERROR(1/IF(Inputs!$B$4="pvp",15,MAX(0.1,Skills!D6-IF(Skills!E6=TRUE,Inputs!$B$31,0))),0)</f>
        <v/>
      </c>
    </row>
    <row r="408">
      <c r="A408">
        <f>Skills!A7</f>
        <v/>
      </c>
      <c r="B408">
        <f>Skills!B7</f>
        <v/>
      </c>
      <c r="C408">
        <f>Inputs!$B$3&gt;=122</f>
        <v/>
      </c>
      <c r="D408">
        <f>IF(Skills!C7=1,60+Inputs!$B$24+Inputs!$B$28,IF(Skills!C7=2,90+Inputs!$B$25+Inputs!$B$28,IF(Skills!C7=3,120+Inputs!$B$26+Inputs!$B$28,MAX(0,(Inputs!$B$3-100)*3)+Inputs!$B$27+Inputs!$B$28)))</f>
        <v/>
      </c>
      <c r="E408">
        <f>INDEX(FactorTable!$B$2:$Y$301, MATCH(ROUND(MIN(300,MAX(1,D408)),0), FactorTable!$A$2:$A$301,0), Skills!L7+1)</f>
        <v/>
      </c>
      <c r="F408">
        <f>IF(Skills!M7=TRUE,(Skills!K7/10)*(E408/1000),Skills!K7/10)+Skills!N7</f>
        <v/>
      </c>
      <c r="G408">
        <f>Calc!G7</f>
        <v/>
      </c>
      <c r="H408">
        <f>Calc!H7</f>
        <v/>
      </c>
      <c r="I408">
        <f>IF(Skills!T7&lt;&gt;"",1+(Skills!T7/10)*($Z$3/1000)/100,1)</f>
        <v/>
      </c>
      <c r="J408">
        <f>((Inputs!$B$5*(1+Inputs!$B$6/100))+((Inputs!$B$11*(1+Inputs!$B$12/100))-(Inputs!$B$11*(1+Inputs!$B$12/100)))*(1+Inputs!$B$6/100))*(F408/100)</f>
        <v/>
      </c>
      <c r="K408">
        <f>J408*(1+((Inputs!$B$11*(1+Inputs!$B$12/100))*0.01+Inputs!$B$13*0.0025)/100)*(1+(Inputs!$B$14+B432)/100)*(1+IF(Inputs!$B$4="pvp",0,(1-Summary!$B$48)*(Inputs!$B$19+Skills!O7+B430)+Summary!$B$48*(Inputs!$B$20+Skills!P7+B431))/100)*(1+Inputs!$B$15/100)*(5000/(6000+Inputs!$B$7*(1-Inputs!$B$18/100)))*(1+Inputs!$B$23/100)*(1+IF(C418=TRUE,F418,0)/100)*(1+IF(C420=TRUE,F420,0)/100)*(1+IF(Skills!A7="TRIUMPH_FEATHER",IF(C416=TRUE,F416,0),0)/100)*(1+IF(C427=TRUE,F427,0)/100)^5*(1+(IF(Skills!A7="BIG_BANG",Inputs!$B$16,Inputs!$B$17))/100)*(B429*I408)</f>
        <v/>
      </c>
      <c r="L408">
        <f>K408*(MIN(Inputs!$B$21+(F422-Calc!F21),Inputs!$B$22)/100+Inputs!$B$22/100)/2</f>
        <v/>
      </c>
      <c r="M408">
        <f>L408*(1+(Inputs!$B$9+B433+(F425-Calc!F24))/100)</f>
        <v/>
      </c>
      <c r="N408">
        <f>L408*(1-MIN((Inputs!$B$8+1)+((F424-Calc!F23)+(F423-Calc!F22)),100)/100)+M408*(MIN((Inputs!$B$8+1)+((F424-Calc!F23)+(F423-Calc!F22)),100)/100)</f>
        <v/>
      </c>
      <c r="O408">
        <f>IF(C408,H408*N408*IF(AND(Inputs!$B$4&lt;&gt;"pvp",Inputs!$B$35&gt;0),((Skills!F7*((S408-1)*IF(Skills!G7&gt;0,Skills!H7/Skills!G7,1)+IF(Skills!G7&gt;0,MIN(Skills!H7,MAX(0,Inputs!$B$35-((S408-1)*IF(Inputs!$B$4="pvp",15,MAX(0.1,Skills!D7-IF(Skills!E6=TRUE,Inputs!$B$31,0))))))/Skills!G7,1)))/Inputs!$B$35),G408*V408)*(1-Summary!$B$48),0)</f>
        <v/>
      </c>
      <c r="P408">
        <f>IF(B439=0,0,O408/B439)</f>
        <v/>
      </c>
      <c r="S408">
        <f>IF(AND(Inputs!$B$4&lt;&gt;"pvp",Inputs!$B$35&gt;0),(INT(Inputs!$B$35/IF(Inputs!$B$4="pvp",15,MAX(0.1,Skills!D7-IF(Skills!E6=TRUE,Inputs!$B$31,0))))+1),0)</f>
        <v/>
      </c>
      <c r="V408">
        <f>IFERROR(1/IF(Inputs!$B$4="pvp",15,MAX(0.1,Skills!D7-IF(Skills!E6=TRUE,Inputs!$B$31,0))),0)</f>
        <v/>
      </c>
    </row>
    <row r="409">
      <c r="A409">
        <f>Skills!A8</f>
        <v/>
      </c>
      <c r="B409">
        <f>Skills!B8</f>
        <v/>
      </c>
      <c r="C409">
        <f>Inputs!$B$3&gt;=105</f>
        <v/>
      </c>
      <c r="D409">
        <f>IF(Skills!C8=1,60+Inputs!$B$24+Inputs!$B$28,IF(Skills!C8=2,90+Inputs!$B$25+Inputs!$B$28,IF(Skills!C8=3,120+Inputs!$B$26+Inputs!$B$28,MAX(0,(Inputs!$B$3-100)*3)+Inputs!$B$27+Inputs!$B$28)))</f>
        <v/>
      </c>
      <c r="E409">
        <f>INDEX(FactorTable!$B$2:$Y$301, MATCH(ROUND(MIN(300,MAX(1,D409)),0), FactorTable!$A$2:$A$301,0), Skills!L8+1)</f>
        <v/>
      </c>
      <c r="F409">
        <f>IF(Skills!M8=TRUE,(Skills!K8/10)*(E409/1000),Skills!K8/10)+Skills!N8</f>
        <v/>
      </c>
      <c r="G409">
        <f>Calc!G8</f>
        <v/>
      </c>
      <c r="H409">
        <f>Calc!H8</f>
        <v/>
      </c>
      <c r="I409">
        <f>IF(Skills!T8&lt;&gt;"",1+(Skills!T8/10)*($Z$3/1000)/100,1)</f>
        <v/>
      </c>
      <c r="J409">
        <f>((Inputs!$B$5*(1+Inputs!$B$6/100))+((Inputs!$B$11*(1+Inputs!$B$12/100))-(Inputs!$B$11*(1+Inputs!$B$12/100)))*(1+Inputs!$B$6/100))*(F409/100)</f>
        <v/>
      </c>
      <c r="K409">
        <f>J409*(1+((Inputs!$B$11*(1+Inputs!$B$12/100))*0.01+Inputs!$B$13*0.0025)/100)*(1+(Inputs!$B$14+B432)/100)*(1+IF(Inputs!$B$4="pvp",0,(1-Summary!$B$48)*(Inputs!$B$19+Skills!O8+B430)+Summary!$B$48*(Inputs!$B$20+Skills!P8+B431))/100)*(1+Inputs!$B$15/100)*(5000/(6000+Inputs!$B$7*(1-Inputs!$B$18/100)))*(1+Inputs!$B$23/100)*(1+IF(C418=TRUE,F418,0)/100)*(1+IF(C420=TRUE,F420,0)/100)*(1+IF(Skills!A8="TRIUMPH_FEATHER",IF(C416=TRUE,F416,0),0)/100)*(1+IF(C427=TRUE,F427,0)/100)^5*(1+(IF(Skills!A8="BIG_BANG",Inputs!$B$16,Inputs!$B$17))/100)*(B429*I409)</f>
        <v/>
      </c>
      <c r="L409">
        <f>K409*(MIN(Inputs!$B$21+(F422-Calc!F21),Inputs!$B$22)/100+Inputs!$B$22/100)/2</f>
        <v/>
      </c>
      <c r="M409">
        <f>L409*(1+(Inputs!$B$9+B433+(F425-Calc!F24))/100)</f>
        <v/>
      </c>
      <c r="N409">
        <f>L409*(1-MIN((Inputs!$B$8+1)+((F424-Calc!F23)+(F423-Calc!F22)),100)/100)+M409*(MIN((Inputs!$B$8+1)+((F424-Calc!F23)+(F423-Calc!F22)),100)/100)</f>
        <v/>
      </c>
      <c r="O409">
        <f>IF(C409,H409*N409*IF(AND(Inputs!$B$4&lt;&gt;"pvp",Inputs!$B$35&gt;0),((Skills!F8*((S409-1)*IF(Skills!G8&gt;0,Skills!H8/Skills!G8,1)+IF(Skills!G8&gt;0,MIN(Skills!H8,MAX(0,Inputs!$B$35-((S409-1)*IF(Inputs!$B$4="pvp",15,MAX(0.1,Skills!D8-IF(Skills!E8=TRUE,Inputs!$B$31,0))))))/Skills!G8,1)))/Inputs!$B$35),G409*V409)*IF(Inputs!$B$4="pvp",1,(1-Summary!$B$48)*(1)+Summary!$B$48*(MIN(Skills!Q8,Inputs!$B$37))),0)</f>
        <v/>
      </c>
      <c r="P409">
        <f>IF(B439=0,0,O409/B439)</f>
        <v/>
      </c>
      <c r="S409">
        <f>IF(AND(Inputs!$B$4&lt;&gt;"pvp",Inputs!$B$35&gt;0),(INT(Inputs!$B$35/IF(Inputs!$B$4="pvp",15,MAX(0.1,Skills!D8-IF(Skills!E8=TRUE,Inputs!$B$31,0))))+1),0)</f>
        <v/>
      </c>
      <c r="V409">
        <f>IFERROR(1/IF(Inputs!$B$4="pvp",15,MAX(0.1,Skills!D8-IF(Skills!E8=TRUE,Inputs!$B$31,0))),0)</f>
        <v/>
      </c>
    </row>
    <row r="410">
      <c r="A410">
        <f>Skills!A9</f>
        <v/>
      </c>
      <c r="B410">
        <f>Skills!B9</f>
        <v/>
      </c>
      <c r="C410">
        <f>Inputs!$B$3&gt;=115</f>
        <v/>
      </c>
      <c r="D410">
        <f>IF(Skills!C9=1,60+Inputs!$B$24+Inputs!$B$28,IF(Skills!C9=2,90+Inputs!$B$25+Inputs!$B$28,IF(Skills!C9=3,120+Inputs!$B$26+Inputs!$B$28,MAX(0,(Inputs!$B$3-100)*3)+Inputs!$B$27+Inputs!$B$28)))</f>
        <v/>
      </c>
      <c r="E410">
        <f>INDEX(FactorTable!$B$2:$Y$301, MATCH(ROUND(MIN(300,MAX(1,D410)),0), FactorTable!$A$2:$A$301,0), Skills!L9+1)</f>
        <v/>
      </c>
      <c r="F410">
        <f>IF(Skills!M9=TRUE,(Skills!K9/10)*(E410/1000),Skills!K9/10)+Skills!N9</f>
        <v/>
      </c>
      <c r="G410">
        <f>Calc!G9</f>
        <v/>
      </c>
      <c r="H410">
        <f>Calc!H9</f>
        <v/>
      </c>
      <c r="I410">
        <f>IF(Skills!T9&lt;&gt;"",1+(Skills!T9/10)*($Z$3/1000)/100,1)</f>
        <v/>
      </c>
      <c r="J410">
        <f>((Inputs!$B$5*(1+Inputs!$B$6/100))+((Inputs!$B$11*(1+Inputs!$B$12/100))-(Inputs!$B$11*(1+Inputs!$B$12/100)))*(1+Inputs!$B$6/100))*(F410/100)</f>
        <v/>
      </c>
      <c r="K410">
        <f>J410*(1+((Inputs!$B$11*(1+Inputs!$B$12/100))*0.01+Inputs!$B$13*0.0025)/100)*(1+(Inputs!$B$14+B432)/100)*(1+IF(Inputs!$B$4="pvp",0,(1-Summary!$B$48)*(Inputs!$B$19+Skills!O9+B430)+Summary!$B$48*(Inputs!$B$20+Skills!P9+B431))/100)*(1+Inputs!$B$15/100)*(5000/(6000+Inputs!$B$7*(1-Inputs!$B$18/100)))*(1+Inputs!$B$23/100)*(1+IF(C418=TRUE,F418,0)/100)*(1+IF(C420=TRUE,F420,0)/100)*(1+IF(Skills!A9="TRIUMPH_FEATHER",IF(C416=TRUE,F416,0),0)/100)*(1+IF(C427=TRUE,F427,0)/100)^5*(1+(IF(Skills!A9="BIG_BANG",Inputs!$B$16,Inputs!$B$17))/100)*(B429*I410)</f>
        <v/>
      </c>
      <c r="L410">
        <f>K410*(MIN(Inputs!$B$21+(F422-Calc!F21),Inputs!$B$22)/100+Inputs!$B$22/100)/2</f>
        <v/>
      </c>
      <c r="M410">
        <f>L410*(1+(Inputs!$B$9+B433+(F425-Calc!F24))/100)</f>
        <v/>
      </c>
      <c r="N410">
        <f>L410*(1-MIN((Inputs!$B$8+1)+((F424-Calc!F23)+(F423-Calc!F22)),100)/100)+M410*(MIN((Inputs!$B$8+1)+((F424-Calc!F23)+(F423-Calc!F22)),100)/100)</f>
        <v/>
      </c>
      <c r="O410">
        <f>IF(C410,H410*N410*IF(AND(Inputs!$B$4&lt;&gt;"pvp",Inputs!$B$35&gt;0),((Skills!F9*((S410-1)*IF(Skills!G9&gt;0,Skills!H9/Skills!G9,1)+IF(Skills!G9&gt;0,MIN(Skills!H9,MAX(0,Inputs!$B$35-((S410-1)*IF(Inputs!$B$4="pvp",15,MAX(0.1,Skills!D9-IF(Skills!E9=TRUE,Inputs!$B$31,0))))))/Skills!G9,1)))/Inputs!$B$35),G410*V410)*IF(Inputs!$B$4="pvp",1,(1-Summary!$B$48)*(1)+Summary!$B$48*(MIN(Skills!Q9,Inputs!$B$37))),0)</f>
        <v/>
      </c>
      <c r="P410">
        <f>IF(B439=0,0,O410/B439)</f>
        <v/>
      </c>
      <c r="S410">
        <f>IF(AND(Inputs!$B$4&lt;&gt;"pvp",Inputs!$B$35&gt;0),(INT(Inputs!$B$35/IF(Inputs!$B$4="pvp",15,MAX(0.1,Skills!D9-IF(Skills!E9=TRUE,Inputs!$B$31,0))))+1),0)</f>
        <v/>
      </c>
      <c r="V410">
        <f>IFERROR(1/IF(Inputs!$B$4="pvp",15,MAX(0.1,Skills!D9-IF(Skills!E9=TRUE,Inputs!$B$31,0))),0)</f>
        <v/>
      </c>
    </row>
    <row r="411">
      <c r="A411">
        <f>Skills!A10</f>
        <v/>
      </c>
      <c r="B411">
        <f>Skills!B10</f>
        <v/>
      </c>
      <c r="C411">
        <f>Inputs!$B$3&gt;=66</f>
        <v/>
      </c>
      <c r="D411">
        <f>IF(Skills!C10=1,60+Inputs!$B$24+Inputs!$B$28,IF(Skills!C10=2,90+Inputs!$B$25+Inputs!$B$28,IF(Skills!C10=3,120+Inputs!$B$26+Inputs!$B$28,MAX(0,(Inputs!$B$3-100)*3)+Inputs!$B$27+Inputs!$B$28)))</f>
        <v/>
      </c>
      <c r="E411">
        <f>INDEX(FactorTable!$B$2:$Y$301, MATCH(ROUND(MIN(300,MAX(1,D411)),0), FactorTable!$A$2:$A$301,0), Skills!L10+1)</f>
        <v/>
      </c>
      <c r="F411" t="n">
        <v>0</v>
      </c>
      <c r="G411">
        <f>Calc!G10</f>
        <v/>
      </c>
      <c r="H411">
        <f>Calc!H10</f>
        <v/>
      </c>
      <c r="I411">
        <f>IF(Skills!T10&lt;&gt;"",1+(Skills!T10/10)*($Z$3/1000)/100,1)</f>
        <v/>
      </c>
      <c r="J411" t="inlineStr"/>
      <c r="K411" t="inlineStr"/>
      <c r="L411" t="inlineStr"/>
      <c r="M411" t="inlineStr"/>
      <c r="N411" t="inlineStr"/>
      <c r="O411" t="n">
        <v>0</v>
      </c>
      <c r="P411">
        <f>IF(B439=0,0,O411/B439)</f>
        <v/>
      </c>
      <c r="S411">
        <f>IF(AND(Inputs!$B$4&lt;&gt;"pvp",Inputs!$B$35&gt;0),(INT(Inputs!$B$35/IF(Inputs!$B$4="pvp",15,MAX(0.1,Skills!D10-IF(Skills!E10=TRUE,Inputs!$B$31,0))))+1),0)</f>
        <v/>
      </c>
      <c r="V411">
        <f>IFERROR(1/IF(Inputs!$B$4="pvp",15,MAX(0.1,Skills!D10-IF(Skills!E10=TRUE,Inputs!$B$31,0))),0)</f>
        <v/>
      </c>
    </row>
    <row r="412">
      <c r="A412">
        <f>Skills!A11</f>
        <v/>
      </c>
      <c r="B412">
        <f>Skills!B11</f>
        <v/>
      </c>
      <c r="C412">
        <f>Inputs!$B$3&gt;=69</f>
        <v/>
      </c>
      <c r="D412">
        <f>IF(Skills!C11=1,60+Inputs!$B$24+Inputs!$B$28,IF(Skills!C11=2,90+Inputs!$B$25+Inputs!$B$28,IF(Skills!C11=3,120+Inputs!$B$26+Inputs!$B$28,MAX(0,(Inputs!$B$3-100)*3)+Inputs!$B$27+Inputs!$B$28)))</f>
        <v/>
      </c>
      <c r="E412">
        <f>INDEX(FactorTable!$B$2:$Y$301, MATCH(ROUND(MIN(300,MAX(1,D412)),0), FactorTable!$A$2:$A$301,0), Skills!L11+1)</f>
        <v/>
      </c>
      <c r="F412">
        <f>IF(Skills!M11=TRUE,(Skills!K11/10)*(E412/1000),Skills!K11/10)+Skills!N11</f>
        <v/>
      </c>
      <c r="G412">
        <f>Calc!G11</f>
        <v/>
      </c>
      <c r="H412">
        <f>Calc!H11</f>
        <v/>
      </c>
      <c r="I412">
        <f>IF(Skills!T11&lt;&gt;"",1+(Skills!T11/10)*($Z$3/1000)/100,1)</f>
        <v/>
      </c>
      <c r="J412" t="inlineStr"/>
      <c r="K412" t="inlineStr"/>
      <c r="L412" t="inlineStr"/>
      <c r="M412" t="inlineStr"/>
      <c r="N412" t="inlineStr"/>
      <c r="O412" t="n">
        <v>0</v>
      </c>
      <c r="P412">
        <f>IF(B439=0,0,O412/B439)</f>
        <v/>
      </c>
      <c r="S412">
        <f>IF(AND(Inputs!$B$4&lt;&gt;"pvp",Inputs!$B$35&gt;0),(INT(Inputs!$B$35/IF(Inputs!$B$4="pvp",15,MAX(0.1,Skills!D11-IF(Skills!E11=TRUE,Inputs!$B$31,0))))+1),0)</f>
        <v/>
      </c>
      <c r="V412">
        <f>IFERROR(1/IF(Inputs!$B$4="pvp",15,MAX(0.1,Skills!D11-IF(Skills!E11=TRUE,Inputs!$B$31,0))),0)</f>
        <v/>
      </c>
    </row>
    <row r="413">
      <c r="A413">
        <f>Skills!A12</f>
        <v/>
      </c>
      <c r="B413">
        <f>Skills!B12</f>
        <v/>
      </c>
      <c r="C413">
        <f>Inputs!$B$3&gt;=72</f>
        <v/>
      </c>
      <c r="D413">
        <f>IF(Skills!C12=1,60+Inputs!$B$24+Inputs!$B$28,IF(Skills!C12=2,90+Inputs!$B$25+Inputs!$B$28,IF(Skills!C12=3,120+Inputs!$B$26+Inputs!$B$28,MAX(0,(Inputs!$B$3-100)*3)+Inputs!$B$27+Inputs!$B$28)))</f>
        <v/>
      </c>
      <c r="E413">
        <f>INDEX(FactorTable!$B$2:$Y$301, MATCH(ROUND(MIN(300,MAX(1,D413)),0), FactorTable!$A$2:$A$301,0), Skills!L12+1)</f>
        <v/>
      </c>
      <c r="F413">
        <f>IF(Skills!M12=TRUE,(Skills!K12/10)*(E413/1000),Skills!K12/10)+Skills!N12</f>
        <v/>
      </c>
      <c r="G413">
        <f>Calc!G12</f>
        <v/>
      </c>
      <c r="H413">
        <f>Calc!H12</f>
        <v/>
      </c>
      <c r="I413">
        <f>IF(Skills!T12&lt;&gt;"",1+(Skills!T12/10)*($Z$3/1000)/100,1)</f>
        <v/>
      </c>
      <c r="J413" t="inlineStr"/>
      <c r="K413" t="inlineStr"/>
      <c r="L413" t="inlineStr"/>
      <c r="M413" t="inlineStr"/>
      <c r="N413" t="inlineStr"/>
      <c r="O413" t="n">
        <v>0</v>
      </c>
      <c r="P413">
        <f>IF(B439=0,0,O413/B439)</f>
        <v/>
      </c>
      <c r="S413">
        <f>IF(AND(Inputs!$B$4&lt;&gt;"pvp",Inputs!$B$35&gt;0),(INT(Inputs!$B$35/IF(Inputs!$B$4="pvp",15,MAX(0.1,Skills!D12-IF(Skills!E12=TRUE,Inputs!$B$31,0))))+1),0)</f>
        <v/>
      </c>
      <c r="V413">
        <f>IFERROR(1/IF(Inputs!$B$4="pvp",15,MAX(0.1,Skills!D12-IF(Skills!E12=TRUE,Inputs!$B$31,0))),0)</f>
        <v/>
      </c>
    </row>
    <row r="414">
      <c r="A414">
        <f>Skills!A13</f>
        <v/>
      </c>
      <c r="B414">
        <f>Skills!B13</f>
        <v/>
      </c>
      <c r="C414">
        <f>Inputs!$B$3&gt;=107</f>
        <v/>
      </c>
      <c r="D414">
        <f>IF(Skills!C13=1,60+Inputs!$B$24+Inputs!$B$28,IF(Skills!C13=2,90+Inputs!$B$25+Inputs!$B$28,IF(Skills!C13=3,120+Inputs!$B$26+Inputs!$B$28,MAX(0,(Inputs!$B$3-100)*3)+Inputs!$B$27+Inputs!$B$28)))</f>
        <v/>
      </c>
      <c r="E414">
        <f>INDEX(FactorTable!$B$2:$Y$301, MATCH(ROUND(MIN(300,MAX(1,D414)),0), FactorTable!$A$2:$A$301,0), Skills!L13+1)</f>
        <v/>
      </c>
      <c r="F414">
        <f>IF(Skills!M13=TRUE,(Skills!K13/10)*(E414/1000),Skills!K13/10)+Skills!N13</f>
        <v/>
      </c>
      <c r="G414">
        <f>Calc!G13</f>
        <v/>
      </c>
      <c r="H414">
        <f>Calc!H13</f>
        <v/>
      </c>
      <c r="I414">
        <f>IF(Skills!T13&lt;&gt;"",1+(Skills!T13/10)*($Z$3/1000)/100,1)</f>
        <v/>
      </c>
      <c r="J414" t="inlineStr"/>
      <c r="K414" t="inlineStr"/>
      <c r="L414" t="inlineStr"/>
      <c r="M414" t="inlineStr"/>
      <c r="N414" t="inlineStr"/>
      <c r="O414" t="n">
        <v>0</v>
      </c>
      <c r="P414">
        <f>IF(B439=0,0,O414/B439)</f>
        <v/>
      </c>
      <c r="S414">
        <f>IF(AND(Inputs!$B$4&lt;&gt;"pvp",Inputs!$B$35&gt;0),(INT(Inputs!$B$35/IF(Inputs!$B$4="pvp",15,MAX(0.1,Skills!D13-IF(Skills!E13=TRUE,Inputs!$B$31,0))))+1),0)</f>
        <v/>
      </c>
      <c r="V414">
        <f>IFERROR(1/IF(Inputs!$B$4="pvp",15,MAX(0.1,Skills!D13-IF(Skills!E13=TRUE,Inputs!$B$31,0))),0)</f>
        <v/>
      </c>
    </row>
    <row r="415">
      <c r="A415">
        <f>Skills!A14</f>
        <v/>
      </c>
      <c r="B415">
        <f>Skills!B14</f>
        <v/>
      </c>
      <c r="C415">
        <f>Inputs!$B$3&gt;=63</f>
        <v/>
      </c>
      <c r="D415">
        <f>IF(Skills!C14=1,60+Inputs!$B$24+Inputs!$B$28,IF(Skills!C14=2,90+Inputs!$B$25+Inputs!$B$28,IF(Skills!C14=3,120+Inputs!$B$26+Inputs!$B$28,MAX(0,(Inputs!$B$3-100)*3)+Inputs!$B$27+Inputs!$B$28)))</f>
        <v/>
      </c>
      <c r="E415">
        <f>INDEX(FactorTable!$B$2:$Y$301, MATCH(ROUND(MIN(300,MAX(1,D415)),0), FactorTable!$A$2:$A$301,0), Skills!L14+1)</f>
        <v/>
      </c>
      <c r="F415">
        <f>IF(Skills!M14=TRUE,(Skills!K14/10)*(E415/1000),Skills!K14/10)+Skills!N14</f>
        <v/>
      </c>
      <c r="G415">
        <f>Calc!G14</f>
        <v/>
      </c>
      <c r="H415">
        <f>Calc!H14</f>
        <v/>
      </c>
      <c r="I415">
        <f>IF(Skills!T14&lt;&gt;"",1+(Skills!T14/10)*($Z$3/1000)/100,1)</f>
        <v/>
      </c>
      <c r="J415">
        <f>((Inputs!$B$5*(1+Inputs!$B$6/100))+((Inputs!$B$11*(1+Inputs!$B$12/100))-(Inputs!$B$11*(1+Inputs!$B$12/100)))*(1+Inputs!$B$6/100))*(F415/100)</f>
        <v/>
      </c>
      <c r="K415">
        <f>J415*(1+((Inputs!$B$11*(1+Inputs!$B$12/100))*0.01+Inputs!$B$13*0.0025)/100)*(1+(Inputs!$B$14+B432)/100)*(1+IF(Inputs!$B$4="pvp",0,(1-Summary!$B$48)*(Inputs!$B$19+Skills!O14+B430)+Summary!$B$48*(Inputs!$B$20+Skills!P14+B431))/100)*(1+Inputs!$B$15/100)*(5000/(6000+Inputs!$B$7*(1-Inputs!$B$18/100)))*(1+Inputs!$B$23/100)*(1+IF(C418=TRUE,F418,0)/100)*(1+IF(C420=TRUE,F420,0)/100)*(1+IF(Skills!A14="TRIUMPH_FEATHER",IF(C416=TRUE,F416,0),0)/100)*(1+IF(C427=TRUE,F427,0)/100)^5*(1+(IF(Skills!A14="BIG_BANG",Inputs!$B$16,Inputs!$B$17))/100)*(B429*I415)</f>
        <v/>
      </c>
      <c r="L415">
        <f>K415*(MIN(Inputs!$B$21+(F422-Calc!F21),Inputs!$B$22)/100+Inputs!$B$22/100)/2</f>
        <v/>
      </c>
      <c r="M415">
        <f>L415*(1+(Inputs!$B$9+B433+(F425-Calc!F24))/100)</f>
        <v/>
      </c>
      <c r="N415">
        <f>L415*(1-MIN((Inputs!$B$8+1)+((F424-Calc!F23)+(F423-Calc!F22)),100)/100)+M415*(MIN((Inputs!$B$8+1)+((F424-Calc!F23)+(F423-Calc!F22)),100)/100)</f>
        <v/>
      </c>
      <c r="O415">
        <f>IF(C415,Skills!F14*N415*((IF(Inputs!$B$3&gt;=78,25,15)/100*B435*10)/(1+IF(Inputs!$B$3&gt;=78,25,15)/100*B435*10))*(Skills!I14/100*B435)/(1+Skills!G14*Skills!I14/100*B435)*IF(Inputs!$B$4="pvp",1,(1-Summary!$B$48)*(1)+Summary!$B$48*(MIN(Skills!Q14,Inputs!$B$37))),0)</f>
        <v/>
      </c>
      <c r="P415">
        <f>IF(B439=0,0,O415/B439)</f>
        <v/>
      </c>
      <c r="S415" t="n">
        <v>0</v>
      </c>
      <c r="V415">
        <f>IFERROR(1/IF(Inputs!$B$4="pvp",15,MAX(0.1,Skills!D14-IF(Skills!E14=TRUE,Inputs!$B$31,0))),0)</f>
        <v/>
      </c>
    </row>
    <row r="416">
      <c r="A416">
        <f>Skills!A15</f>
        <v/>
      </c>
      <c r="B416">
        <f>Skills!B15</f>
        <v/>
      </c>
      <c r="C416">
        <f>Inputs!$B$3&gt;=100</f>
        <v/>
      </c>
      <c r="D416">
        <f>IF(Skills!C15=1,60+Inputs!$B$24+Inputs!$B$28,IF(Skills!C15=2,90+Inputs!$B$25+Inputs!$B$28,IF(Skills!C15=3,120+Inputs!$B$26+Inputs!$B$28,MAX(0,(Inputs!$B$3-100)*3)+Inputs!$B$27+Inputs!$B$28)))</f>
        <v/>
      </c>
      <c r="E416">
        <f>INDEX(FactorTable!$B$2:$Y$301, MATCH(ROUND(MIN(300,MAX(1,D416)),0), FactorTable!$A$2:$A$301,0), Skills!L15+1)</f>
        <v/>
      </c>
      <c r="F416">
        <f>IF(Skills!M15=TRUE,(Skills!K15/10)*(E416/1000),Skills!K15/10)+Skills!N15</f>
        <v/>
      </c>
      <c r="G416">
        <f>Calc!G15</f>
        <v/>
      </c>
      <c r="H416">
        <f>Calc!H15</f>
        <v/>
      </c>
      <c r="I416">
        <f>IF(Skills!T15&lt;&gt;"",1+(Skills!T15/10)*($Z$3/1000)/100,1)</f>
        <v/>
      </c>
      <c r="J416" t="inlineStr"/>
      <c r="K416" t="inlineStr"/>
      <c r="L416" t="inlineStr"/>
      <c r="M416" t="inlineStr"/>
      <c r="N416" t="inlineStr"/>
      <c r="O416" t="n">
        <v>0</v>
      </c>
      <c r="P416">
        <f>IF(B439=0,0,O416/B439)</f>
        <v/>
      </c>
      <c r="S416" t="n">
        <v>0</v>
      </c>
      <c r="V416">
        <f>IFERROR(1/IF(Inputs!$B$4="pvp",15,MAX(0.1,Skills!D15-IF(Skills!E15=TRUE,Inputs!$B$31,0))),0)</f>
        <v/>
      </c>
    </row>
    <row r="417">
      <c r="A417">
        <f>Skills!A16</f>
        <v/>
      </c>
      <c r="B417">
        <f>Skills!B16</f>
        <v/>
      </c>
      <c r="C417">
        <f>Inputs!$B$3&gt;=49</f>
        <v/>
      </c>
      <c r="D417">
        <f>IF(Skills!C16=1,60+Inputs!$B$24+Inputs!$B$28,IF(Skills!C16=2,90+Inputs!$B$25+Inputs!$B$28,IF(Skills!C16=3,120+Inputs!$B$26+Inputs!$B$28,MAX(0,(Inputs!$B$3-100)*3)+Inputs!$B$27+Inputs!$B$28)))</f>
        <v/>
      </c>
      <c r="E417">
        <f>INDEX(FactorTable!$B$2:$Y$301, MATCH(ROUND(MIN(300,MAX(1,D417)),0), FactorTable!$A$2:$A$301,0), Skills!L16+1)</f>
        <v/>
      </c>
      <c r="F417">
        <f>IF(Skills!M16=TRUE,(Skills!K16/10)*(E417/1000),Skills!K16/10)+Skills!N16</f>
        <v/>
      </c>
      <c r="G417">
        <f>Calc!G16</f>
        <v/>
      </c>
      <c r="H417">
        <f>Calc!H16</f>
        <v/>
      </c>
      <c r="I417">
        <f>IF(Skills!T16&lt;&gt;"",1+(Skills!T16/10)*($Z$3/1000)/100,1)</f>
        <v/>
      </c>
      <c r="J417" t="inlineStr"/>
      <c r="K417" t="inlineStr"/>
      <c r="L417" t="inlineStr"/>
      <c r="M417" t="inlineStr"/>
      <c r="N417" t="inlineStr"/>
      <c r="O417" t="n">
        <v>0</v>
      </c>
      <c r="P417">
        <f>IF(B439=0,0,O417/B439)</f>
        <v/>
      </c>
      <c r="S417" t="n">
        <v>0</v>
      </c>
      <c r="V417">
        <f>IFERROR(1/IF(Inputs!$B$4="pvp",15,MAX(0.1,Skills!D16-IF(Skills!E16=TRUE,Inputs!$B$31,0))),0)</f>
        <v/>
      </c>
    </row>
    <row r="418">
      <c r="A418">
        <f>Skills!A17</f>
        <v/>
      </c>
      <c r="B418">
        <f>Skills!B17</f>
        <v/>
      </c>
      <c r="C418">
        <f>Inputs!$B$3&gt;=75</f>
        <v/>
      </c>
      <c r="D418">
        <f>IF(Skills!C17=1,60+Inputs!$B$24+Inputs!$B$28,IF(Skills!C17=2,90+Inputs!$B$25+Inputs!$B$28,IF(Skills!C17=3,120+Inputs!$B$26+Inputs!$B$28,MAX(0,(Inputs!$B$3-100)*3)+Inputs!$B$27+Inputs!$B$28)))</f>
        <v/>
      </c>
      <c r="E418">
        <f>INDEX(FactorTable!$B$2:$Y$301, MATCH(ROUND(MIN(300,MAX(1,D418)),0), FactorTable!$A$2:$A$301,0), Skills!L17+1)</f>
        <v/>
      </c>
      <c r="F418">
        <f>IF(Skills!M17=TRUE,(Skills!K17/10)*(E418/1000),Skills!K17/10)+Skills!N17</f>
        <v/>
      </c>
      <c r="G418">
        <f>Calc!G17</f>
        <v/>
      </c>
      <c r="H418">
        <f>Calc!H17</f>
        <v/>
      </c>
      <c r="I418">
        <f>IF(Skills!T17&lt;&gt;"",1+(Skills!T17/10)*($Z$3/1000)/100,1)</f>
        <v/>
      </c>
      <c r="J418" t="inlineStr"/>
      <c r="K418" t="inlineStr"/>
      <c r="L418" t="inlineStr"/>
      <c r="M418" t="inlineStr"/>
      <c r="N418" t="inlineStr"/>
      <c r="O418" t="n">
        <v>0</v>
      </c>
      <c r="P418">
        <f>IF(B439=0,0,O418/B439)</f>
        <v/>
      </c>
      <c r="S418" t="n">
        <v>0</v>
      </c>
      <c r="V418">
        <f>IFERROR(1/IF(Inputs!$B$4="pvp",15,MAX(0.1,Skills!D17-IF(Skills!E17=TRUE,Inputs!$B$31,0))),0)</f>
        <v/>
      </c>
    </row>
    <row r="419">
      <c r="A419">
        <f>Skills!A18</f>
        <v/>
      </c>
      <c r="B419">
        <f>Skills!B18</f>
        <v/>
      </c>
      <c r="C419">
        <f>Inputs!$B$3&gt;=110</f>
        <v/>
      </c>
      <c r="D419">
        <f>IF(Skills!C18=1,60+Inputs!$B$24+Inputs!$B$28,IF(Skills!C18=2,90+Inputs!$B$25+Inputs!$B$28,IF(Skills!C18=3,120+Inputs!$B$26+Inputs!$B$28,MAX(0,(Inputs!$B$3-100)*3)+Inputs!$B$27+Inputs!$B$28)))</f>
        <v/>
      </c>
      <c r="E419">
        <f>INDEX(FactorTable!$B$2:$Y$301, MATCH(ROUND(MIN(300,MAX(1,D419)),0), FactorTable!$A$2:$A$301,0), Skills!L18+1)</f>
        <v/>
      </c>
      <c r="F419">
        <f>(Skills!K18/10)*(E419/1000)*64/45+Skills!N18</f>
        <v/>
      </c>
      <c r="G419">
        <f>Calc!G18</f>
        <v/>
      </c>
      <c r="H419">
        <f>Calc!H18</f>
        <v/>
      </c>
      <c r="I419">
        <f>IF(Skills!T18&lt;&gt;"",1+(Skills!T18/10)*($Z$3/1000)/100,1)</f>
        <v/>
      </c>
      <c r="J419" t="inlineStr"/>
      <c r="K419" t="inlineStr"/>
      <c r="L419" t="inlineStr"/>
      <c r="M419" t="inlineStr"/>
      <c r="N419" t="inlineStr"/>
      <c r="O419" t="n">
        <v>0</v>
      </c>
      <c r="P419">
        <f>IF(B439=0,0,O419/B439)</f>
        <v/>
      </c>
      <c r="S419">
        <f>IF(AND(Inputs!$B$4&lt;&gt;"pvp",Inputs!$B$35&gt;0),(INT(Inputs!$B$35/IF(Inputs!$B$4="pvp",15,MAX(0.1,Skills!D18-IF(Skills!E18=TRUE,Inputs!$B$31,0))))+1),0)</f>
        <v/>
      </c>
      <c r="V419">
        <f>IFERROR(1/IF(Inputs!$B$4="pvp",15,MAX(0.1,Skills!D18-IF(Skills!E18=TRUE,Inputs!$B$31,0))),0)</f>
        <v/>
      </c>
    </row>
    <row r="420">
      <c r="A420">
        <f>Skills!A19</f>
        <v/>
      </c>
      <c r="B420">
        <f>Skills!B19</f>
        <v/>
      </c>
      <c r="C420">
        <f>Inputs!$B$3&gt;=125</f>
        <v/>
      </c>
      <c r="D420">
        <f>IF(Skills!C19=1,60+Inputs!$B$24+Inputs!$B$28,IF(Skills!C19=2,90+Inputs!$B$25+Inputs!$B$28,IF(Skills!C19=3,120+Inputs!$B$26+Inputs!$B$28,MAX(0,(Inputs!$B$3-100)*3)+Inputs!$B$27+Inputs!$B$28)))</f>
        <v/>
      </c>
      <c r="E420">
        <f>INDEX(FactorTable!$B$2:$Y$301, MATCH(ROUND(MIN(300,MAX(1,D420)),0), FactorTable!$A$2:$A$301,0), Skills!L19+1)</f>
        <v/>
      </c>
      <c r="F420">
        <f>IF(Skills!M19=TRUE,(Skills!K19/10)*(E420/1000),Skills!K19/10)+Skills!N19</f>
        <v/>
      </c>
      <c r="G420">
        <f>Calc!G19</f>
        <v/>
      </c>
      <c r="H420">
        <f>Calc!H19</f>
        <v/>
      </c>
      <c r="I420">
        <f>IF(Skills!T19&lt;&gt;"",1+(Skills!T19/10)*($Z$3/1000)/100,1)</f>
        <v/>
      </c>
      <c r="J420" t="inlineStr"/>
      <c r="K420" t="inlineStr"/>
      <c r="L420" t="inlineStr"/>
      <c r="M420" t="inlineStr"/>
      <c r="N420" t="inlineStr"/>
      <c r="O420" t="n">
        <v>0</v>
      </c>
      <c r="P420">
        <f>IF(B439=0,0,O420/B439)</f>
        <v/>
      </c>
      <c r="S420" t="n">
        <v>0</v>
      </c>
      <c r="V420">
        <f>IFERROR(1/IF(Inputs!$B$4="pvp",15,MAX(0.1,Skills!D19-IF(Skills!E19=TRUE,Inputs!$B$31,0))),0)</f>
        <v/>
      </c>
    </row>
    <row r="421">
      <c r="A421">
        <f>Skills!A20</f>
        <v/>
      </c>
      <c r="B421">
        <f>Skills!B20</f>
        <v/>
      </c>
      <c r="C421">
        <f>Inputs!$B$3&gt;=33</f>
        <v/>
      </c>
      <c r="D421">
        <f>IF(Skills!C20=1,60+Inputs!$B$24+Inputs!$B$28,IF(Skills!C20=2,90+Inputs!$B$25+Inputs!$B$28,IF(Skills!C20=3,120+Inputs!$B$26+Inputs!$B$28,MAX(0,(Inputs!$B$3-100)*3)+Inputs!$B$27+Inputs!$B$28)))</f>
        <v/>
      </c>
      <c r="E421">
        <f>INDEX(FactorTable!$B$2:$Y$301, MATCH(ROUND(MIN(300,MAX(1,D421)),0), FactorTable!$A$2:$A$301,0), Skills!L20+1)</f>
        <v/>
      </c>
      <c r="F421">
        <f>IF(Skills!M20=TRUE,(Skills!K20/10)*(E421/1000),Skills!K20/10)+Skills!N20</f>
        <v/>
      </c>
      <c r="G421">
        <f>Calc!G20</f>
        <v/>
      </c>
      <c r="H421">
        <f>Calc!H20</f>
        <v/>
      </c>
      <c r="I421">
        <f>IF(Skills!T20&lt;&gt;"",1+(Skills!T20/10)*($Z$3/1000)/100,1)</f>
        <v/>
      </c>
      <c r="J421" t="inlineStr"/>
      <c r="K421" t="inlineStr"/>
      <c r="L421" t="inlineStr"/>
      <c r="M421" t="inlineStr"/>
      <c r="N421" t="inlineStr"/>
      <c r="O421" t="n">
        <v>0</v>
      </c>
      <c r="P421">
        <f>IF(B439=0,0,O421/B439)</f>
        <v/>
      </c>
      <c r="S421" t="n">
        <v>0</v>
      </c>
      <c r="V421">
        <f>IFERROR(1/IF(Inputs!$B$4="pvp",15,MAX(0.1,Skills!D20-IF(Skills!E20=TRUE,Inputs!$B$31,0))),0)</f>
        <v/>
      </c>
    </row>
    <row r="422">
      <c r="A422">
        <f>Skills!A21</f>
        <v/>
      </c>
      <c r="B422">
        <f>Skills!B21</f>
        <v/>
      </c>
      <c r="C422">
        <f>Inputs!$B$3&gt;=43</f>
        <v/>
      </c>
      <c r="D422">
        <f>IF(Skills!C21=1,60+Inputs!$B$24+Inputs!$B$28,IF(Skills!C21=2,90+Inputs!$B$25+Inputs!$B$28,IF(Skills!C21=3,120+Inputs!$B$26+Inputs!$B$28,MAX(0,(Inputs!$B$3-100)*3)+Inputs!$B$27+Inputs!$B$28)))</f>
        <v/>
      </c>
      <c r="E422">
        <f>INDEX(FactorTable!$B$2:$Y$301, MATCH(ROUND(MIN(300,MAX(1,D422)),0), FactorTable!$A$2:$A$301,0), Skills!L21+1)</f>
        <v/>
      </c>
      <c r="F422">
        <f>IF(Skills!M21=TRUE,(Skills!K21/10)*(E422/1000),Skills!K21/10)+Skills!N21</f>
        <v/>
      </c>
      <c r="G422">
        <f>Calc!G21</f>
        <v/>
      </c>
      <c r="H422">
        <f>Calc!H21</f>
        <v/>
      </c>
      <c r="I422">
        <f>IF(Skills!T21&lt;&gt;"",1+(Skills!T21/10)*($Z$3/1000)/100,1)</f>
        <v/>
      </c>
      <c r="J422" t="inlineStr"/>
      <c r="K422" t="inlineStr"/>
      <c r="L422" t="inlineStr"/>
      <c r="M422" t="inlineStr"/>
      <c r="N422" t="inlineStr"/>
      <c r="O422" t="n">
        <v>0</v>
      </c>
      <c r="P422">
        <f>IF(B439=0,0,O422/B439)</f>
        <v/>
      </c>
      <c r="S422" t="n">
        <v>0</v>
      </c>
      <c r="V422">
        <f>IFERROR(1/IF(Inputs!$B$4="pvp",15,MAX(0.1,Skills!D21-IF(Skills!E21=TRUE,Inputs!$B$31,0))),0)</f>
        <v/>
      </c>
    </row>
    <row r="423">
      <c r="A423">
        <f>Skills!A22</f>
        <v/>
      </c>
      <c r="B423">
        <f>Skills!B22</f>
        <v/>
      </c>
      <c r="C423">
        <f>Inputs!$B$3&gt;=50</f>
        <v/>
      </c>
      <c r="D423">
        <f>IF(Skills!C22=1,60+Inputs!$B$24+Inputs!$B$28,IF(Skills!C22=2,90+Inputs!$B$25+Inputs!$B$28,IF(Skills!C22=3,120+Inputs!$B$26+Inputs!$B$28,MAX(0,(Inputs!$B$3-100)*3)+Inputs!$B$27+Inputs!$B$28)))</f>
        <v/>
      </c>
      <c r="E423">
        <f>INDEX(FactorTable!$B$2:$Y$301, MATCH(ROUND(MIN(300,MAX(1,D423)),0), FactorTable!$A$2:$A$301,0), Skills!L22+1)</f>
        <v/>
      </c>
      <c r="F423">
        <f>IF(Skills!M22=TRUE,(Skills!K22/10)*(E423/1000),Skills!K22/10)+Skills!N22</f>
        <v/>
      </c>
      <c r="G423">
        <f>Calc!G22</f>
        <v/>
      </c>
      <c r="H423">
        <f>Calc!H22</f>
        <v/>
      </c>
      <c r="I423">
        <f>IF(Skills!T22&lt;&gt;"",1+(Skills!T22/10)*($Z$3/1000)/100,1)</f>
        <v/>
      </c>
      <c r="J423" t="inlineStr"/>
      <c r="K423" t="inlineStr"/>
      <c r="L423" t="inlineStr"/>
      <c r="M423" t="inlineStr"/>
      <c r="N423" t="inlineStr"/>
      <c r="O423" t="n">
        <v>0</v>
      </c>
      <c r="P423">
        <f>IF(B439=0,0,O423/B439)</f>
        <v/>
      </c>
      <c r="S423" t="n">
        <v>0</v>
      </c>
      <c r="V423">
        <f>IFERROR(1/IF(Inputs!$B$4="pvp",15,MAX(0.1,Skills!D22-IF(Skills!E22=TRUE,Inputs!$B$31,0))),0)</f>
        <v/>
      </c>
    </row>
    <row r="424">
      <c r="A424">
        <f>Skills!A23</f>
        <v/>
      </c>
      <c r="B424">
        <f>Skills!B23</f>
        <v/>
      </c>
      <c r="C424">
        <f>Inputs!$B$3&gt;=74</f>
        <v/>
      </c>
      <c r="D424">
        <f>IF(Skills!C23=1,60+Inputs!$B$24+Inputs!$B$28,IF(Skills!C23=2,90+Inputs!$B$25+Inputs!$B$28,IF(Skills!C23=3,120+Inputs!$B$26+Inputs!$B$28,MAX(0,(Inputs!$B$3-100)*3)+Inputs!$B$27+Inputs!$B$28)))</f>
        <v/>
      </c>
      <c r="E424">
        <f>INDEX(FactorTable!$B$2:$Y$301, MATCH(ROUND(MIN(300,MAX(1,D424)),0), FactorTable!$A$2:$A$301,0), Skills!L23+1)</f>
        <v/>
      </c>
      <c r="F424">
        <f>IF(Skills!M23=TRUE,(Skills!K23/10)*(E424/1000),Skills!K23/10)+Skills!N23</f>
        <v/>
      </c>
      <c r="G424">
        <f>Calc!G23</f>
        <v/>
      </c>
      <c r="H424">
        <f>Calc!H23</f>
        <v/>
      </c>
      <c r="I424">
        <f>IF(Skills!T23&lt;&gt;"",1+(Skills!T23/10)*($Z$3/1000)/100,1)</f>
        <v/>
      </c>
      <c r="J424" t="inlineStr"/>
      <c r="K424" t="inlineStr"/>
      <c r="L424" t="inlineStr"/>
      <c r="M424" t="inlineStr"/>
      <c r="N424" t="inlineStr"/>
      <c r="O424" t="n">
        <v>0</v>
      </c>
      <c r="P424">
        <f>IF(B439=0,0,O424/B439)</f>
        <v/>
      </c>
      <c r="S424" t="n">
        <v>0</v>
      </c>
      <c r="V424">
        <f>IFERROR(1/IF(Inputs!$B$4="pvp",15,MAX(0.1,Skills!D23-IF(Skills!E23=TRUE,Inputs!$B$31,0))),0)</f>
        <v/>
      </c>
    </row>
    <row r="425">
      <c r="A425">
        <f>Skills!A24</f>
        <v/>
      </c>
      <c r="B425">
        <f>Skills!B24</f>
        <v/>
      </c>
      <c r="C425">
        <f>Inputs!$B$3&gt;=74</f>
        <v/>
      </c>
      <c r="D425">
        <f>IF(Skills!C24=1,60+Inputs!$B$24+Inputs!$B$28,IF(Skills!C24=2,90+Inputs!$B$25+Inputs!$B$28,IF(Skills!C24=3,120+Inputs!$B$26+Inputs!$B$28,MAX(0,(Inputs!$B$3-100)*3)+Inputs!$B$27+Inputs!$B$28)))</f>
        <v/>
      </c>
      <c r="E425">
        <f>INDEX(FactorTable!$B$2:$Y$301, MATCH(ROUND(MIN(300,MAX(1,D425)),0), FactorTable!$A$2:$A$301,0), Skills!L24+1)</f>
        <v/>
      </c>
      <c r="F425">
        <f>IF(Skills!M24=TRUE,(Skills!K24/10)*(E425/1000),Skills!K24/10)+Skills!N24</f>
        <v/>
      </c>
      <c r="G425">
        <f>Calc!G24</f>
        <v/>
      </c>
      <c r="H425">
        <f>Calc!H24</f>
        <v/>
      </c>
      <c r="I425">
        <f>IF(Skills!T24&lt;&gt;"",1+(Skills!T24/10)*($Z$3/1000)/100,1)</f>
        <v/>
      </c>
      <c r="J425" t="inlineStr"/>
      <c r="K425" t="inlineStr"/>
      <c r="L425" t="inlineStr"/>
      <c r="M425" t="inlineStr"/>
      <c r="N425" t="inlineStr"/>
      <c r="O425" t="n">
        <v>0</v>
      </c>
      <c r="P425">
        <f>IF(B439=0,0,O425/B439)</f>
        <v/>
      </c>
      <c r="S425" t="n">
        <v>0</v>
      </c>
      <c r="V425">
        <f>IFERROR(1/IF(Inputs!$B$4="pvp",15,MAX(0.1,Skills!D24-IF(Skills!E24=TRUE,Inputs!$B$31,0))),0)</f>
        <v/>
      </c>
    </row>
    <row r="426">
      <c r="A426">
        <f>Skills!A25</f>
        <v/>
      </c>
      <c r="B426">
        <f>Skills!B25</f>
        <v/>
      </c>
      <c r="C426">
        <f>Inputs!$B$3&gt;=117</f>
        <v/>
      </c>
      <c r="D426">
        <f>IF(Skills!C25=1,60+Inputs!$B$24+Inputs!$B$28,IF(Skills!C25=2,90+Inputs!$B$25+Inputs!$B$28,IF(Skills!C25=3,120+Inputs!$B$26+Inputs!$B$28,MAX(0,(Inputs!$B$3-100)*3)+Inputs!$B$27+Inputs!$B$28)))</f>
        <v/>
      </c>
      <c r="E426">
        <f>INDEX(FactorTable!$B$2:$Y$301, MATCH(ROUND(MIN(300,MAX(1,D426)),0), FactorTable!$A$2:$A$301,0), Skills!L25+1)</f>
        <v/>
      </c>
      <c r="F426">
        <f>IF(Skills!M25=TRUE,(Skills!K25/10)*(E426/1000),Skills!K25/10)+Skills!N25</f>
        <v/>
      </c>
      <c r="G426">
        <f>Calc!G25</f>
        <v/>
      </c>
      <c r="H426">
        <f>Calc!H25</f>
        <v/>
      </c>
      <c r="I426">
        <f>IF(Skills!T25&lt;&gt;"",1+(Skills!T25/10)*($Z$3/1000)/100,1)</f>
        <v/>
      </c>
      <c r="J426" t="inlineStr"/>
      <c r="K426" t="inlineStr"/>
      <c r="L426" t="inlineStr"/>
      <c r="M426" t="inlineStr"/>
      <c r="N426" t="inlineStr"/>
      <c r="O426" t="n">
        <v>0</v>
      </c>
      <c r="P426">
        <f>IF(B439=0,0,O426/B439)</f>
        <v/>
      </c>
      <c r="S426" t="n">
        <v>0</v>
      </c>
      <c r="V426">
        <f>IFERROR(1/IF(Inputs!$B$4="pvp",15,MAX(0.1,Skills!D25-IF(Skills!E25=TRUE,Inputs!$B$31,0))),0)</f>
        <v/>
      </c>
    </row>
    <row r="427">
      <c r="A427">
        <f>Skills!A26</f>
        <v/>
      </c>
      <c r="B427">
        <f>Skills!B26</f>
        <v/>
      </c>
      <c r="C427">
        <f>Inputs!$B$3&gt;=120</f>
        <v/>
      </c>
      <c r="D427">
        <f>IF(Skills!C26=1,60+Inputs!$B$24+Inputs!$B$28,IF(Skills!C26=2,90+Inputs!$B$25+Inputs!$B$28,IF(Skills!C26=3,120+Inputs!$B$26+Inputs!$B$28,MAX(0,(Inputs!$B$3-100)*3)+Inputs!$B$27+Inputs!$B$28)))</f>
        <v/>
      </c>
      <c r="E427">
        <f>INDEX(FactorTable!$B$2:$Y$301, MATCH(ROUND(MIN(300,MAX(1,D427)),0), FactorTable!$A$2:$A$301,0), Skills!L26+1)</f>
        <v/>
      </c>
      <c r="F427">
        <f>IF(Skills!M26=TRUE,(Skills!K26/10)*(E427/1000),Skills!K26/10)+Skills!N26</f>
        <v/>
      </c>
      <c r="G427">
        <f>Calc!G26</f>
        <v/>
      </c>
      <c r="H427">
        <f>Calc!H26</f>
        <v/>
      </c>
      <c r="I427">
        <f>IF(Skills!T26&lt;&gt;"",1+(Skills!T26/10)*($Z$3/1000)/100,1)</f>
        <v/>
      </c>
      <c r="J427" t="inlineStr"/>
      <c r="K427" t="inlineStr"/>
      <c r="L427" t="inlineStr"/>
      <c r="M427" t="inlineStr"/>
      <c r="N427" t="inlineStr"/>
      <c r="O427" t="n">
        <v>0</v>
      </c>
      <c r="P427">
        <f>IF(B439=0,0,O427/B439)</f>
        <v/>
      </c>
      <c r="S427" t="n">
        <v>0</v>
      </c>
      <c r="V427">
        <f>IFERROR(1/IF(Inputs!$B$4="pvp",15,MAX(0.1,Skills!D26-IF(Skills!E26=TRUE,Inputs!$B$31,0))),0)</f>
        <v/>
      </c>
    </row>
    <row r="429">
      <c r="A429" t="inlineStr">
        <is>
          <t>Average Buff Multiplier</t>
        </is>
      </c>
      <c r="B429">
        <f>(1+(IF(C404=TRUE,F404*IF(AND(Inputs!$B$4&lt;&gt;"pvp",Inputs!$B$35&gt;0),(((S404-1)*(Skills!S3*(1+(Inputs!$B$33+IF(Inputs!$B$3&gt;=117,F426,0))/100))+MIN((Skills!S3*(1+(Inputs!$B$33+IF(Inputs!$B$3&gt;=117,F426,0))/100)),MAX(0,Inputs!$B$35-((S404-1)*Skills!D3))))/Inputs!$B$35),IF(Inputs!$B$4="pvp",MIN((Skills!S3*(1+(Inputs!$B$33+IF(Inputs!$B$3&gt;=117,F426,0))/100)),15)/15,(Skills!S3*(1+(Inputs!$B$33+IF(Inputs!$B$3&gt;=117,F426,0))/100))/Skills!D3)),0)+IF(C405=TRUE,F405*IF(AND(Inputs!$B$4&lt;&gt;"pvp",Inputs!$B$35&gt;0),(((S405-1)*(Skills!S4*(1+(Inputs!$B$33+IF(Inputs!$B$3&gt;=117,F426,0))/100))+MIN((Skills!S4*(1+(Inputs!$B$33+IF(Inputs!$B$3&gt;=117,F426,0))/100)),MAX(0,Inputs!$B$35-((S405-1)*Skills!D4))))/Inputs!$B$35),IF(Inputs!$B$4="pvp",MIN((Skills!S4*(1+(Inputs!$B$33+IF(Inputs!$B$3&gt;=117,F426,0))/100)),15)/15,(Skills!S4*(1+(Inputs!$B$33+IF(Inputs!$B$3&gt;=117,F426,0))/100))/Skills!D4)),0)+IF(C406=TRUE,F406*IF(AND(Inputs!$B$4&lt;&gt;"pvp",Inputs!$B$35&gt;0),(((S406-1)*(Skills!S5*(1+(Inputs!$B$33+IF(Inputs!$B$3&gt;=117,F426,0))/100))+MIN((Skills!S5*(1+(Inputs!$B$33+IF(Inputs!$B$3&gt;=117,F426,0))/100)),MAX(0,Inputs!$B$35-((S406-1)*Skills!D5))))/Inputs!$B$35),IF(Inputs!$B$4="pvp",MIN((Skills!S5*(1+(Inputs!$B$33+IF(Inputs!$B$3&gt;=117,F426,0))/100)),15)/15,(Skills!S5*(1+(Inputs!$B$33+IF(Inputs!$B$3&gt;=117,F426,0))/100))/Skills!D5)),0)+IF(C412=TRUE,F412*IF(AND(Inputs!$B$4&lt;&gt;"pvp",Inputs!$B$35&gt;0),(((S412-1)*(Skills!S11*(1+(Inputs!$B$33+IF(Inputs!$B$3&gt;=117,F426,0))/100))+MIN((Skills!S11*(1+(Inputs!$B$33+IF(Inputs!$B$3&gt;=117,F426,0))/100)),MAX(0,Inputs!$B$35-((S412-1)*Skills!D11))))/Inputs!$B$35),IF(Inputs!$B$4="pvp",MIN((Skills!S11*(1+(Inputs!$B$33+IF(Inputs!$B$3&gt;=117,F426,0))/100)),15)/15,(Skills!S11*(1+(Inputs!$B$33+IF(Inputs!$B$3&gt;=117,F426,0))/100))/Skills!D11)),0))/100)*IF(C414=TRUE,(1+F414*IF(AND(Inputs!$B$4&lt;&gt;"pvp",Inputs!$B$35&gt;0),(((S414-1)*(Skills!S13*(1+(Inputs!$B$33+IF(Inputs!$B$3&gt;=117,F426,0))/100))+MIN((Skills!S13*(1+(Inputs!$B$33+IF(Inputs!$B$3&gt;=117,F426,0))/100)),MAX(0,Inputs!$B$35-((S414-1)*Skills!D13))))/Inputs!$B$35),IF(Inputs!$B$4="pvp",MIN((Skills!S13*(1+(Inputs!$B$33+IF(Inputs!$B$3&gt;=117,F426,0))/100)),15)/15,(Skills!S13*(1+(Inputs!$B$33+IF(Inputs!$B$3&gt;=117,F426,0))/100))/Skills!D13))/100),1)*IF(C419=TRUE,(1+F419*IF(AND(Inputs!$B$4&lt;&gt;"pvp",Inputs!$B$35&gt;0),(((S419-1)*(Skills!S18*(1+(Inputs!$B$33+IF(Inputs!$B$3&gt;=117,F426,0))/100))+MIN((Skills!S18*(1+(Inputs!$B$33+IF(Inputs!$B$3&gt;=117,F426,0))/100)),MAX(0,Inputs!$B$35-((S419-1)*Skills!D18))))/Inputs!$B$35),IF(Inputs!$B$4="pvp",MIN((Skills!S18*(1+(Inputs!$B$33+IF(Inputs!$B$3&gt;=117,F426,0))/100)),15)/15,(Skills!S18*(1+(Inputs!$B$33+IF(Inputs!$B$3&gt;=117,F426,0))/100))/Skills!D18))/100),1)</f>
        <v/>
      </c>
    </row>
    <row r="430">
      <c r="A430" t="inlineStr">
        <is>
          <t>Monster Damage Taken Bonus % (Holy Fountain)</t>
        </is>
      </c>
      <c r="B430">
        <f>IF(Inputs!$B$3&gt;=68,20*IF(Inputs!$B$4="pvp",MIN((15*(1+(Inputs!$B$33+IF(Inputs!$B$3&gt;=117,F426,0))/100)),15)/15,(15*(1+(Inputs!$B$33+IF(Inputs!$B$3&gt;=117,F426,0))/100))/Skills!D10),0)</f>
        <v/>
      </c>
    </row>
    <row r="431">
      <c r="A431" t="inlineStr">
        <is>
          <t>Normal Monster Damage Bonus % (Holy Symbol)</t>
        </is>
      </c>
      <c r="B431">
        <f>IF(C413=TRUE,F413*IF(AND(Inputs!$B$4&lt;&gt;"pvp",Inputs!$B$35&gt;0),(((S413-1)*(Skills!S12*(1+(Inputs!$B$33+IF(Inputs!$B$3&gt;=117,F426,0))/100))+MIN((Skills!S12*(1+(Inputs!$B$33+IF(Inputs!$B$3&gt;=117,F426,0))/100)),MAX(0,Inputs!$B$35-((S413-1)*Skills!D12))))/Inputs!$B$35),IF(Inputs!$B$4="pvp",MIN((Skills!S12*(1+(Inputs!$B$33+IF(Inputs!$B$3&gt;=117,F426,0))/100)),15)/15,(Skills!S12*(1+(Inputs!$B$33+IF(Inputs!$B$3&gt;=117,F426,0))/100))/Skills!D12)),0)</f>
        <v/>
      </c>
    </row>
    <row r="432">
      <c r="A432" t="inlineStr">
        <is>
          <t>Damage % Bonus (Holy Symbol - Damage Boost)</t>
        </is>
      </c>
      <c r="B432">
        <f>Skills!O12</f>
        <v/>
      </c>
    </row>
    <row r="433">
      <c r="A433" t="inlineStr">
        <is>
          <t>Crit Damage % Bonus (Blood of the Divine)</t>
        </is>
      </c>
      <c r="B433">
        <f>4*IF(C420=TRUE,F420,0)</f>
        <v/>
      </c>
    </row>
    <row r="434">
      <c r="A434" t="inlineStr">
        <is>
          <t>Attack Speed Bonus %</t>
        </is>
      </c>
      <c r="B434">
        <f>IF(C417=TRUE,F417+(F421-Calc!F20),0)+IF(Inputs!$B$3&gt;=134,15,0)</f>
        <v/>
      </c>
    </row>
    <row r="435">
      <c r="A435" t="inlineStr">
        <is>
          <t>Actions Per Second</t>
        </is>
      </c>
      <c r="B435">
        <f>1+MIN(150,150*(1-(1-Inputs!$B$10/150)*(1-B434/150)))/100</f>
        <v/>
      </c>
    </row>
    <row r="436">
      <c r="A436" t="inlineStr">
        <is>
          <t>Skill + Buff Cast Rate</t>
        </is>
      </c>
      <c r="B436">
        <f>IF(AND(Inputs!$B$4&lt;&gt;"pvp",Inputs!$B$35&gt;0),SUMPRODUCT((Skills!E2:E26=TRUE)*(C403:C427=TRUE)*S403:S427)/Inputs!$B$35,SUMPRODUCT((Skills!E2:E26=TRUE)*(C403:C427=TRUE)*V403:V427))</f>
        <v/>
      </c>
    </row>
    <row r="437">
      <c r="A437" t="inlineStr">
        <is>
          <t>Big Bang Casts Per Second</t>
        </is>
      </c>
      <c r="B437">
        <f>MAX(0,B435-B436)</f>
        <v/>
      </c>
    </row>
    <row r="439">
      <c r="A439" s="5" t="inlineStr">
        <is>
          <t>TOTAL DPS</t>
        </is>
      </c>
      <c r="B439" s="5">
        <f>SUM(O403:O427)</f>
        <v/>
      </c>
    </row>
    <row r="442">
      <c r="A442" s="5" t="inlineStr">
        <is>
          <t>Stat: CRIT_DAMAGE %</t>
        </is>
      </c>
    </row>
    <row r="443">
      <c r="A443" s="8" t="inlineStr">
        <is>
          <t>Key</t>
        </is>
      </c>
      <c r="B443" s="8" t="inlineStr">
        <is>
          <t>Name</t>
        </is>
      </c>
      <c r="C443" s="8" t="inlineStr">
        <is>
          <t>Unlocked</t>
        </is>
      </c>
      <c r="D443" s="8" t="inlineStr">
        <is>
          <t>InputLevel</t>
        </is>
      </c>
      <c r="E443" s="8" t="inlineStr">
        <is>
          <t>Factor</t>
        </is>
      </c>
      <c r="F443" s="8" t="inlineStr">
        <is>
          <t>CoefficientPercent</t>
        </is>
      </c>
      <c r="G443" s="8" t="inlineStr">
        <is>
          <t>EffectiveHits</t>
        </is>
      </c>
      <c r="H443" s="8" t="inlineStr">
        <is>
          <t>ProcProbability</t>
        </is>
      </c>
      <c r="I443" s="8" t="inlineStr">
        <is>
          <t>MapleHeroMultiplier</t>
        </is>
      </c>
      <c r="J443" s="8" t="inlineStr">
        <is>
          <t>BaseDamage</t>
        </is>
      </c>
      <c r="K443" s="8" t="inlineStr">
        <is>
          <t>BaseHitDamage</t>
        </is>
      </c>
      <c r="L443" s="8" t="inlineStr">
        <is>
          <t>NonCritAvg</t>
        </is>
      </c>
      <c r="M443" s="8" t="inlineStr">
        <is>
          <t>CritAvg</t>
        </is>
      </c>
      <c r="N443" s="8" t="inlineStr">
        <is>
          <t>ExpectedDamage(perHit)</t>
        </is>
      </c>
      <c r="O443" s="8" t="inlineStr">
        <is>
          <t>DPS</t>
        </is>
      </c>
      <c r="P443" s="8" t="inlineStr">
        <is>
          <t>% of Total</t>
        </is>
      </c>
      <c r="R443" t="inlineStr">
        <is>
          <t>helpers</t>
        </is>
      </c>
    </row>
    <row r="444">
      <c r="A444">
        <f>Skills!A2</f>
        <v/>
      </c>
      <c r="B444">
        <f>Skills!B2</f>
        <v/>
      </c>
      <c r="C444">
        <f>Inputs!$B$3&gt;=100</f>
        <v/>
      </c>
      <c r="D444" t="inlineStr"/>
      <c r="E444" t="inlineStr"/>
      <c r="F444">
        <f>T446+Skills!N2</f>
        <v/>
      </c>
      <c r="G444">
        <f>Calc!G2</f>
        <v/>
      </c>
      <c r="H444">
        <f>Calc!H2</f>
        <v/>
      </c>
      <c r="I444">
        <f>IF(Skills!T2&lt;&gt;"",1+(Skills!T2/10)*($Z$3/1000)/100,1)</f>
        <v/>
      </c>
      <c r="J444">
        <f>((Inputs!$B$5*(1+Inputs!$B$6/100))+((Inputs!$B$11*(1+Inputs!$B$12/100))-(Inputs!$B$11*(1+Inputs!$B$12/100)))*(1+Inputs!$B$6/100))*(F444/100)</f>
        <v/>
      </c>
      <c r="K444">
        <f>J444*(1+((Inputs!$B$11*(1+Inputs!$B$12/100))*0.01+Inputs!$B$13*0.0025)/100)*(1+(Inputs!$B$14+B473)/100)*(1+IF(Inputs!$B$4="pvp",0,(1-Summary!$B$48)*(Inputs!$B$19+Skills!O2+B471)+Summary!$B$48*(Inputs!$B$20+Skills!P2+B472))/100)*(1+Inputs!$B$15/100)*(5000/(6000+Inputs!$B$7*(1-Inputs!$B$18/100)))*(1+Inputs!$B$23/100)*(1+IF(C459=TRUE,F459,0)/100)*(1+IF(C461=TRUE,F461,0)/100)*(1+IF(Skills!A2="TRIUMPH_FEATHER",IF(C457=TRUE,F457,0),0)/100)*(1+IF(C468=TRUE,F468,0)/100)^5*(1+(IF(Skills!A2="BIG_BANG",Inputs!$B$16,Inputs!$B$17))/100)*(B470*I444)</f>
        <v/>
      </c>
      <c r="L444">
        <f>K444*(MIN(Inputs!$B$21+(F463-Calc!F21),Inputs!$B$22)/100+Inputs!$B$22/100)/2</f>
        <v/>
      </c>
      <c r="M444">
        <f>L444*(1+((Inputs!$B$9+1)+B474+(F466-Calc!F24))/100)</f>
        <v/>
      </c>
      <c r="N444">
        <f>L444*(1-MIN(Inputs!$B$8+((F465-Calc!F23)+(F464-Calc!F22)),100)/100)+M444*(MIN(Inputs!$B$8+((F465-Calc!F23)+(F464-Calc!F22)),100)/100)</f>
        <v/>
      </c>
      <c r="O444">
        <f>IF(C444,Skills!F2*N444*B478*IF(Inputs!$B$4="pvp",1,(1-Summary!$B$48)*(1)+Summary!$B$48*(MIN((6+Inputs!$B$32),Inputs!$B$37))),0)</f>
        <v/>
      </c>
      <c r="P444">
        <f>IF(B480=0,0,O444/B480)</f>
        <v/>
      </c>
      <c r="S444" t="n">
        <v>0</v>
      </c>
      <c r="T444">
        <f>MAX(0,(Inputs!$B$3-100)*3)+Inputs!$B$27+Inputs!$B$28</f>
        <v/>
      </c>
      <c r="V444">
        <f>IFERROR(1/IF(Inputs!$B$4="pvp",15,MAX(0.1,Skills!D2-IF(Skills!E2=TRUE,Inputs!$B$31,0))),0)</f>
        <v/>
      </c>
    </row>
    <row r="445">
      <c r="A445">
        <f>Skills!A3</f>
        <v/>
      </c>
      <c r="B445">
        <f>Skills!B3</f>
        <v/>
      </c>
      <c r="C445">
        <f>Inputs!$B$3&gt;=15</f>
        <v/>
      </c>
      <c r="D445">
        <f>IF(Skills!C3=1,60+Inputs!$B$24+Inputs!$B$28,IF(Skills!C3=2,90+Inputs!$B$25+Inputs!$B$28,IF(Skills!C3=3,120+Inputs!$B$26+Inputs!$B$28,MAX(0,(Inputs!$B$3-100)*3)+Inputs!$B$27+Inputs!$B$28)))</f>
        <v/>
      </c>
      <c r="E445">
        <f>INDEX(FactorTable!$B$2:$Y$301, MATCH(ROUND(MIN(300,MAX(1,D445)),0), FactorTable!$A$2:$A$301,0), Skills!L3+1)</f>
        <v/>
      </c>
      <c r="F445">
        <f>IF(Skills!M3=TRUE,(Skills!K3/10)*(E445/1000),Skills!K3/10)+Skills!N3</f>
        <v/>
      </c>
      <c r="G445">
        <f>Calc!G3</f>
        <v/>
      </c>
      <c r="H445">
        <f>Calc!H3</f>
        <v/>
      </c>
      <c r="I445">
        <f>IF(Skills!T3&lt;&gt;"",1+(Skills!T3/10)*($Z$3/1000)/100,1)</f>
        <v/>
      </c>
      <c r="J445" t="inlineStr"/>
      <c r="K445" t="inlineStr"/>
      <c r="L445" t="inlineStr"/>
      <c r="M445" t="inlineStr"/>
      <c r="N445" t="inlineStr"/>
      <c r="O445" t="n">
        <v>0</v>
      </c>
      <c r="P445">
        <f>IF(B480=0,0,O445/B480)</f>
        <v/>
      </c>
      <c r="S445">
        <f>IF(AND(Inputs!$B$4&lt;&gt;"pvp",Inputs!$B$35&gt;0),(INT(Inputs!$B$35/IF(Inputs!$B$4="pvp",15,MAX(0.1,Skills!D3-IF(Skills!E3=TRUE,Inputs!$B$31,0))))+1),0)</f>
        <v/>
      </c>
      <c r="T445">
        <f>INDEX(FactorTable!$B$2:$Y$301, MATCH(ROUND(MIN(300,MAX(1,T444)),0), FactorTable!$A$2:$A$301,0), 22)</f>
        <v/>
      </c>
      <c r="V445">
        <f>IFERROR(1/IF(Inputs!$B$4="pvp",15,MAX(0.1,Skills!D3-IF(Skills!E3=TRUE,Inputs!$B$31,0))),0)</f>
        <v/>
      </c>
    </row>
    <row r="446">
      <c r="A446">
        <f>Skills!A4</f>
        <v/>
      </c>
      <c r="B446">
        <f>Skills!B4</f>
        <v/>
      </c>
      <c r="C446">
        <f>Inputs!$B$3&gt;=38</f>
        <v/>
      </c>
      <c r="D446">
        <f>IF(Skills!C4=1,60+Inputs!$B$24+Inputs!$B$28,IF(Skills!C4=2,90+Inputs!$B$25+Inputs!$B$28,IF(Skills!C4=3,120+Inputs!$B$26+Inputs!$B$28,MAX(0,(Inputs!$B$3-100)*3)+Inputs!$B$27+Inputs!$B$28)))</f>
        <v/>
      </c>
      <c r="E446">
        <f>INDEX(FactorTable!$B$2:$Y$301, MATCH(ROUND(MIN(300,MAX(1,D446)),0), FactorTable!$A$2:$A$301,0), Skills!L4+1)</f>
        <v/>
      </c>
      <c r="F446">
        <f>IF(Skills!M4=TRUE,(Skills!K4/10)*(E446/1000),Skills!K4/10)+Skills!N4</f>
        <v/>
      </c>
      <c r="G446">
        <f>Calc!G4</f>
        <v/>
      </c>
      <c r="H446">
        <f>Calc!H4</f>
        <v/>
      </c>
      <c r="I446">
        <f>IF(Skills!T4&lt;&gt;"",1+(Skills!T4/10)*($Z$3/1000)/100,1)</f>
        <v/>
      </c>
      <c r="J446" t="inlineStr"/>
      <c r="K446" t="inlineStr"/>
      <c r="L446" t="inlineStr"/>
      <c r="M446" t="inlineStr"/>
      <c r="N446" t="inlineStr"/>
      <c r="O446" t="n">
        <v>0</v>
      </c>
      <c r="P446">
        <f>IF(B480=0,0,O446/B480)</f>
        <v/>
      </c>
      <c r="S446">
        <f>IF(AND(Inputs!$B$4&lt;&gt;"pvp",Inputs!$B$35&gt;0),(INT(Inputs!$B$35/IF(Inputs!$B$4="pvp",15,MAX(0.1,Skills!D4-IF(Skills!E4=TRUE,Inputs!$B$31,0))))+1),0)</f>
        <v/>
      </c>
      <c r="T446">
        <f>290*T445/1000</f>
        <v/>
      </c>
      <c r="V446">
        <f>IFERROR(1/IF(Inputs!$B$4="pvp",15,MAX(0.1,Skills!D4-IF(Skills!E4=TRUE,Inputs!$B$31,0))),0)</f>
        <v/>
      </c>
    </row>
    <row r="447">
      <c r="A447">
        <f>Skills!A5</f>
        <v/>
      </c>
      <c r="B447">
        <f>Skills!B5</f>
        <v/>
      </c>
      <c r="C447">
        <f>Inputs!$B$3&gt;=40</f>
        <v/>
      </c>
      <c r="D447">
        <f>IF(Skills!C5=1,60+Inputs!$B$24+Inputs!$B$28,IF(Skills!C5=2,90+Inputs!$B$25+Inputs!$B$28,IF(Skills!C5=3,120+Inputs!$B$26+Inputs!$B$28,MAX(0,(Inputs!$B$3-100)*3)+Inputs!$B$27+Inputs!$B$28)))</f>
        <v/>
      </c>
      <c r="E447">
        <f>INDEX(FactorTable!$B$2:$Y$301, MATCH(ROUND(MIN(300,MAX(1,D447)),0), FactorTable!$A$2:$A$301,0), Skills!L5+1)</f>
        <v/>
      </c>
      <c r="F447">
        <f>IF(Skills!M5=TRUE,(Skills!K5/10)*(E447/1000),Skills!K5/10)+Skills!N5</f>
        <v/>
      </c>
      <c r="G447">
        <f>Calc!G5</f>
        <v/>
      </c>
      <c r="H447">
        <f>Calc!H5</f>
        <v/>
      </c>
      <c r="I447">
        <f>IF(Skills!T5&lt;&gt;"",1+(Skills!T5/10)*($Z$3/1000)/100,1)</f>
        <v/>
      </c>
      <c r="J447" t="inlineStr"/>
      <c r="K447" t="inlineStr"/>
      <c r="L447" t="inlineStr"/>
      <c r="M447" t="inlineStr"/>
      <c r="N447" t="inlineStr"/>
      <c r="O447" t="n">
        <v>0</v>
      </c>
      <c r="P447">
        <f>IF(B480=0,0,O447/B480)</f>
        <v/>
      </c>
      <c r="S447">
        <f>IF(AND(Inputs!$B$4&lt;&gt;"pvp",Inputs!$B$35&gt;0),(INT(Inputs!$B$35/IF(Inputs!$B$4="pvp",15,MAX(0.1,Skills!D5-IF(Skills!E5=TRUE,Inputs!$B$31,0))))+1),0)</f>
        <v/>
      </c>
      <c r="V447">
        <f>IFERROR(1/IF(Inputs!$B$4="pvp",15,MAX(0.1,Skills!D5-IF(Skills!E5=TRUE,Inputs!$B$31,0))),0)</f>
        <v/>
      </c>
    </row>
    <row r="448">
      <c r="A448">
        <f>Skills!A6</f>
        <v/>
      </c>
      <c r="B448">
        <f>Skills!B6</f>
        <v/>
      </c>
      <c r="C448">
        <f>Inputs!$B$3&gt;=103</f>
        <v/>
      </c>
      <c r="D448">
        <f>IF(Skills!C6=1,60+Inputs!$B$24+Inputs!$B$28,IF(Skills!C6=2,90+Inputs!$B$25+Inputs!$B$28,IF(Skills!C6=3,120+Inputs!$B$26+Inputs!$B$28,MAX(0,(Inputs!$B$3-100)*3)+Inputs!$B$27+Inputs!$B$28)))</f>
        <v/>
      </c>
      <c r="E448">
        <f>INDEX(FactorTable!$B$2:$Y$301, MATCH(ROUND(MIN(300,MAX(1,D448)),0), FactorTable!$A$2:$A$301,0), Skills!L6+1)</f>
        <v/>
      </c>
      <c r="F448">
        <f>IF(Skills!M6=TRUE,(Skills!K6/10)*(E448/1000),Skills!K6/10)+Skills!N6</f>
        <v/>
      </c>
      <c r="G448">
        <f>Calc!G6</f>
        <v/>
      </c>
      <c r="H448">
        <f>Calc!H6</f>
        <v/>
      </c>
      <c r="I448">
        <f>IF(Skills!T6&lt;&gt;"",1+(Skills!T6/10)*($Z$3/1000)/100,1)</f>
        <v/>
      </c>
      <c r="J448">
        <f>((Inputs!$B$5*(1+Inputs!$B$6/100))+((Inputs!$B$11*(1+Inputs!$B$12/100))-(Inputs!$B$11*(1+Inputs!$B$12/100)))*(1+Inputs!$B$6/100))*(F448/100)</f>
        <v/>
      </c>
      <c r="K448">
        <f>J448*(1+((Inputs!$B$11*(1+Inputs!$B$12/100))*0.01+Inputs!$B$13*0.0025)/100)*(1+(Inputs!$B$14+B473)/100)*(1+IF(Inputs!$B$4="pvp",0,(1-Summary!$B$48)*(Inputs!$B$19+Skills!O6+B471)+Summary!$B$48*(Inputs!$B$20+Skills!P6+B472))/100)*(1+Inputs!$B$15/100)*(5000/(6000+Inputs!$B$7*(1-Inputs!$B$18/100)))*(1+Inputs!$B$23/100)*(1+IF(C459=TRUE,F459,0)/100)*(1+IF(C461=TRUE,F461,0)/100)*(1+IF(Skills!A6="TRIUMPH_FEATHER",IF(C457=TRUE,F457,0),0)/100)*(1+IF(C468=TRUE,F468,0)/100)^5*(1+(IF(Skills!A6="BIG_BANG",Inputs!$B$16,Inputs!$B$17))/100)*(B470*I448)</f>
        <v/>
      </c>
      <c r="L448">
        <f>K448*(MIN(Inputs!$B$21+(F463-Calc!F21),Inputs!$B$22)/100+Inputs!$B$22/100)/2</f>
        <v/>
      </c>
      <c r="M448">
        <f>L448*(1+((Inputs!$B$9+1)+B474+(F466-Calc!F24))/100)</f>
        <v/>
      </c>
      <c r="N448">
        <f>L448*(1-MIN(Inputs!$B$8+((F465-Calc!F23)+(F464-Calc!F22)),100)/100)+M448*(MIN(Inputs!$B$8+((F465-Calc!F23)+(F464-Calc!F22)),100)/100)</f>
        <v/>
      </c>
      <c r="O448">
        <f>IF(C448,H448*N448*IF(AND(Inputs!$B$4&lt;&gt;"pvp",Inputs!$B$35&gt;0),((Skills!F6*((S448-1)*IF(Skills!G6&gt;0,Skills!H6/Skills!G6,1)+IF(Skills!G6&gt;0,MIN(Skills!H6,MAX(0,Inputs!$B$35-((S448-1)*IF(Inputs!$B$4="pvp",15,MAX(0.1,Skills!D6-IF(Skills!E6=TRUE,Inputs!$B$31,0))))))/Skills!G6,1)))/Inputs!$B$35),G448*V448)*IF(Inputs!$B$4="pvp",1,(1-Summary!$B$48)*(1)+Summary!$B$48*(MIN(Skills!Q6,Inputs!$B$37))),0)</f>
        <v/>
      </c>
      <c r="P448">
        <f>IF(B480=0,0,O448/B480)</f>
        <v/>
      </c>
      <c r="S448">
        <f>IF(AND(Inputs!$B$4&lt;&gt;"pvp",Inputs!$B$35&gt;0),(INT(Inputs!$B$35/IF(Inputs!$B$4="pvp",15,MAX(0.1,Skills!D6-IF(Skills!E6=TRUE,Inputs!$B$31,0))))+1),0)</f>
        <v/>
      </c>
      <c r="V448">
        <f>IFERROR(1/IF(Inputs!$B$4="pvp",15,MAX(0.1,Skills!D6-IF(Skills!E6=TRUE,Inputs!$B$31,0))),0)</f>
        <v/>
      </c>
    </row>
    <row r="449">
      <c r="A449">
        <f>Skills!A7</f>
        <v/>
      </c>
      <c r="B449">
        <f>Skills!B7</f>
        <v/>
      </c>
      <c r="C449">
        <f>Inputs!$B$3&gt;=122</f>
        <v/>
      </c>
      <c r="D449">
        <f>IF(Skills!C7=1,60+Inputs!$B$24+Inputs!$B$28,IF(Skills!C7=2,90+Inputs!$B$25+Inputs!$B$28,IF(Skills!C7=3,120+Inputs!$B$26+Inputs!$B$28,MAX(0,(Inputs!$B$3-100)*3)+Inputs!$B$27+Inputs!$B$28)))</f>
        <v/>
      </c>
      <c r="E449">
        <f>INDEX(FactorTable!$B$2:$Y$301, MATCH(ROUND(MIN(300,MAX(1,D449)),0), FactorTable!$A$2:$A$301,0), Skills!L7+1)</f>
        <v/>
      </c>
      <c r="F449">
        <f>IF(Skills!M7=TRUE,(Skills!K7/10)*(E449/1000),Skills!K7/10)+Skills!N7</f>
        <v/>
      </c>
      <c r="G449">
        <f>Calc!G7</f>
        <v/>
      </c>
      <c r="H449">
        <f>Calc!H7</f>
        <v/>
      </c>
      <c r="I449">
        <f>IF(Skills!T7&lt;&gt;"",1+(Skills!T7/10)*($Z$3/1000)/100,1)</f>
        <v/>
      </c>
      <c r="J449">
        <f>((Inputs!$B$5*(1+Inputs!$B$6/100))+((Inputs!$B$11*(1+Inputs!$B$12/100))-(Inputs!$B$11*(1+Inputs!$B$12/100)))*(1+Inputs!$B$6/100))*(F449/100)</f>
        <v/>
      </c>
      <c r="K449">
        <f>J449*(1+((Inputs!$B$11*(1+Inputs!$B$12/100))*0.01+Inputs!$B$13*0.0025)/100)*(1+(Inputs!$B$14+B473)/100)*(1+IF(Inputs!$B$4="pvp",0,(1-Summary!$B$48)*(Inputs!$B$19+Skills!O7+B471)+Summary!$B$48*(Inputs!$B$20+Skills!P7+B472))/100)*(1+Inputs!$B$15/100)*(5000/(6000+Inputs!$B$7*(1-Inputs!$B$18/100)))*(1+Inputs!$B$23/100)*(1+IF(C459=TRUE,F459,0)/100)*(1+IF(C461=TRUE,F461,0)/100)*(1+IF(Skills!A7="TRIUMPH_FEATHER",IF(C457=TRUE,F457,0),0)/100)*(1+IF(C468=TRUE,F468,0)/100)^5*(1+(IF(Skills!A7="BIG_BANG",Inputs!$B$16,Inputs!$B$17))/100)*(B470*I449)</f>
        <v/>
      </c>
      <c r="L449">
        <f>K449*(MIN(Inputs!$B$21+(F463-Calc!F21),Inputs!$B$22)/100+Inputs!$B$22/100)/2</f>
        <v/>
      </c>
      <c r="M449">
        <f>L449*(1+((Inputs!$B$9+1)+B474+(F466-Calc!F24))/100)</f>
        <v/>
      </c>
      <c r="N449">
        <f>L449*(1-MIN(Inputs!$B$8+((F465-Calc!F23)+(F464-Calc!F22)),100)/100)+M449*(MIN(Inputs!$B$8+((F465-Calc!F23)+(F464-Calc!F22)),100)/100)</f>
        <v/>
      </c>
      <c r="O449">
        <f>IF(C449,H449*N449*IF(AND(Inputs!$B$4&lt;&gt;"pvp",Inputs!$B$35&gt;0),((Skills!F7*((S449-1)*IF(Skills!G7&gt;0,Skills!H7/Skills!G7,1)+IF(Skills!G7&gt;0,MIN(Skills!H7,MAX(0,Inputs!$B$35-((S449-1)*IF(Inputs!$B$4="pvp",15,MAX(0.1,Skills!D7-IF(Skills!E6=TRUE,Inputs!$B$31,0))))))/Skills!G7,1)))/Inputs!$B$35),G449*V449)*(1-Summary!$B$48),0)</f>
        <v/>
      </c>
      <c r="P449">
        <f>IF(B480=0,0,O449/B480)</f>
        <v/>
      </c>
      <c r="S449">
        <f>IF(AND(Inputs!$B$4&lt;&gt;"pvp",Inputs!$B$35&gt;0),(INT(Inputs!$B$35/IF(Inputs!$B$4="pvp",15,MAX(0.1,Skills!D7-IF(Skills!E6=TRUE,Inputs!$B$31,0))))+1),0)</f>
        <v/>
      </c>
      <c r="V449">
        <f>IFERROR(1/IF(Inputs!$B$4="pvp",15,MAX(0.1,Skills!D7-IF(Skills!E6=TRUE,Inputs!$B$31,0))),0)</f>
        <v/>
      </c>
    </row>
    <row r="450">
      <c r="A450">
        <f>Skills!A8</f>
        <v/>
      </c>
      <c r="B450">
        <f>Skills!B8</f>
        <v/>
      </c>
      <c r="C450">
        <f>Inputs!$B$3&gt;=105</f>
        <v/>
      </c>
      <c r="D450">
        <f>IF(Skills!C8=1,60+Inputs!$B$24+Inputs!$B$28,IF(Skills!C8=2,90+Inputs!$B$25+Inputs!$B$28,IF(Skills!C8=3,120+Inputs!$B$26+Inputs!$B$28,MAX(0,(Inputs!$B$3-100)*3)+Inputs!$B$27+Inputs!$B$28)))</f>
        <v/>
      </c>
      <c r="E450">
        <f>INDEX(FactorTable!$B$2:$Y$301, MATCH(ROUND(MIN(300,MAX(1,D450)),0), FactorTable!$A$2:$A$301,0), Skills!L8+1)</f>
        <v/>
      </c>
      <c r="F450">
        <f>IF(Skills!M8=TRUE,(Skills!K8/10)*(E450/1000),Skills!K8/10)+Skills!N8</f>
        <v/>
      </c>
      <c r="G450">
        <f>Calc!G8</f>
        <v/>
      </c>
      <c r="H450">
        <f>Calc!H8</f>
        <v/>
      </c>
      <c r="I450">
        <f>IF(Skills!T8&lt;&gt;"",1+(Skills!T8/10)*($Z$3/1000)/100,1)</f>
        <v/>
      </c>
      <c r="J450">
        <f>((Inputs!$B$5*(1+Inputs!$B$6/100))+((Inputs!$B$11*(1+Inputs!$B$12/100))-(Inputs!$B$11*(1+Inputs!$B$12/100)))*(1+Inputs!$B$6/100))*(F450/100)</f>
        <v/>
      </c>
      <c r="K450">
        <f>J450*(1+((Inputs!$B$11*(1+Inputs!$B$12/100))*0.01+Inputs!$B$13*0.0025)/100)*(1+(Inputs!$B$14+B473)/100)*(1+IF(Inputs!$B$4="pvp",0,(1-Summary!$B$48)*(Inputs!$B$19+Skills!O8+B471)+Summary!$B$48*(Inputs!$B$20+Skills!P8+B472))/100)*(1+Inputs!$B$15/100)*(5000/(6000+Inputs!$B$7*(1-Inputs!$B$18/100)))*(1+Inputs!$B$23/100)*(1+IF(C459=TRUE,F459,0)/100)*(1+IF(C461=TRUE,F461,0)/100)*(1+IF(Skills!A8="TRIUMPH_FEATHER",IF(C457=TRUE,F457,0),0)/100)*(1+IF(C468=TRUE,F468,0)/100)^5*(1+(IF(Skills!A8="BIG_BANG",Inputs!$B$16,Inputs!$B$17))/100)*(B470*I450)</f>
        <v/>
      </c>
      <c r="L450">
        <f>K450*(MIN(Inputs!$B$21+(F463-Calc!F21),Inputs!$B$22)/100+Inputs!$B$22/100)/2</f>
        <v/>
      </c>
      <c r="M450">
        <f>L450*(1+((Inputs!$B$9+1)+B474+(F466-Calc!F24))/100)</f>
        <v/>
      </c>
      <c r="N450">
        <f>L450*(1-MIN(Inputs!$B$8+((F465-Calc!F23)+(F464-Calc!F22)),100)/100)+M450*(MIN(Inputs!$B$8+((F465-Calc!F23)+(F464-Calc!F22)),100)/100)</f>
        <v/>
      </c>
      <c r="O450">
        <f>IF(C450,H450*N450*IF(AND(Inputs!$B$4&lt;&gt;"pvp",Inputs!$B$35&gt;0),((Skills!F8*((S450-1)*IF(Skills!G8&gt;0,Skills!H8/Skills!G8,1)+IF(Skills!G8&gt;0,MIN(Skills!H8,MAX(0,Inputs!$B$35-((S450-1)*IF(Inputs!$B$4="pvp",15,MAX(0.1,Skills!D8-IF(Skills!E8=TRUE,Inputs!$B$31,0))))))/Skills!G8,1)))/Inputs!$B$35),G450*V450)*IF(Inputs!$B$4="pvp",1,(1-Summary!$B$48)*(1)+Summary!$B$48*(MIN(Skills!Q8,Inputs!$B$37))),0)</f>
        <v/>
      </c>
      <c r="P450">
        <f>IF(B480=0,0,O450/B480)</f>
        <v/>
      </c>
      <c r="S450">
        <f>IF(AND(Inputs!$B$4&lt;&gt;"pvp",Inputs!$B$35&gt;0),(INT(Inputs!$B$35/IF(Inputs!$B$4="pvp",15,MAX(0.1,Skills!D8-IF(Skills!E8=TRUE,Inputs!$B$31,0))))+1),0)</f>
        <v/>
      </c>
      <c r="V450">
        <f>IFERROR(1/IF(Inputs!$B$4="pvp",15,MAX(0.1,Skills!D8-IF(Skills!E8=TRUE,Inputs!$B$31,0))),0)</f>
        <v/>
      </c>
    </row>
    <row r="451">
      <c r="A451">
        <f>Skills!A9</f>
        <v/>
      </c>
      <c r="B451">
        <f>Skills!B9</f>
        <v/>
      </c>
      <c r="C451">
        <f>Inputs!$B$3&gt;=115</f>
        <v/>
      </c>
      <c r="D451">
        <f>IF(Skills!C9=1,60+Inputs!$B$24+Inputs!$B$28,IF(Skills!C9=2,90+Inputs!$B$25+Inputs!$B$28,IF(Skills!C9=3,120+Inputs!$B$26+Inputs!$B$28,MAX(0,(Inputs!$B$3-100)*3)+Inputs!$B$27+Inputs!$B$28)))</f>
        <v/>
      </c>
      <c r="E451">
        <f>INDEX(FactorTable!$B$2:$Y$301, MATCH(ROUND(MIN(300,MAX(1,D451)),0), FactorTable!$A$2:$A$301,0), Skills!L9+1)</f>
        <v/>
      </c>
      <c r="F451">
        <f>IF(Skills!M9=TRUE,(Skills!K9/10)*(E451/1000),Skills!K9/10)+Skills!N9</f>
        <v/>
      </c>
      <c r="G451">
        <f>Calc!G9</f>
        <v/>
      </c>
      <c r="H451">
        <f>Calc!H9</f>
        <v/>
      </c>
      <c r="I451">
        <f>IF(Skills!T9&lt;&gt;"",1+(Skills!T9/10)*($Z$3/1000)/100,1)</f>
        <v/>
      </c>
      <c r="J451">
        <f>((Inputs!$B$5*(1+Inputs!$B$6/100))+((Inputs!$B$11*(1+Inputs!$B$12/100))-(Inputs!$B$11*(1+Inputs!$B$12/100)))*(1+Inputs!$B$6/100))*(F451/100)</f>
        <v/>
      </c>
      <c r="K451">
        <f>J451*(1+((Inputs!$B$11*(1+Inputs!$B$12/100))*0.01+Inputs!$B$13*0.0025)/100)*(1+(Inputs!$B$14+B473)/100)*(1+IF(Inputs!$B$4="pvp",0,(1-Summary!$B$48)*(Inputs!$B$19+Skills!O9+B471)+Summary!$B$48*(Inputs!$B$20+Skills!P9+B472))/100)*(1+Inputs!$B$15/100)*(5000/(6000+Inputs!$B$7*(1-Inputs!$B$18/100)))*(1+Inputs!$B$23/100)*(1+IF(C459=TRUE,F459,0)/100)*(1+IF(C461=TRUE,F461,0)/100)*(1+IF(Skills!A9="TRIUMPH_FEATHER",IF(C457=TRUE,F457,0),0)/100)*(1+IF(C468=TRUE,F468,0)/100)^5*(1+(IF(Skills!A9="BIG_BANG",Inputs!$B$16,Inputs!$B$17))/100)*(B470*I451)</f>
        <v/>
      </c>
      <c r="L451">
        <f>K451*(MIN(Inputs!$B$21+(F463-Calc!F21),Inputs!$B$22)/100+Inputs!$B$22/100)/2</f>
        <v/>
      </c>
      <c r="M451">
        <f>L451*(1+((Inputs!$B$9+1)+B474+(F466-Calc!F24))/100)</f>
        <v/>
      </c>
      <c r="N451">
        <f>L451*(1-MIN(Inputs!$B$8+((F465-Calc!F23)+(F464-Calc!F22)),100)/100)+M451*(MIN(Inputs!$B$8+((F465-Calc!F23)+(F464-Calc!F22)),100)/100)</f>
        <v/>
      </c>
      <c r="O451">
        <f>IF(C451,H451*N451*IF(AND(Inputs!$B$4&lt;&gt;"pvp",Inputs!$B$35&gt;0),((Skills!F9*((S451-1)*IF(Skills!G9&gt;0,Skills!H9/Skills!G9,1)+IF(Skills!G9&gt;0,MIN(Skills!H9,MAX(0,Inputs!$B$35-((S451-1)*IF(Inputs!$B$4="pvp",15,MAX(0.1,Skills!D9-IF(Skills!E9=TRUE,Inputs!$B$31,0))))))/Skills!G9,1)))/Inputs!$B$35),G451*V451)*IF(Inputs!$B$4="pvp",1,(1-Summary!$B$48)*(1)+Summary!$B$48*(MIN(Skills!Q9,Inputs!$B$37))),0)</f>
        <v/>
      </c>
      <c r="P451">
        <f>IF(B480=0,0,O451/B480)</f>
        <v/>
      </c>
      <c r="S451">
        <f>IF(AND(Inputs!$B$4&lt;&gt;"pvp",Inputs!$B$35&gt;0),(INT(Inputs!$B$35/IF(Inputs!$B$4="pvp",15,MAX(0.1,Skills!D9-IF(Skills!E9=TRUE,Inputs!$B$31,0))))+1),0)</f>
        <v/>
      </c>
      <c r="V451">
        <f>IFERROR(1/IF(Inputs!$B$4="pvp",15,MAX(0.1,Skills!D9-IF(Skills!E9=TRUE,Inputs!$B$31,0))),0)</f>
        <v/>
      </c>
    </row>
    <row r="452">
      <c r="A452">
        <f>Skills!A10</f>
        <v/>
      </c>
      <c r="B452">
        <f>Skills!B10</f>
        <v/>
      </c>
      <c r="C452">
        <f>Inputs!$B$3&gt;=66</f>
        <v/>
      </c>
      <c r="D452">
        <f>IF(Skills!C10=1,60+Inputs!$B$24+Inputs!$B$28,IF(Skills!C10=2,90+Inputs!$B$25+Inputs!$B$28,IF(Skills!C10=3,120+Inputs!$B$26+Inputs!$B$28,MAX(0,(Inputs!$B$3-100)*3)+Inputs!$B$27+Inputs!$B$28)))</f>
        <v/>
      </c>
      <c r="E452">
        <f>INDEX(FactorTable!$B$2:$Y$301, MATCH(ROUND(MIN(300,MAX(1,D452)),0), FactorTable!$A$2:$A$301,0), Skills!L10+1)</f>
        <v/>
      </c>
      <c r="F452" t="n">
        <v>0</v>
      </c>
      <c r="G452">
        <f>Calc!G10</f>
        <v/>
      </c>
      <c r="H452">
        <f>Calc!H10</f>
        <v/>
      </c>
      <c r="I452">
        <f>IF(Skills!T10&lt;&gt;"",1+(Skills!T10/10)*($Z$3/1000)/100,1)</f>
        <v/>
      </c>
      <c r="J452" t="inlineStr"/>
      <c r="K452" t="inlineStr"/>
      <c r="L452" t="inlineStr"/>
      <c r="M452" t="inlineStr"/>
      <c r="N452" t="inlineStr"/>
      <c r="O452" t="n">
        <v>0</v>
      </c>
      <c r="P452">
        <f>IF(B480=0,0,O452/B480)</f>
        <v/>
      </c>
      <c r="S452">
        <f>IF(AND(Inputs!$B$4&lt;&gt;"pvp",Inputs!$B$35&gt;0),(INT(Inputs!$B$35/IF(Inputs!$B$4="pvp",15,MAX(0.1,Skills!D10-IF(Skills!E10=TRUE,Inputs!$B$31,0))))+1),0)</f>
        <v/>
      </c>
      <c r="V452">
        <f>IFERROR(1/IF(Inputs!$B$4="pvp",15,MAX(0.1,Skills!D10-IF(Skills!E10=TRUE,Inputs!$B$31,0))),0)</f>
        <v/>
      </c>
    </row>
    <row r="453">
      <c r="A453">
        <f>Skills!A11</f>
        <v/>
      </c>
      <c r="B453">
        <f>Skills!B11</f>
        <v/>
      </c>
      <c r="C453">
        <f>Inputs!$B$3&gt;=69</f>
        <v/>
      </c>
      <c r="D453">
        <f>IF(Skills!C11=1,60+Inputs!$B$24+Inputs!$B$28,IF(Skills!C11=2,90+Inputs!$B$25+Inputs!$B$28,IF(Skills!C11=3,120+Inputs!$B$26+Inputs!$B$28,MAX(0,(Inputs!$B$3-100)*3)+Inputs!$B$27+Inputs!$B$28)))</f>
        <v/>
      </c>
      <c r="E453">
        <f>INDEX(FactorTable!$B$2:$Y$301, MATCH(ROUND(MIN(300,MAX(1,D453)),0), FactorTable!$A$2:$A$301,0), Skills!L11+1)</f>
        <v/>
      </c>
      <c r="F453">
        <f>IF(Skills!M11=TRUE,(Skills!K11/10)*(E453/1000),Skills!K11/10)+Skills!N11</f>
        <v/>
      </c>
      <c r="G453">
        <f>Calc!G11</f>
        <v/>
      </c>
      <c r="H453">
        <f>Calc!H11</f>
        <v/>
      </c>
      <c r="I453">
        <f>IF(Skills!T11&lt;&gt;"",1+(Skills!T11/10)*($Z$3/1000)/100,1)</f>
        <v/>
      </c>
      <c r="J453" t="inlineStr"/>
      <c r="K453" t="inlineStr"/>
      <c r="L453" t="inlineStr"/>
      <c r="M453" t="inlineStr"/>
      <c r="N453" t="inlineStr"/>
      <c r="O453" t="n">
        <v>0</v>
      </c>
      <c r="P453">
        <f>IF(B480=0,0,O453/B480)</f>
        <v/>
      </c>
      <c r="S453">
        <f>IF(AND(Inputs!$B$4&lt;&gt;"pvp",Inputs!$B$35&gt;0),(INT(Inputs!$B$35/IF(Inputs!$B$4="pvp",15,MAX(0.1,Skills!D11-IF(Skills!E11=TRUE,Inputs!$B$31,0))))+1),0)</f>
        <v/>
      </c>
      <c r="V453">
        <f>IFERROR(1/IF(Inputs!$B$4="pvp",15,MAX(0.1,Skills!D11-IF(Skills!E11=TRUE,Inputs!$B$31,0))),0)</f>
        <v/>
      </c>
    </row>
    <row r="454">
      <c r="A454">
        <f>Skills!A12</f>
        <v/>
      </c>
      <c r="B454">
        <f>Skills!B12</f>
        <v/>
      </c>
      <c r="C454">
        <f>Inputs!$B$3&gt;=72</f>
        <v/>
      </c>
      <c r="D454">
        <f>IF(Skills!C12=1,60+Inputs!$B$24+Inputs!$B$28,IF(Skills!C12=2,90+Inputs!$B$25+Inputs!$B$28,IF(Skills!C12=3,120+Inputs!$B$26+Inputs!$B$28,MAX(0,(Inputs!$B$3-100)*3)+Inputs!$B$27+Inputs!$B$28)))</f>
        <v/>
      </c>
      <c r="E454">
        <f>INDEX(FactorTable!$B$2:$Y$301, MATCH(ROUND(MIN(300,MAX(1,D454)),0), FactorTable!$A$2:$A$301,0), Skills!L12+1)</f>
        <v/>
      </c>
      <c r="F454">
        <f>IF(Skills!M12=TRUE,(Skills!K12/10)*(E454/1000),Skills!K12/10)+Skills!N12</f>
        <v/>
      </c>
      <c r="G454">
        <f>Calc!G12</f>
        <v/>
      </c>
      <c r="H454">
        <f>Calc!H12</f>
        <v/>
      </c>
      <c r="I454">
        <f>IF(Skills!T12&lt;&gt;"",1+(Skills!T12/10)*($Z$3/1000)/100,1)</f>
        <v/>
      </c>
      <c r="J454" t="inlineStr"/>
      <c r="K454" t="inlineStr"/>
      <c r="L454" t="inlineStr"/>
      <c r="M454" t="inlineStr"/>
      <c r="N454" t="inlineStr"/>
      <c r="O454" t="n">
        <v>0</v>
      </c>
      <c r="P454">
        <f>IF(B480=0,0,O454/B480)</f>
        <v/>
      </c>
      <c r="S454">
        <f>IF(AND(Inputs!$B$4&lt;&gt;"pvp",Inputs!$B$35&gt;0),(INT(Inputs!$B$35/IF(Inputs!$B$4="pvp",15,MAX(0.1,Skills!D12-IF(Skills!E12=TRUE,Inputs!$B$31,0))))+1),0)</f>
        <v/>
      </c>
      <c r="V454">
        <f>IFERROR(1/IF(Inputs!$B$4="pvp",15,MAX(0.1,Skills!D12-IF(Skills!E12=TRUE,Inputs!$B$31,0))),0)</f>
        <v/>
      </c>
    </row>
    <row r="455">
      <c r="A455">
        <f>Skills!A13</f>
        <v/>
      </c>
      <c r="B455">
        <f>Skills!B13</f>
        <v/>
      </c>
      <c r="C455">
        <f>Inputs!$B$3&gt;=107</f>
        <v/>
      </c>
      <c r="D455">
        <f>IF(Skills!C13=1,60+Inputs!$B$24+Inputs!$B$28,IF(Skills!C13=2,90+Inputs!$B$25+Inputs!$B$28,IF(Skills!C13=3,120+Inputs!$B$26+Inputs!$B$28,MAX(0,(Inputs!$B$3-100)*3)+Inputs!$B$27+Inputs!$B$28)))</f>
        <v/>
      </c>
      <c r="E455">
        <f>INDEX(FactorTable!$B$2:$Y$301, MATCH(ROUND(MIN(300,MAX(1,D455)),0), FactorTable!$A$2:$A$301,0), Skills!L13+1)</f>
        <v/>
      </c>
      <c r="F455">
        <f>IF(Skills!M13=TRUE,(Skills!K13/10)*(E455/1000),Skills!K13/10)+Skills!N13</f>
        <v/>
      </c>
      <c r="G455">
        <f>Calc!G13</f>
        <v/>
      </c>
      <c r="H455">
        <f>Calc!H13</f>
        <v/>
      </c>
      <c r="I455">
        <f>IF(Skills!T13&lt;&gt;"",1+(Skills!T13/10)*($Z$3/1000)/100,1)</f>
        <v/>
      </c>
      <c r="J455" t="inlineStr"/>
      <c r="K455" t="inlineStr"/>
      <c r="L455" t="inlineStr"/>
      <c r="M455" t="inlineStr"/>
      <c r="N455" t="inlineStr"/>
      <c r="O455" t="n">
        <v>0</v>
      </c>
      <c r="P455">
        <f>IF(B480=0,0,O455/B480)</f>
        <v/>
      </c>
      <c r="S455">
        <f>IF(AND(Inputs!$B$4&lt;&gt;"pvp",Inputs!$B$35&gt;0),(INT(Inputs!$B$35/IF(Inputs!$B$4="pvp",15,MAX(0.1,Skills!D13-IF(Skills!E13=TRUE,Inputs!$B$31,0))))+1),0)</f>
        <v/>
      </c>
      <c r="V455">
        <f>IFERROR(1/IF(Inputs!$B$4="pvp",15,MAX(0.1,Skills!D13-IF(Skills!E13=TRUE,Inputs!$B$31,0))),0)</f>
        <v/>
      </c>
    </row>
    <row r="456">
      <c r="A456">
        <f>Skills!A14</f>
        <v/>
      </c>
      <c r="B456">
        <f>Skills!B14</f>
        <v/>
      </c>
      <c r="C456">
        <f>Inputs!$B$3&gt;=63</f>
        <v/>
      </c>
      <c r="D456">
        <f>IF(Skills!C14=1,60+Inputs!$B$24+Inputs!$B$28,IF(Skills!C14=2,90+Inputs!$B$25+Inputs!$B$28,IF(Skills!C14=3,120+Inputs!$B$26+Inputs!$B$28,MAX(0,(Inputs!$B$3-100)*3)+Inputs!$B$27+Inputs!$B$28)))</f>
        <v/>
      </c>
      <c r="E456">
        <f>INDEX(FactorTable!$B$2:$Y$301, MATCH(ROUND(MIN(300,MAX(1,D456)),0), FactorTable!$A$2:$A$301,0), Skills!L14+1)</f>
        <v/>
      </c>
      <c r="F456">
        <f>IF(Skills!M14=TRUE,(Skills!K14/10)*(E456/1000),Skills!K14/10)+Skills!N14</f>
        <v/>
      </c>
      <c r="G456">
        <f>Calc!G14</f>
        <v/>
      </c>
      <c r="H456">
        <f>Calc!H14</f>
        <v/>
      </c>
      <c r="I456">
        <f>IF(Skills!T14&lt;&gt;"",1+(Skills!T14/10)*($Z$3/1000)/100,1)</f>
        <v/>
      </c>
      <c r="J456">
        <f>((Inputs!$B$5*(1+Inputs!$B$6/100))+((Inputs!$B$11*(1+Inputs!$B$12/100))-(Inputs!$B$11*(1+Inputs!$B$12/100)))*(1+Inputs!$B$6/100))*(F456/100)</f>
        <v/>
      </c>
      <c r="K456">
        <f>J456*(1+((Inputs!$B$11*(1+Inputs!$B$12/100))*0.01+Inputs!$B$13*0.0025)/100)*(1+(Inputs!$B$14+B473)/100)*(1+IF(Inputs!$B$4="pvp",0,(1-Summary!$B$48)*(Inputs!$B$19+Skills!O14+B471)+Summary!$B$48*(Inputs!$B$20+Skills!P14+B472))/100)*(1+Inputs!$B$15/100)*(5000/(6000+Inputs!$B$7*(1-Inputs!$B$18/100)))*(1+Inputs!$B$23/100)*(1+IF(C459=TRUE,F459,0)/100)*(1+IF(C461=TRUE,F461,0)/100)*(1+IF(Skills!A14="TRIUMPH_FEATHER",IF(C457=TRUE,F457,0),0)/100)*(1+IF(C468=TRUE,F468,0)/100)^5*(1+(IF(Skills!A14="BIG_BANG",Inputs!$B$16,Inputs!$B$17))/100)*(B470*I456)</f>
        <v/>
      </c>
      <c r="L456">
        <f>K456*(MIN(Inputs!$B$21+(F463-Calc!F21),Inputs!$B$22)/100+Inputs!$B$22/100)/2</f>
        <v/>
      </c>
      <c r="M456">
        <f>L456*(1+((Inputs!$B$9+1)+B474+(F466-Calc!F24))/100)</f>
        <v/>
      </c>
      <c r="N456">
        <f>L456*(1-MIN(Inputs!$B$8+((F465-Calc!F23)+(F464-Calc!F22)),100)/100)+M456*(MIN(Inputs!$B$8+((F465-Calc!F23)+(F464-Calc!F22)),100)/100)</f>
        <v/>
      </c>
      <c r="O456">
        <f>IF(C456,Skills!F14*N456*((IF(Inputs!$B$3&gt;=78,25,15)/100*B476*10)/(1+IF(Inputs!$B$3&gt;=78,25,15)/100*B476*10))*(Skills!I14/100*B476)/(1+Skills!G14*Skills!I14/100*B476)*IF(Inputs!$B$4="pvp",1,(1-Summary!$B$48)*(1)+Summary!$B$48*(MIN(Skills!Q14,Inputs!$B$37))),0)</f>
        <v/>
      </c>
      <c r="P456">
        <f>IF(B480=0,0,O456/B480)</f>
        <v/>
      </c>
      <c r="S456" t="n">
        <v>0</v>
      </c>
      <c r="V456">
        <f>IFERROR(1/IF(Inputs!$B$4="pvp",15,MAX(0.1,Skills!D14-IF(Skills!E14=TRUE,Inputs!$B$31,0))),0)</f>
        <v/>
      </c>
    </row>
    <row r="457">
      <c r="A457">
        <f>Skills!A15</f>
        <v/>
      </c>
      <c r="B457">
        <f>Skills!B15</f>
        <v/>
      </c>
      <c r="C457">
        <f>Inputs!$B$3&gt;=100</f>
        <v/>
      </c>
      <c r="D457">
        <f>IF(Skills!C15=1,60+Inputs!$B$24+Inputs!$B$28,IF(Skills!C15=2,90+Inputs!$B$25+Inputs!$B$28,IF(Skills!C15=3,120+Inputs!$B$26+Inputs!$B$28,MAX(0,(Inputs!$B$3-100)*3)+Inputs!$B$27+Inputs!$B$28)))</f>
        <v/>
      </c>
      <c r="E457">
        <f>INDEX(FactorTable!$B$2:$Y$301, MATCH(ROUND(MIN(300,MAX(1,D457)),0), FactorTable!$A$2:$A$301,0), Skills!L15+1)</f>
        <v/>
      </c>
      <c r="F457">
        <f>IF(Skills!M15=TRUE,(Skills!K15/10)*(E457/1000),Skills!K15/10)+Skills!N15</f>
        <v/>
      </c>
      <c r="G457">
        <f>Calc!G15</f>
        <v/>
      </c>
      <c r="H457">
        <f>Calc!H15</f>
        <v/>
      </c>
      <c r="I457">
        <f>IF(Skills!T15&lt;&gt;"",1+(Skills!T15/10)*($Z$3/1000)/100,1)</f>
        <v/>
      </c>
      <c r="J457" t="inlineStr"/>
      <c r="K457" t="inlineStr"/>
      <c r="L457" t="inlineStr"/>
      <c r="M457" t="inlineStr"/>
      <c r="N457" t="inlineStr"/>
      <c r="O457" t="n">
        <v>0</v>
      </c>
      <c r="P457">
        <f>IF(B480=0,0,O457/B480)</f>
        <v/>
      </c>
      <c r="S457" t="n">
        <v>0</v>
      </c>
      <c r="V457">
        <f>IFERROR(1/IF(Inputs!$B$4="pvp",15,MAX(0.1,Skills!D15-IF(Skills!E15=TRUE,Inputs!$B$31,0))),0)</f>
        <v/>
      </c>
    </row>
    <row r="458">
      <c r="A458">
        <f>Skills!A16</f>
        <v/>
      </c>
      <c r="B458">
        <f>Skills!B16</f>
        <v/>
      </c>
      <c r="C458">
        <f>Inputs!$B$3&gt;=49</f>
        <v/>
      </c>
      <c r="D458">
        <f>IF(Skills!C16=1,60+Inputs!$B$24+Inputs!$B$28,IF(Skills!C16=2,90+Inputs!$B$25+Inputs!$B$28,IF(Skills!C16=3,120+Inputs!$B$26+Inputs!$B$28,MAX(0,(Inputs!$B$3-100)*3)+Inputs!$B$27+Inputs!$B$28)))</f>
        <v/>
      </c>
      <c r="E458">
        <f>INDEX(FactorTable!$B$2:$Y$301, MATCH(ROUND(MIN(300,MAX(1,D458)),0), FactorTable!$A$2:$A$301,0), Skills!L16+1)</f>
        <v/>
      </c>
      <c r="F458">
        <f>IF(Skills!M16=TRUE,(Skills!K16/10)*(E458/1000),Skills!K16/10)+Skills!N16</f>
        <v/>
      </c>
      <c r="G458">
        <f>Calc!G16</f>
        <v/>
      </c>
      <c r="H458">
        <f>Calc!H16</f>
        <v/>
      </c>
      <c r="I458">
        <f>IF(Skills!T16&lt;&gt;"",1+(Skills!T16/10)*($Z$3/1000)/100,1)</f>
        <v/>
      </c>
      <c r="J458" t="inlineStr"/>
      <c r="K458" t="inlineStr"/>
      <c r="L458" t="inlineStr"/>
      <c r="M458" t="inlineStr"/>
      <c r="N458" t="inlineStr"/>
      <c r="O458" t="n">
        <v>0</v>
      </c>
      <c r="P458">
        <f>IF(B480=0,0,O458/B480)</f>
        <v/>
      </c>
      <c r="S458" t="n">
        <v>0</v>
      </c>
      <c r="V458">
        <f>IFERROR(1/IF(Inputs!$B$4="pvp",15,MAX(0.1,Skills!D16-IF(Skills!E16=TRUE,Inputs!$B$31,0))),0)</f>
        <v/>
      </c>
    </row>
    <row r="459">
      <c r="A459">
        <f>Skills!A17</f>
        <v/>
      </c>
      <c r="B459">
        <f>Skills!B17</f>
        <v/>
      </c>
      <c r="C459">
        <f>Inputs!$B$3&gt;=75</f>
        <v/>
      </c>
      <c r="D459">
        <f>IF(Skills!C17=1,60+Inputs!$B$24+Inputs!$B$28,IF(Skills!C17=2,90+Inputs!$B$25+Inputs!$B$28,IF(Skills!C17=3,120+Inputs!$B$26+Inputs!$B$28,MAX(0,(Inputs!$B$3-100)*3)+Inputs!$B$27+Inputs!$B$28)))</f>
        <v/>
      </c>
      <c r="E459">
        <f>INDEX(FactorTable!$B$2:$Y$301, MATCH(ROUND(MIN(300,MAX(1,D459)),0), FactorTable!$A$2:$A$301,0), Skills!L17+1)</f>
        <v/>
      </c>
      <c r="F459">
        <f>IF(Skills!M17=TRUE,(Skills!K17/10)*(E459/1000),Skills!K17/10)+Skills!N17</f>
        <v/>
      </c>
      <c r="G459">
        <f>Calc!G17</f>
        <v/>
      </c>
      <c r="H459">
        <f>Calc!H17</f>
        <v/>
      </c>
      <c r="I459">
        <f>IF(Skills!T17&lt;&gt;"",1+(Skills!T17/10)*($Z$3/1000)/100,1)</f>
        <v/>
      </c>
      <c r="J459" t="inlineStr"/>
      <c r="K459" t="inlineStr"/>
      <c r="L459" t="inlineStr"/>
      <c r="M459" t="inlineStr"/>
      <c r="N459" t="inlineStr"/>
      <c r="O459" t="n">
        <v>0</v>
      </c>
      <c r="P459">
        <f>IF(B480=0,0,O459/B480)</f>
        <v/>
      </c>
      <c r="S459" t="n">
        <v>0</v>
      </c>
      <c r="V459">
        <f>IFERROR(1/IF(Inputs!$B$4="pvp",15,MAX(0.1,Skills!D17-IF(Skills!E17=TRUE,Inputs!$B$31,0))),0)</f>
        <v/>
      </c>
    </row>
    <row r="460">
      <c r="A460">
        <f>Skills!A18</f>
        <v/>
      </c>
      <c r="B460">
        <f>Skills!B18</f>
        <v/>
      </c>
      <c r="C460">
        <f>Inputs!$B$3&gt;=110</f>
        <v/>
      </c>
      <c r="D460">
        <f>IF(Skills!C18=1,60+Inputs!$B$24+Inputs!$B$28,IF(Skills!C18=2,90+Inputs!$B$25+Inputs!$B$28,IF(Skills!C18=3,120+Inputs!$B$26+Inputs!$B$28,MAX(0,(Inputs!$B$3-100)*3)+Inputs!$B$27+Inputs!$B$28)))</f>
        <v/>
      </c>
      <c r="E460">
        <f>INDEX(FactorTable!$B$2:$Y$301, MATCH(ROUND(MIN(300,MAX(1,D460)),0), FactorTable!$A$2:$A$301,0), Skills!L18+1)</f>
        <v/>
      </c>
      <c r="F460">
        <f>(Skills!K18/10)*(E460/1000)*64/45+Skills!N18</f>
        <v/>
      </c>
      <c r="G460">
        <f>Calc!G18</f>
        <v/>
      </c>
      <c r="H460">
        <f>Calc!H18</f>
        <v/>
      </c>
      <c r="I460">
        <f>IF(Skills!T18&lt;&gt;"",1+(Skills!T18/10)*($Z$3/1000)/100,1)</f>
        <v/>
      </c>
      <c r="J460" t="inlineStr"/>
      <c r="K460" t="inlineStr"/>
      <c r="L460" t="inlineStr"/>
      <c r="M460" t="inlineStr"/>
      <c r="N460" t="inlineStr"/>
      <c r="O460" t="n">
        <v>0</v>
      </c>
      <c r="P460">
        <f>IF(B480=0,0,O460/B480)</f>
        <v/>
      </c>
      <c r="S460">
        <f>IF(AND(Inputs!$B$4&lt;&gt;"pvp",Inputs!$B$35&gt;0),(INT(Inputs!$B$35/IF(Inputs!$B$4="pvp",15,MAX(0.1,Skills!D18-IF(Skills!E18=TRUE,Inputs!$B$31,0))))+1),0)</f>
        <v/>
      </c>
      <c r="V460">
        <f>IFERROR(1/IF(Inputs!$B$4="pvp",15,MAX(0.1,Skills!D18-IF(Skills!E18=TRUE,Inputs!$B$31,0))),0)</f>
        <v/>
      </c>
    </row>
    <row r="461">
      <c r="A461">
        <f>Skills!A19</f>
        <v/>
      </c>
      <c r="B461">
        <f>Skills!B19</f>
        <v/>
      </c>
      <c r="C461">
        <f>Inputs!$B$3&gt;=125</f>
        <v/>
      </c>
      <c r="D461">
        <f>IF(Skills!C19=1,60+Inputs!$B$24+Inputs!$B$28,IF(Skills!C19=2,90+Inputs!$B$25+Inputs!$B$28,IF(Skills!C19=3,120+Inputs!$B$26+Inputs!$B$28,MAX(0,(Inputs!$B$3-100)*3)+Inputs!$B$27+Inputs!$B$28)))</f>
        <v/>
      </c>
      <c r="E461">
        <f>INDEX(FactorTable!$B$2:$Y$301, MATCH(ROUND(MIN(300,MAX(1,D461)),0), FactorTable!$A$2:$A$301,0), Skills!L19+1)</f>
        <v/>
      </c>
      <c r="F461">
        <f>IF(Skills!M19=TRUE,(Skills!K19/10)*(E461/1000),Skills!K19/10)+Skills!N19</f>
        <v/>
      </c>
      <c r="G461">
        <f>Calc!G19</f>
        <v/>
      </c>
      <c r="H461">
        <f>Calc!H19</f>
        <v/>
      </c>
      <c r="I461">
        <f>IF(Skills!T19&lt;&gt;"",1+(Skills!T19/10)*($Z$3/1000)/100,1)</f>
        <v/>
      </c>
      <c r="J461" t="inlineStr"/>
      <c r="K461" t="inlineStr"/>
      <c r="L461" t="inlineStr"/>
      <c r="M461" t="inlineStr"/>
      <c r="N461" t="inlineStr"/>
      <c r="O461" t="n">
        <v>0</v>
      </c>
      <c r="P461">
        <f>IF(B480=0,0,O461/B480)</f>
        <v/>
      </c>
      <c r="S461" t="n">
        <v>0</v>
      </c>
      <c r="V461">
        <f>IFERROR(1/IF(Inputs!$B$4="pvp",15,MAX(0.1,Skills!D19-IF(Skills!E19=TRUE,Inputs!$B$31,0))),0)</f>
        <v/>
      </c>
    </row>
    <row r="462">
      <c r="A462">
        <f>Skills!A20</f>
        <v/>
      </c>
      <c r="B462">
        <f>Skills!B20</f>
        <v/>
      </c>
      <c r="C462">
        <f>Inputs!$B$3&gt;=33</f>
        <v/>
      </c>
      <c r="D462">
        <f>IF(Skills!C20=1,60+Inputs!$B$24+Inputs!$B$28,IF(Skills!C20=2,90+Inputs!$B$25+Inputs!$B$28,IF(Skills!C20=3,120+Inputs!$B$26+Inputs!$B$28,MAX(0,(Inputs!$B$3-100)*3)+Inputs!$B$27+Inputs!$B$28)))</f>
        <v/>
      </c>
      <c r="E462">
        <f>INDEX(FactorTable!$B$2:$Y$301, MATCH(ROUND(MIN(300,MAX(1,D462)),0), FactorTable!$A$2:$A$301,0), Skills!L20+1)</f>
        <v/>
      </c>
      <c r="F462">
        <f>IF(Skills!M20=TRUE,(Skills!K20/10)*(E462/1000),Skills!K20/10)+Skills!N20</f>
        <v/>
      </c>
      <c r="G462">
        <f>Calc!G20</f>
        <v/>
      </c>
      <c r="H462">
        <f>Calc!H20</f>
        <v/>
      </c>
      <c r="I462">
        <f>IF(Skills!T20&lt;&gt;"",1+(Skills!T20/10)*($Z$3/1000)/100,1)</f>
        <v/>
      </c>
      <c r="J462" t="inlineStr"/>
      <c r="K462" t="inlineStr"/>
      <c r="L462" t="inlineStr"/>
      <c r="M462" t="inlineStr"/>
      <c r="N462" t="inlineStr"/>
      <c r="O462" t="n">
        <v>0</v>
      </c>
      <c r="P462">
        <f>IF(B480=0,0,O462/B480)</f>
        <v/>
      </c>
      <c r="S462" t="n">
        <v>0</v>
      </c>
      <c r="V462">
        <f>IFERROR(1/IF(Inputs!$B$4="pvp",15,MAX(0.1,Skills!D20-IF(Skills!E20=TRUE,Inputs!$B$31,0))),0)</f>
        <v/>
      </c>
    </row>
    <row r="463">
      <c r="A463">
        <f>Skills!A21</f>
        <v/>
      </c>
      <c r="B463">
        <f>Skills!B21</f>
        <v/>
      </c>
      <c r="C463">
        <f>Inputs!$B$3&gt;=43</f>
        <v/>
      </c>
      <c r="D463">
        <f>IF(Skills!C21=1,60+Inputs!$B$24+Inputs!$B$28,IF(Skills!C21=2,90+Inputs!$B$25+Inputs!$B$28,IF(Skills!C21=3,120+Inputs!$B$26+Inputs!$B$28,MAX(0,(Inputs!$B$3-100)*3)+Inputs!$B$27+Inputs!$B$28)))</f>
        <v/>
      </c>
      <c r="E463">
        <f>INDEX(FactorTable!$B$2:$Y$301, MATCH(ROUND(MIN(300,MAX(1,D463)),0), FactorTable!$A$2:$A$301,0), Skills!L21+1)</f>
        <v/>
      </c>
      <c r="F463">
        <f>IF(Skills!M21=TRUE,(Skills!K21/10)*(E463/1000),Skills!K21/10)+Skills!N21</f>
        <v/>
      </c>
      <c r="G463">
        <f>Calc!G21</f>
        <v/>
      </c>
      <c r="H463">
        <f>Calc!H21</f>
        <v/>
      </c>
      <c r="I463">
        <f>IF(Skills!T21&lt;&gt;"",1+(Skills!T21/10)*($Z$3/1000)/100,1)</f>
        <v/>
      </c>
      <c r="J463" t="inlineStr"/>
      <c r="K463" t="inlineStr"/>
      <c r="L463" t="inlineStr"/>
      <c r="M463" t="inlineStr"/>
      <c r="N463" t="inlineStr"/>
      <c r="O463" t="n">
        <v>0</v>
      </c>
      <c r="P463">
        <f>IF(B480=0,0,O463/B480)</f>
        <v/>
      </c>
      <c r="S463" t="n">
        <v>0</v>
      </c>
      <c r="V463">
        <f>IFERROR(1/IF(Inputs!$B$4="pvp",15,MAX(0.1,Skills!D21-IF(Skills!E21=TRUE,Inputs!$B$31,0))),0)</f>
        <v/>
      </c>
    </row>
    <row r="464">
      <c r="A464">
        <f>Skills!A22</f>
        <v/>
      </c>
      <c r="B464">
        <f>Skills!B22</f>
        <v/>
      </c>
      <c r="C464">
        <f>Inputs!$B$3&gt;=50</f>
        <v/>
      </c>
      <c r="D464">
        <f>IF(Skills!C22=1,60+Inputs!$B$24+Inputs!$B$28,IF(Skills!C22=2,90+Inputs!$B$25+Inputs!$B$28,IF(Skills!C22=3,120+Inputs!$B$26+Inputs!$B$28,MAX(0,(Inputs!$B$3-100)*3)+Inputs!$B$27+Inputs!$B$28)))</f>
        <v/>
      </c>
      <c r="E464">
        <f>INDEX(FactorTable!$B$2:$Y$301, MATCH(ROUND(MIN(300,MAX(1,D464)),0), FactorTable!$A$2:$A$301,0), Skills!L22+1)</f>
        <v/>
      </c>
      <c r="F464">
        <f>IF(Skills!M22=TRUE,(Skills!K22/10)*(E464/1000),Skills!K22/10)+Skills!N22</f>
        <v/>
      </c>
      <c r="G464">
        <f>Calc!G22</f>
        <v/>
      </c>
      <c r="H464">
        <f>Calc!H22</f>
        <v/>
      </c>
      <c r="I464">
        <f>IF(Skills!T22&lt;&gt;"",1+(Skills!T22/10)*($Z$3/1000)/100,1)</f>
        <v/>
      </c>
      <c r="J464" t="inlineStr"/>
      <c r="K464" t="inlineStr"/>
      <c r="L464" t="inlineStr"/>
      <c r="M464" t="inlineStr"/>
      <c r="N464" t="inlineStr"/>
      <c r="O464" t="n">
        <v>0</v>
      </c>
      <c r="P464">
        <f>IF(B480=0,0,O464/B480)</f>
        <v/>
      </c>
      <c r="S464" t="n">
        <v>0</v>
      </c>
      <c r="V464">
        <f>IFERROR(1/IF(Inputs!$B$4="pvp",15,MAX(0.1,Skills!D22-IF(Skills!E22=TRUE,Inputs!$B$31,0))),0)</f>
        <v/>
      </c>
    </row>
    <row r="465">
      <c r="A465">
        <f>Skills!A23</f>
        <v/>
      </c>
      <c r="B465">
        <f>Skills!B23</f>
        <v/>
      </c>
      <c r="C465">
        <f>Inputs!$B$3&gt;=74</f>
        <v/>
      </c>
      <c r="D465">
        <f>IF(Skills!C23=1,60+Inputs!$B$24+Inputs!$B$28,IF(Skills!C23=2,90+Inputs!$B$25+Inputs!$B$28,IF(Skills!C23=3,120+Inputs!$B$26+Inputs!$B$28,MAX(0,(Inputs!$B$3-100)*3)+Inputs!$B$27+Inputs!$B$28)))</f>
        <v/>
      </c>
      <c r="E465">
        <f>INDEX(FactorTable!$B$2:$Y$301, MATCH(ROUND(MIN(300,MAX(1,D465)),0), FactorTable!$A$2:$A$301,0), Skills!L23+1)</f>
        <v/>
      </c>
      <c r="F465">
        <f>IF(Skills!M23=TRUE,(Skills!K23/10)*(E465/1000),Skills!K23/10)+Skills!N23</f>
        <v/>
      </c>
      <c r="G465">
        <f>Calc!G23</f>
        <v/>
      </c>
      <c r="H465">
        <f>Calc!H23</f>
        <v/>
      </c>
      <c r="I465">
        <f>IF(Skills!T23&lt;&gt;"",1+(Skills!T23/10)*($Z$3/1000)/100,1)</f>
        <v/>
      </c>
      <c r="J465" t="inlineStr"/>
      <c r="K465" t="inlineStr"/>
      <c r="L465" t="inlineStr"/>
      <c r="M465" t="inlineStr"/>
      <c r="N465" t="inlineStr"/>
      <c r="O465" t="n">
        <v>0</v>
      </c>
      <c r="P465">
        <f>IF(B480=0,0,O465/B480)</f>
        <v/>
      </c>
      <c r="S465" t="n">
        <v>0</v>
      </c>
      <c r="V465">
        <f>IFERROR(1/IF(Inputs!$B$4="pvp",15,MAX(0.1,Skills!D23-IF(Skills!E23=TRUE,Inputs!$B$31,0))),0)</f>
        <v/>
      </c>
    </row>
    <row r="466">
      <c r="A466">
        <f>Skills!A24</f>
        <v/>
      </c>
      <c r="B466">
        <f>Skills!B24</f>
        <v/>
      </c>
      <c r="C466">
        <f>Inputs!$B$3&gt;=74</f>
        <v/>
      </c>
      <c r="D466">
        <f>IF(Skills!C24=1,60+Inputs!$B$24+Inputs!$B$28,IF(Skills!C24=2,90+Inputs!$B$25+Inputs!$B$28,IF(Skills!C24=3,120+Inputs!$B$26+Inputs!$B$28,MAX(0,(Inputs!$B$3-100)*3)+Inputs!$B$27+Inputs!$B$28)))</f>
        <v/>
      </c>
      <c r="E466">
        <f>INDEX(FactorTable!$B$2:$Y$301, MATCH(ROUND(MIN(300,MAX(1,D466)),0), FactorTable!$A$2:$A$301,0), Skills!L24+1)</f>
        <v/>
      </c>
      <c r="F466">
        <f>IF(Skills!M24=TRUE,(Skills!K24/10)*(E466/1000),Skills!K24/10)+Skills!N24</f>
        <v/>
      </c>
      <c r="G466">
        <f>Calc!G24</f>
        <v/>
      </c>
      <c r="H466">
        <f>Calc!H24</f>
        <v/>
      </c>
      <c r="I466">
        <f>IF(Skills!T24&lt;&gt;"",1+(Skills!T24/10)*($Z$3/1000)/100,1)</f>
        <v/>
      </c>
      <c r="J466" t="inlineStr"/>
      <c r="K466" t="inlineStr"/>
      <c r="L466" t="inlineStr"/>
      <c r="M466" t="inlineStr"/>
      <c r="N466" t="inlineStr"/>
      <c r="O466" t="n">
        <v>0</v>
      </c>
      <c r="P466">
        <f>IF(B480=0,0,O466/B480)</f>
        <v/>
      </c>
      <c r="S466" t="n">
        <v>0</v>
      </c>
      <c r="V466">
        <f>IFERROR(1/IF(Inputs!$B$4="pvp",15,MAX(0.1,Skills!D24-IF(Skills!E24=TRUE,Inputs!$B$31,0))),0)</f>
        <v/>
      </c>
    </row>
    <row r="467">
      <c r="A467">
        <f>Skills!A25</f>
        <v/>
      </c>
      <c r="B467">
        <f>Skills!B25</f>
        <v/>
      </c>
      <c r="C467">
        <f>Inputs!$B$3&gt;=117</f>
        <v/>
      </c>
      <c r="D467">
        <f>IF(Skills!C25=1,60+Inputs!$B$24+Inputs!$B$28,IF(Skills!C25=2,90+Inputs!$B$25+Inputs!$B$28,IF(Skills!C25=3,120+Inputs!$B$26+Inputs!$B$28,MAX(0,(Inputs!$B$3-100)*3)+Inputs!$B$27+Inputs!$B$28)))</f>
        <v/>
      </c>
      <c r="E467">
        <f>INDEX(FactorTable!$B$2:$Y$301, MATCH(ROUND(MIN(300,MAX(1,D467)),0), FactorTable!$A$2:$A$301,0), Skills!L25+1)</f>
        <v/>
      </c>
      <c r="F467">
        <f>IF(Skills!M25=TRUE,(Skills!K25/10)*(E467/1000),Skills!K25/10)+Skills!N25</f>
        <v/>
      </c>
      <c r="G467">
        <f>Calc!G25</f>
        <v/>
      </c>
      <c r="H467">
        <f>Calc!H25</f>
        <v/>
      </c>
      <c r="I467">
        <f>IF(Skills!T25&lt;&gt;"",1+(Skills!T25/10)*($Z$3/1000)/100,1)</f>
        <v/>
      </c>
      <c r="J467" t="inlineStr"/>
      <c r="K467" t="inlineStr"/>
      <c r="L467" t="inlineStr"/>
      <c r="M467" t="inlineStr"/>
      <c r="N467" t="inlineStr"/>
      <c r="O467" t="n">
        <v>0</v>
      </c>
      <c r="P467">
        <f>IF(B480=0,0,O467/B480)</f>
        <v/>
      </c>
      <c r="S467" t="n">
        <v>0</v>
      </c>
      <c r="V467">
        <f>IFERROR(1/IF(Inputs!$B$4="pvp",15,MAX(0.1,Skills!D25-IF(Skills!E25=TRUE,Inputs!$B$31,0))),0)</f>
        <v/>
      </c>
    </row>
    <row r="468">
      <c r="A468">
        <f>Skills!A26</f>
        <v/>
      </c>
      <c r="B468">
        <f>Skills!B26</f>
        <v/>
      </c>
      <c r="C468">
        <f>Inputs!$B$3&gt;=120</f>
        <v/>
      </c>
      <c r="D468">
        <f>IF(Skills!C26=1,60+Inputs!$B$24+Inputs!$B$28,IF(Skills!C26=2,90+Inputs!$B$25+Inputs!$B$28,IF(Skills!C26=3,120+Inputs!$B$26+Inputs!$B$28,MAX(0,(Inputs!$B$3-100)*3)+Inputs!$B$27+Inputs!$B$28)))</f>
        <v/>
      </c>
      <c r="E468">
        <f>INDEX(FactorTable!$B$2:$Y$301, MATCH(ROUND(MIN(300,MAX(1,D468)),0), FactorTable!$A$2:$A$301,0), Skills!L26+1)</f>
        <v/>
      </c>
      <c r="F468">
        <f>IF(Skills!M26=TRUE,(Skills!K26/10)*(E468/1000),Skills!K26/10)+Skills!N26</f>
        <v/>
      </c>
      <c r="G468">
        <f>Calc!G26</f>
        <v/>
      </c>
      <c r="H468">
        <f>Calc!H26</f>
        <v/>
      </c>
      <c r="I468">
        <f>IF(Skills!T26&lt;&gt;"",1+(Skills!T26/10)*($Z$3/1000)/100,1)</f>
        <v/>
      </c>
      <c r="J468" t="inlineStr"/>
      <c r="K468" t="inlineStr"/>
      <c r="L468" t="inlineStr"/>
      <c r="M468" t="inlineStr"/>
      <c r="N468" t="inlineStr"/>
      <c r="O468" t="n">
        <v>0</v>
      </c>
      <c r="P468">
        <f>IF(B480=0,0,O468/B480)</f>
        <v/>
      </c>
      <c r="S468" t="n">
        <v>0</v>
      </c>
      <c r="V468">
        <f>IFERROR(1/IF(Inputs!$B$4="pvp",15,MAX(0.1,Skills!D26-IF(Skills!E26=TRUE,Inputs!$B$31,0))),0)</f>
        <v/>
      </c>
    </row>
    <row r="470">
      <c r="A470" t="inlineStr">
        <is>
          <t>Average Buff Multiplier</t>
        </is>
      </c>
      <c r="B470">
        <f>(1+(IF(C445=TRUE,F445*IF(AND(Inputs!$B$4&lt;&gt;"pvp",Inputs!$B$35&gt;0),(((S445-1)*(Skills!S3*(1+(Inputs!$B$33+IF(Inputs!$B$3&gt;=117,F467,0))/100))+MIN((Skills!S3*(1+(Inputs!$B$33+IF(Inputs!$B$3&gt;=117,F467,0))/100)),MAX(0,Inputs!$B$35-((S445-1)*Skills!D3))))/Inputs!$B$35),IF(Inputs!$B$4="pvp",MIN((Skills!S3*(1+(Inputs!$B$33+IF(Inputs!$B$3&gt;=117,F467,0))/100)),15)/15,(Skills!S3*(1+(Inputs!$B$33+IF(Inputs!$B$3&gt;=117,F467,0))/100))/Skills!D3)),0)+IF(C446=TRUE,F446*IF(AND(Inputs!$B$4&lt;&gt;"pvp",Inputs!$B$35&gt;0),(((S446-1)*(Skills!S4*(1+(Inputs!$B$33+IF(Inputs!$B$3&gt;=117,F467,0))/100))+MIN((Skills!S4*(1+(Inputs!$B$33+IF(Inputs!$B$3&gt;=117,F467,0))/100)),MAX(0,Inputs!$B$35-((S446-1)*Skills!D4))))/Inputs!$B$35),IF(Inputs!$B$4="pvp",MIN((Skills!S4*(1+(Inputs!$B$33+IF(Inputs!$B$3&gt;=117,F467,0))/100)),15)/15,(Skills!S4*(1+(Inputs!$B$33+IF(Inputs!$B$3&gt;=117,F467,0))/100))/Skills!D4)),0)+IF(C447=TRUE,F447*IF(AND(Inputs!$B$4&lt;&gt;"pvp",Inputs!$B$35&gt;0),(((S447-1)*(Skills!S5*(1+(Inputs!$B$33+IF(Inputs!$B$3&gt;=117,F467,0))/100))+MIN((Skills!S5*(1+(Inputs!$B$33+IF(Inputs!$B$3&gt;=117,F467,0))/100)),MAX(0,Inputs!$B$35-((S447-1)*Skills!D5))))/Inputs!$B$35),IF(Inputs!$B$4="pvp",MIN((Skills!S5*(1+(Inputs!$B$33+IF(Inputs!$B$3&gt;=117,F467,0))/100)),15)/15,(Skills!S5*(1+(Inputs!$B$33+IF(Inputs!$B$3&gt;=117,F467,0))/100))/Skills!D5)),0)+IF(C453=TRUE,F453*IF(AND(Inputs!$B$4&lt;&gt;"pvp",Inputs!$B$35&gt;0),(((S453-1)*(Skills!S11*(1+(Inputs!$B$33+IF(Inputs!$B$3&gt;=117,F467,0))/100))+MIN((Skills!S11*(1+(Inputs!$B$33+IF(Inputs!$B$3&gt;=117,F467,0))/100)),MAX(0,Inputs!$B$35-((S453-1)*Skills!D11))))/Inputs!$B$35),IF(Inputs!$B$4="pvp",MIN((Skills!S11*(1+(Inputs!$B$33+IF(Inputs!$B$3&gt;=117,F467,0))/100)),15)/15,(Skills!S11*(1+(Inputs!$B$33+IF(Inputs!$B$3&gt;=117,F467,0))/100))/Skills!D11)),0))/100)*IF(C455=TRUE,(1+F455*IF(AND(Inputs!$B$4&lt;&gt;"pvp",Inputs!$B$35&gt;0),(((S455-1)*(Skills!S13*(1+(Inputs!$B$33+IF(Inputs!$B$3&gt;=117,F467,0))/100))+MIN((Skills!S13*(1+(Inputs!$B$33+IF(Inputs!$B$3&gt;=117,F467,0))/100)),MAX(0,Inputs!$B$35-((S455-1)*Skills!D13))))/Inputs!$B$35),IF(Inputs!$B$4="pvp",MIN((Skills!S13*(1+(Inputs!$B$33+IF(Inputs!$B$3&gt;=117,F467,0))/100)),15)/15,(Skills!S13*(1+(Inputs!$B$33+IF(Inputs!$B$3&gt;=117,F467,0))/100))/Skills!D13))/100),1)*IF(C460=TRUE,(1+F460*IF(AND(Inputs!$B$4&lt;&gt;"pvp",Inputs!$B$35&gt;0),(((S460-1)*(Skills!S18*(1+(Inputs!$B$33+IF(Inputs!$B$3&gt;=117,F467,0))/100))+MIN((Skills!S18*(1+(Inputs!$B$33+IF(Inputs!$B$3&gt;=117,F467,0))/100)),MAX(0,Inputs!$B$35-((S460-1)*Skills!D18))))/Inputs!$B$35),IF(Inputs!$B$4="pvp",MIN((Skills!S18*(1+(Inputs!$B$33+IF(Inputs!$B$3&gt;=117,F467,0))/100)),15)/15,(Skills!S18*(1+(Inputs!$B$33+IF(Inputs!$B$3&gt;=117,F467,0))/100))/Skills!D18))/100),1)</f>
        <v/>
      </c>
    </row>
    <row r="471">
      <c r="A471" t="inlineStr">
        <is>
          <t>Monster Damage Taken Bonus % (Holy Fountain)</t>
        </is>
      </c>
      <c r="B471">
        <f>IF(Inputs!$B$3&gt;=68,20*IF(Inputs!$B$4="pvp",MIN((15*(1+(Inputs!$B$33+IF(Inputs!$B$3&gt;=117,F467,0))/100)),15)/15,(15*(1+(Inputs!$B$33+IF(Inputs!$B$3&gt;=117,F467,0))/100))/Skills!D10),0)</f>
        <v/>
      </c>
    </row>
    <row r="472">
      <c r="A472" t="inlineStr">
        <is>
          <t>Normal Monster Damage Bonus % (Holy Symbol)</t>
        </is>
      </c>
      <c r="B472">
        <f>IF(C454=TRUE,F454*IF(AND(Inputs!$B$4&lt;&gt;"pvp",Inputs!$B$35&gt;0),(((S454-1)*(Skills!S12*(1+(Inputs!$B$33+IF(Inputs!$B$3&gt;=117,F467,0))/100))+MIN((Skills!S12*(1+(Inputs!$B$33+IF(Inputs!$B$3&gt;=117,F467,0))/100)),MAX(0,Inputs!$B$35-((S454-1)*Skills!D12))))/Inputs!$B$35),IF(Inputs!$B$4="pvp",MIN((Skills!S12*(1+(Inputs!$B$33+IF(Inputs!$B$3&gt;=117,F467,0))/100)),15)/15,(Skills!S12*(1+(Inputs!$B$33+IF(Inputs!$B$3&gt;=117,F467,0))/100))/Skills!D12)),0)</f>
        <v/>
      </c>
    </row>
    <row r="473">
      <c r="A473" t="inlineStr">
        <is>
          <t>Damage % Bonus (Holy Symbol - Damage Boost)</t>
        </is>
      </c>
      <c r="B473">
        <f>Skills!O12</f>
        <v/>
      </c>
    </row>
    <row r="474">
      <c r="A474" t="inlineStr">
        <is>
          <t>Crit Damage % Bonus (Blood of the Divine)</t>
        </is>
      </c>
      <c r="B474">
        <f>4*IF(C461=TRUE,F461,0)</f>
        <v/>
      </c>
    </row>
    <row r="475">
      <c r="A475" t="inlineStr">
        <is>
          <t>Attack Speed Bonus %</t>
        </is>
      </c>
      <c r="B475">
        <f>IF(C458=TRUE,F458+(F462-Calc!F20),0)+IF(Inputs!$B$3&gt;=134,15,0)</f>
        <v/>
      </c>
    </row>
    <row r="476">
      <c r="A476" t="inlineStr">
        <is>
          <t>Actions Per Second</t>
        </is>
      </c>
      <c r="B476">
        <f>1+MIN(150,150*(1-(1-Inputs!$B$10/150)*(1-B475/150)))/100</f>
        <v/>
      </c>
    </row>
    <row r="477">
      <c r="A477" t="inlineStr">
        <is>
          <t>Skill + Buff Cast Rate</t>
        </is>
      </c>
      <c r="B477">
        <f>IF(AND(Inputs!$B$4&lt;&gt;"pvp",Inputs!$B$35&gt;0),SUMPRODUCT((Skills!E2:E26=TRUE)*(C444:C468=TRUE)*S444:S468)/Inputs!$B$35,SUMPRODUCT((Skills!E2:E26=TRUE)*(C444:C468=TRUE)*V444:V468))</f>
        <v/>
      </c>
    </row>
    <row r="478">
      <c r="A478" t="inlineStr">
        <is>
          <t>Big Bang Casts Per Second</t>
        </is>
      </c>
      <c r="B478">
        <f>MAX(0,B476-B477)</f>
        <v/>
      </c>
    </row>
    <row r="480">
      <c r="A480" s="5" t="inlineStr">
        <is>
          <t>TOTAL DPS</t>
        </is>
      </c>
      <c r="B480" s="5">
        <f>SUM(O444:O468)</f>
        <v/>
      </c>
    </row>
    <row r="483">
      <c r="A483" s="5" t="inlineStr">
        <is>
          <t>Stat: ATTACK_SPEED % (diminishing returns, factor 150)</t>
        </is>
      </c>
    </row>
    <row r="484">
      <c r="A484" s="8" t="inlineStr">
        <is>
          <t>Key</t>
        </is>
      </c>
      <c r="B484" s="8" t="inlineStr">
        <is>
          <t>Name</t>
        </is>
      </c>
      <c r="C484" s="8" t="inlineStr">
        <is>
          <t>Unlocked</t>
        </is>
      </c>
      <c r="D484" s="8" t="inlineStr">
        <is>
          <t>InputLevel</t>
        </is>
      </c>
      <c r="E484" s="8" t="inlineStr">
        <is>
          <t>Factor</t>
        </is>
      </c>
      <c r="F484" s="8" t="inlineStr">
        <is>
          <t>CoefficientPercent</t>
        </is>
      </c>
      <c r="G484" s="8" t="inlineStr">
        <is>
          <t>EffectiveHits</t>
        </is>
      </c>
      <c r="H484" s="8" t="inlineStr">
        <is>
          <t>ProcProbability</t>
        </is>
      </c>
      <c r="I484" s="8" t="inlineStr">
        <is>
          <t>MapleHeroMultiplier</t>
        </is>
      </c>
      <c r="J484" s="8" t="inlineStr">
        <is>
          <t>BaseDamage</t>
        </is>
      </c>
      <c r="K484" s="8" t="inlineStr">
        <is>
          <t>BaseHitDamage</t>
        </is>
      </c>
      <c r="L484" s="8" t="inlineStr">
        <is>
          <t>NonCritAvg</t>
        </is>
      </c>
      <c r="M484" s="8" t="inlineStr">
        <is>
          <t>CritAvg</t>
        </is>
      </c>
      <c r="N484" s="8" t="inlineStr">
        <is>
          <t>ExpectedDamage(perHit)</t>
        </is>
      </c>
      <c r="O484" s="8" t="inlineStr">
        <is>
          <t>DPS</t>
        </is>
      </c>
      <c r="P484" s="8" t="inlineStr">
        <is>
          <t>% of Total</t>
        </is>
      </c>
      <c r="R484" t="inlineStr">
        <is>
          <t>helpers</t>
        </is>
      </c>
    </row>
    <row r="485">
      <c r="A485">
        <f>Skills!A2</f>
        <v/>
      </c>
      <c r="B485">
        <f>Skills!B2</f>
        <v/>
      </c>
      <c r="C485">
        <f>Inputs!$B$3&gt;=100</f>
        <v/>
      </c>
      <c r="D485" t="inlineStr"/>
      <c r="E485" t="inlineStr"/>
      <c r="F485">
        <f>T487+Skills!N2</f>
        <v/>
      </c>
      <c r="G485">
        <f>Calc!G2</f>
        <v/>
      </c>
      <c r="H485">
        <f>Calc!H2</f>
        <v/>
      </c>
      <c r="I485">
        <f>IF(Skills!T2&lt;&gt;"",1+(Skills!T2/10)*($Z$3/1000)/100,1)</f>
        <v/>
      </c>
      <c r="J485">
        <f>((Inputs!$B$5*(1+Inputs!$B$6/100))+((Inputs!$B$11*(1+Inputs!$B$12/100))-(Inputs!$B$11*(1+Inputs!$B$12/100)))*(1+Inputs!$B$6/100))*(F485/100)</f>
        <v/>
      </c>
      <c r="K485">
        <f>J485*(1+((Inputs!$B$11*(1+Inputs!$B$12/100))*0.01+Inputs!$B$13*0.0025)/100)*(1+(Inputs!$B$14+B514)/100)*(1+IF(Inputs!$B$4="pvp",0,(1-Summary!$B$48)*(Inputs!$B$19+Skills!O2+B512)+Summary!$B$48*(Inputs!$B$20+Skills!P2+B513))/100)*(1+Inputs!$B$15/100)*(5000/(6000+Inputs!$B$7*(1-Inputs!$B$18/100)))*(1+Inputs!$B$23/100)*(1+IF(C500=TRUE,F500,0)/100)*(1+IF(C502=TRUE,F502,0)/100)*(1+IF(Skills!A2="TRIUMPH_FEATHER",IF(C498=TRUE,F498,0),0)/100)*(1+IF(C509=TRUE,F509,0)/100)^5*(1+(IF(Skills!A2="BIG_BANG",Inputs!$B$16,Inputs!$B$17))/100)*(B511*I485)</f>
        <v/>
      </c>
      <c r="L485">
        <f>K485*(MIN(Inputs!$B$21+(F504-Calc!F21),Inputs!$B$22)/100+Inputs!$B$22/100)/2</f>
        <v/>
      </c>
      <c r="M485">
        <f>L485*(1+(Inputs!$B$9+B515+(F507-Calc!F24))/100)</f>
        <v/>
      </c>
      <c r="N485">
        <f>L485*(1-MIN(Inputs!$B$8+((F506-Calc!F23)+(F505-Calc!F22)),100)/100)+M485*(MIN(Inputs!$B$8+((F506-Calc!F23)+(F505-Calc!F22)),100)/100)</f>
        <v/>
      </c>
      <c r="O485">
        <f>IF(C485,Skills!F2*N485*B519*IF(Inputs!$B$4="pvp",1,(1-Summary!$B$48)*(1)+Summary!$B$48*(MIN((6+Inputs!$B$32),Inputs!$B$37))),0)</f>
        <v/>
      </c>
      <c r="P485">
        <f>IF(B521=0,0,O485/B521)</f>
        <v/>
      </c>
      <c r="S485" t="n">
        <v>0</v>
      </c>
      <c r="T485">
        <f>MAX(0,(Inputs!$B$3-100)*3)+Inputs!$B$27+Inputs!$B$28</f>
        <v/>
      </c>
      <c r="V485">
        <f>IFERROR(1/IF(Inputs!$B$4="pvp",15,MAX(0.1,Skills!D2-IF(Skills!E2=TRUE,Inputs!$B$31,0))),0)</f>
        <v/>
      </c>
    </row>
    <row r="486">
      <c r="A486">
        <f>Skills!A3</f>
        <v/>
      </c>
      <c r="B486">
        <f>Skills!B3</f>
        <v/>
      </c>
      <c r="C486">
        <f>Inputs!$B$3&gt;=15</f>
        <v/>
      </c>
      <c r="D486">
        <f>IF(Skills!C3=1,60+Inputs!$B$24+Inputs!$B$28,IF(Skills!C3=2,90+Inputs!$B$25+Inputs!$B$28,IF(Skills!C3=3,120+Inputs!$B$26+Inputs!$B$28,MAX(0,(Inputs!$B$3-100)*3)+Inputs!$B$27+Inputs!$B$28)))</f>
        <v/>
      </c>
      <c r="E486">
        <f>INDEX(FactorTable!$B$2:$Y$301, MATCH(ROUND(MIN(300,MAX(1,D486)),0), FactorTable!$A$2:$A$301,0), Skills!L3+1)</f>
        <v/>
      </c>
      <c r="F486">
        <f>IF(Skills!M3=TRUE,(Skills!K3/10)*(E486/1000),Skills!K3/10)+Skills!N3</f>
        <v/>
      </c>
      <c r="G486">
        <f>Calc!G3</f>
        <v/>
      </c>
      <c r="H486">
        <f>Calc!H3</f>
        <v/>
      </c>
      <c r="I486">
        <f>IF(Skills!T3&lt;&gt;"",1+(Skills!T3/10)*($Z$3/1000)/100,1)</f>
        <v/>
      </c>
      <c r="J486" t="inlineStr"/>
      <c r="K486" t="inlineStr"/>
      <c r="L486" t="inlineStr"/>
      <c r="M486" t="inlineStr"/>
      <c r="N486" t="inlineStr"/>
      <c r="O486" t="n">
        <v>0</v>
      </c>
      <c r="P486">
        <f>IF(B521=0,0,O486/B521)</f>
        <v/>
      </c>
      <c r="S486">
        <f>IF(AND(Inputs!$B$4&lt;&gt;"pvp",Inputs!$B$35&gt;0),(INT(Inputs!$B$35/IF(Inputs!$B$4="pvp",15,MAX(0.1,Skills!D3-IF(Skills!E3=TRUE,Inputs!$B$31,0))))+1),0)</f>
        <v/>
      </c>
      <c r="T486">
        <f>INDEX(FactorTable!$B$2:$Y$301, MATCH(ROUND(MIN(300,MAX(1,T485)),0), FactorTable!$A$2:$A$301,0), 22)</f>
        <v/>
      </c>
      <c r="V486">
        <f>IFERROR(1/IF(Inputs!$B$4="pvp",15,MAX(0.1,Skills!D3-IF(Skills!E3=TRUE,Inputs!$B$31,0))),0)</f>
        <v/>
      </c>
    </row>
    <row r="487">
      <c r="A487">
        <f>Skills!A4</f>
        <v/>
      </c>
      <c r="B487">
        <f>Skills!B4</f>
        <v/>
      </c>
      <c r="C487">
        <f>Inputs!$B$3&gt;=38</f>
        <v/>
      </c>
      <c r="D487">
        <f>IF(Skills!C4=1,60+Inputs!$B$24+Inputs!$B$28,IF(Skills!C4=2,90+Inputs!$B$25+Inputs!$B$28,IF(Skills!C4=3,120+Inputs!$B$26+Inputs!$B$28,MAX(0,(Inputs!$B$3-100)*3)+Inputs!$B$27+Inputs!$B$28)))</f>
        <v/>
      </c>
      <c r="E487">
        <f>INDEX(FactorTable!$B$2:$Y$301, MATCH(ROUND(MIN(300,MAX(1,D487)),0), FactorTable!$A$2:$A$301,0), Skills!L4+1)</f>
        <v/>
      </c>
      <c r="F487">
        <f>IF(Skills!M4=TRUE,(Skills!K4/10)*(E487/1000),Skills!K4/10)+Skills!N4</f>
        <v/>
      </c>
      <c r="G487">
        <f>Calc!G4</f>
        <v/>
      </c>
      <c r="H487">
        <f>Calc!H4</f>
        <v/>
      </c>
      <c r="I487">
        <f>IF(Skills!T4&lt;&gt;"",1+(Skills!T4/10)*($Z$3/1000)/100,1)</f>
        <v/>
      </c>
      <c r="J487" t="inlineStr"/>
      <c r="K487" t="inlineStr"/>
      <c r="L487" t="inlineStr"/>
      <c r="M487" t="inlineStr"/>
      <c r="N487" t="inlineStr"/>
      <c r="O487" t="n">
        <v>0</v>
      </c>
      <c r="P487">
        <f>IF(B521=0,0,O487/B521)</f>
        <v/>
      </c>
      <c r="S487">
        <f>IF(AND(Inputs!$B$4&lt;&gt;"pvp",Inputs!$B$35&gt;0),(INT(Inputs!$B$35/IF(Inputs!$B$4="pvp",15,MAX(0.1,Skills!D4-IF(Skills!E4=TRUE,Inputs!$B$31,0))))+1),0)</f>
        <v/>
      </c>
      <c r="T487">
        <f>290*T486/1000</f>
        <v/>
      </c>
      <c r="V487">
        <f>IFERROR(1/IF(Inputs!$B$4="pvp",15,MAX(0.1,Skills!D4-IF(Skills!E4=TRUE,Inputs!$B$31,0))),0)</f>
        <v/>
      </c>
    </row>
    <row r="488">
      <c r="A488">
        <f>Skills!A5</f>
        <v/>
      </c>
      <c r="B488">
        <f>Skills!B5</f>
        <v/>
      </c>
      <c r="C488">
        <f>Inputs!$B$3&gt;=40</f>
        <v/>
      </c>
      <c r="D488">
        <f>IF(Skills!C5=1,60+Inputs!$B$24+Inputs!$B$28,IF(Skills!C5=2,90+Inputs!$B$25+Inputs!$B$28,IF(Skills!C5=3,120+Inputs!$B$26+Inputs!$B$28,MAX(0,(Inputs!$B$3-100)*3)+Inputs!$B$27+Inputs!$B$28)))</f>
        <v/>
      </c>
      <c r="E488">
        <f>INDEX(FactorTable!$B$2:$Y$301, MATCH(ROUND(MIN(300,MAX(1,D488)),0), FactorTable!$A$2:$A$301,0), Skills!L5+1)</f>
        <v/>
      </c>
      <c r="F488">
        <f>IF(Skills!M5=TRUE,(Skills!K5/10)*(E488/1000),Skills!K5/10)+Skills!N5</f>
        <v/>
      </c>
      <c r="G488">
        <f>Calc!G5</f>
        <v/>
      </c>
      <c r="H488">
        <f>Calc!H5</f>
        <v/>
      </c>
      <c r="I488">
        <f>IF(Skills!T5&lt;&gt;"",1+(Skills!T5/10)*($Z$3/1000)/100,1)</f>
        <v/>
      </c>
      <c r="J488" t="inlineStr"/>
      <c r="K488" t="inlineStr"/>
      <c r="L488" t="inlineStr"/>
      <c r="M488" t="inlineStr"/>
      <c r="N488" t="inlineStr"/>
      <c r="O488" t="n">
        <v>0</v>
      </c>
      <c r="P488">
        <f>IF(B521=0,0,O488/B521)</f>
        <v/>
      </c>
      <c r="S488">
        <f>IF(AND(Inputs!$B$4&lt;&gt;"pvp",Inputs!$B$35&gt;0),(INT(Inputs!$B$35/IF(Inputs!$B$4="pvp",15,MAX(0.1,Skills!D5-IF(Skills!E5=TRUE,Inputs!$B$31,0))))+1),0)</f>
        <v/>
      </c>
      <c r="V488">
        <f>IFERROR(1/IF(Inputs!$B$4="pvp",15,MAX(0.1,Skills!D5-IF(Skills!E5=TRUE,Inputs!$B$31,0))),0)</f>
        <v/>
      </c>
    </row>
    <row r="489">
      <c r="A489">
        <f>Skills!A6</f>
        <v/>
      </c>
      <c r="B489">
        <f>Skills!B6</f>
        <v/>
      </c>
      <c r="C489">
        <f>Inputs!$B$3&gt;=103</f>
        <v/>
      </c>
      <c r="D489">
        <f>IF(Skills!C6=1,60+Inputs!$B$24+Inputs!$B$28,IF(Skills!C6=2,90+Inputs!$B$25+Inputs!$B$28,IF(Skills!C6=3,120+Inputs!$B$26+Inputs!$B$28,MAX(0,(Inputs!$B$3-100)*3)+Inputs!$B$27+Inputs!$B$28)))</f>
        <v/>
      </c>
      <c r="E489">
        <f>INDEX(FactorTable!$B$2:$Y$301, MATCH(ROUND(MIN(300,MAX(1,D489)),0), FactorTable!$A$2:$A$301,0), Skills!L6+1)</f>
        <v/>
      </c>
      <c r="F489">
        <f>IF(Skills!M6=TRUE,(Skills!K6/10)*(E489/1000),Skills!K6/10)+Skills!N6</f>
        <v/>
      </c>
      <c r="G489">
        <f>Calc!G6</f>
        <v/>
      </c>
      <c r="H489">
        <f>Calc!H6</f>
        <v/>
      </c>
      <c r="I489">
        <f>IF(Skills!T6&lt;&gt;"",1+(Skills!T6/10)*($Z$3/1000)/100,1)</f>
        <v/>
      </c>
      <c r="J489">
        <f>((Inputs!$B$5*(1+Inputs!$B$6/100))+((Inputs!$B$11*(1+Inputs!$B$12/100))-(Inputs!$B$11*(1+Inputs!$B$12/100)))*(1+Inputs!$B$6/100))*(F489/100)</f>
        <v/>
      </c>
      <c r="K489">
        <f>J489*(1+((Inputs!$B$11*(1+Inputs!$B$12/100))*0.01+Inputs!$B$13*0.0025)/100)*(1+(Inputs!$B$14+B514)/100)*(1+IF(Inputs!$B$4="pvp",0,(1-Summary!$B$48)*(Inputs!$B$19+Skills!O6+B512)+Summary!$B$48*(Inputs!$B$20+Skills!P6+B513))/100)*(1+Inputs!$B$15/100)*(5000/(6000+Inputs!$B$7*(1-Inputs!$B$18/100)))*(1+Inputs!$B$23/100)*(1+IF(C500=TRUE,F500,0)/100)*(1+IF(C502=TRUE,F502,0)/100)*(1+IF(Skills!A6="TRIUMPH_FEATHER",IF(C498=TRUE,F498,0),0)/100)*(1+IF(C509=TRUE,F509,0)/100)^5*(1+(IF(Skills!A6="BIG_BANG",Inputs!$B$16,Inputs!$B$17))/100)*(B511*I489)</f>
        <v/>
      </c>
      <c r="L489">
        <f>K489*(MIN(Inputs!$B$21+(F504-Calc!F21),Inputs!$B$22)/100+Inputs!$B$22/100)/2</f>
        <v/>
      </c>
      <c r="M489">
        <f>L489*(1+(Inputs!$B$9+B515+(F507-Calc!F24))/100)</f>
        <v/>
      </c>
      <c r="N489">
        <f>L489*(1-MIN(Inputs!$B$8+((F506-Calc!F23)+(F505-Calc!F22)),100)/100)+M489*(MIN(Inputs!$B$8+((F506-Calc!F23)+(F505-Calc!F22)),100)/100)</f>
        <v/>
      </c>
      <c r="O489">
        <f>IF(C489,H489*N489*IF(AND(Inputs!$B$4&lt;&gt;"pvp",Inputs!$B$35&gt;0),((Skills!F6*((S489-1)*IF(Skills!G6&gt;0,Skills!H6/Skills!G6,1)+IF(Skills!G6&gt;0,MIN(Skills!H6,MAX(0,Inputs!$B$35-((S489-1)*IF(Inputs!$B$4="pvp",15,MAX(0.1,Skills!D6-IF(Skills!E6=TRUE,Inputs!$B$31,0))))))/Skills!G6,1)))/Inputs!$B$35),G489*V489)*IF(Inputs!$B$4="pvp",1,(1-Summary!$B$48)*(1)+Summary!$B$48*(MIN(Skills!Q6,Inputs!$B$37))),0)</f>
        <v/>
      </c>
      <c r="P489">
        <f>IF(B521=0,0,O489/B521)</f>
        <v/>
      </c>
      <c r="S489">
        <f>IF(AND(Inputs!$B$4&lt;&gt;"pvp",Inputs!$B$35&gt;0),(INT(Inputs!$B$35/IF(Inputs!$B$4="pvp",15,MAX(0.1,Skills!D6-IF(Skills!E6=TRUE,Inputs!$B$31,0))))+1),0)</f>
        <v/>
      </c>
      <c r="V489">
        <f>IFERROR(1/IF(Inputs!$B$4="pvp",15,MAX(0.1,Skills!D6-IF(Skills!E6=TRUE,Inputs!$B$31,0))),0)</f>
        <v/>
      </c>
    </row>
    <row r="490">
      <c r="A490">
        <f>Skills!A7</f>
        <v/>
      </c>
      <c r="B490">
        <f>Skills!B7</f>
        <v/>
      </c>
      <c r="C490">
        <f>Inputs!$B$3&gt;=122</f>
        <v/>
      </c>
      <c r="D490">
        <f>IF(Skills!C7=1,60+Inputs!$B$24+Inputs!$B$28,IF(Skills!C7=2,90+Inputs!$B$25+Inputs!$B$28,IF(Skills!C7=3,120+Inputs!$B$26+Inputs!$B$28,MAX(0,(Inputs!$B$3-100)*3)+Inputs!$B$27+Inputs!$B$28)))</f>
        <v/>
      </c>
      <c r="E490">
        <f>INDEX(FactorTable!$B$2:$Y$301, MATCH(ROUND(MIN(300,MAX(1,D490)),0), FactorTable!$A$2:$A$301,0), Skills!L7+1)</f>
        <v/>
      </c>
      <c r="F490">
        <f>IF(Skills!M7=TRUE,(Skills!K7/10)*(E490/1000),Skills!K7/10)+Skills!N7</f>
        <v/>
      </c>
      <c r="G490">
        <f>Calc!G7</f>
        <v/>
      </c>
      <c r="H490">
        <f>Calc!H7</f>
        <v/>
      </c>
      <c r="I490">
        <f>IF(Skills!T7&lt;&gt;"",1+(Skills!T7/10)*($Z$3/1000)/100,1)</f>
        <v/>
      </c>
      <c r="J490">
        <f>((Inputs!$B$5*(1+Inputs!$B$6/100))+((Inputs!$B$11*(1+Inputs!$B$12/100))-(Inputs!$B$11*(1+Inputs!$B$12/100)))*(1+Inputs!$B$6/100))*(F490/100)</f>
        <v/>
      </c>
      <c r="K490">
        <f>J490*(1+((Inputs!$B$11*(1+Inputs!$B$12/100))*0.01+Inputs!$B$13*0.0025)/100)*(1+(Inputs!$B$14+B514)/100)*(1+IF(Inputs!$B$4="pvp",0,(1-Summary!$B$48)*(Inputs!$B$19+Skills!O7+B512)+Summary!$B$48*(Inputs!$B$20+Skills!P7+B513))/100)*(1+Inputs!$B$15/100)*(5000/(6000+Inputs!$B$7*(1-Inputs!$B$18/100)))*(1+Inputs!$B$23/100)*(1+IF(C500=TRUE,F500,0)/100)*(1+IF(C502=TRUE,F502,0)/100)*(1+IF(Skills!A7="TRIUMPH_FEATHER",IF(C498=TRUE,F498,0),0)/100)*(1+IF(C509=TRUE,F509,0)/100)^5*(1+(IF(Skills!A7="BIG_BANG",Inputs!$B$16,Inputs!$B$17))/100)*(B511*I490)</f>
        <v/>
      </c>
      <c r="L490">
        <f>K490*(MIN(Inputs!$B$21+(F504-Calc!F21),Inputs!$B$22)/100+Inputs!$B$22/100)/2</f>
        <v/>
      </c>
      <c r="M490">
        <f>L490*(1+(Inputs!$B$9+B515+(F507-Calc!F24))/100)</f>
        <v/>
      </c>
      <c r="N490">
        <f>L490*(1-MIN(Inputs!$B$8+((F506-Calc!F23)+(F505-Calc!F22)),100)/100)+M490*(MIN(Inputs!$B$8+((F506-Calc!F23)+(F505-Calc!F22)),100)/100)</f>
        <v/>
      </c>
      <c r="O490">
        <f>IF(C490,H490*N490*IF(AND(Inputs!$B$4&lt;&gt;"pvp",Inputs!$B$35&gt;0),((Skills!F7*((S490-1)*IF(Skills!G7&gt;0,Skills!H7/Skills!G7,1)+IF(Skills!G7&gt;0,MIN(Skills!H7,MAX(0,Inputs!$B$35-((S490-1)*IF(Inputs!$B$4="pvp",15,MAX(0.1,Skills!D7-IF(Skills!E6=TRUE,Inputs!$B$31,0))))))/Skills!G7,1)))/Inputs!$B$35),G490*V490)*(1-Summary!$B$48),0)</f>
        <v/>
      </c>
      <c r="P490">
        <f>IF(B521=0,0,O490/B521)</f>
        <v/>
      </c>
      <c r="S490">
        <f>IF(AND(Inputs!$B$4&lt;&gt;"pvp",Inputs!$B$35&gt;0),(INT(Inputs!$B$35/IF(Inputs!$B$4="pvp",15,MAX(0.1,Skills!D7-IF(Skills!E6=TRUE,Inputs!$B$31,0))))+1),0)</f>
        <v/>
      </c>
      <c r="V490">
        <f>IFERROR(1/IF(Inputs!$B$4="pvp",15,MAX(0.1,Skills!D7-IF(Skills!E6=TRUE,Inputs!$B$31,0))),0)</f>
        <v/>
      </c>
    </row>
    <row r="491">
      <c r="A491">
        <f>Skills!A8</f>
        <v/>
      </c>
      <c r="B491">
        <f>Skills!B8</f>
        <v/>
      </c>
      <c r="C491">
        <f>Inputs!$B$3&gt;=105</f>
        <v/>
      </c>
      <c r="D491">
        <f>IF(Skills!C8=1,60+Inputs!$B$24+Inputs!$B$28,IF(Skills!C8=2,90+Inputs!$B$25+Inputs!$B$28,IF(Skills!C8=3,120+Inputs!$B$26+Inputs!$B$28,MAX(0,(Inputs!$B$3-100)*3)+Inputs!$B$27+Inputs!$B$28)))</f>
        <v/>
      </c>
      <c r="E491">
        <f>INDEX(FactorTable!$B$2:$Y$301, MATCH(ROUND(MIN(300,MAX(1,D491)),0), FactorTable!$A$2:$A$301,0), Skills!L8+1)</f>
        <v/>
      </c>
      <c r="F491">
        <f>IF(Skills!M8=TRUE,(Skills!K8/10)*(E491/1000),Skills!K8/10)+Skills!N8</f>
        <v/>
      </c>
      <c r="G491">
        <f>Calc!G8</f>
        <v/>
      </c>
      <c r="H491">
        <f>Calc!H8</f>
        <v/>
      </c>
      <c r="I491">
        <f>IF(Skills!T8&lt;&gt;"",1+(Skills!T8/10)*($Z$3/1000)/100,1)</f>
        <v/>
      </c>
      <c r="J491">
        <f>((Inputs!$B$5*(1+Inputs!$B$6/100))+((Inputs!$B$11*(1+Inputs!$B$12/100))-(Inputs!$B$11*(1+Inputs!$B$12/100)))*(1+Inputs!$B$6/100))*(F491/100)</f>
        <v/>
      </c>
      <c r="K491">
        <f>J491*(1+((Inputs!$B$11*(1+Inputs!$B$12/100))*0.01+Inputs!$B$13*0.0025)/100)*(1+(Inputs!$B$14+B514)/100)*(1+IF(Inputs!$B$4="pvp",0,(1-Summary!$B$48)*(Inputs!$B$19+Skills!O8+B512)+Summary!$B$48*(Inputs!$B$20+Skills!P8+B513))/100)*(1+Inputs!$B$15/100)*(5000/(6000+Inputs!$B$7*(1-Inputs!$B$18/100)))*(1+Inputs!$B$23/100)*(1+IF(C500=TRUE,F500,0)/100)*(1+IF(C502=TRUE,F502,0)/100)*(1+IF(Skills!A8="TRIUMPH_FEATHER",IF(C498=TRUE,F498,0),0)/100)*(1+IF(C509=TRUE,F509,0)/100)^5*(1+(IF(Skills!A8="BIG_BANG",Inputs!$B$16,Inputs!$B$17))/100)*(B511*I491)</f>
        <v/>
      </c>
      <c r="L491">
        <f>K491*(MIN(Inputs!$B$21+(F504-Calc!F21),Inputs!$B$22)/100+Inputs!$B$22/100)/2</f>
        <v/>
      </c>
      <c r="M491">
        <f>L491*(1+(Inputs!$B$9+B515+(F507-Calc!F24))/100)</f>
        <v/>
      </c>
      <c r="N491">
        <f>L491*(1-MIN(Inputs!$B$8+((F506-Calc!F23)+(F505-Calc!F22)),100)/100)+M491*(MIN(Inputs!$B$8+((F506-Calc!F23)+(F505-Calc!F22)),100)/100)</f>
        <v/>
      </c>
      <c r="O491">
        <f>IF(C491,H491*N491*IF(AND(Inputs!$B$4&lt;&gt;"pvp",Inputs!$B$35&gt;0),((Skills!F8*((S491-1)*IF(Skills!G8&gt;0,Skills!H8/Skills!G8,1)+IF(Skills!G8&gt;0,MIN(Skills!H8,MAX(0,Inputs!$B$35-((S491-1)*IF(Inputs!$B$4="pvp",15,MAX(0.1,Skills!D8-IF(Skills!E8=TRUE,Inputs!$B$31,0))))))/Skills!G8,1)))/Inputs!$B$35),G491*V491)*IF(Inputs!$B$4="pvp",1,(1-Summary!$B$48)*(1)+Summary!$B$48*(MIN(Skills!Q8,Inputs!$B$37))),0)</f>
        <v/>
      </c>
      <c r="P491">
        <f>IF(B521=0,0,O491/B521)</f>
        <v/>
      </c>
      <c r="S491">
        <f>IF(AND(Inputs!$B$4&lt;&gt;"pvp",Inputs!$B$35&gt;0),(INT(Inputs!$B$35/IF(Inputs!$B$4="pvp",15,MAX(0.1,Skills!D8-IF(Skills!E8=TRUE,Inputs!$B$31,0))))+1),0)</f>
        <v/>
      </c>
      <c r="V491">
        <f>IFERROR(1/IF(Inputs!$B$4="pvp",15,MAX(0.1,Skills!D8-IF(Skills!E8=TRUE,Inputs!$B$31,0))),0)</f>
        <v/>
      </c>
    </row>
    <row r="492">
      <c r="A492">
        <f>Skills!A9</f>
        <v/>
      </c>
      <c r="B492">
        <f>Skills!B9</f>
        <v/>
      </c>
      <c r="C492">
        <f>Inputs!$B$3&gt;=115</f>
        <v/>
      </c>
      <c r="D492">
        <f>IF(Skills!C9=1,60+Inputs!$B$24+Inputs!$B$28,IF(Skills!C9=2,90+Inputs!$B$25+Inputs!$B$28,IF(Skills!C9=3,120+Inputs!$B$26+Inputs!$B$28,MAX(0,(Inputs!$B$3-100)*3)+Inputs!$B$27+Inputs!$B$28)))</f>
        <v/>
      </c>
      <c r="E492">
        <f>INDEX(FactorTable!$B$2:$Y$301, MATCH(ROUND(MIN(300,MAX(1,D492)),0), FactorTable!$A$2:$A$301,0), Skills!L9+1)</f>
        <v/>
      </c>
      <c r="F492">
        <f>IF(Skills!M9=TRUE,(Skills!K9/10)*(E492/1000),Skills!K9/10)+Skills!N9</f>
        <v/>
      </c>
      <c r="G492">
        <f>Calc!G9</f>
        <v/>
      </c>
      <c r="H492">
        <f>Calc!H9</f>
        <v/>
      </c>
      <c r="I492">
        <f>IF(Skills!T9&lt;&gt;"",1+(Skills!T9/10)*($Z$3/1000)/100,1)</f>
        <v/>
      </c>
      <c r="J492">
        <f>((Inputs!$B$5*(1+Inputs!$B$6/100))+((Inputs!$B$11*(1+Inputs!$B$12/100))-(Inputs!$B$11*(1+Inputs!$B$12/100)))*(1+Inputs!$B$6/100))*(F492/100)</f>
        <v/>
      </c>
      <c r="K492">
        <f>J492*(1+((Inputs!$B$11*(1+Inputs!$B$12/100))*0.01+Inputs!$B$13*0.0025)/100)*(1+(Inputs!$B$14+B514)/100)*(1+IF(Inputs!$B$4="pvp",0,(1-Summary!$B$48)*(Inputs!$B$19+Skills!O9+B512)+Summary!$B$48*(Inputs!$B$20+Skills!P9+B513))/100)*(1+Inputs!$B$15/100)*(5000/(6000+Inputs!$B$7*(1-Inputs!$B$18/100)))*(1+Inputs!$B$23/100)*(1+IF(C500=TRUE,F500,0)/100)*(1+IF(C502=TRUE,F502,0)/100)*(1+IF(Skills!A9="TRIUMPH_FEATHER",IF(C498=TRUE,F498,0),0)/100)*(1+IF(C509=TRUE,F509,0)/100)^5*(1+(IF(Skills!A9="BIG_BANG",Inputs!$B$16,Inputs!$B$17))/100)*(B511*I492)</f>
        <v/>
      </c>
      <c r="L492">
        <f>K492*(MIN(Inputs!$B$21+(F504-Calc!F21),Inputs!$B$22)/100+Inputs!$B$22/100)/2</f>
        <v/>
      </c>
      <c r="M492">
        <f>L492*(1+(Inputs!$B$9+B515+(F507-Calc!F24))/100)</f>
        <v/>
      </c>
      <c r="N492">
        <f>L492*(1-MIN(Inputs!$B$8+((F506-Calc!F23)+(F505-Calc!F22)),100)/100)+M492*(MIN(Inputs!$B$8+((F506-Calc!F23)+(F505-Calc!F22)),100)/100)</f>
        <v/>
      </c>
      <c r="O492">
        <f>IF(C492,H492*N492*IF(AND(Inputs!$B$4&lt;&gt;"pvp",Inputs!$B$35&gt;0),((Skills!F9*((S492-1)*IF(Skills!G9&gt;0,Skills!H9/Skills!G9,1)+IF(Skills!G9&gt;0,MIN(Skills!H9,MAX(0,Inputs!$B$35-((S492-1)*IF(Inputs!$B$4="pvp",15,MAX(0.1,Skills!D9-IF(Skills!E9=TRUE,Inputs!$B$31,0))))))/Skills!G9,1)))/Inputs!$B$35),G492*V492)*IF(Inputs!$B$4="pvp",1,(1-Summary!$B$48)*(1)+Summary!$B$48*(MIN(Skills!Q9,Inputs!$B$37))),0)</f>
        <v/>
      </c>
      <c r="P492">
        <f>IF(B521=0,0,O492/B521)</f>
        <v/>
      </c>
      <c r="S492">
        <f>IF(AND(Inputs!$B$4&lt;&gt;"pvp",Inputs!$B$35&gt;0),(INT(Inputs!$B$35/IF(Inputs!$B$4="pvp",15,MAX(0.1,Skills!D9-IF(Skills!E9=TRUE,Inputs!$B$31,0))))+1),0)</f>
        <v/>
      </c>
      <c r="V492">
        <f>IFERROR(1/IF(Inputs!$B$4="pvp",15,MAX(0.1,Skills!D9-IF(Skills!E9=TRUE,Inputs!$B$31,0))),0)</f>
        <v/>
      </c>
    </row>
    <row r="493">
      <c r="A493">
        <f>Skills!A10</f>
        <v/>
      </c>
      <c r="B493">
        <f>Skills!B10</f>
        <v/>
      </c>
      <c r="C493">
        <f>Inputs!$B$3&gt;=66</f>
        <v/>
      </c>
      <c r="D493">
        <f>IF(Skills!C10=1,60+Inputs!$B$24+Inputs!$B$28,IF(Skills!C10=2,90+Inputs!$B$25+Inputs!$B$28,IF(Skills!C10=3,120+Inputs!$B$26+Inputs!$B$28,MAX(0,(Inputs!$B$3-100)*3)+Inputs!$B$27+Inputs!$B$28)))</f>
        <v/>
      </c>
      <c r="E493">
        <f>INDEX(FactorTable!$B$2:$Y$301, MATCH(ROUND(MIN(300,MAX(1,D493)),0), FactorTable!$A$2:$A$301,0), Skills!L10+1)</f>
        <v/>
      </c>
      <c r="F493" t="n">
        <v>0</v>
      </c>
      <c r="G493">
        <f>Calc!G10</f>
        <v/>
      </c>
      <c r="H493">
        <f>Calc!H10</f>
        <v/>
      </c>
      <c r="I493">
        <f>IF(Skills!T10&lt;&gt;"",1+(Skills!T10/10)*($Z$3/1000)/100,1)</f>
        <v/>
      </c>
      <c r="J493" t="inlineStr"/>
      <c r="K493" t="inlineStr"/>
      <c r="L493" t="inlineStr"/>
      <c r="M493" t="inlineStr"/>
      <c r="N493" t="inlineStr"/>
      <c r="O493" t="n">
        <v>0</v>
      </c>
      <c r="P493">
        <f>IF(B521=0,0,O493/B521)</f>
        <v/>
      </c>
      <c r="S493">
        <f>IF(AND(Inputs!$B$4&lt;&gt;"pvp",Inputs!$B$35&gt;0),(INT(Inputs!$B$35/IF(Inputs!$B$4="pvp",15,MAX(0.1,Skills!D10-IF(Skills!E10=TRUE,Inputs!$B$31,0))))+1),0)</f>
        <v/>
      </c>
      <c r="V493">
        <f>IFERROR(1/IF(Inputs!$B$4="pvp",15,MAX(0.1,Skills!D10-IF(Skills!E10=TRUE,Inputs!$B$31,0))),0)</f>
        <v/>
      </c>
    </row>
    <row r="494">
      <c r="A494">
        <f>Skills!A11</f>
        <v/>
      </c>
      <c r="B494">
        <f>Skills!B11</f>
        <v/>
      </c>
      <c r="C494">
        <f>Inputs!$B$3&gt;=69</f>
        <v/>
      </c>
      <c r="D494">
        <f>IF(Skills!C11=1,60+Inputs!$B$24+Inputs!$B$28,IF(Skills!C11=2,90+Inputs!$B$25+Inputs!$B$28,IF(Skills!C11=3,120+Inputs!$B$26+Inputs!$B$28,MAX(0,(Inputs!$B$3-100)*3)+Inputs!$B$27+Inputs!$B$28)))</f>
        <v/>
      </c>
      <c r="E494">
        <f>INDEX(FactorTable!$B$2:$Y$301, MATCH(ROUND(MIN(300,MAX(1,D494)),0), FactorTable!$A$2:$A$301,0), Skills!L11+1)</f>
        <v/>
      </c>
      <c r="F494">
        <f>IF(Skills!M11=TRUE,(Skills!K11/10)*(E494/1000),Skills!K11/10)+Skills!N11</f>
        <v/>
      </c>
      <c r="G494">
        <f>Calc!G11</f>
        <v/>
      </c>
      <c r="H494">
        <f>Calc!H11</f>
        <v/>
      </c>
      <c r="I494">
        <f>IF(Skills!T11&lt;&gt;"",1+(Skills!T11/10)*($Z$3/1000)/100,1)</f>
        <v/>
      </c>
      <c r="J494" t="inlineStr"/>
      <c r="K494" t="inlineStr"/>
      <c r="L494" t="inlineStr"/>
      <c r="M494" t="inlineStr"/>
      <c r="N494" t="inlineStr"/>
      <c r="O494" t="n">
        <v>0</v>
      </c>
      <c r="P494">
        <f>IF(B521=0,0,O494/B521)</f>
        <v/>
      </c>
      <c r="S494">
        <f>IF(AND(Inputs!$B$4&lt;&gt;"pvp",Inputs!$B$35&gt;0),(INT(Inputs!$B$35/IF(Inputs!$B$4="pvp",15,MAX(0.1,Skills!D11-IF(Skills!E11=TRUE,Inputs!$B$31,0))))+1),0)</f>
        <v/>
      </c>
      <c r="V494">
        <f>IFERROR(1/IF(Inputs!$B$4="pvp",15,MAX(0.1,Skills!D11-IF(Skills!E11=TRUE,Inputs!$B$31,0))),0)</f>
        <v/>
      </c>
    </row>
    <row r="495">
      <c r="A495">
        <f>Skills!A12</f>
        <v/>
      </c>
      <c r="B495">
        <f>Skills!B12</f>
        <v/>
      </c>
      <c r="C495">
        <f>Inputs!$B$3&gt;=72</f>
        <v/>
      </c>
      <c r="D495">
        <f>IF(Skills!C12=1,60+Inputs!$B$24+Inputs!$B$28,IF(Skills!C12=2,90+Inputs!$B$25+Inputs!$B$28,IF(Skills!C12=3,120+Inputs!$B$26+Inputs!$B$28,MAX(0,(Inputs!$B$3-100)*3)+Inputs!$B$27+Inputs!$B$28)))</f>
        <v/>
      </c>
      <c r="E495">
        <f>INDEX(FactorTable!$B$2:$Y$301, MATCH(ROUND(MIN(300,MAX(1,D495)),0), FactorTable!$A$2:$A$301,0), Skills!L12+1)</f>
        <v/>
      </c>
      <c r="F495">
        <f>IF(Skills!M12=TRUE,(Skills!K12/10)*(E495/1000),Skills!K12/10)+Skills!N12</f>
        <v/>
      </c>
      <c r="G495">
        <f>Calc!G12</f>
        <v/>
      </c>
      <c r="H495">
        <f>Calc!H12</f>
        <v/>
      </c>
      <c r="I495">
        <f>IF(Skills!T12&lt;&gt;"",1+(Skills!T12/10)*($Z$3/1000)/100,1)</f>
        <v/>
      </c>
      <c r="J495" t="inlineStr"/>
      <c r="K495" t="inlineStr"/>
      <c r="L495" t="inlineStr"/>
      <c r="M495" t="inlineStr"/>
      <c r="N495" t="inlineStr"/>
      <c r="O495" t="n">
        <v>0</v>
      </c>
      <c r="P495">
        <f>IF(B521=0,0,O495/B521)</f>
        <v/>
      </c>
      <c r="S495">
        <f>IF(AND(Inputs!$B$4&lt;&gt;"pvp",Inputs!$B$35&gt;0),(INT(Inputs!$B$35/IF(Inputs!$B$4="pvp",15,MAX(0.1,Skills!D12-IF(Skills!E12=TRUE,Inputs!$B$31,0))))+1),0)</f>
        <v/>
      </c>
      <c r="V495">
        <f>IFERROR(1/IF(Inputs!$B$4="pvp",15,MAX(0.1,Skills!D12-IF(Skills!E12=TRUE,Inputs!$B$31,0))),0)</f>
        <v/>
      </c>
    </row>
    <row r="496">
      <c r="A496">
        <f>Skills!A13</f>
        <v/>
      </c>
      <c r="B496">
        <f>Skills!B13</f>
        <v/>
      </c>
      <c r="C496">
        <f>Inputs!$B$3&gt;=107</f>
        <v/>
      </c>
      <c r="D496">
        <f>IF(Skills!C13=1,60+Inputs!$B$24+Inputs!$B$28,IF(Skills!C13=2,90+Inputs!$B$25+Inputs!$B$28,IF(Skills!C13=3,120+Inputs!$B$26+Inputs!$B$28,MAX(0,(Inputs!$B$3-100)*3)+Inputs!$B$27+Inputs!$B$28)))</f>
        <v/>
      </c>
      <c r="E496">
        <f>INDEX(FactorTable!$B$2:$Y$301, MATCH(ROUND(MIN(300,MAX(1,D496)),0), FactorTable!$A$2:$A$301,0), Skills!L13+1)</f>
        <v/>
      </c>
      <c r="F496">
        <f>IF(Skills!M13=TRUE,(Skills!K13/10)*(E496/1000),Skills!K13/10)+Skills!N13</f>
        <v/>
      </c>
      <c r="G496">
        <f>Calc!G13</f>
        <v/>
      </c>
      <c r="H496">
        <f>Calc!H13</f>
        <v/>
      </c>
      <c r="I496">
        <f>IF(Skills!T13&lt;&gt;"",1+(Skills!T13/10)*($Z$3/1000)/100,1)</f>
        <v/>
      </c>
      <c r="J496" t="inlineStr"/>
      <c r="K496" t="inlineStr"/>
      <c r="L496" t="inlineStr"/>
      <c r="M496" t="inlineStr"/>
      <c r="N496" t="inlineStr"/>
      <c r="O496" t="n">
        <v>0</v>
      </c>
      <c r="P496">
        <f>IF(B521=0,0,O496/B521)</f>
        <v/>
      </c>
      <c r="S496">
        <f>IF(AND(Inputs!$B$4&lt;&gt;"pvp",Inputs!$B$35&gt;0),(INT(Inputs!$B$35/IF(Inputs!$B$4="pvp",15,MAX(0.1,Skills!D13-IF(Skills!E13=TRUE,Inputs!$B$31,0))))+1),0)</f>
        <v/>
      </c>
      <c r="V496">
        <f>IFERROR(1/IF(Inputs!$B$4="pvp",15,MAX(0.1,Skills!D13-IF(Skills!E13=TRUE,Inputs!$B$31,0))),0)</f>
        <v/>
      </c>
    </row>
    <row r="497">
      <c r="A497">
        <f>Skills!A14</f>
        <v/>
      </c>
      <c r="B497">
        <f>Skills!B14</f>
        <v/>
      </c>
      <c r="C497">
        <f>Inputs!$B$3&gt;=63</f>
        <v/>
      </c>
      <c r="D497">
        <f>IF(Skills!C14=1,60+Inputs!$B$24+Inputs!$B$28,IF(Skills!C14=2,90+Inputs!$B$25+Inputs!$B$28,IF(Skills!C14=3,120+Inputs!$B$26+Inputs!$B$28,MAX(0,(Inputs!$B$3-100)*3)+Inputs!$B$27+Inputs!$B$28)))</f>
        <v/>
      </c>
      <c r="E497">
        <f>INDEX(FactorTable!$B$2:$Y$301, MATCH(ROUND(MIN(300,MAX(1,D497)),0), FactorTable!$A$2:$A$301,0), Skills!L14+1)</f>
        <v/>
      </c>
      <c r="F497">
        <f>IF(Skills!M14=TRUE,(Skills!K14/10)*(E497/1000),Skills!K14/10)+Skills!N14</f>
        <v/>
      </c>
      <c r="G497">
        <f>Calc!G14</f>
        <v/>
      </c>
      <c r="H497">
        <f>Calc!H14</f>
        <v/>
      </c>
      <c r="I497">
        <f>IF(Skills!T14&lt;&gt;"",1+(Skills!T14/10)*($Z$3/1000)/100,1)</f>
        <v/>
      </c>
      <c r="J497">
        <f>((Inputs!$B$5*(1+Inputs!$B$6/100))+((Inputs!$B$11*(1+Inputs!$B$12/100))-(Inputs!$B$11*(1+Inputs!$B$12/100)))*(1+Inputs!$B$6/100))*(F497/100)</f>
        <v/>
      </c>
      <c r="K497">
        <f>J497*(1+((Inputs!$B$11*(1+Inputs!$B$12/100))*0.01+Inputs!$B$13*0.0025)/100)*(1+(Inputs!$B$14+B514)/100)*(1+IF(Inputs!$B$4="pvp",0,(1-Summary!$B$48)*(Inputs!$B$19+Skills!O14+B512)+Summary!$B$48*(Inputs!$B$20+Skills!P14+B513))/100)*(1+Inputs!$B$15/100)*(5000/(6000+Inputs!$B$7*(1-Inputs!$B$18/100)))*(1+Inputs!$B$23/100)*(1+IF(C500=TRUE,F500,0)/100)*(1+IF(C502=TRUE,F502,0)/100)*(1+IF(Skills!A14="TRIUMPH_FEATHER",IF(C498=TRUE,F498,0),0)/100)*(1+IF(C509=TRUE,F509,0)/100)^5*(1+(IF(Skills!A14="BIG_BANG",Inputs!$B$16,Inputs!$B$17))/100)*(B511*I497)</f>
        <v/>
      </c>
      <c r="L497">
        <f>K497*(MIN(Inputs!$B$21+(F504-Calc!F21),Inputs!$B$22)/100+Inputs!$B$22/100)/2</f>
        <v/>
      </c>
      <c r="M497">
        <f>L497*(1+(Inputs!$B$9+B515+(F507-Calc!F24))/100)</f>
        <v/>
      </c>
      <c r="N497">
        <f>L497*(1-MIN(Inputs!$B$8+((F506-Calc!F23)+(F505-Calc!F22)),100)/100)+M497*(MIN(Inputs!$B$8+((F506-Calc!F23)+(F505-Calc!F22)),100)/100)</f>
        <v/>
      </c>
      <c r="O497">
        <f>IF(C497,Skills!F14*N497*((IF(Inputs!$B$3&gt;=78,25,15)/100*B517*10)/(1+IF(Inputs!$B$3&gt;=78,25,15)/100*B517*10))*(Skills!I14/100*B517)/(1+Skills!G14*Skills!I14/100*B517)*IF(Inputs!$B$4="pvp",1,(1-Summary!$B$48)*(1)+Summary!$B$48*(MIN(Skills!Q14,Inputs!$B$37))),0)</f>
        <v/>
      </c>
      <c r="P497">
        <f>IF(B521=0,0,O497/B521)</f>
        <v/>
      </c>
      <c r="S497" t="n">
        <v>0</v>
      </c>
      <c r="V497">
        <f>IFERROR(1/IF(Inputs!$B$4="pvp",15,MAX(0.1,Skills!D14-IF(Skills!E14=TRUE,Inputs!$B$31,0))),0)</f>
        <v/>
      </c>
    </row>
    <row r="498">
      <c r="A498">
        <f>Skills!A15</f>
        <v/>
      </c>
      <c r="B498">
        <f>Skills!B15</f>
        <v/>
      </c>
      <c r="C498">
        <f>Inputs!$B$3&gt;=100</f>
        <v/>
      </c>
      <c r="D498">
        <f>IF(Skills!C15=1,60+Inputs!$B$24+Inputs!$B$28,IF(Skills!C15=2,90+Inputs!$B$25+Inputs!$B$28,IF(Skills!C15=3,120+Inputs!$B$26+Inputs!$B$28,MAX(0,(Inputs!$B$3-100)*3)+Inputs!$B$27+Inputs!$B$28)))</f>
        <v/>
      </c>
      <c r="E498">
        <f>INDEX(FactorTable!$B$2:$Y$301, MATCH(ROUND(MIN(300,MAX(1,D498)),0), FactorTable!$A$2:$A$301,0), Skills!L15+1)</f>
        <v/>
      </c>
      <c r="F498">
        <f>IF(Skills!M15=TRUE,(Skills!K15/10)*(E498/1000),Skills!K15/10)+Skills!N15</f>
        <v/>
      </c>
      <c r="G498">
        <f>Calc!G15</f>
        <v/>
      </c>
      <c r="H498">
        <f>Calc!H15</f>
        <v/>
      </c>
      <c r="I498">
        <f>IF(Skills!T15&lt;&gt;"",1+(Skills!T15/10)*($Z$3/1000)/100,1)</f>
        <v/>
      </c>
      <c r="J498" t="inlineStr"/>
      <c r="K498" t="inlineStr"/>
      <c r="L498" t="inlineStr"/>
      <c r="M498" t="inlineStr"/>
      <c r="N498" t="inlineStr"/>
      <c r="O498" t="n">
        <v>0</v>
      </c>
      <c r="P498">
        <f>IF(B521=0,0,O498/B521)</f>
        <v/>
      </c>
      <c r="S498" t="n">
        <v>0</v>
      </c>
      <c r="V498">
        <f>IFERROR(1/IF(Inputs!$B$4="pvp",15,MAX(0.1,Skills!D15-IF(Skills!E15=TRUE,Inputs!$B$31,0))),0)</f>
        <v/>
      </c>
    </row>
    <row r="499">
      <c r="A499">
        <f>Skills!A16</f>
        <v/>
      </c>
      <c r="B499">
        <f>Skills!B16</f>
        <v/>
      </c>
      <c r="C499">
        <f>Inputs!$B$3&gt;=49</f>
        <v/>
      </c>
      <c r="D499">
        <f>IF(Skills!C16=1,60+Inputs!$B$24+Inputs!$B$28,IF(Skills!C16=2,90+Inputs!$B$25+Inputs!$B$28,IF(Skills!C16=3,120+Inputs!$B$26+Inputs!$B$28,MAX(0,(Inputs!$B$3-100)*3)+Inputs!$B$27+Inputs!$B$28)))</f>
        <v/>
      </c>
      <c r="E499">
        <f>INDEX(FactorTable!$B$2:$Y$301, MATCH(ROUND(MIN(300,MAX(1,D499)),0), FactorTable!$A$2:$A$301,0), Skills!L16+1)</f>
        <v/>
      </c>
      <c r="F499">
        <f>IF(Skills!M16=TRUE,(Skills!K16/10)*(E499/1000),Skills!K16/10)+Skills!N16</f>
        <v/>
      </c>
      <c r="G499">
        <f>Calc!G16</f>
        <v/>
      </c>
      <c r="H499">
        <f>Calc!H16</f>
        <v/>
      </c>
      <c r="I499">
        <f>IF(Skills!T16&lt;&gt;"",1+(Skills!T16/10)*($Z$3/1000)/100,1)</f>
        <v/>
      </c>
      <c r="J499" t="inlineStr"/>
      <c r="K499" t="inlineStr"/>
      <c r="L499" t="inlineStr"/>
      <c r="M499" t="inlineStr"/>
      <c r="N499" t="inlineStr"/>
      <c r="O499" t="n">
        <v>0</v>
      </c>
      <c r="P499">
        <f>IF(B521=0,0,O499/B521)</f>
        <v/>
      </c>
      <c r="S499" t="n">
        <v>0</v>
      </c>
      <c r="V499">
        <f>IFERROR(1/IF(Inputs!$B$4="pvp",15,MAX(0.1,Skills!D16-IF(Skills!E16=TRUE,Inputs!$B$31,0))),0)</f>
        <v/>
      </c>
    </row>
    <row r="500">
      <c r="A500">
        <f>Skills!A17</f>
        <v/>
      </c>
      <c r="B500">
        <f>Skills!B17</f>
        <v/>
      </c>
      <c r="C500">
        <f>Inputs!$B$3&gt;=75</f>
        <v/>
      </c>
      <c r="D500">
        <f>IF(Skills!C17=1,60+Inputs!$B$24+Inputs!$B$28,IF(Skills!C17=2,90+Inputs!$B$25+Inputs!$B$28,IF(Skills!C17=3,120+Inputs!$B$26+Inputs!$B$28,MAX(0,(Inputs!$B$3-100)*3)+Inputs!$B$27+Inputs!$B$28)))</f>
        <v/>
      </c>
      <c r="E500">
        <f>INDEX(FactorTable!$B$2:$Y$301, MATCH(ROUND(MIN(300,MAX(1,D500)),0), FactorTable!$A$2:$A$301,0), Skills!L17+1)</f>
        <v/>
      </c>
      <c r="F500">
        <f>IF(Skills!M17=TRUE,(Skills!K17/10)*(E500/1000),Skills!K17/10)+Skills!N17</f>
        <v/>
      </c>
      <c r="G500">
        <f>Calc!G17</f>
        <v/>
      </c>
      <c r="H500">
        <f>Calc!H17</f>
        <v/>
      </c>
      <c r="I500">
        <f>IF(Skills!T17&lt;&gt;"",1+(Skills!T17/10)*($Z$3/1000)/100,1)</f>
        <v/>
      </c>
      <c r="J500" t="inlineStr"/>
      <c r="K500" t="inlineStr"/>
      <c r="L500" t="inlineStr"/>
      <c r="M500" t="inlineStr"/>
      <c r="N500" t="inlineStr"/>
      <c r="O500" t="n">
        <v>0</v>
      </c>
      <c r="P500">
        <f>IF(B521=0,0,O500/B521)</f>
        <v/>
      </c>
      <c r="S500" t="n">
        <v>0</v>
      </c>
      <c r="V500">
        <f>IFERROR(1/IF(Inputs!$B$4="pvp",15,MAX(0.1,Skills!D17-IF(Skills!E17=TRUE,Inputs!$B$31,0))),0)</f>
        <v/>
      </c>
    </row>
    <row r="501">
      <c r="A501">
        <f>Skills!A18</f>
        <v/>
      </c>
      <c r="B501">
        <f>Skills!B18</f>
        <v/>
      </c>
      <c r="C501">
        <f>Inputs!$B$3&gt;=110</f>
        <v/>
      </c>
      <c r="D501">
        <f>IF(Skills!C18=1,60+Inputs!$B$24+Inputs!$B$28,IF(Skills!C18=2,90+Inputs!$B$25+Inputs!$B$28,IF(Skills!C18=3,120+Inputs!$B$26+Inputs!$B$28,MAX(0,(Inputs!$B$3-100)*3)+Inputs!$B$27+Inputs!$B$28)))</f>
        <v/>
      </c>
      <c r="E501">
        <f>INDEX(FactorTable!$B$2:$Y$301, MATCH(ROUND(MIN(300,MAX(1,D501)),0), FactorTable!$A$2:$A$301,0), Skills!L18+1)</f>
        <v/>
      </c>
      <c r="F501">
        <f>(Skills!K18/10)*(E501/1000)*64/45+Skills!N18</f>
        <v/>
      </c>
      <c r="G501">
        <f>Calc!G18</f>
        <v/>
      </c>
      <c r="H501">
        <f>Calc!H18</f>
        <v/>
      </c>
      <c r="I501">
        <f>IF(Skills!T18&lt;&gt;"",1+(Skills!T18/10)*($Z$3/1000)/100,1)</f>
        <v/>
      </c>
      <c r="J501" t="inlineStr"/>
      <c r="K501" t="inlineStr"/>
      <c r="L501" t="inlineStr"/>
      <c r="M501" t="inlineStr"/>
      <c r="N501" t="inlineStr"/>
      <c r="O501" t="n">
        <v>0</v>
      </c>
      <c r="P501">
        <f>IF(B521=0,0,O501/B521)</f>
        <v/>
      </c>
      <c r="S501">
        <f>IF(AND(Inputs!$B$4&lt;&gt;"pvp",Inputs!$B$35&gt;0),(INT(Inputs!$B$35/IF(Inputs!$B$4="pvp",15,MAX(0.1,Skills!D18-IF(Skills!E18=TRUE,Inputs!$B$31,0))))+1),0)</f>
        <v/>
      </c>
      <c r="V501">
        <f>IFERROR(1/IF(Inputs!$B$4="pvp",15,MAX(0.1,Skills!D18-IF(Skills!E18=TRUE,Inputs!$B$31,0))),0)</f>
        <v/>
      </c>
    </row>
    <row r="502">
      <c r="A502">
        <f>Skills!A19</f>
        <v/>
      </c>
      <c r="B502">
        <f>Skills!B19</f>
        <v/>
      </c>
      <c r="C502">
        <f>Inputs!$B$3&gt;=125</f>
        <v/>
      </c>
      <c r="D502">
        <f>IF(Skills!C19=1,60+Inputs!$B$24+Inputs!$B$28,IF(Skills!C19=2,90+Inputs!$B$25+Inputs!$B$28,IF(Skills!C19=3,120+Inputs!$B$26+Inputs!$B$28,MAX(0,(Inputs!$B$3-100)*3)+Inputs!$B$27+Inputs!$B$28)))</f>
        <v/>
      </c>
      <c r="E502">
        <f>INDEX(FactorTable!$B$2:$Y$301, MATCH(ROUND(MIN(300,MAX(1,D502)),0), FactorTable!$A$2:$A$301,0), Skills!L19+1)</f>
        <v/>
      </c>
      <c r="F502">
        <f>IF(Skills!M19=TRUE,(Skills!K19/10)*(E502/1000),Skills!K19/10)+Skills!N19</f>
        <v/>
      </c>
      <c r="G502">
        <f>Calc!G19</f>
        <v/>
      </c>
      <c r="H502">
        <f>Calc!H19</f>
        <v/>
      </c>
      <c r="I502">
        <f>IF(Skills!T19&lt;&gt;"",1+(Skills!T19/10)*($Z$3/1000)/100,1)</f>
        <v/>
      </c>
      <c r="J502" t="inlineStr"/>
      <c r="K502" t="inlineStr"/>
      <c r="L502" t="inlineStr"/>
      <c r="M502" t="inlineStr"/>
      <c r="N502" t="inlineStr"/>
      <c r="O502" t="n">
        <v>0</v>
      </c>
      <c r="P502">
        <f>IF(B521=0,0,O502/B521)</f>
        <v/>
      </c>
      <c r="S502" t="n">
        <v>0</v>
      </c>
      <c r="V502">
        <f>IFERROR(1/IF(Inputs!$B$4="pvp",15,MAX(0.1,Skills!D19-IF(Skills!E19=TRUE,Inputs!$B$31,0))),0)</f>
        <v/>
      </c>
    </row>
    <row r="503">
      <c r="A503">
        <f>Skills!A20</f>
        <v/>
      </c>
      <c r="B503">
        <f>Skills!B20</f>
        <v/>
      </c>
      <c r="C503">
        <f>Inputs!$B$3&gt;=33</f>
        <v/>
      </c>
      <c r="D503">
        <f>IF(Skills!C20=1,60+Inputs!$B$24+Inputs!$B$28,IF(Skills!C20=2,90+Inputs!$B$25+Inputs!$B$28,IF(Skills!C20=3,120+Inputs!$B$26+Inputs!$B$28,MAX(0,(Inputs!$B$3-100)*3)+Inputs!$B$27+Inputs!$B$28)))</f>
        <v/>
      </c>
      <c r="E503">
        <f>INDEX(FactorTable!$B$2:$Y$301, MATCH(ROUND(MIN(300,MAX(1,D503)),0), FactorTable!$A$2:$A$301,0), Skills!L20+1)</f>
        <v/>
      </c>
      <c r="F503">
        <f>IF(Skills!M20=TRUE,(Skills!K20/10)*(E503/1000),Skills!K20/10)+Skills!N20</f>
        <v/>
      </c>
      <c r="G503">
        <f>Calc!G20</f>
        <v/>
      </c>
      <c r="H503">
        <f>Calc!H20</f>
        <v/>
      </c>
      <c r="I503">
        <f>IF(Skills!T20&lt;&gt;"",1+(Skills!T20/10)*($Z$3/1000)/100,1)</f>
        <v/>
      </c>
      <c r="J503" t="inlineStr"/>
      <c r="K503" t="inlineStr"/>
      <c r="L503" t="inlineStr"/>
      <c r="M503" t="inlineStr"/>
      <c r="N503" t="inlineStr"/>
      <c r="O503" t="n">
        <v>0</v>
      </c>
      <c r="P503">
        <f>IF(B521=0,0,O503/B521)</f>
        <v/>
      </c>
      <c r="S503" t="n">
        <v>0</v>
      </c>
      <c r="V503">
        <f>IFERROR(1/IF(Inputs!$B$4="pvp",15,MAX(0.1,Skills!D20-IF(Skills!E20=TRUE,Inputs!$B$31,0))),0)</f>
        <v/>
      </c>
    </row>
    <row r="504">
      <c r="A504">
        <f>Skills!A21</f>
        <v/>
      </c>
      <c r="B504">
        <f>Skills!B21</f>
        <v/>
      </c>
      <c r="C504">
        <f>Inputs!$B$3&gt;=43</f>
        <v/>
      </c>
      <c r="D504">
        <f>IF(Skills!C21=1,60+Inputs!$B$24+Inputs!$B$28,IF(Skills!C21=2,90+Inputs!$B$25+Inputs!$B$28,IF(Skills!C21=3,120+Inputs!$B$26+Inputs!$B$28,MAX(0,(Inputs!$B$3-100)*3)+Inputs!$B$27+Inputs!$B$28)))</f>
        <v/>
      </c>
      <c r="E504">
        <f>INDEX(FactorTable!$B$2:$Y$301, MATCH(ROUND(MIN(300,MAX(1,D504)),0), FactorTable!$A$2:$A$301,0), Skills!L21+1)</f>
        <v/>
      </c>
      <c r="F504">
        <f>IF(Skills!M21=TRUE,(Skills!K21/10)*(E504/1000),Skills!K21/10)+Skills!N21</f>
        <v/>
      </c>
      <c r="G504">
        <f>Calc!G21</f>
        <v/>
      </c>
      <c r="H504">
        <f>Calc!H21</f>
        <v/>
      </c>
      <c r="I504">
        <f>IF(Skills!T21&lt;&gt;"",1+(Skills!T21/10)*($Z$3/1000)/100,1)</f>
        <v/>
      </c>
      <c r="J504" t="inlineStr"/>
      <c r="K504" t="inlineStr"/>
      <c r="L504" t="inlineStr"/>
      <c r="M504" t="inlineStr"/>
      <c r="N504" t="inlineStr"/>
      <c r="O504" t="n">
        <v>0</v>
      </c>
      <c r="P504">
        <f>IF(B521=0,0,O504/B521)</f>
        <v/>
      </c>
      <c r="S504" t="n">
        <v>0</v>
      </c>
      <c r="V504">
        <f>IFERROR(1/IF(Inputs!$B$4="pvp",15,MAX(0.1,Skills!D21-IF(Skills!E21=TRUE,Inputs!$B$31,0))),0)</f>
        <v/>
      </c>
    </row>
    <row r="505">
      <c r="A505">
        <f>Skills!A22</f>
        <v/>
      </c>
      <c r="B505">
        <f>Skills!B22</f>
        <v/>
      </c>
      <c r="C505">
        <f>Inputs!$B$3&gt;=50</f>
        <v/>
      </c>
      <c r="D505">
        <f>IF(Skills!C22=1,60+Inputs!$B$24+Inputs!$B$28,IF(Skills!C22=2,90+Inputs!$B$25+Inputs!$B$28,IF(Skills!C22=3,120+Inputs!$B$26+Inputs!$B$28,MAX(0,(Inputs!$B$3-100)*3)+Inputs!$B$27+Inputs!$B$28)))</f>
        <v/>
      </c>
      <c r="E505">
        <f>INDEX(FactorTable!$B$2:$Y$301, MATCH(ROUND(MIN(300,MAX(1,D505)),0), FactorTable!$A$2:$A$301,0), Skills!L22+1)</f>
        <v/>
      </c>
      <c r="F505">
        <f>IF(Skills!M22=TRUE,(Skills!K22/10)*(E505/1000),Skills!K22/10)+Skills!N22</f>
        <v/>
      </c>
      <c r="G505">
        <f>Calc!G22</f>
        <v/>
      </c>
      <c r="H505">
        <f>Calc!H22</f>
        <v/>
      </c>
      <c r="I505">
        <f>IF(Skills!T22&lt;&gt;"",1+(Skills!T22/10)*($Z$3/1000)/100,1)</f>
        <v/>
      </c>
      <c r="J505" t="inlineStr"/>
      <c r="K505" t="inlineStr"/>
      <c r="L505" t="inlineStr"/>
      <c r="M505" t="inlineStr"/>
      <c r="N505" t="inlineStr"/>
      <c r="O505" t="n">
        <v>0</v>
      </c>
      <c r="P505">
        <f>IF(B521=0,0,O505/B521)</f>
        <v/>
      </c>
      <c r="S505" t="n">
        <v>0</v>
      </c>
      <c r="V505">
        <f>IFERROR(1/IF(Inputs!$B$4="pvp",15,MAX(0.1,Skills!D22-IF(Skills!E22=TRUE,Inputs!$B$31,0))),0)</f>
        <v/>
      </c>
    </row>
    <row r="506">
      <c r="A506">
        <f>Skills!A23</f>
        <v/>
      </c>
      <c r="B506">
        <f>Skills!B23</f>
        <v/>
      </c>
      <c r="C506">
        <f>Inputs!$B$3&gt;=74</f>
        <v/>
      </c>
      <c r="D506">
        <f>IF(Skills!C23=1,60+Inputs!$B$24+Inputs!$B$28,IF(Skills!C23=2,90+Inputs!$B$25+Inputs!$B$28,IF(Skills!C23=3,120+Inputs!$B$26+Inputs!$B$28,MAX(0,(Inputs!$B$3-100)*3)+Inputs!$B$27+Inputs!$B$28)))</f>
        <v/>
      </c>
      <c r="E506">
        <f>INDEX(FactorTable!$B$2:$Y$301, MATCH(ROUND(MIN(300,MAX(1,D506)),0), FactorTable!$A$2:$A$301,0), Skills!L23+1)</f>
        <v/>
      </c>
      <c r="F506">
        <f>IF(Skills!M23=TRUE,(Skills!K23/10)*(E506/1000),Skills!K23/10)+Skills!N23</f>
        <v/>
      </c>
      <c r="G506">
        <f>Calc!G23</f>
        <v/>
      </c>
      <c r="H506">
        <f>Calc!H23</f>
        <v/>
      </c>
      <c r="I506">
        <f>IF(Skills!T23&lt;&gt;"",1+(Skills!T23/10)*($Z$3/1000)/100,1)</f>
        <v/>
      </c>
      <c r="J506" t="inlineStr"/>
      <c r="K506" t="inlineStr"/>
      <c r="L506" t="inlineStr"/>
      <c r="M506" t="inlineStr"/>
      <c r="N506" t="inlineStr"/>
      <c r="O506" t="n">
        <v>0</v>
      </c>
      <c r="P506">
        <f>IF(B521=0,0,O506/B521)</f>
        <v/>
      </c>
      <c r="S506" t="n">
        <v>0</v>
      </c>
      <c r="V506">
        <f>IFERROR(1/IF(Inputs!$B$4="pvp",15,MAX(0.1,Skills!D23-IF(Skills!E23=TRUE,Inputs!$B$31,0))),0)</f>
        <v/>
      </c>
    </row>
    <row r="507">
      <c r="A507">
        <f>Skills!A24</f>
        <v/>
      </c>
      <c r="B507">
        <f>Skills!B24</f>
        <v/>
      </c>
      <c r="C507">
        <f>Inputs!$B$3&gt;=74</f>
        <v/>
      </c>
      <c r="D507">
        <f>IF(Skills!C24=1,60+Inputs!$B$24+Inputs!$B$28,IF(Skills!C24=2,90+Inputs!$B$25+Inputs!$B$28,IF(Skills!C24=3,120+Inputs!$B$26+Inputs!$B$28,MAX(0,(Inputs!$B$3-100)*3)+Inputs!$B$27+Inputs!$B$28)))</f>
        <v/>
      </c>
      <c r="E507">
        <f>INDEX(FactorTable!$B$2:$Y$301, MATCH(ROUND(MIN(300,MAX(1,D507)),0), FactorTable!$A$2:$A$301,0), Skills!L24+1)</f>
        <v/>
      </c>
      <c r="F507">
        <f>IF(Skills!M24=TRUE,(Skills!K24/10)*(E507/1000),Skills!K24/10)+Skills!N24</f>
        <v/>
      </c>
      <c r="G507">
        <f>Calc!G24</f>
        <v/>
      </c>
      <c r="H507">
        <f>Calc!H24</f>
        <v/>
      </c>
      <c r="I507">
        <f>IF(Skills!T24&lt;&gt;"",1+(Skills!T24/10)*($Z$3/1000)/100,1)</f>
        <v/>
      </c>
      <c r="J507" t="inlineStr"/>
      <c r="K507" t="inlineStr"/>
      <c r="L507" t="inlineStr"/>
      <c r="M507" t="inlineStr"/>
      <c r="N507" t="inlineStr"/>
      <c r="O507" t="n">
        <v>0</v>
      </c>
      <c r="P507">
        <f>IF(B521=0,0,O507/B521)</f>
        <v/>
      </c>
      <c r="S507" t="n">
        <v>0</v>
      </c>
      <c r="V507">
        <f>IFERROR(1/IF(Inputs!$B$4="pvp",15,MAX(0.1,Skills!D24-IF(Skills!E24=TRUE,Inputs!$B$31,0))),0)</f>
        <v/>
      </c>
    </row>
    <row r="508">
      <c r="A508">
        <f>Skills!A25</f>
        <v/>
      </c>
      <c r="B508">
        <f>Skills!B25</f>
        <v/>
      </c>
      <c r="C508">
        <f>Inputs!$B$3&gt;=117</f>
        <v/>
      </c>
      <c r="D508">
        <f>IF(Skills!C25=1,60+Inputs!$B$24+Inputs!$B$28,IF(Skills!C25=2,90+Inputs!$B$25+Inputs!$B$28,IF(Skills!C25=3,120+Inputs!$B$26+Inputs!$B$28,MAX(0,(Inputs!$B$3-100)*3)+Inputs!$B$27+Inputs!$B$28)))</f>
        <v/>
      </c>
      <c r="E508">
        <f>INDEX(FactorTable!$B$2:$Y$301, MATCH(ROUND(MIN(300,MAX(1,D508)),0), FactorTable!$A$2:$A$301,0), Skills!L25+1)</f>
        <v/>
      </c>
      <c r="F508">
        <f>IF(Skills!M25=TRUE,(Skills!K25/10)*(E508/1000),Skills!K25/10)+Skills!N25</f>
        <v/>
      </c>
      <c r="G508">
        <f>Calc!G25</f>
        <v/>
      </c>
      <c r="H508">
        <f>Calc!H25</f>
        <v/>
      </c>
      <c r="I508">
        <f>IF(Skills!T25&lt;&gt;"",1+(Skills!T25/10)*($Z$3/1000)/100,1)</f>
        <v/>
      </c>
      <c r="J508" t="inlineStr"/>
      <c r="K508" t="inlineStr"/>
      <c r="L508" t="inlineStr"/>
      <c r="M508" t="inlineStr"/>
      <c r="N508" t="inlineStr"/>
      <c r="O508" t="n">
        <v>0</v>
      </c>
      <c r="P508">
        <f>IF(B521=0,0,O508/B521)</f>
        <v/>
      </c>
      <c r="S508" t="n">
        <v>0</v>
      </c>
      <c r="V508">
        <f>IFERROR(1/IF(Inputs!$B$4="pvp",15,MAX(0.1,Skills!D25-IF(Skills!E25=TRUE,Inputs!$B$31,0))),0)</f>
        <v/>
      </c>
    </row>
    <row r="509">
      <c r="A509">
        <f>Skills!A26</f>
        <v/>
      </c>
      <c r="B509">
        <f>Skills!B26</f>
        <v/>
      </c>
      <c r="C509">
        <f>Inputs!$B$3&gt;=120</f>
        <v/>
      </c>
      <c r="D509">
        <f>IF(Skills!C26=1,60+Inputs!$B$24+Inputs!$B$28,IF(Skills!C26=2,90+Inputs!$B$25+Inputs!$B$28,IF(Skills!C26=3,120+Inputs!$B$26+Inputs!$B$28,MAX(0,(Inputs!$B$3-100)*3)+Inputs!$B$27+Inputs!$B$28)))</f>
        <v/>
      </c>
      <c r="E509">
        <f>INDEX(FactorTable!$B$2:$Y$301, MATCH(ROUND(MIN(300,MAX(1,D509)),0), FactorTable!$A$2:$A$301,0), Skills!L26+1)</f>
        <v/>
      </c>
      <c r="F509">
        <f>IF(Skills!M26=TRUE,(Skills!K26/10)*(E509/1000),Skills!K26/10)+Skills!N26</f>
        <v/>
      </c>
      <c r="G509">
        <f>Calc!G26</f>
        <v/>
      </c>
      <c r="H509">
        <f>Calc!H26</f>
        <v/>
      </c>
      <c r="I509">
        <f>IF(Skills!T26&lt;&gt;"",1+(Skills!T26/10)*($Z$3/1000)/100,1)</f>
        <v/>
      </c>
      <c r="J509" t="inlineStr"/>
      <c r="K509" t="inlineStr"/>
      <c r="L509" t="inlineStr"/>
      <c r="M509" t="inlineStr"/>
      <c r="N509" t="inlineStr"/>
      <c r="O509" t="n">
        <v>0</v>
      </c>
      <c r="P509">
        <f>IF(B521=0,0,O509/B521)</f>
        <v/>
      </c>
      <c r="S509" t="n">
        <v>0</v>
      </c>
      <c r="V509">
        <f>IFERROR(1/IF(Inputs!$B$4="pvp",15,MAX(0.1,Skills!D26-IF(Skills!E26=TRUE,Inputs!$B$31,0))),0)</f>
        <v/>
      </c>
    </row>
    <row r="511">
      <c r="A511" t="inlineStr">
        <is>
          <t>Average Buff Multiplier</t>
        </is>
      </c>
      <c r="B511">
        <f>(1+(IF(C486=TRUE,F486*IF(AND(Inputs!$B$4&lt;&gt;"pvp",Inputs!$B$35&gt;0),(((S486-1)*(Skills!S3*(1+(Inputs!$B$33+IF(Inputs!$B$3&gt;=117,F508,0))/100))+MIN((Skills!S3*(1+(Inputs!$B$33+IF(Inputs!$B$3&gt;=117,F508,0))/100)),MAX(0,Inputs!$B$35-((S486-1)*Skills!D3))))/Inputs!$B$35),IF(Inputs!$B$4="pvp",MIN((Skills!S3*(1+(Inputs!$B$33+IF(Inputs!$B$3&gt;=117,F508,0))/100)),15)/15,(Skills!S3*(1+(Inputs!$B$33+IF(Inputs!$B$3&gt;=117,F508,0))/100))/Skills!D3)),0)+IF(C487=TRUE,F487*IF(AND(Inputs!$B$4&lt;&gt;"pvp",Inputs!$B$35&gt;0),(((S487-1)*(Skills!S4*(1+(Inputs!$B$33+IF(Inputs!$B$3&gt;=117,F508,0))/100))+MIN((Skills!S4*(1+(Inputs!$B$33+IF(Inputs!$B$3&gt;=117,F508,0))/100)),MAX(0,Inputs!$B$35-((S487-1)*Skills!D4))))/Inputs!$B$35),IF(Inputs!$B$4="pvp",MIN((Skills!S4*(1+(Inputs!$B$33+IF(Inputs!$B$3&gt;=117,F508,0))/100)),15)/15,(Skills!S4*(1+(Inputs!$B$33+IF(Inputs!$B$3&gt;=117,F508,0))/100))/Skills!D4)),0)+IF(C488=TRUE,F488*IF(AND(Inputs!$B$4&lt;&gt;"pvp",Inputs!$B$35&gt;0),(((S488-1)*(Skills!S5*(1+(Inputs!$B$33+IF(Inputs!$B$3&gt;=117,F508,0))/100))+MIN((Skills!S5*(1+(Inputs!$B$33+IF(Inputs!$B$3&gt;=117,F508,0))/100)),MAX(0,Inputs!$B$35-((S488-1)*Skills!D5))))/Inputs!$B$35),IF(Inputs!$B$4="pvp",MIN((Skills!S5*(1+(Inputs!$B$33+IF(Inputs!$B$3&gt;=117,F508,0))/100)),15)/15,(Skills!S5*(1+(Inputs!$B$33+IF(Inputs!$B$3&gt;=117,F508,0))/100))/Skills!D5)),0)+IF(C494=TRUE,F494*IF(AND(Inputs!$B$4&lt;&gt;"pvp",Inputs!$B$35&gt;0),(((S494-1)*(Skills!S11*(1+(Inputs!$B$33+IF(Inputs!$B$3&gt;=117,F508,0))/100))+MIN((Skills!S11*(1+(Inputs!$B$33+IF(Inputs!$B$3&gt;=117,F508,0))/100)),MAX(0,Inputs!$B$35-((S494-1)*Skills!D11))))/Inputs!$B$35),IF(Inputs!$B$4="pvp",MIN((Skills!S11*(1+(Inputs!$B$33+IF(Inputs!$B$3&gt;=117,F508,0))/100)),15)/15,(Skills!S11*(1+(Inputs!$B$33+IF(Inputs!$B$3&gt;=117,F508,0))/100))/Skills!D11)),0))/100)*IF(C496=TRUE,(1+F496*IF(AND(Inputs!$B$4&lt;&gt;"pvp",Inputs!$B$35&gt;0),(((S496-1)*(Skills!S13*(1+(Inputs!$B$33+IF(Inputs!$B$3&gt;=117,F508,0))/100))+MIN((Skills!S13*(1+(Inputs!$B$33+IF(Inputs!$B$3&gt;=117,F508,0))/100)),MAX(0,Inputs!$B$35-((S496-1)*Skills!D13))))/Inputs!$B$35),IF(Inputs!$B$4="pvp",MIN((Skills!S13*(1+(Inputs!$B$33+IF(Inputs!$B$3&gt;=117,F508,0))/100)),15)/15,(Skills!S13*(1+(Inputs!$B$33+IF(Inputs!$B$3&gt;=117,F508,0))/100))/Skills!D13))/100),1)*IF(C501=TRUE,(1+F501*IF(AND(Inputs!$B$4&lt;&gt;"pvp",Inputs!$B$35&gt;0),(((S501-1)*(Skills!S18*(1+(Inputs!$B$33+IF(Inputs!$B$3&gt;=117,F508,0))/100))+MIN((Skills!S18*(1+(Inputs!$B$33+IF(Inputs!$B$3&gt;=117,F508,0))/100)),MAX(0,Inputs!$B$35-((S501-1)*Skills!D18))))/Inputs!$B$35),IF(Inputs!$B$4="pvp",MIN((Skills!S18*(1+(Inputs!$B$33+IF(Inputs!$B$3&gt;=117,F508,0))/100)),15)/15,(Skills!S18*(1+(Inputs!$B$33+IF(Inputs!$B$3&gt;=117,F508,0))/100))/Skills!D18))/100),1)</f>
        <v/>
      </c>
    </row>
    <row r="512">
      <c r="A512" t="inlineStr">
        <is>
          <t>Monster Damage Taken Bonus % (Holy Fountain)</t>
        </is>
      </c>
      <c r="B512">
        <f>IF(Inputs!$B$3&gt;=68,20*IF(Inputs!$B$4="pvp",MIN((15*(1+(Inputs!$B$33+IF(Inputs!$B$3&gt;=117,F508,0))/100)),15)/15,(15*(1+(Inputs!$B$33+IF(Inputs!$B$3&gt;=117,F508,0))/100))/Skills!D10),0)</f>
        <v/>
      </c>
    </row>
    <row r="513">
      <c r="A513" t="inlineStr">
        <is>
          <t>Normal Monster Damage Bonus % (Holy Symbol)</t>
        </is>
      </c>
      <c r="B513">
        <f>IF(C495=TRUE,F495*IF(AND(Inputs!$B$4&lt;&gt;"pvp",Inputs!$B$35&gt;0),(((S495-1)*(Skills!S12*(1+(Inputs!$B$33+IF(Inputs!$B$3&gt;=117,F508,0))/100))+MIN((Skills!S12*(1+(Inputs!$B$33+IF(Inputs!$B$3&gt;=117,F508,0))/100)),MAX(0,Inputs!$B$35-((S495-1)*Skills!D12))))/Inputs!$B$35),IF(Inputs!$B$4="pvp",MIN((Skills!S12*(1+(Inputs!$B$33+IF(Inputs!$B$3&gt;=117,F508,0))/100)),15)/15,(Skills!S12*(1+(Inputs!$B$33+IF(Inputs!$B$3&gt;=117,F508,0))/100))/Skills!D12)),0)</f>
        <v/>
      </c>
    </row>
    <row r="514">
      <c r="A514" t="inlineStr">
        <is>
          <t>Damage % Bonus (Holy Symbol - Damage Boost)</t>
        </is>
      </c>
      <c r="B514">
        <f>Skills!O12</f>
        <v/>
      </c>
    </row>
    <row r="515">
      <c r="A515" t="inlineStr">
        <is>
          <t>Crit Damage % Bonus (Blood of the Divine)</t>
        </is>
      </c>
      <c r="B515">
        <f>4*IF(C502=TRUE,F502,0)</f>
        <v/>
      </c>
    </row>
    <row r="516">
      <c r="A516" t="inlineStr">
        <is>
          <t>Attack Speed Bonus %</t>
        </is>
      </c>
      <c r="B516">
        <f>IF(C499=TRUE,F499+(F503-Calc!F20),0)+IF(Inputs!$B$3&gt;=134,15,0)</f>
        <v/>
      </c>
    </row>
    <row r="517">
      <c r="A517" t="inlineStr">
        <is>
          <t>Actions Per Second</t>
        </is>
      </c>
      <c r="B517">
        <f>1+MIN(150,150*(1-(1-((1-(1-Inputs!$B$10/150)*(1-1/150))*150)/150)*(1-B516/150)))/100</f>
        <v/>
      </c>
    </row>
    <row r="518">
      <c r="A518" t="inlineStr">
        <is>
          <t>Skill + Buff Cast Rate</t>
        </is>
      </c>
      <c r="B518">
        <f>IF(AND(Inputs!$B$4&lt;&gt;"pvp",Inputs!$B$35&gt;0),SUMPRODUCT((Skills!E2:E26=TRUE)*(C485:C509=TRUE)*S485:S509)/Inputs!$B$35,SUMPRODUCT((Skills!E2:E26=TRUE)*(C485:C509=TRUE)*V485:V509))</f>
        <v/>
      </c>
    </row>
    <row r="519">
      <c r="A519" t="inlineStr">
        <is>
          <t>Big Bang Casts Per Second</t>
        </is>
      </c>
      <c r="B519">
        <f>MAX(0,B517-B518)</f>
        <v/>
      </c>
    </row>
    <row r="521">
      <c r="A521" s="5" t="inlineStr">
        <is>
          <t>TOTAL DPS</t>
        </is>
      </c>
      <c r="B521" s="5">
        <f>SUM(O485:O509)</f>
        <v/>
      </c>
    </row>
    <row r="524">
      <c r="A524" s="5" t="inlineStr">
        <is>
          <t>Stat: DEF_PEN % (diminishing returns, factor 100)</t>
        </is>
      </c>
    </row>
    <row r="525">
      <c r="A525" s="8" t="inlineStr">
        <is>
          <t>Key</t>
        </is>
      </c>
      <c r="B525" s="8" t="inlineStr">
        <is>
          <t>Name</t>
        </is>
      </c>
      <c r="C525" s="8" t="inlineStr">
        <is>
          <t>Unlocked</t>
        </is>
      </c>
      <c r="D525" s="8" t="inlineStr">
        <is>
          <t>InputLevel</t>
        </is>
      </c>
      <c r="E525" s="8" t="inlineStr">
        <is>
          <t>Factor</t>
        </is>
      </c>
      <c r="F525" s="8" t="inlineStr">
        <is>
          <t>CoefficientPercent</t>
        </is>
      </c>
      <c r="G525" s="8" t="inlineStr">
        <is>
          <t>EffectiveHits</t>
        </is>
      </c>
      <c r="H525" s="8" t="inlineStr">
        <is>
          <t>ProcProbability</t>
        </is>
      </c>
      <c r="I525" s="8" t="inlineStr">
        <is>
          <t>MapleHeroMultiplier</t>
        </is>
      </c>
      <c r="J525" s="8" t="inlineStr">
        <is>
          <t>BaseDamage</t>
        </is>
      </c>
      <c r="K525" s="8" t="inlineStr">
        <is>
          <t>BaseHitDamage</t>
        </is>
      </c>
      <c r="L525" s="8" t="inlineStr">
        <is>
          <t>NonCritAvg</t>
        </is>
      </c>
      <c r="M525" s="8" t="inlineStr">
        <is>
          <t>CritAvg</t>
        </is>
      </c>
      <c r="N525" s="8" t="inlineStr">
        <is>
          <t>ExpectedDamage(perHit)</t>
        </is>
      </c>
      <c r="O525" s="8" t="inlineStr">
        <is>
          <t>DPS</t>
        </is>
      </c>
      <c r="P525" s="8" t="inlineStr">
        <is>
          <t>% of Total</t>
        </is>
      </c>
      <c r="R525" t="inlineStr">
        <is>
          <t>helpers</t>
        </is>
      </c>
    </row>
    <row r="526">
      <c r="A526">
        <f>Skills!A2</f>
        <v/>
      </c>
      <c r="B526">
        <f>Skills!B2</f>
        <v/>
      </c>
      <c r="C526">
        <f>Inputs!$B$3&gt;=100</f>
        <v/>
      </c>
      <c r="D526" t="inlineStr"/>
      <c r="E526" t="inlineStr"/>
      <c r="F526">
        <f>T528+Skills!N2</f>
        <v/>
      </c>
      <c r="G526">
        <f>Calc!G2</f>
        <v/>
      </c>
      <c r="H526">
        <f>Calc!H2</f>
        <v/>
      </c>
      <c r="I526">
        <f>IF(Skills!T2&lt;&gt;"",1+(Skills!T2/10)*($Z$3/1000)/100,1)</f>
        <v/>
      </c>
      <c r="J526">
        <f>((Inputs!$B$5*(1+Inputs!$B$6/100))+((Inputs!$B$11*(1+Inputs!$B$12/100))-(Inputs!$B$11*(1+Inputs!$B$12/100)))*(1+Inputs!$B$6/100))*(F526/100)</f>
        <v/>
      </c>
      <c r="K526">
        <f>J526*(1+((Inputs!$B$11*(1+Inputs!$B$12/100))*0.01+Inputs!$B$13*0.0025)/100)*(1+(Inputs!$B$14+B555)/100)*(1+IF(Inputs!$B$4="pvp",0,(1-Summary!$B$48)*(Inputs!$B$19+Skills!O2+B553)+Summary!$B$48*(Inputs!$B$20+Skills!P2+B554))/100)*(1+Inputs!$B$15/100)*(5000/(6000+Inputs!$B$7*(1-((1-(1-Inputs!$B$18/100)*(1-1/100))*100)/100)))*(1+Inputs!$B$23/100)*(1+IF(C541=TRUE,F541,0)/100)*(1+IF(C543=TRUE,F543,0)/100)*(1+IF(Skills!A2="TRIUMPH_FEATHER",IF(C539=TRUE,F539,0),0)/100)*(1+IF(C550=TRUE,F550,0)/100)^5*(1+(IF(Skills!A2="BIG_BANG",Inputs!$B$16,Inputs!$B$17))/100)*(B552*I526)</f>
        <v/>
      </c>
      <c r="L526">
        <f>K526*(MIN(Inputs!$B$21+(F545-Calc!F21),Inputs!$B$22)/100+Inputs!$B$22/100)/2</f>
        <v/>
      </c>
      <c r="M526">
        <f>L526*(1+(Inputs!$B$9+B556+(F548-Calc!F24))/100)</f>
        <v/>
      </c>
      <c r="N526">
        <f>L526*(1-MIN(Inputs!$B$8+((F547-Calc!F23)+(F546-Calc!F22)),100)/100)+M526*(MIN(Inputs!$B$8+((F547-Calc!F23)+(F546-Calc!F22)),100)/100)</f>
        <v/>
      </c>
      <c r="O526">
        <f>IF(C526,Skills!F2*N526*B560*IF(Inputs!$B$4="pvp",1,(1-Summary!$B$48)*(1)+Summary!$B$48*(MIN((6+Inputs!$B$32),Inputs!$B$37))),0)</f>
        <v/>
      </c>
      <c r="P526">
        <f>IF(B562=0,0,O526/B562)</f>
        <v/>
      </c>
      <c r="S526" t="n">
        <v>0</v>
      </c>
      <c r="T526">
        <f>MAX(0,(Inputs!$B$3-100)*3)+Inputs!$B$27+Inputs!$B$28</f>
        <v/>
      </c>
      <c r="V526">
        <f>IFERROR(1/IF(Inputs!$B$4="pvp",15,MAX(0.1,Skills!D2-IF(Skills!E2=TRUE,Inputs!$B$31,0))),0)</f>
        <v/>
      </c>
    </row>
    <row r="527">
      <c r="A527">
        <f>Skills!A3</f>
        <v/>
      </c>
      <c r="B527">
        <f>Skills!B3</f>
        <v/>
      </c>
      <c r="C527">
        <f>Inputs!$B$3&gt;=15</f>
        <v/>
      </c>
      <c r="D527">
        <f>IF(Skills!C3=1,60+Inputs!$B$24+Inputs!$B$28,IF(Skills!C3=2,90+Inputs!$B$25+Inputs!$B$28,IF(Skills!C3=3,120+Inputs!$B$26+Inputs!$B$28,MAX(0,(Inputs!$B$3-100)*3)+Inputs!$B$27+Inputs!$B$28)))</f>
        <v/>
      </c>
      <c r="E527">
        <f>INDEX(FactorTable!$B$2:$Y$301, MATCH(ROUND(MIN(300,MAX(1,D527)),0), FactorTable!$A$2:$A$301,0), Skills!L3+1)</f>
        <v/>
      </c>
      <c r="F527">
        <f>IF(Skills!M3=TRUE,(Skills!K3/10)*(E527/1000),Skills!K3/10)+Skills!N3</f>
        <v/>
      </c>
      <c r="G527">
        <f>Calc!G3</f>
        <v/>
      </c>
      <c r="H527">
        <f>Calc!H3</f>
        <v/>
      </c>
      <c r="I527">
        <f>IF(Skills!T3&lt;&gt;"",1+(Skills!T3/10)*($Z$3/1000)/100,1)</f>
        <v/>
      </c>
      <c r="J527" t="inlineStr"/>
      <c r="K527" t="inlineStr"/>
      <c r="L527" t="inlineStr"/>
      <c r="M527" t="inlineStr"/>
      <c r="N527" t="inlineStr"/>
      <c r="O527" t="n">
        <v>0</v>
      </c>
      <c r="P527">
        <f>IF(B562=0,0,O527/B562)</f>
        <v/>
      </c>
      <c r="S527">
        <f>IF(AND(Inputs!$B$4&lt;&gt;"pvp",Inputs!$B$35&gt;0),(INT(Inputs!$B$35/IF(Inputs!$B$4="pvp",15,MAX(0.1,Skills!D3-IF(Skills!E3=TRUE,Inputs!$B$31,0))))+1),0)</f>
        <v/>
      </c>
      <c r="T527">
        <f>INDEX(FactorTable!$B$2:$Y$301, MATCH(ROUND(MIN(300,MAX(1,T526)),0), FactorTable!$A$2:$A$301,0), 22)</f>
        <v/>
      </c>
      <c r="V527">
        <f>IFERROR(1/IF(Inputs!$B$4="pvp",15,MAX(0.1,Skills!D3-IF(Skills!E3=TRUE,Inputs!$B$31,0))),0)</f>
        <v/>
      </c>
    </row>
    <row r="528">
      <c r="A528">
        <f>Skills!A4</f>
        <v/>
      </c>
      <c r="B528">
        <f>Skills!B4</f>
        <v/>
      </c>
      <c r="C528">
        <f>Inputs!$B$3&gt;=38</f>
        <v/>
      </c>
      <c r="D528">
        <f>IF(Skills!C4=1,60+Inputs!$B$24+Inputs!$B$28,IF(Skills!C4=2,90+Inputs!$B$25+Inputs!$B$28,IF(Skills!C4=3,120+Inputs!$B$26+Inputs!$B$28,MAX(0,(Inputs!$B$3-100)*3)+Inputs!$B$27+Inputs!$B$28)))</f>
        <v/>
      </c>
      <c r="E528">
        <f>INDEX(FactorTable!$B$2:$Y$301, MATCH(ROUND(MIN(300,MAX(1,D528)),0), FactorTable!$A$2:$A$301,0), Skills!L4+1)</f>
        <v/>
      </c>
      <c r="F528">
        <f>IF(Skills!M4=TRUE,(Skills!K4/10)*(E528/1000),Skills!K4/10)+Skills!N4</f>
        <v/>
      </c>
      <c r="G528">
        <f>Calc!G4</f>
        <v/>
      </c>
      <c r="H528">
        <f>Calc!H4</f>
        <v/>
      </c>
      <c r="I528">
        <f>IF(Skills!T4&lt;&gt;"",1+(Skills!T4/10)*($Z$3/1000)/100,1)</f>
        <v/>
      </c>
      <c r="J528" t="inlineStr"/>
      <c r="K528" t="inlineStr"/>
      <c r="L528" t="inlineStr"/>
      <c r="M528" t="inlineStr"/>
      <c r="N528" t="inlineStr"/>
      <c r="O528" t="n">
        <v>0</v>
      </c>
      <c r="P528">
        <f>IF(B562=0,0,O528/B562)</f>
        <v/>
      </c>
      <c r="S528">
        <f>IF(AND(Inputs!$B$4&lt;&gt;"pvp",Inputs!$B$35&gt;0),(INT(Inputs!$B$35/IF(Inputs!$B$4="pvp",15,MAX(0.1,Skills!D4-IF(Skills!E4=TRUE,Inputs!$B$31,0))))+1),0)</f>
        <v/>
      </c>
      <c r="T528">
        <f>290*T527/1000</f>
        <v/>
      </c>
      <c r="V528">
        <f>IFERROR(1/IF(Inputs!$B$4="pvp",15,MAX(0.1,Skills!D4-IF(Skills!E4=TRUE,Inputs!$B$31,0))),0)</f>
        <v/>
      </c>
    </row>
    <row r="529">
      <c r="A529">
        <f>Skills!A5</f>
        <v/>
      </c>
      <c r="B529">
        <f>Skills!B5</f>
        <v/>
      </c>
      <c r="C529">
        <f>Inputs!$B$3&gt;=40</f>
        <v/>
      </c>
      <c r="D529">
        <f>IF(Skills!C5=1,60+Inputs!$B$24+Inputs!$B$28,IF(Skills!C5=2,90+Inputs!$B$25+Inputs!$B$28,IF(Skills!C5=3,120+Inputs!$B$26+Inputs!$B$28,MAX(0,(Inputs!$B$3-100)*3)+Inputs!$B$27+Inputs!$B$28)))</f>
        <v/>
      </c>
      <c r="E529">
        <f>INDEX(FactorTable!$B$2:$Y$301, MATCH(ROUND(MIN(300,MAX(1,D529)),0), FactorTable!$A$2:$A$301,0), Skills!L5+1)</f>
        <v/>
      </c>
      <c r="F529">
        <f>IF(Skills!M5=TRUE,(Skills!K5/10)*(E529/1000),Skills!K5/10)+Skills!N5</f>
        <v/>
      </c>
      <c r="G529">
        <f>Calc!G5</f>
        <v/>
      </c>
      <c r="H529">
        <f>Calc!H5</f>
        <v/>
      </c>
      <c r="I529">
        <f>IF(Skills!T5&lt;&gt;"",1+(Skills!T5/10)*($Z$3/1000)/100,1)</f>
        <v/>
      </c>
      <c r="J529" t="inlineStr"/>
      <c r="K529" t="inlineStr"/>
      <c r="L529" t="inlineStr"/>
      <c r="M529" t="inlineStr"/>
      <c r="N529" t="inlineStr"/>
      <c r="O529" t="n">
        <v>0</v>
      </c>
      <c r="P529">
        <f>IF(B562=0,0,O529/B562)</f>
        <v/>
      </c>
      <c r="S529">
        <f>IF(AND(Inputs!$B$4&lt;&gt;"pvp",Inputs!$B$35&gt;0),(INT(Inputs!$B$35/IF(Inputs!$B$4="pvp",15,MAX(0.1,Skills!D5-IF(Skills!E5=TRUE,Inputs!$B$31,0))))+1),0)</f>
        <v/>
      </c>
      <c r="V529">
        <f>IFERROR(1/IF(Inputs!$B$4="pvp",15,MAX(0.1,Skills!D5-IF(Skills!E5=TRUE,Inputs!$B$31,0))),0)</f>
        <v/>
      </c>
    </row>
    <row r="530">
      <c r="A530">
        <f>Skills!A6</f>
        <v/>
      </c>
      <c r="B530">
        <f>Skills!B6</f>
        <v/>
      </c>
      <c r="C530">
        <f>Inputs!$B$3&gt;=103</f>
        <v/>
      </c>
      <c r="D530">
        <f>IF(Skills!C6=1,60+Inputs!$B$24+Inputs!$B$28,IF(Skills!C6=2,90+Inputs!$B$25+Inputs!$B$28,IF(Skills!C6=3,120+Inputs!$B$26+Inputs!$B$28,MAX(0,(Inputs!$B$3-100)*3)+Inputs!$B$27+Inputs!$B$28)))</f>
        <v/>
      </c>
      <c r="E530">
        <f>INDEX(FactorTable!$B$2:$Y$301, MATCH(ROUND(MIN(300,MAX(1,D530)),0), FactorTable!$A$2:$A$301,0), Skills!L6+1)</f>
        <v/>
      </c>
      <c r="F530">
        <f>IF(Skills!M6=TRUE,(Skills!K6/10)*(E530/1000),Skills!K6/10)+Skills!N6</f>
        <v/>
      </c>
      <c r="G530">
        <f>Calc!G6</f>
        <v/>
      </c>
      <c r="H530">
        <f>Calc!H6</f>
        <v/>
      </c>
      <c r="I530">
        <f>IF(Skills!T6&lt;&gt;"",1+(Skills!T6/10)*($Z$3/1000)/100,1)</f>
        <v/>
      </c>
      <c r="J530">
        <f>((Inputs!$B$5*(1+Inputs!$B$6/100))+((Inputs!$B$11*(1+Inputs!$B$12/100))-(Inputs!$B$11*(1+Inputs!$B$12/100)))*(1+Inputs!$B$6/100))*(F530/100)</f>
        <v/>
      </c>
      <c r="K530">
        <f>J530*(1+((Inputs!$B$11*(1+Inputs!$B$12/100))*0.01+Inputs!$B$13*0.0025)/100)*(1+(Inputs!$B$14+B555)/100)*(1+IF(Inputs!$B$4="pvp",0,(1-Summary!$B$48)*(Inputs!$B$19+Skills!O6+B553)+Summary!$B$48*(Inputs!$B$20+Skills!P6+B554))/100)*(1+Inputs!$B$15/100)*(5000/(6000+Inputs!$B$7*(1-((1-(1-Inputs!$B$18/100)*(1-1/100))*100)/100)))*(1+Inputs!$B$23/100)*(1+IF(C541=TRUE,F541,0)/100)*(1+IF(C543=TRUE,F543,0)/100)*(1+IF(Skills!A6="TRIUMPH_FEATHER",IF(C539=TRUE,F539,0),0)/100)*(1+IF(C550=TRUE,F550,0)/100)^5*(1+(IF(Skills!A6="BIG_BANG",Inputs!$B$16,Inputs!$B$17))/100)*(B552*I530)</f>
        <v/>
      </c>
      <c r="L530">
        <f>K530*(MIN(Inputs!$B$21+(F545-Calc!F21),Inputs!$B$22)/100+Inputs!$B$22/100)/2</f>
        <v/>
      </c>
      <c r="M530">
        <f>L530*(1+(Inputs!$B$9+B556+(F548-Calc!F24))/100)</f>
        <v/>
      </c>
      <c r="N530">
        <f>L530*(1-MIN(Inputs!$B$8+((F547-Calc!F23)+(F546-Calc!F22)),100)/100)+M530*(MIN(Inputs!$B$8+((F547-Calc!F23)+(F546-Calc!F22)),100)/100)</f>
        <v/>
      </c>
      <c r="O530">
        <f>IF(C530,H530*N530*IF(AND(Inputs!$B$4&lt;&gt;"pvp",Inputs!$B$35&gt;0),((Skills!F6*((S530-1)*IF(Skills!G6&gt;0,Skills!H6/Skills!G6,1)+IF(Skills!G6&gt;0,MIN(Skills!H6,MAX(0,Inputs!$B$35-((S530-1)*IF(Inputs!$B$4="pvp",15,MAX(0.1,Skills!D6-IF(Skills!E6=TRUE,Inputs!$B$31,0))))))/Skills!G6,1)))/Inputs!$B$35),G530*V530)*IF(Inputs!$B$4="pvp",1,(1-Summary!$B$48)*(1)+Summary!$B$48*(MIN(Skills!Q6,Inputs!$B$37))),0)</f>
        <v/>
      </c>
      <c r="P530">
        <f>IF(B562=0,0,O530/B562)</f>
        <v/>
      </c>
      <c r="S530">
        <f>IF(AND(Inputs!$B$4&lt;&gt;"pvp",Inputs!$B$35&gt;0),(INT(Inputs!$B$35/IF(Inputs!$B$4="pvp",15,MAX(0.1,Skills!D6-IF(Skills!E6=TRUE,Inputs!$B$31,0))))+1),0)</f>
        <v/>
      </c>
      <c r="V530">
        <f>IFERROR(1/IF(Inputs!$B$4="pvp",15,MAX(0.1,Skills!D6-IF(Skills!E6=TRUE,Inputs!$B$31,0))),0)</f>
        <v/>
      </c>
    </row>
    <row r="531">
      <c r="A531">
        <f>Skills!A7</f>
        <v/>
      </c>
      <c r="B531">
        <f>Skills!B7</f>
        <v/>
      </c>
      <c r="C531">
        <f>Inputs!$B$3&gt;=122</f>
        <v/>
      </c>
      <c r="D531">
        <f>IF(Skills!C7=1,60+Inputs!$B$24+Inputs!$B$28,IF(Skills!C7=2,90+Inputs!$B$25+Inputs!$B$28,IF(Skills!C7=3,120+Inputs!$B$26+Inputs!$B$28,MAX(0,(Inputs!$B$3-100)*3)+Inputs!$B$27+Inputs!$B$28)))</f>
        <v/>
      </c>
      <c r="E531">
        <f>INDEX(FactorTable!$B$2:$Y$301, MATCH(ROUND(MIN(300,MAX(1,D531)),0), FactorTable!$A$2:$A$301,0), Skills!L7+1)</f>
        <v/>
      </c>
      <c r="F531">
        <f>IF(Skills!M7=TRUE,(Skills!K7/10)*(E531/1000),Skills!K7/10)+Skills!N7</f>
        <v/>
      </c>
      <c r="G531">
        <f>Calc!G7</f>
        <v/>
      </c>
      <c r="H531">
        <f>Calc!H7</f>
        <v/>
      </c>
      <c r="I531">
        <f>IF(Skills!T7&lt;&gt;"",1+(Skills!T7/10)*($Z$3/1000)/100,1)</f>
        <v/>
      </c>
      <c r="J531">
        <f>((Inputs!$B$5*(1+Inputs!$B$6/100))+((Inputs!$B$11*(1+Inputs!$B$12/100))-(Inputs!$B$11*(1+Inputs!$B$12/100)))*(1+Inputs!$B$6/100))*(F531/100)</f>
        <v/>
      </c>
      <c r="K531">
        <f>J531*(1+((Inputs!$B$11*(1+Inputs!$B$12/100))*0.01+Inputs!$B$13*0.0025)/100)*(1+(Inputs!$B$14+B555)/100)*(1+IF(Inputs!$B$4="pvp",0,(1-Summary!$B$48)*(Inputs!$B$19+Skills!O7+B553)+Summary!$B$48*(Inputs!$B$20+Skills!P7+B554))/100)*(1+Inputs!$B$15/100)*(5000/(6000+Inputs!$B$7*(1-((1-(1-Inputs!$B$18/100)*(1-1/100))*100)/100)))*(1+Inputs!$B$23/100)*(1+IF(C541=TRUE,F541,0)/100)*(1+IF(C543=TRUE,F543,0)/100)*(1+IF(Skills!A7="TRIUMPH_FEATHER",IF(C539=TRUE,F539,0),0)/100)*(1+IF(C550=TRUE,F550,0)/100)^5*(1+(IF(Skills!A7="BIG_BANG",Inputs!$B$16,Inputs!$B$17))/100)*(B552*I531)</f>
        <v/>
      </c>
      <c r="L531">
        <f>K531*(MIN(Inputs!$B$21+(F545-Calc!F21),Inputs!$B$22)/100+Inputs!$B$22/100)/2</f>
        <v/>
      </c>
      <c r="M531">
        <f>L531*(1+(Inputs!$B$9+B556+(F548-Calc!F24))/100)</f>
        <v/>
      </c>
      <c r="N531">
        <f>L531*(1-MIN(Inputs!$B$8+((F547-Calc!F23)+(F546-Calc!F22)),100)/100)+M531*(MIN(Inputs!$B$8+((F547-Calc!F23)+(F546-Calc!F22)),100)/100)</f>
        <v/>
      </c>
      <c r="O531">
        <f>IF(C531,H531*N531*IF(AND(Inputs!$B$4&lt;&gt;"pvp",Inputs!$B$35&gt;0),((Skills!F7*((S531-1)*IF(Skills!G7&gt;0,Skills!H7/Skills!G7,1)+IF(Skills!G7&gt;0,MIN(Skills!H7,MAX(0,Inputs!$B$35-((S531-1)*IF(Inputs!$B$4="pvp",15,MAX(0.1,Skills!D7-IF(Skills!E6=TRUE,Inputs!$B$31,0))))))/Skills!G7,1)))/Inputs!$B$35),G531*V531)*(1-Summary!$B$48),0)</f>
        <v/>
      </c>
      <c r="P531">
        <f>IF(B562=0,0,O531/B562)</f>
        <v/>
      </c>
      <c r="S531">
        <f>IF(AND(Inputs!$B$4&lt;&gt;"pvp",Inputs!$B$35&gt;0),(INT(Inputs!$B$35/IF(Inputs!$B$4="pvp",15,MAX(0.1,Skills!D7-IF(Skills!E6=TRUE,Inputs!$B$31,0))))+1),0)</f>
        <v/>
      </c>
      <c r="V531">
        <f>IFERROR(1/IF(Inputs!$B$4="pvp",15,MAX(0.1,Skills!D7-IF(Skills!E6=TRUE,Inputs!$B$31,0))),0)</f>
        <v/>
      </c>
    </row>
    <row r="532">
      <c r="A532">
        <f>Skills!A8</f>
        <v/>
      </c>
      <c r="B532">
        <f>Skills!B8</f>
        <v/>
      </c>
      <c r="C532">
        <f>Inputs!$B$3&gt;=105</f>
        <v/>
      </c>
      <c r="D532">
        <f>IF(Skills!C8=1,60+Inputs!$B$24+Inputs!$B$28,IF(Skills!C8=2,90+Inputs!$B$25+Inputs!$B$28,IF(Skills!C8=3,120+Inputs!$B$26+Inputs!$B$28,MAX(0,(Inputs!$B$3-100)*3)+Inputs!$B$27+Inputs!$B$28)))</f>
        <v/>
      </c>
      <c r="E532">
        <f>INDEX(FactorTable!$B$2:$Y$301, MATCH(ROUND(MIN(300,MAX(1,D532)),0), FactorTable!$A$2:$A$301,0), Skills!L8+1)</f>
        <v/>
      </c>
      <c r="F532">
        <f>IF(Skills!M8=TRUE,(Skills!K8/10)*(E532/1000),Skills!K8/10)+Skills!N8</f>
        <v/>
      </c>
      <c r="G532">
        <f>Calc!G8</f>
        <v/>
      </c>
      <c r="H532">
        <f>Calc!H8</f>
        <v/>
      </c>
      <c r="I532">
        <f>IF(Skills!T8&lt;&gt;"",1+(Skills!T8/10)*($Z$3/1000)/100,1)</f>
        <v/>
      </c>
      <c r="J532">
        <f>((Inputs!$B$5*(1+Inputs!$B$6/100))+((Inputs!$B$11*(1+Inputs!$B$12/100))-(Inputs!$B$11*(1+Inputs!$B$12/100)))*(1+Inputs!$B$6/100))*(F532/100)</f>
        <v/>
      </c>
      <c r="K532">
        <f>J532*(1+((Inputs!$B$11*(1+Inputs!$B$12/100))*0.01+Inputs!$B$13*0.0025)/100)*(1+(Inputs!$B$14+B555)/100)*(1+IF(Inputs!$B$4="pvp",0,(1-Summary!$B$48)*(Inputs!$B$19+Skills!O8+B553)+Summary!$B$48*(Inputs!$B$20+Skills!P8+B554))/100)*(1+Inputs!$B$15/100)*(5000/(6000+Inputs!$B$7*(1-((1-(1-Inputs!$B$18/100)*(1-1/100))*100)/100)))*(1+Inputs!$B$23/100)*(1+IF(C541=TRUE,F541,0)/100)*(1+IF(C543=TRUE,F543,0)/100)*(1+IF(Skills!A8="TRIUMPH_FEATHER",IF(C539=TRUE,F539,0),0)/100)*(1+IF(C550=TRUE,F550,0)/100)^5*(1+(IF(Skills!A8="BIG_BANG",Inputs!$B$16,Inputs!$B$17))/100)*(B552*I532)</f>
        <v/>
      </c>
      <c r="L532">
        <f>K532*(MIN(Inputs!$B$21+(F545-Calc!F21),Inputs!$B$22)/100+Inputs!$B$22/100)/2</f>
        <v/>
      </c>
      <c r="M532">
        <f>L532*(1+(Inputs!$B$9+B556+(F548-Calc!F24))/100)</f>
        <v/>
      </c>
      <c r="N532">
        <f>L532*(1-MIN(Inputs!$B$8+((F547-Calc!F23)+(F546-Calc!F22)),100)/100)+M532*(MIN(Inputs!$B$8+((F547-Calc!F23)+(F546-Calc!F22)),100)/100)</f>
        <v/>
      </c>
      <c r="O532">
        <f>IF(C532,H532*N532*IF(AND(Inputs!$B$4&lt;&gt;"pvp",Inputs!$B$35&gt;0),((Skills!F8*((S532-1)*IF(Skills!G8&gt;0,Skills!H8/Skills!G8,1)+IF(Skills!G8&gt;0,MIN(Skills!H8,MAX(0,Inputs!$B$35-((S532-1)*IF(Inputs!$B$4="pvp",15,MAX(0.1,Skills!D8-IF(Skills!E8=TRUE,Inputs!$B$31,0))))))/Skills!G8,1)))/Inputs!$B$35),G532*V532)*IF(Inputs!$B$4="pvp",1,(1-Summary!$B$48)*(1)+Summary!$B$48*(MIN(Skills!Q8,Inputs!$B$37))),0)</f>
        <v/>
      </c>
      <c r="P532">
        <f>IF(B562=0,0,O532/B562)</f>
        <v/>
      </c>
      <c r="S532">
        <f>IF(AND(Inputs!$B$4&lt;&gt;"pvp",Inputs!$B$35&gt;0),(INT(Inputs!$B$35/IF(Inputs!$B$4="pvp",15,MAX(0.1,Skills!D8-IF(Skills!E8=TRUE,Inputs!$B$31,0))))+1),0)</f>
        <v/>
      </c>
      <c r="V532">
        <f>IFERROR(1/IF(Inputs!$B$4="pvp",15,MAX(0.1,Skills!D8-IF(Skills!E8=TRUE,Inputs!$B$31,0))),0)</f>
        <v/>
      </c>
    </row>
    <row r="533">
      <c r="A533">
        <f>Skills!A9</f>
        <v/>
      </c>
      <c r="B533">
        <f>Skills!B9</f>
        <v/>
      </c>
      <c r="C533">
        <f>Inputs!$B$3&gt;=115</f>
        <v/>
      </c>
      <c r="D533">
        <f>IF(Skills!C9=1,60+Inputs!$B$24+Inputs!$B$28,IF(Skills!C9=2,90+Inputs!$B$25+Inputs!$B$28,IF(Skills!C9=3,120+Inputs!$B$26+Inputs!$B$28,MAX(0,(Inputs!$B$3-100)*3)+Inputs!$B$27+Inputs!$B$28)))</f>
        <v/>
      </c>
      <c r="E533">
        <f>INDEX(FactorTable!$B$2:$Y$301, MATCH(ROUND(MIN(300,MAX(1,D533)),0), FactorTable!$A$2:$A$301,0), Skills!L9+1)</f>
        <v/>
      </c>
      <c r="F533">
        <f>IF(Skills!M9=TRUE,(Skills!K9/10)*(E533/1000),Skills!K9/10)+Skills!N9</f>
        <v/>
      </c>
      <c r="G533">
        <f>Calc!G9</f>
        <v/>
      </c>
      <c r="H533">
        <f>Calc!H9</f>
        <v/>
      </c>
      <c r="I533">
        <f>IF(Skills!T9&lt;&gt;"",1+(Skills!T9/10)*($Z$3/1000)/100,1)</f>
        <v/>
      </c>
      <c r="J533">
        <f>((Inputs!$B$5*(1+Inputs!$B$6/100))+((Inputs!$B$11*(1+Inputs!$B$12/100))-(Inputs!$B$11*(1+Inputs!$B$12/100)))*(1+Inputs!$B$6/100))*(F533/100)</f>
        <v/>
      </c>
      <c r="K533">
        <f>J533*(1+((Inputs!$B$11*(1+Inputs!$B$12/100))*0.01+Inputs!$B$13*0.0025)/100)*(1+(Inputs!$B$14+B555)/100)*(1+IF(Inputs!$B$4="pvp",0,(1-Summary!$B$48)*(Inputs!$B$19+Skills!O9+B553)+Summary!$B$48*(Inputs!$B$20+Skills!P9+B554))/100)*(1+Inputs!$B$15/100)*(5000/(6000+Inputs!$B$7*(1-((1-(1-Inputs!$B$18/100)*(1-1/100))*100)/100)))*(1+Inputs!$B$23/100)*(1+IF(C541=TRUE,F541,0)/100)*(1+IF(C543=TRUE,F543,0)/100)*(1+IF(Skills!A9="TRIUMPH_FEATHER",IF(C539=TRUE,F539,0),0)/100)*(1+IF(C550=TRUE,F550,0)/100)^5*(1+(IF(Skills!A9="BIG_BANG",Inputs!$B$16,Inputs!$B$17))/100)*(B552*I533)</f>
        <v/>
      </c>
      <c r="L533">
        <f>K533*(MIN(Inputs!$B$21+(F545-Calc!F21),Inputs!$B$22)/100+Inputs!$B$22/100)/2</f>
        <v/>
      </c>
      <c r="M533">
        <f>L533*(1+(Inputs!$B$9+B556+(F548-Calc!F24))/100)</f>
        <v/>
      </c>
      <c r="N533">
        <f>L533*(1-MIN(Inputs!$B$8+((F547-Calc!F23)+(F546-Calc!F22)),100)/100)+M533*(MIN(Inputs!$B$8+((F547-Calc!F23)+(F546-Calc!F22)),100)/100)</f>
        <v/>
      </c>
      <c r="O533">
        <f>IF(C533,H533*N533*IF(AND(Inputs!$B$4&lt;&gt;"pvp",Inputs!$B$35&gt;0),((Skills!F9*((S533-1)*IF(Skills!G9&gt;0,Skills!H9/Skills!G9,1)+IF(Skills!G9&gt;0,MIN(Skills!H9,MAX(0,Inputs!$B$35-((S533-1)*IF(Inputs!$B$4="pvp",15,MAX(0.1,Skills!D9-IF(Skills!E9=TRUE,Inputs!$B$31,0))))))/Skills!G9,1)))/Inputs!$B$35),G533*V533)*IF(Inputs!$B$4="pvp",1,(1-Summary!$B$48)*(1)+Summary!$B$48*(MIN(Skills!Q9,Inputs!$B$37))),0)</f>
        <v/>
      </c>
      <c r="P533">
        <f>IF(B562=0,0,O533/B562)</f>
        <v/>
      </c>
      <c r="S533">
        <f>IF(AND(Inputs!$B$4&lt;&gt;"pvp",Inputs!$B$35&gt;0),(INT(Inputs!$B$35/IF(Inputs!$B$4="pvp",15,MAX(0.1,Skills!D9-IF(Skills!E9=TRUE,Inputs!$B$31,0))))+1),0)</f>
        <v/>
      </c>
      <c r="V533">
        <f>IFERROR(1/IF(Inputs!$B$4="pvp",15,MAX(0.1,Skills!D9-IF(Skills!E9=TRUE,Inputs!$B$31,0))),0)</f>
        <v/>
      </c>
    </row>
    <row r="534">
      <c r="A534">
        <f>Skills!A10</f>
        <v/>
      </c>
      <c r="B534">
        <f>Skills!B10</f>
        <v/>
      </c>
      <c r="C534">
        <f>Inputs!$B$3&gt;=66</f>
        <v/>
      </c>
      <c r="D534">
        <f>IF(Skills!C10=1,60+Inputs!$B$24+Inputs!$B$28,IF(Skills!C10=2,90+Inputs!$B$25+Inputs!$B$28,IF(Skills!C10=3,120+Inputs!$B$26+Inputs!$B$28,MAX(0,(Inputs!$B$3-100)*3)+Inputs!$B$27+Inputs!$B$28)))</f>
        <v/>
      </c>
      <c r="E534">
        <f>INDEX(FactorTable!$B$2:$Y$301, MATCH(ROUND(MIN(300,MAX(1,D534)),0), FactorTable!$A$2:$A$301,0), Skills!L10+1)</f>
        <v/>
      </c>
      <c r="F534" t="n">
        <v>0</v>
      </c>
      <c r="G534">
        <f>Calc!G10</f>
        <v/>
      </c>
      <c r="H534">
        <f>Calc!H10</f>
        <v/>
      </c>
      <c r="I534">
        <f>IF(Skills!T10&lt;&gt;"",1+(Skills!T10/10)*($Z$3/1000)/100,1)</f>
        <v/>
      </c>
      <c r="J534" t="inlineStr"/>
      <c r="K534" t="inlineStr"/>
      <c r="L534" t="inlineStr"/>
      <c r="M534" t="inlineStr"/>
      <c r="N534" t="inlineStr"/>
      <c r="O534" t="n">
        <v>0</v>
      </c>
      <c r="P534">
        <f>IF(B562=0,0,O534/B562)</f>
        <v/>
      </c>
      <c r="S534">
        <f>IF(AND(Inputs!$B$4&lt;&gt;"pvp",Inputs!$B$35&gt;0),(INT(Inputs!$B$35/IF(Inputs!$B$4="pvp",15,MAX(0.1,Skills!D10-IF(Skills!E10=TRUE,Inputs!$B$31,0))))+1),0)</f>
        <v/>
      </c>
      <c r="V534">
        <f>IFERROR(1/IF(Inputs!$B$4="pvp",15,MAX(0.1,Skills!D10-IF(Skills!E10=TRUE,Inputs!$B$31,0))),0)</f>
        <v/>
      </c>
    </row>
    <row r="535">
      <c r="A535">
        <f>Skills!A11</f>
        <v/>
      </c>
      <c r="B535">
        <f>Skills!B11</f>
        <v/>
      </c>
      <c r="C535">
        <f>Inputs!$B$3&gt;=69</f>
        <v/>
      </c>
      <c r="D535">
        <f>IF(Skills!C11=1,60+Inputs!$B$24+Inputs!$B$28,IF(Skills!C11=2,90+Inputs!$B$25+Inputs!$B$28,IF(Skills!C11=3,120+Inputs!$B$26+Inputs!$B$28,MAX(0,(Inputs!$B$3-100)*3)+Inputs!$B$27+Inputs!$B$28)))</f>
        <v/>
      </c>
      <c r="E535">
        <f>INDEX(FactorTable!$B$2:$Y$301, MATCH(ROUND(MIN(300,MAX(1,D535)),0), FactorTable!$A$2:$A$301,0), Skills!L11+1)</f>
        <v/>
      </c>
      <c r="F535">
        <f>IF(Skills!M11=TRUE,(Skills!K11/10)*(E535/1000),Skills!K11/10)+Skills!N11</f>
        <v/>
      </c>
      <c r="G535">
        <f>Calc!G11</f>
        <v/>
      </c>
      <c r="H535">
        <f>Calc!H11</f>
        <v/>
      </c>
      <c r="I535">
        <f>IF(Skills!T11&lt;&gt;"",1+(Skills!T11/10)*($Z$3/1000)/100,1)</f>
        <v/>
      </c>
      <c r="J535" t="inlineStr"/>
      <c r="K535" t="inlineStr"/>
      <c r="L535" t="inlineStr"/>
      <c r="M535" t="inlineStr"/>
      <c r="N535" t="inlineStr"/>
      <c r="O535" t="n">
        <v>0</v>
      </c>
      <c r="P535">
        <f>IF(B562=0,0,O535/B562)</f>
        <v/>
      </c>
      <c r="S535">
        <f>IF(AND(Inputs!$B$4&lt;&gt;"pvp",Inputs!$B$35&gt;0),(INT(Inputs!$B$35/IF(Inputs!$B$4="pvp",15,MAX(0.1,Skills!D11-IF(Skills!E11=TRUE,Inputs!$B$31,0))))+1),0)</f>
        <v/>
      </c>
      <c r="V535">
        <f>IFERROR(1/IF(Inputs!$B$4="pvp",15,MAX(0.1,Skills!D11-IF(Skills!E11=TRUE,Inputs!$B$31,0))),0)</f>
        <v/>
      </c>
    </row>
    <row r="536">
      <c r="A536">
        <f>Skills!A12</f>
        <v/>
      </c>
      <c r="B536">
        <f>Skills!B12</f>
        <v/>
      </c>
      <c r="C536">
        <f>Inputs!$B$3&gt;=72</f>
        <v/>
      </c>
      <c r="D536">
        <f>IF(Skills!C12=1,60+Inputs!$B$24+Inputs!$B$28,IF(Skills!C12=2,90+Inputs!$B$25+Inputs!$B$28,IF(Skills!C12=3,120+Inputs!$B$26+Inputs!$B$28,MAX(0,(Inputs!$B$3-100)*3)+Inputs!$B$27+Inputs!$B$28)))</f>
        <v/>
      </c>
      <c r="E536">
        <f>INDEX(FactorTable!$B$2:$Y$301, MATCH(ROUND(MIN(300,MAX(1,D536)),0), FactorTable!$A$2:$A$301,0), Skills!L12+1)</f>
        <v/>
      </c>
      <c r="F536">
        <f>IF(Skills!M12=TRUE,(Skills!K12/10)*(E536/1000),Skills!K12/10)+Skills!N12</f>
        <v/>
      </c>
      <c r="G536">
        <f>Calc!G12</f>
        <v/>
      </c>
      <c r="H536">
        <f>Calc!H12</f>
        <v/>
      </c>
      <c r="I536">
        <f>IF(Skills!T12&lt;&gt;"",1+(Skills!T12/10)*($Z$3/1000)/100,1)</f>
        <v/>
      </c>
      <c r="J536" t="inlineStr"/>
      <c r="K536" t="inlineStr"/>
      <c r="L536" t="inlineStr"/>
      <c r="M536" t="inlineStr"/>
      <c r="N536" t="inlineStr"/>
      <c r="O536" t="n">
        <v>0</v>
      </c>
      <c r="P536">
        <f>IF(B562=0,0,O536/B562)</f>
        <v/>
      </c>
      <c r="S536">
        <f>IF(AND(Inputs!$B$4&lt;&gt;"pvp",Inputs!$B$35&gt;0),(INT(Inputs!$B$35/IF(Inputs!$B$4="pvp",15,MAX(0.1,Skills!D12-IF(Skills!E12=TRUE,Inputs!$B$31,0))))+1),0)</f>
        <v/>
      </c>
      <c r="V536">
        <f>IFERROR(1/IF(Inputs!$B$4="pvp",15,MAX(0.1,Skills!D12-IF(Skills!E12=TRUE,Inputs!$B$31,0))),0)</f>
        <v/>
      </c>
    </row>
    <row r="537">
      <c r="A537">
        <f>Skills!A13</f>
        <v/>
      </c>
      <c r="B537">
        <f>Skills!B13</f>
        <v/>
      </c>
      <c r="C537">
        <f>Inputs!$B$3&gt;=107</f>
        <v/>
      </c>
      <c r="D537">
        <f>IF(Skills!C13=1,60+Inputs!$B$24+Inputs!$B$28,IF(Skills!C13=2,90+Inputs!$B$25+Inputs!$B$28,IF(Skills!C13=3,120+Inputs!$B$26+Inputs!$B$28,MAX(0,(Inputs!$B$3-100)*3)+Inputs!$B$27+Inputs!$B$28)))</f>
        <v/>
      </c>
      <c r="E537">
        <f>INDEX(FactorTable!$B$2:$Y$301, MATCH(ROUND(MIN(300,MAX(1,D537)),0), FactorTable!$A$2:$A$301,0), Skills!L13+1)</f>
        <v/>
      </c>
      <c r="F537">
        <f>IF(Skills!M13=TRUE,(Skills!K13/10)*(E537/1000),Skills!K13/10)+Skills!N13</f>
        <v/>
      </c>
      <c r="G537">
        <f>Calc!G13</f>
        <v/>
      </c>
      <c r="H537">
        <f>Calc!H13</f>
        <v/>
      </c>
      <c r="I537">
        <f>IF(Skills!T13&lt;&gt;"",1+(Skills!T13/10)*($Z$3/1000)/100,1)</f>
        <v/>
      </c>
      <c r="J537" t="inlineStr"/>
      <c r="K537" t="inlineStr"/>
      <c r="L537" t="inlineStr"/>
      <c r="M537" t="inlineStr"/>
      <c r="N537" t="inlineStr"/>
      <c r="O537" t="n">
        <v>0</v>
      </c>
      <c r="P537">
        <f>IF(B562=0,0,O537/B562)</f>
        <v/>
      </c>
      <c r="S537">
        <f>IF(AND(Inputs!$B$4&lt;&gt;"pvp",Inputs!$B$35&gt;0),(INT(Inputs!$B$35/IF(Inputs!$B$4="pvp",15,MAX(0.1,Skills!D13-IF(Skills!E13=TRUE,Inputs!$B$31,0))))+1),0)</f>
        <v/>
      </c>
      <c r="V537">
        <f>IFERROR(1/IF(Inputs!$B$4="pvp",15,MAX(0.1,Skills!D13-IF(Skills!E13=TRUE,Inputs!$B$31,0))),0)</f>
        <v/>
      </c>
    </row>
    <row r="538">
      <c r="A538">
        <f>Skills!A14</f>
        <v/>
      </c>
      <c r="B538">
        <f>Skills!B14</f>
        <v/>
      </c>
      <c r="C538">
        <f>Inputs!$B$3&gt;=63</f>
        <v/>
      </c>
      <c r="D538">
        <f>IF(Skills!C14=1,60+Inputs!$B$24+Inputs!$B$28,IF(Skills!C14=2,90+Inputs!$B$25+Inputs!$B$28,IF(Skills!C14=3,120+Inputs!$B$26+Inputs!$B$28,MAX(0,(Inputs!$B$3-100)*3)+Inputs!$B$27+Inputs!$B$28)))</f>
        <v/>
      </c>
      <c r="E538">
        <f>INDEX(FactorTable!$B$2:$Y$301, MATCH(ROUND(MIN(300,MAX(1,D538)),0), FactorTable!$A$2:$A$301,0), Skills!L14+1)</f>
        <v/>
      </c>
      <c r="F538">
        <f>IF(Skills!M14=TRUE,(Skills!K14/10)*(E538/1000),Skills!K14/10)+Skills!N14</f>
        <v/>
      </c>
      <c r="G538">
        <f>Calc!G14</f>
        <v/>
      </c>
      <c r="H538">
        <f>Calc!H14</f>
        <v/>
      </c>
      <c r="I538">
        <f>IF(Skills!T14&lt;&gt;"",1+(Skills!T14/10)*($Z$3/1000)/100,1)</f>
        <v/>
      </c>
      <c r="J538">
        <f>((Inputs!$B$5*(1+Inputs!$B$6/100))+((Inputs!$B$11*(1+Inputs!$B$12/100))-(Inputs!$B$11*(1+Inputs!$B$12/100)))*(1+Inputs!$B$6/100))*(F538/100)</f>
        <v/>
      </c>
      <c r="K538">
        <f>J538*(1+((Inputs!$B$11*(1+Inputs!$B$12/100))*0.01+Inputs!$B$13*0.0025)/100)*(1+(Inputs!$B$14+B555)/100)*(1+IF(Inputs!$B$4="pvp",0,(1-Summary!$B$48)*(Inputs!$B$19+Skills!O14+B553)+Summary!$B$48*(Inputs!$B$20+Skills!P14+B554))/100)*(1+Inputs!$B$15/100)*(5000/(6000+Inputs!$B$7*(1-((1-(1-Inputs!$B$18/100)*(1-1/100))*100)/100)))*(1+Inputs!$B$23/100)*(1+IF(C541=TRUE,F541,0)/100)*(1+IF(C543=TRUE,F543,0)/100)*(1+IF(Skills!A14="TRIUMPH_FEATHER",IF(C539=TRUE,F539,0),0)/100)*(1+IF(C550=TRUE,F550,0)/100)^5*(1+(IF(Skills!A14="BIG_BANG",Inputs!$B$16,Inputs!$B$17))/100)*(B552*I538)</f>
        <v/>
      </c>
      <c r="L538">
        <f>K538*(MIN(Inputs!$B$21+(F545-Calc!F21),Inputs!$B$22)/100+Inputs!$B$22/100)/2</f>
        <v/>
      </c>
      <c r="M538">
        <f>L538*(1+(Inputs!$B$9+B556+(F548-Calc!F24))/100)</f>
        <v/>
      </c>
      <c r="N538">
        <f>L538*(1-MIN(Inputs!$B$8+((F547-Calc!F23)+(F546-Calc!F22)),100)/100)+M538*(MIN(Inputs!$B$8+((F547-Calc!F23)+(F546-Calc!F22)),100)/100)</f>
        <v/>
      </c>
      <c r="O538">
        <f>IF(C538,Skills!F14*N538*((IF(Inputs!$B$3&gt;=78,25,15)/100*B558*10)/(1+IF(Inputs!$B$3&gt;=78,25,15)/100*B558*10))*(Skills!I14/100*B558)/(1+Skills!G14*Skills!I14/100*B558)*IF(Inputs!$B$4="pvp",1,(1-Summary!$B$48)*(1)+Summary!$B$48*(MIN(Skills!Q14,Inputs!$B$37))),0)</f>
        <v/>
      </c>
      <c r="P538">
        <f>IF(B562=0,0,O538/B562)</f>
        <v/>
      </c>
      <c r="S538" t="n">
        <v>0</v>
      </c>
      <c r="V538">
        <f>IFERROR(1/IF(Inputs!$B$4="pvp",15,MAX(0.1,Skills!D14-IF(Skills!E14=TRUE,Inputs!$B$31,0))),0)</f>
        <v/>
      </c>
    </row>
    <row r="539">
      <c r="A539">
        <f>Skills!A15</f>
        <v/>
      </c>
      <c r="B539">
        <f>Skills!B15</f>
        <v/>
      </c>
      <c r="C539">
        <f>Inputs!$B$3&gt;=100</f>
        <v/>
      </c>
      <c r="D539">
        <f>IF(Skills!C15=1,60+Inputs!$B$24+Inputs!$B$28,IF(Skills!C15=2,90+Inputs!$B$25+Inputs!$B$28,IF(Skills!C15=3,120+Inputs!$B$26+Inputs!$B$28,MAX(0,(Inputs!$B$3-100)*3)+Inputs!$B$27+Inputs!$B$28)))</f>
        <v/>
      </c>
      <c r="E539">
        <f>INDEX(FactorTable!$B$2:$Y$301, MATCH(ROUND(MIN(300,MAX(1,D539)),0), FactorTable!$A$2:$A$301,0), Skills!L15+1)</f>
        <v/>
      </c>
      <c r="F539">
        <f>IF(Skills!M15=TRUE,(Skills!K15/10)*(E539/1000),Skills!K15/10)+Skills!N15</f>
        <v/>
      </c>
      <c r="G539">
        <f>Calc!G15</f>
        <v/>
      </c>
      <c r="H539">
        <f>Calc!H15</f>
        <v/>
      </c>
      <c r="I539">
        <f>IF(Skills!T15&lt;&gt;"",1+(Skills!T15/10)*($Z$3/1000)/100,1)</f>
        <v/>
      </c>
      <c r="J539" t="inlineStr"/>
      <c r="K539" t="inlineStr"/>
      <c r="L539" t="inlineStr"/>
      <c r="M539" t="inlineStr"/>
      <c r="N539" t="inlineStr"/>
      <c r="O539" t="n">
        <v>0</v>
      </c>
      <c r="P539">
        <f>IF(B562=0,0,O539/B562)</f>
        <v/>
      </c>
      <c r="S539" t="n">
        <v>0</v>
      </c>
      <c r="V539">
        <f>IFERROR(1/IF(Inputs!$B$4="pvp",15,MAX(0.1,Skills!D15-IF(Skills!E15=TRUE,Inputs!$B$31,0))),0)</f>
        <v/>
      </c>
    </row>
    <row r="540">
      <c r="A540">
        <f>Skills!A16</f>
        <v/>
      </c>
      <c r="B540">
        <f>Skills!B16</f>
        <v/>
      </c>
      <c r="C540">
        <f>Inputs!$B$3&gt;=49</f>
        <v/>
      </c>
      <c r="D540">
        <f>IF(Skills!C16=1,60+Inputs!$B$24+Inputs!$B$28,IF(Skills!C16=2,90+Inputs!$B$25+Inputs!$B$28,IF(Skills!C16=3,120+Inputs!$B$26+Inputs!$B$28,MAX(0,(Inputs!$B$3-100)*3)+Inputs!$B$27+Inputs!$B$28)))</f>
        <v/>
      </c>
      <c r="E540">
        <f>INDEX(FactorTable!$B$2:$Y$301, MATCH(ROUND(MIN(300,MAX(1,D540)),0), FactorTable!$A$2:$A$301,0), Skills!L16+1)</f>
        <v/>
      </c>
      <c r="F540">
        <f>IF(Skills!M16=TRUE,(Skills!K16/10)*(E540/1000),Skills!K16/10)+Skills!N16</f>
        <v/>
      </c>
      <c r="G540">
        <f>Calc!G16</f>
        <v/>
      </c>
      <c r="H540">
        <f>Calc!H16</f>
        <v/>
      </c>
      <c r="I540">
        <f>IF(Skills!T16&lt;&gt;"",1+(Skills!T16/10)*($Z$3/1000)/100,1)</f>
        <v/>
      </c>
      <c r="J540" t="inlineStr"/>
      <c r="K540" t="inlineStr"/>
      <c r="L540" t="inlineStr"/>
      <c r="M540" t="inlineStr"/>
      <c r="N540" t="inlineStr"/>
      <c r="O540" t="n">
        <v>0</v>
      </c>
      <c r="P540">
        <f>IF(B562=0,0,O540/B562)</f>
        <v/>
      </c>
      <c r="S540" t="n">
        <v>0</v>
      </c>
      <c r="V540">
        <f>IFERROR(1/IF(Inputs!$B$4="pvp",15,MAX(0.1,Skills!D16-IF(Skills!E16=TRUE,Inputs!$B$31,0))),0)</f>
        <v/>
      </c>
    </row>
    <row r="541">
      <c r="A541">
        <f>Skills!A17</f>
        <v/>
      </c>
      <c r="B541">
        <f>Skills!B17</f>
        <v/>
      </c>
      <c r="C541">
        <f>Inputs!$B$3&gt;=75</f>
        <v/>
      </c>
      <c r="D541">
        <f>IF(Skills!C17=1,60+Inputs!$B$24+Inputs!$B$28,IF(Skills!C17=2,90+Inputs!$B$25+Inputs!$B$28,IF(Skills!C17=3,120+Inputs!$B$26+Inputs!$B$28,MAX(0,(Inputs!$B$3-100)*3)+Inputs!$B$27+Inputs!$B$28)))</f>
        <v/>
      </c>
      <c r="E541">
        <f>INDEX(FactorTable!$B$2:$Y$301, MATCH(ROUND(MIN(300,MAX(1,D541)),0), FactorTable!$A$2:$A$301,0), Skills!L17+1)</f>
        <v/>
      </c>
      <c r="F541">
        <f>IF(Skills!M17=TRUE,(Skills!K17/10)*(E541/1000),Skills!K17/10)+Skills!N17</f>
        <v/>
      </c>
      <c r="G541">
        <f>Calc!G17</f>
        <v/>
      </c>
      <c r="H541">
        <f>Calc!H17</f>
        <v/>
      </c>
      <c r="I541">
        <f>IF(Skills!T17&lt;&gt;"",1+(Skills!T17/10)*($Z$3/1000)/100,1)</f>
        <v/>
      </c>
      <c r="J541" t="inlineStr"/>
      <c r="K541" t="inlineStr"/>
      <c r="L541" t="inlineStr"/>
      <c r="M541" t="inlineStr"/>
      <c r="N541" t="inlineStr"/>
      <c r="O541" t="n">
        <v>0</v>
      </c>
      <c r="P541">
        <f>IF(B562=0,0,O541/B562)</f>
        <v/>
      </c>
      <c r="S541" t="n">
        <v>0</v>
      </c>
      <c r="V541">
        <f>IFERROR(1/IF(Inputs!$B$4="pvp",15,MAX(0.1,Skills!D17-IF(Skills!E17=TRUE,Inputs!$B$31,0))),0)</f>
        <v/>
      </c>
    </row>
    <row r="542">
      <c r="A542">
        <f>Skills!A18</f>
        <v/>
      </c>
      <c r="B542">
        <f>Skills!B18</f>
        <v/>
      </c>
      <c r="C542">
        <f>Inputs!$B$3&gt;=110</f>
        <v/>
      </c>
      <c r="D542">
        <f>IF(Skills!C18=1,60+Inputs!$B$24+Inputs!$B$28,IF(Skills!C18=2,90+Inputs!$B$25+Inputs!$B$28,IF(Skills!C18=3,120+Inputs!$B$26+Inputs!$B$28,MAX(0,(Inputs!$B$3-100)*3)+Inputs!$B$27+Inputs!$B$28)))</f>
        <v/>
      </c>
      <c r="E542">
        <f>INDEX(FactorTable!$B$2:$Y$301, MATCH(ROUND(MIN(300,MAX(1,D542)),0), FactorTable!$A$2:$A$301,0), Skills!L18+1)</f>
        <v/>
      </c>
      <c r="F542">
        <f>(Skills!K18/10)*(E542/1000)*64/45+Skills!N18</f>
        <v/>
      </c>
      <c r="G542">
        <f>Calc!G18</f>
        <v/>
      </c>
      <c r="H542">
        <f>Calc!H18</f>
        <v/>
      </c>
      <c r="I542">
        <f>IF(Skills!T18&lt;&gt;"",1+(Skills!T18/10)*($Z$3/1000)/100,1)</f>
        <v/>
      </c>
      <c r="J542" t="inlineStr"/>
      <c r="K542" t="inlineStr"/>
      <c r="L542" t="inlineStr"/>
      <c r="M542" t="inlineStr"/>
      <c r="N542" t="inlineStr"/>
      <c r="O542" t="n">
        <v>0</v>
      </c>
      <c r="P542">
        <f>IF(B562=0,0,O542/B562)</f>
        <v/>
      </c>
      <c r="S542">
        <f>IF(AND(Inputs!$B$4&lt;&gt;"pvp",Inputs!$B$35&gt;0),(INT(Inputs!$B$35/IF(Inputs!$B$4="pvp",15,MAX(0.1,Skills!D18-IF(Skills!E18=TRUE,Inputs!$B$31,0))))+1),0)</f>
        <v/>
      </c>
      <c r="V542">
        <f>IFERROR(1/IF(Inputs!$B$4="pvp",15,MAX(0.1,Skills!D18-IF(Skills!E18=TRUE,Inputs!$B$31,0))),0)</f>
        <v/>
      </c>
    </row>
    <row r="543">
      <c r="A543">
        <f>Skills!A19</f>
        <v/>
      </c>
      <c r="B543">
        <f>Skills!B19</f>
        <v/>
      </c>
      <c r="C543">
        <f>Inputs!$B$3&gt;=125</f>
        <v/>
      </c>
      <c r="D543">
        <f>IF(Skills!C19=1,60+Inputs!$B$24+Inputs!$B$28,IF(Skills!C19=2,90+Inputs!$B$25+Inputs!$B$28,IF(Skills!C19=3,120+Inputs!$B$26+Inputs!$B$28,MAX(0,(Inputs!$B$3-100)*3)+Inputs!$B$27+Inputs!$B$28)))</f>
        <v/>
      </c>
      <c r="E543">
        <f>INDEX(FactorTable!$B$2:$Y$301, MATCH(ROUND(MIN(300,MAX(1,D543)),0), FactorTable!$A$2:$A$301,0), Skills!L19+1)</f>
        <v/>
      </c>
      <c r="F543">
        <f>IF(Skills!M19=TRUE,(Skills!K19/10)*(E543/1000),Skills!K19/10)+Skills!N19</f>
        <v/>
      </c>
      <c r="G543">
        <f>Calc!G19</f>
        <v/>
      </c>
      <c r="H543">
        <f>Calc!H19</f>
        <v/>
      </c>
      <c r="I543">
        <f>IF(Skills!T19&lt;&gt;"",1+(Skills!T19/10)*($Z$3/1000)/100,1)</f>
        <v/>
      </c>
      <c r="J543" t="inlineStr"/>
      <c r="K543" t="inlineStr"/>
      <c r="L543" t="inlineStr"/>
      <c r="M543" t="inlineStr"/>
      <c r="N543" t="inlineStr"/>
      <c r="O543" t="n">
        <v>0</v>
      </c>
      <c r="P543">
        <f>IF(B562=0,0,O543/B562)</f>
        <v/>
      </c>
      <c r="S543" t="n">
        <v>0</v>
      </c>
      <c r="V543">
        <f>IFERROR(1/IF(Inputs!$B$4="pvp",15,MAX(0.1,Skills!D19-IF(Skills!E19=TRUE,Inputs!$B$31,0))),0)</f>
        <v/>
      </c>
    </row>
    <row r="544">
      <c r="A544">
        <f>Skills!A20</f>
        <v/>
      </c>
      <c r="B544">
        <f>Skills!B20</f>
        <v/>
      </c>
      <c r="C544">
        <f>Inputs!$B$3&gt;=33</f>
        <v/>
      </c>
      <c r="D544">
        <f>IF(Skills!C20=1,60+Inputs!$B$24+Inputs!$B$28,IF(Skills!C20=2,90+Inputs!$B$25+Inputs!$B$28,IF(Skills!C20=3,120+Inputs!$B$26+Inputs!$B$28,MAX(0,(Inputs!$B$3-100)*3)+Inputs!$B$27+Inputs!$B$28)))</f>
        <v/>
      </c>
      <c r="E544">
        <f>INDEX(FactorTable!$B$2:$Y$301, MATCH(ROUND(MIN(300,MAX(1,D544)),0), FactorTable!$A$2:$A$301,0), Skills!L20+1)</f>
        <v/>
      </c>
      <c r="F544">
        <f>IF(Skills!M20=TRUE,(Skills!K20/10)*(E544/1000),Skills!K20/10)+Skills!N20</f>
        <v/>
      </c>
      <c r="G544">
        <f>Calc!G20</f>
        <v/>
      </c>
      <c r="H544">
        <f>Calc!H20</f>
        <v/>
      </c>
      <c r="I544">
        <f>IF(Skills!T20&lt;&gt;"",1+(Skills!T20/10)*($Z$3/1000)/100,1)</f>
        <v/>
      </c>
      <c r="J544" t="inlineStr"/>
      <c r="K544" t="inlineStr"/>
      <c r="L544" t="inlineStr"/>
      <c r="M544" t="inlineStr"/>
      <c r="N544" t="inlineStr"/>
      <c r="O544" t="n">
        <v>0</v>
      </c>
      <c r="P544">
        <f>IF(B562=0,0,O544/B562)</f>
        <v/>
      </c>
      <c r="S544" t="n">
        <v>0</v>
      </c>
      <c r="V544">
        <f>IFERROR(1/IF(Inputs!$B$4="pvp",15,MAX(0.1,Skills!D20-IF(Skills!E20=TRUE,Inputs!$B$31,0))),0)</f>
        <v/>
      </c>
    </row>
    <row r="545">
      <c r="A545">
        <f>Skills!A21</f>
        <v/>
      </c>
      <c r="B545">
        <f>Skills!B21</f>
        <v/>
      </c>
      <c r="C545">
        <f>Inputs!$B$3&gt;=43</f>
        <v/>
      </c>
      <c r="D545">
        <f>IF(Skills!C21=1,60+Inputs!$B$24+Inputs!$B$28,IF(Skills!C21=2,90+Inputs!$B$25+Inputs!$B$28,IF(Skills!C21=3,120+Inputs!$B$26+Inputs!$B$28,MAX(0,(Inputs!$B$3-100)*3)+Inputs!$B$27+Inputs!$B$28)))</f>
        <v/>
      </c>
      <c r="E545">
        <f>INDEX(FactorTable!$B$2:$Y$301, MATCH(ROUND(MIN(300,MAX(1,D545)),0), FactorTable!$A$2:$A$301,0), Skills!L21+1)</f>
        <v/>
      </c>
      <c r="F545">
        <f>IF(Skills!M21=TRUE,(Skills!K21/10)*(E545/1000),Skills!K21/10)+Skills!N21</f>
        <v/>
      </c>
      <c r="G545">
        <f>Calc!G21</f>
        <v/>
      </c>
      <c r="H545">
        <f>Calc!H21</f>
        <v/>
      </c>
      <c r="I545">
        <f>IF(Skills!T21&lt;&gt;"",1+(Skills!T21/10)*($Z$3/1000)/100,1)</f>
        <v/>
      </c>
      <c r="J545" t="inlineStr"/>
      <c r="K545" t="inlineStr"/>
      <c r="L545" t="inlineStr"/>
      <c r="M545" t="inlineStr"/>
      <c r="N545" t="inlineStr"/>
      <c r="O545" t="n">
        <v>0</v>
      </c>
      <c r="P545">
        <f>IF(B562=0,0,O545/B562)</f>
        <v/>
      </c>
      <c r="S545" t="n">
        <v>0</v>
      </c>
      <c r="V545">
        <f>IFERROR(1/IF(Inputs!$B$4="pvp",15,MAX(0.1,Skills!D21-IF(Skills!E21=TRUE,Inputs!$B$31,0))),0)</f>
        <v/>
      </c>
    </row>
    <row r="546">
      <c r="A546">
        <f>Skills!A22</f>
        <v/>
      </c>
      <c r="B546">
        <f>Skills!B22</f>
        <v/>
      </c>
      <c r="C546">
        <f>Inputs!$B$3&gt;=50</f>
        <v/>
      </c>
      <c r="D546">
        <f>IF(Skills!C22=1,60+Inputs!$B$24+Inputs!$B$28,IF(Skills!C22=2,90+Inputs!$B$25+Inputs!$B$28,IF(Skills!C22=3,120+Inputs!$B$26+Inputs!$B$28,MAX(0,(Inputs!$B$3-100)*3)+Inputs!$B$27+Inputs!$B$28)))</f>
        <v/>
      </c>
      <c r="E546">
        <f>INDEX(FactorTable!$B$2:$Y$301, MATCH(ROUND(MIN(300,MAX(1,D546)),0), FactorTable!$A$2:$A$301,0), Skills!L22+1)</f>
        <v/>
      </c>
      <c r="F546">
        <f>IF(Skills!M22=TRUE,(Skills!K22/10)*(E546/1000),Skills!K22/10)+Skills!N22</f>
        <v/>
      </c>
      <c r="G546">
        <f>Calc!G22</f>
        <v/>
      </c>
      <c r="H546">
        <f>Calc!H22</f>
        <v/>
      </c>
      <c r="I546">
        <f>IF(Skills!T22&lt;&gt;"",1+(Skills!T22/10)*($Z$3/1000)/100,1)</f>
        <v/>
      </c>
      <c r="J546" t="inlineStr"/>
      <c r="K546" t="inlineStr"/>
      <c r="L546" t="inlineStr"/>
      <c r="M546" t="inlineStr"/>
      <c r="N546" t="inlineStr"/>
      <c r="O546" t="n">
        <v>0</v>
      </c>
      <c r="P546">
        <f>IF(B562=0,0,O546/B562)</f>
        <v/>
      </c>
      <c r="S546" t="n">
        <v>0</v>
      </c>
      <c r="V546">
        <f>IFERROR(1/IF(Inputs!$B$4="pvp",15,MAX(0.1,Skills!D22-IF(Skills!E22=TRUE,Inputs!$B$31,0))),0)</f>
        <v/>
      </c>
    </row>
    <row r="547">
      <c r="A547">
        <f>Skills!A23</f>
        <v/>
      </c>
      <c r="B547">
        <f>Skills!B23</f>
        <v/>
      </c>
      <c r="C547">
        <f>Inputs!$B$3&gt;=74</f>
        <v/>
      </c>
      <c r="D547">
        <f>IF(Skills!C23=1,60+Inputs!$B$24+Inputs!$B$28,IF(Skills!C23=2,90+Inputs!$B$25+Inputs!$B$28,IF(Skills!C23=3,120+Inputs!$B$26+Inputs!$B$28,MAX(0,(Inputs!$B$3-100)*3)+Inputs!$B$27+Inputs!$B$28)))</f>
        <v/>
      </c>
      <c r="E547">
        <f>INDEX(FactorTable!$B$2:$Y$301, MATCH(ROUND(MIN(300,MAX(1,D547)),0), FactorTable!$A$2:$A$301,0), Skills!L23+1)</f>
        <v/>
      </c>
      <c r="F547">
        <f>IF(Skills!M23=TRUE,(Skills!K23/10)*(E547/1000),Skills!K23/10)+Skills!N23</f>
        <v/>
      </c>
      <c r="G547">
        <f>Calc!G23</f>
        <v/>
      </c>
      <c r="H547">
        <f>Calc!H23</f>
        <v/>
      </c>
      <c r="I547">
        <f>IF(Skills!T23&lt;&gt;"",1+(Skills!T23/10)*($Z$3/1000)/100,1)</f>
        <v/>
      </c>
      <c r="J547" t="inlineStr"/>
      <c r="K547" t="inlineStr"/>
      <c r="L547" t="inlineStr"/>
      <c r="M547" t="inlineStr"/>
      <c r="N547" t="inlineStr"/>
      <c r="O547" t="n">
        <v>0</v>
      </c>
      <c r="P547">
        <f>IF(B562=0,0,O547/B562)</f>
        <v/>
      </c>
      <c r="S547" t="n">
        <v>0</v>
      </c>
      <c r="V547">
        <f>IFERROR(1/IF(Inputs!$B$4="pvp",15,MAX(0.1,Skills!D23-IF(Skills!E23=TRUE,Inputs!$B$31,0))),0)</f>
        <v/>
      </c>
    </row>
    <row r="548">
      <c r="A548">
        <f>Skills!A24</f>
        <v/>
      </c>
      <c r="B548">
        <f>Skills!B24</f>
        <v/>
      </c>
      <c r="C548">
        <f>Inputs!$B$3&gt;=74</f>
        <v/>
      </c>
      <c r="D548">
        <f>IF(Skills!C24=1,60+Inputs!$B$24+Inputs!$B$28,IF(Skills!C24=2,90+Inputs!$B$25+Inputs!$B$28,IF(Skills!C24=3,120+Inputs!$B$26+Inputs!$B$28,MAX(0,(Inputs!$B$3-100)*3)+Inputs!$B$27+Inputs!$B$28)))</f>
        <v/>
      </c>
      <c r="E548">
        <f>INDEX(FactorTable!$B$2:$Y$301, MATCH(ROUND(MIN(300,MAX(1,D548)),0), FactorTable!$A$2:$A$301,0), Skills!L24+1)</f>
        <v/>
      </c>
      <c r="F548">
        <f>IF(Skills!M24=TRUE,(Skills!K24/10)*(E548/1000),Skills!K24/10)+Skills!N24</f>
        <v/>
      </c>
      <c r="G548">
        <f>Calc!G24</f>
        <v/>
      </c>
      <c r="H548">
        <f>Calc!H24</f>
        <v/>
      </c>
      <c r="I548">
        <f>IF(Skills!T24&lt;&gt;"",1+(Skills!T24/10)*($Z$3/1000)/100,1)</f>
        <v/>
      </c>
      <c r="J548" t="inlineStr"/>
      <c r="K548" t="inlineStr"/>
      <c r="L548" t="inlineStr"/>
      <c r="M548" t="inlineStr"/>
      <c r="N548" t="inlineStr"/>
      <c r="O548" t="n">
        <v>0</v>
      </c>
      <c r="P548">
        <f>IF(B562=0,0,O548/B562)</f>
        <v/>
      </c>
      <c r="S548" t="n">
        <v>0</v>
      </c>
      <c r="V548">
        <f>IFERROR(1/IF(Inputs!$B$4="pvp",15,MAX(0.1,Skills!D24-IF(Skills!E24=TRUE,Inputs!$B$31,0))),0)</f>
        <v/>
      </c>
    </row>
    <row r="549">
      <c r="A549">
        <f>Skills!A25</f>
        <v/>
      </c>
      <c r="B549">
        <f>Skills!B25</f>
        <v/>
      </c>
      <c r="C549">
        <f>Inputs!$B$3&gt;=117</f>
        <v/>
      </c>
      <c r="D549">
        <f>IF(Skills!C25=1,60+Inputs!$B$24+Inputs!$B$28,IF(Skills!C25=2,90+Inputs!$B$25+Inputs!$B$28,IF(Skills!C25=3,120+Inputs!$B$26+Inputs!$B$28,MAX(0,(Inputs!$B$3-100)*3)+Inputs!$B$27+Inputs!$B$28)))</f>
        <v/>
      </c>
      <c r="E549">
        <f>INDEX(FactorTable!$B$2:$Y$301, MATCH(ROUND(MIN(300,MAX(1,D549)),0), FactorTable!$A$2:$A$301,0), Skills!L25+1)</f>
        <v/>
      </c>
      <c r="F549">
        <f>IF(Skills!M25=TRUE,(Skills!K25/10)*(E549/1000),Skills!K25/10)+Skills!N25</f>
        <v/>
      </c>
      <c r="G549">
        <f>Calc!G25</f>
        <v/>
      </c>
      <c r="H549">
        <f>Calc!H25</f>
        <v/>
      </c>
      <c r="I549">
        <f>IF(Skills!T25&lt;&gt;"",1+(Skills!T25/10)*($Z$3/1000)/100,1)</f>
        <v/>
      </c>
      <c r="J549" t="inlineStr"/>
      <c r="K549" t="inlineStr"/>
      <c r="L549" t="inlineStr"/>
      <c r="M549" t="inlineStr"/>
      <c r="N549" t="inlineStr"/>
      <c r="O549" t="n">
        <v>0</v>
      </c>
      <c r="P549">
        <f>IF(B562=0,0,O549/B562)</f>
        <v/>
      </c>
      <c r="S549" t="n">
        <v>0</v>
      </c>
      <c r="V549">
        <f>IFERROR(1/IF(Inputs!$B$4="pvp",15,MAX(0.1,Skills!D25-IF(Skills!E25=TRUE,Inputs!$B$31,0))),0)</f>
        <v/>
      </c>
    </row>
    <row r="550">
      <c r="A550">
        <f>Skills!A26</f>
        <v/>
      </c>
      <c r="B550">
        <f>Skills!B26</f>
        <v/>
      </c>
      <c r="C550">
        <f>Inputs!$B$3&gt;=120</f>
        <v/>
      </c>
      <c r="D550">
        <f>IF(Skills!C26=1,60+Inputs!$B$24+Inputs!$B$28,IF(Skills!C26=2,90+Inputs!$B$25+Inputs!$B$28,IF(Skills!C26=3,120+Inputs!$B$26+Inputs!$B$28,MAX(0,(Inputs!$B$3-100)*3)+Inputs!$B$27+Inputs!$B$28)))</f>
        <v/>
      </c>
      <c r="E550">
        <f>INDEX(FactorTable!$B$2:$Y$301, MATCH(ROUND(MIN(300,MAX(1,D550)),0), FactorTable!$A$2:$A$301,0), Skills!L26+1)</f>
        <v/>
      </c>
      <c r="F550">
        <f>IF(Skills!M26=TRUE,(Skills!K26/10)*(E550/1000),Skills!K26/10)+Skills!N26</f>
        <v/>
      </c>
      <c r="G550">
        <f>Calc!G26</f>
        <v/>
      </c>
      <c r="H550">
        <f>Calc!H26</f>
        <v/>
      </c>
      <c r="I550">
        <f>IF(Skills!T26&lt;&gt;"",1+(Skills!T26/10)*($Z$3/1000)/100,1)</f>
        <v/>
      </c>
      <c r="J550" t="inlineStr"/>
      <c r="K550" t="inlineStr"/>
      <c r="L550" t="inlineStr"/>
      <c r="M550" t="inlineStr"/>
      <c r="N550" t="inlineStr"/>
      <c r="O550" t="n">
        <v>0</v>
      </c>
      <c r="P550">
        <f>IF(B562=0,0,O550/B562)</f>
        <v/>
      </c>
      <c r="S550" t="n">
        <v>0</v>
      </c>
      <c r="V550">
        <f>IFERROR(1/IF(Inputs!$B$4="pvp",15,MAX(0.1,Skills!D26-IF(Skills!E26=TRUE,Inputs!$B$31,0))),0)</f>
        <v/>
      </c>
    </row>
    <row r="552">
      <c r="A552" t="inlineStr">
        <is>
          <t>Average Buff Multiplier</t>
        </is>
      </c>
      <c r="B552">
        <f>(1+(IF(C527=TRUE,F527*IF(AND(Inputs!$B$4&lt;&gt;"pvp",Inputs!$B$35&gt;0),(((S527-1)*(Skills!S3*(1+(Inputs!$B$33+IF(Inputs!$B$3&gt;=117,F549,0))/100))+MIN((Skills!S3*(1+(Inputs!$B$33+IF(Inputs!$B$3&gt;=117,F549,0))/100)),MAX(0,Inputs!$B$35-((S527-1)*Skills!D3))))/Inputs!$B$35),IF(Inputs!$B$4="pvp",MIN((Skills!S3*(1+(Inputs!$B$33+IF(Inputs!$B$3&gt;=117,F549,0))/100)),15)/15,(Skills!S3*(1+(Inputs!$B$33+IF(Inputs!$B$3&gt;=117,F549,0))/100))/Skills!D3)),0)+IF(C528=TRUE,F528*IF(AND(Inputs!$B$4&lt;&gt;"pvp",Inputs!$B$35&gt;0),(((S528-1)*(Skills!S4*(1+(Inputs!$B$33+IF(Inputs!$B$3&gt;=117,F549,0))/100))+MIN((Skills!S4*(1+(Inputs!$B$33+IF(Inputs!$B$3&gt;=117,F549,0))/100)),MAX(0,Inputs!$B$35-((S528-1)*Skills!D4))))/Inputs!$B$35),IF(Inputs!$B$4="pvp",MIN((Skills!S4*(1+(Inputs!$B$33+IF(Inputs!$B$3&gt;=117,F549,0))/100)),15)/15,(Skills!S4*(1+(Inputs!$B$33+IF(Inputs!$B$3&gt;=117,F549,0))/100))/Skills!D4)),0)+IF(C529=TRUE,F529*IF(AND(Inputs!$B$4&lt;&gt;"pvp",Inputs!$B$35&gt;0),(((S529-1)*(Skills!S5*(1+(Inputs!$B$33+IF(Inputs!$B$3&gt;=117,F549,0))/100))+MIN((Skills!S5*(1+(Inputs!$B$33+IF(Inputs!$B$3&gt;=117,F549,0))/100)),MAX(0,Inputs!$B$35-((S529-1)*Skills!D5))))/Inputs!$B$35),IF(Inputs!$B$4="pvp",MIN((Skills!S5*(1+(Inputs!$B$33+IF(Inputs!$B$3&gt;=117,F549,0))/100)),15)/15,(Skills!S5*(1+(Inputs!$B$33+IF(Inputs!$B$3&gt;=117,F549,0))/100))/Skills!D5)),0)+IF(C535=TRUE,F535*IF(AND(Inputs!$B$4&lt;&gt;"pvp",Inputs!$B$35&gt;0),(((S535-1)*(Skills!S11*(1+(Inputs!$B$33+IF(Inputs!$B$3&gt;=117,F549,0))/100))+MIN((Skills!S11*(1+(Inputs!$B$33+IF(Inputs!$B$3&gt;=117,F549,0))/100)),MAX(0,Inputs!$B$35-((S535-1)*Skills!D11))))/Inputs!$B$35),IF(Inputs!$B$4="pvp",MIN((Skills!S11*(1+(Inputs!$B$33+IF(Inputs!$B$3&gt;=117,F549,0))/100)),15)/15,(Skills!S11*(1+(Inputs!$B$33+IF(Inputs!$B$3&gt;=117,F549,0))/100))/Skills!D11)),0))/100)*IF(C537=TRUE,(1+F537*IF(AND(Inputs!$B$4&lt;&gt;"pvp",Inputs!$B$35&gt;0),(((S537-1)*(Skills!S13*(1+(Inputs!$B$33+IF(Inputs!$B$3&gt;=117,F549,0))/100))+MIN((Skills!S13*(1+(Inputs!$B$33+IF(Inputs!$B$3&gt;=117,F549,0))/100)),MAX(0,Inputs!$B$35-((S537-1)*Skills!D13))))/Inputs!$B$35),IF(Inputs!$B$4="pvp",MIN((Skills!S13*(1+(Inputs!$B$33+IF(Inputs!$B$3&gt;=117,F549,0))/100)),15)/15,(Skills!S13*(1+(Inputs!$B$33+IF(Inputs!$B$3&gt;=117,F549,0))/100))/Skills!D13))/100),1)*IF(C542=TRUE,(1+F542*IF(AND(Inputs!$B$4&lt;&gt;"pvp",Inputs!$B$35&gt;0),(((S542-1)*(Skills!S18*(1+(Inputs!$B$33+IF(Inputs!$B$3&gt;=117,F549,0))/100))+MIN((Skills!S18*(1+(Inputs!$B$33+IF(Inputs!$B$3&gt;=117,F549,0))/100)),MAX(0,Inputs!$B$35-((S542-1)*Skills!D18))))/Inputs!$B$35),IF(Inputs!$B$4="pvp",MIN((Skills!S18*(1+(Inputs!$B$33+IF(Inputs!$B$3&gt;=117,F549,0))/100)),15)/15,(Skills!S18*(1+(Inputs!$B$33+IF(Inputs!$B$3&gt;=117,F549,0))/100))/Skills!D18))/100),1)</f>
        <v/>
      </c>
    </row>
    <row r="553">
      <c r="A553" t="inlineStr">
        <is>
          <t>Monster Damage Taken Bonus % (Holy Fountain)</t>
        </is>
      </c>
      <c r="B553">
        <f>IF(Inputs!$B$3&gt;=68,20*IF(Inputs!$B$4="pvp",MIN((15*(1+(Inputs!$B$33+IF(Inputs!$B$3&gt;=117,F549,0))/100)),15)/15,(15*(1+(Inputs!$B$33+IF(Inputs!$B$3&gt;=117,F549,0))/100))/Skills!D10),0)</f>
        <v/>
      </c>
    </row>
    <row r="554">
      <c r="A554" t="inlineStr">
        <is>
          <t>Normal Monster Damage Bonus % (Holy Symbol)</t>
        </is>
      </c>
      <c r="B554">
        <f>IF(C536=TRUE,F536*IF(AND(Inputs!$B$4&lt;&gt;"pvp",Inputs!$B$35&gt;0),(((S536-1)*(Skills!S12*(1+(Inputs!$B$33+IF(Inputs!$B$3&gt;=117,F549,0))/100))+MIN((Skills!S12*(1+(Inputs!$B$33+IF(Inputs!$B$3&gt;=117,F549,0))/100)),MAX(0,Inputs!$B$35-((S536-1)*Skills!D12))))/Inputs!$B$35),IF(Inputs!$B$4="pvp",MIN((Skills!S12*(1+(Inputs!$B$33+IF(Inputs!$B$3&gt;=117,F549,0))/100)),15)/15,(Skills!S12*(1+(Inputs!$B$33+IF(Inputs!$B$3&gt;=117,F549,0))/100))/Skills!D12)),0)</f>
        <v/>
      </c>
    </row>
    <row r="555">
      <c r="A555" t="inlineStr">
        <is>
          <t>Damage % Bonus (Holy Symbol - Damage Boost)</t>
        </is>
      </c>
      <c r="B555">
        <f>Skills!O12</f>
        <v/>
      </c>
    </row>
    <row r="556">
      <c r="A556" t="inlineStr">
        <is>
          <t>Crit Damage % Bonus (Blood of the Divine)</t>
        </is>
      </c>
      <c r="B556">
        <f>4*IF(C543=TRUE,F543,0)</f>
        <v/>
      </c>
    </row>
    <row r="557">
      <c r="A557" t="inlineStr">
        <is>
          <t>Attack Speed Bonus %</t>
        </is>
      </c>
      <c r="B557">
        <f>IF(C540=TRUE,F540+(F544-Calc!F20),0)+IF(Inputs!$B$3&gt;=134,15,0)</f>
        <v/>
      </c>
    </row>
    <row r="558">
      <c r="A558" t="inlineStr">
        <is>
          <t>Actions Per Second</t>
        </is>
      </c>
      <c r="B558">
        <f>1+MIN(150,150*(1-(1-Inputs!$B$10/150)*(1-B557/150)))/100</f>
        <v/>
      </c>
    </row>
    <row r="559">
      <c r="A559" t="inlineStr">
        <is>
          <t>Skill + Buff Cast Rate</t>
        </is>
      </c>
      <c r="B559">
        <f>IF(AND(Inputs!$B$4&lt;&gt;"pvp",Inputs!$B$35&gt;0),SUMPRODUCT((Skills!E2:E26=TRUE)*(C526:C550=TRUE)*S526:S550)/Inputs!$B$35,SUMPRODUCT((Skills!E2:E26=TRUE)*(C526:C550=TRUE)*V526:V550))</f>
        <v/>
      </c>
    </row>
    <row r="560">
      <c r="A560" t="inlineStr">
        <is>
          <t>Big Bang Casts Per Second</t>
        </is>
      </c>
      <c r="B560">
        <f>MAX(0,B558-B559)</f>
        <v/>
      </c>
    </row>
    <row r="562">
      <c r="A562" s="5" t="inlineStr">
        <is>
          <t>TOTAL DPS</t>
        </is>
      </c>
      <c r="B562" s="5">
        <f>SUM(O526:O550)</f>
        <v/>
      </c>
    </row>
    <row r="565">
      <c r="A565" s="5" t="inlineStr">
        <is>
          <t>Stat: BASIC_ATTACK_DAMAGE %</t>
        </is>
      </c>
    </row>
    <row r="566">
      <c r="A566" s="8" t="inlineStr">
        <is>
          <t>Key</t>
        </is>
      </c>
      <c r="B566" s="8" t="inlineStr">
        <is>
          <t>Name</t>
        </is>
      </c>
      <c r="C566" s="8" t="inlineStr">
        <is>
          <t>Unlocked</t>
        </is>
      </c>
      <c r="D566" s="8" t="inlineStr">
        <is>
          <t>InputLevel</t>
        </is>
      </c>
      <c r="E566" s="8" t="inlineStr">
        <is>
          <t>Factor</t>
        </is>
      </c>
      <c r="F566" s="8" t="inlineStr">
        <is>
          <t>CoefficientPercent</t>
        </is>
      </c>
      <c r="G566" s="8" t="inlineStr">
        <is>
          <t>EffectiveHits</t>
        </is>
      </c>
      <c r="H566" s="8" t="inlineStr">
        <is>
          <t>ProcProbability</t>
        </is>
      </c>
      <c r="I566" s="8" t="inlineStr">
        <is>
          <t>MapleHeroMultiplier</t>
        </is>
      </c>
      <c r="J566" s="8" t="inlineStr">
        <is>
          <t>BaseDamage</t>
        </is>
      </c>
      <c r="K566" s="8" t="inlineStr">
        <is>
          <t>BaseHitDamage</t>
        </is>
      </c>
      <c r="L566" s="8" t="inlineStr">
        <is>
          <t>NonCritAvg</t>
        </is>
      </c>
      <c r="M566" s="8" t="inlineStr">
        <is>
          <t>CritAvg</t>
        </is>
      </c>
      <c r="N566" s="8" t="inlineStr">
        <is>
          <t>ExpectedDamage(perHit)</t>
        </is>
      </c>
      <c r="O566" s="8" t="inlineStr">
        <is>
          <t>DPS</t>
        </is>
      </c>
      <c r="P566" s="8" t="inlineStr">
        <is>
          <t>% of Total</t>
        </is>
      </c>
      <c r="R566" t="inlineStr">
        <is>
          <t>helpers</t>
        </is>
      </c>
    </row>
    <row r="567">
      <c r="A567">
        <f>Skills!A2</f>
        <v/>
      </c>
      <c r="B567">
        <f>Skills!B2</f>
        <v/>
      </c>
      <c r="C567">
        <f>Inputs!$B$3&gt;=100</f>
        <v/>
      </c>
      <c r="D567" t="inlineStr"/>
      <c r="E567" t="inlineStr"/>
      <c r="F567">
        <f>T569+Skills!N2</f>
        <v/>
      </c>
      <c r="G567">
        <f>Calc!G2</f>
        <v/>
      </c>
      <c r="H567">
        <f>Calc!H2</f>
        <v/>
      </c>
      <c r="I567">
        <f>IF(Skills!T2&lt;&gt;"",1+(Skills!T2/10)*($Z$3/1000)/100,1)</f>
        <v/>
      </c>
      <c r="J567">
        <f>((Inputs!$B$5*(1+Inputs!$B$6/100))+((Inputs!$B$11*(1+Inputs!$B$12/100))-(Inputs!$B$11*(1+Inputs!$B$12/100)))*(1+Inputs!$B$6/100))*(F567/100)</f>
        <v/>
      </c>
      <c r="K567">
        <f>J567*(1+((Inputs!$B$11*(1+Inputs!$B$12/100))*0.01+Inputs!$B$13*0.0025)/100)*(1+(Inputs!$B$14+B596)/100)*(1+IF(Inputs!$B$4="pvp",0,(1-Summary!$B$48)*(Inputs!$B$19+Skills!O2+B594)+Summary!$B$48*(Inputs!$B$20+Skills!P2+B595))/100)*(1+Inputs!$B$15/100)*(5000/(6000+Inputs!$B$7*(1-Inputs!$B$18/100)))*(1+Inputs!$B$23/100)*(1+IF(C582=TRUE,F582,0)/100)*(1+IF(C584=TRUE,F584,0)/100)*(1+IF(Skills!A2="TRIUMPH_FEATHER",IF(C580=TRUE,F580,0),0)/100)*(1+IF(C591=TRUE,F591,0)/100)^5*(1+(IF(Skills!A2="BIG_BANG",(Inputs!$B$16+1),Inputs!$B$17))/100)*(B593*I567)</f>
        <v/>
      </c>
      <c r="L567">
        <f>K567*(MIN(Inputs!$B$21+(F586-Calc!F21),Inputs!$B$22)/100+Inputs!$B$22/100)/2</f>
        <v/>
      </c>
      <c r="M567">
        <f>L567*(1+(Inputs!$B$9+B597+(F589-Calc!F24))/100)</f>
        <v/>
      </c>
      <c r="N567">
        <f>L567*(1-MIN(Inputs!$B$8+((F588-Calc!F23)+(F587-Calc!F22)),100)/100)+M567*(MIN(Inputs!$B$8+((F588-Calc!F23)+(F587-Calc!F22)),100)/100)</f>
        <v/>
      </c>
      <c r="O567">
        <f>IF(C567,Skills!F2*N567*B601*IF(Inputs!$B$4="pvp",1,(1-Summary!$B$48)*(1)+Summary!$B$48*(MIN((6+Inputs!$B$32),Inputs!$B$37))),0)</f>
        <v/>
      </c>
      <c r="P567">
        <f>IF(B603=0,0,O567/B603)</f>
        <v/>
      </c>
      <c r="S567" t="n">
        <v>0</v>
      </c>
      <c r="T567">
        <f>MAX(0,(Inputs!$B$3-100)*3)+Inputs!$B$27+Inputs!$B$28</f>
        <v/>
      </c>
      <c r="V567">
        <f>IFERROR(1/IF(Inputs!$B$4="pvp",15,MAX(0.1,Skills!D2-IF(Skills!E2=TRUE,Inputs!$B$31,0))),0)</f>
        <v/>
      </c>
    </row>
    <row r="568">
      <c r="A568">
        <f>Skills!A3</f>
        <v/>
      </c>
      <c r="B568">
        <f>Skills!B3</f>
        <v/>
      </c>
      <c r="C568">
        <f>Inputs!$B$3&gt;=15</f>
        <v/>
      </c>
      <c r="D568">
        <f>IF(Skills!C3=1,60+Inputs!$B$24+Inputs!$B$28,IF(Skills!C3=2,90+Inputs!$B$25+Inputs!$B$28,IF(Skills!C3=3,120+Inputs!$B$26+Inputs!$B$28,MAX(0,(Inputs!$B$3-100)*3)+Inputs!$B$27+Inputs!$B$28)))</f>
        <v/>
      </c>
      <c r="E568">
        <f>INDEX(FactorTable!$B$2:$Y$301, MATCH(ROUND(MIN(300,MAX(1,D568)),0), FactorTable!$A$2:$A$301,0), Skills!L3+1)</f>
        <v/>
      </c>
      <c r="F568">
        <f>IF(Skills!M3=TRUE,(Skills!K3/10)*(E568/1000),Skills!K3/10)+Skills!N3</f>
        <v/>
      </c>
      <c r="G568">
        <f>Calc!G3</f>
        <v/>
      </c>
      <c r="H568">
        <f>Calc!H3</f>
        <v/>
      </c>
      <c r="I568">
        <f>IF(Skills!T3&lt;&gt;"",1+(Skills!T3/10)*($Z$3/1000)/100,1)</f>
        <v/>
      </c>
      <c r="J568" t="inlineStr"/>
      <c r="K568" t="inlineStr"/>
      <c r="L568" t="inlineStr"/>
      <c r="M568" t="inlineStr"/>
      <c r="N568" t="inlineStr"/>
      <c r="O568" t="n">
        <v>0</v>
      </c>
      <c r="P568">
        <f>IF(B603=0,0,O568/B603)</f>
        <v/>
      </c>
      <c r="S568">
        <f>IF(AND(Inputs!$B$4&lt;&gt;"pvp",Inputs!$B$35&gt;0),(INT(Inputs!$B$35/IF(Inputs!$B$4="pvp",15,MAX(0.1,Skills!D3-IF(Skills!E3=TRUE,Inputs!$B$31,0))))+1),0)</f>
        <v/>
      </c>
      <c r="T568">
        <f>INDEX(FactorTable!$B$2:$Y$301, MATCH(ROUND(MIN(300,MAX(1,T567)),0), FactorTable!$A$2:$A$301,0), 22)</f>
        <v/>
      </c>
      <c r="V568">
        <f>IFERROR(1/IF(Inputs!$B$4="pvp",15,MAX(0.1,Skills!D3-IF(Skills!E3=TRUE,Inputs!$B$31,0))),0)</f>
        <v/>
      </c>
    </row>
    <row r="569">
      <c r="A569">
        <f>Skills!A4</f>
        <v/>
      </c>
      <c r="B569">
        <f>Skills!B4</f>
        <v/>
      </c>
      <c r="C569">
        <f>Inputs!$B$3&gt;=38</f>
        <v/>
      </c>
      <c r="D569">
        <f>IF(Skills!C4=1,60+Inputs!$B$24+Inputs!$B$28,IF(Skills!C4=2,90+Inputs!$B$25+Inputs!$B$28,IF(Skills!C4=3,120+Inputs!$B$26+Inputs!$B$28,MAX(0,(Inputs!$B$3-100)*3)+Inputs!$B$27+Inputs!$B$28)))</f>
        <v/>
      </c>
      <c r="E569">
        <f>INDEX(FactorTable!$B$2:$Y$301, MATCH(ROUND(MIN(300,MAX(1,D569)),0), FactorTable!$A$2:$A$301,0), Skills!L4+1)</f>
        <v/>
      </c>
      <c r="F569">
        <f>IF(Skills!M4=TRUE,(Skills!K4/10)*(E569/1000),Skills!K4/10)+Skills!N4</f>
        <v/>
      </c>
      <c r="G569">
        <f>Calc!G4</f>
        <v/>
      </c>
      <c r="H569">
        <f>Calc!H4</f>
        <v/>
      </c>
      <c r="I569">
        <f>IF(Skills!T4&lt;&gt;"",1+(Skills!T4/10)*($Z$3/1000)/100,1)</f>
        <v/>
      </c>
      <c r="J569" t="inlineStr"/>
      <c r="K569" t="inlineStr"/>
      <c r="L569" t="inlineStr"/>
      <c r="M569" t="inlineStr"/>
      <c r="N569" t="inlineStr"/>
      <c r="O569" t="n">
        <v>0</v>
      </c>
      <c r="P569">
        <f>IF(B603=0,0,O569/B603)</f>
        <v/>
      </c>
      <c r="S569">
        <f>IF(AND(Inputs!$B$4&lt;&gt;"pvp",Inputs!$B$35&gt;0),(INT(Inputs!$B$35/IF(Inputs!$B$4="pvp",15,MAX(0.1,Skills!D4-IF(Skills!E4=TRUE,Inputs!$B$31,0))))+1),0)</f>
        <v/>
      </c>
      <c r="T569">
        <f>290*T568/1000</f>
        <v/>
      </c>
      <c r="V569">
        <f>IFERROR(1/IF(Inputs!$B$4="pvp",15,MAX(0.1,Skills!D4-IF(Skills!E4=TRUE,Inputs!$B$31,0))),0)</f>
        <v/>
      </c>
    </row>
    <row r="570">
      <c r="A570">
        <f>Skills!A5</f>
        <v/>
      </c>
      <c r="B570">
        <f>Skills!B5</f>
        <v/>
      </c>
      <c r="C570">
        <f>Inputs!$B$3&gt;=40</f>
        <v/>
      </c>
      <c r="D570">
        <f>IF(Skills!C5=1,60+Inputs!$B$24+Inputs!$B$28,IF(Skills!C5=2,90+Inputs!$B$25+Inputs!$B$28,IF(Skills!C5=3,120+Inputs!$B$26+Inputs!$B$28,MAX(0,(Inputs!$B$3-100)*3)+Inputs!$B$27+Inputs!$B$28)))</f>
        <v/>
      </c>
      <c r="E570">
        <f>INDEX(FactorTable!$B$2:$Y$301, MATCH(ROUND(MIN(300,MAX(1,D570)),0), FactorTable!$A$2:$A$301,0), Skills!L5+1)</f>
        <v/>
      </c>
      <c r="F570">
        <f>IF(Skills!M5=TRUE,(Skills!K5/10)*(E570/1000),Skills!K5/10)+Skills!N5</f>
        <v/>
      </c>
      <c r="G570">
        <f>Calc!G5</f>
        <v/>
      </c>
      <c r="H570">
        <f>Calc!H5</f>
        <v/>
      </c>
      <c r="I570">
        <f>IF(Skills!T5&lt;&gt;"",1+(Skills!T5/10)*($Z$3/1000)/100,1)</f>
        <v/>
      </c>
      <c r="J570" t="inlineStr"/>
      <c r="K570" t="inlineStr"/>
      <c r="L570" t="inlineStr"/>
      <c r="M570" t="inlineStr"/>
      <c r="N570" t="inlineStr"/>
      <c r="O570" t="n">
        <v>0</v>
      </c>
      <c r="P570">
        <f>IF(B603=0,0,O570/B603)</f>
        <v/>
      </c>
      <c r="S570">
        <f>IF(AND(Inputs!$B$4&lt;&gt;"pvp",Inputs!$B$35&gt;0),(INT(Inputs!$B$35/IF(Inputs!$B$4="pvp",15,MAX(0.1,Skills!D5-IF(Skills!E5=TRUE,Inputs!$B$31,0))))+1),0)</f>
        <v/>
      </c>
      <c r="V570">
        <f>IFERROR(1/IF(Inputs!$B$4="pvp",15,MAX(0.1,Skills!D5-IF(Skills!E5=TRUE,Inputs!$B$31,0))),0)</f>
        <v/>
      </c>
    </row>
    <row r="571">
      <c r="A571">
        <f>Skills!A6</f>
        <v/>
      </c>
      <c r="B571">
        <f>Skills!B6</f>
        <v/>
      </c>
      <c r="C571">
        <f>Inputs!$B$3&gt;=103</f>
        <v/>
      </c>
      <c r="D571">
        <f>IF(Skills!C6=1,60+Inputs!$B$24+Inputs!$B$28,IF(Skills!C6=2,90+Inputs!$B$25+Inputs!$B$28,IF(Skills!C6=3,120+Inputs!$B$26+Inputs!$B$28,MAX(0,(Inputs!$B$3-100)*3)+Inputs!$B$27+Inputs!$B$28)))</f>
        <v/>
      </c>
      <c r="E571">
        <f>INDEX(FactorTable!$B$2:$Y$301, MATCH(ROUND(MIN(300,MAX(1,D571)),0), FactorTable!$A$2:$A$301,0), Skills!L6+1)</f>
        <v/>
      </c>
      <c r="F571">
        <f>IF(Skills!M6=TRUE,(Skills!K6/10)*(E571/1000),Skills!K6/10)+Skills!N6</f>
        <v/>
      </c>
      <c r="G571">
        <f>Calc!G6</f>
        <v/>
      </c>
      <c r="H571">
        <f>Calc!H6</f>
        <v/>
      </c>
      <c r="I571">
        <f>IF(Skills!T6&lt;&gt;"",1+(Skills!T6/10)*($Z$3/1000)/100,1)</f>
        <v/>
      </c>
      <c r="J571">
        <f>((Inputs!$B$5*(1+Inputs!$B$6/100))+((Inputs!$B$11*(1+Inputs!$B$12/100))-(Inputs!$B$11*(1+Inputs!$B$12/100)))*(1+Inputs!$B$6/100))*(F571/100)</f>
        <v/>
      </c>
      <c r="K571">
        <f>J571*(1+((Inputs!$B$11*(1+Inputs!$B$12/100))*0.01+Inputs!$B$13*0.0025)/100)*(1+(Inputs!$B$14+B596)/100)*(1+IF(Inputs!$B$4="pvp",0,(1-Summary!$B$48)*(Inputs!$B$19+Skills!O6+B594)+Summary!$B$48*(Inputs!$B$20+Skills!P6+B595))/100)*(1+Inputs!$B$15/100)*(5000/(6000+Inputs!$B$7*(1-Inputs!$B$18/100)))*(1+Inputs!$B$23/100)*(1+IF(C582=TRUE,F582,0)/100)*(1+IF(C584=TRUE,F584,0)/100)*(1+IF(Skills!A6="TRIUMPH_FEATHER",IF(C580=TRUE,F580,0),0)/100)*(1+IF(C591=TRUE,F591,0)/100)^5*(1+(IF(Skills!A6="BIG_BANG",(Inputs!$B$16+1),Inputs!$B$17))/100)*(B593*I571)</f>
        <v/>
      </c>
      <c r="L571">
        <f>K571*(MIN(Inputs!$B$21+(F586-Calc!F21),Inputs!$B$22)/100+Inputs!$B$22/100)/2</f>
        <v/>
      </c>
      <c r="M571">
        <f>L571*(1+(Inputs!$B$9+B597+(F589-Calc!F24))/100)</f>
        <v/>
      </c>
      <c r="N571">
        <f>L571*(1-MIN(Inputs!$B$8+((F588-Calc!F23)+(F587-Calc!F22)),100)/100)+M571*(MIN(Inputs!$B$8+((F588-Calc!F23)+(F587-Calc!F22)),100)/100)</f>
        <v/>
      </c>
      <c r="O571">
        <f>IF(C571,H571*N571*IF(AND(Inputs!$B$4&lt;&gt;"pvp",Inputs!$B$35&gt;0),((Skills!F6*((S571-1)*IF(Skills!G6&gt;0,Skills!H6/Skills!G6,1)+IF(Skills!G6&gt;0,MIN(Skills!H6,MAX(0,Inputs!$B$35-((S571-1)*IF(Inputs!$B$4="pvp",15,MAX(0.1,Skills!D6-IF(Skills!E6=TRUE,Inputs!$B$31,0))))))/Skills!G6,1)))/Inputs!$B$35),G571*V571)*IF(Inputs!$B$4="pvp",1,(1-Summary!$B$48)*(1)+Summary!$B$48*(MIN(Skills!Q6,Inputs!$B$37))),0)</f>
        <v/>
      </c>
      <c r="P571">
        <f>IF(B603=0,0,O571/B603)</f>
        <v/>
      </c>
      <c r="S571">
        <f>IF(AND(Inputs!$B$4&lt;&gt;"pvp",Inputs!$B$35&gt;0),(INT(Inputs!$B$35/IF(Inputs!$B$4="pvp",15,MAX(0.1,Skills!D6-IF(Skills!E6=TRUE,Inputs!$B$31,0))))+1),0)</f>
        <v/>
      </c>
      <c r="V571">
        <f>IFERROR(1/IF(Inputs!$B$4="pvp",15,MAX(0.1,Skills!D6-IF(Skills!E6=TRUE,Inputs!$B$31,0))),0)</f>
        <v/>
      </c>
    </row>
    <row r="572">
      <c r="A572">
        <f>Skills!A7</f>
        <v/>
      </c>
      <c r="B572">
        <f>Skills!B7</f>
        <v/>
      </c>
      <c r="C572">
        <f>Inputs!$B$3&gt;=122</f>
        <v/>
      </c>
      <c r="D572">
        <f>IF(Skills!C7=1,60+Inputs!$B$24+Inputs!$B$28,IF(Skills!C7=2,90+Inputs!$B$25+Inputs!$B$28,IF(Skills!C7=3,120+Inputs!$B$26+Inputs!$B$28,MAX(0,(Inputs!$B$3-100)*3)+Inputs!$B$27+Inputs!$B$28)))</f>
        <v/>
      </c>
      <c r="E572">
        <f>INDEX(FactorTable!$B$2:$Y$301, MATCH(ROUND(MIN(300,MAX(1,D572)),0), FactorTable!$A$2:$A$301,0), Skills!L7+1)</f>
        <v/>
      </c>
      <c r="F572">
        <f>IF(Skills!M7=TRUE,(Skills!K7/10)*(E572/1000),Skills!K7/10)+Skills!N7</f>
        <v/>
      </c>
      <c r="G572">
        <f>Calc!G7</f>
        <v/>
      </c>
      <c r="H572">
        <f>Calc!H7</f>
        <v/>
      </c>
      <c r="I572">
        <f>IF(Skills!T7&lt;&gt;"",1+(Skills!T7/10)*($Z$3/1000)/100,1)</f>
        <v/>
      </c>
      <c r="J572">
        <f>((Inputs!$B$5*(1+Inputs!$B$6/100))+((Inputs!$B$11*(1+Inputs!$B$12/100))-(Inputs!$B$11*(1+Inputs!$B$12/100)))*(1+Inputs!$B$6/100))*(F572/100)</f>
        <v/>
      </c>
      <c r="K572">
        <f>J572*(1+((Inputs!$B$11*(1+Inputs!$B$12/100))*0.01+Inputs!$B$13*0.0025)/100)*(1+(Inputs!$B$14+B596)/100)*(1+IF(Inputs!$B$4="pvp",0,(1-Summary!$B$48)*(Inputs!$B$19+Skills!O7+B594)+Summary!$B$48*(Inputs!$B$20+Skills!P7+B595))/100)*(1+Inputs!$B$15/100)*(5000/(6000+Inputs!$B$7*(1-Inputs!$B$18/100)))*(1+Inputs!$B$23/100)*(1+IF(C582=TRUE,F582,0)/100)*(1+IF(C584=TRUE,F584,0)/100)*(1+IF(Skills!A7="TRIUMPH_FEATHER",IF(C580=TRUE,F580,0),0)/100)*(1+IF(C591=TRUE,F591,0)/100)^5*(1+(IF(Skills!A7="BIG_BANG",(Inputs!$B$16+1),Inputs!$B$17))/100)*(B593*I572)</f>
        <v/>
      </c>
      <c r="L572">
        <f>K572*(MIN(Inputs!$B$21+(F586-Calc!F21),Inputs!$B$22)/100+Inputs!$B$22/100)/2</f>
        <v/>
      </c>
      <c r="M572">
        <f>L572*(1+(Inputs!$B$9+B597+(F589-Calc!F24))/100)</f>
        <v/>
      </c>
      <c r="N572">
        <f>L572*(1-MIN(Inputs!$B$8+((F588-Calc!F23)+(F587-Calc!F22)),100)/100)+M572*(MIN(Inputs!$B$8+((F588-Calc!F23)+(F587-Calc!F22)),100)/100)</f>
        <v/>
      </c>
      <c r="O572">
        <f>IF(C572,H572*N572*IF(AND(Inputs!$B$4&lt;&gt;"pvp",Inputs!$B$35&gt;0),((Skills!F7*((S572-1)*IF(Skills!G7&gt;0,Skills!H7/Skills!G7,1)+IF(Skills!G7&gt;0,MIN(Skills!H7,MAX(0,Inputs!$B$35-((S572-1)*IF(Inputs!$B$4="pvp",15,MAX(0.1,Skills!D7-IF(Skills!E6=TRUE,Inputs!$B$31,0))))))/Skills!G7,1)))/Inputs!$B$35),G572*V572)*(1-Summary!$B$48),0)</f>
        <v/>
      </c>
      <c r="P572">
        <f>IF(B603=0,0,O572/B603)</f>
        <v/>
      </c>
      <c r="S572">
        <f>IF(AND(Inputs!$B$4&lt;&gt;"pvp",Inputs!$B$35&gt;0),(INT(Inputs!$B$35/IF(Inputs!$B$4="pvp",15,MAX(0.1,Skills!D7-IF(Skills!E6=TRUE,Inputs!$B$31,0))))+1),0)</f>
        <v/>
      </c>
      <c r="V572">
        <f>IFERROR(1/IF(Inputs!$B$4="pvp",15,MAX(0.1,Skills!D7-IF(Skills!E6=TRUE,Inputs!$B$31,0))),0)</f>
        <v/>
      </c>
    </row>
    <row r="573">
      <c r="A573">
        <f>Skills!A8</f>
        <v/>
      </c>
      <c r="B573">
        <f>Skills!B8</f>
        <v/>
      </c>
      <c r="C573">
        <f>Inputs!$B$3&gt;=105</f>
        <v/>
      </c>
      <c r="D573">
        <f>IF(Skills!C8=1,60+Inputs!$B$24+Inputs!$B$28,IF(Skills!C8=2,90+Inputs!$B$25+Inputs!$B$28,IF(Skills!C8=3,120+Inputs!$B$26+Inputs!$B$28,MAX(0,(Inputs!$B$3-100)*3)+Inputs!$B$27+Inputs!$B$28)))</f>
        <v/>
      </c>
      <c r="E573">
        <f>INDEX(FactorTable!$B$2:$Y$301, MATCH(ROUND(MIN(300,MAX(1,D573)),0), FactorTable!$A$2:$A$301,0), Skills!L8+1)</f>
        <v/>
      </c>
      <c r="F573">
        <f>IF(Skills!M8=TRUE,(Skills!K8/10)*(E573/1000),Skills!K8/10)+Skills!N8</f>
        <v/>
      </c>
      <c r="G573">
        <f>Calc!G8</f>
        <v/>
      </c>
      <c r="H573">
        <f>Calc!H8</f>
        <v/>
      </c>
      <c r="I573">
        <f>IF(Skills!T8&lt;&gt;"",1+(Skills!T8/10)*($Z$3/1000)/100,1)</f>
        <v/>
      </c>
      <c r="J573">
        <f>((Inputs!$B$5*(1+Inputs!$B$6/100))+((Inputs!$B$11*(1+Inputs!$B$12/100))-(Inputs!$B$11*(1+Inputs!$B$12/100)))*(1+Inputs!$B$6/100))*(F573/100)</f>
        <v/>
      </c>
      <c r="K573">
        <f>J573*(1+((Inputs!$B$11*(1+Inputs!$B$12/100))*0.01+Inputs!$B$13*0.0025)/100)*(1+(Inputs!$B$14+B596)/100)*(1+IF(Inputs!$B$4="pvp",0,(1-Summary!$B$48)*(Inputs!$B$19+Skills!O8+B594)+Summary!$B$48*(Inputs!$B$20+Skills!P8+B595))/100)*(1+Inputs!$B$15/100)*(5000/(6000+Inputs!$B$7*(1-Inputs!$B$18/100)))*(1+Inputs!$B$23/100)*(1+IF(C582=TRUE,F582,0)/100)*(1+IF(C584=TRUE,F584,0)/100)*(1+IF(Skills!A8="TRIUMPH_FEATHER",IF(C580=TRUE,F580,0),0)/100)*(1+IF(C591=TRUE,F591,0)/100)^5*(1+(IF(Skills!A8="BIG_BANG",(Inputs!$B$16+1),Inputs!$B$17))/100)*(B593*I573)</f>
        <v/>
      </c>
      <c r="L573">
        <f>K573*(MIN(Inputs!$B$21+(F586-Calc!F21),Inputs!$B$22)/100+Inputs!$B$22/100)/2</f>
        <v/>
      </c>
      <c r="M573">
        <f>L573*(1+(Inputs!$B$9+B597+(F589-Calc!F24))/100)</f>
        <v/>
      </c>
      <c r="N573">
        <f>L573*(1-MIN(Inputs!$B$8+((F588-Calc!F23)+(F587-Calc!F22)),100)/100)+M573*(MIN(Inputs!$B$8+((F588-Calc!F23)+(F587-Calc!F22)),100)/100)</f>
        <v/>
      </c>
      <c r="O573">
        <f>IF(C573,H573*N573*IF(AND(Inputs!$B$4&lt;&gt;"pvp",Inputs!$B$35&gt;0),((Skills!F8*((S573-1)*IF(Skills!G8&gt;0,Skills!H8/Skills!G8,1)+IF(Skills!G8&gt;0,MIN(Skills!H8,MAX(0,Inputs!$B$35-((S573-1)*IF(Inputs!$B$4="pvp",15,MAX(0.1,Skills!D8-IF(Skills!E8=TRUE,Inputs!$B$31,0))))))/Skills!G8,1)))/Inputs!$B$35),G573*V573)*IF(Inputs!$B$4="pvp",1,(1-Summary!$B$48)*(1)+Summary!$B$48*(MIN(Skills!Q8,Inputs!$B$37))),0)</f>
        <v/>
      </c>
      <c r="P573">
        <f>IF(B603=0,0,O573/B603)</f>
        <v/>
      </c>
      <c r="S573">
        <f>IF(AND(Inputs!$B$4&lt;&gt;"pvp",Inputs!$B$35&gt;0),(INT(Inputs!$B$35/IF(Inputs!$B$4="pvp",15,MAX(0.1,Skills!D8-IF(Skills!E8=TRUE,Inputs!$B$31,0))))+1),0)</f>
        <v/>
      </c>
      <c r="V573">
        <f>IFERROR(1/IF(Inputs!$B$4="pvp",15,MAX(0.1,Skills!D8-IF(Skills!E8=TRUE,Inputs!$B$31,0))),0)</f>
        <v/>
      </c>
    </row>
    <row r="574">
      <c r="A574">
        <f>Skills!A9</f>
        <v/>
      </c>
      <c r="B574">
        <f>Skills!B9</f>
        <v/>
      </c>
      <c r="C574">
        <f>Inputs!$B$3&gt;=115</f>
        <v/>
      </c>
      <c r="D574">
        <f>IF(Skills!C9=1,60+Inputs!$B$24+Inputs!$B$28,IF(Skills!C9=2,90+Inputs!$B$25+Inputs!$B$28,IF(Skills!C9=3,120+Inputs!$B$26+Inputs!$B$28,MAX(0,(Inputs!$B$3-100)*3)+Inputs!$B$27+Inputs!$B$28)))</f>
        <v/>
      </c>
      <c r="E574">
        <f>INDEX(FactorTable!$B$2:$Y$301, MATCH(ROUND(MIN(300,MAX(1,D574)),0), FactorTable!$A$2:$A$301,0), Skills!L9+1)</f>
        <v/>
      </c>
      <c r="F574">
        <f>IF(Skills!M9=TRUE,(Skills!K9/10)*(E574/1000),Skills!K9/10)+Skills!N9</f>
        <v/>
      </c>
      <c r="G574">
        <f>Calc!G9</f>
        <v/>
      </c>
      <c r="H574">
        <f>Calc!H9</f>
        <v/>
      </c>
      <c r="I574">
        <f>IF(Skills!T9&lt;&gt;"",1+(Skills!T9/10)*($Z$3/1000)/100,1)</f>
        <v/>
      </c>
      <c r="J574">
        <f>((Inputs!$B$5*(1+Inputs!$B$6/100))+((Inputs!$B$11*(1+Inputs!$B$12/100))-(Inputs!$B$11*(1+Inputs!$B$12/100)))*(1+Inputs!$B$6/100))*(F574/100)</f>
        <v/>
      </c>
      <c r="K574">
        <f>J574*(1+((Inputs!$B$11*(1+Inputs!$B$12/100))*0.01+Inputs!$B$13*0.0025)/100)*(1+(Inputs!$B$14+B596)/100)*(1+IF(Inputs!$B$4="pvp",0,(1-Summary!$B$48)*(Inputs!$B$19+Skills!O9+B594)+Summary!$B$48*(Inputs!$B$20+Skills!P9+B595))/100)*(1+Inputs!$B$15/100)*(5000/(6000+Inputs!$B$7*(1-Inputs!$B$18/100)))*(1+Inputs!$B$23/100)*(1+IF(C582=TRUE,F582,0)/100)*(1+IF(C584=TRUE,F584,0)/100)*(1+IF(Skills!A9="TRIUMPH_FEATHER",IF(C580=TRUE,F580,0),0)/100)*(1+IF(C591=TRUE,F591,0)/100)^5*(1+(IF(Skills!A9="BIG_BANG",(Inputs!$B$16+1),Inputs!$B$17))/100)*(B593*I574)</f>
        <v/>
      </c>
      <c r="L574">
        <f>K574*(MIN(Inputs!$B$21+(F586-Calc!F21),Inputs!$B$22)/100+Inputs!$B$22/100)/2</f>
        <v/>
      </c>
      <c r="M574">
        <f>L574*(1+(Inputs!$B$9+B597+(F589-Calc!F24))/100)</f>
        <v/>
      </c>
      <c r="N574">
        <f>L574*(1-MIN(Inputs!$B$8+((F588-Calc!F23)+(F587-Calc!F22)),100)/100)+M574*(MIN(Inputs!$B$8+((F588-Calc!F23)+(F587-Calc!F22)),100)/100)</f>
        <v/>
      </c>
      <c r="O574">
        <f>IF(C574,H574*N574*IF(AND(Inputs!$B$4&lt;&gt;"pvp",Inputs!$B$35&gt;0),((Skills!F9*((S574-1)*IF(Skills!G9&gt;0,Skills!H9/Skills!G9,1)+IF(Skills!G9&gt;0,MIN(Skills!H9,MAX(0,Inputs!$B$35-((S574-1)*IF(Inputs!$B$4="pvp",15,MAX(0.1,Skills!D9-IF(Skills!E9=TRUE,Inputs!$B$31,0))))))/Skills!G9,1)))/Inputs!$B$35),G574*V574)*IF(Inputs!$B$4="pvp",1,(1-Summary!$B$48)*(1)+Summary!$B$48*(MIN(Skills!Q9,Inputs!$B$37))),0)</f>
        <v/>
      </c>
      <c r="P574">
        <f>IF(B603=0,0,O574/B603)</f>
        <v/>
      </c>
      <c r="S574">
        <f>IF(AND(Inputs!$B$4&lt;&gt;"pvp",Inputs!$B$35&gt;0),(INT(Inputs!$B$35/IF(Inputs!$B$4="pvp",15,MAX(0.1,Skills!D9-IF(Skills!E9=TRUE,Inputs!$B$31,0))))+1),0)</f>
        <v/>
      </c>
      <c r="V574">
        <f>IFERROR(1/IF(Inputs!$B$4="pvp",15,MAX(0.1,Skills!D9-IF(Skills!E9=TRUE,Inputs!$B$31,0))),0)</f>
        <v/>
      </c>
    </row>
    <row r="575">
      <c r="A575">
        <f>Skills!A10</f>
        <v/>
      </c>
      <c r="B575">
        <f>Skills!B10</f>
        <v/>
      </c>
      <c r="C575">
        <f>Inputs!$B$3&gt;=66</f>
        <v/>
      </c>
      <c r="D575">
        <f>IF(Skills!C10=1,60+Inputs!$B$24+Inputs!$B$28,IF(Skills!C10=2,90+Inputs!$B$25+Inputs!$B$28,IF(Skills!C10=3,120+Inputs!$B$26+Inputs!$B$28,MAX(0,(Inputs!$B$3-100)*3)+Inputs!$B$27+Inputs!$B$28)))</f>
        <v/>
      </c>
      <c r="E575">
        <f>INDEX(FactorTable!$B$2:$Y$301, MATCH(ROUND(MIN(300,MAX(1,D575)),0), FactorTable!$A$2:$A$301,0), Skills!L10+1)</f>
        <v/>
      </c>
      <c r="F575" t="n">
        <v>0</v>
      </c>
      <c r="G575">
        <f>Calc!G10</f>
        <v/>
      </c>
      <c r="H575">
        <f>Calc!H10</f>
        <v/>
      </c>
      <c r="I575">
        <f>IF(Skills!T10&lt;&gt;"",1+(Skills!T10/10)*($Z$3/1000)/100,1)</f>
        <v/>
      </c>
      <c r="J575" t="inlineStr"/>
      <c r="K575" t="inlineStr"/>
      <c r="L575" t="inlineStr"/>
      <c r="M575" t="inlineStr"/>
      <c r="N575" t="inlineStr"/>
      <c r="O575" t="n">
        <v>0</v>
      </c>
      <c r="P575">
        <f>IF(B603=0,0,O575/B603)</f>
        <v/>
      </c>
      <c r="S575">
        <f>IF(AND(Inputs!$B$4&lt;&gt;"pvp",Inputs!$B$35&gt;0),(INT(Inputs!$B$35/IF(Inputs!$B$4="pvp",15,MAX(0.1,Skills!D10-IF(Skills!E10=TRUE,Inputs!$B$31,0))))+1),0)</f>
        <v/>
      </c>
      <c r="V575">
        <f>IFERROR(1/IF(Inputs!$B$4="pvp",15,MAX(0.1,Skills!D10-IF(Skills!E10=TRUE,Inputs!$B$31,0))),0)</f>
        <v/>
      </c>
    </row>
    <row r="576">
      <c r="A576">
        <f>Skills!A11</f>
        <v/>
      </c>
      <c r="B576">
        <f>Skills!B11</f>
        <v/>
      </c>
      <c r="C576">
        <f>Inputs!$B$3&gt;=69</f>
        <v/>
      </c>
      <c r="D576">
        <f>IF(Skills!C11=1,60+Inputs!$B$24+Inputs!$B$28,IF(Skills!C11=2,90+Inputs!$B$25+Inputs!$B$28,IF(Skills!C11=3,120+Inputs!$B$26+Inputs!$B$28,MAX(0,(Inputs!$B$3-100)*3)+Inputs!$B$27+Inputs!$B$28)))</f>
        <v/>
      </c>
      <c r="E576">
        <f>INDEX(FactorTable!$B$2:$Y$301, MATCH(ROUND(MIN(300,MAX(1,D576)),0), FactorTable!$A$2:$A$301,0), Skills!L11+1)</f>
        <v/>
      </c>
      <c r="F576">
        <f>IF(Skills!M11=TRUE,(Skills!K11/10)*(E576/1000),Skills!K11/10)+Skills!N11</f>
        <v/>
      </c>
      <c r="G576">
        <f>Calc!G11</f>
        <v/>
      </c>
      <c r="H576">
        <f>Calc!H11</f>
        <v/>
      </c>
      <c r="I576">
        <f>IF(Skills!T11&lt;&gt;"",1+(Skills!T11/10)*($Z$3/1000)/100,1)</f>
        <v/>
      </c>
      <c r="J576" t="inlineStr"/>
      <c r="K576" t="inlineStr"/>
      <c r="L576" t="inlineStr"/>
      <c r="M576" t="inlineStr"/>
      <c r="N576" t="inlineStr"/>
      <c r="O576" t="n">
        <v>0</v>
      </c>
      <c r="P576">
        <f>IF(B603=0,0,O576/B603)</f>
        <v/>
      </c>
      <c r="S576">
        <f>IF(AND(Inputs!$B$4&lt;&gt;"pvp",Inputs!$B$35&gt;0),(INT(Inputs!$B$35/IF(Inputs!$B$4="pvp",15,MAX(0.1,Skills!D11-IF(Skills!E11=TRUE,Inputs!$B$31,0))))+1),0)</f>
        <v/>
      </c>
      <c r="V576">
        <f>IFERROR(1/IF(Inputs!$B$4="pvp",15,MAX(0.1,Skills!D11-IF(Skills!E11=TRUE,Inputs!$B$31,0))),0)</f>
        <v/>
      </c>
    </row>
    <row r="577">
      <c r="A577">
        <f>Skills!A12</f>
        <v/>
      </c>
      <c r="B577">
        <f>Skills!B12</f>
        <v/>
      </c>
      <c r="C577">
        <f>Inputs!$B$3&gt;=72</f>
        <v/>
      </c>
      <c r="D577">
        <f>IF(Skills!C12=1,60+Inputs!$B$24+Inputs!$B$28,IF(Skills!C12=2,90+Inputs!$B$25+Inputs!$B$28,IF(Skills!C12=3,120+Inputs!$B$26+Inputs!$B$28,MAX(0,(Inputs!$B$3-100)*3)+Inputs!$B$27+Inputs!$B$28)))</f>
        <v/>
      </c>
      <c r="E577">
        <f>INDEX(FactorTable!$B$2:$Y$301, MATCH(ROUND(MIN(300,MAX(1,D577)),0), FactorTable!$A$2:$A$301,0), Skills!L12+1)</f>
        <v/>
      </c>
      <c r="F577">
        <f>IF(Skills!M12=TRUE,(Skills!K12/10)*(E577/1000),Skills!K12/10)+Skills!N12</f>
        <v/>
      </c>
      <c r="G577">
        <f>Calc!G12</f>
        <v/>
      </c>
      <c r="H577">
        <f>Calc!H12</f>
        <v/>
      </c>
      <c r="I577">
        <f>IF(Skills!T12&lt;&gt;"",1+(Skills!T12/10)*($Z$3/1000)/100,1)</f>
        <v/>
      </c>
      <c r="J577" t="inlineStr"/>
      <c r="K577" t="inlineStr"/>
      <c r="L577" t="inlineStr"/>
      <c r="M577" t="inlineStr"/>
      <c r="N577" t="inlineStr"/>
      <c r="O577" t="n">
        <v>0</v>
      </c>
      <c r="P577">
        <f>IF(B603=0,0,O577/B603)</f>
        <v/>
      </c>
      <c r="S577">
        <f>IF(AND(Inputs!$B$4&lt;&gt;"pvp",Inputs!$B$35&gt;0),(INT(Inputs!$B$35/IF(Inputs!$B$4="pvp",15,MAX(0.1,Skills!D12-IF(Skills!E12=TRUE,Inputs!$B$31,0))))+1),0)</f>
        <v/>
      </c>
      <c r="V577">
        <f>IFERROR(1/IF(Inputs!$B$4="pvp",15,MAX(0.1,Skills!D12-IF(Skills!E12=TRUE,Inputs!$B$31,0))),0)</f>
        <v/>
      </c>
    </row>
    <row r="578">
      <c r="A578">
        <f>Skills!A13</f>
        <v/>
      </c>
      <c r="B578">
        <f>Skills!B13</f>
        <v/>
      </c>
      <c r="C578">
        <f>Inputs!$B$3&gt;=107</f>
        <v/>
      </c>
      <c r="D578">
        <f>IF(Skills!C13=1,60+Inputs!$B$24+Inputs!$B$28,IF(Skills!C13=2,90+Inputs!$B$25+Inputs!$B$28,IF(Skills!C13=3,120+Inputs!$B$26+Inputs!$B$28,MAX(0,(Inputs!$B$3-100)*3)+Inputs!$B$27+Inputs!$B$28)))</f>
        <v/>
      </c>
      <c r="E578">
        <f>INDEX(FactorTable!$B$2:$Y$301, MATCH(ROUND(MIN(300,MAX(1,D578)),0), FactorTable!$A$2:$A$301,0), Skills!L13+1)</f>
        <v/>
      </c>
      <c r="F578">
        <f>IF(Skills!M13=TRUE,(Skills!K13/10)*(E578/1000),Skills!K13/10)+Skills!N13</f>
        <v/>
      </c>
      <c r="G578">
        <f>Calc!G13</f>
        <v/>
      </c>
      <c r="H578">
        <f>Calc!H13</f>
        <v/>
      </c>
      <c r="I578">
        <f>IF(Skills!T13&lt;&gt;"",1+(Skills!T13/10)*($Z$3/1000)/100,1)</f>
        <v/>
      </c>
      <c r="J578" t="inlineStr"/>
      <c r="K578" t="inlineStr"/>
      <c r="L578" t="inlineStr"/>
      <c r="M578" t="inlineStr"/>
      <c r="N578" t="inlineStr"/>
      <c r="O578" t="n">
        <v>0</v>
      </c>
      <c r="P578">
        <f>IF(B603=0,0,O578/B603)</f>
        <v/>
      </c>
      <c r="S578">
        <f>IF(AND(Inputs!$B$4&lt;&gt;"pvp",Inputs!$B$35&gt;0),(INT(Inputs!$B$35/IF(Inputs!$B$4="pvp",15,MAX(0.1,Skills!D13-IF(Skills!E13=TRUE,Inputs!$B$31,0))))+1),0)</f>
        <v/>
      </c>
      <c r="V578">
        <f>IFERROR(1/IF(Inputs!$B$4="pvp",15,MAX(0.1,Skills!D13-IF(Skills!E13=TRUE,Inputs!$B$31,0))),0)</f>
        <v/>
      </c>
    </row>
    <row r="579">
      <c r="A579">
        <f>Skills!A14</f>
        <v/>
      </c>
      <c r="B579">
        <f>Skills!B14</f>
        <v/>
      </c>
      <c r="C579">
        <f>Inputs!$B$3&gt;=63</f>
        <v/>
      </c>
      <c r="D579">
        <f>IF(Skills!C14=1,60+Inputs!$B$24+Inputs!$B$28,IF(Skills!C14=2,90+Inputs!$B$25+Inputs!$B$28,IF(Skills!C14=3,120+Inputs!$B$26+Inputs!$B$28,MAX(0,(Inputs!$B$3-100)*3)+Inputs!$B$27+Inputs!$B$28)))</f>
        <v/>
      </c>
      <c r="E579">
        <f>INDEX(FactorTable!$B$2:$Y$301, MATCH(ROUND(MIN(300,MAX(1,D579)),0), FactorTable!$A$2:$A$301,0), Skills!L14+1)</f>
        <v/>
      </c>
      <c r="F579">
        <f>IF(Skills!M14=TRUE,(Skills!K14/10)*(E579/1000),Skills!K14/10)+Skills!N14</f>
        <v/>
      </c>
      <c r="G579">
        <f>Calc!G14</f>
        <v/>
      </c>
      <c r="H579">
        <f>Calc!H14</f>
        <v/>
      </c>
      <c r="I579">
        <f>IF(Skills!T14&lt;&gt;"",1+(Skills!T14/10)*($Z$3/1000)/100,1)</f>
        <v/>
      </c>
      <c r="J579">
        <f>((Inputs!$B$5*(1+Inputs!$B$6/100))+((Inputs!$B$11*(1+Inputs!$B$12/100))-(Inputs!$B$11*(1+Inputs!$B$12/100)))*(1+Inputs!$B$6/100))*(F579/100)</f>
        <v/>
      </c>
      <c r="K579">
        <f>J579*(1+((Inputs!$B$11*(1+Inputs!$B$12/100))*0.01+Inputs!$B$13*0.0025)/100)*(1+(Inputs!$B$14+B596)/100)*(1+IF(Inputs!$B$4="pvp",0,(1-Summary!$B$48)*(Inputs!$B$19+Skills!O14+B594)+Summary!$B$48*(Inputs!$B$20+Skills!P14+B595))/100)*(1+Inputs!$B$15/100)*(5000/(6000+Inputs!$B$7*(1-Inputs!$B$18/100)))*(1+Inputs!$B$23/100)*(1+IF(C582=TRUE,F582,0)/100)*(1+IF(C584=TRUE,F584,0)/100)*(1+IF(Skills!A14="TRIUMPH_FEATHER",IF(C580=TRUE,F580,0),0)/100)*(1+IF(C591=TRUE,F591,0)/100)^5*(1+(IF(Skills!A14="BIG_BANG",(Inputs!$B$16+1),Inputs!$B$17))/100)*(B593*I579)</f>
        <v/>
      </c>
      <c r="L579">
        <f>K579*(MIN(Inputs!$B$21+(F586-Calc!F21),Inputs!$B$22)/100+Inputs!$B$22/100)/2</f>
        <v/>
      </c>
      <c r="M579">
        <f>L579*(1+(Inputs!$B$9+B597+(F589-Calc!F24))/100)</f>
        <v/>
      </c>
      <c r="N579">
        <f>L579*(1-MIN(Inputs!$B$8+((F588-Calc!F23)+(F587-Calc!F22)),100)/100)+M579*(MIN(Inputs!$B$8+((F588-Calc!F23)+(F587-Calc!F22)),100)/100)</f>
        <v/>
      </c>
      <c r="O579">
        <f>IF(C579,Skills!F14*N579*((IF(Inputs!$B$3&gt;=78,25,15)/100*B599*10)/(1+IF(Inputs!$B$3&gt;=78,25,15)/100*B599*10))*(Skills!I14/100*B599)/(1+Skills!G14*Skills!I14/100*B599)*IF(Inputs!$B$4="pvp",1,(1-Summary!$B$48)*(1)+Summary!$B$48*(MIN(Skills!Q14,Inputs!$B$37))),0)</f>
        <v/>
      </c>
      <c r="P579">
        <f>IF(B603=0,0,O579/B603)</f>
        <v/>
      </c>
      <c r="S579" t="n">
        <v>0</v>
      </c>
      <c r="V579">
        <f>IFERROR(1/IF(Inputs!$B$4="pvp",15,MAX(0.1,Skills!D14-IF(Skills!E14=TRUE,Inputs!$B$31,0))),0)</f>
        <v/>
      </c>
    </row>
    <row r="580">
      <c r="A580">
        <f>Skills!A15</f>
        <v/>
      </c>
      <c r="B580">
        <f>Skills!B15</f>
        <v/>
      </c>
      <c r="C580">
        <f>Inputs!$B$3&gt;=100</f>
        <v/>
      </c>
      <c r="D580">
        <f>IF(Skills!C15=1,60+Inputs!$B$24+Inputs!$B$28,IF(Skills!C15=2,90+Inputs!$B$25+Inputs!$B$28,IF(Skills!C15=3,120+Inputs!$B$26+Inputs!$B$28,MAX(0,(Inputs!$B$3-100)*3)+Inputs!$B$27+Inputs!$B$28)))</f>
        <v/>
      </c>
      <c r="E580">
        <f>INDEX(FactorTable!$B$2:$Y$301, MATCH(ROUND(MIN(300,MAX(1,D580)),0), FactorTable!$A$2:$A$301,0), Skills!L15+1)</f>
        <v/>
      </c>
      <c r="F580">
        <f>IF(Skills!M15=TRUE,(Skills!K15/10)*(E580/1000),Skills!K15/10)+Skills!N15</f>
        <v/>
      </c>
      <c r="G580">
        <f>Calc!G15</f>
        <v/>
      </c>
      <c r="H580">
        <f>Calc!H15</f>
        <v/>
      </c>
      <c r="I580">
        <f>IF(Skills!T15&lt;&gt;"",1+(Skills!T15/10)*($Z$3/1000)/100,1)</f>
        <v/>
      </c>
      <c r="J580" t="inlineStr"/>
      <c r="K580" t="inlineStr"/>
      <c r="L580" t="inlineStr"/>
      <c r="M580" t="inlineStr"/>
      <c r="N580" t="inlineStr"/>
      <c r="O580" t="n">
        <v>0</v>
      </c>
      <c r="P580">
        <f>IF(B603=0,0,O580/B603)</f>
        <v/>
      </c>
      <c r="S580" t="n">
        <v>0</v>
      </c>
      <c r="V580">
        <f>IFERROR(1/IF(Inputs!$B$4="pvp",15,MAX(0.1,Skills!D15-IF(Skills!E15=TRUE,Inputs!$B$31,0))),0)</f>
        <v/>
      </c>
    </row>
    <row r="581">
      <c r="A581">
        <f>Skills!A16</f>
        <v/>
      </c>
      <c r="B581">
        <f>Skills!B16</f>
        <v/>
      </c>
      <c r="C581">
        <f>Inputs!$B$3&gt;=49</f>
        <v/>
      </c>
      <c r="D581">
        <f>IF(Skills!C16=1,60+Inputs!$B$24+Inputs!$B$28,IF(Skills!C16=2,90+Inputs!$B$25+Inputs!$B$28,IF(Skills!C16=3,120+Inputs!$B$26+Inputs!$B$28,MAX(0,(Inputs!$B$3-100)*3)+Inputs!$B$27+Inputs!$B$28)))</f>
        <v/>
      </c>
      <c r="E581">
        <f>INDEX(FactorTable!$B$2:$Y$301, MATCH(ROUND(MIN(300,MAX(1,D581)),0), FactorTable!$A$2:$A$301,0), Skills!L16+1)</f>
        <v/>
      </c>
      <c r="F581">
        <f>IF(Skills!M16=TRUE,(Skills!K16/10)*(E581/1000),Skills!K16/10)+Skills!N16</f>
        <v/>
      </c>
      <c r="G581">
        <f>Calc!G16</f>
        <v/>
      </c>
      <c r="H581">
        <f>Calc!H16</f>
        <v/>
      </c>
      <c r="I581">
        <f>IF(Skills!T16&lt;&gt;"",1+(Skills!T16/10)*($Z$3/1000)/100,1)</f>
        <v/>
      </c>
      <c r="J581" t="inlineStr"/>
      <c r="K581" t="inlineStr"/>
      <c r="L581" t="inlineStr"/>
      <c r="M581" t="inlineStr"/>
      <c r="N581" t="inlineStr"/>
      <c r="O581" t="n">
        <v>0</v>
      </c>
      <c r="P581">
        <f>IF(B603=0,0,O581/B603)</f>
        <v/>
      </c>
      <c r="S581" t="n">
        <v>0</v>
      </c>
      <c r="V581">
        <f>IFERROR(1/IF(Inputs!$B$4="pvp",15,MAX(0.1,Skills!D16-IF(Skills!E16=TRUE,Inputs!$B$31,0))),0)</f>
        <v/>
      </c>
    </row>
    <row r="582">
      <c r="A582">
        <f>Skills!A17</f>
        <v/>
      </c>
      <c r="B582">
        <f>Skills!B17</f>
        <v/>
      </c>
      <c r="C582">
        <f>Inputs!$B$3&gt;=75</f>
        <v/>
      </c>
      <c r="D582">
        <f>IF(Skills!C17=1,60+Inputs!$B$24+Inputs!$B$28,IF(Skills!C17=2,90+Inputs!$B$25+Inputs!$B$28,IF(Skills!C17=3,120+Inputs!$B$26+Inputs!$B$28,MAX(0,(Inputs!$B$3-100)*3)+Inputs!$B$27+Inputs!$B$28)))</f>
        <v/>
      </c>
      <c r="E582">
        <f>INDEX(FactorTable!$B$2:$Y$301, MATCH(ROUND(MIN(300,MAX(1,D582)),0), FactorTable!$A$2:$A$301,0), Skills!L17+1)</f>
        <v/>
      </c>
      <c r="F582">
        <f>IF(Skills!M17=TRUE,(Skills!K17/10)*(E582/1000),Skills!K17/10)+Skills!N17</f>
        <v/>
      </c>
      <c r="G582">
        <f>Calc!G17</f>
        <v/>
      </c>
      <c r="H582">
        <f>Calc!H17</f>
        <v/>
      </c>
      <c r="I582">
        <f>IF(Skills!T17&lt;&gt;"",1+(Skills!T17/10)*($Z$3/1000)/100,1)</f>
        <v/>
      </c>
      <c r="J582" t="inlineStr"/>
      <c r="K582" t="inlineStr"/>
      <c r="L582" t="inlineStr"/>
      <c r="M582" t="inlineStr"/>
      <c r="N582" t="inlineStr"/>
      <c r="O582" t="n">
        <v>0</v>
      </c>
      <c r="P582">
        <f>IF(B603=0,0,O582/B603)</f>
        <v/>
      </c>
      <c r="S582" t="n">
        <v>0</v>
      </c>
      <c r="V582">
        <f>IFERROR(1/IF(Inputs!$B$4="pvp",15,MAX(0.1,Skills!D17-IF(Skills!E17=TRUE,Inputs!$B$31,0))),0)</f>
        <v/>
      </c>
    </row>
    <row r="583">
      <c r="A583">
        <f>Skills!A18</f>
        <v/>
      </c>
      <c r="B583">
        <f>Skills!B18</f>
        <v/>
      </c>
      <c r="C583">
        <f>Inputs!$B$3&gt;=110</f>
        <v/>
      </c>
      <c r="D583">
        <f>IF(Skills!C18=1,60+Inputs!$B$24+Inputs!$B$28,IF(Skills!C18=2,90+Inputs!$B$25+Inputs!$B$28,IF(Skills!C18=3,120+Inputs!$B$26+Inputs!$B$28,MAX(0,(Inputs!$B$3-100)*3)+Inputs!$B$27+Inputs!$B$28)))</f>
        <v/>
      </c>
      <c r="E583">
        <f>INDEX(FactorTable!$B$2:$Y$301, MATCH(ROUND(MIN(300,MAX(1,D583)),0), FactorTable!$A$2:$A$301,0), Skills!L18+1)</f>
        <v/>
      </c>
      <c r="F583">
        <f>(Skills!K18/10)*(E583/1000)*64/45+Skills!N18</f>
        <v/>
      </c>
      <c r="G583">
        <f>Calc!G18</f>
        <v/>
      </c>
      <c r="H583">
        <f>Calc!H18</f>
        <v/>
      </c>
      <c r="I583">
        <f>IF(Skills!T18&lt;&gt;"",1+(Skills!T18/10)*($Z$3/1000)/100,1)</f>
        <v/>
      </c>
      <c r="J583" t="inlineStr"/>
      <c r="K583" t="inlineStr"/>
      <c r="L583" t="inlineStr"/>
      <c r="M583" t="inlineStr"/>
      <c r="N583" t="inlineStr"/>
      <c r="O583" t="n">
        <v>0</v>
      </c>
      <c r="P583">
        <f>IF(B603=0,0,O583/B603)</f>
        <v/>
      </c>
      <c r="S583">
        <f>IF(AND(Inputs!$B$4&lt;&gt;"pvp",Inputs!$B$35&gt;0),(INT(Inputs!$B$35/IF(Inputs!$B$4="pvp",15,MAX(0.1,Skills!D18-IF(Skills!E18=TRUE,Inputs!$B$31,0))))+1),0)</f>
        <v/>
      </c>
      <c r="V583">
        <f>IFERROR(1/IF(Inputs!$B$4="pvp",15,MAX(0.1,Skills!D18-IF(Skills!E18=TRUE,Inputs!$B$31,0))),0)</f>
        <v/>
      </c>
    </row>
    <row r="584">
      <c r="A584">
        <f>Skills!A19</f>
        <v/>
      </c>
      <c r="B584">
        <f>Skills!B19</f>
        <v/>
      </c>
      <c r="C584">
        <f>Inputs!$B$3&gt;=125</f>
        <v/>
      </c>
      <c r="D584">
        <f>IF(Skills!C19=1,60+Inputs!$B$24+Inputs!$B$28,IF(Skills!C19=2,90+Inputs!$B$25+Inputs!$B$28,IF(Skills!C19=3,120+Inputs!$B$26+Inputs!$B$28,MAX(0,(Inputs!$B$3-100)*3)+Inputs!$B$27+Inputs!$B$28)))</f>
        <v/>
      </c>
      <c r="E584">
        <f>INDEX(FactorTable!$B$2:$Y$301, MATCH(ROUND(MIN(300,MAX(1,D584)),0), FactorTable!$A$2:$A$301,0), Skills!L19+1)</f>
        <v/>
      </c>
      <c r="F584">
        <f>IF(Skills!M19=TRUE,(Skills!K19/10)*(E584/1000),Skills!K19/10)+Skills!N19</f>
        <v/>
      </c>
      <c r="G584">
        <f>Calc!G19</f>
        <v/>
      </c>
      <c r="H584">
        <f>Calc!H19</f>
        <v/>
      </c>
      <c r="I584">
        <f>IF(Skills!T19&lt;&gt;"",1+(Skills!T19/10)*($Z$3/1000)/100,1)</f>
        <v/>
      </c>
      <c r="J584" t="inlineStr"/>
      <c r="K584" t="inlineStr"/>
      <c r="L584" t="inlineStr"/>
      <c r="M584" t="inlineStr"/>
      <c r="N584" t="inlineStr"/>
      <c r="O584" t="n">
        <v>0</v>
      </c>
      <c r="P584">
        <f>IF(B603=0,0,O584/B603)</f>
        <v/>
      </c>
      <c r="S584" t="n">
        <v>0</v>
      </c>
      <c r="V584">
        <f>IFERROR(1/IF(Inputs!$B$4="pvp",15,MAX(0.1,Skills!D19-IF(Skills!E19=TRUE,Inputs!$B$31,0))),0)</f>
        <v/>
      </c>
    </row>
    <row r="585">
      <c r="A585">
        <f>Skills!A20</f>
        <v/>
      </c>
      <c r="B585">
        <f>Skills!B20</f>
        <v/>
      </c>
      <c r="C585">
        <f>Inputs!$B$3&gt;=33</f>
        <v/>
      </c>
      <c r="D585">
        <f>IF(Skills!C20=1,60+Inputs!$B$24+Inputs!$B$28,IF(Skills!C20=2,90+Inputs!$B$25+Inputs!$B$28,IF(Skills!C20=3,120+Inputs!$B$26+Inputs!$B$28,MAX(0,(Inputs!$B$3-100)*3)+Inputs!$B$27+Inputs!$B$28)))</f>
        <v/>
      </c>
      <c r="E585">
        <f>INDEX(FactorTable!$B$2:$Y$301, MATCH(ROUND(MIN(300,MAX(1,D585)),0), FactorTable!$A$2:$A$301,0), Skills!L20+1)</f>
        <v/>
      </c>
      <c r="F585">
        <f>IF(Skills!M20=TRUE,(Skills!K20/10)*(E585/1000),Skills!K20/10)+Skills!N20</f>
        <v/>
      </c>
      <c r="G585">
        <f>Calc!G20</f>
        <v/>
      </c>
      <c r="H585">
        <f>Calc!H20</f>
        <v/>
      </c>
      <c r="I585">
        <f>IF(Skills!T20&lt;&gt;"",1+(Skills!T20/10)*($Z$3/1000)/100,1)</f>
        <v/>
      </c>
      <c r="J585" t="inlineStr"/>
      <c r="K585" t="inlineStr"/>
      <c r="L585" t="inlineStr"/>
      <c r="M585" t="inlineStr"/>
      <c r="N585" t="inlineStr"/>
      <c r="O585" t="n">
        <v>0</v>
      </c>
      <c r="P585">
        <f>IF(B603=0,0,O585/B603)</f>
        <v/>
      </c>
      <c r="S585" t="n">
        <v>0</v>
      </c>
      <c r="V585">
        <f>IFERROR(1/IF(Inputs!$B$4="pvp",15,MAX(0.1,Skills!D20-IF(Skills!E20=TRUE,Inputs!$B$31,0))),0)</f>
        <v/>
      </c>
    </row>
    <row r="586">
      <c r="A586">
        <f>Skills!A21</f>
        <v/>
      </c>
      <c r="B586">
        <f>Skills!B21</f>
        <v/>
      </c>
      <c r="C586">
        <f>Inputs!$B$3&gt;=43</f>
        <v/>
      </c>
      <c r="D586">
        <f>IF(Skills!C21=1,60+Inputs!$B$24+Inputs!$B$28,IF(Skills!C21=2,90+Inputs!$B$25+Inputs!$B$28,IF(Skills!C21=3,120+Inputs!$B$26+Inputs!$B$28,MAX(0,(Inputs!$B$3-100)*3)+Inputs!$B$27+Inputs!$B$28)))</f>
        <v/>
      </c>
      <c r="E586">
        <f>INDEX(FactorTable!$B$2:$Y$301, MATCH(ROUND(MIN(300,MAX(1,D586)),0), FactorTable!$A$2:$A$301,0), Skills!L21+1)</f>
        <v/>
      </c>
      <c r="F586">
        <f>IF(Skills!M21=TRUE,(Skills!K21/10)*(E586/1000),Skills!K21/10)+Skills!N21</f>
        <v/>
      </c>
      <c r="G586">
        <f>Calc!G21</f>
        <v/>
      </c>
      <c r="H586">
        <f>Calc!H21</f>
        <v/>
      </c>
      <c r="I586">
        <f>IF(Skills!T21&lt;&gt;"",1+(Skills!T21/10)*($Z$3/1000)/100,1)</f>
        <v/>
      </c>
      <c r="J586" t="inlineStr"/>
      <c r="K586" t="inlineStr"/>
      <c r="L586" t="inlineStr"/>
      <c r="M586" t="inlineStr"/>
      <c r="N586" t="inlineStr"/>
      <c r="O586" t="n">
        <v>0</v>
      </c>
      <c r="P586">
        <f>IF(B603=0,0,O586/B603)</f>
        <v/>
      </c>
      <c r="S586" t="n">
        <v>0</v>
      </c>
      <c r="V586">
        <f>IFERROR(1/IF(Inputs!$B$4="pvp",15,MAX(0.1,Skills!D21-IF(Skills!E21=TRUE,Inputs!$B$31,0))),0)</f>
        <v/>
      </c>
    </row>
    <row r="587">
      <c r="A587">
        <f>Skills!A22</f>
        <v/>
      </c>
      <c r="B587">
        <f>Skills!B22</f>
        <v/>
      </c>
      <c r="C587">
        <f>Inputs!$B$3&gt;=50</f>
        <v/>
      </c>
      <c r="D587">
        <f>IF(Skills!C22=1,60+Inputs!$B$24+Inputs!$B$28,IF(Skills!C22=2,90+Inputs!$B$25+Inputs!$B$28,IF(Skills!C22=3,120+Inputs!$B$26+Inputs!$B$28,MAX(0,(Inputs!$B$3-100)*3)+Inputs!$B$27+Inputs!$B$28)))</f>
        <v/>
      </c>
      <c r="E587">
        <f>INDEX(FactorTable!$B$2:$Y$301, MATCH(ROUND(MIN(300,MAX(1,D587)),0), FactorTable!$A$2:$A$301,0), Skills!L22+1)</f>
        <v/>
      </c>
      <c r="F587">
        <f>IF(Skills!M22=TRUE,(Skills!K22/10)*(E587/1000),Skills!K22/10)+Skills!N22</f>
        <v/>
      </c>
      <c r="G587">
        <f>Calc!G22</f>
        <v/>
      </c>
      <c r="H587">
        <f>Calc!H22</f>
        <v/>
      </c>
      <c r="I587">
        <f>IF(Skills!T22&lt;&gt;"",1+(Skills!T22/10)*($Z$3/1000)/100,1)</f>
        <v/>
      </c>
      <c r="J587" t="inlineStr"/>
      <c r="K587" t="inlineStr"/>
      <c r="L587" t="inlineStr"/>
      <c r="M587" t="inlineStr"/>
      <c r="N587" t="inlineStr"/>
      <c r="O587" t="n">
        <v>0</v>
      </c>
      <c r="P587">
        <f>IF(B603=0,0,O587/B603)</f>
        <v/>
      </c>
      <c r="S587" t="n">
        <v>0</v>
      </c>
      <c r="V587">
        <f>IFERROR(1/IF(Inputs!$B$4="pvp",15,MAX(0.1,Skills!D22-IF(Skills!E22=TRUE,Inputs!$B$31,0))),0)</f>
        <v/>
      </c>
    </row>
    <row r="588">
      <c r="A588">
        <f>Skills!A23</f>
        <v/>
      </c>
      <c r="B588">
        <f>Skills!B23</f>
        <v/>
      </c>
      <c r="C588">
        <f>Inputs!$B$3&gt;=74</f>
        <v/>
      </c>
      <c r="D588">
        <f>IF(Skills!C23=1,60+Inputs!$B$24+Inputs!$B$28,IF(Skills!C23=2,90+Inputs!$B$25+Inputs!$B$28,IF(Skills!C23=3,120+Inputs!$B$26+Inputs!$B$28,MAX(0,(Inputs!$B$3-100)*3)+Inputs!$B$27+Inputs!$B$28)))</f>
        <v/>
      </c>
      <c r="E588">
        <f>INDEX(FactorTable!$B$2:$Y$301, MATCH(ROUND(MIN(300,MAX(1,D588)),0), FactorTable!$A$2:$A$301,0), Skills!L23+1)</f>
        <v/>
      </c>
      <c r="F588">
        <f>IF(Skills!M23=TRUE,(Skills!K23/10)*(E588/1000),Skills!K23/10)+Skills!N23</f>
        <v/>
      </c>
      <c r="G588">
        <f>Calc!G23</f>
        <v/>
      </c>
      <c r="H588">
        <f>Calc!H23</f>
        <v/>
      </c>
      <c r="I588">
        <f>IF(Skills!T23&lt;&gt;"",1+(Skills!T23/10)*($Z$3/1000)/100,1)</f>
        <v/>
      </c>
      <c r="J588" t="inlineStr"/>
      <c r="K588" t="inlineStr"/>
      <c r="L588" t="inlineStr"/>
      <c r="M588" t="inlineStr"/>
      <c r="N588" t="inlineStr"/>
      <c r="O588" t="n">
        <v>0</v>
      </c>
      <c r="P588">
        <f>IF(B603=0,0,O588/B603)</f>
        <v/>
      </c>
      <c r="S588" t="n">
        <v>0</v>
      </c>
      <c r="V588">
        <f>IFERROR(1/IF(Inputs!$B$4="pvp",15,MAX(0.1,Skills!D23-IF(Skills!E23=TRUE,Inputs!$B$31,0))),0)</f>
        <v/>
      </c>
    </row>
    <row r="589">
      <c r="A589">
        <f>Skills!A24</f>
        <v/>
      </c>
      <c r="B589">
        <f>Skills!B24</f>
        <v/>
      </c>
      <c r="C589">
        <f>Inputs!$B$3&gt;=74</f>
        <v/>
      </c>
      <c r="D589">
        <f>IF(Skills!C24=1,60+Inputs!$B$24+Inputs!$B$28,IF(Skills!C24=2,90+Inputs!$B$25+Inputs!$B$28,IF(Skills!C24=3,120+Inputs!$B$26+Inputs!$B$28,MAX(0,(Inputs!$B$3-100)*3)+Inputs!$B$27+Inputs!$B$28)))</f>
        <v/>
      </c>
      <c r="E589">
        <f>INDEX(FactorTable!$B$2:$Y$301, MATCH(ROUND(MIN(300,MAX(1,D589)),0), FactorTable!$A$2:$A$301,0), Skills!L24+1)</f>
        <v/>
      </c>
      <c r="F589">
        <f>IF(Skills!M24=TRUE,(Skills!K24/10)*(E589/1000),Skills!K24/10)+Skills!N24</f>
        <v/>
      </c>
      <c r="G589">
        <f>Calc!G24</f>
        <v/>
      </c>
      <c r="H589">
        <f>Calc!H24</f>
        <v/>
      </c>
      <c r="I589">
        <f>IF(Skills!T24&lt;&gt;"",1+(Skills!T24/10)*($Z$3/1000)/100,1)</f>
        <v/>
      </c>
      <c r="J589" t="inlineStr"/>
      <c r="K589" t="inlineStr"/>
      <c r="L589" t="inlineStr"/>
      <c r="M589" t="inlineStr"/>
      <c r="N589" t="inlineStr"/>
      <c r="O589" t="n">
        <v>0</v>
      </c>
      <c r="P589">
        <f>IF(B603=0,0,O589/B603)</f>
        <v/>
      </c>
      <c r="S589" t="n">
        <v>0</v>
      </c>
      <c r="V589">
        <f>IFERROR(1/IF(Inputs!$B$4="pvp",15,MAX(0.1,Skills!D24-IF(Skills!E24=TRUE,Inputs!$B$31,0))),0)</f>
        <v/>
      </c>
    </row>
    <row r="590">
      <c r="A590">
        <f>Skills!A25</f>
        <v/>
      </c>
      <c r="B590">
        <f>Skills!B25</f>
        <v/>
      </c>
      <c r="C590">
        <f>Inputs!$B$3&gt;=117</f>
        <v/>
      </c>
      <c r="D590">
        <f>IF(Skills!C25=1,60+Inputs!$B$24+Inputs!$B$28,IF(Skills!C25=2,90+Inputs!$B$25+Inputs!$B$28,IF(Skills!C25=3,120+Inputs!$B$26+Inputs!$B$28,MAX(0,(Inputs!$B$3-100)*3)+Inputs!$B$27+Inputs!$B$28)))</f>
        <v/>
      </c>
      <c r="E590">
        <f>INDEX(FactorTable!$B$2:$Y$301, MATCH(ROUND(MIN(300,MAX(1,D590)),0), FactorTable!$A$2:$A$301,0), Skills!L25+1)</f>
        <v/>
      </c>
      <c r="F590">
        <f>IF(Skills!M25=TRUE,(Skills!K25/10)*(E590/1000),Skills!K25/10)+Skills!N25</f>
        <v/>
      </c>
      <c r="G590">
        <f>Calc!G25</f>
        <v/>
      </c>
      <c r="H590">
        <f>Calc!H25</f>
        <v/>
      </c>
      <c r="I590">
        <f>IF(Skills!T25&lt;&gt;"",1+(Skills!T25/10)*($Z$3/1000)/100,1)</f>
        <v/>
      </c>
      <c r="J590" t="inlineStr"/>
      <c r="K590" t="inlineStr"/>
      <c r="L590" t="inlineStr"/>
      <c r="M590" t="inlineStr"/>
      <c r="N590" t="inlineStr"/>
      <c r="O590" t="n">
        <v>0</v>
      </c>
      <c r="P590">
        <f>IF(B603=0,0,O590/B603)</f>
        <v/>
      </c>
      <c r="S590" t="n">
        <v>0</v>
      </c>
      <c r="V590">
        <f>IFERROR(1/IF(Inputs!$B$4="pvp",15,MAX(0.1,Skills!D25-IF(Skills!E25=TRUE,Inputs!$B$31,0))),0)</f>
        <v/>
      </c>
    </row>
    <row r="591">
      <c r="A591">
        <f>Skills!A26</f>
        <v/>
      </c>
      <c r="B591">
        <f>Skills!B26</f>
        <v/>
      </c>
      <c r="C591">
        <f>Inputs!$B$3&gt;=120</f>
        <v/>
      </c>
      <c r="D591">
        <f>IF(Skills!C26=1,60+Inputs!$B$24+Inputs!$B$28,IF(Skills!C26=2,90+Inputs!$B$25+Inputs!$B$28,IF(Skills!C26=3,120+Inputs!$B$26+Inputs!$B$28,MAX(0,(Inputs!$B$3-100)*3)+Inputs!$B$27+Inputs!$B$28)))</f>
        <v/>
      </c>
      <c r="E591">
        <f>INDEX(FactorTable!$B$2:$Y$301, MATCH(ROUND(MIN(300,MAX(1,D591)),0), FactorTable!$A$2:$A$301,0), Skills!L26+1)</f>
        <v/>
      </c>
      <c r="F591">
        <f>IF(Skills!M26=TRUE,(Skills!K26/10)*(E591/1000),Skills!K26/10)+Skills!N26</f>
        <v/>
      </c>
      <c r="G591">
        <f>Calc!G26</f>
        <v/>
      </c>
      <c r="H591">
        <f>Calc!H26</f>
        <v/>
      </c>
      <c r="I591">
        <f>IF(Skills!T26&lt;&gt;"",1+(Skills!T26/10)*($Z$3/1000)/100,1)</f>
        <v/>
      </c>
      <c r="J591" t="inlineStr"/>
      <c r="K591" t="inlineStr"/>
      <c r="L591" t="inlineStr"/>
      <c r="M591" t="inlineStr"/>
      <c r="N591" t="inlineStr"/>
      <c r="O591" t="n">
        <v>0</v>
      </c>
      <c r="P591">
        <f>IF(B603=0,0,O591/B603)</f>
        <v/>
      </c>
      <c r="S591" t="n">
        <v>0</v>
      </c>
      <c r="V591">
        <f>IFERROR(1/IF(Inputs!$B$4="pvp",15,MAX(0.1,Skills!D26-IF(Skills!E26=TRUE,Inputs!$B$31,0))),0)</f>
        <v/>
      </c>
    </row>
    <row r="593">
      <c r="A593" t="inlineStr">
        <is>
          <t>Average Buff Multiplier</t>
        </is>
      </c>
      <c r="B593">
        <f>(1+(IF(C568=TRUE,F568*IF(AND(Inputs!$B$4&lt;&gt;"pvp",Inputs!$B$35&gt;0),(((S568-1)*(Skills!S3*(1+(Inputs!$B$33+IF(Inputs!$B$3&gt;=117,F590,0))/100))+MIN((Skills!S3*(1+(Inputs!$B$33+IF(Inputs!$B$3&gt;=117,F590,0))/100)),MAX(0,Inputs!$B$35-((S568-1)*Skills!D3))))/Inputs!$B$35),IF(Inputs!$B$4="pvp",MIN((Skills!S3*(1+(Inputs!$B$33+IF(Inputs!$B$3&gt;=117,F590,0))/100)),15)/15,(Skills!S3*(1+(Inputs!$B$33+IF(Inputs!$B$3&gt;=117,F590,0))/100))/Skills!D3)),0)+IF(C569=TRUE,F569*IF(AND(Inputs!$B$4&lt;&gt;"pvp",Inputs!$B$35&gt;0),(((S569-1)*(Skills!S4*(1+(Inputs!$B$33+IF(Inputs!$B$3&gt;=117,F590,0))/100))+MIN((Skills!S4*(1+(Inputs!$B$33+IF(Inputs!$B$3&gt;=117,F590,0))/100)),MAX(0,Inputs!$B$35-((S569-1)*Skills!D4))))/Inputs!$B$35),IF(Inputs!$B$4="pvp",MIN((Skills!S4*(1+(Inputs!$B$33+IF(Inputs!$B$3&gt;=117,F590,0))/100)),15)/15,(Skills!S4*(1+(Inputs!$B$33+IF(Inputs!$B$3&gt;=117,F590,0))/100))/Skills!D4)),0)+IF(C570=TRUE,F570*IF(AND(Inputs!$B$4&lt;&gt;"pvp",Inputs!$B$35&gt;0),(((S570-1)*(Skills!S5*(1+(Inputs!$B$33+IF(Inputs!$B$3&gt;=117,F590,0))/100))+MIN((Skills!S5*(1+(Inputs!$B$33+IF(Inputs!$B$3&gt;=117,F590,0))/100)),MAX(0,Inputs!$B$35-((S570-1)*Skills!D5))))/Inputs!$B$35),IF(Inputs!$B$4="pvp",MIN((Skills!S5*(1+(Inputs!$B$33+IF(Inputs!$B$3&gt;=117,F590,0))/100)),15)/15,(Skills!S5*(1+(Inputs!$B$33+IF(Inputs!$B$3&gt;=117,F590,0))/100))/Skills!D5)),0)+IF(C576=TRUE,F576*IF(AND(Inputs!$B$4&lt;&gt;"pvp",Inputs!$B$35&gt;0),(((S576-1)*(Skills!S11*(1+(Inputs!$B$33+IF(Inputs!$B$3&gt;=117,F590,0))/100))+MIN((Skills!S11*(1+(Inputs!$B$33+IF(Inputs!$B$3&gt;=117,F590,0))/100)),MAX(0,Inputs!$B$35-((S576-1)*Skills!D11))))/Inputs!$B$35),IF(Inputs!$B$4="pvp",MIN((Skills!S11*(1+(Inputs!$B$33+IF(Inputs!$B$3&gt;=117,F590,0))/100)),15)/15,(Skills!S11*(1+(Inputs!$B$33+IF(Inputs!$B$3&gt;=117,F590,0))/100))/Skills!D11)),0))/100)*IF(C578=TRUE,(1+F578*IF(AND(Inputs!$B$4&lt;&gt;"pvp",Inputs!$B$35&gt;0),(((S578-1)*(Skills!S13*(1+(Inputs!$B$33+IF(Inputs!$B$3&gt;=117,F590,0))/100))+MIN((Skills!S13*(1+(Inputs!$B$33+IF(Inputs!$B$3&gt;=117,F590,0))/100)),MAX(0,Inputs!$B$35-((S578-1)*Skills!D13))))/Inputs!$B$35),IF(Inputs!$B$4="pvp",MIN((Skills!S13*(1+(Inputs!$B$33+IF(Inputs!$B$3&gt;=117,F590,0))/100)),15)/15,(Skills!S13*(1+(Inputs!$B$33+IF(Inputs!$B$3&gt;=117,F590,0))/100))/Skills!D13))/100),1)*IF(C583=TRUE,(1+F583*IF(AND(Inputs!$B$4&lt;&gt;"pvp",Inputs!$B$35&gt;0),(((S583-1)*(Skills!S18*(1+(Inputs!$B$33+IF(Inputs!$B$3&gt;=117,F590,0))/100))+MIN((Skills!S18*(1+(Inputs!$B$33+IF(Inputs!$B$3&gt;=117,F590,0))/100)),MAX(0,Inputs!$B$35-((S583-1)*Skills!D18))))/Inputs!$B$35),IF(Inputs!$B$4="pvp",MIN((Skills!S18*(1+(Inputs!$B$33+IF(Inputs!$B$3&gt;=117,F590,0))/100)),15)/15,(Skills!S18*(1+(Inputs!$B$33+IF(Inputs!$B$3&gt;=117,F590,0))/100))/Skills!D18))/100),1)</f>
        <v/>
      </c>
    </row>
    <row r="594">
      <c r="A594" t="inlineStr">
        <is>
          <t>Monster Damage Taken Bonus % (Holy Fountain)</t>
        </is>
      </c>
      <c r="B594">
        <f>IF(Inputs!$B$3&gt;=68,20*IF(Inputs!$B$4="pvp",MIN((15*(1+(Inputs!$B$33+IF(Inputs!$B$3&gt;=117,F590,0))/100)),15)/15,(15*(1+(Inputs!$B$33+IF(Inputs!$B$3&gt;=117,F590,0))/100))/Skills!D10),0)</f>
        <v/>
      </c>
    </row>
    <row r="595">
      <c r="A595" t="inlineStr">
        <is>
          <t>Normal Monster Damage Bonus % (Holy Symbol)</t>
        </is>
      </c>
      <c r="B595">
        <f>IF(C577=TRUE,F577*IF(AND(Inputs!$B$4&lt;&gt;"pvp",Inputs!$B$35&gt;0),(((S577-1)*(Skills!S12*(1+(Inputs!$B$33+IF(Inputs!$B$3&gt;=117,F590,0))/100))+MIN((Skills!S12*(1+(Inputs!$B$33+IF(Inputs!$B$3&gt;=117,F590,0))/100)),MAX(0,Inputs!$B$35-((S577-1)*Skills!D12))))/Inputs!$B$35),IF(Inputs!$B$4="pvp",MIN((Skills!S12*(1+(Inputs!$B$33+IF(Inputs!$B$3&gt;=117,F590,0))/100)),15)/15,(Skills!S12*(1+(Inputs!$B$33+IF(Inputs!$B$3&gt;=117,F590,0))/100))/Skills!D12)),0)</f>
        <v/>
      </c>
    </row>
    <row r="596">
      <c r="A596" t="inlineStr">
        <is>
          <t>Damage % Bonus (Holy Symbol - Damage Boost)</t>
        </is>
      </c>
      <c r="B596">
        <f>Skills!O12</f>
        <v/>
      </c>
    </row>
    <row r="597">
      <c r="A597" t="inlineStr">
        <is>
          <t>Crit Damage % Bonus (Blood of the Divine)</t>
        </is>
      </c>
      <c r="B597">
        <f>4*IF(C584=TRUE,F584,0)</f>
        <v/>
      </c>
    </row>
    <row r="598">
      <c r="A598" t="inlineStr">
        <is>
          <t>Attack Speed Bonus %</t>
        </is>
      </c>
      <c r="B598">
        <f>IF(C581=TRUE,F581+(F585-Calc!F20),0)+IF(Inputs!$B$3&gt;=134,15,0)</f>
        <v/>
      </c>
    </row>
    <row r="599">
      <c r="A599" t="inlineStr">
        <is>
          <t>Actions Per Second</t>
        </is>
      </c>
      <c r="B599">
        <f>1+MIN(150,150*(1-(1-Inputs!$B$10/150)*(1-B598/150)))/100</f>
        <v/>
      </c>
    </row>
    <row r="600">
      <c r="A600" t="inlineStr">
        <is>
          <t>Skill + Buff Cast Rate</t>
        </is>
      </c>
      <c r="B600">
        <f>IF(AND(Inputs!$B$4&lt;&gt;"pvp",Inputs!$B$35&gt;0),SUMPRODUCT((Skills!E2:E26=TRUE)*(C567:C591=TRUE)*S567:S591)/Inputs!$B$35,SUMPRODUCT((Skills!E2:E26=TRUE)*(C567:C591=TRUE)*V567:V591))</f>
        <v/>
      </c>
    </row>
    <row r="601">
      <c r="A601" t="inlineStr">
        <is>
          <t>Big Bang Casts Per Second</t>
        </is>
      </c>
      <c r="B601">
        <f>MAX(0,B599-B600)</f>
        <v/>
      </c>
    </row>
    <row r="603">
      <c r="A603" s="5" t="inlineStr">
        <is>
          <t>TOTAL DPS</t>
        </is>
      </c>
      <c r="B603" s="5">
        <f>SUM(O567:O591)</f>
        <v/>
      </c>
    </row>
    <row r="606">
      <c r="A606" s="5" t="inlineStr">
        <is>
          <t>Stat: SKILL_DAMAGE %</t>
        </is>
      </c>
    </row>
    <row r="607">
      <c r="A607" s="8" t="inlineStr">
        <is>
          <t>Key</t>
        </is>
      </c>
      <c r="B607" s="8" t="inlineStr">
        <is>
          <t>Name</t>
        </is>
      </c>
      <c r="C607" s="8" t="inlineStr">
        <is>
          <t>Unlocked</t>
        </is>
      </c>
      <c r="D607" s="8" t="inlineStr">
        <is>
          <t>InputLevel</t>
        </is>
      </c>
      <c r="E607" s="8" t="inlineStr">
        <is>
          <t>Factor</t>
        </is>
      </c>
      <c r="F607" s="8" t="inlineStr">
        <is>
          <t>CoefficientPercent</t>
        </is>
      </c>
      <c r="G607" s="8" t="inlineStr">
        <is>
          <t>EffectiveHits</t>
        </is>
      </c>
      <c r="H607" s="8" t="inlineStr">
        <is>
          <t>ProcProbability</t>
        </is>
      </c>
      <c r="I607" s="8" t="inlineStr">
        <is>
          <t>MapleHeroMultiplier</t>
        </is>
      </c>
      <c r="J607" s="8" t="inlineStr">
        <is>
          <t>BaseDamage</t>
        </is>
      </c>
      <c r="K607" s="8" t="inlineStr">
        <is>
          <t>BaseHitDamage</t>
        </is>
      </c>
      <c r="L607" s="8" t="inlineStr">
        <is>
          <t>NonCritAvg</t>
        </is>
      </c>
      <c r="M607" s="8" t="inlineStr">
        <is>
          <t>CritAvg</t>
        </is>
      </c>
      <c r="N607" s="8" t="inlineStr">
        <is>
          <t>ExpectedDamage(perHit)</t>
        </is>
      </c>
      <c r="O607" s="8" t="inlineStr">
        <is>
          <t>DPS</t>
        </is>
      </c>
      <c r="P607" s="8" t="inlineStr">
        <is>
          <t>% of Total</t>
        </is>
      </c>
      <c r="R607" t="inlineStr">
        <is>
          <t>helpers</t>
        </is>
      </c>
    </row>
    <row r="608">
      <c r="A608">
        <f>Skills!A2</f>
        <v/>
      </c>
      <c r="B608">
        <f>Skills!B2</f>
        <v/>
      </c>
      <c r="C608">
        <f>Inputs!$B$3&gt;=100</f>
        <v/>
      </c>
      <c r="D608" t="inlineStr"/>
      <c r="E608" t="inlineStr"/>
      <c r="F608">
        <f>T610+Skills!N2</f>
        <v/>
      </c>
      <c r="G608">
        <f>Calc!G2</f>
        <v/>
      </c>
      <c r="H608">
        <f>Calc!H2</f>
        <v/>
      </c>
      <c r="I608">
        <f>IF(Skills!T2&lt;&gt;"",1+(Skills!T2/10)*($Z$3/1000)/100,1)</f>
        <v/>
      </c>
      <c r="J608">
        <f>((Inputs!$B$5*(1+Inputs!$B$6/100))+((Inputs!$B$11*(1+Inputs!$B$12/100))-(Inputs!$B$11*(1+Inputs!$B$12/100)))*(1+Inputs!$B$6/100))*(F608/100)</f>
        <v/>
      </c>
      <c r="K608">
        <f>J608*(1+((Inputs!$B$11*(1+Inputs!$B$12/100))*0.01+Inputs!$B$13*0.0025)/100)*(1+(Inputs!$B$14+B637)/100)*(1+IF(Inputs!$B$4="pvp",0,(1-Summary!$B$48)*(Inputs!$B$19+Skills!O2+B635)+Summary!$B$48*(Inputs!$B$20+Skills!P2+B636))/100)*(1+Inputs!$B$15/100)*(5000/(6000+Inputs!$B$7*(1-Inputs!$B$18/100)))*(1+Inputs!$B$23/100)*(1+IF(C623=TRUE,F623,0)/100)*(1+IF(C625=TRUE,F625,0)/100)*(1+IF(Skills!A2="TRIUMPH_FEATHER",IF(C621=TRUE,F621,0),0)/100)*(1+IF(C632=TRUE,F632,0)/100)^5*(1+(IF(Skills!A2="BIG_BANG",Inputs!$B$16,(Inputs!$B$17+1)))/100)*(B634*I608)</f>
        <v/>
      </c>
      <c r="L608">
        <f>K608*(MIN(Inputs!$B$21+(F627-Calc!F21),Inputs!$B$22)/100+Inputs!$B$22/100)/2</f>
        <v/>
      </c>
      <c r="M608">
        <f>L608*(1+(Inputs!$B$9+B638+(F630-Calc!F24))/100)</f>
        <v/>
      </c>
      <c r="N608">
        <f>L608*(1-MIN(Inputs!$B$8+((F629-Calc!F23)+(F628-Calc!F22)),100)/100)+M608*(MIN(Inputs!$B$8+((F629-Calc!F23)+(F628-Calc!F22)),100)/100)</f>
        <v/>
      </c>
      <c r="O608">
        <f>IF(C608,Skills!F2*N608*B642*IF(Inputs!$B$4="pvp",1,(1-Summary!$B$48)*(1)+Summary!$B$48*(MIN((6+Inputs!$B$32),Inputs!$B$37))),0)</f>
        <v/>
      </c>
      <c r="P608">
        <f>IF(B644=0,0,O608/B644)</f>
        <v/>
      </c>
      <c r="S608" t="n">
        <v>0</v>
      </c>
      <c r="T608">
        <f>MAX(0,(Inputs!$B$3-100)*3)+Inputs!$B$27+Inputs!$B$28</f>
        <v/>
      </c>
      <c r="V608">
        <f>IFERROR(1/IF(Inputs!$B$4="pvp",15,MAX(0.1,Skills!D2-IF(Skills!E2=TRUE,Inputs!$B$31,0))),0)</f>
        <v/>
      </c>
    </row>
    <row r="609">
      <c r="A609">
        <f>Skills!A3</f>
        <v/>
      </c>
      <c r="B609">
        <f>Skills!B3</f>
        <v/>
      </c>
      <c r="C609">
        <f>Inputs!$B$3&gt;=15</f>
        <v/>
      </c>
      <c r="D609">
        <f>IF(Skills!C3=1,60+Inputs!$B$24+Inputs!$B$28,IF(Skills!C3=2,90+Inputs!$B$25+Inputs!$B$28,IF(Skills!C3=3,120+Inputs!$B$26+Inputs!$B$28,MAX(0,(Inputs!$B$3-100)*3)+Inputs!$B$27+Inputs!$B$28)))</f>
        <v/>
      </c>
      <c r="E609">
        <f>INDEX(FactorTable!$B$2:$Y$301, MATCH(ROUND(MIN(300,MAX(1,D609)),0), FactorTable!$A$2:$A$301,0), Skills!L3+1)</f>
        <v/>
      </c>
      <c r="F609">
        <f>IF(Skills!M3=TRUE,(Skills!K3/10)*(E609/1000),Skills!K3/10)+Skills!N3</f>
        <v/>
      </c>
      <c r="G609">
        <f>Calc!G3</f>
        <v/>
      </c>
      <c r="H609">
        <f>Calc!H3</f>
        <v/>
      </c>
      <c r="I609">
        <f>IF(Skills!T3&lt;&gt;"",1+(Skills!T3/10)*($Z$3/1000)/100,1)</f>
        <v/>
      </c>
      <c r="J609" t="inlineStr"/>
      <c r="K609" t="inlineStr"/>
      <c r="L609" t="inlineStr"/>
      <c r="M609" t="inlineStr"/>
      <c r="N609" t="inlineStr"/>
      <c r="O609" t="n">
        <v>0</v>
      </c>
      <c r="P609">
        <f>IF(B644=0,0,O609/B644)</f>
        <v/>
      </c>
      <c r="S609">
        <f>IF(AND(Inputs!$B$4&lt;&gt;"pvp",Inputs!$B$35&gt;0),(INT(Inputs!$B$35/IF(Inputs!$B$4="pvp",15,MAX(0.1,Skills!D3-IF(Skills!E3=TRUE,Inputs!$B$31,0))))+1),0)</f>
        <v/>
      </c>
      <c r="T609">
        <f>INDEX(FactorTable!$B$2:$Y$301, MATCH(ROUND(MIN(300,MAX(1,T608)),0), FactorTable!$A$2:$A$301,0), 22)</f>
        <v/>
      </c>
      <c r="V609">
        <f>IFERROR(1/IF(Inputs!$B$4="pvp",15,MAX(0.1,Skills!D3-IF(Skills!E3=TRUE,Inputs!$B$31,0))),0)</f>
        <v/>
      </c>
    </row>
    <row r="610">
      <c r="A610">
        <f>Skills!A4</f>
        <v/>
      </c>
      <c r="B610">
        <f>Skills!B4</f>
        <v/>
      </c>
      <c r="C610">
        <f>Inputs!$B$3&gt;=38</f>
        <v/>
      </c>
      <c r="D610">
        <f>IF(Skills!C4=1,60+Inputs!$B$24+Inputs!$B$28,IF(Skills!C4=2,90+Inputs!$B$25+Inputs!$B$28,IF(Skills!C4=3,120+Inputs!$B$26+Inputs!$B$28,MAX(0,(Inputs!$B$3-100)*3)+Inputs!$B$27+Inputs!$B$28)))</f>
        <v/>
      </c>
      <c r="E610">
        <f>INDEX(FactorTable!$B$2:$Y$301, MATCH(ROUND(MIN(300,MAX(1,D610)),0), FactorTable!$A$2:$A$301,0), Skills!L4+1)</f>
        <v/>
      </c>
      <c r="F610">
        <f>IF(Skills!M4=TRUE,(Skills!K4/10)*(E610/1000),Skills!K4/10)+Skills!N4</f>
        <v/>
      </c>
      <c r="G610">
        <f>Calc!G4</f>
        <v/>
      </c>
      <c r="H610">
        <f>Calc!H4</f>
        <v/>
      </c>
      <c r="I610">
        <f>IF(Skills!T4&lt;&gt;"",1+(Skills!T4/10)*($Z$3/1000)/100,1)</f>
        <v/>
      </c>
      <c r="J610" t="inlineStr"/>
      <c r="K610" t="inlineStr"/>
      <c r="L610" t="inlineStr"/>
      <c r="M610" t="inlineStr"/>
      <c r="N610" t="inlineStr"/>
      <c r="O610" t="n">
        <v>0</v>
      </c>
      <c r="P610">
        <f>IF(B644=0,0,O610/B644)</f>
        <v/>
      </c>
      <c r="S610">
        <f>IF(AND(Inputs!$B$4&lt;&gt;"pvp",Inputs!$B$35&gt;0),(INT(Inputs!$B$35/IF(Inputs!$B$4="pvp",15,MAX(0.1,Skills!D4-IF(Skills!E4=TRUE,Inputs!$B$31,0))))+1),0)</f>
        <v/>
      </c>
      <c r="T610">
        <f>290*T609/1000</f>
        <v/>
      </c>
      <c r="V610">
        <f>IFERROR(1/IF(Inputs!$B$4="pvp",15,MAX(0.1,Skills!D4-IF(Skills!E4=TRUE,Inputs!$B$31,0))),0)</f>
        <v/>
      </c>
    </row>
    <row r="611">
      <c r="A611">
        <f>Skills!A5</f>
        <v/>
      </c>
      <c r="B611">
        <f>Skills!B5</f>
        <v/>
      </c>
      <c r="C611">
        <f>Inputs!$B$3&gt;=40</f>
        <v/>
      </c>
      <c r="D611">
        <f>IF(Skills!C5=1,60+Inputs!$B$24+Inputs!$B$28,IF(Skills!C5=2,90+Inputs!$B$25+Inputs!$B$28,IF(Skills!C5=3,120+Inputs!$B$26+Inputs!$B$28,MAX(0,(Inputs!$B$3-100)*3)+Inputs!$B$27+Inputs!$B$28)))</f>
        <v/>
      </c>
      <c r="E611">
        <f>INDEX(FactorTable!$B$2:$Y$301, MATCH(ROUND(MIN(300,MAX(1,D611)),0), FactorTable!$A$2:$A$301,0), Skills!L5+1)</f>
        <v/>
      </c>
      <c r="F611">
        <f>IF(Skills!M5=TRUE,(Skills!K5/10)*(E611/1000),Skills!K5/10)+Skills!N5</f>
        <v/>
      </c>
      <c r="G611">
        <f>Calc!G5</f>
        <v/>
      </c>
      <c r="H611">
        <f>Calc!H5</f>
        <v/>
      </c>
      <c r="I611">
        <f>IF(Skills!T5&lt;&gt;"",1+(Skills!T5/10)*($Z$3/1000)/100,1)</f>
        <v/>
      </c>
      <c r="J611" t="inlineStr"/>
      <c r="K611" t="inlineStr"/>
      <c r="L611" t="inlineStr"/>
      <c r="M611" t="inlineStr"/>
      <c r="N611" t="inlineStr"/>
      <c r="O611" t="n">
        <v>0</v>
      </c>
      <c r="P611">
        <f>IF(B644=0,0,O611/B644)</f>
        <v/>
      </c>
      <c r="S611">
        <f>IF(AND(Inputs!$B$4&lt;&gt;"pvp",Inputs!$B$35&gt;0),(INT(Inputs!$B$35/IF(Inputs!$B$4="pvp",15,MAX(0.1,Skills!D5-IF(Skills!E5=TRUE,Inputs!$B$31,0))))+1),0)</f>
        <v/>
      </c>
      <c r="V611">
        <f>IFERROR(1/IF(Inputs!$B$4="pvp",15,MAX(0.1,Skills!D5-IF(Skills!E5=TRUE,Inputs!$B$31,0))),0)</f>
        <v/>
      </c>
    </row>
    <row r="612">
      <c r="A612">
        <f>Skills!A6</f>
        <v/>
      </c>
      <c r="B612">
        <f>Skills!B6</f>
        <v/>
      </c>
      <c r="C612">
        <f>Inputs!$B$3&gt;=103</f>
        <v/>
      </c>
      <c r="D612">
        <f>IF(Skills!C6=1,60+Inputs!$B$24+Inputs!$B$28,IF(Skills!C6=2,90+Inputs!$B$25+Inputs!$B$28,IF(Skills!C6=3,120+Inputs!$B$26+Inputs!$B$28,MAX(0,(Inputs!$B$3-100)*3)+Inputs!$B$27+Inputs!$B$28)))</f>
        <v/>
      </c>
      <c r="E612">
        <f>INDEX(FactorTable!$B$2:$Y$301, MATCH(ROUND(MIN(300,MAX(1,D612)),0), FactorTable!$A$2:$A$301,0), Skills!L6+1)</f>
        <v/>
      </c>
      <c r="F612">
        <f>IF(Skills!M6=TRUE,(Skills!K6/10)*(E612/1000),Skills!K6/10)+Skills!N6</f>
        <v/>
      </c>
      <c r="G612">
        <f>Calc!G6</f>
        <v/>
      </c>
      <c r="H612">
        <f>Calc!H6</f>
        <v/>
      </c>
      <c r="I612">
        <f>IF(Skills!T6&lt;&gt;"",1+(Skills!T6/10)*($Z$3/1000)/100,1)</f>
        <v/>
      </c>
      <c r="J612">
        <f>((Inputs!$B$5*(1+Inputs!$B$6/100))+((Inputs!$B$11*(1+Inputs!$B$12/100))-(Inputs!$B$11*(1+Inputs!$B$12/100)))*(1+Inputs!$B$6/100))*(F612/100)</f>
        <v/>
      </c>
      <c r="K612">
        <f>J612*(1+((Inputs!$B$11*(1+Inputs!$B$12/100))*0.01+Inputs!$B$13*0.0025)/100)*(1+(Inputs!$B$14+B637)/100)*(1+IF(Inputs!$B$4="pvp",0,(1-Summary!$B$48)*(Inputs!$B$19+Skills!O6+B635)+Summary!$B$48*(Inputs!$B$20+Skills!P6+B636))/100)*(1+Inputs!$B$15/100)*(5000/(6000+Inputs!$B$7*(1-Inputs!$B$18/100)))*(1+Inputs!$B$23/100)*(1+IF(C623=TRUE,F623,0)/100)*(1+IF(C625=TRUE,F625,0)/100)*(1+IF(Skills!A6="TRIUMPH_FEATHER",IF(C621=TRUE,F621,0),0)/100)*(1+IF(C632=TRUE,F632,0)/100)^5*(1+(IF(Skills!A6="BIG_BANG",Inputs!$B$16,(Inputs!$B$17+1)))/100)*(B634*I612)</f>
        <v/>
      </c>
      <c r="L612">
        <f>K612*(MIN(Inputs!$B$21+(F627-Calc!F21),Inputs!$B$22)/100+Inputs!$B$22/100)/2</f>
        <v/>
      </c>
      <c r="M612">
        <f>L612*(1+(Inputs!$B$9+B638+(F630-Calc!F24))/100)</f>
        <v/>
      </c>
      <c r="N612">
        <f>L612*(1-MIN(Inputs!$B$8+((F629-Calc!F23)+(F628-Calc!F22)),100)/100)+M612*(MIN(Inputs!$B$8+((F629-Calc!F23)+(F628-Calc!F22)),100)/100)</f>
        <v/>
      </c>
      <c r="O612">
        <f>IF(C612,H612*N612*IF(AND(Inputs!$B$4&lt;&gt;"pvp",Inputs!$B$35&gt;0),((Skills!F6*((S612-1)*IF(Skills!G6&gt;0,Skills!H6/Skills!G6,1)+IF(Skills!G6&gt;0,MIN(Skills!H6,MAX(0,Inputs!$B$35-((S612-1)*IF(Inputs!$B$4="pvp",15,MAX(0.1,Skills!D6-IF(Skills!E6=TRUE,Inputs!$B$31,0))))))/Skills!G6,1)))/Inputs!$B$35),G612*V612)*IF(Inputs!$B$4="pvp",1,(1-Summary!$B$48)*(1)+Summary!$B$48*(MIN(Skills!Q6,Inputs!$B$37))),0)</f>
        <v/>
      </c>
      <c r="P612">
        <f>IF(B644=0,0,O612/B644)</f>
        <v/>
      </c>
      <c r="S612">
        <f>IF(AND(Inputs!$B$4&lt;&gt;"pvp",Inputs!$B$35&gt;0),(INT(Inputs!$B$35/IF(Inputs!$B$4="pvp",15,MAX(0.1,Skills!D6-IF(Skills!E6=TRUE,Inputs!$B$31,0))))+1),0)</f>
        <v/>
      </c>
      <c r="V612">
        <f>IFERROR(1/IF(Inputs!$B$4="pvp",15,MAX(0.1,Skills!D6-IF(Skills!E6=TRUE,Inputs!$B$31,0))),0)</f>
        <v/>
      </c>
    </row>
    <row r="613">
      <c r="A613">
        <f>Skills!A7</f>
        <v/>
      </c>
      <c r="B613">
        <f>Skills!B7</f>
        <v/>
      </c>
      <c r="C613">
        <f>Inputs!$B$3&gt;=122</f>
        <v/>
      </c>
      <c r="D613">
        <f>IF(Skills!C7=1,60+Inputs!$B$24+Inputs!$B$28,IF(Skills!C7=2,90+Inputs!$B$25+Inputs!$B$28,IF(Skills!C7=3,120+Inputs!$B$26+Inputs!$B$28,MAX(0,(Inputs!$B$3-100)*3)+Inputs!$B$27+Inputs!$B$28)))</f>
        <v/>
      </c>
      <c r="E613">
        <f>INDEX(FactorTable!$B$2:$Y$301, MATCH(ROUND(MIN(300,MAX(1,D613)),0), FactorTable!$A$2:$A$301,0), Skills!L7+1)</f>
        <v/>
      </c>
      <c r="F613">
        <f>IF(Skills!M7=TRUE,(Skills!K7/10)*(E613/1000),Skills!K7/10)+Skills!N7</f>
        <v/>
      </c>
      <c r="G613">
        <f>Calc!G7</f>
        <v/>
      </c>
      <c r="H613">
        <f>Calc!H7</f>
        <v/>
      </c>
      <c r="I613">
        <f>IF(Skills!T7&lt;&gt;"",1+(Skills!T7/10)*($Z$3/1000)/100,1)</f>
        <v/>
      </c>
      <c r="J613">
        <f>((Inputs!$B$5*(1+Inputs!$B$6/100))+((Inputs!$B$11*(1+Inputs!$B$12/100))-(Inputs!$B$11*(1+Inputs!$B$12/100)))*(1+Inputs!$B$6/100))*(F613/100)</f>
        <v/>
      </c>
      <c r="K613">
        <f>J613*(1+((Inputs!$B$11*(1+Inputs!$B$12/100))*0.01+Inputs!$B$13*0.0025)/100)*(1+(Inputs!$B$14+B637)/100)*(1+IF(Inputs!$B$4="pvp",0,(1-Summary!$B$48)*(Inputs!$B$19+Skills!O7+B635)+Summary!$B$48*(Inputs!$B$20+Skills!P7+B636))/100)*(1+Inputs!$B$15/100)*(5000/(6000+Inputs!$B$7*(1-Inputs!$B$18/100)))*(1+Inputs!$B$23/100)*(1+IF(C623=TRUE,F623,0)/100)*(1+IF(C625=TRUE,F625,0)/100)*(1+IF(Skills!A7="TRIUMPH_FEATHER",IF(C621=TRUE,F621,0),0)/100)*(1+IF(C632=TRUE,F632,0)/100)^5*(1+(IF(Skills!A7="BIG_BANG",Inputs!$B$16,(Inputs!$B$17+1)))/100)*(B634*I613)</f>
        <v/>
      </c>
      <c r="L613">
        <f>K613*(MIN(Inputs!$B$21+(F627-Calc!F21),Inputs!$B$22)/100+Inputs!$B$22/100)/2</f>
        <v/>
      </c>
      <c r="M613">
        <f>L613*(1+(Inputs!$B$9+B638+(F630-Calc!F24))/100)</f>
        <v/>
      </c>
      <c r="N613">
        <f>L613*(1-MIN(Inputs!$B$8+((F629-Calc!F23)+(F628-Calc!F22)),100)/100)+M613*(MIN(Inputs!$B$8+((F629-Calc!F23)+(F628-Calc!F22)),100)/100)</f>
        <v/>
      </c>
      <c r="O613">
        <f>IF(C613,H613*N613*IF(AND(Inputs!$B$4&lt;&gt;"pvp",Inputs!$B$35&gt;0),((Skills!F7*((S613-1)*IF(Skills!G7&gt;0,Skills!H7/Skills!G7,1)+IF(Skills!G7&gt;0,MIN(Skills!H7,MAX(0,Inputs!$B$35-((S613-1)*IF(Inputs!$B$4="pvp",15,MAX(0.1,Skills!D7-IF(Skills!E6=TRUE,Inputs!$B$31,0))))))/Skills!G7,1)))/Inputs!$B$35),G613*V613)*(1-Summary!$B$48),0)</f>
        <v/>
      </c>
      <c r="P613">
        <f>IF(B644=0,0,O613/B644)</f>
        <v/>
      </c>
      <c r="S613">
        <f>IF(AND(Inputs!$B$4&lt;&gt;"pvp",Inputs!$B$35&gt;0),(INT(Inputs!$B$35/IF(Inputs!$B$4="pvp",15,MAX(0.1,Skills!D7-IF(Skills!E6=TRUE,Inputs!$B$31,0))))+1),0)</f>
        <v/>
      </c>
      <c r="V613">
        <f>IFERROR(1/IF(Inputs!$B$4="pvp",15,MAX(0.1,Skills!D7-IF(Skills!E6=TRUE,Inputs!$B$31,0))),0)</f>
        <v/>
      </c>
    </row>
    <row r="614">
      <c r="A614">
        <f>Skills!A8</f>
        <v/>
      </c>
      <c r="B614">
        <f>Skills!B8</f>
        <v/>
      </c>
      <c r="C614">
        <f>Inputs!$B$3&gt;=105</f>
        <v/>
      </c>
      <c r="D614">
        <f>IF(Skills!C8=1,60+Inputs!$B$24+Inputs!$B$28,IF(Skills!C8=2,90+Inputs!$B$25+Inputs!$B$28,IF(Skills!C8=3,120+Inputs!$B$26+Inputs!$B$28,MAX(0,(Inputs!$B$3-100)*3)+Inputs!$B$27+Inputs!$B$28)))</f>
        <v/>
      </c>
      <c r="E614">
        <f>INDEX(FactorTable!$B$2:$Y$301, MATCH(ROUND(MIN(300,MAX(1,D614)),0), FactorTable!$A$2:$A$301,0), Skills!L8+1)</f>
        <v/>
      </c>
      <c r="F614">
        <f>IF(Skills!M8=TRUE,(Skills!K8/10)*(E614/1000),Skills!K8/10)+Skills!N8</f>
        <v/>
      </c>
      <c r="G614">
        <f>Calc!G8</f>
        <v/>
      </c>
      <c r="H614">
        <f>Calc!H8</f>
        <v/>
      </c>
      <c r="I614">
        <f>IF(Skills!T8&lt;&gt;"",1+(Skills!T8/10)*($Z$3/1000)/100,1)</f>
        <v/>
      </c>
      <c r="J614">
        <f>((Inputs!$B$5*(1+Inputs!$B$6/100))+((Inputs!$B$11*(1+Inputs!$B$12/100))-(Inputs!$B$11*(1+Inputs!$B$12/100)))*(1+Inputs!$B$6/100))*(F614/100)</f>
        <v/>
      </c>
      <c r="K614">
        <f>J614*(1+((Inputs!$B$11*(1+Inputs!$B$12/100))*0.01+Inputs!$B$13*0.0025)/100)*(1+(Inputs!$B$14+B637)/100)*(1+IF(Inputs!$B$4="pvp",0,(1-Summary!$B$48)*(Inputs!$B$19+Skills!O8+B635)+Summary!$B$48*(Inputs!$B$20+Skills!P8+B636))/100)*(1+Inputs!$B$15/100)*(5000/(6000+Inputs!$B$7*(1-Inputs!$B$18/100)))*(1+Inputs!$B$23/100)*(1+IF(C623=TRUE,F623,0)/100)*(1+IF(C625=TRUE,F625,0)/100)*(1+IF(Skills!A8="TRIUMPH_FEATHER",IF(C621=TRUE,F621,0),0)/100)*(1+IF(C632=TRUE,F632,0)/100)^5*(1+(IF(Skills!A8="BIG_BANG",Inputs!$B$16,(Inputs!$B$17+1)))/100)*(B634*I614)</f>
        <v/>
      </c>
      <c r="L614">
        <f>K614*(MIN(Inputs!$B$21+(F627-Calc!F21),Inputs!$B$22)/100+Inputs!$B$22/100)/2</f>
        <v/>
      </c>
      <c r="M614">
        <f>L614*(1+(Inputs!$B$9+B638+(F630-Calc!F24))/100)</f>
        <v/>
      </c>
      <c r="N614">
        <f>L614*(1-MIN(Inputs!$B$8+((F629-Calc!F23)+(F628-Calc!F22)),100)/100)+M614*(MIN(Inputs!$B$8+((F629-Calc!F23)+(F628-Calc!F22)),100)/100)</f>
        <v/>
      </c>
      <c r="O614">
        <f>IF(C614,H614*N614*IF(AND(Inputs!$B$4&lt;&gt;"pvp",Inputs!$B$35&gt;0),((Skills!F8*((S614-1)*IF(Skills!G8&gt;0,Skills!H8/Skills!G8,1)+IF(Skills!G8&gt;0,MIN(Skills!H8,MAX(0,Inputs!$B$35-((S614-1)*IF(Inputs!$B$4="pvp",15,MAX(0.1,Skills!D8-IF(Skills!E8=TRUE,Inputs!$B$31,0))))))/Skills!G8,1)))/Inputs!$B$35),G614*V614)*IF(Inputs!$B$4="pvp",1,(1-Summary!$B$48)*(1)+Summary!$B$48*(MIN(Skills!Q8,Inputs!$B$37))),0)</f>
        <v/>
      </c>
      <c r="P614">
        <f>IF(B644=0,0,O614/B644)</f>
        <v/>
      </c>
      <c r="S614">
        <f>IF(AND(Inputs!$B$4&lt;&gt;"pvp",Inputs!$B$35&gt;0),(INT(Inputs!$B$35/IF(Inputs!$B$4="pvp",15,MAX(0.1,Skills!D8-IF(Skills!E8=TRUE,Inputs!$B$31,0))))+1),0)</f>
        <v/>
      </c>
      <c r="V614">
        <f>IFERROR(1/IF(Inputs!$B$4="pvp",15,MAX(0.1,Skills!D8-IF(Skills!E8=TRUE,Inputs!$B$31,0))),0)</f>
        <v/>
      </c>
    </row>
    <row r="615">
      <c r="A615">
        <f>Skills!A9</f>
        <v/>
      </c>
      <c r="B615">
        <f>Skills!B9</f>
        <v/>
      </c>
      <c r="C615">
        <f>Inputs!$B$3&gt;=115</f>
        <v/>
      </c>
      <c r="D615">
        <f>IF(Skills!C9=1,60+Inputs!$B$24+Inputs!$B$28,IF(Skills!C9=2,90+Inputs!$B$25+Inputs!$B$28,IF(Skills!C9=3,120+Inputs!$B$26+Inputs!$B$28,MAX(0,(Inputs!$B$3-100)*3)+Inputs!$B$27+Inputs!$B$28)))</f>
        <v/>
      </c>
      <c r="E615">
        <f>INDEX(FactorTable!$B$2:$Y$301, MATCH(ROUND(MIN(300,MAX(1,D615)),0), FactorTable!$A$2:$A$301,0), Skills!L9+1)</f>
        <v/>
      </c>
      <c r="F615">
        <f>IF(Skills!M9=TRUE,(Skills!K9/10)*(E615/1000),Skills!K9/10)+Skills!N9</f>
        <v/>
      </c>
      <c r="G615">
        <f>Calc!G9</f>
        <v/>
      </c>
      <c r="H615">
        <f>Calc!H9</f>
        <v/>
      </c>
      <c r="I615">
        <f>IF(Skills!T9&lt;&gt;"",1+(Skills!T9/10)*($Z$3/1000)/100,1)</f>
        <v/>
      </c>
      <c r="J615">
        <f>((Inputs!$B$5*(1+Inputs!$B$6/100))+((Inputs!$B$11*(1+Inputs!$B$12/100))-(Inputs!$B$11*(1+Inputs!$B$12/100)))*(1+Inputs!$B$6/100))*(F615/100)</f>
        <v/>
      </c>
      <c r="K615">
        <f>J615*(1+((Inputs!$B$11*(1+Inputs!$B$12/100))*0.01+Inputs!$B$13*0.0025)/100)*(1+(Inputs!$B$14+B637)/100)*(1+IF(Inputs!$B$4="pvp",0,(1-Summary!$B$48)*(Inputs!$B$19+Skills!O9+B635)+Summary!$B$48*(Inputs!$B$20+Skills!P9+B636))/100)*(1+Inputs!$B$15/100)*(5000/(6000+Inputs!$B$7*(1-Inputs!$B$18/100)))*(1+Inputs!$B$23/100)*(1+IF(C623=TRUE,F623,0)/100)*(1+IF(C625=TRUE,F625,0)/100)*(1+IF(Skills!A9="TRIUMPH_FEATHER",IF(C621=TRUE,F621,0),0)/100)*(1+IF(C632=TRUE,F632,0)/100)^5*(1+(IF(Skills!A9="BIG_BANG",Inputs!$B$16,(Inputs!$B$17+1)))/100)*(B634*I615)</f>
        <v/>
      </c>
      <c r="L615">
        <f>K615*(MIN(Inputs!$B$21+(F627-Calc!F21),Inputs!$B$22)/100+Inputs!$B$22/100)/2</f>
        <v/>
      </c>
      <c r="M615">
        <f>L615*(1+(Inputs!$B$9+B638+(F630-Calc!F24))/100)</f>
        <v/>
      </c>
      <c r="N615">
        <f>L615*(1-MIN(Inputs!$B$8+((F629-Calc!F23)+(F628-Calc!F22)),100)/100)+M615*(MIN(Inputs!$B$8+((F629-Calc!F23)+(F628-Calc!F22)),100)/100)</f>
        <v/>
      </c>
      <c r="O615">
        <f>IF(C615,H615*N615*IF(AND(Inputs!$B$4&lt;&gt;"pvp",Inputs!$B$35&gt;0),((Skills!F9*((S615-1)*IF(Skills!G9&gt;0,Skills!H9/Skills!G9,1)+IF(Skills!G9&gt;0,MIN(Skills!H9,MAX(0,Inputs!$B$35-((S615-1)*IF(Inputs!$B$4="pvp",15,MAX(0.1,Skills!D9-IF(Skills!E9=TRUE,Inputs!$B$31,0))))))/Skills!G9,1)))/Inputs!$B$35),G615*V615)*IF(Inputs!$B$4="pvp",1,(1-Summary!$B$48)*(1)+Summary!$B$48*(MIN(Skills!Q9,Inputs!$B$37))),0)</f>
        <v/>
      </c>
      <c r="P615">
        <f>IF(B644=0,0,O615/B644)</f>
        <v/>
      </c>
      <c r="S615">
        <f>IF(AND(Inputs!$B$4&lt;&gt;"pvp",Inputs!$B$35&gt;0),(INT(Inputs!$B$35/IF(Inputs!$B$4="pvp",15,MAX(0.1,Skills!D9-IF(Skills!E9=TRUE,Inputs!$B$31,0))))+1),0)</f>
        <v/>
      </c>
      <c r="V615">
        <f>IFERROR(1/IF(Inputs!$B$4="pvp",15,MAX(0.1,Skills!D9-IF(Skills!E9=TRUE,Inputs!$B$31,0))),0)</f>
        <v/>
      </c>
    </row>
    <row r="616">
      <c r="A616">
        <f>Skills!A10</f>
        <v/>
      </c>
      <c r="B616">
        <f>Skills!B10</f>
        <v/>
      </c>
      <c r="C616">
        <f>Inputs!$B$3&gt;=66</f>
        <v/>
      </c>
      <c r="D616">
        <f>IF(Skills!C10=1,60+Inputs!$B$24+Inputs!$B$28,IF(Skills!C10=2,90+Inputs!$B$25+Inputs!$B$28,IF(Skills!C10=3,120+Inputs!$B$26+Inputs!$B$28,MAX(0,(Inputs!$B$3-100)*3)+Inputs!$B$27+Inputs!$B$28)))</f>
        <v/>
      </c>
      <c r="E616">
        <f>INDEX(FactorTable!$B$2:$Y$301, MATCH(ROUND(MIN(300,MAX(1,D616)),0), FactorTable!$A$2:$A$301,0), Skills!L10+1)</f>
        <v/>
      </c>
      <c r="F616" t="n">
        <v>0</v>
      </c>
      <c r="G616">
        <f>Calc!G10</f>
        <v/>
      </c>
      <c r="H616">
        <f>Calc!H10</f>
        <v/>
      </c>
      <c r="I616">
        <f>IF(Skills!T10&lt;&gt;"",1+(Skills!T10/10)*($Z$3/1000)/100,1)</f>
        <v/>
      </c>
      <c r="J616" t="inlineStr"/>
      <c r="K616" t="inlineStr"/>
      <c r="L616" t="inlineStr"/>
      <c r="M616" t="inlineStr"/>
      <c r="N616" t="inlineStr"/>
      <c r="O616" t="n">
        <v>0</v>
      </c>
      <c r="P616">
        <f>IF(B644=0,0,O616/B644)</f>
        <v/>
      </c>
      <c r="S616">
        <f>IF(AND(Inputs!$B$4&lt;&gt;"pvp",Inputs!$B$35&gt;0),(INT(Inputs!$B$35/IF(Inputs!$B$4="pvp",15,MAX(0.1,Skills!D10-IF(Skills!E10=TRUE,Inputs!$B$31,0))))+1),0)</f>
        <v/>
      </c>
      <c r="V616">
        <f>IFERROR(1/IF(Inputs!$B$4="pvp",15,MAX(0.1,Skills!D10-IF(Skills!E10=TRUE,Inputs!$B$31,0))),0)</f>
        <v/>
      </c>
    </row>
    <row r="617">
      <c r="A617">
        <f>Skills!A11</f>
        <v/>
      </c>
      <c r="B617">
        <f>Skills!B11</f>
        <v/>
      </c>
      <c r="C617">
        <f>Inputs!$B$3&gt;=69</f>
        <v/>
      </c>
      <c r="D617">
        <f>IF(Skills!C11=1,60+Inputs!$B$24+Inputs!$B$28,IF(Skills!C11=2,90+Inputs!$B$25+Inputs!$B$28,IF(Skills!C11=3,120+Inputs!$B$26+Inputs!$B$28,MAX(0,(Inputs!$B$3-100)*3)+Inputs!$B$27+Inputs!$B$28)))</f>
        <v/>
      </c>
      <c r="E617">
        <f>INDEX(FactorTable!$B$2:$Y$301, MATCH(ROUND(MIN(300,MAX(1,D617)),0), FactorTable!$A$2:$A$301,0), Skills!L11+1)</f>
        <v/>
      </c>
      <c r="F617">
        <f>IF(Skills!M11=TRUE,(Skills!K11/10)*(E617/1000),Skills!K11/10)+Skills!N11</f>
        <v/>
      </c>
      <c r="G617">
        <f>Calc!G11</f>
        <v/>
      </c>
      <c r="H617">
        <f>Calc!H11</f>
        <v/>
      </c>
      <c r="I617">
        <f>IF(Skills!T11&lt;&gt;"",1+(Skills!T11/10)*($Z$3/1000)/100,1)</f>
        <v/>
      </c>
      <c r="J617" t="inlineStr"/>
      <c r="K617" t="inlineStr"/>
      <c r="L617" t="inlineStr"/>
      <c r="M617" t="inlineStr"/>
      <c r="N617" t="inlineStr"/>
      <c r="O617" t="n">
        <v>0</v>
      </c>
      <c r="P617">
        <f>IF(B644=0,0,O617/B644)</f>
        <v/>
      </c>
      <c r="S617">
        <f>IF(AND(Inputs!$B$4&lt;&gt;"pvp",Inputs!$B$35&gt;0),(INT(Inputs!$B$35/IF(Inputs!$B$4="pvp",15,MAX(0.1,Skills!D11-IF(Skills!E11=TRUE,Inputs!$B$31,0))))+1),0)</f>
        <v/>
      </c>
      <c r="V617">
        <f>IFERROR(1/IF(Inputs!$B$4="pvp",15,MAX(0.1,Skills!D11-IF(Skills!E11=TRUE,Inputs!$B$31,0))),0)</f>
        <v/>
      </c>
    </row>
    <row r="618">
      <c r="A618">
        <f>Skills!A12</f>
        <v/>
      </c>
      <c r="B618">
        <f>Skills!B12</f>
        <v/>
      </c>
      <c r="C618">
        <f>Inputs!$B$3&gt;=72</f>
        <v/>
      </c>
      <c r="D618">
        <f>IF(Skills!C12=1,60+Inputs!$B$24+Inputs!$B$28,IF(Skills!C12=2,90+Inputs!$B$25+Inputs!$B$28,IF(Skills!C12=3,120+Inputs!$B$26+Inputs!$B$28,MAX(0,(Inputs!$B$3-100)*3)+Inputs!$B$27+Inputs!$B$28)))</f>
        <v/>
      </c>
      <c r="E618">
        <f>INDEX(FactorTable!$B$2:$Y$301, MATCH(ROUND(MIN(300,MAX(1,D618)),0), FactorTable!$A$2:$A$301,0), Skills!L12+1)</f>
        <v/>
      </c>
      <c r="F618">
        <f>IF(Skills!M12=TRUE,(Skills!K12/10)*(E618/1000),Skills!K12/10)+Skills!N12</f>
        <v/>
      </c>
      <c r="G618">
        <f>Calc!G12</f>
        <v/>
      </c>
      <c r="H618">
        <f>Calc!H12</f>
        <v/>
      </c>
      <c r="I618">
        <f>IF(Skills!T12&lt;&gt;"",1+(Skills!T12/10)*($Z$3/1000)/100,1)</f>
        <v/>
      </c>
      <c r="J618" t="inlineStr"/>
      <c r="K618" t="inlineStr"/>
      <c r="L618" t="inlineStr"/>
      <c r="M618" t="inlineStr"/>
      <c r="N618" t="inlineStr"/>
      <c r="O618" t="n">
        <v>0</v>
      </c>
      <c r="P618">
        <f>IF(B644=0,0,O618/B644)</f>
        <v/>
      </c>
      <c r="S618">
        <f>IF(AND(Inputs!$B$4&lt;&gt;"pvp",Inputs!$B$35&gt;0),(INT(Inputs!$B$35/IF(Inputs!$B$4="pvp",15,MAX(0.1,Skills!D12-IF(Skills!E12=TRUE,Inputs!$B$31,0))))+1),0)</f>
        <v/>
      </c>
      <c r="V618">
        <f>IFERROR(1/IF(Inputs!$B$4="pvp",15,MAX(0.1,Skills!D12-IF(Skills!E12=TRUE,Inputs!$B$31,0))),0)</f>
        <v/>
      </c>
    </row>
    <row r="619">
      <c r="A619">
        <f>Skills!A13</f>
        <v/>
      </c>
      <c r="B619">
        <f>Skills!B13</f>
        <v/>
      </c>
      <c r="C619">
        <f>Inputs!$B$3&gt;=107</f>
        <v/>
      </c>
      <c r="D619">
        <f>IF(Skills!C13=1,60+Inputs!$B$24+Inputs!$B$28,IF(Skills!C13=2,90+Inputs!$B$25+Inputs!$B$28,IF(Skills!C13=3,120+Inputs!$B$26+Inputs!$B$28,MAX(0,(Inputs!$B$3-100)*3)+Inputs!$B$27+Inputs!$B$28)))</f>
        <v/>
      </c>
      <c r="E619">
        <f>INDEX(FactorTable!$B$2:$Y$301, MATCH(ROUND(MIN(300,MAX(1,D619)),0), FactorTable!$A$2:$A$301,0), Skills!L13+1)</f>
        <v/>
      </c>
      <c r="F619">
        <f>IF(Skills!M13=TRUE,(Skills!K13/10)*(E619/1000),Skills!K13/10)+Skills!N13</f>
        <v/>
      </c>
      <c r="G619">
        <f>Calc!G13</f>
        <v/>
      </c>
      <c r="H619">
        <f>Calc!H13</f>
        <v/>
      </c>
      <c r="I619">
        <f>IF(Skills!T13&lt;&gt;"",1+(Skills!T13/10)*($Z$3/1000)/100,1)</f>
        <v/>
      </c>
      <c r="J619" t="inlineStr"/>
      <c r="K619" t="inlineStr"/>
      <c r="L619" t="inlineStr"/>
      <c r="M619" t="inlineStr"/>
      <c r="N619" t="inlineStr"/>
      <c r="O619" t="n">
        <v>0</v>
      </c>
      <c r="P619">
        <f>IF(B644=0,0,O619/B644)</f>
        <v/>
      </c>
      <c r="S619">
        <f>IF(AND(Inputs!$B$4&lt;&gt;"pvp",Inputs!$B$35&gt;0),(INT(Inputs!$B$35/IF(Inputs!$B$4="pvp",15,MAX(0.1,Skills!D13-IF(Skills!E13=TRUE,Inputs!$B$31,0))))+1),0)</f>
        <v/>
      </c>
      <c r="V619">
        <f>IFERROR(1/IF(Inputs!$B$4="pvp",15,MAX(0.1,Skills!D13-IF(Skills!E13=TRUE,Inputs!$B$31,0))),0)</f>
        <v/>
      </c>
    </row>
    <row r="620">
      <c r="A620">
        <f>Skills!A14</f>
        <v/>
      </c>
      <c r="B620">
        <f>Skills!B14</f>
        <v/>
      </c>
      <c r="C620">
        <f>Inputs!$B$3&gt;=63</f>
        <v/>
      </c>
      <c r="D620">
        <f>IF(Skills!C14=1,60+Inputs!$B$24+Inputs!$B$28,IF(Skills!C14=2,90+Inputs!$B$25+Inputs!$B$28,IF(Skills!C14=3,120+Inputs!$B$26+Inputs!$B$28,MAX(0,(Inputs!$B$3-100)*3)+Inputs!$B$27+Inputs!$B$28)))</f>
        <v/>
      </c>
      <c r="E620">
        <f>INDEX(FactorTable!$B$2:$Y$301, MATCH(ROUND(MIN(300,MAX(1,D620)),0), FactorTable!$A$2:$A$301,0), Skills!L14+1)</f>
        <v/>
      </c>
      <c r="F620">
        <f>IF(Skills!M14=TRUE,(Skills!K14/10)*(E620/1000),Skills!K14/10)+Skills!N14</f>
        <v/>
      </c>
      <c r="G620">
        <f>Calc!G14</f>
        <v/>
      </c>
      <c r="H620">
        <f>Calc!H14</f>
        <v/>
      </c>
      <c r="I620">
        <f>IF(Skills!T14&lt;&gt;"",1+(Skills!T14/10)*($Z$3/1000)/100,1)</f>
        <v/>
      </c>
      <c r="J620">
        <f>((Inputs!$B$5*(1+Inputs!$B$6/100))+((Inputs!$B$11*(1+Inputs!$B$12/100))-(Inputs!$B$11*(1+Inputs!$B$12/100)))*(1+Inputs!$B$6/100))*(F620/100)</f>
        <v/>
      </c>
      <c r="K620">
        <f>J620*(1+((Inputs!$B$11*(1+Inputs!$B$12/100))*0.01+Inputs!$B$13*0.0025)/100)*(1+(Inputs!$B$14+B637)/100)*(1+IF(Inputs!$B$4="pvp",0,(1-Summary!$B$48)*(Inputs!$B$19+Skills!O14+B635)+Summary!$B$48*(Inputs!$B$20+Skills!P14+B636))/100)*(1+Inputs!$B$15/100)*(5000/(6000+Inputs!$B$7*(1-Inputs!$B$18/100)))*(1+Inputs!$B$23/100)*(1+IF(C623=TRUE,F623,0)/100)*(1+IF(C625=TRUE,F625,0)/100)*(1+IF(Skills!A14="TRIUMPH_FEATHER",IF(C621=TRUE,F621,0),0)/100)*(1+IF(C632=TRUE,F632,0)/100)^5*(1+(IF(Skills!A14="BIG_BANG",Inputs!$B$16,(Inputs!$B$17+1)))/100)*(B634*I620)</f>
        <v/>
      </c>
      <c r="L620">
        <f>K620*(MIN(Inputs!$B$21+(F627-Calc!F21),Inputs!$B$22)/100+Inputs!$B$22/100)/2</f>
        <v/>
      </c>
      <c r="M620">
        <f>L620*(1+(Inputs!$B$9+B638+(F630-Calc!F24))/100)</f>
        <v/>
      </c>
      <c r="N620">
        <f>L620*(1-MIN(Inputs!$B$8+((F629-Calc!F23)+(F628-Calc!F22)),100)/100)+M620*(MIN(Inputs!$B$8+((F629-Calc!F23)+(F628-Calc!F22)),100)/100)</f>
        <v/>
      </c>
      <c r="O620">
        <f>IF(C620,Skills!F14*N620*((IF(Inputs!$B$3&gt;=78,25,15)/100*B640*10)/(1+IF(Inputs!$B$3&gt;=78,25,15)/100*B640*10))*(Skills!I14/100*B640)/(1+Skills!G14*Skills!I14/100*B640)*IF(Inputs!$B$4="pvp",1,(1-Summary!$B$48)*(1)+Summary!$B$48*(MIN(Skills!Q14,Inputs!$B$37))),0)</f>
        <v/>
      </c>
      <c r="P620">
        <f>IF(B644=0,0,O620/B644)</f>
        <v/>
      </c>
      <c r="S620" t="n">
        <v>0</v>
      </c>
      <c r="V620">
        <f>IFERROR(1/IF(Inputs!$B$4="pvp",15,MAX(0.1,Skills!D14-IF(Skills!E14=TRUE,Inputs!$B$31,0))),0)</f>
        <v/>
      </c>
    </row>
    <row r="621">
      <c r="A621">
        <f>Skills!A15</f>
        <v/>
      </c>
      <c r="B621">
        <f>Skills!B15</f>
        <v/>
      </c>
      <c r="C621">
        <f>Inputs!$B$3&gt;=100</f>
        <v/>
      </c>
      <c r="D621">
        <f>IF(Skills!C15=1,60+Inputs!$B$24+Inputs!$B$28,IF(Skills!C15=2,90+Inputs!$B$25+Inputs!$B$28,IF(Skills!C15=3,120+Inputs!$B$26+Inputs!$B$28,MAX(0,(Inputs!$B$3-100)*3)+Inputs!$B$27+Inputs!$B$28)))</f>
        <v/>
      </c>
      <c r="E621">
        <f>INDEX(FactorTable!$B$2:$Y$301, MATCH(ROUND(MIN(300,MAX(1,D621)),0), FactorTable!$A$2:$A$301,0), Skills!L15+1)</f>
        <v/>
      </c>
      <c r="F621">
        <f>IF(Skills!M15=TRUE,(Skills!K15/10)*(E621/1000),Skills!K15/10)+Skills!N15</f>
        <v/>
      </c>
      <c r="G621">
        <f>Calc!G15</f>
        <v/>
      </c>
      <c r="H621">
        <f>Calc!H15</f>
        <v/>
      </c>
      <c r="I621">
        <f>IF(Skills!T15&lt;&gt;"",1+(Skills!T15/10)*($Z$3/1000)/100,1)</f>
        <v/>
      </c>
      <c r="J621" t="inlineStr"/>
      <c r="K621" t="inlineStr"/>
      <c r="L621" t="inlineStr"/>
      <c r="M621" t="inlineStr"/>
      <c r="N621" t="inlineStr"/>
      <c r="O621" t="n">
        <v>0</v>
      </c>
      <c r="P621">
        <f>IF(B644=0,0,O621/B644)</f>
        <v/>
      </c>
      <c r="S621" t="n">
        <v>0</v>
      </c>
      <c r="V621">
        <f>IFERROR(1/IF(Inputs!$B$4="pvp",15,MAX(0.1,Skills!D15-IF(Skills!E15=TRUE,Inputs!$B$31,0))),0)</f>
        <v/>
      </c>
    </row>
    <row r="622">
      <c r="A622">
        <f>Skills!A16</f>
        <v/>
      </c>
      <c r="B622">
        <f>Skills!B16</f>
        <v/>
      </c>
      <c r="C622">
        <f>Inputs!$B$3&gt;=49</f>
        <v/>
      </c>
      <c r="D622">
        <f>IF(Skills!C16=1,60+Inputs!$B$24+Inputs!$B$28,IF(Skills!C16=2,90+Inputs!$B$25+Inputs!$B$28,IF(Skills!C16=3,120+Inputs!$B$26+Inputs!$B$28,MAX(0,(Inputs!$B$3-100)*3)+Inputs!$B$27+Inputs!$B$28)))</f>
        <v/>
      </c>
      <c r="E622">
        <f>INDEX(FactorTable!$B$2:$Y$301, MATCH(ROUND(MIN(300,MAX(1,D622)),0), FactorTable!$A$2:$A$301,0), Skills!L16+1)</f>
        <v/>
      </c>
      <c r="F622">
        <f>IF(Skills!M16=TRUE,(Skills!K16/10)*(E622/1000),Skills!K16/10)+Skills!N16</f>
        <v/>
      </c>
      <c r="G622">
        <f>Calc!G16</f>
        <v/>
      </c>
      <c r="H622">
        <f>Calc!H16</f>
        <v/>
      </c>
      <c r="I622">
        <f>IF(Skills!T16&lt;&gt;"",1+(Skills!T16/10)*($Z$3/1000)/100,1)</f>
        <v/>
      </c>
      <c r="J622" t="inlineStr"/>
      <c r="K622" t="inlineStr"/>
      <c r="L622" t="inlineStr"/>
      <c r="M622" t="inlineStr"/>
      <c r="N622" t="inlineStr"/>
      <c r="O622" t="n">
        <v>0</v>
      </c>
      <c r="P622">
        <f>IF(B644=0,0,O622/B644)</f>
        <v/>
      </c>
      <c r="S622" t="n">
        <v>0</v>
      </c>
      <c r="V622">
        <f>IFERROR(1/IF(Inputs!$B$4="pvp",15,MAX(0.1,Skills!D16-IF(Skills!E16=TRUE,Inputs!$B$31,0))),0)</f>
        <v/>
      </c>
    </row>
    <row r="623">
      <c r="A623">
        <f>Skills!A17</f>
        <v/>
      </c>
      <c r="B623">
        <f>Skills!B17</f>
        <v/>
      </c>
      <c r="C623">
        <f>Inputs!$B$3&gt;=75</f>
        <v/>
      </c>
      <c r="D623">
        <f>IF(Skills!C17=1,60+Inputs!$B$24+Inputs!$B$28,IF(Skills!C17=2,90+Inputs!$B$25+Inputs!$B$28,IF(Skills!C17=3,120+Inputs!$B$26+Inputs!$B$28,MAX(0,(Inputs!$B$3-100)*3)+Inputs!$B$27+Inputs!$B$28)))</f>
        <v/>
      </c>
      <c r="E623">
        <f>INDEX(FactorTable!$B$2:$Y$301, MATCH(ROUND(MIN(300,MAX(1,D623)),0), FactorTable!$A$2:$A$301,0), Skills!L17+1)</f>
        <v/>
      </c>
      <c r="F623">
        <f>IF(Skills!M17=TRUE,(Skills!K17/10)*(E623/1000),Skills!K17/10)+Skills!N17</f>
        <v/>
      </c>
      <c r="G623">
        <f>Calc!G17</f>
        <v/>
      </c>
      <c r="H623">
        <f>Calc!H17</f>
        <v/>
      </c>
      <c r="I623">
        <f>IF(Skills!T17&lt;&gt;"",1+(Skills!T17/10)*($Z$3/1000)/100,1)</f>
        <v/>
      </c>
      <c r="J623" t="inlineStr"/>
      <c r="K623" t="inlineStr"/>
      <c r="L623" t="inlineStr"/>
      <c r="M623" t="inlineStr"/>
      <c r="N623" t="inlineStr"/>
      <c r="O623" t="n">
        <v>0</v>
      </c>
      <c r="P623">
        <f>IF(B644=0,0,O623/B644)</f>
        <v/>
      </c>
      <c r="S623" t="n">
        <v>0</v>
      </c>
      <c r="V623">
        <f>IFERROR(1/IF(Inputs!$B$4="pvp",15,MAX(0.1,Skills!D17-IF(Skills!E17=TRUE,Inputs!$B$31,0))),0)</f>
        <v/>
      </c>
    </row>
    <row r="624">
      <c r="A624">
        <f>Skills!A18</f>
        <v/>
      </c>
      <c r="B624">
        <f>Skills!B18</f>
        <v/>
      </c>
      <c r="C624">
        <f>Inputs!$B$3&gt;=110</f>
        <v/>
      </c>
      <c r="D624">
        <f>IF(Skills!C18=1,60+Inputs!$B$24+Inputs!$B$28,IF(Skills!C18=2,90+Inputs!$B$25+Inputs!$B$28,IF(Skills!C18=3,120+Inputs!$B$26+Inputs!$B$28,MAX(0,(Inputs!$B$3-100)*3)+Inputs!$B$27+Inputs!$B$28)))</f>
        <v/>
      </c>
      <c r="E624">
        <f>INDEX(FactorTable!$B$2:$Y$301, MATCH(ROUND(MIN(300,MAX(1,D624)),0), FactorTable!$A$2:$A$301,0), Skills!L18+1)</f>
        <v/>
      </c>
      <c r="F624">
        <f>(Skills!K18/10)*(E624/1000)*64/45+Skills!N18</f>
        <v/>
      </c>
      <c r="G624">
        <f>Calc!G18</f>
        <v/>
      </c>
      <c r="H624">
        <f>Calc!H18</f>
        <v/>
      </c>
      <c r="I624">
        <f>IF(Skills!T18&lt;&gt;"",1+(Skills!T18/10)*($Z$3/1000)/100,1)</f>
        <v/>
      </c>
      <c r="J624" t="inlineStr"/>
      <c r="K624" t="inlineStr"/>
      <c r="L624" t="inlineStr"/>
      <c r="M624" t="inlineStr"/>
      <c r="N624" t="inlineStr"/>
      <c r="O624" t="n">
        <v>0</v>
      </c>
      <c r="P624">
        <f>IF(B644=0,0,O624/B644)</f>
        <v/>
      </c>
      <c r="S624">
        <f>IF(AND(Inputs!$B$4&lt;&gt;"pvp",Inputs!$B$35&gt;0),(INT(Inputs!$B$35/IF(Inputs!$B$4="pvp",15,MAX(0.1,Skills!D18-IF(Skills!E18=TRUE,Inputs!$B$31,0))))+1),0)</f>
        <v/>
      </c>
      <c r="V624">
        <f>IFERROR(1/IF(Inputs!$B$4="pvp",15,MAX(0.1,Skills!D18-IF(Skills!E18=TRUE,Inputs!$B$31,0))),0)</f>
        <v/>
      </c>
    </row>
    <row r="625">
      <c r="A625">
        <f>Skills!A19</f>
        <v/>
      </c>
      <c r="B625">
        <f>Skills!B19</f>
        <v/>
      </c>
      <c r="C625">
        <f>Inputs!$B$3&gt;=125</f>
        <v/>
      </c>
      <c r="D625">
        <f>IF(Skills!C19=1,60+Inputs!$B$24+Inputs!$B$28,IF(Skills!C19=2,90+Inputs!$B$25+Inputs!$B$28,IF(Skills!C19=3,120+Inputs!$B$26+Inputs!$B$28,MAX(0,(Inputs!$B$3-100)*3)+Inputs!$B$27+Inputs!$B$28)))</f>
        <v/>
      </c>
      <c r="E625">
        <f>INDEX(FactorTable!$B$2:$Y$301, MATCH(ROUND(MIN(300,MAX(1,D625)),0), FactorTable!$A$2:$A$301,0), Skills!L19+1)</f>
        <v/>
      </c>
      <c r="F625">
        <f>IF(Skills!M19=TRUE,(Skills!K19/10)*(E625/1000),Skills!K19/10)+Skills!N19</f>
        <v/>
      </c>
      <c r="G625">
        <f>Calc!G19</f>
        <v/>
      </c>
      <c r="H625">
        <f>Calc!H19</f>
        <v/>
      </c>
      <c r="I625">
        <f>IF(Skills!T19&lt;&gt;"",1+(Skills!T19/10)*($Z$3/1000)/100,1)</f>
        <v/>
      </c>
      <c r="J625" t="inlineStr"/>
      <c r="K625" t="inlineStr"/>
      <c r="L625" t="inlineStr"/>
      <c r="M625" t="inlineStr"/>
      <c r="N625" t="inlineStr"/>
      <c r="O625" t="n">
        <v>0</v>
      </c>
      <c r="P625">
        <f>IF(B644=0,0,O625/B644)</f>
        <v/>
      </c>
      <c r="S625" t="n">
        <v>0</v>
      </c>
      <c r="V625">
        <f>IFERROR(1/IF(Inputs!$B$4="pvp",15,MAX(0.1,Skills!D19-IF(Skills!E19=TRUE,Inputs!$B$31,0))),0)</f>
        <v/>
      </c>
    </row>
    <row r="626">
      <c r="A626">
        <f>Skills!A20</f>
        <v/>
      </c>
      <c r="B626">
        <f>Skills!B20</f>
        <v/>
      </c>
      <c r="C626">
        <f>Inputs!$B$3&gt;=33</f>
        <v/>
      </c>
      <c r="D626">
        <f>IF(Skills!C20=1,60+Inputs!$B$24+Inputs!$B$28,IF(Skills!C20=2,90+Inputs!$B$25+Inputs!$B$28,IF(Skills!C20=3,120+Inputs!$B$26+Inputs!$B$28,MAX(0,(Inputs!$B$3-100)*3)+Inputs!$B$27+Inputs!$B$28)))</f>
        <v/>
      </c>
      <c r="E626">
        <f>INDEX(FactorTable!$B$2:$Y$301, MATCH(ROUND(MIN(300,MAX(1,D626)),0), FactorTable!$A$2:$A$301,0), Skills!L20+1)</f>
        <v/>
      </c>
      <c r="F626">
        <f>IF(Skills!M20=TRUE,(Skills!K20/10)*(E626/1000),Skills!K20/10)+Skills!N20</f>
        <v/>
      </c>
      <c r="G626">
        <f>Calc!G20</f>
        <v/>
      </c>
      <c r="H626">
        <f>Calc!H20</f>
        <v/>
      </c>
      <c r="I626">
        <f>IF(Skills!T20&lt;&gt;"",1+(Skills!T20/10)*($Z$3/1000)/100,1)</f>
        <v/>
      </c>
      <c r="J626" t="inlineStr"/>
      <c r="K626" t="inlineStr"/>
      <c r="L626" t="inlineStr"/>
      <c r="M626" t="inlineStr"/>
      <c r="N626" t="inlineStr"/>
      <c r="O626" t="n">
        <v>0</v>
      </c>
      <c r="P626">
        <f>IF(B644=0,0,O626/B644)</f>
        <v/>
      </c>
      <c r="S626" t="n">
        <v>0</v>
      </c>
      <c r="V626">
        <f>IFERROR(1/IF(Inputs!$B$4="pvp",15,MAX(0.1,Skills!D20-IF(Skills!E20=TRUE,Inputs!$B$31,0))),0)</f>
        <v/>
      </c>
    </row>
    <row r="627">
      <c r="A627">
        <f>Skills!A21</f>
        <v/>
      </c>
      <c r="B627">
        <f>Skills!B21</f>
        <v/>
      </c>
      <c r="C627">
        <f>Inputs!$B$3&gt;=43</f>
        <v/>
      </c>
      <c r="D627">
        <f>IF(Skills!C21=1,60+Inputs!$B$24+Inputs!$B$28,IF(Skills!C21=2,90+Inputs!$B$25+Inputs!$B$28,IF(Skills!C21=3,120+Inputs!$B$26+Inputs!$B$28,MAX(0,(Inputs!$B$3-100)*3)+Inputs!$B$27+Inputs!$B$28)))</f>
        <v/>
      </c>
      <c r="E627">
        <f>INDEX(FactorTable!$B$2:$Y$301, MATCH(ROUND(MIN(300,MAX(1,D627)),0), FactorTable!$A$2:$A$301,0), Skills!L21+1)</f>
        <v/>
      </c>
      <c r="F627">
        <f>IF(Skills!M21=TRUE,(Skills!K21/10)*(E627/1000),Skills!K21/10)+Skills!N21</f>
        <v/>
      </c>
      <c r="G627">
        <f>Calc!G21</f>
        <v/>
      </c>
      <c r="H627">
        <f>Calc!H21</f>
        <v/>
      </c>
      <c r="I627">
        <f>IF(Skills!T21&lt;&gt;"",1+(Skills!T21/10)*($Z$3/1000)/100,1)</f>
        <v/>
      </c>
      <c r="J627" t="inlineStr"/>
      <c r="K627" t="inlineStr"/>
      <c r="L627" t="inlineStr"/>
      <c r="M627" t="inlineStr"/>
      <c r="N627" t="inlineStr"/>
      <c r="O627" t="n">
        <v>0</v>
      </c>
      <c r="P627">
        <f>IF(B644=0,0,O627/B644)</f>
        <v/>
      </c>
      <c r="S627" t="n">
        <v>0</v>
      </c>
      <c r="V627">
        <f>IFERROR(1/IF(Inputs!$B$4="pvp",15,MAX(0.1,Skills!D21-IF(Skills!E21=TRUE,Inputs!$B$31,0))),0)</f>
        <v/>
      </c>
    </row>
    <row r="628">
      <c r="A628">
        <f>Skills!A22</f>
        <v/>
      </c>
      <c r="B628">
        <f>Skills!B22</f>
        <v/>
      </c>
      <c r="C628">
        <f>Inputs!$B$3&gt;=50</f>
        <v/>
      </c>
      <c r="D628">
        <f>IF(Skills!C22=1,60+Inputs!$B$24+Inputs!$B$28,IF(Skills!C22=2,90+Inputs!$B$25+Inputs!$B$28,IF(Skills!C22=3,120+Inputs!$B$26+Inputs!$B$28,MAX(0,(Inputs!$B$3-100)*3)+Inputs!$B$27+Inputs!$B$28)))</f>
        <v/>
      </c>
      <c r="E628">
        <f>INDEX(FactorTable!$B$2:$Y$301, MATCH(ROUND(MIN(300,MAX(1,D628)),0), FactorTable!$A$2:$A$301,0), Skills!L22+1)</f>
        <v/>
      </c>
      <c r="F628">
        <f>IF(Skills!M22=TRUE,(Skills!K22/10)*(E628/1000),Skills!K22/10)+Skills!N22</f>
        <v/>
      </c>
      <c r="G628">
        <f>Calc!G22</f>
        <v/>
      </c>
      <c r="H628">
        <f>Calc!H22</f>
        <v/>
      </c>
      <c r="I628">
        <f>IF(Skills!T22&lt;&gt;"",1+(Skills!T22/10)*($Z$3/1000)/100,1)</f>
        <v/>
      </c>
      <c r="J628" t="inlineStr"/>
      <c r="K628" t="inlineStr"/>
      <c r="L628" t="inlineStr"/>
      <c r="M628" t="inlineStr"/>
      <c r="N628" t="inlineStr"/>
      <c r="O628" t="n">
        <v>0</v>
      </c>
      <c r="P628">
        <f>IF(B644=0,0,O628/B644)</f>
        <v/>
      </c>
      <c r="S628" t="n">
        <v>0</v>
      </c>
      <c r="V628">
        <f>IFERROR(1/IF(Inputs!$B$4="pvp",15,MAX(0.1,Skills!D22-IF(Skills!E22=TRUE,Inputs!$B$31,0))),0)</f>
        <v/>
      </c>
    </row>
    <row r="629">
      <c r="A629">
        <f>Skills!A23</f>
        <v/>
      </c>
      <c r="B629">
        <f>Skills!B23</f>
        <v/>
      </c>
      <c r="C629">
        <f>Inputs!$B$3&gt;=74</f>
        <v/>
      </c>
      <c r="D629">
        <f>IF(Skills!C23=1,60+Inputs!$B$24+Inputs!$B$28,IF(Skills!C23=2,90+Inputs!$B$25+Inputs!$B$28,IF(Skills!C23=3,120+Inputs!$B$26+Inputs!$B$28,MAX(0,(Inputs!$B$3-100)*3)+Inputs!$B$27+Inputs!$B$28)))</f>
        <v/>
      </c>
      <c r="E629">
        <f>INDEX(FactorTable!$B$2:$Y$301, MATCH(ROUND(MIN(300,MAX(1,D629)),0), FactorTable!$A$2:$A$301,0), Skills!L23+1)</f>
        <v/>
      </c>
      <c r="F629">
        <f>IF(Skills!M23=TRUE,(Skills!K23/10)*(E629/1000),Skills!K23/10)+Skills!N23</f>
        <v/>
      </c>
      <c r="G629">
        <f>Calc!G23</f>
        <v/>
      </c>
      <c r="H629">
        <f>Calc!H23</f>
        <v/>
      </c>
      <c r="I629">
        <f>IF(Skills!T23&lt;&gt;"",1+(Skills!T23/10)*($Z$3/1000)/100,1)</f>
        <v/>
      </c>
      <c r="J629" t="inlineStr"/>
      <c r="K629" t="inlineStr"/>
      <c r="L629" t="inlineStr"/>
      <c r="M629" t="inlineStr"/>
      <c r="N629" t="inlineStr"/>
      <c r="O629" t="n">
        <v>0</v>
      </c>
      <c r="P629">
        <f>IF(B644=0,0,O629/B644)</f>
        <v/>
      </c>
      <c r="S629" t="n">
        <v>0</v>
      </c>
      <c r="V629">
        <f>IFERROR(1/IF(Inputs!$B$4="pvp",15,MAX(0.1,Skills!D23-IF(Skills!E23=TRUE,Inputs!$B$31,0))),0)</f>
        <v/>
      </c>
    </row>
    <row r="630">
      <c r="A630">
        <f>Skills!A24</f>
        <v/>
      </c>
      <c r="B630">
        <f>Skills!B24</f>
        <v/>
      </c>
      <c r="C630">
        <f>Inputs!$B$3&gt;=74</f>
        <v/>
      </c>
      <c r="D630">
        <f>IF(Skills!C24=1,60+Inputs!$B$24+Inputs!$B$28,IF(Skills!C24=2,90+Inputs!$B$25+Inputs!$B$28,IF(Skills!C24=3,120+Inputs!$B$26+Inputs!$B$28,MAX(0,(Inputs!$B$3-100)*3)+Inputs!$B$27+Inputs!$B$28)))</f>
        <v/>
      </c>
      <c r="E630">
        <f>INDEX(FactorTable!$B$2:$Y$301, MATCH(ROUND(MIN(300,MAX(1,D630)),0), FactorTable!$A$2:$A$301,0), Skills!L24+1)</f>
        <v/>
      </c>
      <c r="F630">
        <f>IF(Skills!M24=TRUE,(Skills!K24/10)*(E630/1000),Skills!K24/10)+Skills!N24</f>
        <v/>
      </c>
      <c r="G630">
        <f>Calc!G24</f>
        <v/>
      </c>
      <c r="H630">
        <f>Calc!H24</f>
        <v/>
      </c>
      <c r="I630">
        <f>IF(Skills!T24&lt;&gt;"",1+(Skills!T24/10)*($Z$3/1000)/100,1)</f>
        <v/>
      </c>
      <c r="J630" t="inlineStr"/>
      <c r="K630" t="inlineStr"/>
      <c r="L630" t="inlineStr"/>
      <c r="M630" t="inlineStr"/>
      <c r="N630" t="inlineStr"/>
      <c r="O630" t="n">
        <v>0</v>
      </c>
      <c r="P630">
        <f>IF(B644=0,0,O630/B644)</f>
        <v/>
      </c>
      <c r="S630" t="n">
        <v>0</v>
      </c>
      <c r="V630">
        <f>IFERROR(1/IF(Inputs!$B$4="pvp",15,MAX(0.1,Skills!D24-IF(Skills!E24=TRUE,Inputs!$B$31,0))),0)</f>
        <v/>
      </c>
    </row>
    <row r="631">
      <c r="A631">
        <f>Skills!A25</f>
        <v/>
      </c>
      <c r="B631">
        <f>Skills!B25</f>
        <v/>
      </c>
      <c r="C631">
        <f>Inputs!$B$3&gt;=117</f>
        <v/>
      </c>
      <c r="D631">
        <f>IF(Skills!C25=1,60+Inputs!$B$24+Inputs!$B$28,IF(Skills!C25=2,90+Inputs!$B$25+Inputs!$B$28,IF(Skills!C25=3,120+Inputs!$B$26+Inputs!$B$28,MAX(0,(Inputs!$B$3-100)*3)+Inputs!$B$27+Inputs!$B$28)))</f>
        <v/>
      </c>
      <c r="E631">
        <f>INDEX(FactorTable!$B$2:$Y$301, MATCH(ROUND(MIN(300,MAX(1,D631)),0), FactorTable!$A$2:$A$301,0), Skills!L25+1)</f>
        <v/>
      </c>
      <c r="F631">
        <f>IF(Skills!M25=TRUE,(Skills!K25/10)*(E631/1000),Skills!K25/10)+Skills!N25</f>
        <v/>
      </c>
      <c r="G631">
        <f>Calc!G25</f>
        <v/>
      </c>
      <c r="H631">
        <f>Calc!H25</f>
        <v/>
      </c>
      <c r="I631">
        <f>IF(Skills!T25&lt;&gt;"",1+(Skills!T25/10)*($Z$3/1000)/100,1)</f>
        <v/>
      </c>
      <c r="J631" t="inlineStr"/>
      <c r="K631" t="inlineStr"/>
      <c r="L631" t="inlineStr"/>
      <c r="M631" t="inlineStr"/>
      <c r="N631" t="inlineStr"/>
      <c r="O631" t="n">
        <v>0</v>
      </c>
      <c r="P631">
        <f>IF(B644=0,0,O631/B644)</f>
        <v/>
      </c>
      <c r="S631" t="n">
        <v>0</v>
      </c>
      <c r="V631">
        <f>IFERROR(1/IF(Inputs!$B$4="pvp",15,MAX(0.1,Skills!D25-IF(Skills!E25=TRUE,Inputs!$B$31,0))),0)</f>
        <v/>
      </c>
    </row>
    <row r="632">
      <c r="A632">
        <f>Skills!A26</f>
        <v/>
      </c>
      <c r="B632">
        <f>Skills!B26</f>
        <v/>
      </c>
      <c r="C632">
        <f>Inputs!$B$3&gt;=120</f>
        <v/>
      </c>
      <c r="D632">
        <f>IF(Skills!C26=1,60+Inputs!$B$24+Inputs!$B$28,IF(Skills!C26=2,90+Inputs!$B$25+Inputs!$B$28,IF(Skills!C26=3,120+Inputs!$B$26+Inputs!$B$28,MAX(0,(Inputs!$B$3-100)*3)+Inputs!$B$27+Inputs!$B$28)))</f>
        <v/>
      </c>
      <c r="E632">
        <f>INDEX(FactorTable!$B$2:$Y$301, MATCH(ROUND(MIN(300,MAX(1,D632)),0), FactorTable!$A$2:$A$301,0), Skills!L26+1)</f>
        <v/>
      </c>
      <c r="F632">
        <f>IF(Skills!M26=TRUE,(Skills!K26/10)*(E632/1000),Skills!K26/10)+Skills!N26</f>
        <v/>
      </c>
      <c r="G632">
        <f>Calc!G26</f>
        <v/>
      </c>
      <c r="H632">
        <f>Calc!H26</f>
        <v/>
      </c>
      <c r="I632">
        <f>IF(Skills!T26&lt;&gt;"",1+(Skills!T26/10)*($Z$3/1000)/100,1)</f>
        <v/>
      </c>
      <c r="J632" t="inlineStr"/>
      <c r="K632" t="inlineStr"/>
      <c r="L632" t="inlineStr"/>
      <c r="M632" t="inlineStr"/>
      <c r="N632" t="inlineStr"/>
      <c r="O632" t="n">
        <v>0</v>
      </c>
      <c r="P632">
        <f>IF(B644=0,0,O632/B644)</f>
        <v/>
      </c>
      <c r="S632" t="n">
        <v>0</v>
      </c>
      <c r="V632">
        <f>IFERROR(1/IF(Inputs!$B$4="pvp",15,MAX(0.1,Skills!D26-IF(Skills!E26=TRUE,Inputs!$B$31,0))),0)</f>
        <v/>
      </c>
    </row>
    <row r="634">
      <c r="A634" t="inlineStr">
        <is>
          <t>Average Buff Multiplier</t>
        </is>
      </c>
      <c r="B634">
        <f>(1+(IF(C609=TRUE,F609*IF(AND(Inputs!$B$4&lt;&gt;"pvp",Inputs!$B$35&gt;0),(((S609-1)*(Skills!S3*(1+(Inputs!$B$33+IF(Inputs!$B$3&gt;=117,F631,0))/100))+MIN((Skills!S3*(1+(Inputs!$B$33+IF(Inputs!$B$3&gt;=117,F631,0))/100)),MAX(0,Inputs!$B$35-((S609-1)*Skills!D3))))/Inputs!$B$35),IF(Inputs!$B$4="pvp",MIN((Skills!S3*(1+(Inputs!$B$33+IF(Inputs!$B$3&gt;=117,F631,0))/100)),15)/15,(Skills!S3*(1+(Inputs!$B$33+IF(Inputs!$B$3&gt;=117,F631,0))/100))/Skills!D3)),0)+IF(C610=TRUE,F610*IF(AND(Inputs!$B$4&lt;&gt;"pvp",Inputs!$B$35&gt;0),(((S610-1)*(Skills!S4*(1+(Inputs!$B$33+IF(Inputs!$B$3&gt;=117,F631,0))/100))+MIN((Skills!S4*(1+(Inputs!$B$33+IF(Inputs!$B$3&gt;=117,F631,0))/100)),MAX(0,Inputs!$B$35-((S610-1)*Skills!D4))))/Inputs!$B$35),IF(Inputs!$B$4="pvp",MIN((Skills!S4*(1+(Inputs!$B$33+IF(Inputs!$B$3&gt;=117,F631,0))/100)),15)/15,(Skills!S4*(1+(Inputs!$B$33+IF(Inputs!$B$3&gt;=117,F631,0))/100))/Skills!D4)),0)+IF(C611=TRUE,F611*IF(AND(Inputs!$B$4&lt;&gt;"pvp",Inputs!$B$35&gt;0),(((S611-1)*(Skills!S5*(1+(Inputs!$B$33+IF(Inputs!$B$3&gt;=117,F631,0))/100))+MIN((Skills!S5*(1+(Inputs!$B$33+IF(Inputs!$B$3&gt;=117,F631,0))/100)),MAX(0,Inputs!$B$35-((S611-1)*Skills!D5))))/Inputs!$B$35),IF(Inputs!$B$4="pvp",MIN((Skills!S5*(1+(Inputs!$B$33+IF(Inputs!$B$3&gt;=117,F631,0))/100)),15)/15,(Skills!S5*(1+(Inputs!$B$33+IF(Inputs!$B$3&gt;=117,F631,0))/100))/Skills!D5)),0)+IF(C617=TRUE,F617*IF(AND(Inputs!$B$4&lt;&gt;"pvp",Inputs!$B$35&gt;0),(((S617-1)*(Skills!S11*(1+(Inputs!$B$33+IF(Inputs!$B$3&gt;=117,F631,0))/100))+MIN((Skills!S11*(1+(Inputs!$B$33+IF(Inputs!$B$3&gt;=117,F631,0))/100)),MAX(0,Inputs!$B$35-((S617-1)*Skills!D11))))/Inputs!$B$35),IF(Inputs!$B$4="pvp",MIN((Skills!S11*(1+(Inputs!$B$33+IF(Inputs!$B$3&gt;=117,F631,0))/100)),15)/15,(Skills!S11*(1+(Inputs!$B$33+IF(Inputs!$B$3&gt;=117,F631,0))/100))/Skills!D11)),0))/100)*IF(C619=TRUE,(1+F619*IF(AND(Inputs!$B$4&lt;&gt;"pvp",Inputs!$B$35&gt;0),(((S619-1)*(Skills!S13*(1+(Inputs!$B$33+IF(Inputs!$B$3&gt;=117,F631,0))/100))+MIN((Skills!S13*(1+(Inputs!$B$33+IF(Inputs!$B$3&gt;=117,F631,0))/100)),MAX(0,Inputs!$B$35-((S619-1)*Skills!D13))))/Inputs!$B$35),IF(Inputs!$B$4="pvp",MIN((Skills!S13*(1+(Inputs!$B$33+IF(Inputs!$B$3&gt;=117,F631,0))/100)),15)/15,(Skills!S13*(1+(Inputs!$B$33+IF(Inputs!$B$3&gt;=117,F631,0))/100))/Skills!D13))/100),1)*IF(C624=TRUE,(1+F624*IF(AND(Inputs!$B$4&lt;&gt;"pvp",Inputs!$B$35&gt;0),(((S624-1)*(Skills!S18*(1+(Inputs!$B$33+IF(Inputs!$B$3&gt;=117,F631,0))/100))+MIN((Skills!S18*(1+(Inputs!$B$33+IF(Inputs!$B$3&gt;=117,F631,0))/100)),MAX(0,Inputs!$B$35-((S624-1)*Skills!D18))))/Inputs!$B$35),IF(Inputs!$B$4="pvp",MIN((Skills!S18*(1+(Inputs!$B$33+IF(Inputs!$B$3&gt;=117,F631,0))/100)),15)/15,(Skills!S18*(1+(Inputs!$B$33+IF(Inputs!$B$3&gt;=117,F631,0))/100))/Skills!D18))/100),1)</f>
        <v/>
      </c>
    </row>
    <row r="635">
      <c r="A635" t="inlineStr">
        <is>
          <t>Monster Damage Taken Bonus % (Holy Fountain)</t>
        </is>
      </c>
      <c r="B635">
        <f>IF(Inputs!$B$3&gt;=68,20*IF(Inputs!$B$4="pvp",MIN((15*(1+(Inputs!$B$33+IF(Inputs!$B$3&gt;=117,F631,0))/100)),15)/15,(15*(1+(Inputs!$B$33+IF(Inputs!$B$3&gt;=117,F631,0))/100))/Skills!D10),0)</f>
        <v/>
      </c>
    </row>
    <row r="636">
      <c r="A636" t="inlineStr">
        <is>
          <t>Normal Monster Damage Bonus % (Holy Symbol)</t>
        </is>
      </c>
      <c r="B636">
        <f>IF(C618=TRUE,F618*IF(AND(Inputs!$B$4&lt;&gt;"pvp",Inputs!$B$35&gt;0),(((S618-1)*(Skills!S12*(1+(Inputs!$B$33+IF(Inputs!$B$3&gt;=117,F631,0))/100))+MIN((Skills!S12*(1+(Inputs!$B$33+IF(Inputs!$B$3&gt;=117,F631,0))/100)),MAX(0,Inputs!$B$35-((S618-1)*Skills!D12))))/Inputs!$B$35),IF(Inputs!$B$4="pvp",MIN((Skills!S12*(1+(Inputs!$B$33+IF(Inputs!$B$3&gt;=117,F631,0))/100)),15)/15,(Skills!S12*(1+(Inputs!$B$33+IF(Inputs!$B$3&gt;=117,F631,0))/100))/Skills!D12)),0)</f>
        <v/>
      </c>
    </row>
    <row r="637">
      <c r="A637" t="inlineStr">
        <is>
          <t>Damage % Bonus (Holy Symbol - Damage Boost)</t>
        </is>
      </c>
      <c r="B637">
        <f>Skills!O12</f>
        <v/>
      </c>
    </row>
    <row r="638">
      <c r="A638" t="inlineStr">
        <is>
          <t>Crit Damage % Bonus (Blood of the Divine)</t>
        </is>
      </c>
      <c r="B638">
        <f>4*IF(C625=TRUE,F625,0)</f>
        <v/>
      </c>
    </row>
    <row r="639">
      <c r="A639" t="inlineStr">
        <is>
          <t>Attack Speed Bonus %</t>
        </is>
      </c>
      <c r="B639">
        <f>IF(C622=TRUE,F622+(F626-Calc!F20),0)+IF(Inputs!$B$3&gt;=134,15,0)</f>
        <v/>
      </c>
    </row>
    <row r="640">
      <c r="A640" t="inlineStr">
        <is>
          <t>Actions Per Second</t>
        </is>
      </c>
      <c r="B640">
        <f>1+MIN(150,150*(1-(1-Inputs!$B$10/150)*(1-B639/150)))/100</f>
        <v/>
      </c>
    </row>
    <row r="641">
      <c r="A641" t="inlineStr">
        <is>
          <t>Skill + Buff Cast Rate</t>
        </is>
      </c>
      <c r="B641">
        <f>IF(AND(Inputs!$B$4&lt;&gt;"pvp",Inputs!$B$35&gt;0),SUMPRODUCT((Skills!E2:E26=TRUE)*(C608:C632=TRUE)*S608:S632)/Inputs!$B$35,SUMPRODUCT((Skills!E2:E26=TRUE)*(C608:C632=TRUE)*V608:V632))</f>
        <v/>
      </c>
    </row>
    <row r="642">
      <c r="A642" t="inlineStr">
        <is>
          <t>Big Bang Casts Per Second</t>
        </is>
      </c>
      <c r="B642">
        <f>MAX(0,B640-B641)</f>
        <v/>
      </c>
    </row>
    <row r="644">
      <c r="A644" s="5" t="inlineStr">
        <is>
          <t>TOTAL DPS</t>
        </is>
      </c>
      <c r="B644" s="5">
        <f>SUM(O608:O632)</f>
        <v/>
      </c>
    </row>
    <row r="647">
      <c r="A647" s="5" t="inlineStr">
        <is>
          <t>Stat: Skill Level Bonus — 1st Job</t>
        </is>
      </c>
    </row>
    <row r="648">
      <c r="A648" s="8" t="inlineStr">
        <is>
          <t>Key</t>
        </is>
      </c>
      <c r="B648" s="8" t="inlineStr">
        <is>
          <t>Name</t>
        </is>
      </c>
      <c r="C648" s="8" t="inlineStr">
        <is>
          <t>Unlocked</t>
        </is>
      </c>
      <c r="D648" s="8" t="inlineStr">
        <is>
          <t>InputLevel</t>
        </is>
      </c>
      <c r="E648" s="8" t="inlineStr">
        <is>
          <t>Factor</t>
        </is>
      </c>
      <c r="F648" s="8" t="inlineStr">
        <is>
          <t>CoefficientPercent</t>
        </is>
      </c>
      <c r="G648" s="8" t="inlineStr">
        <is>
          <t>EffectiveHits</t>
        </is>
      </c>
      <c r="H648" s="8" t="inlineStr">
        <is>
          <t>ProcProbability</t>
        </is>
      </c>
      <c r="I648" s="8" t="inlineStr">
        <is>
          <t>MapleHeroMultiplier</t>
        </is>
      </c>
      <c r="J648" s="8" t="inlineStr">
        <is>
          <t>BaseDamage</t>
        </is>
      </c>
      <c r="K648" s="8" t="inlineStr">
        <is>
          <t>BaseHitDamage</t>
        </is>
      </c>
      <c r="L648" s="8" t="inlineStr">
        <is>
          <t>NonCritAvg</t>
        </is>
      </c>
      <c r="M648" s="8" t="inlineStr">
        <is>
          <t>CritAvg</t>
        </is>
      </c>
      <c r="N648" s="8" t="inlineStr">
        <is>
          <t>ExpectedDamage(perHit)</t>
        </is>
      </c>
      <c r="O648" s="8" t="inlineStr">
        <is>
          <t>DPS</t>
        </is>
      </c>
      <c r="P648" s="8" t="inlineStr">
        <is>
          <t>% of Total</t>
        </is>
      </c>
      <c r="R648" t="inlineStr">
        <is>
          <t>helpers</t>
        </is>
      </c>
    </row>
    <row r="649">
      <c r="A649">
        <f>Skills!A2</f>
        <v/>
      </c>
      <c r="B649">
        <f>Skills!B2</f>
        <v/>
      </c>
      <c r="C649">
        <f>Inputs!$B$3&gt;=100</f>
        <v/>
      </c>
      <c r="D649" t="inlineStr"/>
      <c r="E649" t="inlineStr"/>
      <c r="F649">
        <f>T651+Skills!N2</f>
        <v/>
      </c>
      <c r="G649">
        <f>Calc!G2</f>
        <v/>
      </c>
      <c r="H649">
        <f>Calc!H2</f>
        <v/>
      </c>
      <c r="I649">
        <f>IF(Skills!T2&lt;&gt;"",1+(Skills!T2/10)*($Z$3/1000)/100,1)</f>
        <v/>
      </c>
      <c r="J649">
        <f>((Inputs!$B$5*(1+Inputs!$B$6/100))+((Inputs!$B$11*(1+Inputs!$B$12/100))-(Inputs!$B$11*(1+Inputs!$B$12/100)))*(1+Inputs!$B$6/100))*(F649/100)</f>
        <v/>
      </c>
      <c r="K649">
        <f>J649*(1+((Inputs!$B$11*(1+Inputs!$B$12/100))*0.01+Inputs!$B$13*0.0025)/100)*(1+(Inputs!$B$14+B678)/100)*(1+IF(Inputs!$B$4="pvp",0,(1-Summary!$B$48)*(Inputs!$B$19+Skills!O2+B676)+Summary!$B$48*(Inputs!$B$20+Skills!P2+B677))/100)*(1+Inputs!$B$15/100)*(5000/(6000+Inputs!$B$7*(1-Inputs!$B$18/100)))*(1+Inputs!$B$23/100)*(1+IF(C664=TRUE,F664,0)/100)*(1+IF(C666=TRUE,F666,0)/100)*(1+IF(Skills!A2="TRIUMPH_FEATHER",IF(C662=TRUE,F662,0),0)/100)*(1+IF(C673=TRUE,F673,0)/100)^5*(1+(IF(Skills!A2="BIG_BANG",Inputs!$B$16,Inputs!$B$17))/100)*(B675*I649)</f>
        <v/>
      </c>
      <c r="L649">
        <f>K649*(MIN(Inputs!$B$21+(F668-Calc!F21),Inputs!$B$22)/100+Inputs!$B$22/100)/2</f>
        <v/>
      </c>
      <c r="M649">
        <f>L649*(1+(Inputs!$B$9+B679+(F671-Calc!F24))/100)</f>
        <v/>
      </c>
      <c r="N649">
        <f>L649*(1-MIN(Inputs!$B$8+((F670-Calc!F23)+(F669-Calc!F22)),100)/100)+M649*(MIN(Inputs!$B$8+((F670-Calc!F23)+(F669-Calc!F22)),100)/100)</f>
        <v/>
      </c>
      <c r="O649">
        <f>IF(C649,Skills!F2*N649*B683*IF(Inputs!$B$4="pvp",1,(1-Summary!$B$48)*(1)+Summary!$B$48*(MIN((6+Inputs!$B$32),Inputs!$B$37))),0)</f>
        <v/>
      </c>
      <c r="P649">
        <f>IF(B685=0,0,O649/B685)</f>
        <v/>
      </c>
      <c r="S649" t="n">
        <v>0</v>
      </c>
      <c r="T649">
        <f>MAX(0,(Inputs!$B$3-100)*3)+Inputs!$B$27+Inputs!$B$28</f>
        <v/>
      </c>
      <c r="V649">
        <f>IFERROR(1/IF(Inputs!$B$4="pvp",15,MAX(0.1,Skills!D2-IF(Skills!E2=TRUE,Inputs!$B$31,0))),0)</f>
        <v/>
      </c>
    </row>
    <row r="650">
      <c r="A650">
        <f>Skills!A3</f>
        <v/>
      </c>
      <c r="B650">
        <f>Skills!B3</f>
        <v/>
      </c>
      <c r="C650">
        <f>Inputs!$B$3&gt;=15</f>
        <v/>
      </c>
      <c r="D650">
        <f>IF(Skills!C3=1,60+(Inputs!$B$24+1)+Inputs!$B$28,IF(Skills!C3=2,90+Inputs!$B$25+Inputs!$B$28,IF(Skills!C3=3,120+Inputs!$B$26+Inputs!$B$28,MAX(0,(Inputs!$B$3-100)*3)+Inputs!$B$27+Inputs!$B$28)))</f>
        <v/>
      </c>
      <c r="E650">
        <f>INDEX(FactorTable!$B$2:$Y$301, MATCH(ROUND(MIN(300,MAX(1,D650)),0), FactorTable!$A$2:$A$301,0), Skills!L3+1)</f>
        <v/>
      </c>
      <c r="F650">
        <f>IF(Skills!M3=TRUE,(Skills!K3/10)*(E650/1000),Skills!K3/10)+Skills!N3</f>
        <v/>
      </c>
      <c r="G650">
        <f>Calc!G3</f>
        <v/>
      </c>
      <c r="H650">
        <f>Calc!H3</f>
        <v/>
      </c>
      <c r="I650">
        <f>IF(Skills!T3&lt;&gt;"",1+(Skills!T3/10)*($Z$3/1000)/100,1)</f>
        <v/>
      </c>
      <c r="J650" t="inlineStr"/>
      <c r="K650" t="inlineStr"/>
      <c r="L650" t="inlineStr"/>
      <c r="M650" t="inlineStr"/>
      <c r="N650" t="inlineStr"/>
      <c r="O650" t="n">
        <v>0</v>
      </c>
      <c r="P650">
        <f>IF(B685=0,0,O650/B685)</f>
        <v/>
      </c>
      <c r="S650">
        <f>IF(AND(Inputs!$B$4&lt;&gt;"pvp",Inputs!$B$35&gt;0),(INT(Inputs!$B$35/IF(Inputs!$B$4="pvp",15,MAX(0.1,Skills!D3-IF(Skills!E3=TRUE,Inputs!$B$31,0))))+1),0)</f>
        <v/>
      </c>
      <c r="T650">
        <f>INDEX(FactorTable!$B$2:$Y$301, MATCH(ROUND(MIN(300,MAX(1,T649)),0), FactorTable!$A$2:$A$301,0), 22)</f>
        <v/>
      </c>
      <c r="V650">
        <f>IFERROR(1/IF(Inputs!$B$4="pvp",15,MAX(0.1,Skills!D3-IF(Skills!E3=TRUE,Inputs!$B$31,0))),0)</f>
        <v/>
      </c>
    </row>
    <row r="651">
      <c r="A651">
        <f>Skills!A4</f>
        <v/>
      </c>
      <c r="B651">
        <f>Skills!B4</f>
        <v/>
      </c>
      <c r="C651">
        <f>Inputs!$B$3&gt;=38</f>
        <v/>
      </c>
      <c r="D651">
        <f>IF(Skills!C4=1,60+(Inputs!$B$24+1)+Inputs!$B$28,IF(Skills!C4=2,90+Inputs!$B$25+Inputs!$B$28,IF(Skills!C4=3,120+Inputs!$B$26+Inputs!$B$28,MAX(0,(Inputs!$B$3-100)*3)+Inputs!$B$27+Inputs!$B$28)))</f>
        <v/>
      </c>
      <c r="E651">
        <f>INDEX(FactorTable!$B$2:$Y$301, MATCH(ROUND(MIN(300,MAX(1,D651)),0), FactorTable!$A$2:$A$301,0), Skills!L4+1)</f>
        <v/>
      </c>
      <c r="F651">
        <f>IF(Skills!M4=TRUE,(Skills!K4/10)*(E651/1000),Skills!K4/10)+Skills!N4</f>
        <v/>
      </c>
      <c r="G651">
        <f>Calc!G4</f>
        <v/>
      </c>
      <c r="H651">
        <f>Calc!H4</f>
        <v/>
      </c>
      <c r="I651">
        <f>IF(Skills!T4&lt;&gt;"",1+(Skills!T4/10)*($Z$3/1000)/100,1)</f>
        <v/>
      </c>
      <c r="J651" t="inlineStr"/>
      <c r="K651" t="inlineStr"/>
      <c r="L651" t="inlineStr"/>
      <c r="M651" t="inlineStr"/>
      <c r="N651" t="inlineStr"/>
      <c r="O651" t="n">
        <v>0</v>
      </c>
      <c r="P651">
        <f>IF(B685=0,0,O651/B685)</f>
        <v/>
      </c>
      <c r="S651">
        <f>IF(AND(Inputs!$B$4&lt;&gt;"pvp",Inputs!$B$35&gt;0),(INT(Inputs!$B$35/IF(Inputs!$B$4="pvp",15,MAX(0.1,Skills!D4-IF(Skills!E4=TRUE,Inputs!$B$31,0))))+1),0)</f>
        <v/>
      </c>
      <c r="T651">
        <f>290*T650/1000</f>
        <v/>
      </c>
      <c r="V651">
        <f>IFERROR(1/IF(Inputs!$B$4="pvp",15,MAX(0.1,Skills!D4-IF(Skills!E4=TRUE,Inputs!$B$31,0))),0)</f>
        <v/>
      </c>
    </row>
    <row r="652">
      <c r="A652">
        <f>Skills!A5</f>
        <v/>
      </c>
      <c r="B652">
        <f>Skills!B5</f>
        <v/>
      </c>
      <c r="C652">
        <f>Inputs!$B$3&gt;=40</f>
        <v/>
      </c>
      <c r="D652">
        <f>IF(Skills!C5=1,60+(Inputs!$B$24+1)+Inputs!$B$28,IF(Skills!C5=2,90+Inputs!$B$25+Inputs!$B$28,IF(Skills!C5=3,120+Inputs!$B$26+Inputs!$B$28,MAX(0,(Inputs!$B$3-100)*3)+Inputs!$B$27+Inputs!$B$28)))</f>
        <v/>
      </c>
      <c r="E652">
        <f>INDEX(FactorTable!$B$2:$Y$301, MATCH(ROUND(MIN(300,MAX(1,D652)),0), FactorTable!$A$2:$A$301,0), Skills!L5+1)</f>
        <v/>
      </c>
      <c r="F652">
        <f>IF(Skills!M5=TRUE,(Skills!K5/10)*(E652/1000),Skills!K5/10)+Skills!N5</f>
        <v/>
      </c>
      <c r="G652">
        <f>Calc!G5</f>
        <v/>
      </c>
      <c r="H652">
        <f>Calc!H5</f>
        <v/>
      </c>
      <c r="I652">
        <f>IF(Skills!T5&lt;&gt;"",1+(Skills!T5/10)*($Z$3/1000)/100,1)</f>
        <v/>
      </c>
      <c r="J652" t="inlineStr"/>
      <c r="K652" t="inlineStr"/>
      <c r="L652" t="inlineStr"/>
      <c r="M652" t="inlineStr"/>
      <c r="N652" t="inlineStr"/>
      <c r="O652" t="n">
        <v>0</v>
      </c>
      <c r="P652">
        <f>IF(B685=0,0,O652/B685)</f>
        <v/>
      </c>
      <c r="S652">
        <f>IF(AND(Inputs!$B$4&lt;&gt;"pvp",Inputs!$B$35&gt;0),(INT(Inputs!$B$35/IF(Inputs!$B$4="pvp",15,MAX(0.1,Skills!D5-IF(Skills!E5=TRUE,Inputs!$B$31,0))))+1),0)</f>
        <v/>
      </c>
      <c r="V652">
        <f>IFERROR(1/IF(Inputs!$B$4="pvp",15,MAX(0.1,Skills!D5-IF(Skills!E5=TRUE,Inputs!$B$31,0))),0)</f>
        <v/>
      </c>
    </row>
    <row r="653">
      <c r="A653">
        <f>Skills!A6</f>
        <v/>
      </c>
      <c r="B653">
        <f>Skills!B6</f>
        <v/>
      </c>
      <c r="C653">
        <f>Inputs!$B$3&gt;=103</f>
        <v/>
      </c>
      <c r="D653">
        <f>IF(Skills!C6=1,60+(Inputs!$B$24+1)+Inputs!$B$28,IF(Skills!C6=2,90+Inputs!$B$25+Inputs!$B$28,IF(Skills!C6=3,120+Inputs!$B$26+Inputs!$B$28,MAX(0,(Inputs!$B$3-100)*3)+Inputs!$B$27+Inputs!$B$28)))</f>
        <v/>
      </c>
      <c r="E653">
        <f>INDEX(FactorTable!$B$2:$Y$301, MATCH(ROUND(MIN(300,MAX(1,D653)),0), FactorTable!$A$2:$A$301,0), Skills!L6+1)</f>
        <v/>
      </c>
      <c r="F653">
        <f>IF(Skills!M6=TRUE,(Skills!K6/10)*(E653/1000),Skills!K6/10)+Skills!N6</f>
        <v/>
      </c>
      <c r="G653">
        <f>Calc!G6</f>
        <v/>
      </c>
      <c r="H653">
        <f>Calc!H6</f>
        <v/>
      </c>
      <c r="I653">
        <f>IF(Skills!T6&lt;&gt;"",1+(Skills!T6/10)*($Z$3/1000)/100,1)</f>
        <v/>
      </c>
      <c r="J653">
        <f>((Inputs!$B$5*(1+Inputs!$B$6/100))+((Inputs!$B$11*(1+Inputs!$B$12/100))-(Inputs!$B$11*(1+Inputs!$B$12/100)))*(1+Inputs!$B$6/100))*(F653/100)</f>
        <v/>
      </c>
      <c r="K653">
        <f>J653*(1+((Inputs!$B$11*(1+Inputs!$B$12/100))*0.01+Inputs!$B$13*0.0025)/100)*(1+(Inputs!$B$14+B678)/100)*(1+IF(Inputs!$B$4="pvp",0,(1-Summary!$B$48)*(Inputs!$B$19+Skills!O6+B676)+Summary!$B$48*(Inputs!$B$20+Skills!P6+B677))/100)*(1+Inputs!$B$15/100)*(5000/(6000+Inputs!$B$7*(1-Inputs!$B$18/100)))*(1+Inputs!$B$23/100)*(1+IF(C664=TRUE,F664,0)/100)*(1+IF(C666=TRUE,F666,0)/100)*(1+IF(Skills!A6="TRIUMPH_FEATHER",IF(C662=TRUE,F662,0),0)/100)*(1+IF(C673=TRUE,F673,0)/100)^5*(1+(IF(Skills!A6="BIG_BANG",Inputs!$B$16,Inputs!$B$17))/100)*(B675*I653)</f>
        <v/>
      </c>
      <c r="L653">
        <f>K653*(MIN(Inputs!$B$21+(F668-Calc!F21),Inputs!$B$22)/100+Inputs!$B$22/100)/2</f>
        <v/>
      </c>
      <c r="M653">
        <f>L653*(1+(Inputs!$B$9+B679+(F671-Calc!F24))/100)</f>
        <v/>
      </c>
      <c r="N653">
        <f>L653*(1-MIN(Inputs!$B$8+((F670-Calc!F23)+(F669-Calc!F22)),100)/100)+M653*(MIN(Inputs!$B$8+((F670-Calc!F23)+(F669-Calc!F22)),100)/100)</f>
        <v/>
      </c>
      <c r="O653">
        <f>IF(C653,H653*N653*IF(AND(Inputs!$B$4&lt;&gt;"pvp",Inputs!$B$35&gt;0),((Skills!F6*((S653-1)*IF(Skills!G6&gt;0,Skills!H6/Skills!G6,1)+IF(Skills!G6&gt;0,MIN(Skills!H6,MAX(0,Inputs!$B$35-((S653-1)*IF(Inputs!$B$4="pvp",15,MAX(0.1,Skills!D6-IF(Skills!E6=TRUE,Inputs!$B$31,0))))))/Skills!G6,1)))/Inputs!$B$35),G653*V653)*IF(Inputs!$B$4="pvp",1,(1-Summary!$B$48)*(1)+Summary!$B$48*(MIN(Skills!Q6,Inputs!$B$37))),0)</f>
        <v/>
      </c>
      <c r="P653">
        <f>IF(B685=0,0,O653/B685)</f>
        <v/>
      </c>
      <c r="S653">
        <f>IF(AND(Inputs!$B$4&lt;&gt;"pvp",Inputs!$B$35&gt;0),(INT(Inputs!$B$35/IF(Inputs!$B$4="pvp",15,MAX(0.1,Skills!D6-IF(Skills!E6=TRUE,Inputs!$B$31,0))))+1),0)</f>
        <v/>
      </c>
      <c r="V653">
        <f>IFERROR(1/IF(Inputs!$B$4="pvp",15,MAX(0.1,Skills!D6-IF(Skills!E6=TRUE,Inputs!$B$31,0))),0)</f>
        <v/>
      </c>
    </row>
    <row r="654">
      <c r="A654">
        <f>Skills!A7</f>
        <v/>
      </c>
      <c r="B654">
        <f>Skills!B7</f>
        <v/>
      </c>
      <c r="C654">
        <f>Inputs!$B$3&gt;=122</f>
        <v/>
      </c>
      <c r="D654">
        <f>IF(Skills!C7=1,60+(Inputs!$B$24+1)+Inputs!$B$28,IF(Skills!C7=2,90+Inputs!$B$25+Inputs!$B$28,IF(Skills!C7=3,120+Inputs!$B$26+Inputs!$B$28,MAX(0,(Inputs!$B$3-100)*3)+Inputs!$B$27+Inputs!$B$28)))</f>
        <v/>
      </c>
      <c r="E654">
        <f>INDEX(FactorTable!$B$2:$Y$301, MATCH(ROUND(MIN(300,MAX(1,D654)),0), FactorTable!$A$2:$A$301,0), Skills!L7+1)</f>
        <v/>
      </c>
      <c r="F654">
        <f>IF(Skills!M7=TRUE,(Skills!K7/10)*(E654/1000),Skills!K7/10)+Skills!N7</f>
        <v/>
      </c>
      <c r="G654">
        <f>Calc!G7</f>
        <v/>
      </c>
      <c r="H654">
        <f>Calc!H7</f>
        <v/>
      </c>
      <c r="I654">
        <f>IF(Skills!T7&lt;&gt;"",1+(Skills!T7/10)*($Z$3/1000)/100,1)</f>
        <v/>
      </c>
      <c r="J654">
        <f>((Inputs!$B$5*(1+Inputs!$B$6/100))+((Inputs!$B$11*(1+Inputs!$B$12/100))-(Inputs!$B$11*(1+Inputs!$B$12/100)))*(1+Inputs!$B$6/100))*(F654/100)</f>
        <v/>
      </c>
      <c r="K654">
        <f>J654*(1+((Inputs!$B$11*(1+Inputs!$B$12/100))*0.01+Inputs!$B$13*0.0025)/100)*(1+(Inputs!$B$14+B678)/100)*(1+IF(Inputs!$B$4="pvp",0,(1-Summary!$B$48)*(Inputs!$B$19+Skills!O7+B676)+Summary!$B$48*(Inputs!$B$20+Skills!P7+B677))/100)*(1+Inputs!$B$15/100)*(5000/(6000+Inputs!$B$7*(1-Inputs!$B$18/100)))*(1+Inputs!$B$23/100)*(1+IF(C664=TRUE,F664,0)/100)*(1+IF(C666=TRUE,F666,0)/100)*(1+IF(Skills!A7="TRIUMPH_FEATHER",IF(C662=TRUE,F662,0),0)/100)*(1+IF(C673=TRUE,F673,0)/100)^5*(1+(IF(Skills!A7="BIG_BANG",Inputs!$B$16,Inputs!$B$17))/100)*(B675*I654)</f>
        <v/>
      </c>
      <c r="L654">
        <f>K654*(MIN(Inputs!$B$21+(F668-Calc!F21),Inputs!$B$22)/100+Inputs!$B$22/100)/2</f>
        <v/>
      </c>
      <c r="M654">
        <f>L654*(1+(Inputs!$B$9+B679+(F671-Calc!F24))/100)</f>
        <v/>
      </c>
      <c r="N654">
        <f>L654*(1-MIN(Inputs!$B$8+((F670-Calc!F23)+(F669-Calc!F22)),100)/100)+M654*(MIN(Inputs!$B$8+((F670-Calc!F23)+(F669-Calc!F22)),100)/100)</f>
        <v/>
      </c>
      <c r="O654">
        <f>IF(C654,H654*N654*IF(AND(Inputs!$B$4&lt;&gt;"pvp",Inputs!$B$35&gt;0),((Skills!F7*((S654-1)*IF(Skills!G7&gt;0,Skills!H7/Skills!G7,1)+IF(Skills!G7&gt;0,MIN(Skills!H7,MAX(0,Inputs!$B$35-((S654-1)*IF(Inputs!$B$4="pvp",15,MAX(0.1,Skills!D7-IF(Skills!E6=TRUE,Inputs!$B$31,0))))))/Skills!G7,1)))/Inputs!$B$35),G654*V654)*(1-Summary!$B$48),0)</f>
        <v/>
      </c>
      <c r="P654">
        <f>IF(B685=0,0,O654/B685)</f>
        <v/>
      </c>
      <c r="S654">
        <f>IF(AND(Inputs!$B$4&lt;&gt;"pvp",Inputs!$B$35&gt;0),(INT(Inputs!$B$35/IF(Inputs!$B$4="pvp",15,MAX(0.1,Skills!D7-IF(Skills!E6=TRUE,Inputs!$B$31,0))))+1),0)</f>
        <v/>
      </c>
      <c r="V654">
        <f>IFERROR(1/IF(Inputs!$B$4="pvp",15,MAX(0.1,Skills!D7-IF(Skills!E6=TRUE,Inputs!$B$31,0))),0)</f>
        <v/>
      </c>
    </row>
    <row r="655">
      <c r="A655">
        <f>Skills!A8</f>
        <v/>
      </c>
      <c r="B655">
        <f>Skills!B8</f>
        <v/>
      </c>
      <c r="C655">
        <f>Inputs!$B$3&gt;=105</f>
        <v/>
      </c>
      <c r="D655">
        <f>IF(Skills!C8=1,60+(Inputs!$B$24+1)+Inputs!$B$28,IF(Skills!C8=2,90+Inputs!$B$25+Inputs!$B$28,IF(Skills!C8=3,120+Inputs!$B$26+Inputs!$B$28,MAX(0,(Inputs!$B$3-100)*3)+Inputs!$B$27+Inputs!$B$28)))</f>
        <v/>
      </c>
      <c r="E655">
        <f>INDEX(FactorTable!$B$2:$Y$301, MATCH(ROUND(MIN(300,MAX(1,D655)),0), FactorTable!$A$2:$A$301,0), Skills!L8+1)</f>
        <v/>
      </c>
      <c r="F655">
        <f>IF(Skills!M8=TRUE,(Skills!K8/10)*(E655/1000),Skills!K8/10)+Skills!N8</f>
        <v/>
      </c>
      <c r="G655">
        <f>Calc!G8</f>
        <v/>
      </c>
      <c r="H655">
        <f>Calc!H8</f>
        <v/>
      </c>
      <c r="I655">
        <f>IF(Skills!T8&lt;&gt;"",1+(Skills!T8/10)*($Z$3/1000)/100,1)</f>
        <v/>
      </c>
      <c r="J655">
        <f>((Inputs!$B$5*(1+Inputs!$B$6/100))+((Inputs!$B$11*(1+Inputs!$B$12/100))-(Inputs!$B$11*(1+Inputs!$B$12/100)))*(1+Inputs!$B$6/100))*(F655/100)</f>
        <v/>
      </c>
      <c r="K655">
        <f>J655*(1+((Inputs!$B$11*(1+Inputs!$B$12/100))*0.01+Inputs!$B$13*0.0025)/100)*(1+(Inputs!$B$14+B678)/100)*(1+IF(Inputs!$B$4="pvp",0,(1-Summary!$B$48)*(Inputs!$B$19+Skills!O8+B676)+Summary!$B$48*(Inputs!$B$20+Skills!P8+B677))/100)*(1+Inputs!$B$15/100)*(5000/(6000+Inputs!$B$7*(1-Inputs!$B$18/100)))*(1+Inputs!$B$23/100)*(1+IF(C664=TRUE,F664,0)/100)*(1+IF(C666=TRUE,F666,0)/100)*(1+IF(Skills!A8="TRIUMPH_FEATHER",IF(C662=TRUE,F662,0),0)/100)*(1+IF(C673=TRUE,F673,0)/100)^5*(1+(IF(Skills!A8="BIG_BANG",Inputs!$B$16,Inputs!$B$17))/100)*(B675*I655)</f>
        <v/>
      </c>
      <c r="L655">
        <f>K655*(MIN(Inputs!$B$21+(F668-Calc!F21),Inputs!$B$22)/100+Inputs!$B$22/100)/2</f>
        <v/>
      </c>
      <c r="M655">
        <f>L655*(1+(Inputs!$B$9+B679+(F671-Calc!F24))/100)</f>
        <v/>
      </c>
      <c r="N655">
        <f>L655*(1-MIN(Inputs!$B$8+((F670-Calc!F23)+(F669-Calc!F22)),100)/100)+M655*(MIN(Inputs!$B$8+((F670-Calc!F23)+(F669-Calc!F22)),100)/100)</f>
        <v/>
      </c>
      <c r="O655">
        <f>IF(C655,H655*N655*IF(AND(Inputs!$B$4&lt;&gt;"pvp",Inputs!$B$35&gt;0),((Skills!F8*((S655-1)*IF(Skills!G8&gt;0,Skills!H8/Skills!G8,1)+IF(Skills!G8&gt;0,MIN(Skills!H8,MAX(0,Inputs!$B$35-((S655-1)*IF(Inputs!$B$4="pvp",15,MAX(0.1,Skills!D8-IF(Skills!E8=TRUE,Inputs!$B$31,0))))))/Skills!G8,1)))/Inputs!$B$35),G655*V655)*IF(Inputs!$B$4="pvp",1,(1-Summary!$B$48)*(1)+Summary!$B$48*(MIN(Skills!Q8,Inputs!$B$37))),0)</f>
        <v/>
      </c>
      <c r="P655">
        <f>IF(B685=0,0,O655/B685)</f>
        <v/>
      </c>
      <c r="S655">
        <f>IF(AND(Inputs!$B$4&lt;&gt;"pvp",Inputs!$B$35&gt;0),(INT(Inputs!$B$35/IF(Inputs!$B$4="pvp",15,MAX(0.1,Skills!D8-IF(Skills!E8=TRUE,Inputs!$B$31,0))))+1),0)</f>
        <v/>
      </c>
      <c r="V655">
        <f>IFERROR(1/IF(Inputs!$B$4="pvp",15,MAX(0.1,Skills!D8-IF(Skills!E8=TRUE,Inputs!$B$31,0))),0)</f>
        <v/>
      </c>
    </row>
    <row r="656">
      <c r="A656">
        <f>Skills!A9</f>
        <v/>
      </c>
      <c r="B656">
        <f>Skills!B9</f>
        <v/>
      </c>
      <c r="C656">
        <f>Inputs!$B$3&gt;=115</f>
        <v/>
      </c>
      <c r="D656">
        <f>IF(Skills!C9=1,60+(Inputs!$B$24+1)+Inputs!$B$28,IF(Skills!C9=2,90+Inputs!$B$25+Inputs!$B$28,IF(Skills!C9=3,120+Inputs!$B$26+Inputs!$B$28,MAX(0,(Inputs!$B$3-100)*3)+Inputs!$B$27+Inputs!$B$28)))</f>
        <v/>
      </c>
      <c r="E656">
        <f>INDEX(FactorTable!$B$2:$Y$301, MATCH(ROUND(MIN(300,MAX(1,D656)),0), FactorTable!$A$2:$A$301,0), Skills!L9+1)</f>
        <v/>
      </c>
      <c r="F656">
        <f>IF(Skills!M9=TRUE,(Skills!K9/10)*(E656/1000),Skills!K9/10)+Skills!N9</f>
        <v/>
      </c>
      <c r="G656">
        <f>Calc!G9</f>
        <v/>
      </c>
      <c r="H656">
        <f>Calc!H9</f>
        <v/>
      </c>
      <c r="I656">
        <f>IF(Skills!T9&lt;&gt;"",1+(Skills!T9/10)*($Z$3/1000)/100,1)</f>
        <v/>
      </c>
      <c r="J656">
        <f>((Inputs!$B$5*(1+Inputs!$B$6/100))+((Inputs!$B$11*(1+Inputs!$B$12/100))-(Inputs!$B$11*(1+Inputs!$B$12/100)))*(1+Inputs!$B$6/100))*(F656/100)</f>
        <v/>
      </c>
      <c r="K656">
        <f>J656*(1+((Inputs!$B$11*(1+Inputs!$B$12/100))*0.01+Inputs!$B$13*0.0025)/100)*(1+(Inputs!$B$14+B678)/100)*(1+IF(Inputs!$B$4="pvp",0,(1-Summary!$B$48)*(Inputs!$B$19+Skills!O9+B676)+Summary!$B$48*(Inputs!$B$20+Skills!P9+B677))/100)*(1+Inputs!$B$15/100)*(5000/(6000+Inputs!$B$7*(1-Inputs!$B$18/100)))*(1+Inputs!$B$23/100)*(1+IF(C664=TRUE,F664,0)/100)*(1+IF(C666=TRUE,F666,0)/100)*(1+IF(Skills!A9="TRIUMPH_FEATHER",IF(C662=TRUE,F662,0),0)/100)*(1+IF(C673=TRUE,F673,0)/100)^5*(1+(IF(Skills!A9="BIG_BANG",Inputs!$B$16,Inputs!$B$17))/100)*(B675*I656)</f>
        <v/>
      </c>
      <c r="L656">
        <f>K656*(MIN(Inputs!$B$21+(F668-Calc!F21),Inputs!$B$22)/100+Inputs!$B$22/100)/2</f>
        <v/>
      </c>
      <c r="M656">
        <f>L656*(1+(Inputs!$B$9+B679+(F671-Calc!F24))/100)</f>
        <v/>
      </c>
      <c r="N656">
        <f>L656*(1-MIN(Inputs!$B$8+((F670-Calc!F23)+(F669-Calc!F22)),100)/100)+M656*(MIN(Inputs!$B$8+((F670-Calc!F23)+(F669-Calc!F22)),100)/100)</f>
        <v/>
      </c>
      <c r="O656">
        <f>IF(C656,H656*N656*IF(AND(Inputs!$B$4&lt;&gt;"pvp",Inputs!$B$35&gt;0),((Skills!F9*((S656-1)*IF(Skills!G9&gt;0,Skills!H9/Skills!G9,1)+IF(Skills!G9&gt;0,MIN(Skills!H9,MAX(0,Inputs!$B$35-((S656-1)*IF(Inputs!$B$4="pvp",15,MAX(0.1,Skills!D9-IF(Skills!E9=TRUE,Inputs!$B$31,0))))))/Skills!G9,1)))/Inputs!$B$35),G656*V656)*IF(Inputs!$B$4="pvp",1,(1-Summary!$B$48)*(1)+Summary!$B$48*(MIN(Skills!Q9,Inputs!$B$37))),0)</f>
        <v/>
      </c>
      <c r="P656">
        <f>IF(B685=0,0,O656/B685)</f>
        <v/>
      </c>
      <c r="S656">
        <f>IF(AND(Inputs!$B$4&lt;&gt;"pvp",Inputs!$B$35&gt;0),(INT(Inputs!$B$35/IF(Inputs!$B$4="pvp",15,MAX(0.1,Skills!D9-IF(Skills!E9=TRUE,Inputs!$B$31,0))))+1),0)</f>
        <v/>
      </c>
      <c r="V656">
        <f>IFERROR(1/IF(Inputs!$B$4="pvp",15,MAX(0.1,Skills!D9-IF(Skills!E9=TRUE,Inputs!$B$31,0))),0)</f>
        <v/>
      </c>
    </row>
    <row r="657">
      <c r="A657">
        <f>Skills!A10</f>
        <v/>
      </c>
      <c r="B657">
        <f>Skills!B10</f>
        <v/>
      </c>
      <c r="C657">
        <f>Inputs!$B$3&gt;=66</f>
        <v/>
      </c>
      <c r="D657">
        <f>IF(Skills!C10=1,60+(Inputs!$B$24+1)+Inputs!$B$28,IF(Skills!C10=2,90+Inputs!$B$25+Inputs!$B$28,IF(Skills!C10=3,120+Inputs!$B$26+Inputs!$B$28,MAX(0,(Inputs!$B$3-100)*3)+Inputs!$B$27+Inputs!$B$28)))</f>
        <v/>
      </c>
      <c r="E657">
        <f>INDEX(FactorTable!$B$2:$Y$301, MATCH(ROUND(MIN(300,MAX(1,D657)),0), FactorTable!$A$2:$A$301,0), Skills!L10+1)</f>
        <v/>
      </c>
      <c r="F657" t="n">
        <v>0</v>
      </c>
      <c r="G657">
        <f>Calc!G10</f>
        <v/>
      </c>
      <c r="H657">
        <f>Calc!H10</f>
        <v/>
      </c>
      <c r="I657">
        <f>IF(Skills!T10&lt;&gt;"",1+(Skills!T10/10)*($Z$3/1000)/100,1)</f>
        <v/>
      </c>
      <c r="J657" t="inlineStr"/>
      <c r="K657" t="inlineStr"/>
      <c r="L657" t="inlineStr"/>
      <c r="M657" t="inlineStr"/>
      <c r="N657" t="inlineStr"/>
      <c r="O657" t="n">
        <v>0</v>
      </c>
      <c r="P657">
        <f>IF(B685=0,0,O657/B685)</f>
        <v/>
      </c>
      <c r="S657">
        <f>IF(AND(Inputs!$B$4&lt;&gt;"pvp",Inputs!$B$35&gt;0),(INT(Inputs!$B$35/IF(Inputs!$B$4="pvp",15,MAX(0.1,Skills!D10-IF(Skills!E10=TRUE,Inputs!$B$31,0))))+1),0)</f>
        <v/>
      </c>
      <c r="V657">
        <f>IFERROR(1/IF(Inputs!$B$4="pvp",15,MAX(0.1,Skills!D10-IF(Skills!E10=TRUE,Inputs!$B$31,0))),0)</f>
        <v/>
      </c>
    </row>
    <row r="658">
      <c r="A658">
        <f>Skills!A11</f>
        <v/>
      </c>
      <c r="B658">
        <f>Skills!B11</f>
        <v/>
      </c>
      <c r="C658">
        <f>Inputs!$B$3&gt;=69</f>
        <v/>
      </c>
      <c r="D658">
        <f>IF(Skills!C11=1,60+(Inputs!$B$24+1)+Inputs!$B$28,IF(Skills!C11=2,90+Inputs!$B$25+Inputs!$B$28,IF(Skills!C11=3,120+Inputs!$B$26+Inputs!$B$28,MAX(0,(Inputs!$B$3-100)*3)+Inputs!$B$27+Inputs!$B$28)))</f>
        <v/>
      </c>
      <c r="E658">
        <f>INDEX(FactorTable!$B$2:$Y$301, MATCH(ROUND(MIN(300,MAX(1,D658)),0), FactorTable!$A$2:$A$301,0), Skills!L11+1)</f>
        <v/>
      </c>
      <c r="F658">
        <f>IF(Skills!M11=TRUE,(Skills!K11/10)*(E658/1000),Skills!K11/10)+Skills!N11</f>
        <v/>
      </c>
      <c r="G658">
        <f>Calc!G11</f>
        <v/>
      </c>
      <c r="H658">
        <f>Calc!H11</f>
        <v/>
      </c>
      <c r="I658">
        <f>IF(Skills!T11&lt;&gt;"",1+(Skills!T11/10)*($Z$3/1000)/100,1)</f>
        <v/>
      </c>
      <c r="J658" t="inlineStr"/>
      <c r="K658" t="inlineStr"/>
      <c r="L658" t="inlineStr"/>
      <c r="M658" t="inlineStr"/>
      <c r="N658" t="inlineStr"/>
      <c r="O658" t="n">
        <v>0</v>
      </c>
      <c r="P658">
        <f>IF(B685=0,0,O658/B685)</f>
        <v/>
      </c>
      <c r="S658">
        <f>IF(AND(Inputs!$B$4&lt;&gt;"pvp",Inputs!$B$35&gt;0),(INT(Inputs!$B$35/IF(Inputs!$B$4="pvp",15,MAX(0.1,Skills!D11-IF(Skills!E11=TRUE,Inputs!$B$31,0))))+1),0)</f>
        <v/>
      </c>
      <c r="V658">
        <f>IFERROR(1/IF(Inputs!$B$4="pvp",15,MAX(0.1,Skills!D11-IF(Skills!E11=TRUE,Inputs!$B$31,0))),0)</f>
        <v/>
      </c>
    </row>
    <row r="659">
      <c r="A659">
        <f>Skills!A12</f>
        <v/>
      </c>
      <c r="B659">
        <f>Skills!B12</f>
        <v/>
      </c>
      <c r="C659">
        <f>Inputs!$B$3&gt;=72</f>
        <v/>
      </c>
      <c r="D659">
        <f>IF(Skills!C12=1,60+(Inputs!$B$24+1)+Inputs!$B$28,IF(Skills!C12=2,90+Inputs!$B$25+Inputs!$B$28,IF(Skills!C12=3,120+Inputs!$B$26+Inputs!$B$28,MAX(0,(Inputs!$B$3-100)*3)+Inputs!$B$27+Inputs!$B$28)))</f>
        <v/>
      </c>
      <c r="E659">
        <f>INDEX(FactorTable!$B$2:$Y$301, MATCH(ROUND(MIN(300,MAX(1,D659)),0), FactorTable!$A$2:$A$301,0), Skills!L12+1)</f>
        <v/>
      </c>
      <c r="F659">
        <f>IF(Skills!M12=TRUE,(Skills!K12/10)*(E659/1000),Skills!K12/10)+Skills!N12</f>
        <v/>
      </c>
      <c r="G659">
        <f>Calc!G12</f>
        <v/>
      </c>
      <c r="H659">
        <f>Calc!H12</f>
        <v/>
      </c>
      <c r="I659">
        <f>IF(Skills!T12&lt;&gt;"",1+(Skills!T12/10)*($Z$3/1000)/100,1)</f>
        <v/>
      </c>
      <c r="J659" t="inlineStr"/>
      <c r="K659" t="inlineStr"/>
      <c r="L659" t="inlineStr"/>
      <c r="M659" t="inlineStr"/>
      <c r="N659" t="inlineStr"/>
      <c r="O659" t="n">
        <v>0</v>
      </c>
      <c r="P659">
        <f>IF(B685=0,0,O659/B685)</f>
        <v/>
      </c>
      <c r="S659">
        <f>IF(AND(Inputs!$B$4&lt;&gt;"pvp",Inputs!$B$35&gt;0),(INT(Inputs!$B$35/IF(Inputs!$B$4="pvp",15,MAX(0.1,Skills!D12-IF(Skills!E12=TRUE,Inputs!$B$31,0))))+1),0)</f>
        <v/>
      </c>
      <c r="V659">
        <f>IFERROR(1/IF(Inputs!$B$4="pvp",15,MAX(0.1,Skills!D12-IF(Skills!E12=TRUE,Inputs!$B$31,0))),0)</f>
        <v/>
      </c>
    </row>
    <row r="660">
      <c r="A660">
        <f>Skills!A13</f>
        <v/>
      </c>
      <c r="B660">
        <f>Skills!B13</f>
        <v/>
      </c>
      <c r="C660">
        <f>Inputs!$B$3&gt;=107</f>
        <v/>
      </c>
      <c r="D660">
        <f>IF(Skills!C13=1,60+(Inputs!$B$24+1)+Inputs!$B$28,IF(Skills!C13=2,90+Inputs!$B$25+Inputs!$B$28,IF(Skills!C13=3,120+Inputs!$B$26+Inputs!$B$28,MAX(0,(Inputs!$B$3-100)*3)+Inputs!$B$27+Inputs!$B$28)))</f>
        <v/>
      </c>
      <c r="E660">
        <f>INDEX(FactorTable!$B$2:$Y$301, MATCH(ROUND(MIN(300,MAX(1,D660)),0), FactorTable!$A$2:$A$301,0), Skills!L13+1)</f>
        <v/>
      </c>
      <c r="F660">
        <f>IF(Skills!M13=TRUE,(Skills!K13/10)*(E660/1000),Skills!K13/10)+Skills!N13</f>
        <v/>
      </c>
      <c r="G660">
        <f>Calc!G13</f>
        <v/>
      </c>
      <c r="H660">
        <f>Calc!H13</f>
        <v/>
      </c>
      <c r="I660">
        <f>IF(Skills!T13&lt;&gt;"",1+(Skills!T13/10)*($Z$3/1000)/100,1)</f>
        <v/>
      </c>
      <c r="J660" t="inlineStr"/>
      <c r="K660" t="inlineStr"/>
      <c r="L660" t="inlineStr"/>
      <c r="M660" t="inlineStr"/>
      <c r="N660" t="inlineStr"/>
      <c r="O660" t="n">
        <v>0</v>
      </c>
      <c r="P660">
        <f>IF(B685=0,0,O660/B685)</f>
        <v/>
      </c>
      <c r="S660">
        <f>IF(AND(Inputs!$B$4&lt;&gt;"pvp",Inputs!$B$35&gt;0),(INT(Inputs!$B$35/IF(Inputs!$B$4="pvp",15,MAX(0.1,Skills!D13-IF(Skills!E13=TRUE,Inputs!$B$31,0))))+1),0)</f>
        <v/>
      </c>
      <c r="V660">
        <f>IFERROR(1/IF(Inputs!$B$4="pvp",15,MAX(0.1,Skills!D13-IF(Skills!E13=TRUE,Inputs!$B$31,0))),0)</f>
        <v/>
      </c>
    </row>
    <row r="661">
      <c r="A661">
        <f>Skills!A14</f>
        <v/>
      </c>
      <c r="B661">
        <f>Skills!B14</f>
        <v/>
      </c>
      <c r="C661">
        <f>Inputs!$B$3&gt;=63</f>
        <v/>
      </c>
      <c r="D661">
        <f>IF(Skills!C14=1,60+(Inputs!$B$24+1)+Inputs!$B$28,IF(Skills!C14=2,90+Inputs!$B$25+Inputs!$B$28,IF(Skills!C14=3,120+Inputs!$B$26+Inputs!$B$28,MAX(0,(Inputs!$B$3-100)*3)+Inputs!$B$27+Inputs!$B$28)))</f>
        <v/>
      </c>
      <c r="E661">
        <f>INDEX(FactorTable!$B$2:$Y$301, MATCH(ROUND(MIN(300,MAX(1,D661)),0), FactorTable!$A$2:$A$301,0), Skills!L14+1)</f>
        <v/>
      </c>
      <c r="F661">
        <f>IF(Skills!M14=TRUE,(Skills!K14/10)*(E661/1000),Skills!K14/10)+Skills!N14</f>
        <v/>
      </c>
      <c r="G661">
        <f>Calc!G14</f>
        <v/>
      </c>
      <c r="H661">
        <f>Calc!H14</f>
        <v/>
      </c>
      <c r="I661">
        <f>IF(Skills!T14&lt;&gt;"",1+(Skills!T14/10)*($Z$3/1000)/100,1)</f>
        <v/>
      </c>
      <c r="J661">
        <f>((Inputs!$B$5*(1+Inputs!$B$6/100))+((Inputs!$B$11*(1+Inputs!$B$12/100))-(Inputs!$B$11*(1+Inputs!$B$12/100)))*(1+Inputs!$B$6/100))*(F661/100)</f>
        <v/>
      </c>
      <c r="K661">
        <f>J661*(1+((Inputs!$B$11*(1+Inputs!$B$12/100))*0.01+Inputs!$B$13*0.0025)/100)*(1+(Inputs!$B$14+B678)/100)*(1+IF(Inputs!$B$4="pvp",0,(1-Summary!$B$48)*(Inputs!$B$19+Skills!O14+B676)+Summary!$B$48*(Inputs!$B$20+Skills!P14+B677))/100)*(1+Inputs!$B$15/100)*(5000/(6000+Inputs!$B$7*(1-Inputs!$B$18/100)))*(1+Inputs!$B$23/100)*(1+IF(C664=TRUE,F664,0)/100)*(1+IF(C666=TRUE,F666,0)/100)*(1+IF(Skills!A14="TRIUMPH_FEATHER",IF(C662=TRUE,F662,0),0)/100)*(1+IF(C673=TRUE,F673,0)/100)^5*(1+(IF(Skills!A14="BIG_BANG",Inputs!$B$16,Inputs!$B$17))/100)*(B675*I661)</f>
        <v/>
      </c>
      <c r="L661">
        <f>K661*(MIN(Inputs!$B$21+(F668-Calc!F21),Inputs!$B$22)/100+Inputs!$B$22/100)/2</f>
        <v/>
      </c>
      <c r="M661">
        <f>L661*(1+(Inputs!$B$9+B679+(F671-Calc!F24))/100)</f>
        <v/>
      </c>
      <c r="N661">
        <f>L661*(1-MIN(Inputs!$B$8+((F670-Calc!F23)+(F669-Calc!F22)),100)/100)+M661*(MIN(Inputs!$B$8+((F670-Calc!F23)+(F669-Calc!F22)),100)/100)</f>
        <v/>
      </c>
      <c r="O661">
        <f>IF(C661,Skills!F14*N661*((IF(Inputs!$B$3&gt;=78,25,15)/100*B681*10)/(1+IF(Inputs!$B$3&gt;=78,25,15)/100*B681*10))*(Skills!I14/100*B681)/(1+Skills!G14*Skills!I14/100*B681)*IF(Inputs!$B$4="pvp",1,(1-Summary!$B$48)*(1)+Summary!$B$48*(MIN(Skills!Q14,Inputs!$B$37))),0)</f>
        <v/>
      </c>
      <c r="P661">
        <f>IF(B685=0,0,O661/B685)</f>
        <v/>
      </c>
      <c r="S661" t="n">
        <v>0</v>
      </c>
      <c r="V661">
        <f>IFERROR(1/IF(Inputs!$B$4="pvp",15,MAX(0.1,Skills!D14-IF(Skills!E14=TRUE,Inputs!$B$31,0))),0)</f>
        <v/>
      </c>
    </row>
    <row r="662">
      <c r="A662">
        <f>Skills!A15</f>
        <v/>
      </c>
      <c r="B662">
        <f>Skills!B15</f>
        <v/>
      </c>
      <c r="C662">
        <f>Inputs!$B$3&gt;=100</f>
        <v/>
      </c>
      <c r="D662">
        <f>IF(Skills!C15=1,60+(Inputs!$B$24+1)+Inputs!$B$28,IF(Skills!C15=2,90+Inputs!$B$25+Inputs!$B$28,IF(Skills!C15=3,120+Inputs!$B$26+Inputs!$B$28,MAX(0,(Inputs!$B$3-100)*3)+Inputs!$B$27+Inputs!$B$28)))</f>
        <v/>
      </c>
      <c r="E662">
        <f>INDEX(FactorTable!$B$2:$Y$301, MATCH(ROUND(MIN(300,MAX(1,D662)),0), FactorTable!$A$2:$A$301,0), Skills!L15+1)</f>
        <v/>
      </c>
      <c r="F662">
        <f>IF(Skills!M15=TRUE,(Skills!K15/10)*(E662/1000),Skills!K15/10)+Skills!N15</f>
        <v/>
      </c>
      <c r="G662">
        <f>Calc!G15</f>
        <v/>
      </c>
      <c r="H662">
        <f>Calc!H15</f>
        <v/>
      </c>
      <c r="I662">
        <f>IF(Skills!T15&lt;&gt;"",1+(Skills!T15/10)*($Z$3/1000)/100,1)</f>
        <v/>
      </c>
      <c r="J662" t="inlineStr"/>
      <c r="K662" t="inlineStr"/>
      <c r="L662" t="inlineStr"/>
      <c r="M662" t="inlineStr"/>
      <c r="N662" t="inlineStr"/>
      <c r="O662" t="n">
        <v>0</v>
      </c>
      <c r="P662">
        <f>IF(B685=0,0,O662/B685)</f>
        <v/>
      </c>
      <c r="S662" t="n">
        <v>0</v>
      </c>
      <c r="V662">
        <f>IFERROR(1/IF(Inputs!$B$4="pvp",15,MAX(0.1,Skills!D15-IF(Skills!E15=TRUE,Inputs!$B$31,0))),0)</f>
        <v/>
      </c>
    </row>
    <row r="663">
      <c r="A663">
        <f>Skills!A16</f>
        <v/>
      </c>
      <c r="B663">
        <f>Skills!B16</f>
        <v/>
      </c>
      <c r="C663">
        <f>Inputs!$B$3&gt;=49</f>
        <v/>
      </c>
      <c r="D663">
        <f>IF(Skills!C16=1,60+(Inputs!$B$24+1)+Inputs!$B$28,IF(Skills!C16=2,90+Inputs!$B$25+Inputs!$B$28,IF(Skills!C16=3,120+Inputs!$B$26+Inputs!$B$28,MAX(0,(Inputs!$B$3-100)*3)+Inputs!$B$27+Inputs!$B$28)))</f>
        <v/>
      </c>
      <c r="E663">
        <f>INDEX(FactorTable!$B$2:$Y$301, MATCH(ROUND(MIN(300,MAX(1,D663)),0), FactorTable!$A$2:$A$301,0), Skills!L16+1)</f>
        <v/>
      </c>
      <c r="F663">
        <f>IF(Skills!M16=TRUE,(Skills!K16/10)*(E663/1000),Skills!K16/10)+Skills!N16</f>
        <v/>
      </c>
      <c r="G663">
        <f>Calc!G16</f>
        <v/>
      </c>
      <c r="H663">
        <f>Calc!H16</f>
        <v/>
      </c>
      <c r="I663">
        <f>IF(Skills!T16&lt;&gt;"",1+(Skills!T16/10)*($Z$3/1000)/100,1)</f>
        <v/>
      </c>
      <c r="J663" t="inlineStr"/>
      <c r="K663" t="inlineStr"/>
      <c r="L663" t="inlineStr"/>
      <c r="M663" t="inlineStr"/>
      <c r="N663" t="inlineStr"/>
      <c r="O663" t="n">
        <v>0</v>
      </c>
      <c r="P663">
        <f>IF(B685=0,0,O663/B685)</f>
        <v/>
      </c>
      <c r="S663" t="n">
        <v>0</v>
      </c>
      <c r="V663">
        <f>IFERROR(1/IF(Inputs!$B$4="pvp",15,MAX(0.1,Skills!D16-IF(Skills!E16=TRUE,Inputs!$B$31,0))),0)</f>
        <v/>
      </c>
    </row>
    <row r="664">
      <c r="A664">
        <f>Skills!A17</f>
        <v/>
      </c>
      <c r="B664">
        <f>Skills!B17</f>
        <v/>
      </c>
      <c r="C664">
        <f>Inputs!$B$3&gt;=75</f>
        <v/>
      </c>
      <c r="D664">
        <f>IF(Skills!C17=1,60+(Inputs!$B$24+1)+Inputs!$B$28,IF(Skills!C17=2,90+Inputs!$B$25+Inputs!$B$28,IF(Skills!C17=3,120+Inputs!$B$26+Inputs!$B$28,MAX(0,(Inputs!$B$3-100)*3)+Inputs!$B$27+Inputs!$B$28)))</f>
        <v/>
      </c>
      <c r="E664">
        <f>INDEX(FactorTable!$B$2:$Y$301, MATCH(ROUND(MIN(300,MAX(1,D664)),0), FactorTable!$A$2:$A$301,0), Skills!L17+1)</f>
        <v/>
      </c>
      <c r="F664">
        <f>IF(Skills!M17=TRUE,(Skills!K17/10)*(E664/1000),Skills!K17/10)+Skills!N17</f>
        <v/>
      </c>
      <c r="G664">
        <f>Calc!G17</f>
        <v/>
      </c>
      <c r="H664">
        <f>Calc!H17</f>
        <v/>
      </c>
      <c r="I664">
        <f>IF(Skills!T17&lt;&gt;"",1+(Skills!T17/10)*($Z$3/1000)/100,1)</f>
        <v/>
      </c>
      <c r="J664" t="inlineStr"/>
      <c r="K664" t="inlineStr"/>
      <c r="L664" t="inlineStr"/>
      <c r="M664" t="inlineStr"/>
      <c r="N664" t="inlineStr"/>
      <c r="O664" t="n">
        <v>0</v>
      </c>
      <c r="P664">
        <f>IF(B685=0,0,O664/B685)</f>
        <v/>
      </c>
      <c r="S664" t="n">
        <v>0</v>
      </c>
      <c r="V664">
        <f>IFERROR(1/IF(Inputs!$B$4="pvp",15,MAX(0.1,Skills!D17-IF(Skills!E17=TRUE,Inputs!$B$31,0))),0)</f>
        <v/>
      </c>
    </row>
    <row r="665">
      <c r="A665">
        <f>Skills!A18</f>
        <v/>
      </c>
      <c r="B665">
        <f>Skills!B18</f>
        <v/>
      </c>
      <c r="C665">
        <f>Inputs!$B$3&gt;=110</f>
        <v/>
      </c>
      <c r="D665">
        <f>IF(Skills!C18=1,60+(Inputs!$B$24+1)+Inputs!$B$28,IF(Skills!C18=2,90+Inputs!$B$25+Inputs!$B$28,IF(Skills!C18=3,120+Inputs!$B$26+Inputs!$B$28,MAX(0,(Inputs!$B$3-100)*3)+Inputs!$B$27+Inputs!$B$28)))</f>
        <v/>
      </c>
      <c r="E665">
        <f>INDEX(FactorTable!$B$2:$Y$301, MATCH(ROUND(MIN(300,MAX(1,D665)),0), FactorTable!$A$2:$A$301,0), Skills!L18+1)</f>
        <v/>
      </c>
      <c r="F665">
        <f>(Skills!K18/10)*(E665/1000)*64/45+Skills!N18</f>
        <v/>
      </c>
      <c r="G665">
        <f>Calc!G18</f>
        <v/>
      </c>
      <c r="H665">
        <f>Calc!H18</f>
        <v/>
      </c>
      <c r="I665">
        <f>IF(Skills!T18&lt;&gt;"",1+(Skills!T18/10)*($Z$3/1000)/100,1)</f>
        <v/>
      </c>
      <c r="J665" t="inlineStr"/>
      <c r="K665" t="inlineStr"/>
      <c r="L665" t="inlineStr"/>
      <c r="M665" t="inlineStr"/>
      <c r="N665" t="inlineStr"/>
      <c r="O665" t="n">
        <v>0</v>
      </c>
      <c r="P665">
        <f>IF(B685=0,0,O665/B685)</f>
        <v/>
      </c>
      <c r="S665">
        <f>IF(AND(Inputs!$B$4&lt;&gt;"pvp",Inputs!$B$35&gt;0),(INT(Inputs!$B$35/IF(Inputs!$B$4="pvp",15,MAX(0.1,Skills!D18-IF(Skills!E18=TRUE,Inputs!$B$31,0))))+1),0)</f>
        <v/>
      </c>
      <c r="V665">
        <f>IFERROR(1/IF(Inputs!$B$4="pvp",15,MAX(0.1,Skills!D18-IF(Skills!E18=TRUE,Inputs!$B$31,0))),0)</f>
        <v/>
      </c>
    </row>
    <row r="666">
      <c r="A666">
        <f>Skills!A19</f>
        <v/>
      </c>
      <c r="B666">
        <f>Skills!B19</f>
        <v/>
      </c>
      <c r="C666">
        <f>Inputs!$B$3&gt;=125</f>
        <v/>
      </c>
      <c r="D666">
        <f>IF(Skills!C19=1,60+(Inputs!$B$24+1)+Inputs!$B$28,IF(Skills!C19=2,90+Inputs!$B$25+Inputs!$B$28,IF(Skills!C19=3,120+Inputs!$B$26+Inputs!$B$28,MAX(0,(Inputs!$B$3-100)*3)+Inputs!$B$27+Inputs!$B$28)))</f>
        <v/>
      </c>
      <c r="E666">
        <f>INDEX(FactorTable!$B$2:$Y$301, MATCH(ROUND(MIN(300,MAX(1,D666)),0), FactorTable!$A$2:$A$301,0), Skills!L19+1)</f>
        <v/>
      </c>
      <c r="F666">
        <f>IF(Skills!M19=TRUE,(Skills!K19/10)*(E666/1000),Skills!K19/10)+Skills!N19</f>
        <v/>
      </c>
      <c r="G666">
        <f>Calc!G19</f>
        <v/>
      </c>
      <c r="H666">
        <f>Calc!H19</f>
        <v/>
      </c>
      <c r="I666">
        <f>IF(Skills!T19&lt;&gt;"",1+(Skills!T19/10)*($Z$3/1000)/100,1)</f>
        <v/>
      </c>
      <c r="J666" t="inlineStr"/>
      <c r="K666" t="inlineStr"/>
      <c r="L666" t="inlineStr"/>
      <c r="M666" t="inlineStr"/>
      <c r="N666" t="inlineStr"/>
      <c r="O666" t="n">
        <v>0</v>
      </c>
      <c r="P666">
        <f>IF(B685=0,0,O666/B685)</f>
        <v/>
      </c>
      <c r="S666" t="n">
        <v>0</v>
      </c>
      <c r="V666">
        <f>IFERROR(1/IF(Inputs!$B$4="pvp",15,MAX(0.1,Skills!D19-IF(Skills!E19=TRUE,Inputs!$B$31,0))),0)</f>
        <v/>
      </c>
    </row>
    <row r="667">
      <c r="A667">
        <f>Skills!A20</f>
        <v/>
      </c>
      <c r="B667">
        <f>Skills!B20</f>
        <v/>
      </c>
      <c r="C667">
        <f>Inputs!$B$3&gt;=33</f>
        <v/>
      </c>
      <c r="D667">
        <f>IF(Skills!C20=1,60+(Inputs!$B$24+1)+Inputs!$B$28,IF(Skills!C20=2,90+Inputs!$B$25+Inputs!$B$28,IF(Skills!C20=3,120+Inputs!$B$26+Inputs!$B$28,MAX(0,(Inputs!$B$3-100)*3)+Inputs!$B$27+Inputs!$B$28)))</f>
        <v/>
      </c>
      <c r="E667">
        <f>INDEX(FactorTable!$B$2:$Y$301, MATCH(ROUND(MIN(300,MAX(1,D667)),0), FactorTable!$A$2:$A$301,0), Skills!L20+1)</f>
        <v/>
      </c>
      <c r="F667">
        <f>IF(Skills!M20=TRUE,(Skills!K20/10)*(E667/1000),Skills!K20/10)+Skills!N20</f>
        <v/>
      </c>
      <c r="G667">
        <f>Calc!G20</f>
        <v/>
      </c>
      <c r="H667">
        <f>Calc!H20</f>
        <v/>
      </c>
      <c r="I667">
        <f>IF(Skills!T20&lt;&gt;"",1+(Skills!T20/10)*($Z$3/1000)/100,1)</f>
        <v/>
      </c>
      <c r="J667" t="inlineStr"/>
      <c r="K667" t="inlineStr"/>
      <c r="L667" t="inlineStr"/>
      <c r="M667" t="inlineStr"/>
      <c r="N667" t="inlineStr"/>
      <c r="O667" t="n">
        <v>0</v>
      </c>
      <c r="P667">
        <f>IF(B685=0,0,O667/B685)</f>
        <v/>
      </c>
      <c r="S667" t="n">
        <v>0</v>
      </c>
      <c r="V667">
        <f>IFERROR(1/IF(Inputs!$B$4="pvp",15,MAX(0.1,Skills!D20-IF(Skills!E20=TRUE,Inputs!$B$31,0))),0)</f>
        <v/>
      </c>
    </row>
    <row r="668">
      <c r="A668">
        <f>Skills!A21</f>
        <v/>
      </c>
      <c r="B668">
        <f>Skills!B21</f>
        <v/>
      </c>
      <c r="C668">
        <f>Inputs!$B$3&gt;=43</f>
        <v/>
      </c>
      <c r="D668">
        <f>IF(Skills!C21=1,60+(Inputs!$B$24+1)+Inputs!$B$28,IF(Skills!C21=2,90+Inputs!$B$25+Inputs!$B$28,IF(Skills!C21=3,120+Inputs!$B$26+Inputs!$B$28,MAX(0,(Inputs!$B$3-100)*3)+Inputs!$B$27+Inputs!$B$28)))</f>
        <v/>
      </c>
      <c r="E668">
        <f>INDEX(FactorTable!$B$2:$Y$301, MATCH(ROUND(MIN(300,MAX(1,D668)),0), FactorTable!$A$2:$A$301,0), Skills!L21+1)</f>
        <v/>
      </c>
      <c r="F668">
        <f>IF(Skills!M21=TRUE,(Skills!K21/10)*(E668/1000),Skills!K21/10)+Skills!N21</f>
        <v/>
      </c>
      <c r="G668">
        <f>Calc!G21</f>
        <v/>
      </c>
      <c r="H668">
        <f>Calc!H21</f>
        <v/>
      </c>
      <c r="I668">
        <f>IF(Skills!T21&lt;&gt;"",1+(Skills!T21/10)*($Z$3/1000)/100,1)</f>
        <v/>
      </c>
      <c r="J668" t="inlineStr"/>
      <c r="K668" t="inlineStr"/>
      <c r="L668" t="inlineStr"/>
      <c r="M668" t="inlineStr"/>
      <c r="N668" t="inlineStr"/>
      <c r="O668" t="n">
        <v>0</v>
      </c>
      <c r="P668">
        <f>IF(B685=0,0,O668/B685)</f>
        <v/>
      </c>
      <c r="S668" t="n">
        <v>0</v>
      </c>
      <c r="V668">
        <f>IFERROR(1/IF(Inputs!$B$4="pvp",15,MAX(0.1,Skills!D21-IF(Skills!E21=TRUE,Inputs!$B$31,0))),0)</f>
        <v/>
      </c>
    </row>
    <row r="669">
      <c r="A669">
        <f>Skills!A22</f>
        <v/>
      </c>
      <c r="B669">
        <f>Skills!B22</f>
        <v/>
      </c>
      <c r="C669">
        <f>Inputs!$B$3&gt;=50</f>
        <v/>
      </c>
      <c r="D669">
        <f>IF(Skills!C22=1,60+(Inputs!$B$24+1)+Inputs!$B$28,IF(Skills!C22=2,90+Inputs!$B$25+Inputs!$B$28,IF(Skills!C22=3,120+Inputs!$B$26+Inputs!$B$28,MAX(0,(Inputs!$B$3-100)*3)+Inputs!$B$27+Inputs!$B$28)))</f>
        <v/>
      </c>
      <c r="E669">
        <f>INDEX(FactorTable!$B$2:$Y$301, MATCH(ROUND(MIN(300,MAX(1,D669)),0), FactorTable!$A$2:$A$301,0), Skills!L22+1)</f>
        <v/>
      </c>
      <c r="F669">
        <f>IF(Skills!M22=TRUE,(Skills!K22/10)*(E669/1000),Skills!K22/10)+Skills!N22</f>
        <v/>
      </c>
      <c r="G669">
        <f>Calc!G22</f>
        <v/>
      </c>
      <c r="H669">
        <f>Calc!H22</f>
        <v/>
      </c>
      <c r="I669">
        <f>IF(Skills!T22&lt;&gt;"",1+(Skills!T22/10)*($Z$3/1000)/100,1)</f>
        <v/>
      </c>
      <c r="J669" t="inlineStr"/>
      <c r="K669" t="inlineStr"/>
      <c r="L669" t="inlineStr"/>
      <c r="M669" t="inlineStr"/>
      <c r="N669" t="inlineStr"/>
      <c r="O669" t="n">
        <v>0</v>
      </c>
      <c r="P669">
        <f>IF(B685=0,0,O669/B685)</f>
        <v/>
      </c>
      <c r="S669" t="n">
        <v>0</v>
      </c>
      <c r="V669">
        <f>IFERROR(1/IF(Inputs!$B$4="pvp",15,MAX(0.1,Skills!D22-IF(Skills!E22=TRUE,Inputs!$B$31,0))),0)</f>
        <v/>
      </c>
    </row>
    <row r="670">
      <c r="A670">
        <f>Skills!A23</f>
        <v/>
      </c>
      <c r="B670">
        <f>Skills!B23</f>
        <v/>
      </c>
      <c r="C670">
        <f>Inputs!$B$3&gt;=74</f>
        <v/>
      </c>
      <c r="D670">
        <f>IF(Skills!C23=1,60+(Inputs!$B$24+1)+Inputs!$B$28,IF(Skills!C23=2,90+Inputs!$B$25+Inputs!$B$28,IF(Skills!C23=3,120+Inputs!$B$26+Inputs!$B$28,MAX(0,(Inputs!$B$3-100)*3)+Inputs!$B$27+Inputs!$B$28)))</f>
        <v/>
      </c>
      <c r="E670">
        <f>INDEX(FactorTable!$B$2:$Y$301, MATCH(ROUND(MIN(300,MAX(1,D670)),0), FactorTable!$A$2:$A$301,0), Skills!L23+1)</f>
        <v/>
      </c>
      <c r="F670">
        <f>IF(Skills!M23=TRUE,(Skills!K23/10)*(E670/1000),Skills!K23/10)+Skills!N23</f>
        <v/>
      </c>
      <c r="G670">
        <f>Calc!G23</f>
        <v/>
      </c>
      <c r="H670">
        <f>Calc!H23</f>
        <v/>
      </c>
      <c r="I670">
        <f>IF(Skills!T23&lt;&gt;"",1+(Skills!T23/10)*($Z$3/1000)/100,1)</f>
        <v/>
      </c>
      <c r="J670" t="inlineStr"/>
      <c r="K670" t="inlineStr"/>
      <c r="L670" t="inlineStr"/>
      <c r="M670" t="inlineStr"/>
      <c r="N670" t="inlineStr"/>
      <c r="O670" t="n">
        <v>0</v>
      </c>
      <c r="P670">
        <f>IF(B685=0,0,O670/B685)</f>
        <v/>
      </c>
      <c r="S670" t="n">
        <v>0</v>
      </c>
      <c r="V670">
        <f>IFERROR(1/IF(Inputs!$B$4="pvp",15,MAX(0.1,Skills!D23-IF(Skills!E23=TRUE,Inputs!$B$31,0))),0)</f>
        <v/>
      </c>
    </row>
    <row r="671">
      <c r="A671">
        <f>Skills!A24</f>
        <v/>
      </c>
      <c r="B671">
        <f>Skills!B24</f>
        <v/>
      </c>
      <c r="C671">
        <f>Inputs!$B$3&gt;=74</f>
        <v/>
      </c>
      <c r="D671">
        <f>IF(Skills!C24=1,60+(Inputs!$B$24+1)+Inputs!$B$28,IF(Skills!C24=2,90+Inputs!$B$25+Inputs!$B$28,IF(Skills!C24=3,120+Inputs!$B$26+Inputs!$B$28,MAX(0,(Inputs!$B$3-100)*3)+Inputs!$B$27+Inputs!$B$28)))</f>
        <v/>
      </c>
      <c r="E671">
        <f>INDEX(FactorTable!$B$2:$Y$301, MATCH(ROUND(MIN(300,MAX(1,D671)),0), FactorTable!$A$2:$A$301,0), Skills!L24+1)</f>
        <v/>
      </c>
      <c r="F671">
        <f>IF(Skills!M24=TRUE,(Skills!K24/10)*(E671/1000),Skills!K24/10)+Skills!N24</f>
        <v/>
      </c>
      <c r="G671">
        <f>Calc!G24</f>
        <v/>
      </c>
      <c r="H671">
        <f>Calc!H24</f>
        <v/>
      </c>
      <c r="I671">
        <f>IF(Skills!T24&lt;&gt;"",1+(Skills!T24/10)*($Z$3/1000)/100,1)</f>
        <v/>
      </c>
      <c r="J671" t="inlineStr"/>
      <c r="K671" t="inlineStr"/>
      <c r="L671" t="inlineStr"/>
      <c r="M671" t="inlineStr"/>
      <c r="N671" t="inlineStr"/>
      <c r="O671" t="n">
        <v>0</v>
      </c>
      <c r="P671">
        <f>IF(B685=0,0,O671/B685)</f>
        <v/>
      </c>
      <c r="S671" t="n">
        <v>0</v>
      </c>
      <c r="V671">
        <f>IFERROR(1/IF(Inputs!$B$4="pvp",15,MAX(0.1,Skills!D24-IF(Skills!E24=TRUE,Inputs!$B$31,0))),0)</f>
        <v/>
      </c>
    </row>
    <row r="672">
      <c r="A672">
        <f>Skills!A25</f>
        <v/>
      </c>
      <c r="B672">
        <f>Skills!B25</f>
        <v/>
      </c>
      <c r="C672">
        <f>Inputs!$B$3&gt;=117</f>
        <v/>
      </c>
      <c r="D672">
        <f>IF(Skills!C25=1,60+(Inputs!$B$24+1)+Inputs!$B$28,IF(Skills!C25=2,90+Inputs!$B$25+Inputs!$B$28,IF(Skills!C25=3,120+Inputs!$B$26+Inputs!$B$28,MAX(0,(Inputs!$B$3-100)*3)+Inputs!$B$27+Inputs!$B$28)))</f>
        <v/>
      </c>
      <c r="E672">
        <f>INDEX(FactorTable!$B$2:$Y$301, MATCH(ROUND(MIN(300,MAX(1,D672)),0), FactorTable!$A$2:$A$301,0), Skills!L25+1)</f>
        <v/>
      </c>
      <c r="F672">
        <f>IF(Skills!M25=TRUE,(Skills!K25/10)*(E672/1000),Skills!K25/10)+Skills!N25</f>
        <v/>
      </c>
      <c r="G672">
        <f>Calc!G25</f>
        <v/>
      </c>
      <c r="H672">
        <f>Calc!H25</f>
        <v/>
      </c>
      <c r="I672">
        <f>IF(Skills!T25&lt;&gt;"",1+(Skills!T25/10)*($Z$3/1000)/100,1)</f>
        <v/>
      </c>
      <c r="J672" t="inlineStr"/>
      <c r="K672" t="inlineStr"/>
      <c r="L672" t="inlineStr"/>
      <c r="M672" t="inlineStr"/>
      <c r="N672" t="inlineStr"/>
      <c r="O672" t="n">
        <v>0</v>
      </c>
      <c r="P672">
        <f>IF(B685=0,0,O672/B685)</f>
        <v/>
      </c>
      <c r="S672" t="n">
        <v>0</v>
      </c>
      <c r="V672">
        <f>IFERROR(1/IF(Inputs!$B$4="pvp",15,MAX(0.1,Skills!D25-IF(Skills!E25=TRUE,Inputs!$B$31,0))),0)</f>
        <v/>
      </c>
    </row>
    <row r="673">
      <c r="A673">
        <f>Skills!A26</f>
        <v/>
      </c>
      <c r="B673">
        <f>Skills!B26</f>
        <v/>
      </c>
      <c r="C673">
        <f>Inputs!$B$3&gt;=120</f>
        <v/>
      </c>
      <c r="D673">
        <f>IF(Skills!C26=1,60+(Inputs!$B$24+1)+Inputs!$B$28,IF(Skills!C26=2,90+Inputs!$B$25+Inputs!$B$28,IF(Skills!C26=3,120+Inputs!$B$26+Inputs!$B$28,MAX(0,(Inputs!$B$3-100)*3)+Inputs!$B$27+Inputs!$B$28)))</f>
        <v/>
      </c>
      <c r="E673">
        <f>INDEX(FactorTable!$B$2:$Y$301, MATCH(ROUND(MIN(300,MAX(1,D673)),0), FactorTable!$A$2:$A$301,0), Skills!L26+1)</f>
        <v/>
      </c>
      <c r="F673">
        <f>IF(Skills!M26=TRUE,(Skills!K26/10)*(E673/1000),Skills!K26/10)+Skills!N26</f>
        <v/>
      </c>
      <c r="G673">
        <f>Calc!G26</f>
        <v/>
      </c>
      <c r="H673">
        <f>Calc!H26</f>
        <v/>
      </c>
      <c r="I673">
        <f>IF(Skills!T26&lt;&gt;"",1+(Skills!T26/10)*($Z$3/1000)/100,1)</f>
        <v/>
      </c>
      <c r="J673" t="inlineStr"/>
      <c r="K673" t="inlineStr"/>
      <c r="L673" t="inlineStr"/>
      <c r="M673" t="inlineStr"/>
      <c r="N673" t="inlineStr"/>
      <c r="O673" t="n">
        <v>0</v>
      </c>
      <c r="P673">
        <f>IF(B685=0,0,O673/B685)</f>
        <v/>
      </c>
      <c r="S673" t="n">
        <v>0</v>
      </c>
      <c r="V673">
        <f>IFERROR(1/IF(Inputs!$B$4="pvp",15,MAX(0.1,Skills!D26-IF(Skills!E26=TRUE,Inputs!$B$31,0))),0)</f>
        <v/>
      </c>
    </row>
    <row r="675">
      <c r="A675" t="inlineStr">
        <is>
          <t>Average Buff Multiplier</t>
        </is>
      </c>
      <c r="B675">
        <f>(1+(IF(C650=TRUE,F650*IF(AND(Inputs!$B$4&lt;&gt;"pvp",Inputs!$B$35&gt;0),(((S650-1)*(Skills!S3*(1+(Inputs!$B$33+IF(Inputs!$B$3&gt;=117,F672,0))/100))+MIN((Skills!S3*(1+(Inputs!$B$33+IF(Inputs!$B$3&gt;=117,F672,0))/100)),MAX(0,Inputs!$B$35-((S650-1)*Skills!D3))))/Inputs!$B$35),IF(Inputs!$B$4="pvp",MIN((Skills!S3*(1+(Inputs!$B$33+IF(Inputs!$B$3&gt;=117,F672,0))/100)),15)/15,(Skills!S3*(1+(Inputs!$B$33+IF(Inputs!$B$3&gt;=117,F672,0))/100))/Skills!D3)),0)+IF(C651=TRUE,F651*IF(AND(Inputs!$B$4&lt;&gt;"pvp",Inputs!$B$35&gt;0),(((S651-1)*(Skills!S4*(1+(Inputs!$B$33+IF(Inputs!$B$3&gt;=117,F672,0))/100))+MIN((Skills!S4*(1+(Inputs!$B$33+IF(Inputs!$B$3&gt;=117,F672,0))/100)),MAX(0,Inputs!$B$35-((S651-1)*Skills!D4))))/Inputs!$B$35),IF(Inputs!$B$4="pvp",MIN((Skills!S4*(1+(Inputs!$B$33+IF(Inputs!$B$3&gt;=117,F672,0))/100)),15)/15,(Skills!S4*(1+(Inputs!$B$33+IF(Inputs!$B$3&gt;=117,F672,0))/100))/Skills!D4)),0)+IF(C652=TRUE,F652*IF(AND(Inputs!$B$4&lt;&gt;"pvp",Inputs!$B$35&gt;0),(((S652-1)*(Skills!S5*(1+(Inputs!$B$33+IF(Inputs!$B$3&gt;=117,F672,0))/100))+MIN((Skills!S5*(1+(Inputs!$B$33+IF(Inputs!$B$3&gt;=117,F672,0))/100)),MAX(0,Inputs!$B$35-((S652-1)*Skills!D5))))/Inputs!$B$35),IF(Inputs!$B$4="pvp",MIN((Skills!S5*(1+(Inputs!$B$33+IF(Inputs!$B$3&gt;=117,F672,0))/100)),15)/15,(Skills!S5*(1+(Inputs!$B$33+IF(Inputs!$B$3&gt;=117,F672,0))/100))/Skills!D5)),0)+IF(C658=TRUE,F658*IF(AND(Inputs!$B$4&lt;&gt;"pvp",Inputs!$B$35&gt;0),(((S658-1)*(Skills!S11*(1+(Inputs!$B$33+IF(Inputs!$B$3&gt;=117,F672,0))/100))+MIN((Skills!S11*(1+(Inputs!$B$33+IF(Inputs!$B$3&gt;=117,F672,0))/100)),MAX(0,Inputs!$B$35-((S658-1)*Skills!D11))))/Inputs!$B$35),IF(Inputs!$B$4="pvp",MIN((Skills!S11*(1+(Inputs!$B$33+IF(Inputs!$B$3&gt;=117,F672,0))/100)),15)/15,(Skills!S11*(1+(Inputs!$B$33+IF(Inputs!$B$3&gt;=117,F672,0))/100))/Skills!D11)),0))/100)*IF(C660=TRUE,(1+F660*IF(AND(Inputs!$B$4&lt;&gt;"pvp",Inputs!$B$35&gt;0),(((S660-1)*(Skills!S13*(1+(Inputs!$B$33+IF(Inputs!$B$3&gt;=117,F672,0))/100))+MIN((Skills!S13*(1+(Inputs!$B$33+IF(Inputs!$B$3&gt;=117,F672,0))/100)),MAX(0,Inputs!$B$35-((S660-1)*Skills!D13))))/Inputs!$B$35),IF(Inputs!$B$4="pvp",MIN((Skills!S13*(1+(Inputs!$B$33+IF(Inputs!$B$3&gt;=117,F672,0))/100)),15)/15,(Skills!S13*(1+(Inputs!$B$33+IF(Inputs!$B$3&gt;=117,F672,0))/100))/Skills!D13))/100),1)*IF(C665=TRUE,(1+F665*IF(AND(Inputs!$B$4&lt;&gt;"pvp",Inputs!$B$35&gt;0),(((S665-1)*(Skills!S18*(1+(Inputs!$B$33+IF(Inputs!$B$3&gt;=117,F672,0))/100))+MIN((Skills!S18*(1+(Inputs!$B$33+IF(Inputs!$B$3&gt;=117,F672,0))/100)),MAX(0,Inputs!$B$35-((S665-1)*Skills!D18))))/Inputs!$B$35),IF(Inputs!$B$4="pvp",MIN((Skills!S18*(1+(Inputs!$B$33+IF(Inputs!$B$3&gt;=117,F672,0))/100)),15)/15,(Skills!S18*(1+(Inputs!$B$33+IF(Inputs!$B$3&gt;=117,F672,0))/100))/Skills!D18))/100),1)</f>
        <v/>
      </c>
    </row>
    <row r="676">
      <c r="A676" t="inlineStr">
        <is>
          <t>Monster Damage Taken Bonus % (Holy Fountain)</t>
        </is>
      </c>
      <c r="B676">
        <f>IF(Inputs!$B$3&gt;=68,20*IF(Inputs!$B$4="pvp",MIN((15*(1+(Inputs!$B$33+IF(Inputs!$B$3&gt;=117,F672,0))/100)),15)/15,(15*(1+(Inputs!$B$33+IF(Inputs!$B$3&gt;=117,F672,0))/100))/Skills!D10),0)</f>
        <v/>
      </c>
    </row>
    <row r="677">
      <c r="A677" t="inlineStr">
        <is>
          <t>Normal Monster Damage Bonus % (Holy Symbol)</t>
        </is>
      </c>
      <c r="B677">
        <f>IF(C659=TRUE,F659*IF(AND(Inputs!$B$4&lt;&gt;"pvp",Inputs!$B$35&gt;0),(((S659-1)*(Skills!S12*(1+(Inputs!$B$33+IF(Inputs!$B$3&gt;=117,F672,0))/100))+MIN((Skills!S12*(1+(Inputs!$B$33+IF(Inputs!$B$3&gt;=117,F672,0))/100)),MAX(0,Inputs!$B$35-((S659-1)*Skills!D12))))/Inputs!$B$35),IF(Inputs!$B$4="pvp",MIN((Skills!S12*(1+(Inputs!$B$33+IF(Inputs!$B$3&gt;=117,F672,0))/100)),15)/15,(Skills!S12*(1+(Inputs!$B$33+IF(Inputs!$B$3&gt;=117,F672,0))/100))/Skills!D12)),0)</f>
        <v/>
      </c>
    </row>
    <row r="678">
      <c r="A678" t="inlineStr">
        <is>
          <t>Damage % Bonus (Holy Symbol - Damage Boost)</t>
        </is>
      </c>
      <c r="B678">
        <f>Skills!O12</f>
        <v/>
      </c>
    </row>
    <row r="679">
      <c r="A679" t="inlineStr">
        <is>
          <t>Crit Damage % Bonus (Blood of the Divine)</t>
        </is>
      </c>
      <c r="B679">
        <f>4*IF(C666=TRUE,F666,0)</f>
        <v/>
      </c>
    </row>
    <row r="680">
      <c r="A680" t="inlineStr">
        <is>
          <t>Attack Speed Bonus %</t>
        </is>
      </c>
      <c r="B680">
        <f>IF(C663=TRUE,F663+(F667-Calc!F20),0)+IF(Inputs!$B$3&gt;=134,15,0)</f>
        <v/>
      </c>
    </row>
    <row r="681">
      <c r="A681" t="inlineStr">
        <is>
          <t>Actions Per Second</t>
        </is>
      </c>
      <c r="B681">
        <f>1+MIN(150,150*(1-(1-Inputs!$B$10/150)*(1-B680/150)))/100</f>
        <v/>
      </c>
    </row>
    <row r="682">
      <c r="A682" t="inlineStr">
        <is>
          <t>Skill + Buff Cast Rate</t>
        </is>
      </c>
      <c r="B682">
        <f>IF(AND(Inputs!$B$4&lt;&gt;"pvp",Inputs!$B$35&gt;0),SUMPRODUCT((Skills!E2:E26=TRUE)*(C649:C673=TRUE)*S649:S673)/Inputs!$B$35,SUMPRODUCT((Skills!E2:E26=TRUE)*(C649:C673=TRUE)*V649:V673))</f>
        <v/>
      </c>
    </row>
    <row r="683">
      <c r="A683" t="inlineStr">
        <is>
          <t>Big Bang Casts Per Second</t>
        </is>
      </c>
      <c r="B683">
        <f>MAX(0,B681-B682)</f>
        <v/>
      </c>
    </row>
    <row r="685">
      <c r="A685" s="5" t="inlineStr">
        <is>
          <t>TOTAL DPS</t>
        </is>
      </c>
      <c r="B685" s="5">
        <f>SUM(O649:O673)</f>
        <v/>
      </c>
    </row>
    <row r="688">
      <c r="A688" s="5" t="inlineStr">
        <is>
          <t>Stat: Skill Level Bonus — 2nd Job</t>
        </is>
      </c>
    </row>
    <row r="689">
      <c r="A689" s="8" t="inlineStr">
        <is>
          <t>Key</t>
        </is>
      </c>
      <c r="B689" s="8" t="inlineStr">
        <is>
          <t>Name</t>
        </is>
      </c>
      <c r="C689" s="8" t="inlineStr">
        <is>
          <t>Unlocked</t>
        </is>
      </c>
      <c r="D689" s="8" t="inlineStr">
        <is>
          <t>InputLevel</t>
        </is>
      </c>
      <c r="E689" s="8" t="inlineStr">
        <is>
          <t>Factor</t>
        </is>
      </c>
      <c r="F689" s="8" t="inlineStr">
        <is>
          <t>CoefficientPercent</t>
        </is>
      </c>
      <c r="G689" s="8" t="inlineStr">
        <is>
          <t>EffectiveHits</t>
        </is>
      </c>
      <c r="H689" s="8" t="inlineStr">
        <is>
          <t>ProcProbability</t>
        </is>
      </c>
      <c r="I689" s="8" t="inlineStr">
        <is>
          <t>MapleHeroMultiplier</t>
        </is>
      </c>
      <c r="J689" s="8" t="inlineStr">
        <is>
          <t>BaseDamage</t>
        </is>
      </c>
      <c r="K689" s="8" t="inlineStr">
        <is>
          <t>BaseHitDamage</t>
        </is>
      </c>
      <c r="L689" s="8" t="inlineStr">
        <is>
          <t>NonCritAvg</t>
        </is>
      </c>
      <c r="M689" s="8" t="inlineStr">
        <is>
          <t>CritAvg</t>
        </is>
      </c>
      <c r="N689" s="8" t="inlineStr">
        <is>
          <t>ExpectedDamage(perHit)</t>
        </is>
      </c>
      <c r="O689" s="8" t="inlineStr">
        <is>
          <t>DPS</t>
        </is>
      </c>
      <c r="P689" s="8" t="inlineStr">
        <is>
          <t>% of Total</t>
        </is>
      </c>
      <c r="R689" t="inlineStr">
        <is>
          <t>helpers</t>
        </is>
      </c>
    </row>
    <row r="690">
      <c r="A690">
        <f>Skills!A2</f>
        <v/>
      </c>
      <c r="B690">
        <f>Skills!B2</f>
        <v/>
      </c>
      <c r="C690">
        <f>Inputs!$B$3&gt;=100</f>
        <v/>
      </c>
      <c r="D690" t="inlineStr"/>
      <c r="E690" t="inlineStr"/>
      <c r="F690">
        <f>T692+Skills!N2</f>
        <v/>
      </c>
      <c r="G690">
        <f>Calc!G2</f>
        <v/>
      </c>
      <c r="H690">
        <f>Calc!H2</f>
        <v/>
      </c>
      <c r="I690">
        <f>IF(Skills!T2&lt;&gt;"",1+(Skills!T2/10)*($Z$3/1000)/100,1)</f>
        <v/>
      </c>
      <c r="J690">
        <f>((Inputs!$B$5*(1+Inputs!$B$6/100))+((Inputs!$B$11*(1+Inputs!$B$12/100))-(Inputs!$B$11*(1+Inputs!$B$12/100)))*(1+Inputs!$B$6/100))*(F690/100)</f>
        <v/>
      </c>
      <c r="K690">
        <f>J690*(1+((Inputs!$B$11*(1+Inputs!$B$12/100))*0.01+Inputs!$B$13*0.0025)/100)*(1+(Inputs!$B$14+B719)/100)*(1+IF(Inputs!$B$4="pvp",0,(1-Summary!$B$48)*(Inputs!$B$19+Skills!O2+B717)+Summary!$B$48*(Inputs!$B$20+Skills!P2+B718))/100)*(1+Inputs!$B$15/100)*(5000/(6000+Inputs!$B$7*(1-Inputs!$B$18/100)))*(1+Inputs!$B$23/100)*(1+IF(C705=TRUE,F705,0)/100)*(1+IF(C707=TRUE,F707,0)/100)*(1+IF(Skills!A2="TRIUMPH_FEATHER",IF(C703=TRUE,F703,0),0)/100)*(1+IF(C714=TRUE,F714,0)/100)^5*(1+(IF(Skills!A2="BIG_BANG",Inputs!$B$16,Inputs!$B$17))/100)*(B716*I690)</f>
        <v/>
      </c>
      <c r="L690">
        <f>K690*(MIN(Inputs!$B$21+(F709-Calc!F21),Inputs!$B$22)/100+Inputs!$B$22/100)/2</f>
        <v/>
      </c>
      <c r="M690">
        <f>L690*(1+(Inputs!$B$9+B720+(F712-Calc!F24))/100)</f>
        <v/>
      </c>
      <c r="N690">
        <f>L690*(1-MIN(Inputs!$B$8+((F711-Calc!F23)+(F710-Calc!F22)),100)/100)+M690*(MIN(Inputs!$B$8+((F711-Calc!F23)+(F710-Calc!F22)),100)/100)</f>
        <v/>
      </c>
      <c r="O690">
        <f>IF(C690,Skills!F2*N690*B724*IF(Inputs!$B$4="pvp",1,(1-Summary!$B$48)*(1)+Summary!$B$48*(MIN((6+Inputs!$B$32),Inputs!$B$37))),0)</f>
        <v/>
      </c>
      <c r="P690">
        <f>IF(B726=0,0,O690/B726)</f>
        <v/>
      </c>
      <c r="S690" t="n">
        <v>0</v>
      </c>
      <c r="T690">
        <f>MAX(0,(Inputs!$B$3-100)*3)+Inputs!$B$27+Inputs!$B$28</f>
        <v/>
      </c>
      <c r="V690">
        <f>IFERROR(1/IF(Inputs!$B$4="pvp",15,MAX(0.1,Skills!D2-IF(Skills!E2=TRUE,Inputs!$B$31,0))),0)</f>
        <v/>
      </c>
    </row>
    <row r="691">
      <c r="A691">
        <f>Skills!A3</f>
        <v/>
      </c>
      <c r="B691">
        <f>Skills!B3</f>
        <v/>
      </c>
      <c r="C691">
        <f>Inputs!$B$3&gt;=15</f>
        <v/>
      </c>
      <c r="D691">
        <f>IF(Skills!C3=1,60+Inputs!$B$24+Inputs!$B$28,IF(Skills!C3=2,90+(Inputs!$B$25+1)+Inputs!$B$28,IF(Skills!C3=3,120+Inputs!$B$26+Inputs!$B$28,MAX(0,(Inputs!$B$3-100)*3)+Inputs!$B$27+Inputs!$B$28)))</f>
        <v/>
      </c>
      <c r="E691">
        <f>INDEX(FactorTable!$B$2:$Y$301, MATCH(ROUND(MIN(300,MAX(1,D691)),0), FactorTable!$A$2:$A$301,0), Skills!L3+1)</f>
        <v/>
      </c>
      <c r="F691">
        <f>IF(Skills!M3=TRUE,(Skills!K3/10)*(E691/1000),Skills!K3/10)+Skills!N3</f>
        <v/>
      </c>
      <c r="G691">
        <f>Calc!G3</f>
        <v/>
      </c>
      <c r="H691">
        <f>Calc!H3</f>
        <v/>
      </c>
      <c r="I691">
        <f>IF(Skills!T3&lt;&gt;"",1+(Skills!T3/10)*($Z$3/1000)/100,1)</f>
        <v/>
      </c>
      <c r="J691" t="inlineStr"/>
      <c r="K691" t="inlineStr"/>
      <c r="L691" t="inlineStr"/>
      <c r="M691" t="inlineStr"/>
      <c r="N691" t="inlineStr"/>
      <c r="O691" t="n">
        <v>0</v>
      </c>
      <c r="P691">
        <f>IF(B726=0,0,O691/B726)</f>
        <v/>
      </c>
      <c r="S691">
        <f>IF(AND(Inputs!$B$4&lt;&gt;"pvp",Inputs!$B$35&gt;0),(INT(Inputs!$B$35/IF(Inputs!$B$4="pvp",15,MAX(0.1,Skills!D3-IF(Skills!E3=TRUE,Inputs!$B$31,0))))+1),0)</f>
        <v/>
      </c>
      <c r="T691">
        <f>INDEX(FactorTable!$B$2:$Y$301, MATCH(ROUND(MIN(300,MAX(1,T690)),0), FactorTable!$A$2:$A$301,0), 22)</f>
        <v/>
      </c>
      <c r="V691">
        <f>IFERROR(1/IF(Inputs!$B$4="pvp",15,MAX(0.1,Skills!D3-IF(Skills!E3=TRUE,Inputs!$B$31,0))),0)</f>
        <v/>
      </c>
    </row>
    <row r="692">
      <c r="A692">
        <f>Skills!A4</f>
        <v/>
      </c>
      <c r="B692">
        <f>Skills!B4</f>
        <v/>
      </c>
      <c r="C692">
        <f>Inputs!$B$3&gt;=38</f>
        <v/>
      </c>
      <c r="D692">
        <f>IF(Skills!C4=1,60+Inputs!$B$24+Inputs!$B$28,IF(Skills!C4=2,90+(Inputs!$B$25+1)+Inputs!$B$28,IF(Skills!C4=3,120+Inputs!$B$26+Inputs!$B$28,MAX(0,(Inputs!$B$3-100)*3)+Inputs!$B$27+Inputs!$B$28)))</f>
        <v/>
      </c>
      <c r="E692">
        <f>INDEX(FactorTable!$B$2:$Y$301, MATCH(ROUND(MIN(300,MAX(1,D692)),0), FactorTable!$A$2:$A$301,0), Skills!L4+1)</f>
        <v/>
      </c>
      <c r="F692">
        <f>IF(Skills!M4=TRUE,(Skills!K4/10)*(E692/1000),Skills!K4/10)+Skills!N4</f>
        <v/>
      </c>
      <c r="G692">
        <f>Calc!G4</f>
        <v/>
      </c>
      <c r="H692">
        <f>Calc!H4</f>
        <v/>
      </c>
      <c r="I692">
        <f>IF(Skills!T4&lt;&gt;"",1+(Skills!T4/10)*($Z$3/1000)/100,1)</f>
        <v/>
      </c>
      <c r="J692" t="inlineStr"/>
      <c r="K692" t="inlineStr"/>
      <c r="L692" t="inlineStr"/>
      <c r="M692" t="inlineStr"/>
      <c r="N692" t="inlineStr"/>
      <c r="O692" t="n">
        <v>0</v>
      </c>
      <c r="P692">
        <f>IF(B726=0,0,O692/B726)</f>
        <v/>
      </c>
      <c r="S692">
        <f>IF(AND(Inputs!$B$4&lt;&gt;"pvp",Inputs!$B$35&gt;0),(INT(Inputs!$B$35/IF(Inputs!$B$4="pvp",15,MAX(0.1,Skills!D4-IF(Skills!E4=TRUE,Inputs!$B$31,0))))+1),0)</f>
        <v/>
      </c>
      <c r="T692">
        <f>290*T691/1000</f>
        <v/>
      </c>
      <c r="V692">
        <f>IFERROR(1/IF(Inputs!$B$4="pvp",15,MAX(0.1,Skills!D4-IF(Skills!E4=TRUE,Inputs!$B$31,0))),0)</f>
        <v/>
      </c>
    </row>
    <row r="693">
      <c r="A693">
        <f>Skills!A5</f>
        <v/>
      </c>
      <c r="B693">
        <f>Skills!B5</f>
        <v/>
      </c>
      <c r="C693">
        <f>Inputs!$B$3&gt;=40</f>
        <v/>
      </c>
      <c r="D693">
        <f>IF(Skills!C5=1,60+Inputs!$B$24+Inputs!$B$28,IF(Skills!C5=2,90+(Inputs!$B$25+1)+Inputs!$B$28,IF(Skills!C5=3,120+Inputs!$B$26+Inputs!$B$28,MAX(0,(Inputs!$B$3-100)*3)+Inputs!$B$27+Inputs!$B$28)))</f>
        <v/>
      </c>
      <c r="E693">
        <f>INDEX(FactorTable!$B$2:$Y$301, MATCH(ROUND(MIN(300,MAX(1,D693)),0), FactorTable!$A$2:$A$301,0), Skills!L5+1)</f>
        <v/>
      </c>
      <c r="F693">
        <f>IF(Skills!M5=TRUE,(Skills!K5/10)*(E693/1000),Skills!K5/10)+Skills!N5</f>
        <v/>
      </c>
      <c r="G693">
        <f>Calc!G5</f>
        <v/>
      </c>
      <c r="H693">
        <f>Calc!H5</f>
        <v/>
      </c>
      <c r="I693">
        <f>IF(Skills!T5&lt;&gt;"",1+(Skills!T5/10)*($Z$3/1000)/100,1)</f>
        <v/>
      </c>
      <c r="J693" t="inlineStr"/>
      <c r="K693" t="inlineStr"/>
      <c r="L693" t="inlineStr"/>
      <c r="M693" t="inlineStr"/>
      <c r="N693" t="inlineStr"/>
      <c r="O693" t="n">
        <v>0</v>
      </c>
      <c r="P693">
        <f>IF(B726=0,0,O693/B726)</f>
        <v/>
      </c>
      <c r="S693">
        <f>IF(AND(Inputs!$B$4&lt;&gt;"pvp",Inputs!$B$35&gt;0),(INT(Inputs!$B$35/IF(Inputs!$B$4="pvp",15,MAX(0.1,Skills!D5-IF(Skills!E5=TRUE,Inputs!$B$31,0))))+1),0)</f>
        <v/>
      </c>
      <c r="V693">
        <f>IFERROR(1/IF(Inputs!$B$4="pvp",15,MAX(0.1,Skills!D5-IF(Skills!E5=TRUE,Inputs!$B$31,0))),0)</f>
        <v/>
      </c>
    </row>
    <row r="694">
      <c r="A694">
        <f>Skills!A6</f>
        <v/>
      </c>
      <c r="B694">
        <f>Skills!B6</f>
        <v/>
      </c>
      <c r="C694">
        <f>Inputs!$B$3&gt;=103</f>
        <v/>
      </c>
      <c r="D694">
        <f>IF(Skills!C6=1,60+Inputs!$B$24+Inputs!$B$28,IF(Skills!C6=2,90+(Inputs!$B$25+1)+Inputs!$B$28,IF(Skills!C6=3,120+Inputs!$B$26+Inputs!$B$28,MAX(0,(Inputs!$B$3-100)*3)+Inputs!$B$27+Inputs!$B$28)))</f>
        <v/>
      </c>
      <c r="E694">
        <f>INDEX(FactorTable!$B$2:$Y$301, MATCH(ROUND(MIN(300,MAX(1,D694)),0), FactorTable!$A$2:$A$301,0), Skills!L6+1)</f>
        <v/>
      </c>
      <c r="F694">
        <f>IF(Skills!M6=TRUE,(Skills!K6/10)*(E694/1000),Skills!K6/10)+Skills!N6</f>
        <v/>
      </c>
      <c r="G694">
        <f>Calc!G6</f>
        <v/>
      </c>
      <c r="H694">
        <f>Calc!H6</f>
        <v/>
      </c>
      <c r="I694">
        <f>IF(Skills!T6&lt;&gt;"",1+(Skills!T6/10)*($Z$3/1000)/100,1)</f>
        <v/>
      </c>
      <c r="J694">
        <f>((Inputs!$B$5*(1+Inputs!$B$6/100))+((Inputs!$B$11*(1+Inputs!$B$12/100))-(Inputs!$B$11*(1+Inputs!$B$12/100)))*(1+Inputs!$B$6/100))*(F694/100)</f>
        <v/>
      </c>
      <c r="K694">
        <f>J694*(1+((Inputs!$B$11*(1+Inputs!$B$12/100))*0.01+Inputs!$B$13*0.0025)/100)*(1+(Inputs!$B$14+B719)/100)*(1+IF(Inputs!$B$4="pvp",0,(1-Summary!$B$48)*(Inputs!$B$19+Skills!O6+B717)+Summary!$B$48*(Inputs!$B$20+Skills!P6+B718))/100)*(1+Inputs!$B$15/100)*(5000/(6000+Inputs!$B$7*(1-Inputs!$B$18/100)))*(1+Inputs!$B$23/100)*(1+IF(C705=TRUE,F705,0)/100)*(1+IF(C707=TRUE,F707,0)/100)*(1+IF(Skills!A6="TRIUMPH_FEATHER",IF(C703=TRUE,F703,0),0)/100)*(1+IF(C714=TRUE,F714,0)/100)^5*(1+(IF(Skills!A6="BIG_BANG",Inputs!$B$16,Inputs!$B$17))/100)*(B716*I694)</f>
        <v/>
      </c>
      <c r="L694">
        <f>K694*(MIN(Inputs!$B$21+(F709-Calc!F21),Inputs!$B$22)/100+Inputs!$B$22/100)/2</f>
        <v/>
      </c>
      <c r="M694">
        <f>L694*(1+(Inputs!$B$9+B720+(F712-Calc!F24))/100)</f>
        <v/>
      </c>
      <c r="N694">
        <f>L694*(1-MIN(Inputs!$B$8+((F711-Calc!F23)+(F710-Calc!F22)),100)/100)+M694*(MIN(Inputs!$B$8+((F711-Calc!F23)+(F710-Calc!F22)),100)/100)</f>
        <v/>
      </c>
      <c r="O694">
        <f>IF(C694,H694*N694*IF(AND(Inputs!$B$4&lt;&gt;"pvp",Inputs!$B$35&gt;0),((Skills!F6*((S694-1)*IF(Skills!G6&gt;0,Skills!H6/Skills!G6,1)+IF(Skills!G6&gt;0,MIN(Skills!H6,MAX(0,Inputs!$B$35-((S694-1)*IF(Inputs!$B$4="pvp",15,MAX(0.1,Skills!D6-IF(Skills!E6=TRUE,Inputs!$B$31,0))))))/Skills!G6,1)))/Inputs!$B$35),G694*V694)*IF(Inputs!$B$4="pvp",1,(1-Summary!$B$48)*(1)+Summary!$B$48*(MIN(Skills!Q6,Inputs!$B$37))),0)</f>
        <v/>
      </c>
      <c r="P694">
        <f>IF(B726=0,0,O694/B726)</f>
        <v/>
      </c>
      <c r="S694">
        <f>IF(AND(Inputs!$B$4&lt;&gt;"pvp",Inputs!$B$35&gt;0),(INT(Inputs!$B$35/IF(Inputs!$B$4="pvp",15,MAX(0.1,Skills!D6-IF(Skills!E6=TRUE,Inputs!$B$31,0))))+1),0)</f>
        <v/>
      </c>
      <c r="V694">
        <f>IFERROR(1/IF(Inputs!$B$4="pvp",15,MAX(0.1,Skills!D6-IF(Skills!E6=TRUE,Inputs!$B$31,0))),0)</f>
        <v/>
      </c>
    </row>
    <row r="695">
      <c r="A695">
        <f>Skills!A7</f>
        <v/>
      </c>
      <c r="B695">
        <f>Skills!B7</f>
        <v/>
      </c>
      <c r="C695">
        <f>Inputs!$B$3&gt;=122</f>
        <v/>
      </c>
      <c r="D695">
        <f>IF(Skills!C7=1,60+Inputs!$B$24+Inputs!$B$28,IF(Skills!C7=2,90+(Inputs!$B$25+1)+Inputs!$B$28,IF(Skills!C7=3,120+Inputs!$B$26+Inputs!$B$28,MAX(0,(Inputs!$B$3-100)*3)+Inputs!$B$27+Inputs!$B$28)))</f>
        <v/>
      </c>
      <c r="E695">
        <f>INDEX(FactorTable!$B$2:$Y$301, MATCH(ROUND(MIN(300,MAX(1,D695)),0), FactorTable!$A$2:$A$301,0), Skills!L7+1)</f>
        <v/>
      </c>
      <c r="F695">
        <f>IF(Skills!M7=TRUE,(Skills!K7/10)*(E695/1000),Skills!K7/10)+Skills!N7</f>
        <v/>
      </c>
      <c r="G695">
        <f>Calc!G7</f>
        <v/>
      </c>
      <c r="H695">
        <f>Calc!H7</f>
        <v/>
      </c>
      <c r="I695">
        <f>IF(Skills!T7&lt;&gt;"",1+(Skills!T7/10)*($Z$3/1000)/100,1)</f>
        <v/>
      </c>
      <c r="J695">
        <f>((Inputs!$B$5*(1+Inputs!$B$6/100))+((Inputs!$B$11*(1+Inputs!$B$12/100))-(Inputs!$B$11*(1+Inputs!$B$12/100)))*(1+Inputs!$B$6/100))*(F695/100)</f>
        <v/>
      </c>
      <c r="K695">
        <f>J695*(1+((Inputs!$B$11*(1+Inputs!$B$12/100))*0.01+Inputs!$B$13*0.0025)/100)*(1+(Inputs!$B$14+B719)/100)*(1+IF(Inputs!$B$4="pvp",0,(1-Summary!$B$48)*(Inputs!$B$19+Skills!O7+B717)+Summary!$B$48*(Inputs!$B$20+Skills!P7+B718))/100)*(1+Inputs!$B$15/100)*(5000/(6000+Inputs!$B$7*(1-Inputs!$B$18/100)))*(1+Inputs!$B$23/100)*(1+IF(C705=TRUE,F705,0)/100)*(1+IF(C707=TRUE,F707,0)/100)*(1+IF(Skills!A7="TRIUMPH_FEATHER",IF(C703=TRUE,F703,0),0)/100)*(1+IF(C714=TRUE,F714,0)/100)^5*(1+(IF(Skills!A7="BIG_BANG",Inputs!$B$16,Inputs!$B$17))/100)*(B716*I695)</f>
        <v/>
      </c>
      <c r="L695">
        <f>K695*(MIN(Inputs!$B$21+(F709-Calc!F21),Inputs!$B$22)/100+Inputs!$B$22/100)/2</f>
        <v/>
      </c>
      <c r="M695">
        <f>L695*(1+(Inputs!$B$9+B720+(F712-Calc!F24))/100)</f>
        <v/>
      </c>
      <c r="N695">
        <f>L695*(1-MIN(Inputs!$B$8+((F711-Calc!F23)+(F710-Calc!F22)),100)/100)+M695*(MIN(Inputs!$B$8+((F711-Calc!F23)+(F710-Calc!F22)),100)/100)</f>
        <v/>
      </c>
      <c r="O695">
        <f>IF(C695,H695*N695*IF(AND(Inputs!$B$4&lt;&gt;"pvp",Inputs!$B$35&gt;0),((Skills!F7*((S695-1)*IF(Skills!G7&gt;0,Skills!H7/Skills!G7,1)+IF(Skills!G7&gt;0,MIN(Skills!H7,MAX(0,Inputs!$B$35-((S695-1)*IF(Inputs!$B$4="pvp",15,MAX(0.1,Skills!D7-IF(Skills!E6=TRUE,Inputs!$B$31,0))))))/Skills!G7,1)))/Inputs!$B$35),G695*V695)*(1-Summary!$B$48),0)</f>
        <v/>
      </c>
      <c r="P695">
        <f>IF(B726=0,0,O695/B726)</f>
        <v/>
      </c>
      <c r="S695">
        <f>IF(AND(Inputs!$B$4&lt;&gt;"pvp",Inputs!$B$35&gt;0),(INT(Inputs!$B$35/IF(Inputs!$B$4="pvp",15,MAX(0.1,Skills!D7-IF(Skills!E6=TRUE,Inputs!$B$31,0))))+1),0)</f>
        <v/>
      </c>
      <c r="V695">
        <f>IFERROR(1/IF(Inputs!$B$4="pvp",15,MAX(0.1,Skills!D7-IF(Skills!E6=TRUE,Inputs!$B$31,0))),0)</f>
        <v/>
      </c>
    </row>
    <row r="696">
      <c r="A696">
        <f>Skills!A8</f>
        <v/>
      </c>
      <c r="B696">
        <f>Skills!B8</f>
        <v/>
      </c>
      <c r="C696">
        <f>Inputs!$B$3&gt;=105</f>
        <v/>
      </c>
      <c r="D696">
        <f>IF(Skills!C8=1,60+Inputs!$B$24+Inputs!$B$28,IF(Skills!C8=2,90+(Inputs!$B$25+1)+Inputs!$B$28,IF(Skills!C8=3,120+Inputs!$B$26+Inputs!$B$28,MAX(0,(Inputs!$B$3-100)*3)+Inputs!$B$27+Inputs!$B$28)))</f>
        <v/>
      </c>
      <c r="E696">
        <f>INDEX(FactorTable!$B$2:$Y$301, MATCH(ROUND(MIN(300,MAX(1,D696)),0), FactorTable!$A$2:$A$301,0), Skills!L8+1)</f>
        <v/>
      </c>
      <c r="F696">
        <f>IF(Skills!M8=TRUE,(Skills!K8/10)*(E696/1000),Skills!K8/10)+Skills!N8</f>
        <v/>
      </c>
      <c r="G696">
        <f>Calc!G8</f>
        <v/>
      </c>
      <c r="H696">
        <f>Calc!H8</f>
        <v/>
      </c>
      <c r="I696">
        <f>IF(Skills!T8&lt;&gt;"",1+(Skills!T8/10)*($Z$3/1000)/100,1)</f>
        <v/>
      </c>
      <c r="J696">
        <f>((Inputs!$B$5*(1+Inputs!$B$6/100))+((Inputs!$B$11*(1+Inputs!$B$12/100))-(Inputs!$B$11*(1+Inputs!$B$12/100)))*(1+Inputs!$B$6/100))*(F696/100)</f>
        <v/>
      </c>
      <c r="K696">
        <f>J696*(1+((Inputs!$B$11*(1+Inputs!$B$12/100))*0.01+Inputs!$B$13*0.0025)/100)*(1+(Inputs!$B$14+B719)/100)*(1+IF(Inputs!$B$4="pvp",0,(1-Summary!$B$48)*(Inputs!$B$19+Skills!O8+B717)+Summary!$B$48*(Inputs!$B$20+Skills!P8+B718))/100)*(1+Inputs!$B$15/100)*(5000/(6000+Inputs!$B$7*(1-Inputs!$B$18/100)))*(1+Inputs!$B$23/100)*(1+IF(C705=TRUE,F705,0)/100)*(1+IF(C707=TRUE,F707,0)/100)*(1+IF(Skills!A8="TRIUMPH_FEATHER",IF(C703=TRUE,F703,0),0)/100)*(1+IF(C714=TRUE,F714,0)/100)^5*(1+(IF(Skills!A8="BIG_BANG",Inputs!$B$16,Inputs!$B$17))/100)*(B716*I696)</f>
        <v/>
      </c>
      <c r="L696">
        <f>K696*(MIN(Inputs!$B$21+(F709-Calc!F21),Inputs!$B$22)/100+Inputs!$B$22/100)/2</f>
        <v/>
      </c>
      <c r="M696">
        <f>L696*(1+(Inputs!$B$9+B720+(F712-Calc!F24))/100)</f>
        <v/>
      </c>
      <c r="N696">
        <f>L696*(1-MIN(Inputs!$B$8+((F711-Calc!F23)+(F710-Calc!F22)),100)/100)+M696*(MIN(Inputs!$B$8+((F711-Calc!F23)+(F710-Calc!F22)),100)/100)</f>
        <v/>
      </c>
      <c r="O696">
        <f>IF(C696,H696*N696*IF(AND(Inputs!$B$4&lt;&gt;"pvp",Inputs!$B$35&gt;0),((Skills!F8*((S696-1)*IF(Skills!G8&gt;0,Skills!H8/Skills!G8,1)+IF(Skills!G8&gt;0,MIN(Skills!H8,MAX(0,Inputs!$B$35-((S696-1)*IF(Inputs!$B$4="pvp",15,MAX(0.1,Skills!D8-IF(Skills!E8=TRUE,Inputs!$B$31,0))))))/Skills!G8,1)))/Inputs!$B$35),G696*V696)*IF(Inputs!$B$4="pvp",1,(1-Summary!$B$48)*(1)+Summary!$B$48*(MIN(Skills!Q8,Inputs!$B$37))),0)</f>
        <v/>
      </c>
      <c r="P696">
        <f>IF(B726=0,0,O696/B726)</f>
        <v/>
      </c>
      <c r="S696">
        <f>IF(AND(Inputs!$B$4&lt;&gt;"pvp",Inputs!$B$35&gt;0),(INT(Inputs!$B$35/IF(Inputs!$B$4="pvp",15,MAX(0.1,Skills!D8-IF(Skills!E8=TRUE,Inputs!$B$31,0))))+1),0)</f>
        <v/>
      </c>
      <c r="V696">
        <f>IFERROR(1/IF(Inputs!$B$4="pvp",15,MAX(0.1,Skills!D8-IF(Skills!E8=TRUE,Inputs!$B$31,0))),0)</f>
        <v/>
      </c>
    </row>
    <row r="697">
      <c r="A697">
        <f>Skills!A9</f>
        <v/>
      </c>
      <c r="B697">
        <f>Skills!B9</f>
        <v/>
      </c>
      <c r="C697">
        <f>Inputs!$B$3&gt;=115</f>
        <v/>
      </c>
      <c r="D697">
        <f>IF(Skills!C9=1,60+Inputs!$B$24+Inputs!$B$28,IF(Skills!C9=2,90+(Inputs!$B$25+1)+Inputs!$B$28,IF(Skills!C9=3,120+Inputs!$B$26+Inputs!$B$28,MAX(0,(Inputs!$B$3-100)*3)+Inputs!$B$27+Inputs!$B$28)))</f>
        <v/>
      </c>
      <c r="E697">
        <f>INDEX(FactorTable!$B$2:$Y$301, MATCH(ROUND(MIN(300,MAX(1,D697)),0), FactorTable!$A$2:$A$301,0), Skills!L9+1)</f>
        <v/>
      </c>
      <c r="F697">
        <f>IF(Skills!M9=TRUE,(Skills!K9/10)*(E697/1000),Skills!K9/10)+Skills!N9</f>
        <v/>
      </c>
      <c r="G697">
        <f>Calc!G9</f>
        <v/>
      </c>
      <c r="H697">
        <f>Calc!H9</f>
        <v/>
      </c>
      <c r="I697">
        <f>IF(Skills!T9&lt;&gt;"",1+(Skills!T9/10)*($Z$3/1000)/100,1)</f>
        <v/>
      </c>
      <c r="J697">
        <f>((Inputs!$B$5*(1+Inputs!$B$6/100))+((Inputs!$B$11*(1+Inputs!$B$12/100))-(Inputs!$B$11*(1+Inputs!$B$12/100)))*(1+Inputs!$B$6/100))*(F697/100)</f>
        <v/>
      </c>
      <c r="K697">
        <f>J697*(1+((Inputs!$B$11*(1+Inputs!$B$12/100))*0.01+Inputs!$B$13*0.0025)/100)*(1+(Inputs!$B$14+B719)/100)*(1+IF(Inputs!$B$4="pvp",0,(1-Summary!$B$48)*(Inputs!$B$19+Skills!O9+B717)+Summary!$B$48*(Inputs!$B$20+Skills!P9+B718))/100)*(1+Inputs!$B$15/100)*(5000/(6000+Inputs!$B$7*(1-Inputs!$B$18/100)))*(1+Inputs!$B$23/100)*(1+IF(C705=TRUE,F705,0)/100)*(1+IF(C707=TRUE,F707,0)/100)*(1+IF(Skills!A9="TRIUMPH_FEATHER",IF(C703=TRUE,F703,0),0)/100)*(1+IF(C714=TRUE,F714,0)/100)^5*(1+(IF(Skills!A9="BIG_BANG",Inputs!$B$16,Inputs!$B$17))/100)*(B716*I697)</f>
        <v/>
      </c>
      <c r="L697">
        <f>K697*(MIN(Inputs!$B$21+(F709-Calc!F21),Inputs!$B$22)/100+Inputs!$B$22/100)/2</f>
        <v/>
      </c>
      <c r="M697">
        <f>L697*(1+(Inputs!$B$9+B720+(F712-Calc!F24))/100)</f>
        <v/>
      </c>
      <c r="N697">
        <f>L697*(1-MIN(Inputs!$B$8+((F711-Calc!F23)+(F710-Calc!F22)),100)/100)+M697*(MIN(Inputs!$B$8+((F711-Calc!F23)+(F710-Calc!F22)),100)/100)</f>
        <v/>
      </c>
      <c r="O697">
        <f>IF(C697,H697*N697*IF(AND(Inputs!$B$4&lt;&gt;"pvp",Inputs!$B$35&gt;0),((Skills!F9*((S697-1)*IF(Skills!G9&gt;0,Skills!H9/Skills!G9,1)+IF(Skills!G9&gt;0,MIN(Skills!H9,MAX(0,Inputs!$B$35-((S697-1)*IF(Inputs!$B$4="pvp",15,MAX(0.1,Skills!D9-IF(Skills!E9=TRUE,Inputs!$B$31,0))))))/Skills!G9,1)))/Inputs!$B$35),G697*V697)*IF(Inputs!$B$4="pvp",1,(1-Summary!$B$48)*(1)+Summary!$B$48*(MIN(Skills!Q9,Inputs!$B$37))),0)</f>
        <v/>
      </c>
      <c r="P697">
        <f>IF(B726=0,0,O697/B726)</f>
        <v/>
      </c>
      <c r="S697">
        <f>IF(AND(Inputs!$B$4&lt;&gt;"pvp",Inputs!$B$35&gt;0),(INT(Inputs!$B$35/IF(Inputs!$B$4="pvp",15,MAX(0.1,Skills!D9-IF(Skills!E9=TRUE,Inputs!$B$31,0))))+1),0)</f>
        <v/>
      </c>
      <c r="V697">
        <f>IFERROR(1/IF(Inputs!$B$4="pvp",15,MAX(0.1,Skills!D9-IF(Skills!E9=TRUE,Inputs!$B$31,0))),0)</f>
        <v/>
      </c>
    </row>
    <row r="698">
      <c r="A698">
        <f>Skills!A10</f>
        <v/>
      </c>
      <c r="B698">
        <f>Skills!B10</f>
        <v/>
      </c>
      <c r="C698">
        <f>Inputs!$B$3&gt;=66</f>
        <v/>
      </c>
      <c r="D698">
        <f>IF(Skills!C10=1,60+Inputs!$B$24+Inputs!$B$28,IF(Skills!C10=2,90+(Inputs!$B$25+1)+Inputs!$B$28,IF(Skills!C10=3,120+Inputs!$B$26+Inputs!$B$28,MAX(0,(Inputs!$B$3-100)*3)+Inputs!$B$27+Inputs!$B$28)))</f>
        <v/>
      </c>
      <c r="E698">
        <f>INDEX(FactorTable!$B$2:$Y$301, MATCH(ROUND(MIN(300,MAX(1,D698)),0), FactorTable!$A$2:$A$301,0), Skills!L10+1)</f>
        <v/>
      </c>
      <c r="F698" t="n">
        <v>0</v>
      </c>
      <c r="G698">
        <f>Calc!G10</f>
        <v/>
      </c>
      <c r="H698">
        <f>Calc!H10</f>
        <v/>
      </c>
      <c r="I698">
        <f>IF(Skills!T10&lt;&gt;"",1+(Skills!T10/10)*($Z$3/1000)/100,1)</f>
        <v/>
      </c>
      <c r="J698" t="inlineStr"/>
      <c r="K698" t="inlineStr"/>
      <c r="L698" t="inlineStr"/>
      <c r="M698" t="inlineStr"/>
      <c r="N698" t="inlineStr"/>
      <c r="O698" t="n">
        <v>0</v>
      </c>
      <c r="P698">
        <f>IF(B726=0,0,O698/B726)</f>
        <v/>
      </c>
      <c r="S698">
        <f>IF(AND(Inputs!$B$4&lt;&gt;"pvp",Inputs!$B$35&gt;0),(INT(Inputs!$B$35/IF(Inputs!$B$4="pvp",15,MAX(0.1,Skills!D10-IF(Skills!E10=TRUE,Inputs!$B$31,0))))+1),0)</f>
        <v/>
      </c>
      <c r="V698">
        <f>IFERROR(1/IF(Inputs!$B$4="pvp",15,MAX(0.1,Skills!D10-IF(Skills!E10=TRUE,Inputs!$B$31,0))),0)</f>
        <v/>
      </c>
    </row>
    <row r="699">
      <c r="A699">
        <f>Skills!A11</f>
        <v/>
      </c>
      <c r="B699">
        <f>Skills!B11</f>
        <v/>
      </c>
      <c r="C699">
        <f>Inputs!$B$3&gt;=69</f>
        <v/>
      </c>
      <c r="D699">
        <f>IF(Skills!C11=1,60+Inputs!$B$24+Inputs!$B$28,IF(Skills!C11=2,90+(Inputs!$B$25+1)+Inputs!$B$28,IF(Skills!C11=3,120+Inputs!$B$26+Inputs!$B$28,MAX(0,(Inputs!$B$3-100)*3)+Inputs!$B$27+Inputs!$B$28)))</f>
        <v/>
      </c>
      <c r="E699">
        <f>INDEX(FactorTable!$B$2:$Y$301, MATCH(ROUND(MIN(300,MAX(1,D699)),0), FactorTable!$A$2:$A$301,0), Skills!L11+1)</f>
        <v/>
      </c>
      <c r="F699">
        <f>IF(Skills!M11=TRUE,(Skills!K11/10)*(E699/1000),Skills!K11/10)+Skills!N11</f>
        <v/>
      </c>
      <c r="G699">
        <f>Calc!G11</f>
        <v/>
      </c>
      <c r="H699">
        <f>Calc!H11</f>
        <v/>
      </c>
      <c r="I699">
        <f>IF(Skills!T11&lt;&gt;"",1+(Skills!T11/10)*($Z$3/1000)/100,1)</f>
        <v/>
      </c>
      <c r="J699" t="inlineStr"/>
      <c r="K699" t="inlineStr"/>
      <c r="L699" t="inlineStr"/>
      <c r="M699" t="inlineStr"/>
      <c r="N699" t="inlineStr"/>
      <c r="O699" t="n">
        <v>0</v>
      </c>
      <c r="P699">
        <f>IF(B726=0,0,O699/B726)</f>
        <v/>
      </c>
      <c r="S699">
        <f>IF(AND(Inputs!$B$4&lt;&gt;"pvp",Inputs!$B$35&gt;0),(INT(Inputs!$B$35/IF(Inputs!$B$4="pvp",15,MAX(0.1,Skills!D11-IF(Skills!E11=TRUE,Inputs!$B$31,0))))+1),0)</f>
        <v/>
      </c>
      <c r="V699">
        <f>IFERROR(1/IF(Inputs!$B$4="pvp",15,MAX(0.1,Skills!D11-IF(Skills!E11=TRUE,Inputs!$B$31,0))),0)</f>
        <v/>
      </c>
    </row>
    <row r="700">
      <c r="A700">
        <f>Skills!A12</f>
        <v/>
      </c>
      <c r="B700">
        <f>Skills!B12</f>
        <v/>
      </c>
      <c r="C700">
        <f>Inputs!$B$3&gt;=72</f>
        <v/>
      </c>
      <c r="D700">
        <f>IF(Skills!C12=1,60+Inputs!$B$24+Inputs!$B$28,IF(Skills!C12=2,90+(Inputs!$B$25+1)+Inputs!$B$28,IF(Skills!C12=3,120+Inputs!$B$26+Inputs!$B$28,MAX(0,(Inputs!$B$3-100)*3)+Inputs!$B$27+Inputs!$B$28)))</f>
        <v/>
      </c>
      <c r="E700">
        <f>INDEX(FactorTable!$B$2:$Y$301, MATCH(ROUND(MIN(300,MAX(1,D700)),0), FactorTable!$A$2:$A$301,0), Skills!L12+1)</f>
        <v/>
      </c>
      <c r="F700">
        <f>IF(Skills!M12=TRUE,(Skills!K12/10)*(E700/1000),Skills!K12/10)+Skills!N12</f>
        <v/>
      </c>
      <c r="G700">
        <f>Calc!G12</f>
        <v/>
      </c>
      <c r="H700">
        <f>Calc!H12</f>
        <v/>
      </c>
      <c r="I700">
        <f>IF(Skills!T12&lt;&gt;"",1+(Skills!T12/10)*($Z$3/1000)/100,1)</f>
        <v/>
      </c>
      <c r="J700" t="inlineStr"/>
      <c r="K700" t="inlineStr"/>
      <c r="L700" t="inlineStr"/>
      <c r="M700" t="inlineStr"/>
      <c r="N700" t="inlineStr"/>
      <c r="O700" t="n">
        <v>0</v>
      </c>
      <c r="P700">
        <f>IF(B726=0,0,O700/B726)</f>
        <v/>
      </c>
      <c r="S700">
        <f>IF(AND(Inputs!$B$4&lt;&gt;"pvp",Inputs!$B$35&gt;0),(INT(Inputs!$B$35/IF(Inputs!$B$4="pvp",15,MAX(0.1,Skills!D12-IF(Skills!E12=TRUE,Inputs!$B$31,0))))+1),0)</f>
        <v/>
      </c>
      <c r="V700">
        <f>IFERROR(1/IF(Inputs!$B$4="pvp",15,MAX(0.1,Skills!D12-IF(Skills!E12=TRUE,Inputs!$B$31,0))),0)</f>
        <v/>
      </c>
    </row>
    <row r="701">
      <c r="A701">
        <f>Skills!A13</f>
        <v/>
      </c>
      <c r="B701">
        <f>Skills!B13</f>
        <v/>
      </c>
      <c r="C701">
        <f>Inputs!$B$3&gt;=107</f>
        <v/>
      </c>
      <c r="D701">
        <f>IF(Skills!C13=1,60+Inputs!$B$24+Inputs!$B$28,IF(Skills!C13=2,90+(Inputs!$B$25+1)+Inputs!$B$28,IF(Skills!C13=3,120+Inputs!$B$26+Inputs!$B$28,MAX(0,(Inputs!$B$3-100)*3)+Inputs!$B$27+Inputs!$B$28)))</f>
        <v/>
      </c>
      <c r="E701">
        <f>INDEX(FactorTable!$B$2:$Y$301, MATCH(ROUND(MIN(300,MAX(1,D701)),0), FactorTable!$A$2:$A$301,0), Skills!L13+1)</f>
        <v/>
      </c>
      <c r="F701">
        <f>IF(Skills!M13=TRUE,(Skills!K13/10)*(E701/1000),Skills!K13/10)+Skills!N13</f>
        <v/>
      </c>
      <c r="G701">
        <f>Calc!G13</f>
        <v/>
      </c>
      <c r="H701">
        <f>Calc!H13</f>
        <v/>
      </c>
      <c r="I701">
        <f>IF(Skills!T13&lt;&gt;"",1+(Skills!T13/10)*($Z$3/1000)/100,1)</f>
        <v/>
      </c>
      <c r="J701" t="inlineStr"/>
      <c r="K701" t="inlineStr"/>
      <c r="L701" t="inlineStr"/>
      <c r="M701" t="inlineStr"/>
      <c r="N701" t="inlineStr"/>
      <c r="O701" t="n">
        <v>0</v>
      </c>
      <c r="P701">
        <f>IF(B726=0,0,O701/B726)</f>
        <v/>
      </c>
      <c r="S701">
        <f>IF(AND(Inputs!$B$4&lt;&gt;"pvp",Inputs!$B$35&gt;0),(INT(Inputs!$B$35/IF(Inputs!$B$4="pvp",15,MAX(0.1,Skills!D13-IF(Skills!E13=TRUE,Inputs!$B$31,0))))+1),0)</f>
        <v/>
      </c>
      <c r="V701">
        <f>IFERROR(1/IF(Inputs!$B$4="pvp",15,MAX(0.1,Skills!D13-IF(Skills!E13=TRUE,Inputs!$B$31,0))),0)</f>
        <v/>
      </c>
    </row>
    <row r="702">
      <c r="A702">
        <f>Skills!A14</f>
        <v/>
      </c>
      <c r="B702">
        <f>Skills!B14</f>
        <v/>
      </c>
      <c r="C702">
        <f>Inputs!$B$3&gt;=63</f>
        <v/>
      </c>
      <c r="D702">
        <f>IF(Skills!C14=1,60+Inputs!$B$24+Inputs!$B$28,IF(Skills!C14=2,90+(Inputs!$B$25+1)+Inputs!$B$28,IF(Skills!C14=3,120+Inputs!$B$26+Inputs!$B$28,MAX(0,(Inputs!$B$3-100)*3)+Inputs!$B$27+Inputs!$B$28)))</f>
        <v/>
      </c>
      <c r="E702">
        <f>INDEX(FactorTable!$B$2:$Y$301, MATCH(ROUND(MIN(300,MAX(1,D702)),0), FactorTable!$A$2:$A$301,0), Skills!L14+1)</f>
        <v/>
      </c>
      <c r="F702">
        <f>IF(Skills!M14=TRUE,(Skills!K14/10)*(E702/1000),Skills!K14/10)+Skills!N14</f>
        <v/>
      </c>
      <c r="G702">
        <f>Calc!G14</f>
        <v/>
      </c>
      <c r="H702">
        <f>Calc!H14</f>
        <v/>
      </c>
      <c r="I702">
        <f>IF(Skills!T14&lt;&gt;"",1+(Skills!T14/10)*($Z$3/1000)/100,1)</f>
        <v/>
      </c>
      <c r="J702">
        <f>((Inputs!$B$5*(1+Inputs!$B$6/100))+((Inputs!$B$11*(1+Inputs!$B$12/100))-(Inputs!$B$11*(1+Inputs!$B$12/100)))*(1+Inputs!$B$6/100))*(F702/100)</f>
        <v/>
      </c>
      <c r="K702">
        <f>J702*(1+((Inputs!$B$11*(1+Inputs!$B$12/100))*0.01+Inputs!$B$13*0.0025)/100)*(1+(Inputs!$B$14+B719)/100)*(1+IF(Inputs!$B$4="pvp",0,(1-Summary!$B$48)*(Inputs!$B$19+Skills!O14+B717)+Summary!$B$48*(Inputs!$B$20+Skills!P14+B718))/100)*(1+Inputs!$B$15/100)*(5000/(6000+Inputs!$B$7*(1-Inputs!$B$18/100)))*(1+Inputs!$B$23/100)*(1+IF(C705=TRUE,F705,0)/100)*(1+IF(C707=TRUE,F707,0)/100)*(1+IF(Skills!A14="TRIUMPH_FEATHER",IF(C703=TRUE,F703,0),0)/100)*(1+IF(C714=TRUE,F714,0)/100)^5*(1+(IF(Skills!A14="BIG_BANG",Inputs!$B$16,Inputs!$B$17))/100)*(B716*I702)</f>
        <v/>
      </c>
      <c r="L702">
        <f>K702*(MIN(Inputs!$B$21+(F709-Calc!F21),Inputs!$B$22)/100+Inputs!$B$22/100)/2</f>
        <v/>
      </c>
      <c r="M702">
        <f>L702*(1+(Inputs!$B$9+B720+(F712-Calc!F24))/100)</f>
        <v/>
      </c>
      <c r="N702">
        <f>L702*(1-MIN(Inputs!$B$8+((F711-Calc!F23)+(F710-Calc!F22)),100)/100)+M702*(MIN(Inputs!$B$8+((F711-Calc!F23)+(F710-Calc!F22)),100)/100)</f>
        <v/>
      </c>
      <c r="O702">
        <f>IF(C702,Skills!F14*N702*((IF(Inputs!$B$3&gt;=78,25,15)/100*B722*10)/(1+IF(Inputs!$B$3&gt;=78,25,15)/100*B722*10))*(Skills!I14/100*B722)/(1+Skills!G14*Skills!I14/100*B722)*IF(Inputs!$B$4="pvp",1,(1-Summary!$B$48)*(1)+Summary!$B$48*(MIN(Skills!Q14,Inputs!$B$37))),0)</f>
        <v/>
      </c>
      <c r="P702">
        <f>IF(B726=0,0,O702/B726)</f>
        <v/>
      </c>
      <c r="S702" t="n">
        <v>0</v>
      </c>
      <c r="V702">
        <f>IFERROR(1/IF(Inputs!$B$4="pvp",15,MAX(0.1,Skills!D14-IF(Skills!E14=TRUE,Inputs!$B$31,0))),0)</f>
        <v/>
      </c>
    </row>
    <row r="703">
      <c r="A703">
        <f>Skills!A15</f>
        <v/>
      </c>
      <c r="B703">
        <f>Skills!B15</f>
        <v/>
      </c>
      <c r="C703">
        <f>Inputs!$B$3&gt;=100</f>
        <v/>
      </c>
      <c r="D703">
        <f>IF(Skills!C15=1,60+Inputs!$B$24+Inputs!$B$28,IF(Skills!C15=2,90+(Inputs!$B$25+1)+Inputs!$B$28,IF(Skills!C15=3,120+Inputs!$B$26+Inputs!$B$28,MAX(0,(Inputs!$B$3-100)*3)+Inputs!$B$27+Inputs!$B$28)))</f>
        <v/>
      </c>
      <c r="E703">
        <f>INDEX(FactorTable!$B$2:$Y$301, MATCH(ROUND(MIN(300,MAX(1,D703)),0), FactorTable!$A$2:$A$301,0), Skills!L15+1)</f>
        <v/>
      </c>
      <c r="F703">
        <f>IF(Skills!M15=TRUE,(Skills!K15/10)*(E703/1000),Skills!K15/10)+Skills!N15</f>
        <v/>
      </c>
      <c r="G703">
        <f>Calc!G15</f>
        <v/>
      </c>
      <c r="H703">
        <f>Calc!H15</f>
        <v/>
      </c>
      <c r="I703">
        <f>IF(Skills!T15&lt;&gt;"",1+(Skills!T15/10)*($Z$3/1000)/100,1)</f>
        <v/>
      </c>
      <c r="J703" t="inlineStr"/>
      <c r="K703" t="inlineStr"/>
      <c r="L703" t="inlineStr"/>
      <c r="M703" t="inlineStr"/>
      <c r="N703" t="inlineStr"/>
      <c r="O703" t="n">
        <v>0</v>
      </c>
      <c r="P703">
        <f>IF(B726=0,0,O703/B726)</f>
        <v/>
      </c>
      <c r="S703" t="n">
        <v>0</v>
      </c>
      <c r="V703">
        <f>IFERROR(1/IF(Inputs!$B$4="pvp",15,MAX(0.1,Skills!D15-IF(Skills!E15=TRUE,Inputs!$B$31,0))),0)</f>
        <v/>
      </c>
    </row>
    <row r="704">
      <c r="A704">
        <f>Skills!A16</f>
        <v/>
      </c>
      <c r="B704">
        <f>Skills!B16</f>
        <v/>
      </c>
      <c r="C704">
        <f>Inputs!$B$3&gt;=49</f>
        <v/>
      </c>
      <c r="D704">
        <f>IF(Skills!C16=1,60+Inputs!$B$24+Inputs!$B$28,IF(Skills!C16=2,90+(Inputs!$B$25+1)+Inputs!$B$28,IF(Skills!C16=3,120+Inputs!$B$26+Inputs!$B$28,MAX(0,(Inputs!$B$3-100)*3)+Inputs!$B$27+Inputs!$B$28)))</f>
        <v/>
      </c>
      <c r="E704">
        <f>INDEX(FactorTable!$B$2:$Y$301, MATCH(ROUND(MIN(300,MAX(1,D704)),0), FactorTable!$A$2:$A$301,0), Skills!L16+1)</f>
        <v/>
      </c>
      <c r="F704">
        <f>IF(Skills!M16=TRUE,(Skills!K16/10)*(E704/1000),Skills!K16/10)+Skills!N16</f>
        <v/>
      </c>
      <c r="G704">
        <f>Calc!G16</f>
        <v/>
      </c>
      <c r="H704">
        <f>Calc!H16</f>
        <v/>
      </c>
      <c r="I704">
        <f>IF(Skills!T16&lt;&gt;"",1+(Skills!T16/10)*($Z$3/1000)/100,1)</f>
        <v/>
      </c>
      <c r="J704" t="inlineStr"/>
      <c r="K704" t="inlineStr"/>
      <c r="L704" t="inlineStr"/>
      <c r="M704" t="inlineStr"/>
      <c r="N704" t="inlineStr"/>
      <c r="O704" t="n">
        <v>0</v>
      </c>
      <c r="P704">
        <f>IF(B726=0,0,O704/B726)</f>
        <v/>
      </c>
      <c r="S704" t="n">
        <v>0</v>
      </c>
      <c r="V704">
        <f>IFERROR(1/IF(Inputs!$B$4="pvp",15,MAX(0.1,Skills!D16-IF(Skills!E16=TRUE,Inputs!$B$31,0))),0)</f>
        <v/>
      </c>
    </row>
    <row r="705">
      <c r="A705">
        <f>Skills!A17</f>
        <v/>
      </c>
      <c r="B705">
        <f>Skills!B17</f>
        <v/>
      </c>
      <c r="C705">
        <f>Inputs!$B$3&gt;=75</f>
        <v/>
      </c>
      <c r="D705">
        <f>IF(Skills!C17=1,60+Inputs!$B$24+Inputs!$B$28,IF(Skills!C17=2,90+(Inputs!$B$25+1)+Inputs!$B$28,IF(Skills!C17=3,120+Inputs!$B$26+Inputs!$B$28,MAX(0,(Inputs!$B$3-100)*3)+Inputs!$B$27+Inputs!$B$28)))</f>
        <v/>
      </c>
      <c r="E705">
        <f>INDEX(FactorTable!$B$2:$Y$301, MATCH(ROUND(MIN(300,MAX(1,D705)),0), FactorTable!$A$2:$A$301,0), Skills!L17+1)</f>
        <v/>
      </c>
      <c r="F705">
        <f>IF(Skills!M17=TRUE,(Skills!K17/10)*(E705/1000),Skills!K17/10)+Skills!N17</f>
        <v/>
      </c>
      <c r="G705">
        <f>Calc!G17</f>
        <v/>
      </c>
      <c r="H705">
        <f>Calc!H17</f>
        <v/>
      </c>
      <c r="I705">
        <f>IF(Skills!T17&lt;&gt;"",1+(Skills!T17/10)*($Z$3/1000)/100,1)</f>
        <v/>
      </c>
      <c r="J705" t="inlineStr"/>
      <c r="K705" t="inlineStr"/>
      <c r="L705" t="inlineStr"/>
      <c r="M705" t="inlineStr"/>
      <c r="N705" t="inlineStr"/>
      <c r="O705" t="n">
        <v>0</v>
      </c>
      <c r="P705">
        <f>IF(B726=0,0,O705/B726)</f>
        <v/>
      </c>
      <c r="S705" t="n">
        <v>0</v>
      </c>
      <c r="V705">
        <f>IFERROR(1/IF(Inputs!$B$4="pvp",15,MAX(0.1,Skills!D17-IF(Skills!E17=TRUE,Inputs!$B$31,0))),0)</f>
        <v/>
      </c>
    </row>
    <row r="706">
      <c r="A706">
        <f>Skills!A18</f>
        <v/>
      </c>
      <c r="B706">
        <f>Skills!B18</f>
        <v/>
      </c>
      <c r="C706">
        <f>Inputs!$B$3&gt;=110</f>
        <v/>
      </c>
      <c r="D706">
        <f>IF(Skills!C18=1,60+Inputs!$B$24+Inputs!$B$28,IF(Skills!C18=2,90+(Inputs!$B$25+1)+Inputs!$B$28,IF(Skills!C18=3,120+Inputs!$B$26+Inputs!$B$28,MAX(0,(Inputs!$B$3-100)*3)+Inputs!$B$27+Inputs!$B$28)))</f>
        <v/>
      </c>
      <c r="E706">
        <f>INDEX(FactorTable!$B$2:$Y$301, MATCH(ROUND(MIN(300,MAX(1,D706)),0), FactorTable!$A$2:$A$301,0), Skills!L18+1)</f>
        <v/>
      </c>
      <c r="F706">
        <f>(Skills!K18/10)*(E706/1000)*64/45+Skills!N18</f>
        <v/>
      </c>
      <c r="G706">
        <f>Calc!G18</f>
        <v/>
      </c>
      <c r="H706">
        <f>Calc!H18</f>
        <v/>
      </c>
      <c r="I706">
        <f>IF(Skills!T18&lt;&gt;"",1+(Skills!T18/10)*($Z$3/1000)/100,1)</f>
        <v/>
      </c>
      <c r="J706" t="inlineStr"/>
      <c r="K706" t="inlineStr"/>
      <c r="L706" t="inlineStr"/>
      <c r="M706" t="inlineStr"/>
      <c r="N706" t="inlineStr"/>
      <c r="O706" t="n">
        <v>0</v>
      </c>
      <c r="P706">
        <f>IF(B726=0,0,O706/B726)</f>
        <v/>
      </c>
      <c r="S706">
        <f>IF(AND(Inputs!$B$4&lt;&gt;"pvp",Inputs!$B$35&gt;0),(INT(Inputs!$B$35/IF(Inputs!$B$4="pvp",15,MAX(0.1,Skills!D18-IF(Skills!E18=TRUE,Inputs!$B$31,0))))+1),0)</f>
        <v/>
      </c>
      <c r="V706">
        <f>IFERROR(1/IF(Inputs!$B$4="pvp",15,MAX(0.1,Skills!D18-IF(Skills!E18=TRUE,Inputs!$B$31,0))),0)</f>
        <v/>
      </c>
    </row>
    <row r="707">
      <c r="A707">
        <f>Skills!A19</f>
        <v/>
      </c>
      <c r="B707">
        <f>Skills!B19</f>
        <v/>
      </c>
      <c r="C707">
        <f>Inputs!$B$3&gt;=125</f>
        <v/>
      </c>
      <c r="D707">
        <f>IF(Skills!C19=1,60+Inputs!$B$24+Inputs!$B$28,IF(Skills!C19=2,90+(Inputs!$B$25+1)+Inputs!$B$28,IF(Skills!C19=3,120+Inputs!$B$26+Inputs!$B$28,MAX(0,(Inputs!$B$3-100)*3)+Inputs!$B$27+Inputs!$B$28)))</f>
        <v/>
      </c>
      <c r="E707">
        <f>INDEX(FactorTable!$B$2:$Y$301, MATCH(ROUND(MIN(300,MAX(1,D707)),0), FactorTable!$A$2:$A$301,0), Skills!L19+1)</f>
        <v/>
      </c>
      <c r="F707">
        <f>IF(Skills!M19=TRUE,(Skills!K19/10)*(E707/1000),Skills!K19/10)+Skills!N19</f>
        <v/>
      </c>
      <c r="G707">
        <f>Calc!G19</f>
        <v/>
      </c>
      <c r="H707">
        <f>Calc!H19</f>
        <v/>
      </c>
      <c r="I707">
        <f>IF(Skills!T19&lt;&gt;"",1+(Skills!T19/10)*($Z$3/1000)/100,1)</f>
        <v/>
      </c>
      <c r="J707" t="inlineStr"/>
      <c r="K707" t="inlineStr"/>
      <c r="L707" t="inlineStr"/>
      <c r="M707" t="inlineStr"/>
      <c r="N707" t="inlineStr"/>
      <c r="O707" t="n">
        <v>0</v>
      </c>
      <c r="P707">
        <f>IF(B726=0,0,O707/B726)</f>
        <v/>
      </c>
      <c r="S707" t="n">
        <v>0</v>
      </c>
      <c r="V707">
        <f>IFERROR(1/IF(Inputs!$B$4="pvp",15,MAX(0.1,Skills!D19-IF(Skills!E19=TRUE,Inputs!$B$31,0))),0)</f>
        <v/>
      </c>
    </row>
    <row r="708">
      <c r="A708">
        <f>Skills!A20</f>
        <v/>
      </c>
      <c r="B708">
        <f>Skills!B20</f>
        <v/>
      </c>
      <c r="C708">
        <f>Inputs!$B$3&gt;=33</f>
        <v/>
      </c>
      <c r="D708">
        <f>IF(Skills!C20=1,60+Inputs!$B$24+Inputs!$B$28,IF(Skills!C20=2,90+(Inputs!$B$25+1)+Inputs!$B$28,IF(Skills!C20=3,120+Inputs!$B$26+Inputs!$B$28,MAX(0,(Inputs!$B$3-100)*3)+Inputs!$B$27+Inputs!$B$28)))</f>
        <v/>
      </c>
      <c r="E708">
        <f>INDEX(FactorTable!$B$2:$Y$301, MATCH(ROUND(MIN(300,MAX(1,D708)),0), FactorTable!$A$2:$A$301,0), Skills!L20+1)</f>
        <v/>
      </c>
      <c r="F708">
        <f>IF(Skills!M20=TRUE,(Skills!K20/10)*(E708/1000),Skills!K20/10)+Skills!N20</f>
        <v/>
      </c>
      <c r="G708">
        <f>Calc!G20</f>
        <v/>
      </c>
      <c r="H708">
        <f>Calc!H20</f>
        <v/>
      </c>
      <c r="I708">
        <f>IF(Skills!T20&lt;&gt;"",1+(Skills!T20/10)*($Z$3/1000)/100,1)</f>
        <v/>
      </c>
      <c r="J708" t="inlineStr"/>
      <c r="K708" t="inlineStr"/>
      <c r="L708" t="inlineStr"/>
      <c r="M708" t="inlineStr"/>
      <c r="N708" t="inlineStr"/>
      <c r="O708" t="n">
        <v>0</v>
      </c>
      <c r="P708">
        <f>IF(B726=0,0,O708/B726)</f>
        <v/>
      </c>
      <c r="S708" t="n">
        <v>0</v>
      </c>
      <c r="V708">
        <f>IFERROR(1/IF(Inputs!$B$4="pvp",15,MAX(0.1,Skills!D20-IF(Skills!E20=TRUE,Inputs!$B$31,0))),0)</f>
        <v/>
      </c>
    </row>
    <row r="709">
      <c r="A709">
        <f>Skills!A21</f>
        <v/>
      </c>
      <c r="B709">
        <f>Skills!B21</f>
        <v/>
      </c>
      <c r="C709">
        <f>Inputs!$B$3&gt;=43</f>
        <v/>
      </c>
      <c r="D709">
        <f>IF(Skills!C21=1,60+Inputs!$B$24+Inputs!$B$28,IF(Skills!C21=2,90+(Inputs!$B$25+1)+Inputs!$B$28,IF(Skills!C21=3,120+Inputs!$B$26+Inputs!$B$28,MAX(0,(Inputs!$B$3-100)*3)+Inputs!$B$27+Inputs!$B$28)))</f>
        <v/>
      </c>
      <c r="E709">
        <f>INDEX(FactorTable!$B$2:$Y$301, MATCH(ROUND(MIN(300,MAX(1,D709)),0), FactorTable!$A$2:$A$301,0), Skills!L21+1)</f>
        <v/>
      </c>
      <c r="F709">
        <f>IF(Skills!M21=TRUE,(Skills!K21/10)*(E709/1000),Skills!K21/10)+Skills!N21</f>
        <v/>
      </c>
      <c r="G709">
        <f>Calc!G21</f>
        <v/>
      </c>
      <c r="H709">
        <f>Calc!H21</f>
        <v/>
      </c>
      <c r="I709">
        <f>IF(Skills!T21&lt;&gt;"",1+(Skills!T21/10)*($Z$3/1000)/100,1)</f>
        <v/>
      </c>
      <c r="J709" t="inlineStr"/>
      <c r="K709" t="inlineStr"/>
      <c r="L709" t="inlineStr"/>
      <c r="M709" t="inlineStr"/>
      <c r="N709" t="inlineStr"/>
      <c r="O709" t="n">
        <v>0</v>
      </c>
      <c r="P709">
        <f>IF(B726=0,0,O709/B726)</f>
        <v/>
      </c>
      <c r="S709" t="n">
        <v>0</v>
      </c>
      <c r="V709">
        <f>IFERROR(1/IF(Inputs!$B$4="pvp",15,MAX(0.1,Skills!D21-IF(Skills!E21=TRUE,Inputs!$B$31,0))),0)</f>
        <v/>
      </c>
    </row>
    <row r="710">
      <c r="A710">
        <f>Skills!A22</f>
        <v/>
      </c>
      <c r="B710">
        <f>Skills!B22</f>
        <v/>
      </c>
      <c r="C710">
        <f>Inputs!$B$3&gt;=50</f>
        <v/>
      </c>
      <c r="D710">
        <f>IF(Skills!C22=1,60+Inputs!$B$24+Inputs!$B$28,IF(Skills!C22=2,90+(Inputs!$B$25+1)+Inputs!$B$28,IF(Skills!C22=3,120+Inputs!$B$26+Inputs!$B$28,MAX(0,(Inputs!$B$3-100)*3)+Inputs!$B$27+Inputs!$B$28)))</f>
        <v/>
      </c>
      <c r="E710">
        <f>INDEX(FactorTable!$B$2:$Y$301, MATCH(ROUND(MIN(300,MAX(1,D710)),0), FactorTable!$A$2:$A$301,0), Skills!L22+1)</f>
        <v/>
      </c>
      <c r="F710">
        <f>IF(Skills!M22=TRUE,(Skills!K22/10)*(E710/1000),Skills!K22/10)+Skills!N22</f>
        <v/>
      </c>
      <c r="G710">
        <f>Calc!G22</f>
        <v/>
      </c>
      <c r="H710">
        <f>Calc!H22</f>
        <v/>
      </c>
      <c r="I710">
        <f>IF(Skills!T22&lt;&gt;"",1+(Skills!T22/10)*($Z$3/1000)/100,1)</f>
        <v/>
      </c>
      <c r="J710" t="inlineStr"/>
      <c r="K710" t="inlineStr"/>
      <c r="L710" t="inlineStr"/>
      <c r="M710" t="inlineStr"/>
      <c r="N710" t="inlineStr"/>
      <c r="O710" t="n">
        <v>0</v>
      </c>
      <c r="P710">
        <f>IF(B726=0,0,O710/B726)</f>
        <v/>
      </c>
      <c r="S710" t="n">
        <v>0</v>
      </c>
      <c r="V710">
        <f>IFERROR(1/IF(Inputs!$B$4="pvp",15,MAX(0.1,Skills!D22-IF(Skills!E22=TRUE,Inputs!$B$31,0))),0)</f>
        <v/>
      </c>
    </row>
    <row r="711">
      <c r="A711">
        <f>Skills!A23</f>
        <v/>
      </c>
      <c r="B711">
        <f>Skills!B23</f>
        <v/>
      </c>
      <c r="C711">
        <f>Inputs!$B$3&gt;=74</f>
        <v/>
      </c>
      <c r="D711">
        <f>IF(Skills!C23=1,60+Inputs!$B$24+Inputs!$B$28,IF(Skills!C23=2,90+(Inputs!$B$25+1)+Inputs!$B$28,IF(Skills!C23=3,120+Inputs!$B$26+Inputs!$B$28,MAX(0,(Inputs!$B$3-100)*3)+Inputs!$B$27+Inputs!$B$28)))</f>
        <v/>
      </c>
      <c r="E711">
        <f>INDEX(FactorTable!$B$2:$Y$301, MATCH(ROUND(MIN(300,MAX(1,D711)),0), FactorTable!$A$2:$A$301,0), Skills!L23+1)</f>
        <v/>
      </c>
      <c r="F711">
        <f>IF(Skills!M23=TRUE,(Skills!K23/10)*(E711/1000),Skills!K23/10)+Skills!N23</f>
        <v/>
      </c>
      <c r="G711">
        <f>Calc!G23</f>
        <v/>
      </c>
      <c r="H711">
        <f>Calc!H23</f>
        <v/>
      </c>
      <c r="I711">
        <f>IF(Skills!T23&lt;&gt;"",1+(Skills!T23/10)*($Z$3/1000)/100,1)</f>
        <v/>
      </c>
      <c r="J711" t="inlineStr"/>
      <c r="K711" t="inlineStr"/>
      <c r="L711" t="inlineStr"/>
      <c r="M711" t="inlineStr"/>
      <c r="N711" t="inlineStr"/>
      <c r="O711" t="n">
        <v>0</v>
      </c>
      <c r="P711">
        <f>IF(B726=0,0,O711/B726)</f>
        <v/>
      </c>
      <c r="S711" t="n">
        <v>0</v>
      </c>
      <c r="V711">
        <f>IFERROR(1/IF(Inputs!$B$4="pvp",15,MAX(0.1,Skills!D23-IF(Skills!E23=TRUE,Inputs!$B$31,0))),0)</f>
        <v/>
      </c>
    </row>
    <row r="712">
      <c r="A712">
        <f>Skills!A24</f>
        <v/>
      </c>
      <c r="B712">
        <f>Skills!B24</f>
        <v/>
      </c>
      <c r="C712">
        <f>Inputs!$B$3&gt;=74</f>
        <v/>
      </c>
      <c r="D712">
        <f>IF(Skills!C24=1,60+Inputs!$B$24+Inputs!$B$28,IF(Skills!C24=2,90+(Inputs!$B$25+1)+Inputs!$B$28,IF(Skills!C24=3,120+Inputs!$B$26+Inputs!$B$28,MAX(0,(Inputs!$B$3-100)*3)+Inputs!$B$27+Inputs!$B$28)))</f>
        <v/>
      </c>
      <c r="E712">
        <f>INDEX(FactorTable!$B$2:$Y$301, MATCH(ROUND(MIN(300,MAX(1,D712)),0), FactorTable!$A$2:$A$301,0), Skills!L24+1)</f>
        <v/>
      </c>
      <c r="F712">
        <f>IF(Skills!M24=TRUE,(Skills!K24/10)*(E712/1000),Skills!K24/10)+Skills!N24</f>
        <v/>
      </c>
      <c r="G712">
        <f>Calc!G24</f>
        <v/>
      </c>
      <c r="H712">
        <f>Calc!H24</f>
        <v/>
      </c>
      <c r="I712">
        <f>IF(Skills!T24&lt;&gt;"",1+(Skills!T24/10)*($Z$3/1000)/100,1)</f>
        <v/>
      </c>
      <c r="J712" t="inlineStr"/>
      <c r="K712" t="inlineStr"/>
      <c r="L712" t="inlineStr"/>
      <c r="M712" t="inlineStr"/>
      <c r="N712" t="inlineStr"/>
      <c r="O712" t="n">
        <v>0</v>
      </c>
      <c r="P712">
        <f>IF(B726=0,0,O712/B726)</f>
        <v/>
      </c>
      <c r="S712" t="n">
        <v>0</v>
      </c>
      <c r="V712">
        <f>IFERROR(1/IF(Inputs!$B$4="pvp",15,MAX(0.1,Skills!D24-IF(Skills!E24=TRUE,Inputs!$B$31,0))),0)</f>
        <v/>
      </c>
    </row>
    <row r="713">
      <c r="A713">
        <f>Skills!A25</f>
        <v/>
      </c>
      <c r="B713">
        <f>Skills!B25</f>
        <v/>
      </c>
      <c r="C713">
        <f>Inputs!$B$3&gt;=117</f>
        <v/>
      </c>
      <c r="D713">
        <f>IF(Skills!C25=1,60+Inputs!$B$24+Inputs!$B$28,IF(Skills!C25=2,90+(Inputs!$B$25+1)+Inputs!$B$28,IF(Skills!C25=3,120+Inputs!$B$26+Inputs!$B$28,MAX(0,(Inputs!$B$3-100)*3)+Inputs!$B$27+Inputs!$B$28)))</f>
        <v/>
      </c>
      <c r="E713">
        <f>INDEX(FactorTable!$B$2:$Y$301, MATCH(ROUND(MIN(300,MAX(1,D713)),0), FactorTable!$A$2:$A$301,0), Skills!L25+1)</f>
        <v/>
      </c>
      <c r="F713">
        <f>IF(Skills!M25=TRUE,(Skills!K25/10)*(E713/1000),Skills!K25/10)+Skills!N25</f>
        <v/>
      </c>
      <c r="G713">
        <f>Calc!G25</f>
        <v/>
      </c>
      <c r="H713">
        <f>Calc!H25</f>
        <v/>
      </c>
      <c r="I713">
        <f>IF(Skills!T25&lt;&gt;"",1+(Skills!T25/10)*($Z$3/1000)/100,1)</f>
        <v/>
      </c>
      <c r="J713" t="inlineStr"/>
      <c r="K713" t="inlineStr"/>
      <c r="L713" t="inlineStr"/>
      <c r="M713" t="inlineStr"/>
      <c r="N713" t="inlineStr"/>
      <c r="O713" t="n">
        <v>0</v>
      </c>
      <c r="P713">
        <f>IF(B726=0,0,O713/B726)</f>
        <v/>
      </c>
      <c r="S713" t="n">
        <v>0</v>
      </c>
      <c r="V713">
        <f>IFERROR(1/IF(Inputs!$B$4="pvp",15,MAX(0.1,Skills!D25-IF(Skills!E25=TRUE,Inputs!$B$31,0))),0)</f>
        <v/>
      </c>
    </row>
    <row r="714">
      <c r="A714">
        <f>Skills!A26</f>
        <v/>
      </c>
      <c r="B714">
        <f>Skills!B26</f>
        <v/>
      </c>
      <c r="C714">
        <f>Inputs!$B$3&gt;=120</f>
        <v/>
      </c>
      <c r="D714">
        <f>IF(Skills!C26=1,60+Inputs!$B$24+Inputs!$B$28,IF(Skills!C26=2,90+(Inputs!$B$25+1)+Inputs!$B$28,IF(Skills!C26=3,120+Inputs!$B$26+Inputs!$B$28,MAX(0,(Inputs!$B$3-100)*3)+Inputs!$B$27+Inputs!$B$28)))</f>
        <v/>
      </c>
      <c r="E714">
        <f>INDEX(FactorTable!$B$2:$Y$301, MATCH(ROUND(MIN(300,MAX(1,D714)),0), FactorTable!$A$2:$A$301,0), Skills!L26+1)</f>
        <v/>
      </c>
      <c r="F714">
        <f>IF(Skills!M26=TRUE,(Skills!K26/10)*(E714/1000),Skills!K26/10)+Skills!N26</f>
        <v/>
      </c>
      <c r="G714">
        <f>Calc!G26</f>
        <v/>
      </c>
      <c r="H714">
        <f>Calc!H26</f>
        <v/>
      </c>
      <c r="I714">
        <f>IF(Skills!T26&lt;&gt;"",1+(Skills!T26/10)*($Z$3/1000)/100,1)</f>
        <v/>
      </c>
      <c r="J714" t="inlineStr"/>
      <c r="K714" t="inlineStr"/>
      <c r="L714" t="inlineStr"/>
      <c r="M714" t="inlineStr"/>
      <c r="N714" t="inlineStr"/>
      <c r="O714" t="n">
        <v>0</v>
      </c>
      <c r="P714">
        <f>IF(B726=0,0,O714/B726)</f>
        <v/>
      </c>
      <c r="S714" t="n">
        <v>0</v>
      </c>
      <c r="V714">
        <f>IFERROR(1/IF(Inputs!$B$4="pvp",15,MAX(0.1,Skills!D26-IF(Skills!E26=TRUE,Inputs!$B$31,0))),0)</f>
        <v/>
      </c>
    </row>
    <row r="716">
      <c r="A716" t="inlineStr">
        <is>
          <t>Average Buff Multiplier</t>
        </is>
      </c>
      <c r="B716">
        <f>(1+(IF(C691=TRUE,F691*IF(AND(Inputs!$B$4&lt;&gt;"pvp",Inputs!$B$35&gt;0),(((S691-1)*(Skills!S3*(1+(Inputs!$B$33+IF(Inputs!$B$3&gt;=117,F713,0))/100))+MIN((Skills!S3*(1+(Inputs!$B$33+IF(Inputs!$B$3&gt;=117,F713,0))/100)),MAX(0,Inputs!$B$35-((S691-1)*Skills!D3))))/Inputs!$B$35),IF(Inputs!$B$4="pvp",MIN((Skills!S3*(1+(Inputs!$B$33+IF(Inputs!$B$3&gt;=117,F713,0))/100)),15)/15,(Skills!S3*(1+(Inputs!$B$33+IF(Inputs!$B$3&gt;=117,F713,0))/100))/Skills!D3)),0)+IF(C692=TRUE,F692*IF(AND(Inputs!$B$4&lt;&gt;"pvp",Inputs!$B$35&gt;0),(((S692-1)*(Skills!S4*(1+(Inputs!$B$33+IF(Inputs!$B$3&gt;=117,F713,0))/100))+MIN((Skills!S4*(1+(Inputs!$B$33+IF(Inputs!$B$3&gt;=117,F713,0))/100)),MAX(0,Inputs!$B$35-((S692-1)*Skills!D4))))/Inputs!$B$35),IF(Inputs!$B$4="pvp",MIN((Skills!S4*(1+(Inputs!$B$33+IF(Inputs!$B$3&gt;=117,F713,0))/100)),15)/15,(Skills!S4*(1+(Inputs!$B$33+IF(Inputs!$B$3&gt;=117,F713,0))/100))/Skills!D4)),0)+IF(C693=TRUE,F693*IF(AND(Inputs!$B$4&lt;&gt;"pvp",Inputs!$B$35&gt;0),(((S693-1)*(Skills!S5*(1+(Inputs!$B$33+IF(Inputs!$B$3&gt;=117,F713,0))/100))+MIN((Skills!S5*(1+(Inputs!$B$33+IF(Inputs!$B$3&gt;=117,F713,0))/100)),MAX(0,Inputs!$B$35-((S693-1)*Skills!D5))))/Inputs!$B$35),IF(Inputs!$B$4="pvp",MIN((Skills!S5*(1+(Inputs!$B$33+IF(Inputs!$B$3&gt;=117,F713,0))/100)),15)/15,(Skills!S5*(1+(Inputs!$B$33+IF(Inputs!$B$3&gt;=117,F713,0))/100))/Skills!D5)),0)+IF(C699=TRUE,F699*IF(AND(Inputs!$B$4&lt;&gt;"pvp",Inputs!$B$35&gt;0),(((S699-1)*(Skills!S11*(1+(Inputs!$B$33+IF(Inputs!$B$3&gt;=117,F713,0))/100))+MIN((Skills!S11*(1+(Inputs!$B$33+IF(Inputs!$B$3&gt;=117,F713,0))/100)),MAX(0,Inputs!$B$35-((S699-1)*Skills!D11))))/Inputs!$B$35),IF(Inputs!$B$4="pvp",MIN((Skills!S11*(1+(Inputs!$B$33+IF(Inputs!$B$3&gt;=117,F713,0))/100)),15)/15,(Skills!S11*(1+(Inputs!$B$33+IF(Inputs!$B$3&gt;=117,F713,0))/100))/Skills!D11)),0))/100)*IF(C701=TRUE,(1+F701*IF(AND(Inputs!$B$4&lt;&gt;"pvp",Inputs!$B$35&gt;0),(((S701-1)*(Skills!S13*(1+(Inputs!$B$33+IF(Inputs!$B$3&gt;=117,F713,0))/100))+MIN((Skills!S13*(1+(Inputs!$B$33+IF(Inputs!$B$3&gt;=117,F713,0))/100)),MAX(0,Inputs!$B$35-((S701-1)*Skills!D13))))/Inputs!$B$35),IF(Inputs!$B$4="pvp",MIN((Skills!S13*(1+(Inputs!$B$33+IF(Inputs!$B$3&gt;=117,F713,0))/100)),15)/15,(Skills!S13*(1+(Inputs!$B$33+IF(Inputs!$B$3&gt;=117,F713,0))/100))/Skills!D13))/100),1)*IF(C706=TRUE,(1+F706*IF(AND(Inputs!$B$4&lt;&gt;"pvp",Inputs!$B$35&gt;0),(((S706-1)*(Skills!S18*(1+(Inputs!$B$33+IF(Inputs!$B$3&gt;=117,F713,0))/100))+MIN((Skills!S18*(1+(Inputs!$B$33+IF(Inputs!$B$3&gt;=117,F713,0))/100)),MAX(0,Inputs!$B$35-((S706-1)*Skills!D18))))/Inputs!$B$35),IF(Inputs!$B$4="pvp",MIN((Skills!S18*(1+(Inputs!$B$33+IF(Inputs!$B$3&gt;=117,F713,0))/100)),15)/15,(Skills!S18*(1+(Inputs!$B$33+IF(Inputs!$B$3&gt;=117,F713,0))/100))/Skills!D18))/100),1)</f>
        <v/>
      </c>
    </row>
    <row r="717">
      <c r="A717" t="inlineStr">
        <is>
          <t>Monster Damage Taken Bonus % (Holy Fountain)</t>
        </is>
      </c>
      <c r="B717">
        <f>IF(Inputs!$B$3&gt;=68,20*IF(Inputs!$B$4="pvp",MIN((15*(1+(Inputs!$B$33+IF(Inputs!$B$3&gt;=117,F713,0))/100)),15)/15,(15*(1+(Inputs!$B$33+IF(Inputs!$B$3&gt;=117,F713,0))/100))/Skills!D10),0)</f>
        <v/>
      </c>
    </row>
    <row r="718">
      <c r="A718" t="inlineStr">
        <is>
          <t>Normal Monster Damage Bonus % (Holy Symbol)</t>
        </is>
      </c>
      <c r="B718">
        <f>IF(C700=TRUE,F700*IF(AND(Inputs!$B$4&lt;&gt;"pvp",Inputs!$B$35&gt;0),(((S700-1)*(Skills!S12*(1+(Inputs!$B$33+IF(Inputs!$B$3&gt;=117,F713,0))/100))+MIN((Skills!S12*(1+(Inputs!$B$33+IF(Inputs!$B$3&gt;=117,F713,0))/100)),MAX(0,Inputs!$B$35-((S700-1)*Skills!D12))))/Inputs!$B$35),IF(Inputs!$B$4="pvp",MIN((Skills!S12*(1+(Inputs!$B$33+IF(Inputs!$B$3&gt;=117,F713,0))/100)),15)/15,(Skills!S12*(1+(Inputs!$B$33+IF(Inputs!$B$3&gt;=117,F713,0))/100))/Skills!D12)),0)</f>
        <v/>
      </c>
    </row>
    <row r="719">
      <c r="A719" t="inlineStr">
        <is>
          <t>Damage % Bonus (Holy Symbol - Damage Boost)</t>
        </is>
      </c>
      <c r="B719">
        <f>Skills!O12</f>
        <v/>
      </c>
    </row>
    <row r="720">
      <c r="A720" t="inlineStr">
        <is>
          <t>Crit Damage % Bonus (Blood of the Divine)</t>
        </is>
      </c>
      <c r="B720">
        <f>4*IF(C707=TRUE,F707,0)</f>
        <v/>
      </c>
    </row>
    <row r="721">
      <c r="A721" t="inlineStr">
        <is>
          <t>Attack Speed Bonus %</t>
        </is>
      </c>
      <c r="B721">
        <f>IF(C704=TRUE,F704+(F708-Calc!F20),0)+IF(Inputs!$B$3&gt;=134,15,0)</f>
        <v/>
      </c>
    </row>
    <row r="722">
      <c r="A722" t="inlineStr">
        <is>
          <t>Actions Per Second</t>
        </is>
      </c>
      <c r="B722">
        <f>1+MIN(150,150*(1-(1-Inputs!$B$10/150)*(1-B721/150)))/100</f>
        <v/>
      </c>
    </row>
    <row r="723">
      <c r="A723" t="inlineStr">
        <is>
          <t>Skill + Buff Cast Rate</t>
        </is>
      </c>
      <c r="B723">
        <f>IF(AND(Inputs!$B$4&lt;&gt;"pvp",Inputs!$B$35&gt;0),SUMPRODUCT((Skills!E2:E26=TRUE)*(C690:C714=TRUE)*S690:S714)/Inputs!$B$35,SUMPRODUCT((Skills!E2:E26=TRUE)*(C690:C714=TRUE)*V690:V714))</f>
        <v/>
      </c>
    </row>
    <row r="724">
      <c r="A724" t="inlineStr">
        <is>
          <t>Big Bang Casts Per Second</t>
        </is>
      </c>
      <c r="B724">
        <f>MAX(0,B722-B723)</f>
        <v/>
      </c>
    </row>
    <row r="726">
      <c r="A726" s="5" t="inlineStr">
        <is>
          <t>TOTAL DPS</t>
        </is>
      </c>
      <c r="B726" s="5">
        <f>SUM(O690:O714)</f>
        <v/>
      </c>
    </row>
    <row r="729">
      <c r="A729" s="5" t="inlineStr">
        <is>
          <t>Stat: Skill Level Bonus — 3rd Job</t>
        </is>
      </c>
    </row>
    <row r="730">
      <c r="A730" s="8" t="inlineStr">
        <is>
          <t>Key</t>
        </is>
      </c>
      <c r="B730" s="8" t="inlineStr">
        <is>
          <t>Name</t>
        </is>
      </c>
      <c r="C730" s="8" t="inlineStr">
        <is>
          <t>Unlocked</t>
        </is>
      </c>
      <c r="D730" s="8" t="inlineStr">
        <is>
          <t>InputLevel</t>
        </is>
      </c>
      <c r="E730" s="8" t="inlineStr">
        <is>
          <t>Factor</t>
        </is>
      </c>
      <c r="F730" s="8" t="inlineStr">
        <is>
          <t>CoefficientPercent</t>
        </is>
      </c>
      <c r="G730" s="8" t="inlineStr">
        <is>
          <t>EffectiveHits</t>
        </is>
      </c>
      <c r="H730" s="8" t="inlineStr">
        <is>
          <t>ProcProbability</t>
        </is>
      </c>
      <c r="I730" s="8" t="inlineStr">
        <is>
          <t>MapleHeroMultiplier</t>
        </is>
      </c>
      <c r="J730" s="8" t="inlineStr">
        <is>
          <t>BaseDamage</t>
        </is>
      </c>
      <c r="K730" s="8" t="inlineStr">
        <is>
          <t>BaseHitDamage</t>
        </is>
      </c>
      <c r="L730" s="8" t="inlineStr">
        <is>
          <t>NonCritAvg</t>
        </is>
      </c>
      <c r="M730" s="8" t="inlineStr">
        <is>
          <t>CritAvg</t>
        </is>
      </c>
      <c r="N730" s="8" t="inlineStr">
        <is>
          <t>ExpectedDamage(perHit)</t>
        </is>
      </c>
      <c r="O730" s="8" t="inlineStr">
        <is>
          <t>DPS</t>
        </is>
      </c>
      <c r="P730" s="8" t="inlineStr">
        <is>
          <t>% of Total</t>
        </is>
      </c>
      <c r="R730" t="inlineStr">
        <is>
          <t>helpers</t>
        </is>
      </c>
    </row>
    <row r="731">
      <c r="A731">
        <f>Skills!A2</f>
        <v/>
      </c>
      <c r="B731">
        <f>Skills!B2</f>
        <v/>
      </c>
      <c r="C731">
        <f>Inputs!$B$3&gt;=100</f>
        <v/>
      </c>
      <c r="D731" t="inlineStr"/>
      <c r="E731" t="inlineStr"/>
      <c r="F731">
        <f>T733+Skills!N2</f>
        <v/>
      </c>
      <c r="G731">
        <f>Calc!G2</f>
        <v/>
      </c>
      <c r="H731">
        <f>Calc!H2</f>
        <v/>
      </c>
      <c r="I731">
        <f>IF(Skills!T2&lt;&gt;"",1+(Skills!T2/10)*($Z$3/1000)/100,1)</f>
        <v/>
      </c>
      <c r="J731">
        <f>((Inputs!$B$5*(1+Inputs!$B$6/100))+((Inputs!$B$11*(1+Inputs!$B$12/100))-(Inputs!$B$11*(1+Inputs!$B$12/100)))*(1+Inputs!$B$6/100))*(F731/100)</f>
        <v/>
      </c>
      <c r="K731">
        <f>J731*(1+((Inputs!$B$11*(1+Inputs!$B$12/100))*0.01+Inputs!$B$13*0.0025)/100)*(1+(Inputs!$B$14+B760)/100)*(1+IF(Inputs!$B$4="pvp",0,(1-Summary!$B$48)*(Inputs!$B$19+Skills!O2+B758)+Summary!$B$48*(Inputs!$B$20+Skills!P2+B759))/100)*(1+Inputs!$B$15/100)*(5000/(6000+Inputs!$B$7*(1-Inputs!$B$18/100)))*(1+Inputs!$B$23/100)*(1+IF(C746=TRUE,F746,0)/100)*(1+IF(C748=TRUE,F748,0)/100)*(1+IF(Skills!A2="TRIUMPH_FEATHER",IF(C744=TRUE,F744,0),0)/100)*(1+IF(C755=TRUE,F755,0)/100)^5*(1+(IF(Skills!A2="BIG_BANG",Inputs!$B$16,Inputs!$B$17))/100)*(B757*I731)</f>
        <v/>
      </c>
      <c r="L731">
        <f>K731*(MIN(Inputs!$B$21+(F750-Calc!F21),Inputs!$B$22)/100+Inputs!$B$22/100)/2</f>
        <v/>
      </c>
      <c r="M731">
        <f>L731*(1+(Inputs!$B$9+B761+(F753-Calc!F24))/100)</f>
        <v/>
      </c>
      <c r="N731">
        <f>L731*(1-MIN(Inputs!$B$8+((F752-Calc!F23)+(F751-Calc!F22)),100)/100)+M731*(MIN(Inputs!$B$8+((F752-Calc!F23)+(F751-Calc!F22)),100)/100)</f>
        <v/>
      </c>
      <c r="O731">
        <f>IF(C731,Skills!F2*N731*B765*IF(Inputs!$B$4="pvp",1,(1-Summary!$B$48)*(1)+Summary!$B$48*(MIN((6+Inputs!$B$32),Inputs!$B$37))),0)</f>
        <v/>
      </c>
      <c r="P731">
        <f>IF(B767=0,0,O731/B767)</f>
        <v/>
      </c>
      <c r="S731" t="n">
        <v>0</v>
      </c>
      <c r="T731">
        <f>MAX(0,(Inputs!$B$3-100)*3)+Inputs!$B$27+Inputs!$B$28</f>
        <v/>
      </c>
      <c r="V731">
        <f>IFERROR(1/IF(Inputs!$B$4="pvp",15,MAX(0.1,Skills!D2-IF(Skills!E2=TRUE,Inputs!$B$31,0))),0)</f>
        <v/>
      </c>
    </row>
    <row r="732">
      <c r="A732">
        <f>Skills!A3</f>
        <v/>
      </c>
      <c r="B732">
        <f>Skills!B3</f>
        <v/>
      </c>
      <c r="C732">
        <f>Inputs!$B$3&gt;=15</f>
        <v/>
      </c>
      <c r="D732">
        <f>IF(Skills!C3=1,60+Inputs!$B$24+Inputs!$B$28,IF(Skills!C3=2,90+Inputs!$B$25+Inputs!$B$28,IF(Skills!C3=3,120+(Inputs!$B$26+1)+Inputs!$B$28,MAX(0,(Inputs!$B$3-100)*3)+Inputs!$B$27+Inputs!$B$28)))</f>
        <v/>
      </c>
      <c r="E732">
        <f>INDEX(FactorTable!$B$2:$Y$301, MATCH(ROUND(MIN(300,MAX(1,D732)),0), FactorTable!$A$2:$A$301,0), Skills!L3+1)</f>
        <v/>
      </c>
      <c r="F732">
        <f>IF(Skills!M3=TRUE,(Skills!K3/10)*(E732/1000),Skills!K3/10)+Skills!N3</f>
        <v/>
      </c>
      <c r="G732">
        <f>Calc!G3</f>
        <v/>
      </c>
      <c r="H732">
        <f>Calc!H3</f>
        <v/>
      </c>
      <c r="I732">
        <f>IF(Skills!T3&lt;&gt;"",1+(Skills!T3/10)*($Z$3/1000)/100,1)</f>
        <v/>
      </c>
      <c r="J732" t="inlineStr"/>
      <c r="K732" t="inlineStr"/>
      <c r="L732" t="inlineStr"/>
      <c r="M732" t="inlineStr"/>
      <c r="N732" t="inlineStr"/>
      <c r="O732" t="n">
        <v>0</v>
      </c>
      <c r="P732">
        <f>IF(B767=0,0,O732/B767)</f>
        <v/>
      </c>
      <c r="S732">
        <f>IF(AND(Inputs!$B$4&lt;&gt;"pvp",Inputs!$B$35&gt;0),(INT(Inputs!$B$35/IF(Inputs!$B$4="pvp",15,MAX(0.1,Skills!D3-IF(Skills!E3=TRUE,Inputs!$B$31,0))))+1),0)</f>
        <v/>
      </c>
      <c r="T732">
        <f>INDEX(FactorTable!$B$2:$Y$301, MATCH(ROUND(MIN(300,MAX(1,T731)),0), FactorTable!$A$2:$A$301,0), 22)</f>
        <v/>
      </c>
      <c r="V732">
        <f>IFERROR(1/IF(Inputs!$B$4="pvp",15,MAX(0.1,Skills!D3-IF(Skills!E3=TRUE,Inputs!$B$31,0))),0)</f>
        <v/>
      </c>
    </row>
    <row r="733">
      <c r="A733">
        <f>Skills!A4</f>
        <v/>
      </c>
      <c r="B733">
        <f>Skills!B4</f>
        <v/>
      </c>
      <c r="C733">
        <f>Inputs!$B$3&gt;=38</f>
        <v/>
      </c>
      <c r="D733">
        <f>IF(Skills!C4=1,60+Inputs!$B$24+Inputs!$B$28,IF(Skills!C4=2,90+Inputs!$B$25+Inputs!$B$28,IF(Skills!C4=3,120+(Inputs!$B$26+1)+Inputs!$B$28,MAX(0,(Inputs!$B$3-100)*3)+Inputs!$B$27+Inputs!$B$28)))</f>
        <v/>
      </c>
      <c r="E733">
        <f>INDEX(FactorTable!$B$2:$Y$301, MATCH(ROUND(MIN(300,MAX(1,D733)),0), FactorTable!$A$2:$A$301,0), Skills!L4+1)</f>
        <v/>
      </c>
      <c r="F733">
        <f>IF(Skills!M4=TRUE,(Skills!K4/10)*(E733/1000),Skills!K4/10)+Skills!N4</f>
        <v/>
      </c>
      <c r="G733">
        <f>Calc!G4</f>
        <v/>
      </c>
      <c r="H733">
        <f>Calc!H4</f>
        <v/>
      </c>
      <c r="I733">
        <f>IF(Skills!T4&lt;&gt;"",1+(Skills!T4/10)*($Z$3/1000)/100,1)</f>
        <v/>
      </c>
      <c r="J733" t="inlineStr"/>
      <c r="K733" t="inlineStr"/>
      <c r="L733" t="inlineStr"/>
      <c r="M733" t="inlineStr"/>
      <c r="N733" t="inlineStr"/>
      <c r="O733" t="n">
        <v>0</v>
      </c>
      <c r="P733">
        <f>IF(B767=0,0,O733/B767)</f>
        <v/>
      </c>
      <c r="S733">
        <f>IF(AND(Inputs!$B$4&lt;&gt;"pvp",Inputs!$B$35&gt;0),(INT(Inputs!$B$35/IF(Inputs!$B$4="pvp",15,MAX(0.1,Skills!D4-IF(Skills!E4=TRUE,Inputs!$B$31,0))))+1),0)</f>
        <v/>
      </c>
      <c r="T733">
        <f>290*T732/1000</f>
        <v/>
      </c>
      <c r="V733">
        <f>IFERROR(1/IF(Inputs!$B$4="pvp",15,MAX(0.1,Skills!D4-IF(Skills!E4=TRUE,Inputs!$B$31,0))),0)</f>
        <v/>
      </c>
    </row>
    <row r="734">
      <c r="A734">
        <f>Skills!A5</f>
        <v/>
      </c>
      <c r="B734">
        <f>Skills!B5</f>
        <v/>
      </c>
      <c r="C734">
        <f>Inputs!$B$3&gt;=40</f>
        <v/>
      </c>
      <c r="D734">
        <f>IF(Skills!C5=1,60+Inputs!$B$24+Inputs!$B$28,IF(Skills!C5=2,90+Inputs!$B$25+Inputs!$B$28,IF(Skills!C5=3,120+(Inputs!$B$26+1)+Inputs!$B$28,MAX(0,(Inputs!$B$3-100)*3)+Inputs!$B$27+Inputs!$B$28)))</f>
        <v/>
      </c>
      <c r="E734">
        <f>INDEX(FactorTable!$B$2:$Y$301, MATCH(ROUND(MIN(300,MAX(1,D734)),0), FactorTable!$A$2:$A$301,0), Skills!L5+1)</f>
        <v/>
      </c>
      <c r="F734">
        <f>IF(Skills!M5=TRUE,(Skills!K5/10)*(E734/1000),Skills!K5/10)+Skills!N5</f>
        <v/>
      </c>
      <c r="G734">
        <f>Calc!G5</f>
        <v/>
      </c>
      <c r="H734">
        <f>Calc!H5</f>
        <v/>
      </c>
      <c r="I734">
        <f>IF(Skills!T5&lt;&gt;"",1+(Skills!T5/10)*($Z$3/1000)/100,1)</f>
        <v/>
      </c>
      <c r="J734" t="inlineStr"/>
      <c r="K734" t="inlineStr"/>
      <c r="L734" t="inlineStr"/>
      <c r="M734" t="inlineStr"/>
      <c r="N734" t="inlineStr"/>
      <c r="O734" t="n">
        <v>0</v>
      </c>
      <c r="P734">
        <f>IF(B767=0,0,O734/B767)</f>
        <v/>
      </c>
      <c r="S734">
        <f>IF(AND(Inputs!$B$4&lt;&gt;"pvp",Inputs!$B$35&gt;0),(INT(Inputs!$B$35/IF(Inputs!$B$4="pvp",15,MAX(0.1,Skills!D5-IF(Skills!E5=TRUE,Inputs!$B$31,0))))+1),0)</f>
        <v/>
      </c>
      <c r="V734">
        <f>IFERROR(1/IF(Inputs!$B$4="pvp",15,MAX(0.1,Skills!D5-IF(Skills!E5=TRUE,Inputs!$B$31,0))),0)</f>
        <v/>
      </c>
    </row>
    <row r="735">
      <c r="A735">
        <f>Skills!A6</f>
        <v/>
      </c>
      <c r="B735">
        <f>Skills!B6</f>
        <v/>
      </c>
      <c r="C735">
        <f>Inputs!$B$3&gt;=103</f>
        <v/>
      </c>
      <c r="D735">
        <f>IF(Skills!C6=1,60+Inputs!$B$24+Inputs!$B$28,IF(Skills!C6=2,90+Inputs!$B$25+Inputs!$B$28,IF(Skills!C6=3,120+(Inputs!$B$26+1)+Inputs!$B$28,MAX(0,(Inputs!$B$3-100)*3)+Inputs!$B$27+Inputs!$B$28)))</f>
        <v/>
      </c>
      <c r="E735">
        <f>INDEX(FactorTable!$B$2:$Y$301, MATCH(ROUND(MIN(300,MAX(1,D735)),0), FactorTable!$A$2:$A$301,0), Skills!L6+1)</f>
        <v/>
      </c>
      <c r="F735">
        <f>IF(Skills!M6=TRUE,(Skills!K6/10)*(E735/1000),Skills!K6/10)+Skills!N6</f>
        <v/>
      </c>
      <c r="G735">
        <f>Calc!G6</f>
        <v/>
      </c>
      <c r="H735">
        <f>Calc!H6</f>
        <v/>
      </c>
      <c r="I735">
        <f>IF(Skills!T6&lt;&gt;"",1+(Skills!T6/10)*($Z$3/1000)/100,1)</f>
        <v/>
      </c>
      <c r="J735">
        <f>((Inputs!$B$5*(1+Inputs!$B$6/100))+((Inputs!$B$11*(1+Inputs!$B$12/100))-(Inputs!$B$11*(1+Inputs!$B$12/100)))*(1+Inputs!$B$6/100))*(F735/100)</f>
        <v/>
      </c>
      <c r="K735">
        <f>J735*(1+((Inputs!$B$11*(1+Inputs!$B$12/100))*0.01+Inputs!$B$13*0.0025)/100)*(1+(Inputs!$B$14+B760)/100)*(1+IF(Inputs!$B$4="pvp",0,(1-Summary!$B$48)*(Inputs!$B$19+Skills!O6+B758)+Summary!$B$48*(Inputs!$B$20+Skills!P6+B759))/100)*(1+Inputs!$B$15/100)*(5000/(6000+Inputs!$B$7*(1-Inputs!$B$18/100)))*(1+Inputs!$B$23/100)*(1+IF(C746=TRUE,F746,0)/100)*(1+IF(C748=TRUE,F748,0)/100)*(1+IF(Skills!A6="TRIUMPH_FEATHER",IF(C744=TRUE,F744,0),0)/100)*(1+IF(C755=TRUE,F755,0)/100)^5*(1+(IF(Skills!A6="BIG_BANG",Inputs!$B$16,Inputs!$B$17))/100)*(B757*I735)</f>
        <v/>
      </c>
      <c r="L735">
        <f>K735*(MIN(Inputs!$B$21+(F750-Calc!F21),Inputs!$B$22)/100+Inputs!$B$22/100)/2</f>
        <v/>
      </c>
      <c r="M735">
        <f>L735*(1+(Inputs!$B$9+B761+(F753-Calc!F24))/100)</f>
        <v/>
      </c>
      <c r="N735">
        <f>L735*(1-MIN(Inputs!$B$8+((F752-Calc!F23)+(F751-Calc!F22)),100)/100)+M735*(MIN(Inputs!$B$8+((F752-Calc!F23)+(F751-Calc!F22)),100)/100)</f>
        <v/>
      </c>
      <c r="O735">
        <f>IF(C735,H735*N735*IF(AND(Inputs!$B$4&lt;&gt;"pvp",Inputs!$B$35&gt;0),((Skills!F6*((S735-1)*IF(Skills!G6&gt;0,Skills!H6/Skills!G6,1)+IF(Skills!G6&gt;0,MIN(Skills!H6,MAX(0,Inputs!$B$35-((S735-1)*IF(Inputs!$B$4="pvp",15,MAX(0.1,Skills!D6-IF(Skills!E6=TRUE,Inputs!$B$31,0))))))/Skills!G6,1)))/Inputs!$B$35),G735*V735)*IF(Inputs!$B$4="pvp",1,(1-Summary!$B$48)*(1)+Summary!$B$48*(MIN(Skills!Q6,Inputs!$B$37))),0)</f>
        <v/>
      </c>
      <c r="P735">
        <f>IF(B767=0,0,O735/B767)</f>
        <v/>
      </c>
      <c r="S735">
        <f>IF(AND(Inputs!$B$4&lt;&gt;"pvp",Inputs!$B$35&gt;0),(INT(Inputs!$B$35/IF(Inputs!$B$4="pvp",15,MAX(0.1,Skills!D6-IF(Skills!E6=TRUE,Inputs!$B$31,0))))+1),0)</f>
        <v/>
      </c>
      <c r="V735">
        <f>IFERROR(1/IF(Inputs!$B$4="pvp",15,MAX(0.1,Skills!D6-IF(Skills!E6=TRUE,Inputs!$B$31,0))),0)</f>
        <v/>
      </c>
    </row>
    <row r="736">
      <c r="A736">
        <f>Skills!A7</f>
        <v/>
      </c>
      <c r="B736">
        <f>Skills!B7</f>
        <v/>
      </c>
      <c r="C736">
        <f>Inputs!$B$3&gt;=122</f>
        <v/>
      </c>
      <c r="D736">
        <f>IF(Skills!C7=1,60+Inputs!$B$24+Inputs!$B$28,IF(Skills!C7=2,90+Inputs!$B$25+Inputs!$B$28,IF(Skills!C7=3,120+(Inputs!$B$26+1)+Inputs!$B$28,MAX(0,(Inputs!$B$3-100)*3)+Inputs!$B$27+Inputs!$B$28)))</f>
        <v/>
      </c>
      <c r="E736">
        <f>INDEX(FactorTable!$B$2:$Y$301, MATCH(ROUND(MIN(300,MAX(1,D736)),0), FactorTable!$A$2:$A$301,0), Skills!L7+1)</f>
        <v/>
      </c>
      <c r="F736">
        <f>IF(Skills!M7=TRUE,(Skills!K7/10)*(E736/1000),Skills!K7/10)+Skills!N7</f>
        <v/>
      </c>
      <c r="G736">
        <f>Calc!G7</f>
        <v/>
      </c>
      <c r="H736">
        <f>Calc!H7</f>
        <v/>
      </c>
      <c r="I736">
        <f>IF(Skills!T7&lt;&gt;"",1+(Skills!T7/10)*($Z$3/1000)/100,1)</f>
        <v/>
      </c>
      <c r="J736">
        <f>((Inputs!$B$5*(1+Inputs!$B$6/100))+((Inputs!$B$11*(1+Inputs!$B$12/100))-(Inputs!$B$11*(1+Inputs!$B$12/100)))*(1+Inputs!$B$6/100))*(F736/100)</f>
        <v/>
      </c>
      <c r="K736">
        <f>J736*(1+((Inputs!$B$11*(1+Inputs!$B$12/100))*0.01+Inputs!$B$13*0.0025)/100)*(1+(Inputs!$B$14+B760)/100)*(1+IF(Inputs!$B$4="pvp",0,(1-Summary!$B$48)*(Inputs!$B$19+Skills!O7+B758)+Summary!$B$48*(Inputs!$B$20+Skills!P7+B759))/100)*(1+Inputs!$B$15/100)*(5000/(6000+Inputs!$B$7*(1-Inputs!$B$18/100)))*(1+Inputs!$B$23/100)*(1+IF(C746=TRUE,F746,0)/100)*(1+IF(C748=TRUE,F748,0)/100)*(1+IF(Skills!A7="TRIUMPH_FEATHER",IF(C744=TRUE,F744,0),0)/100)*(1+IF(C755=TRUE,F755,0)/100)^5*(1+(IF(Skills!A7="BIG_BANG",Inputs!$B$16,Inputs!$B$17))/100)*(B757*I736)</f>
        <v/>
      </c>
      <c r="L736">
        <f>K736*(MIN(Inputs!$B$21+(F750-Calc!F21),Inputs!$B$22)/100+Inputs!$B$22/100)/2</f>
        <v/>
      </c>
      <c r="M736">
        <f>L736*(1+(Inputs!$B$9+B761+(F753-Calc!F24))/100)</f>
        <v/>
      </c>
      <c r="N736">
        <f>L736*(1-MIN(Inputs!$B$8+((F752-Calc!F23)+(F751-Calc!F22)),100)/100)+M736*(MIN(Inputs!$B$8+((F752-Calc!F23)+(F751-Calc!F22)),100)/100)</f>
        <v/>
      </c>
      <c r="O736">
        <f>IF(C736,H736*N736*IF(AND(Inputs!$B$4&lt;&gt;"pvp",Inputs!$B$35&gt;0),((Skills!F7*((S736-1)*IF(Skills!G7&gt;0,Skills!H7/Skills!G7,1)+IF(Skills!G7&gt;0,MIN(Skills!H7,MAX(0,Inputs!$B$35-((S736-1)*IF(Inputs!$B$4="pvp",15,MAX(0.1,Skills!D7-IF(Skills!E6=TRUE,Inputs!$B$31,0))))))/Skills!G7,1)))/Inputs!$B$35),G736*V736)*(1-Summary!$B$48),0)</f>
        <v/>
      </c>
      <c r="P736">
        <f>IF(B767=0,0,O736/B767)</f>
        <v/>
      </c>
      <c r="S736">
        <f>IF(AND(Inputs!$B$4&lt;&gt;"pvp",Inputs!$B$35&gt;0),(INT(Inputs!$B$35/IF(Inputs!$B$4="pvp",15,MAX(0.1,Skills!D7-IF(Skills!E6=TRUE,Inputs!$B$31,0))))+1),0)</f>
        <v/>
      </c>
      <c r="V736">
        <f>IFERROR(1/IF(Inputs!$B$4="pvp",15,MAX(0.1,Skills!D7-IF(Skills!E6=TRUE,Inputs!$B$31,0))),0)</f>
        <v/>
      </c>
    </row>
    <row r="737">
      <c r="A737">
        <f>Skills!A8</f>
        <v/>
      </c>
      <c r="B737">
        <f>Skills!B8</f>
        <v/>
      </c>
      <c r="C737">
        <f>Inputs!$B$3&gt;=105</f>
        <v/>
      </c>
      <c r="D737">
        <f>IF(Skills!C8=1,60+Inputs!$B$24+Inputs!$B$28,IF(Skills!C8=2,90+Inputs!$B$25+Inputs!$B$28,IF(Skills!C8=3,120+(Inputs!$B$26+1)+Inputs!$B$28,MAX(0,(Inputs!$B$3-100)*3)+Inputs!$B$27+Inputs!$B$28)))</f>
        <v/>
      </c>
      <c r="E737">
        <f>INDEX(FactorTable!$B$2:$Y$301, MATCH(ROUND(MIN(300,MAX(1,D737)),0), FactorTable!$A$2:$A$301,0), Skills!L8+1)</f>
        <v/>
      </c>
      <c r="F737">
        <f>IF(Skills!M8=TRUE,(Skills!K8/10)*(E737/1000),Skills!K8/10)+Skills!N8</f>
        <v/>
      </c>
      <c r="G737">
        <f>Calc!G8</f>
        <v/>
      </c>
      <c r="H737">
        <f>Calc!H8</f>
        <v/>
      </c>
      <c r="I737">
        <f>IF(Skills!T8&lt;&gt;"",1+(Skills!T8/10)*($Z$3/1000)/100,1)</f>
        <v/>
      </c>
      <c r="J737">
        <f>((Inputs!$B$5*(1+Inputs!$B$6/100))+((Inputs!$B$11*(1+Inputs!$B$12/100))-(Inputs!$B$11*(1+Inputs!$B$12/100)))*(1+Inputs!$B$6/100))*(F737/100)</f>
        <v/>
      </c>
      <c r="K737">
        <f>J737*(1+((Inputs!$B$11*(1+Inputs!$B$12/100))*0.01+Inputs!$B$13*0.0025)/100)*(1+(Inputs!$B$14+B760)/100)*(1+IF(Inputs!$B$4="pvp",0,(1-Summary!$B$48)*(Inputs!$B$19+Skills!O8+B758)+Summary!$B$48*(Inputs!$B$20+Skills!P8+B759))/100)*(1+Inputs!$B$15/100)*(5000/(6000+Inputs!$B$7*(1-Inputs!$B$18/100)))*(1+Inputs!$B$23/100)*(1+IF(C746=TRUE,F746,0)/100)*(1+IF(C748=TRUE,F748,0)/100)*(1+IF(Skills!A8="TRIUMPH_FEATHER",IF(C744=TRUE,F744,0),0)/100)*(1+IF(C755=TRUE,F755,0)/100)^5*(1+(IF(Skills!A8="BIG_BANG",Inputs!$B$16,Inputs!$B$17))/100)*(B757*I737)</f>
        <v/>
      </c>
      <c r="L737">
        <f>K737*(MIN(Inputs!$B$21+(F750-Calc!F21),Inputs!$B$22)/100+Inputs!$B$22/100)/2</f>
        <v/>
      </c>
      <c r="M737">
        <f>L737*(1+(Inputs!$B$9+B761+(F753-Calc!F24))/100)</f>
        <v/>
      </c>
      <c r="N737">
        <f>L737*(1-MIN(Inputs!$B$8+((F752-Calc!F23)+(F751-Calc!F22)),100)/100)+M737*(MIN(Inputs!$B$8+((F752-Calc!F23)+(F751-Calc!F22)),100)/100)</f>
        <v/>
      </c>
      <c r="O737">
        <f>IF(C737,H737*N737*IF(AND(Inputs!$B$4&lt;&gt;"pvp",Inputs!$B$35&gt;0),((Skills!F8*((S737-1)*IF(Skills!G8&gt;0,Skills!H8/Skills!G8,1)+IF(Skills!G8&gt;0,MIN(Skills!H8,MAX(0,Inputs!$B$35-((S737-1)*IF(Inputs!$B$4="pvp",15,MAX(0.1,Skills!D8-IF(Skills!E8=TRUE,Inputs!$B$31,0))))))/Skills!G8,1)))/Inputs!$B$35),G737*V737)*IF(Inputs!$B$4="pvp",1,(1-Summary!$B$48)*(1)+Summary!$B$48*(MIN(Skills!Q8,Inputs!$B$37))),0)</f>
        <v/>
      </c>
      <c r="P737">
        <f>IF(B767=0,0,O737/B767)</f>
        <v/>
      </c>
      <c r="S737">
        <f>IF(AND(Inputs!$B$4&lt;&gt;"pvp",Inputs!$B$35&gt;0),(INT(Inputs!$B$35/IF(Inputs!$B$4="pvp",15,MAX(0.1,Skills!D8-IF(Skills!E8=TRUE,Inputs!$B$31,0))))+1),0)</f>
        <v/>
      </c>
      <c r="V737">
        <f>IFERROR(1/IF(Inputs!$B$4="pvp",15,MAX(0.1,Skills!D8-IF(Skills!E8=TRUE,Inputs!$B$31,0))),0)</f>
        <v/>
      </c>
    </row>
    <row r="738">
      <c r="A738">
        <f>Skills!A9</f>
        <v/>
      </c>
      <c r="B738">
        <f>Skills!B9</f>
        <v/>
      </c>
      <c r="C738">
        <f>Inputs!$B$3&gt;=115</f>
        <v/>
      </c>
      <c r="D738">
        <f>IF(Skills!C9=1,60+Inputs!$B$24+Inputs!$B$28,IF(Skills!C9=2,90+Inputs!$B$25+Inputs!$B$28,IF(Skills!C9=3,120+(Inputs!$B$26+1)+Inputs!$B$28,MAX(0,(Inputs!$B$3-100)*3)+Inputs!$B$27+Inputs!$B$28)))</f>
        <v/>
      </c>
      <c r="E738">
        <f>INDEX(FactorTable!$B$2:$Y$301, MATCH(ROUND(MIN(300,MAX(1,D738)),0), FactorTable!$A$2:$A$301,0), Skills!L9+1)</f>
        <v/>
      </c>
      <c r="F738">
        <f>IF(Skills!M9=TRUE,(Skills!K9/10)*(E738/1000),Skills!K9/10)+Skills!N9</f>
        <v/>
      </c>
      <c r="G738">
        <f>Calc!G9</f>
        <v/>
      </c>
      <c r="H738">
        <f>Calc!H9</f>
        <v/>
      </c>
      <c r="I738">
        <f>IF(Skills!T9&lt;&gt;"",1+(Skills!T9/10)*($Z$3/1000)/100,1)</f>
        <v/>
      </c>
      <c r="J738">
        <f>((Inputs!$B$5*(1+Inputs!$B$6/100))+((Inputs!$B$11*(1+Inputs!$B$12/100))-(Inputs!$B$11*(1+Inputs!$B$12/100)))*(1+Inputs!$B$6/100))*(F738/100)</f>
        <v/>
      </c>
      <c r="K738">
        <f>J738*(1+((Inputs!$B$11*(1+Inputs!$B$12/100))*0.01+Inputs!$B$13*0.0025)/100)*(1+(Inputs!$B$14+B760)/100)*(1+IF(Inputs!$B$4="pvp",0,(1-Summary!$B$48)*(Inputs!$B$19+Skills!O9+B758)+Summary!$B$48*(Inputs!$B$20+Skills!P9+B759))/100)*(1+Inputs!$B$15/100)*(5000/(6000+Inputs!$B$7*(1-Inputs!$B$18/100)))*(1+Inputs!$B$23/100)*(1+IF(C746=TRUE,F746,0)/100)*(1+IF(C748=TRUE,F748,0)/100)*(1+IF(Skills!A9="TRIUMPH_FEATHER",IF(C744=TRUE,F744,0),0)/100)*(1+IF(C755=TRUE,F755,0)/100)^5*(1+(IF(Skills!A9="BIG_BANG",Inputs!$B$16,Inputs!$B$17))/100)*(B757*I738)</f>
        <v/>
      </c>
      <c r="L738">
        <f>K738*(MIN(Inputs!$B$21+(F750-Calc!F21),Inputs!$B$22)/100+Inputs!$B$22/100)/2</f>
        <v/>
      </c>
      <c r="M738">
        <f>L738*(1+(Inputs!$B$9+B761+(F753-Calc!F24))/100)</f>
        <v/>
      </c>
      <c r="N738">
        <f>L738*(1-MIN(Inputs!$B$8+((F752-Calc!F23)+(F751-Calc!F22)),100)/100)+M738*(MIN(Inputs!$B$8+((F752-Calc!F23)+(F751-Calc!F22)),100)/100)</f>
        <v/>
      </c>
      <c r="O738">
        <f>IF(C738,H738*N738*IF(AND(Inputs!$B$4&lt;&gt;"pvp",Inputs!$B$35&gt;0),((Skills!F9*((S738-1)*IF(Skills!G9&gt;0,Skills!H9/Skills!G9,1)+IF(Skills!G9&gt;0,MIN(Skills!H9,MAX(0,Inputs!$B$35-((S738-1)*IF(Inputs!$B$4="pvp",15,MAX(0.1,Skills!D9-IF(Skills!E9=TRUE,Inputs!$B$31,0))))))/Skills!G9,1)))/Inputs!$B$35),G738*V738)*IF(Inputs!$B$4="pvp",1,(1-Summary!$B$48)*(1)+Summary!$B$48*(MIN(Skills!Q9,Inputs!$B$37))),0)</f>
        <v/>
      </c>
      <c r="P738">
        <f>IF(B767=0,0,O738/B767)</f>
        <v/>
      </c>
      <c r="S738">
        <f>IF(AND(Inputs!$B$4&lt;&gt;"pvp",Inputs!$B$35&gt;0),(INT(Inputs!$B$35/IF(Inputs!$B$4="pvp",15,MAX(0.1,Skills!D9-IF(Skills!E9=TRUE,Inputs!$B$31,0))))+1),0)</f>
        <v/>
      </c>
      <c r="V738">
        <f>IFERROR(1/IF(Inputs!$B$4="pvp",15,MAX(0.1,Skills!D9-IF(Skills!E9=TRUE,Inputs!$B$31,0))),0)</f>
        <v/>
      </c>
    </row>
    <row r="739">
      <c r="A739">
        <f>Skills!A10</f>
        <v/>
      </c>
      <c r="B739">
        <f>Skills!B10</f>
        <v/>
      </c>
      <c r="C739">
        <f>Inputs!$B$3&gt;=66</f>
        <v/>
      </c>
      <c r="D739">
        <f>IF(Skills!C10=1,60+Inputs!$B$24+Inputs!$B$28,IF(Skills!C10=2,90+Inputs!$B$25+Inputs!$B$28,IF(Skills!C10=3,120+(Inputs!$B$26+1)+Inputs!$B$28,MAX(0,(Inputs!$B$3-100)*3)+Inputs!$B$27+Inputs!$B$28)))</f>
        <v/>
      </c>
      <c r="E739">
        <f>INDEX(FactorTable!$B$2:$Y$301, MATCH(ROUND(MIN(300,MAX(1,D739)),0), FactorTable!$A$2:$A$301,0), Skills!L10+1)</f>
        <v/>
      </c>
      <c r="F739" t="n">
        <v>0</v>
      </c>
      <c r="G739">
        <f>Calc!G10</f>
        <v/>
      </c>
      <c r="H739">
        <f>Calc!H10</f>
        <v/>
      </c>
      <c r="I739">
        <f>IF(Skills!T10&lt;&gt;"",1+(Skills!T10/10)*($Z$3/1000)/100,1)</f>
        <v/>
      </c>
      <c r="J739" t="inlineStr"/>
      <c r="K739" t="inlineStr"/>
      <c r="L739" t="inlineStr"/>
      <c r="M739" t="inlineStr"/>
      <c r="N739" t="inlineStr"/>
      <c r="O739" t="n">
        <v>0</v>
      </c>
      <c r="P739">
        <f>IF(B767=0,0,O739/B767)</f>
        <v/>
      </c>
      <c r="S739">
        <f>IF(AND(Inputs!$B$4&lt;&gt;"pvp",Inputs!$B$35&gt;0),(INT(Inputs!$B$35/IF(Inputs!$B$4="pvp",15,MAX(0.1,Skills!D10-IF(Skills!E10=TRUE,Inputs!$B$31,0))))+1),0)</f>
        <v/>
      </c>
      <c r="V739">
        <f>IFERROR(1/IF(Inputs!$B$4="pvp",15,MAX(0.1,Skills!D10-IF(Skills!E10=TRUE,Inputs!$B$31,0))),0)</f>
        <v/>
      </c>
    </row>
    <row r="740">
      <c r="A740">
        <f>Skills!A11</f>
        <v/>
      </c>
      <c r="B740">
        <f>Skills!B11</f>
        <v/>
      </c>
      <c r="C740">
        <f>Inputs!$B$3&gt;=69</f>
        <v/>
      </c>
      <c r="D740">
        <f>IF(Skills!C11=1,60+Inputs!$B$24+Inputs!$B$28,IF(Skills!C11=2,90+Inputs!$B$25+Inputs!$B$28,IF(Skills!C11=3,120+(Inputs!$B$26+1)+Inputs!$B$28,MAX(0,(Inputs!$B$3-100)*3)+Inputs!$B$27+Inputs!$B$28)))</f>
        <v/>
      </c>
      <c r="E740">
        <f>INDEX(FactorTable!$B$2:$Y$301, MATCH(ROUND(MIN(300,MAX(1,D740)),0), FactorTable!$A$2:$A$301,0), Skills!L11+1)</f>
        <v/>
      </c>
      <c r="F740">
        <f>IF(Skills!M11=TRUE,(Skills!K11/10)*(E740/1000),Skills!K11/10)+Skills!N11</f>
        <v/>
      </c>
      <c r="G740">
        <f>Calc!G11</f>
        <v/>
      </c>
      <c r="H740">
        <f>Calc!H11</f>
        <v/>
      </c>
      <c r="I740">
        <f>IF(Skills!T11&lt;&gt;"",1+(Skills!T11/10)*($Z$3/1000)/100,1)</f>
        <v/>
      </c>
      <c r="J740" t="inlineStr"/>
      <c r="K740" t="inlineStr"/>
      <c r="L740" t="inlineStr"/>
      <c r="M740" t="inlineStr"/>
      <c r="N740" t="inlineStr"/>
      <c r="O740" t="n">
        <v>0</v>
      </c>
      <c r="P740">
        <f>IF(B767=0,0,O740/B767)</f>
        <v/>
      </c>
      <c r="S740">
        <f>IF(AND(Inputs!$B$4&lt;&gt;"pvp",Inputs!$B$35&gt;0),(INT(Inputs!$B$35/IF(Inputs!$B$4="pvp",15,MAX(0.1,Skills!D11-IF(Skills!E11=TRUE,Inputs!$B$31,0))))+1),0)</f>
        <v/>
      </c>
      <c r="V740">
        <f>IFERROR(1/IF(Inputs!$B$4="pvp",15,MAX(0.1,Skills!D11-IF(Skills!E11=TRUE,Inputs!$B$31,0))),0)</f>
        <v/>
      </c>
    </row>
    <row r="741">
      <c r="A741">
        <f>Skills!A12</f>
        <v/>
      </c>
      <c r="B741">
        <f>Skills!B12</f>
        <v/>
      </c>
      <c r="C741">
        <f>Inputs!$B$3&gt;=72</f>
        <v/>
      </c>
      <c r="D741">
        <f>IF(Skills!C12=1,60+Inputs!$B$24+Inputs!$B$28,IF(Skills!C12=2,90+Inputs!$B$25+Inputs!$B$28,IF(Skills!C12=3,120+(Inputs!$B$26+1)+Inputs!$B$28,MAX(0,(Inputs!$B$3-100)*3)+Inputs!$B$27+Inputs!$B$28)))</f>
        <v/>
      </c>
      <c r="E741">
        <f>INDEX(FactorTable!$B$2:$Y$301, MATCH(ROUND(MIN(300,MAX(1,D741)),0), FactorTable!$A$2:$A$301,0), Skills!L12+1)</f>
        <v/>
      </c>
      <c r="F741">
        <f>IF(Skills!M12=TRUE,(Skills!K12/10)*(E741/1000),Skills!K12/10)+Skills!N12</f>
        <v/>
      </c>
      <c r="G741">
        <f>Calc!G12</f>
        <v/>
      </c>
      <c r="H741">
        <f>Calc!H12</f>
        <v/>
      </c>
      <c r="I741">
        <f>IF(Skills!T12&lt;&gt;"",1+(Skills!T12/10)*($Z$3/1000)/100,1)</f>
        <v/>
      </c>
      <c r="J741" t="inlineStr"/>
      <c r="K741" t="inlineStr"/>
      <c r="L741" t="inlineStr"/>
      <c r="M741" t="inlineStr"/>
      <c r="N741" t="inlineStr"/>
      <c r="O741" t="n">
        <v>0</v>
      </c>
      <c r="P741">
        <f>IF(B767=0,0,O741/B767)</f>
        <v/>
      </c>
      <c r="S741">
        <f>IF(AND(Inputs!$B$4&lt;&gt;"pvp",Inputs!$B$35&gt;0),(INT(Inputs!$B$35/IF(Inputs!$B$4="pvp",15,MAX(0.1,Skills!D12-IF(Skills!E12=TRUE,Inputs!$B$31,0))))+1),0)</f>
        <v/>
      </c>
      <c r="V741">
        <f>IFERROR(1/IF(Inputs!$B$4="pvp",15,MAX(0.1,Skills!D12-IF(Skills!E12=TRUE,Inputs!$B$31,0))),0)</f>
        <v/>
      </c>
    </row>
    <row r="742">
      <c r="A742">
        <f>Skills!A13</f>
        <v/>
      </c>
      <c r="B742">
        <f>Skills!B13</f>
        <v/>
      </c>
      <c r="C742">
        <f>Inputs!$B$3&gt;=107</f>
        <v/>
      </c>
      <c r="D742">
        <f>IF(Skills!C13=1,60+Inputs!$B$24+Inputs!$B$28,IF(Skills!C13=2,90+Inputs!$B$25+Inputs!$B$28,IF(Skills!C13=3,120+(Inputs!$B$26+1)+Inputs!$B$28,MAX(0,(Inputs!$B$3-100)*3)+Inputs!$B$27+Inputs!$B$28)))</f>
        <v/>
      </c>
      <c r="E742">
        <f>INDEX(FactorTable!$B$2:$Y$301, MATCH(ROUND(MIN(300,MAX(1,D742)),0), FactorTable!$A$2:$A$301,0), Skills!L13+1)</f>
        <v/>
      </c>
      <c r="F742">
        <f>IF(Skills!M13=TRUE,(Skills!K13/10)*(E742/1000),Skills!K13/10)+Skills!N13</f>
        <v/>
      </c>
      <c r="G742">
        <f>Calc!G13</f>
        <v/>
      </c>
      <c r="H742">
        <f>Calc!H13</f>
        <v/>
      </c>
      <c r="I742">
        <f>IF(Skills!T13&lt;&gt;"",1+(Skills!T13/10)*($Z$3/1000)/100,1)</f>
        <v/>
      </c>
      <c r="J742" t="inlineStr"/>
      <c r="K742" t="inlineStr"/>
      <c r="L742" t="inlineStr"/>
      <c r="M742" t="inlineStr"/>
      <c r="N742" t="inlineStr"/>
      <c r="O742" t="n">
        <v>0</v>
      </c>
      <c r="P742">
        <f>IF(B767=0,0,O742/B767)</f>
        <v/>
      </c>
      <c r="S742">
        <f>IF(AND(Inputs!$B$4&lt;&gt;"pvp",Inputs!$B$35&gt;0),(INT(Inputs!$B$35/IF(Inputs!$B$4="pvp",15,MAX(0.1,Skills!D13-IF(Skills!E13=TRUE,Inputs!$B$31,0))))+1),0)</f>
        <v/>
      </c>
      <c r="V742">
        <f>IFERROR(1/IF(Inputs!$B$4="pvp",15,MAX(0.1,Skills!D13-IF(Skills!E13=TRUE,Inputs!$B$31,0))),0)</f>
        <v/>
      </c>
    </row>
    <row r="743">
      <c r="A743">
        <f>Skills!A14</f>
        <v/>
      </c>
      <c r="B743">
        <f>Skills!B14</f>
        <v/>
      </c>
      <c r="C743">
        <f>Inputs!$B$3&gt;=63</f>
        <v/>
      </c>
      <c r="D743">
        <f>IF(Skills!C14=1,60+Inputs!$B$24+Inputs!$B$28,IF(Skills!C14=2,90+Inputs!$B$25+Inputs!$B$28,IF(Skills!C14=3,120+(Inputs!$B$26+1)+Inputs!$B$28,MAX(0,(Inputs!$B$3-100)*3)+Inputs!$B$27+Inputs!$B$28)))</f>
        <v/>
      </c>
      <c r="E743">
        <f>INDEX(FactorTable!$B$2:$Y$301, MATCH(ROUND(MIN(300,MAX(1,D743)),0), FactorTable!$A$2:$A$301,0), Skills!L14+1)</f>
        <v/>
      </c>
      <c r="F743">
        <f>IF(Skills!M14=TRUE,(Skills!K14/10)*(E743/1000),Skills!K14/10)+Skills!N14</f>
        <v/>
      </c>
      <c r="G743">
        <f>Calc!G14</f>
        <v/>
      </c>
      <c r="H743">
        <f>Calc!H14</f>
        <v/>
      </c>
      <c r="I743">
        <f>IF(Skills!T14&lt;&gt;"",1+(Skills!T14/10)*($Z$3/1000)/100,1)</f>
        <v/>
      </c>
      <c r="J743">
        <f>((Inputs!$B$5*(1+Inputs!$B$6/100))+((Inputs!$B$11*(1+Inputs!$B$12/100))-(Inputs!$B$11*(1+Inputs!$B$12/100)))*(1+Inputs!$B$6/100))*(F743/100)</f>
        <v/>
      </c>
      <c r="K743">
        <f>J743*(1+((Inputs!$B$11*(1+Inputs!$B$12/100))*0.01+Inputs!$B$13*0.0025)/100)*(1+(Inputs!$B$14+B760)/100)*(1+IF(Inputs!$B$4="pvp",0,(1-Summary!$B$48)*(Inputs!$B$19+Skills!O14+B758)+Summary!$B$48*(Inputs!$B$20+Skills!P14+B759))/100)*(1+Inputs!$B$15/100)*(5000/(6000+Inputs!$B$7*(1-Inputs!$B$18/100)))*(1+Inputs!$B$23/100)*(1+IF(C746=TRUE,F746,0)/100)*(1+IF(C748=TRUE,F748,0)/100)*(1+IF(Skills!A14="TRIUMPH_FEATHER",IF(C744=TRUE,F744,0),0)/100)*(1+IF(C755=TRUE,F755,0)/100)^5*(1+(IF(Skills!A14="BIG_BANG",Inputs!$B$16,Inputs!$B$17))/100)*(B757*I743)</f>
        <v/>
      </c>
      <c r="L743">
        <f>K743*(MIN(Inputs!$B$21+(F750-Calc!F21),Inputs!$B$22)/100+Inputs!$B$22/100)/2</f>
        <v/>
      </c>
      <c r="M743">
        <f>L743*(1+(Inputs!$B$9+B761+(F753-Calc!F24))/100)</f>
        <v/>
      </c>
      <c r="N743">
        <f>L743*(1-MIN(Inputs!$B$8+((F752-Calc!F23)+(F751-Calc!F22)),100)/100)+M743*(MIN(Inputs!$B$8+((F752-Calc!F23)+(F751-Calc!F22)),100)/100)</f>
        <v/>
      </c>
      <c r="O743">
        <f>IF(C743,Skills!F14*N743*((IF(Inputs!$B$3&gt;=78,25,15)/100*B763*10)/(1+IF(Inputs!$B$3&gt;=78,25,15)/100*B763*10))*(Skills!I14/100*B763)/(1+Skills!G14*Skills!I14/100*B763)*IF(Inputs!$B$4="pvp",1,(1-Summary!$B$48)*(1)+Summary!$B$48*(MIN(Skills!Q14,Inputs!$B$37))),0)</f>
        <v/>
      </c>
      <c r="P743">
        <f>IF(B767=0,0,O743/B767)</f>
        <v/>
      </c>
      <c r="S743" t="n">
        <v>0</v>
      </c>
      <c r="V743">
        <f>IFERROR(1/IF(Inputs!$B$4="pvp",15,MAX(0.1,Skills!D14-IF(Skills!E14=TRUE,Inputs!$B$31,0))),0)</f>
        <v/>
      </c>
    </row>
    <row r="744">
      <c r="A744">
        <f>Skills!A15</f>
        <v/>
      </c>
      <c r="B744">
        <f>Skills!B15</f>
        <v/>
      </c>
      <c r="C744">
        <f>Inputs!$B$3&gt;=100</f>
        <v/>
      </c>
      <c r="D744">
        <f>IF(Skills!C15=1,60+Inputs!$B$24+Inputs!$B$28,IF(Skills!C15=2,90+Inputs!$B$25+Inputs!$B$28,IF(Skills!C15=3,120+(Inputs!$B$26+1)+Inputs!$B$28,MAX(0,(Inputs!$B$3-100)*3)+Inputs!$B$27+Inputs!$B$28)))</f>
        <v/>
      </c>
      <c r="E744">
        <f>INDEX(FactorTable!$B$2:$Y$301, MATCH(ROUND(MIN(300,MAX(1,D744)),0), FactorTable!$A$2:$A$301,0), Skills!L15+1)</f>
        <v/>
      </c>
      <c r="F744">
        <f>IF(Skills!M15=TRUE,(Skills!K15/10)*(E744/1000),Skills!K15/10)+Skills!N15</f>
        <v/>
      </c>
      <c r="G744">
        <f>Calc!G15</f>
        <v/>
      </c>
      <c r="H744">
        <f>Calc!H15</f>
        <v/>
      </c>
      <c r="I744">
        <f>IF(Skills!T15&lt;&gt;"",1+(Skills!T15/10)*($Z$3/1000)/100,1)</f>
        <v/>
      </c>
      <c r="J744" t="inlineStr"/>
      <c r="K744" t="inlineStr"/>
      <c r="L744" t="inlineStr"/>
      <c r="M744" t="inlineStr"/>
      <c r="N744" t="inlineStr"/>
      <c r="O744" t="n">
        <v>0</v>
      </c>
      <c r="P744">
        <f>IF(B767=0,0,O744/B767)</f>
        <v/>
      </c>
      <c r="S744" t="n">
        <v>0</v>
      </c>
      <c r="V744">
        <f>IFERROR(1/IF(Inputs!$B$4="pvp",15,MAX(0.1,Skills!D15-IF(Skills!E15=TRUE,Inputs!$B$31,0))),0)</f>
        <v/>
      </c>
    </row>
    <row r="745">
      <c r="A745">
        <f>Skills!A16</f>
        <v/>
      </c>
      <c r="B745">
        <f>Skills!B16</f>
        <v/>
      </c>
      <c r="C745">
        <f>Inputs!$B$3&gt;=49</f>
        <v/>
      </c>
      <c r="D745">
        <f>IF(Skills!C16=1,60+Inputs!$B$24+Inputs!$B$28,IF(Skills!C16=2,90+Inputs!$B$25+Inputs!$B$28,IF(Skills!C16=3,120+(Inputs!$B$26+1)+Inputs!$B$28,MAX(0,(Inputs!$B$3-100)*3)+Inputs!$B$27+Inputs!$B$28)))</f>
        <v/>
      </c>
      <c r="E745">
        <f>INDEX(FactorTable!$B$2:$Y$301, MATCH(ROUND(MIN(300,MAX(1,D745)),0), FactorTable!$A$2:$A$301,0), Skills!L16+1)</f>
        <v/>
      </c>
      <c r="F745">
        <f>IF(Skills!M16=TRUE,(Skills!K16/10)*(E745/1000),Skills!K16/10)+Skills!N16</f>
        <v/>
      </c>
      <c r="G745">
        <f>Calc!G16</f>
        <v/>
      </c>
      <c r="H745">
        <f>Calc!H16</f>
        <v/>
      </c>
      <c r="I745">
        <f>IF(Skills!T16&lt;&gt;"",1+(Skills!T16/10)*($Z$3/1000)/100,1)</f>
        <v/>
      </c>
      <c r="J745" t="inlineStr"/>
      <c r="K745" t="inlineStr"/>
      <c r="L745" t="inlineStr"/>
      <c r="M745" t="inlineStr"/>
      <c r="N745" t="inlineStr"/>
      <c r="O745" t="n">
        <v>0</v>
      </c>
      <c r="P745">
        <f>IF(B767=0,0,O745/B767)</f>
        <v/>
      </c>
      <c r="S745" t="n">
        <v>0</v>
      </c>
      <c r="V745">
        <f>IFERROR(1/IF(Inputs!$B$4="pvp",15,MAX(0.1,Skills!D16-IF(Skills!E16=TRUE,Inputs!$B$31,0))),0)</f>
        <v/>
      </c>
    </row>
    <row r="746">
      <c r="A746">
        <f>Skills!A17</f>
        <v/>
      </c>
      <c r="B746">
        <f>Skills!B17</f>
        <v/>
      </c>
      <c r="C746">
        <f>Inputs!$B$3&gt;=75</f>
        <v/>
      </c>
      <c r="D746">
        <f>IF(Skills!C17=1,60+Inputs!$B$24+Inputs!$B$28,IF(Skills!C17=2,90+Inputs!$B$25+Inputs!$B$28,IF(Skills!C17=3,120+(Inputs!$B$26+1)+Inputs!$B$28,MAX(0,(Inputs!$B$3-100)*3)+Inputs!$B$27+Inputs!$B$28)))</f>
        <v/>
      </c>
      <c r="E746">
        <f>INDEX(FactorTable!$B$2:$Y$301, MATCH(ROUND(MIN(300,MAX(1,D746)),0), FactorTable!$A$2:$A$301,0), Skills!L17+1)</f>
        <v/>
      </c>
      <c r="F746">
        <f>IF(Skills!M17=TRUE,(Skills!K17/10)*(E746/1000),Skills!K17/10)+Skills!N17</f>
        <v/>
      </c>
      <c r="G746">
        <f>Calc!G17</f>
        <v/>
      </c>
      <c r="H746">
        <f>Calc!H17</f>
        <v/>
      </c>
      <c r="I746">
        <f>IF(Skills!T17&lt;&gt;"",1+(Skills!T17/10)*($Z$3/1000)/100,1)</f>
        <v/>
      </c>
      <c r="J746" t="inlineStr"/>
      <c r="K746" t="inlineStr"/>
      <c r="L746" t="inlineStr"/>
      <c r="M746" t="inlineStr"/>
      <c r="N746" t="inlineStr"/>
      <c r="O746" t="n">
        <v>0</v>
      </c>
      <c r="P746">
        <f>IF(B767=0,0,O746/B767)</f>
        <v/>
      </c>
      <c r="S746" t="n">
        <v>0</v>
      </c>
      <c r="V746">
        <f>IFERROR(1/IF(Inputs!$B$4="pvp",15,MAX(0.1,Skills!D17-IF(Skills!E17=TRUE,Inputs!$B$31,0))),0)</f>
        <v/>
      </c>
    </row>
    <row r="747">
      <c r="A747">
        <f>Skills!A18</f>
        <v/>
      </c>
      <c r="B747">
        <f>Skills!B18</f>
        <v/>
      </c>
      <c r="C747">
        <f>Inputs!$B$3&gt;=110</f>
        <v/>
      </c>
      <c r="D747">
        <f>IF(Skills!C18=1,60+Inputs!$B$24+Inputs!$B$28,IF(Skills!C18=2,90+Inputs!$B$25+Inputs!$B$28,IF(Skills!C18=3,120+(Inputs!$B$26+1)+Inputs!$B$28,MAX(0,(Inputs!$B$3-100)*3)+Inputs!$B$27+Inputs!$B$28)))</f>
        <v/>
      </c>
      <c r="E747">
        <f>INDEX(FactorTable!$B$2:$Y$301, MATCH(ROUND(MIN(300,MAX(1,D747)),0), FactorTable!$A$2:$A$301,0), Skills!L18+1)</f>
        <v/>
      </c>
      <c r="F747">
        <f>(Skills!K18/10)*(E747/1000)*64/45+Skills!N18</f>
        <v/>
      </c>
      <c r="G747">
        <f>Calc!G18</f>
        <v/>
      </c>
      <c r="H747">
        <f>Calc!H18</f>
        <v/>
      </c>
      <c r="I747">
        <f>IF(Skills!T18&lt;&gt;"",1+(Skills!T18/10)*($Z$3/1000)/100,1)</f>
        <v/>
      </c>
      <c r="J747" t="inlineStr"/>
      <c r="K747" t="inlineStr"/>
      <c r="L747" t="inlineStr"/>
      <c r="M747" t="inlineStr"/>
      <c r="N747" t="inlineStr"/>
      <c r="O747" t="n">
        <v>0</v>
      </c>
      <c r="P747">
        <f>IF(B767=0,0,O747/B767)</f>
        <v/>
      </c>
      <c r="S747">
        <f>IF(AND(Inputs!$B$4&lt;&gt;"pvp",Inputs!$B$35&gt;0),(INT(Inputs!$B$35/IF(Inputs!$B$4="pvp",15,MAX(0.1,Skills!D18-IF(Skills!E18=TRUE,Inputs!$B$31,0))))+1),0)</f>
        <v/>
      </c>
      <c r="V747">
        <f>IFERROR(1/IF(Inputs!$B$4="pvp",15,MAX(0.1,Skills!D18-IF(Skills!E18=TRUE,Inputs!$B$31,0))),0)</f>
        <v/>
      </c>
    </row>
    <row r="748">
      <c r="A748">
        <f>Skills!A19</f>
        <v/>
      </c>
      <c r="B748">
        <f>Skills!B19</f>
        <v/>
      </c>
      <c r="C748">
        <f>Inputs!$B$3&gt;=125</f>
        <v/>
      </c>
      <c r="D748">
        <f>IF(Skills!C19=1,60+Inputs!$B$24+Inputs!$B$28,IF(Skills!C19=2,90+Inputs!$B$25+Inputs!$B$28,IF(Skills!C19=3,120+(Inputs!$B$26+1)+Inputs!$B$28,MAX(0,(Inputs!$B$3-100)*3)+Inputs!$B$27+Inputs!$B$28)))</f>
        <v/>
      </c>
      <c r="E748">
        <f>INDEX(FactorTable!$B$2:$Y$301, MATCH(ROUND(MIN(300,MAX(1,D748)),0), FactorTable!$A$2:$A$301,0), Skills!L19+1)</f>
        <v/>
      </c>
      <c r="F748">
        <f>IF(Skills!M19=TRUE,(Skills!K19/10)*(E748/1000),Skills!K19/10)+Skills!N19</f>
        <v/>
      </c>
      <c r="G748">
        <f>Calc!G19</f>
        <v/>
      </c>
      <c r="H748">
        <f>Calc!H19</f>
        <v/>
      </c>
      <c r="I748">
        <f>IF(Skills!T19&lt;&gt;"",1+(Skills!T19/10)*($Z$3/1000)/100,1)</f>
        <v/>
      </c>
      <c r="J748" t="inlineStr"/>
      <c r="K748" t="inlineStr"/>
      <c r="L748" t="inlineStr"/>
      <c r="M748" t="inlineStr"/>
      <c r="N748" t="inlineStr"/>
      <c r="O748" t="n">
        <v>0</v>
      </c>
      <c r="P748">
        <f>IF(B767=0,0,O748/B767)</f>
        <v/>
      </c>
      <c r="S748" t="n">
        <v>0</v>
      </c>
      <c r="V748">
        <f>IFERROR(1/IF(Inputs!$B$4="pvp",15,MAX(0.1,Skills!D19-IF(Skills!E19=TRUE,Inputs!$B$31,0))),0)</f>
        <v/>
      </c>
    </row>
    <row r="749">
      <c r="A749">
        <f>Skills!A20</f>
        <v/>
      </c>
      <c r="B749">
        <f>Skills!B20</f>
        <v/>
      </c>
      <c r="C749">
        <f>Inputs!$B$3&gt;=33</f>
        <v/>
      </c>
      <c r="D749">
        <f>IF(Skills!C20=1,60+Inputs!$B$24+Inputs!$B$28,IF(Skills!C20=2,90+Inputs!$B$25+Inputs!$B$28,IF(Skills!C20=3,120+(Inputs!$B$26+1)+Inputs!$B$28,MAX(0,(Inputs!$B$3-100)*3)+Inputs!$B$27+Inputs!$B$28)))</f>
        <v/>
      </c>
      <c r="E749">
        <f>INDEX(FactorTable!$B$2:$Y$301, MATCH(ROUND(MIN(300,MAX(1,D749)),0), FactorTable!$A$2:$A$301,0), Skills!L20+1)</f>
        <v/>
      </c>
      <c r="F749">
        <f>IF(Skills!M20=TRUE,(Skills!K20/10)*(E749/1000),Skills!K20/10)+Skills!N20</f>
        <v/>
      </c>
      <c r="G749">
        <f>Calc!G20</f>
        <v/>
      </c>
      <c r="H749">
        <f>Calc!H20</f>
        <v/>
      </c>
      <c r="I749">
        <f>IF(Skills!T20&lt;&gt;"",1+(Skills!T20/10)*($Z$3/1000)/100,1)</f>
        <v/>
      </c>
      <c r="J749" t="inlineStr"/>
      <c r="K749" t="inlineStr"/>
      <c r="L749" t="inlineStr"/>
      <c r="M749" t="inlineStr"/>
      <c r="N749" t="inlineStr"/>
      <c r="O749" t="n">
        <v>0</v>
      </c>
      <c r="P749">
        <f>IF(B767=0,0,O749/B767)</f>
        <v/>
      </c>
      <c r="S749" t="n">
        <v>0</v>
      </c>
      <c r="V749">
        <f>IFERROR(1/IF(Inputs!$B$4="pvp",15,MAX(0.1,Skills!D20-IF(Skills!E20=TRUE,Inputs!$B$31,0))),0)</f>
        <v/>
      </c>
    </row>
    <row r="750">
      <c r="A750">
        <f>Skills!A21</f>
        <v/>
      </c>
      <c r="B750">
        <f>Skills!B21</f>
        <v/>
      </c>
      <c r="C750">
        <f>Inputs!$B$3&gt;=43</f>
        <v/>
      </c>
      <c r="D750">
        <f>IF(Skills!C21=1,60+Inputs!$B$24+Inputs!$B$28,IF(Skills!C21=2,90+Inputs!$B$25+Inputs!$B$28,IF(Skills!C21=3,120+(Inputs!$B$26+1)+Inputs!$B$28,MAX(0,(Inputs!$B$3-100)*3)+Inputs!$B$27+Inputs!$B$28)))</f>
        <v/>
      </c>
      <c r="E750">
        <f>INDEX(FactorTable!$B$2:$Y$301, MATCH(ROUND(MIN(300,MAX(1,D750)),0), FactorTable!$A$2:$A$301,0), Skills!L21+1)</f>
        <v/>
      </c>
      <c r="F750">
        <f>IF(Skills!M21=TRUE,(Skills!K21/10)*(E750/1000),Skills!K21/10)+Skills!N21</f>
        <v/>
      </c>
      <c r="G750">
        <f>Calc!G21</f>
        <v/>
      </c>
      <c r="H750">
        <f>Calc!H21</f>
        <v/>
      </c>
      <c r="I750">
        <f>IF(Skills!T21&lt;&gt;"",1+(Skills!T21/10)*($Z$3/1000)/100,1)</f>
        <v/>
      </c>
      <c r="J750" t="inlineStr"/>
      <c r="K750" t="inlineStr"/>
      <c r="L750" t="inlineStr"/>
      <c r="M750" t="inlineStr"/>
      <c r="N750" t="inlineStr"/>
      <c r="O750" t="n">
        <v>0</v>
      </c>
      <c r="P750">
        <f>IF(B767=0,0,O750/B767)</f>
        <v/>
      </c>
      <c r="S750" t="n">
        <v>0</v>
      </c>
      <c r="V750">
        <f>IFERROR(1/IF(Inputs!$B$4="pvp",15,MAX(0.1,Skills!D21-IF(Skills!E21=TRUE,Inputs!$B$31,0))),0)</f>
        <v/>
      </c>
    </row>
    <row r="751">
      <c r="A751">
        <f>Skills!A22</f>
        <v/>
      </c>
      <c r="B751">
        <f>Skills!B22</f>
        <v/>
      </c>
      <c r="C751">
        <f>Inputs!$B$3&gt;=50</f>
        <v/>
      </c>
      <c r="D751">
        <f>IF(Skills!C22=1,60+Inputs!$B$24+Inputs!$B$28,IF(Skills!C22=2,90+Inputs!$B$25+Inputs!$B$28,IF(Skills!C22=3,120+(Inputs!$B$26+1)+Inputs!$B$28,MAX(0,(Inputs!$B$3-100)*3)+Inputs!$B$27+Inputs!$B$28)))</f>
        <v/>
      </c>
      <c r="E751">
        <f>INDEX(FactorTable!$B$2:$Y$301, MATCH(ROUND(MIN(300,MAX(1,D751)),0), FactorTable!$A$2:$A$301,0), Skills!L22+1)</f>
        <v/>
      </c>
      <c r="F751">
        <f>IF(Skills!M22=TRUE,(Skills!K22/10)*(E751/1000),Skills!K22/10)+Skills!N22</f>
        <v/>
      </c>
      <c r="G751">
        <f>Calc!G22</f>
        <v/>
      </c>
      <c r="H751">
        <f>Calc!H22</f>
        <v/>
      </c>
      <c r="I751">
        <f>IF(Skills!T22&lt;&gt;"",1+(Skills!T22/10)*($Z$3/1000)/100,1)</f>
        <v/>
      </c>
      <c r="J751" t="inlineStr"/>
      <c r="K751" t="inlineStr"/>
      <c r="L751" t="inlineStr"/>
      <c r="M751" t="inlineStr"/>
      <c r="N751" t="inlineStr"/>
      <c r="O751" t="n">
        <v>0</v>
      </c>
      <c r="P751">
        <f>IF(B767=0,0,O751/B767)</f>
        <v/>
      </c>
      <c r="S751" t="n">
        <v>0</v>
      </c>
      <c r="V751">
        <f>IFERROR(1/IF(Inputs!$B$4="pvp",15,MAX(0.1,Skills!D22-IF(Skills!E22=TRUE,Inputs!$B$31,0))),0)</f>
        <v/>
      </c>
    </row>
    <row r="752">
      <c r="A752">
        <f>Skills!A23</f>
        <v/>
      </c>
      <c r="B752">
        <f>Skills!B23</f>
        <v/>
      </c>
      <c r="C752">
        <f>Inputs!$B$3&gt;=74</f>
        <v/>
      </c>
      <c r="D752">
        <f>IF(Skills!C23=1,60+Inputs!$B$24+Inputs!$B$28,IF(Skills!C23=2,90+Inputs!$B$25+Inputs!$B$28,IF(Skills!C23=3,120+(Inputs!$B$26+1)+Inputs!$B$28,MAX(0,(Inputs!$B$3-100)*3)+Inputs!$B$27+Inputs!$B$28)))</f>
        <v/>
      </c>
      <c r="E752">
        <f>INDEX(FactorTable!$B$2:$Y$301, MATCH(ROUND(MIN(300,MAX(1,D752)),0), FactorTable!$A$2:$A$301,0), Skills!L23+1)</f>
        <v/>
      </c>
      <c r="F752">
        <f>IF(Skills!M23=TRUE,(Skills!K23/10)*(E752/1000),Skills!K23/10)+Skills!N23</f>
        <v/>
      </c>
      <c r="G752">
        <f>Calc!G23</f>
        <v/>
      </c>
      <c r="H752">
        <f>Calc!H23</f>
        <v/>
      </c>
      <c r="I752">
        <f>IF(Skills!T23&lt;&gt;"",1+(Skills!T23/10)*($Z$3/1000)/100,1)</f>
        <v/>
      </c>
      <c r="J752" t="inlineStr"/>
      <c r="K752" t="inlineStr"/>
      <c r="L752" t="inlineStr"/>
      <c r="M752" t="inlineStr"/>
      <c r="N752" t="inlineStr"/>
      <c r="O752" t="n">
        <v>0</v>
      </c>
      <c r="P752">
        <f>IF(B767=0,0,O752/B767)</f>
        <v/>
      </c>
      <c r="S752" t="n">
        <v>0</v>
      </c>
      <c r="V752">
        <f>IFERROR(1/IF(Inputs!$B$4="pvp",15,MAX(0.1,Skills!D23-IF(Skills!E23=TRUE,Inputs!$B$31,0))),0)</f>
        <v/>
      </c>
    </row>
    <row r="753">
      <c r="A753">
        <f>Skills!A24</f>
        <v/>
      </c>
      <c r="B753">
        <f>Skills!B24</f>
        <v/>
      </c>
      <c r="C753">
        <f>Inputs!$B$3&gt;=74</f>
        <v/>
      </c>
      <c r="D753">
        <f>IF(Skills!C24=1,60+Inputs!$B$24+Inputs!$B$28,IF(Skills!C24=2,90+Inputs!$B$25+Inputs!$B$28,IF(Skills!C24=3,120+(Inputs!$B$26+1)+Inputs!$B$28,MAX(0,(Inputs!$B$3-100)*3)+Inputs!$B$27+Inputs!$B$28)))</f>
        <v/>
      </c>
      <c r="E753">
        <f>INDEX(FactorTable!$B$2:$Y$301, MATCH(ROUND(MIN(300,MAX(1,D753)),0), FactorTable!$A$2:$A$301,0), Skills!L24+1)</f>
        <v/>
      </c>
      <c r="F753">
        <f>IF(Skills!M24=TRUE,(Skills!K24/10)*(E753/1000),Skills!K24/10)+Skills!N24</f>
        <v/>
      </c>
      <c r="G753">
        <f>Calc!G24</f>
        <v/>
      </c>
      <c r="H753">
        <f>Calc!H24</f>
        <v/>
      </c>
      <c r="I753">
        <f>IF(Skills!T24&lt;&gt;"",1+(Skills!T24/10)*($Z$3/1000)/100,1)</f>
        <v/>
      </c>
      <c r="J753" t="inlineStr"/>
      <c r="K753" t="inlineStr"/>
      <c r="L753" t="inlineStr"/>
      <c r="M753" t="inlineStr"/>
      <c r="N753" t="inlineStr"/>
      <c r="O753" t="n">
        <v>0</v>
      </c>
      <c r="P753">
        <f>IF(B767=0,0,O753/B767)</f>
        <v/>
      </c>
      <c r="S753" t="n">
        <v>0</v>
      </c>
      <c r="V753">
        <f>IFERROR(1/IF(Inputs!$B$4="pvp",15,MAX(0.1,Skills!D24-IF(Skills!E24=TRUE,Inputs!$B$31,0))),0)</f>
        <v/>
      </c>
    </row>
    <row r="754">
      <c r="A754">
        <f>Skills!A25</f>
        <v/>
      </c>
      <c r="B754">
        <f>Skills!B25</f>
        <v/>
      </c>
      <c r="C754">
        <f>Inputs!$B$3&gt;=117</f>
        <v/>
      </c>
      <c r="D754">
        <f>IF(Skills!C25=1,60+Inputs!$B$24+Inputs!$B$28,IF(Skills!C25=2,90+Inputs!$B$25+Inputs!$B$28,IF(Skills!C25=3,120+(Inputs!$B$26+1)+Inputs!$B$28,MAX(0,(Inputs!$B$3-100)*3)+Inputs!$B$27+Inputs!$B$28)))</f>
        <v/>
      </c>
      <c r="E754">
        <f>INDEX(FactorTable!$B$2:$Y$301, MATCH(ROUND(MIN(300,MAX(1,D754)),0), FactorTable!$A$2:$A$301,0), Skills!L25+1)</f>
        <v/>
      </c>
      <c r="F754">
        <f>IF(Skills!M25=TRUE,(Skills!K25/10)*(E754/1000),Skills!K25/10)+Skills!N25</f>
        <v/>
      </c>
      <c r="G754">
        <f>Calc!G25</f>
        <v/>
      </c>
      <c r="H754">
        <f>Calc!H25</f>
        <v/>
      </c>
      <c r="I754">
        <f>IF(Skills!T25&lt;&gt;"",1+(Skills!T25/10)*($Z$3/1000)/100,1)</f>
        <v/>
      </c>
      <c r="J754" t="inlineStr"/>
      <c r="K754" t="inlineStr"/>
      <c r="L754" t="inlineStr"/>
      <c r="M754" t="inlineStr"/>
      <c r="N754" t="inlineStr"/>
      <c r="O754" t="n">
        <v>0</v>
      </c>
      <c r="P754">
        <f>IF(B767=0,0,O754/B767)</f>
        <v/>
      </c>
      <c r="S754" t="n">
        <v>0</v>
      </c>
      <c r="V754">
        <f>IFERROR(1/IF(Inputs!$B$4="pvp",15,MAX(0.1,Skills!D25-IF(Skills!E25=TRUE,Inputs!$B$31,0))),0)</f>
        <v/>
      </c>
    </row>
    <row r="755">
      <c r="A755">
        <f>Skills!A26</f>
        <v/>
      </c>
      <c r="B755">
        <f>Skills!B26</f>
        <v/>
      </c>
      <c r="C755">
        <f>Inputs!$B$3&gt;=120</f>
        <v/>
      </c>
      <c r="D755">
        <f>IF(Skills!C26=1,60+Inputs!$B$24+Inputs!$B$28,IF(Skills!C26=2,90+Inputs!$B$25+Inputs!$B$28,IF(Skills!C26=3,120+(Inputs!$B$26+1)+Inputs!$B$28,MAX(0,(Inputs!$B$3-100)*3)+Inputs!$B$27+Inputs!$B$28)))</f>
        <v/>
      </c>
      <c r="E755">
        <f>INDEX(FactorTable!$B$2:$Y$301, MATCH(ROUND(MIN(300,MAX(1,D755)),0), FactorTable!$A$2:$A$301,0), Skills!L26+1)</f>
        <v/>
      </c>
      <c r="F755">
        <f>IF(Skills!M26=TRUE,(Skills!K26/10)*(E755/1000),Skills!K26/10)+Skills!N26</f>
        <v/>
      </c>
      <c r="G755">
        <f>Calc!G26</f>
        <v/>
      </c>
      <c r="H755">
        <f>Calc!H26</f>
        <v/>
      </c>
      <c r="I755">
        <f>IF(Skills!T26&lt;&gt;"",1+(Skills!T26/10)*($Z$3/1000)/100,1)</f>
        <v/>
      </c>
      <c r="J755" t="inlineStr"/>
      <c r="K755" t="inlineStr"/>
      <c r="L755" t="inlineStr"/>
      <c r="M755" t="inlineStr"/>
      <c r="N755" t="inlineStr"/>
      <c r="O755" t="n">
        <v>0</v>
      </c>
      <c r="P755">
        <f>IF(B767=0,0,O755/B767)</f>
        <v/>
      </c>
      <c r="S755" t="n">
        <v>0</v>
      </c>
      <c r="V755">
        <f>IFERROR(1/IF(Inputs!$B$4="pvp",15,MAX(0.1,Skills!D26-IF(Skills!E26=TRUE,Inputs!$B$31,0))),0)</f>
        <v/>
      </c>
    </row>
    <row r="757">
      <c r="A757" t="inlineStr">
        <is>
          <t>Average Buff Multiplier</t>
        </is>
      </c>
      <c r="B757">
        <f>(1+(IF(C732=TRUE,F732*IF(AND(Inputs!$B$4&lt;&gt;"pvp",Inputs!$B$35&gt;0),(((S732-1)*(Skills!S3*(1+(Inputs!$B$33+IF(Inputs!$B$3&gt;=117,F754,0))/100))+MIN((Skills!S3*(1+(Inputs!$B$33+IF(Inputs!$B$3&gt;=117,F754,0))/100)),MAX(0,Inputs!$B$35-((S732-1)*Skills!D3))))/Inputs!$B$35),IF(Inputs!$B$4="pvp",MIN((Skills!S3*(1+(Inputs!$B$33+IF(Inputs!$B$3&gt;=117,F754,0))/100)),15)/15,(Skills!S3*(1+(Inputs!$B$33+IF(Inputs!$B$3&gt;=117,F754,0))/100))/Skills!D3)),0)+IF(C733=TRUE,F733*IF(AND(Inputs!$B$4&lt;&gt;"pvp",Inputs!$B$35&gt;0),(((S733-1)*(Skills!S4*(1+(Inputs!$B$33+IF(Inputs!$B$3&gt;=117,F754,0))/100))+MIN((Skills!S4*(1+(Inputs!$B$33+IF(Inputs!$B$3&gt;=117,F754,0))/100)),MAX(0,Inputs!$B$35-((S733-1)*Skills!D4))))/Inputs!$B$35),IF(Inputs!$B$4="pvp",MIN((Skills!S4*(1+(Inputs!$B$33+IF(Inputs!$B$3&gt;=117,F754,0))/100)),15)/15,(Skills!S4*(1+(Inputs!$B$33+IF(Inputs!$B$3&gt;=117,F754,0))/100))/Skills!D4)),0)+IF(C734=TRUE,F734*IF(AND(Inputs!$B$4&lt;&gt;"pvp",Inputs!$B$35&gt;0),(((S734-1)*(Skills!S5*(1+(Inputs!$B$33+IF(Inputs!$B$3&gt;=117,F754,0))/100))+MIN((Skills!S5*(1+(Inputs!$B$33+IF(Inputs!$B$3&gt;=117,F754,0))/100)),MAX(0,Inputs!$B$35-((S734-1)*Skills!D5))))/Inputs!$B$35),IF(Inputs!$B$4="pvp",MIN((Skills!S5*(1+(Inputs!$B$33+IF(Inputs!$B$3&gt;=117,F754,0))/100)),15)/15,(Skills!S5*(1+(Inputs!$B$33+IF(Inputs!$B$3&gt;=117,F754,0))/100))/Skills!D5)),0)+IF(C740=TRUE,F740*IF(AND(Inputs!$B$4&lt;&gt;"pvp",Inputs!$B$35&gt;0),(((S740-1)*(Skills!S11*(1+(Inputs!$B$33+IF(Inputs!$B$3&gt;=117,F754,0))/100))+MIN((Skills!S11*(1+(Inputs!$B$33+IF(Inputs!$B$3&gt;=117,F754,0))/100)),MAX(0,Inputs!$B$35-((S740-1)*Skills!D11))))/Inputs!$B$35),IF(Inputs!$B$4="pvp",MIN((Skills!S11*(1+(Inputs!$B$33+IF(Inputs!$B$3&gt;=117,F754,0))/100)),15)/15,(Skills!S11*(1+(Inputs!$B$33+IF(Inputs!$B$3&gt;=117,F754,0))/100))/Skills!D11)),0))/100)*IF(C742=TRUE,(1+F742*IF(AND(Inputs!$B$4&lt;&gt;"pvp",Inputs!$B$35&gt;0),(((S742-1)*(Skills!S13*(1+(Inputs!$B$33+IF(Inputs!$B$3&gt;=117,F754,0))/100))+MIN((Skills!S13*(1+(Inputs!$B$33+IF(Inputs!$B$3&gt;=117,F754,0))/100)),MAX(0,Inputs!$B$35-((S742-1)*Skills!D13))))/Inputs!$B$35),IF(Inputs!$B$4="pvp",MIN((Skills!S13*(1+(Inputs!$B$33+IF(Inputs!$B$3&gt;=117,F754,0))/100)),15)/15,(Skills!S13*(1+(Inputs!$B$33+IF(Inputs!$B$3&gt;=117,F754,0))/100))/Skills!D13))/100),1)*IF(C747=TRUE,(1+F747*IF(AND(Inputs!$B$4&lt;&gt;"pvp",Inputs!$B$35&gt;0),(((S747-1)*(Skills!S18*(1+(Inputs!$B$33+IF(Inputs!$B$3&gt;=117,F754,0))/100))+MIN((Skills!S18*(1+(Inputs!$B$33+IF(Inputs!$B$3&gt;=117,F754,0))/100)),MAX(0,Inputs!$B$35-((S747-1)*Skills!D18))))/Inputs!$B$35),IF(Inputs!$B$4="pvp",MIN((Skills!S18*(1+(Inputs!$B$33+IF(Inputs!$B$3&gt;=117,F754,0))/100)),15)/15,(Skills!S18*(1+(Inputs!$B$33+IF(Inputs!$B$3&gt;=117,F754,0))/100))/Skills!D18))/100),1)</f>
        <v/>
      </c>
    </row>
    <row r="758">
      <c r="A758" t="inlineStr">
        <is>
          <t>Monster Damage Taken Bonus % (Holy Fountain)</t>
        </is>
      </c>
      <c r="B758">
        <f>IF(Inputs!$B$3&gt;=68,20*IF(Inputs!$B$4="pvp",MIN((15*(1+(Inputs!$B$33+IF(Inputs!$B$3&gt;=117,F754,0))/100)),15)/15,(15*(1+(Inputs!$B$33+IF(Inputs!$B$3&gt;=117,F754,0))/100))/Skills!D10),0)</f>
        <v/>
      </c>
    </row>
    <row r="759">
      <c r="A759" t="inlineStr">
        <is>
          <t>Normal Monster Damage Bonus % (Holy Symbol)</t>
        </is>
      </c>
      <c r="B759">
        <f>IF(C741=TRUE,F741*IF(AND(Inputs!$B$4&lt;&gt;"pvp",Inputs!$B$35&gt;0),(((S741-1)*(Skills!S12*(1+(Inputs!$B$33+IF(Inputs!$B$3&gt;=117,F754,0))/100))+MIN((Skills!S12*(1+(Inputs!$B$33+IF(Inputs!$B$3&gt;=117,F754,0))/100)),MAX(0,Inputs!$B$35-((S741-1)*Skills!D12))))/Inputs!$B$35),IF(Inputs!$B$4="pvp",MIN((Skills!S12*(1+(Inputs!$B$33+IF(Inputs!$B$3&gt;=117,F754,0))/100)),15)/15,(Skills!S12*(1+(Inputs!$B$33+IF(Inputs!$B$3&gt;=117,F754,0))/100))/Skills!D12)),0)</f>
        <v/>
      </c>
    </row>
    <row r="760">
      <c r="A760" t="inlineStr">
        <is>
          <t>Damage % Bonus (Holy Symbol - Damage Boost)</t>
        </is>
      </c>
      <c r="B760">
        <f>Skills!O12</f>
        <v/>
      </c>
    </row>
    <row r="761">
      <c r="A761" t="inlineStr">
        <is>
          <t>Crit Damage % Bonus (Blood of the Divine)</t>
        </is>
      </c>
      <c r="B761">
        <f>4*IF(C748=TRUE,F748,0)</f>
        <v/>
      </c>
    </row>
    <row r="762">
      <c r="A762" t="inlineStr">
        <is>
          <t>Attack Speed Bonus %</t>
        </is>
      </c>
      <c r="B762">
        <f>IF(C745=TRUE,F745+(F749-Calc!F20),0)+IF(Inputs!$B$3&gt;=134,15,0)</f>
        <v/>
      </c>
    </row>
    <row r="763">
      <c r="A763" t="inlineStr">
        <is>
          <t>Actions Per Second</t>
        </is>
      </c>
      <c r="B763">
        <f>1+MIN(150,150*(1-(1-Inputs!$B$10/150)*(1-B762/150)))/100</f>
        <v/>
      </c>
    </row>
    <row r="764">
      <c r="A764" t="inlineStr">
        <is>
          <t>Skill + Buff Cast Rate</t>
        </is>
      </c>
      <c r="B764">
        <f>IF(AND(Inputs!$B$4&lt;&gt;"pvp",Inputs!$B$35&gt;0),SUMPRODUCT((Skills!E2:E26=TRUE)*(C731:C755=TRUE)*S731:S755)/Inputs!$B$35,SUMPRODUCT((Skills!E2:E26=TRUE)*(C731:C755=TRUE)*V731:V755))</f>
        <v/>
      </c>
    </row>
    <row r="765">
      <c r="A765" t="inlineStr">
        <is>
          <t>Big Bang Casts Per Second</t>
        </is>
      </c>
      <c r="B765">
        <f>MAX(0,B763-B764)</f>
        <v/>
      </c>
    </row>
    <row r="767">
      <c r="A767" s="5" t="inlineStr">
        <is>
          <t>TOTAL DPS</t>
        </is>
      </c>
      <c r="B767" s="5">
        <f>SUM(O731:O755)</f>
        <v/>
      </c>
    </row>
    <row r="770">
      <c r="A770" s="5" t="inlineStr">
        <is>
          <t>Stat: Skill Level Bonus — 4th Job</t>
        </is>
      </c>
    </row>
    <row r="771">
      <c r="A771" s="8" t="inlineStr">
        <is>
          <t>Key</t>
        </is>
      </c>
      <c r="B771" s="8" t="inlineStr">
        <is>
          <t>Name</t>
        </is>
      </c>
      <c r="C771" s="8" t="inlineStr">
        <is>
          <t>Unlocked</t>
        </is>
      </c>
      <c r="D771" s="8" t="inlineStr">
        <is>
          <t>InputLevel</t>
        </is>
      </c>
      <c r="E771" s="8" t="inlineStr">
        <is>
          <t>Factor</t>
        </is>
      </c>
      <c r="F771" s="8" t="inlineStr">
        <is>
          <t>CoefficientPercent</t>
        </is>
      </c>
      <c r="G771" s="8" t="inlineStr">
        <is>
          <t>EffectiveHits</t>
        </is>
      </c>
      <c r="H771" s="8" t="inlineStr">
        <is>
          <t>ProcProbability</t>
        </is>
      </c>
      <c r="I771" s="8" t="inlineStr">
        <is>
          <t>MapleHeroMultiplier</t>
        </is>
      </c>
      <c r="J771" s="8" t="inlineStr">
        <is>
          <t>BaseDamage</t>
        </is>
      </c>
      <c r="K771" s="8" t="inlineStr">
        <is>
          <t>BaseHitDamage</t>
        </is>
      </c>
      <c r="L771" s="8" t="inlineStr">
        <is>
          <t>NonCritAvg</t>
        </is>
      </c>
      <c r="M771" s="8" t="inlineStr">
        <is>
          <t>CritAvg</t>
        </is>
      </c>
      <c r="N771" s="8" t="inlineStr">
        <is>
          <t>ExpectedDamage(perHit)</t>
        </is>
      </c>
      <c r="O771" s="8" t="inlineStr">
        <is>
          <t>DPS</t>
        </is>
      </c>
      <c r="P771" s="8" t="inlineStr">
        <is>
          <t>% of Total</t>
        </is>
      </c>
      <c r="R771" t="inlineStr">
        <is>
          <t>helpers</t>
        </is>
      </c>
    </row>
    <row r="772">
      <c r="A772">
        <f>Skills!A2</f>
        <v/>
      </c>
      <c r="B772">
        <f>Skills!B2</f>
        <v/>
      </c>
      <c r="C772">
        <f>Inputs!$B$3&gt;=100</f>
        <v/>
      </c>
      <c r="D772" t="inlineStr"/>
      <c r="E772" t="inlineStr"/>
      <c r="F772">
        <f>T774+Skills!N2</f>
        <v/>
      </c>
      <c r="G772">
        <f>Calc!G2</f>
        <v/>
      </c>
      <c r="H772">
        <f>Calc!H2</f>
        <v/>
      </c>
      <c r="I772">
        <f>IF(Skills!T2&lt;&gt;"",1+(Skills!T2/10)*($Z$3/1000)/100,1)</f>
        <v/>
      </c>
      <c r="J772">
        <f>((Inputs!$B$5*(1+Inputs!$B$6/100))+((Inputs!$B$11*(1+Inputs!$B$12/100))-(Inputs!$B$11*(1+Inputs!$B$12/100)))*(1+Inputs!$B$6/100))*(F772/100)</f>
        <v/>
      </c>
      <c r="K772">
        <f>J772*(1+((Inputs!$B$11*(1+Inputs!$B$12/100))*0.01+Inputs!$B$13*0.0025)/100)*(1+(Inputs!$B$14+B801)/100)*(1+IF(Inputs!$B$4="pvp",0,(1-Summary!$B$48)*(Inputs!$B$19+Skills!O2+B799)+Summary!$B$48*(Inputs!$B$20+Skills!P2+B800))/100)*(1+Inputs!$B$15/100)*(5000/(6000+Inputs!$B$7*(1-Inputs!$B$18/100)))*(1+Inputs!$B$23/100)*(1+IF(C787=TRUE,F787,0)/100)*(1+IF(C789=TRUE,F789,0)/100)*(1+IF(Skills!A2="TRIUMPH_FEATHER",IF(C785=TRUE,F785,0),0)/100)*(1+IF(C796=TRUE,F796,0)/100)^5*(1+(IF(Skills!A2="BIG_BANG",Inputs!$B$16,Inputs!$B$17))/100)*(B798*I772)</f>
        <v/>
      </c>
      <c r="L772">
        <f>K772*(MIN(Inputs!$B$21+(F791-Calc!F21),Inputs!$B$22)/100+Inputs!$B$22/100)/2</f>
        <v/>
      </c>
      <c r="M772">
        <f>L772*(1+(Inputs!$B$9+B802+(F794-Calc!F24))/100)</f>
        <v/>
      </c>
      <c r="N772">
        <f>L772*(1-MIN(Inputs!$B$8+((F793-Calc!F23)+(F792-Calc!F22)),100)/100)+M772*(MIN(Inputs!$B$8+((F793-Calc!F23)+(F792-Calc!F22)),100)/100)</f>
        <v/>
      </c>
      <c r="O772">
        <f>IF(C772,Skills!F2*N772*B806*IF(Inputs!$B$4="pvp",1,(1-Summary!$B$48)*(1)+Summary!$B$48*(MIN((6+Inputs!$B$32),Inputs!$B$37))),0)</f>
        <v/>
      </c>
      <c r="P772">
        <f>IF(B808=0,0,O772/B808)</f>
        <v/>
      </c>
      <c r="S772" t="n">
        <v>0</v>
      </c>
      <c r="T772">
        <f>MAX(0,(Inputs!$B$3-100)*3)+(Inputs!$B$27+1)+Inputs!$B$28</f>
        <v/>
      </c>
      <c r="V772">
        <f>IFERROR(1/IF(Inputs!$B$4="pvp",15,MAX(0.1,Skills!D2-IF(Skills!E2=TRUE,Inputs!$B$31,0))),0)</f>
        <v/>
      </c>
    </row>
    <row r="773">
      <c r="A773">
        <f>Skills!A3</f>
        <v/>
      </c>
      <c r="B773">
        <f>Skills!B3</f>
        <v/>
      </c>
      <c r="C773">
        <f>Inputs!$B$3&gt;=15</f>
        <v/>
      </c>
      <c r="D773">
        <f>IF(Skills!C3=1,60+Inputs!$B$24+Inputs!$B$28,IF(Skills!C3=2,90+Inputs!$B$25+Inputs!$B$28,IF(Skills!C3=3,120+Inputs!$B$26+Inputs!$B$28,MAX(0,(Inputs!$B$3-100)*3)+(Inputs!$B$27+1)+Inputs!$B$28)))</f>
        <v/>
      </c>
      <c r="E773">
        <f>INDEX(FactorTable!$B$2:$Y$301, MATCH(ROUND(MIN(300,MAX(1,D773)),0), FactorTable!$A$2:$A$301,0), Skills!L3+1)</f>
        <v/>
      </c>
      <c r="F773">
        <f>IF(Skills!M3=TRUE,(Skills!K3/10)*(E773/1000),Skills!K3/10)+Skills!N3</f>
        <v/>
      </c>
      <c r="G773">
        <f>Calc!G3</f>
        <v/>
      </c>
      <c r="H773">
        <f>Calc!H3</f>
        <v/>
      </c>
      <c r="I773">
        <f>IF(Skills!T3&lt;&gt;"",1+(Skills!T3/10)*($Z$3/1000)/100,1)</f>
        <v/>
      </c>
      <c r="J773" t="inlineStr"/>
      <c r="K773" t="inlineStr"/>
      <c r="L773" t="inlineStr"/>
      <c r="M773" t="inlineStr"/>
      <c r="N773" t="inlineStr"/>
      <c r="O773" t="n">
        <v>0</v>
      </c>
      <c r="P773">
        <f>IF(B808=0,0,O773/B808)</f>
        <v/>
      </c>
      <c r="S773">
        <f>IF(AND(Inputs!$B$4&lt;&gt;"pvp",Inputs!$B$35&gt;0),(INT(Inputs!$B$35/IF(Inputs!$B$4="pvp",15,MAX(0.1,Skills!D3-IF(Skills!E3=TRUE,Inputs!$B$31,0))))+1),0)</f>
        <v/>
      </c>
      <c r="T773">
        <f>INDEX(FactorTable!$B$2:$Y$301, MATCH(ROUND(MIN(300,MAX(1,T772)),0), FactorTable!$A$2:$A$301,0), 22)</f>
        <v/>
      </c>
      <c r="V773">
        <f>IFERROR(1/IF(Inputs!$B$4="pvp",15,MAX(0.1,Skills!D3-IF(Skills!E3=TRUE,Inputs!$B$31,0))),0)</f>
        <v/>
      </c>
    </row>
    <row r="774">
      <c r="A774">
        <f>Skills!A4</f>
        <v/>
      </c>
      <c r="B774">
        <f>Skills!B4</f>
        <v/>
      </c>
      <c r="C774">
        <f>Inputs!$B$3&gt;=38</f>
        <v/>
      </c>
      <c r="D774">
        <f>IF(Skills!C4=1,60+Inputs!$B$24+Inputs!$B$28,IF(Skills!C4=2,90+Inputs!$B$25+Inputs!$B$28,IF(Skills!C4=3,120+Inputs!$B$26+Inputs!$B$28,MAX(0,(Inputs!$B$3-100)*3)+(Inputs!$B$27+1)+Inputs!$B$28)))</f>
        <v/>
      </c>
      <c r="E774">
        <f>INDEX(FactorTable!$B$2:$Y$301, MATCH(ROUND(MIN(300,MAX(1,D774)),0), FactorTable!$A$2:$A$301,0), Skills!L4+1)</f>
        <v/>
      </c>
      <c r="F774">
        <f>IF(Skills!M4=TRUE,(Skills!K4/10)*(E774/1000),Skills!K4/10)+Skills!N4</f>
        <v/>
      </c>
      <c r="G774">
        <f>Calc!G4</f>
        <v/>
      </c>
      <c r="H774">
        <f>Calc!H4</f>
        <v/>
      </c>
      <c r="I774">
        <f>IF(Skills!T4&lt;&gt;"",1+(Skills!T4/10)*($Z$3/1000)/100,1)</f>
        <v/>
      </c>
      <c r="J774" t="inlineStr"/>
      <c r="K774" t="inlineStr"/>
      <c r="L774" t="inlineStr"/>
      <c r="M774" t="inlineStr"/>
      <c r="N774" t="inlineStr"/>
      <c r="O774" t="n">
        <v>0</v>
      </c>
      <c r="P774">
        <f>IF(B808=0,0,O774/B808)</f>
        <v/>
      </c>
      <c r="S774">
        <f>IF(AND(Inputs!$B$4&lt;&gt;"pvp",Inputs!$B$35&gt;0),(INT(Inputs!$B$35/IF(Inputs!$B$4="pvp",15,MAX(0.1,Skills!D4-IF(Skills!E4=TRUE,Inputs!$B$31,0))))+1),0)</f>
        <v/>
      </c>
      <c r="T774">
        <f>290*T773/1000</f>
        <v/>
      </c>
      <c r="V774">
        <f>IFERROR(1/IF(Inputs!$B$4="pvp",15,MAX(0.1,Skills!D4-IF(Skills!E4=TRUE,Inputs!$B$31,0))),0)</f>
        <v/>
      </c>
    </row>
    <row r="775">
      <c r="A775">
        <f>Skills!A5</f>
        <v/>
      </c>
      <c r="B775">
        <f>Skills!B5</f>
        <v/>
      </c>
      <c r="C775">
        <f>Inputs!$B$3&gt;=40</f>
        <v/>
      </c>
      <c r="D775">
        <f>IF(Skills!C5=1,60+Inputs!$B$24+Inputs!$B$28,IF(Skills!C5=2,90+Inputs!$B$25+Inputs!$B$28,IF(Skills!C5=3,120+Inputs!$B$26+Inputs!$B$28,MAX(0,(Inputs!$B$3-100)*3)+(Inputs!$B$27+1)+Inputs!$B$28)))</f>
        <v/>
      </c>
      <c r="E775">
        <f>INDEX(FactorTable!$B$2:$Y$301, MATCH(ROUND(MIN(300,MAX(1,D775)),0), FactorTable!$A$2:$A$301,0), Skills!L5+1)</f>
        <v/>
      </c>
      <c r="F775">
        <f>IF(Skills!M5=TRUE,(Skills!K5/10)*(E775/1000),Skills!K5/10)+Skills!N5</f>
        <v/>
      </c>
      <c r="G775">
        <f>Calc!G5</f>
        <v/>
      </c>
      <c r="H775">
        <f>Calc!H5</f>
        <v/>
      </c>
      <c r="I775">
        <f>IF(Skills!T5&lt;&gt;"",1+(Skills!T5/10)*($Z$3/1000)/100,1)</f>
        <v/>
      </c>
      <c r="J775" t="inlineStr"/>
      <c r="K775" t="inlineStr"/>
      <c r="L775" t="inlineStr"/>
      <c r="M775" t="inlineStr"/>
      <c r="N775" t="inlineStr"/>
      <c r="O775" t="n">
        <v>0</v>
      </c>
      <c r="P775">
        <f>IF(B808=0,0,O775/B808)</f>
        <v/>
      </c>
      <c r="S775">
        <f>IF(AND(Inputs!$B$4&lt;&gt;"pvp",Inputs!$B$35&gt;0),(INT(Inputs!$B$35/IF(Inputs!$B$4="pvp",15,MAX(0.1,Skills!D5-IF(Skills!E5=TRUE,Inputs!$B$31,0))))+1),0)</f>
        <v/>
      </c>
      <c r="V775">
        <f>IFERROR(1/IF(Inputs!$B$4="pvp",15,MAX(0.1,Skills!D5-IF(Skills!E5=TRUE,Inputs!$B$31,0))),0)</f>
        <v/>
      </c>
    </row>
    <row r="776">
      <c r="A776">
        <f>Skills!A6</f>
        <v/>
      </c>
      <c r="B776">
        <f>Skills!B6</f>
        <v/>
      </c>
      <c r="C776">
        <f>Inputs!$B$3&gt;=103</f>
        <v/>
      </c>
      <c r="D776">
        <f>IF(Skills!C6=1,60+Inputs!$B$24+Inputs!$B$28,IF(Skills!C6=2,90+Inputs!$B$25+Inputs!$B$28,IF(Skills!C6=3,120+Inputs!$B$26+Inputs!$B$28,MAX(0,(Inputs!$B$3-100)*3)+(Inputs!$B$27+1)+Inputs!$B$28)))</f>
        <v/>
      </c>
      <c r="E776">
        <f>INDEX(FactorTable!$B$2:$Y$301, MATCH(ROUND(MIN(300,MAX(1,D776)),0), FactorTable!$A$2:$A$301,0), Skills!L6+1)</f>
        <v/>
      </c>
      <c r="F776">
        <f>IF(Skills!M6=TRUE,(Skills!K6/10)*(E776/1000),Skills!K6/10)+Skills!N6</f>
        <v/>
      </c>
      <c r="G776">
        <f>Calc!G6</f>
        <v/>
      </c>
      <c r="H776">
        <f>Calc!H6</f>
        <v/>
      </c>
      <c r="I776">
        <f>IF(Skills!T6&lt;&gt;"",1+(Skills!T6/10)*($Z$3/1000)/100,1)</f>
        <v/>
      </c>
      <c r="J776">
        <f>((Inputs!$B$5*(1+Inputs!$B$6/100))+((Inputs!$B$11*(1+Inputs!$B$12/100))-(Inputs!$B$11*(1+Inputs!$B$12/100)))*(1+Inputs!$B$6/100))*(F776/100)</f>
        <v/>
      </c>
      <c r="K776">
        <f>J776*(1+((Inputs!$B$11*(1+Inputs!$B$12/100))*0.01+Inputs!$B$13*0.0025)/100)*(1+(Inputs!$B$14+B801)/100)*(1+IF(Inputs!$B$4="pvp",0,(1-Summary!$B$48)*(Inputs!$B$19+Skills!O6+B799)+Summary!$B$48*(Inputs!$B$20+Skills!P6+B800))/100)*(1+Inputs!$B$15/100)*(5000/(6000+Inputs!$B$7*(1-Inputs!$B$18/100)))*(1+Inputs!$B$23/100)*(1+IF(C787=TRUE,F787,0)/100)*(1+IF(C789=TRUE,F789,0)/100)*(1+IF(Skills!A6="TRIUMPH_FEATHER",IF(C785=TRUE,F785,0),0)/100)*(1+IF(C796=TRUE,F796,0)/100)^5*(1+(IF(Skills!A6="BIG_BANG",Inputs!$B$16,Inputs!$B$17))/100)*(B798*I776)</f>
        <v/>
      </c>
      <c r="L776">
        <f>K776*(MIN(Inputs!$B$21+(F791-Calc!F21),Inputs!$B$22)/100+Inputs!$B$22/100)/2</f>
        <v/>
      </c>
      <c r="M776">
        <f>L776*(1+(Inputs!$B$9+B802+(F794-Calc!F24))/100)</f>
        <v/>
      </c>
      <c r="N776">
        <f>L776*(1-MIN(Inputs!$B$8+((F793-Calc!F23)+(F792-Calc!F22)),100)/100)+M776*(MIN(Inputs!$B$8+((F793-Calc!F23)+(F792-Calc!F22)),100)/100)</f>
        <v/>
      </c>
      <c r="O776">
        <f>IF(C776,H776*N776*IF(AND(Inputs!$B$4&lt;&gt;"pvp",Inputs!$B$35&gt;0),((Skills!F6*((S776-1)*IF(Skills!G6&gt;0,Skills!H6/Skills!G6,1)+IF(Skills!G6&gt;0,MIN(Skills!H6,MAX(0,Inputs!$B$35-((S776-1)*IF(Inputs!$B$4="pvp",15,MAX(0.1,Skills!D6-IF(Skills!E6=TRUE,Inputs!$B$31,0))))))/Skills!G6,1)))/Inputs!$B$35),G776*V776)*IF(Inputs!$B$4="pvp",1,(1-Summary!$B$48)*(1)+Summary!$B$48*(MIN(Skills!Q6,Inputs!$B$37))),0)</f>
        <v/>
      </c>
      <c r="P776">
        <f>IF(B808=0,0,O776/B808)</f>
        <v/>
      </c>
      <c r="S776">
        <f>IF(AND(Inputs!$B$4&lt;&gt;"pvp",Inputs!$B$35&gt;0),(INT(Inputs!$B$35/IF(Inputs!$B$4="pvp",15,MAX(0.1,Skills!D6-IF(Skills!E6=TRUE,Inputs!$B$31,0))))+1),0)</f>
        <v/>
      </c>
      <c r="V776">
        <f>IFERROR(1/IF(Inputs!$B$4="pvp",15,MAX(0.1,Skills!D6-IF(Skills!E6=TRUE,Inputs!$B$31,0))),0)</f>
        <v/>
      </c>
    </row>
    <row r="777">
      <c r="A777">
        <f>Skills!A7</f>
        <v/>
      </c>
      <c r="B777">
        <f>Skills!B7</f>
        <v/>
      </c>
      <c r="C777">
        <f>Inputs!$B$3&gt;=122</f>
        <v/>
      </c>
      <c r="D777">
        <f>IF(Skills!C7=1,60+Inputs!$B$24+Inputs!$B$28,IF(Skills!C7=2,90+Inputs!$B$25+Inputs!$B$28,IF(Skills!C7=3,120+Inputs!$B$26+Inputs!$B$28,MAX(0,(Inputs!$B$3-100)*3)+(Inputs!$B$27+1)+Inputs!$B$28)))</f>
        <v/>
      </c>
      <c r="E777">
        <f>INDEX(FactorTable!$B$2:$Y$301, MATCH(ROUND(MIN(300,MAX(1,D777)),0), FactorTable!$A$2:$A$301,0), Skills!L7+1)</f>
        <v/>
      </c>
      <c r="F777">
        <f>IF(Skills!M7=TRUE,(Skills!K7/10)*(E777/1000),Skills!K7/10)+Skills!N7</f>
        <v/>
      </c>
      <c r="G777">
        <f>Calc!G7</f>
        <v/>
      </c>
      <c r="H777">
        <f>Calc!H7</f>
        <v/>
      </c>
      <c r="I777">
        <f>IF(Skills!T7&lt;&gt;"",1+(Skills!T7/10)*($Z$3/1000)/100,1)</f>
        <v/>
      </c>
      <c r="J777">
        <f>((Inputs!$B$5*(1+Inputs!$B$6/100))+((Inputs!$B$11*(1+Inputs!$B$12/100))-(Inputs!$B$11*(1+Inputs!$B$12/100)))*(1+Inputs!$B$6/100))*(F777/100)</f>
        <v/>
      </c>
      <c r="K777">
        <f>J777*(1+((Inputs!$B$11*(1+Inputs!$B$12/100))*0.01+Inputs!$B$13*0.0025)/100)*(1+(Inputs!$B$14+B801)/100)*(1+IF(Inputs!$B$4="pvp",0,(1-Summary!$B$48)*(Inputs!$B$19+Skills!O7+B799)+Summary!$B$48*(Inputs!$B$20+Skills!P7+B800))/100)*(1+Inputs!$B$15/100)*(5000/(6000+Inputs!$B$7*(1-Inputs!$B$18/100)))*(1+Inputs!$B$23/100)*(1+IF(C787=TRUE,F787,0)/100)*(1+IF(C789=TRUE,F789,0)/100)*(1+IF(Skills!A7="TRIUMPH_FEATHER",IF(C785=TRUE,F785,0),0)/100)*(1+IF(C796=TRUE,F796,0)/100)^5*(1+(IF(Skills!A7="BIG_BANG",Inputs!$B$16,Inputs!$B$17))/100)*(B798*I777)</f>
        <v/>
      </c>
      <c r="L777">
        <f>K777*(MIN(Inputs!$B$21+(F791-Calc!F21),Inputs!$B$22)/100+Inputs!$B$22/100)/2</f>
        <v/>
      </c>
      <c r="M777">
        <f>L777*(1+(Inputs!$B$9+B802+(F794-Calc!F24))/100)</f>
        <v/>
      </c>
      <c r="N777">
        <f>L777*(1-MIN(Inputs!$B$8+((F793-Calc!F23)+(F792-Calc!F22)),100)/100)+M777*(MIN(Inputs!$B$8+((F793-Calc!F23)+(F792-Calc!F22)),100)/100)</f>
        <v/>
      </c>
      <c r="O777">
        <f>IF(C777,H777*N777*IF(AND(Inputs!$B$4&lt;&gt;"pvp",Inputs!$B$35&gt;0),((Skills!F7*((S777-1)*IF(Skills!G7&gt;0,Skills!H7/Skills!G7,1)+IF(Skills!G7&gt;0,MIN(Skills!H7,MAX(0,Inputs!$B$35-((S777-1)*IF(Inputs!$B$4="pvp",15,MAX(0.1,Skills!D7-IF(Skills!E6=TRUE,Inputs!$B$31,0))))))/Skills!G7,1)))/Inputs!$B$35),G777*V777)*(1-Summary!$B$48),0)</f>
        <v/>
      </c>
      <c r="P777">
        <f>IF(B808=0,0,O777/B808)</f>
        <v/>
      </c>
      <c r="S777">
        <f>IF(AND(Inputs!$B$4&lt;&gt;"pvp",Inputs!$B$35&gt;0),(INT(Inputs!$B$35/IF(Inputs!$B$4="pvp",15,MAX(0.1,Skills!D7-IF(Skills!E6=TRUE,Inputs!$B$31,0))))+1),0)</f>
        <v/>
      </c>
      <c r="V777">
        <f>IFERROR(1/IF(Inputs!$B$4="pvp",15,MAX(0.1,Skills!D7-IF(Skills!E6=TRUE,Inputs!$B$31,0))),0)</f>
        <v/>
      </c>
    </row>
    <row r="778">
      <c r="A778">
        <f>Skills!A8</f>
        <v/>
      </c>
      <c r="B778">
        <f>Skills!B8</f>
        <v/>
      </c>
      <c r="C778">
        <f>Inputs!$B$3&gt;=105</f>
        <v/>
      </c>
      <c r="D778">
        <f>IF(Skills!C8=1,60+Inputs!$B$24+Inputs!$B$28,IF(Skills!C8=2,90+Inputs!$B$25+Inputs!$B$28,IF(Skills!C8=3,120+Inputs!$B$26+Inputs!$B$28,MAX(0,(Inputs!$B$3-100)*3)+(Inputs!$B$27+1)+Inputs!$B$28)))</f>
        <v/>
      </c>
      <c r="E778">
        <f>INDEX(FactorTable!$B$2:$Y$301, MATCH(ROUND(MIN(300,MAX(1,D778)),0), FactorTable!$A$2:$A$301,0), Skills!L8+1)</f>
        <v/>
      </c>
      <c r="F778">
        <f>IF(Skills!M8=TRUE,(Skills!K8/10)*(E778/1000),Skills!K8/10)+Skills!N8</f>
        <v/>
      </c>
      <c r="G778">
        <f>Calc!G8</f>
        <v/>
      </c>
      <c r="H778">
        <f>Calc!H8</f>
        <v/>
      </c>
      <c r="I778">
        <f>IF(Skills!T8&lt;&gt;"",1+(Skills!T8/10)*($Z$3/1000)/100,1)</f>
        <v/>
      </c>
      <c r="J778">
        <f>((Inputs!$B$5*(1+Inputs!$B$6/100))+((Inputs!$B$11*(1+Inputs!$B$12/100))-(Inputs!$B$11*(1+Inputs!$B$12/100)))*(1+Inputs!$B$6/100))*(F778/100)</f>
        <v/>
      </c>
      <c r="K778">
        <f>J778*(1+((Inputs!$B$11*(1+Inputs!$B$12/100))*0.01+Inputs!$B$13*0.0025)/100)*(1+(Inputs!$B$14+B801)/100)*(1+IF(Inputs!$B$4="pvp",0,(1-Summary!$B$48)*(Inputs!$B$19+Skills!O8+B799)+Summary!$B$48*(Inputs!$B$20+Skills!P8+B800))/100)*(1+Inputs!$B$15/100)*(5000/(6000+Inputs!$B$7*(1-Inputs!$B$18/100)))*(1+Inputs!$B$23/100)*(1+IF(C787=TRUE,F787,0)/100)*(1+IF(C789=TRUE,F789,0)/100)*(1+IF(Skills!A8="TRIUMPH_FEATHER",IF(C785=TRUE,F785,0),0)/100)*(1+IF(C796=TRUE,F796,0)/100)^5*(1+(IF(Skills!A8="BIG_BANG",Inputs!$B$16,Inputs!$B$17))/100)*(B798*I778)</f>
        <v/>
      </c>
      <c r="L778">
        <f>K778*(MIN(Inputs!$B$21+(F791-Calc!F21),Inputs!$B$22)/100+Inputs!$B$22/100)/2</f>
        <v/>
      </c>
      <c r="M778">
        <f>L778*(1+(Inputs!$B$9+B802+(F794-Calc!F24))/100)</f>
        <v/>
      </c>
      <c r="N778">
        <f>L778*(1-MIN(Inputs!$B$8+((F793-Calc!F23)+(F792-Calc!F22)),100)/100)+M778*(MIN(Inputs!$B$8+((F793-Calc!F23)+(F792-Calc!F22)),100)/100)</f>
        <v/>
      </c>
      <c r="O778">
        <f>IF(C778,H778*N778*IF(AND(Inputs!$B$4&lt;&gt;"pvp",Inputs!$B$35&gt;0),((Skills!F8*((S778-1)*IF(Skills!G8&gt;0,Skills!H8/Skills!G8,1)+IF(Skills!G8&gt;0,MIN(Skills!H8,MAX(0,Inputs!$B$35-((S778-1)*IF(Inputs!$B$4="pvp",15,MAX(0.1,Skills!D8-IF(Skills!E8=TRUE,Inputs!$B$31,0))))))/Skills!G8,1)))/Inputs!$B$35),G778*V778)*IF(Inputs!$B$4="pvp",1,(1-Summary!$B$48)*(1)+Summary!$B$48*(MIN(Skills!Q8,Inputs!$B$37))),0)</f>
        <v/>
      </c>
      <c r="P778">
        <f>IF(B808=0,0,O778/B808)</f>
        <v/>
      </c>
      <c r="S778">
        <f>IF(AND(Inputs!$B$4&lt;&gt;"pvp",Inputs!$B$35&gt;0),(INT(Inputs!$B$35/IF(Inputs!$B$4="pvp",15,MAX(0.1,Skills!D8-IF(Skills!E8=TRUE,Inputs!$B$31,0))))+1),0)</f>
        <v/>
      </c>
      <c r="V778">
        <f>IFERROR(1/IF(Inputs!$B$4="pvp",15,MAX(0.1,Skills!D8-IF(Skills!E8=TRUE,Inputs!$B$31,0))),0)</f>
        <v/>
      </c>
    </row>
    <row r="779">
      <c r="A779">
        <f>Skills!A9</f>
        <v/>
      </c>
      <c r="B779">
        <f>Skills!B9</f>
        <v/>
      </c>
      <c r="C779">
        <f>Inputs!$B$3&gt;=115</f>
        <v/>
      </c>
      <c r="D779">
        <f>IF(Skills!C9=1,60+Inputs!$B$24+Inputs!$B$28,IF(Skills!C9=2,90+Inputs!$B$25+Inputs!$B$28,IF(Skills!C9=3,120+Inputs!$B$26+Inputs!$B$28,MAX(0,(Inputs!$B$3-100)*3)+(Inputs!$B$27+1)+Inputs!$B$28)))</f>
        <v/>
      </c>
      <c r="E779">
        <f>INDEX(FactorTable!$B$2:$Y$301, MATCH(ROUND(MIN(300,MAX(1,D779)),0), FactorTable!$A$2:$A$301,0), Skills!L9+1)</f>
        <v/>
      </c>
      <c r="F779">
        <f>IF(Skills!M9=TRUE,(Skills!K9/10)*(E779/1000),Skills!K9/10)+Skills!N9</f>
        <v/>
      </c>
      <c r="G779">
        <f>Calc!G9</f>
        <v/>
      </c>
      <c r="H779">
        <f>Calc!H9</f>
        <v/>
      </c>
      <c r="I779">
        <f>IF(Skills!T9&lt;&gt;"",1+(Skills!T9/10)*($Z$3/1000)/100,1)</f>
        <v/>
      </c>
      <c r="J779">
        <f>((Inputs!$B$5*(1+Inputs!$B$6/100))+((Inputs!$B$11*(1+Inputs!$B$12/100))-(Inputs!$B$11*(1+Inputs!$B$12/100)))*(1+Inputs!$B$6/100))*(F779/100)</f>
        <v/>
      </c>
      <c r="K779">
        <f>J779*(1+((Inputs!$B$11*(1+Inputs!$B$12/100))*0.01+Inputs!$B$13*0.0025)/100)*(1+(Inputs!$B$14+B801)/100)*(1+IF(Inputs!$B$4="pvp",0,(1-Summary!$B$48)*(Inputs!$B$19+Skills!O9+B799)+Summary!$B$48*(Inputs!$B$20+Skills!P9+B800))/100)*(1+Inputs!$B$15/100)*(5000/(6000+Inputs!$B$7*(1-Inputs!$B$18/100)))*(1+Inputs!$B$23/100)*(1+IF(C787=TRUE,F787,0)/100)*(1+IF(C789=TRUE,F789,0)/100)*(1+IF(Skills!A9="TRIUMPH_FEATHER",IF(C785=TRUE,F785,0),0)/100)*(1+IF(C796=TRUE,F796,0)/100)^5*(1+(IF(Skills!A9="BIG_BANG",Inputs!$B$16,Inputs!$B$17))/100)*(B798*I779)</f>
        <v/>
      </c>
      <c r="L779">
        <f>K779*(MIN(Inputs!$B$21+(F791-Calc!F21),Inputs!$B$22)/100+Inputs!$B$22/100)/2</f>
        <v/>
      </c>
      <c r="M779">
        <f>L779*(1+(Inputs!$B$9+B802+(F794-Calc!F24))/100)</f>
        <v/>
      </c>
      <c r="N779">
        <f>L779*(1-MIN(Inputs!$B$8+((F793-Calc!F23)+(F792-Calc!F22)),100)/100)+M779*(MIN(Inputs!$B$8+((F793-Calc!F23)+(F792-Calc!F22)),100)/100)</f>
        <v/>
      </c>
      <c r="O779">
        <f>IF(C779,H779*N779*IF(AND(Inputs!$B$4&lt;&gt;"pvp",Inputs!$B$35&gt;0),((Skills!F9*((S779-1)*IF(Skills!G9&gt;0,Skills!H9/Skills!G9,1)+IF(Skills!G9&gt;0,MIN(Skills!H9,MAX(0,Inputs!$B$35-((S779-1)*IF(Inputs!$B$4="pvp",15,MAX(0.1,Skills!D9-IF(Skills!E9=TRUE,Inputs!$B$31,0))))))/Skills!G9,1)))/Inputs!$B$35),G779*V779)*IF(Inputs!$B$4="pvp",1,(1-Summary!$B$48)*(1)+Summary!$B$48*(MIN(Skills!Q9,Inputs!$B$37))),0)</f>
        <v/>
      </c>
      <c r="P779">
        <f>IF(B808=0,0,O779/B808)</f>
        <v/>
      </c>
      <c r="S779">
        <f>IF(AND(Inputs!$B$4&lt;&gt;"pvp",Inputs!$B$35&gt;0),(INT(Inputs!$B$35/IF(Inputs!$B$4="pvp",15,MAX(0.1,Skills!D9-IF(Skills!E9=TRUE,Inputs!$B$31,0))))+1),0)</f>
        <v/>
      </c>
      <c r="V779">
        <f>IFERROR(1/IF(Inputs!$B$4="pvp",15,MAX(0.1,Skills!D9-IF(Skills!E9=TRUE,Inputs!$B$31,0))),0)</f>
        <v/>
      </c>
    </row>
    <row r="780">
      <c r="A780">
        <f>Skills!A10</f>
        <v/>
      </c>
      <c r="B780">
        <f>Skills!B10</f>
        <v/>
      </c>
      <c r="C780">
        <f>Inputs!$B$3&gt;=66</f>
        <v/>
      </c>
      <c r="D780">
        <f>IF(Skills!C10=1,60+Inputs!$B$24+Inputs!$B$28,IF(Skills!C10=2,90+Inputs!$B$25+Inputs!$B$28,IF(Skills!C10=3,120+Inputs!$B$26+Inputs!$B$28,MAX(0,(Inputs!$B$3-100)*3)+(Inputs!$B$27+1)+Inputs!$B$28)))</f>
        <v/>
      </c>
      <c r="E780">
        <f>INDEX(FactorTable!$B$2:$Y$301, MATCH(ROUND(MIN(300,MAX(1,D780)),0), FactorTable!$A$2:$A$301,0), Skills!L10+1)</f>
        <v/>
      </c>
      <c r="F780" t="n">
        <v>0</v>
      </c>
      <c r="G780">
        <f>Calc!G10</f>
        <v/>
      </c>
      <c r="H780">
        <f>Calc!H10</f>
        <v/>
      </c>
      <c r="I780">
        <f>IF(Skills!T10&lt;&gt;"",1+(Skills!T10/10)*($Z$3/1000)/100,1)</f>
        <v/>
      </c>
      <c r="J780" t="inlineStr"/>
      <c r="K780" t="inlineStr"/>
      <c r="L780" t="inlineStr"/>
      <c r="M780" t="inlineStr"/>
      <c r="N780" t="inlineStr"/>
      <c r="O780" t="n">
        <v>0</v>
      </c>
      <c r="P780">
        <f>IF(B808=0,0,O780/B808)</f>
        <v/>
      </c>
      <c r="S780">
        <f>IF(AND(Inputs!$B$4&lt;&gt;"pvp",Inputs!$B$35&gt;0),(INT(Inputs!$B$35/IF(Inputs!$B$4="pvp",15,MAX(0.1,Skills!D10-IF(Skills!E10=TRUE,Inputs!$B$31,0))))+1),0)</f>
        <v/>
      </c>
      <c r="V780">
        <f>IFERROR(1/IF(Inputs!$B$4="pvp",15,MAX(0.1,Skills!D10-IF(Skills!E10=TRUE,Inputs!$B$31,0))),0)</f>
        <v/>
      </c>
    </row>
    <row r="781">
      <c r="A781">
        <f>Skills!A11</f>
        <v/>
      </c>
      <c r="B781">
        <f>Skills!B11</f>
        <v/>
      </c>
      <c r="C781">
        <f>Inputs!$B$3&gt;=69</f>
        <v/>
      </c>
      <c r="D781">
        <f>IF(Skills!C11=1,60+Inputs!$B$24+Inputs!$B$28,IF(Skills!C11=2,90+Inputs!$B$25+Inputs!$B$28,IF(Skills!C11=3,120+Inputs!$B$26+Inputs!$B$28,MAX(0,(Inputs!$B$3-100)*3)+(Inputs!$B$27+1)+Inputs!$B$28)))</f>
        <v/>
      </c>
      <c r="E781">
        <f>INDEX(FactorTable!$B$2:$Y$301, MATCH(ROUND(MIN(300,MAX(1,D781)),0), FactorTable!$A$2:$A$301,0), Skills!L11+1)</f>
        <v/>
      </c>
      <c r="F781">
        <f>IF(Skills!M11=TRUE,(Skills!K11/10)*(E781/1000),Skills!K11/10)+Skills!N11</f>
        <v/>
      </c>
      <c r="G781">
        <f>Calc!G11</f>
        <v/>
      </c>
      <c r="H781">
        <f>Calc!H11</f>
        <v/>
      </c>
      <c r="I781">
        <f>IF(Skills!T11&lt;&gt;"",1+(Skills!T11/10)*($Z$3/1000)/100,1)</f>
        <v/>
      </c>
      <c r="J781" t="inlineStr"/>
      <c r="K781" t="inlineStr"/>
      <c r="L781" t="inlineStr"/>
      <c r="M781" t="inlineStr"/>
      <c r="N781" t="inlineStr"/>
      <c r="O781" t="n">
        <v>0</v>
      </c>
      <c r="P781">
        <f>IF(B808=0,0,O781/B808)</f>
        <v/>
      </c>
      <c r="S781">
        <f>IF(AND(Inputs!$B$4&lt;&gt;"pvp",Inputs!$B$35&gt;0),(INT(Inputs!$B$35/IF(Inputs!$B$4="pvp",15,MAX(0.1,Skills!D11-IF(Skills!E11=TRUE,Inputs!$B$31,0))))+1),0)</f>
        <v/>
      </c>
      <c r="V781">
        <f>IFERROR(1/IF(Inputs!$B$4="pvp",15,MAX(0.1,Skills!D11-IF(Skills!E11=TRUE,Inputs!$B$31,0))),0)</f>
        <v/>
      </c>
    </row>
    <row r="782">
      <c r="A782">
        <f>Skills!A12</f>
        <v/>
      </c>
      <c r="B782">
        <f>Skills!B12</f>
        <v/>
      </c>
      <c r="C782">
        <f>Inputs!$B$3&gt;=72</f>
        <v/>
      </c>
      <c r="D782">
        <f>IF(Skills!C12=1,60+Inputs!$B$24+Inputs!$B$28,IF(Skills!C12=2,90+Inputs!$B$25+Inputs!$B$28,IF(Skills!C12=3,120+Inputs!$B$26+Inputs!$B$28,MAX(0,(Inputs!$B$3-100)*3)+(Inputs!$B$27+1)+Inputs!$B$28)))</f>
        <v/>
      </c>
      <c r="E782">
        <f>INDEX(FactorTable!$B$2:$Y$301, MATCH(ROUND(MIN(300,MAX(1,D782)),0), FactorTable!$A$2:$A$301,0), Skills!L12+1)</f>
        <v/>
      </c>
      <c r="F782">
        <f>IF(Skills!M12=TRUE,(Skills!K12/10)*(E782/1000),Skills!K12/10)+Skills!N12</f>
        <v/>
      </c>
      <c r="G782">
        <f>Calc!G12</f>
        <v/>
      </c>
      <c r="H782">
        <f>Calc!H12</f>
        <v/>
      </c>
      <c r="I782">
        <f>IF(Skills!T12&lt;&gt;"",1+(Skills!T12/10)*($Z$3/1000)/100,1)</f>
        <v/>
      </c>
      <c r="J782" t="inlineStr"/>
      <c r="K782" t="inlineStr"/>
      <c r="L782" t="inlineStr"/>
      <c r="M782" t="inlineStr"/>
      <c r="N782" t="inlineStr"/>
      <c r="O782" t="n">
        <v>0</v>
      </c>
      <c r="P782">
        <f>IF(B808=0,0,O782/B808)</f>
        <v/>
      </c>
      <c r="S782">
        <f>IF(AND(Inputs!$B$4&lt;&gt;"pvp",Inputs!$B$35&gt;0),(INT(Inputs!$B$35/IF(Inputs!$B$4="pvp",15,MAX(0.1,Skills!D12-IF(Skills!E12=TRUE,Inputs!$B$31,0))))+1),0)</f>
        <v/>
      </c>
      <c r="V782">
        <f>IFERROR(1/IF(Inputs!$B$4="pvp",15,MAX(0.1,Skills!D12-IF(Skills!E12=TRUE,Inputs!$B$31,0))),0)</f>
        <v/>
      </c>
    </row>
    <row r="783">
      <c r="A783">
        <f>Skills!A13</f>
        <v/>
      </c>
      <c r="B783">
        <f>Skills!B13</f>
        <v/>
      </c>
      <c r="C783">
        <f>Inputs!$B$3&gt;=107</f>
        <v/>
      </c>
      <c r="D783">
        <f>IF(Skills!C13=1,60+Inputs!$B$24+Inputs!$B$28,IF(Skills!C13=2,90+Inputs!$B$25+Inputs!$B$28,IF(Skills!C13=3,120+Inputs!$B$26+Inputs!$B$28,MAX(0,(Inputs!$B$3-100)*3)+(Inputs!$B$27+1)+Inputs!$B$28)))</f>
        <v/>
      </c>
      <c r="E783">
        <f>INDEX(FactorTable!$B$2:$Y$301, MATCH(ROUND(MIN(300,MAX(1,D783)),0), FactorTable!$A$2:$A$301,0), Skills!L13+1)</f>
        <v/>
      </c>
      <c r="F783">
        <f>IF(Skills!M13=TRUE,(Skills!K13/10)*(E783/1000),Skills!K13/10)+Skills!N13</f>
        <v/>
      </c>
      <c r="G783">
        <f>Calc!G13</f>
        <v/>
      </c>
      <c r="H783">
        <f>Calc!H13</f>
        <v/>
      </c>
      <c r="I783">
        <f>IF(Skills!T13&lt;&gt;"",1+(Skills!T13/10)*($Z$3/1000)/100,1)</f>
        <v/>
      </c>
      <c r="J783" t="inlineStr"/>
      <c r="K783" t="inlineStr"/>
      <c r="L783" t="inlineStr"/>
      <c r="M783" t="inlineStr"/>
      <c r="N783" t="inlineStr"/>
      <c r="O783" t="n">
        <v>0</v>
      </c>
      <c r="P783">
        <f>IF(B808=0,0,O783/B808)</f>
        <v/>
      </c>
      <c r="S783">
        <f>IF(AND(Inputs!$B$4&lt;&gt;"pvp",Inputs!$B$35&gt;0),(INT(Inputs!$B$35/IF(Inputs!$B$4="pvp",15,MAX(0.1,Skills!D13-IF(Skills!E13=TRUE,Inputs!$B$31,0))))+1),0)</f>
        <v/>
      </c>
      <c r="V783">
        <f>IFERROR(1/IF(Inputs!$B$4="pvp",15,MAX(0.1,Skills!D13-IF(Skills!E13=TRUE,Inputs!$B$31,0))),0)</f>
        <v/>
      </c>
    </row>
    <row r="784">
      <c r="A784">
        <f>Skills!A14</f>
        <v/>
      </c>
      <c r="B784">
        <f>Skills!B14</f>
        <v/>
      </c>
      <c r="C784">
        <f>Inputs!$B$3&gt;=63</f>
        <v/>
      </c>
      <c r="D784">
        <f>IF(Skills!C14=1,60+Inputs!$B$24+Inputs!$B$28,IF(Skills!C14=2,90+Inputs!$B$25+Inputs!$B$28,IF(Skills!C14=3,120+Inputs!$B$26+Inputs!$B$28,MAX(0,(Inputs!$B$3-100)*3)+(Inputs!$B$27+1)+Inputs!$B$28)))</f>
        <v/>
      </c>
      <c r="E784">
        <f>INDEX(FactorTable!$B$2:$Y$301, MATCH(ROUND(MIN(300,MAX(1,D784)),0), FactorTable!$A$2:$A$301,0), Skills!L14+1)</f>
        <v/>
      </c>
      <c r="F784">
        <f>IF(Skills!M14=TRUE,(Skills!K14/10)*(E784/1000),Skills!K14/10)+Skills!N14</f>
        <v/>
      </c>
      <c r="G784">
        <f>Calc!G14</f>
        <v/>
      </c>
      <c r="H784">
        <f>Calc!H14</f>
        <v/>
      </c>
      <c r="I784">
        <f>IF(Skills!T14&lt;&gt;"",1+(Skills!T14/10)*($Z$3/1000)/100,1)</f>
        <v/>
      </c>
      <c r="J784">
        <f>((Inputs!$B$5*(1+Inputs!$B$6/100))+((Inputs!$B$11*(1+Inputs!$B$12/100))-(Inputs!$B$11*(1+Inputs!$B$12/100)))*(1+Inputs!$B$6/100))*(F784/100)</f>
        <v/>
      </c>
      <c r="K784">
        <f>J784*(1+((Inputs!$B$11*(1+Inputs!$B$12/100))*0.01+Inputs!$B$13*0.0025)/100)*(1+(Inputs!$B$14+B801)/100)*(1+IF(Inputs!$B$4="pvp",0,(1-Summary!$B$48)*(Inputs!$B$19+Skills!O14+B799)+Summary!$B$48*(Inputs!$B$20+Skills!P14+B800))/100)*(1+Inputs!$B$15/100)*(5000/(6000+Inputs!$B$7*(1-Inputs!$B$18/100)))*(1+Inputs!$B$23/100)*(1+IF(C787=TRUE,F787,0)/100)*(1+IF(C789=TRUE,F789,0)/100)*(1+IF(Skills!A14="TRIUMPH_FEATHER",IF(C785=TRUE,F785,0),0)/100)*(1+IF(C796=TRUE,F796,0)/100)^5*(1+(IF(Skills!A14="BIG_BANG",Inputs!$B$16,Inputs!$B$17))/100)*(B798*I784)</f>
        <v/>
      </c>
      <c r="L784">
        <f>K784*(MIN(Inputs!$B$21+(F791-Calc!F21),Inputs!$B$22)/100+Inputs!$B$22/100)/2</f>
        <v/>
      </c>
      <c r="M784">
        <f>L784*(1+(Inputs!$B$9+B802+(F794-Calc!F24))/100)</f>
        <v/>
      </c>
      <c r="N784">
        <f>L784*(1-MIN(Inputs!$B$8+((F793-Calc!F23)+(F792-Calc!F22)),100)/100)+M784*(MIN(Inputs!$B$8+((F793-Calc!F23)+(F792-Calc!F22)),100)/100)</f>
        <v/>
      </c>
      <c r="O784">
        <f>IF(C784,Skills!F14*N784*((IF(Inputs!$B$3&gt;=78,25,15)/100*B804*10)/(1+IF(Inputs!$B$3&gt;=78,25,15)/100*B804*10))*(Skills!I14/100*B804)/(1+Skills!G14*Skills!I14/100*B804)*IF(Inputs!$B$4="pvp",1,(1-Summary!$B$48)*(1)+Summary!$B$48*(MIN(Skills!Q14,Inputs!$B$37))),0)</f>
        <v/>
      </c>
      <c r="P784">
        <f>IF(B808=0,0,O784/B808)</f>
        <v/>
      </c>
      <c r="S784" t="n">
        <v>0</v>
      </c>
      <c r="V784">
        <f>IFERROR(1/IF(Inputs!$B$4="pvp",15,MAX(0.1,Skills!D14-IF(Skills!E14=TRUE,Inputs!$B$31,0))),0)</f>
        <v/>
      </c>
    </row>
    <row r="785">
      <c r="A785">
        <f>Skills!A15</f>
        <v/>
      </c>
      <c r="B785">
        <f>Skills!B15</f>
        <v/>
      </c>
      <c r="C785">
        <f>Inputs!$B$3&gt;=100</f>
        <v/>
      </c>
      <c r="D785">
        <f>IF(Skills!C15=1,60+Inputs!$B$24+Inputs!$B$28,IF(Skills!C15=2,90+Inputs!$B$25+Inputs!$B$28,IF(Skills!C15=3,120+Inputs!$B$26+Inputs!$B$28,MAX(0,(Inputs!$B$3-100)*3)+(Inputs!$B$27+1)+Inputs!$B$28)))</f>
        <v/>
      </c>
      <c r="E785">
        <f>INDEX(FactorTable!$B$2:$Y$301, MATCH(ROUND(MIN(300,MAX(1,D785)),0), FactorTable!$A$2:$A$301,0), Skills!L15+1)</f>
        <v/>
      </c>
      <c r="F785">
        <f>IF(Skills!M15=TRUE,(Skills!K15/10)*(E785/1000),Skills!K15/10)+Skills!N15</f>
        <v/>
      </c>
      <c r="G785">
        <f>Calc!G15</f>
        <v/>
      </c>
      <c r="H785">
        <f>Calc!H15</f>
        <v/>
      </c>
      <c r="I785">
        <f>IF(Skills!T15&lt;&gt;"",1+(Skills!T15/10)*($Z$3/1000)/100,1)</f>
        <v/>
      </c>
      <c r="J785" t="inlineStr"/>
      <c r="K785" t="inlineStr"/>
      <c r="L785" t="inlineStr"/>
      <c r="M785" t="inlineStr"/>
      <c r="N785" t="inlineStr"/>
      <c r="O785" t="n">
        <v>0</v>
      </c>
      <c r="P785">
        <f>IF(B808=0,0,O785/B808)</f>
        <v/>
      </c>
      <c r="S785" t="n">
        <v>0</v>
      </c>
      <c r="V785">
        <f>IFERROR(1/IF(Inputs!$B$4="pvp",15,MAX(0.1,Skills!D15-IF(Skills!E15=TRUE,Inputs!$B$31,0))),0)</f>
        <v/>
      </c>
    </row>
    <row r="786">
      <c r="A786">
        <f>Skills!A16</f>
        <v/>
      </c>
      <c r="B786">
        <f>Skills!B16</f>
        <v/>
      </c>
      <c r="C786">
        <f>Inputs!$B$3&gt;=49</f>
        <v/>
      </c>
      <c r="D786">
        <f>IF(Skills!C16=1,60+Inputs!$B$24+Inputs!$B$28,IF(Skills!C16=2,90+Inputs!$B$25+Inputs!$B$28,IF(Skills!C16=3,120+Inputs!$B$26+Inputs!$B$28,MAX(0,(Inputs!$B$3-100)*3)+(Inputs!$B$27+1)+Inputs!$B$28)))</f>
        <v/>
      </c>
      <c r="E786">
        <f>INDEX(FactorTable!$B$2:$Y$301, MATCH(ROUND(MIN(300,MAX(1,D786)),0), FactorTable!$A$2:$A$301,0), Skills!L16+1)</f>
        <v/>
      </c>
      <c r="F786">
        <f>IF(Skills!M16=TRUE,(Skills!K16/10)*(E786/1000),Skills!K16/10)+Skills!N16</f>
        <v/>
      </c>
      <c r="G786">
        <f>Calc!G16</f>
        <v/>
      </c>
      <c r="H786">
        <f>Calc!H16</f>
        <v/>
      </c>
      <c r="I786">
        <f>IF(Skills!T16&lt;&gt;"",1+(Skills!T16/10)*($Z$3/1000)/100,1)</f>
        <v/>
      </c>
      <c r="J786" t="inlineStr"/>
      <c r="K786" t="inlineStr"/>
      <c r="L786" t="inlineStr"/>
      <c r="M786" t="inlineStr"/>
      <c r="N786" t="inlineStr"/>
      <c r="O786" t="n">
        <v>0</v>
      </c>
      <c r="P786">
        <f>IF(B808=0,0,O786/B808)</f>
        <v/>
      </c>
      <c r="S786" t="n">
        <v>0</v>
      </c>
      <c r="V786">
        <f>IFERROR(1/IF(Inputs!$B$4="pvp",15,MAX(0.1,Skills!D16-IF(Skills!E16=TRUE,Inputs!$B$31,0))),0)</f>
        <v/>
      </c>
    </row>
    <row r="787">
      <c r="A787">
        <f>Skills!A17</f>
        <v/>
      </c>
      <c r="B787">
        <f>Skills!B17</f>
        <v/>
      </c>
      <c r="C787">
        <f>Inputs!$B$3&gt;=75</f>
        <v/>
      </c>
      <c r="D787">
        <f>IF(Skills!C17=1,60+Inputs!$B$24+Inputs!$B$28,IF(Skills!C17=2,90+Inputs!$B$25+Inputs!$B$28,IF(Skills!C17=3,120+Inputs!$B$26+Inputs!$B$28,MAX(0,(Inputs!$B$3-100)*3)+(Inputs!$B$27+1)+Inputs!$B$28)))</f>
        <v/>
      </c>
      <c r="E787">
        <f>INDEX(FactorTable!$B$2:$Y$301, MATCH(ROUND(MIN(300,MAX(1,D787)),0), FactorTable!$A$2:$A$301,0), Skills!L17+1)</f>
        <v/>
      </c>
      <c r="F787">
        <f>IF(Skills!M17=TRUE,(Skills!K17/10)*(E787/1000),Skills!K17/10)+Skills!N17</f>
        <v/>
      </c>
      <c r="G787">
        <f>Calc!G17</f>
        <v/>
      </c>
      <c r="H787">
        <f>Calc!H17</f>
        <v/>
      </c>
      <c r="I787">
        <f>IF(Skills!T17&lt;&gt;"",1+(Skills!T17/10)*($Z$3/1000)/100,1)</f>
        <v/>
      </c>
      <c r="J787" t="inlineStr"/>
      <c r="K787" t="inlineStr"/>
      <c r="L787" t="inlineStr"/>
      <c r="M787" t="inlineStr"/>
      <c r="N787" t="inlineStr"/>
      <c r="O787" t="n">
        <v>0</v>
      </c>
      <c r="P787">
        <f>IF(B808=0,0,O787/B808)</f>
        <v/>
      </c>
      <c r="S787" t="n">
        <v>0</v>
      </c>
      <c r="V787">
        <f>IFERROR(1/IF(Inputs!$B$4="pvp",15,MAX(0.1,Skills!D17-IF(Skills!E17=TRUE,Inputs!$B$31,0))),0)</f>
        <v/>
      </c>
    </row>
    <row r="788">
      <c r="A788">
        <f>Skills!A18</f>
        <v/>
      </c>
      <c r="B788">
        <f>Skills!B18</f>
        <v/>
      </c>
      <c r="C788">
        <f>Inputs!$B$3&gt;=110</f>
        <v/>
      </c>
      <c r="D788">
        <f>IF(Skills!C18=1,60+Inputs!$B$24+Inputs!$B$28,IF(Skills!C18=2,90+Inputs!$B$25+Inputs!$B$28,IF(Skills!C18=3,120+Inputs!$B$26+Inputs!$B$28,MAX(0,(Inputs!$B$3-100)*3)+(Inputs!$B$27+1)+Inputs!$B$28)))</f>
        <v/>
      </c>
      <c r="E788">
        <f>INDEX(FactorTable!$B$2:$Y$301, MATCH(ROUND(MIN(300,MAX(1,D788)),0), FactorTable!$A$2:$A$301,0), Skills!L18+1)</f>
        <v/>
      </c>
      <c r="F788">
        <f>(Skills!K18/10)*(E788/1000)*64/45+Skills!N18</f>
        <v/>
      </c>
      <c r="G788">
        <f>Calc!G18</f>
        <v/>
      </c>
      <c r="H788">
        <f>Calc!H18</f>
        <v/>
      </c>
      <c r="I788">
        <f>IF(Skills!T18&lt;&gt;"",1+(Skills!T18/10)*($Z$3/1000)/100,1)</f>
        <v/>
      </c>
      <c r="J788" t="inlineStr"/>
      <c r="K788" t="inlineStr"/>
      <c r="L788" t="inlineStr"/>
      <c r="M788" t="inlineStr"/>
      <c r="N788" t="inlineStr"/>
      <c r="O788" t="n">
        <v>0</v>
      </c>
      <c r="P788">
        <f>IF(B808=0,0,O788/B808)</f>
        <v/>
      </c>
      <c r="S788">
        <f>IF(AND(Inputs!$B$4&lt;&gt;"pvp",Inputs!$B$35&gt;0),(INT(Inputs!$B$35/IF(Inputs!$B$4="pvp",15,MAX(0.1,Skills!D18-IF(Skills!E18=TRUE,Inputs!$B$31,0))))+1),0)</f>
        <v/>
      </c>
      <c r="V788">
        <f>IFERROR(1/IF(Inputs!$B$4="pvp",15,MAX(0.1,Skills!D18-IF(Skills!E18=TRUE,Inputs!$B$31,0))),0)</f>
        <v/>
      </c>
    </row>
    <row r="789">
      <c r="A789">
        <f>Skills!A19</f>
        <v/>
      </c>
      <c r="B789">
        <f>Skills!B19</f>
        <v/>
      </c>
      <c r="C789">
        <f>Inputs!$B$3&gt;=125</f>
        <v/>
      </c>
      <c r="D789">
        <f>IF(Skills!C19=1,60+Inputs!$B$24+Inputs!$B$28,IF(Skills!C19=2,90+Inputs!$B$25+Inputs!$B$28,IF(Skills!C19=3,120+Inputs!$B$26+Inputs!$B$28,MAX(0,(Inputs!$B$3-100)*3)+(Inputs!$B$27+1)+Inputs!$B$28)))</f>
        <v/>
      </c>
      <c r="E789">
        <f>INDEX(FactorTable!$B$2:$Y$301, MATCH(ROUND(MIN(300,MAX(1,D789)),0), FactorTable!$A$2:$A$301,0), Skills!L19+1)</f>
        <v/>
      </c>
      <c r="F789">
        <f>IF(Skills!M19=TRUE,(Skills!K19/10)*(E789/1000),Skills!K19/10)+Skills!N19</f>
        <v/>
      </c>
      <c r="G789">
        <f>Calc!G19</f>
        <v/>
      </c>
      <c r="H789">
        <f>Calc!H19</f>
        <v/>
      </c>
      <c r="I789">
        <f>IF(Skills!T19&lt;&gt;"",1+(Skills!T19/10)*($Z$3/1000)/100,1)</f>
        <v/>
      </c>
      <c r="J789" t="inlineStr"/>
      <c r="K789" t="inlineStr"/>
      <c r="L789" t="inlineStr"/>
      <c r="M789" t="inlineStr"/>
      <c r="N789" t="inlineStr"/>
      <c r="O789" t="n">
        <v>0</v>
      </c>
      <c r="P789">
        <f>IF(B808=0,0,O789/B808)</f>
        <v/>
      </c>
      <c r="S789" t="n">
        <v>0</v>
      </c>
      <c r="V789">
        <f>IFERROR(1/IF(Inputs!$B$4="pvp",15,MAX(0.1,Skills!D19-IF(Skills!E19=TRUE,Inputs!$B$31,0))),0)</f>
        <v/>
      </c>
    </row>
    <row r="790">
      <c r="A790">
        <f>Skills!A20</f>
        <v/>
      </c>
      <c r="B790">
        <f>Skills!B20</f>
        <v/>
      </c>
      <c r="C790">
        <f>Inputs!$B$3&gt;=33</f>
        <v/>
      </c>
      <c r="D790">
        <f>IF(Skills!C20=1,60+Inputs!$B$24+Inputs!$B$28,IF(Skills!C20=2,90+Inputs!$B$25+Inputs!$B$28,IF(Skills!C20=3,120+Inputs!$B$26+Inputs!$B$28,MAX(0,(Inputs!$B$3-100)*3)+(Inputs!$B$27+1)+Inputs!$B$28)))</f>
        <v/>
      </c>
      <c r="E790">
        <f>INDEX(FactorTable!$B$2:$Y$301, MATCH(ROUND(MIN(300,MAX(1,D790)),0), FactorTable!$A$2:$A$301,0), Skills!L20+1)</f>
        <v/>
      </c>
      <c r="F790">
        <f>IF(Skills!M20=TRUE,(Skills!K20/10)*(E790/1000),Skills!K20/10)+Skills!N20</f>
        <v/>
      </c>
      <c r="G790">
        <f>Calc!G20</f>
        <v/>
      </c>
      <c r="H790">
        <f>Calc!H20</f>
        <v/>
      </c>
      <c r="I790">
        <f>IF(Skills!T20&lt;&gt;"",1+(Skills!T20/10)*($Z$3/1000)/100,1)</f>
        <v/>
      </c>
      <c r="J790" t="inlineStr"/>
      <c r="K790" t="inlineStr"/>
      <c r="L790" t="inlineStr"/>
      <c r="M790" t="inlineStr"/>
      <c r="N790" t="inlineStr"/>
      <c r="O790" t="n">
        <v>0</v>
      </c>
      <c r="P790">
        <f>IF(B808=0,0,O790/B808)</f>
        <v/>
      </c>
      <c r="S790" t="n">
        <v>0</v>
      </c>
      <c r="V790">
        <f>IFERROR(1/IF(Inputs!$B$4="pvp",15,MAX(0.1,Skills!D20-IF(Skills!E20=TRUE,Inputs!$B$31,0))),0)</f>
        <v/>
      </c>
    </row>
    <row r="791">
      <c r="A791">
        <f>Skills!A21</f>
        <v/>
      </c>
      <c r="B791">
        <f>Skills!B21</f>
        <v/>
      </c>
      <c r="C791">
        <f>Inputs!$B$3&gt;=43</f>
        <v/>
      </c>
      <c r="D791">
        <f>IF(Skills!C21=1,60+Inputs!$B$24+Inputs!$B$28,IF(Skills!C21=2,90+Inputs!$B$25+Inputs!$B$28,IF(Skills!C21=3,120+Inputs!$B$26+Inputs!$B$28,MAX(0,(Inputs!$B$3-100)*3)+(Inputs!$B$27+1)+Inputs!$B$28)))</f>
        <v/>
      </c>
      <c r="E791">
        <f>INDEX(FactorTable!$B$2:$Y$301, MATCH(ROUND(MIN(300,MAX(1,D791)),0), FactorTable!$A$2:$A$301,0), Skills!L21+1)</f>
        <v/>
      </c>
      <c r="F791">
        <f>IF(Skills!M21=TRUE,(Skills!K21/10)*(E791/1000),Skills!K21/10)+Skills!N21</f>
        <v/>
      </c>
      <c r="G791">
        <f>Calc!G21</f>
        <v/>
      </c>
      <c r="H791">
        <f>Calc!H21</f>
        <v/>
      </c>
      <c r="I791">
        <f>IF(Skills!T21&lt;&gt;"",1+(Skills!T21/10)*($Z$3/1000)/100,1)</f>
        <v/>
      </c>
      <c r="J791" t="inlineStr"/>
      <c r="K791" t="inlineStr"/>
      <c r="L791" t="inlineStr"/>
      <c r="M791" t="inlineStr"/>
      <c r="N791" t="inlineStr"/>
      <c r="O791" t="n">
        <v>0</v>
      </c>
      <c r="P791">
        <f>IF(B808=0,0,O791/B808)</f>
        <v/>
      </c>
      <c r="S791" t="n">
        <v>0</v>
      </c>
      <c r="V791">
        <f>IFERROR(1/IF(Inputs!$B$4="pvp",15,MAX(0.1,Skills!D21-IF(Skills!E21=TRUE,Inputs!$B$31,0))),0)</f>
        <v/>
      </c>
    </row>
    <row r="792">
      <c r="A792">
        <f>Skills!A22</f>
        <v/>
      </c>
      <c r="B792">
        <f>Skills!B22</f>
        <v/>
      </c>
      <c r="C792">
        <f>Inputs!$B$3&gt;=50</f>
        <v/>
      </c>
      <c r="D792">
        <f>IF(Skills!C22=1,60+Inputs!$B$24+Inputs!$B$28,IF(Skills!C22=2,90+Inputs!$B$25+Inputs!$B$28,IF(Skills!C22=3,120+Inputs!$B$26+Inputs!$B$28,MAX(0,(Inputs!$B$3-100)*3)+(Inputs!$B$27+1)+Inputs!$B$28)))</f>
        <v/>
      </c>
      <c r="E792">
        <f>INDEX(FactorTable!$B$2:$Y$301, MATCH(ROUND(MIN(300,MAX(1,D792)),0), FactorTable!$A$2:$A$301,0), Skills!L22+1)</f>
        <v/>
      </c>
      <c r="F792">
        <f>IF(Skills!M22=TRUE,(Skills!K22/10)*(E792/1000),Skills!K22/10)+Skills!N22</f>
        <v/>
      </c>
      <c r="G792">
        <f>Calc!G22</f>
        <v/>
      </c>
      <c r="H792">
        <f>Calc!H22</f>
        <v/>
      </c>
      <c r="I792">
        <f>IF(Skills!T22&lt;&gt;"",1+(Skills!T22/10)*($Z$3/1000)/100,1)</f>
        <v/>
      </c>
      <c r="J792" t="inlineStr"/>
      <c r="K792" t="inlineStr"/>
      <c r="L792" t="inlineStr"/>
      <c r="M792" t="inlineStr"/>
      <c r="N792" t="inlineStr"/>
      <c r="O792" t="n">
        <v>0</v>
      </c>
      <c r="P792">
        <f>IF(B808=0,0,O792/B808)</f>
        <v/>
      </c>
      <c r="S792" t="n">
        <v>0</v>
      </c>
      <c r="V792">
        <f>IFERROR(1/IF(Inputs!$B$4="pvp",15,MAX(0.1,Skills!D22-IF(Skills!E22=TRUE,Inputs!$B$31,0))),0)</f>
        <v/>
      </c>
    </row>
    <row r="793">
      <c r="A793">
        <f>Skills!A23</f>
        <v/>
      </c>
      <c r="B793">
        <f>Skills!B23</f>
        <v/>
      </c>
      <c r="C793">
        <f>Inputs!$B$3&gt;=74</f>
        <v/>
      </c>
      <c r="D793">
        <f>IF(Skills!C23=1,60+Inputs!$B$24+Inputs!$B$28,IF(Skills!C23=2,90+Inputs!$B$25+Inputs!$B$28,IF(Skills!C23=3,120+Inputs!$B$26+Inputs!$B$28,MAX(0,(Inputs!$B$3-100)*3)+(Inputs!$B$27+1)+Inputs!$B$28)))</f>
        <v/>
      </c>
      <c r="E793">
        <f>INDEX(FactorTable!$B$2:$Y$301, MATCH(ROUND(MIN(300,MAX(1,D793)),0), FactorTable!$A$2:$A$301,0), Skills!L23+1)</f>
        <v/>
      </c>
      <c r="F793">
        <f>IF(Skills!M23=TRUE,(Skills!K23/10)*(E793/1000),Skills!K23/10)+Skills!N23</f>
        <v/>
      </c>
      <c r="G793">
        <f>Calc!G23</f>
        <v/>
      </c>
      <c r="H793">
        <f>Calc!H23</f>
        <v/>
      </c>
      <c r="I793">
        <f>IF(Skills!T23&lt;&gt;"",1+(Skills!T23/10)*($Z$3/1000)/100,1)</f>
        <v/>
      </c>
      <c r="J793" t="inlineStr"/>
      <c r="K793" t="inlineStr"/>
      <c r="L793" t="inlineStr"/>
      <c r="M793" t="inlineStr"/>
      <c r="N793" t="inlineStr"/>
      <c r="O793" t="n">
        <v>0</v>
      </c>
      <c r="P793">
        <f>IF(B808=0,0,O793/B808)</f>
        <v/>
      </c>
      <c r="S793" t="n">
        <v>0</v>
      </c>
      <c r="V793">
        <f>IFERROR(1/IF(Inputs!$B$4="pvp",15,MAX(0.1,Skills!D23-IF(Skills!E23=TRUE,Inputs!$B$31,0))),0)</f>
        <v/>
      </c>
    </row>
    <row r="794">
      <c r="A794">
        <f>Skills!A24</f>
        <v/>
      </c>
      <c r="B794">
        <f>Skills!B24</f>
        <v/>
      </c>
      <c r="C794">
        <f>Inputs!$B$3&gt;=74</f>
        <v/>
      </c>
      <c r="D794">
        <f>IF(Skills!C24=1,60+Inputs!$B$24+Inputs!$B$28,IF(Skills!C24=2,90+Inputs!$B$25+Inputs!$B$28,IF(Skills!C24=3,120+Inputs!$B$26+Inputs!$B$28,MAX(0,(Inputs!$B$3-100)*3)+(Inputs!$B$27+1)+Inputs!$B$28)))</f>
        <v/>
      </c>
      <c r="E794">
        <f>INDEX(FactorTable!$B$2:$Y$301, MATCH(ROUND(MIN(300,MAX(1,D794)),0), FactorTable!$A$2:$A$301,0), Skills!L24+1)</f>
        <v/>
      </c>
      <c r="F794">
        <f>IF(Skills!M24=TRUE,(Skills!K24/10)*(E794/1000),Skills!K24/10)+Skills!N24</f>
        <v/>
      </c>
      <c r="G794">
        <f>Calc!G24</f>
        <v/>
      </c>
      <c r="H794">
        <f>Calc!H24</f>
        <v/>
      </c>
      <c r="I794">
        <f>IF(Skills!T24&lt;&gt;"",1+(Skills!T24/10)*($Z$3/1000)/100,1)</f>
        <v/>
      </c>
      <c r="J794" t="inlineStr"/>
      <c r="K794" t="inlineStr"/>
      <c r="L794" t="inlineStr"/>
      <c r="M794" t="inlineStr"/>
      <c r="N794" t="inlineStr"/>
      <c r="O794" t="n">
        <v>0</v>
      </c>
      <c r="P794">
        <f>IF(B808=0,0,O794/B808)</f>
        <v/>
      </c>
      <c r="S794" t="n">
        <v>0</v>
      </c>
      <c r="V794">
        <f>IFERROR(1/IF(Inputs!$B$4="pvp",15,MAX(0.1,Skills!D24-IF(Skills!E24=TRUE,Inputs!$B$31,0))),0)</f>
        <v/>
      </c>
    </row>
    <row r="795">
      <c r="A795">
        <f>Skills!A25</f>
        <v/>
      </c>
      <c r="B795">
        <f>Skills!B25</f>
        <v/>
      </c>
      <c r="C795">
        <f>Inputs!$B$3&gt;=117</f>
        <v/>
      </c>
      <c r="D795">
        <f>IF(Skills!C25=1,60+Inputs!$B$24+Inputs!$B$28,IF(Skills!C25=2,90+Inputs!$B$25+Inputs!$B$28,IF(Skills!C25=3,120+Inputs!$B$26+Inputs!$B$28,MAX(0,(Inputs!$B$3-100)*3)+(Inputs!$B$27+1)+Inputs!$B$28)))</f>
        <v/>
      </c>
      <c r="E795">
        <f>INDEX(FactorTable!$B$2:$Y$301, MATCH(ROUND(MIN(300,MAX(1,D795)),0), FactorTable!$A$2:$A$301,0), Skills!L25+1)</f>
        <v/>
      </c>
      <c r="F795">
        <f>IF(Skills!M25=TRUE,(Skills!K25/10)*(E795/1000),Skills!K25/10)+Skills!N25</f>
        <v/>
      </c>
      <c r="G795">
        <f>Calc!G25</f>
        <v/>
      </c>
      <c r="H795">
        <f>Calc!H25</f>
        <v/>
      </c>
      <c r="I795">
        <f>IF(Skills!T25&lt;&gt;"",1+(Skills!T25/10)*($Z$3/1000)/100,1)</f>
        <v/>
      </c>
      <c r="J795" t="inlineStr"/>
      <c r="K795" t="inlineStr"/>
      <c r="L795" t="inlineStr"/>
      <c r="M795" t="inlineStr"/>
      <c r="N795" t="inlineStr"/>
      <c r="O795" t="n">
        <v>0</v>
      </c>
      <c r="P795">
        <f>IF(B808=0,0,O795/B808)</f>
        <v/>
      </c>
      <c r="S795" t="n">
        <v>0</v>
      </c>
      <c r="V795">
        <f>IFERROR(1/IF(Inputs!$B$4="pvp",15,MAX(0.1,Skills!D25-IF(Skills!E25=TRUE,Inputs!$B$31,0))),0)</f>
        <v/>
      </c>
    </row>
    <row r="796">
      <c r="A796">
        <f>Skills!A26</f>
        <v/>
      </c>
      <c r="B796">
        <f>Skills!B26</f>
        <v/>
      </c>
      <c r="C796">
        <f>Inputs!$B$3&gt;=120</f>
        <v/>
      </c>
      <c r="D796">
        <f>IF(Skills!C26=1,60+Inputs!$B$24+Inputs!$B$28,IF(Skills!C26=2,90+Inputs!$B$25+Inputs!$B$28,IF(Skills!C26=3,120+Inputs!$B$26+Inputs!$B$28,MAX(0,(Inputs!$B$3-100)*3)+(Inputs!$B$27+1)+Inputs!$B$28)))</f>
        <v/>
      </c>
      <c r="E796">
        <f>INDEX(FactorTable!$B$2:$Y$301, MATCH(ROUND(MIN(300,MAX(1,D796)),0), FactorTable!$A$2:$A$301,0), Skills!L26+1)</f>
        <v/>
      </c>
      <c r="F796">
        <f>IF(Skills!M26=TRUE,(Skills!K26/10)*(E796/1000),Skills!K26/10)+Skills!N26</f>
        <v/>
      </c>
      <c r="G796">
        <f>Calc!G26</f>
        <v/>
      </c>
      <c r="H796">
        <f>Calc!H26</f>
        <v/>
      </c>
      <c r="I796">
        <f>IF(Skills!T26&lt;&gt;"",1+(Skills!T26/10)*($Z$3/1000)/100,1)</f>
        <v/>
      </c>
      <c r="J796" t="inlineStr"/>
      <c r="K796" t="inlineStr"/>
      <c r="L796" t="inlineStr"/>
      <c r="M796" t="inlineStr"/>
      <c r="N796" t="inlineStr"/>
      <c r="O796" t="n">
        <v>0</v>
      </c>
      <c r="P796">
        <f>IF(B808=0,0,O796/B808)</f>
        <v/>
      </c>
      <c r="S796" t="n">
        <v>0</v>
      </c>
      <c r="V796">
        <f>IFERROR(1/IF(Inputs!$B$4="pvp",15,MAX(0.1,Skills!D26-IF(Skills!E26=TRUE,Inputs!$B$31,0))),0)</f>
        <v/>
      </c>
    </row>
    <row r="798">
      <c r="A798" t="inlineStr">
        <is>
          <t>Average Buff Multiplier</t>
        </is>
      </c>
      <c r="B798">
        <f>(1+(IF(C773=TRUE,F773*IF(AND(Inputs!$B$4&lt;&gt;"pvp",Inputs!$B$35&gt;0),(((S773-1)*(Skills!S3*(1+(Inputs!$B$33+IF(Inputs!$B$3&gt;=117,F795,0))/100))+MIN((Skills!S3*(1+(Inputs!$B$33+IF(Inputs!$B$3&gt;=117,F795,0))/100)),MAX(0,Inputs!$B$35-((S773-1)*Skills!D3))))/Inputs!$B$35),IF(Inputs!$B$4="pvp",MIN((Skills!S3*(1+(Inputs!$B$33+IF(Inputs!$B$3&gt;=117,F795,0))/100)),15)/15,(Skills!S3*(1+(Inputs!$B$33+IF(Inputs!$B$3&gt;=117,F795,0))/100))/Skills!D3)),0)+IF(C774=TRUE,F774*IF(AND(Inputs!$B$4&lt;&gt;"pvp",Inputs!$B$35&gt;0),(((S774-1)*(Skills!S4*(1+(Inputs!$B$33+IF(Inputs!$B$3&gt;=117,F795,0))/100))+MIN((Skills!S4*(1+(Inputs!$B$33+IF(Inputs!$B$3&gt;=117,F795,0))/100)),MAX(0,Inputs!$B$35-((S774-1)*Skills!D4))))/Inputs!$B$35),IF(Inputs!$B$4="pvp",MIN((Skills!S4*(1+(Inputs!$B$33+IF(Inputs!$B$3&gt;=117,F795,0))/100)),15)/15,(Skills!S4*(1+(Inputs!$B$33+IF(Inputs!$B$3&gt;=117,F795,0))/100))/Skills!D4)),0)+IF(C775=TRUE,F775*IF(AND(Inputs!$B$4&lt;&gt;"pvp",Inputs!$B$35&gt;0),(((S775-1)*(Skills!S5*(1+(Inputs!$B$33+IF(Inputs!$B$3&gt;=117,F795,0))/100))+MIN((Skills!S5*(1+(Inputs!$B$33+IF(Inputs!$B$3&gt;=117,F795,0))/100)),MAX(0,Inputs!$B$35-((S775-1)*Skills!D5))))/Inputs!$B$35),IF(Inputs!$B$4="pvp",MIN((Skills!S5*(1+(Inputs!$B$33+IF(Inputs!$B$3&gt;=117,F795,0))/100)),15)/15,(Skills!S5*(1+(Inputs!$B$33+IF(Inputs!$B$3&gt;=117,F795,0))/100))/Skills!D5)),0)+IF(C781=TRUE,F781*IF(AND(Inputs!$B$4&lt;&gt;"pvp",Inputs!$B$35&gt;0),(((S781-1)*(Skills!S11*(1+(Inputs!$B$33+IF(Inputs!$B$3&gt;=117,F795,0))/100))+MIN((Skills!S11*(1+(Inputs!$B$33+IF(Inputs!$B$3&gt;=117,F795,0))/100)),MAX(0,Inputs!$B$35-((S781-1)*Skills!D11))))/Inputs!$B$35),IF(Inputs!$B$4="pvp",MIN((Skills!S11*(1+(Inputs!$B$33+IF(Inputs!$B$3&gt;=117,F795,0))/100)),15)/15,(Skills!S11*(1+(Inputs!$B$33+IF(Inputs!$B$3&gt;=117,F795,0))/100))/Skills!D11)),0))/100)*IF(C783=TRUE,(1+F783*IF(AND(Inputs!$B$4&lt;&gt;"pvp",Inputs!$B$35&gt;0),(((S783-1)*(Skills!S13*(1+(Inputs!$B$33+IF(Inputs!$B$3&gt;=117,F795,0))/100))+MIN((Skills!S13*(1+(Inputs!$B$33+IF(Inputs!$B$3&gt;=117,F795,0))/100)),MAX(0,Inputs!$B$35-((S783-1)*Skills!D13))))/Inputs!$B$35),IF(Inputs!$B$4="pvp",MIN((Skills!S13*(1+(Inputs!$B$33+IF(Inputs!$B$3&gt;=117,F795,0))/100)),15)/15,(Skills!S13*(1+(Inputs!$B$33+IF(Inputs!$B$3&gt;=117,F795,0))/100))/Skills!D13))/100),1)*IF(C788=TRUE,(1+F788*IF(AND(Inputs!$B$4&lt;&gt;"pvp",Inputs!$B$35&gt;0),(((S788-1)*(Skills!S18*(1+(Inputs!$B$33+IF(Inputs!$B$3&gt;=117,F795,0))/100))+MIN((Skills!S18*(1+(Inputs!$B$33+IF(Inputs!$B$3&gt;=117,F795,0))/100)),MAX(0,Inputs!$B$35-((S788-1)*Skills!D18))))/Inputs!$B$35),IF(Inputs!$B$4="pvp",MIN((Skills!S18*(1+(Inputs!$B$33+IF(Inputs!$B$3&gt;=117,F795,0))/100)),15)/15,(Skills!S18*(1+(Inputs!$B$33+IF(Inputs!$B$3&gt;=117,F795,0))/100))/Skills!D18))/100),1)</f>
        <v/>
      </c>
    </row>
    <row r="799">
      <c r="A799" t="inlineStr">
        <is>
          <t>Monster Damage Taken Bonus % (Holy Fountain)</t>
        </is>
      </c>
      <c r="B799">
        <f>IF(Inputs!$B$3&gt;=68,20*IF(Inputs!$B$4="pvp",MIN((15*(1+(Inputs!$B$33+IF(Inputs!$B$3&gt;=117,F795,0))/100)),15)/15,(15*(1+(Inputs!$B$33+IF(Inputs!$B$3&gt;=117,F795,0))/100))/Skills!D10),0)</f>
        <v/>
      </c>
    </row>
    <row r="800">
      <c r="A800" t="inlineStr">
        <is>
          <t>Normal Monster Damage Bonus % (Holy Symbol)</t>
        </is>
      </c>
      <c r="B800">
        <f>IF(C782=TRUE,F782*IF(AND(Inputs!$B$4&lt;&gt;"pvp",Inputs!$B$35&gt;0),(((S782-1)*(Skills!S12*(1+(Inputs!$B$33+IF(Inputs!$B$3&gt;=117,F795,0))/100))+MIN((Skills!S12*(1+(Inputs!$B$33+IF(Inputs!$B$3&gt;=117,F795,0))/100)),MAX(0,Inputs!$B$35-((S782-1)*Skills!D12))))/Inputs!$B$35),IF(Inputs!$B$4="pvp",MIN((Skills!S12*(1+(Inputs!$B$33+IF(Inputs!$B$3&gt;=117,F795,0))/100)),15)/15,(Skills!S12*(1+(Inputs!$B$33+IF(Inputs!$B$3&gt;=117,F795,0))/100))/Skills!D12)),0)</f>
        <v/>
      </c>
    </row>
    <row r="801">
      <c r="A801" t="inlineStr">
        <is>
          <t>Damage % Bonus (Holy Symbol - Damage Boost)</t>
        </is>
      </c>
      <c r="B801">
        <f>Skills!O12</f>
        <v/>
      </c>
    </row>
    <row r="802">
      <c r="A802" t="inlineStr">
        <is>
          <t>Crit Damage % Bonus (Blood of the Divine)</t>
        </is>
      </c>
      <c r="B802">
        <f>4*IF(C789=TRUE,F789,0)</f>
        <v/>
      </c>
    </row>
    <row r="803">
      <c r="A803" t="inlineStr">
        <is>
          <t>Attack Speed Bonus %</t>
        </is>
      </c>
      <c r="B803">
        <f>IF(C786=TRUE,F786+(F790-Calc!F20),0)+IF(Inputs!$B$3&gt;=134,15,0)</f>
        <v/>
      </c>
    </row>
    <row r="804">
      <c r="A804" t="inlineStr">
        <is>
          <t>Actions Per Second</t>
        </is>
      </c>
      <c r="B804">
        <f>1+MIN(150,150*(1-(1-Inputs!$B$10/150)*(1-B803/150)))/100</f>
        <v/>
      </c>
    </row>
    <row r="805">
      <c r="A805" t="inlineStr">
        <is>
          <t>Skill + Buff Cast Rate</t>
        </is>
      </c>
      <c r="B805">
        <f>IF(AND(Inputs!$B$4&lt;&gt;"pvp",Inputs!$B$35&gt;0),SUMPRODUCT((Skills!E2:E26=TRUE)*(C772:C796=TRUE)*S772:S796)/Inputs!$B$35,SUMPRODUCT((Skills!E2:E26=TRUE)*(C772:C796=TRUE)*V772:V796))</f>
        <v/>
      </c>
    </row>
    <row r="806">
      <c r="A806" t="inlineStr">
        <is>
          <t>Big Bang Casts Per Second</t>
        </is>
      </c>
      <c r="B806">
        <f>MAX(0,B804-B805)</f>
        <v/>
      </c>
    </row>
    <row r="808">
      <c r="A808" s="5" t="inlineStr">
        <is>
          <t>TOTAL DPS</t>
        </is>
      </c>
      <c r="B808" s="5">
        <f>SUM(O772:O796)</f>
        <v/>
      </c>
    </row>
    <row r="811">
      <c r="A811" s="5" t="inlineStr">
        <is>
          <t>Stat: Skill Level Bonus — All Skills</t>
        </is>
      </c>
    </row>
    <row r="812">
      <c r="A812" s="8" t="inlineStr">
        <is>
          <t>Key</t>
        </is>
      </c>
      <c r="B812" s="8" t="inlineStr">
        <is>
          <t>Name</t>
        </is>
      </c>
      <c r="C812" s="8" t="inlineStr">
        <is>
          <t>Unlocked</t>
        </is>
      </c>
      <c r="D812" s="8" t="inlineStr">
        <is>
          <t>InputLevel</t>
        </is>
      </c>
      <c r="E812" s="8" t="inlineStr">
        <is>
          <t>Factor</t>
        </is>
      </c>
      <c r="F812" s="8" t="inlineStr">
        <is>
          <t>CoefficientPercent</t>
        </is>
      </c>
      <c r="G812" s="8" t="inlineStr">
        <is>
          <t>EffectiveHits</t>
        </is>
      </c>
      <c r="H812" s="8" t="inlineStr">
        <is>
          <t>ProcProbability</t>
        </is>
      </c>
      <c r="I812" s="8" t="inlineStr">
        <is>
          <t>MapleHeroMultiplier</t>
        </is>
      </c>
      <c r="J812" s="8" t="inlineStr">
        <is>
          <t>BaseDamage</t>
        </is>
      </c>
      <c r="K812" s="8" t="inlineStr">
        <is>
          <t>BaseHitDamage</t>
        </is>
      </c>
      <c r="L812" s="8" t="inlineStr">
        <is>
          <t>NonCritAvg</t>
        </is>
      </c>
      <c r="M812" s="8" t="inlineStr">
        <is>
          <t>CritAvg</t>
        </is>
      </c>
      <c r="N812" s="8" t="inlineStr">
        <is>
          <t>ExpectedDamage(perHit)</t>
        </is>
      </c>
      <c r="O812" s="8" t="inlineStr">
        <is>
          <t>DPS</t>
        </is>
      </c>
      <c r="P812" s="8" t="inlineStr">
        <is>
          <t>% of Total</t>
        </is>
      </c>
      <c r="R812" t="inlineStr">
        <is>
          <t>helpers</t>
        </is>
      </c>
    </row>
    <row r="813">
      <c r="A813">
        <f>Skills!A2</f>
        <v/>
      </c>
      <c r="B813">
        <f>Skills!B2</f>
        <v/>
      </c>
      <c r="C813">
        <f>Inputs!$B$3&gt;=100</f>
        <v/>
      </c>
      <c r="D813" t="inlineStr"/>
      <c r="E813" t="inlineStr"/>
      <c r="F813">
        <f>T815+Skills!N2</f>
        <v/>
      </c>
      <c r="G813">
        <f>Calc!G2</f>
        <v/>
      </c>
      <c r="H813">
        <f>Calc!H2</f>
        <v/>
      </c>
      <c r="I813">
        <f>IF(Skills!T2&lt;&gt;"",1+(Skills!T2/10)*($Z$3/1000)/100,1)</f>
        <v/>
      </c>
      <c r="J813">
        <f>((Inputs!$B$5*(1+Inputs!$B$6/100))+((Inputs!$B$11*(1+Inputs!$B$12/100))-(Inputs!$B$11*(1+Inputs!$B$12/100)))*(1+Inputs!$B$6/100))*(F813/100)</f>
        <v/>
      </c>
      <c r="K813">
        <f>J813*(1+((Inputs!$B$11*(1+Inputs!$B$12/100))*0.01+Inputs!$B$13*0.0025)/100)*(1+(Inputs!$B$14+B842)/100)*(1+IF(Inputs!$B$4="pvp",0,(1-Summary!$B$48)*(Inputs!$B$19+Skills!O2+B840)+Summary!$B$48*(Inputs!$B$20+Skills!P2+B841))/100)*(1+Inputs!$B$15/100)*(5000/(6000+Inputs!$B$7*(1-Inputs!$B$18/100)))*(1+Inputs!$B$23/100)*(1+IF(C828=TRUE,F828,0)/100)*(1+IF(C830=TRUE,F830,0)/100)*(1+IF(Skills!A2="TRIUMPH_FEATHER",IF(C826=TRUE,F826,0),0)/100)*(1+IF(C837=TRUE,F837,0)/100)^5*(1+(IF(Skills!A2="BIG_BANG",Inputs!$B$16,Inputs!$B$17))/100)*(B839*I813)</f>
        <v/>
      </c>
      <c r="L813">
        <f>K813*(MIN(Inputs!$B$21+(F832-Calc!F21),Inputs!$B$22)/100+Inputs!$B$22/100)/2</f>
        <v/>
      </c>
      <c r="M813">
        <f>L813*(1+(Inputs!$B$9+B843+(F835-Calc!F24))/100)</f>
        <v/>
      </c>
      <c r="N813">
        <f>L813*(1-MIN(Inputs!$B$8+((F834-Calc!F23)+(F833-Calc!F22)),100)/100)+M813*(MIN(Inputs!$B$8+((F834-Calc!F23)+(F833-Calc!F22)),100)/100)</f>
        <v/>
      </c>
      <c r="O813">
        <f>IF(C813,Skills!F2*N813*B847*IF(Inputs!$B$4="pvp",1,(1-Summary!$B$48)*(1)+Summary!$B$48*(MIN((6+Inputs!$B$32),Inputs!$B$37))),0)</f>
        <v/>
      </c>
      <c r="P813">
        <f>IF(B849=0,0,O813/B849)</f>
        <v/>
      </c>
      <c r="S813" t="n">
        <v>0</v>
      </c>
      <c r="T813">
        <f>MAX(0,(Inputs!$B$3-100)*3)+Inputs!$B$27+(Inputs!$B$28+1)</f>
        <v/>
      </c>
      <c r="V813">
        <f>IFERROR(1/IF(Inputs!$B$4="pvp",15,MAX(0.1,Skills!D2-IF(Skills!E2=TRUE,Inputs!$B$31,0))),0)</f>
        <v/>
      </c>
    </row>
    <row r="814">
      <c r="A814">
        <f>Skills!A3</f>
        <v/>
      </c>
      <c r="B814">
        <f>Skills!B3</f>
        <v/>
      </c>
      <c r="C814">
        <f>Inputs!$B$3&gt;=15</f>
        <v/>
      </c>
      <c r="D814">
        <f>IF(Skills!C3=1,60+Inputs!$B$24+(Inputs!$B$28+1),IF(Skills!C3=2,90+Inputs!$B$25+(Inputs!$B$28+1),IF(Skills!C3=3,120+Inputs!$B$26+(Inputs!$B$28+1),MAX(0,(Inputs!$B$3-100)*3)+Inputs!$B$27+(Inputs!$B$28+1))))</f>
        <v/>
      </c>
      <c r="E814">
        <f>INDEX(FactorTable!$B$2:$Y$301, MATCH(ROUND(MIN(300,MAX(1,D814)),0), FactorTable!$A$2:$A$301,0), Skills!L3+1)</f>
        <v/>
      </c>
      <c r="F814">
        <f>IF(Skills!M3=TRUE,(Skills!K3/10)*(E814/1000),Skills!K3/10)+Skills!N3</f>
        <v/>
      </c>
      <c r="G814">
        <f>Calc!G3</f>
        <v/>
      </c>
      <c r="H814">
        <f>Calc!H3</f>
        <v/>
      </c>
      <c r="I814">
        <f>IF(Skills!T3&lt;&gt;"",1+(Skills!T3/10)*($Z$3/1000)/100,1)</f>
        <v/>
      </c>
      <c r="J814" t="inlineStr"/>
      <c r="K814" t="inlineStr"/>
      <c r="L814" t="inlineStr"/>
      <c r="M814" t="inlineStr"/>
      <c r="N814" t="inlineStr"/>
      <c r="O814" t="n">
        <v>0</v>
      </c>
      <c r="P814">
        <f>IF(B849=0,0,O814/B849)</f>
        <v/>
      </c>
      <c r="S814">
        <f>IF(AND(Inputs!$B$4&lt;&gt;"pvp",Inputs!$B$35&gt;0),(INT(Inputs!$B$35/IF(Inputs!$B$4="pvp",15,MAX(0.1,Skills!D3-IF(Skills!E3=TRUE,Inputs!$B$31,0))))+1),0)</f>
        <v/>
      </c>
      <c r="T814">
        <f>INDEX(FactorTable!$B$2:$Y$301, MATCH(ROUND(MIN(300,MAX(1,T813)),0), FactorTable!$A$2:$A$301,0), 22)</f>
        <v/>
      </c>
      <c r="V814">
        <f>IFERROR(1/IF(Inputs!$B$4="pvp",15,MAX(0.1,Skills!D3-IF(Skills!E3=TRUE,Inputs!$B$31,0))),0)</f>
        <v/>
      </c>
    </row>
    <row r="815">
      <c r="A815">
        <f>Skills!A4</f>
        <v/>
      </c>
      <c r="B815">
        <f>Skills!B4</f>
        <v/>
      </c>
      <c r="C815">
        <f>Inputs!$B$3&gt;=38</f>
        <v/>
      </c>
      <c r="D815">
        <f>IF(Skills!C4=1,60+Inputs!$B$24+(Inputs!$B$28+1),IF(Skills!C4=2,90+Inputs!$B$25+(Inputs!$B$28+1),IF(Skills!C4=3,120+Inputs!$B$26+(Inputs!$B$28+1),MAX(0,(Inputs!$B$3-100)*3)+Inputs!$B$27+(Inputs!$B$28+1))))</f>
        <v/>
      </c>
      <c r="E815">
        <f>INDEX(FactorTable!$B$2:$Y$301, MATCH(ROUND(MIN(300,MAX(1,D815)),0), FactorTable!$A$2:$A$301,0), Skills!L4+1)</f>
        <v/>
      </c>
      <c r="F815">
        <f>IF(Skills!M4=TRUE,(Skills!K4/10)*(E815/1000),Skills!K4/10)+Skills!N4</f>
        <v/>
      </c>
      <c r="G815">
        <f>Calc!G4</f>
        <v/>
      </c>
      <c r="H815">
        <f>Calc!H4</f>
        <v/>
      </c>
      <c r="I815">
        <f>IF(Skills!T4&lt;&gt;"",1+(Skills!T4/10)*($Z$3/1000)/100,1)</f>
        <v/>
      </c>
      <c r="J815" t="inlineStr"/>
      <c r="K815" t="inlineStr"/>
      <c r="L815" t="inlineStr"/>
      <c r="M815" t="inlineStr"/>
      <c r="N815" t="inlineStr"/>
      <c r="O815" t="n">
        <v>0</v>
      </c>
      <c r="P815">
        <f>IF(B849=0,0,O815/B849)</f>
        <v/>
      </c>
      <c r="S815">
        <f>IF(AND(Inputs!$B$4&lt;&gt;"pvp",Inputs!$B$35&gt;0),(INT(Inputs!$B$35/IF(Inputs!$B$4="pvp",15,MAX(0.1,Skills!D4-IF(Skills!E4=TRUE,Inputs!$B$31,0))))+1),0)</f>
        <v/>
      </c>
      <c r="T815">
        <f>290*T814/1000</f>
        <v/>
      </c>
      <c r="V815">
        <f>IFERROR(1/IF(Inputs!$B$4="pvp",15,MAX(0.1,Skills!D4-IF(Skills!E4=TRUE,Inputs!$B$31,0))),0)</f>
        <v/>
      </c>
    </row>
    <row r="816">
      <c r="A816">
        <f>Skills!A5</f>
        <v/>
      </c>
      <c r="B816">
        <f>Skills!B5</f>
        <v/>
      </c>
      <c r="C816">
        <f>Inputs!$B$3&gt;=40</f>
        <v/>
      </c>
      <c r="D816">
        <f>IF(Skills!C5=1,60+Inputs!$B$24+(Inputs!$B$28+1),IF(Skills!C5=2,90+Inputs!$B$25+(Inputs!$B$28+1),IF(Skills!C5=3,120+Inputs!$B$26+(Inputs!$B$28+1),MAX(0,(Inputs!$B$3-100)*3)+Inputs!$B$27+(Inputs!$B$28+1))))</f>
        <v/>
      </c>
      <c r="E816">
        <f>INDEX(FactorTable!$B$2:$Y$301, MATCH(ROUND(MIN(300,MAX(1,D816)),0), FactorTable!$A$2:$A$301,0), Skills!L5+1)</f>
        <v/>
      </c>
      <c r="F816">
        <f>IF(Skills!M5=TRUE,(Skills!K5/10)*(E816/1000),Skills!K5/10)+Skills!N5</f>
        <v/>
      </c>
      <c r="G816">
        <f>Calc!G5</f>
        <v/>
      </c>
      <c r="H816">
        <f>Calc!H5</f>
        <v/>
      </c>
      <c r="I816">
        <f>IF(Skills!T5&lt;&gt;"",1+(Skills!T5/10)*($Z$3/1000)/100,1)</f>
        <v/>
      </c>
      <c r="J816" t="inlineStr"/>
      <c r="K816" t="inlineStr"/>
      <c r="L816" t="inlineStr"/>
      <c r="M816" t="inlineStr"/>
      <c r="N816" t="inlineStr"/>
      <c r="O816" t="n">
        <v>0</v>
      </c>
      <c r="P816">
        <f>IF(B849=0,0,O816/B849)</f>
        <v/>
      </c>
      <c r="S816">
        <f>IF(AND(Inputs!$B$4&lt;&gt;"pvp",Inputs!$B$35&gt;0),(INT(Inputs!$B$35/IF(Inputs!$B$4="pvp",15,MAX(0.1,Skills!D5-IF(Skills!E5=TRUE,Inputs!$B$31,0))))+1),0)</f>
        <v/>
      </c>
      <c r="V816">
        <f>IFERROR(1/IF(Inputs!$B$4="pvp",15,MAX(0.1,Skills!D5-IF(Skills!E5=TRUE,Inputs!$B$31,0))),0)</f>
        <v/>
      </c>
    </row>
    <row r="817">
      <c r="A817">
        <f>Skills!A6</f>
        <v/>
      </c>
      <c r="B817">
        <f>Skills!B6</f>
        <v/>
      </c>
      <c r="C817">
        <f>Inputs!$B$3&gt;=103</f>
        <v/>
      </c>
      <c r="D817">
        <f>IF(Skills!C6=1,60+Inputs!$B$24+(Inputs!$B$28+1),IF(Skills!C6=2,90+Inputs!$B$25+(Inputs!$B$28+1),IF(Skills!C6=3,120+Inputs!$B$26+(Inputs!$B$28+1),MAX(0,(Inputs!$B$3-100)*3)+Inputs!$B$27+(Inputs!$B$28+1))))</f>
        <v/>
      </c>
      <c r="E817">
        <f>INDEX(FactorTable!$B$2:$Y$301, MATCH(ROUND(MIN(300,MAX(1,D817)),0), FactorTable!$A$2:$A$301,0), Skills!L6+1)</f>
        <v/>
      </c>
      <c r="F817">
        <f>IF(Skills!M6=TRUE,(Skills!K6/10)*(E817/1000),Skills!K6/10)+Skills!N6</f>
        <v/>
      </c>
      <c r="G817">
        <f>Calc!G6</f>
        <v/>
      </c>
      <c r="H817">
        <f>Calc!H6</f>
        <v/>
      </c>
      <c r="I817">
        <f>IF(Skills!T6&lt;&gt;"",1+(Skills!T6/10)*($Z$3/1000)/100,1)</f>
        <v/>
      </c>
      <c r="J817">
        <f>((Inputs!$B$5*(1+Inputs!$B$6/100))+((Inputs!$B$11*(1+Inputs!$B$12/100))-(Inputs!$B$11*(1+Inputs!$B$12/100)))*(1+Inputs!$B$6/100))*(F817/100)</f>
        <v/>
      </c>
      <c r="K817">
        <f>J817*(1+((Inputs!$B$11*(1+Inputs!$B$12/100))*0.01+Inputs!$B$13*0.0025)/100)*(1+(Inputs!$B$14+B842)/100)*(1+IF(Inputs!$B$4="pvp",0,(1-Summary!$B$48)*(Inputs!$B$19+Skills!O6+B840)+Summary!$B$48*(Inputs!$B$20+Skills!P6+B841))/100)*(1+Inputs!$B$15/100)*(5000/(6000+Inputs!$B$7*(1-Inputs!$B$18/100)))*(1+Inputs!$B$23/100)*(1+IF(C828=TRUE,F828,0)/100)*(1+IF(C830=TRUE,F830,0)/100)*(1+IF(Skills!A6="TRIUMPH_FEATHER",IF(C826=TRUE,F826,0),0)/100)*(1+IF(C837=TRUE,F837,0)/100)^5*(1+(IF(Skills!A6="BIG_BANG",Inputs!$B$16,Inputs!$B$17))/100)*(B839*I817)</f>
        <v/>
      </c>
      <c r="L817">
        <f>K817*(MIN(Inputs!$B$21+(F832-Calc!F21),Inputs!$B$22)/100+Inputs!$B$22/100)/2</f>
        <v/>
      </c>
      <c r="M817">
        <f>L817*(1+(Inputs!$B$9+B843+(F835-Calc!F24))/100)</f>
        <v/>
      </c>
      <c r="N817">
        <f>L817*(1-MIN(Inputs!$B$8+((F834-Calc!F23)+(F833-Calc!F22)),100)/100)+M817*(MIN(Inputs!$B$8+((F834-Calc!F23)+(F833-Calc!F22)),100)/100)</f>
        <v/>
      </c>
      <c r="O817">
        <f>IF(C817,H817*N817*IF(AND(Inputs!$B$4&lt;&gt;"pvp",Inputs!$B$35&gt;0),((Skills!F6*((S817-1)*IF(Skills!G6&gt;0,Skills!H6/Skills!G6,1)+IF(Skills!G6&gt;0,MIN(Skills!H6,MAX(0,Inputs!$B$35-((S817-1)*IF(Inputs!$B$4="pvp",15,MAX(0.1,Skills!D6-IF(Skills!E6=TRUE,Inputs!$B$31,0))))))/Skills!G6,1)))/Inputs!$B$35),G817*V817)*IF(Inputs!$B$4="pvp",1,(1-Summary!$B$48)*(1)+Summary!$B$48*(MIN(Skills!Q6,Inputs!$B$37))),0)</f>
        <v/>
      </c>
      <c r="P817">
        <f>IF(B849=0,0,O817/B849)</f>
        <v/>
      </c>
      <c r="S817">
        <f>IF(AND(Inputs!$B$4&lt;&gt;"pvp",Inputs!$B$35&gt;0),(INT(Inputs!$B$35/IF(Inputs!$B$4="pvp",15,MAX(0.1,Skills!D6-IF(Skills!E6=TRUE,Inputs!$B$31,0))))+1),0)</f>
        <v/>
      </c>
      <c r="V817">
        <f>IFERROR(1/IF(Inputs!$B$4="pvp",15,MAX(0.1,Skills!D6-IF(Skills!E6=TRUE,Inputs!$B$31,0))),0)</f>
        <v/>
      </c>
    </row>
    <row r="818">
      <c r="A818">
        <f>Skills!A7</f>
        <v/>
      </c>
      <c r="B818">
        <f>Skills!B7</f>
        <v/>
      </c>
      <c r="C818">
        <f>Inputs!$B$3&gt;=122</f>
        <v/>
      </c>
      <c r="D818">
        <f>IF(Skills!C7=1,60+Inputs!$B$24+(Inputs!$B$28+1),IF(Skills!C7=2,90+Inputs!$B$25+(Inputs!$B$28+1),IF(Skills!C7=3,120+Inputs!$B$26+(Inputs!$B$28+1),MAX(0,(Inputs!$B$3-100)*3)+Inputs!$B$27+(Inputs!$B$28+1))))</f>
        <v/>
      </c>
      <c r="E818">
        <f>INDEX(FactorTable!$B$2:$Y$301, MATCH(ROUND(MIN(300,MAX(1,D818)),0), FactorTable!$A$2:$A$301,0), Skills!L7+1)</f>
        <v/>
      </c>
      <c r="F818">
        <f>IF(Skills!M7=TRUE,(Skills!K7/10)*(E818/1000),Skills!K7/10)+Skills!N7</f>
        <v/>
      </c>
      <c r="G818">
        <f>Calc!G7</f>
        <v/>
      </c>
      <c r="H818">
        <f>Calc!H7</f>
        <v/>
      </c>
      <c r="I818">
        <f>IF(Skills!T7&lt;&gt;"",1+(Skills!T7/10)*($Z$3/1000)/100,1)</f>
        <v/>
      </c>
      <c r="J818">
        <f>((Inputs!$B$5*(1+Inputs!$B$6/100))+((Inputs!$B$11*(1+Inputs!$B$12/100))-(Inputs!$B$11*(1+Inputs!$B$12/100)))*(1+Inputs!$B$6/100))*(F818/100)</f>
        <v/>
      </c>
      <c r="K818">
        <f>J818*(1+((Inputs!$B$11*(1+Inputs!$B$12/100))*0.01+Inputs!$B$13*0.0025)/100)*(1+(Inputs!$B$14+B842)/100)*(1+IF(Inputs!$B$4="pvp",0,(1-Summary!$B$48)*(Inputs!$B$19+Skills!O7+B840)+Summary!$B$48*(Inputs!$B$20+Skills!P7+B841))/100)*(1+Inputs!$B$15/100)*(5000/(6000+Inputs!$B$7*(1-Inputs!$B$18/100)))*(1+Inputs!$B$23/100)*(1+IF(C828=TRUE,F828,0)/100)*(1+IF(C830=TRUE,F830,0)/100)*(1+IF(Skills!A7="TRIUMPH_FEATHER",IF(C826=TRUE,F826,0),0)/100)*(1+IF(C837=TRUE,F837,0)/100)^5*(1+(IF(Skills!A7="BIG_BANG",Inputs!$B$16,Inputs!$B$17))/100)*(B839*I818)</f>
        <v/>
      </c>
      <c r="L818">
        <f>K818*(MIN(Inputs!$B$21+(F832-Calc!F21),Inputs!$B$22)/100+Inputs!$B$22/100)/2</f>
        <v/>
      </c>
      <c r="M818">
        <f>L818*(1+(Inputs!$B$9+B843+(F835-Calc!F24))/100)</f>
        <v/>
      </c>
      <c r="N818">
        <f>L818*(1-MIN(Inputs!$B$8+((F834-Calc!F23)+(F833-Calc!F22)),100)/100)+M818*(MIN(Inputs!$B$8+((F834-Calc!F23)+(F833-Calc!F22)),100)/100)</f>
        <v/>
      </c>
      <c r="O818">
        <f>IF(C818,H818*N818*IF(AND(Inputs!$B$4&lt;&gt;"pvp",Inputs!$B$35&gt;0),((Skills!F7*((S818-1)*IF(Skills!G7&gt;0,Skills!H7/Skills!G7,1)+IF(Skills!G7&gt;0,MIN(Skills!H7,MAX(0,Inputs!$B$35-((S818-1)*IF(Inputs!$B$4="pvp",15,MAX(0.1,Skills!D7-IF(Skills!E6=TRUE,Inputs!$B$31,0))))))/Skills!G7,1)))/Inputs!$B$35),G818*V818)*(1-Summary!$B$48),0)</f>
        <v/>
      </c>
      <c r="P818">
        <f>IF(B849=0,0,O818/B849)</f>
        <v/>
      </c>
      <c r="S818">
        <f>IF(AND(Inputs!$B$4&lt;&gt;"pvp",Inputs!$B$35&gt;0),(INT(Inputs!$B$35/IF(Inputs!$B$4="pvp",15,MAX(0.1,Skills!D7-IF(Skills!E6=TRUE,Inputs!$B$31,0))))+1),0)</f>
        <v/>
      </c>
      <c r="V818">
        <f>IFERROR(1/IF(Inputs!$B$4="pvp",15,MAX(0.1,Skills!D7-IF(Skills!E6=TRUE,Inputs!$B$31,0))),0)</f>
        <v/>
      </c>
    </row>
    <row r="819">
      <c r="A819">
        <f>Skills!A8</f>
        <v/>
      </c>
      <c r="B819">
        <f>Skills!B8</f>
        <v/>
      </c>
      <c r="C819">
        <f>Inputs!$B$3&gt;=105</f>
        <v/>
      </c>
      <c r="D819">
        <f>IF(Skills!C8=1,60+Inputs!$B$24+(Inputs!$B$28+1),IF(Skills!C8=2,90+Inputs!$B$25+(Inputs!$B$28+1),IF(Skills!C8=3,120+Inputs!$B$26+(Inputs!$B$28+1),MAX(0,(Inputs!$B$3-100)*3)+Inputs!$B$27+(Inputs!$B$28+1))))</f>
        <v/>
      </c>
      <c r="E819">
        <f>INDEX(FactorTable!$B$2:$Y$301, MATCH(ROUND(MIN(300,MAX(1,D819)),0), FactorTable!$A$2:$A$301,0), Skills!L8+1)</f>
        <v/>
      </c>
      <c r="F819">
        <f>IF(Skills!M8=TRUE,(Skills!K8/10)*(E819/1000),Skills!K8/10)+Skills!N8</f>
        <v/>
      </c>
      <c r="G819">
        <f>Calc!G8</f>
        <v/>
      </c>
      <c r="H819">
        <f>Calc!H8</f>
        <v/>
      </c>
      <c r="I819">
        <f>IF(Skills!T8&lt;&gt;"",1+(Skills!T8/10)*($Z$3/1000)/100,1)</f>
        <v/>
      </c>
      <c r="J819">
        <f>((Inputs!$B$5*(1+Inputs!$B$6/100))+((Inputs!$B$11*(1+Inputs!$B$12/100))-(Inputs!$B$11*(1+Inputs!$B$12/100)))*(1+Inputs!$B$6/100))*(F819/100)</f>
        <v/>
      </c>
      <c r="K819">
        <f>J819*(1+((Inputs!$B$11*(1+Inputs!$B$12/100))*0.01+Inputs!$B$13*0.0025)/100)*(1+(Inputs!$B$14+B842)/100)*(1+IF(Inputs!$B$4="pvp",0,(1-Summary!$B$48)*(Inputs!$B$19+Skills!O8+B840)+Summary!$B$48*(Inputs!$B$20+Skills!P8+B841))/100)*(1+Inputs!$B$15/100)*(5000/(6000+Inputs!$B$7*(1-Inputs!$B$18/100)))*(1+Inputs!$B$23/100)*(1+IF(C828=TRUE,F828,0)/100)*(1+IF(C830=TRUE,F830,0)/100)*(1+IF(Skills!A8="TRIUMPH_FEATHER",IF(C826=TRUE,F826,0),0)/100)*(1+IF(C837=TRUE,F837,0)/100)^5*(1+(IF(Skills!A8="BIG_BANG",Inputs!$B$16,Inputs!$B$17))/100)*(B839*I819)</f>
        <v/>
      </c>
      <c r="L819">
        <f>K819*(MIN(Inputs!$B$21+(F832-Calc!F21),Inputs!$B$22)/100+Inputs!$B$22/100)/2</f>
        <v/>
      </c>
      <c r="M819">
        <f>L819*(1+(Inputs!$B$9+B843+(F835-Calc!F24))/100)</f>
        <v/>
      </c>
      <c r="N819">
        <f>L819*(1-MIN(Inputs!$B$8+((F834-Calc!F23)+(F833-Calc!F22)),100)/100)+M819*(MIN(Inputs!$B$8+((F834-Calc!F23)+(F833-Calc!F22)),100)/100)</f>
        <v/>
      </c>
      <c r="O819">
        <f>IF(C819,H819*N819*IF(AND(Inputs!$B$4&lt;&gt;"pvp",Inputs!$B$35&gt;0),((Skills!F8*((S819-1)*IF(Skills!G8&gt;0,Skills!H8/Skills!G8,1)+IF(Skills!G8&gt;0,MIN(Skills!H8,MAX(0,Inputs!$B$35-((S819-1)*IF(Inputs!$B$4="pvp",15,MAX(0.1,Skills!D8-IF(Skills!E8=TRUE,Inputs!$B$31,0))))))/Skills!G8,1)))/Inputs!$B$35),G819*V819)*IF(Inputs!$B$4="pvp",1,(1-Summary!$B$48)*(1)+Summary!$B$48*(MIN(Skills!Q8,Inputs!$B$37))),0)</f>
        <v/>
      </c>
      <c r="P819">
        <f>IF(B849=0,0,O819/B849)</f>
        <v/>
      </c>
      <c r="S819">
        <f>IF(AND(Inputs!$B$4&lt;&gt;"pvp",Inputs!$B$35&gt;0),(INT(Inputs!$B$35/IF(Inputs!$B$4="pvp",15,MAX(0.1,Skills!D8-IF(Skills!E8=TRUE,Inputs!$B$31,0))))+1),0)</f>
        <v/>
      </c>
      <c r="V819">
        <f>IFERROR(1/IF(Inputs!$B$4="pvp",15,MAX(0.1,Skills!D8-IF(Skills!E8=TRUE,Inputs!$B$31,0))),0)</f>
        <v/>
      </c>
    </row>
    <row r="820">
      <c r="A820">
        <f>Skills!A9</f>
        <v/>
      </c>
      <c r="B820">
        <f>Skills!B9</f>
        <v/>
      </c>
      <c r="C820">
        <f>Inputs!$B$3&gt;=115</f>
        <v/>
      </c>
      <c r="D820">
        <f>IF(Skills!C9=1,60+Inputs!$B$24+(Inputs!$B$28+1),IF(Skills!C9=2,90+Inputs!$B$25+(Inputs!$B$28+1),IF(Skills!C9=3,120+Inputs!$B$26+(Inputs!$B$28+1),MAX(0,(Inputs!$B$3-100)*3)+Inputs!$B$27+(Inputs!$B$28+1))))</f>
        <v/>
      </c>
      <c r="E820">
        <f>INDEX(FactorTable!$B$2:$Y$301, MATCH(ROUND(MIN(300,MAX(1,D820)),0), FactorTable!$A$2:$A$301,0), Skills!L9+1)</f>
        <v/>
      </c>
      <c r="F820">
        <f>IF(Skills!M9=TRUE,(Skills!K9/10)*(E820/1000),Skills!K9/10)+Skills!N9</f>
        <v/>
      </c>
      <c r="G820">
        <f>Calc!G9</f>
        <v/>
      </c>
      <c r="H820">
        <f>Calc!H9</f>
        <v/>
      </c>
      <c r="I820">
        <f>IF(Skills!T9&lt;&gt;"",1+(Skills!T9/10)*($Z$3/1000)/100,1)</f>
        <v/>
      </c>
      <c r="J820">
        <f>((Inputs!$B$5*(1+Inputs!$B$6/100))+((Inputs!$B$11*(1+Inputs!$B$12/100))-(Inputs!$B$11*(1+Inputs!$B$12/100)))*(1+Inputs!$B$6/100))*(F820/100)</f>
        <v/>
      </c>
      <c r="K820">
        <f>J820*(1+((Inputs!$B$11*(1+Inputs!$B$12/100))*0.01+Inputs!$B$13*0.0025)/100)*(1+(Inputs!$B$14+B842)/100)*(1+IF(Inputs!$B$4="pvp",0,(1-Summary!$B$48)*(Inputs!$B$19+Skills!O9+B840)+Summary!$B$48*(Inputs!$B$20+Skills!P9+B841))/100)*(1+Inputs!$B$15/100)*(5000/(6000+Inputs!$B$7*(1-Inputs!$B$18/100)))*(1+Inputs!$B$23/100)*(1+IF(C828=TRUE,F828,0)/100)*(1+IF(C830=TRUE,F830,0)/100)*(1+IF(Skills!A9="TRIUMPH_FEATHER",IF(C826=TRUE,F826,0),0)/100)*(1+IF(C837=TRUE,F837,0)/100)^5*(1+(IF(Skills!A9="BIG_BANG",Inputs!$B$16,Inputs!$B$17))/100)*(B839*I820)</f>
        <v/>
      </c>
      <c r="L820">
        <f>K820*(MIN(Inputs!$B$21+(F832-Calc!F21),Inputs!$B$22)/100+Inputs!$B$22/100)/2</f>
        <v/>
      </c>
      <c r="M820">
        <f>L820*(1+(Inputs!$B$9+B843+(F835-Calc!F24))/100)</f>
        <v/>
      </c>
      <c r="N820">
        <f>L820*(1-MIN(Inputs!$B$8+((F834-Calc!F23)+(F833-Calc!F22)),100)/100)+M820*(MIN(Inputs!$B$8+((F834-Calc!F23)+(F833-Calc!F22)),100)/100)</f>
        <v/>
      </c>
      <c r="O820">
        <f>IF(C820,H820*N820*IF(AND(Inputs!$B$4&lt;&gt;"pvp",Inputs!$B$35&gt;0),((Skills!F9*((S820-1)*IF(Skills!G9&gt;0,Skills!H9/Skills!G9,1)+IF(Skills!G9&gt;0,MIN(Skills!H9,MAX(0,Inputs!$B$35-((S820-1)*IF(Inputs!$B$4="pvp",15,MAX(0.1,Skills!D9-IF(Skills!E9=TRUE,Inputs!$B$31,0))))))/Skills!G9,1)))/Inputs!$B$35),G820*V820)*IF(Inputs!$B$4="pvp",1,(1-Summary!$B$48)*(1)+Summary!$B$48*(MIN(Skills!Q9,Inputs!$B$37))),0)</f>
        <v/>
      </c>
      <c r="P820">
        <f>IF(B849=0,0,O820/B849)</f>
        <v/>
      </c>
      <c r="S820">
        <f>IF(AND(Inputs!$B$4&lt;&gt;"pvp",Inputs!$B$35&gt;0),(INT(Inputs!$B$35/IF(Inputs!$B$4="pvp",15,MAX(0.1,Skills!D9-IF(Skills!E9=TRUE,Inputs!$B$31,0))))+1),0)</f>
        <v/>
      </c>
      <c r="V820">
        <f>IFERROR(1/IF(Inputs!$B$4="pvp",15,MAX(0.1,Skills!D9-IF(Skills!E9=TRUE,Inputs!$B$31,0))),0)</f>
        <v/>
      </c>
    </row>
    <row r="821">
      <c r="A821">
        <f>Skills!A10</f>
        <v/>
      </c>
      <c r="B821">
        <f>Skills!B10</f>
        <v/>
      </c>
      <c r="C821">
        <f>Inputs!$B$3&gt;=66</f>
        <v/>
      </c>
      <c r="D821">
        <f>IF(Skills!C10=1,60+Inputs!$B$24+(Inputs!$B$28+1),IF(Skills!C10=2,90+Inputs!$B$25+(Inputs!$B$28+1),IF(Skills!C10=3,120+Inputs!$B$26+(Inputs!$B$28+1),MAX(0,(Inputs!$B$3-100)*3)+Inputs!$B$27+(Inputs!$B$28+1))))</f>
        <v/>
      </c>
      <c r="E821">
        <f>INDEX(FactorTable!$B$2:$Y$301, MATCH(ROUND(MIN(300,MAX(1,D821)),0), FactorTable!$A$2:$A$301,0), Skills!L10+1)</f>
        <v/>
      </c>
      <c r="F821" t="n">
        <v>0</v>
      </c>
      <c r="G821">
        <f>Calc!G10</f>
        <v/>
      </c>
      <c r="H821">
        <f>Calc!H10</f>
        <v/>
      </c>
      <c r="I821">
        <f>IF(Skills!T10&lt;&gt;"",1+(Skills!T10/10)*($Z$3/1000)/100,1)</f>
        <v/>
      </c>
      <c r="J821" t="inlineStr"/>
      <c r="K821" t="inlineStr"/>
      <c r="L821" t="inlineStr"/>
      <c r="M821" t="inlineStr"/>
      <c r="N821" t="inlineStr"/>
      <c r="O821" t="n">
        <v>0</v>
      </c>
      <c r="P821">
        <f>IF(B849=0,0,O821/B849)</f>
        <v/>
      </c>
      <c r="S821">
        <f>IF(AND(Inputs!$B$4&lt;&gt;"pvp",Inputs!$B$35&gt;0),(INT(Inputs!$B$35/IF(Inputs!$B$4="pvp",15,MAX(0.1,Skills!D10-IF(Skills!E10=TRUE,Inputs!$B$31,0))))+1),0)</f>
        <v/>
      </c>
      <c r="V821">
        <f>IFERROR(1/IF(Inputs!$B$4="pvp",15,MAX(0.1,Skills!D10-IF(Skills!E10=TRUE,Inputs!$B$31,0))),0)</f>
        <v/>
      </c>
    </row>
    <row r="822">
      <c r="A822">
        <f>Skills!A11</f>
        <v/>
      </c>
      <c r="B822">
        <f>Skills!B11</f>
        <v/>
      </c>
      <c r="C822">
        <f>Inputs!$B$3&gt;=69</f>
        <v/>
      </c>
      <c r="D822">
        <f>IF(Skills!C11=1,60+Inputs!$B$24+(Inputs!$B$28+1),IF(Skills!C11=2,90+Inputs!$B$25+(Inputs!$B$28+1),IF(Skills!C11=3,120+Inputs!$B$26+(Inputs!$B$28+1),MAX(0,(Inputs!$B$3-100)*3)+Inputs!$B$27+(Inputs!$B$28+1))))</f>
        <v/>
      </c>
      <c r="E822">
        <f>INDEX(FactorTable!$B$2:$Y$301, MATCH(ROUND(MIN(300,MAX(1,D822)),0), FactorTable!$A$2:$A$301,0), Skills!L11+1)</f>
        <v/>
      </c>
      <c r="F822">
        <f>IF(Skills!M11=TRUE,(Skills!K11/10)*(E822/1000),Skills!K11/10)+Skills!N11</f>
        <v/>
      </c>
      <c r="G822">
        <f>Calc!G11</f>
        <v/>
      </c>
      <c r="H822">
        <f>Calc!H11</f>
        <v/>
      </c>
      <c r="I822">
        <f>IF(Skills!T11&lt;&gt;"",1+(Skills!T11/10)*($Z$3/1000)/100,1)</f>
        <v/>
      </c>
      <c r="J822" t="inlineStr"/>
      <c r="K822" t="inlineStr"/>
      <c r="L822" t="inlineStr"/>
      <c r="M822" t="inlineStr"/>
      <c r="N822" t="inlineStr"/>
      <c r="O822" t="n">
        <v>0</v>
      </c>
      <c r="P822">
        <f>IF(B849=0,0,O822/B849)</f>
        <v/>
      </c>
      <c r="S822">
        <f>IF(AND(Inputs!$B$4&lt;&gt;"pvp",Inputs!$B$35&gt;0),(INT(Inputs!$B$35/IF(Inputs!$B$4="pvp",15,MAX(0.1,Skills!D11-IF(Skills!E11=TRUE,Inputs!$B$31,0))))+1),0)</f>
        <v/>
      </c>
      <c r="V822">
        <f>IFERROR(1/IF(Inputs!$B$4="pvp",15,MAX(0.1,Skills!D11-IF(Skills!E11=TRUE,Inputs!$B$31,0))),0)</f>
        <v/>
      </c>
    </row>
    <row r="823">
      <c r="A823">
        <f>Skills!A12</f>
        <v/>
      </c>
      <c r="B823">
        <f>Skills!B12</f>
        <v/>
      </c>
      <c r="C823">
        <f>Inputs!$B$3&gt;=72</f>
        <v/>
      </c>
      <c r="D823">
        <f>IF(Skills!C12=1,60+Inputs!$B$24+(Inputs!$B$28+1),IF(Skills!C12=2,90+Inputs!$B$25+(Inputs!$B$28+1),IF(Skills!C12=3,120+Inputs!$B$26+(Inputs!$B$28+1),MAX(0,(Inputs!$B$3-100)*3)+Inputs!$B$27+(Inputs!$B$28+1))))</f>
        <v/>
      </c>
      <c r="E823">
        <f>INDEX(FactorTable!$B$2:$Y$301, MATCH(ROUND(MIN(300,MAX(1,D823)),0), FactorTable!$A$2:$A$301,0), Skills!L12+1)</f>
        <v/>
      </c>
      <c r="F823">
        <f>IF(Skills!M12=TRUE,(Skills!K12/10)*(E823/1000),Skills!K12/10)+Skills!N12</f>
        <v/>
      </c>
      <c r="G823">
        <f>Calc!G12</f>
        <v/>
      </c>
      <c r="H823">
        <f>Calc!H12</f>
        <v/>
      </c>
      <c r="I823">
        <f>IF(Skills!T12&lt;&gt;"",1+(Skills!T12/10)*($Z$3/1000)/100,1)</f>
        <v/>
      </c>
      <c r="J823" t="inlineStr"/>
      <c r="K823" t="inlineStr"/>
      <c r="L823" t="inlineStr"/>
      <c r="M823" t="inlineStr"/>
      <c r="N823" t="inlineStr"/>
      <c r="O823" t="n">
        <v>0</v>
      </c>
      <c r="P823">
        <f>IF(B849=0,0,O823/B849)</f>
        <v/>
      </c>
      <c r="S823">
        <f>IF(AND(Inputs!$B$4&lt;&gt;"pvp",Inputs!$B$35&gt;0),(INT(Inputs!$B$35/IF(Inputs!$B$4="pvp",15,MAX(0.1,Skills!D12-IF(Skills!E12=TRUE,Inputs!$B$31,0))))+1),0)</f>
        <v/>
      </c>
      <c r="V823">
        <f>IFERROR(1/IF(Inputs!$B$4="pvp",15,MAX(0.1,Skills!D12-IF(Skills!E12=TRUE,Inputs!$B$31,0))),0)</f>
        <v/>
      </c>
    </row>
    <row r="824">
      <c r="A824">
        <f>Skills!A13</f>
        <v/>
      </c>
      <c r="B824">
        <f>Skills!B13</f>
        <v/>
      </c>
      <c r="C824">
        <f>Inputs!$B$3&gt;=107</f>
        <v/>
      </c>
      <c r="D824">
        <f>IF(Skills!C13=1,60+Inputs!$B$24+(Inputs!$B$28+1),IF(Skills!C13=2,90+Inputs!$B$25+(Inputs!$B$28+1),IF(Skills!C13=3,120+Inputs!$B$26+(Inputs!$B$28+1),MAX(0,(Inputs!$B$3-100)*3)+Inputs!$B$27+(Inputs!$B$28+1))))</f>
        <v/>
      </c>
      <c r="E824">
        <f>INDEX(FactorTable!$B$2:$Y$301, MATCH(ROUND(MIN(300,MAX(1,D824)),0), FactorTable!$A$2:$A$301,0), Skills!L13+1)</f>
        <v/>
      </c>
      <c r="F824">
        <f>IF(Skills!M13=TRUE,(Skills!K13/10)*(E824/1000),Skills!K13/10)+Skills!N13</f>
        <v/>
      </c>
      <c r="G824">
        <f>Calc!G13</f>
        <v/>
      </c>
      <c r="H824">
        <f>Calc!H13</f>
        <v/>
      </c>
      <c r="I824">
        <f>IF(Skills!T13&lt;&gt;"",1+(Skills!T13/10)*($Z$3/1000)/100,1)</f>
        <v/>
      </c>
      <c r="J824" t="inlineStr"/>
      <c r="K824" t="inlineStr"/>
      <c r="L824" t="inlineStr"/>
      <c r="M824" t="inlineStr"/>
      <c r="N824" t="inlineStr"/>
      <c r="O824" t="n">
        <v>0</v>
      </c>
      <c r="P824">
        <f>IF(B849=0,0,O824/B849)</f>
        <v/>
      </c>
      <c r="S824">
        <f>IF(AND(Inputs!$B$4&lt;&gt;"pvp",Inputs!$B$35&gt;0),(INT(Inputs!$B$35/IF(Inputs!$B$4="pvp",15,MAX(0.1,Skills!D13-IF(Skills!E13=TRUE,Inputs!$B$31,0))))+1),0)</f>
        <v/>
      </c>
      <c r="V824">
        <f>IFERROR(1/IF(Inputs!$B$4="pvp",15,MAX(0.1,Skills!D13-IF(Skills!E13=TRUE,Inputs!$B$31,0))),0)</f>
        <v/>
      </c>
    </row>
    <row r="825">
      <c r="A825">
        <f>Skills!A14</f>
        <v/>
      </c>
      <c r="B825">
        <f>Skills!B14</f>
        <v/>
      </c>
      <c r="C825">
        <f>Inputs!$B$3&gt;=63</f>
        <v/>
      </c>
      <c r="D825">
        <f>IF(Skills!C14=1,60+Inputs!$B$24+(Inputs!$B$28+1),IF(Skills!C14=2,90+Inputs!$B$25+(Inputs!$B$28+1),IF(Skills!C14=3,120+Inputs!$B$26+(Inputs!$B$28+1),MAX(0,(Inputs!$B$3-100)*3)+Inputs!$B$27+(Inputs!$B$28+1))))</f>
        <v/>
      </c>
      <c r="E825">
        <f>INDEX(FactorTable!$B$2:$Y$301, MATCH(ROUND(MIN(300,MAX(1,D825)),0), FactorTable!$A$2:$A$301,0), Skills!L14+1)</f>
        <v/>
      </c>
      <c r="F825">
        <f>IF(Skills!M14=TRUE,(Skills!K14/10)*(E825/1000),Skills!K14/10)+Skills!N14</f>
        <v/>
      </c>
      <c r="G825">
        <f>Calc!G14</f>
        <v/>
      </c>
      <c r="H825">
        <f>Calc!H14</f>
        <v/>
      </c>
      <c r="I825">
        <f>IF(Skills!T14&lt;&gt;"",1+(Skills!T14/10)*($Z$3/1000)/100,1)</f>
        <v/>
      </c>
      <c r="J825">
        <f>((Inputs!$B$5*(1+Inputs!$B$6/100))+((Inputs!$B$11*(1+Inputs!$B$12/100))-(Inputs!$B$11*(1+Inputs!$B$12/100)))*(1+Inputs!$B$6/100))*(F825/100)</f>
        <v/>
      </c>
      <c r="K825">
        <f>J825*(1+((Inputs!$B$11*(1+Inputs!$B$12/100))*0.01+Inputs!$B$13*0.0025)/100)*(1+(Inputs!$B$14+B842)/100)*(1+IF(Inputs!$B$4="pvp",0,(1-Summary!$B$48)*(Inputs!$B$19+Skills!O14+B840)+Summary!$B$48*(Inputs!$B$20+Skills!P14+B841))/100)*(1+Inputs!$B$15/100)*(5000/(6000+Inputs!$B$7*(1-Inputs!$B$18/100)))*(1+Inputs!$B$23/100)*(1+IF(C828=TRUE,F828,0)/100)*(1+IF(C830=TRUE,F830,0)/100)*(1+IF(Skills!A14="TRIUMPH_FEATHER",IF(C826=TRUE,F826,0),0)/100)*(1+IF(C837=TRUE,F837,0)/100)^5*(1+(IF(Skills!A14="BIG_BANG",Inputs!$B$16,Inputs!$B$17))/100)*(B839*I825)</f>
        <v/>
      </c>
      <c r="L825">
        <f>K825*(MIN(Inputs!$B$21+(F832-Calc!F21),Inputs!$B$22)/100+Inputs!$B$22/100)/2</f>
        <v/>
      </c>
      <c r="M825">
        <f>L825*(1+(Inputs!$B$9+B843+(F835-Calc!F24))/100)</f>
        <v/>
      </c>
      <c r="N825">
        <f>L825*(1-MIN(Inputs!$B$8+((F834-Calc!F23)+(F833-Calc!F22)),100)/100)+M825*(MIN(Inputs!$B$8+((F834-Calc!F23)+(F833-Calc!F22)),100)/100)</f>
        <v/>
      </c>
      <c r="O825">
        <f>IF(C825,Skills!F14*N825*((IF(Inputs!$B$3&gt;=78,25,15)/100*B845*10)/(1+IF(Inputs!$B$3&gt;=78,25,15)/100*B845*10))*(Skills!I14/100*B845)/(1+Skills!G14*Skills!I14/100*B845)*IF(Inputs!$B$4="pvp",1,(1-Summary!$B$48)*(1)+Summary!$B$48*(MIN(Skills!Q14,Inputs!$B$37))),0)</f>
        <v/>
      </c>
      <c r="P825">
        <f>IF(B849=0,0,O825/B849)</f>
        <v/>
      </c>
      <c r="S825" t="n">
        <v>0</v>
      </c>
      <c r="V825">
        <f>IFERROR(1/IF(Inputs!$B$4="pvp",15,MAX(0.1,Skills!D14-IF(Skills!E14=TRUE,Inputs!$B$31,0))),0)</f>
        <v/>
      </c>
    </row>
    <row r="826">
      <c r="A826">
        <f>Skills!A15</f>
        <v/>
      </c>
      <c r="B826">
        <f>Skills!B15</f>
        <v/>
      </c>
      <c r="C826">
        <f>Inputs!$B$3&gt;=100</f>
        <v/>
      </c>
      <c r="D826">
        <f>IF(Skills!C15=1,60+Inputs!$B$24+(Inputs!$B$28+1),IF(Skills!C15=2,90+Inputs!$B$25+(Inputs!$B$28+1),IF(Skills!C15=3,120+Inputs!$B$26+(Inputs!$B$28+1),MAX(0,(Inputs!$B$3-100)*3)+Inputs!$B$27+(Inputs!$B$28+1))))</f>
        <v/>
      </c>
      <c r="E826">
        <f>INDEX(FactorTable!$B$2:$Y$301, MATCH(ROUND(MIN(300,MAX(1,D826)),0), FactorTable!$A$2:$A$301,0), Skills!L15+1)</f>
        <v/>
      </c>
      <c r="F826">
        <f>IF(Skills!M15=TRUE,(Skills!K15/10)*(E826/1000),Skills!K15/10)+Skills!N15</f>
        <v/>
      </c>
      <c r="G826">
        <f>Calc!G15</f>
        <v/>
      </c>
      <c r="H826">
        <f>Calc!H15</f>
        <v/>
      </c>
      <c r="I826">
        <f>IF(Skills!T15&lt;&gt;"",1+(Skills!T15/10)*($Z$3/1000)/100,1)</f>
        <v/>
      </c>
      <c r="J826" t="inlineStr"/>
      <c r="K826" t="inlineStr"/>
      <c r="L826" t="inlineStr"/>
      <c r="M826" t="inlineStr"/>
      <c r="N826" t="inlineStr"/>
      <c r="O826" t="n">
        <v>0</v>
      </c>
      <c r="P826">
        <f>IF(B849=0,0,O826/B849)</f>
        <v/>
      </c>
      <c r="S826" t="n">
        <v>0</v>
      </c>
      <c r="V826">
        <f>IFERROR(1/IF(Inputs!$B$4="pvp",15,MAX(0.1,Skills!D15-IF(Skills!E15=TRUE,Inputs!$B$31,0))),0)</f>
        <v/>
      </c>
    </row>
    <row r="827">
      <c r="A827">
        <f>Skills!A16</f>
        <v/>
      </c>
      <c r="B827">
        <f>Skills!B16</f>
        <v/>
      </c>
      <c r="C827">
        <f>Inputs!$B$3&gt;=49</f>
        <v/>
      </c>
      <c r="D827">
        <f>IF(Skills!C16=1,60+Inputs!$B$24+(Inputs!$B$28+1),IF(Skills!C16=2,90+Inputs!$B$25+(Inputs!$B$28+1),IF(Skills!C16=3,120+Inputs!$B$26+(Inputs!$B$28+1),MAX(0,(Inputs!$B$3-100)*3)+Inputs!$B$27+(Inputs!$B$28+1))))</f>
        <v/>
      </c>
      <c r="E827">
        <f>INDEX(FactorTable!$B$2:$Y$301, MATCH(ROUND(MIN(300,MAX(1,D827)),0), FactorTable!$A$2:$A$301,0), Skills!L16+1)</f>
        <v/>
      </c>
      <c r="F827">
        <f>IF(Skills!M16=TRUE,(Skills!K16/10)*(E827/1000),Skills!K16/10)+Skills!N16</f>
        <v/>
      </c>
      <c r="G827">
        <f>Calc!G16</f>
        <v/>
      </c>
      <c r="H827">
        <f>Calc!H16</f>
        <v/>
      </c>
      <c r="I827">
        <f>IF(Skills!T16&lt;&gt;"",1+(Skills!T16/10)*($Z$3/1000)/100,1)</f>
        <v/>
      </c>
      <c r="J827" t="inlineStr"/>
      <c r="K827" t="inlineStr"/>
      <c r="L827" t="inlineStr"/>
      <c r="M827" t="inlineStr"/>
      <c r="N827" t="inlineStr"/>
      <c r="O827" t="n">
        <v>0</v>
      </c>
      <c r="P827">
        <f>IF(B849=0,0,O827/B849)</f>
        <v/>
      </c>
      <c r="S827" t="n">
        <v>0</v>
      </c>
      <c r="V827">
        <f>IFERROR(1/IF(Inputs!$B$4="pvp",15,MAX(0.1,Skills!D16-IF(Skills!E16=TRUE,Inputs!$B$31,0))),0)</f>
        <v/>
      </c>
    </row>
    <row r="828">
      <c r="A828">
        <f>Skills!A17</f>
        <v/>
      </c>
      <c r="B828">
        <f>Skills!B17</f>
        <v/>
      </c>
      <c r="C828">
        <f>Inputs!$B$3&gt;=75</f>
        <v/>
      </c>
      <c r="D828">
        <f>IF(Skills!C17=1,60+Inputs!$B$24+(Inputs!$B$28+1),IF(Skills!C17=2,90+Inputs!$B$25+(Inputs!$B$28+1),IF(Skills!C17=3,120+Inputs!$B$26+(Inputs!$B$28+1),MAX(0,(Inputs!$B$3-100)*3)+Inputs!$B$27+(Inputs!$B$28+1))))</f>
        <v/>
      </c>
      <c r="E828">
        <f>INDEX(FactorTable!$B$2:$Y$301, MATCH(ROUND(MIN(300,MAX(1,D828)),0), FactorTable!$A$2:$A$301,0), Skills!L17+1)</f>
        <v/>
      </c>
      <c r="F828">
        <f>IF(Skills!M17=TRUE,(Skills!K17/10)*(E828/1000),Skills!K17/10)+Skills!N17</f>
        <v/>
      </c>
      <c r="G828">
        <f>Calc!G17</f>
        <v/>
      </c>
      <c r="H828">
        <f>Calc!H17</f>
        <v/>
      </c>
      <c r="I828">
        <f>IF(Skills!T17&lt;&gt;"",1+(Skills!T17/10)*($Z$3/1000)/100,1)</f>
        <v/>
      </c>
      <c r="J828" t="inlineStr"/>
      <c r="K828" t="inlineStr"/>
      <c r="L828" t="inlineStr"/>
      <c r="M828" t="inlineStr"/>
      <c r="N828" t="inlineStr"/>
      <c r="O828" t="n">
        <v>0</v>
      </c>
      <c r="P828">
        <f>IF(B849=0,0,O828/B849)</f>
        <v/>
      </c>
      <c r="S828" t="n">
        <v>0</v>
      </c>
      <c r="V828">
        <f>IFERROR(1/IF(Inputs!$B$4="pvp",15,MAX(0.1,Skills!D17-IF(Skills!E17=TRUE,Inputs!$B$31,0))),0)</f>
        <v/>
      </c>
    </row>
    <row r="829">
      <c r="A829">
        <f>Skills!A18</f>
        <v/>
      </c>
      <c r="B829">
        <f>Skills!B18</f>
        <v/>
      </c>
      <c r="C829">
        <f>Inputs!$B$3&gt;=110</f>
        <v/>
      </c>
      <c r="D829">
        <f>IF(Skills!C18=1,60+Inputs!$B$24+(Inputs!$B$28+1),IF(Skills!C18=2,90+Inputs!$B$25+(Inputs!$B$28+1),IF(Skills!C18=3,120+Inputs!$B$26+(Inputs!$B$28+1),MAX(0,(Inputs!$B$3-100)*3)+Inputs!$B$27+(Inputs!$B$28+1))))</f>
        <v/>
      </c>
      <c r="E829">
        <f>INDEX(FactorTable!$B$2:$Y$301, MATCH(ROUND(MIN(300,MAX(1,D829)),0), FactorTable!$A$2:$A$301,0), Skills!L18+1)</f>
        <v/>
      </c>
      <c r="F829">
        <f>(Skills!K18/10)*(E829/1000)*64/45+Skills!N18</f>
        <v/>
      </c>
      <c r="G829">
        <f>Calc!G18</f>
        <v/>
      </c>
      <c r="H829">
        <f>Calc!H18</f>
        <v/>
      </c>
      <c r="I829">
        <f>IF(Skills!T18&lt;&gt;"",1+(Skills!T18/10)*($Z$3/1000)/100,1)</f>
        <v/>
      </c>
      <c r="J829" t="inlineStr"/>
      <c r="K829" t="inlineStr"/>
      <c r="L829" t="inlineStr"/>
      <c r="M829" t="inlineStr"/>
      <c r="N829" t="inlineStr"/>
      <c r="O829" t="n">
        <v>0</v>
      </c>
      <c r="P829">
        <f>IF(B849=0,0,O829/B849)</f>
        <v/>
      </c>
      <c r="S829">
        <f>IF(AND(Inputs!$B$4&lt;&gt;"pvp",Inputs!$B$35&gt;0),(INT(Inputs!$B$35/IF(Inputs!$B$4="pvp",15,MAX(0.1,Skills!D18-IF(Skills!E18=TRUE,Inputs!$B$31,0))))+1),0)</f>
        <v/>
      </c>
      <c r="V829">
        <f>IFERROR(1/IF(Inputs!$B$4="pvp",15,MAX(0.1,Skills!D18-IF(Skills!E18=TRUE,Inputs!$B$31,0))),0)</f>
        <v/>
      </c>
    </row>
    <row r="830">
      <c r="A830">
        <f>Skills!A19</f>
        <v/>
      </c>
      <c r="B830">
        <f>Skills!B19</f>
        <v/>
      </c>
      <c r="C830">
        <f>Inputs!$B$3&gt;=125</f>
        <v/>
      </c>
      <c r="D830">
        <f>IF(Skills!C19=1,60+Inputs!$B$24+(Inputs!$B$28+1),IF(Skills!C19=2,90+Inputs!$B$25+(Inputs!$B$28+1),IF(Skills!C19=3,120+Inputs!$B$26+(Inputs!$B$28+1),MAX(0,(Inputs!$B$3-100)*3)+Inputs!$B$27+(Inputs!$B$28+1))))</f>
        <v/>
      </c>
      <c r="E830">
        <f>INDEX(FactorTable!$B$2:$Y$301, MATCH(ROUND(MIN(300,MAX(1,D830)),0), FactorTable!$A$2:$A$301,0), Skills!L19+1)</f>
        <v/>
      </c>
      <c r="F830">
        <f>IF(Skills!M19=TRUE,(Skills!K19/10)*(E830/1000),Skills!K19/10)+Skills!N19</f>
        <v/>
      </c>
      <c r="G830">
        <f>Calc!G19</f>
        <v/>
      </c>
      <c r="H830">
        <f>Calc!H19</f>
        <v/>
      </c>
      <c r="I830">
        <f>IF(Skills!T19&lt;&gt;"",1+(Skills!T19/10)*($Z$3/1000)/100,1)</f>
        <v/>
      </c>
      <c r="J830" t="inlineStr"/>
      <c r="K830" t="inlineStr"/>
      <c r="L830" t="inlineStr"/>
      <c r="M830" t="inlineStr"/>
      <c r="N830" t="inlineStr"/>
      <c r="O830" t="n">
        <v>0</v>
      </c>
      <c r="P830">
        <f>IF(B849=0,0,O830/B849)</f>
        <v/>
      </c>
      <c r="S830" t="n">
        <v>0</v>
      </c>
      <c r="V830">
        <f>IFERROR(1/IF(Inputs!$B$4="pvp",15,MAX(0.1,Skills!D19-IF(Skills!E19=TRUE,Inputs!$B$31,0))),0)</f>
        <v/>
      </c>
    </row>
    <row r="831">
      <c r="A831">
        <f>Skills!A20</f>
        <v/>
      </c>
      <c r="B831">
        <f>Skills!B20</f>
        <v/>
      </c>
      <c r="C831">
        <f>Inputs!$B$3&gt;=33</f>
        <v/>
      </c>
      <c r="D831">
        <f>IF(Skills!C20=1,60+Inputs!$B$24+(Inputs!$B$28+1),IF(Skills!C20=2,90+Inputs!$B$25+(Inputs!$B$28+1),IF(Skills!C20=3,120+Inputs!$B$26+(Inputs!$B$28+1),MAX(0,(Inputs!$B$3-100)*3)+Inputs!$B$27+(Inputs!$B$28+1))))</f>
        <v/>
      </c>
      <c r="E831">
        <f>INDEX(FactorTable!$B$2:$Y$301, MATCH(ROUND(MIN(300,MAX(1,D831)),0), FactorTable!$A$2:$A$301,0), Skills!L20+1)</f>
        <v/>
      </c>
      <c r="F831">
        <f>IF(Skills!M20=TRUE,(Skills!K20/10)*(E831/1000),Skills!K20/10)+Skills!N20</f>
        <v/>
      </c>
      <c r="G831">
        <f>Calc!G20</f>
        <v/>
      </c>
      <c r="H831">
        <f>Calc!H20</f>
        <v/>
      </c>
      <c r="I831">
        <f>IF(Skills!T20&lt;&gt;"",1+(Skills!T20/10)*($Z$3/1000)/100,1)</f>
        <v/>
      </c>
      <c r="J831" t="inlineStr"/>
      <c r="K831" t="inlineStr"/>
      <c r="L831" t="inlineStr"/>
      <c r="M831" t="inlineStr"/>
      <c r="N831" t="inlineStr"/>
      <c r="O831" t="n">
        <v>0</v>
      </c>
      <c r="P831">
        <f>IF(B849=0,0,O831/B849)</f>
        <v/>
      </c>
      <c r="S831" t="n">
        <v>0</v>
      </c>
      <c r="V831">
        <f>IFERROR(1/IF(Inputs!$B$4="pvp",15,MAX(0.1,Skills!D20-IF(Skills!E20=TRUE,Inputs!$B$31,0))),0)</f>
        <v/>
      </c>
    </row>
    <row r="832">
      <c r="A832">
        <f>Skills!A21</f>
        <v/>
      </c>
      <c r="B832">
        <f>Skills!B21</f>
        <v/>
      </c>
      <c r="C832">
        <f>Inputs!$B$3&gt;=43</f>
        <v/>
      </c>
      <c r="D832">
        <f>IF(Skills!C21=1,60+Inputs!$B$24+(Inputs!$B$28+1),IF(Skills!C21=2,90+Inputs!$B$25+(Inputs!$B$28+1),IF(Skills!C21=3,120+Inputs!$B$26+(Inputs!$B$28+1),MAX(0,(Inputs!$B$3-100)*3)+Inputs!$B$27+(Inputs!$B$28+1))))</f>
        <v/>
      </c>
      <c r="E832">
        <f>INDEX(FactorTable!$B$2:$Y$301, MATCH(ROUND(MIN(300,MAX(1,D832)),0), FactorTable!$A$2:$A$301,0), Skills!L21+1)</f>
        <v/>
      </c>
      <c r="F832">
        <f>IF(Skills!M21=TRUE,(Skills!K21/10)*(E832/1000),Skills!K21/10)+Skills!N21</f>
        <v/>
      </c>
      <c r="G832">
        <f>Calc!G21</f>
        <v/>
      </c>
      <c r="H832">
        <f>Calc!H21</f>
        <v/>
      </c>
      <c r="I832">
        <f>IF(Skills!T21&lt;&gt;"",1+(Skills!T21/10)*($Z$3/1000)/100,1)</f>
        <v/>
      </c>
      <c r="J832" t="inlineStr"/>
      <c r="K832" t="inlineStr"/>
      <c r="L832" t="inlineStr"/>
      <c r="M832" t="inlineStr"/>
      <c r="N832" t="inlineStr"/>
      <c r="O832" t="n">
        <v>0</v>
      </c>
      <c r="P832">
        <f>IF(B849=0,0,O832/B849)</f>
        <v/>
      </c>
      <c r="S832" t="n">
        <v>0</v>
      </c>
      <c r="V832">
        <f>IFERROR(1/IF(Inputs!$B$4="pvp",15,MAX(0.1,Skills!D21-IF(Skills!E21=TRUE,Inputs!$B$31,0))),0)</f>
        <v/>
      </c>
    </row>
    <row r="833">
      <c r="A833">
        <f>Skills!A22</f>
        <v/>
      </c>
      <c r="B833">
        <f>Skills!B22</f>
        <v/>
      </c>
      <c r="C833">
        <f>Inputs!$B$3&gt;=50</f>
        <v/>
      </c>
      <c r="D833">
        <f>IF(Skills!C22=1,60+Inputs!$B$24+(Inputs!$B$28+1),IF(Skills!C22=2,90+Inputs!$B$25+(Inputs!$B$28+1),IF(Skills!C22=3,120+Inputs!$B$26+(Inputs!$B$28+1),MAX(0,(Inputs!$B$3-100)*3)+Inputs!$B$27+(Inputs!$B$28+1))))</f>
        <v/>
      </c>
      <c r="E833">
        <f>INDEX(FactorTable!$B$2:$Y$301, MATCH(ROUND(MIN(300,MAX(1,D833)),0), FactorTable!$A$2:$A$301,0), Skills!L22+1)</f>
        <v/>
      </c>
      <c r="F833">
        <f>IF(Skills!M22=TRUE,(Skills!K22/10)*(E833/1000),Skills!K22/10)+Skills!N22</f>
        <v/>
      </c>
      <c r="G833">
        <f>Calc!G22</f>
        <v/>
      </c>
      <c r="H833">
        <f>Calc!H22</f>
        <v/>
      </c>
      <c r="I833">
        <f>IF(Skills!T22&lt;&gt;"",1+(Skills!T22/10)*($Z$3/1000)/100,1)</f>
        <v/>
      </c>
      <c r="J833" t="inlineStr"/>
      <c r="K833" t="inlineStr"/>
      <c r="L833" t="inlineStr"/>
      <c r="M833" t="inlineStr"/>
      <c r="N833" t="inlineStr"/>
      <c r="O833" t="n">
        <v>0</v>
      </c>
      <c r="P833">
        <f>IF(B849=0,0,O833/B849)</f>
        <v/>
      </c>
      <c r="S833" t="n">
        <v>0</v>
      </c>
      <c r="V833">
        <f>IFERROR(1/IF(Inputs!$B$4="pvp",15,MAX(0.1,Skills!D22-IF(Skills!E22=TRUE,Inputs!$B$31,0))),0)</f>
        <v/>
      </c>
    </row>
    <row r="834">
      <c r="A834">
        <f>Skills!A23</f>
        <v/>
      </c>
      <c r="B834">
        <f>Skills!B23</f>
        <v/>
      </c>
      <c r="C834">
        <f>Inputs!$B$3&gt;=74</f>
        <v/>
      </c>
      <c r="D834">
        <f>IF(Skills!C23=1,60+Inputs!$B$24+(Inputs!$B$28+1),IF(Skills!C23=2,90+Inputs!$B$25+(Inputs!$B$28+1),IF(Skills!C23=3,120+Inputs!$B$26+(Inputs!$B$28+1),MAX(0,(Inputs!$B$3-100)*3)+Inputs!$B$27+(Inputs!$B$28+1))))</f>
        <v/>
      </c>
      <c r="E834">
        <f>INDEX(FactorTable!$B$2:$Y$301, MATCH(ROUND(MIN(300,MAX(1,D834)),0), FactorTable!$A$2:$A$301,0), Skills!L23+1)</f>
        <v/>
      </c>
      <c r="F834">
        <f>IF(Skills!M23=TRUE,(Skills!K23/10)*(E834/1000),Skills!K23/10)+Skills!N23</f>
        <v/>
      </c>
      <c r="G834">
        <f>Calc!G23</f>
        <v/>
      </c>
      <c r="H834">
        <f>Calc!H23</f>
        <v/>
      </c>
      <c r="I834">
        <f>IF(Skills!T23&lt;&gt;"",1+(Skills!T23/10)*($Z$3/1000)/100,1)</f>
        <v/>
      </c>
      <c r="J834" t="inlineStr"/>
      <c r="K834" t="inlineStr"/>
      <c r="L834" t="inlineStr"/>
      <c r="M834" t="inlineStr"/>
      <c r="N834" t="inlineStr"/>
      <c r="O834" t="n">
        <v>0</v>
      </c>
      <c r="P834">
        <f>IF(B849=0,0,O834/B849)</f>
        <v/>
      </c>
      <c r="S834" t="n">
        <v>0</v>
      </c>
      <c r="V834">
        <f>IFERROR(1/IF(Inputs!$B$4="pvp",15,MAX(0.1,Skills!D23-IF(Skills!E23=TRUE,Inputs!$B$31,0))),0)</f>
        <v/>
      </c>
    </row>
    <row r="835">
      <c r="A835">
        <f>Skills!A24</f>
        <v/>
      </c>
      <c r="B835">
        <f>Skills!B24</f>
        <v/>
      </c>
      <c r="C835">
        <f>Inputs!$B$3&gt;=74</f>
        <v/>
      </c>
      <c r="D835">
        <f>IF(Skills!C24=1,60+Inputs!$B$24+(Inputs!$B$28+1),IF(Skills!C24=2,90+Inputs!$B$25+(Inputs!$B$28+1),IF(Skills!C24=3,120+Inputs!$B$26+(Inputs!$B$28+1),MAX(0,(Inputs!$B$3-100)*3)+Inputs!$B$27+(Inputs!$B$28+1))))</f>
        <v/>
      </c>
      <c r="E835">
        <f>INDEX(FactorTable!$B$2:$Y$301, MATCH(ROUND(MIN(300,MAX(1,D835)),0), FactorTable!$A$2:$A$301,0), Skills!L24+1)</f>
        <v/>
      </c>
      <c r="F835">
        <f>IF(Skills!M24=TRUE,(Skills!K24/10)*(E835/1000),Skills!K24/10)+Skills!N24</f>
        <v/>
      </c>
      <c r="G835">
        <f>Calc!G24</f>
        <v/>
      </c>
      <c r="H835">
        <f>Calc!H24</f>
        <v/>
      </c>
      <c r="I835">
        <f>IF(Skills!T24&lt;&gt;"",1+(Skills!T24/10)*($Z$3/1000)/100,1)</f>
        <v/>
      </c>
      <c r="J835" t="inlineStr"/>
      <c r="K835" t="inlineStr"/>
      <c r="L835" t="inlineStr"/>
      <c r="M835" t="inlineStr"/>
      <c r="N835" t="inlineStr"/>
      <c r="O835" t="n">
        <v>0</v>
      </c>
      <c r="P835">
        <f>IF(B849=0,0,O835/B849)</f>
        <v/>
      </c>
      <c r="S835" t="n">
        <v>0</v>
      </c>
      <c r="V835">
        <f>IFERROR(1/IF(Inputs!$B$4="pvp",15,MAX(0.1,Skills!D24-IF(Skills!E24=TRUE,Inputs!$B$31,0))),0)</f>
        <v/>
      </c>
    </row>
    <row r="836">
      <c r="A836">
        <f>Skills!A25</f>
        <v/>
      </c>
      <c r="B836">
        <f>Skills!B25</f>
        <v/>
      </c>
      <c r="C836">
        <f>Inputs!$B$3&gt;=117</f>
        <v/>
      </c>
      <c r="D836">
        <f>IF(Skills!C25=1,60+Inputs!$B$24+(Inputs!$B$28+1),IF(Skills!C25=2,90+Inputs!$B$25+(Inputs!$B$28+1),IF(Skills!C25=3,120+Inputs!$B$26+(Inputs!$B$28+1),MAX(0,(Inputs!$B$3-100)*3)+Inputs!$B$27+(Inputs!$B$28+1))))</f>
        <v/>
      </c>
      <c r="E836">
        <f>INDEX(FactorTable!$B$2:$Y$301, MATCH(ROUND(MIN(300,MAX(1,D836)),0), FactorTable!$A$2:$A$301,0), Skills!L25+1)</f>
        <v/>
      </c>
      <c r="F836">
        <f>IF(Skills!M25=TRUE,(Skills!K25/10)*(E836/1000),Skills!K25/10)+Skills!N25</f>
        <v/>
      </c>
      <c r="G836">
        <f>Calc!G25</f>
        <v/>
      </c>
      <c r="H836">
        <f>Calc!H25</f>
        <v/>
      </c>
      <c r="I836">
        <f>IF(Skills!T25&lt;&gt;"",1+(Skills!T25/10)*($Z$3/1000)/100,1)</f>
        <v/>
      </c>
      <c r="J836" t="inlineStr"/>
      <c r="K836" t="inlineStr"/>
      <c r="L836" t="inlineStr"/>
      <c r="M836" t="inlineStr"/>
      <c r="N836" t="inlineStr"/>
      <c r="O836" t="n">
        <v>0</v>
      </c>
      <c r="P836">
        <f>IF(B849=0,0,O836/B849)</f>
        <v/>
      </c>
      <c r="S836" t="n">
        <v>0</v>
      </c>
      <c r="V836">
        <f>IFERROR(1/IF(Inputs!$B$4="pvp",15,MAX(0.1,Skills!D25-IF(Skills!E25=TRUE,Inputs!$B$31,0))),0)</f>
        <v/>
      </c>
    </row>
    <row r="837">
      <c r="A837">
        <f>Skills!A26</f>
        <v/>
      </c>
      <c r="B837">
        <f>Skills!B26</f>
        <v/>
      </c>
      <c r="C837">
        <f>Inputs!$B$3&gt;=120</f>
        <v/>
      </c>
      <c r="D837">
        <f>IF(Skills!C26=1,60+Inputs!$B$24+(Inputs!$B$28+1),IF(Skills!C26=2,90+Inputs!$B$25+(Inputs!$B$28+1),IF(Skills!C26=3,120+Inputs!$B$26+(Inputs!$B$28+1),MAX(0,(Inputs!$B$3-100)*3)+Inputs!$B$27+(Inputs!$B$28+1))))</f>
        <v/>
      </c>
      <c r="E837">
        <f>INDEX(FactorTable!$B$2:$Y$301, MATCH(ROUND(MIN(300,MAX(1,D837)),0), FactorTable!$A$2:$A$301,0), Skills!L26+1)</f>
        <v/>
      </c>
      <c r="F837">
        <f>IF(Skills!M26=TRUE,(Skills!K26/10)*(E837/1000),Skills!K26/10)+Skills!N26</f>
        <v/>
      </c>
      <c r="G837">
        <f>Calc!G26</f>
        <v/>
      </c>
      <c r="H837">
        <f>Calc!H26</f>
        <v/>
      </c>
      <c r="I837">
        <f>IF(Skills!T26&lt;&gt;"",1+(Skills!T26/10)*($Z$3/1000)/100,1)</f>
        <v/>
      </c>
      <c r="J837" t="inlineStr"/>
      <c r="K837" t="inlineStr"/>
      <c r="L837" t="inlineStr"/>
      <c r="M837" t="inlineStr"/>
      <c r="N837" t="inlineStr"/>
      <c r="O837" t="n">
        <v>0</v>
      </c>
      <c r="P837">
        <f>IF(B849=0,0,O837/B849)</f>
        <v/>
      </c>
      <c r="S837" t="n">
        <v>0</v>
      </c>
      <c r="V837">
        <f>IFERROR(1/IF(Inputs!$B$4="pvp",15,MAX(0.1,Skills!D26-IF(Skills!E26=TRUE,Inputs!$B$31,0))),0)</f>
        <v/>
      </c>
    </row>
    <row r="839">
      <c r="A839" t="inlineStr">
        <is>
          <t>Average Buff Multiplier</t>
        </is>
      </c>
      <c r="B839">
        <f>(1+(IF(C814=TRUE,F814*IF(AND(Inputs!$B$4&lt;&gt;"pvp",Inputs!$B$35&gt;0),(((S814-1)*(Skills!S3*(1+(Inputs!$B$33+IF(Inputs!$B$3&gt;=117,F836,0))/100))+MIN((Skills!S3*(1+(Inputs!$B$33+IF(Inputs!$B$3&gt;=117,F836,0))/100)),MAX(0,Inputs!$B$35-((S814-1)*Skills!D3))))/Inputs!$B$35),IF(Inputs!$B$4="pvp",MIN((Skills!S3*(1+(Inputs!$B$33+IF(Inputs!$B$3&gt;=117,F836,0))/100)),15)/15,(Skills!S3*(1+(Inputs!$B$33+IF(Inputs!$B$3&gt;=117,F836,0))/100))/Skills!D3)),0)+IF(C815=TRUE,F815*IF(AND(Inputs!$B$4&lt;&gt;"pvp",Inputs!$B$35&gt;0),(((S815-1)*(Skills!S4*(1+(Inputs!$B$33+IF(Inputs!$B$3&gt;=117,F836,0))/100))+MIN((Skills!S4*(1+(Inputs!$B$33+IF(Inputs!$B$3&gt;=117,F836,0))/100)),MAX(0,Inputs!$B$35-((S815-1)*Skills!D4))))/Inputs!$B$35),IF(Inputs!$B$4="pvp",MIN((Skills!S4*(1+(Inputs!$B$33+IF(Inputs!$B$3&gt;=117,F836,0))/100)),15)/15,(Skills!S4*(1+(Inputs!$B$33+IF(Inputs!$B$3&gt;=117,F836,0))/100))/Skills!D4)),0)+IF(C816=TRUE,F816*IF(AND(Inputs!$B$4&lt;&gt;"pvp",Inputs!$B$35&gt;0),(((S816-1)*(Skills!S5*(1+(Inputs!$B$33+IF(Inputs!$B$3&gt;=117,F836,0))/100))+MIN((Skills!S5*(1+(Inputs!$B$33+IF(Inputs!$B$3&gt;=117,F836,0))/100)),MAX(0,Inputs!$B$35-((S816-1)*Skills!D5))))/Inputs!$B$35),IF(Inputs!$B$4="pvp",MIN((Skills!S5*(1+(Inputs!$B$33+IF(Inputs!$B$3&gt;=117,F836,0))/100)),15)/15,(Skills!S5*(1+(Inputs!$B$33+IF(Inputs!$B$3&gt;=117,F836,0))/100))/Skills!D5)),0)+IF(C822=TRUE,F822*IF(AND(Inputs!$B$4&lt;&gt;"pvp",Inputs!$B$35&gt;0),(((S822-1)*(Skills!S11*(1+(Inputs!$B$33+IF(Inputs!$B$3&gt;=117,F836,0))/100))+MIN((Skills!S11*(1+(Inputs!$B$33+IF(Inputs!$B$3&gt;=117,F836,0))/100)),MAX(0,Inputs!$B$35-((S822-1)*Skills!D11))))/Inputs!$B$35),IF(Inputs!$B$4="pvp",MIN((Skills!S11*(1+(Inputs!$B$33+IF(Inputs!$B$3&gt;=117,F836,0))/100)),15)/15,(Skills!S11*(1+(Inputs!$B$33+IF(Inputs!$B$3&gt;=117,F836,0))/100))/Skills!D11)),0))/100)*IF(C824=TRUE,(1+F824*IF(AND(Inputs!$B$4&lt;&gt;"pvp",Inputs!$B$35&gt;0),(((S824-1)*(Skills!S13*(1+(Inputs!$B$33+IF(Inputs!$B$3&gt;=117,F836,0))/100))+MIN((Skills!S13*(1+(Inputs!$B$33+IF(Inputs!$B$3&gt;=117,F836,0))/100)),MAX(0,Inputs!$B$35-((S824-1)*Skills!D13))))/Inputs!$B$35),IF(Inputs!$B$4="pvp",MIN((Skills!S13*(1+(Inputs!$B$33+IF(Inputs!$B$3&gt;=117,F836,0))/100)),15)/15,(Skills!S13*(1+(Inputs!$B$33+IF(Inputs!$B$3&gt;=117,F836,0))/100))/Skills!D13))/100),1)*IF(C829=TRUE,(1+F829*IF(AND(Inputs!$B$4&lt;&gt;"pvp",Inputs!$B$35&gt;0),(((S829-1)*(Skills!S18*(1+(Inputs!$B$33+IF(Inputs!$B$3&gt;=117,F836,0))/100))+MIN((Skills!S18*(1+(Inputs!$B$33+IF(Inputs!$B$3&gt;=117,F836,0))/100)),MAX(0,Inputs!$B$35-((S829-1)*Skills!D18))))/Inputs!$B$35),IF(Inputs!$B$4="pvp",MIN((Skills!S18*(1+(Inputs!$B$33+IF(Inputs!$B$3&gt;=117,F836,0))/100)),15)/15,(Skills!S18*(1+(Inputs!$B$33+IF(Inputs!$B$3&gt;=117,F836,0))/100))/Skills!D18))/100),1)</f>
        <v/>
      </c>
    </row>
    <row r="840">
      <c r="A840" t="inlineStr">
        <is>
          <t>Monster Damage Taken Bonus % (Holy Fountain)</t>
        </is>
      </c>
      <c r="B840">
        <f>IF(Inputs!$B$3&gt;=68,20*IF(Inputs!$B$4="pvp",MIN((15*(1+(Inputs!$B$33+IF(Inputs!$B$3&gt;=117,F836,0))/100)),15)/15,(15*(1+(Inputs!$B$33+IF(Inputs!$B$3&gt;=117,F836,0))/100))/Skills!D10),0)</f>
        <v/>
      </c>
    </row>
    <row r="841">
      <c r="A841" t="inlineStr">
        <is>
          <t>Normal Monster Damage Bonus % (Holy Symbol)</t>
        </is>
      </c>
      <c r="B841">
        <f>IF(C823=TRUE,F823*IF(AND(Inputs!$B$4&lt;&gt;"pvp",Inputs!$B$35&gt;0),(((S823-1)*(Skills!S12*(1+(Inputs!$B$33+IF(Inputs!$B$3&gt;=117,F836,0))/100))+MIN((Skills!S12*(1+(Inputs!$B$33+IF(Inputs!$B$3&gt;=117,F836,0))/100)),MAX(0,Inputs!$B$35-((S823-1)*Skills!D12))))/Inputs!$B$35),IF(Inputs!$B$4="pvp",MIN((Skills!S12*(1+(Inputs!$B$33+IF(Inputs!$B$3&gt;=117,F836,0))/100)),15)/15,(Skills!S12*(1+(Inputs!$B$33+IF(Inputs!$B$3&gt;=117,F836,0))/100))/Skills!D12)),0)</f>
        <v/>
      </c>
    </row>
    <row r="842">
      <c r="A842" t="inlineStr">
        <is>
          <t>Damage % Bonus (Holy Symbol - Damage Boost)</t>
        </is>
      </c>
      <c r="B842">
        <f>Skills!O12</f>
        <v/>
      </c>
    </row>
    <row r="843">
      <c r="A843" t="inlineStr">
        <is>
          <t>Crit Damage % Bonus (Blood of the Divine)</t>
        </is>
      </c>
      <c r="B843">
        <f>4*IF(C830=TRUE,F830,0)</f>
        <v/>
      </c>
    </row>
    <row r="844">
      <c r="A844" t="inlineStr">
        <is>
          <t>Attack Speed Bonus %</t>
        </is>
      </c>
      <c r="B844">
        <f>IF(C827=TRUE,F827+(F831-Calc!F20),0)+IF(Inputs!$B$3&gt;=134,15,0)</f>
        <v/>
      </c>
    </row>
    <row r="845">
      <c r="A845" t="inlineStr">
        <is>
          <t>Actions Per Second</t>
        </is>
      </c>
      <c r="B845">
        <f>1+MIN(150,150*(1-(1-Inputs!$B$10/150)*(1-B844/150)))/100</f>
        <v/>
      </c>
    </row>
    <row r="846">
      <c r="A846" t="inlineStr">
        <is>
          <t>Skill + Buff Cast Rate</t>
        </is>
      </c>
      <c r="B846">
        <f>IF(AND(Inputs!$B$4&lt;&gt;"pvp",Inputs!$B$35&gt;0),SUMPRODUCT((Skills!E2:E26=TRUE)*(C813:C837=TRUE)*S813:S837)/Inputs!$B$35,SUMPRODUCT((Skills!E2:E26=TRUE)*(C813:C837=TRUE)*V813:V837))</f>
        <v/>
      </c>
    </row>
    <row r="847">
      <c r="A847" t="inlineStr">
        <is>
          <t>Big Bang Casts Per Second</t>
        </is>
      </c>
      <c r="B847">
        <f>MAX(0,B845-B846)</f>
        <v/>
      </c>
    </row>
    <row r="849">
      <c r="A849" s="5" t="inlineStr">
        <is>
          <t>TOTAL DPS</t>
        </is>
      </c>
      <c r="B849" s="5">
        <f>SUM(O813:O837)</f>
        <v/>
      </c>
    </row>
    <row r="852">
      <c r="A852" s="5" t="inlineStr">
        <is>
          <t>Stat: Flat ATTACK</t>
        </is>
      </c>
    </row>
    <row r="853">
      <c r="A853" s="8" t="inlineStr">
        <is>
          <t>Key</t>
        </is>
      </c>
      <c r="B853" s="8" t="inlineStr">
        <is>
          <t>Name</t>
        </is>
      </c>
      <c r="C853" s="8" t="inlineStr">
        <is>
          <t>Unlocked</t>
        </is>
      </c>
      <c r="D853" s="8" t="inlineStr">
        <is>
          <t>InputLevel</t>
        </is>
      </c>
      <c r="E853" s="8" t="inlineStr">
        <is>
          <t>Factor</t>
        </is>
      </c>
      <c r="F853" s="8" t="inlineStr">
        <is>
          <t>CoefficientPercent</t>
        </is>
      </c>
      <c r="G853" s="8" t="inlineStr">
        <is>
          <t>EffectiveHits</t>
        </is>
      </c>
      <c r="H853" s="8" t="inlineStr">
        <is>
          <t>ProcProbability</t>
        </is>
      </c>
      <c r="I853" s="8" t="inlineStr">
        <is>
          <t>MapleHeroMultiplier</t>
        </is>
      </c>
      <c r="J853" s="8" t="inlineStr">
        <is>
          <t>BaseDamage</t>
        </is>
      </c>
      <c r="K853" s="8" t="inlineStr">
        <is>
          <t>BaseHitDamage</t>
        </is>
      </c>
      <c r="L853" s="8" t="inlineStr">
        <is>
          <t>NonCritAvg</t>
        </is>
      </c>
      <c r="M853" s="8" t="inlineStr">
        <is>
          <t>CritAvg</t>
        </is>
      </c>
      <c r="N853" s="8" t="inlineStr">
        <is>
          <t>ExpectedDamage(perHit)</t>
        </is>
      </c>
      <c r="O853" s="8" t="inlineStr">
        <is>
          <t>DPS</t>
        </is>
      </c>
      <c r="P853" s="8" t="inlineStr">
        <is>
          <t>% of Total</t>
        </is>
      </c>
      <c r="R853" t="inlineStr">
        <is>
          <t>helpers</t>
        </is>
      </c>
    </row>
    <row r="854">
      <c r="A854">
        <f>Skills!A2</f>
        <v/>
      </c>
      <c r="B854">
        <f>Skills!B2</f>
        <v/>
      </c>
      <c r="C854">
        <f>Inputs!$B$3&gt;=100</f>
        <v/>
      </c>
      <c r="D854" t="inlineStr"/>
      <c r="E854" t="inlineStr"/>
      <c r="F854">
        <f>T856+Skills!N2</f>
        <v/>
      </c>
      <c r="G854">
        <f>Calc!G2</f>
        <v/>
      </c>
      <c r="H854">
        <f>Calc!H2</f>
        <v/>
      </c>
      <c r="I854">
        <f>IF(Skills!T2&lt;&gt;"",1+(Skills!T2/10)*($Z$3/1000)/100,1)</f>
        <v/>
      </c>
      <c r="J854">
        <f>(((Inputs!$B$5+1)*(1+Inputs!$B$6/100))+((Inputs!$B$11*(1+Inputs!$B$12/100))-(Inputs!$B$11*(1+Inputs!$B$12/100)))*(1+Inputs!$B$6/100))*(F854/100)</f>
        <v/>
      </c>
      <c r="K854">
        <f>J854*(1+((Inputs!$B$11*(1+Inputs!$B$12/100))*0.01+Inputs!$B$13*0.0025)/100)*(1+(Inputs!$B$14+B883)/100)*(1+IF(Inputs!$B$4="pvp",0,(1-Summary!$B$48)*(Inputs!$B$19+Skills!O2+B881)+Summary!$B$48*(Inputs!$B$20+Skills!P2+B882))/100)*(1+Inputs!$B$15/100)*(5000/(6000+Inputs!$B$7*(1-Inputs!$B$18/100)))*(1+Inputs!$B$23/100)*(1+IF(C869=TRUE,F869,0)/100)*(1+IF(C871=TRUE,F871,0)/100)*(1+IF(Skills!A2="TRIUMPH_FEATHER",IF(C867=TRUE,F867,0),0)/100)*(1+IF(C878=TRUE,F878,0)/100)^5*(1+(IF(Skills!A2="BIG_BANG",Inputs!$B$16,Inputs!$B$17))/100)*(B880*I854)</f>
        <v/>
      </c>
      <c r="L854">
        <f>K854*(MIN(Inputs!$B$21+(F873-Calc!F21),Inputs!$B$22)/100+Inputs!$B$22/100)/2</f>
        <v/>
      </c>
      <c r="M854">
        <f>L854*(1+(Inputs!$B$9+B884+(F876-Calc!F24))/100)</f>
        <v/>
      </c>
      <c r="N854">
        <f>L854*(1-MIN(Inputs!$B$8+((F875-Calc!F23)+(F874-Calc!F22)),100)/100)+M854*(MIN(Inputs!$B$8+((F875-Calc!F23)+(F874-Calc!F22)),100)/100)</f>
        <v/>
      </c>
      <c r="O854">
        <f>IF(C854,Skills!F2*N854*B888*IF(Inputs!$B$4="pvp",1,(1-Summary!$B$48)*(1)+Summary!$B$48*(MIN((6+Inputs!$B$32),Inputs!$B$37))),0)</f>
        <v/>
      </c>
      <c r="P854">
        <f>IF(B890=0,0,O854/B890)</f>
        <v/>
      </c>
      <c r="S854" t="n">
        <v>0</v>
      </c>
      <c r="T854">
        <f>MAX(0,(Inputs!$B$3-100)*3)+Inputs!$B$27+Inputs!$B$28</f>
        <v/>
      </c>
      <c r="V854">
        <f>IFERROR(1/IF(Inputs!$B$4="pvp",15,MAX(0.1,Skills!D2-IF(Skills!E2=TRUE,Inputs!$B$31,0))),0)</f>
        <v/>
      </c>
    </row>
    <row r="855">
      <c r="A855">
        <f>Skills!A3</f>
        <v/>
      </c>
      <c r="B855">
        <f>Skills!B3</f>
        <v/>
      </c>
      <c r="C855">
        <f>Inputs!$B$3&gt;=15</f>
        <v/>
      </c>
      <c r="D855">
        <f>IF(Skills!C3=1,60+Inputs!$B$24+Inputs!$B$28,IF(Skills!C3=2,90+Inputs!$B$25+Inputs!$B$28,IF(Skills!C3=3,120+Inputs!$B$26+Inputs!$B$28,MAX(0,(Inputs!$B$3-100)*3)+Inputs!$B$27+Inputs!$B$28)))</f>
        <v/>
      </c>
      <c r="E855">
        <f>INDEX(FactorTable!$B$2:$Y$301, MATCH(ROUND(MIN(300,MAX(1,D855)),0), FactorTable!$A$2:$A$301,0), Skills!L3+1)</f>
        <v/>
      </c>
      <c r="F855">
        <f>IF(Skills!M3=TRUE,(Skills!K3/10)*(E855/1000),Skills!K3/10)+Skills!N3</f>
        <v/>
      </c>
      <c r="G855">
        <f>Calc!G3</f>
        <v/>
      </c>
      <c r="H855">
        <f>Calc!H3</f>
        <v/>
      </c>
      <c r="I855">
        <f>IF(Skills!T3&lt;&gt;"",1+(Skills!T3/10)*($Z$3/1000)/100,1)</f>
        <v/>
      </c>
      <c r="J855" t="inlineStr"/>
      <c r="K855" t="inlineStr"/>
      <c r="L855" t="inlineStr"/>
      <c r="M855" t="inlineStr"/>
      <c r="N855" t="inlineStr"/>
      <c r="O855" t="n">
        <v>0</v>
      </c>
      <c r="P855">
        <f>IF(B890=0,0,O855/B890)</f>
        <v/>
      </c>
      <c r="S855">
        <f>IF(AND(Inputs!$B$4&lt;&gt;"pvp",Inputs!$B$35&gt;0),(INT(Inputs!$B$35/IF(Inputs!$B$4="pvp",15,MAX(0.1,Skills!D3-IF(Skills!E3=TRUE,Inputs!$B$31,0))))+1),0)</f>
        <v/>
      </c>
      <c r="T855">
        <f>INDEX(FactorTable!$B$2:$Y$301, MATCH(ROUND(MIN(300,MAX(1,T854)),0), FactorTable!$A$2:$A$301,0), 22)</f>
        <v/>
      </c>
      <c r="V855">
        <f>IFERROR(1/IF(Inputs!$B$4="pvp",15,MAX(0.1,Skills!D3-IF(Skills!E3=TRUE,Inputs!$B$31,0))),0)</f>
        <v/>
      </c>
    </row>
    <row r="856">
      <c r="A856">
        <f>Skills!A4</f>
        <v/>
      </c>
      <c r="B856">
        <f>Skills!B4</f>
        <v/>
      </c>
      <c r="C856">
        <f>Inputs!$B$3&gt;=38</f>
        <v/>
      </c>
      <c r="D856">
        <f>IF(Skills!C4=1,60+Inputs!$B$24+Inputs!$B$28,IF(Skills!C4=2,90+Inputs!$B$25+Inputs!$B$28,IF(Skills!C4=3,120+Inputs!$B$26+Inputs!$B$28,MAX(0,(Inputs!$B$3-100)*3)+Inputs!$B$27+Inputs!$B$28)))</f>
        <v/>
      </c>
      <c r="E856">
        <f>INDEX(FactorTable!$B$2:$Y$301, MATCH(ROUND(MIN(300,MAX(1,D856)),0), FactorTable!$A$2:$A$301,0), Skills!L4+1)</f>
        <v/>
      </c>
      <c r="F856">
        <f>IF(Skills!M4=TRUE,(Skills!K4/10)*(E856/1000),Skills!K4/10)+Skills!N4</f>
        <v/>
      </c>
      <c r="G856">
        <f>Calc!G4</f>
        <v/>
      </c>
      <c r="H856">
        <f>Calc!H4</f>
        <v/>
      </c>
      <c r="I856">
        <f>IF(Skills!T4&lt;&gt;"",1+(Skills!T4/10)*($Z$3/1000)/100,1)</f>
        <v/>
      </c>
      <c r="J856" t="inlineStr"/>
      <c r="K856" t="inlineStr"/>
      <c r="L856" t="inlineStr"/>
      <c r="M856" t="inlineStr"/>
      <c r="N856" t="inlineStr"/>
      <c r="O856" t="n">
        <v>0</v>
      </c>
      <c r="P856">
        <f>IF(B890=0,0,O856/B890)</f>
        <v/>
      </c>
      <c r="S856">
        <f>IF(AND(Inputs!$B$4&lt;&gt;"pvp",Inputs!$B$35&gt;0),(INT(Inputs!$B$35/IF(Inputs!$B$4="pvp",15,MAX(0.1,Skills!D4-IF(Skills!E4=TRUE,Inputs!$B$31,0))))+1),0)</f>
        <v/>
      </c>
      <c r="T856">
        <f>290*T855/1000</f>
        <v/>
      </c>
      <c r="V856">
        <f>IFERROR(1/IF(Inputs!$B$4="pvp",15,MAX(0.1,Skills!D4-IF(Skills!E4=TRUE,Inputs!$B$31,0))),0)</f>
        <v/>
      </c>
    </row>
    <row r="857">
      <c r="A857">
        <f>Skills!A5</f>
        <v/>
      </c>
      <c r="B857">
        <f>Skills!B5</f>
        <v/>
      </c>
      <c r="C857">
        <f>Inputs!$B$3&gt;=40</f>
        <v/>
      </c>
      <c r="D857">
        <f>IF(Skills!C5=1,60+Inputs!$B$24+Inputs!$B$28,IF(Skills!C5=2,90+Inputs!$B$25+Inputs!$B$28,IF(Skills!C5=3,120+Inputs!$B$26+Inputs!$B$28,MAX(0,(Inputs!$B$3-100)*3)+Inputs!$B$27+Inputs!$B$28)))</f>
        <v/>
      </c>
      <c r="E857">
        <f>INDEX(FactorTable!$B$2:$Y$301, MATCH(ROUND(MIN(300,MAX(1,D857)),0), FactorTable!$A$2:$A$301,0), Skills!L5+1)</f>
        <v/>
      </c>
      <c r="F857">
        <f>IF(Skills!M5=TRUE,(Skills!K5/10)*(E857/1000),Skills!K5/10)+Skills!N5</f>
        <v/>
      </c>
      <c r="G857">
        <f>Calc!G5</f>
        <v/>
      </c>
      <c r="H857">
        <f>Calc!H5</f>
        <v/>
      </c>
      <c r="I857">
        <f>IF(Skills!T5&lt;&gt;"",1+(Skills!T5/10)*($Z$3/1000)/100,1)</f>
        <v/>
      </c>
      <c r="J857" t="inlineStr"/>
      <c r="K857" t="inlineStr"/>
      <c r="L857" t="inlineStr"/>
      <c r="M857" t="inlineStr"/>
      <c r="N857" t="inlineStr"/>
      <c r="O857" t="n">
        <v>0</v>
      </c>
      <c r="P857">
        <f>IF(B890=0,0,O857/B890)</f>
        <v/>
      </c>
      <c r="S857">
        <f>IF(AND(Inputs!$B$4&lt;&gt;"pvp",Inputs!$B$35&gt;0),(INT(Inputs!$B$35/IF(Inputs!$B$4="pvp",15,MAX(0.1,Skills!D5-IF(Skills!E5=TRUE,Inputs!$B$31,0))))+1),0)</f>
        <v/>
      </c>
      <c r="V857">
        <f>IFERROR(1/IF(Inputs!$B$4="pvp",15,MAX(0.1,Skills!D5-IF(Skills!E5=TRUE,Inputs!$B$31,0))),0)</f>
        <v/>
      </c>
    </row>
    <row r="858">
      <c r="A858">
        <f>Skills!A6</f>
        <v/>
      </c>
      <c r="B858">
        <f>Skills!B6</f>
        <v/>
      </c>
      <c r="C858">
        <f>Inputs!$B$3&gt;=103</f>
        <v/>
      </c>
      <c r="D858">
        <f>IF(Skills!C6=1,60+Inputs!$B$24+Inputs!$B$28,IF(Skills!C6=2,90+Inputs!$B$25+Inputs!$B$28,IF(Skills!C6=3,120+Inputs!$B$26+Inputs!$B$28,MAX(0,(Inputs!$B$3-100)*3)+Inputs!$B$27+Inputs!$B$28)))</f>
        <v/>
      </c>
      <c r="E858">
        <f>INDEX(FactorTable!$B$2:$Y$301, MATCH(ROUND(MIN(300,MAX(1,D858)),0), FactorTable!$A$2:$A$301,0), Skills!L6+1)</f>
        <v/>
      </c>
      <c r="F858">
        <f>IF(Skills!M6=TRUE,(Skills!K6/10)*(E858/1000),Skills!K6/10)+Skills!N6</f>
        <v/>
      </c>
      <c r="G858">
        <f>Calc!G6</f>
        <v/>
      </c>
      <c r="H858">
        <f>Calc!H6</f>
        <v/>
      </c>
      <c r="I858">
        <f>IF(Skills!T6&lt;&gt;"",1+(Skills!T6/10)*($Z$3/1000)/100,1)</f>
        <v/>
      </c>
      <c r="J858">
        <f>(((Inputs!$B$5+1)*(1+Inputs!$B$6/100))+((Inputs!$B$11*(1+Inputs!$B$12/100))-(Inputs!$B$11*(1+Inputs!$B$12/100)))*(1+Inputs!$B$6/100))*(F858/100)</f>
        <v/>
      </c>
      <c r="K858">
        <f>J858*(1+((Inputs!$B$11*(1+Inputs!$B$12/100))*0.01+Inputs!$B$13*0.0025)/100)*(1+(Inputs!$B$14+B883)/100)*(1+IF(Inputs!$B$4="pvp",0,(1-Summary!$B$48)*(Inputs!$B$19+Skills!O6+B881)+Summary!$B$48*(Inputs!$B$20+Skills!P6+B882))/100)*(1+Inputs!$B$15/100)*(5000/(6000+Inputs!$B$7*(1-Inputs!$B$18/100)))*(1+Inputs!$B$23/100)*(1+IF(C869=TRUE,F869,0)/100)*(1+IF(C871=TRUE,F871,0)/100)*(1+IF(Skills!A6="TRIUMPH_FEATHER",IF(C867=TRUE,F867,0),0)/100)*(1+IF(C878=TRUE,F878,0)/100)^5*(1+(IF(Skills!A6="BIG_BANG",Inputs!$B$16,Inputs!$B$17))/100)*(B880*I858)</f>
        <v/>
      </c>
      <c r="L858">
        <f>K858*(MIN(Inputs!$B$21+(F873-Calc!F21),Inputs!$B$22)/100+Inputs!$B$22/100)/2</f>
        <v/>
      </c>
      <c r="M858">
        <f>L858*(1+(Inputs!$B$9+B884+(F876-Calc!F24))/100)</f>
        <v/>
      </c>
      <c r="N858">
        <f>L858*(1-MIN(Inputs!$B$8+((F875-Calc!F23)+(F874-Calc!F22)),100)/100)+M858*(MIN(Inputs!$B$8+((F875-Calc!F23)+(F874-Calc!F22)),100)/100)</f>
        <v/>
      </c>
      <c r="O858">
        <f>IF(C858,H858*N858*IF(AND(Inputs!$B$4&lt;&gt;"pvp",Inputs!$B$35&gt;0),((Skills!F6*((S858-1)*IF(Skills!G6&gt;0,Skills!H6/Skills!G6,1)+IF(Skills!G6&gt;0,MIN(Skills!H6,MAX(0,Inputs!$B$35-((S858-1)*IF(Inputs!$B$4="pvp",15,MAX(0.1,Skills!D6-IF(Skills!E6=TRUE,Inputs!$B$31,0))))))/Skills!G6,1)))/Inputs!$B$35),G858*V858)*IF(Inputs!$B$4="pvp",1,(1-Summary!$B$48)*(1)+Summary!$B$48*(MIN(Skills!Q6,Inputs!$B$37))),0)</f>
        <v/>
      </c>
      <c r="P858">
        <f>IF(B890=0,0,O858/B890)</f>
        <v/>
      </c>
      <c r="S858">
        <f>IF(AND(Inputs!$B$4&lt;&gt;"pvp",Inputs!$B$35&gt;0),(INT(Inputs!$B$35/IF(Inputs!$B$4="pvp",15,MAX(0.1,Skills!D6-IF(Skills!E6=TRUE,Inputs!$B$31,0))))+1),0)</f>
        <v/>
      </c>
      <c r="V858">
        <f>IFERROR(1/IF(Inputs!$B$4="pvp",15,MAX(0.1,Skills!D6-IF(Skills!E6=TRUE,Inputs!$B$31,0))),0)</f>
        <v/>
      </c>
    </row>
    <row r="859">
      <c r="A859">
        <f>Skills!A7</f>
        <v/>
      </c>
      <c r="B859">
        <f>Skills!B7</f>
        <v/>
      </c>
      <c r="C859">
        <f>Inputs!$B$3&gt;=122</f>
        <v/>
      </c>
      <c r="D859">
        <f>IF(Skills!C7=1,60+Inputs!$B$24+Inputs!$B$28,IF(Skills!C7=2,90+Inputs!$B$25+Inputs!$B$28,IF(Skills!C7=3,120+Inputs!$B$26+Inputs!$B$28,MAX(0,(Inputs!$B$3-100)*3)+Inputs!$B$27+Inputs!$B$28)))</f>
        <v/>
      </c>
      <c r="E859">
        <f>INDEX(FactorTable!$B$2:$Y$301, MATCH(ROUND(MIN(300,MAX(1,D859)),0), FactorTable!$A$2:$A$301,0), Skills!L7+1)</f>
        <v/>
      </c>
      <c r="F859">
        <f>IF(Skills!M7=TRUE,(Skills!K7/10)*(E859/1000),Skills!K7/10)+Skills!N7</f>
        <v/>
      </c>
      <c r="G859">
        <f>Calc!G7</f>
        <v/>
      </c>
      <c r="H859">
        <f>Calc!H7</f>
        <v/>
      </c>
      <c r="I859">
        <f>IF(Skills!T7&lt;&gt;"",1+(Skills!T7/10)*($Z$3/1000)/100,1)</f>
        <v/>
      </c>
      <c r="J859">
        <f>(((Inputs!$B$5+1)*(1+Inputs!$B$6/100))+((Inputs!$B$11*(1+Inputs!$B$12/100))-(Inputs!$B$11*(1+Inputs!$B$12/100)))*(1+Inputs!$B$6/100))*(F859/100)</f>
        <v/>
      </c>
      <c r="K859">
        <f>J859*(1+((Inputs!$B$11*(1+Inputs!$B$12/100))*0.01+Inputs!$B$13*0.0025)/100)*(1+(Inputs!$B$14+B883)/100)*(1+IF(Inputs!$B$4="pvp",0,(1-Summary!$B$48)*(Inputs!$B$19+Skills!O7+B881)+Summary!$B$48*(Inputs!$B$20+Skills!P7+B882))/100)*(1+Inputs!$B$15/100)*(5000/(6000+Inputs!$B$7*(1-Inputs!$B$18/100)))*(1+Inputs!$B$23/100)*(1+IF(C869=TRUE,F869,0)/100)*(1+IF(C871=TRUE,F871,0)/100)*(1+IF(Skills!A7="TRIUMPH_FEATHER",IF(C867=TRUE,F867,0),0)/100)*(1+IF(C878=TRUE,F878,0)/100)^5*(1+(IF(Skills!A7="BIG_BANG",Inputs!$B$16,Inputs!$B$17))/100)*(B880*I859)</f>
        <v/>
      </c>
      <c r="L859">
        <f>K859*(MIN(Inputs!$B$21+(F873-Calc!F21),Inputs!$B$22)/100+Inputs!$B$22/100)/2</f>
        <v/>
      </c>
      <c r="M859">
        <f>L859*(1+(Inputs!$B$9+B884+(F876-Calc!F24))/100)</f>
        <v/>
      </c>
      <c r="N859">
        <f>L859*(1-MIN(Inputs!$B$8+((F875-Calc!F23)+(F874-Calc!F22)),100)/100)+M859*(MIN(Inputs!$B$8+((F875-Calc!F23)+(F874-Calc!F22)),100)/100)</f>
        <v/>
      </c>
      <c r="O859">
        <f>IF(C859,H859*N859*IF(AND(Inputs!$B$4&lt;&gt;"pvp",Inputs!$B$35&gt;0),((Skills!F7*((S859-1)*IF(Skills!G7&gt;0,Skills!H7/Skills!G7,1)+IF(Skills!G7&gt;0,MIN(Skills!H7,MAX(0,Inputs!$B$35-((S859-1)*IF(Inputs!$B$4="pvp",15,MAX(0.1,Skills!D7-IF(Skills!E6=TRUE,Inputs!$B$31,0))))))/Skills!G7,1)))/Inputs!$B$35),G859*V859)*(1-Summary!$B$48),0)</f>
        <v/>
      </c>
      <c r="P859">
        <f>IF(B890=0,0,O859/B890)</f>
        <v/>
      </c>
      <c r="S859">
        <f>IF(AND(Inputs!$B$4&lt;&gt;"pvp",Inputs!$B$35&gt;0),(INT(Inputs!$B$35/IF(Inputs!$B$4="pvp",15,MAX(0.1,Skills!D7-IF(Skills!E6=TRUE,Inputs!$B$31,0))))+1),0)</f>
        <v/>
      </c>
      <c r="V859">
        <f>IFERROR(1/IF(Inputs!$B$4="pvp",15,MAX(0.1,Skills!D7-IF(Skills!E6=TRUE,Inputs!$B$31,0))),0)</f>
        <v/>
      </c>
    </row>
    <row r="860">
      <c r="A860">
        <f>Skills!A8</f>
        <v/>
      </c>
      <c r="B860">
        <f>Skills!B8</f>
        <v/>
      </c>
      <c r="C860">
        <f>Inputs!$B$3&gt;=105</f>
        <v/>
      </c>
      <c r="D860">
        <f>IF(Skills!C8=1,60+Inputs!$B$24+Inputs!$B$28,IF(Skills!C8=2,90+Inputs!$B$25+Inputs!$B$28,IF(Skills!C8=3,120+Inputs!$B$26+Inputs!$B$28,MAX(0,(Inputs!$B$3-100)*3)+Inputs!$B$27+Inputs!$B$28)))</f>
        <v/>
      </c>
      <c r="E860">
        <f>INDEX(FactorTable!$B$2:$Y$301, MATCH(ROUND(MIN(300,MAX(1,D860)),0), FactorTable!$A$2:$A$301,0), Skills!L8+1)</f>
        <v/>
      </c>
      <c r="F860">
        <f>IF(Skills!M8=TRUE,(Skills!K8/10)*(E860/1000),Skills!K8/10)+Skills!N8</f>
        <v/>
      </c>
      <c r="G860">
        <f>Calc!G8</f>
        <v/>
      </c>
      <c r="H860">
        <f>Calc!H8</f>
        <v/>
      </c>
      <c r="I860">
        <f>IF(Skills!T8&lt;&gt;"",1+(Skills!T8/10)*($Z$3/1000)/100,1)</f>
        <v/>
      </c>
      <c r="J860">
        <f>(((Inputs!$B$5+1)*(1+Inputs!$B$6/100))+((Inputs!$B$11*(1+Inputs!$B$12/100))-(Inputs!$B$11*(1+Inputs!$B$12/100)))*(1+Inputs!$B$6/100))*(F860/100)</f>
        <v/>
      </c>
      <c r="K860">
        <f>J860*(1+((Inputs!$B$11*(1+Inputs!$B$12/100))*0.01+Inputs!$B$13*0.0025)/100)*(1+(Inputs!$B$14+B883)/100)*(1+IF(Inputs!$B$4="pvp",0,(1-Summary!$B$48)*(Inputs!$B$19+Skills!O8+B881)+Summary!$B$48*(Inputs!$B$20+Skills!P8+B882))/100)*(1+Inputs!$B$15/100)*(5000/(6000+Inputs!$B$7*(1-Inputs!$B$18/100)))*(1+Inputs!$B$23/100)*(1+IF(C869=TRUE,F869,0)/100)*(1+IF(C871=TRUE,F871,0)/100)*(1+IF(Skills!A8="TRIUMPH_FEATHER",IF(C867=TRUE,F867,0),0)/100)*(1+IF(C878=TRUE,F878,0)/100)^5*(1+(IF(Skills!A8="BIG_BANG",Inputs!$B$16,Inputs!$B$17))/100)*(B880*I860)</f>
        <v/>
      </c>
      <c r="L860">
        <f>K860*(MIN(Inputs!$B$21+(F873-Calc!F21),Inputs!$B$22)/100+Inputs!$B$22/100)/2</f>
        <v/>
      </c>
      <c r="M860">
        <f>L860*(1+(Inputs!$B$9+B884+(F876-Calc!F24))/100)</f>
        <v/>
      </c>
      <c r="N860">
        <f>L860*(1-MIN(Inputs!$B$8+((F875-Calc!F23)+(F874-Calc!F22)),100)/100)+M860*(MIN(Inputs!$B$8+((F875-Calc!F23)+(F874-Calc!F22)),100)/100)</f>
        <v/>
      </c>
      <c r="O860">
        <f>IF(C860,H860*N860*IF(AND(Inputs!$B$4&lt;&gt;"pvp",Inputs!$B$35&gt;0),((Skills!F8*((S860-1)*IF(Skills!G8&gt;0,Skills!H8/Skills!G8,1)+IF(Skills!G8&gt;0,MIN(Skills!H8,MAX(0,Inputs!$B$35-((S860-1)*IF(Inputs!$B$4="pvp",15,MAX(0.1,Skills!D8-IF(Skills!E8=TRUE,Inputs!$B$31,0))))))/Skills!G8,1)))/Inputs!$B$35),G860*V860)*IF(Inputs!$B$4="pvp",1,(1-Summary!$B$48)*(1)+Summary!$B$48*(MIN(Skills!Q8,Inputs!$B$37))),0)</f>
        <v/>
      </c>
      <c r="P860">
        <f>IF(B890=0,0,O860/B890)</f>
        <v/>
      </c>
      <c r="S860">
        <f>IF(AND(Inputs!$B$4&lt;&gt;"pvp",Inputs!$B$35&gt;0),(INT(Inputs!$B$35/IF(Inputs!$B$4="pvp",15,MAX(0.1,Skills!D8-IF(Skills!E8=TRUE,Inputs!$B$31,0))))+1),0)</f>
        <v/>
      </c>
      <c r="V860">
        <f>IFERROR(1/IF(Inputs!$B$4="pvp",15,MAX(0.1,Skills!D8-IF(Skills!E8=TRUE,Inputs!$B$31,0))),0)</f>
        <v/>
      </c>
    </row>
    <row r="861">
      <c r="A861">
        <f>Skills!A9</f>
        <v/>
      </c>
      <c r="B861">
        <f>Skills!B9</f>
        <v/>
      </c>
      <c r="C861">
        <f>Inputs!$B$3&gt;=115</f>
        <v/>
      </c>
      <c r="D861">
        <f>IF(Skills!C9=1,60+Inputs!$B$24+Inputs!$B$28,IF(Skills!C9=2,90+Inputs!$B$25+Inputs!$B$28,IF(Skills!C9=3,120+Inputs!$B$26+Inputs!$B$28,MAX(0,(Inputs!$B$3-100)*3)+Inputs!$B$27+Inputs!$B$28)))</f>
        <v/>
      </c>
      <c r="E861">
        <f>INDEX(FactorTable!$B$2:$Y$301, MATCH(ROUND(MIN(300,MAX(1,D861)),0), FactorTable!$A$2:$A$301,0), Skills!L9+1)</f>
        <v/>
      </c>
      <c r="F861">
        <f>IF(Skills!M9=TRUE,(Skills!K9/10)*(E861/1000),Skills!K9/10)+Skills!N9</f>
        <v/>
      </c>
      <c r="G861">
        <f>Calc!G9</f>
        <v/>
      </c>
      <c r="H861">
        <f>Calc!H9</f>
        <v/>
      </c>
      <c r="I861">
        <f>IF(Skills!T9&lt;&gt;"",1+(Skills!T9/10)*($Z$3/1000)/100,1)</f>
        <v/>
      </c>
      <c r="J861">
        <f>(((Inputs!$B$5+1)*(1+Inputs!$B$6/100))+((Inputs!$B$11*(1+Inputs!$B$12/100))-(Inputs!$B$11*(1+Inputs!$B$12/100)))*(1+Inputs!$B$6/100))*(F861/100)</f>
        <v/>
      </c>
      <c r="K861">
        <f>J861*(1+((Inputs!$B$11*(1+Inputs!$B$12/100))*0.01+Inputs!$B$13*0.0025)/100)*(1+(Inputs!$B$14+B883)/100)*(1+IF(Inputs!$B$4="pvp",0,(1-Summary!$B$48)*(Inputs!$B$19+Skills!O9+B881)+Summary!$B$48*(Inputs!$B$20+Skills!P9+B882))/100)*(1+Inputs!$B$15/100)*(5000/(6000+Inputs!$B$7*(1-Inputs!$B$18/100)))*(1+Inputs!$B$23/100)*(1+IF(C869=TRUE,F869,0)/100)*(1+IF(C871=TRUE,F871,0)/100)*(1+IF(Skills!A9="TRIUMPH_FEATHER",IF(C867=TRUE,F867,0),0)/100)*(1+IF(C878=TRUE,F878,0)/100)^5*(1+(IF(Skills!A9="BIG_BANG",Inputs!$B$16,Inputs!$B$17))/100)*(B880*I861)</f>
        <v/>
      </c>
      <c r="L861">
        <f>K861*(MIN(Inputs!$B$21+(F873-Calc!F21),Inputs!$B$22)/100+Inputs!$B$22/100)/2</f>
        <v/>
      </c>
      <c r="M861">
        <f>L861*(1+(Inputs!$B$9+B884+(F876-Calc!F24))/100)</f>
        <v/>
      </c>
      <c r="N861">
        <f>L861*(1-MIN(Inputs!$B$8+((F875-Calc!F23)+(F874-Calc!F22)),100)/100)+M861*(MIN(Inputs!$B$8+((F875-Calc!F23)+(F874-Calc!F22)),100)/100)</f>
        <v/>
      </c>
      <c r="O861">
        <f>IF(C861,H861*N861*IF(AND(Inputs!$B$4&lt;&gt;"pvp",Inputs!$B$35&gt;0),((Skills!F9*((S861-1)*IF(Skills!G9&gt;0,Skills!H9/Skills!G9,1)+IF(Skills!G9&gt;0,MIN(Skills!H9,MAX(0,Inputs!$B$35-((S861-1)*IF(Inputs!$B$4="pvp",15,MAX(0.1,Skills!D9-IF(Skills!E9=TRUE,Inputs!$B$31,0))))))/Skills!G9,1)))/Inputs!$B$35),G861*V861)*IF(Inputs!$B$4="pvp",1,(1-Summary!$B$48)*(1)+Summary!$B$48*(MIN(Skills!Q9,Inputs!$B$37))),0)</f>
        <v/>
      </c>
      <c r="P861">
        <f>IF(B890=0,0,O861/B890)</f>
        <v/>
      </c>
      <c r="S861">
        <f>IF(AND(Inputs!$B$4&lt;&gt;"pvp",Inputs!$B$35&gt;0),(INT(Inputs!$B$35/IF(Inputs!$B$4="pvp",15,MAX(0.1,Skills!D9-IF(Skills!E9=TRUE,Inputs!$B$31,0))))+1),0)</f>
        <v/>
      </c>
      <c r="V861">
        <f>IFERROR(1/IF(Inputs!$B$4="pvp",15,MAX(0.1,Skills!D9-IF(Skills!E9=TRUE,Inputs!$B$31,0))),0)</f>
        <v/>
      </c>
    </row>
    <row r="862">
      <c r="A862">
        <f>Skills!A10</f>
        <v/>
      </c>
      <c r="B862">
        <f>Skills!B10</f>
        <v/>
      </c>
      <c r="C862">
        <f>Inputs!$B$3&gt;=66</f>
        <v/>
      </c>
      <c r="D862">
        <f>IF(Skills!C10=1,60+Inputs!$B$24+Inputs!$B$28,IF(Skills!C10=2,90+Inputs!$B$25+Inputs!$B$28,IF(Skills!C10=3,120+Inputs!$B$26+Inputs!$B$28,MAX(0,(Inputs!$B$3-100)*3)+Inputs!$B$27+Inputs!$B$28)))</f>
        <v/>
      </c>
      <c r="E862">
        <f>INDEX(FactorTable!$B$2:$Y$301, MATCH(ROUND(MIN(300,MAX(1,D862)),0), FactorTable!$A$2:$A$301,0), Skills!L10+1)</f>
        <v/>
      </c>
      <c r="F862" t="n">
        <v>0</v>
      </c>
      <c r="G862">
        <f>Calc!G10</f>
        <v/>
      </c>
      <c r="H862">
        <f>Calc!H10</f>
        <v/>
      </c>
      <c r="I862">
        <f>IF(Skills!T10&lt;&gt;"",1+(Skills!T10/10)*($Z$3/1000)/100,1)</f>
        <v/>
      </c>
      <c r="J862" t="inlineStr"/>
      <c r="K862" t="inlineStr"/>
      <c r="L862" t="inlineStr"/>
      <c r="M862" t="inlineStr"/>
      <c r="N862" t="inlineStr"/>
      <c r="O862" t="n">
        <v>0</v>
      </c>
      <c r="P862">
        <f>IF(B890=0,0,O862/B890)</f>
        <v/>
      </c>
      <c r="S862">
        <f>IF(AND(Inputs!$B$4&lt;&gt;"pvp",Inputs!$B$35&gt;0),(INT(Inputs!$B$35/IF(Inputs!$B$4="pvp",15,MAX(0.1,Skills!D10-IF(Skills!E10=TRUE,Inputs!$B$31,0))))+1),0)</f>
        <v/>
      </c>
      <c r="V862">
        <f>IFERROR(1/IF(Inputs!$B$4="pvp",15,MAX(0.1,Skills!D10-IF(Skills!E10=TRUE,Inputs!$B$31,0))),0)</f>
        <v/>
      </c>
    </row>
    <row r="863">
      <c r="A863">
        <f>Skills!A11</f>
        <v/>
      </c>
      <c r="B863">
        <f>Skills!B11</f>
        <v/>
      </c>
      <c r="C863">
        <f>Inputs!$B$3&gt;=69</f>
        <v/>
      </c>
      <c r="D863">
        <f>IF(Skills!C11=1,60+Inputs!$B$24+Inputs!$B$28,IF(Skills!C11=2,90+Inputs!$B$25+Inputs!$B$28,IF(Skills!C11=3,120+Inputs!$B$26+Inputs!$B$28,MAX(0,(Inputs!$B$3-100)*3)+Inputs!$B$27+Inputs!$B$28)))</f>
        <v/>
      </c>
      <c r="E863">
        <f>INDEX(FactorTable!$B$2:$Y$301, MATCH(ROUND(MIN(300,MAX(1,D863)),0), FactorTable!$A$2:$A$301,0), Skills!L11+1)</f>
        <v/>
      </c>
      <c r="F863">
        <f>IF(Skills!M11=TRUE,(Skills!K11/10)*(E863/1000),Skills!K11/10)+Skills!N11</f>
        <v/>
      </c>
      <c r="G863">
        <f>Calc!G11</f>
        <v/>
      </c>
      <c r="H863">
        <f>Calc!H11</f>
        <v/>
      </c>
      <c r="I863">
        <f>IF(Skills!T11&lt;&gt;"",1+(Skills!T11/10)*($Z$3/1000)/100,1)</f>
        <v/>
      </c>
      <c r="J863" t="inlineStr"/>
      <c r="K863" t="inlineStr"/>
      <c r="L863" t="inlineStr"/>
      <c r="M863" t="inlineStr"/>
      <c r="N863" t="inlineStr"/>
      <c r="O863" t="n">
        <v>0</v>
      </c>
      <c r="P863">
        <f>IF(B890=0,0,O863/B890)</f>
        <v/>
      </c>
      <c r="S863">
        <f>IF(AND(Inputs!$B$4&lt;&gt;"pvp",Inputs!$B$35&gt;0),(INT(Inputs!$B$35/IF(Inputs!$B$4="pvp",15,MAX(0.1,Skills!D11-IF(Skills!E11=TRUE,Inputs!$B$31,0))))+1),0)</f>
        <v/>
      </c>
      <c r="V863">
        <f>IFERROR(1/IF(Inputs!$B$4="pvp",15,MAX(0.1,Skills!D11-IF(Skills!E11=TRUE,Inputs!$B$31,0))),0)</f>
        <v/>
      </c>
    </row>
    <row r="864">
      <c r="A864">
        <f>Skills!A12</f>
        <v/>
      </c>
      <c r="B864">
        <f>Skills!B12</f>
        <v/>
      </c>
      <c r="C864">
        <f>Inputs!$B$3&gt;=72</f>
        <v/>
      </c>
      <c r="D864">
        <f>IF(Skills!C12=1,60+Inputs!$B$24+Inputs!$B$28,IF(Skills!C12=2,90+Inputs!$B$25+Inputs!$B$28,IF(Skills!C12=3,120+Inputs!$B$26+Inputs!$B$28,MAX(0,(Inputs!$B$3-100)*3)+Inputs!$B$27+Inputs!$B$28)))</f>
        <v/>
      </c>
      <c r="E864">
        <f>INDEX(FactorTable!$B$2:$Y$301, MATCH(ROUND(MIN(300,MAX(1,D864)),0), FactorTable!$A$2:$A$301,0), Skills!L12+1)</f>
        <v/>
      </c>
      <c r="F864">
        <f>IF(Skills!M12=TRUE,(Skills!K12/10)*(E864/1000),Skills!K12/10)+Skills!N12</f>
        <v/>
      </c>
      <c r="G864">
        <f>Calc!G12</f>
        <v/>
      </c>
      <c r="H864">
        <f>Calc!H12</f>
        <v/>
      </c>
      <c r="I864">
        <f>IF(Skills!T12&lt;&gt;"",1+(Skills!T12/10)*($Z$3/1000)/100,1)</f>
        <v/>
      </c>
      <c r="J864" t="inlineStr"/>
      <c r="K864" t="inlineStr"/>
      <c r="L864" t="inlineStr"/>
      <c r="M864" t="inlineStr"/>
      <c r="N864" t="inlineStr"/>
      <c r="O864" t="n">
        <v>0</v>
      </c>
      <c r="P864">
        <f>IF(B890=0,0,O864/B890)</f>
        <v/>
      </c>
      <c r="S864">
        <f>IF(AND(Inputs!$B$4&lt;&gt;"pvp",Inputs!$B$35&gt;0),(INT(Inputs!$B$35/IF(Inputs!$B$4="pvp",15,MAX(0.1,Skills!D12-IF(Skills!E12=TRUE,Inputs!$B$31,0))))+1),0)</f>
        <v/>
      </c>
      <c r="V864">
        <f>IFERROR(1/IF(Inputs!$B$4="pvp",15,MAX(0.1,Skills!D12-IF(Skills!E12=TRUE,Inputs!$B$31,0))),0)</f>
        <v/>
      </c>
    </row>
    <row r="865">
      <c r="A865">
        <f>Skills!A13</f>
        <v/>
      </c>
      <c r="B865">
        <f>Skills!B13</f>
        <v/>
      </c>
      <c r="C865">
        <f>Inputs!$B$3&gt;=107</f>
        <v/>
      </c>
      <c r="D865">
        <f>IF(Skills!C13=1,60+Inputs!$B$24+Inputs!$B$28,IF(Skills!C13=2,90+Inputs!$B$25+Inputs!$B$28,IF(Skills!C13=3,120+Inputs!$B$26+Inputs!$B$28,MAX(0,(Inputs!$B$3-100)*3)+Inputs!$B$27+Inputs!$B$28)))</f>
        <v/>
      </c>
      <c r="E865">
        <f>INDEX(FactorTable!$B$2:$Y$301, MATCH(ROUND(MIN(300,MAX(1,D865)),0), FactorTable!$A$2:$A$301,0), Skills!L13+1)</f>
        <v/>
      </c>
      <c r="F865">
        <f>IF(Skills!M13=TRUE,(Skills!K13/10)*(E865/1000),Skills!K13/10)+Skills!N13</f>
        <v/>
      </c>
      <c r="G865">
        <f>Calc!G13</f>
        <v/>
      </c>
      <c r="H865">
        <f>Calc!H13</f>
        <v/>
      </c>
      <c r="I865">
        <f>IF(Skills!T13&lt;&gt;"",1+(Skills!T13/10)*($Z$3/1000)/100,1)</f>
        <v/>
      </c>
      <c r="J865" t="inlineStr"/>
      <c r="K865" t="inlineStr"/>
      <c r="L865" t="inlineStr"/>
      <c r="M865" t="inlineStr"/>
      <c r="N865" t="inlineStr"/>
      <c r="O865" t="n">
        <v>0</v>
      </c>
      <c r="P865">
        <f>IF(B890=0,0,O865/B890)</f>
        <v/>
      </c>
      <c r="S865">
        <f>IF(AND(Inputs!$B$4&lt;&gt;"pvp",Inputs!$B$35&gt;0),(INT(Inputs!$B$35/IF(Inputs!$B$4="pvp",15,MAX(0.1,Skills!D13-IF(Skills!E13=TRUE,Inputs!$B$31,0))))+1),0)</f>
        <v/>
      </c>
      <c r="V865">
        <f>IFERROR(1/IF(Inputs!$B$4="pvp",15,MAX(0.1,Skills!D13-IF(Skills!E13=TRUE,Inputs!$B$31,0))),0)</f>
        <v/>
      </c>
    </row>
    <row r="866">
      <c r="A866">
        <f>Skills!A14</f>
        <v/>
      </c>
      <c r="B866">
        <f>Skills!B14</f>
        <v/>
      </c>
      <c r="C866">
        <f>Inputs!$B$3&gt;=63</f>
        <v/>
      </c>
      <c r="D866">
        <f>IF(Skills!C14=1,60+Inputs!$B$24+Inputs!$B$28,IF(Skills!C14=2,90+Inputs!$B$25+Inputs!$B$28,IF(Skills!C14=3,120+Inputs!$B$26+Inputs!$B$28,MAX(0,(Inputs!$B$3-100)*3)+Inputs!$B$27+Inputs!$B$28)))</f>
        <v/>
      </c>
      <c r="E866">
        <f>INDEX(FactorTable!$B$2:$Y$301, MATCH(ROUND(MIN(300,MAX(1,D866)),0), FactorTable!$A$2:$A$301,0), Skills!L14+1)</f>
        <v/>
      </c>
      <c r="F866">
        <f>IF(Skills!M14=TRUE,(Skills!K14/10)*(E866/1000),Skills!K14/10)+Skills!N14</f>
        <v/>
      </c>
      <c r="G866">
        <f>Calc!G14</f>
        <v/>
      </c>
      <c r="H866">
        <f>Calc!H14</f>
        <v/>
      </c>
      <c r="I866">
        <f>IF(Skills!T14&lt;&gt;"",1+(Skills!T14/10)*($Z$3/1000)/100,1)</f>
        <v/>
      </c>
      <c r="J866">
        <f>(((Inputs!$B$5+1)*(1+Inputs!$B$6/100))+((Inputs!$B$11*(1+Inputs!$B$12/100))-(Inputs!$B$11*(1+Inputs!$B$12/100)))*(1+Inputs!$B$6/100))*(F866/100)</f>
        <v/>
      </c>
      <c r="K866">
        <f>J866*(1+((Inputs!$B$11*(1+Inputs!$B$12/100))*0.01+Inputs!$B$13*0.0025)/100)*(1+(Inputs!$B$14+B883)/100)*(1+IF(Inputs!$B$4="pvp",0,(1-Summary!$B$48)*(Inputs!$B$19+Skills!O14+B881)+Summary!$B$48*(Inputs!$B$20+Skills!P14+B882))/100)*(1+Inputs!$B$15/100)*(5000/(6000+Inputs!$B$7*(1-Inputs!$B$18/100)))*(1+Inputs!$B$23/100)*(1+IF(C869=TRUE,F869,0)/100)*(1+IF(C871=TRUE,F871,0)/100)*(1+IF(Skills!A14="TRIUMPH_FEATHER",IF(C867=TRUE,F867,0),0)/100)*(1+IF(C878=TRUE,F878,0)/100)^5*(1+(IF(Skills!A14="BIG_BANG",Inputs!$B$16,Inputs!$B$17))/100)*(B880*I866)</f>
        <v/>
      </c>
      <c r="L866">
        <f>K866*(MIN(Inputs!$B$21+(F873-Calc!F21),Inputs!$B$22)/100+Inputs!$B$22/100)/2</f>
        <v/>
      </c>
      <c r="M866">
        <f>L866*(1+(Inputs!$B$9+B884+(F876-Calc!F24))/100)</f>
        <v/>
      </c>
      <c r="N866">
        <f>L866*(1-MIN(Inputs!$B$8+((F875-Calc!F23)+(F874-Calc!F22)),100)/100)+M866*(MIN(Inputs!$B$8+((F875-Calc!F23)+(F874-Calc!F22)),100)/100)</f>
        <v/>
      </c>
      <c r="O866">
        <f>IF(C866,Skills!F14*N866*((IF(Inputs!$B$3&gt;=78,25,15)/100*B886*10)/(1+IF(Inputs!$B$3&gt;=78,25,15)/100*B886*10))*(Skills!I14/100*B886)/(1+Skills!G14*Skills!I14/100*B886)*IF(Inputs!$B$4="pvp",1,(1-Summary!$B$48)*(1)+Summary!$B$48*(MIN(Skills!Q14,Inputs!$B$37))),0)</f>
        <v/>
      </c>
      <c r="P866">
        <f>IF(B890=0,0,O866/B890)</f>
        <v/>
      </c>
      <c r="S866" t="n">
        <v>0</v>
      </c>
      <c r="V866">
        <f>IFERROR(1/IF(Inputs!$B$4="pvp",15,MAX(0.1,Skills!D14-IF(Skills!E14=TRUE,Inputs!$B$31,0))),0)</f>
        <v/>
      </c>
    </row>
    <row r="867">
      <c r="A867">
        <f>Skills!A15</f>
        <v/>
      </c>
      <c r="B867">
        <f>Skills!B15</f>
        <v/>
      </c>
      <c r="C867">
        <f>Inputs!$B$3&gt;=100</f>
        <v/>
      </c>
      <c r="D867">
        <f>IF(Skills!C15=1,60+Inputs!$B$24+Inputs!$B$28,IF(Skills!C15=2,90+Inputs!$B$25+Inputs!$B$28,IF(Skills!C15=3,120+Inputs!$B$26+Inputs!$B$28,MAX(0,(Inputs!$B$3-100)*3)+Inputs!$B$27+Inputs!$B$28)))</f>
        <v/>
      </c>
      <c r="E867">
        <f>INDEX(FactorTable!$B$2:$Y$301, MATCH(ROUND(MIN(300,MAX(1,D867)),0), FactorTable!$A$2:$A$301,0), Skills!L15+1)</f>
        <v/>
      </c>
      <c r="F867">
        <f>IF(Skills!M15=TRUE,(Skills!K15/10)*(E867/1000),Skills!K15/10)+Skills!N15</f>
        <v/>
      </c>
      <c r="G867">
        <f>Calc!G15</f>
        <v/>
      </c>
      <c r="H867">
        <f>Calc!H15</f>
        <v/>
      </c>
      <c r="I867">
        <f>IF(Skills!T15&lt;&gt;"",1+(Skills!T15/10)*($Z$3/1000)/100,1)</f>
        <v/>
      </c>
      <c r="J867" t="inlineStr"/>
      <c r="K867" t="inlineStr"/>
      <c r="L867" t="inlineStr"/>
      <c r="M867" t="inlineStr"/>
      <c r="N867" t="inlineStr"/>
      <c r="O867" t="n">
        <v>0</v>
      </c>
      <c r="P867">
        <f>IF(B890=0,0,O867/B890)</f>
        <v/>
      </c>
      <c r="S867" t="n">
        <v>0</v>
      </c>
      <c r="V867">
        <f>IFERROR(1/IF(Inputs!$B$4="pvp",15,MAX(0.1,Skills!D15-IF(Skills!E15=TRUE,Inputs!$B$31,0))),0)</f>
        <v/>
      </c>
    </row>
    <row r="868">
      <c r="A868">
        <f>Skills!A16</f>
        <v/>
      </c>
      <c r="B868">
        <f>Skills!B16</f>
        <v/>
      </c>
      <c r="C868">
        <f>Inputs!$B$3&gt;=49</f>
        <v/>
      </c>
      <c r="D868">
        <f>IF(Skills!C16=1,60+Inputs!$B$24+Inputs!$B$28,IF(Skills!C16=2,90+Inputs!$B$25+Inputs!$B$28,IF(Skills!C16=3,120+Inputs!$B$26+Inputs!$B$28,MAX(0,(Inputs!$B$3-100)*3)+Inputs!$B$27+Inputs!$B$28)))</f>
        <v/>
      </c>
      <c r="E868">
        <f>INDEX(FactorTable!$B$2:$Y$301, MATCH(ROUND(MIN(300,MAX(1,D868)),0), FactorTable!$A$2:$A$301,0), Skills!L16+1)</f>
        <v/>
      </c>
      <c r="F868">
        <f>IF(Skills!M16=TRUE,(Skills!K16/10)*(E868/1000),Skills!K16/10)+Skills!N16</f>
        <v/>
      </c>
      <c r="G868">
        <f>Calc!G16</f>
        <v/>
      </c>
      <c r="H868">
        <f>Calc!H16</f>
        <v/>
      </c>
      <c r="I868">
        <f>IF(Skills!T16&lt;&gt;"",1+(Skills!T16/10)*($Z$3/1000)/100,1)</f>
        <v/>
      </c>
      <c r="J868" t="inlineStr"/>
      <c r="K868" t="inlineStr"/>
      <c r="L868" t="inlineStr"/>
      <c r="M868" t="inlineStr"/>
      <c r="N868" t="inlineStr"/>
      <c r="O868" t="n">
        <v>0</v>
      </c>
      <c r="P868">
        <f>IF(B890=0,0,O868/B890)</f>
        <v/>
      </c>
      <c r="S868" t="n">
        <v>0</v>
      </c>
      <c r="V868">
        <f>IFERROR(1/IF(Inputs!$B$4="pvp",15,MAX(0.1,Skills!D16-IF(Skills!E16=TRUE,Inputs!$B$31,0))),0)</f>
        <v/>
      </c>
    </row>
    <row r="869">
      <c r="A869">
        <f>Skills!A17</f>
        <v/>
      </c>
      <c r="B869">
        <f>Skills!B17</f>
        <v/>
      </c>
      <c r="C869">
        <f>Inputs!$B$3&gt;=75</f>
        <v/>
      </c>
      <c r="D869">
        <f>IF(Skills!C17=1,60+Inputs!$B$24+Inputs!$B$28,IF(Skills!C17=2,90+Inputs!$B$25+Inputs!$B$28,IF(Skills!C17=3,120+Inputs!$B$26+Inputs!$B$28,MAX(0,(Inputs!$B$3-100)*3)+Inputs!$B$27+Inputs!$B$28)))</f>
        <v/>
      </c>
      <c r="E869">
        <f>INDEX(FactorTable!$B$2:$Y$301, MATCH(ROUND(MIN(300,MAX(1,D869)),0), FactorTable!$A$2:$A$301,0), Skills!L17+1)</f>
        <v/>
      </c>
      <c r="F869">
        <f>IF(Skills!M17=TRUE,(Skills!K17/10)*(E869/1000),Skills!K17/10)+Skills!N17</f>
        <v/>
      </c>
      <c r="G869">
        <f>Calc!G17</f>
        <v/>
      </c>
      <c r="H869">
        <f>Calc!H17</f>
        <v/>
      </c>
      <c r="I869">
        <f>IF(Skills!T17&lt;&gt;"",1+(Skills!T17/10)*($Z$3/1000)/100,1)</f>
        <v/>
      </c>
      <c r="J869" t="inlineStr"/>
      <c r="K869" t="inlineStr"/>
      <c r="L869" t="inlineStr"/>
      <c r="M869" t="inlineStr"/>
      <c r="N869" t="inlineStr"/>
      <c r="O869" t="n">
        <v>0</v>
      </c>
      <c r="P869">
        <f>IF(B890=0,0,O869/B890)</f>
        <v/>
      </c>
      <c r="S869" t="n">
        <v>0</v>
      </c>
      <c r="V869">
        <f>IFERROR(1/IF(Inputs!$B$4="pvp",15,MAX(0.1,Skills!D17-IF(Skills!E17=TRUE,Inputs!$B$31,0))),0)</f>
        <v/>
      </c>
    </row>
    <row r="870">
      <c r="A870">
        <f>Skills!A18</f>
        <v/>
      </c>
      <c r="B870">
        <f>Skills!B18</f>
        <v/>
      </c>
      <c r="C870">
        <f>Inputs!$B$3&gt;=110</f>
        <v/>
      </c>
      <c r="D870">
        <f>IF(Skills!C18=1,60+Inputs!$B$24+Inputs!$B$28,IF(Skills!C18=2,90+Inputs!$B$25+Inputs!$B$28,IF(Skills!C18=3,120+Inputs!$B$26+Inputs!$B$28,MAX(0,(Inputs!$B$3-100)*3)+Inputs!$B$27+Inputs!$B$28)))</f>
        <v/>
      </c>
      <c r="E870">
        <f>INDEX(FactorTable!$B$2:$Y$301, MATCH(ROUND(MIN(300,MAX(1,D870)),0), FactorTable!$A$2:$A$301,0), Skills!L18+1)</f>
        <v/>
      </c>
      <c r="F870">
        <f>(Skills!K18/10)*(E870/1000)*64/45+Skills!N18</f>
        <v/>
      </c>
      <c r="G870">
        <f>Calc!G18</f>
        <v/>
      </c>
      <c r="H870">
        <f>Calc!H18</f>
        <v/>
      </c>
      <c r="I870">
        <f>IF(Skills!T18&lt;&gt;"",1+(Skills!T18/10)*($Z$3/1000)/100,1)</f>
        <v/>
      </c>
      <c r="J870" t="inlineStr"/>
      <c r="K870" t="inlineStr"/>
      <c r="L870" t="inlineStr"/>
      <c r="M870" t="inlineStr"/>
      <c r="N870" t="inlineStr"/>
      <c r="O870" t="n">
        <v>0</v>
      </c>
      <c r="P870">
        <f>IF(B890=0,0,O870/B890)</f>
        <v/>
      </c>
      <c r="S870">
        <f>IF(AND(Inputs!$B$4&lt;&gt;"pvp",Inputs!$B$35&gt;0),(INT(Inputs!$B$35/IF(Inputs!$B$4="pvp",15,MAX(0.1,Skills!D18-IF(Skills!E18=TRUE,Inputs!$B$31,0))))+1),0)</f>
        <v/>
      </c>
      <c r="V870">
        <f>IFERROR(1/IF(Inputs!$B$4="pvp",15,MAX(0.1,Skills!D18-IF(Skills!E18=TRUE,Inputs!$B$31,0))),0)</f>
        <v/>
      </c>
    </row>
    <row r="871">
      <c r="A871">
        <f>Skills!A19</f>
        <v/>
      </c>
      <c r="B871">
        <f>Skills!B19</f>
        <v/>
      </c>
      <c r="C871">
        <f>Inputs!$B$3&gt;=125</f>
        <v/>
      </c>
      <c r="D871">
        <f>IF(Skills!C19=1,60+Inputs!$B$24+Inputs!$B$28,IF(Skills!C19=2,90+Inputs!$B$25+Inputs!$B$28,IF(Skills!C19=3,120+Inputs!$B$26+Inputs!$B$28,MAX(0,(Inputs!$B$3-100)*3)+Inputs!$B$27+Inputs!$B$28)))</f>
        <v/>
      </c>
      <c r="E871">
        <f>INDEX(FactorTable!$B$2:$Y$301, MATCH(ROUND(MIN(300,MAX(1,D871)),0), FactorTable!$A$2:$A$301,0), Skills!L19+1)</f>
        <v/>
      </c>
      <c r="F871">
        <f>IF(Skills!M19=TRUE,(Skills!K19/10)*(E871/1000),Skills!K19/10)+Skills!N19</f>
        <v/>
      </c>
      <c r="G871">
        <f>Calc!G19</f>
        <v/>
      </c>
      <c r="H871">
        <f>Calc!H19</f>
        <v/>
      </c>
      <c r="I871">
        <f>IF(Skills!T19&lt;&gt;"",1+(Skills!T19/10)*($Z$3/1000)/100,1)</f>
        <v/>
      </c>
      <c r="J871" t="inlineStr"/>
      <c r="K871" t="inlineStr"/>
      <c r="L871" t="inlineStr"/>
      <c r="M871" t="inlineStr"/>
      <c r="N871" t="inlineStr"/>
      <c r="O871" t="n">
        <v>0</v>
      </c>
      <c r="P871">
        <f>IF(B890=0,0,O871/B890)</f>
        <v/>
      </c>
      <c r="S871" t="n">
        <v>0</v>
      </c>
      <c r="V871">
        <f>IFERROR(1/IF(Inputs!$B$4="pvp",15,MAX(0.1,Skills!D19-IF(Skills!E19=TRUE,Inputs!$B$31,0))),0)</f>
        <v/>
      </c>
    </row>
    <row r="872">
      <c r="A872">
        <f>Skills!A20</f>
        <v/>
      </c>
      <c r="B872">
        <f>Skills!B20</f>
        <v/>
      </c>
      <c r="C872">
        <f>Inputs!$B$3&gt;=33</f>
        <v/>
      </c>
      <c r="D872">
        <f>IF(Skills!C20=1,60+Inputs!$B$24+Inputs!$B$28,IF(Skills!C20=2,90+Inputs!$B$25+Inputs!$B$28,IF(Skills!C20=3,120+Inputs!$B$26+Inputs!$B$28,MAX(0,(Inputs!$B$3-100)*3)+Inputs!$B$27+Inputs!$B$28)))</f>
        <v/>
      </c>
      <c r="E872">
        <f>INDEX(FactorTable!$B$2:$Y$301, MATCH(ROUND(MIN(300,MAX(1,D872)),0), FactorTable!$A$2:$A$301,0), Skills!L20+1)</f>
        <v/>
      </c>
      <c r="F872">
        <f>IF(Skills!M20=TRUE,(Skills!K20/10)*(E872/1000),Skills!K20/10)+Skills!N20</f>
        <v/>
      </c>
      <c r="G872">
        <f>Calc!G20</f>
        <v/>
      </c>
      <c r="H872">
        <f>Calc!H20</f>
        <v/>
      </c>
      <c r="I872">
        <f>IF(Skills!T20&lt;&gt;"",1+(Skills!T20/10)*($Z$3/1000)/100,1)</f>
        <v/>
      </c>
      <c r="J872" t="inlineStr"/>
      <c r="K872" t="inlineStr"/>
      <c r="L872" t="inlineStr"/>
      <c r="M872" t="inlineStr"/>
      <c r="N872" t="inlineStr"/>
      <c r="O872" t="n">
        <v>0</v>
      </c>
      <c r="P872">
        <f>IF(B890=0,0,O872/B890)</f>
        <v/>
      </c>
      <c r="S872" t="n">
        <v>0</v>
      </c>
      <c r="V872">
        <f>IFERROR(1/IF(Inputs!$B$4="pvp",15,MAX(0.1,Skills!D20-IF(Skills!E20=TRUE,Inputs!$B$31,0))),0)</f>
        <v/>
      </c>
    </row>
    <row r="873">
      <c r="A873">
        <f>Skills!A21</f>
        <v/>
      </c>
      <c r="B873">
        <f>Skills!B21</f>
        <v/>
      </c>
      <c r="C873">
        <f>Inputs!$B$3&gt;=43</f>
        <v/>
      </c>
      <c r="D873">
        <f>IF(Skills!C21=1,60+Inputs!$B$24+Inputs!$B$28,IF(Skills!C21=2,90+Inputs!$B$25+Inputs!$B$28,IF(Skills!C21=3,120+Inputs!$B$26+Inputs!$B$28,MAX(0,(Inputs!$B$3-100)*3)+Inputs!$B$27+Inputs!$B$28)))</f>
        <v/>
      </c>
      <c r="E873">
        <f>INDEX(FactorTable!$B$2:$Y$301, MATCH(ROUND(MIN(300,MAX(1,D873)),0), FactorTable!$A$2:$A$301,0), Skills!L21+1)</f>
        <v/>
      </c>
      <c r="F873">
        <f>IF(Skills!M21=TRUE,(Skills!K21/10)*(E873/1000),Skills!K21/10)+Skills!N21</f>
        <v/>
      </c>
      <c r="G873">
        <f>Calc!G21</f>
        <v/>
      </c>
      <c r="H873">
        <f>Calc!H21</f>
        <v/>
      </c>
      <c r="I873">
        <f>IF(Skills!T21&lt;&gt;"",1+(Skills!T21/10)*($Z$3/1000)/100,1)</f>
        <v/>
      </c>
      <c r="J873" t="inlineStr"/>
      <c r="K873" t="inlineStr"/>
      <c r="L873" t="inlineStr"/>
      <c r="M873" t="inlineStr"/>
      <c r="N873" t="inlineStr"/>
      <c r="O873" t="n">
        <v>0</v>
      </c>
      <c r="P873">
        <f>IF(B890=0,0,O873/B890)</f>
        <v/>
      </c>
      <c r="S873" t="n">
        <v>0</v>
      </c>
      <c r="V873">
        <f>IFERROR(1/IF(Inputs!$B$4="pvp",15,MAX(0.1,Skills!D21-IF(Skills!E21=TRUE,Inputs!$B$31,0))),0)</f>
        <v/>
      </c>
    </row>
    <row r="874">
      <c r="A874">
        <f>Skills!A22</f>
        <v/>
      </c>
      <c r="B874">
        <f>Skills!B22</f>
        <v/>
      </c>
      <c r="C874">
        <f>Inputs!$B$3&gt;=50</f>
        <v/>
      </c>
      <c r="D874">
        <f>IF(Skills!C22=1,60+Inputs!$B$24+Inputs!$B$28,IF(Skills!C22=2,90+Inputs!$B$25+Inputs!$B$28,IF(Skills!C22=3,120+Inputs!$B$26+Inputs!$B$28,MAX(0,(Inputs!$B$3-100)*3)+Inputs!$B$27+Inputs!$B$28)))</f>
        <v/>
      </c>
      <c r="E874">
        <f>INDEX(FactorTable!$B$2:$Y$301, MATCH(ROUND(MIN(300,MAX(1,D874)),0), FactorTable!$A$2:$A$301,0), Skills!L22+1)</f>
        <v/>
      </c>
      <c r="F874">
        <f>IF(Skills!M22=TRUE,(Skills!K22/10)*(E874/1000),Skills!K22/10)+Skills!N22</f>
        <v/>
      </c>
      <c r="G874">
        <f>Calc!G22</f>
        <v/>
      </c>
      <c r="H874">
        <f>Calc!H22</f>
        <v/>
      </c>
      <c r="I874">
        <f>IF(Skills!T22&lt;&gt;"",1+(Skills!T22/10)*($Z$3/1000)/100,1)</f>
        <v/>
      </c>
      <c r="J874" t="inlineStr"/>
      <c r="K874" t="inlineStr"/>
      <c r="L874" t="inlineStr"/>
      <c r="M874" t="inlineStr"/>
      <c r="N874" t="inlineStr"/>
      <c r="O874" t="n">
        <v>0</v>
      </c>
      <c r="P874">
        <f>IF(B890=0,0,O874/B890)</f>
        <v/>
      </c>
      <c r="S874" t="n">
        <v>0</v>
      </c>
      <c r="V874">
        <f>IFERROR(1/IF(Inputs!$B$4="pvp",15,MAX(0.1,Skills!D22-IF(Skills!E22=TRUE,Inputs!$B$31,0))),0)</f>
        <v/>
      </c>
    </row>
    <row r="875">
      <c r="A875">
        <f>Skills!A23</f>
        <v/>
      </c>
      <c r="B875">
        <f>Skills!B23</f>
        <v/>
      </c>
      <c r="C875">
        <f>Inputs!$B$3&gt;=74</f>
        <v/>
      </c>
      <c r="D875">
        <f>IF(Skills!C23=1,60+Inputs!$B$24+Inputs!$B$28,IF(Skills!C23=2,90+Inputs!$B$25+Inputs!$B$28,IF(Skills!C23=3,120+Inputs!$B$26+Inputs!$B$28,MAX(0,(Inputs!$B$3-100)*3)+Inputs!$B$27+Inputs!$B$28)))</f>
        <v/>
      </c>
      <c r="E875">
        <f>INDEX(FactorTable!$B$2:$Y$301, MATCH(ROUND(MIN(300,MAX(1,D875)),0), FactorTable!$A$2:$A$301,0), Skills!L23+1)</f>
        <v/>
      </c>
      <c r="F875">
        <f>IF(Skills!M23=TRUE,(Skills!K23/10)*(E875/1000),Skills!K23/10)+Skills!N23</f>
        <v/>
      </c>
      <c r="G875">
        <f>Calc!G23</f>
        <v/>
      </c>
      <c r="H875">
        <f>Calc!H23</f>
        <v/>
      </c>
      <c r="I875">
        <f>IF(Skills!T23&lt;&gt;"",1+(Skills!T23/10)*($Z$3/1000)/100,1)</f>
        <v/>
      </c>
      <c r="J875" t="inlineStr"/>
      <c r="K875" t="inlineStr"/>
      <c r="L875" t="inlineStr"/>
      <c r="M875" t="inlineStr"/>
      <c r="N875" t="inlineStr"/>
      <c r="O875" t="n">
        <v>0</v>
      </c>
      <c r="P875">
        <f>IF(B890=0,0,O875/B890)</f>
        <v/>
      </c>
      <c r="S875" t="n">
        <v>0</v>
      </c>
      <c r="V875">
        <f>IFERROR(1/IF(Inputs!$B$4="pvp",15,MAX(0.1,Skills!D23-IF(Skills!E23=TRUE,Inputs!$B$31,0))),0)</f>
        <v/>
      </c>
    </row>
    <row r="876">
      <c r="A876">
        <f>Skills!A24</f>
        <v/>
      </c>
      <c r="B876">
        <f>Skills!B24</f>
        <v/>
      </c>
      <c r="C876">
        <f>Inputs!$B$3&gt;=74</f>
        <v/>
      </c>
      <c r="D876">
        <f>IF(Skills!C24=1,60+Inputs!$B$24+Inputs!$B$28,IF(Skills!C24=2,90+Inputs!$B$25+Inputs!$B$28,IF(Skills!C24=3,120+Inputs!$B$26+Inputs!$B$28,MAX(0,(Inputs!$B$3-100)*3)+Inputs!$B$27+Inputs!$B$28)))</f>
        <v/>
      </c>
      <c r="E876">
        <f>INDEX(FactorTable!$B$2:$Y$301, MATCH(ROUND(MIN(300,MAX(1,D876)),0), FactorTable!$A$2:$A$301,0), Skills!L24+1)</f>
        <v/>
      </c>
      <c r="F876">
        <f>IF(Skills!M24=TRUE,(Skills!K24/10)*(E876/1000),Skills!K24/10)+Skills!N24</f>
        <v/>
      </c>
      <c r="G876">
        <f>Calc!G24</f>
        <v/>
      </c>
      <c r="H876">
        <f>Calc!H24</f>
        <v/>
      </c>
      <c r="I876">
        <f>IF(Skills!T24&lt;&gt;"",1+(Skills!T24/10)*($Z$3/1000)/100,1)</f>
        <v/>
      </c>
      <c r="J876" t="inlineStr"/>
      <c r="K876" t="inlineStr"/>
      <c r="L876" t="inlineStr"/>
      <c r="M876" t="inlineStr"/>
      <c r="N876" t="inlineStr"/>
      <c r="O876" t="n">
        <v>0</v>
      </c>
      <c r="P876">
        <f>IF(B890=0,0,O876/B890)</f>
        <v/>
      </c>
      <c r="S876" t="n">
        <v>0</v>
      </c>
      <c r="V876">
        <f>IFERROR(1/IF(Inputs!$B$4="pvp",15,MAX(0.1,Skills!D24-IF(Skills!E24=TRUE,Inputs!$B$31,0))),0)</f>
        <v/>
      </c>
    </row>
    <row r="877">
      <c r="A877">
        <f>Skills!A25</f>
        <v/>
      </c>
      <c r="B877">
        <f>Skills!B25</f>
        <v/>
      </c>
      <c r="C877">
        <f>Inputs!$B$3&gt;=117</f>
        <v/>
      </c>
      <c r="D877">
        <f>IF(Skills!C25=1,60+Inputs!$B$24+Inputs!$B$28,IF(Skills!C25=2,90+Inputs!$B$25+Inputs!$B$28,IF(Skills!C25=3,120+Inputs!$B$26+Inputs!$B$28,MAX(0,(Inputs!$B$3-100)*3)+Inputs!$B$27+Inputs!$B$28)))</f>
        <v/>
      </c>
      <c r="E877">
        <f>INDEX(FactorTable!$B$2:$Y$301, MATCH(ROUND(MIN(300,MAX(1,D877)),0), FactorTable!$A$2:$A$301,0), Skills!L25+1)</f>
        <v/>
      </c>
      <c r="F877">
        <f>IF(Skills!M25=TRUE,(Skills!K25/10)*(E877/1000),Skills!K25/10)+Skills!N25</f>
        <v/>
      </c>
      <c r="G877">
        <f>Calc!G25</f>
        <v/>
      </c>
      <c r="H877">
        <f>Calc!H25</f>
        <v/>
      </c>
      <c r="I877">
        <f>IF(Skills!T25&lt;&gt;"",1+(Skills!T25/10)*($Z$3/1000)/100,1)</f>
        <v/>
      </c>
      <c r="J877" t="inlineStr"/>
      <c r="K877" t="inlineStr"/>
      <c r="L877" t="inlineStr"/>
      <c r="M877" t="inlineStr"/>
      <c r="N877" t="inlineStr"/>
      <c r="O877" t="n">
        <v>0</v>
      </c>
      <c r="P877">
        <f>IF(B890=0,0,O877/B890)</f>
        <v/>
      </c>
      <c r="S877" t="n">
        <v>0</v>
      </c>
      <c r="V877">
        <f>IFERROR(1/IF(Inputs!$B$4="pvp",15,MAX(0.1,Skills!D25-IF(Skills!E25=TRUE,Inputs!$B$31,0))),0)</f>
        <v/>
      </c>
    </row>
    <row r="878">
      <c r="A878">
        <f>Skills!A26</f>
        <v/>
      </c>
      <c r="B878">
        <f>Skills!B26</f>
        <v/>
      </c>
      <c r="C878">
        <f>Inputs!$B$3&gt;=120</f>
        <v/>
      </c>
      <c r="D878">
        <f>IF(Skills!C26=1,60+Inputs!$B$24+Inputs!$B$28,IF(Skills!C26=2,90+Inputs!$B$25+Inputs!$B$28,IF(Skills!C26=3,120+Inputs!$B$26+Inputs!$B$28,MAX(0,(Inputs!$B$3-100)*3)+Inputs!$B$27+Inputs!$B$28)))</f>
        <v/>
      </c>
      <c r="E878">
        <f>INDEX(FactorTable!$B$2:$Y$301, MATCH(ROUND(MIN(300,MAX(1,D878)),0), FactorTable!$A$2:$A$301,0), Skills!L26+1)</f>
        <v/>
      </c>
      <c r="F878">
        <f>IF(Skills!M26=TRUE,(Skills!K26/10)*(E878/1000),Skills!K26/10)+Skills!N26</f>
        <v/>
      </c>
      <c r="G878">
        <f>Calc!G26</f>
        <v/>
      </c>
      <c r="H878">
        <f>Calc!H26</f>
        <v/>
      </c>
      <c r="I878">
        <f>IF(Skills!T26&lt;&gt;"",1+(Skills!T26/10)*($Z$3/1000)/100,1)</f>
        <v/>
      </c>
      <c r="J878" t="inlineStr"/>
      <c r="K878" t="inlineStr"/>
      <c r="L878" t="inlineStr"/>
      <c r="M878" t="inlineStr"/>
      <c r="N878" t="inlineStr"/>
      <c r="O878" t="n">
        <v>0</v>
      </c>
      <c r="P878">
        <f>IF(B890=0,0,O878/B890)</f>
        <v/>
      </c>
      <c r="S878" t="n">
        <v>0</v>
      </c>
      <c r="V878">
        <f>IFERROR(1/IF(Inputs!$B$4="pvp",15,MAX(0.1,Skills!D26-IF(Skills!E26=TRUE,Inputs!$B$31,0))),0)</f>
        <v/>
      </c>
    </row>
    <row r="880">
      <c r="A880" t="inlineStr">
        <is>
          <t>Average Buff Multiplier</t>
        </is>
      </c>
      <c r="B880">
        <f>(1+(IF(C855=TRUE,F855*IF(AND(Inputs!$B$4&lt;&gt;"pvp",Inputs!$B$35&gt;0),(((S855-1)*(Skills!S3*(1+(Inputs!$B$33+IF(Inputs!$B$3&gt;=117,F877,0))/100))+MIN((Skills!S3*(1+(Inputs!$B$33+IF(Inputs!$B$3&gt;=117,F877,0))/100)),MAX(0,Inputs!$B$35-((S855-1)*Skills!D3))))/Inputs!$B$35),IF(Inputs!$B$4="pvp",MIN((Skills!S3*(1+(Inputs!$B$33+IF(Inputs!$B$3&gt;=117,F877,0))/100)),15)/15,(Skills!S3*(1+(Inputs!$B$33+IF(Inputs!$B$3&gt;=117,F877,0))/100))/Skills!D3)),0)+IF(C856=TRUE,F856*IF(AND(Inputs!$B$4&lt;&gt;"pvp",Inputs!$B$35&gt;0),(((S856-1)*(Skills!S4*(1+(Inputs!$B$33+IF(Inputs!$B$3&gt;=117,F877,0))/100))+MIN((Skills!S4*(1+(Inputs!$B$33+IF(Inputs!$B$3&gt;=117,F877,0))/100)),MAX(0,Inputs!$B$35-((S856-1)*Skills!D4))))/Inputs!$B$35),IF(Inputs!$B$4="pvp",MIN((Skills!S4*(1+(Inputs!$B$33+IF(Inputs!$B$3&gt;=117,F877,0))/100)),15)/15,(Skills!S4*(1+(Inputs!$B$33+IF(Inputs!$B$3&gt;=117,F877,0))/100))/Skills!D4)),0)+IF(C857=TRUE,F857*IF(AND(Inputs!$B$4&lt;&gt;"pvp",Inputs!$B$35&gt;0),(((S857-1)*(Skills!S5*(1+(Inputs!$B$33+IF(Inputs!$B$3&gt;=117,F877,0))/100))+MIN((Skills!S5*(1+(Inputs!$B$33+IF(Inputs!$B$3&gt;=117,F877,0))/100)),MAX(0,Inputs!$B$35-((S857-1)*Skills!D5))))/Inputs!$B$35),IF(Inputs!$B$4="pvp",MIN((Skills!S5*(1+(Inputs!$B$33+IF(Inputs!$B$3&gt;=117,F877,0))/100)),15)/15,(Skills!S5*(1+(Inputs!$B$33+IF(Inputs!$B$3&gt;=117,F877,0))/100))/Skills!D5)),0)+IF(C863=TRUE,F863*IF(AND(Inputs!$B$4&lt;&gt;"pvp",Inputs!$B$35&gt;0),(((S863-1)*(Skills!S11*(1+(Inputs!$B$33+IF(Inputs!$B$3&gt;=117,F877,0))/100))+MIN((Skills!S11*(1+(Inputs!$B$33+IF(Inputs!$B$3&gt;=117,F877,0))/100)),MAX(0,Inputs!$B$35-((S863-1)*Skills!D11))))/Inputs!$B$35),IF(Inputs!$B$4="pvp",MIN((Skills!S11*(1+(Inputs!$B$33+IF(Inputs!$B$3&gt;=117,F877,0))/100)),15)/15,(Skills!S11*(1+(Inputs!$B$33+IF(Inputs!$B$3&gt;=117,F877,0))/100))/Skills!D11)),0))/100)*IF(C865=TRUE,(1+F865*IF(AND(Inputs!$B$4&lt;&gt;"pvp",Inputs!$B$35&gt;0),(((S865-1)*(Skills!S13*(1+(Inputs!$B$33+IF(Inputs!$B$3&gt;=117,F877,0))/100))+MIN((Skills!S13*(1+(Inputs!$B$33+IF(Inputs!$B$3&gt;=117,F877,0))/100)),MAX(0,Inputs!$B$35-((S865-1)*Skills!D13))))/Inputs!$B$35),IF(Inputs!$B$4="pvp",MIN((Skills!S13*(1+(Inputs!$B$33+IF(Inputs!$B$3&gt;=117,F877,0))/100)),15)/15,(Skills!S13*(1+(Inputs!$B$33+IF(Inputs!$B$3&gt;=117,F877,0))/100))/Skills!D13))/100),1)*IF(C870=TRUE,(1+F870*IF(AND(Inputs!$B$4&lt;&gt;"pvp",Inputs!$B$35&gt;0),(((S870-1)*(Skills!S18*(1+(Inputs!$B$33+IF(Inputs!$B$3&gt;=117,F877,0))/100))+MIN((Skills!S18*(1+(Inputs!$B$33+IF(Inputs!$B$3&gt;=117,F877,0))/100)),MAX(0,Inputs!$B$35-((S870-1)*Skills!D18))))/Inputs!$B$35),IF(Inputs!$B$4="pvp",MIN((Skills!S18*(1+(Inputs!$B$33+IF(Inputs!$B$3&gt;=117,F877,0))/100)),15)/15,(Skills!S18*(1+(Inputs!$B$33+IF(Inputs!$B$3&gt;=117,F877,0))/100))/Skills!D18))/100),1)</f>
        <v/>
      </c>
    </row>
    <row r="881">
      <c r="A881" t="inlineStr">
        <is>
          <t>Monster Damage Taken Bonus % (Holy Fountain)</t>
        </is>
      </c>
      <c r="B881">
        <f>IF(Inputs!$B$3&gt;=68,20*IF(Inputs!$B$4="pvp",MIN((15*(1+(Inputs!$B$33+IF(Inputs!$B$3&gt;=117,F877,0))/100)),15)/15,(15*(1+(Inputs!$B$33+IF(Inputs!$B$3&gt;=117,F877,0))/100))/Skills!D10),0)</f>
        <v/>
      </c>
    </row>
    <row r="882">
      <c r="A882" t="inlineStr">
        <is>
          <t>Normal Monster Damage Bonus % (Holy Symbol)</t>
        </is>
      </c>
      <c r="B882">
        <f>IF(C864=TRUE,F864*IF(AND(Inputs!$B$4&lt;&gt;"pvp",Inputs!$B$35&gt;0),(((S864-1)*(Skills!S12*(1+(Inputs!$B$33+IF(Inputs!$B$3&gt;=117,F877,0))/100))+MIN((Skills!S12*(1+(Inputs!$B$33+IF(Inputs!$B$3&gt;=117,F877,0))/100)),MAX(0,Inputs!$B$35-((S864-1)*Skills!D12))))/Inputs!$B$35),IF(Inputs!$B$4="pvp",MIN((Skills!S12*(1+(Inputs!$B$33+IF(Inputs!$B$3&gt;=117,F877,0))/100)),15)/15,(Skills!S12*(1+(Inputs!$B$33+IF(Inputs!$B$3&gt;=117,F877,0))/100))/Skills!D12)),0)</f>
        <v/>
      </c>
    </row>
    <row r="883">
      <c r="A883" t="inlineStr">
        <is>
          <t>Damage % Bonus (Holy Symbol - Damage Boost)</t>
        </is>
      </c>
      <c r="B883">
        <f>Skills!O12</f>
        <v/>
      </c>
    </row>
    <row r="884">
      <c r="A884" t="inlineStr">
        <is>
          <t>Crit Damage % Bonus (Blood of the Divine)</t>
        </is>
      </c>
      <c r="B884">
        <f>4*IF(C871=TRUE,F871,0)</f>
        <v/>
      </c>
    </row>
    <row r="885">
      <c r="A885" t="inlineStr">
        <is>
          <t>Attack Speed Bonus %</t>
        </is>
      </c>
      <c r="B885">
        <f>IF(C868=TRUE,F868+(F872-Calc!F20),0)+IF(Inputs!$B$3&gt;=134,15,0)</f>
        <v/>
      </c>
    </row>
    <row r="886">
      <c r="A886" t="inlineStr">
        <is>
          <t>Actions Per Second</t>
        </is>
      </c>
      <c r="B886">
        <f>1+MIN(150,150*(1-(1-Inputs!$B$10/150)*(1-B885/150)))/100</f>
        <v/>
      </c>
    </row>
    <row r="887">
      <c r="A887" t="inlineStr">
        <is>
          <t>Skill + Buff Cast Rate</t>
        </is>
      </c>
      <c r="B887">
        <f>IF(AND(Inputs!$B$4&lt;&gt;"pvp",Inputs!$B$35&gt;0),SUMPRODUCT((Skills!E2:E26=TRUE)*(C854:C878=TRUE)*S854:S878)/Inputs!$B$35,SUMPRODUCT((Skills!E2:E26=TRUE)*(C854:C878=TRUE)*V854:V878))</f>
        <v/>
      </c>
    </row>
    <row r="888">
      <c r="A888" t="inlineStr">
        <is>
          <t>Big Bang Casts Per Second</t>
        </is>
      </c>
      <c r="B888">
        <f>MAX(0,B886-B887)</f>
        <v/>
      </c>
    </row>
    <row r="890">
      <c r="A890" s="5" t="inlineStr">
        <is>
          <t>TOTAL DPS</t>
        </is>
      </c>
      <c r="B890" s="5">
        <f>SUM(O854:O878)</f>
        <v/>
      </c>
    </row>
    <row r="893">
      <c r="A893" s="5" t="inlineStr">
        <is>
          <t>Stat: ATTACK %</t>
        </is>
      </c>
    </row>
    <row r="894">
      <c r="A894" s="8" t="inlineStr">
        <is>
          <t>Key</t>
        </is>
      </c>
      <c r="B894" s="8" t="inlineStr">
        <is>
          <t>Name</t>
        </is>
      </c>
      <c r="C894" s="8" t="inlineStr">
        <is>
          <t>Unlocked</t>
        </is>
      </c>
      <c r="D894" s="8" t="inlineStr">
        <is>
          <t>InputLevel</t>
        </is>
      </c>
      <c r="E894" s="8" t="inlineStr">
        <is>
          <t>Factor</t>
        </is>
      </c>
      <c r="F894" s="8" t="inlineStr">
        <is>
          <t>CoefficientPercent</t>
        </is>
      </c>
      <c r="G894" s="8" t="inlineStr">
        <is>
          <t>EffectiveHits</t>
        </is>
      </c>
      <c r="H894" s="8" t="inlineStr">
        <is>
          <t>ProcProbability</t>
        </is>
      </c>
      <c r="I894" s="8" t="inlineStr">
        <is>
          <t>MapleHeroMultiplier</t>
        </is>
      </c>
      <c r="J894" s="8" t="inlineStr">
        <is>
          <t>BaseDamage</t>
        </is>
      </c>
      <c r="K894" s="8" t="inlineStr">
        <is>
          <t>BaseHitDamage</t>
        </is>
      </c>
      <c r="L894" s="8" t="inlineStr">
        <is>
          <t>NonCritAvg</t>
        </is>
      </c>
      <c r="M894" s="8" t="inlineStr">
        <is>
          <t>CritAvg</t>
        </is>
      </c>
      <c r="N894" s="8" t="inlineStr">
        <is>
          <t>ExpectedDamage(perHit)</t>
        </is>
      </c>
      <c r="O894" s="8" t="inlineStr">
        <is>
          <t>DPS</t>
        </is>
      </c>
      <c r="P894" s="8" t="inlineStr">
        <is>
          <t>% of Total</t>
        </is>
      </c>
      <c r="R894" t="inlineStr">
        <is>
          <t>helpers</t>
        </is>
      </c>
    </row>
    <row r="895">
      <c r="A895">
        <f>Skills!A2</f>
        <v/>
      </c>
      <c r="B895">
        <f>Skills!B2</f>
        <v/>
      </c>
      <c r="C895">
        <f>Inputs!$B$3&gt;=100</f>
        <v/>
      </c>
      <c r="D895" t="inlineStr"/>
      <c r="E895" t="inlineStr"/>
      <c r="F895">
        <f>T897+Skills!N2</f>
        <v/>
      </c>
      <c r="G895">
        <f>Calc!G2</f>
        <v/>
      </c>
      <c r="H895">
        <f>Calc!H2</f>
        <v/>
      </c>
      <c r="I895">
        <f>IF(Skills!T2&lt;&gt;"",1+(Skills!T2/10)*($Z$3/1000)/100,1)</f>
        <v/>
      </c>
      <c r="J895">
        <f>((Inputs!$B$5*(1+(Inputs!$B$6+1)/100))+((Inputs!$B$11*(1+Inputs!$B$12/100))-(Inputs!$B$11*(1+Inputs!$B$12/100)))*(1+(Inputs!$B$6+1)/100))*(F895/100)</f>
        <v/>
      </c>
      <c r="K895">
        <f>J895*(1+((Inputs!$B$11*(1+Inputs!$B$12/100))*0.01+Inputs!$B$13*0.0025)/100)*(1+(Inputs!$B$14+B924)/100)*(1+IF(Inputs!$B$4="pvp",0,(1-Summary!$B$48)*(Inputs!$B$19+Skills!O2+B922)+Summary!$B$48*(Inputs!$B$20+Skills!P2+B923))/100)*(1+Inputs!$B$15/100)*(5000/(6000+Inputs!$B$7*(1-Inputs!$B$18/100)))*(1+Inputs!$B$23/100)*(1+IF(C910=TRUE,F910,0)/100)*(1+IF(C912=TRUE,F912,0)/100)*(1+IF(Skills!A2="TRIUMPH_FEATHER",IF(C908=TRUE,F908,0),0)/100)*(1+IF(C919=TRUE,F919,0)/100)^5*(1+(IF(Skills!A2="BIG_BANG",Inputs!$B$16,Inputs!$B$17))/100)*(B921*I895)</f>
        <v/>
      </c>
      <c r="L895">
        <f>K895*(MIN(Inputs!$B$21+(F914-Calc!F21),Inputs!$B$22)/100+Inputs!$B$22/100)/2</f>
        <v/>
      </c>
      <c r="M895">
        <f>L895*(1+(Inputs!$B$9+B925+(F917-Calc!F24))/100)</f>
        <v/>
      </c>
      <c r="N895">
        <f>L895*(1-MIN(Inputs!$B$8+((F916-Calc!F23)+(F915-Calc!F22)),100)/100)+M895*(MIN(Inputs!$B$8+((F916-Calc!F23)+(F915-Calc!F22)),100)/100)</f>
        <v/>
      </c>
      <c r="O895">
        <f>IF(C895,Skills!F2*N895*B929*IF(Inputs!$B$4="pvp",1,(1-Summary!$B$48)*(1)+Summary!$B$48*(MIN((6+Inputs!$B$32),Inputs!$B$37))),0)</f>
        <v/>
      </c>
      <c r="P895">
        <f>IF(B931=0,0,O895/B931)</f>
        <v/>
      </c>
      <c r="S895" t="n">
        <v>0</v>
      </c>
      <c r="T895">
        <f>MAX(0,(Inputs!$B$3-100)*3)+Inputs!$B$27+Inputs!$B$28</f>
        <v/>
      </c>
      <c r="V895">
        <f>IFERROR(1/IF(Inputs!$B$4="pvp",15,MAX(0.1,Skills!D2-IF(Skills!E2=TRUE,Inputs!$B$31,0))),0)</f>
        <v/>
      </c>
    </row>
    <row r="896">
      <c r="A896">
        <f>Skills!A3</f>
        <v/>
      </c>
      <c r="B896">
        <f>Skills!B3</f>
        <v/>
      </c>
      <c r="C896">
        <f>Inputs!$B$3&gt;=15</f>
        <v/>
      </c>
      <c r="D896">
        <f>IF(Skills!C3=1,60+Inputs!$B$24+Inputs!$B$28,IF(Skills!C3=2,90+Inputs!$B$25+Inputs!$B$28,IF(Skills!C3=3,120+Inputs!$B$26+Inputs!$B$28,MAX(0,(Inputs!$B$3-100)*3)+Inputs!$B$27+Inputs!$B$28)))</f>
        <v/>
      </c>
      <c r="E896">
        <f>INDEX(FactorTable!$B$2:$Y$301, MATCH(ROUND(MIN(300,MAX(1,D896)),0), FactorTable!$A$2:$A$301,0), Skills!L3+1)</f>
        <v/>
      </c>
      <c r="F896">
        <f>IF(Skills!M3=TRUE,(Skills!K3/10)*(E896/1000),Skills!K3/10)+Skills!N3</f>
        <v/>
      </c>
      <c r="G896">
        <f>Calc!G3</f>
        <v/>
      </c>
      <c r="H896">
        <f>Calc!H3</f>
        <v/>
      </c>
      <c r="I896">
        <f>IF(Skills!T3&lt;&gt;"",1+(Skills!T3/10)*($Z$3/1000)/100,1)</f>
        <v/>
      </c>
      <c r="J896" t="inlineStr"/>
      <c r="K896" t="inlineStr"/>
      <c r="L896" t="inlineStr"/>
      <c r="M896" t="inlineStr"/>
      <c r="N896" t="inlineStr"/>
      <c r="O896" t="n">
        <v>0</v>
      </c>
      <c r="P896">
        <f>IF(B931=0,0,O896/B931)</f>
        <v/>
      </c>
      <c r="S896">
        <f>IF(AND(Inputs!$B$4&lt;&gt;"pvp",Inputs!$B$35&gt;0),(INT(Inputs!$B$35/IF(Inputs!$B$4="pvp",15,MAX(0.1,Skills!D3-IF(Skills!E3=TRUE,Inputs!$B$31,0))))+1),0)</f>
        <v/>
      </c>
      <c r="T896">
        <f>INDEX(FactorTable!$B$2:$Y$301, MATCH(ROUND(MIN(300,MAX(1,T895)),0), FactorTable!$A$2:$A$301,0), 22)</f>
        <v/>
      </c>
      <c r="V896">
        <f>IFERROR(1/IF(Inputs!$B$4="pvp",15,MAX(0.1,Skills!D3-IF(Skills!E3=TRUE,Inputs!$B$31,0))),0)</f>
        <v/>
      </c>
    </row>
    <row r="897">
      <c r="A897">
        <f>Skills!A4</f>
        <v/>
      </c>
      <c r="B897">
        <f>Skills!B4</f>
        <v/>
      </c>
      <c r="C897">
        <f>Inputs!$B$3&gt;=38</f>
        <v/>
      </c>
      <c r="D897">
        <f>IF(Skills!C4=1,60+Inputs!$B$24+Inputs!$B$28,IF(Skills!C4=2,90+Inputs!$B$25+Inputs!$B$28,IF(Skills!C4=3,120+Inputs!$B$26+Inputs!$B$28,MAX(0,(Inputs!$B$3-100)*3)+Inputs!$B$27+Inputs!$B$28)))</f>
        <v/>
      </c>
      <c r="E897">
        <f>INDEX(FactorTable!$B$2:$Y$301, MATCH(ROUND(MIN(300,MAX(1,D897)),0), FactorTable!$A$2:$A$301,0), Skills!L4+1)</f>
        <v/>
      </c>
      <c r="F897">
        <f>IF(Skills!M4=TRUE,(Skills!K4/10)*(E897/1000),Skills!K4/10)+Skills!N4</f>
        <v/>
      </c>
      <c r="G897">
        <f>Calc!G4</f>
        <v/>
      </c>
      <c r="H897">
        <f>Calc!H4</f>
        <v/>
      </c>
      <c r="I897">
        <f>IF(Skills!T4&lt;&gt;"",1+(Skills!T4/10)*($Z$3/1000)/100,1)</f>
        <v/>
      </c>
      <c r="J897" t="inlineStr"/>
      <c r="K897" t="inlineStr"/>
      <c r="L897" t="inlineStr"/>
      <c r="M897" t="inlineStr"/>
      <c r="N897" t="inlineStr"/>
      <c r="O897" t="n">
        <v>0</v>
      </c>
      <c r="P897">
        <f>IF(B931=0,0,O897/B931)</f>
        <v/>
      </c>
      <c r="S897">
        <f>IF(AND(Inputs!$B$4&lt;&gt;"pvp",Inputs!$B$35&gt;0),(INT(Inputs!$B$35/IF(Inputs!$B$4="pvp",15,MAX(0.1,Skills!D4-IF(Skills!E4=TRUE,Inputs!$B$31,0))))+1),0)</f>
        <v/>
      </c>
      <c r="T897">
        <f>290*T896/1000</f>
        <v/>
      </c>
      <c r="V897">
        <f>IFERROR(1/IF(Inputs!$B$4="pvp",15,MAX(0.1,Skills!D4-IF(Skills!E4=TRUE,Inputs!$B$31,0))),0)</f>
        <v/>
      </c>
    </row>
    <row r="898">
      <c r="A898">
        <f>Skills!A5</f>
        <v/>
      </c>
      <c r="B898">
        <f>Skills!B5</f>
        <v/>
      </c>
      <c r="C898">
        <f>Inputs!$B$3&gt;=40</f>
        <v/>
      </c>
      <c r="D898">
        <f>IF(Skills!C5=1,60+Inputs!$B$24+Inputs!$B$28,IF(Skills!C5=2,90+Inputs!$B$25+Inputs!$B$28,IF(Skills!C5=3,120+Inputs!$B$26+Inputs!$B$28,MAX(0,(Inputs!$B$3-100)*3)+Inputs!$B$27+Inputs!$B$28)))</f>
        <v/>
      </c>
      <c r="E898">
        <f>INDEX(FactorTable!$B$2:$Y$301, MATCH(ROUND(MIN(300,MAX(1,D898)),0), FactorTable!$A$2:$A$301,0), Skills!L5+1)</f>
        <v/>
      </c>
      <c r="F898">
        <f>IF(Skills!M5=TRUE,(Skills!K5/10)*(E898/1000),Skills!K5/10)+Skills!N5</f>
        <v/>
      </c>
      <c r="G898">
        <f>Calc!G5</f>
        <v/>
      </c>
      <c r="H898">
        <f>Calc!H5</f>
        <v/>
      </c>
      <c r="I898">
        <f>IF(Skills!T5&lt;&gt;"",1+(Skills!T5/10)*($Z$3/1000)/100,1)</f>
        <v/>
      </c>
      <c r="J898" t="inlineStr"/>
      <c r="K898" t="inlineStr"/>
      <c r="L898" t="inlineStr"/>
      <c r="M898" t="inlineStr"/>
      <c r="N898" t="inlineStr"/>
      <c r="O898" t="n">
        <v>0</v>
      </c>
      <c r="P898">
        <f>IF(B931=0,0,O898/B931)</f>
        <v/>
      </c>
      <c r="S898">
        <f>IF(AND(Inputs!$B$4&lt;&gt;"pvp",Inputs!$B$35&gt;0),(INT(Inputs!$B$35/IF(Inputs!$B$4="pvp",15,MAX(0.1,Skills!D5-IF(Skills!E5=TRUE,Inputs!$B$31,0))))+1),0)</f>
        <v/>
      </c>
      <c r="V898">
        <f>IFERROR(1/IF(Inputs!$B$4="pvp",15,MAX(0.1,Skills!D5-IF(Skills!E5=TRUE,Inputs!$B$31,0))),0)</f>
        <v/>
      </c>
    </row>
    <row r="899">
      <c r="A899">
        <f>Skills!A6</f>
        <v/>
      </c>
      <c r="B899">
        <f>Skills!B6</f>
        <v/>
      </c>
      <c r="C899">
        <f>Inputs!$B$3&gt;=103</f>
        <v/>
      </c>
      <c r="D899">
        <f>IF(Skills!C6=1,60+Inputs!$B$24+Inputs!$B$28,IF(Skills!C6=2,90+Inputs!$B$25+Inputs!$B$28,IF(Skills!C6=3,120+Inputs!$B$26+Inputs!$B$28,MAX(0,(Inputs!$B$3-100)*3)+Inputs!$B$27+Inputs!$B$28)))</f>
        <v/>
      </c>
      <c r="E899">
        <f>INDEX(FactorTable!$B$2:$Y$301, MATCH(ROUND(MIN(300,MAX(1,D899)),0), FactorTable!$A$2:$A$301,0), Skills!L6+1)</f>
        <v/>
      </c>
      <c r="F899">
        <f>IF(Skills!M6=TRUE,(Skills!K6/10)*(E899/1000),Skills!K6/10)+Skills!N6</f>
        <v/>
      </c>
      <c r="G899">
        <f>Calc!G6</f>
        <v/>
      </c>
      <c r="H899">
        <f>Calc!H6</f>
        <v/>
      </c>
      <c r="I899">
        <f>IF(Skills!T6&lt;&gt;"",1+(Skills!T6/10)*($Z$3/1000)/100,1)</f>
        <v/>
      </c>
      <c r="J899">
        <f>((Inputs!$B$5*(1+(Inputs!$B$6+1)/100))+((Inputs!$B$11*(1+Inputs!$B$12/100))-(Inputs!$B$11*(1+Inputs!$B$12/100)))*(1+(Inputs!$B$6+1)/100))*(F899/100)</f>
        <v/>
      </c>
      <c r="K899">
        <f>J899*(1+((Inputs!$B$11*(1+Inputs!$B$12/100))*0.01+Inputs!$B$13*0.0025)/100)*(1+(Inputs!$B$14+B924)/100)*(1+IF(Inputs!$B$4="pvp",0,(1-Summary!$B$48)*(Inputs!$B$19+Skills!O6+B922)+Summary!$B$48*(Inputs!$B$20+Skills!P6+B923))/100)*(1+Inputs!$B$15/100)*(5000/(6000+Inputs!$B$7*(1-Inputs!$B$18/100)))*(1+Inputs!$B$23/100)*(1+IF(C910=TRUE,F910,0)/100)*(1+IF(C912=TRUE,F912,0)/100)*(1+IF(Skills!A6="TRIUMPH_FEATHER",IF(C908=TRUE,F908,0),0)/100)*(1+IF(C919=TRUE,F919,0)/100)^5*(1+(IF(Skills!A6="BIG_BANG",Inputs!$B$16,Inputs!$B$17))/100)*(B921*I899)</f>
        <v/>
      </c>
      <c r="L899">
        <f>K899*(MIN(Inputs!$B$21+(F914-Calc!F21),Inputs!$B$22)/100+Inputs!$B$22/100)/2</f>
        <v/>
      </c>
      <c r="M899">
        <f>L899*(1+(Inputs!$B$9+B925+(F917-Calc!F24))/100)</f>
        <v/>
      </c>
      <c r="N899">
        <f>L899*(1-MIN(Inputs!$B$8+((F916-Calc!F23)+(F915-Calc!F22)),100)/100)+M899*(MIN(Inputs!$B$8+((F916-Calc!F23)+(F915-Calc!F22)),100)/100)</f>
        <v/>
      </c>
      <c r="O899">
        <f>IF(C899,H899*N899*IF(AND(Inputs!$B$4&lt;&gt;"pvp",Inputs!$B$35&gt;0),((Skills!F6*((S899-1)*IF(Skills!G6&gt;0,Skills!H6/Skills!G6,1)+IF(Skills!G6&gt;0,MIN(Skills!H6,MAX(0,Inputs!$B$35-((S899-1)*IF(Inputs!$B$4="pvp",15,MAX(0.1,Skills!D6-IF(Skills!E6=TRUE,Inputs!$B$31,0))))))/Skills!G6,1)))/Inputs!$B$35),G899*V899)*IF(Inputs!$B$4="pvp",1,(1-Summary!$B$48)*(1)+Summary!$B$48*(MIN(Skills!Q6,Inputs!$B$37))),0)</f>
        <v/>
      </c>
      <c r="P899">
        <f>IF(B931=0,0,O899/B931)</f>
        <v/>
      </c>
      <c r="S899">
        <f>IF(AND(Inputs!$B$4&lt;&gt;"pvp",Inputs!$B$35&gt;0),(INT(Inputs!$B$35/IF(Inputs!$B$4="pvp",15,MAX(0.1,Skills!D6-IF(Skills!E6=TRUE,Inputs!$B$31,0))))+1),0)</f>
        <v/>
      </c>
      <c r="V899">
        <f>IFERROR(1/IF(Inputs!$B$4="pvp",15,MAX(0.1,Skills!D6-IF(Skills!E6=TRUE,Inputs!$B$31,0))),0)</f>
        <v/>
      </c>
    </row>
    <row r="900">
      <c r="A900">
        <f>Skills!A7</f>
        <v/>
      </c>
      <c r="B900">
        <f>Skills!B7</f>
        <v/>
      </c>
      <c r="C900">
        <f>Inputs!$B$3&gt;=122</f>
        <v/>
      </c>
      <c r="D900">
        <f>IF(Skills!C7=1,60+Inputs!$B$24+Inputs!$B$28,IF(Skills!C7=2,90+Inputs!$B$25+Inputs!$B$28,IF(Skills!C7=3,120+Inputs!$B$26+Inputs!$B$28,MAX(0,(Inputs!$B$3-100)*3)+Inputs!$B$27+Inputs!$B$28)))</f>
        <v/>
      </c>
      <c r="E900">
        <f>INDEX(FactorTable!$B$2:$Y$301, MATCH(ROUND(MIN(300,MAX(1,D900)),0), FactorTable!$A$2:$A$301,0), Skills!L7+1)</f>
        <v/>
      </c>
      <c r="F900">
        <f>IF(Skills!M7=TRUE,(Skills!K7/10)*(E900/1000),Skills!K7/10)+Skills!N7</f>
        <v/>
      </c>
      <c r="G900">
        <f>Calc!G7</f>
        <v/>
      </c>
      <c r="H900">
        <f>Calc!H7</f>
        <v/>
      </c>
      <c r="I900">
        <f>IF(Skills!T7&lt;&gt;"",1+(Skills!T7/10)*($Z$3/1000)/100,1)</f>
        <v/>
      </c>
      <c r="J900">
        <f>((Inputs!$B$5*(1+(Inputs!$B$6+1)/100))+((Inputs!$B$11*(1+Inputs!$B$12/100))-(Inputs!$B$11*(1+Inputs!$B$12/100)))*(1+(Inputs!$B$6+1)/100))*(F900/100)</f>
        <v/>
      </c>
      <c r="K900">
        <f>J900*(1+((Inputs!$B$11*(1+Inputs!$B$12/100))*0.01+Inputs!$B$13*0.0025)/100)*(1+(Inputs!$B$14+B924)/100)*(1+IF(Inputs!$B$4="pvp",0,(1-Summary!$B$48)*(Inputs!$B$19+Skills!O7+B922)+Summary!$B$48*(Inputs!$B$20+Skills!P7+B923))/100)*(1+Inputs!$B$15/100)*(5000/(6000+Inputs!$B$7*(1-Inputs!$B$18/100)))*(1+Inputs!$B$23/100)*(1+IF(C910=TRUE,F910,0)/100)*(1+IF(C912=TRUE,F912,0)/100)*(1+IF(Skills!A7="TRIUMPH_FEATHER",IF(C908=TRUE,F908,0),0)/100)*(1+IF(C919=TRUE,F919,0)/100)^5*(1+(IF(Skills!A7="BIG_BANG",Inputs!$B$16,Inputs!$B$17))/100)*(B921*I900)</f>
        <v/>
      </c>
      <c r="L900">
        <f>K900*(MIN(Inputs!$B$21+(F914-Calc!F21),Inputs!$B$22)/100+Inputs!$B$22/100)/2</f>
        <v/>
      </c>
      <c r="M900">
        <f>L900*(1+(Inputs!$B$9+B925+(F917-Calc!F24))/100)</f>
        <v/>
      </c>
      <c r="N900">
        <f>L900*(1-MIN(Inputs!$B$8+((F916-Calc!F23)+(F915-Calc!F22)),100)/100)+M900*(MIN(Inputs!$B$8+((F916-Calc!F23)+(F915-Calc!F22)),100)/100)</f>
        <v/>
      </c>
      <c r="O900">
        <f>IF(C900,H900*N900*IF(AND(Inputs!$B$4&lt;&gt;"pvp",Inputs!$B$35&gt;0),((Skills!F7*((S900-1)*IF(Skills!G7&gt;0,Skills!H7/Skills!G7,1)+IF(Skills!G7&gt;0,MIN(Skills!H7,MAX(0,Inputs!$B$35-((S900-1)*IF(Inputs!$B$4="pvp",15,MAX(0.1,Skills!D7-IF(Skills!E6=TRUE,Inputs!$B$31,0))))))/Skills!G7,1)))/Inputs!$B$35),G900*V900)*(1-Summary!$B$48),0)</f>
        <v/>
      </c>
      <c r="P900">
        <f>IF(B931=0,0,O900/B931)</f>
        <v/>
      </c>
      <c r="S900">
        <f>IF(AND(Inputs!$B$4&lt;&gt;"pvp",Inputs!$B$35&gt;0),(INT(Inputs!$B$35/IF(Inputs!$B$4="pvp",15,MAX(0.1,Skills!D7-IF(Skills!E6=TRUE,Inputs!$B$31,0))))+1),0)</f>
        <v/>
      </c>
      <c r="V900">
        <f>IFERROR(1/IF(Inputs!$B$4="pvp",15,MAX(0.1,Skills!D7-IF(Skills!E6=TRUE,Inputs!$B$31,0))),0)</f>
        <v/>
      </c>
    </row>
    <row r="901">
      <c r="A901">
        <f>Skills!A8</f>
        <v/>
      </c>
      <c r="B901">
        <f>Skills!B8</f>
        <v/>
      </c>
      <c r="C901">
        <f>Inputs!$B$3&gt;=105</f>
        <v/>
      </c>
      <c r="D901">
        <f>IF(Skills!C8=1,60+Inputs!$B$24+Inputs!$B$28,IF(Skills!C8=2,90+Inputs!$B$25+Inputs!$B$28,IF(Skills!C8=3,120+Inputs!$B$26+Inputs!$B$28,MAX(0,(Inputs!$B$3-100)*3)+Inputs!$B$27+Inputs!$B$28)))</f>
        <v/>
      </c>
      <c r="E901">
        <f>INDEX(FactorTable!$B$2:$Y$301, MATCH(ROUND(MIN(300,MAX(1,D901)),0), FactorTable!$A$2:$A$301,0), Skills!L8+1)</f>
        <v/>
      </c>
      <c r="F901">
        <f>IF(Skills!M8=TRUE,(Skills!K8/10)*(E901/1000),Skills!K8/10)+Skills!N8</f>
        <v/>
      </c>
      <c r="G901">
        <f>Calc!G8</f>
        <v/>
      </c>
      <c r="H901">
        <f>Calc!H8</f>
        <v/>
      </c>
      <c r="I901">
        <f>IF(Skills!T8&lt;&gt;"",1+(Skills!T8/10)*($Z$3/1000)/100,1)</f>
        <v/>
      </c>
      <c r="J901">
        <f>((Inputs!$B$5*(1+(Inputs!$B$6+1)/100))+((Inputs!$B$11*(1+Inputs!$B$12/100))-(Inputs!$B$11*(1+Inputs!$B$12/100)))*(1+(Inputs!$B$6+1)/100))*(F901/100)</f>
        <v/>
      </c>
      <c r="K901">
        <f>J901*(1+((Inputs!$B$11*(1+Inputs!$B$12/100))*0.01+Inputs!$B$13*0.0025)/100)*(1+(Inputs!$B$14+B924)/100)*(1+IF(Inputs!$B$4="pvp",0,(1-Summary!$B$48)*(Inputs!$B$19+Skills!O8+B922)+Summary!$B$48*(Inputs!$B$20+Skills!P8+B923))/100)*(1+Inputs!$B$15/100)*(5000/(6000+Inputs!$B$7*(1-Inputs!$B$18/100)))*(1+Inputs!$B$23/100)*(1+IF(C910=TRUE,F910,0)/100)*(1+IF(C912=TRUE,F912,0)/100)*(1+IF(Skills!A8="TRIUMPH_FEATHER",IF(C908=TRUE,F908,0),0)/100)*(1+IF(C919=TRUE,F919,0)/100)^5*(1+(IF(Skills!A8="BIG_BANG",Inputs!$B$16,Inputs!$B$17))/100)*(B921*I901)</f>
        <v/>
      </c>
      <c r="L901">
        <f>K901*(MIN(Inputs!$B$21+(F914-Calc!F21),Inputs!$B$22)/100+Inputs!$B$22/100)/2</f>
        <v/>
      </c>
      <c r="M901">
        <f>L901*(1+(Inputs!$B$9+B925+(F917-Calc!F24))/100)</f>
        <v/>
      </c>
      <c r="N901">
        <f>L901*(1-MIN(Inputs!$B$8+((F916-Calc!F23)+(F915-Calc!F22)),100)/100)+M901*(MIN(Inputs!$B$8+((F916-Calc!F23)+(F915-Calc!F22)),100)/100)</f>
        <v/>
      </c>
      <c r="O901">
        <f>IF(C901,H901*N901*IF(AND(Inputs!$B$4&lt;&gt;"pvp",Inputs!$B$35&gt;0),((Skills!F8*((S901-1)*IF(Skills!G8&gt;0,Skills!H8/Skills!G8,1)+IF(Skills!G8&gt;0,MIN(Skills!H8,MAX(0,Inputs!$B$35-((S901-1)*IF(Inputs!$B$4="pvp",15,MAX(0.1,Skills!D8-IF(Skills!E8=TRUE,Inputs!$B$31,0))))))/Skills!G8,1)))/Inputs!$B$35),G901*V901)*IF(Inputs!$B$4="pvp",1,(1-Summary!$B$48)*(1)+Summary!$B$48*(MIN(Skills!Q8,Inputs!$B$37))),0)</f>
        <v/>
      </c>
      <c r="P901">
        <f>IF(B931=0,0,O901/B931)</f>
        <v/>
      </c>
      <c r="S901">
        <f>IF(AND(Inputs!$B$4&lt;&gt;"pvp",Inputs!$B$35&gt;0),(INT(Inputs!$B$35/IF(Inputs!$B$4="pvp",15,MAX(0.1,Skills!D8-IF(Skills!E8=TRUE,Inputs!$B$31,0))))+1),0)</f>
        <v/>
      </c>
      <c r="V901">
        <f>IFERROR(1/IF(Inputs!$B$4="pvp",15,MAX(0.1,Skills!D8-IF(Skills!E8=TRUE,Inputs!$B$31,0))),0)</f>
        <v/>
      </c>
    </row>
    <row r="902">
      <c r="A902">
        <f>Skills!A9</f>
        <v/>
      </c>
      <c r="B902">
        <f>Skills!B9</f>
        <v/>
      </c>
      <c r="C902">
        <f>Inputs!$B$3&gt;=115</f>
        <v/>
      </c>
      <c r="D902">
        <f>IF(Skills!C9=1,60+Inputs!$B$24+Inputs!$B$28,IF(Skills!C9=2,90+Inputs!$B$25+Inputs!$B$28,IF(Skills!C9=3,120+Inputs!$B$26+Inputs!$B$28,MAX(0,(Inputs!$B$3-100)*3)+Inputs!$B$27+Inputs!$B$28)))</f>
        <v/>
      </c>
      <c r="E902">
        <f>INDEX(FactorTable!$B$2:$Y$301, MATCH(ROUND(MIN(300,MAX(1,D902)),0), FactorTable!$A$2:$A$301,0), Skills!L9+1)</f>
        <v/>
      </c>
      <c r="F902">
        <f>IF(Skills!M9=TRUE,(Skills!K9/10)*(E902/1000),Skills!K9/10)+Skills!N9</f>
        <v/>
      </c>
      <c r="G902">
        <f>Calc!G9</f>
        <v/>
      </c>
      <c r="H902">
        <f>Calc!H9</f>
        <v/>
      </c>
      <c r="I902">
        <f>IF(Skills!T9&lt;&gt;"",1+(Skills!T9/10)*($Z$3/1000)/100,1)</f>
        <v/>
      </c>
      <c r="J902">
        <f>((Inputs!$B$5*(1+(Inputs!$B$6+1)/100))+((Inputs!$B$11*(1+Inputs!$B$12/100))-(Inputs!$B$11*(1+Inputs!$B$12/100)))*(1+(Inputs!$B$6+1)/100))*(F902/100)</f>
        <v/>
      </c>
      <c r="K902">
        <f>J902*(1+((Inputs!$B$11*(1+Inputs!$B$12/100))*0.01+Inputs!$B$13*0.0025)/100)*(1+(Inputs!$B$14+B924)/100)*(1+IF(Inputs!$B$4="pvp",0,(1-Summary!$B$48)*(Inputs!$B$19+Skills!O9+B922)+Summary!$B$48*(Inputs!$B$20+Skills!P9+B923))/100)*(1+Inputs!$B$15/100)*(5000/(6000+Inputs!$B$7*(1-Inputs!$B$18/100)))*(1+Inputs!$B$23/100)*(1+IF(C910=TRUE,F910,0)/100)*(1+IF(C912=TRUE,F912,0)/100)*(1+IF(Skills!A9="TRIUMPH_FEATHER",IF(C908=TRUE,F908,0),0)/100)*(1+IF(C919=TRUE,F919,0)/100)^5*(1+(IF(Skills!A9="BIG_BANG",Inputs!$B$16,Inputs!$B$17))/100)*(B921*I902)</f>
        <v/>
      </c>
      <c r="L902">
        <f>K902*(MIN(Inputs!$B$21+(F914-Calc!F21),Inputs!$B$22)/100+Inputs!$B$22/100)/2</f>
        <v/>
      </c>
      <c r="M902">
        <f>L902*(1+(Inputs!$B$9+B925+(F917-Calc!F24))/100)</f>
        <v/>
      </c>
      <c r="N902">
        <f>L902*(1-MIN(Inputs!$B$8+((F916-Calc!F23)+(F915-Calc!F22)),100)/100)+M902*(MIN(Inputs!$B$8+((F916-Calc!F23)+(F915-Calc!F22)),100)/100)</f>
        <v/>
      </c>
      <c r="O902">
        <f>IF(C902,H902*N902*IF(AND(Inputs!$B$4&lt;&gt;"pvp",Inputs!$B$35&gt;0),((Skills!F9*((S902-1)*IF(Skills!G9&gt;0,Skills!H9/Skills!G9,1)+IF(Skills!G9&gt;0,MIN(Skills!H9,MAX(0,Inputs!$B$35-((S902-1)*IF(Inputs!$B$4="pvp",15,MAX(0.1,Skills!D9-IF(Skills!E9=TRUE,Inputs!$B$31,0))))))/Skills!G9,1)))/Inputs!$B$35),G902*V902)*IF(Inputs!$B$4="pvp",1,(1-Summary!$B$48)*(1)+Summary!$B$48*(MIN(Skills!Q9,Inputs!$B$37))),0)</f>
        <v/>
      </c>
      <c r="P902">
        <f>IF(B931=0,0,O902/B931)</f>
        <v/>
      </c>
      <c r="S902">
        <f>IF(AND(Inputs!$B$4&lt;&gt;"pvp",Inputs!$B$35&gt;0),(INT(Inputs!$B$35/IF(Inputs!$B$4="pvp",15,MAX(0.1,Skills!D9-IF(Skills!E9=TRUE,Inputs!$B$31,0))))+1),0)</f>
        <v/>
      </c>
      <c r="V902">
        <f>IFERROR(1/IF(Inputs!$B$4="pvp",15,MAX(0.1,Skills!D9-IF(Skills!E9=TRUE,Inputs!$B$31,0))),0)</f>
        <v/>
      </c>
    </row>
    <row r="903">
      <c r="A903">
        <f>Skills!A10</f>
        <v/>
      </c>
      <c r="B903">
        <f>Skills!B10</f>
        <v/>
      </c>
      <c r="C903">
        <f>Inputs!$B$3&gt;=66</f>
        <v/>
      </c>
      <c r="D903">
        <f>IF(Skills!C10=1,60+Inputs!$B$24+Inputs!$B$28,IF(Skills!C10=2,90+Inputs!$B$25+Inputs!$B$28,IF(Skills!C10=3,120+Inputs!$B$26+Inputs!$B$28,MAX(0,(Inputs!$B$3-100)*3)+Inputs!$B$27+Inputs!$B$28)))</f>
        <v/>
      </c>
      <c r="E903">
        <f>INDEX(FactorTable!$B$2:$Y$301, MATCH(ROUND(MIN(300,MAX(1,D903)),0), FactorTable!$A$2:$A$301,0), Skills!L10+1)</f>
        <v/>
      </c>
      <c r="F903" t="n">
        <v>0</v>
      </c>
      <c r="G903">
        <f>Calc!G10</f>
        <v/>
      </c>
      <c r="H903">
        <f>Calc!H10</f>
        <v/>
      </c>
      <c r="I903">
        <f>IF(Skills!T10&lt;&gt;"",1+(Skills!T10/10)*($Z$3/1000)/100,1)</f>
        <v/>
      </c>
      <c r="J903" t="inlineStr"/>
      <c r="K903" t="inlineStr"/>
      <c r="L903" t="inlineStr"/>
      <c r="M903" t="inlineStr"/>
      <c r="N903" t="inlineStr"/>
      <c r="O903" t="n">
        <v>0</v>
      </c>
      <c r="P903">
        <f>IF(B931=0,0,O903/B931)</f>
        <v/>
      </c>
      <c r="S903">
        <f>IF(AND(Inputs!$B$4&lt;&gt;"pvp",Inputs!$B$35&gt;0),(INT(Inputs!$B$35/IF(Inputs!$B$4="pvp",15,MAX(0.1,Skills!D10-IF(Skills!E10=TRUE,Inputs!$B$31,0))))+1),0)</f>
        <v/>
      </c>
      <c r="V903">
        <f>IFERROR(1/IF(Inputs!$B$4="pvp",15,MAX(0.1,Skills!D10-IF(Skills!E10=TRUE,Inputs!$B$31,0))),0)</f>
        <v/>
      </c>
    </row>
    <row r="904">
      <c r="A904">
        <f>Skills!A11</f>
        <v/>
      </c>
      <c r="B904">
        <f>Skills!B11</f>
        <v/>
      </c>
      <c r="C904">
        <f>Inputs!$B$3&gt;=69</f>
        <v/>
      </c>
      <c r="D904">
        <f>IF(Skills!C11=1,60+Inputs!$B$24+Inputs!$B$28,IF(Skills!C11=2,90+Inputs!$B$25+Inputs!$B$28,IF(Skills!C11=3,120+Inputs!$B$26+Inputs!$B$28,MAX(0,(Inputs!$B$3-100)*3)+Inputs!$B$27+Inputs!$B$28)))</f>
        <v/>
      </c>
      <c r="E904">
        <f>INDEX(FactorTable!$B$2:$Y$301, MATCH(ROUND(MIN(300,MAX(1,D904)),0), FactorTable!$A$2:$A$301,0), Skills!L11+1)</f>
        <v/>
      </c>
      <c r="F904">
        <f>IF(Skills!M11=TRUE,(Skills!K11/10)*(E904/1000),Skills!K11/10)+Skills!N11</f>
        <v/>
      </c>
      <c r="G904">
        <f>Calc!G11</f>
        <v/>
      </c>
      <c r="H904">
        <f>Calc!H11</f>
        <v/>
      </c>
      <c r="I904">
        <f>IF(Skills!T11&lt;&gt;"",1+(Skills!T11/10)*($Z$3/1000)/100,1)</f>
        <v/>
      </c>
      <c r="J904" t="inlineStr"/>
      <c r="K904" t="inlineStr"/>
      <c r="L904" t="inlineStr"/>
      <c r="M904" t="inlineStr"/>
      <c r="N904" t="inlineStr"/>
      <c r="O904" t="n">
        <v>0</v>
      </c>
      <c r="P904">
        <f>IF(B931=0,0,O904/B931)</f>
        <v/>
      </c>
      <c r="S904">
        <f>IF(AND(Inputs!$B$4&lt;&gt;"pvp",Inputs!$B$35&gt;0),(INT(Inputs!$B$35/IF(Inputs!$B$4="pvp",15,MAX(0.1,Skills!D11-IF(Skills!E11=TRUE,Inputs!$B$31,0))))+1),0)</f>
        <v/>
      </c>
      <c r="V904">
        <f>IFERROR(1/IF(Inputs!$B$4="pvp",15,MAX(0.1,Skills!D11-IF(Skills!E11=TRUE,Inputs!$B$31,0))),0)</f>
        <v/>
      </c>
    </row>
    <row r="905">
      <c r="A905">
        <f>Skills!A12</f>
        <v/>
      </c>
      <c r="B905">
        <f>Skills!B12</f>
        <v/>
      </c>
      <c r="C905">
        <f>Inputs!$B$3&gt;=72</f>
        <v/>
      </c>
      <c r="D905">
        <f>IF(Skills!C12=1,60+Inputs!$B$24+Inputs!$B$28,IF(Skills!C12=2,90+Inputs!$B$25+Inputs!$B$28,IF(Skills!C12=3,120+Inputs!$B$26+Inputs!$B$28,MAX(0,(Inputs!$B$3-100)*3)+Inputs!$B$27+Inputs!$B$28)))</f>
        <v/>
      </c>
      <c r="E905">
        <f>INDEX(FactorTable!$B$2:$Y$301, MATCH(ROUND(MIN(300,MAX(1,D905)),0), FactorTable!$A$2:$A$301,0), Skills!L12+1)</f>
        <v/>
      </c>
      <c r="F905">
        <f>IF(Skills!M12=TRUE,(Skills!K12/10)*(E905/1000),Skills!K12/10)+Skills!N12</f>
        <v/>
      </c>
      <c r="G905">
        <f>Calc!G12</f>
        <v/>
      </c>
      <c r="H905">
        <f>Calc!H12</f>
        <v/>
      </c>
      <c r="I905">
        <f>IF(Skills!T12&lt;&gt;"",1+(Skills!T12/10)*($Z$3/1000)/100,1)</f>
        <v/>
      </c>
      <c r="J905" t="inlineStr"/>
      <c r="K905" t="inlineStr"/>
      <c r="L905" t="inlineStr"/>
      <c r="M905" t="inlineStr"/>
      <c r="N905" t="inlineStr"/>
      <c r="O905" t="n">
        <v>0</v>
      </c>
      <c r="P905">
        <f>IF(B931=0,0,O905/B931)</f>
        <v/>
      </c>
      <c r="S905">
        <f>IF(AND(Inputs!$B$4&lt;&gt;"pvp",Inputs!$B$35&gt;0),(INT(Inputs!$B$35/IF(Inputs!$B$4="pvp",15,MAX(0.1,Skills!D12-IF(Skills!E12=TRUE,Inputs!$B$31,0))))+1),0)</f>
        <v/>
      </c>
      <c r="V905">
        <f>IFERROR(1/IF(Inputs!$B$4="pvp",15,MAX(0.1,Skills!D12-IF(Skills!E12=TRUE,Inputs!$B$31,0))),0)</f>
        <v/>
      </c>
    </row>
    <row r="906">
      <c r="A906">
        <f>Skills!A13</f>
        <v/>
      </c>
      <c r="B906">
        <f>Skills!B13</f>
        <v/>
      </c>
      <c r="C906">
        <f>Inputs!$B$3&gt;=107</f>
        <v/>
      </c>
      <c r="D906">
        <f>IF(Skills!C13=1,60+Inputs!$B$24+Inputs!$B$28,IF(Skills!C13=2,90+Inputs!$B$25+Inputs!$B$28,IF(Skills!C13=3,120+Inputs!$B$26+Inputs!$B$28,MAX(0,(Inputs!$B$3-100)*3)+Inputs!$B$27+Inputs!$B$28)))</f>
        <v/>
      </c>
      <c r="E906">
        <f>INDEX(FactorTable!$B$2:$Y$301, MATCH(ROUND(MIN(300,MAX(1,D906)),0), FactorTable!$A$2:$A$301,0), Skills!L13+1)</f>
        <v/>
      </c>
      <c r="F906">
        <f>IF(Skills!M13=TRUE,(Skills!K13/10)*(E906/1000),Skills!K13/10)+Skills!N13</f>
        <v/>
      </c>
      <c r="G906">
        <f>Calc!G13</f>
        <v/>
      </c>
      <c r="H906">
        <f>Calc!H13</f>
        <v/>
      </c>
      <c r="I906">
        <f>IF(Skills!T13&lt;&gt;"",1+(Skills!T13/10)*($Z$3/1000)/100,1)</f>
        <v/>
      </c>
      <c r="J906" t="inlineStr"/>
      <c r="K906" t="inlineStr"/>
      <c r="L906" t="inlineStr"/>
      <c r="M906" t="inlineStr"/>
      <c r="N906" t="inlineStr"/>
      <c r="O906" t="n">
        <v>0</v>
      </c>
      <c r="P906">
        <f>IF(B931=0,0,O906/B931)</f>
        <v/>
      </c>
      <c r="S906">
        <f>IF(AND(Inputs!$B$4&lt;&gt;"pvp",Inputs!$B$35&gt;0),(INT(Inputs!$B$35/IF(Inputs!$B$4="pvp",15,MAX(0.1,Skills!D13-IF(Skills!E13=TRUE,Inputs!$B$31,0))))+1),0)</f>
        <v/>
      </c>
      <c r="V906">
        <f>IFERROR(1/IF(Inputs!$B$4="pvp",15,MAX(0.1,Skills!D13-IF(Skills!E13=TRUE,Inputs!$B$31,0))),0)</f>
        <v/>
      </c>
    </row>
    <row r="907">
      <c r="A907">
        <f>Skills!A14</f>
        <v/>
      </c>
      <c r="B907">
        <f>Skills!B14</f>
        <v/>
      </c>
      <c r="C907">
        <f>Inputs!$B$3&gt;=63</f>
        <v/>
      </c>
      <c r="D907">
        <f>IF(Skills!C14=1,60+Inputs!$B$24+Inputs!$B$28,IF(Skills!C14=2,90+Inputs!$B$25+Inputs!$B$28,IF(Skills!C14=3,120+Inputs!$B$26+Inputs!$B$28,MAX(0,(Inputs!$B$3-100)*3)+Inputs!$B$27+Inputs!$B$28)))</f>
        <v/>
      </c>
      <c r="E907">
        <f>INDEX(FactorTable!$B$2:$Y$301, MATCH(ROUND(MIN(300,MAX(1,D907)),0), FactorTable!$A$2:$A$301,0), Skills!L14+1)</f>
        <v/>
      </c>
      <c r="F907">
        <f>IF(Skills!M14=TRUE,(Skills!K14/10)*(E907/1000),Skills!K14/10)+Skills!N14</f>
        <v/>
      </c>
      <c r="G907">
        <f>Calc!G14</f>
        <v/>
      </c>
      <c r="H907">
        <f>Calc!H14</f>
        <v/>
      </c>
      <c r="I907">
        <f>IF(Skills!T14&lt;&gt;"",1+(Skills!T14/10)*($Z$3/1000)/100,1)</f>
        <v/>
      </c>
      <c r="J907">
        <f>((Inputs!$B$5*(1+(Inputs!$B$6+1)/100))+((Inputs!$B$11*(1+Inputs!$B$12/100))-(Inputs!$B$11*(1+Inputs!$B$12/100)))*(1+(Inputs!$B$6+1)/100))*(F907/100)</f>
        <v/>
      </c>
      <c r="K907">
        <f>J907*(1+((Inputs!$B$11*(1+Inputs!$B$12/100))*0.01+Inputs!$B$13*0.0025)/100)*(1+(Inputs!$B$14+B924)/100)*(1+IF(Inputs!$B$4="pvp",0,(1-Summary!$B$48)*(Inputs!$B$19+Skills!O14+B922)+Summary!$B$48*(Inputs!$B$20+Skills!P14+B923))/100)*(1+Inputs!$B$15/100)*(5000/(6000+Inputs!$B$7*(1-Inputs!$B$18/100)))*(1+Inputs!$B$23/100)*(1+IF(C910=TRUE,F910,0)/100)*(1+IF(C912=TRUE,F912,0)/100)*(1+IF(Skills!A14="TRIUMPH_FEATHER",IF(C908=TRUE,F908,0),0)/100)*(1+IF(C919=TRUE,F919,0)/100)^5*(1+(IF(Skills!A14="BIG_BANG",Inputs!$B$16,Inputs!$B$17))/100)*(B921*I907)</f>
        <v/>
      </c>
      <c r="L907">
        <f>K907*(MIN(Inputs!$B$21+(F914-Calc!F21),Inputs!$B$22)/100+Inputs!$B$22/100)/2</f>
        <v/>
      </c>
      <c r="M907">
        <f>L907*(1+(Inputs!$B$9+B925+(F917-Calc!F24))/100)</f>
        <v/>
      </c>
      <c r="N907">
        <f>L907*(1-MIN(Inputs!$B$8+((F916-Calc!F23)+(F915-Calc!F22)),100)/100)+M907*(MIN(Inputs!$B$8+((F916-Calc!F23)+(F915-Calc!F22)),100)/100)</f>
        <v/>
      </c>
      <c r="O907">
        <f>IF(C907,Skills!F14*N907*((IF(Inputs!$B$3&gt;=78,25,15)/100*B927*10)/(1+IF(Inputs!$B$3&gt;=78,25,15)/100*B927*10))*(Skills!I14/100*B927)/(1+Skills!G14*Skills!I14/100*B927)*IF(Inputs!$B$4="pvp",1,(1-Summary!$B$48)*(1)+Summary!$B$48*(MIN(Skills!Q14,Inputs!$B$37))),0)</f>
        <v/>
      </c>
      <c r="P907">
        <f>IF(B931=0,0,O907/B931)</f>
        <v/>
      </c>
      <c r="S907" t="n">
        <v>0</v>
      </c>
      <c r="V907">
        <f>IFERROR(1/IF(Inputs!$B$4="pvp",15,MAX(0.1,Skills!D14-IF(Skills!E14=TRUE,Inputs!$B$31,0))),0)</f>
        <v/>
      </c>
    </row>
    <row r="908">
      <c r="A908">
        <f>Skills!A15</f>
        <v/>
      </c>
      <c r="B908">
        <f>Skills!B15</f>
        <v/>
      </c>
      <c r="C908">
        <f>Inputs!$B$3&gt;=100</f>
        <v/>
      </c>
      <c r="D908">
        <f>IF(Skills!C15=1,60+Inputs!$B$24+Inputs!$B$28,IF(Skills!C15=2,90+Inputs!$B$25+Inputs!$B$28,IF(Skills!C15=3,120+Inputs!$B$26+Inputs!$B$28,MAX(0,(Inputs!$B$3-100)*3)+Inputs!$B$27+Inputs!$B$28)))</f>
        <v/>
      </c>
      <c r="E908">
        <f>INDEX(FactorTable!$B$2:$Y$301, MATCH(ROUND(MIN(300,MAX(1,D908)),0), FactorTable!$A$2:$A$301,0), Skills!L15+1)</f>
        <v/>
      </c>
      <c r="F908">
        <f>IF(Skills!M15=TRUE,(Skills!K15/10)*(E908/1000),Skills!K15/10)+Skills!N15</f>
        <v/>
      </c>
      <c r="G908">
        <f>Calc!G15</f>
        <v/>
      </c>
      <c r="H908">
        <f>Calc!H15</f>
        <v/>
      </c>
      <c r="I908">
        <f>IF(Skills!T15&lt;&gt;"",1+(Skills!T15/10)*($Z$3/1000)/100,1)</f>
        <v/>
      </c>
      <c r="J908" t="inlineStr"/>
      <c r="K908" t="inlineStr"/>
      <c r="L908" t="inlineStr"/>
      <c r="M908" t="inlineStr"/>
      <c r="N908" t="inlineStr"/>
      <c r="O908" t="n">
        <v>0</v>
      </c>
      <c r="P908">
        <f>IF(B931=0,0,O908/B931)</f>
        <v/>
      </c>
      <c r="S908" t="n">
        <v>0</v>
      </c>
      <c r="V908">
        <f>IFERROR(1/IF(Inputs!$B$4="pvp",15,MAX(0.1,Skills!D15-IF(Skills!E15=TRUE,Inputs!$B$31,0))),0)</f>
        <v/>
      </c>
    </row>
    <row r="909">
      <c r="A909">
        <f>Skills!A16</f>
        <v/>
      </c>
      <c r="B909">
        <f>Skills!B16</f>
        <v/>
      </c>
      <c r="C909">
        <f>Inputs!$B$3&gt;=49</f>
        <v/>
      </c>
      <c r="D909">
        <f>IF(Skills!C16=1,60+Inputs!$B$24+Inputs!$B$28,IF(Skills!C16=2,90+Inputs!$B$25+Inputs!$B$28,IF(Skills!C16=3,120+Inputs!$B$26+Inputs!$B$28,MAX(0,(Inputs!$B$3-100)*3)+Inputs!$B$27+Inputs!$B$28)))</f>
        <v/>
      </c>
      <c r="E909">
        <f>INDEX(FactorTable!$B$2:$Y$301, MATCH(ROUND(MIN(300,MAX(1,D909)),0), FactorTable!$A$2:$A$301,0), Skills!L16+1)</f>
        <v/>
      </c>
      <c r="F909">
        <f>IF(Skills!M16=TRUE,(Skills!K16/10)*(E909/1000),Skills!K16/10)+Skills!N16</f>
        <v/>
      </c>
      <c r="G909">
        <f>Calc!G16</f>
        <v/>
      </c>
      <c r="H909">
        <f>Calc!H16</f>
        <v/>
      </c>
      <c r="I909">
        <f>IF(Skills!T16&lt;&gt;"",1+(Skills!T16/10)*($Z$3/1000)/100,1)</f>
        <v/>
      </c>
      <c r="J909" t="inlineStr"/>
      <c r="K909" t="inlineStr"/>
      <c r="L909" t="inlineStr"/>
      <c r="M909" t="inlineStr"/>
      <c r="N909" t="inlineStr"/>
      <c r="O909" t="n">
        <v>0</v>
      </c>
      <c r="P909">
        <f>IF(B931=0,0,O909/B931)</f>
        <v/>
      </c>
      <c r="S909" t="n">
        <v>0</v>
      </c>
      <c r="V909">
        <f>IFERROR(1/IF(Inputs!$B$4="pvp",15,MAX(0.1,Skills!D16-IF(Skills!E16=TRUE,Inputs!$B$31,0))),0)</f>
        <v/>
      </c>
    </row>
    <row r="910">
      <c r="A910">
        <f>Skills!A17</f>
        <v/>
      </c>
      <c r="B910">
        <f>Skills!B17</f>
        <v/>
      </c>
      <c r="C910">
        <f>Inputs!$B$3&gt;=75</f>
        <v/>
      </c>
      <c r="D910">
        <f>IF(Skills!C17=1,60+Inputs!$B$24+Inputs!$B$28,IF(Skills!C17=2,90+Inputs!$B$25+Inputs!$B$28,IF(Skills!C17=3,120+Inputs!$B$26+Inputs!$B$28,MAX(0,(Inputs!$B$3-100)*3)+Inputs!$B$27+Inputs!$B$28)))</f>
        <v/>
      </c>
      <c r="E910">
        <f>INDEX(FactorTable!$B$2:$Y$301, MATCH(ROUND(MIN(300,MAX(1,D910)),0), FactorTable!$A$2:$A$301,0), Skills!L17+1)</f>
        <v/>
      </c>
      <c r="F910">
        <f>IF(Skills!M17=TRUE,(Skills!K17/10)*(E910/1000),Skills!K17/10)+Skills!N17</f>
        <v/>
      </c>
      <c r="G910">
        <f>Calc!G17</f>
        <v/>
      </c>
      <c r="H910">
        <f>Calc!H17</f>
        <v/>
      </c>
      <c r="I910">
        <f>IF(Skills!T17&lt;&gt;"",1+(Skills!T17/10)*($Z$3/1000)/100,1)</f>
        <v/>
      </c>
      <c r="J910" t="inlineStr"/>
      <c r="K910" t="inlineStr"/>
      <c r="L910" t="inlineStr"/>
      <c r="M910" t="inlineStr"/>
      <c r="N910" t="inlineStr"/>
      <c r="O910" t="n">
        <v>0</v>
      </c>
      <c r="P910">
        <f>IF(B931=0,0,O910/B931)</f>
        <v/>
      </c>
      <c r="S910" t="n">
        <v>0</v>
      </c>
      <c r="V910">
        <f>IFERROR(1/IF(Inputs!$B$4="pvp",15,MAX(0.1,Skills!D17-IF(Skills!E17=TRUE,Inputs!$B$31,0))),0)</f>
        <v/>
      </c>
    </row>
    <row r="911">
      <c r="A911">
        <f>Skills!A18</f>
        <v/>
      </c>
      <c r="B911">
        <f>Skills!B18</f>
        <v/>
      </c>
      <c r="C911">
        <f>Inputs!$B$3&gt;=110</f>
        <v/>
      </c>
      <c r="D911">
        <f>IF(Skills!C18=1,60+Inputs!$B$24+Inputs!$B$28,IF(Skills!C18=2,90+Inputs!$B$25+Inputs!$B$28,IF(Skills!C18=3,120+Inputs!$B$26+Inputs!$B$28,MAX(0,(Inputs!$B$3-100)*3)+Inputs!$B$27+Inputs!$B$28)))</f>
        <v/>
      </c>
      <c r="E911">
        <f>INDEX(FactorTable!$B$2:$Y$301, MATCH(ROUND(MIN(300,MAX(1,D911)),0), FactorTable!$A$2:$A$301,0), Skills!L18+1)</f>
        <v/>
      </c>
      <c r="F911">
        <f>(Skills!K18/10)*(E911/1000)*64/45+Skills!N18</f>
        <v/>
      </c>
      <c r="G911">
        <f>Calc!G18</f>
        <v/>
      </c>
      <c r="H911">
        <f>Calc!H18</f>
        <v/>
      </c>
      <c r="I911">
        <f>IF(Skills!T18&lt;&gt;"",1+(Skills!T18/10)*($Z$3/1000)/100,1)</f>
        <v/>
      </c>
      <c r="J911" t="inlineStr"/>
      <c r="K911" t="inlineStr"/>
      <c r="L911" t="inlineStr"/>
      <c r="M911" t="inlineStr"/>
      <c r="N911" t="inlineStr"/>
      <c r="O911" t="n">
        <v>0</v>
      </c>
      <c r="P911">
        <f>IF(B931=0,0,O911/B931)</f>
        <v/>
      </c>
      <c r="S911">
        <f>IF(AND(Inputs!$B$4&lt;&gt;"pvp",Inputs!$B$35&gt;0),(INT(Inputs!$B$35/IF(Inputs!$B$4="pvp",15,MAX(0.1,Skills!D18-IF(Skills!E18=TRUE,Inputs!$B$31,0))))+1),0)</f>
        <v/>
      </c>
      <c r="V911">
        <f>IFERROR(1/IF(Inputs!$B$4="pvp",15,MAX(0.1,Skills!D18-IF(Skills!E18=TRUE,Inputs!$B$31,0))),0)</f>
        <v/>
      </c>
    </row>
    <row r="912">
      <c r="A912">
        <f>Skills!A19</f>
        <v/>
      </c>
      <c r="B912">
        <f>Skills!B19</f>
        <v/>
      </c>
      <c r="C912">
        <f>Inputs!$B$3&gt;=125</f>
        <v/>
      </c>
      <c r="D912">
        <f>IF(Skills!C19=1,60+Inputs!$B$24+Inputs!$B$28,IF(Skills!C19=2,90+Inputs!$B$25+Inputs!$B$28,IF(Skills!C19=3,120+Inputs!$B$26+Inputs!$B$28,MAX(0,(Inputs!$B$3-100)*3)+Inputs!$B$27+Inputs!$B$28)))</f>
        <v/>
      </c>
      <c r="E912">
        <f>INDEX(FactorTable!$B$2:$Y$301, MATCH(ROUND(MIN(300,MAX(1,D912)),0), FactorTable!$A$2:$A$301,0), Skills!L19+1)</f>
        <v/>
      </c>
      <c r="F912">
        <f>IF(Skills!M19=TRUE,(Skills!K19/10)*(E912/1000),Skills!K19/10)+Skills!N19</f>
        <v/>
      </c>
      <c r="G912">
        <f>Calc!G19</f>
        <v/>
      </c>
      <c r="H912">
        <f>Calc!H19</f>
        <v/>
      </c>
      <c r="I912">
        <f>IF(Skills!T19&lt;&gt;"",1+(Skills!T19/10)*($Z$3/1000)/100,1)</f>
        <v/>
      </c>
      <c r="J912" t="inlineStr"/>
      <c r="K912" t="inlineStr"/>
      <c r="L912" t="inlineStr"/>
      <c r="M912" t="inlineStr"/>
      <c r="N912" t="inlineStr"/>
      <c r="O912" t="n">
        <v>0</v>
      </c>
      <c r="P912">
        <f>IF(B931=0,0,O912/B931)</f>
        <v/>
      </c>
      <c r="S912" t="n">
        <v>0</v>
      </c>
      <c r="V912">
        <f>IFERROR(1/IF(Inputs!$B$4="pvp",15,MAX(0.1,Skills!D19-IF(Skills!E19=TRUE,Inputs!$B$31,0))),0)</f>
        <v/>
      </c>
    </row>
    <row r="913">
      <c r="A913">
        <f>Skills!A20</f>
        <v/>
      </c>
      <c r="B913">
        <f>Skills!B20</f>
        <v/>
      </c>
      <c r="C913">
        <f>Inputs!$B$3&gt;=33</f>
        <v/>
      </c>
      <c r="D913">
        <f>IF(Skills!C20=1,60+Inputs!$B$24+Inputs!$B$28,IF(Skills!C20=2,90+Inputs!$B$25+Inputs!$B$28,IF(Skills!C20=3,120+Inputs!$B$26+Inputs!$B$28,MAX(0,(Inputs!$B$3-100)*3)+Inputs!$B$27+Inputs!$B$28)))</f>
        <v/>
      </c>
      <c r="E913">
        <f>INDEX(FactorTable!$B$2:$Y$301, MATCH(ROUND(MIN(300,MAX(1,D913)),0), FactorTable!$A$2:$A$301,0), Skills!L20+1)</f>
        <v/>
      </c>
      <c r="F913">
        <f>IF(Skills!M20=TRUE,(Skills!K20/10)*(E913/1000),Skills!K20/10)+Skills!N20</f>
        <v/>
      </c>
      <c r="G913">
        <f>Calc!G20</f>
        <v/>
      </c>
      <c r="H913">
        <f>Calc!H20</f>
        <v/>
      </c>
      <c r="I913">
        <f>IF(Skills!T20&lt;&gt;"",1+(Skills!T20/10)*($Z$3/1000)/100,1)</f>
        <v/>
      </c>
      <c r="J913" t="inlineStr"/>
      <c r="K913" t="inlineStr"/>
      <c r="L913" t="inlineStr"/>
      <c r="M913" t="inlineStr"/>
      <c r="N913" t="inlineStr"/>
      <c r="O913" t="n">
        <v>0</v>
      </c>
      <c r="P913">
        <f>IF(B931=0,0,O913/B931)</f>
        <v/>
      </c>
      <c r="S913" t="n">
        <v>0</v>
      </c>
      <c r="V913">
        <f>IFERROR(1/IF(Inputs!$B$4="pvp",15,MAX(0.1,Skills!D20-IF(Skills!E20=TRUE,Inputs!$B$31,0))),0)</f>
        <v/>
      </c>
    </row>
    <row r="914">
      <c r="A914">
        <f>Skills!A21</f>
        <v/>
      </c>
      <c r="B914">
        <f>Skills!B21</f>
        <v/>
      </c>
      <c r="C914">
        <f>Inputs!$B$3&gt;=43</f>
        <v/>
      </c>
      <c r="D914">
        <f>IF(Skills!C21=1,60+Inputs!$B$24+Inputs!$B$28,IF(Skills!C21=2,90+Inputs!$B$25+Inputs!$B$28,IF(Skills!C21=3,120+Inputs!$B$26+Inputs!$B$28,MAX(0,(Inputs!$B$3-100)*3)+Inputs!$B$27+Inputs!$B$28)))</f>
        <v/>
      </c>
      <c r="E914">
        <f>INDEX(FactorTable!$B$2:$Y$301, MATCH(ROUND(MIN(300,MAX(1,D914)),0), FactorTable!$A$2:$A$301,0), Skills!L21+1)</f>
        <v/>
      </c>
      <c r="F914">
        <f>IF(Skills!M21=TRUE,(Skills!K21/10)*(E914/1000),Skills!K21/10)+Skills!N21</f>
        <v/>
      </c>
      <c r="G914">
        <f>Calc!G21</f>
        <v/>
      </c>
      <c r="H914">
        <f>Calc!H21</f>
        <v/>
      </c>
      <c r="I914">
        <f>IF(Skills!T21&lt;&gt;"",1+(Skills!T21/10)*($Z$3/1000)/100,1)</f>
        <v/>
      </c>
      <c r="J914" t="inlineStr"/>
      <c r="K914" t="inlineStr"/>
      <c r="L914" t="inlineStr"/>
      <c r="M914" t="inlineStr"/>
      <c r="N914" t="inlineStr"/>
      <c r="O914" t="n">
        <v>0</v>
      </c>
      <c r="P914">
        <f>IF(B931=0,0,O914/B931)</f>
        <v/>
      </c>
      <c r="S914" t="n">
        <v>0</v>
      </c>
      <c r="V914">
        <f>IFERROR(1/IF(Inputs!$B$4="pvp",15,MAX(0.1,Skills!D21-IF(Skills!E21=TRUE,Inputs!$B$31,0))),0)</f>
        <v/>
      </c>
    </row>
    <row r="915">
      <c r="A915">
        <f>Skills!A22</f>
        <v/>
      </c>
      <c r="B915">
        <f>Skills!B22</f>
        <v/>
      </c>
      <c r="C915">
        <f>Inputs!$B$3&gt;=50</f>
        <v/>
      </c>
      <c r="D915">
        <f>IF(Skills!C22=1,60+Inputs!$B$24+Inputs!$B$28,IF(Skills!C22=2,90+Inputs!$B$25+Inputs!$B$28,IF(Skills!C22=3,120+Inputs!$B$26+Inputs!$B$28,MAX(0,(Inputs!$B$3-100)*3)+Inputs!$B$27+Inputs!$B$28)))</f>
        <v/>
      </c>
      <c r="E915">
        <f>INDEX(FactorTable!$B$2:$Y$301, MATCH(ROUND(MIN(300,MAX(1,D915)),0), FactorTable!$A$2:$A$301,0), Skills!L22+1)</f>
        <v/>
      </c>
      <c r="F915">
        <f>IF(Skills!M22=TRUE,(Skills!K22/10)*(E915/1000),Skills!K22/10)+Skills!N22</f>
        <v/>
      </c>
      <c r="G915">
        <f>Calc!G22</f>
        <v/>
      </c>
      <c r="H915">
        <f>Calc!H22</f>
        <v/>
      </c>
      <c r="I915">
        <f>IF(Skills!T22&lt;&gt;"",1+(Skills!T22/10)*($Z$3/1000)/100,1)</f>
        <v/>
      </c>
      <c r="J915" t="inlineStr"/>
      <c r="K915" t="inlineStr"/>
      <c r="L915" t="inlineStr"/>
      <c r="M915" t="inlineStr"/>
      <c r="N915" t="inlineStr"/>
      <c r="O915" t="n">
        <v>0</v>
      </c>
      <c r="P915">
        <f>IF(B931=0,0,O915/B931)</f>
        <v/>
      </c>
      <c r="S915" t="n">
        <v>0</v>
      </c>
      <c r="V915">
        <f>IFERROR(1/IF(Inputs!$B$4="pvp",15,MAX(0.1,Skills!D22-IF(Skills!E22=TRUE,Inputs!$B$31,0))),0)</f>
        <v/>
      </c>
    </row>
    <row r="916">
      <c r="A916">
        <f>Skills!A23</f>
        <v/>
      </c>
      <c r="B916">
        <f>Skills!B23</f>
        <v/>
      </c>
      <c r="C916">
        <f>Inputs!$B$3&gt;=74</f>
        <v/>
      </c>
      <c r="D916">
        <f>IF(Skills!C23=1,60+Inputs!$B$24+Inputs!$B$28,IF(Skills!C23=2,90+Inputs!$B$25+Inputs!$B$28,IF(Skills!C23=3,120+Inputs!$B$26+Inputs!$B$28,MAX(0,(Inputs!$B$3-100)*3)+Inputs!$B$27+Inputs!$B$28)))</f>
        <v/>
      </c>
      <c r="E916">
        <f>INDEX(FactorTable!$B$2:$Y$301, MATCH(ROUND(MIN(300,MAX(1,D916)),0), FactorTable!$A$2:$A$301,0), Skills!L23+1)</f>
        <v/>
      </c>
      <c r="F916">
        <f>IF(Skills!M23=TRUE,(Skills!K23/10)*(E916/1000),Skills!K23/10)+Skills!N23</f>
        <v/>
      </c>
      <c r="G916">
        <f>Calc!G23</f>
        <v/>
      </c>
      <c r="H916">
        <f>Calc!H23</f>
        <v/>
      </c>
      <c r="I916">
        <f>IF(Skills!T23&lt;&gt;"",1+(Skills!T23/10)*($Z$3/1000)/100,1)</f>
        <v/>
      </c>
      <c r="J916" t="inlineStr"/>
      <c r="K916" t="inlineStr"/>
      <c r="L916" t="inlineStr"/>
      <c r="M916" t="inlineStr"/>
      <c r="N916" t="inlineStr"/>
      <c r="O916" t="n">
        <v>0</v>
      </c>
      <c r="P916">
        <f>IF(B931=0,0,O916/B931)</f>
        <v/>
      </c>
      <c r="S916" t="n">
        <v>0</v>
      </c>
      <c r="V916">
        <f>IFERROR(1/IF(Inputs!$B$4="pvp",15,MAX(0.1,Skills!D23-IF(Skills!E23=TRUE,Inputs!$B$31,0))),0)</f>
        <v/>
      </c>
    </row>
    <row r="917">
      <c r="A917">
        <f>Skills!A24</f>
        <v/>
      </c>
      <c r="B917">
        <f>Skills!B24</f>
        <v/>
      </c>
      <c r="C917">
        <f>Inputs!$B$3&gt;=74</f>
        <v/>
      </c>
      <c r="D917">
        <f>IF(Skills!C24=1,60+Inputs!$B$24+Inputs!$B$28,IF(Skills!C24=2,90+Inputs!$B$25+Inputs!$B$28,IF(Skills!C24=3,120+Inputs!$B$26+Inputs!$B$28,MAX(0,(Inputs!$B$3-100)*3)+Inputs!$B$27+Inputs!$B$28)))</f>
        <v/>
      </c>
      <c r="E917">
        <f>INDEX(FactorTable!$B$2:$Y$301, MATCH(ROUND(MIN(300,MAX(1,D917)),0), FactorTable!$A$2:$A$301,0), Skills!L24+1)</f>
        <v/>
      </c>
      <c r="F917">
        <f>IF(Skills!M24=TRUE,(Skills!K24/10)*(E917/1000),Skills!K24/10)+Skills!N24</f>
        <v/>
      </c>
      <c r="G917">
        <f>Calc!G24</f>
        <v/>
      </c>
      <c r="H917">
        <f>Calc!H24</f>
        <v/>
      </c>
      <c r="I917">
        <f>IF(Skills!T24&lt;&gt;"",1+(Skills!T24/10)*($Z$3/1000)/100,1)</f>
        <v/>
      </c>
      <c r="J917" t="inlineStr"/>
      <c r="K917" t="inlineStr"/>
      <c r="L917" t="inlineStr"/>
      <c r="M917" t="inlineStr"/>
      <c r="N917" t="inlineStr"/>
      <c r="O917" t="n">
        <v>0</v>
      </c>
      <c r="P917">
        <f>IF(B931=0,0,O917/B931)</f>
        <v/>
      </c>
      <c r="S917" t="n">
        <v>0</v>
      </c>
      <c r="V917">
        <f>IFERROR(1/IF(Inputs!$B$4="pvp",15,MAX(0.1,Skills!D24-IF(Skills!E24=TRUE,Inputs!$B$31,0))),0)</f>
        <v/>
      </c>
    </row>
    <row r="918">
      <c r="A918">
        <f>Skills!A25</f>
        <v/>
      </c>
      <c r="B918">
        <f>Skills!B25</f>
        <v/>
      </c>
      <c r="C918">
        <f>Inputs!$B$3&gt;=117</f>
        <v/>
      </c>
      <c r="D918">
        <f>IF(Skills!C25=1,60+Inputs!$B$24+Inputs!$B$28,IF(Skills!C25=2,90+Inputs!$B$25+Inputs!$B$28,IF(Skills!C25=3,120+Inputs!$B$26+Inputs!$B$28,MAX(0,(Inputs!$B$3-100)*3)+Inputs!$B$27+Inputs!$B$28)))</f>
        <v/>
      </c>
      <c r="E918">
        <f>INDEX(FactorTable!$B$2:$Y$301, MATCH(ROUND(MIN(300,MAX(1,D918)),0), FactorTable!$A$2:$A$301,0), Skills!L25+1)</f>
        <v/>
      </c>
      <c r="F918">
        <f>IF(Skills!M25=TRUE,(Skills!K25/10)*(E918/1000),Skills!K25/10)+Skills!N25</f>
        <v/>
      </c>
      <c r="G918">
        <f>Calc!G25</f>
        <v/>
      </c>
      <c r="H918">
        <f>Calc!H25</f>
        <v/>
      </c>
      <c r="I918">
        <f>IF(Skills!T25&lt;&gt;"",1+(Skills!T25/10)*($Z$3/1000)/100,1)</f>
        <v/>
      </c>
      <c r="J918" t="inlineStr"/>
      <c r="K918" t="inlineStr"/>
      <c r="L918" t="inlineStr"/>
      <c r="M918" t="inlineStr"/>
      <c r="N918" t="inlineStr"/>
      <c r="O918" t="n">
        <v>0</v>
      </c>
      <c r="P918">
        <f>IF(B931=0,0,O918/B931)</f>
        <v/>
      </c>
      <c r="S918" t="n">
        <v>0</v>
      </c>
      <c r="V918">
        <f>IFERROR(1/IF(Inputs!$B$4="pvp",15,MAX(0.1,Skills!D25-IF(Skills!E25=TRUE,Inputs!$B$31,0))),0)</f>
        <v/>
      </c>
    </row>
    <row r="919">
      <c r="A919">
        <f>Skills!A26</f>
        <v/>
      </c>
      <c r="B919">
        <f>Skills!B26</f>
        <v/>
      </c>
      <c r="C919">
        <f>Inputs!$B$3&gt;=120</f>
        <v/>
      </c>
      <c r="D919">
        <f>IF(Skills!C26=1,60+Inputs!$B$24+Inputs!$B$28,IF(Skills!C26=2,90+Inputs!$B$25+Inputs!$B$28,IF(Skills!C26=3,120+Inputs!$B$26+Inputs!$B$28,MAX(0,(Inputs!$B$3-100)*3)+Inputs!$B$27+Inputs!$B$28)))</f>
        <v/>
      </c>
      <c r="E919">
        <f>INDEX(FactorTable!$B$2:$Y$301, MATCH(ROUND(MIN(300,MAX(1,D919)),0), FactorTable!$A$2:$A$301,0), Skills!L26+1)</f>
        <v/>
      </c>
      <c r="F919">
        <f>IF(Skills!M26=TRUE,(Skills!K26/10)*(E919/1000),Skills!K26/10)+Skills!N26</f>
        <v/>
      </c>
      <c r="G919">
        <f>Calc!G26</f>
        <v/>
      </c>
      <c r="H919">
        <f>Calc!H26</f>
        <v/>
      </c>
      <c r="I919">
        <f>IF(Skills!T26&lt;&gt;"",1+(Skills!T26/10)*($Z$3/1000)/100,1)</f>
        <v/>
      </c>
      <c r="J919" t="inlineStr"/>
      <c r="K919" t="inlineStr"/>
      <c r="L919" t="inlineStr"/>
      <c r="M919" t="inlineStr"/>
      <c r="N919" t="inlineStr"/>
      <c r="O919" t="n">
        <v>0</v>
      </c>
      <c r="P919">
        <f>IF(B931=0,0,O919/B931)</f>
        <v/>
      </c>
      <c r="S919" t="n">
        <v>0</v>
      </c>
      <c r="V919">
        <f>IFERROR(1/IF(Inputs!$B$4="pvp",15,MAX(0.1,Skills!D26-IF(Skills!E26=TRUE,Inputs!$B$31,0))),0)</f>
        <v/>
      </c>
    </row>
    <row r="921">
      <c r="A921" t="inlineStr">
        <is>
          <t>Average Buff Multiplier</t>
        </is>
      </c>
      <c r="B921">
        <f>(1+(IF(C896=TRUE,F896*IF(AND(Inputs!$B$4&lt;&gt;"pvp",Inputs!$B$35&gt;0),(((S896-1)*(Skills!S3*(1+(Inputs!$B$33+IF(Inputs!$B$3&gt;=117,F918,0))/100))+MIN((Skills!S3*(1+(Inputs!$B$33+IF(Inputs!$B$3&gt;=117,F918,0))/100)),MAX(0,Inputs!$B$35-((S896-1)*Skills!D3))))/Inputs!$B$35),IF(Inputs!$B$4="pvp",MIN((Skills!S3*(1+(Inputs!$B$33+IF(Inputs!$B$3&gt;=117,F918,0))/100)),15)/15,(Skills!S3*(1+(Inputs!$B$33+IF(Inputs!$B$3&gt;=117,F918,0))/100))/Skills!D3)),0)+IF(C897=TRUE,F897*IF(AND(Inputs!$B$4&lt;&gt;"pvp",Inputs!$B$35&gt;0),(((S897-1)*(Skills!S4*(1+(Inputs!$B$33+IF(Inputs!$B$3&gt;=117,F918,0))/100))+MIN((Skills!S4*(1+(Inputs!$B$33+IF(Inputs!$B$3&gt;=117,F918,0))/100)),MAX(0,Inputs!$B$35-((S897-1)*Skills!D4))))/Inputs!$B$35),IF(Inputs!$B$4="pvp",MIN((Skills!S4*(1+(Inputs!$B$33+IF(Inputs!$B$3&gt;=117,F918,0))/100)),15)/15,(Skills!S4*(1+(Inputs!$B$33+IF(Inputs!$B$3&gt;=117,F918,0))/100))/Skills!D4)),0)+IF(C898=TRUE,F898*IF(AND(Inputs!$B$4&lt;&gt;"pvp",Inputs!$B$35&gt;0),(((S898-1)*(Skills!S5*(1+(Inputs!$B$33+IF(Inputs!$B$3&gt;=117,F918,0))/100))+MIN((Skills!S5*(1+(Inputs!$B$33+IF(Inputs!$B$3&gt;=117,F918,0))/100)),MAX(0,Inputs!$B$35-((S898-1)*Skills!D5))))/Inputs!$B$35),IF(Inputs!$B$4="pvp",MIN((Skills!S5*(1+(Inputs!$B$33+IF(Inputs!$B$3&gt;=117,F918,0))/100)),15)/15,(Skills!S5*(1+(Inputs!$B$33+IF(Inputs!$B$3&gt;=117,F918,0))/100))/Skills!D5)),0)+IF(C904=TRUE,F904*IF(AND(Inputs!$B$4&lt;&gt;"pvp",Inputs!$B$35&gt;0),(((S904-1)*(Skills!S11*(1+(Inputs!$B$33+IF(Inputs!$B$3&gt;=117,F918,0))/100))+MIN((Skills!S11*(1+(Inputs!$B$33+IF(Inputs!$B$3&gt;=117,F918,0))/100)),MAX(0,Inputs!$B$35-((S904-1)*Skills!D11))))/Inputs!$B$35),IF(Inputs!$B$4="pvp",MIN((Skills!S11*(1+(Inputs!$B$33+IF(Inputs!$B$3&gt;=117,F918,0))/100)),15)/15,(Skills!S11*(1+(Inputs!$B$33+IF(Inputs!$B$3&gt;=117,F918,0))/100))/Skills!D11)),0))/100)*IF(C906=TRUE,(1+F906*IF(AND(Inputs!$B$4&lt;&gt;"pvp",Inputs!$B$35&gt;0),(((S906-1)*(Skills!S13*(1+(Inputs!$B$33+IF(Inputs!$B$3&gt;=117,F918,0))/100))+MIN((Skills!S13*(1+(Inputs!$B$33+IF(Inputs!$B$3&gt;=117,F918,0))/100)),MAX(0,Inputs!$B$35-((S906-1)*Skills!D13))))/Inputs!$B$35),IF(Inputs!$B$4="pvp",MIN((Skills!S13*(1+(Inputs!$B$33+IF(Inputs!$B$3&gt;=117,F918,0))/100)),15)/15,(Skills!S13*(1+(Inputs!$B$33+IF(Inputs!$B$3&gt;=117,F918,0))/100))/Skills!D13))/100),1)*IF(C911=TRUE,(1+F911*IF(AND(Inputs!$B$4&lt;&gt;"pvp",Inputs!$B$35&gt;0),(((S911-1)*(Skills!S18*(1+(Inputs!$B$33+IF(Inputs!$B$3&gt;=117,F918,0))/100))+MIN((Skills!S18*(1+(Inputs!$B$33+IF(Inputs!$B$3&gt;=117,F918,0))/100)),MAX(0,Inputs!$B$35-((S911-1)*Skills!D18))))/Inputs!$B$35),IF(Inputs!$B$4="pvp",MIN((Skills!S18*(1+(Inputs!$B$33+IF(Inputs!$B$3&gt;=117,F918,0))/100)),15)/15,(Skills!S18*(1+(Inputs!$B$33+IF(Inputs!$B$3&gt;=117,F918,0))/100))/Skills!D18))/100),1)</f>
        <v/>
      </c>
    </row>
    <row r="922">
      <c r="A922" t="inlineStr">
        <is>
          <t>Monster Damage Taken Bonus % (Holy Fountain)</t>
        </is>
      </c>
      <c r="B922">
        <f>IF(Inputs!$B$3&gt;=68,20*IF(Inputs!$B$4="pvp",MIN((15*(1+(Inputs!$B$33+IF(Inputs!$B$3&gt;=117,F918,0))/100)),15)/15,(15*(1+(Inputs!$B$33+IF(Inputs!$B$3&gt;=117,F918,0))/100))/Skills!D10),0)</f>
        <v/>
      </c>
    </row>
    <row r="923">
      <c r="A923" t="inlineStr">
        <is>
          <t>Normal Monster Damage Bonus % (Holy Symbol)</t>
        </is>
      </c>
      <c r="B923">
        <f>IF(C905=TRUE,F905*IF(AND(Inputs!$B$4&lt;&gt;"pvp",Inputs!$B$35&gt;0),(((S905-1)*(Skills!S12*(1+(Inputs!$B$33+IF(Inputs!$B$3&gt;=117,F918,0))/100))+MIN((Skills!S12*(1+(Inputs!$B$33+IF(Inputs!$B$3&gt;=117,F918,0))/100)),MAX(0,Inputs!$B$35-((S905-1)*Skills!D12))))/Inputs!$B$35),IF(Inputs!$B$4="pvp",MIN((Skills!S12*(1+(Inputs!$B$33+IF(Inputs!$B$3&gt;=117,F918,0))/100)),15)/15,(Skills!S12*(1+(Inputs!$B$33+IF(Inputs!$B$3&gt;=117,F918,0))/100))/Skills!D12)),0)</f>
        <v/>
      </c>
    </row>
    <row r="924">
      <c r="A924" t="inlineStr">
        <is>
          <t>Damage % Bonus (Holy Symbol - Damage Boost)</t>
        </is>
      </c>
      <c r="B924">
        <f>Skills!O12</f>
        <v/>
      </c>
    </row>
    <row r="925">
      <c r="A925" t="inlineStr">
        <is>
          <t>Crit Damage % Bonus (Blood of the Divine)</t>
        </is>
      </c>
      <c r="B925">
        <f>4*IF(C912=TRUE,F912,0)</f>
        <v/>
      </c>
    </row>
    <row r="926">
      <c r="A926" t="inlineStr">
        <is>
          <t>Attack Speed Bonus %</t>
        </is>
      </c>
      <c r="B926">
        <f>IF(C909=TRUE,F909+(F913-Calc!F20),0)+IF(Inputs!$B$3&gt;=134,15,0)</f>
        <v/>
      </c>
    </row>
    <row r="927">
      <c r="A927" t="inlineStr">
        <is>
          <t>Actions Per Second</t>
        </is>
      </c>
      <c r="B927">
        <f>1+MIN(150,150*(1-(1-Inputs!$B$10/150)*(1-B926/150)))/100</f>
        <v/>
      </c>
    </row>
    <row r="928">
      <c r="A928" t="inlineStr">
        <is>
          <t>Skill + Buff Cast Rate</t>
        </is>
      </c>
      <c r="B928">
        <f>IF(AND(Inputs!$B$4&lt;&gt;"pvp",Inputs!$B$35&gt;0),SUMPRODUCT((Skills!E2:E26=TRUE)*(C895:C919=TRUE)*S895:S919)/Inputs!$B$35,SUMPRODUCT((Skills!E2:E26=TRUE)*(C895:C919=TRUE)*V895:V919))</f>
        <v/>
      </c>
    </row>
    <row r="929">
      <c r="A929" t="inlineStr">
        <is>
          <t>Big Bang Casts Per Second</t>
        </is>
      </c>
      <c r="B929">
        <f>MAX(0,B927-B928)</f>
        <v/>
      </c>
    </row>
    <row r="931">
      <c r="A931" s="5" t="inlineStr">
        <is>
          <t>TOTAL DPS</t>
        </is>
      </c>
      <c r="B931" s="5">
        <f>SUM(O895:O919)</f>
        <v/>
      </c>
    </row>
    <row r="934">
      <c r="A934" s="5" t="inlineStr">
        <is>
          <t>Stat: Skill Cooldown Decrease (seconds)</t>
        </is>
      </c>
    </row>
    <row r="935">
      <c r="A935" s="8" t="inlineStr">
        <is>
          <t>Key</t>
        </is>
      </c>
      <c r="B935" s="8" t="inlineStr">
        <is>
          <t>Name</t>
        </is>
      </c>
      <c r="C935" s="8" t="inlineStr">
        <is>
          <t>Unlocked</t>
        </is>
      </c>
      <c r="D935" s="8" t="inlineStr">
        <is>
          <t>InputLevel</t>
        </is>
      </c>
      <c r="E935" s="8" t="inlineStr">
        <is>
          <t>Factor</t>
        </is>
      </c>
      <c r="F935" s="8" t="inlineStr">
        <is>
          <t>CoefficientPercent</t>
        </is>
      </c>
      <c r="G935" s="8" t="inlineStr">
        <is>
          <t>EffectiveHits</t>
        </is>
      </c>
      <c r="H935" s="8" t="inlineStr">
        <is>
          <t>ProcProbability</t>
        </is>
      </c>
      <c r="I935" s="8" t="inlineStr">
        <is>
          <t>MapleHeroMultiplier</t>
        </is>
      </c>
      <c r="J935" s="8" t="inlineStr">
        <is>
          <t>BaseDamage</t>
        </is>
      </c>
      <c r="K935" s="8" t="inlineStr">
        <is>
          <t>BaseHitDamage</t>
        </is>
      </c>
      <c r="L935" s="8" t="inlineStr">
        <is>
          <t>NonCritAvg</t>
        </is>
      </c>
      <c r="M935" s="8" t="inlineStr">
        <is>
          <t>CritAvg</t>
        </is>
      </c>
      <c r="N935" s="8" t="inlineStr">
        <is>
          <t>ExpectedDamage(perHit)</t>
        </is>
      </c>
      <c r="O935" s="8" t="inlineStr">
        <is>
          <t>DPS</t>
        </is>
      </c>
      <c r="P935" s="8" t="inlineStr">
        <is>
          <t>% of Total</t>
        </is>
      </c>
      <c r="R935" t="inlineStr">
        <is>
          <t>helpers</t>
        </is>
      </c>
    </row>
    <row r="936">
      <c r="A936">
        <f>Skills!A2</f>
        <v/>
      </c>
      <c r="B936">
        <f>Skills!B2</f>
        <v/>
      </c>
      <c r="C936">
        <f>Inputs!$B$3&gt;=100</f>
        <v/>
      </c>
      <c r="D936" t="inlineStr"/>
      <c r="E936" t="inlineStr"/>
      <c r="F936">
        <f>T938+Skills!N2</f>
        <v/>
      </c>
      <c r="G936">
        <f>Calc!G2</f>
        <v/>
      </c>
      <c r="H936">
        <f>Calc!H2</f>
        <v/>
      </c>
      <c r="I936">
        <f>IF(Skills!T2&lt;&gt;"",1+(Skills!T2/10)*($Z$3/1000)/100,1)</f>
        <v/>
      </c>
      <c r="J936">
        <f>((Inputs!$B$5*(1+Inputs!$B$6/100))+((Inputs!$B$11*(1+Inputs!$B$12/100))-(Inputs!$B$11*(1+Inputs!$B$12/100)))*(1+Inputs!$B$6/100))*(F936/100)</f>
        <v/>
      </c>
      <c r="K936">
        <f>J936*(1+((Inputs!$B$11*(1+Inputs!$B$12/100))*0.01+Inputs!$B$13*0.0025)/100)*(1+(Inputs!$B$14+B965)/100)*(1+IF(Inputs!$B$4="pvp",0,(1-Summary!$B$48)*(Inputs!$B$19+Skills!O2+B963)+Summary!$B$48*(Inputs!$B$20+Skills!P2+B964))/100)*(1+Inputs!$B$15/100)*(5000/(6000+Inputs!$B$7*(1-Inputs!$B$18/100)))*(1+Inputs!$B$23/100)*(1+IF(C951=TRUE,F951,0)/100)*(1+IF(C953=TRUE,F953,0)/100)*(1+IF(Skills!A2="TRIUMPH_FEATHER",IF(C949=TRUE,F949,0),0)/100)*(1+IF(C960=TRUE,F960,0)/100)^5*(1+(IF(Skills!A2="BIG_BANG",Inputs!$B$16,Inputs!$B$17))/100)*(B962*I936)</f>
        <v/>
      </c>
      <c r="L936">
        <f>K936*(MIN(Inputs!$B$21+(F955-Calc!F21),Inputs!$B$22)/100+Inputs!$B$22/100)/2</f>
        <v/>
      </c>
      <c r="M936">
        <f>L936*(1+(Inputs!$B$9+B966+(F958-Calc!F24))/100)</f>
        <v/>
      </c>
      <c r="N936">
        <f>L936*(1-MIN(Inputs!$B$8+((F957-Calc!F23)+(F956-Calc!F22)),100)/100)+M936*(MIN(Inputs!$B$8+((F957-Calc!F23)+(F956-Calc!F22)),100)/100)</f>
        <v/>
      </c>
      <c r="O936">
        <f>IF(C936,Skills!F2*N936*B970*IF(Inputs!$B$4="pvp",1,(1-Summary!$B$48)*(1)+Summary!$B$48*(MIN((6+Inputs!$B$32),Inputs!$B$37))),0)</f>
        <v/>
      </c>
      <c r="P936">
        <f>IF(B972=0,0,O936/B972)</f>
        <v/>
      </c>
      <c r="S936" t="n">
        <v>0</v>
      </c>
      <c r="T936">
        <f>MAX(0,(Inputs!$B$3-100)*3)+Inputs!$B$27+Inputs!$B$28</f>
        <v/>
      </c>
      <c r="V936">
        <f>IFERROR(1/IF(Inputs!$B$4="pvp",15,MAX(0.1,Skills!D2-IF(Skills!E2=TRUE,(Inputs!$B$31+1),0))),0)</f>
        <v/>
      </c>
    </row>
    <row r="937">
      <c r="A937">
        <f>Skills!A3</f>
        <v/>
      </c>
      <c r="B937">
        <f>Skills!B3</f>
        <v/>
      </c>
      <c r="C937">
        <f>Inputs!$B$3&gt;=15</f>
        <v/>
      </c>
      <c r="D937">
        <f>IF(Skills!C3=1,60+Inputs!$B$24+Inputs!$B$28,IF(Skills!C3=2,90+Inputs!$B$25+Inputs!$B$28,IF(Skills!C3=3,120+Inputs!$B$26+Inputs!$B$28,MAX(0,(Inputs!$B$3-100)*3)+Inputs!$B$27+Inputs!$B$28)))</f>
        <v/>
      </c>
      <c r="E937">
        <f>INDEX(FactorTable!$B$2:$Y$301, MATCH(ROUND(MIN(300,MAX(1,D937)),0), FactorTable!$A$2:$A$301,0), Skills!L3+1)</f>
        <v/>
      </c>
      <c r="F937">
        <f>IF(Skills!M3=TRUE,(Skills!K3/10)*(E937/1000),Skills!K3/10)+Skills!N3</f>
        <v/>
      </c>
      <c r="G937">
        <f>Calc!G3</f>
        <v/>
      </c>
      <c r="H937">
        <f>Calc!H3</f>
        <v/>
      </c>
      <c r="I937">
        <f>IF(Skills!T3&lt;&gt;"",1+(Skills!T3/10)*($Z$3/1000)/100,1)</f>
        <v/>
      </c>
      <c r="J937" t="inlineStr"/>
      <c r="K937" t="inlineStr"/>
      <c r="L937" t="inlineStr"/>
      <c r="M937" t="inlineStr"/>
      <c r="N937" t="inlineStr"/>
      <c r="O937" t="n">
        <v>0</v>
      </c>
      <c r="P937">
        <f>IF(B972=0,0,O937/B972)</f>
        <v/>
      </c>
      <c r="S937">
        <f>IF(AND(Inputs!$B$4&lt;&gt;"pvp",Inputs!$B$35&gt;0),(INT(Inputs!$B$35/IF(Inputs!$B$4="pvp",15,MAX(0.1,Skills!D3-IF(Skills!E3=TRUE,(Inputs!$B$31+1),0))))+1),0)</f>
        <v/>
      </c>
      <c r="T937">
        <f>INDEX(FactorTable!$B$2:$Y$301, MATCH(ROUND(MIN(300,MAX(1,T936)),0), FactorTable!$A$2:$A$301,0), 22)</f>
        <v/>
      </c>
      <c r="V937">
        <f>IFERROR(1/IF(Inputs!$B$4="pvp",15,MAX(0.1,Skills!D3-IF(Skills!E3=TRUE,(Inputs!$B$31+1),0))),0)</f>
        <v/>
      </c>
    </row>
    <row r="938">
      <c r="A938">
        <f>Skills!A4</f>
        <v/>
      </c>
      <c r="B938">
        <f>Skills!B4</f>
        <v/>
      </c>
      <c r="C938">
        <f>Inputs!$B$3&gt;=38</f>
        <v/>
      </c>
      <c r="D938">
        <f>IF(Skills!C4=1,60+Inputs!$B$24+Inputs!$B$28,IF(Skills!C4=2,90+Inputs!$B$25+Inputs!$B$28,IF(Skills!C4=3,120+Inputs!$B$26+Inputs!$B$28,MAX(0,(Inputs!$B$3-100)*3)+Inputs!$B$27+Inputs!$B$28)))</f>
        <v/>
      </c>
      <c r="E938">
        <f>INDEX(FactorTable!$B$2:$Y$301, MATCH(ROUND(MIN(300,MAX(1,D938)),0), FactorTable!$A$2:$A$301,0), Skills!L4+1)</f>
        <v/>
      </c>
      <c r="F938">
        <f>IF(Skills!M4=TRUE,(Skills!K4/10)*(E938/1000),Skills!K4/10)+Skills!N4</f>
        <v/>
      </c>
      <c r="G938">
        <f>Calc!G4</f>
        <v/>
      </c>
      <c r="H938">
        <f>Calc!H4</f>
        <v/>
      </c>
      <c r="I938">
        <f>IF(Skills!T4&lt;&gt;"",1+(Skills!T4/10)*($Z$3/1000)/100,1)</f>
        <v/>
      </c>
      <c r="J938" t="inlineStr"/>
      <c r="K938" t="inlineStr"/>
      <c r="L938" t="inlineStr"/>
      <c r="M938" t="inlineStr"/>
      <c r="N938" t="inlineStr"/>
      <c r="O938" t="n">
        <v>0</v>
      </c>
      <c r="P938">
        <f>IF(B972=0,0,O938/B972)</f>
        <v/>
      </c>
      <c r="S938">
        <f>IF(AND(Inputs!$B$4&lt;&gt;"pvp",Inputs!$B$35&gt;0),(INT(Inputs!$B$35/IF(Inputs!$B$4="pvp",15,MAX(0.1,Skills!D4-IF(Skills!E4=TRUE,(Inputs!$B$31+1),0))))+1),0)</f>
        <v/>
      </c>
      <c r="T938">
        <f>290*T937/1000</f>
        <v/>
      </c>
      <c r="V938">
        <f>IFERROR(1/IF(Inputs!$B$4="pvp",15,MAX(0.1,Skills!D4-IF(Skills!E4=TRUE,(Inputs!$B$31+1),0))),0)</f>
        <v/>
      </c>
    </row>
    <row r="939">
      <c r="A939">
        <f>Skills!A5</f>
        <v/>
      </c>
      <c r="B939">
        <f>Skills!B5</f>
        <v/>
      </c>
      <c r="C939">
        <f>Inputs!$B$3&gt;=40</f>
        <v/>
      </c>
      <c r="D939">
        <f>IF(Skills!C5=1,60+Inputs!$B$24+Inputs!$B$28,IF(Skills!C5=2,90+Inputs!$B$25+Inputs!$B$28,IF(Skills!C5=3,120+Inputs!$B$26+Inputs!$B$28,MAX(0,(Inputs!$B$3-100)*3)+Inputs!$B$27+Inputs!$B$28)))</f>
        <v/>
      </c>
      <c r="E939">
        <f>INDEX(FactorTable!$B$2:$Y$301, MATCH(ROUND(MIN(300,MAX(1,D939)),0), FactorTable!$A$2:$A$301,0), Skills!L5+1)</f>
        <v/>
      </c>
      <c r="F939">
        <f>IF(Skills!M5=TRUE,(Skills!K5/10)*(E939/1000),Skills!K5/10)+Skills!N5</f>
        <v/>
      </c>
      <c r="G939">
        <f>Calc!G5</f>
        <v/>
      </c>
      <c r="H939">
        <f>Calc!H5</f>
        <v/>
      </c>
      <c r="I939">
        <f>IF(Skills!T5&lt;&gt;"",1+(Skills!T5/10)*($Z$3/1000)/100,1)</f>
        <v/>
      </c>
      <c r="J939" t="inlineStr"/>
      <c r="K939" t="inlineStr"/>
      <c r="L939" t="inlineStr"/>
      <c r="M939" t="inlineStr"/>
      <c r="N939" t="inlineStr"/>
      <c r="O939" t="n">
        <v>0</v>
      </c>
      <c r="P939">
        <f>IF(B972=0,0,O939/B972)</f>
        <v/>
      </c>
      <c r="S939">
        <f>IF(AND(Inputs!$B$4&lt;&gt;"pvp",Inputs!$B$35&gt;0),(INT(Inputs!$B$35/IF(Inputs!$B$4="pvp",15,MAX(0.1,Skills!D5-IF(Skills!E5=TRUE,(Inputs!$B$31+1),0))))+1),0)</f>
        <v/>
      </c>
      <c r="V939">
        <f>IFERROR(1/IF(Inputs!$B$4="pvp",15,MAX(0.1,Skills!D5-IF(Skills!E5=TRUE,(Inputs!$B$31+1),0))),0)</f>
        <v/>
      </c>
    </row>
    <row r="940">
      <c r="A940">
        <f>Skills!A6</f>
        <v/>
      </c>
      <c r="B940">
        <f>Skills!B6</f>
        <v/>
      </c>
      <c r="C940">
        <f>Inputs!$B$3&gt;=103</f>
        <v/>
      </c>
      <c r="D940">
        <f>IF(Skills!C6=1,60+Inputs!$B$24+Inputs!$B$28,IF(Skills!C6=2,90+Inputs!$B$25+Inputs!$B$28,IF(Skills!C6=3,120+Inputs!$B$26+Inputs!$B$28,MAX(0,(Inputs!$B$3-100)*3)+Inputs!$B$27+Inputs!$B$28)))</f>
        <v/>
      </c>
      <c r="E940">
        <f>INDEX(FactorTable!$B$2:$Y$301, MATCH(ROUND(MIN(300,MAX(1,D940)),0), FactorTable!$A$2:$A$301,0), Skills!L6+1)</f>
        <v/>
      </c>
      <c r="F940">
        <f>IF(Skills!M6=TRUE,(Skills!K6/10)*(E940/1000),Skills!K6/10)+Skills!N6</f>
        <v/>
      </c>
      <c r="G940">
        <f>Calc!G6</f>
        <v/>
      </c>
      <c r="H940">
        <f>Calc!H6</f>
        <v/>
      </c>
      <c r="I940">
        <f>IF(Skills!T6&lt;&gt;"",1+(Skills!T6/10)*($Z$3/1000)/100,1)</f>
        <v/>
      </c>
      <c r="J940">
        <f>((Inputs!$B$5*(1+Inputs!$B$6/100))+((Inputs!$B$11*(1+Inputs!$B$12/100))-(Inputs!$B$11*(1+Inputs!$B$12/100)))*(1+Inputs!$B$6/100))*(F940/100)</f>
        <v/>
      </c>
      <c r="K940">
        <f>J940*(1+((Inputs!$B$11*(1+Inputs!$B$12/100))*0.01+Inputs!$B$13*0.0025)/100)*(1+(Inputs!$B$14+B965)/100)*(1+IF(Inputs!$B$4="pvp",0,(1-Summary!$B$48)*(Inputs!$B$19+Skills!O6+B963)+Summary!$B$48*(Inputs!$B$20+Skills!P6+B964))/100)*(1+Inputs!$B$15/100)*(5000/(6000+Inputs!$B$7*(1-Inputs!$B$18/100)))*(1+Inputs!$B$23/100)*(1+IF(C951=TRUE,F951,0)/100)*(1+IF(C953=TRUE,F953,0)/100)*(1+IF(Skills!A6="TRIUMPH_FEATHER",IF(C949=TRUE,F949,0),0)/100)*(1+IF(C960=TRUE,F960,0)/100)^5*(1+(IF(Skills!A6="BIG_BANG",Inputs!$B$16,Inputs!$B$17))/100)*(B962*I940)</f>
        <v/>
      </c>
      <c r="L940">
        <f>K940*(MIN(Inputs!$B$21+(F955-Calc!F21),Inputs!$B$22)/100+Inputs!$B$22/100)/2</f>
        <v/>
      </c>
      <c r="M940">
        <f>L940*(1+(Inputs!$B$9+B966+(F958-Calc!F24))/100)</f>
        <v/>
      </c>
      <c r="N940">
        <f>L940*(1-MIN(Inputs!$B$8+((F957-Calc!F23)+(F956-Calc!F22)),100)/100)+M940*(MIN(Inputs!$B$8+((F957-Calc!F23)+(F956-Calc!F22)),100)/100)</f>
        <v/>
      </c>
      <c r="O940">
        <f>IF(C940,H940*N940*IF(AND(Inputs!$B$4&lt;&gt;"pvp",Inputs!$B$35&gt;0),((Skills!F6*((S940-1)*IF(Skills!G6&gt;0,Skills!H6/Skills!G6,1)+IF(Skills!G6&gt;0,MIN(Skills!H6,MAX(0,Inputs!$B$35-((S940-1)*IF(Inputs!$B$4="pvp",15,MAX(0.1,Skills!D6-IF(Skills!E6=TRUE,(Inputs!$B$31+1),0))))))/Skills!G6,1)))/Inputs!$B$35),G940*V940)*IF(Inputs!$B$4="pvp",1,(1-Summary!$B$48)*(1)+Summary!$B$48*(MIN(Skills!Q6,Inputs!$B$37))),0)</f>
        <v/>
      </c>
      <c r="P940">
        <f>IF(B972=0,0,O940/B972)</f>
        <v/>
      </c>
      <c r="S940">
        <f>IF(AND(Inputs!$B$4&lt;&gt;"pvp",Inputs!$B$35&gt;0),(INT(Inputs!$B$35/IF(Inputs!$B$4="pvp",15,MAX(0.1,Skills!D6-IF(Skills!E6=TRUE,(Inputs!$B$31+1),0))))+1),0)</f>
        <v/>
      </c>
      <c r="V940">
        <f>IFERROR(1/IF(Inputs!$B$4="pvp",15,MAX(0.1,Skills!D6-IF(Skills!E6=TRUE,(Inputs!$B$31+1),0))),0)</f>
        <v/>
      </c>
    </row>
    <row r="941">
      <c r="A941">
        <f>Skills!A7</f>
        <v/>
      </c>
      <c r="B941">
        <f>Skills!B7</f>
        <v/>
      </c>
      <c r="C941">
        <f>Inputs!$B$3&gt;=122</f>
        <v/>
      </c>
      <c r="D941">
        <f>IF(Skills!C7=1,60+Inputs!$B$24+Inputs!$B$28,IF(Skills!C7=2,90+Inputs!$B$25+Inputs!$B$28,IF(Skills!C7=3,120+Inputs!$B$26+Inputs!$B$28,MAX(0,(Inputs!$B$3-100)*3)+Inputs!$B$27+Inputs!$B$28)))</f>
        <v/>
      </c>
      <c r="E941">
        <f>INDEX(FactorTable!$B$2:$Y$301, MATCH(ROUND(MIN(300,MAX(1,D941)),0), FactorTable!$A$2:$A$301,0), Skills!L7+1)</f>
        <v/>
      </c>
      <c r="F941">
        <f>IF(Skills!M7=TRUE,(Skills!K7/10)*(E941/1000),Skills!K7/10)+Skills!N7</f>
        <v/>
      </c>
      <c r="G941">
        <f>Calc!G7</f>
        <v/>
      </c>
      <c r="H941">
        <f>Calc!H7</f>
        <v/>
      </c>
      <c r="I941">
        <f>IF(Skills!T7&lt;&gt;"",1+(Skills!T7/10)*($Z$3/1000)/100,1)</f>
        <v/>
      </c>
      <c r="J941">
        <f>((Inputs!$B$5*(1+Inputs!$B$6/100))+((Inputs!$B$11*(1+Inputs!$B$12/100))-(Inputs!$B$11*(1+Inputs!$B$12/100)))*(1+Inputs!$B$6/100))*(F941/100)</f>
        <v/>
      </c>
      <c r="K941">
        <f>J941*(1+((Inputs!$B$11*(1+Inputs!$B$12/100))*0.01+Inputs!$B$13*0.0025)/100)*(1+(Inputs!$B$14+B965)/100)*(1+IF(Inputs!$B$4="pvp",0,(1-Summary!$B$48)*(Inputs!$B$19+Skills!O7+B963)+Summary!$B$48*(Inputs!$B$20+Skills!P7+B964))/100)*(1+Inputs!$B$15/100)*(5000/(6000+Inputs!$B$7*(1-Inputs!$B$18/100)))*(1+Inputs!$B$23/100)*(1+IF(C951=TRUE,F951,0)/100)*(1+IF(C953=TRUE,F953,0)/100)*(1+IF(Skills!A7="TRIUMPH_FEATHER",IF(C949=TRUE,F949,0),0)/100)*(1+IF(C960=TRUE,F960,0)/100)^5*(1+(IF(Skills!A7="BIG_BANG",Inputs!$B$16,Inputs!$B$17))/100)*(B962*I941)</f>
        <v/>
      </c>
      <c r="L941">
        <f>K941*(MIN(Inputs!$B$21+(F955-Calc!F21),Inputs!$B$22)/100+Inputs!$B$22/100)/2</f>
        <v/>
      </c>
      <c r="M941">
        <f>L941*(1+(Inputs!$B$9+B966+(F958-Calc!F24))/100)</f>
        <v/>
      </c>
      <c r="N941">
        <f>L941*(1-MIN(Inputs!$B$8+((F957-Calc!F23)+(F956-Calc!F22)),100)/100)+M941*(MIN(Inputs!$B$8+((F957-Calc!F23)+(F956-Calc!F22)),100)/100)</f>
        <v/>
      </c>
      <c r="O941">
        <f>IF(C941,H941*N941*IF(AND(Inputs!$B$4&lt;&gt;"pvp",Inputs!$B$35&gt;0),((Skills!F7*((S941-1)*IF(Skills!G7&gt;0,Skills!H7/Skills!G7,1)+IF(Skills!G7&gt;0,MIN(Skills!H7,MAX(0,Inputs!$B$35-((S941-1)*IF(Inputs!$B$4="pvp",15,MAX(0.1,Skills!D7-IF(Skills!E6=TRUE,(Inputs!$B$31+1),0))))))/Skills!G7,1)))/Inputs!$B$35),G941*V941)*(1-Summary!$B$48),0)</f>
        <v/>
      </c>
      <c r="P941">
        <f>IF(B972=0,0,O941/B972)</f>
        <v/>
      </c>
      <c r="S941">
        <f>IF(AND(Inputs!$B$4&lt;&gt;"pvp",Inputs!$B$35&gt;0),(INT(Inputs!$B$35/IF(Inputs!$B$4="pvp",15,MAX(0.1,Skills!D7-IF(Skills!E6=TRUE,(Inputs!$B$31+1),0))))+1),0)</f>
        <v/>
      </c>
      <c r="V941">
        <f>IFERROR(1/IF(Inputs!$B$4="pvp",15,MAX(0.1,Skills!D7-IF(Skills!E6=TRUE,(Inputs!$B$31+1),0))),0)</f>
        <v/>
      </c>
    </row>
    <row r="942">
      <c r="A942">
        <f>Skills!A8</f>
        <v/>
      </c>
      <c r="B942">
        <f>Skills!B8</f>
        <v/>
      </c>
      <c r="C942">
        <f>Inputs!$B$3&gt;=105</f>
        <v/>
      </c>
      <c r="D942">
        <f>IF(Skills!C8=1,60+Inputs!$B$24+Inputs!$B$28,IF(Skills!C8=2,90+Inputs!$B$25+Inputs!$B$28,IF(Skills!C8=3,120+Inputs!$B$26+Inputs!$B$28,MAX(0,(Inputs!$B$3-100)*3)+Inputs!$B$27+Inputs!$B$28)))</f>
        <v/>
      </c>
      <c r="E942">
        <f>INDEX(FactorTable!$B$2:$Y$301, MATCH(ROUND(MIN(300,MAX(1,D942)),0), FactorTable!$A$2:$A$301,0), Skills!L8+1)</f>
        <v/>
      </c>
      <c r="F942">
        <f>IF(Skills!M8=TRUE,(Skills!K8/10)*(E942/1000),Skills!K8/10)+Skills!N8</f>
        <v/>
      </c>
      <c r="G942">
        <f>Calc!G8</f>
        <v/>
      </c>
      <c r="H942">
        <f>Calc!H8</f>
        <v/>
      </c>
      <c r="I942">
        <f>IF(Skills!T8&lt;&gt;"",1+(Skills!T8/10)*($Z$3/1000)/100,1)</f>
        <v/>
      </c>
      <c r="J942">
        <f>((Inputs!$B$5*(1+Inputs!$B$6/100))+((Inputs!$B$11*(1+Inputs!$B$12/100))-(Inputs!$B$11*(1+Inputs!$B$12/100)))*(1+Inputs!$B$6/100))*(F942/100)</f>
        <v/>
      </c>
      <c r="K942">
        <f>J942*(1+((Inputs!$B$11*(1+Inputs!$B$12/100))*0.01+Inputs!$B$13*0.0025)/100)*(1+(Inputs!$B$14+B965)/100)*(1+IF(Inputs!$B$4="pvp",0,(1-Summary!$B$48)*(Inputs!$B$19+Skills!O8+B963)+Summary!$B$48*(Inputs!$B$20+Skills!P8+B964))/100)*(1+Inputs!$B$15/100)*(5000/(6000+Inputs!$B$7*(1-Inputs!$B$18/100)))*(1+Inputs!$B$23/100)*(1+IF(C951=TRUE,F951,0)/100)*(1+IF(C953=TRUE,F953,0)/100)*(1+IF(Skills!A8="TRIUMPH_FEATHER",IF(C949=TRUE,F949,0),0)/100)*(1+IF(C960=TRUE,F960,0)/100)^5*(1+(IF(Skills!A8="BIG_BANG",Inputs!$B$16,Inputs!$B$17))/100)*(B962*I942)</f>
        <v/>
      </c>
      <c r="L942">
        <f>K942*(MIN(Inputs!$B$21+(F955-Calc!F21),Inputs!$B$22)/100+Inputs!$B$22/100)/2</f>
        <v/>
      </c>
      <c r="M942">
        <f>L942*(1+(Inputs!$B$9+B966+(F958-Calc!F24))/100)</f>
        <v/>
      </c>
      <c r="N942">
        <f>L942*(1-MIN(Inputs!$B$8+((F957-Calc!F23)+(F956-Calc!F22)),100)/100)+M942*(MIN(Inputs!$B$8+((F957-Calc!F23)+(F956-Calc!F22)),100)/100)</f>
        <v/>
      </c>
      <c r="O942">
        <f>IF(C942,H942*N942*IF(AND(Inputs!$B$4&lt;&gt;"pvp",Inputs!$B$35&gt;0),((Skills!F8*((S942-1)*IF(Skills!G8&gt;0,Skills!H8/Skills!G8,1)+IF(Skills!G8&gt;0,MIN(Skills!H8,MAX(0,Inputs!$B$35-((S942-1)*IF(Inputs!$B$4="pvp",15,MAX(0.1,Skills!D8-IF(Skills!E8=TRUE,(Inputs!$B$31+1),0))))))/Skills!G8,1)))/Inputs!$B$35),G942*V942)*IF(Inputs!$B$4="pvp",1,(1-Summary!$B$48)*(1)+Summary!$B$48*(MIN(Skills!Q8,Inputs!$B$37))),0)</f>
        <v/>
      </c>
      <c r="P942">
        <f>IF(B972=0,0,O942/B972)</f>
        <v/>
      </c>
      <c r="S942">
        <f>IF(AND(Inputs!$B$4&lt;&gt;"pvp",Inputs!$B$35&gt;0),(INT(Inputs!$B$35/IF(Inputs!$B$4="pvp",15,MAX(0.1,Skills!D8-IF(Skills!E8=TRUE,(Inputs!$B$31+1),0))))+1),0)</f>
        <v/>
      </c>
      <c r="V942">
        <f>IFERROR(1/IF(Inputs!$B$4="pvp",15,MAX(0.1,Skills!D8-IF(Skills!E8=TRUE,(Inputs!$B$31+1),0))),0)</f>
        <v/>
      </c>
    </row>
    <row r="943">
      <c r="A943">
        <f>Skills!A9</f>
        <v/>
      </c>
      <c r="B943">
        <f>Skills!B9</f>
        <v/>
      </c>
      <c r="C943">
        <f>Inputs!$B$3&gt;=115</f>
        <v/>
      </c>
      <c r="D943">
        <f>IF(Skills!C9=1,60+Inputs!$B$24+Inputs!$B$28,IF(Skills!C9=2,90+Inputs!$B$25+Inputs!$B$28,IF(Skills!C9=3,120+Inputs!$B$26+Inputs!$B$28,MAX(0,(Inputs!$B$3-100)*3)+Inputs!$B$27+Inputs!$B$28)))</f>
        <v/>
      </c>
      <c r="E943">
        <f>INDEX(FactorTable!$B$2:$Y$301, MATCH(ROUND(MIN(300,MAX(1,D943)),0), FactorTable!$A$2:$A$301,0), Skills!L9+1)</f>
        <v/>
      </c>
      <c r="F943">
        <f>IF(Skills!M9=TRUE,(Skills!K9/10)*(E943/1000),Skills!K9/10)+Skills!N9</f>
        <v/>
      </c>
      <c r="G943">
        <f>Calc!G9</f>
        <v/>
      </c>
      <c r="H943">
        <f>Calc!H9</f>
        <v/>
      </c>
      <c r="I943">
        <f>IF(Skills!T9&lt;&gt;"",1+(Skills!T9/10)*($Z$3/1000)/100,1)</f>
        <v/>
      </c>
      <c r="J943">
        <f>((Inputs!$B$5*(1+Inputs!$B$6/100))+((Inputs!$B$11*(1+Inputs!$B$12/100))-(Inputs!$B$11*(1+Inputs!$B$12/100)))*(1+Inputs!$B$6/100))*(F943/100)</f>
        <v/>
      </c>
      <c r="K943">
        <f>J943*(1+((Inputs!$B$11*(1+Inputs!$B$12/100))*0.01+Inputs!$B$13*0.0025)/100)*(1+(Inputs!$B$14+B965)/100)*(1+IF(Inputs!$B$4="pvp",0,(1-Summary!$B$48)*(Inputs!$B$19+Skills!O9+B963)+Summary!$B$48*(Inputs!$B$20+Skills!P9+B964))/100)*(1+Inputs!$B$15/100)*(5000/(6000+Inputs!$B$7*(1-Inputs!$B$18/100)))*(1+Inputs!$B$23/100)*(1+IF(C951=TRUE,F951,0)/100)*(1+IF(C953=TRUE,F953,0)/100)*(1+IF(Skills!A9="TRIUMPH_FEATHER",IF(C949=TRUE,F949,0),0)/100)*(1+IF(C960=TRUE,F960,0)/100)^5*(1+(IF(Skills!A9="BIG_BANG",Inputs!$B$16,Inputs!$B$17))/100)*(B962*I943)</f>
        <v/>
      </c>
      <c r="L943">
        <f>K943*(MIN(Inputs!$B$21+(F955-Calc!F21),Inputs!$B$22)/100+Inputs!$B$22/100)/2</f>
        <v/>
      </c>
      <c r="M943">
        <f>L943*(1+(Inputs!$B$9+B966+(F958-Calc!F24))/100)</f>
        <v/>
      </c>
      <c r="N943">
        <f>L943*(1-MIN(Inputs!$B$8+((F957-Calc!F23)+(F956-Calc!F22)),100)/100)+M943*(MIN(Inputs!$B$8+((F957-Calc!F23)+(F956-Calc!F22)),100)/100)</f>
        <v/>
      </c>
      <c r="O943">
        <f>IF(C943,H943*N943*IF(AND(Inputs!$B$4&lt;&gt;"pvp",Inputs!$B$35&gt;0),((Skills!F9*((S943-1)*IF(Skills!G9&gt;0,Skills!H9/Skills!G9,1)+IF(Skills!G9&gt;0,MIN(Skills!H9,MAX(0,Inputs!$B$35-((S943-1)*IF(Inputs!$B$4="pvp",15,MAX(0.1,Skills!D9-IF(Skills!E9=TRUE,(Inputs!$B$31+1),0))))))/Skills!G9,1)))/Inputs!$B$35),G943*V943)*IF(Inputs!$B$4="pvp",1,(1-Summary!$B$48)*(1)+Summary!$B$48*(MIN(Skills!Q9,Inputs!$B$37))),0)</f>
        <v/>
      </c>
      <c r="P943">
        <f>IF(B972=0,0,O943/B972)</f>
        <v/>
      </c>
      <c r="S943">
        <f>IF(AND(Inputs!$B$4&lt;&gt;"pvp",Inputs!$B$35&gt;0),(INT(Inputs!$B$35/IF(Inputs!$B$4="pvp",15,MAX(0.1,Skills!D9-IF(Skills!E9=TRUE,(Inputs!$B$31+1),0))))+1),0)</f>
        <v/>
      </c>
      <c r="V943">
        <f>IFERROR(1/IF(Inputs!$B$4="pvp",15,MAX(0.1,Skills!D9-IF(Skills!E9=TRUE,(Inputs!$B$31+1),0))),0)</f>
        <v/>
      </c>
    </row>
    <row r="944">
      <c r="A944">
        <f>Skills!A10</f>
        <v/>
      </c>
      <c r="B944">
        <f>Skills!B10</f>
        <v/>
      </c>
      <c r="C944">
        <f>Inputs!$B$3&gt;=66</f>
        <v/>
      </c>
      <c r="D944">
        <f>IF(Skills!C10=1,60+Inputs!$B$24+Inputs!$B$28,IF(Skills!C10=2,90+Inputs!$B$25+Inputs!$B$28,IF(Skills!C10=3,120+Inputs!$B$26+Inputs!$B$28,MAX(0,(Inputs!$B$3-100)*3)+Inputs!$B$27+Inputs!$B$28)))</f>
        <v/>
      </c>
      <c r="E944">
        <f>INDEX(FactorTable!$B$2:$Y$301, MATCH(ROUND(MIN(300,MAX(1,D944)),0), FactorTable!$A$2:$A$301,0), Skills!L10+1)</f>
        <v/>
      </c>
      <c r="F944" t="n">
        <v>0</v>
      </c>
      <c r="G944">
        <f>Calc!G10</f>
        <v/>
      </c>
      <c r="H944">
        <f>Calc!H10</f>
        <v/>
      </c>
      <c r="I944">
        <f>IF(Skills!T10&lt;&gt;"",1+(Skills!T10/10)*($Z$3/1000)/100,1)</f>
        <v/>
      </c>
      <c r="J944" t="inlineStr"/>
      <c r="K944" t="inlineStr"/>
      <c r="L944" t="inlineStr"/>
      <c r="M944" t="inlineStr"/>
      <c r="N944" t="inlineStr"/>
      <c r="O944" t="n">
        <v>0</v>
      </c>
      <c r="P944">
        <f>IF(B972=0,0,O944/B972)</f>
        <v/>
      </c>
      <c r="S944">
        <f>IF(AND(Inputs!$B$4&lt;&gt;"pvp",Inputs!$B$35&gt;0),(INT(Inputs!$B$35/IF(Inputs!$B$4="pvp",15,MAX(0.1,Skills!D10-IF(Skills!E10=TRUE,(Inputs!$B$31+1),0))))+1),0)</f>
        <v/>
      </c>
      <c r="V944">
        <f>IFERROR(1/IF(Inputs!$B$4="pvp",15,MAX(0.1,Skills!D10-IF(Skills!E10=TRUE,(Inputs!$B$31+1),0))),0)</f>
        <v/>
      </c>
    </row>
    <row r="945">
      <c r="A945">
        <f>Skills!A11</f>
        <v/>
      </c>
      <c r="B945">
        <f>Skills!B11</f>
        <v/>
      </c>
      <c r="C945">
        <f>Inputs!$B$3&gt;=69</f>
        <v/>
      </c>
      <c r="D945">
        <f>IF(Skills!C11=1,60+Inputs!$B$24+Inputs!$B$28,IF(Skills!C11=2,90+Inputs!$B$25+Inputs!$B$28,IF(Skills!C11=3,120+Inputs!$B$26+Inputs!$B$28,MAX(0,(Inputs!$B$3-100)*3)+Inputs!$B$27+Inputs!$B$28)))</f>
        <v/>
      </c>
      <c r="E945">
        <f>INDEX(FactorTable!$B$2:$Y$301, MATCH(ROUND(MIN(300,MAX(1,D945)),0), FactorTable!$A$2:$A$301,0), Skills!L11+1)</f>
        <v/>
      </c>
      <c r="F945">
        <f>IF(Skills!M11=TRUE,(Skills!K11/10)*(E945/1000),Skills!K11/10)+Skills!N11</f>
        <v/>
      </c>
      <c r="G945">
        <f>Calc!G11</f>
        <v/>
      </c>
      <c r="H945">
        <f>Calc!H11</f>
        <v/>
      </c>
      <c r="I945">
        <f>IF(Skills!T11&lt;&gt;"",1+(Skills!T11/10)*($Z$3/1000)/100,1)</f>
        <v/>
      </c>
      <c r="J945" t="inlineStr"/>
      <c r="K945" t="inlineStr"/>
      <c r="L945" t="inlineStr"/>
      <c r="M945" t="inlineStr"/>
      <c r="N945" t="inlineStr"/>
      <c r="O945" t="n">
        <v>0</v>
      </c>
      <c r="P945">
        <f>IF(B972=0,0,O945/B972)</f>
        <v/>
      </c>
      <c r="S945">
        <f>IF(AND(Inputs!$B$4&lt;&gt;"pvp",Inputs!$B$35&gt;0),(INT(Inputs!$B$35/IF(Inputs!$B$4="pvp",15,MAX(0.1,Skills!D11-IF(Skills!E11=TRUE,(Inputs!$B$31+1),0))))+1),0)</f>
        <v/>
      </c>
      <c r="V945">
        <f>IFERROR(1/IF(Inputs!$B$4="pvp",15,MAX(0.1,Skills!D11-IF(Skills!E11=TRUE,(Inputs!$B$31+1),0))),0)</f>
        <v/>
      </c>
    </row>
    <row r="946">
      <c r="A946">
        <f>Skills!A12</f>
        <v/>
      </c>
      <c r="B946">
        <f>Skills!B12</f>
        <v/>
      </c>
      <c r="C946">
        <f>Inputs!$B$3&gt;=72</f>
        <v/>
      </c>
      <c r="D946">
        <f>IF(Skills!C12=1,60+Inputs!$B$24+Inputs!$B$28,IF(Skills!C12=2,90+Inputs!$B$25+Inputs!$B$28,IF(Skills!C12=3,120+Inputs!$B$26+Inputs!$B$28,MAX(0,(Inputs!$B$3-100)*3)+Inputs!$B$27+Inputs!$B$28)))</f>
        <v/>
      </c>
      <c r="E946">
        <f>INDEX(FactorTable!$B$2:$Y$301, MATCH(ROUND(MIN(300,MAX(1,D946)),0), FactorTable!$A$2:$A$301,0), Skills!L12+1)</f>
        <v/>
      </c>
      <c r="F946">
        <f>IF(Skills!M12=TRUE,(Skills!K12/10)*(E946/1000),Skills!K12/10)+Skills!N12</f>
        <v/>
      </c>
      <c r="G946">
        <f>Calc!G12</f>
        <v/>
      </c>
      <c r="H946">
        <f>Calc!H12</f>
        <v/>
      </c>
      <c r="I946">
        <f>IF(Skills!T12&lt;&gt;"",1+(Skills!T12/10)*($Z$3/1000)/100,1)</f>
        <v/>
      </c>
      <c r="J946" t="inlineStr"/>
      <c r="K946" t="inlineStr"/>
      <c r="L946" t="inlineStr"/>
      <c r="M946" t="inlineStr"/>
      <c r="N946" t="inlineStr"/>
      <c r="O946" t="n">
        <v>0</v>
      </c>
      <c r="P946">
        <f>IF(B972=0,0,O946/B972)</f>
        <v/>
      </c>
      <c r="S946">
        <f>IF(AND(Inputs!$B$4&lt;&gt;"pvp",Inputs!$B$35&gt;0),(INT(Inputs!$B$35/IF(Inputs!$B$4="pvp",15,MAX(0.1,Skills!D12-IF(Skills!E12=TRUE,(Inputs!$B$31+1),0))))+1),0)</f>
        <v/>
      </c>
      <c r="V946">
        <f>IFERROR(1/IF(Inputs!$B$4="pvp",15,MAX(0.1,Skills!D12-IF(Skills!E12=TRUE,(Inputs!$B$31+1),0))),0)</f>
        <v/>
      </c>
    </row>
    <row r="947">
      <c r="A947">
        <f>Skills!A13</f>
        <v/>
      </c>
      <c r="B947">
        <f>Skills!B13</f>
        <v/>
      </c>
      <c r="C947">
        <f>Inputs!$B$3&gt;=107</f>
        <v/>
      </c>
      <c r="D947">
        <f>IF(Skills!C13=1,60+Inputs!$B$24+Inputs!$B$28,IF(Skills!C13=2,90+Inputs!$B$25+Inputs!$B$28,IF(Skills!C13=3,120+Inputs!$B$26+Inputs!$B$28,MAX(0,(Inputs!$B$3-100)*3)+Inputs!$B$27+Inputs!$B$28)))</f>
        <v/>
      </c>
      <c r="E947">
        <f>INDEX(FactorTable!$B$2:$Y$301, MATCH(ROUND(MIN(300,MAX(1,D947)),0), FactorTable!$A$2:$A$301,0), Skills!L13+1)</f>
        <v/>
      </c>
      <c r="F947">
        <f>IF(Skills!M13=TRUE,(Skills!K13/10)*(E947/1000),Skills!K13/10)+Skills!N13</f>
        <v/>
      </c>
      <c r="G947">
        <f>Calc!G13</f>
        <v/>
      </c>
      <c r="H947">
        <f>Calc!H13</f>
        <v/>
      </c>
      <c r="I947">
        <f>IF(Skills!T13&lt;&gt;"",1+(Skills!T13/10)*($Z$3/1000)/100,1)</f>
        <v/>
      </c>
      <c r="J947" t="inlineStr"/>
      <c r="K947" t="inlineStr"/>
      <c r="L947" t="inlineStr"/>
      <c r="M947" t="inlineStr"/>
      <c r="N947" t="inlineStr"/>
      <c r="O947" t="n">
        <v>0</v>
      </c>
      <c r="P947">
        <f>IF(B972=0,0,O947/B972)</f>
        <v/>
      </c>
      <c r="S947">
        <f>IF(AND(Inputs!$B$4&lt;&gt;"pvp",Inputs!$B$35&gt;0),(INT(Inputs!$B$35/IF(Inputs!$B$4="pvp",15,MAX(0.1,Skills!D13-IF(Skills!E13=TRUE,(Inputs!$B$31+1),0))))+1),0)</f>
        <v/>
      </c>
      <c r="V947">
        <f>IFERROR(1/IF(Inputs!$B$4="pvp",15,MAX(0.1,Skills!D13-IF(Skills!E13=TRUE,(Inputs!$B$31+1),0))),0)</f>
        <v/>
      </c>
    </row>
    <row r="948">
      <c r="A948">
        <f>Skills!A14</f>
        <v/>
      </c>
      <c r="B948">
        <f>Skills!B14</f>
        <v/>
      </c>
      <c r="C948">
        <f>Inputs!$B$3&gt;=63</f>
        <v/>
      </c>
      <c r="D948">
        <f>IF(Skills!C14=1,60+Inputs!$B$24+Inputs!$B$28,IF(Skills!C14=2,90+Inputs!$B$25+Inputs!$B$28,IF(Skills!C14=3,120+Inputs!$B$26+Inputs!$B$28,MAX(0,(Inputs!$B$3-100)*3)+Inputs!$B$27+Inputs!$B$28)))</f>
        <v/>
      </c>
      <c r="E948">
        <f>INDEX(FactorTable!$B$2:$Y$301, MATCH(ROUND(MIN(300,MAX(1,D948)),0), FactorTable!$A$2:$A$301,0), Skills!L14+1)</f>
        <v/>
      </c>
      <c r="F948">
        <f>IF(Skills!M14=TRUE,(Skills!K14/10)*(E948/1000),Skills!K14/10)+Skills!N14</f>
        <v/>
      </c>
      <c r="G948">
        <f>Calc!G14</f>
        <v/>
      </c>
      <c r="H948">
        <f>Calc!H14</f>
        <v/>
      </c>
      <c r="I948">
        <f>IF(Skills!T14&lt;&gt;"",1+(Skills!T14/10)*($Z$3/1000)/100,1)</f>
        <v/>
      </c>
      <c r="J948">
        <f>((Inputs!$B$5*(1+Inputs!$B$6/100))+((Inputs!$B$11*(1+Inputs!$B$12/100))-(Inputs!$B$11*(1+Inputs!$B$12/100)))*(1+Inputs!$B$6/100))*(F948/100)</f>
        <v/>
      </c>
      <c r="K948">
        <f>J948*(1+((Inputs!$B$11*(1+Inputs!$B$12/100))*0.01+Inputs!$B$13*0.0025)/100)*(1+(Inputs!$B$14+B965)/100)*(1+IF(Inputs!$B$4="pvp",0,(1-Summary!$B$48)*(Inputs!$B$19+Skills!O14+B963)+Summary!$B$48*(Inputs!$B$20+Skills!P14+B964))/100)*(1+Inputs!$B$15/100)*(5000/(6000+Inputs!$B$7*(1-Inputs!$B$18/100)))*(1+Inputs!$B$23/100)*(1+IF(C951=TRUE,F951,0)/100)*(1+IF(C953=TRUE,F953,0)/100)*(1+IF(Skills!A14="TRIUMPH_FEATHER",IF(C949=TRUE,F949,0),0)/100)*(1+IF(C960=TRUE,F960,0)/100)^5*(1+(IF(Skills!A14="BIG_BANG",Inputs!$B$16,Inputs!$B$17))/100)*(B962*I948)</f>
        <v/>
      </c>
      <c r="L948">
        <f>K948*(MIN(Inputs!$B$21+(F955-Calc!F21),Inputs!$B$22)/100+Inputs!$B$22/100)/2</f>
        <v/>
      </c>
      <c r="M948">
        <f>L948*(1+(Inputs!$B$9+B966+(F958-Calc!F24))/100)</f>
        <v/>
      </c>
      <c r="N948">
        <f>L948*(1-MIN(Inputs!$B$8+((F957-Calc!F23)+(F956-Calc!F22)),100)/100)+M948*(MIN(Inputs!$B$8+((F957-Calc!F23)+(F956-Calc!F22)),100)/100)</f>
        <v/>
      </c>
      <c r="O948">
        <f>IF(C948,Skills!F14*N948*((IF(Inputs!$B$3&gt;=78,25,15)/100*B968*10)/(1+IF(Inputs!$B$3&gt;=78,25,15)/100*B968*10))*(Skills!I14/100*B968)/(1+Skills!G14*Skills!I14/100*B968)*IF(Inputs!$B$4="pvp",1,(1-Summary!$B$48)*(1)+Summary!$B$48*(MIN(Skills!Q14,Inputs!$B$37))),0)</f>
        <v/>
      </c>
      <c r="P948">
        <f>IF(B972=0,0,O948/B972)</f>
        <v/>
      </c>
      <c r="S948" t="n">
        <v>0</v>
      </c>
      <c r="V948">
        <f>IFERROR(1/IF(Inputs!$B$4="pvp",15,MAX(0.1,Skills!D14-IF(Skills!E14=TRUE,(Inputs!$B$31+1),0))),0)</f>
        <v/>
      </c>
    </row>
    <row r="949">
      <c r="A949">
        <f>Skills!A15</f>
        <v/>
      </c>
      <c r="B949">
        <f>Skills!B15</f>
        <v/>
      </c>
      <c r="C949">
        <f>Inputs!$B$3&gt;=100</f>
        <v/>
      </c>
      <c r="D949">
        <f>IF(Skills!C15=1,60+Inputs!$B$24+Inputs!$B$28,IF(Skills!C15=2,90+Inputs!$B$25+Inputs!$B$28,IF(Skills!C15=3,120+Inputs!$B$26+Inputs!$B$28,MAX(0,(Inputs!$B$3-100)*3)+Inputs!$B$27+Inputs!$B$28)))</f>
        <v/>
      </c>
      <c r="E949">
        <f>INDEX(FactorTable!$B$2:$Y$301, MATCH(ROUND(MIN(300,MAX(1,D949)),0), FactorTable!$A$2:$A$301,0), Skills!L15+1)</f>
        <v/>
      </c>
      <c r="F949">
        <f>IF(Skills!M15=TRUE,(Skills!K15/10)*(E949/1000),Skills!K15/10)+Skills!N15</f>
        <v/>
      </c>
      <c r="G949">
        <f>Calc!G15</f>
        <v/>
      </c>
      <c r="H949">
        <f>Calc!H15</f>
        <v/>
      </c>
      <c r="I949">
        <f>IF(Skills!T15&lt;&gt;"",1+(Skills!T15/10)*($Z$3/1000)/100,1)</f>
        <v/>
      </c>
      <c r="J949" t="inlineStr"/>
      <c r="K949" t="inlineStr"/>
      <c r="L949" t="inlineStr"/>
      <c r="M949" t="inlineStr"/>
      <c r="N949" t="inlineStr"/>
      <c r="O949" t="n">
        <v>0</v>
      </c>
      <c r="P949">
        <f>IF(B972=0,0,O949/B972)</f>
        <v/>
      </c>
      <c r="S949" t="n">
        <v>0</v>
      </c>
      <c r="V949">
        <f>IFERROR(1/IF(Inputs!$B$4="pvp",15,MAX(0.1,Skills!D15-IF(Skills!E15=TRUE,(Inputs!$B$31+1),0))),0)</f>
        <v/>
      </c>
    </row>
    <row r="950">
      <c r="A950">
        <f>Skills!A16</f>
        <v/>
      </c>
      <c r="B950">
        <f>Skills!B16</f>
        <v/>
      </c>
      <c r="C950">
        <f>Inputs!$B$3&gt;=49</f>
        <v/>
      </c>
      <c r="D950">
        <f>IF(Skills!C16=1,60+Inputs!$B$24+Inputs!$B$28,IF(Skills!C16=2,90+Inputs!$B$25+Inputs!$B$28,IF(Skills!C16=3,120+Inputs!$B$26+Inputs!$B$28,MAX(0,(Inputs!$B$3-100)*3)+Inputs!$B$27+Inputs!$B$28)))</f>
        <v/>
      </c>
      <c r="E950">
        <f>INDEX(FactorTable!$B$2:$Y$301, MATCH(ROUND(MIN(300,MAX(1,D950)),0), FactorTable!$A$2:$A$301,0), Skills!L16+1)</f>
        <v/>
      </c>
      <c r="F950">
        <f>IF(Skills!M16=TRUE,(Skills!K16/10)*(E950/1000),Skills!K16/10)+Skills!N16</f>
        <v/>
      </c>
      <c r="G950">
        <f>Calc!G16</f>
        <v/>
      </c>
      <c r="H950">
        <f>Calc!H16</f>
        <v/>
      </c>
      <c r="I950">
        <f>IF(Skills!T16&lt;&gt;"",1+(Skills!T16/10)*($Z$3/1000)/100,1)</f>
        <v/>
      </c>
      <c r="J950" t="inlineStr"/>
      <c r="K950" t="inlineStr"/>
      <c r="L950" t="inlineStr"/>
      <c r="M950" t="inlineStr"/>
      <c r="N950" t="inlineStr"/>
      <c r="O950" t="n">
        <v>0</v>
      </c>
      <c r="P950">
        <f>IF(B972=0,0,O950/B972)</f>
        <v/>
      </c>
      <c r="S950" t="n">
        <v>0</v>
      </c>
      <c r="V950">
        <f>IFERROR(1/IF(Inputs!$B$4="pvp",15,MAX(0.1,Skills!D16-IF(Skills!E16=TRUE,(Inputs!$B$31+1),0))),0)</f>
        <v/>
      </c>
    </row>
    <row r="951">
      <c r="A951">
        <f>Skills!A17</f>
        <v/>
      </c>
      <c r="B951">
        <f>Skills!B17</f>
        <v/>
      </c>
      <c r="C951">
        <f>Inputs!$B$3&gt;=75</f>
        <v/>
      </c>
      <c r="D951">
        <f>IF(Skills!C17=1,60+Inputs!$B$24+Inputs!$B$28,IF(Skills!C17=2,90+Inputs!$B$25+Inputs!$B$28,IF(Skills!C17=3,120+Inputs!$B$26+Inputs!$B$28,MAX(0,(Inputs!$B$3-100)*3)+Inputs!$B$27+Inputs!$B$28)))</f>
        <v/>
      </c>
      <c r="E951">
        <f>INDEX(FactorTable!$B$2:$Y$301, MATCH(ROUND(MIN(300,MAX(1,D951)),0), FactorTable!$A$2:$A$301,0), Skills!L17+1)</f>
        <v/>
      </c>
      <c r="F951">
        <f>IF(Skills!M17=TRUE,(Skills!K17/10)*(E951/1000),Skills!K17/10)+Skills!N17</f>
        <v/>
      </c>
      <c r="G951">
        <f>Calc!G17</f>
        <v/>
      </c>
      <c r="H951">
        <f>Calc!H17</f>
        <v/>
      </c>
      <c r="I951">
        <f>IF(Skills!T17&lt;&gt;"",1+(Skills!T17/10)*($Z$3/1000)/100,1)</f>
        <v/>
      </c>
      <c r="J951" t="inlineStr"/>
      <c r="K951" t="inlineStr"/>
      <c r="L951" t="inlineStr"/>
      <c r="M951" t="inlineStr"/>
      <c r="N951" t="inlineStr"/>
      <c r="O951" t="n">
        <v>0</v>
      </c>
      <c r="P951">
        <f>IF(B972=0,0,O951/B972)</f>
        <v/>
      </c>
      <c r="S951" t="n">
        <v>0</v>
      </c>
      <c r="V951">
        <f>IFERROR(1/IF(Inputs!$B$4="pvp",15,MAX(0.1,Skills!D17-IF(Skills!E17=TRUE,(Inputs!$B$31+1),0))),0)</f>
        <v/>
      </c>
    </row>
    <row r="952">
      <c r="A952">
        <f>Skills!A18</f>
        <v/>
      </c>
      <c r="B952">
        <f>Skills!B18</f>
        <v/>
      </c>
      <c r="C952">
        <f>Inputs!$B$3&gt;=110</f>
        <v/>
      </c>
      <c r="D952">
        <f>IF(Skills!C18=1,60+Inputs!$B$24+Inputs!$B$28,IF(Skills!C18=2,90+Inputs!$B$25+Inputs!$B$28,IF(Skills!C18=3,120+Inputs!$B$26+Inputs!$B$28,MAX(0,(Inputs!$B$3-100)*3)+Inputs!$B$27+Inputs!$B$28)))</f>
        <v/>
      </c>
      <c r="E952">
        <f>INDEX(FactorTable!$B$2:$Y$301, MATCH(ROUND(MIN(300,MAX(1,D952)),0), FactorTable!$A$2:$A$301,0), Skills!L18+1)</f>
        <v/>
      </c>
      <c r="F952">
        <f>(Skills!K18/10)*(E952/1000)*64/45+Skills!N18</f>
        <v/>
      </c>
      <c r="G952">
        <f>Calc!G18</f>
        <v/>
      </c>
      <c r="H952">
        <f>Calc!H18</f>
        <v/>
      </c>
      <c r="I952">
        <f>IF(Skills!T18&lt;&gt;"",1+(Skills!T18/10)*($Z$3/1000)/100,1)</f>
        <v/>
      </c>
      <c r="J952" t="inlineStr"/>
      <c r="K952" t="inlineStr"/>
      <c r="L952" t="inlineStr"/>
      <c r="M952" t="inlineStr"/>
      <c r="N952" t="inlineStr"/>
      <c r="O952" t="n">
        <v>0</v>
      </c>
      <c r="P952">
        <f>IF(B972=0,0,O952/B972)</f>
        <v/>
      </c>
      <c r="S952">
        <f>IF(AND(Inputs!$B$4&lt;&gt;"pvp",Inputs!$B$35&gt;0),(INT(Inputs!$B$35/IF(Inputs!$B$4="pvp",15,MAX(0.1,Skills!D18-IF(Skills!E18=TRUE,(Inputs!$B$31+1),0))))+1),0)</f>
        <v/>
      </c>
      <c r="V952">
        <f>IFERROR(1/IF(Inputs!$B$4="pvp",15,MAX(0.1,Skills!D18-IF(Skills!E18=TRUE,(Inputs!$B$31+1),0))),0)</f>
        <v/>
      </c>
    </row>
    <row r="953">
      <c r="A953">
        <f>Skills!A19</f>
        <v/>
      </c>
      <c r="B953">
        <f>Skills!B19</f>
        <v/>
      </c>
      <c r="C953">
        <f>Inputs!$B$3&gt;=125</f>
        <v/>
      </c>
      <c r="D953">
        <f>IF(Skills!C19=1,60+Inputs!$B$24+Inputs!$B$28,IF(Skills!C19=2,90+Inputs!$B$25+Inputs!$B$28,IF(Skills!C19=3,120+Inputs!$B$26+Inputs!$B$28,MAX(0,(Inputs!$B$3-100)*3)+Inputs!$B$27+Inputs!$B$28)))</f>
        <v/>
      </c>
      <c r="E953">
        <f>INDEX(FactorTable!$B$2:$Y$301, MATCH(ROUND(MIN(300,MAX(1,D953)),0), FactorTable!$A$2:$A$301,0), Skills!L19+1)</f>
        <v/>
      </c>
      <c r="F953">
        <f>IF(Skills!M19=TRUE,(Skills!K19/10)*(E953/1000),Skills!K19/10)+Skills!N19</f>
        <v/>
      </c>
      <c r="G953">
        <f>Calc!G19</f>
        <v/>
      </c>
      <c r="H953">
        <f>Calc!H19</f>
        <v/>
      </c>
      <c r="I953">
        <f>IF(Skills!T19&lt;&gt;"",1+(Skills!T19/10)*($Z$3/1000)/100,1)</f>
        <v/>
      </c>
      <c r="J953" t="inlineStr"/>
      <c r="K953" t="inlineStr"/>
      <c r="L953" t="inlineStr"/>
      <c r="M953" t="inlineStr"/>
      <c r="N953" t="inlineStr"/>
      <c r="O953" t="n">
        <v>0</v>
      </c>
      <c r="P953">
        <f>IF(B972=0,0,O953/B972)</f>
        <v/>
      </c>
      <c r="S953" t="n">
        <v>0</v>
      </c>
      <c r="V953">
        <f>IFERROR(1/IF(Inputs!$B$4="pvp",15,MAX(0.1,Skills!D19-IF(Skills!E19=TRUE,(Inputs!$B$31+1),0))),0)</f>
        <v/>
      </c>
    </row>
    <row r="954">
      <c r="A954">
        <f>Skills!A20</f>
        <v/>
      </c>
      <c r="B954">
        <f>Skills!B20</f>
        <v/>
      </c>
      <c r="C954">
        <f>Inputs!$B$3&gt;=33</f>
        <v/>
      </c>
      <c r="D954">
        <f>IF(Skills!C20=1,60+Inputs!$B$24+Inputs!$B$28,IF(Skills!C20=2,90+Inputs!$B$25+Inputs!$B$28,IF(Skills!C20=3,120+Inputs!$B$26+Inputs!$B$28,MAX(0,(Inputs!$B$3-100)*3)+Inputs!$B$27+Inputs!$B$28)))</f>
        <v/>
      </c>
      <c r="E954">
        <f>INDEX(FactorTable!$B$2:$Y$301, MATCH(ROUND(MIN(300,MAX(1,D954)),0), FactorTable!$A$2:$A$301,0), Skills!L20+1)</f>
        <v/>
      </c>
      <c r="F954">
        <f>IF(Skills!M20=TRUE,(Skills!K20/10)*(E954/1000),Skills!K20/10)+Skills!N20</f>
        <v/>
      </c>
      <c r="G954">
        <f>Calc!G20</f>
        <v/>
      </c>
      <c r="H954">
        <f>Calc!H20</f>
        <v/>
      </c>
      <c r="I954">
        <f>IF(Skills!T20&lt;&gt;"",1+(Skills!T20/10)*($Z$3/1000)/100,1)</f>
        <v/>
      </c>
      <c r="J954" t="inlineStr"/>
      <c r="K954" t="inlineStr"/>
      <c r="L954" t="inlineStr"/>
      <c r="M954" t="inlineStr"/>
      <c r="N954" t="inlineStr"/>
      <c r="O954" t="n">
        <v>0</v>
      </c>
      <c r="P954">
        <f>IF(B972=0,0,O954/B972)</f>
        <v/>
      </c>
      <c r="S954" t="n">
        <v>0</v>
      </c>
      <c r="V954">
        <f>IFERROR(1/IF(Inputs!$B$4="pvp",15,MAX(0.1,Skills!D20-IF(Skills!E20=TRUE,(Inputs!$B$31+1),0))),0)</f>
        <v/>
      </c>
    </row>
    <row r="955">
      <c r="A955">
        <f>Skills!A21</f>
        <v/>
      </c>
      <c r="B955">
        <f>Skills!B21</f>
        <v/>
      </c>
      <c r="C955">
        <f>Inputs!$B$3&gt;=43</f>
        <v/>
      </c>
      <c r="D955">
        <f>IF(Skills!C21=1,60+Inputs!$B$24+Inputs!$B$28,IF(Skills!C21=2,90+Inputs!$B$25+Inputs!$B$28,IF(Skills!C21=3,120+Inputs!$B$26+Inputs!$B$28,MAX(0,(Inputs!$B$3-100)*3)+Inputs!$B$27+Inputs!$B$28)))</f>
        <v/>
      </c>
      <c r="E955">
        <f>INDEX(FactorTable!$B$2:$Y$301, MATCH(ROUND(MIN(300,MAX(1,D955)),0), FactorTable!$A$2:$A$301,0), Skills!L21+1)</f>
        <v/>
      </c>
      <c r="F955">
        <f>IF(Skills!M21=TRUE,(Skills!K21/10)*(E955/1000),Skills!K21/10)+Skills!N21</f>
        <v/>
      </c>
      <c r="G955">
        <f>Calc!G21</f>
        <v/>
      </c>
      <c r="H955">
        <f>Calc!H21</f>
        <v/>
      </c>
      <c r="I955">
        <f>IF(Skills!T21&lt;&gt;"",1+(Skills!T21/10)*($Z$3/1000)/100,1)</f>
        <v/>
      </c>
      <c r="J955" t="inlineStr"/>
      <c r="K955" t="inlineStr"/>
      <c r="L955" t="inlineStr"/>
      <c r="M955" t="inlineStr"/>
      <c r="N955" t="inlineStr"/>
      <c r="O955" t="n">
        <v>0</v>
      </c>
      <c r="P955">
        <f>IF(B972=0,0,O955/B972)</f>
        <v/>
      </c>
      <c r="S955" t="n">
        <v>0</v>
      </c>
      <c r="V955">
        <f>IFERROR(1/IF(Inputs!$B$4="pvp",15,MAX(0.1,Skills!D21-IF(Skills!E21=TRUE,(Inputs!$B$31+1),0))),0)</f>
        <v/>
      </c>
    </row>
    <row r="956">
      <c r="A956">
        <f>Skills!A22</f>
        <v/>
      </c>
      <c r="B956">
        <f>Skills!B22</f>
        <v/>
      </c>
      <c r="C956">
        <f>Inputs!$B$3&gt;=50</f>
        <v/>
      </c>
      <c r="D956">
        <f>IF(Skills!C22=1,60+Inputs!$B$24+Inputs!$B$28,IF(Skills!C22=2,90+Inputs!$B$25+Inputs!$B$28,IF(Skills!C22=3,120+Inputs!$B$26+Inputs!$B$28,MAX(0,(Inputs!$B$3-100)*3)+Inputs!$B$27+Inputs!$B$28)))</f>
        <v/>
      </c>
      <c r="E956">
        <f>INDEX(FactorTable!$B$2:$Y$301, MATCH(ROUND(MIN(300,MAX(1,D956)),0), FactorTable!$A$2:$A$301,0), Skills!L22+1)</f>
        <v/>
      </c>
      <c r="F956">
        <f>IF(Skills!M22=TRUE,(Skills!K22/10)*(E956/1000),Skills!K22/10)+Skills!N22</f>
        <v/>
      </c>
      <c r="G956">
        <f>Calc!G22</f>
        <v/>
      </c>
      <c r="H956">
        <f>Calc!H22</f>
        <v/>
      </c>
      <c r="I956">
        <f>IF(Skills!T22&lt;&gt;"",1+(Skills!T22/10)*($Z$3/1000)/100,1)</f>
        <v/>
      </c>
      <c r="J956" t="inlineStr"/>
      <c r="K956" t="inlineStr"/>
      <c r="L956" t="inlineStr"/>
      <c r="M956" t="inlineStr"/>
      <c r="N956" t="inlineStr"/>
      <c r="O956" t="n">
        <v>0</v>
      </c>
      <c r="P956">
        <f>IF(B972=0,0,O956/B972)</f>
        <v/>
      </c>
      <c r="S956" t="n">
        <v>0</v>
      </c>
      <c r="V956">
        <f>IFERROR(1/IF(Inputs!$B$4="pvp",15,MAX(0.1,Skills!D22-IF(Skills!E22=TRUE,(Inputs!$B$31+1),0))),0)</f>
        <v/>
      </c>
    </row>
    <row r="957">
      <c r="A957">
        <f>Skills!A23</f>
        <v/>
      </c>
      <c r="B957">
        <f>Skills!B23</f>
        <v/>
      </c>
      <c r="C957">
        <f>Inputs!$B$3&gt;=74</f>
        <v/>
      </c>
      <c r="D957">
        <f>IF(Skills!C23=1,60+Inputs!$B$24+Inputs!$B$28,IF(Skills!C23=2,90+Inputs!$B$25+Inputs!$B$28,IF(Skills!C23=3,120+Inputs!$B$26+Inputs!$B$28,MAX(0,(Inputs!$B$3-100)*3)+Inputs!$B$27+Inputs!$B$28)))</f>
        <v/>
      </c>
      <c r="E957">
        <f>INDEX(FactorTable!$B$2:$Y$301, MATCH(ROUND(MIN(300,MAX(1,D957)),0), FactorTable!$A$2:$A$301,0), Skills!L23+1)</f>
        <v/>
      </c>
      <c r="F957">
        <f>IF(Skills!M23=TRUE,(Skills!K23/10)*(E957/1000),Skills!K23/10)+Skills!N23</f>
        <v/>
      </c>
      <c r="G957">
        <f>Calc!G23</f>
        <v/>
      </c>
      <c r="H957">
        <f>Calc!H23</f>
        <v/>
      </c>
      <c r="I957">
        <f>IF(Skills!T23&lt;&gt;"",1+(Skills!T23/10)*($Z$3/1000)/100,1)</f>
        <v/>
      </c>
      <c r="J957" t="inlineStr"/>
      <c r="K957" t="inlineStr"/>
      <c r="L957" t="inlineStr"/>
      <c r="M957" t="inlineStr"/>
      <c r="N957" t="inlineStr"/>
      <c r="O957" t="n">
        <v>0</v>
      </c>
      <c r="P957">
        <f>IF(B972=0,0,O957/B972)</f>
        <v/>
      </c>
      <c r="S957" t="n">
        <v>0</v>
      </c>
      <c r="V957">
        <f>IFERROR(1/IF(Inputs!$B$4="pvp",15,MAX(0.1,Skills!D23-IF(Skills!E23=TRUE,(Inputs!$B$31+1),0))),0)</f>
        <v/>
      </c>
    </row>
    <row r="958">
      <c r="A958">
        <f>Skills!A24</f>
        <v/>
      </c>
      <c r="B958">
        <f>Skills!B24</f>
        <v/>
      </c>
      <c r="C958">
        <f>Inputs!$B$3&gt;=74</f>
        <v/>
      </c>
      <c r="D958">
        <f>IF(Skills!C24=1,60+Inputs!$B$24+Inputs!$B$28,IF(Skills!C24=2,90+Inputs!$B$25+Inputs!$B$28,IF(Skills!C24=3,120+Inputs!$B$26+Inputs!$B$28,MAX(0,(Inputs!$B$3-100)*3)+Inputs!$B$27+Inputs!$B$28)))</f>
        <v/>
      </c>
      <c r="E958">
        <f>INDEX(FactorTable!$B$2:$Y$301, MATCH(ROUND(MIN(300,MAX(1,D958)),0), FactorTable!$A$2:$A$301,0), Skills!L24+1)</f>
        <v/>
      </c>
      <c r="F958">
        <f>IF(Skills!M24=TRUE,(Skills!K24/10)*(E958/1000),Skills!K24/10)+Skills!N24</f>
        <v/>
      </c>
      <c r="G958">
        <f>Calc!G24</f>
        <v/>
      </c>
      <c r="H958">
        <f>Calc!H24</f>
        <v/>
      </c>
      <c r="I958">
        <f>IF(Skills!T24&lt;&gt;"",1+(Skills!T24/10)*($Z$3/1000)/100,1)</f>
        <v/>
      </c>
      <c r="J958" t="inlineStr"/>
      <c r="K958" t="inlineStr"/>
      <c r="L958" t="inlineStr"/>
      <c r="M958" t="inlineStr"/>
      <c r="N958" t="inlineStr"/>
      <c r="O958" t="n">
        <v>0</v>
      </c>
      <c r="P958">
        <f>IF(B972=0,0,O958/B972)</f>
        <v/>
      </c>
      <c r="S958" t="n">
        <v>0</v>
      </c>
      <c r="V958">
        <f>IFERROR(1/IF(Inputs!$B$4="pvp",15,MAX(0.1,Skills!D24-IF(Skills!E24=TRUE,(Inputs!$B$31+1),0))),0)</f>
        <v/>
      </c>
    </row>
    <row r="959">
      <c r="A959">
        <f>Skills!A25</f>
        <v/>
      </c>
      <c r="B959">
        <f>Skills!B25</f>
        <v/>
      </c>
      <c r="C959">
        <f>Inputs!$B$3&gt;=117</f>
        <v/>
      </c>
      <c r="D959">
        <f>IF(Skills!C25=1,60+Inputs!$B$24+Inputs!$B$28,IF(Skills!C25=2,90+Inputs!$B$25+Inputs!$B$28,IF(Skills!C25=3,120+Inputs!$B$26+Inputs!$B$28,MAX(0,(Inputs!$B$3-100)*3)+Inputs!$B$27+Inputs!$B$28)))</f>
        <v/>
      </c>
      <c r="E959">
        <f>INDEX(FactorTable!$B$2:$Y$301, MATCH(ROUND(MIN(300,MAX(1,D959)),0), FactorTable!$A$2:$A$301,0), Skills!L25+1)</f>
        <v/>
      </c>
      <c r="F959">
        <f>IF(Skills!M25=TRUE,(Skills!K25/10)*(E959/1000),Skills!K25/10)+Skills!N25</f>
        <v/>
      </c>
      <c r="G959">
        <f>Calc!G25</f>
        <v/>
      </c>
      <c r="H959">
        <f>Calc!H25</f>
        <v/>
      </c>
      <c r="I959">
        <f>IF(Skills!T25&lt;&gt;"",1+(Skills!T25/10)*($Z$3/1000)/100,1)</f>
        <v/>
      </c>
      <c r="J959" t="inlineStr"/>
      <c r="K959" t="inlineStr"/>
      <c r="L959" t="inlineStr"/>
      <c r="M959" t="inlineStr"/>
      <c r="N959" t="inlineStr"/>
      <c r="O959" t="n">
        <v>0</v>
      </c>
      <c r="P959">
        <f>IF(B972=0,0,O959/B972)</f>
        <v/>
      </c>
      <c r="S959" t="n">
        <v>0</v>
      </c>
      <c r="V959">
        <f>IFERROR(1/IF(Inputs!$B$4="pvp",15,MAX(0.1,Skills!D25-IF(Skills!E25=TRUE,(Inputs!$B$31+1),0))),0)</f>
        <v/>
      </c>
    </row>
    <row r="960">
      <c r="A960">
        <f>Skills!A26</f>
        <v/>
      </c>
      <c r="B960">
        <f>Skills!B26</f>
        <v/>
      </c>
      <c r="C960">
        <f>Inputs!$B$3&gt;=120</f>
        <v/>
      </c>
      <c r="D960">
        <f>IF(Skills!C26=1,60+Inputs!$B$24+Inputs!$B$28,IF(Skills!C26=2,90+Inputs!$B$25+Inputs!$B$28,IF(Skills!C26=3,120+Inputs!$B$26+Inputs!$B$28,MAX(0,(Inputs!$B$3-100)*3)+Inputs!$B$27+Inputs!$B$28)))</f>
        <v/>
      </c>
      <c r="E960">
        <f>INDEX(FactorTable!$B$2:$Y$301, MATCH(ROUND(MIN(300,MAX(1,D960)),0), FactorTable!$A$2:$A$301,0), Skills!L26+1)</f>
        <v/>
      </c>
      <c r="F960">
        <f>IF(Skills!M26=TRUE,(Skills!K26/10)*(E960/1000),Skills!K26/10)+Skills!N26</f>
        <v/>
      </c>
      <c r="G960">
        <f>Calc!G26</f>
        <v/>
      </c>
      <c r="H960">
        <f>Calc!H26</f>
        <v/>
      </c>
      <c r="I960">
        <f>IF(Skills!T26&lt;&gt;"",1+(Skills!T26/10)*($Z$3/1000)/100,1)</f>
        <v/>
      </c>
      <c r="J960" t="inlineStr"/>
      <c r="K960" t="inlineStr"/>
      <c r="L960" t="inlineStr"/>
      <c r="M960" t="inlineStr"/>
      <c r="N960" t="inlineStr"/>
      <c r="O960" t="n">
        <v>0</v>
      </c>
      <c r="P960">
        <f>IF(B972=0,0,O960/B972)</f>
        <v/>
      </c>
      <c r="S960" t="n">
        <v>0</v>
      </c>
      <c r="V960">
        <f>IFERROR(1/IF(Inputs!$B$4="pvp",15,MAX(0.1,Skills!D26-IF(Skills!E26=TRUE,(Inputs!$B$31+1),0))),0)</f>
        <v/>
      </c>
    </row>
    <row r="962">
      <c r="A962" t="inlineStr">
        <is>
          <t>Average Buff Multiplier</t>
        </is>
      </c>
      <c r="B962">
        <f>(1+(IF(C937=TRUE,F937*IF(AND(Inputs!$B$4&lt;&gt;"pvp",Inputs!$B$35&gt;0),(((S937-1)*(Skills!S3*(1+(Inputs!$B$33+IF(Inputs!$B$3&gt;=117,F959,0))/100))+MIN((Skills!S3*(1+(Inputs!$B$33+IF(Inputs!$B$3&gt;=117,F959,0))/100)),MAX(0,Inputs!$B$35-((S937-1)*Skills!D3))))/Inputs!$B$35),IF(Inputs!$B$4="pvp",MIN((Skills!S3*(1+(Inputs!$B$33+IF(Inputs!$B$3&gt;=117,F959,0))/100)),15)/15,(Skills!S3*(1+(Inputs!$B$33+IF(Inputs!$B$3&gt;=117,F959,0))/100))/Skills!D3)),0)+IF(C938=TRUE,F938*IF(AND(Inputs!$B$4&lt;&gt;"pvp",Inputs!$B$35&gt;0),(((S938-1)*(Skills!S4*(1+(Inputs!$B$33+IF(Inputs!$B$3&gt;=117,F959,0))/100))+MIN((Skills!S4*(1+(Inputs!$B$33+IF(Inputs!$B$3&gt;=117,F959,0))/100)),MAX(0,Inputs!$B$35-((S938-1)*Skills!D4))))/Inputs!$B$35),IF(Inputs!$B$4="pvp",MIN((Skills!S4*(1+(Inputs!$B$33+IF(Inputs!$B$3&gt;=117,F959,0))/100)),15)/15,(Skills!S4*(1+(Inputs!$B$33+IF(Inputs!$B$3&gt;=117,F959,0))/100))/Skills!D4)),0)+IF(C939=TRUE,F939*IF(AND(Inputs!$B$4&lt;&gt;"pvp",Inputs!$B$35&gt;0),(((S939-1)*(Skills!S5*(1+(Inputs!$B$33+IF(Inputs!$B$3&gt;=117,F959,0))/100))+MIN((Skills!S5*(1+(Inputs!$B$33+IF(Inputs!$B$3&gt;=117,F959,0))/100)),MAX(0,Inputs!$B$35-((S939-1)*Skills!D5))))/Inputs!$B$35),IF(Inputs!$B$4="pvp",MIN((Skills!S5*(1+(Inputs!$B$33+IF(Inputs!$B$3&gt;=117,F959,0))/100)),15)/15,(Skills!S5*(1+(Inputs!$B$33+IF(Inputs!$B$3&gt;=117,F959,0))/100))/Skills!D5)),0)+IF(C945=TRUE,F945*IF(AND(Inputs!$B$4&lt;&gt;"pvp",Inputs!$B$35&gt;0),(((S945-1)*(Skills!S11*(1+(Inputs!$B$33+IF(Inputs!$B$3&gt;=117,F959,0))/100))+MIN((Skills!S11*(1+(Inputs!$B$33+IF(Inputs!$B$3&gt;=117,F959,0))/100)),MAX(0,Inputs!$B$35-((S945-1)*Skills!D11))))/Inputs!$B$35),IF(Inputs!$B$4="pvp",MIN((Skills!S11*(1+(Inputs!$B$33+IF(Inputs!$B$3&gt;=117,F959,0))/100)),15)/15,(Skills!S11*(1+(Inputs!$B$33+IF(Inputs!$B$3&gt;=117,F959,0))/100))/Skills!D11)),0))/100)*IF(C947=TRUE,(1+F947*IF(AND(Inputs!$B$4&lt;&gt;"pvp",Inputs!$B$35&gt;0),(((S947-1)*(Skills!S13*(1+(Inputs!$B$33+IF(Inputs!$B$3&gt;=117,F959,0))/100))+MIN((Skills!S13*(1+(Inputs!$B$33+IF(Inputs!$B$3&gt;=117,F959,0))/100)),MAX(0,Inputs!$B$35-((S947-1)*Skills!D13))))/Inputs!$B$35),IF(Inputs!$B$4="pvp",MIN((Skills!S13*(1+(Inputs!$B$33+IF(Inputs!$B$3&gt;=117,F959,0))/100)),15)/15,(Skills!S13*(1+(Inputs!$B$33+IF(Inputs!$B$3&gt;=117,F959,0))/100))/Skills!D13))/100),1)*IF(C952=TRUE,(1+F952*IF(AND(Inputs!$B$4&lt;&gt;"pvp",Inputs!$B$35&gt;0),(((S952-1)*(Skills!S18*(1+(Inputs!$B$33+IF(Inputs!$B$3&gt;=117,F959,0))/100))+MIN((Skills!S18*(1+(Inputs!$B$33+IF(Inputs!$B$3&gt;=117,F959,0))/100)),MAX(0,Inputs!$B$35-((S952-1)*Skills!D18))))/Inputs!$B$35),IF(Inputs!$B$4="pvp",MIN((Skills!S18*(1+(Inputs!$B$33+IF(Inputs!$B$3&gt;=117,F959,0))/100)),15)/15,(Skills!S18*(1+(Inputs!$B$33+IF(Inputs!$B$3&gt;=117,F959,0))/100))/Skills!D18))/100),1)</f>
        <v/>
      </c>
    </row>
    <row r="963">
      <c r="A963" t="inlineStr">
        <is>
          <t>Monster Damage Taken Bonus % (Holy Fountain)</t>
        </is>
      </c>
      <c r="B963">
        <f>IF(Inputs!$B$3&gt;=68,20*IF(Inputs!$B$4="pvp",MIN((15*(1+(Inputs!$B$33+IF(Inputs!$B$3&gt;=117,F959,0))/100)),15)/15,(15*(1+(Inputs!$B$33+IF(Inputs!$B$3&gt;=117,F959,0))/100))/Skills!D10),0)</f>
        <v/>
      </c>
    </row>
    <row r="964">
      <c r="A964" t="inlineStr">
        <is>
          <t>Normal Monster Damage Bonus % (Holy Symbol)</t>
        </is>
      </c>
      <c r="B964">
        <f>IF(C946=TRUE,F946*IF(AND(Inputs!$B$4&lt;&gt;"pvp",Inputs!$B$35&gt;0),(((S946-1)*(Skills!S12*(1+(Inputs!$B$33+IF(Inputs!$B$3&gt;=117,F959,0))/100))+MIN((Skills!S12*(1+(Inputs!$B$33+IF(Inputs!$B$3&gt;=117,F959,0))/100)),MAX(0,Inputs!$B$35-((S946-1)*Skills!D12))))/Inputs!$B$35),IF(Inputs!$B$4="pvp",MIN((Skills!S12*(1+(Inputs!$B$33+IF(Inputs!$B$3&gt;=117,F959,0))/100)),15)/15,(Skills!S12*(1+(Inputs!$B$33+IF(Inputs!$B$3&gt;=117,F959,0))/100))/Skills!D12)),0)</f>
        <v/>
      </c>
    </row>
    <row r="965">
      <c r="A965" t="inlineStr">
        <is>
          <t>Damage % Bonus (Holy Symbol - Damage Boost)</t>
        </is>
      </c>
      <c r="B965">
        <f>Skills!O12</f>
        <v/>
      </c>
    </row>
    <row r="966">
      <c r="A966" t="inlineStr">
        <is>
          <t>Crit Damage % Bonus (Blood of the Divine)</t>
        </is>
      </c>
      <c r="B966">
        <f>4*IF(C953=TRUE,F953,0)</f>
        <v/>
      </c>
    </row>
    <row r="967">
      <c r="A967" t="inlineStr">
        <is>
          <t>Attack Speed Bonus %</t>
        </is>
      </c>
      <c r="B967">
        <f>IF(C950=TRUE,F950+(F954-Calc!F20),0)+IF(Inputs!$B$3&gt;=134,15,0)</f>
        <v/>
      </c>
    </row>
    <row r="968">
      <c r="A968" t="inlineStr">
        <is>
          <t>Actions Per Second</t>
        </is>
      </c>
      <c r="B968">
        <f>1+MIN(150,150*(1-(1-Inputs!$B$10/150)*(1-B967/150)))/100</f>
        <v/>
      </c>
    </row>
    <row r="969">
      <c r="A969" t="inlineStr">
        <is>
          <t>Skill + Buff Cast Rate</t>
        </is>
      </c>
      <c r="B969">
        <f>IF(AND(Inputs!$B$4&lt;&gt;"pvp",Inputs!$B$35&gt;0),SUMPRODUCT((Skills!E2:E26=TRUE)*(C936:C960=TRUE)*S936:S960)/Inputs!$B$35,SUMPRODUCT((Skills!E2:E26=TRUE)*(C936:C960=TRUE)*V936:V960))</f>
        <v/>
      </c>
    </row>
    <row r="970">
      <c r="A970" t="inlineStr">
        <is>
          <t>Big Bang Casts Per Second</t>
        </is>
      </c>
      <c r="B970">
        <f>MAX(0,B968-B969)</f>
        <v/>
      </c>
    </row>
    <row r="972">
      <c r="A972" s="5" t="inlineStr">
        <is>
          <t>TOTAL DPS</t>
        </is>
      </c>
      <c r="B972" s="5">
        <f>SUM(O936:O960)</f>
        <v/>
      </c>
    </row>
    <row r="975">
      <c r="A975" s="5" t="inlineStr">
        <is>
          <t>Stat: Basic Attack Target Increase (flat)</t>
        </is>
      </c>
    </row>
    <row r="976">
      <c r="A976" s="8" t="inlineStr">
        <is>
          <t>Key</t>
        </is>
      </c>
      <c r="B976" s="8" t="inlineStr">
        <is>
          <t>Name</t>
        </is>
      </c>
      <c r="C976" s="8" t="inlineStr">
        <is>
          <t>Unlocked</t>
        </is>
      </c>
      <c r="D976" s="8" t="inlineStr">
        <is>
          <t>InputLevel</t>
        </is>
      </c>
      <c r="E976" s="8" t="inlineStr">
        <is>
          <t>Factor</t>
        </is>
      </c>
      <c r="F976" s="8" t="inlineStr">
        <is>
          <t>CoefficientPercent</t>
        </is>
      </c>
      <c r="G976" s="8" t="inlineStr">
        <is>
          <t>EffectiveHits</t>
        </is>
      </c>
      <c r="H976" s="8" t="inlineStr">
        <is>
          <t>ProcProbability</t>
        </is>
      </c>
      <c r="I976" s="8" t="inlineStr">
        <is>
          <t>MapleHeroMultiplier</t>
        </is>
      </c>
      <c r="J976" s="8" t="inlineStr">
        <is>
          <t>BaseDamage</t>
        </is>
      </c>
      <c r="K976" s="8" t="inlineStr">
        <is>
          <t>BaseHitDamage</t>
        </is>
      </c>
      <c r="L976" s="8" t="inlineStr">
        <is>
          <t>NonCritAvg</t>
        </is>
      </c>
      <c r="M976" s="8" t="inlineStr">
        <is>
          <t>CritAvg</t>
        </is>
      </c>
      <c r="N976" s="8" t="inlineStr">
        <is>
          <t>ExpectedDamage(perHit)</t>
        </is>
      </c>
      <c r="O976" s="8" t="inlineStr">
        <is>
          <t>DPS</t>
        </is>
      </c>
      <c r="P976" s="8" t="inlineStr">
        <is>
          <t>% of Total</t>
        </is>
      </c>
      <c r="R976" t="inlineStr">
        <is>
          <t>helpers</t>
        </is>
      </c>
    </row>
    <row r="977">
      <c r="A977">
        <f>Skills!A2</f>
        <v/>
      </c>
      <c r="B977">
        <f>Skills!B2</f>
        <v/>
      </c>
      <c r="C977">
        <f>Inputs!$B$3&gt;=100</f>
        <v/>
      </c>
      <c r="D977" t="inlineStr"/>
      <c r="E977" t="inlineStr"/>
      <c r="F977">
        <f>T979+Skills!N2</f>
        <v/>
      </c>
      <c r="G977">
        <f>Calc!G2</f>
        <v/>
      </c>
      <c r="H977">
        <f>Calc!H2</f>
        <v/>
      </c>
      <c r="I977">
        <f>IF(Skills!T2&lt;&gt;"",1+(Skills!T2/10)*($Z$3/1000)/100,1)</f>
        <v/>
      </c>
      <c r="J977">
        <f>((Inputs!$B$5*(1+Inputs!$B$6/100))+((Inputs!$B$11*(1+Inputs!$B$12/100))-(Inputs!$B$11*(1+Inputs!$B$12/100)))*(1+Inputs!$B$6/100))*(F977/100)</f>
        <v/>
      </c>
      <c r="K977">
        <f>J977*(1+((Inputs!$B$11*(1+Inputs!$B$12/100))*0.01+Inputs!$B$13*0.0025)/100)*(1+(Inputs!$B$14+B1006)/100)*(1+IF(Inputs!$B$4="pvp",0,(1-Summary!$B$48)*(Inputs!$B$19+Skills!O2+B1004)+Summary!$B$48*(Inputs!$B$20+Skills!P2+B1005))/100)*(1+Inputs!$B$15/100)*(5000/(6000+Inputs!$B$7*(1-Inputs!$B$18/100)))*(1+Inputs!$B$23/100)*(1+IF(C992=TRUE,F992,0)/100)*(1+IF(C994=TRUE,F994,0)/100)*(1+IF(Skills!A2="TRIUMPH_FEATHER",IF(C990=TRUE,F990,0),0)/100)*(1+IF(C1001=TRUE,F1001,0)/100)^5*(1+(IF(Skills!A2="BIG_BANG",Inputs!$B$16,Inputs!$B$17))/100)*(B1003*I977)</f>
        <v/>
      </c>
      <c r="L977">
        <f>K977*(MIN(Inputs!$B$21+(F996-Calc!F21),Inputs!$B$22)/100+Inputs!$B$22/100)/2</f>
        <v/>
      </c>
      <c r="M977">
        <f>L977*(1+(Inputs!$B$9+B1007+(F999-Calc!F24))/100)</f>
        <v/>
      </c>
      <c r="N977">
        <f>L977*(1-MIN(Inputs!$B$8+((F998-Calc!F23)+(F997-Calc!F22)),100)/100)+M977*(MIN(Inputs!$B$8+((F998-Calc!F23)+(F997-Calc!F22)),100)/100)</f>
        <v/>
      </c>
      <c r="O977">
        <f>IF(C977,Skills!F2*N977*B1011*IF(Inputs!$B$4="pvp",1,(1-Summary!$B$48)*(1)+Summary!$B$48*(MIN((6+(Inputs!$B$32+1)),Inputs!$B$37))),0)</f>
        <v/>
      </c>
      <c r="P977">
        <f>IF(B1013=0,0,O977/B1013)</f>
        <v/>
      </c>
      <c r="S977" t="n">
        <v>0</v>
      </c>
      <c r="T977">
        <f>MAX(0,(Inputs!$B$3-100)*3)+Inputs!$B$27+Inputs!$B$28</f>
        <v/>
      </c>
      <c r="V977">
        <f>IFERROR(1/IF(Inputs!$B$4="pvp",15,MAX(0.1,Skills!D2-IF(Skills!E2=TRUE,Inputs!$B$31,0))),0)</f>
        <v/>
      </c>
    </row>
    <row r="978">
      <c r="A978">
        <f>Skills!A3</f>
        <v/>
      </c>
      <c r="B978">
        <f>Skills!B3</f>
        <v/>
      </c>
      <c r="C978">
        <f>Inputs!$B$3&gt;=15</f>
        <v/>
      </c>
      <c r="D978">
        <f>IF(Skills!C3=1,60+Inputs!$B$24+Inputs!$B$28,IF(Skills!C3=2,90+Inputs!$B$25+Inputs!$B$28,IF(Skills!C3=3,120+Inputs!$B$26+Inputs!$B$28,MAX(0,(Inputs!$B$3-100)*3)+Inputs!$B$27+Inputs!$B$28)))</f>
        <v/>
      </c>
      <c r="E978">
        <f>INDEX(FactorTable!$B$2:$Y$301, MATCH(ROUND(MIN(300,MAX(1,D978)),0), FactorTable!$A$2:$A$301,0), Skills!L3+1)</f>
        <v/>
      </c>
      <c r="F978">
        <f>IF(Skills!M3=TRUE,(Skills!K3/10)*(E978/1000),Skills!K3/10)+Skills!N3</f>
        <v/>
      </c>
      <c r="G978">
        <f>Calc!G3</f>
        <v/>
      </c>
      <c r="H978">
        <f>Calc!H3</f>
        <v/>
      </c>
      <c r="I978">
        <f>IF(Skills!T3&lt;&gt;"",1+(Skills!T3/10)*($Z$3/1000)/100,1)</f>
        <v/>
      </c>
      <c r="J978" t="inlineStr"/>
      <c r="K978" t="inlineStr"/>
      <c r="L978" t="inlineStr"/>
      <c r="M978" t="inlineStr"/>
      <c r="N978" t="inlineStr"/>
      <c r="O978" t="n">
        <v>0</v>
      </c>
      <c r="P978">
        <f>IF(B1013=0,0,O978/B1013)</f>
        <v/>
      </c>
      <c r="S978">
        <f>IF(AND(Inputs!$B$4&lt;&gt;"pvp",Inputs!$B$35&gt;0),(INT(Inputs!$B$35/IF(Inputs!$B$4="pvp",15,MAX(0.1,Skills!D3-IF(Skills!E3=TRUE,Inputs!$B$31,0))))+1),0)</f>
        <v/>
      </c>
      <c r="T978">
        <f>INDEX(FactorTable!$B$2:$Y$301, MATCH(ROUND(MIN(300,MAX(1,T977)),0), FactorTable!$A$2:$A$301,0), 22)</f>
        <v/>
      </c>
      <c r="V978">
        <f>IFERROR(1/IF(Inputs!$B$4="pvp",15,MAX(0.1,Skills!D3-IF(Skills!E3=TRUE,Inputs!$B$31,0))),0)</f>
        <v/>
      </c>
    </row>
    <row r="979">
      <c r="A979">
        <f>Skills!A4</f>
        <v/>
      </c>
      <c r="B979">
        <f>Skills!B4</f>
        <v/>
      </c>
      <c r="C979">
        <f>Inputs!$B$3&gt;=38</f>
        <v/>
      </c>
      <c r="D979">
        <f>IF(Skills!C4=1,60+Inputs!$B$24+Inputs!$B$28,IF(Skills!C4=2,90+Inputs!$B$25+Inputs!$B$28,IF(Skills!C4=3,120+Inputs!$B$26+Inputs!$B$28,MAX(0,(Inputs!$B$3-100)*3)+Inputs!$B$27+Inputs!$B$28)))</f>
        <v/>
      </c>
      <c r="E979">
        <f>INDEX(FactorTable!$B$2:$Y$301, MATCH(ROUND(MIN(300,MAX(1,D979)),0), FactorTable!$A$2:$A$301,0), Skills!L4+1)</f>
        <v/>
      </c>
      <c r="F979">
        <f>IF(Skills!M4=TRUE,(Skills!K4/10)*(E979/1000),Skills!K4/10)+Skills!N4</f>
        <v/>
      </c>
      <c r="G979">
        <f>Calc!G4</f>
        <v/>
      </c>
      <c r="H979">
        <f>Calc!H4</f>
        <v/>
      </c>
      <c r="I979">
        <f>IF(Skills!T4&lt;&gt;"",1+(Skills!T4/10)*($Z$3/1000)/100,1)</f>
        <v/>
      </c>
      <c r="J979" t="inlineStr"/>
      <c r="K979" t="inlineStr"/>
      <c r="L979" t="inlineStr"/>
      <c r="M979" t="inlineStr"/>
      <c r="N979" t="inlineStr"/>
      <c r="O979" t="n">
        <v>0</v>
      </c>
      <c r="P979">
        <f>IF(B1013=0,0,O979/B1013)</f>
        <v/>
      </c>
      <c r="S979">
        <f>IF(AND(Inputs!$B$4&lt;&gt;"pvp",Inputs!$B$35&gt;0),(INT(Inputs!$B$35/IF(Inputs!$B$4="pvp",15,MAX(0.1,Skills!D4-IF(Skills!E4=TRUE,Inputs!$B$31,0))))+1),0)</f>
        <v/>
      </c>
      <c r="T979">
        <f>290*T978/1000</f>
        <v/>
      </c>
      <c r="V979">
        <f>IFERROR(1/IF(Inputs!$B$4="pvp",15,MAX(0.1,Skills!D4-IF(Skills!E4=TRUE,Inputs!$B$31,0))),0)</f>
        <v/>
      </c>
    </row>
    <row r="980">
      <c r="A980">
        <f>Skills!A5</f>
        <v/>
      </c>
      <c r="B980">
        <f>Skills!B5</f>
        <v/>
      </c>
      <c r="C980">
        <f>Inputs!$B$3&gt;=40</f>
        <v/>
      </c>
      <c r="D980">
        <f>IF(Skills!C5=1,60+Inputs!$B$24+Inputs!$B$28,IF(Skills!C5=2,90+Inputs!$B$25+Inputs!$B$28,IF(Skills!C5=3,120+Inputs!$B$26+Inputs!$B$28,MAX(0,(Inputs!$B$3-100)*3)+Inputs!$B$27+Inputs!$B$28)))</f>
        <v/>
      </c>
      <c r="E980">
        <f>INDEX(FactorTable!$B$2:$Y$301, MATCH(ROUND(MIN(300,MAX(1,D980)),0), FactorTable!$A$2:$A$301,0), Skills!L5+1)</f>
        <v/>
      </c>
      <c r="F980">
        <f>IF(Skills!M5=TRUE,(Skills!K5/10)*(E980/1000),Skills!K5/10)+Skills!N5</f>
        <v/>
      </c>
      <c r="G980">
        <f>Calc!G5</f>
        <v/>
      </c>
      <c r="H980">
        <f>Calc!H5</f>
        <v/>
      </c>
      <c r="I980">
        <f>IF(Skills!T5&lt;&gt;"",1+(Skills!T5/10)*($Z$3/1000)/100,1)</f>
        <v/>
      </c>
      <c r="J980" t="inlineStr"/>
      <c r="K980" t="inlineStr"/>
      <c r="L980" t="inlineStr"/>
      <c r="M980" t="inlineStr"/>
      <c r="N980" t="inlineStr"/>
      <c r="O980" t="n">
        <v>0</v>
      </c>
      <c r="P980">
        <f>IF(B1013=0,0,O980/B1013)</f>
        <v/>
      </c>
      <c r="S980">
        <f>IF(AND(Inputs!$B$4&lt;&gt;"pvp",Inputs!$B$35&gt;0),(INT(Inputs!$B$35/IF(Inputs!$B$4="pvp",15,MAX(0.1,Skills!D5-IF(Skills!E5=TRUE,Inputs!$B$31,0))))+1),0)</f>
        <v/>
      </c>
      <c r="V980">
        <f>IFERROR(1/IF(Inputs!$B$4="pvp",15,MAX(0.1,Skills!D5-IF(Skills!E5=TRUE,Inputs!$B$31,0))),0)</f>
        <v/>
      </c>
    </row>
    <row r="981">
      <c r="A981">
        <f>Skills!A6</f>
        <v/>
      </c>
      <c r="B981">
        <f>Skills!B6</f>
        <v/>
      </c>
      <c r="C981">
        <f>Inputs!$B$3&gt;=103</f>
        <v/>
      </c>
      <c r="D981">
        <f>IF(Skills!C6=1,60+Inputs!$B$24+Inputs!$B$28,IF(Skills!C6=2,90+Inputs!$B$25+Inputs!$B$28,IF(Skills!C6=3,120+Inputs!$B$26+Inputs!$B$28,MAX(0,(Inputs!$B$3-100)*3)+Inputs!$B$27+Inputs!$B$28)))</f>
        <v/>
      </c>
      <c r="E981">
        <f>INDEX(FactorTable!$B$2:$Y$301, MATCH(ROUND(MIN(300,MAX(1,D981)),0), FactorTable!$A$2:$A$301,0), Skills!L6+1)</f>
        <v/>
      </c>
      <c r="F981">
        <f>IF(Skills!M6=TRUE,(Skills!K6/10)*(E981/1000),Skills!K6/10)+Skills!N6</f>
        <v/>
      </c>
      <c r="G981">
        <f>Calc!G6</f>
        <v/>
      </c>
      <c r="H981">
        <f>Calc!H6</f>
        <v/>
      </c>
      <c r="I981">
        <f>IF(Skills!T6&lt;&gt;"",1+(Skills!T6/10)*($Z$3/1000)/100,1)</f>
        <v/>
      </c>
      <c r="J981">
        <f>((Inputs!$B$5*(1+Inputs!$B$6/100))+((Inputs!$B$11*(1+Inputs!$B$12/100))-(Inputs!$B$11*(1+Inputs!$B$12/100)))*(1+Inputs!$B$6/100))*(F981/100)</f>
        <v/>
      </c>
      <c r="K981">
        <f>J981*(1+((Inputs!$B$11*(1+Inputs!$B$12/100))*0.01+Inputs!$B$13*0.0025)/100)*(1+(Inputs!$B$14+B1006)/100)*(1+IF(Inputs!$B$4="pvp",0,(1-Summary!$B$48)*(Inputs!$B$19+Skills!O6+B1004)+Summary!$B$48*(Inputs!$B$20+Skills!P6+B1005))/100)*(1+Inputs!$B$15/100)*(5000/(6000+Inputs!$B$7*(1-Inputs!$B$18/100)))*(1+Inputs!$B$23/100)*(1+IF(C992=TRUE,F992,0)/100)*(1+IF(C994=TRUE,F994,0)/100)*(1+IF(Skills!A6="TRIUMPH_FEATHER",IF(C990=TRUE,F990,0),0)/100)*(1+IF(C1001=TRUE,F1001,0)/100)^5*(1+(IF(Skills!A6="BIG_BANG",Inputs!$B$16,Inputs!$B$17))/100)*(B1003*I981)</f>
        <v/>
      </c>
      <c r="L981">
        <f>K981*(MIN(Inputs!$B$21+(F996-Calc!F21),Inputs!$B$22)/100+Inputs!$B$22/100)/2</f>
        <v/>
      </c>
      <c r="M981">
        <f>L981*(1+(Inputs!$B$9+B1007+(F999-Calc!F24))/100)</f>
        <v/>
      </c>
      <c r="N981">
        <f>L981*(1-MIN(Inputs!$B$8+((F998-Calc!F23)+(F997-Calc!F22)),100)/100)+M981*(MIN(Inputs!$B$8+((F998-Calc!F23)+(F997-Calc!F22)),100)/100)</f>
        <v/>
      </c>
      <c r="O981">
        <f>IF(C981,H981*N981*IF(AND(Inputs!$B$4&lt;&gt;"pvp",Inputs!$B$35&gt;0),((Skills!F6*((S981-1)*IF(Skills!G6&gt;0,Skills!H6/Skills!G6,1)+IF(Skills!G6&gt;0,MIN(Skills!H6,MAX(0,Inputs!$B$35-((S981-1)*IF(Inputs!$B$4="pvp",15,MAX(0.1,Skills!D6-IF(Skills!E6=TRUE,Inputs!$B$31,0))))))/Skills!G6,1)))/Inputs!$B$35),G981*V981)*IF(Inputs!$B$4="pvp",1,(1-Summary!$B$48)*(1)+Summary!$B$48*(MIN(Skills!Q6,Inputs!$B$37))),0)</f>
        <v/>
      </c>
      <c r="P981">
        <f>IF(B1013=0,0,O981/B1013)</f>
        <v/>
      </c>
      <c r="S981">
        <f>IF(AND(Inputs!$B$4&lt;&gt;"pvp",Inputs!$B$35&gt;0),(INT(Inputs!$B$35/IF(Inputs!$B$4="pvp",15,MAX(0.1,Skills!D6-IF(Skills!E6=TRUE,Inputs!$B$31,0))))+1),0)</f>
        <v/>
      </c>
      <c r="V981">
        <f>IFERROR(1/IF(Inputs!$B$4="pvp",15,MAX(0.1,Skills!D6-IF(Skills!E6=TRUE,Inputs!$B$31,0))),0)</f>
        <v/>
      </c>
    </row>
    <row r="982">
      <c r="A982">
        <f>Skills!A7</f>
        <v/>
      </c>
      <c r="B982">
        <f>Skills!B7</f>
        <v/>
      </c>
      <c r="C982">
        <f>Inputs!$B$3&gt;=122</f>
        <v/>
      </c>
      <c r="D982">
        <f>IF(Skills!C7=1,60+Inputs!$B$24+Inputs!$B$28,IF(Skills!C7=2,90+Inputs!$B$25+Inputs!$B$28,IF(Skills!C7=3,120+Inputs!$B$26+Inputs!$B$28,MAX(0,(Inputs!$B$3-100)*3)+Inputs!$B$27+Inputs!$B$28)))</f>
        <v/>
      </c>
      <c r="E982">
        <f>INDEX(FactorTable!$B$2:$Y$301, MATCH(ROUND(MIN(300,MAX(1,D982)),0), FactorTable!$A$2:$A$301,0), Skills!L7+1)</f>
        <v/>
      </c>
      <c r="F982">
        <f>IF(Skills!M7=TRUE,(Skills!K7/10)*(E982/1000),Skills!K7/10)+Skills!N7</f>
        <v/>
      </c>
      <c r="G982">
        <f>Calc!G7</f>
        <v/>
      </c>
      <c r="H982">
        <f>Calc!H7</f>
        <v/>
      </c>
      <c r="I982">
        <f>IF(Skills!T7&lt;&gt;"",1+(Skills!T7/10)*($Z$3/1000)/100,1)</f>
        <v/>
      </c>
      <c r="J982">
        <f>((Inputs!$B$5*(1+Inputs!$B$6/100))+((Inputs!$B$11*(1+Inputs!$B$12/100))-(Inputs!$B$11*(1+Inputs!$B$12/100)))*(1+Inputs!$B$6/100))*(F982/100)</f>
        <v/>
      </c>
      <c r="K982">
        <f>J982*(1+((Inputs!$B$11*(1+Inputs!$B$12/100))*0.01+Inputs!$B$13*0.0025)/100)*(1+(Inputs!$B$14+B1006)/100)*(1+IF(Inputs!$B$4="pvp",0,(1-Summary!$B$48)*(Inputs!$B$19+Skills!O7+B1004)+Summary!$B$48*(Inputs!$B$20+Skills!P7+B1005))/100)*(1+Inputs!$B$15/100)*(5000/(6000+Inputs!$B$7*(1-Inputs!$B$18/100)))*(1+Inputs!$B$23/100)*(1+IF(C992=TRUE,F992,0)/100)*(1+IF(C994=TRUE,F994,0)/100)*(1+IF(Skills!A7="TRIUMPH_FEATHER",IF(C990=TRUE,F990,0),0)/100)*(1+IF(C1001=TRUE,F1001,0)/100)^5*(1+(IF(Skills!A7="BIG_BANG",Inputs!$B$16,Inputs!$B$17))/100)*(B1003*I982)</f>
        <v/>
      </c>
      <c r="L982">
        <f>K982*(MIN(Inputs!$B$21+(F996-Calc!F21),Inputs!$B$22)/100+Inputs!$B$22/100)/2</f>
        <v/>
      </c>
      <c r="M982">
        <f>L982*(1+(Inputs!$B$9+B1007+(F999-Calc!F24))/100)</f>
        <v/>
      </c>
      <c r="N982">
        <f>L982*(1-MIN(Inputs!$B$8+((F998-Calc!F23)+(F997-Calc!F22)),100)/100)+M982*(MIN(Inputs!$B$8+((F998-Calc!F23)+(F997-Calc!F22)),100)/100)</f>
        <v/>
      </c>
      <c r="O982">
        <f>IF(C982,H982*N982*IF(AND(Inputs!$B$4&lt;&gt;"pvp",Inputs!$B$35&gt;0),((Skills!F7*((S982-1)*IF(Skills!G7&gt;0,Skills!H7/Skills!G7,1)+IF(Skills!G7&gt;0,MIN(Skills!H7,MAX(0,Inputs!$B$35-((S982-1)*IF(Inputs!$B$4="pvp",15,MAX(0.1,Skills!D7-IF(Skills!E6=TRUE,Inputs!$B$31,0))))))/Skills!G7,1)))/Inputs!$B$35),G982*V982)*(1-Summary!$B$48),0)</f>
        <v/>
      </c>
      <c r="P982">
        <f>IF(B1013=0,0,O982/B1013)</f>
        <v/>
      </c>
      <c r="S982">
        <f>IF(AND(Inputs!$B$4&lt;&gt;"pvp",Inputs!$B$35&gt;0),(INT(Inputs!$B$35/IF(Inputs!$B$4="pvp",15,MAX(0.1,Skills!D7-IF(Skills!E6=TRUE,Inputs!$B$31,0))))+1),0)</f>
        <v/>
      </c>
      <c r="V982">
        <f>IFERROR(1/IF(Inputs!$B$4="pvp",15,MAX(0.1,Skills!D7-IF(Skills!E6=TRUE,Inputs!$B$31,0))),0)</f>
        <v/>
      </c>
    </row>
    <row r="983">
      <c r="A983">
        <f>Skills!A8</f>
        <v/>
      </c>
      <c r="B983">
        <f>Skills!B8</f>
        <v/>
      </c>
      <c r="C983">
        <f>Inputs!$B$3&gt;=105</f>
        <v/>
      </c>
      <c r="D983">
        <f>IF(Skills!C8=1,60+Inputs!$B$24+Inputs!$B$28,IF(Skills!C8=2,90+Inputs!$B$25+Inputs!$B$28,IF(Skills!C8=3,120+Inputs!$B$26+Inputs!$B$28,MAX(0,(Inputs!$B$3-100)*3)+Inputs!$B$27+Inputs!$B$28)))</f>
        <v/>
      </c>
      <c r="E983">
        <f>INDEX(FactorTable!$B$2:$Y$301, MATCH(ROUND(MIN(300,MAX(1,D983)),0), FactorTable!$A$2:$A$301,0), Skills!L8+1)</f>
        <v/>
      </c>
      <c r="F983">
        <f>IF(Skills!M8=TRUE,(Skills!K8/10)*(E983/1000),Skills!K8/10)+Skills!N8</f>
        <v/>
      </c>
      <c r="G983">
        <f>Calc!G8</f>
        <v/>
      </c>
      <c r="H983">
        <f>Calc!H8</f>
        <v/>
      </c>
      <c r="I983">
        <f>IF(Skills!T8&lt;&gt;"",1+(Skills!T8/10)*($Z$3/1000)/100,1)</f>
        <v/>
      </c>
      <c r="J983">
        <f>((Inputs!$B$5*(1+Inputs!$B$6/100))+((Inputs!$B$11*(1+Inputs!$B$12/100))-(Inputs!$B$11*(1+Inputs!$B$12/100)))*(1+Inputs!$B$6/100))*(F983/100)</f>
        <v/>
      </c>
      <c r="K983">
        <f>J983*(1+((Inputs!$B$11*(1+Inputs!$B$12/100))*0.01+Inputs!$B$13*0.0025)/100)*(1+(Inputs!$B$14+B1006)/100)*(1+IF(Inputs!$B$4="pvp",0,(1-Summary!$B$48)*(Inputs!$B$19+Skills!O8+B1004)+Summary!$B$48*(Inputs!$B$20+Skills!P8+B1005))/100)*(1+Inputs!$B$15/100)*(5000/(6000+Inputs!$B$7*(1-Inputs!$B$18/100)))*(1+Inputs!$B$23/100)*(1+IF(C992=TRUE,F992,0)/100)*(1+IF(C994=TRUE,F994,0)/100)*(1+IF(Skills!A8="TRIUMPH_FEATHER",IF(C990=TRUE,F990,0),0)/100)*(1+IF(C1001=TRUE,F1001,0)/100)^5*(1+(IF(Skills!A8="BIG_BANG",Inputs!$B$16,Inputs!$B$17))/100)*(B1003*I983)</f>
        <v/>
      </c>
      <c r="L983">
        <f>K983*(MIN(Inputs!$B$21+(F996-Calc!F21),Inputs!$B$22)/100+Inputs!$B$22/100)/2</f>
        <v/>
      </c>
      <c r="M983">
        <f>L983*(1+(Inputs!$B$9+B1007+(F999-Calc!F24))/100)</f>
        <v/>
      </c>
      <c r="N983">
        <f>L983*(1-MIN(Inputs!$B$8+((F998-Calc!F23)+(F997-Calc!F22)),100)/100)+M983*(MIN(Inputs!$B$8+((F998-Calc!F23)+(F997-Calc!F22)),100)/100)</f>
        <v/>
      </c>
      <c r="O983">
        <f>IF(C983,H983*N983*IF(AND(Inputs!$B$4&lt;&gt;"pvp",Inputs!$B$35&gt;0),((Skills!F8*((S983-1)*IF(Skills!G8&gt;0,Skills!H8/Skills!G8,1)+IF(Skills!G8&gt;0,MIN(Skills!H8,MAX(0,Inputs!$B$35-((S983-1)*IF(Inputs!$B$4="pvp",15,MAX(0.1,Skills!D8-IF(Skills!E8=TRUE,Inputs!$B$31,0))))))/Skills!G8,1)))/Inputs!$B$35),G983*V983)*IF(Inputs!$B$4="pvp",1,(1-Summary!$B$48)*(1)+Summary!$B$48*(MIN(Skills!Q8,Inputs!$B$37))),0)</f>
        <v/>
      </c>
      <c r="P983">
        <f>IF(B1013=0,0,O983/B1013)</f>
        <v/>
      </c>
      <c r="S983">
        <f>IF(AND(Inputs!$B$4&lt;&gt;"pvp",Inputs!$B$35&gt;0),(INT(Inputs!$B$35/IF(Inputs!$B$4="pvp",15,MAX(0.1,Skills!D8-IF(Skills!E8=TRUE,Inputs!$B$31,0))))+1),0)</f>
        <v/>
      </c>
      <c r="V983">
        <f>IFERROR(1/IF(Inputs!$B$4="pvp",15,MAX(0.1,Skills!D8-IF(Skills!E8=TRUE,Inputs!$B$31,0))),0)</f>
        <v/>
      </c>
    </row>
    <row r="984">
      <c r="A984">
        <f>Skills!A9</f>
        <v/>
      </c>
      <c r="B984">
        <f>Skills!B9</f>
        <v/>
      </c>
      <c r="C984">
        <f>Inputs!$B$3&gt;=115</f>
        <v/>
      </c>
      <c r="D984">
        <f>IF(Skills!C9=1,60+Inputs!$B$24+Inputs!$B$28,IF(Skills!C9=2,90+Inputs!$B$25+Inputs!$B$28,IF(Skills!C9=3,120+Inputs!$B$26+Inputs!$B$28,MAX(0,(Inputs!$B$3-100)*3)+Inputs!$B$27+Inputs!$B$28)))</f>
        <v/>
      </c>
      <c r="E984">
        <f>INDEX(FactorTable!$B$2:$Y$301, MATCH(ROUND(MIN(300,MAX(1,D984)),0), FactorTable!$A$2:$A$301,0), Skills!L9+1)</f>
        <v/>
      </c>
      <c r="F984">
        <f>IF(Skills!M9=TRUE,(Skills!K9/10)*(E984/1000),Skills!K9/10)+Skills!N9</f>
        <v/>
      </c>
      <c r="G984">
        <f>Calc!G9</f>
        <v/>
      </c>
      <c r="H984">
        <f>Calc!H9</f>
        <v/>
      </c>
      <c r="I984">
        <f>IF(Skills!T9&lt;&gt;"",1+(Skills!T9/10)*($Z$3/1000)/100,1)</f>
        <v/>
      </c>
      <c r="J984">
        <f>((Inputs!$B$5*(1+Inputs!$B$6/100))+((Inputs!$B$11*(1+Inputs!$B$12/100))-(Inputs!$B$11*(1+Inputs!$B$12/100)))*(1+Inputs!$B$6/100))*(F984/100)</f>
        <v/>
      </c>
      <c r="K984">
        <f>J984*(1+((Inputs!$B$11*(1+Inputs!$B$12/100))*0.01+Inputs!$B$13*0.0025)/100)*(1+(Inputs!$B$14+B1006)/100)*(1+IF(Inputs!$B$4="pvp",0,(1-Summary!$B$48)*(Inputs!$B$19+Skills!O9+B1004)+Summary!$B$48*(Inputs!$B$20+Skills!P9+B1005))/100)*(1+Inputs!$B$15/100)*(5000/(6000+Inputs!$B$7*(1-Inputs!$B$18/100)))*(1+Inputs!$B$23/100)*(1+IF(C992=TRUE,F992,0)/100)*(1+IF(C994=TRUE,F994,0)/100)*(1+IF(Skills!A9="TRIUMPH_FEATHER",IF(C990=TRUE,F990,0),0)/100)*(1+IF(C1001=TRUE,F1001,0)/100)^5*(1+(IF(Skills!A9="BIG_BANG",Inputs!$B$16,Inputs!$B$17))/100)*(B1003*I984)</f>
        <v/>
      </c>
      <c r="L984">
        <f>K984*(MIN(Inputs!$B$21+(F996-Calc!F21),Inputs!$B$22)/100+Inputs!$B$22/100)/2</f>
        <v/>
      </c>
      <c r="M984">
        <f>L984*(1+(Inputs!$B$9+B1007+(F999-Calc!F24))/100)</f>
        <v/>
      </c>
      <c r="N984">
        <f>L984*(1-MIN(Inputs!$B$8+((F998-Calc!F23)+(F997-Calc!F22)),100)/100)+M984*(MIN(Inputs!$B$8+((F998-Calc!F23)+(F997-Calc!F22)),100)/100)</f>
        <v/>
      </c>
      <c r="O984">
        <f>IF(C984,H984*N984*IF(AND(Inputs!$B$4&lt;&gt;"pvp",Inputs!$B$35&gt;0),((Skills!F9*((S984-1)*IF(Skills!G9&gt;0,Skills!H9/Skills!G9,1)+IF(Skills!G9&gt;0,MIN(Skills!H9,MAX(0,Inputs!$B$35-((S984-1)*IF(Inputs!$B$4="pvp",15,MAX(0.1,Skills!D9-IF(Skills!E9=TRUE,Inputs!$B$31,0))))))/Skills!G9,1)))/Inputs!$B$35),G984*V984)*IF(Inputs!$B$4="pvp",1,(1-Summary!$B$48)*(1)+Summary!$B$48*(MIN(Skills!Q9,Inputs!$B$37))),0)</f>
        <v/>
      </c>
      <c r="P984">
        <f>IF(B1013=0,0,O984/B1013)</f>
        <v/>
      </c>
      <c r="S984">
        <f>IF(AND(Inputs!$B$4&lt;&gt;"pvp",Inputs!$B$35&gt;0),(INT(Inputs!$B$35/IF(Inputs!$B$4="pvp",15,MAX(0.1,Skills!D9-IF(Skills!E9=TRUE,Inputs!$B$31,0))))+1),0)</f>
        <v/>
      </c>
      <c r="V984">
        <f>IFERROR(1/IF(Inputs!$B$4="pvp",15,MAX(0.1,Skills!D9-IF(Skills!E9=TRUE,Inputs!$B$31,0))),0)</f>
        <v/>
      </c>
    </row>
    <row r="985">
      <c r="A985">
        <f>Skills!A10</f>
        <v/>
      </c>
      <c r="B985">
        <f>Skills!B10</f>
        <v/>
      </c>
      <c r="C985">
        <f>Inputs!$B$3&gt;=66</f>
        <v/>
      </c>
      <c r="D985">
        <f>IF(Skills!C10=1,60+Inputs!$B$24+Inputs!$B$28,IF(Skills!C10=2,90+Inputs!$B$25+Inputs!$B$28,IF(Skills!C10=3,120+Inputs!$B$26+Inputs!$B$28,MAX(0,(Inputs!$B$3-100)*3)+Inputs!$B$27+Inputs!$B$28)))</f>
        <v/>
      </c>
      <c r="E985">
        <f>INDEX(FactorTable!$B$2:$Y$301, MATCH(ROUND(MIN(300,MAX(1,D985)),0), FactorTable!$A$2:$A$301,0), Skills!L10+1)</f>
        <v/>
      </c>
      <c r="F985" t="n">
        <v>0</v>
      </c>
      <c r="G985">
        <f>Calc!G10</f>
        <v/>
      </c>
      <c r="H985">
        <f>Calc!H10</f>
        <v/>
      </c>
      <c r="I985">
        <f>IF(Skills!T10&lt;&gt;"",1+(Skills!T10/10)*($Z$3/1000)/100,1)</f>
        <v/>
      </c>
      <c r="J985" t="inlineStr"/>
      <c r="K985" t="inlineStr"/>
      <c r="L985" t="inlineStr"/>
      <c r="M985" t="inlineStr"/>
      <c r="N985" t="inlineStr"/>
      <c r="O985" t="n">
        <v>0</v>
      </c>
      <c r="P985">
        <f>IF(B1013=0,0,O985/B1013)</f>
        <v/>
      </c>
      <c r="S985">
        <f>IF(AND(Inputs!$B$4&lt;&gt;"pvp",Inputs!$B$35&gt;0),(INT(Inputs!$B$35/IF(Inputs!$B$4="pvp",15,MAX(0.1,Skills!D10-IF(Skills!E10=TRUE,Inputs!$B$31,0))))+1),0)</f>
        <v/>
      </c>
      <c r="V985">
        <f>IFERROR(1/IF(Inputs!$B$4="pvp",15,MAX(0.1,Skills!D10-IF(Skills!E10=TRUE,Inputs!$B$31,0))),0)</f>
        <v/>
      </c>
    </row>
    <row r="986">
      <c r="A986">
        <f>Skills!A11</f>
        <v/>
      </c>
      <c r="B986">
        <f>Skills!B11</f>
        <v/>
      </c>
      <c r="C986">
        <f>Inputs!$B$3&gt;=69</f>
        <v/>
      </c>
      <c r="D986">
        <f>IF(Skills!C11=1,60+Inputs!$B$24+Inputs!$B$28,IF(Skills!C11=2,90+Inputs!$B$25+Inputs!$B$28,IF(Skills!C11=3,120+Inputs!$B$26+Inputs!$B$28,MAX(0,(Inputs!$B$3-100)*3)+Inputs!$B$27+Inputs!$B$28)))</f>
        <v/>
      </c>
      <c r="E986">
        <f>INDEX(FactorTable!$B$2:$Y$301, MATCH(ROUND(MIN(300,MAX(1,D986)),0), FactorTable!$A$2:$A$301,0), Skills!L11+1)</f>
        <v/>
      </c>
      <c r="F986">
        <f>IF(Skills!M11=TRUE,(Skills!K11/10)*(E986/1000),Skills!K11/10)+Skills!N11</f>
        <v/>
      </c>
      <c r="G986">
        <f>Calc!G11</f>
        <v/>
      </c>
      <c r="H986">
        <f>Calc!H11</f>
        <v/>
      </c>
      <c r="I986">
        <f>IF(Skills!T11&lt;&gt;"",1+(Skills!T11/10)*($Z$3/1000)/100,1)</f>
        <v/>
      </c>
      <c r="J986" t="inlineStr"/>
      <c r="K986" t="inlineStr"/>
      <c r="L986" t="inlineStr"/>
      <c r="M986" t="inlineStr"/>
      <c r="N986" t="inlineStr"/>
      <c r="O986" t="n">
        <v>0</v>
      </c>
      <c r="P986">
        <f>IF(B1013=0,0,O986/B1013)</f>
        <v/>
      </c>
      <c r="S986">
        <f>IF(AND(Inputs!$B$4&lt;&gt;"pvp",Inputs!$B$35&gt;0),(INT(Inputs!$B$35/IF(Inputs!$B$4="pvp",15,MAX(0.1,Skills!D11-IF(Skills!E11=TRUE,Inputs!$B$31,0))))+1),0)</f>
        <v/>
      </c>
      <c r="V986">
        <f>IFERROR(1/IF(Inputs!$B$4="pvp",15,MAX(0.1,Skills!D11-IF(Skills!E11=TRUE,Inputs!$B$31,0))),0)</f>
        <v/>
      </c>
    </row>
    <row r="987">
      <c r="A987">
        <f>Skills!A12</f>
        <v/>
      </c>
      <c r="B987">
        <f>Skills!B12</f>
        <v/>
      </c>
      <c r="C987">
        <f>Inputs!$B$3&gt;=72</f>
        <v/>
      </c>
      <c r="D987">
        <f>IF(Skills!C12=1,60+Inputs!$B$24+Inputs!$B$28,IF(Skills!C12=2,90+Inputs!$B$25+Inputs!$B$28,IF(Skills!C12=3,120+Inputs!$B$26+Inputs!$B$28,MAX(0,(Inputs!$B$3-100)*3)+Inputs!$B$27+Inputs!$B$28)))</f>
        <v/>
      </c>
      <c r="E987">
        <f>INDEX(FactorTable!$B$2:$Y$301, MATCH(ROUND(MIN(300,MAX(1,D987)),0), FactorTable!$A$2:$A$301,0), Skills!L12+1)</f>
        <v/>
      </c>
      <c r="F987">
        <f>IF(Skills!M12=TRUE,(Skills!K12/10)*(E987/1000),Skills!K12/10)+Skills!N12</f>
        <v/>
      </c>
      <c r="G987">
        <f>Calc!G12</f>
        <v/>
      </c>
      <c r="H987">
        <f>Calc!H12</f>
        <v/>
      </c>
      <c r="I987">
        <f>IF(Skills!T12&lt;&gt;"",1+(Skills!T12/10)*($Z$3/1000)/100,1)</f>
        <v/>
      </c>
      <c r="J987" t="inlineStr"/>
      <c r="K987" t="inlineStr"/>
      <c r="L987" t="inlineStr"/>
      <c r="M987" t="inlineStr"/>
      <c r="N987" t="inlineStr"/>
      <c r="O987" t="n">
        <v>0</v>
      </c>
      <c r="P987">
        <f>IF(B1013=0,0,O987/B1013)</f>
        <v/>
      </c>
      <c r="S987">
        <f>IF(AND(Inputs!$B$4&lt;&gt;"pvp",Inputs!$B$35&gt;0),(INT(Inputs!$B$35/IF(Inputs!$B$4="pvp",15,MAX(0.1,Skills!D12-IF(Skills!E12=TRUE,Inputs!$B$31,0))))+1),0)</f>
        <v/>
      </c>
      <c r="V987">
        <f>IFERROR(1/IF(Inputs!$B$4="pvp",15,MAX(0.1,Skills!D12-IF(Skills!E12=TRUE,Inputs!$B$31,0))),0)</f>
        <v/>
      </c>
    </row>
    <row r="988">
      <c r="A988">
        <f>Skills!A13</f>
        <v/>
      </c>
      <c r="B988">
        <f>Skills!B13</f>
        <v/>
      </c>
      <c r="C988">
        <f>Inputs!$B$3&gt;=107</f>
        <v/>
      </c>
      <c r="D988">
        <f>IF(Skills!C13=1,60+Inputs!$B$24+Inputs!$B$28,IF(Skills!C13=2,90+Inputs!$B$25+Inputs!$B$28,IF(Skills!C13=3,120+Inputs!$B$26+Inputs!$B$28,MAX(0,(Inputs!$B$3-100)*3)+Inputs!$B$27+Inputs!$B$28)))</f>
        <v/>
      </c>
      <c r="E988">
        <f>INDEX(FactorTable!$B$2:$Y$301, MATCH(ROUND(MIN(300,MAX(1,D988)),0), FactorTable!$A$2:$A$301,0), Skills!L13+1)</f>
        <v/>
      </c>
      <c r="F988">
        <f>IF(Skills!M13=TRUE,(Skills!K13/10)*(E988/1000),Skills!K13/10)+Skills!N13</f>
        <v/>
      </c>
      <c r="G988">
        <f>Calc!G13</f>
        <v/>
      </c>
      <c r="H988">
        <f>Calc!H13</f>
        <v/>
      </c>
      <c r="I988">
        <f>IF(Skills!T13&lt;&gt;"",1+(Skills!T13/10)*($Z$3/1000)/100,1)</f>
        <v/>
      </c>
      <c r="J988" t="inlineStr"/>
      <c r="K988" t="inlineStr"/>
      <c r="L988" t="inlineStr"/>
      <c r="M988" t="inlineStr"/>
      <c r="N988" t="inlineStr"/>
      <c r="O988" t="n">
        <v>0</v>
      </c>
      <c r="P988">
        <f>IF(B1013=0,0,O988/B1013)</f>
        <v/>
      </c>
      <c r="S988">
        <f>IF(AND(Inputs!$B$4&lt;&gt;"pvp",Inputs!$B$35&gt;0),(INT(Inputs!$B$35/IF(Inputs!$B$4="pvp",15,MAX(0.1,Skills!D13-IF(Skills!E13=TRUE,Inputs!$B$31,0))))+1),0)</f>
        <v/>
      </c>
      <c r="V988">
        <f>IFERROR(1/IF(Inputs!$B$4="pvp",15,MAX(0.1,Skills!D13-IF(Skills!E13=TRUE,Inputs!$B$31,0))),0)</f>
        <v/>
      </c>
    </row>
    <row r="989">
      <c r="A989">
        <f>Skills!A14</f>
        <v/>
      </c>
      <c r="B989">
        <f>Skills!B14</f>
        <v/>
      </c>
      <c r="C989">
        <f>Inputs!$B$3&gt;=63</f>
        <v/>
      </c>
      <c r="D989">
        <f>IF(Skills!C14=1,60+Inputs!$B$24+Inputs!$B$28,IF(Skills!C14=2,90+Inputs!$B$25+Inputs!$B$28,IF(Skills!C14=3,120+Inputs!$B$26+Inputs!$B$28,MAX(0,(Inputs!$B$3-100)*3)+Inputs!$B$27+Inputs!$B$28)))</f>
        <v/>
      </c>
      <c r="E989">
        <f>INDEX(FactorTable!$B$2:$Y$301, MATCH(ROUND(MIN(300,MAX(1,D989)),0), FactorTable!$A$2:$A$301,0), Skills!L14+1)</f>
        <v/>
      </c>
      <c r="F989">
        <f>IF(Skills!M14=TRUE,(Skills!K14/10)*(E989/1000),Skills!K14/10)+Skills!N14</f>
        <v/>
      </c>
      <c r="G989">
        <f>Calc!G14</f>
        <v/>
      </c>
      <c r="H989">
        <f>Calc!H14</f>
        <v/>
      </c>
      <c r="I989">
        <f>IF(Skills!T14&lt;&gt;"",1+(Skills!T14/10)*($Z$3/1000)/100,1)</f>
        <v/>
      </c>
      <c r="J989">
        <f>((Inputs!$B$5*(1+Inputs!$B$6/100))+((Inputs!$B$11*(1+Inputs!$B$12/100))-(Inputs!$B$11*(1+Inputs!$B$12/100)))*(1+Inputs!$B$6/100))*(F989/100)</f>
        <v/>
      </c>
      <c r="K989">
        <f>J989*(1+((Inputs!$B$11*(1+Inputs!$B$12/100))*0.01+Inputs!$B$13*0.0025)/100)*(1+(Inputs!$B$14+B1006)/100)*(1+IF(Inputs!$B$4="pvp",0,(1-Summary!$B$48)*(Inputs!$B$19+Skills!O14+B1004)+Summary!$B$48*(Inputs!$B$20+Skills!P14+B1005))/100)*(1+Inputs!$B$15/100)*(5000/(6000+Inputs!$B$7*(1-Inputs!$B$18/100)))*(1+Inputs!$B$23/100)*(1+IF(C992=TRUE,F992,0)/100)*(1+IF(C994=TRUE,F994,0)/100)*(1+IF(Skills!A14="TRIUMPH_FEATHER",IF(C990=TRUE,F990,0),0)/100)*(1+IF(C1001=TRUE,F1001,0)/100)^5*(1+(IF(Skills!A14="BIG_BANG",Inputs!$B$16,Inputs!$B$17))/100)*(B1003*I989)</f>
        <v/>
      </c>
      <c r="L989">
        <f>K989*(MIN(Inputs!$B$21+(F996-Calc!F21),Inputs!$B$22)/100+Inputs!$B$22/100)/2</f>
        <v/>
      </c>
      <c r="M989">
        <f>L989*(1+(Inputs!$B$9+B1007+(F999-Calc!F24))/100)</f>
        <v/>
      </c>
      <c r="N989">
        <f>L989*(1-MIN(Inputs!$B$8+((F998-Calc!F23)+(F997-Calc!F22)),100)/100)+M989*(MIN(Inputs!$B$8+((F998-Calc!F23)+(F997-Calc!F22)),100)/100)</f>
        <v/>
      </c>
      <c r="O989">
        <f>IF(C989,Skills!F14*N989*((IF(Inputs!$B$3&gt;=78,25,15)/100*B1009*10)/(1+IF(Inputs!$B$3&gt;=78,25,15)/100*B1009*10))*(Skills!I14/100*B1009)/(1+Skills!G14*Skills!I14/100*B1009)*IF(Inputs!$B$4="pvp",1,(1-Summary!$B$48)*(1)+Summary!$B$48*(MIN(Skills!Q14,Inputs!$B$37))),0)</f>
        <v/>
      </c>
      <c r="P989">
        <f>IF(B1013=0,0,O989/B1013)</f>
        <v/>
      </c>
      <c r="S989" t="n">
        <v>0</v>
      </c>
      <c r="V989">
        <f>IFERROR(1/IF(Inputs!$B$4="pvp",15,MAX(0.1,Skills!D14-IF(Skills!E14=TRUE,Inputs!$B$31,0))),0)</f>
        <v/>
      </c>
    </row>
    <row r="990">
      <c r="A990">
        <f>Skills!A15</f>
        <v/>
      </c>
      <c r="B990">
        <f>Skills!B15</f>
        <v/>
      </c>
      <c r="C990">
        <f>Inputs!$B$3&gt;=100</f>
        <v/>
      </c>
      <c r="D990">
        <f>IF(Skills!C15=1,60+Inputs!$B$24+Inputs!$B$28,IF(Skills!C15=2,90+Inputs!$B$25+Inputs!$B$28,IF(Skills!C15=3,120+Inputs!$B$26+Inputs!$B$28,MAX(0,(Inputs!$B$3-100)*3)+Inputs!$B$27+Inputs!$B$28)))</f>
        <v/>
      </c>
      <c r="E990">
        <f>INDEX(FactorTable!$B$2:$Y$301, MATCH(ROUND(MIN(300,MAX(1,D990)),0), FactorTable!$A$2:$A$301,0), Skills!L15+1)</f>
        <v/>
      </c>
      <c r="F990">
        <f>IF(Skills!M15=TRUE,(Skills!K15/10)*(E990/1000),Skills!K15/10)+Skills!N15</f>
        <v/>
      </c>
      <c r="G990">
        <f>Calc!G15</f>
        <v/>
      </c>
      <c r="H990">
        <f>Calc!H15</f>
        <v/>
      </c>
      <c r="I990">
        <f>IF(Skills!T15&lt;&gt;"",1+(Skills!T15/10)*($Z$3/1000)/100,1)</f>
        <v/>
      </c>
      <c r="J990" t="inlineStr"/>
      <c r="K990" t="inlineStr"/>
      <c r="L990" t="inlineStr"/>
      <c r="M990" t="inlineStr"/>
      <c r="N990" t="inlineStr"/>
      <c r="O990" t="n">
        <v>0</v>
      </c>
      <c r="P990">
        <f>IF(B1013=0,0,O990/B1013)</f>
        <v/>
      </c>
      <c r="S990" t="n">
        <v>0</v>
      </c>
      <c r="V990">
        <f>IFERROR(1/IF(Inputs!$B$4="pvp",15,MAX(0.1,Skills!D15-IF(Skills!E15=TRUE,Inputs!$B$31,0))),0)</f>
        <v/>
      </c>
    </row>
    <row r="991">
      <c r="A991">
        <f>Skills!A16</f>
        <v/>
      </c>
      <c r="B991">
        <f>Skills!B16</f>
        <v/>
      </c>
      <c r="C991">
        <f>Inputs!$B$3&gt;=49</f>
        <v/>
      </c>
      <c r="D991">
        <f>IF(Skills!C16=1,60+Inputs!$B$24+Inputs!$B$28,IF(Skills!C16=2,90+Inputs!$B$25+Inputs!$B$28,IF(Skills!C16=3,120+Inputs!$B$26+Inputs!$B$28,MAX(0,(Inputs!$B$3-100)*3)+Inputs!$B$27+Inputs!$B$28)))</f>
        <v/>
      </c>
      <c r="E991">
        <f>INDEX(FactorTable!$B$2:$Y$301, MATCH(ROUND(MIN(300,MAX(1,D991)),0), FactorTable!$A$2:$A$301,0), Skills!L16+1)</f>
        <v/>
      </c>
      <c r="F991">
        <f>IF(Skills!M16=TRUE,(Skills!K16/10)*(E991/1000),Skills!K16/10)+Skills!N16</f>
        <v/>
      </c>
      <c r="G991">
        <f>Calc!G16</f>
        <v/>
      </c>
      <c r="H991">
        <f>Calc!H16</f>
        <v/>
      </c>
      <c r="I991">
        <f>IF(Skills!T16&lt;&gt;"",1+(Skills!T16/10)*($Z$3/1000)/100,1)</f>
        <v/>
      </c>
      <c r="J991" t="inlineStr"/>
      <c r="K991" t="inlineStr"/>
      <c r="L991" t="inlineStr"/>
      <c r="M991" t="inlineStr"/>
      <c r="N991" t="inlineStr"/>
      <c r="O991" t="n">
        <v>0</v>
      </c>
      <c r="P991">
        <f>IF(B1013=0,0,O991/B1013)</f>
        <v/>
      </c>
      <c r="S991" t="n">
        <v>0</v>
      </c>
      <c r="V991">
        <f>IFERROR(1/IF(Inputs!$B$4="pvp",15,MAX(0.1,Skills!D16-IF(Skills!E16=TRUE,Inputs!$B$31,0))),0)</f>
        <v/>
      </c>
    </row>
    <row r="992">
      <c r="A992">
        <f>Skills!A17</f>
        <v/>
      </c>
      <c r="B992">
        <f>Skills!B17</f>
        <v/>
      </c>
      <c r="C992">
        <f>Inputs!$B$3&gt;=75</f>
        <v/>
      </c>
      <c r="D992">
        <f>IF(Skills!C17=1,60+Inputs!$B$24+Inputs!$B$28,IF(Skills!C17=2,90+Inputs!$B$25+Inputs!$B$28,IF(Skills!C17=3,120+Inputs!$B$26+Inputs!$B$28,MAX(0,(Inputs!$B$3-100)*3)+Inputs!$B$27+Inputs!$B$28)))</f>
        <v/>
      </c>
      <c r="E992">
        <f>INDEX(FactorTable!$B$2:$Y$301, MATCH(ROUND(MIN(300,MAX(1,D992)),0), FactorTable!$A$2:$A$301,0), Skills!L17+1)</f>
        <v/>
      </c>
      <c r="F992">
        <f>IF(Skills!M17=TRUE,(Skills!K17/10)*(E992/1000),Skills!K17/10)+Skills!N17</f>
        <v/>
      </c>
      <c r="G992">
        <f>Calc!G17</f>
        <v/>
      </c>
      <c r="H992">
        <f>Calc!H17</f>
        <v/>
      </c>
      <c r="I992">
        <f>IF(Skills!T17&lt;&gt;"",1+(Skills!T17/10)*($Z$3/1000)/100,1)</f>
        <v/>
      </c>
      <c r="J992" t="inlineStr"/>
      <c r="K992" t="inlineStr"/>
      <c r="L992" t="inlineStr"/>
      <c r="M992" t="inlineStr"/>
      <c r="N992" t="inlineStr"/>
      <c r="O992" t="n">
        <v>0</v>
      </c>
      <c r="P992">
        <f>IF(B1013=0,0,O992/B1013)</f>
        <v/>
      </c>
      <c r="S992" t="n">
        <v>0</v>
      </c>
      <c r="V992">
        <f>IFERROR(1/IF(Inputs!$B$4="pvp",15,MAX(0.1,Skills!D17-IF(Skills!E17=TRUE,Inputs!$B$31,0))),0)</f>
        <v/>
      </c>
    </row>
    <row r="993">
      <c r="A993">
        <f>Skills!A18</f>
        <v/>
      </c>
      <c r="B993">
        <f>Skills!B18</f>
        <v/>
      </c>
      <c r="C993">
        <f>Inputs!$B$3&gt;=110</f>
        <v/>
      </c>
      <c r="D993">
        <f>IF(Skills!C18=1,60+Inputs!$B$24+Inputs!$B$28,IF(Skills!C18=2,90+Inputs!$B$25+Inputs!$B$28,IF(Skills!C18=3,120+Inputs!$B$26+Inputs!$B$28,MAX(0,(Inputs!$B$3-100)*3)+Inputs!$B$27+Inputs!$B$28)))</f>
        <v/>
      </c>
      <c r="E993">
        <f>INDEX(FactorTable!$B$2:$Y$301, MATCH(ROUND(MIN(300,MAX(1,D993)),0), FactorTable!$A$2:$A$301,0), Skills!L18+1)</f>
        <v/>
      </c>
      <c r="F993">
        <f>(Skills!K18/10)*(E993/1000)*64/45+Skills!N18</f>
        <v/>
      </c>
      <c r="G993">
        <f>Calc!G18</f>
        <v/>
      </c>
      <c r="H993">
        <f>Calc!H18</f>
        <v/>
      </c>
      <c r="I993">
        <f>IF(Skills!T18&lt;&gt;"",1+(Skills!T18/10)*($Z$3/1000)/100,1)</f>
        <v/>
      </c>
      <c r="J993" t="inlineStr"/>
      <c r="K993" t="inlineStr"/>
      <c r="L993" t="inlineStr"/>
      <c r="M993" t="inlineStr"/>
      <c r="N993" t="inlineStr"/>
      <c r="O993" t="n">
        <v>0</v>
      </c>
      <c r="P993">
        <f>IF(B1013=0,0,O993/B1013)</f>
        <v/>
      </c>
      <c r="S993">
        <f>IF(AND(Inputs!$B$4&lt;&gt;"pvp",Inputs!$B$35&gt;0),(INT(Inputs!$B$35/IF(Inputs!$B$4="pvp",15,MAX(0.1,Skills!D18-IF(Skills!E18=TRUE,Inputs!$B$31,0))))+1),0)</f>
        <v/>
      </c>
      <c r="V993">
        <f>IFERROR(1/IF(Inputs!$B$4="pvp",15,MAX(0.1,Skills!D18-IF(Skills!E18=TRUE,Inputs!$B$31,0))),0)</f>
        <v/>
      </c>
    </row>
    <row r="994">
      <c r="A994">
        <f>Skills!A19</f>
        <v/>
      </c>
      <c r="B994">
        <f>Skills!B19</f>
        <v/>
      </c>
      <c r="C994">
        <f>Inputs!$B$3&gt;=125</f>
        <v/>
      </c>
      <c r="D994">
        <f>IF(Skills!C19=1,60+Inputs!$B$24+Inputs!$B$28,IF(Skills!C19=2,90+Inputs!$B$25+Inputs!$B$28,IF(Skills!C19=3,120+Inputs!$B$26+Inputs!$B$28,MAX(0,(Inputs!$B$3-100)*3)+Inputs!$B$27+Inputs!$B$28)))</f>
        <v/>
      </c>
      <c r="E994">
        <f>INDEX(FactorTable!$B$2:$Y$301, MATCH(ROUND(MIN(300,MAX(1,D994)),0), FactorTable!$A$2:$A$301,0), Skills!L19+1)</f>
        <v/>
      </c>
      <c r="F994">
        <f>IF(Skills!M19=TRUE,(Skills!K19/10)*(E994/1000),Skills!K19/10)+Skills!N19</f>
        <v/>
      </c>
      <c r="G994">
        <f>Calc!G19</f>
        <v/>
      </c>
      <c r="H994">
        <f>Calc!H19</f>
        <v/>
      </c>
      <c r="I994">
        <f>IF(Skills!T19&lt;&gt;"",1+(Skills!T19/10)*($Z$3/1000)/100,1)</f>
        <v/>
      </c>
      <c r="J994" t="inlineStr"/>
      <c r="K994" t="inlineStr"/>
      <c r="L994" t="inlineStr"/>
      <c r="M994" t="inlineStr"/>
      <c r="N994" t="inlineStr"/>
      <c r="O994" t="n">
        <v>0</v>
      </c>
      <c r="P994">
        <f>IF(B1013=0,0,O994/B1013)</f>
        <v/>
      </c>
      <c r="S994" t="n">
        <v>0</v>
      </c>
      <c r="V994">
        <f>IFERROR(1/IF(Inputs!$B$4="pvp",15,MAX(0.1,Skills!D19-IF(Skills!E19=TRUE,Inputs!$B$31,0))),0)</f>
        <v/>
      </c>
    </row>
    <row r="995">
      <c r="A995">
        <f>Skills!A20</f>
        <v/>
      </c>
      <c r="B995">
        <f>Skills!B20</f>
        <v/>
      </c>
      <c r="C995">
        <f>Inputs!$B$3&gt;=33</f>
        <v/>
      </c>
      <c r="D995">
        <f>IF(Skills!C20=1,60+Inputs!$B$24+Inputs!$B$28,IF(Skills!C20=2,90+Inputs!$B$25+Inputs!$B$28,IF(Skills!C20=3,120+Inputs!$B$26+Inputs!$B$28,MAX(0,(Inputs!$B$3-100)*3)+Inputs!$B$27+Inputs!$B$28)))</f>
        <v/>
      </c>
      <c r="E995">
        <f>INDEX(FactorTable!$B$2:$Y$301, MATCH(ROUND(MIN(300,MAX(1,D995)),0), FactorTable!$A$2:$A$301,0), Skills!L20+1)</f>
        <v/>
      </c>
      <c r="F995">
        <f>IF(Skills!M20=TRUE,(Skills!K20/10)*(E995/1000),Skills!K20/10)+Skills!N20</f>
        <v/>
      </c>
      <c r="G995">
        <f>Calc!G20</f>
        <v/>
      </c>
      <c r="H995">
        <f>Calc!H20</f>
        <v/>
      </c>
      <c r="I995">
        <f>IF(Skills!T20&lt;&gt;"",1+(Skills!T20/10)*($Z$3/1000)/100,1)</f>
        <v/>
      </c>
      <c r="J995" t="inlineStr"/>
      <c r="K995" t="inlineStr"/>
      <c r="L995" t="inlineStr"/>
      <c r="M995" t="inlineStr"/>
      <c r="N995" t="inlineStr"/>
      <c r="O995" t="n">
        <v>0</v>
      </c>
      <c r="P995">
        <f>IF(B1013=0,0,O995/B1013)</f>
        <v/>
      </c>
      <c r="S995" t="n">
        <v>0</v>
      </c>
      <c r="V995">
        <f>IFERROR(1/IF(Inputs!$B$4="pvp",15,MAX(0.1,Skills!D20-IF(Skills!E20=TRUE,Inputs!$B$31,0))),0)</f>
        <v/>
      </c>
    </row>
    <row r="996">
      <c r="A996">
        <f>Skills!A21</f>
        <v/>
      </c>
      <c r="B996">
        <f>Skills!B21</f>
        <v/>
      </c>
      <c r="C996">
        <f>Inputs!$B$3&gt;=43</f>
        <v/>
      </c>
      <c r="D996">
        <f>IF(Skills!C21=1,60+Inputs!$B$24+Inputs!$B$28,IF(Skills!C21=2,90+Inputs!$B$25+Inputs!$B$28,IF(Skills!C21=3,120+Inputs!$B$26+Inputs!$B$28,MAX(0,(Inputs!$B$3-100)*3)+Inputs!$B$27+Inputs!$B$28)))</f>
        <v/>
      </c>
      <c r="E996">
        <f>INDEX(FactorTable!$B$2:$Y$301, MATCH(ROUND(MIN(300,MAX(1,D996)),0), FactorTable!$A$2:$A$301,0), Skills!L21+1)</f>
        <v/>
      </c>
      <c r="F996">
        <f>IF(Skills!M21=TRUE,(Skills!K21/10)*(E996/1000),Skills!K21/10)+Skills!N21</f>
        <v/>
      </c>
      <c r="G996">
        <f>Calc!G21</f>
        <v/>
      </c>
      <c r="H996">
        <f>Calc!H21</f>
        <v/>
      </c>
      <c r="I996">
        <f>IF(Skills!T21&lt;&gt;"",1+(Skills!T21/10)*($Z$3/1000)/100,1)</f>
        <v/>
      </c>
      <c r="J996" t="inlineStr"/>
      <c r="K996" t="inlineStr"/>
      <c r="L996" t="inlineStr"/>
      <c r="M996" t="inlineStr"/>
      <c r="N996" t="inlineStr"/>
      <c r="O996" t="n">
        <v>0</v>
      </c>
      <c r="P996">
        <f>IF(B1013=0,0,O996/B1013)</f>
        <v/>
      </c>
      <c r="S996" t="n">
        <v>0</v>
      </c>
      <c r="V996">
        <f>IFERROR(1/IF(Inputs!$B$4="pvp",15,MAX(0.1,Skills!D21-IF(Skills!E21=TRUE,Inputs!$B$31,0))),0)</f>
        <v/>
      </c>
    </row>
    <row r="997">
      <c r="A997">
        <f>Skills!A22</f>
        <v/>
      </c>
      <c r="B997">
        <f>Skills!B22</f>
        <v/>
      </c>
      <c r="C997">
        <f>Inputs!$B$3&gt;=50</f>
        <v/>
      </c>
      <c r="D997">
        <f>IF(Skills!C22=1,60+Inputs!$B$24+Inputs!$B$28,IF(Skills!C22=2,90+Inputs!$B$25+Inputs!$B$28,IF(Skills!C22=3,120+Inputs!$B$26+Inputs!$B$28,MAX(0,(Inputs!$B$3-100)*3)+Inputs!$B$27+Inputs!$B$28)))</f>
        <v/>
      </c>
      <c r="E997">
        <f>INDEX(FactorTable!$B$2:$Y$301, MATCH(ROUND(MIN(300,MAX(1,D997)),0), FactorTable!$A$2:$A$301,0), Skills!L22+1)</f>
        <v/>
      </c>
      <c r="F997">
        <f>IF(Skills!M22=TRUE,(Skills!K22/10)*(E997/1000),Skills!K22/10)+Skills!N22</f>
        <v/>
      </c>
      <c r="G997">
        <f>Calc!G22</f>
        <v/>
      </c>
      <c r="H997">
        <f>Calc!H22</f>
        <v/>
      </c>
      <c r="I997">
        <f>IF(Skills!T22&lt;&gt;"",1+(Skills!T22/10)*($Z$3/1000)/100,1)</f>
        <v/>
      </c>
      <c r="J997" t="inlineStr"/>
      <c r="K997" t="inlineStr"/>
      <c r="L997" t="inlineStr"/>
      <c r="M997" t="inlineStr"/>
      <c r="N997" t="inlineStr"/>
      <c r="O997" t="n">
        <v>0</v>
      </c>
      <c r="P997">
        <f>IF(B1013=0,0,O997/B1013)</f>
        <v/>
      </c>
      <c r="S997" t="n">
        <v>0</v>
      </c>
      <c r="V997">
        <f>IFERROR(1/IF(Inputs!$B$4="pvp",15,MAX(0.1,Skills!D22-IF(Skills!E22=TRUE,Inputs!$B$31,0))),0)</f>
        <v/>
      </c>
    </row>
    <row r="998">
      <c r="A998">
        <f>Skills!A23</f>
        <v/>
      </c>
      <c r="B998">
        <f>Skills!B23</f>
        <v/>
      </c>
      <c r="C998">
        <f>Inputs!$B$3&gt;=74</f>
        <v/>
      </c>
      <c r="D998">
        <f>IF(Skills!C23=1,60+Inputs!$B$24+Inputs!$B$28,IF(Skills!C23=2,90+Inputs!$B$25+Inputs!$B$28,IF(Skills!C23=3,120+Inputs!$B$26+Inputs!$B$28,MAX(0,(Inputs!$B$3-100)*3)+Inputs!$B$27+Inputs!$B$28)))</f>
        <v/>
      </c>
      <c r="E998">
        <f>INDEX(FactorTable!$B$2:$Y$301, MATCH(ROUND(MIN(300,MAX(1,D998)),0), FactorTable!$A$2:$A$301,0), Skills!L23+1)</f>
        <v/>
      </c>
      <c r="F998">
        <f>IF(Skills!M23=TRUE,(Skills!K23/10)*(E998/1000),Skills!K23/10)+Skills!N23</f>
        <v/>
      </c>
      <c r="G998">
        <f>Calc!G23</f>
        <v/>
      </c>
      <c r="H998">
        <f>Calc!H23</f>
        <v/>
      </c>
      <c r="I998">
        <f>IF(Skills!T23&lt;&gt;"",1+(Skills!T23/10)*($Z$3/1000)/100,1)</f>
        <v/>
      </c>
      <c r="J998" t="inlineStr"/>
      <c r="K998" t="inlineStr"/>
      <c r="L998" t="inlineStr"/>
      <c r="M998" t="inlineStr"/>
      <c r="N998" t="inlineStr"/>
      <c r="O998" t="n">
        <v>0</v>
      </c>
      <c r="P998">
        <f>IF(B1013=0,0,O998/B1013)</f>
        <v/>
      </c>
      <c r="S998" t="n">
        <v>0</v>
      </c>
      <c r="V998">
        <f>IFERROR(1/IF(Inputs!$B$4="pvp",15,MAX(0.1,Skills!D23-IF(Skills!E23=TRUE,Inputs!$B$31,0))),0)</f>
        <v/>
      </c>
    </row>
    <row r="999">
      <c r="A999">
        <f>Skills!A24</f>
        <v/>
      </c>
      <c r="B999">
        <f>Skills!B24</f>
        <v/>
      </c>
      <c r="C999">
        <f>Inputs!$B$3&gt;=74</f>
        <v/>
      </c>
      <c r="D999">
        <f>IF(Skills!C24=1,60+Inputs!$B$24+Inputs!$B$28,IF(Skills!C24=2,90+Inputs!$B$25+Inputs!$B$28,IF(Skills!C24=3,120+Inputs!$B$26+Inputs!$B$28,MAX(0,(Inputs!$B$3-100)*3)+Inputs!$B$27+Inputs!$B$28)))</f>
        <v/>
      </c>
      <c r="E999">
        <f>INDEX(FactorTable!$B$2:$Y$301, MATCH(ROUND(MIN(300,MAX(1,D999)),0), FactorTable!$A$2:$A$301,0), Skills!L24+1)</f>
        <v/>
      </c>
      <c r="F999">
        <f>IF(Skills!M24=TRUE,(Skills!K24/10)*(E999/1000),Skills!K24/10)+Skills!N24</f>
        <v/>
      </c>
      <c r="G999">
        <f>Calc!G24</f>
        <v/>
      </c>
      <c r="H999">
        <f>Calc!H24</f>
        <v/>
      </c>
      <c r="I999">
        <f>IF(Skills!T24&lt;&gt;"",1+(Skills!T24/10)*($Z$3/1000)/100,1)</f>
        <v/>
      </c>
      <c r="J999" t="inlineStr"/>
      <c r="K999" t="inlineStr"/>
      <c r="L999" t="inlineStr"/>
      <c r="M999" t="inlineStr"/>
      <c r="N999" t="inlineStr"/>
      <c r="O999" t="n">
        <v>0</v>
      </c>
      <c r="P999">
        <f>IF(B1013=0,0,O999/B1013)</f>
        <v/>
      </c>
      <c r="S999" t="n">
        <v>0</v>
      </c>
      <c r="V999">
        <f>IFERROR(1/IF(Inputs!$B$4="pvp",15,MAX(0.1,Skills!D24-IF(Skills!E24=TRUE,Inputs!$B$31,0))),0)</f>
        <v/>
      </c>
    </row>
    <row r="1000">
      <c r="A1000">
        <f>Skills!A25</f>
        <v/>
      </c>
      <c r="B1000">
        <f>Skills!B25</f>
        <v/>
      </c>
      <c r="C1000">
        <f>Inputs!$B$3&gt;=117</f>
        <v/>
      </c>
      <c r="D1000">
        <f>IF(Skills!C25=1,60+Inputs!$B$24+Inputs!$B$28,IF(Skills!C25=2,90+Inputs!$B$25+Inputs!$B$28,IF(Skills!C25=3,120+Inputs!$B$26+Inputs!$B$28,MAX(0,(Inputs!$B$3-100)*3)+Inputs!$B$27+Inputs!$B$28)))</f>
        <v/>
      </c>
      <c r="E1000">
        <f>INDEX(FactorTable!$B$2:$Y$301, MATCH(ROUND(MIN(300,MAX(1,D1000)),0), FactorTable!$A$2:$A$301,0), Skills!L25+1)</f>
        <v/>
      </c>
      <c r="F1000">
        <f>IF(Skills!M25=TRUE,(Skills!K25/10)*(E1000/1000),Skills!K25/10)+Skills!N25</f>
        <v/>
      </c>
      <c r="G1000">
        <f>Calc!G25</f>
        <v/>
      </c>
      <c r="H1000">
        <f>Calc!H25</f>
        <v/>
      </c>
      <c r="I1000">
        <f>IF(Skills!T25&lt;&gt;"",1+(Skills!T25/10)*($Z$3/1000)/100,1)</f>
        <v/>
      </c>
      <c r="J1000" t="inlineStr"/>
      <c r="K1000" t="inlineStr"/>
      <c r="L1000" t="inlineStr"/>
      <c r="M1000" t="inlineStr"/>
      <c r="N1000" t="inlineStr"/>
      <c r="O1000" t="n">
        <v>0</v>
      </c>
      <c r="P1000">
        <f>IF(B1013=0,0,O1000/B1013)</f>
        <v/>
      </c>
      <c r="S1000" t="n">
        <v>0</v>
      </c>
      <c r="V1000">
        <f>IFERROR(1/IF(Inputs!$B$4="pvp",15,MAX(0.1,Skills!D25-IF(Skills!E25=TRUE,Inputs!$B$31,0))),0)</f>
        <v/>
      </c>
    </row>
    <row r="1001">
      <c r="A1001">
        <f>Skills!A26</f>
        <v/>
      </c>
      <c r="B1001">
        <f>Skills!B26</f>
        <v/>
      </c>
      <c r="C1001">
        <f>Inputs!$B$3&gt;=120</f>
        <v/>
      </c>
      <c r="D1001">
        <f>IF(Skills!C26=1,60+Inputs!$B$24+Inputs!$B$28,IF(Skills!C26=2,90+Inputs!$B$25+Inputs!$B$28,IF(Skills!C26=3,120+Inputs!$B$26+Inputs!$B$28,MAX(0,(Inputs!$B$3-100)*3)+Inputs!$B$27+Inputs!$B$28)))</f>
        <v/>
      </c>
      <c r="E1001">
        <f>INDEX(FactorTable!$B$2:$Y$301, MATCH(ROUND(MIN(300,MAX(1,D1001)),0), FactorTable!$A$2:$A$301,0), Skills!L26+1)</f>
        <v/>
      </c>
      <c r="F1001">
        <f>IF(Skills!M26=TRUE,(Skills!K26/10)*(E1001/1000),Skills!K26/10)+Skills!N26</f>
        <v/>
      </c>
      <c r="G1001">
        <f>Calc!G26</f>
        <v/>
      </c>
      <c r="H1001">
        <f>Calc!H26</f>
        <v/>
      </c>
      <c r="I1001">
        <f>IF(Skills!T26&lt;&gt;"",1+(Skills!T26/10)*($Z$3/1000)/100,1)</f>
        <v/>
      </c>
      <c r="J1001" t="inlineStr"/>
      <c r="K1001" t="inlineStr"/>
      <c r="L1001" t="inlineStr"/>
      <c r="M1001" t="inlineStr"/>
      <c r="N1001" t="inlineStr"/>
      <c r="O1001" t="n">
        <v>0</v>
      </c>
      <c r="P1001">
        <f>IF(B1013=0,0,O1001/B1013)</f>
        <v/>
      </c>
      <c r="S1001" t="n">
        <v>0</v>
      </c>
      <c r="V1001">
        <f>IFERROR(1/IF(Inputs!$B$4="pvp",15,MAX(0.1,Skills!D26-IF(Skills!E26=TRUE,Inputs!$B$31,0))),0)</f>
        <v/>
      </c>
    </row>
    <row r="1003">
      <c r="A1003" t="inlineStr">
        <is>
          <t>Average Buff Multiplier</t>
        </is>
      </c>
      <c r="B1003">
        <f>(1+(IF(C978=TRUE,F978*IF(AND(Inputs!$B$4&lt;&gt;"pvp",Inputs!$B$35&gt;0),(((S978-1)*(Skills!S3*(1+(Inputs!$B$33+IF(Inputs!$B$3&gt;=117,F1000,0))/100))+MIN((Skills!S3*(1+(Inputs!$B$33+IF(Inputs!$B$3&gt;=117,F1000,0))/100)),MAX(0,Inputs!$B$35-((S978-1)*Skills!D3))))/Inputs!$B$35),IF(Inputs!$B$4="pvp",MIN((Skills!S3*(1+(Inputs!$B$33+IF(Inputs!$B$3&gt;=117,F1000,0))/100)),15)/15,(Skills!S3*(1+(Inputs!$B$33+IF(Inputs!$B$3&gt;=117,F1000,0))/100))/Skills!D3)),0)+IF(C979=TRUE,F979*IF(AND(Inputs!$B$4&lt;&gt;"pvp",Inputs!$B$35&gt;0),(((S979-1)*(Skills!S4*(1+(Inputs!$B$33+IF(Inputs!$B$3&gt;=117,F1000,0))/100))+MIN((Skills!S4*(1+(Inputs!$B$33+IF(Inputs!$B$3&gt;=117,F1000,0))/100)),MAX(0,Inputs!$B$35-((S979-1)*Skills!D4))))/Inputs!$B$35),IF(Inputs!$B$4="pvp",MIN((Skills!S4*(1+(Inputs!$B$33+IF(Inputs!$B$3&gt;=117,F1000,0))/100)),15)/15,(Skills!S4*(1+(Inputs!$B$33+IF(Inputs!$B$3&gt;=117,F1000,0))/100))/Skills!D4)),0)+IF(C980=TRUE,F980*IF(AND(Inputs!$B$4&lt;&gt;"pvp",Inputs!$B$35&gt;0),(((S980-1)*(Skills!S5*(1+(Inputs!$B$33+IF(Inputs!$B$3&gt;=117,F1000,0))/100))+MIN((Skills!S5*(1+(Inputs!$B$33+IF(Inputs!$B$3&gt;=117,F1000,0))/100)),MAX(0,Inputs!$B$35-((S980-1)*Skills!D5))))/Inputs!$B$35),IF(Inputs!$B$4="pvp",MIN((Skills!S5*(1+(Inputs!$B$33+IF(Inputs!$B$3&gt;=117,F1000,0))/100)),15)/15,(Skills!S5*(1+(Inputs!$B$33+IF(Inputs!$B$3&gt;=117,F1000,0))/100))/Skills!D5)),0)+IF(C986=TRUE,F986*IF(AND(Inputs!$B$4&lt;&gt;"pvp",Inputs!$B$35&gt;0),(((S986-1)*(Skills!S11*(1+(Inputs!$B$33+IF(Inputs!$B$3&gt;=117,F1000,0))/100))+MIN((Skills!S11*(1+(Inputs!$B$33+IF(Inputs!$B$3&gt;=117,F1000,0))/100)),MAX(0,Inputs!$B$35-((S986-1)*Skills!D11))))/Inputs!$B$35),IF(Inputs!$B$4="pvp",MIN((Skills!S11*(1+(Inputs!$B$33+IF(Inputs!$B$3&gt;=117,F1000,0))/100)),15)/15,(Skills!S11*(1+(Inputs!$B$33+IF(Inputs!$B$3&gt;=117,F1000,0))/100))/Skills!D11)),0))/100)*IF(C988=TRUE,(1+F988*IF(AND(Inputs!$B$4&lt;&gt;"pvp",Inputs!$B$35&gt;0),(((S988-1)*(Skills!S13*(1+(Inputs!$B$33+IF(Inputs!$B$3&gt;=117,F1000,0))/100))+MIN((Skills!S13*(1+(Inputs!$B$33+IF(Inputs!$B$3&gt;=117,F1000,0))/100)),MAX(0,Inputs!$B$35-((S988-1)*Skills!D13))))/Inputs!$B$35),IF(Inputs!$B$4="pvp",MIN((Skills!S13*(1+(Inputs!$B$33+IF(Inputs!$B$3&gt;=117,F1000,0))/100)),15)/15,(Skills!S13*(1+(Inputs!$B$33+IF(Inputs!$B$3&gt;=117,F1000,0))/100))/Skills!D13))/100),1)*IF(C993=TRUE,(1+F993*IF(AND(Inputs!$B$4&lt;&gt;"pvp",Inputs!$B$35&gt;0),(((S993-1)*(Skills!S18*(1+(Inputs!$B$33+IF(Inputs!$B$3&gt;=117,F1000,0))/100))+MIN((Skills!S18*(1+(Inputs!$B$33+IF(Inputs!$B$3&gt;=117,F1000,0))/100)),MAX(0,Inputs!$B$35-((S993-1)*Skills!D18))))/Inputs!$B$35),IF(Inputs!$B$4="pvp",MIN((Skills!S18*(1+(Inputs!$B$33+IF(Inputs!$B$3&gt;=117,F1000,0))/100)),15)/15,(Skills!S18*(1+(Inputs!$B$33+IF(Inputs!$B$3&gt;=117,F1000,0))/100))/Skills!D18))/100),1)</f>
        <v/>
      </c>
    </row>
    <row r="1004">
      <c r="A1004" t="inlineStr">
        <is>
          <t>Monster Damage Taken Bonus % (Holy Fountain)</t>
        </is>
      </c>
      <c r="B1004">
        <f>IF(Inputs!$B$3&gt;=68,20*IF(Inputs!$B$4="pvp",MIN((15*(1+(Inputs!$B$33+IF(Inputs!$B$3&gt;=117,F1000,0))/100)),15)/15,(15*(1+(Inputs!$B$33+IF(Inputs!$B$3&gt;=117,F1000,0))/100))/Skills!D10),0)</f>
        <v/>
      </c>
    </row>
    <row r="1005">
      <c r="A1005" t="inlineStr">
        <is>
          <t>Normal Monster Damage Bonus % (Holy Symbol)</t>
        </is>
      </c>
      <c r="B1005">
        <f>IF(C987=TRUE,F987*IF(AND(Inputs!$B$4&lt;&gt;"pvp",Inputs!$B$35&gt;0),(((S987-1)*(Skills!S12*(1+(Inputs!$B$33+IF(Inputs!$B$3&gt;=117,F1000,0))/100))+MIN((Skills!S12*(1+(Inputs!$B$33+IF(Inputs!$B$3&gt;=117,F1000,0))/100)),MAX(0,Inputs!$B$35-((S987-1)*Skills!D12))))/Inputs!$B$35),IF(Inputs!$B$4="pvp",MIN((Skills!S12*(1+(Inputs!$B$33+IF(Inputs!$B$3&gt;=117,F1000,0))/100)),15)/15,(Skills!S12*(1+(Inputs!$B$33+IF(Inputs!$B$3&gt;=117,F1000,0))/100))/Skills!D12)),0)</f>
        <v/>
      </c>
    </row>
    <row r="1006">
      <c r="A1006" t="inlineStr">
        <is>
          <t>Damage % Bonus (Holy Symbol - Damage Boost)</t>
        </is>
      </c>
      <c r="B1006">
        <f>Skills!O12</f>
        <v/>
      </c>
    </row>
    <row r="1007">
      <c r="A1007" t="inlineStr">
        <is>
          <t>Crit Damage % Bonus (Blood of the Divine)</t>
        </is>
      </c>
      <c r="B1007">
        <f>4*IF(C994=TRUE,F994,0)</f>
        <v/>
      </c>
    </row>
    <row r="1008">
      <c r="A1008" t="inlineStr">
        <is>
          <t>Attack Speed Bonus %</t>
        </is>
      </c>
      <c r="B1008">
        <f>IF(C991=TRUE,F991+(F995-Calc!F20),0)+IF(Inputs!$B$3&gt;=134,15,0)</f>
        <v/>
      </c>
    </row>
    <row r="1009">
      <c r="A1009" t="inlineStr">
        <is>
          <t>Actions Per Second</t>
        </is>
      </c>
      <c r="B1009">
        <f>1+MIN(150,150*(1-(1-Inputs!$B$10/150)*(1-B1008/150)))/100</f>
        <v/>
      </c>
    </row>
    <row r="1010">
      <c r="A1010" t="inlineStr">
        <is>
          <t>Skill + Buff Cast Rate</t>
        </is>
      </c>
      <c r="B1010">
        <f>IF(AND(Inputs!$B$4&lt;&gt;"pvp",Inputs!$B$35&gt;0),SUMPRODUCT((Skills!E2:E26=TRUE)*(C977:C1001=TRUE)*S977:S1001)/Inputs!$B$35,SUMPRODUCT((Skills!E2:E26=TRUE)*(C977:C1001=TRUE)*V977:V1001))</f>
        <v/>
      </c>
    </row>
    <row r="1011">
      <c r="A1011" t="inlineStr">
        <is>
          <t>Big Bang Casts Per Second</t>
        </is>
      </c>
      <c r="B1011">
        <f>MAX(0,B1009-B1010)</f>
        <v/>
      </c>
    </row>
    <row r="1013">
      <c r="A1013" s="5" t="inlineStr">
        <is>
          <t>TOTAL DPS</t>
        </is>
      </c>
      <c r="B1013" s="5">
        <f>SUM(O977:O1001)</f>
        <v/>
      </c>
    </row>
    <row r="1016">
      <c r="A1016" s="5" t="inlineStr">
        <is>
          <t>Stat: Buff Duration Increase %</t>
        </is>
      </c>
    </row>
    <row r="1017">
      <c r="A1017" s="8" t="inlineStr">
        <is>
          <t>Key</t>
        </is>
      </c>
      <c r="B1017" s="8" t="inlineStr">
        <is>
          <t>Name</t>
        </is>
      </c>
      <c r="C1017" s="8" t="inlineStr">
        <is>
          <t>Unlocked</t>
        </is>
      </c>
      <c r="D1017" s="8" t="inlineStr">
        <is>
          <t>InputLevel</t>
        </is>
      </c>
      <c r="E1017" s="8" t="inlineStr">
        <is>
          <t>Factor</t>
        </is>
      </c>
      <c r="F1017" s="8" t="inlineStr">
        <is>
          <t>CoefficientPercent</t>
        </is>
      </c>
      <c r="G1017" s="8" t="inlineStr">
        <is>
          <t>EffectiveHits</t>
        </is>
      </c>
      <c r="H1017" s="8" t="inlineStr">
        <is>
          <t>ProcProbability</t>
        </is>
      </c>
      <c r="I1017" s="8" t="inlineStr">
        <is>
          <t>MapleHeroMultiplier</t>
        </is>
      </c>
      <c r="J1017" s="8" t="inlineStr">
        <is>
          <t>BaseDamage</t>
        </is>
      </c>
      <c r="K1017" s="8" t="inlineStr">
        <is>
          <t>BaseHitDamage</t>
        </is>
      </c>
      <c r="L1017" s="8" t="inlineStr">
        <is>
          <t>NonCritAvg</t>
        </is>
      </c>
      <c r="M1017" s="8" t="inlineStr">
        <is>
          <t>CritAvg</t>
        </is>
      </c>
      <c r="N1017" s="8" t="inlineStr">
        <is>
          <t>ExpectedDamage(perHit)</t>
        </is>
      </c>
      <c r="O1017" s="8" t="inlineStr">
        <is>
          <t>DPS</t>
        </is>
      </c>
      <c r="P1017" s="8" t="inlineStr">
        <is>
          <t>% of Total</t>
        </is>
      </c>
      <c r="R1017" t="inlineStr">
        <is>
          <t>helpers</t>
        </is>
      </c>
    </row>
    <row r="1018">
      <c r="A1018">
        <f>Skills!A2</f>
        <v/>
      </c>
      <c r="B1018">
        <f>Skills!B2</f>
        <v/>
      </c>
      <c r="C1018">
        <f>Inputs!$B$3&gt;=100</f>
        <v/>
      </c>
      <c r="D1018" t="inlineStr"/>
      <c r="E1018" t="inlineStr"/>
      <c r="F1018">
        <f>T1020+Skills!N2</f>
        <v/>
      </c>
      <c r="G1018">
        <f>Calc!G2</f>
        <v/>
      </c>
      <c r="H1018">
        <f>Calc!H2</f>
        <v/>
      </c>
      <c r="I1018">
        <f>IF(Skills!T2&lt;&gt;"",1+(Skills!T2/10)*($Z$3/1000)/100,1)</f>
        <v/>
      </c>
      <c r="J1018">
        <f>((Inputs!$B$5*(1+Inputs!$B$6/100))+((Inputs!$B$11*(1+Inputs!$B$12/100))-(Inputs!$B$11*(1+Inputs!$B$12/100)))*(1+Inputs!$B$6/100))*(F1018/100)</f>
        <v/>
      </c>
      <c r="K1018">
        <f>J1018*(1+((Inputs!$B$11*(1+Inputs!$B$12/100))*0.01+Inputs!$B$13*0.0025)/100)*(1+(Inputs!$B$14+B1047)/100)*(1+IF(Inputs!$B$4="pvp",0,(1-Summary!$B$48)*(Inputs!$B$19+Skills!O2+B1045)+Summary!$B$48*(Inputs!$B$20+Skills!P2+B1046))/100)*(1+Inputs!$B$15/100)*(5000/(6000+Inputs!$B$7*(1-Inputs!$B$18/100)))*(1+Inputs!$B$23/100)*(1+IF(C1033=TRUE,F1033,0)/100)*(1+IF(C1035=TRUE,F1035,0)/100)*(1+IF(Skills!A2="TRIUMPH_FEATHER",IF(C1031=TRUE,F1031,0),0)/100)*(1+IF(C1042=TRUE,F1042,0)/100)^5*(1+(IF(Skills!A2="BIG_BANG",Inputs!$B$16,Inputs!$B$17))/100)*(B1044*I1018)</f>
        <v/>
      </c>
      <c r="L1018">
        <f>K1018*(MIN(Inputs!$B$21+(F1037-Calc!F21),Inputs!$B$22)/100+Inputs!$B$22/100)/2</f>
        <v/>
      </c>
      <c r="M1018">
        <f>L1018*(1+(Inputs!$B$9+B1048+(F1040-Calc!F24))/100)</f>
        <v/>
      </c>
      <c r="N1018">
        <f>L1018*(1-MIN(Inputs!$B$8+((F1039-Calc!F23)+(F1038-Calc!F22)),100)/100)+M1018*(MIN(Inputs!$B$8+((F1039-Calc!F23)+(F1038-Calc!F22)),100)/100)</f>
        <v/>
      </c>
      <c r="O1018">
        <f>IF(C1018,Skills!F2*N1018*B1052*IF(Inputs!$B$4="pvp",1,(1-Summary!$B$48)*(1)+Summary!$B$48*(MIN((6+Inputs!$B$32),Inputs!$B$37))),0)</f>
        <v/>
      </c>
      <c r="P1018">
        <f>IF(B1054=0,0,O1018/B1054)</f>
        <v/>
      </c>
      <c r="S1018" t="n">
        <v>0</v>
      </c>
      <c r="T1018">
        <f>MAX(0,(Inputs!$B$3-100)*3)+Inputs!$B$27+Inputs!$B$28</f>
        <v/>
      </c>
      <c r="V1018">
        <f>IFERROR(1/IF(Inputs!$B$4="pvp",15,MAX(0.1,Skills!D2-IF(Skills!E2=TRUE,Inputs!$B$31,0))),0)</f>
        <v/>
      </c>
    </row>
    <row r="1019">
      <c r="A1019">
        <f>Skills!A3</f>
        <v/>
      </c>
      <c r="B1019">
        <f>Skills!B3</f>
        <v/>
      </c>
      <c r="C1019">
        <f>Inputs!$B$3&gt;=15</f>
        <v/>
      </c>
      <c r="D1019">
        <f>IF(Skills!C3=1,60+Inputs!$B$24+Inputs!$B$28,IF(Skills!C3=2,90+Inputs!$B$25+Inputs!$B$28,IF(Skills!C3=3,120+Inputs!$B$26+Inputs!$B$28,MAX(0,(Inputs!$B$3-100)*3)+Inputs!$B$27+Inputs!$B$28)))</f>
        <v/>
      </c>
      <c r="E1019">
        <f>INDEX(FactorTable!$B$2:$Y$301, MATCH(ROUND(MIN(300,MAX(1,D1019)),0), FactorTable!$A$2:$A$301,0), Skills!L3+1)</f>
        <v/>
      </c>
      <c r="F1019">
        <f>IF(Skills!M3=TRUE,(Skills!K3/10)*(E1019/1000),Skills!K3/10)+Skills!N3</f>
        <v/>
      </c>
      <c r="G1019">
        <f>Calc!G3</f>
        <v/>
      </c>
      <c r="H1019">
        <f>Calc!H3</f>
        <v/>
      </c>
      <c r="I1019">
        <f>IF(Skills!T3&lt;&gt;"",1+(Skills!T3/10)*($Z$3/1000)/100,1)</f>
        <v/>
      </c>
      <c r="J1019" t="inlineStr"/>
      <c r="K1019" t="inlineStr"/>
      <c r="L1019" t="inlineStr"/>
      <c r="M1019" t="inlineStr"/>
      <c r="N1019" t="inlineStr"/>
      <c r="O1019" t="n">
        <v>0</v>
      </c>
      <c r="P1019">
        <f>IF(B1054=0,0,O1019/B1054)</f>
        <v/>
      </c>
      <c r="S1019">
        <f>IF(AND(Inputs!$B$4&lt;&gt;"pvp",Inputs!$B$35&gt;0),(INT(Inputs!$B$35/IF(Inputs!$B$4="pvp",15,MAX(0.1,Skills!D3-IF(Skills!E3=TRUE,Inputs!$B$31,0))))+1),0)</f>
        <v/>
      </c>
      <c r="T1019">
        <f>INDEX(FactorTable!$B$2:$Y$301, MATCH(ROUND(MIN(300,MAX(1,T1018)),0), FactorTable!$A$2:$A$301,0), 22)</f>
        <v/>
      </c>
      <c r="V1019">
        <f>IFERROR(1/IF(Inputs!$B$4="pvp",15,MAX(0.1,Skills!D3-IF(Skills!E3=TRUE,Inputs!$B$31,0))),0)</f>
        <v/>
      </c>
    </row>
    <row r="1020">
      <c r="A1020">
        <f>Skills!A4</f>
        <v/>
      </c>
      <c r="B1020">
        <f>Skills!B4</f>
        <v/>
      </c>
      <c r="C1020">
        <f>Inputs!$B$3&gt;=38</f>
        <v/>
      </c>
      <c r="D1020">
        <f>IF(Skills!C4=1,60+Inputs!$B$24+Inputs!$B$28,IF(Skills!C4=2,90+Inputs!$B$25+Inputs!$B$28,IF(Skills!C4=3,120+Inputs!$B$26+Inputs!$B$28,MAX(0,(Inputs!$B$3-100)*3)+Inputs!$B$27+Inputs!$B$28)))</f>
        <v/>
      </c>
      <c r="E1020">
        <f>INDEX(FactorTable!$B$2:$Y$301, MATCH(ROUND(MIN(300,MAX(1,D1020)),0), FactorTable!$A$2:$A$301,0), Skills!L4+1)</f>
        <v/>
      </c>
      <c r="F1020">
        <f>IF(Skills!M4=TRUE,(Skills!K4/10)*(E1020/1000),Skills!K4/10)+Skills!N4</f>
        <v/>
      </c>
      <c r="G1020">
        <f>Calc!G4</f>
        <v/>
      </c>
      <c r="H1020">
        <f>Calc!H4</f>
        <v/>
      </c>
      <c r="I1020">
        <f>IF(Skills!T4&lt;&gt;"",1+(Skills!T4/10)*($Z$3/1000)/100,1)</f>
        <v/>
      </c>
      <c r="J1020" t="inlineStr"/>
      <c r="K1020" t="inlineStr"/>
      <c r="L1020" t="inlineStr"/>
      <c r="M1020" t="inlineStr"/>
      <c r="N1020" t="inlineStr"/>
      <c r="O1020" t="n">
        <v>0</v>
      </c>
      <c r="P1020">
        <f>IF(B1054=0,0,O1020/B1054)</f>
        <v/>
      </c>
      <c r="S1020">
        <f>IF(AND(Inputs!$B$4&lt;&gt;"pvp",Inputs!$B$35&gt;0),(INT(Inputs!$B$35/IF(Inputs!$B$4="pvp",15,MAX(0.1,Skills!D4-IF(Skills!E4=TRUE,Inputs!$B$31,0))))+1),0)</f>
        <v/>
      </c>
      <c r="T1020">
        <f>290*T1019/1000</f>
        <v/>
      </c>
      <c r="V1020">
        <f>IFERROR(1/IF(Inputs!$B$4="pvp",15,MAX(0.1,Skills!D4-IF(Skills!E4=TRUE,Inputs!$B$31,0))),0)</f>
        <v/>
      </c>
    </row>
    <row r="1021">
      <c r="A1021">
        <f>Skills!A5</f>
        <v/>
      </c>
      <c r="B1021">
        <f>Skills!B5</f>
        <v/>
      </c>
      <c r="C1021">
        <f>Inputs!$B$3&gt;=40</f>
        <v/>
      </c>
      <c r="D1021">
        <f>IF(Skills!C5=1,60+Inputs!$B$24+Inputs!$B$28,IF(Skills!C5=2,90+Inputs!$B$25+Inputs!$B$28,IF(Skills!C5=3,120+Inputs!$B$26+Inputs!$B$28,MAX(0,(Inputs!$B$3-100)*3)+Inputs!$B$27+Inputs!$B$28)))</f>
        <v/>
      </c>
      <c r="E1021">
        <f>INDEX(FactorTable!$B$2:$Y$301, MATCH(ROUND(MIN(300,MAX(1,D1021)),0), FactorTable!$A$2:$A$301,0), Skills!L5+1)</f>
        <v/>
      </c>
      <c r="F1021">
        <f>IF(Skills!M5=TRUE,(Skills!K5/10)*(E1021/1000),Skills!K5/10)+Skills!N5</f>
        <v/>
      </c>
      <c r="G1021">
        <f>Calc!G5</f>
        <v/>
      </c>
      <c r="H1021">
        <f>Calc!H5</f>
        <v/>
      </c>
      <c r="I1021">
        <f>IF(Skills!T5&lt;&gt;"",1+(Skills!T5/10)*($Z$3/1000)/100,1)</f>
        <v/>
      </c>
      <c r="J1021" t="inlineStr"/>
      <c r="K1021" t="inlineStr"/>
      <c r="L1021" t="inlineStr"/>
      <c r="M1021" t="inlineStr"/>
      <c r="N1021" t="inlineStr"/>
      <c r="O1021" t="n">
        <v>0</v>
      </c>
      <c r="P1021">
        <f>IF(B1054=0,0,O1021/B1054)</f>
        <v/>
      </c>
      <c r="S1021">
        <f>IF(AND(Inputs!$B$4&lt;&gt;"pvp",Inputs!$B$35&gt;0),(INT(Inputs!$B$35/IF(Inputs!$B$4="pvp",15,MAX(0.1,Skills!D5-IF(Skills!E5=TRUE,Inputs!$B$31,0))))+1),0)</f>
        <v/>
      </c>
      <c r="V1021">
        <f>IFERROR(1/IF(Inputs!$B$4="pvp",15,MAX(0.1,Skills!D5-IF(Skills!E5=TRUE,Inputs!$B$31,0))),0)</f>
        <v/>
      </c>
    </row>
    <row r="1022">
      <c r="A1022">
        <f>Skills!A6</f>
        <v/>
      </c>
      <c r="B1022">
        <f>Skills!B6</f>
        <v/>
      </c>
      <c r="C1022">
        <f>Inputs!$B$3&gt;=103</f>
        <v/>
      </c>
      <c r="D1022">
        <f>IF(Skills!C6=1,60+Inputs!$B$24+Inputs!$B$28,IF(Skills!C6=2,90+Inputs!$B$25+Inputs!$B$28,IF(Skills!C6=3,120+Inputs!$B$26+Inputs!$B$28,MAX(0,(Inputs!$B$3-100)*3)+Inputs!$B$27+Inputs!$B$28)))</f>
        <v/>
      </c>
      <c r="E1022">
        <f>INDEX(FactorTable!$B$2:$Y$301, MATCH(ROUND(MIN(300,MAX(1,D1022)),0), FactorTable!$A$2:$A$301,0), Skills!L6+1)</f>
        <v/>
      </c>
      <c r="F1022">
        <f>IF(Skills!M6=TRUE,(Skills!K6/10)*(E1022/1000),Skills!K6/10)+Skills!N6</f>
        <v/>
      </c>
      <c r="G1022">
        <f>Calc!G6</f>
        <v/>
      </c>
      <c r="H1022">
        <f>Calc!H6</f>
        <v/>
      </c>
      <c r="I1022">
        <f>IF(Skills!T6&lt;&gt;"",1+(Skills!T6/10)*($Z$3/1000)/100,1)</f>
        <v/>
      </c>
      <c r="J1022">
        <f>((Inputs!$B$5*(1+Inputs!$B$6/100))+((Inputs!$B$11*(1+Inputs!$B$12/100))-(Inputs!$B$11*(1+Inputs!$B$12/100)))*(1+Inputs!$B$6/100))*(F1022/100)</f>
        <v/>
      </c>
      <c r="K1022">
        <f>J1022*(1+((Inputs!$B$11*(1+Inputs!$B$12/100))*0.01+Inputs!$B$13*0.0025)/100)*(1+(Inputs!$B$14+B1047)/100)*(1+IF(Inputs!$B$4="pvp",0,(1-Summary!$B$48)*(Inputs!$B$19+Skills!O6+B1045)+Summary!$B$48*(Inputs!$B$20+Skills!P6+B1046))/100)*(1+Inputs!$B$15/100)*(5000/(6000+Inputs!$B$7*(1-Inputs!$B$18/100)))*(1+Inputs!$B$23/100)*(1+IF(C1033=TRUE,F1033,0)/100)*(1+IF(C1035=TRUE,F1035,0)/100)*(1+IF(Skills!A6="TRIUMPH_FEATHER",IF(C1031=TRUE,F1031,0),0)/100)*(1+IF(C1042=TRUE,F1042,0)/100)^5*(1+(IF(Skills!A6="BIG_BANG",Inputs!$B$16,Inputs!$B$17))/100)*(B1044*I1022)</f>
        <v/>
      </c>
      <c r="L1022">
        <f>K1022*(MIN(Inputs!$B$21+(F1037-Calc!F21),Inputs!$B$22)/100+Inputs!$B$22/100)/2</f>
        <v/>
      </c>
      <c r="M1022">
        <f>L1022*(1+(Inputs!$B$9+B1048+(F1040-Calc!F24))/100)</f>
        <v/>
      </c>
      <c r="N1022">
        <f>L1022*(1-MIN(Inputs!$B$8+((F1039-Calc!F23)+(F1038-Calc!F22)),100)/100)+M1022*(MIN(Inputs!$B$8+((F1039-Calc!F23)+(F1038-Calc!F22)),100)/100)</f>
        <v/>
      </c>
      <c r="O1022">
        <f>IF(C1022,H1022*N1022*IF(AND(Inputs!$B$4&lt;&gt;"pvp",Inputs!$B$35&gt;0),((Skills!F6*((S1022-1)*IF(Skills!G6&gt;0,Skills!H6/Skills!G6,1)+IF(Skills!G6&gt;0,MIN(Skills!H6,MAX(0,Inputs!$B$35-((S1022-1)*IF(Inputs!$B$4="pvp",15,MAX(0.1,Skills!D6-IF(Skills!E6=TRUE,Inputs!$B$31,0))))))/Skills!G6,1)))/Inputs!$B$35),G1022*V1022)*IF(Inputs!$B$4="pvp",1,(1-Summary!$B$48)*(1)+Summary!$B$48*(MIN(Skills!Q6,Inputs!$B$37))),0)</f>
        <v/>
      </c>
      <c r="P1022">
        <f>IF(B1054=0,0,O1022/B1054)</f>
        <v/>
      </c>
      <c r="S1022">
        <f>IF(AND(Inputs!$B$4&lt;&gt;"pvp",Inputs!$B$35&gt;0),(INT(Inputs!$B$35/IF(Inputs!$B$4="pvp",15,MAX(0.1,Skills!D6-IF(Skills!E6=TRUE,Inputs!$B$31,0))))+1),0)</f>
        <v/>
      </c>
      <c r="V1022">
        <f>IFERROR(1/IF(Inputs!$B$4="pvp",15,MAX(0.1,Skills!D6-IF(Skills!E6=TRUE,Inputs!$B$31,0))),0)</f>
        <v/>
      </c>
    </row>
    <row r="1023">
      <c r="A1023">
        <f>Skills!A7</f>
        <v/>
      </c>
      <c r="B1023">
        <f>Skills!B7</f>
        <v/>
      </c>
      <c r="C1023">
        <f>Inputs!$B$3&gt;=122</f>
        <v/>
      </c>
      <c r="D1023">
        <f>IF(Skills!C7=1,60+Inputs!$B$24+Inputs!$B$28,IF(Skills!C7=2,90+Inputs!$B$25+Inputs!$B$28,IF(Skills!C7=3,120+Inputs!$B$26+Inputs!$B$28,MAX(0,(Inputs!$B$3-100)*3)+Inputs!$B$27+Inputs!$B$28)))</f>
        <v/>
      </c>
      <c r="E1023">
        <f>INDEX(FactorTable!$B$2:$Y$301, MATCH(ROUND(MIN(300,MAX(1,D1023)),0), FactorTable!$A$2:$A$301,0), Skills!L7+1)</f>
        <v/>
      </c>
      <c r="F1023">
        <f>IF(Skills!M7=TRUE,(Skills!K7/10)*(E1023/1000),Skills!K7/10)+Skills!N7</f>
        <v/>
      </c>
      <c r="G1023">
        <f>Calc!G7</f>
        <v/>
      </c>
      <c r="H1023">
        <f>Calc!H7</f>
        <v/>
      </c>
      <c r="I1023">
        <f>IF(Skills!T7&lt;&gt;"",1+(Skills!T7/10)*($Z$3/1000)/100,1)</f>
        <v/>
      </c>
      <c r="J1023">
        <f>((Inputs!$B$5*(1+Inputs!$B$6/100))+((Inputs!$B$11*(1+Inputs!$B$12/100))-(Inputs!$B$11*(1+Inputs!$B$12/100)))*(1+Inputs!$B$6/100))*(F1023/100)</f>
        <v/>
      </c>
      <c r="K1023">
        <f>J1023*(1+((Inputs!$B$11*(1+Inputs!$B$12/100))*0.01+Inputs!$B$13*0.0025)/100)*(1+(Inputs!$B$14+B1047)/100)*(1+IF(Inputs!$B$4="pvp",0,(1-Summary!$B$48)*(Inputs!$B$19+Skills!O7+B1045)+Summary!$B$48*(Inputs!$B$20+Skills!P7+B1046))/100)*(1+Inputs!$B$15/100)*(5000/(6000+Inputs!$B$7*(1-Inputs!$B$18/100)))*(1+Inputs!$B$23/100)*(1+IF(C1033=TRUE,F1033,0)/100)*(1+IF(C1035=TRUE,F1035,0)/100)*(1+IF(Skills!A7="TRIUMPH_FEATHER",IF(C1031=TRUE,F1031,0),0)/100)*(1+IF(C1042=TRUE,F1042,0)/100)^5*(1+(IF(Skills!A7="BIG_BANG",Inputs!$B$16,Inputs!$B$17))/100)*(B1044*I1023)</f>
        <v/>
      </c>
      <c r="L1023">
        <f>K1023*(MIN(Inputs!$B$21+(F1037-Calc!F21),Inputs!$B$22)/100+Inputs!$B$22/100)/2</f>
        <v/>
      </c>
      <c r="M1023">
        <f>L1023*(1+(Inputs!$B$9+B1048+(F1040-Calc!F24))/100)</f>
        <v/>
      </c>
      <c r="N1023">
        <f>L1023*(1-MIN(Inputs!$B$8+((F1039-Calc!F23)+(F1038-Calc!F22)),100)/100)+M1023*(MIN(Inputs!$B$8+((F1039-Calc!F23)+(F1038-Calc!F22)),100)/100)</f>
        <v/>
      </c>
      <c r="O1023">
        <f>IF(C1023,H1023*N1023*IF(AND(Inputs!$B$4&lt;&gt;"pvp",Inputs!$B$35&gt;0),((Skills!F7*((S1023-1)*IF(Skills!G7&gt;0,Skills!H7/Skills!G7,1)+IF(Skills!G7&gt;0,MIN(Skills!H7,MAX(0,Inputs!$B$35-((S1023-1)*IF(Inputs!$B$4="pvp",15,MAX(0.1,Skills!D7-IF(Skills!E6=TRUE,Inputs!$B$31,0))))))/Skills!G7,1)))/Inputs!$B$35),G1023*V1023)*(1-Summary!$B$48),0)</f>
        <v/>
      </c>
      <c r="P1023">
        <f>IF(B1054=0,0,O1023/B1054)</f>
        <v/>
      </c>
      <c r="S1023">
        <f>IF(AND(Inputs!$B$4&lt;&gt;"pvp",Inputs!$B$35&gt;0),(INT(Inputs!$B$35/IF(Inputs!$B$4="pvp",15,MAX(0.1,Skills!D7-IF(Skills!E6=TRUE,Inputs!$B$31,0))))+1),0)</f>
        <v/>
      </c>
      <c r="V1023">
        <f>IFERROR(1/IF(Inputs!$B$4="pvp",15,MAX(0.1,Skills!D7-IF(Skills!E6=TRUE,Inputs!$B$31,0))),0)</f>
        <v/>
      </c>
    </row>
    <row r="1024">
      <c r="A1024">
        <f>Skills!A8</f>
        <v/>
      </c>
      <c r="B1024">
        <f>Skills!B8</f>
        <v/>
      </c>
      <c r="C1024">
        <f>Inputs!$B$3&gt;=105</f>
        <v/>
      </c>
      <c r="D1024">
        <f>IF(Skills!C8=1,60+Inputs!$B$24+Inputs!$B$28,IF(Skills!C8=2,90+Inputs!$B$25+Inputs!$B$28,IF(Skills!C8=3,120+Inputs!$B$26+Inputs!$B$28,MAX(0,(Inputs!$B$3-100)*3)+Inputs!$B$27+Inputs!$B$28)))</f>
        <v/>
      </c>
      <c r="E1024">
        <f>INDEX(FactorTable!$B$2:$Y$301, MATCH(ROUND(MIN(300,MAX(1,D1024)),0), FactorTable!$A$2:$A$301,0), Skills!L8+1)</f>
        <v/>
      </c>
      <c r="F1024">
        <f>IF(Skills!M8=TRUE,(Skills!K8/10)*(E1024/1000),Skills!K8/10)+Skills!N8</f>
        <v/>
      </c>
      <c r="G1024">
        <f>Calc!G8</f>
        <v/>
      </c>
      <c r="H1024">
        <f>Calc!H8</f>
        <v/>
      </c>
      <c r="I1024">
        <f>IF(Skills!T8&lt;&gt;"",1+(Skills!T8/10)*($Z$3/1000)/100,1)</f>
        <v/>
      </c>
      <c r="J1024">
        <f>((Inputs!$B$5*(1+Inputs!$B$6/100))+((Inputs!$B$11*(1+Inputs!$B$12/100))-(Inputs!$B$11*(1+Inputs!$B$12/100)))*(1+Inputs!$B$6/100))*(F1024/100)</f>
        <v/>
      </c>
      <c r="K1024">
        <f>J1024*(1+((Inputs!$B$11*(1+Inputs!$B$12/100))*0.01+Inputs!$B$13*0.0025)/100)*(1+(Inputs!$B$14+B1047)/100)*(1+IF(Inputs!$B$4="pvp",0,(1-Summary!$B$48)*(Inputs!$B$19+Skills!O8+B1045)+Summary!$B$48*(Inputs!$B$20+Skills!P8+B1046))/100)*(1+Inputs!$B$15/100)*(5000/(6000+Inputs!$B$7*(1-Inputs!$B$18/100)))*(1+Inputs!$B$23/100)*(1+IF(C1033=TRUE,F1033,0)/100)*(1+IF(C1035=TRUE,F1035,0)/100)*(1+IF(Skills!A8="TRIUMPH_FEATHER",IF(C1031=TRUE,F1031,0),0)/100)*(1+IF(C1042=TRUE,F1042,0)/100)^5*(1+(IF(Skills!A8="BIG_BANG",Inputs!$B$16,Inputs!$B$17))/100)*(B1044*I1024)</f>
        <v/>
      </c>
      <c r="L1024">
        <f>K1024*(MIN(Inputs!$B$21+(F1037-Calc!F21),Inputs!$B$22)/100+Inputs!$B$22/100)/2</f>
        <v/>
      </c>
      <c r="M1024">
        <f>L1024*(1+(Inputs!$B$9+B1048+(F1040-Calc!F24))/100)</f>
        <v/>
      </c>
      <c r="N1024">
        <f>L1024*(1-MIN(Inputs!$B$8+((F1039-Calc!F23)+(F1038-Calc!F22)),100)/100)+M1024*(MIN(Inputs!$B$8+((F1039-Calc!F23)+(F1038-Calc!F22)),100)/100)</f>
        <v/>
      </c>
      <c r="O1024">
        <f>IF(C1024,H1024*N1024*IF(AND(Inputs!$B$4&lt;&gt;"pvp",Inputs!$B$35&gt;0),((Skills!F8*((S1024-1)*IF(Skills!G8&gt;0,Skills!H8/Skills!G8,1)+IF(Skills!G8&gt;0,MIN(Skills!H8,MAX(0,Inputs!$B$35-((S1024-1)*IF(Inputs!$B$4="pvp",15,MAX(0.1,Skills!D8-IF(Skills!E8=TRUE,Inputs!$B$31,0))))))/Skills!G8,1)))/Inputs!$B$35),G1024*V1024)*IF(Inputs!$B$4="pvp",1,(1-Summary!$B$48)*(1)+Summary!$B$48*(MIN(Skills!Q8,Inputs!$B$37))),0)</f>
        <v/>
      </c>
      <c r="P1024">
        <f>IF(B1054=0,0,O1024/B1054)</f>
        <v/>
      </c>
      <c r="S1024">
        <f>IF(AND(Inputs!$B$4&lt;&gt;"pvp",Inputs!$B$35&gt;0),(INT(Inputs!$B$35/IF(Inputs!$B$4="pvp",15,MAX(0.1,Skills!D8-IF(Skills!E8=TRUE,Inputs!$B$31,0))))+1),0)</f>
        <v/>
      </c>
      <c r="V1024">
        <f>IFERROR(1/IF(Inputs!$B$4="pvp",15,MAX(0.1,Skills!D8-IF(Skills!E8=TRUE,Inputs!$B$31,0))),0)</f>
        <v/>
      </c>
    </row>
    <row r="1025">
      <c r="A1025">
        <f>Skills!A9</f>
        <v/>
      </c>
      <c r="B1025">
        <f>Skills!B9</f>
        <v/>
      </c>
      <c r="C1025">
        <f>Inputs!$B$3&gt;=115</f>
        <v/>
      </c>
      <c r="D1025">
        <f>IF(Skills!C9=1,60+Inputs!$B$24+Inputs!$B$28,IF(Skills!C9=2,90+Inputs!$B$25+Inputs!$B$28,IF(Skills!C9=3,120+Inputs!$B$26+Inputs!$B$28,MAX(0,(Inputs!$B$3-100)*3)+Inputs!$B$27+Inputs!$B$28)))</f>
        <v/>
      </c>
      <c r="E1025">
        <f>INDEX(FactorTable!$B$2:$Y$301, MATCH(ROUND(MIN(300,MAX(1,D1025)),0), FactorTable!$A$2:$A$301,0), Skills!L9+1)</f>
        <v/>
      </c>
      <c r="F1025">
        <f>IF(Skills!M9=TRUE,(Skills!K9/10)*(E1025/1000),Skills!K9/10)+Skills!N9</f>
        <v/>
      </c>
      <c r="G1025">
        <f>Calc!G9</f>
        <v/>
      </c>
      <c r="H1025">
        <f>Calc!H9</f>
        <v/>
      </c>
      <c r="I1025">
        <f>IF(Skills!T9&lt;&gt;"",1+(Skills!T9/10)*($Z$3/1000)/100,1)</f>
        <v/>
      </c>
      <c r="J1025">
        <f>((Inputs!$B$5*(1+Inputs!$B$6/100))+((Inputs!$B$11*(1+Inputs!$B$12/100))-(Inputs!$B$11*(1+Inputs!$B$12/100)))*(1+Inputs!$B$6/100))*(F1025/100)</f>
        <v/>
      </c>
      <c r="K1025">
        <f>J1025*(1+((Inputs!$B$11*(1+Inputs!$B$12/100))*0.01+Inputs!$B$13*0.0025)/100)*(1+(Inputs!$B$14+B1047)/100)*(1+IF(Inputs!$B$4="pvp",0,(1-Summary!$B$48)*(Inputs!$B$19+Skills!O9+B1045)+Summary!$B$48*(Inputs!$B$20+Skills!P9+B1046))/100)*(1+Inputs!$B$15/100)*(5000/(6000+Inputs!$B$7*(1-Inputs!$B$18/100)))*(1+Inputs!$B$23/100)*(1+IF(C1033=TRUE,F1033,0)/100)*(1+IF(C1035=TRUE,F1035,0)/100)*(1+IF(Skills!A9="TRIUMPH_FEATHER",IF(C1031=TRUE,F1031,0),0)/100)*(1+IF(C1042=TRUE,F1042,0)/100)^5*(1+(IF(Skills!A9="BIG_BANG",Inputs!$B$16,Inputs!$B$17))/100)*(B1044*I1025)</f>
        <v/>
      </c>
      <c r="L1025">
        <f>K1025*(MIN(Inputs!$B$21+(F1037-Calc!F21),Inputs!$B$22)/100+Inputs!$B$22/100)/2</f>
        <v/>
      </c>
      <c r="M1025">
        <f>L1025*(1+(Inputs!$B$9+B1048+(F1040-Calc!F24))/100)</f>
        <v/>
      </c>
      <c r="N1025">
        <f>L1025*(1-MIN(Inputs!$B$8+((F1039-Calc!F23)+(F1038-Calc!F22)),100)/100)+M1025*(MIN(Inputs!$B$8+((F1039-Calc!F23)+(F1038-Calc!F22)),100)/100)</f>
        <v/>
      </c>
      <c r="O1025">
        <f>IF(C1025,H1025*N1025*IF(AND(Inputs!$B$4&lt;&gt;"pvp",Inputs!$B$35&gt;0),((Skills!F9*((S1025-1)*IF(Skills!G9&gt;0,Skills!H9/Skills!G9,1)+IF(Skills!G9&gt;0,MIN(Skills!H9,MAX(0,Inputs!$B$35-((S1025-1)*IF(Inputs!$B$4="pvp",15,MAX(0.1,Skills!D9-IF(Skills!E9=TRUE,Inputs!$B$31,0))))))/Skills!G9,1)))/Inputs!$B$35),G1025*V1025)*IF(Inputs!$B$4="pvp",1,(1-Summary!$B$48)*(1)+Summary!$B$48*(MIN(Skills!Q9,Inputs!$B$37))),0)</f>
        <v/>
      </c>
      <c r="P1025">
        <f>IF(B1054=0,0,O1025/B1054)</f>
        <v/>
      </c>
      <c r="S1025">
        <f>IF(AND(Inputs!$B$4&lt;&gt;"pvp",Inputs!$B$35&gt;0),(INT(Inputs!$B$35/IF(Inputs!$B$4="pvp",15,MAX(0.1,Skills!D9-IF(Skills!E9=TRUE,Inputs!$B$31,0))))+1),0)</f>
        <v/>
      </c>
      <c r="V1025">
        <f>IFERROR(1/IF(Inputs!$B$4="pvp",15,MAX(0.1,Skills!D9-IF(Skills!E9=TRUE,Inputs!$B$31,0))),0)</f>
        <v/>
      </c>
    </row>
    <row r="1026">
      <c r="A1026">
        <f>Skills!A10</f>
        <v/>
      </c>
      <c r="B1026">
        <f>Skills!B10</f>
        <v/>
      </c>
      <c r="C1026">
        <f>Inputs!$B$3&gt;=66</f>
        <v/>
      </c>
      <c r="D1026">
        <f>IF(Skills!C10=1,60+Inputs!$B$24+Inputs!$B$28,IF(Skills!C10=2,90+Inputs!$B$25+Inputs!$B$28,IF(Skills!C10=3,120+Inputs!$B$26+Inputs!$B$28,MAX(0,(Inputs!$B$3-100)*3)+Inputs!$B$27+Inputs!$B$28)))</f>
        <v/>
      </c>
      <c r="E1026">
        <f>INDEX(FactorTable!$B$2:$Y$301, MATCH(ROUND(MIN(300,MAX(1,D1026)),0), FactorTable!$A$2:$A$301,0), Skills!L10+1)</f>
        <v/>
      </c>
      <c r="F1026" t="n">
        <v>0</v>
      </c>
      <c r="G1026">
        <f>Calc!G10</f>
        <v/>
      </c>
      <c r="H1026">
        <f>Calc!H10</f>
        <v/>
      </c>
      <c r="I1026">
        <f>IF(Skills!T10&lt;&gt;"",1+(Skills!T10/10)*($Z$3/1000)/100,1)</f>
        <v/>
      </c>
      <c r="J1026" t="inlineStr"/>
      <c r="K1026" t="inlineStr"/>
      <c r="L1026" t="inlineStr"/>
      <c r="M1026" t="inlineStr"/>
      <c r="N1026" t="inlineStr"/>
      <c r="O1026" t="n">
        <v>0</v>
      </c>
      <c r="P1026">
        <f>IF(B1054=0,0,O1026/B1054)</f>
        <v/>
      </c>
      <c r="S1026">
        <f>IF(AND(Inputs!$B$4&lt;&gt;"pvp",Inputs!$B$35&gt;0),(INT(Inputs!$B$35/IF(Inputs!$B$4="pvp",15,MAX(0.1,Skills!D10-IF(Skills!E10=TRUE,Inputs!$B$31,0))))+1),0)</f>
        <v/>
      </c>
      <c r="V1026">
        <f>IFERROR(1/IF(Inputs!$B$4="pvp",15,MAX(0.1,Skills!D10-IF(Skills!E10=TRUE,Inputs!$B$31,0))),0)</f>
        <v/>
      </c>
    </row>
    <row r="1027">
      <c r="A1027">
        <f>Skills!A11</f>
        <v/>
      </c>
      <c r="B1027">
        <f>Skills!B11</f>
        <v/>
      </c>
      <c r="C1027">
        <f>Inputs!$B$3&gt;=69</f>
        <v/>
      </c>
      <c r="D1027">
        <f>IF(Skills!C11=1,60+Inputs!$B$24+Inputs!$B$28,IF(Skills!C11=2,90+Inputs!$B$25+Inputs!$B$28,IF(Skills!C11=3,120+Inputs!$B$26+Inputs!$B$28,MAX(0,(Inputs!$B$3-100)*3)+Inputs!$B$27+Inputs!$B$28)))</f>
        <v/>
      </c>
      <c r="E1027">
        <f>INDEX(FactorTable!$B$2:$Y$301, MATCH(ROUND(MIN(300,MAX(1,D1027)),0), FactorTable!$A$2:$A$301,0), Skills!L11+1)</f>
        <v/>
      </c>
      <c r="F1027">
        <f>IF(Skills!M11=TRUE,(Skills!K11/10)*(E1027/1000),Skills!K11/10)+Skills!N11</f>
        <v/>
      </c>
      <c r="G1027">
        <f>Calc!G11</f>
        <v/>
      </c>
      <c r="H1027">
        <f>Calc!H11</f>
        <v/>
      </c>
      <c r="I1027">
        <f>IF(Skills!T11&lt;&gt;"",1+(Skills!T11/10)*($Z$3/1000)/100,1)</f>
        <v/>
      </c>
      <c r="J1027" t="inlineStr"/>
      <c r="K1027" t="inlineStr"/>
      <c r="L1027" t="inlineStr"/>
      <c r="M1027" t="inlineStr"/>
      <c r="N1027" t="inlineStr"/>
      <c r="O1027" t="n">
        <v>0</v>
      </c>
      <c r="P1027">
        <f>IF(B1054=0,0,O1027/B1054)</f>
        <v/>
      </c>
      <c r="S1027">
        <f>IF(AND(Inputs!$B$4&lt;&gt;"pvp",Inputs!$B$35&gt;0),(INT(Inputs!$B$35/IF(Inputs!$B$4="pvp",15,MAX(0.1,Skills!D11-IF(Skills!E11=TRUE,Inputs!$B$31,0))))+1),0)</f>
        <v/>
      </c>
      <c r="V1027">
        <f>IFERROR(1/IF(Inputs!$B$4="pvp",15,MAX(0.1,Skills!D11-IF(Skills!E11=TRUE,Inputs!$B$31,0))),0)</f>
        <v/>
      </c>
    </row>
    <row r="1028">
      <c r="A1028">
        <f>Skills!A12</f>
        <v/>
      </c>
      <c r="B1028">
        <f>Skills!B12</f>
        <v/>
      </c>
      <c r="C1028">
        <f>Inputs!$B$3&gt;=72</f>
        <v/>
      </c>
      <c r="D1028">
        <f>IF(Skills!C12=1,60+Inputs!$B$24+Inputs!$B$28,IF(Skills!C12=2,90+Inputs!$B$25+Inputs!$B$28,IF(Skills!C12=3,120+Inputs!$B$26+Inputs!$B$28,MAX(0,(Inputs!$B$3-100)*3)+Inputs!$B$27+Inputs!$B$28)))</f>
        <v/>
      </c>
      <c r="E1028">
        <f>INDEX(FactorTable!$B$2:$Y$301, MATCH(ROUND(MIN(300,MAX(1,D1028)),0), FactorTable!$A$2:$A$301,0), Skills!L12+1)</f>
        <v/>
      </c>
      <c r="F1028">
        <f>IF(Skills!M12=TRUE,(Skills!K12/10)*(E1028/1000),Skills!K12/10)+Skills!N12</f>
        <v/>
      </c>
      <c r="G1028">
        <f>Calc!G12</f>
        <v/>
      </c>
      <c r="H1028">
        <f>Calc!H12</f>
        <v/>
      </c>
      <c r="I1028">
        <f>IF(Skills!T12&lt;&gt;"",1+(Skills!T12/10)*($Z$3/1000)/100,1)</f>
        <v/>
      </c>
      <c r="J1028" t="inlineStr"/>
      <c r="K1028" t="inlineStr"/>
      <c r="L1028" t="inlineStr"/>
      <c r="M1028" t="inlineStr"/>
      <c r="N1028" t="inlineStr"/>
      <c r="O1028" t="n">
        <v>0</v>
      </c>
      <c r="P1028">
        <f>IF(B1054=0,0,O1028/B1054)</f>
        <v/>
      </c>
      <c r="S1028">
        <f>IF(AND(Inputs!$B$4&lt;&gt;"pvp",Inputs!$B$35&gt;0),(INT(Inputs!$B$35/IF(Inputs!$B$4="pvp",15,MAX(0.1,Skills!D12-IF(Skills!E12=TRUE,Inputs!$B$31,0))))+1),0)</f>
        <v/>
      </c>
      <c r="V1028">
        <f>IFERROR(1/IF(Inputs!$B$4="pvp",15,MAX(0.1,Skills!D12-IF(Skills!E12=TRUE,Inputs!$B$31,0))),0)</f>
        <v/>
      </c>
    </row>
    <row r="1029">
      <c r="A1029">
        <f>Skills!A13</f>
        <v/>
      </c>
      <c r="B1029">
        <f>Skills!B13</f>
        <v/>
      </c>
      <c r="C1029">
        <f>Inputs!$B$3&gt;=107</f>
        <v/>
      </c>
      <c r="D1029">
        <f>IF(Skills!C13=1,60+Inputs!$B$24+Inputs!$B$28,IF(Skills!C13=2,90+Inputs!$B$25+Inputs!$B$28,IF(Skills!C13=3,120+Inputs!$B$26+Inputs!$B$28,MAX(0,(Inputs!$B$3-100)*3)+Inputs!$B$27+Inputs!$B$28)))</f>
        <v/>
      </c>
      <c r="E1029">
        <f>INDEX(FactorTable!$B$2:$Y$301, MATCH(ROUND(MIN(300,MAX(1,D1029)),0), FactorTable!$A$2:$A$301,0), Skills!L13+1)</f>
        <v/>
      </c>
      <c r="F1029">
        <f>IF(Skills!M13=TRUE,(Skills!K13/10)*(E1029/1000),Skills!K13/10)+Skills!N13</f>
        <v/>
      </c>
      <c r="G1029">
        <f>Calc!G13</f>
        <v/>
      </c>
      <c r="H1029">
        <f>Calc!H13</f>
        <v/>
      </c>
      <c r="I1029">
        <f>IF(Skills!T13&lt;&gt;"",1+(Skills!T13/10)*($Z$3/1000)/100,1)</f>
        <v/>
      </c>
      <c r="J1029" t="inlineStr"/>
      <c r="K1029" t="inlineStr"/>
      <c r="L1029" t="inlineStr"/>
      <c r="M1029" t="inlineStr"/>
      <c r="N1029" t="inlineStr"/>
      <c r="O1029" t="n">
        <v>0</v>
      </c>
      <c r="P1029">
        <f>IF(B1054=0,0,O1029/B1054)</f>
        <v/>
      </c>
      <c r="S1029">
        <f>IF(AND(Inputs!$B$4&lt;&gt;"pvp",Inputs!$B$35&gt;0),(INT(Inputs!$B$35/IF(Inputs!$B$4="pvp",15,MAX(0.1,Skills!D13-IF(Skills!E13=TRUE,Inputs!$B$31,0))))+1),0)</f>
        <v/>
      </c>
      <c r="V1029">
        <f>IFERROR(1/IF(Inputs!$B$4="pvp",15,MAX(0.1,Skills!D13-IF(Skills!E13=TRUE,Inputs!$B$31,0))),0)</f>
        <v/>
      </c>
    </row>
    <row r="1030">
      <c r="A1030">
        <f>Skills!A14</f>
        <v/>
      </c>
      <c r="B1030">
        <f>Skills!B14</f>
        <v/>
      </c>
      <c r="C1030">
        <f>Inputs!$B$3&gt;=63</f>
        <v/>
      </c>
      <c r="D1030">
        <f>IF(Skills!C14=1,60+Inputs!$B$24+Inputs!$B$28,IF(Skills!C14=2,90+Inputs!$B$25+Inputs!$B$28,IF(Skills!C14=3,120+Inputs!$B$26+Inputs!$B$28,MAX(0,(Inputs!$B$3-100)*3)+Inputs!$B$27+Inputs!$B$28)))</f>
        <v/>
      </c>
      <c r="E1030">
        <f>INDEX(FactorTable!$B$2:$Y$301, MATCH(ROUND(MIN(300,MAX(1,D1030)),0), FactorTable!$A$2:$A$301,0), Skills!L14+1)</f>
        <v/>
      </c>
      <c r="F1030">
        <f>IF(Skills!M14=TRUE,(Skills!K14/10)*(E1030/1000),Skills!K14/10)+Skills!N14</f>
        <v/>
      </c>
      <c r="G1030">
        <f>Calc!G14</f>
        <v/>
      </c>
      <c r="H1030">
        <f>Calc!H14</f>
        <v/>
      </c>
      <c r="I1030">
        <f>IF(Skills!T14&lt;&gt;"",1+(Skills!T14/10)*($Z$3/1000)/100,1)</f>
        <v/>
      </c>
      <c r="J1030">
        <f>((Inputs!$B$5*(1+Inputs!$B$6/100))+((Inputs!$B$11*(1+Inputs!$B$12/100))-(Inputs!$B$11*(1+Inputs!$B$12/100)))*(1+Inputs!$B$6/100))*(F1030/100)</f>
        <v/>
      </c>
      <c r="K1030">
        <f>J1030*(1+((Inputs!$B$11*(1+Inputs!$B$12/100))*0.01+Inputs!$B$13*0.0025)/100)*(1+(Inputs!$B$14+B1047)/100)*(1+IF(Inputs!$B$4="pvp",0,(1-Summary!$B$48)*(Inputs!$B$19+Skills!O14+B1045)+Summary!$B$48*(Inputs!$B$20+Skills!P14+B1046))/100)*(1+Inputs!$B$15/100)*(5000/(6000+Inputs!$B$7*(1-Inputs!$B$18/100)))*(1+Inputs!$B$23/100)*(1+IF(C1033=TRUE,F1033,0)/100)*(1+IF(C1035=TRUE,F1035,0)/100)*(1+IF(Skills!A14="TRIUMPH_FEATHER",IF(C1031=TRUE,F1031,0),0)/100)*(1+IF(C1042=TRUE,F1042,0)/100)^5*(1+(IF(Skills!A14="BIG_BANG",Inputs!$B$16,Inputs!$B$17))/100)*(B1044*I1030)</f>
        <v/>
      </c>
      <c r="L1030">
        <f>K1030*(MIN(Inputs!$B$21+(F1037-Calc!F21),Inputs!$B$22)/100+Inputs!$B$22/100)/2</f>
        <v/>
      </c>
      <c r="M1030">
        <f>L1030*(1+(Inputs!$B$9+B1048+(F1040-Calc!F24))/100)</f>
        <v/>
      </c>
      <c r="N1030">
        <f>L1030*(1-MIN(Inputs!$B$8+((F1039-Calc!F23)+(F1038-Calc!F22)),100)/100)+M1030*(MIN(Inputs!$B$8+((F1039-Calc!F23)+(F1038-Calc!F22)),100)/100)</f>
        <v/>
      </c>
      <c r="O1030">
        <f>IF(C1030,Skills!F14*N1030*((IF(Inputs!$B$3&gt;=78,25,15)/100*B1050*10)/(1+IF(Inputs!$B$3&gt;=78,25,15)/100*B1050*10))*(Skills!I14/100*B1050)/(1+Skills!G14*Skills!I14/100*B1050)*IF(Inputs!$B$4="pvp",1,(1-Summary!$B$48)*(1)+Summary!$B$48*(MIN(Skills!Q14,Inputs!$B$37))),0)</f>
        <v/>
      </c>
      <c r="P1030">
        <f>IF(B1054=0,0,O1030/B1054)</f>
        <v/>
      </c>
      <c r="S1030" t="n">
        <v>0</v>
      </c>
      <c r="V1030">
        <f>IFERROR(1/IF(Inputs!$B$4="pvp",15,MAX(0.1,Skills!D14-IF(Skills!E14=TRUE,Inputs!$B$31,0))),0)</f>
        <v/>
      </c>
    </row>
    <row r="1031">
      <c r="A1031">
        <f>Skills!A15</f>
        <v/>
      </c>
      <c r="B1031">
        <f>Skills!B15</f>
        <v/>
      </c>
      <c r="C1031">
        <f>Inputs!$B$3&gt;=100</f>
        <v/>
      </c>
      <c r="D1031">
        <f>IF(Skills!C15=1,60+Inputs!$B$24+Inputs!$B$28,IF(Skills!C15=2,90+Inputs!$B$25+Inputs!$B$28,IF(Skills!C15=3,120+Inputs!$B$26+Inputs!$B$28,MAX(0,(Inputs!$B$3-100)*3)+Inputs!$B$27+Inputs!$B$28)))</f>
        <v/>
      </c>
      <c r="E1031">
        <f>INDEX(FactorTable!$B$2:$Y$301, MATCH(ROUND(MIN(300,MAX(1,D1031)),0), FactorTable!$A$2:$A$301,0), Skills!L15+1)</f>
        <v/>
      </c>
      <c r="F1031">
        <f>IF(Skills!M15=TRUE,(Skills!K15/10)*(E1031/1000),Skills!K15/10)+Skills!N15</f>
        <v/>
      </c>
      <c r="G1031">
        <f>Calc!G15</f>
        <v/>
      </c>
      <c r="H1031">
        <f>Calc!H15</f>
        <v/>
      </c>
      <c r="I1031">
        <f>IF(Skills!T15&lt;&gt;"",1+(Skills!T15/10)*($Z$3/1000)/100,1)</f>
        <v/>
      </c>
      <c r="J1031" t="inlineStr"/>
      <c r="K1031" t="inlineStr"/>
      <c r="L1031" t="inlineStr"/>
      <c r="M1031" t="inlineStr"/>
      <c r="N1031" t="inlineStr"/>
      <c r="O1031" t="n">
        <v>0</v>
      </c>
      <c r="P1031">
        <f>IF(B1054=0,0,O1031/B1054)</f>
        <v/>
      </c>
      <c r="S1031" t="n">
        <v>0</v>
      </c>
      <c r="V1031">
        <f>IFERROR(1/IF(Inputs!$B$4="pvp",15,MAX(0.1,Skills!D15-IF(Skills!E15=TRUE,Inputs!$B$31,0))),0)</f>
        <v/>
      </c>
    </row>
    <row r="1032">
      <c r="A1032">
        <f>Skills!A16</f>
        <v/>
      </c>
      <c r="B1032">
        <f>Skills!B16</f>
        <v/>
      </c>
      <c r="C1032">
        <f>Inputs!$B$3&gt;=49</f>
        <v/>
      </c>
      <c r="D1032">
        <f>IF(Skills!C16=1,60+Inputs!$B$24+Inputs!$B$28,IF(Skills!C16=2,90+Inputs!$B$25+Inputs!$B$28,IF(Skills!C16=3,120+Inputs!$B$26+Inputs!$B$28,MAX(0,(Inputs!$B$3-100)*3)+Inputs!$B$27+Inputs!$B$28)))</f>
        <v/>
      </c>
      <c r="E1032">
        <f>INDEX(FactorTable!$B$2:$Y$301, MATCH(ROUND(MIN(300,MAX(1,D1032)),0), FactorTable!$A$2:$A$301,0), Skills!L16+1)</f>
        <v/>
      </c>
      <c r="F1032">
        <f>IF(Skills!M16=TRUE,(Skills!K16/10)*(E1032/1000),Skills!K16/10)+Skills!N16</f>
        <v/>
      </c>
      <c r="G1032">
        <f>Calc!G16</f>
        <v/>
      </c>
      <c r="H1032">
        <f>Calc!H16</f>
        <v/>
      </c>
      <c r="I1032">
        <f>IF(Skills!T16&lt;&gt;"",1+(Skills!T16/10)*($Z$3/1000)/100,1)</f>
        <v/>
      </c>
      <c r="J1032" t="inlineStr"/>
      <c r="K1032" t="inlineStr"/>
      <c r="L1032" t="inlineStr"/>
      <c r="M1032" t="inlineStr"/>
      <c r="N1032" t="inlineStr"/>
      <c r="O1032" t="n">
        <v>0</v>
      </c>
      <c r="P1032">
        <f>IF(B1054=0,0,O1032/B1054)</f>
        <v/>
      </c>
      <c r="S1032" t="n">
        <v>0</v>
      </c>
      <c r="V1032">
        <f>IFERROR(1/IF(Inputs!$B$4="pvp",15,MAX(0.1,Skills!D16-IF(Skills!E16=TRUE,Inputs!$B$31,0))),0)</f>
        <v/>
      </c>
    </row>
    <row r="1033">
      <c r="A1033">
        <f>Skills!A17</f>
        <v/>
      </c>
      <c r="B1033">
        <f>Skills!B17</f>
        <v/>
      </c>
      <c r="C1033">
        <f>Inputs!$B$3&gt;=75</f>
        <v/>
      </c>
      <c r="D1033">
        <f>IF(Skills!C17=1,60+Inputs!$B$24+Inputs!$B$28,IF(Skills!C17=2,90+Inputs!$B$25+Inputs!$B$28,IF(Skills!C17=3,120+Inputs!$B$26+Inputs!$B$28,MAX(0,(Inputs!$B$3-100)*3)+Inputs!$B$27+Inputs!$B$28)))</f>
        <v/>
      </c>
      <c r="E1033">
        <f>INDEX(FactorTable!$B$2:$Y$301, MATCH(ROUND(MIN(300,MAX(1,D1033)),0), FactorTable!$A$2:$A$301,0), Skills!L17+1)</f>
        <v/>
      </c>
      <c r="F1033">
        <f>IF(Skills!M17=TRUE,(Skills!K17/10)*(E1033/1000),Skills!K17/10)+Skills!N17</f>
        <v/>
      </c>
      <c r="G1033">
        <f>Calc!G17</f>
        <v/>
      </c>
      <c r="H1033">
        <f>Calc!H17</f>
        <v/>
      </c>
      <c r="I1033">
        <f>IF(Skills!T17&lt;&gt;"",1+(Skills!T17/10)*($Z$3/1000)/100,1)</f>
        <v/>
      </c>
      <c r="J1033" t="inlineStr"/>
      <c r="K1033" t="inlineStr"/>
      <c r="L1033" t="inlineStr"/>
      <c r="M1033" t="inlineStr"/>
      <c r="N1033" t="inlineStr"/>
      <c r="O1033" t="n">
        <v>0</v>
      </c>
      <c r="P1033">
        <f>IF(B1054=0,0,O1033/B1054)</f>
        <v/>
      </c>
      <c r="S1033" t="n">
        <v>0</v>
      </c>
      <c r="V1033">
        <f>IFERROR(1/IF(Inputs!$B$4="pvp",15,MAX(0.1,Skills!D17-IF(Skills!E17=TRUE,Inputs!$B$31,0))),0)</f>
        <v/>
      </c>
    </row>
    <row r="1034">
      <c r="A1034">
        <f>Skills!A18</f>
        <v/>
      </c>
      <c r="B1034">
        <f>Skills!B18</f>
        <v/>
      </c>
      <c r="C1034">
        <f>Inputs!$B$3&gt;=110</f>
        <v/>
      </c>
      <c r="D1034">
        <f>IF(Skills!C18=1,60+Inputs!$B$24+Inputs!$B$28,IF(Skills!C18=2,90+Inputs!$B$25+Inputs!$B$28,IF(Skills!C18=3,120+Inputs!$B$26+Inputs!$B$28,MAX(0,(Inputs!$B$3-100)*3)+Inputs!$B$27+Inputs!$B$28)))</f>
        <v/>
      </c>
      <c r="E1034">
        <f>INDEX(FactorTable!$B$2:$Y$301, MATCH(ROUND(MIN(300,MAX(1,D1034)),0), FactorTable!$A$2:$A$301,0), Skills!L18+1)</f>
        <v/>
      </c>
      <c r="F1034">
        <f>(Skills!K18/10)*(E1034/1000)*64/45+Skills!N18</f>
        <v/>
      </c>
      <c r="G1034">
        <f>Calc!G18</f>
        <v/>
      </c>
      <c r="H1034">
        <f>Calc!H18</f>
        <v/>
      </c>
      <c r="I1034">
        <f>IF(Skills!T18&lt;&gt;"",1+(Skills!T18/10)*($Z$3/1000)/100,1)</f>
        <v/>
      </c>
      <c r="J1034" t="inlineStr"/>
      <c r="K1034" t="inlineStr"/>
      <c r="L1034" t="inlineStr"/>
      <c r="M1034" t="inlineStr"/>
      <c r="N1034" t="inlineStr"/>
      <c r="O1034" t="n">
        <v>0</v>
      </c>
      <c r="P1034">
        <f>IF(B1054=0,0,O1034/B1054)</f>
        <v/>
      </c>
      <c r="S1034">
        <f>IF(AND(Inputs!$B$4&lt;&gt;"pvp",Inputs!$B$35&gt;0),(INT(Inputs!$B$35/IF(Inputs!$B$4="pvp",15,MAX(0.1,Skills!D18-IF(Skills!E18=TRUE,Inputs!$B$31,0))))+1),0)</f>
        <v/>
      </c>
      <c r="V1034">
        <f>IFERROR(1/IF(Inputs!$B$4="pvp",15,MAX(0.1,Skills!D18-IF(Skills!E18=TRUE,Inputs!$B$31,0))),0)</f>
        <v/>
      </c>
    </row>
    <row r="1035">
      <c r="A1035">
        <f>Skills!A19</f>
        <v/>
      </c>
      <c r="B1035">
        <f>Skills!B19</f>
        <v/>
      </c>
      <c r="C1035">
        <f>Inputs!$B$3&gt;=125</f>
        <v/>
      </c>
      <c r="D1035">
        <f>IF(Skills!C19=1,60+Inputs!$B$24+Inputs!$B$28,IF(Skills!C19=2,90+Inputs!$B$25+Inputs!$B$28,IF(Skills!C19=3,120+Inputs!$B$26+Inputs!$B$28,MAX(0,(Inputs!$B$3-100)*3)+Inputs!$B$27+Inputs!$B$28)))</f>
        <v/>
      </c>
      <c r="E1035">
        <f>INDEX(FactorTable!$B$2:$Y$301, MATCH(ROUND(MIN(300,MAX(1,D1035)),0), FactorTable!$A$2:$A$301,0), Skills!L19+1)</f>
        <v/>
      </c>
      <c r="F1035">
        <f>IF(Skills!M19=TRUE,(Skills!K19/10)*(E1035/1000),Skills!K19/10)+Skills!N19</f>
        <v/>
      </c>
      <c r="G1035">
        <f>Calc!G19</f>
        <v/>
      </c>
      <c r="H1035">
        <f>Calc!H19</f>
        <v/>
      </c>
      <c r="I1035">
        <f>IF(Skills!T19&lt;&gt;"",1+(Skills!T19/10)*($Z$3/1000)/100,1)</f>
        <v/>
      </c>
      <c r="J1035" t="inlineStr"/>
      <c r="K1035" t="inlineStr"/>
      <c r="L1035" t="inlineStr"/>
      <c r="M1035" t="inlineStr"/>
      <c r="N1035" t="inlineStr"/>
      <c r="O1035" t="n">
        <v>0</v>
      </c>
      <c r="P1035">
        <f>IF(B1054=0,0,O1035/B1054)</f>
        <v/>
      </c>
      <c r="S1035" t="n">
        <v>0</v>
      </c>
      <c r="V1035">
        <f>IFERROR(1/IF(Inputs!$B$4="pvp",15,MAX(0.1,Skills!D19-IF(Skills!E19=TRUE,Inputs!$B$31,0))),0)</f>
        <v/>
      </c>
    </row>
    <row r="1036">
      <c r="A1036">
        <f>Skills!A20</f>
        <v/>
      </c>
      <c r="B1036">
        <f>Skills!B20</f>
        <v/>
      </c>
      <c r="C1036">
        <f>Inputs!$B$3&gt;=33</f>
        <v/>
      </c>
      <c r="D1036">
        <f>IF(Skills!C20=1,60+Inputs!$B$24+Inputs!$B$28,IF(Skills!C20=2,90+Inputs!$B$25+Inputs!$B$28,IF(Skills!C20=3,120+Inputs!$B$26+Inputs!$B$28,MAX(0,(Inputs!$B$3-100)*3)+Inputs!$B$27+Inputs!$B$28)))</f>
        <v/>
      </c>
      <c r="E1036">
        <f>INDEX(FactorTable!$B$2:$Y$301, MATCH(ROUND(MIN(300,MAX(1,D1036)),0), FactorTable!$A$2:$A$301,0), Skills!L20+1)</f>
        <v/>
      </c>
      <c r="F1036">
        <f>IF(Skills!M20=TRUE,(Skills!K20/10)*(E1036/1000),Skills!K20/10)+Skills!N20</f>
        <v/>
      </c>
      <c r="G1036">
        <f>Calc!G20</f>
        <v/>
      </c>
      <c r="H1036">
        <f>Calc!H20</f>
        <v/>
      </c>
      <c r="I1036">
        <f>IF(Skills!T20&lt;&gt;"",1+(Skills!T20/10)*($Z$3/1000)/100,1)</f>
        <v/>
      </c>
      <c r="J1036" t="inlineStr"/>
      <c r="K1036" t="inlineStr"/>
      <c r="L1036" t="inlineStr"/>
      <c r="M1036" t="inlineStr"/>
      <c r="N1036" t="inlineStr"/>
      <c r="O1036" t="n">
        <v>0</v>
      </c>
      <c r="P1036">
        <f>IF(B1054=0,0,O1036/B1054)</f>
        <v/>
      </c>
      <c r="S1036" t="n">
        <v>0</v>
      </c>
      <c r="V1036">
        <f>IFERROR(1/IF(Inputs!$B$4="pvp",15,MAX(0.1,Skills!D20-IF(Skills!E20=TRUE,Inputs!$B$31,0))),0)</f>
        <v/>
      </c>
    </row>
    <row r="1037">
      <c r="A1037">
        <f>Skills!A21</f>
        <v/>
      </c>
      <c r="B1037">
        <f>Skills!B21</f>
        <v/>
      </c>
      <c r="C1037">
        <f>Inputs!$B$3&gt;=43</f>
        <v/>
      </c>
      <c r="D1037">
        <f>IF(Skills!C21=1,60+Inputs!$B$24+Inputs!$B$28,IF(Skills!C21=2,90+Inputs!$B$25+Inputs!$B$28,IF(Skills!C21=3,120+Inputs!$B$26+Inputs!$B$28,MAX(0,(Inputs!$B$3-100)*3)+Inputs!$B$27+Inputs!$B$28)))</f>
        <v/>
      </c>
      <c r="E1037">
        <f>INDEX(FactorTable!$B$2:$Y$301, MATCH(ROUND(MIN(300,MAX(1,D1037)),0), FactorTable!$A$2:$A$301,0), Skills!L21+1)</f>
        <v/>
      </c>
      <c r="F1037">
        <f>IF(Skills!M21=TRUE,(Skills!K21/10)*(E1037/1000),Skills!K21/10)+Skills!N21</f>
        <v/>
      </c>
      <c r="G1037">
        <f>Calc!G21</f>
        <v/>
      </c>
      <c r="H1037">
        <f>Calc!H21</f>
        <v/>
      </c>
      <c r="I1037">
        <f>IF(Skills!T21&lt;&gt;"",1+(Skills!T21/10)*($Z$3/1000)/100,1)</f>
        <v/>
      </c>
      <c r="J1037" t="inlineStr"/>
      <c r="K1037" t="inlineStr"/>
      <c r="L1037" t="inlineStr"/>
      <c r="M1037" t="inlineStr"/>
      <c r="N1037" t="inlineStr"/>
      <c r="O1037" t="n">
        <v>0</v>
      </c>
      <c r="P1037">
        <f>IF(B1054=0,0,O1037/B1054)</f>
        <v/>
      </c>
      <c r="S1037" t="n">
        <v>0</v>
      </c>
      <c r="V1037">
        <f>IFERROR(1/IF(Inputs!$B$4="pvp",15,MAX(0.1,Skills!D21-IF(Skills!E21=TRUE,Inputs!$B$31,0))),0)</f>
        <v/>
      </c>
    </row>
    <row r="1038">
      <c r="A1038">
        <f>Skills!A22</f>
        <v/>
      </c>
      <c r="B1038">
        <f>Skills!B22</f>
        <v/>
      </c>
      <c r="C1038">
        <f>Inputs!$B$3&gt;=50</f>
        <v/>
      </c>
      <c r="D1038">
        <f>IF(Skills!C22=1,60+Inputs!$B$24+Inputs!$B$28,IF(Skills!C22=2,90+Inputs!$B$25+Inputs!$B$28,IF(Skills!C22=3,120+Inputs!$B$26+Inputs!$B$28,MAX(0,(Inputs!$B$3-100)*3)+Inputs!$B$27+Inputs!$B$28)))</f>
        <v/>
      </c>
      <c r="E1038">
        <f>INDEX(FactorTable!$B$2:$Y$301, MATCH(ROUND(MIN(300,MAX(1,D1038)),0), FactorTable!$A$2:$A$301,0), Skills!L22+1)</f>
        <v/>
      </c>
      <c r="F1038">
        <f>IF(Skills!M22=TRUE,(Skills!K22/10)*(E1038/1000),Skills!K22/10)+Skills!N22</f>
        <v/>
      </c>
      <c r="G1038">
        <f>Calc!G22</f>
        <v/>
      </c>
      <c r="H1038">
        <f>Calc!H22</f>
        <v/>
      </c>
      <c r="I1038">
        <f>IF(Skills!T22&lt;&gt;"",1+(Skills!T22/10)*($Z$3/1000)/100,1)</f>
        <v/>
      </c>
      <c r="J1038" t="inlineStr"/>
      <c r="K1038" t="inlineStr"/>
      <c r="L1038" t="inlineStr"/>
      <c r="M1038" t="inlineStr"/>
      <c r="N1038" t="inlineStr"/>
      <c r="O1038" t="n">
        <v>0</v>
      </c>
      <c r="P1038">
        <f>IF(B1054=0,0,O1038/B1054)</f>
        <v/>
      </c>
      <c r="S1038" t="n">
        <v>0</v>
      </c>
      <c r="V1038">
        <f>IFERROR(1/IF(Inputs!$B$4="pvp",15,MAX(0.1,Skills!D22-IF(Skills!E22=TRUE,Inputs!$B$31,0))),0)</f>
        <v/>
      </c>
    </row>
    <row r="1039">
      <c r="A1039">
        <f>Skills!A23</f>
        <v/>
      </c>
      <c r="B1039">
        <f>Skills!B23</f>
        <v/>
      </c>
      <c r="C1039">
        <f>Inputs!$B$3&gt;=74</f>
        <v/>
      </c>
      <c r="D1039">
        <f>IF(Skills!C23=1,60+Inputs!$B$24+Inputs!$B$28,IF(Skills!C23=2,90+Inputs!$B$25+Inputs!$B$28,IF(Skills!C23=3,120+Inputs!$B$26+Inputs!$B$28,MAX(0,(Inputs!$B$3-100)*3)+Inputs!$B$27+Inputs!$B$28)))</f>
        <v/>
      </c>
      <c r="E1039">
        <f>INDEX(FactorTable!$B$2:$Y$301, MATCH(ROUND(MIN(300,MAX(1,D1039)),0), FactorTable!$A$2:$A$301,0), Skills!L23+1)</f>
        <v/>
      </c>
      <c r="F1039">
        <f>IF(Skills!M23=TRUE,(Skills!K23/10)*(E1039/1000),Skills!K23/10)+Skills!N23</f>
        <v/>
      </c>
      <c r="G1039">
        <f>Calc!G23</f>
        <v/>
      </c>
      <c r="H1039">
        <f>Calc!H23</f>
        <v/>
      </c>
      <c r="I1039">
        <f>IF(Skills!T23&lt;&gt;"",1+(Skills!T23/10)*($Z$3/1000)/100,1)</f>
        <v/>
      </c>
      <c r="J1039" t="inlineStr"/>
      <c r="K1039" t="inlineStr"/>
      <c r="L1039" t="inlineStr"/>
      <c r="M1039" t="inlineStr"/>
      <c r="N1039" t="inlineStr"/>
      <c r="O1039" t="n">
        <v>0</v>
      </c>
      <c r="P1039">
        <f>IF(B1054=0,0,O1039/B1054)</f>
        <v/>
      </c>
      <c r="S1039" t="n">
        <v>0</v>
      </c>
      <c r="V1039">
        <f>IFERROR(1/IF(Inputs!$B$4="pvp",15,MAX(0.1,Skills!D23-IF(Skills!E23=TRUE,Inputs!$B$31,0))),0)</f>
        <v/>
      </c>
    </row>
    <row r="1040">
      <c r="A1040">
        <f>Skills!A24</f>
        <v/>
      </c>
      <c r="B1040">
        <f>Skills!B24</f>
        <v/>
      </c>
      <c r="C1040">
        <f>Inputs!$B$3&gt;=74</f>
        <v/>
      </c>
      <c r="D1040">
        <f>IF(Skills!C24=1,60+Inputs!$B$24+Inputs!$B$28,IF(Skills!C24=2,90+Inputs!$B$25+Inputs!$B$28,IF(Skills!C24=3,120+Inputs!$B$26+Inputs!$B$28,MAX(0,(Inputs!$B$3-100)*3)+Inputs!$B$27+Inputs!$B$28)))</f>
        <v/>
      </c>
      <c r="E1040">
        <f>INDEX(FactorTable!$B$2:$Y$301, MATCH(ROUND(MIN(300,MAX(1,D1040)),0), FactorTable!$A$2:$A$301,0), Skills!L24+1)</f>
        <v/>
      </c>
      <c r="F1040">
        <f>IF(Skills!M24=TRUE,(Skills!K24/10)*(E1040/1000),Skills!K24/10)+Skills!N24</f>
        <v/>
      </c>
      <c r="G1040">
        <f>Calc!G24</f>
        <v/>
      </c>
      <c r="H1040">
        <f>Calc!H24</f>
        <v/>
      </c>
      <c r="I1040">
        <f>IF(Skills!T24&lt;&gt;"",1+(Skills!T24/10)*($Z$3/1000)/100,1)</f>
        <v/>
      </c>
      <c r="J1040" t="inlineStr"/>
      <c r="K1040" t="inlineStr"/>
      <c r="L1040" t="inlineStr"/>
      <c r="M1040" t="inlineStr"/>
      <c r="N1040" t="inlineStr"/>
      <c r="O1040" t="n">
        <v>0</v>
      </c>
      <c r="P1040">
        <f>IF(B1054=0,0,O1040/B1054)</f>
        <v/>
      </c>
      <c r="S1040" t="n">
        <v>0</v>
      </c>
      <c r="V1040">
        <f>IFERROR(1/IF(Inputs!$B$4="pvp",15,MAX(0.1,Skills!D24-IF(Skills!E24=TRUE,Inputs!$B$31,0))),0)</f>
        <v/>
      </c>
    </row>
    <row r="1041">
      <c r="A1041">
        <f>Skills!A25</f>
        <v/>
      </c>
      <c r="B1041">
        <f>Skills!B25</f>
        <v/>
      </c>
      <c r="C1041">
        <f>Inputs!$B$3&gt;=117</f>
        <v/>
      </c>
      <c r="D1041">
        <f>IF(Skills!C25=1,60+Inputs!$B$24+Inputs!$B$28,IF(Skills!C25=2,90+Inputs!$B$25+Inputs!$B$28,IF(Skills!C25=3,120+Inputs!$B$26+Inputs!$B$28,MAX(0,(Inputs!$B$3-100)*3)+Inputs!$B$27+Inputs!$B$28)))</f>
        <v/>
      </c>
      <c r="E1041">
        <f>INDEX(FactorTable!$B$2:$Y$301, MATCH(ROUND(MIN(300,MAX(1,D1041)),0), FactorTable!$A$2:$A$301,0), Skills!L25+1)</f>
        <v/>
      </c>
      <c r="F1041">
        <f>IF(Skills!M25=TRUE,(Skills!K25/10)*(E1041/1000),Skills!K25/10)+Skills!N25</f>
        <v/>
      </c>
      <c r="G1041">
        <f>Calc!G25</f>
        <v/>
      </c>
      <c r="H1041">
        <f>Calc!H25</f>
        <v/>
      </c>
      <c r="I1041">
        <f>IF(Skills!T25&lt;&gt;"",1+(Skills!T25/10)*($Z$3/1000)/100,1)</f>
        <v/>
      </c>
      <c r="J1041" t="inlineStr"/>
      <c r="K1041" t="inlineStr"/>
      <c r="L1041" t="inlineStr"/>
      <c r="M1041" t="inlineStr"/>
      <c r="N1041" t="inlineStr"/>
      <c r="O1041" t="n">
        <v>0</v>
      </c>
      <c r="P1041">
        <f>IF(B1054=0,0,O1041/B1054)</f>
        <v/>
      </c>
      <c r="S1041" t="n">
        <v>0</v>
      </c>
      <c r="V1041">
        <f>IFERROR(1/IF(Inputs!$B$4="pvp",15,MAX(0.1,Skills!D25-IF(Skills!E25=TRUE,Inputs!$B$31,0))),0)</f>
        <v/>
      </c>
    </row>
    <row r="1042">
      <c r="A1042">
        <f>Skills!A26</f>
        <v/>
      </c>
      <c r="B1042">
        <f>Skills!B26</f>
        <v/>
      </c>
      <c r="C1042">
        <f>Inputs!$B$3&gt;=120</f>
        <v/>
      </c>
      <c r="D1042">
        <f>IF(Skills!C26=1,60+Inputs!$B$24+Inputs!$B$28,IF(Skills!C26=2,90+Inputs!$B$25+Inputs!$B$28,IF(Skills!C26=3,120+Inputs!$B$26+Inputs!$B$28,MAX(0,(Inputs!$B$3-100)*3)+Inputs!$B$27+Inputs!$B$28)))</f>
        <v/>
      </c>
      <c r="E1042">
        <f>INDEX(FactorTable!$B$2:$Y$301, MATCH(ROUND(MIN(300,MAX(1,D1042)),0), FactorTable!$A$2:$A$301,0), Skills!L26+1)</f>
        <v/>
      </c>
      <c r="F1042">
        <f>IF(Skills!M26=TRUE,(Skills!K26/10)*(E1042/1000),Skills!K26/10)+Skills!N26</f>
        <v/>
      </c>
      <c r="G1042">
        <f>Calc!G26</f>
        <v/>
      </c>
      <c r="H1042">
        <f>Calc!H26</f>
        <v/>
      </c>
      <c r="I1042">
        <f>IF(Skills!T26&lt;&gt;"",1+(Skills!T26/10)*($Z$3/1000)/100,1)</f>
        <v/>
      </c>
      <c r="J1042" t="inlineStr"/>
      <c r="K1042" t="inlineStr"/>
      <c r="L1042" t="inlineStr"/>
      <c r="M1042" t="inlineStr"/>
      <c r="N1042" t="inlineStr"/>
      <c r="O1042" t="n">
        <v>0</v>
      </c>
      <c r="P1042">
        <f>IF(B1054=0,0,O1042/B1054)</f>
        <v/>
      </c>
      <c r="S1042" t="n">
        <v>0</v>
      </c>
      <c r="V1042">
        <f>IFERROR(1/IF(Inputs!$B$4="pvp",15,MAX(0.1,Skills!D26-IF(Skills!E26=TRUE,Inputs!$B$31,0))),0)</f>
        <v/>
      </c>
    </row>
    <row r="1044">
      <c r="A1044" t="inlineStr">
        <is>
          <t>Average Buff Multiplier</t>
        </is>
      </c>
      <c r="B1044">
        <f>(1+(IF(C1019=TRUE,F1019*IF(AND(Inputs!$B$4&lt;&gt;"pvp",Inputs!$B$35&gt;0),(((S1019-1)*(Skills!S3*(1+((Inputs!$B$33+1)+IF(Inputs!$B$3&gt;=117,F1041,0))/100))+MIN((Skills!S3*(1+((Inputs!$B$33+1)+IF(Inputs!$B$3&gt;=117,F1041,0))/100)),MAX(0,Inputs!$B$35-((S1019-1)*Skills!D3))))/Inputs!$B$35),IF(Inputs!$B$4="pvp",MIN((Skills!S3*(1+((Inputs!$B$33+1)+IF(Inputs!$B$3&gt;=117,F1041,0))/100)),15)/15,(Skills!S3*(1+((Inputs!$B$33+1)+IF(Inputs!$B$3&gt;=117,F1041,0))/100))/Skills!D3)),0)+IF(C1020=TRUE,F1020*IF(AND(Inputs!$B$4&lt;&gt;"pvp",Inputs!$B$35&gt;0),(((S1020-1)*(Skills!S4*(1+((Inputs!$B$33+1)+IF(Inputs!$B$3&gt;=117,F1041,0))/100))+MIN((Skills!S4*(1+((Inputs!$B$33+1)+IF(Inputs!$B$3&gt;=117,F1041,0))/100)),MAX(0,Inputs!$B$35-((S1020-1)*Skills!D4))))/Inputs!$B$35),IF(Inputs!$B$4="pvp",MIN((Skills!S4*(1+((Inputs!$B$33+1)+IF(Inputs!$B$3&gt;=117,F1041,0))/100)),15)/15,(Skills!S4*(1+((Inputs!$B$33+1)+IF(Inputs!$B$3&gt;=117,F1041,0))/100))/Skills!D4)),0)+IF(C1021=TRUE,F1021*IF(AND(Inputs!$B$4&lt;&gt;"pvp",Inputs!$B$35&gt;0),(((S1021-1)*(Skills!S5*(1+((Inputs!$B$33+1)+IF(Inputs!$B$3&gt;=117,F1041,0))/100))+MIN((Skills!S5*(1+((Inputs!$B$33+1)+IF(Inputs!$B$3&gt;=117,F1041,0))/100)),MAX(0,Inputs!$B$35-((S1021-1)*Skills!D5))))/Inputs!$B$35),IF(Inputs!$B$4="pvp",MIN((Skills!S5*(1+((Inputs!$B$33+1)+IF(Inputs!$B$3&gt;=117,F1041,0))/100)),15)/15,(Skills!S5*(1+((Inputs!$B$33+1)+IF(Inputs!$B$3&gt;=117,F1041,0))/100))/Skills!D5)),0)+IF(C1027=TRUE,F1027*IF(AND(Inputs!$B$4&lt;&gt;"pvp",Inputs!$B$35&gt;0),(((S1027-1)*(Skills!S11*(1+((Inputs!$B$33+1)+IF(Inputs!$B$3&gt;=117,F1041,0))/100))+MIN((Skills!S11*(1+((Inputs!$B$33+1)+IF(Inputs!$B$3&gt;=117,F1041,0))/100)),MAX(0,Inputs!$B$35-((S1027-1)*Skills!D11))))/Inputs!$B$35),IF(Inputs!$B$4="pvp",MIN((Skills!S11*(1+((Inputs!$B$33+1)+IF(Inputs!$B$3&gt;=117,F1041,0))/100)),15)/15,(Skills!S11*(1+((Inputs!$B$33+1)+IF(Inputs!$B$3&gt;=117,F1041,0))/100))/Skills!D11)),0))/100)*IF(C1029=TRUE,(1+F1029*IF(AND(Inputs!$B$4&lt;&gt;"pvp",Inputs!$B$35&gt;0),(((S1029-1)*(Skills!S13*(1+((Inputs!$B$33+1)+IF(Inputs!$B$3&gt;=117,F1041,0))/100))+MIN((Skills!S13*(1+((Inputs!$B$33+1)+IF(Inputs!$B$3&gt;=117,F1041,0))/100)),MAX(0,Inputs!$B$35-((S1029-1)*Skills!D13))))/Inputs!$B$35),IF(Inputs!$B$4="pvp",MIN((Skills!S13*(1+((Inputs!$B$33+1)+IF(Inputs!$B$3&gt;=117,F1041,0))/100)),15)/15,(Skills!S13*(1+((Inputs!$B$33+1)+IF(Inputs!$B$3&gt;=117,F1041,0))/100))/Skills!D13))/100),1)*IF(C1034=TRUE,(1+F1034*IF(AND(Inputs!$B$4&lt;&gt;"pvp",Inputs!$B$35&gt;0),(((S1034-1)*(Skills!S18*(1+((Inputs!$B$33+1)+IF(Inputs!$B$3&gt;=117,F1041,0))/100))+MIN((Skills!S18*(1+((Inputs!$B$33+1)+IF(Inputs!$B$3&gt;=117,F1041,0))/100)),MAX(0,Inputs!$B$35-((S1034-1)*Skills!D18))))/Inputs!$B$35),IF(Inputs!$B$4="pvp",MIN((Skills!S18*(1+((Inputs!$B$33+1)+IF(Inputs!$B$3&gt;=117,F1041,0))/100)),15)/15,(Skills!S18*(1+((Inputs!$B$33+1)+IF(Inputs!$B$3&gt;=117,F1041,0))/100))/Skills!D18))/100),1)</f>
        <v/>
      </c>
    </row>
    <row r="1045">
      <c r="A1045" t="inlineStr">
        <is>
          <t>Monster Damage Taken Bonus % (Holy Fountain)</t>
        </is>
      </c>
      <c r="B1045">
        <f>IF(Inputs!$B$3&gt;=68,20*IF(Inputs!$B$4="pvp",MIN((15*(1+((Inputs!$B$33+1)+IF(Inputs!$B$3&gt;=117,F1041,0))/100)),15)/15,(15*(1+((Inputs!$B$33+1)+IF(Inputs!$B$3&gt;=117,F1041,0))/100))/Skills!D10),0)</f>
        <v/>
      </c>
    </row>
    <row r="1046">
      <c r="A1046" t="inlineStr">
        <is>
          <t>Normal Monster Damage Bonus % (Holy Symbol)</t>
        </is>
      </c>
      <c r="B1046">
        <f>IF(C1028=TRUE,F1028*IF(AND(Inputs!$B$4&lt;&gt;"pvp",Inputs!$B$35&gt;0),(((S1028-1)*(Skills!S12*(1+((Inputs!$B$33+1)+IF(Inputs!$B$3&gt;=117,F1041,0))/100))+MIN((Skills!S12*(1+((Inputs!$B$33+1)+IF(Inputs!$B$3&gt;=117,F1041,0))/100)),MAX(0,Inputs!$B$35-((S1028-1)*Skills!D12))))/Inputs!$B$35),IF(Inputs!$B$4="pvp",MIN((Skills!S12*(1+((Inputs!$B$33+1)+IF(Inputs!$B$3&gt;=117,F1041,0))/100)),15)/15,(Skills!S12*(1+((Inputs!$B$33+1)+IF(Inputs!$B$3&gt;=117,F1041,0))/100))/Skills!D12)),0)</f>
        <v/>
      </c>
    </row>
    <row r="1047">
      <c r="A1047" t="inlineStr">
        <is>
          <t>Damage % Bonus (Holy Symbol - Damage Boost)</t>
        </is>
      </c>
      <c r="B1047">
        <f>Skills!O12</f>
        <v/>
      </c>
    </row>
    <row r="1048">
      <c r="A1048" t="inlineStr">
        <is>
          <t>Crit Damage % Bonus (Blood of the Divine)</t>
        </is>
      </c>
      <c r="B1048">
        <f>4*IF(C1035=TRUE,F1035,0)</f>
        <v/>
      </c>
    </row>
    <row r="1049">
      <c r="A1049" t="inlineStr">
        <is>
          <t>Attack Speed Bonus %</t>
        </is>
      </c>
      <c r="B1049">
        <f>IF(C1032=TRUE,F1032+(F1036-Calc!F20),0)+IF(Inputs!$B$3&gt;=134,15,0)</f>
        <v/>
      </c>
    </row>
    <row r="1050">
      <c r="A1050" t="inlineStr">
        <is>
          <t>Actions Per Second</t>
        </is>
      </c>
      <c r="B1050">
        <f>1+MIN(150,150*(1-(1-Inputs!$B$10/150)*(1-B1049/150)))/100</f>
        <v/>
      </c>
    </row>
    <row r="1051">
      <c r="A1051" t="inlineStr">
        <is>
          <t>Skill + Buff Cast Rate</t>
        </is>
      </c>
      <c r="B1051">
        <f>IF(AND(Inputs!$B$4&lt;&gt;"pvp",Inputs!$B$35&gt;0),SUMPRODUCT((Skills!E2:E26=TRUE)*(C1018:C1042=TRUE)*S1018:S1042)/Inputs!$B$35,SUMPRODUCT((Skills!E2:E26=TRUE)*(C1018:C1042=TRUE)*V1018:V1042))</f>
        <v/>
      </c>
    </row>
    <row r="1052">
      <c r="A1052" t="inlineStr">
        <is>
          <t>Big Bang Casts Per Second</t>
        </is>
      </c>
      <c r="B1052">
        <f>MAX(0,B1050-B1051)</f>
        <v/>
      </c>
    </row>
    <row r="1054">
      <c r="A1054" s="5" t="inlineStr">
        <is>
          <t>TOTAL DPS</t>
        </is>
      </c>
      <c r="B1054" s="5">
        <f>SUM(O1018:O1042)</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70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6" customWidth="1" min="3" max="3"/>
    <col width="26" customWidth="1" min="4" max="4"/>
    <col width="9" customWidth="1" min="5" max="5"/>
    <col width="9" customWidth="1" min="6" max="6"/>
    <col width="8" customWidth="1" min="7" max="7"/>
    <col width="13" customWidth="1" min="8" max="8"/>
    <col width="2" customWidth="1" min="9" max="9"/>
    <col width="26" customWidth="1" min="10" max="10"/>
    <col width="13" customWidth="1" min="11" max="11"/>
    <col width="2" customWidth="1" min="12" max="12"/>
    <col width="12" customWidth="1" min="13" max="13"/>
    <col width="10" customWidth="1" min="14" max="14"/>
    <col width="9" customWidth="1" min="15" max="15"/>
    <col width="2" customWidth="1" min="16" max="16"/>
    <col width="14" customWidth="1" min="17" max="17"/>
  </cols>
  <sheetData>
    <row r="1">
      <c r="A1" s="8" t="inlineStr">
        <is>
          <t>Slot</t>
        </is>
      </c>
      <c r="B1" s="8" t="inlineStr">
        <is>
          <t>Rarity</t>
        </is>
      </c>
      <c r="C1" s="8" t="inlineStr">
        <is>
          <t>Line</t>
        </is>
      </c>
      <c r="D1" s="8" t="inlineStr">
        <is>
          <t>Stat</t>
        </is>
      </c>
      <c r="E1" s="8" t="inlineStr">
        <is>
          <t>Value</t>
        </is>
      </c>
      <c r="F1" s="8" t="inlineStr">
        <is>
          <t>Weight</t>
        </is>
      </c>
      <c r="G1" s="8" t="inlineStr">
        <is>
          <t>Prime</t>
        </is>
      </c>
      <c r="H1" s="8" t="inlineStr">
        <is>
          <t>DPSPerUnit</t>
        </is>
      </c>
      <c r="J1" s="10" t="inlineStr">
        <is>
          <t>Stat</t>
        </is>
      </c>
      <c r="K1" s="10" t="inlineStr">
        <is>
          <t>DPSPerUnit</t>
        </is>
      </c>
      <c r="M1" s="10" t="inlineStr">
        <is>
          <t>Rarity</t>
        </is>
      </c>
      <c r="N1" s="10" t="inlineStr">
        <is>
          <t>Rate</t>
        </is>
      </c>
      <c r="O1" s="10" t="inlineStr">
        <is>
          <t>MaxPity</t>
        </is>
      </c>
      <c r="Q1" s="10" t="inlineStr">
        <is>
          <t>SlotList</t>
        </is>
      </c>
    </row>
    <row r="2">
      <c r="A2" t="inlineStr">
        <is>
          <t>ALL</t>
        </is>
      </c>
      <c r="B2" t="inlineStr">
        <is>
          <t>normal</t>
        </is>
      </c>
      <c r="C2" t="n">
        <v>1</v>
      </c>
      <c r="D2" t="inlineStr">
        <is>
          <t>Critical Rate %</t>
        </is>
      </c>
      <c r="E2" t="n">
        <v>3</v>
      </c>
      <c r="F2" t="n">
        <v>2.5</v>
      </c>
      <c r="G2" t="b">
        <v>0</v>
      </c>
      <c r="H2">
        <f>IF(Inputs!$B$8&gt;=100,Sensitivity!H15,Sensitivity!H14)</f>
        <v/>
      </c>
      <c r="J2" t="inlineStr">
        <is>
          <t>(none)</t>
        </is>
      </c>
      <c r="K2" t="n">
        <v>0</v>
      </c>
      <c r="M2" t="inlineStr">
        <is>
          <t>normal</t>
        </is>
      </c>
      <c r="N2" t="n">
        <v>0.06</v>
      </c>
      <c r="O2" t="n">
        <v>30</v>
      </c>
      <c r="Q2" t="inlineStr">
        <is>
          <t>head</t>
        </is>
      </c>
    </row>
    <row r="3">
      <c r="A3" t="inlineStr">
        <is>
          <t>ALL</t>
        </is>
      </c>
      <c r="B3" t="inlineStr">
        <is>
          <t>normal</t>
        </is>
      </c>
      <c r="C3" t="n">
        <v>1</v>
      </c>
      <c r="D3" t="inlineStr">
        <is>
          <t>Attack Speed %</t>
        </is>
      </c>
      <c r="E3" t="n">
        <v>3</v>
      </c>
      <c r="F3" t="n">
        <v>2.5</v>
      </c>
      <c r="G3" t="b">
        <v>0</v>
      </c>
      <c r="H3">
        <f>Sensitivity!H16</f>
        <v/>
      </c>
      <c r="J3" t="inlineStr">
        <is>
          <t>All Skill Level</t>
        </is>
      </c>
      <c r="K3">
        <f>Sensitivity!H24</f>
        <v/>
      </c>
      <c r="M3" t="inlineStr">
        <is>
          <t>rare</t>
        </is>
      </c>
      <c r="N3" t="n">
        <v>0.03333</v>
      </c>
      <c r="O3" t="n">
        <v>60</v>
      </c>
      <c r="Q3" t="inlineStr">
        <is>
          <t>cape</t>
        </is>
      </c>
    </row>
    <row r="4">
      <c r="A4" t="inlineStr">
        <is>
          <t>ALL</t>
        </is>
      </c>
      <c r="B4" t="inlineStr">
        <is>
          <t>normal</t>
        </is>
      </c>
      <c r="C4" t="n">
        <v>1</v>
      </c>
      <c r="D4" t="inlineStr">
        <is>
          <t>Damage %</t>
        </is>
      </c>
      <c r="E4" t="n">
        <v>5</v>
      </c>
      <c r="F4" t="n">
        <v>4</v>
      </c>
      <c r="G4" t="b">
        <v>0</v>
      </c>
      <c r="H4">
        <f>Sensitivity!H7</f>
        <v/>
      </c>
      <c r="J4" t="inlineStr">
        <is>
          <t>Attack Speed %</t>
        </is>
      </c>
      <c r="K4">
        <f>Sensitivity!H16</f>
        <v/>
      </c>
      <c r="M4" t="inlineStr">
        <is>
          <t>epic</t>
        </is>
      </c>
      <c r="N4" t="n">
        <v>0.0167</v>
      </c>
      <c r="O4" t="n">
        <v>120</v>
      </c>
      <c r="Q4" t="inlineStr">
        <is>
          <t>chest</t>
        </is>
      </c>
    </row>
    <row r="5">
      <c r="A5" t="inlineStr">
        <is>
          <t>ALL</t>
        </is>
      </c>
      <c r="B5" t="inlineStr">
        <is>
          <t>normal</t>
        </is>
      </c>
      <c r="C5" t="n">
        <v>1</v>
      </c>
      <c r="D5" t="inlineStr">
        <is>
          <t>Min Damage Multiplier %</t>
        </is>
      </c>
      <c r="E5" t="n">
        <v>3</v>
      </c>
      <c r="F5" t="n">
        <v>4</v>
      </c>
      <c r="G5" t="b">
        <v>0</v>
      </c>
      <c r="H5">
        <f>Sensitivity!H12</f>
        <v/>
      </c>
      <c r="J5" t="inlineStr">
        <is>
          <t>Basic Attack Damage %</t>
        </is>
      </c>
      <c r="K5">
        <f>Sensitivity!H18</f>
        <v/>
      </c>
      <c r="M5" t="inlineStr">
        <is>
          <t>unique</t>
        </is>
      </c>
      <c r="N5" t="n">
        <v>0.006</v>
      </c>
      <c r="O5" t="n">
        <v>333</v>
      </c>
      <c r="Q5" t="inlineStr">
        <is>
          <t>shoulders</t>
        </is>
      </c>
    </row>
    <row r="6">
      <c r="A6" t="inlineStr">
        <is>
          <t>ALL</t>
        </is>
      </c>
      <c r="B6" t="inlineStr">
        <is>
          <t>normal</t>
        </is>
      </c>
      <c r="C6" t="n">
        <v>1</v>
      </c>
      <c r="D6" t="inlineStr">
        <is>
          <t>Max Damage Multiplier %</t>
        </is>
      </c>
      <c r="E6" t="n">
        <v>3</v>
      </c>
      <c r="F6" t="n">
        <v>4</v>
      </c>
      <c r="G6" t="b">
        <v>0</v>
      </c>
      <c r="H6">
        <f>Sensitivity!H13</f>
        <v/>
      </c>
      <c r="J6" t="inlineStr">
        <is>
          <t>Basic Attack Target Increase</t>
        </is>
      </c>
      <c r="K6">
        <f>Sensitivity!H28</f>
        <v/>
      </c>
      <c r="M6" t="inlineStr">
        <is>
          <t>legendary</t>
        </is>
      </c>
      <c r="N6" t="n">
        <v>0.0021</v>
      </c>
      <c r="O6" t="n">
        <v>714</v>
      </c>
      <c r="Q6" t="inlineStr">
        <is>
          <t>legs</t>
        </is>
      </c>
    </row>
    <row r="7">
      <c r="A7" t="inlineStr">
        <is>
          <t>ALL</t>
        </is>
      </c>
      <c r="B7" t="inlineStr">
        <is>
          <t>normal</t>
        </is>
      </c>
      <c r="C7" t="n">
        <v>1</v>
      </c>
      <c r="D7" t="inlineStr">
        <is>
          <t>Str %</t>
        </is>
      </c>
      <c r="E7" t="n">
        <v>3</v>
      </c>
      <c r="F7" t="n">
        <v>4.5</v>
      </c>
      <c r="G7" t="b">
        <v>0</v>
      </c>
      <c r="H7" t="inlineStr">
        <is>
          <t>0</t>
        </is>
      </c>
      <c r="J7" t="inlineStr">
        <is>
          <t>Buff Duration Increase %</t>
        </is>
      </c>
      <c r="K7">
        <f>Sensitivity!H29</f>
        <v/>
      </c>
      <c r="M7" t="inlineStr">
        <is>
          <t>mystic</t>
        </is>
      </c>
      <c r="N7" t="n">
        <v>0</v>
      </c>
      <c r="O7" t="n">
        <v>0</v>
      </c>
      <c r="Q7" t="inlineStr">
        <is>
          <t>belt</t>
        </is>
      </c>
    </row>
    <row r="8">
      <c r="A8" t="inlineStr">
        <is>
          <t>ALL</t>
        </is>
      </c>
      <c r="B8" t="inlineStr">
        <is>
          <t>normal</t>
        </is>
      </c>
      <c r="C8" t="n">
        <v>1</v>
      </c>
      <c r="D8" t="inlineStr">
        <is>
          <t>Dex %</t>
        </is>
      </c>
      <c r="E8" t="n">
        <v>3</v>
      </c>
      <c r="F8" t="n">
        <v>4.5</v>
      </c>
      <c r="G8" t="b">
        <v>0</v>
      </c>
      <c r="H8" t="inlineStr">
        <is>
          <t>0</t>
        </is>
      </c>
      <c r="J8" t="inlineStr">
        <is>
          <t>Companion Summoning Time Increase %</t>
        </is>
      </c>
      <c r="K8">
        <f>Sensitivity!H15</f>
        <v/>
      </c>
      <c r="Q8" t="inlineStr">
        <is>
          <t>gloves</t>
        </is>
      </c>
    </row>
    <row r="9">
      <c r="A9" t="inlineStr">
        <is>
          <t>ALL</t>
        </is>
      </c>
      <c r="B9" t="inlineStr">
        <is>
          <t>normal</t>
        </is>
      </c>
      <c r="C9" t="n">
        <v>1</v>
      </c>
      <c r="D9" t="inlineStr">
        <is>
          <t>Int %</t>
        </is>
      </c>
      <c r="E9" t="n">
        <v>3</v>
      </c>
      <c r="F9" t="n">
        <v>4.5</v>
      </c>
      <c r="G9" t="b">
        <v>0</v>
      </c>
      <c r="H9">
        <f>Sensitivity!H6</f>
        <v/>
      </c>
      <c r="J9" t="inlineStr">
        <is>
          <t>Critical Damage %</t>
        </is>
      </c>
      <c r="K9">
        <f>Sensitivity!H15</f>
        <v/>
      </c>
      <c r="Q9" t="inlineStr">
        <is>
          <t>boots</t>
        </is>
      </c>
    </row>
    <row r="10">
      <c r="A10" t="inlineStr">
        <is>
          <t>ALL</t>
        </is>
      </c>
      <c r="B10" t="inlineStr">
        <is>
          <t>normal</t>
        </is>
      </c>
      <c r="C10" t="n">
        <v>1</v>
      </c>
      <c r="D10" t="inlineStr">
        <is>
          <t>Luk %</t>
        </is>
      </c>
      <c r="E10" t="n">
        <v>3</v>
      </c>
      <c r="F10" t="n">
        <v>4.5</v>
      </c>
      <c r="G10" t="b">
        <v>0</v>
      </c>
      <c r="H10" t="inlineStr">
        <is>
          <t>0</t>
        </is>
      </c>
      <c r="J10" t="inlineStr">
        <is>
          <t>Critical Rate %</t>
        </is>
      </c>
      <c r="K10">
        <f>IF(Inputs!$B$8&gt;=100,Sensitivity!H15,Sensitivity!H14)</f>
        <v/>
      </c>
      <c r="Q10" t="inlineStr">
        <is>
          <t>ring</t>
        </is>
      </c>
    </row>
    <row r="11">
      <c r="A11" t="inlineStr">
        <is>
          <t>ALL</t>
        </is>
      </c>
      <c r="B11" t="inlineStr">
        <is>
          <t>normal</t>
        </is>
      </c>
      <c r="C11" t="n">
        <v>1</v>
      </c>
      <c r="D11" t="inlineStr">
        <is>
          <t>Defense %</t>
        </is>
      </c>
      <c r="E11" t="n">
        <v>3</v>
      </c>
      <c r="F11" t="n">
        <v>9</v>
      </c>
      <c r="G11" t="b">
        <v>0</v>
      </c>
      <c r="H11" t="inlineStr">
        <is>
          <t>0</t>
        </is>
      </c>
      <c r="J11" t="inlineStr">
        <is>
          <t>Damage %</t>
        </is>
      </c>
      <c r="K11">
        <f>Sensitivity!H7</f>
        <v/>
      </c>
      <c r="Q11" t="inlineStr">
        <is>
          <t>neck</t>
        </is>
      </c>
    </row>
    <row r="12">
      <c r="A12" t="inlineStr">
        <is>
          <t>ALL</t>
        </is>
      </c>
      <c r="B12" t="inlineStr">
        <is>
          <t>normal</t>
        </is>
      </c>
      <c r="C12" t="n">
        <v>1</v>
      </c>
      <c r="D12" t="inlineStr">
        <is>
          <t>Max HP %</t>
        </is>
      </c>
      <c r="E12" t="n">
        <v>6</v>
      </c>
      <c r="F12" t="n">
        <v>9</v>
      </c>
      <c r="G12" t="b">
        <v>0</v>
      </c>
      <c r="H12" t="inlineStr">
        <is>
          <t>0</t>
        </is>
      </c>
      <c r="J12" t="inlineStr">
        <is>
          <t>Defense %</t>
        </is>
      </c>
      <c r="K12" t="inlineStr">
        <is>
          <t>0</t>
        </is>
      </c>
      <c r="Q12" t="inlineStr">
        <is>
          <t>eye-accessory</t>
        </is>
      </c>
    </row>
    <row r="13">
      <c r="A13" t="inlineStr">
        <is>
          <t>ALL</t>
        </is>
      </c>
      <c r="B13" t="inlineStr">
        <is>
          <t>normal</t>
        </is>
      </c>
      <c r="C13" t="n">
        <v>1</v>
      </c>
      <c r="D13" t="inlineStr">
        <is>
          <t>Max MP %</t>
        </is>
      </c>
      <c r="E13" t="n">
        <v>3</v>
      </c>
      <c r="F13" t="n">
        <v>9</v>
      </c>
      <c r="G13" t="b">
        <v>0</v>
      </c>
      <c r="H13" t="inlineStr">
        <is>
          <t>0</t>
        </is>
      </c>
      <c r="J13" t="inlineStr">
        <is>
          <t>Defense Penetration</t>
        </is>
      </c>
      <c r="K13">
        <f>Sensitivity!H17</f>
        <v/>
      </c>
      <c r="Q13" t="inlineStr">
        <is>
          <t>ring2</t>
        </is>
      </c>
    </row>
    <row r="14">
      <c r="A14" t="inlineStr">
        <is>
          <t>ALL</t>
        </is>
      </c>
      <c r="B14" t="inlineStr">
        <is>
          <t>normal</t>
        </is>
      </c>
      <c r="C14" t="n">
        <v>1</v>
      </c>
      <c r="D14" t="inlineStr">
        <is>
          <t>Str</t>
        </is>
      </c>
      <c r="E14" t="n">
        <v>50</v>
      </c>
      <c r="F14" t="n">
        <v>9.5</v>
      </c>
      <c r="G14" t="b">
        <v>0</v>
      </c>
      <c r="H14" t="inlineStr">
        <is>
          <t>0</t>
        </is>
      </c>
      <c r="J14" t="inlineStr">
        <is>
          <t>Dex</t>
        </is>
      </c>
      <c r="K14" t="inlineStr">
        <is>
          <t>0</t>
        </is>
      </c>
      <c r="Q14" t="inlineStr">
        <is>
          <t>face</t>
        </is>
      </c>
    </row>
    <row r="15">
      <c r="A15" t="inlineStr">
        <is>
          <t>ALL</t>
        </is>
      </c>
      <c r="B15" t="inlineStr">
        <is>
          <t>normal</t>
        </is>
      </c>
      <c r="C15" t="n">
        <v>1</v>
      </c>
      <c r="D15" t="inlineStr">
        <is>
          <t>Dex</t>
        </is>
      </c>
      <c r="E15" t="n">
        <v>50</v>
      </c>
      <c r="F15" t="n">
        <v>9.5</v>
      </c>
      <c r="G15" t="b">
        <v>0</v>
      </c>
      <c r="H15" t="inlineStr">
        <is>
          <t>0</t>
        </is>
      </c>
      <c r="J15" t="inlineStr">
        <is>
          <t>Dex %</t>
        </is>
      </c>
      <c r="K15" t="inlineStr">
        <is>
          <t>0</t>
        </is>
      </c>
      <c r="Q15" t="inlineStr">
        <is>
          <t>earrings</t>
        </is>
      </c>
    </row>
    <row r="16">
      <c r="A16" t="inlineStr">
        <is>
          <t>ALL</t>
        </is>
      </c>
      <c r="B16" t="inlineStr">
        <is>
          <t>normal</t>
        </is>
      </c>
      <c r="C16" t="n">
        <v>1</v>
      </c>
      <c r="D16" t="inlineStr">
        <is>
          <t>Int</t>
        </is>
      </c>
      <c r="E16" t="n">
        <v>50</v>
      </c>
      <c r="F16" t="n">
        <v>9.5</v>
      </c>
      <c r="G16" t="b">
        <v>0</v>
      </c>
      <c r="H16">
        <f>Sensitivity!H5</f>
        <v/>
      </c>
      <c r="J16" t="inlineStr">
        <is>
          <t>Final Damage %</t>
        </is>
      </c>
      <c r="K16">
        <f>Sensitivity!H11</f>
        <v/>
      </c>
      <c r="Q16" t="inlineStr">
        <is>
          <t>pocket</t>
        </is>
      </c>
    </row>
    <row r="17">
      <c r="A17" t="inlineStr">
        <is>
          <t>ALL</t>
        </is>
      </c>
      <c r="B17" t="inlineStr">
        <is>
          <t>normal</t>
        </is>
      </c>
      <c r="C17" t="n">
        <v>1</v>
      </c>
      <c r="D17" t="inlineStr">
        <is>
          <t>Luk</t>
        </is>
      </c>
      <c r="E17" t="n">
        <v>50</v>
      </c>
      <c r="F17" t="n">
        <v>9.5</v>
      </c>
      <c r="G17" t="b">
        <v>0</v>
      </c>
      <c r="H17" t="inlineStr">
        <is>
          <t>0</t>
        </is>
      </c>
      <c r="J17" t="inlineStr">
        <is>
          <t>Int</t>
        </is>
      </c>
      <c r="K17">
        <f>Sensitivity!H5</f>
        <v/>
      </c>
    </row>
    <row r="18">
      <c r="A18" t="inlineStr">
        <is>
          <t>ALL</t>
        </is>
      </c>
      <c r="B18" t="inlineStr">
        <is>
          <t>normal</t>
        </is>
      </c>
      <c r="C18" t="n">
        <v>2</v>
      </c>
      <c r="D18" t="inlineStr">
        <is>
          <t>Critical Rate %</t>
        </is>
      </c>
      <c r="E18" t="n">
        <v>3</v>
      </c>
      <c r="F18" t="n">
        <v>2.5</v>
      </c>
      <c r="G18" t="b">
        <v>0</v>
      </c>
      <c r="H18">
        <f>IF(Inputs!$B$8&gt;=100,Sensitivity!H15,Sensitivity!H14)</f>
        <v/>
      </c>
      <c r="J18" t="inlineStr">
        <is>
          <t>Int %</t>
        </is>
      </c>
      <c r="K18">
        <f>Sensitivity!H6</f>
        <v/>
      </c>
    </row>
    <row r="19">
      <c r="A19" t="inlineStr">
        <is>
          <t>ALL</t>
        </is>
      </c>
      <c r="B19" t="inlineStr">
        <is>
          <t>normal</t>
        </is>
      </c>
      <c r="C19" t="n">
        <v>2</v>
      </c>
      <c r="D19" t="inlineStr">
        <is>
          <t>Attack Speed %</t>
        </is>
      </c>
      <c r="E19" t="n">
        <v>3</v>
      </c>
      <c r="F19" t="n">
        <v>2.5</v>
      </c>
      <c r="G19" t="b">
        <v>0</v>
      </c>
      <c r="H19">
        <f>Sensitivity!H16</f>
        <v/>
      </c>
      <c r="J19" t="inlineStr">
        <is>
          <t>Luk</t>
        </is>
      </c>
      <c r="K19" t="inlineStr">
        <is>
          <t>0</t>
        </is>
      </c>
    </row>
    <row r="20">
      <c r="A20" t="inlineStr">
        <is>
          <t>ALL</t>
        </is>
      </c>
      <c r="B20" t="inlineStr">
        <is>
          <t>normal</t>
        </is>
      </c>
      <c r="C20" t="n">
        <v>2</v>
      </c>
      <c r="D20" t="inlineStr">
        <is>
          <t>Damage %</t>
        </is>
      </c>
      <c r="E20" t="n">
        <v>5</v>
      </c>
      <c r="F20" t="n">
        <v>4</v>
      </c>
      <c r="G20" t="b">
        <v>0</v>
      </c>
      <c r="H20">
        <f>Sensitivity!H7</f>
        <v/>
      </c>
      <c r="J20" t="inlineStr">
        <is>
          <t>Luk %</t>
        </is>
      </c>
      <c r="K20" t="inlineStr">
        <is>
          <t>0</t>
        </is>
      </c>
    </row>
    <row r="21">
      <c r="A21" t="inlineStr">
        <is>
          <t>ALL</t>
        </is>
      </c>
      <c r="B21" t="inlineStr">
        <is>
          <t>normal</t>
        </is>
      </c>
      <c r="C21" t="n">
        <v>2</v>
      </c>
      <c r="D21" t="inlineStr">
        <is>
          <t>Min Damage Multiplier %</t>
        </is>
      </c>
      <c r="E21" t="n">
        <v>3</v>
      </c>
      <c r="F21" t="n">
        <v>4</v>
      </c>
      <c r="G21" t="b">
        <v>0</v>
      </c>
      <c r="H21">
        <f>Sensitivity!H12</f>
        <v/>
      </c>
      <c r="J21" t="inlineStr">
        <is>
          <t>Main Stat % per 4 Levels</t>
        </is>
      </c>
      <c r="K21">
        <f>Sensitivity!H6*INT(Inputs!$B$3/4)</f>
        <v/>
      </c>
    </row>
    <row r="22">
      <c r="A22" t="inlineStr">
        <is>
          <t>ALL</t>
        </is>
      </c>
      <c r="B22" t="inlineStr">
        <is>
          <t>normal</t>
        </is>
      </c>
      <c r="C22" t="n">
        <v>2</v>
      </c>
      <c r="D22" t="inlineStr">
        <is>
          <t>Max Damage Multiplier %</t>
        </is>
      </c>
      <c r="E22" t="n">
        <v>3</v>
      </c>
      <c r="F22" t="n">
        <v>4</v>
      </c>
      <c r="G22" t="b">
        <v>0</v>
      </c>
      <c r="H22">
        <f>Sensitivity!H13</f>
        <v/>
      </c>
      <c r="J22" t="inlineStr">
        <is>
          <t>Main Stat Per Level</t>
        </is>
      </c>
      <c r="K22">
        <f>Sensitivity!H5*Inputs!$B$3</f>
        <v/>
      </c>
    </row>
    <row r="23">
      <c r="A23" t="inlineStr">
        <is>
          <t>ALL</t>
        </is>
      </c>
      <c r="B23" t="inlineStr">
        <is>
          <t>normal</t>
        </is>
      </c>
      <c r="C23" t="n">
        <v>2</v>
      </c>
      <c r="D23" t="inlineStr">
        <is>
          <t>Str %</t>
        </is>
      </c>
      <c r="E23" t="n">
        <v>3</v>
      </c>
      <c r="F23" t="n">
        <v>4.5</v>
      </c>
      <c r="G23" t="b">
        <v>0</v>
      </c>
      <c r="H23" t="inlineStr">
        <is>
          <t>0</t>
        </is>
      </c>
      <c r="J23" t="inlineStr">
        <is>
          <t>Max Damage Multiplier %</t>
        </is>
      </c>
      <c r="K23">
        <f>Sensitivity!H13</f>
        <v/>
      </c>
    </row>
    <row r="24">
      <c r="A24" t="inlineStr">
        <is>
          <t>ALL</t>
        </is>
      </c>
      <c r="B24" t="inlineStr">
        <is>
          <t>normal</t>
        </is>
      </c>
      <c r="C24" t="n">
        <v>2</v>
      </c>
      <c r="D24" t="inlineStr">
        <is>
          <t>Dex %</t>
        </is>
      </c>
      <c r="E24" t="n">
        <v>3</v>
      </c>
      <c r="F24" t="n">
        <v>4.5</v>
      </c>
      <c r="G24" t="b">
        <v>0</v>
      </c>
      <c r="H24" t="inlineStr">
        <is>
          <t>0</t>
        </is>
      </c>
      <c r="J24" t="inlineStr">
        <is>
          <t>Max HP %</t>
        </is>
      </c>
      <c r="K24" t="inlineStr">
        <is>
          <t>0</t>
        </is>
      </c>
    </row>
    <row r="25">
      <c r="A25" t="inlineStr">
        <is>
          <t>ALL</t>
        </is>
      </c>
      <c r="B25" t="inlineStr">
        <is>
          <t>normal</t>
        </is>
      </c>
      <c r="C25" t="n">
        <v>2</v>
      </c>
      <c r="D25" t="inlineStr">
        <is>
          <t>Int %</t>
        </is>
      </c>
      <c r="E25" t="n">
        <v>3</v>
      </c>
      <c r="F25" t="n">
        <v>4.5</v>
      </c>
      <c r="G25" t="b">
        <v>0</v>
      </c>
      <c r="H25">
        <f>Sensitivity!H6</f>
        <v/>
      </c>
      <c r="J25" t="inlineStr">
        <is>
          <t>Max MP %</t>
        </is>
      </c>
      <c r="K25" t="inlineStr">
        <is>
          <t>0</t>
        </is>
      </c>
    </row>
    <row r="26">
      <c r="A26" t="inlineStr">
        <is>
          <t>ALL</t>
        </is>
      </c>
      <c r="B26" t="inlineStr">
        <is>
          <t>normal</t>
        </is>
      </c>
      <c r="C26" t="n">
        <v>2</v>
      </c>
      <c r="D26" t="inlineStr">
        <is>
          <t>Luk %</t>
        </is>
      </c>
      <c r="E26" t="n">
        <v>3</v>
      </c>
      <c r="F26" t="n">
        <v>4.5</v>
      </c>
      <c r="G26" t="b">
        <v>0</v>
      </c>
      <c r="H26" t="inlineStr">
        <is>
          <t>0</t>
        </is>
      </c>
      <c r="J26" t="inlineStr">
        <is>
          <t>Min Damage Multiplier %</t>
        </is>
      </c>
      <c r="K26">
        <f>Sensitivity!H12</f>
        <v/>
      </c>
    </row>
    <row r="27">
      <c r="A27" t="inlineStr">
        <is>
          <t>ALL</t>
        </is>
      </c>
      <c r="B27" t="inlineStr">
        <is>
          <t>normal</t>
        </is>
      </c>
      <c r="C27" t="n">
        <v>2</v>
      </c>
      <c r="D27" t="inlineStr">
        <is>
          <t>Defense %</t>
        </is>
      </c>
      <c r="E27" t="n">
        <v>3</v>
      </c>
      <c r="F27" t="n">
        <v>9</v>
      </c>
      <c r="G27" t="b">
        <v>0</v>
      </c>
      <c r="H27" t="inlineStr">
        <is>
          <t>0</t>
        </is>
      </c>
      <c r="J27" t="inlineStr">
        <is>
          <t>Skill Cooldown Decrease (seconds)</t>
        </is>
      </c>
      <c r="K27">
        <f>Sensitivity!H27</f>
        <v/>
      </c>
    </row>
    <row r="28">
      <c r="A28" t="inlineStr">
        <is>
          <t>ALL</t>
        </is>
      </c>
      <c r="B28" t="inlineStr">
        <is>
          <t>normal</t>
        </is>
      </c>
      <c r="C28" t="n">
        <v>2</v>
      </c>
      <c r="D28" t="inlineStr">
        <is>
          <t>Max HP %</t>
        </is>
      </c>
      <c r="E28" t="n">
        <v>6</v>
      </c>
      <c r="F28" t="n">
        <v>9</v>
      </c>
      <c r="G28" t="b">
        <v>0</v>
      </c>
      <c r="H28" t="inlineStr">
        <is>
          <t>0</t>
        </is>
      </c>
      <c r="J28" t="inlineStr">
        <is>
          <t>Skill Damage %</t>
        </is>
      </c>
      <c r="K28">
        <f>Sensitivity!H19</f>
        <v/>
      </c>
    </row>
    <row r="29">
      <c r="A29" t="inlineStr">
        <is>
          <t>ALL</t>
        </is>
      </c>
      <c r="B29" t="inlineStr">
        <is>
          <t>normal</t>
        </is>
      </c>
      <c r="C29" t="n">
        <v>2</v>
      </c>
      <c r="D29" t="inlineStr">
        <is>
          <t>Max MP %</t>
        </is>
      </c>
      <c r="E29" t="n">
        <v>3</v>
      </c>
      <c r="F29" t="n">
        <v>9</v>
      </c>
      <c r="G29" t="b">
        <v>0</v>
      </c>
      <c r="H29" t="inlineStr">
        <is>
          <t>0</t>
        </is>
      </c>
      <c r="J29" t="inlineStr">
        <is>
          <t>Str</t>
        </is>
      </c>
      <c r="K29" t="inlineStr">
        <is>
          <t>0</t>
        </is>
      </c>
    </row>
    <row r="30">
      <c r="A30" t="inlineStr">
        <is>
          <t>ALL</t>
        </is>
      </c>
      <c r="B30" t="inlineStr">
        <is>
          <t>normal</t>
        </is>
      </c>
      <c r="C30" t="n">
        <v>2</v>
      </c>
      <c r="D30" t="inlineStr">
        <is>
          <t>Str</t>
        </is>
      </c>
      <c r="E30" t="n">
        <v>50</v>
      </c>
      <c r="F30" t="n">
        <v>9.5</v>
      </c>
      <c r="G30" t="b">
        <v>0</v>
      </c>
      <c r="H30" t="inlineStr">
        <is>
          <t>0</t>
        </is>
      </c>
      <c r="J30" t="inlineStr">
        <is>
          <t>Str %</t>
        </is>
      </c>
      <c r="K30" t="inlineStr">
        <is>
          <t>0</t>
        </is>
      </c>
    </row>
    <row r="31">
      <c r="A31" t="inlineStr">
        <is>
          <t>ALL</t>
        </is>
      </c>
      <c r="B31" t="inlineStr">
        <is>
          <t>normal</t>
        </is>
      </c>
      <c r="C31" t="n">
        <v>2</v>
      </c>
      <c r="D31" t="inlineStr">
        <is>
          <t>Dex</t>
        </is>
      </c>
      <c r="E31" t="n">
        <v>50</v>
      </c>
      <c r="F31" t="n">
        <v>9.5</v>
      </c>
      <c r="G31" t="b">
        <v>0</v>
      </c>
      <c r="H31" t="inlineStr">
        <is>
          <t>0</t>
        </is>
      </c>
    </row>
    <row r="32">
      <c r="A32" t="inlineStr">
        <is>
          <t>ALL</t>
        </is>
      </c>
      <c r="B32" t="inlineStr">
        <is>
          <t>normal</t>
        </is>
      </c>
      <c r="C32" t="n">
        <v>2</v>
      </c>
      <c r="D32" t="inlineStr">
        <is>
          <t>Int</t>
        </is>
      </c>
      <c r="E32" t="n">
        <v>50</v>
      </c>
      <c r="F32" t="n">
        <v>9.5</v>
      </c>
      <c r="G32" t="b">
        <v>0</v>
      </c>
      <c r="H32">
        <f>Sensitivity!H5</f>
        <v/>
      </c>
    </row>
    <row r="33">
      <c r="A33" t="inlineStr">
        <is>
          <t>ALL</t>
        </is>
      </c>
      <c r="B33" t="inlineStr">
        <is>
          <t>normal</t>
        </is>
      </c>
      <c r="C33" t="n">
        <v>2</v>
      </c>
      <c r="D33" t="inlineStr">
        <is>
          <t>Luk</t>
        </is>
      </c>
      <c r="E33" t="n">
        <v>50</v>
      </c>
      <c r="F33" t="n">
        <v>9.5</v>
      </c>
      <c r="G33" t="b">
        <v>0</v>
      </c>
      <c r="H33" t="inlineStr">
        <is>
          <t>0</t>
        </is>
      </c>
    </row>
    <row r="34">
      <c r="A34" t="inlineStr">
        <is>
          <t>ALL</t>
        </is>
      </c>
      <c r="B34" t="inlineStr">
        <is>
          <t>normal</t>
        </is>
      </c>
      <c r="C34" t="n">
        <v>3</v>
      </c>
      <c r="D34" t="inlineStr">
        <is>
          <t>Critical Rate %</t>
        </is>
      </c>
      <c r="E34" t="n">
        <v>3</v>
      </c>
      <c r="F34" t="n">
        <v>2.5</v>
      </c>
      <c r="G34" t="b">
        <v>0</v>
      </c>
      <c r="H34">
        <f>IF(Inputs!$B$8&gt;=100,Sensitivity!H15,Sensitivity!H14)</f>
        <v/>
      </c>
    </row>
    <row r="35">
      <c r="A35" t="inlineStr">
        <is>
          <t>ALL</t>
        </is>
      </c>
      <c r="B35" t="inlineStr">
        <is>
          <t>normal</t>
        </is>
      </c>
      <c r="C35" t="n">
        <v>3</v>
      </c>
      <c r="D35" t="inlineStr">
        <is>
          <t>Attack Speed %</t>
        </is>
      </c>
      <c r="E35" t="n">
        <v>3</v>
      </c>
      <c r="F35" t="n">
        <v>2.5</v>
      </c>
      <c r="G35" t="b">
        <v>0</v>
      </c>
      <c r="H35">
        <f>Sensitivity!H16</f>
        <v/>
      </c>
    </row>
    <row r="36">
      <c r="A36" t="inlineStr">
        <is>
          <t>ALL</t>
        </is>
      </c>
      <c r="B36" t="inlineStr">
        <is>
          <t>normal</t>
        </is>
      </c>
      <c r="C36" t="n">
        <v>3</v>
      </c>
      <c r="D36" t="inlineStr">
        <is>
          <t>Damage %</t>
        </is>
      </c>
      <c r="E36" t="n">
        <v>5</v>
      </c>
      <c r="F36" t="n">
        <v>4</v>
      </c>
      <c r="G36" t="b">
        <v>0</v>
      </c>
      <c r="H36">
        <f>Sensitivity!H7</f>
        <v/>
      </c>
    </row>
    <row r="37">
      <c r="A37" t="inlineStr">
        <is>
          <t>ALL</t>
        </is>
      </c>
      <c r="B37" t="inlineStr">
        <is>
          <t>normal</t>
        </is>
      </c>
      <c r="C37" t="n">
        <v>3</v>
      </c>
      <c r="D37" t="inlineStr">
        <is>
          <t>Min Damage Multiplier %</t>
        </is>
      </c>
      <c r="E37" t="n">
        <v>3</v>
      </c>
      <c r="F37" t="n">
        <v>4</v>
      </c>
      <c r="G37" t="b">
        <v>0</v>
      </c>
      <c r="H37">
        <f>Sensitivity!H12</f>
        <v/>
      </c>
    </row>
    <row r="38">
      <c r="A38" t="inlineStr">
        <is>
          <t>ALL</t>
        </is>
      </c>
      <c r="B38" t="inlineStr">
        <is>
          <t>normal</t>
        </is>
      </c>
      <c r="C38" t="n">
        <v>3</v>
      </c>
      <c r="D38" t="inlineStr">
        <is>
          <t>Max Damage Multiplier %</t>
        </is>
      </c>
      <c r="E38" t="n">
        <v>3</v>
      </c>
      <c r="F38" t="n">
        <v>4</v>
      </c>
      <c r="G38" t="b">
        <v>0</v>
      </c>
      <c r="H38">
        <f>Sensitivity!H13</f>
        <v/>
      </c>
    </row>
    <row r="39">
      <c r="A39" t="inlineStr">
        <is>
          <t>ALL</t>
        </is>
      </c>
      <c r="B39" t="inlineStr">
        <is>
          <t>normal</t>
        </is>
      </c>
      <c r="C39" t="n">
        <v>3</v>
      </c>
      <c r="D39" t="inlineStr">
        <is>
          <t>Str %</t>
        </is>
      </c>
      <c r="E39" t="n">
        <v>3</v>
      </c>
      <c r="F39" t="n">
        <v>4.5</v>
      </c>
      <c r="G39" t="b">
        <v>0</v>
      </c>
      <c r="H39" t="inlineStr">
        <is>
          <t>0</t>
        </is>
      </c>
    </row>
    <row r="40">
      <c r="A40" t="inlineStr">
        <is>
          <t>ALL</t>
        </is>
      </c>
      <c r="B40" t="inlineStr">
        <is>
          <t>normal</t>
        </is>
      </c>
      <c r="C40" t="n">
        <v>3</v>
      </c>
      <c r="D40" t="inlineStr">
        <is>
          <t>Dex %</t>
        </is>
      </c>
      <c r="E40" t="n">
        <v>3</v>
      </c>
      <c r="F40" t="n">
        <v>4.5</v>
      </c>
      <c r="G40" t="b">
        <v>0</v>
      </c>
      <c r="H40" t="inlineStr">
        <is>
          <t>0</t>
        </is>
      </c>
    </row>
    <row r="41">
      <c r="A41" t="inlineStr">
        <is>
          <t>ALL</t>
        </is>
      </c>
      <c r="B41" t="inlineStr">
        <is>
          <t>normal</t>
        </is>
      </c>
      <c r="C41" t="n">
        <v>3</v>
      </c>
      <c r="D41" t="inlineStr">
        <is>
          <t>Int %</t>
        </is>
      </c>
      <c r="E41" t="n">
        <v>3</v>
      </c>
      <c r="F41" t="n">
        <v>4.5</v>
      </c>
      <c r="G41" t="b">
        <v>0</v>
      </c>
      <c r="H41">
        <f>Sensitivity!H6</f>
        <v/>
      </c>
    </row>
    <row r="42">
      <c r="A42" t="inlineStr">
        <is>
          <t>ALL</t>
        </is>
      </c>
      <c r="B42" t="inlineStr">
        <is>
          <t>normal</t>
        </is>
      </c>
      <c r="C42" t="n">
        <v>3</v>
      </c>
      <c r="D42" t="inlineStr">
        <is>
          <t>Luk %</t>
        </is>
      </c>
      <c r="E42" t="n">
        <v>3</v>
      </c>
      <c r="F42" t="n">
        <v>4.5</v>
      </c>
      <c r="G42" t="b">
        <v>0</v>
      </c>
      <c r="H42" t="inlineStr">
        <is>
          <t>0</t>
        </is>
      </c>
    </row>
    <row r="43">
      <c r="A43" t="inlineStr">
        <is>
          <t>ALL</t>
        </is>
      </c>
      <c r="B43" t="inlineStr">
        <is>
          <t>normal</t>
        </is>
      </c>
      <c r="C43" t="n">
        <v>3</v>
      </c>
      <c r="D43" t="inlineStr">
        <is>
          <t>Defense %</t>
        </is>
      </c>
      <c r="E43" t="n">
        <v>3</v>
      </c>
      <c r="F43" t="n">
        <v>9</v>
      </c>
      <c r="G43" t="b">
        <v>0</v>
      </c>
      <c r="H43" t="inlineStr">
        <is>
          <t>0</t>
        </is>
      </c>
    </row>
    <row r="44">
      <c r="A44" t="inlineStr">
        <is>
          <t>ALL</t>
        </is>
      </c>
      <c r="B44" t="inlineStr">
        <is>
          <t>normal</t>
        </is>
      </c>
      <c r="C44" t="n">
        <v>3</v>
      </c>
      <c r="D44" t="inlineStr">
        <is>
          <t>Max HP %</t>
        </is>
      </c>
      <c r="E44" t="n">
        <v>6</v>
      </c>
      <c r="F44" t="n">
        <v>9</v>
      </c>
      <c r="G44" t="b">
        <v>0</v>
      </c>
      <c r="H44" t="inlineStr">
        <is>
          <t>0</t>
        </is>
      </c>
    </row>
    <row r="45">
      <c r="A45" t="inlineStr">
        <is>
          <t>ALL</t>
        </is>
      </c>
      <c r="B45" t="inlineStr">
        <is>
          <t>normal</t>
        </is>
      </c>
      <c r="C45" t="n">
        <v>3</v>
      </c>
      <c r="D45" t="inlineStr">
        <is>
          <t>Max MP %</t>
        </is>
      </c>
      <c r="E45" t="n">
        <v>3</v>
      </c>
      <c r="F45" t="n">
        <v>9</v>
      </c>
      <c r="G45" t="b">
        <v>0</v>
      </c>
      <c r="H45" t="inlineStr">
        <is>
          <t>0</t>
        </is>
      </c>
    </row>
    <row r="46">
      <c r="A46" t="inlineStr">
        <is>
          <t>ALL</t>
        </is>
      </c>
      <c r="B46" t="inlineStr">
        <is>
          <t>normal</t>
        </is>
      </c>
      <c r="C46" t="n">
        <v>3</v>
      </c>
      <c r="D46" t="inlineStr">
        <is>
          <t>Str</t>
        </is>
      </c>
      <c r="E46" t="n">
        <v>50</v>
      </c>
      <c r="F46" t="n">
        <v>9.5</v>
      </c>
      <c r="G46" t="b">
        <v>0</v>
      </c>
      <c r="H46" t="inlineStr">
        <is>
          <t>0</t>
        </is>
      </c>
    </row>
    <row r="47">
      <c r="A47" t="inlineStr">
        <is>
          <t>ALL</t>
        </is>
      </c>
      <c r="B47" t="inlineStr">
        <is>
          <t>normal</t>
        </is>
      </c>
      <c r="C47" t="n">
        <v>3</v>
      </c>
      <c r="D47" t="inlineStr">
        <is>
          <t>Dex</t>
        </is>
      </c>
      <c r="E47" t="n">
        <v>50</v>
      </c>
      <c r="F47" t="n">
        <v>9.5</v>
      </c>
      <c r="G47" t="b">
        <v>0</v>
      </c>
      <c r="H47" t="inlineStr">
        <is>
          <t>0</t>
        </is>
      </c>
    </row>
    <row r="48">
      <c r="A48" t="inlineStr">
        <is>
          <t>ALL</t>
        </is>
      </c>
      <c r="B48" t="inlineStr">
        <is>
          <t>normal</t>
        </is>
      </c>
      <c r="C48" t="n">
        <v>3</v>
      </c>
      <c r="D48" t="inlineStr">
        <is>
          <t>Int</t>
        </is>
      </c>
      <c r="E48" t="n">
        <v>50</v>
      </c>
      <c r="F48" t="n">
        <v>9.5</v>
      </c>
      <c r="G48" t="b">
        <v>0</v>
      </c>
      <c r="H48">
        <f>Sensitivity!H5</f>
        <v/>
      </c>
    </row>
    <row r="49">
      <c r="A49" t="inlineStr">
        <is>
          <t>ALL</t>
        </is>
      </c>
      <c r="B49" t="inlineStr">
        <is>
          <t>normal</t>
        </is>
      </c>
      <c r="C49" t="n">
        <v>3</v>
      </c>
      <c r="D49" t="inlineStr">
        <is>
          <t>Luk</t>
        </is>
      </c>
      <c r="E49" t="n">
        <v>50</v>
      </c>
      <c r="F49" t="n">
        <v>9.5</v>
      </c>
      <c r="G49" t="b">
        <v>0</v>
      </c>
      <c r="H49" t="inlineStr">
        <is>
          <t>0</t>
        </is>
      </c>
    </row>
    <row r="50">
      <c r="A50" t="inlineStr">
        <is>
          <t>ALL</t>
        </is>
      </c>
      <c r="B50" t="inlineStr">
        <is>
          <t>rare</t>
        </is>
      </c>
      <c r="C50" t="n">
        <v>1</v>
      </c>
      <c r="D50" t="inlineStr">
        <is>
          <t>Critical Rate %</t>
        </is>
      </c>
      <c r="E50" t="n">
        <v>4.5</v>
      </c>
      <c r="F50" t="n">
        <v>2.5</v>
      </c>
      <c r="G50" t="b">
        <v>1</v>
      </c>
      <c r="H50">
        <f>IF(Inputs!$B$8&gt;=100,Sensitivity!H15,Sensitivity!H14)</f>
        <v/>
      </c>
    </row>
    <row r="51">
      <c r="A51" t="inlineStr">
        <is>
          <t>ALL</t>
        </is>
      </c>
      <c r="B51" t="inlineStr">
        <is>
          <t>rare</t>
        </is>
      </c>
      <c r="C51" t="n">
        <v>1</v>
      </c>
      <c r="D51" t="inlineStr">
        <is>
          <t>Attack Speed %</t>
        </is>
      </c>
      <c r="E51" t="n">
        <v>3.5</v>
      </c>
      <c r="F51" t="n">
        <v>2.5</v>
      </c>
      <c r="G51" t="b">
        <v>1</v>
      </c>
      <c r="H51">
        <f>Sensitivity!H16</f>
        <v/>
      </c>
    </row>
    <row r="52">
      <c r="A52" t="inlineStr">
        <is>
          <t>ALL</t>
        </is>
      </c>
      <c r="B52" t="inlineStr">
        <is>
          <t>rare</t>
        </is>
      </c>
      <c r="C52" t="n">
        <v>1</v>
      </c>
      <c r="D52" t="inlineStr">
        <is>
          <t>Damage %</t>
        </is>
      </c>
      <c r="E52" t="n">
        <v>8</v>
      </c>
      <c r="F52" t="n">
        <v>4</v>
      </c>
      <c r="G52" t="b">
        <v>1</v>
      </c>
      <c r="H52">
        <f>Sensitivity!H7</f>
        <v/>
      </c>
    </row>
    <row r="53">
      <c r="A53" t="inlineStr">
        <is>
          <t>ALL</t>
        </is>
      </c>
      <c r="B53" t="inlineStr">
        <is>
          <t>rare</t>
        </is>
      </c>
      <c r="C53" t="n">
        <v>1</v>
      </c>
      <c r="D53" t="inlineStr">
        <is>
          <t>Min Damage Multiplier %</t>
        </is>
      </c>
      <c r="E53" t="n">
        <v>6</v>
      </c>
      <c r="F53" t="n">
        <v>4</v>
      </c>
      <c r="G53" t="b">
        <v>1</v>
      </c>
      <c r="H53">
        <f>Sensitivity!H12</f>
        <v/>
      </c>
    </row>
    <row r="54">
      <c r="A54" t="inlineStr">
        <is>
          <t>ALL</t>
        </is>
      </c>
      <c r="B54" t="inlineStr">
        <is>
          <t>rare</t>
        </is>
      </c>
      <c r="C54" t="n">
        <v>1</v>
      </c>
      <c r="D54" t="inlineStr">
        <is>
          <t>Max Damage Multiplier %</t>
        </is>
      </c>
      <c r="E54" t="n">
        <v>6</v>
      </c>
      <c r="F54" t="n">
        <v>4</v>
      </c>
      <c r="G54" t="b">
        <v>1</v>
      </c>
      <c r="H54">
        <f>Sensitivity!H13</f>
        <v/>
      </c>
    </row>
    <row r="55">
      <c r="A55" t="inlineStr">
        <is>
          <t>ALL</t>
        </is>
      </c>
      <c r="B55" t="inlineStr">
        <is>
          <t>rare</t>
        </is>
      </c>
      <c r="C55" t="n">
        <v>1</v>
      </c>
      <c r="D55" t="inlineStr">
        <is>
          <t>Str %</t>
        </is>
      </c>
      <c r="E55" t="n">
        <v>4.5</v>
      </c>
      <c r="F55" t="n">
        <v>4.5</v>
      </c>
      <c r="G55" t="b">
        <v>1</v>
      </c>
      <c r="H55" t="inlineStr">
        <is>
          <t>0</t>
        </is>
      </c>
    </row>
    <row r="56">
      <c r="A56" t="inlineStr">
        <is>
          <t>ALL</t>
        </is>
      </c>
      <c r="B56" t="inlineStr">
        <is>
          <t>rare</t>
        </is>
      </c>
      <c r="C56" t="n">
        <v>1</v>
      </c>
      <c r="D56" t="inlineStr">
        <is>
          <t>Dex %</t>
        </is>
      </c>
      <c r="E56" t="n">
        <v>4.5</v>
      </c>
      <c r="F56" t="n">
        <v>4.5</v>
      </c>
      <c r="G56" t="b">
        <v>1</v>
      </c>
      <c r="H56" t="inlineStr">
        <is>
          <t>0</t>
        </is>
      </c>
    </row>
    <row r="57">
      <c r="A57" t="inlineStr">
        <is>
          <t>ALL</t>
        </is>
      </c>
      <c r="B57" t="inlineStr">
        <is>
          <t>rare</t>
        </is>
      </c>
      <c r="C57" t="n">
        <v>1</v>
      </c>
      <c r="D57" t="inlineStr">
        <is>
          <t>Int %</t>
        </is>
      </c>
      <c r="E57" t="n">
        <v>4.5</v>
      </c>
      <c r="F57" t="n">
        <v>4.5</v>
      </c>
      <c r="G57" t="b">
        <v>1</v>
      </c>
      <c r="H57">
        <f>Sensitivity!H6</f>
        <v/>
      </c>
    </row>
    <row r="58">
      <c r="A58" t="inlineStr">
        <is>
          <t>ALL</t>
        </is>
      </c>
      <c r="B58" t="inlineStr">
        <is>
          <t>rare</t>
        </is>
      </c>
      <c r="C58" t="n">
        <v>1</v>
      </c>
      <c r="D58" t="inlineStr">
        <is>
          <t>Luk %</t>
        </is>
      </c>
      <c r="E58" t="n">
        <v>4.5</v>
      </c>
      <c r="F58" t="n">
        <v>4.5</v>
      </c>
      <c r="G58" t="b">
        <v>1</v>
      </c>
      <c r="H58" t="inlineStr">
        <is>
          <t>0</t>
        </is>
      </c>
    </row>
    <row r="59">
      <c r="A59" t="inlineStr">
        <is>
          <t>ALL</t>
        </is>
      </c>
      <c r="B59" t="inlineStr">
        <is>
          <t>rare</t>
        </is>
      </c>
      <c r="C59" t="n">
        <v>1</v>
      </c>
      <c r="D59" t="inlineStr">
        <is>
          <t>Defense %</t>
        </is>
      </c>
      <c r="E59" t="n">
        <v>4.5</v>
      </c>
      <c r="F59" t="n">
        <v>9</v>
      </c>
      <c r="G59" t="b">
        <v>1</v>
      </c>
      <c r="H59" t="inlineStr">
        <is>
          <t>0</t>
        </is>
      </c>
    </row>
    <row r="60">
      <c r="A60" t="inlineStr">
        <is>
          <t>ALL</t>
        </is>
      </c>
      <c r="B60" t="inlineStr">
        <is>
          <t>rare</t>
        </is>
      </c>
      <c r="C60" t="n">
        <v>1</v>
      </c>
      <c r="D60" t="inlineStr">
        <is>
          <t>Max HP %</t>
        </is>
      </c>
      <c r="E60" t="n">
        <v>9</v>
      </c>
      <c r="F60" t="n">
        <v>9</v>
      </c>
      <c r="G60" t="b">
        <v>1</v>
      </c>
      <c r="H60" t="inlineStr">
        <is>
          <t>0</t>
        </is>
      </c>
    </row>
    <row r="61">
      <c r="A61" t="inlineStr">
        <is>
          <t>ALL</t>
        </is>
      </c>
      <c r="B61" t="inlineStr">
        <is>
          <t>rare</t>
        </is>
      </c>
      <c r="C61" t="n">
        <v>1</v>
      </c>
      <c r="D61" t="inlineStr">
        <is>
          <t>Max MP %</t>
        </is>
      </c>
      <c r="E61" t="n">
        <v>4.5</v>
      </c>
      <c r="F61" t="n">
        <v>9</v>
      </c>
      <c r="G61" t="b">
        <v>1</v>
      </c>
      <c r="H61" t="inlineStr">
        <is>
          <t>0</t>
        </is>
      </c>
    </row>
    <row r="62">
      <c r="A62" t="inlineStr">
        <is>
          <t>ALL</t>
        </is>
      </c>
      <c r="B62" t="inlineStr">
        <is>
          <t>rare</t>
        </is>
      </c>
      <c r="C62" t="n">
        <v>1</v>
      </c>
      <c r="D62" t="inlineStr">
        <is>
          <t>Str</t>
        </is>
      </c>
      <c r="E62" t="n">
        <v>100</v>
      </c>
      <c r="F62" t="n">
        <v>9.5</v>
      </c>
      <c r="G62" t="b">
        <v>1</v>
      </c>
      <c r="H62" t="inlineStr">
        <is>
          <t>0</t>
        </is>
      </c>
    </row>
    <row r="63">
      <c r="A63" t="inlineStr">
        <is>
          <t>ALL</t>
        </is>
      </c>
      <c r="B63" t="inlineStr">
        <is>
          <t>rare</t>
        </is>
      </c>
      <c r="C63" t="n">
        <v>1</v>
      </c>
      <c r="D63" t="inlineStr">
        <is>
          <t>Dex</t>
        </is>
      </c>
      <c r="E63" t="n">
        <v>100</v>
      </c>
      <c r="F63" t="n">
        <v>9.5</v>
      </c>
      <c r="G63" t="b">
        <v>1</v>
      </c>
      <c r="H63" t="inlineStr">
        <is>
          <t>0</t>
        </is>
      </c>
    </row>
    <row r="64">
      <c r="A64" t="inlineStr">
        <is>
          <t>ALL</t>
        </is>
      </c>
      <c r="B64" t="inlineStr">
        <is>
          <t>rare</t>
        </is>
      </c>
      <c r="C64" t="n">
        <v>1</v>
      </c>
      <c r="D64" t="inlineStr">
        <is>
          <t>Int</t>
        </is>
      </c>
      <c r="E64" t="n">
        <v>100</v>
      </c>
      <c r="F64" t="n">
        <v>9.5</v>
      </c>
      <c r="G64" t="b">
        <v>1</v>
      </c>
      <c r="H64">
        <f>Sensitivity!H5</f>
        <v/>
      </c>
    </row>
    <row r="65">
      <c r="A65" t="inlineStr">
        <is>
          <t>ALL</t>
        </is>
      </c>
      <c r="B65" t="inlineStr">
        <is>
          <t>rare</t>
        </is>
      </c>
      <c r="C65" t="n">
        <v>1</v>
      </c>
      <c r="D65" t="inlineStr">
        <is>
          <t>Luk</t>
        </is>
      </c>
      <c r="E65" t="n">
        <v>100</v>
      </c>
      <c r="F65" t="n">
        <v>9.5</v>
      </c>
      <c r="G65" t="b">
        <v>1</v>
      </c>
      <c r="H65" t="inlineStr">
        <is>
          <t>0</t>
        </is>
      </c>
    </row>
    <row r="66">
      <c r="A66" t="inlineStr">
        <is>
          <t>ALL</t>
        </is>
      </c>
      <c r="B66" t="inlineStr">
        <is>
          <t>rare</t>
        </is>
      </c>
      <c r="C66" t="n">
        <v>2</v>
      </c>
      <c r="D66" t="inlineStr">
        <is>
          <t>Critical Rate %</t>
        </is>
      </c>
      <c r="E66" t="n">
        <v>3</v>
      </c>
      <c r="F66" t="n">
        <v>1.9</v>
      </c>
      <c r="G66" t="b">
        <v>0</v>
      </c>
      <c r="H66">
        <f>IF(Inputs!$B$8&gt;=100,Sensitivity!H15,Sensitivity!H14)</f>
        <v/>
      </c>
    </row>
    <row r="67">
      <c r="A67" t="inlineStr">
        <is>
          <t>ALL</t>
        </is>
      </c>
      <c r="B67" t="inlineStr">
        <is>
          <t>rare</t>
        </is>
      </c>
      <c r="C67" t="n">
        <v>2</v>
      </c>
      <c r="D67" t="inlineStr">
        <is>
          <t>Critical Rate %</t>
        </is>
      </c>
      <c r="E67" t="n">
        <v>4.5</v>
      </c>
      <c r="F67" t="n">
        <v>0.6</v>
      </c>
      <c r="G67" t="b">
        <v>1</v>
      </c>
      <c r="H67">
        <f>IF(Inputs!$B$8&gt;=100,Sensitivity!H15,Sensitivity!H14)</f>
        <v/>
      </c>
    </row>
    <row r="68">
      <c r="A68" t="inlineStr">
        <is>
          <t>ALL</t>
        </is>
      </c>
      <c r="B68" t="inlineStr">
        <is>
          <t>rare</t>
        </is>
      </c>
      <c r="C68" t="n">
        <v>2</v>
      </c>
      <c r="D68" t="inlineStr">
        <is>
          <t>Attack Speed %</t>
        </is>
      </c>
      <c r="E68" t="n">
        <v>3</v>
      </c>
      <c r="F68" t="n">
        <v>1.9</v>
      </c>
      <c r="G68" t="b">
        <v>0</v>
      </c>
      <c r="H68">
        <f>Sensitivity!H16</f>
        <v/>
      </c>
    </row>
    <row r="69">
      <c r="A69" t="inlineStr">
        <is>
          <t>ALL</t>
        </is>
      </c>
      <c r="B69" t="inlineStr">
        <is>
          <t>rare</t>
        </is>
      </c>
      <c r="C69" t="n">
        <v>2</v>
      </c>
      <c r="D69" t="inlineStr">
        <is>
          <t>Attack Speed %</t>
        </is>
      </c>
      <c r="E69" t="n">
        <v>3.5</v>
      </c>
      <c r="F69" t="n">
        <v>0.6</v>
      </c>
      <c r="G69" t="b">
        <v>1</v>
      </c>
      <c r="H69">
        <f>Sensitivity!H16</f>
        <v/>
      </c>
    </row>
    <row r="70">
      <c r="A70" t="inlineStr">
        <is>
          <t>ALL</t>
        </is>
      </c>
      <c r="B70" t="inlineStr">
        <is>
          <t>rare</t>
        </is>
      </c>
      <c r="C70" t="n">
        <v>2</v>
      </c>
      <c r="D70" t="inlineStr">
        <is>
          <t>Damage %</t>
        </is>
      </c>
      <c r="E70" t="n">
        <v>5</v>
      </c>
      <c r="F70" t="n">
        <v>3.04</v>
      </c>
      <c r="G70" t="b">
        <v>0</v>
      </c>
      <c r="H70">
        <f>Sensitivity!H7</f>
        <v/>
      </c>
    </row>
    <row r="71">
      <c r="A71" t="inlineStr">
        <is>
          <t>ALL</t>
        </is>
      </c>
      <c r="B71" t="inlineStr">
        <is>
          <t>rare</t>
        </is>
      </c>
      <c r="C71" t="n">
        <v>2</v>
      </c>
      <c r="D71" t="inlineStr">
        <is>
          <t>Damage %</t>
        </is>
      </c>
      <c r="E71" t="n">
        <v>8</v>
      </c>
      <c r="F71" t="n">
        <v>0.96</v>
      </c>
      <c r="G71" t="b">
        <v>1</v>
      </c>
      <c r="H71">
        <f>Sensitivity!H7</f>
        <v/>
      </c>
    </row>
    <row r="72">
      <c r="A72" t="inlineStr">
        <is>
          <t>ALL</t>
        </is>
      </c>
      <c r="B72" t="inlineStr">
        <is>
          <t>rare</t>
        </is>
      </c>
      <c r="C72" t="n">
        <v>2</v>
      </c>
      <c r="D72" t="inlineStr">
        <is>
          <t>Min Damage Multiplier %</t>
        </is>
      </c>
      <c r="E72" t="n">
        <v>3</v>
      </c>
      <c r="F72" t="n">
        <v>3.04</v>
      </c>
      <c r="G72" t="b">
        <v>0</v>
      </c>
      <c r="H72">
        <f>Sensitivity!H12</f>
        <v/>
      </c>
    </row>
    <row r="73">
      <c r="A73" t="inlineStr">
        <is>
          <t>ALL</t>
        </is>
      </c>
      <c r="B73" t="inlineStr">
        <is>
          <t>rare</t>
        </is>
      </c>
      <c r="C73" t="n">
        <v>2</v>
      </c>
      <c r="D73" t="inlineStr">
        <is>
          <t>Min Damage Multiplier %</t>
        </is>
      </c>
      <c r="E73" t="n">
        <v>6</v>
      </c>
      <c r="F73" t="n">
        <v>0.96</v>
      </c>
      <c r="G73" t="b">
        <v>1</v>
      </c>
      <c r="H73">
        <f>Sensitivity!H12</f>
        <v/>
      </c>
    </row>
    <row r="74">
      <c r="A74" t="inlineStr">
        <is>
          <t>ALL</t>
        </is>
      </c>
      <c r="B74" t="inlineStr">
        <is>
          <t>rare</t>
        </is>
      </c>
      <c r="C74" t="n">
        <v>2</v>
      </c>
      <c r="D74" t="inlineStr">
        <is>
          <t>Max Damage Multiplier %</t>
        </is>
      </c>
      <c r="E74" t="n">
        <v>3</v>
      </c>
      <c r="F74" t="n">
        <v>3.04</v>
      </c>
      <c r="G74" t="b">
        <v>0</v>
      </c>
      <c r="H74">
        <f>Sensitivity!H13</f>
        <v/>
      </c>
    </row>
    <row r="75">
      <c r="A75" t="inlineStr">
        <is>
          <t>ALL</t>
        </is>
      </c>
      <c r="B75" t="inlineStr">
        <is>
          <t>rare</t>
        </is>
      </c>
      <c r="C75" t="n">
        <v>2</v>
      </c>
      <c r="D75" t="inlineStr">
        <is>
          <t>Max Damage Multiplier %</t>
        </is>
      </c>
      <c r="E75" t="n">
        <v>6</v>
      </c>
      <c r="F75" t="n">
        <v>0.96</v>
      </c>
      <c r="G75" t="b">
        <v>1</v>
      </c>
      <c r="H75">
        <f>Sensitivity!H13</f>
        <v/>
      </c>
    </row>
    <row r="76">
      <c r="A76" t="inlineStr">
        <is>
          <t>ALL</t>
        </is>
      </c>
      <c r="B76" t="inlineStr">
        <is>
          <t>rare</t>
        </is>
      </c>
      <c r="C76" t="n">
        <v>2</v>
      </c>
      <c r="D76" t="inlineStr">
        <is>
          <t>Str %</t>
        </is>
      </c>
      <c r="E76" t="n">
        <v>3</v>
      </c>
      <c r="F76" t="n">
        <v>3.42</v>
      </c>
      <c r="G76" t="b">
        <v>0</v>
      </c>
      <c r="H76" t="inlineStr">
        <is>
          <t>0</t>
        </is>
      </c>
    </row>
    <row r="77">
      <c r="A77" t="inlineStr">
        <is>
          <t>ALL</t>
        </is>
      </c>
      <c r="B77" t="inlineStr">
        <is>
          <t>rare</t>
        </is>
      </c>
      <c r="C77" t="n">
        <v>2</v>
      </c>
      <c r="D77" t="inlineStr">
        <is>
          <t>Str %</t>
        </is>
      </c>
      <c r="E77" t="n">
        <v>4.5</v>
      </c>
      <c r="F77" t="n">
        <v>1.08</v>
      </c>
      <c r="G77" t="b">
        <v>1</v>
      </c>
      <c r="H77" t="inlineStr">
        <is>
          <t>0</t>
        </is>
      </c>
    </row>
    <row r="78">
      <c r="A78" t="inlineStr">
        <is>
          <t>ALL</t>
        </is>
      </c>
      <c r="B78" t="inlineStr">
        <is>
          <t>rare</t>
        </is>
      </c>
      <c r="C78" t="n">
        <v>2</v>
      </c>
      <c r="D78" t="inlineStr">
        <is>
          <t>Dex %</t>
        </is>
      </c>
      <c r="E78" t="n">
        <v>3</v>
      </c>
      <c r="F78" t="n">
        <v>3.42</v>
      </c>
      <c r="G78" t="b">
        <v>0</v>
      </c>
      <c r="H78" t="inlineStr">
        <is>
          <t>0</t>
        </is>
      </c>
    </row>
    <row r="79">
      <c r="A79" t="inlineStr">
        <is>
          <t>ALL</t>
        </is>
      </c>
      <c r="B79" t="inlineStr">
        <is>
          <t>rare</t>
        </is>
      </c>
      <c r="C79" t="n">
        <v>2</v>
      </c>
      <c r="D79" t="inlineStr">
        <is>
          <t>Dex %</t>
        </is>
      </c>
      <c r="E79" t="n">
        <v>4.5</v>
      </c>
      <c r="F79" t="n">
        <v>1.08</v>
      </c>
      <c r="G79" t="b">
        <v>1</v>
      </c>
      <c r="H79" t="inlineStr">
        <is>
          <t>0</t>
        </is>
      </c>
    </row>
    <row r="80">
      <c r="A80" t="inlineStr">
        <is>
          <t>ALL</t>
        </is>
      </c>
      <c r="B80" t="inlineStr">
        <is>
          <t>rare</t>
        </is>
      </c>
      <c r="C80" t="n">
        <v>2</v>
      </c>
      <c r="D80" t="inlineStr">
        <is>
          <t>Int %</t>
        </is>
      </c>
      <c r="E80" t="n">
        <v>3</v>
      </c>
      <c r="F80" t="n">
        <v>3.42</v>
      </c>
      <c r="G80" t="b">
        <v>0</v>
      </c>
      <c r="H80">
        <f>Sensitivity!H6</f>
        <v/>
      </c>
    </row>
    <row r="81">
      <c r="A81" t="inlineStr">
        <is>
          <t>ALL</t>
        </is>
      </c>
      <c r="B81" t="inlineStr">
        <is>
          <t>rare</t>
        </is>
      </c>
      <c r="C81" t="n">
        <v>2</v>
      </c>
      <c r="D81" t="inlineStr">
        <is>
          <t>Int %</t>
        </is>
      </c>
      <c r="E81" t="n">
        <v>4.5</v>
      </c>
      <c r="F81" t="n">
        <v>1.08</v>
      </c>
      <c r="G81" t="b">
        <v>1</v>
      </c>
      <c r="H81">
        <f>Sensitivity!H6</f>
        <v/>
      </c>
    </row>
    <row r="82">
      <c r="A82" t="inlineStr">
        <is>
          <t>ALL</t>
        </is>
      </c>
      <c r="B82" t="inlineStr">
        <is>
          <t>rare</t>
        </is>
      </c>
      <c r="C82" t="n">
        <v>2</v>
      </c>
      <c r="D82" t="inlineStr">
        <is>
          <t>Luk %</t>
        </is>
      </c>
      <c r="E82" t="n">
        <v>3</v>
      </c>
      <c r="F82" t="n">
        <v>3.42</v>
      </c>
      <c r="G82" t="b">
        <v>0</v>
      </c>
      <c r="H82" t="inlineStr">
        <is>
          <t>0</t>
        </is>
      </c>
    </row>
    <row r="83">
      <c r="A83" t="inlineStr">
        <is>
          <t>ALL</t>
        </is>
      </c>
      <c r="B83" t="inlineStr">
        <is>
          <t>rare</t>
        </is>
      </c>
      <c r="C83" t="n">
        <v>2</v>
      </c>
      <c r="D83" t="inlineStr">
        <is>
          <t>Luk %</t>
        </is>
      </c>
      <c r="E83" t="n">
        <v>4.5</v>
      </c>
      <c r="F83" t="n">
        <v>1.08</v>
      </c>
      <c r="G83" t="b">
        <v>1</v>
      </c>
      <c r="H83" t="inlineStr">
        <is>
          <t>0</t>
        </is>
      </c>
    </row>
    <row r="84">
      <c r="A84" t="inlineStr">
        <is>
          <t>ALL</t>
        </is>
      </c>
      <c r="B84" t="inlineStr">
        <is>
          <t>rare</t>
        </is>
      </c>
      <c r="C84" t="n">
        <v>2</v>
      </c>
      <c r="D84" t="inlineStr">
        <is>
          <t>Defense %</t>
        </is>
      </c>
      <c r="E84" t="n">
        <v>3</v>
      </c>
      <c r="F84" t="n">
        <v>6.84</v>
      </c>
      <c r="G84" t="b">
        <v>0</v>
      </c>
      <c r="H84" t="inlineStr">
        <is>
          <t>0</t>
        </is>
      </c>
    </row>
    <row r="85">
      <c r="A85" t="inlineStr">
        <is>
          <t>ALL</t>
        </is>
      </c>
      <c r="B85" t="inlineStr">
        <is>
          <t>rare</t>
        </is>
      </c>
      <c r="C85" t="n">
        <v>2</v>
      </c>
      <c r="D85" t="inlineStr">
        <is>
          <t>Defense %</t>
        </is>
      </c>
      <c r="E85" t="n">
        <v>4.5</v>
      </c>
      <c r="F85" t="n">
        <v>2.16</v>
      </c>
      <c r="G85" t="b">
        <v>1</v>
      </c>
      <c r="H85" t="inlineStr">
        <is>
          <t>0</t>
        </is>
      </c>
    </row>
    <row r="86">
      <c r="A86" t="inlineStr">
        <is>
          <t>ALL</t>
        </is>
      </c>
      <c r="B86" t="inlineStr">
        <is>
          <t>rare</t>
        </is>
      </c>
      <c r="C86" t="n">
        <v>2</v>
      </c>
      <c r="D86" t="inlineStr">
        <is>
          <t>Max HP %</t>
        </is>
      </c>
      <c r="E86" t="n">
        <v>6</v>
      </c>
      <c r="F86" t="n">
        <v>6.84</v>
      </c>
      <c r="G86" t="b">
        <v>0</v>
      </c>
      <c r="H86" t="inlineStr">
        <is>
          <t>0</t>
        </is>
      </c>
    </row>
    <row r="87">
      <c r="A87" t="inlineStr">
        <is>
          <t>ALL</t>
        </is>
      </c>
      <c r="B87" t="inlineStr">
        <is>
          <t>rare</t>
        </is>
      </c>
      <c r="C87" t="n">
        <v>2</v>
      </c>
      <c r="D87" t="inlineStr">
        <is>
          <t>Max HP %</t>
        </is>
      </c>
      <c r="E87" t="n">
        <v>9</v>
      </c>
      <c r="F87" t="n">
        <v>2.16</v>
      </c>
      <c r="G87" t="b">
        <v>1</v>
      </c>
      <c r="H87" t="inlineStr">
        <is>
          <t>0</t>
        </is>
      </c>
    </row>
    <row r="88">
      <c r="A88" t="inlineStr">
        <is>
          <t>ALL</t>
        </is>
      </c>
      <c r="B88" t="inlineStr">
        <is>
          <t>rare</t>
        </is>
      </c>
      <c r="C88" t="n">
        <v>2</v>
      </c>
      <c r="D88" t="inlineStr">
        <is>
          <t>Max MP %</t>
        </is>
      </c>
      <c r="E88" t="n">
        <v>3</v>
      </c>
      <c r="F88" t="n">
        <v>6.84</v>
      </c>
      <c r="G88" t="b">
        <v>0</v>
      </c>
      <c r="H88" t="inlineStr">
        <is>
          <t>0</t>
        </is>
      </c>
    </row>
    <row r="89">
      <c r="A89" t="inlineStr">
        <is>
          <t>ALL</t>
        </is>
      </c>
      <c r="B89" t="inlineStr">
        <is>
          <t>rare</t>
        </is>
      </c>
      <c r="C89" t="n">
        <v>2</v>
      </c>
      <c r="D89" t="inlineStr">
        <is>
          <t>Max MP %</t>
        </is>
      </c>
      <c r="E89" t="n">
        <v>4.5</v>
      </c>
      <c r="F89" t="n">
        <v>2.16</v>
      </c>
      <c r="G89" t="b">
        <v>1</v>
      </c>
      <c r="H89" t="inlineStr">
        <is>
          <t>0</t>
        </is>
      </c>
    </row>
    <row r="90">
      <c r="A90" t="inlineStr">
        <is>
          <t>ALL</t>
        </is>
      </c>
      <c r="B90" t="inlineStr">
        <is>
          <t>rare</t>
        </is>
      </c>
      <c r="C90" t="n">
        <v>2</v>
      </c>
      <c r="D90" t="inlineStr">
        <is>
          <t>Str</t>
        </is>
      </c>
      <c r="E90" t="n">
        <v>50</v>
      </c>
      <c r="F90" t="n">
        <v>7.22</v>
      </c>
      <c r="G90" t="b">
        <v>0</v>
      </c>
      <c r="H90" t="inlineStr">
        <is>
          <t>0</t>
        </is>
      </c>
    </row>
    <row r="91">
      <c r="A91" t="inlineStr">
        <is>
          <t>ALL</t>
        </is>
      </c>
      <c r="B91" t="inlineStr">
        <is>
          <t>rare</t>
        </is>
      </c>
      <c r="C91" t="n">
        <v>2</v>
      </c>
      <c r="D91" t="inlineStr">
        <is>
          <t>Str</t>
        </is>
      </c>
      <c r="E91" t="n">
        <v>100</v>
      </c>
      <c r="F91" t="n">
        <v>2.28</v>
      </c>
      <c r="G91" t="b">
        <v>1</v>
      </c>
      <c r="H91" t="inlineStr">
        <is>
          <t>0</t>
        </is>
      </c>
    </row>
    <row r="92">
      <c r="A92" t="inlineStr">
        <is>
          <t>ALL</t>
        </is>
      </c>
      <c r="B92" t="inlineStr">
        <is>
          <t>rare</t>
        </is>
      </c>
      <c r="C92" t="n">
        <v>2</v>
      </c>
      <c r="D92" t="inlineStr">
        <is>
          <t>Dex</t>
        </is>
      </c>
      <c r="E92" t="n">
        <v>50</v>
      </c>
      <c r="F92" t="n">
        <v>7.22</v>
      </c>
      <c r="G92" t="b">
        <v>0</v>
      </c>
      <c r="H92" t="inlineStr">
        <is>
          <t>0</t>
        </is>
      </c>
    </row>
    <row r="93">
      <c r="A93" t="inlineStr">
        <is>
          <t>ALL</t>
        </is>
      </c>
      <c r="B93" t="inlineStr">
        <is>
          <t>rare</t>
        </is>
      </c>
      <c r="C93" t="n">
        <v>2</v>
      </c>
      <c r="D93" t="inlineStr">
        <is>
          <t>Dex</t>
        </is>
      </c>
      <c r="E93" t="n">
        <v>100</v>
      </c>
      <c r="F93" t="n">
        <v>2.28</v>
      </c>
      <c r="G93" t="b">
        <v>1</v>
      </c>
      <c r="H93" t="inlineStr">
        <is>
          <t>0</t>
        </is>
      </c>
    </row>
    <row r="94">
      <c r="A94" t="inlineStr">
        <is>
          <t>ALL</t>
        </is>
      </c>
      <c r="B94" t="inlineStr">
        <is>
          <t>rare</t>
        </is>
      </c>
      <c r="C94" t="n">
        <v>2</v>
      </c>
      <c r="D94" t="inlineStr">
        <is>
          <t>Int</t>
        </is>
      </c>
      <c r="E94" t="n">
        <v>50</v>
      </c>
      <c r="F94" t="n">
        <v>7.22</v>
      </c>
      <c r="G94" t="b">
        <v>0</v>
      </c>
      <c r="H94">
        <f>Sensitivity!H5</f>
        <v/>
      </c>
    </row>
    <row r="95">
      <c r="A95" t="inlineStr">
        <is>
          <t>ALL</t>
        </is>
      </c>
      <c r="B95" t="inlineStr">
        <is>
          <t>rare</t>
        </is>
      </c>
      <c r="C95" t="n">
        <v>2</v>
      </c>
      <c r="D95" t="inlineStr">
        <is>
          <t>Int</t>
        </is>
      </c>
      <c r="E95" t="n">
        <v>100</v>
      </c>
      <c r="F95" t="n">
        <v>2.28</v>
      </c>
      <c r="G95" t="b">
        <v>1</v>
      </c>
      <c r="H95">
        <f>Sensitivity!H5</f>
        <v/>
      </c>
    </row>
    <row r="96">
      <c r="A96" t="inlineStr">
        <is>
          <t>ALL</t>
        </is>
      </c>
      <c r="B96" t="inlineStr">
        <is>
          <t>rare</t>
        </is>
      </c>
      <c r="C96" t="n">
        <v>2</v>
      </c>
      <c r="D96" t="inlineStr">
        <is>
          <t>Luk</t>
        </is>
      </c>
      <c r="E96" t="n">
        <v>50</v>
      </c>
      <c r="F96" t="n">
        <v>7.22</v>
      </c>
      <c r="G96" t="b">
        <v>0</v>
      </c>
      <c r="H96" t="inlineStr">
        <is>
          <t>0</t>
        </is>
      </c>
    </row>
    <row r="97">
      <c r="A97" t="inlineStr">
        <is>
          <t>ALL</t>
        </is>
      </c>
      <c r="B97" t="inlineStr">
        <is>
          <t>rare</t>
        </is>
      </c>
      <c r="C97" t="n">
        <v>2</v>
      </c>
      <c r="D97" t="inlineStr">
        <is>
          <t>Luk</t>
        </is>
      </c>
      <c r="E97" t="n">
        <v>100</v>
      </c>
      <c r="F97" t="n">
        <v>2.28</v>
      </c>
      <c r="G97" t="b">
        <v>1</v>
      </c>
      <c r="H97" t="inlineStr">
        <is>
          <t>0</t>
        </is>
      </c>
    </row>
    <row r="98">
      <c r="A98" t="inlineStr">
        <is>
          <t>ALL</t>
        </is>
      </c>
      <c r="B98" t="inlineStr">
        <is>
          <t>rare</t>
        </is>
      </c>
      <c r="C98" t="n">
        <v>3</v>
      </c>
      <c r="D98" t="inlineStr">
        <is>
          <t>Critical Rate %</t>
        </is>
      </c>
      <c r="E98" t="n">
        <v>3</v>
      </c>
      <c r="F98" t="n">
        <v>2.3</v>
      </c>
      <c r="G98" t="b">
        <v>0</v>
      </c>
      <c r="H98">
        <f>IF(Inputs!$B$8&gt;=100,Sensitivity!H15,Sensitivity!H14)</f>
        <v/>
      </c>
    </row>
    <row r="99">
      <c r="A99" t="inlineStr">
        <is>
          <t>ALL</t>
        </is>
      </c>
      <c r="B99" t="inlineStr">
        <is>
          <t>rare</t>
        </is>
      </c>
      <c r="C99" t="n">
        <v>3</v>
      </c>
      <c r="D99" t="inlineStr">
        <is>
          <t>Critical Rate %</t>
        </is>
      </c>
      <c r="E99" t="n">
        <v>4.5</v>
      </c>
      <c r="F99" t="n">
        <v>0.2</v>
      </c>
      <c r="G99" t="b">
        <v>1</v>
      </c>
      <c r="H99">
        <f>IF(Inputs!$B$8&gt;=100,Sensitivity!H15,Sensitivity!H14)</f>
        <v/>
      </c>
    </row>
    <row r="100">
      <c r="A100" t="inlineStr">
        <is>
          <t>ALL</t>
        </is>
      </c>
      <c r="B100" t="inlineStr">
        <is>
          <t>rare</t>
        </is>
      </c>
      <c r="C100" t="n">
        <v>3</v>
      </c>
      <c r="D100" t="inlineStr">
        <is>
          <t>Attack Speed %</t>
        </is>
      </c>
      <c r="E100" t="n">
        <v>3</v>
      </c>
      <c r="F100" t="n">
        <v>2.3</v>
      </c>
      <c r="G100" t="b">
        <v>0</v>
      </c>
      <c r="H100">
        <f>Sensitivity!H16</f>
        <v/>
      </c>
    </row>
    <row r="101">
      <c r="A101" t="inlineStr">
        <is>
          <t>ALL</t>
        </is>
      </c>
      <c r="B101" t="inlineStr">
        <is>
          <t>rare</t>
        </is>
      </c>
      <c r="C101" t="n">
        <v>3</v>
      </c>
      <c r="D101" t="inlineStr">
        <is>
          <t>Attack Speed %</t>
        </is>
      </c>
      <c r="E101" t="n">
        <v>3.5</v>
      </c>
      <c r="F101" t="n">
        <v>0.2</v>
      </c>
      <c r="G101" t="b">
        <v>1</v>
      </c>
      <c r="H101">
        <f>Sensitivity!H16</f>
        <v/>
      </c>
    </row>
    <row r="102">
      <c r="A102" t="inlineStr">
        <is>
          <t>ALL</t>
        </is>
      </c>
      <c r="B102" t="inlineStr">
        <is>
          <t>rare</t>
        </is>
      </c>
      <c r="C102" t="n">
        <v>3</v>
      </c>
      <c r="D102" t="inlineStr">
        <is>
          <t>Damage %</t>
        </is>
      </c>
      <c r="E102" t="n">
        <v>5</v>
      </c>
      <c r="F102" t="n">
        <v>3.68</v>
      </c>
      <c r="G102" t="b">
        <v>0</v>
      </c>
      <c r="H102">
        <f>Sensitivity!H7</f>
        <v/>
      </c>
    </row>
    <row r="103">
      <c r="A103" t="inlineStr">
        <is>
          <t>ALL</t>
        </is>
      </c>
      <c r="B103" t="inlineStr">
        <is>
          <t>rare</t>
        </is>
      </c>
      <c r="C103" t="n">
        <v>3</v>
      </c>
      <c r="D103" t="inlineStr">
        <is>
          <t>Damage %</t>
        </is>
      </c>
      <c r="E103" t="n">
        <v>8</v>
      </c>
      <c r="F103" t="n">
        <v>0.32</v>
      </c>
      <c r="G103" t="b">
        <v>1</v>
      </c>
      <c r="H103">
        <f>Sensitivity!H7</f>
        <v/>
      </c>
    </row>
    <row r="104">
      <c r="A104" t="inlineStr">
        <is>
          <t>ALL</t>
        </is>
      </c>
      <c r="B104" t="inlineStr">
        <is>
          <t>rare</t>
        </is>
      </c>
      <c r="C104" t="n">
        <v>3</v>
      </c>
      <c r="D104" t="inlineStr">
        <is>
          <t>Min Damage Multiplier %</t>
        </is>
      </c>
      <c r="E104" t="n">
        <v>3</v>
      </c>
      <c r="F104" t="n">
        <v>3.68</v>
      </c>
      <c r="G104" t="b">
        <v>0</v>
      </c>
      <c r="H104">
        <f>Sensitivity!H12</f>
        <v/>
      </c>
    </row>
    <row r="105">
      <c r="A105" t="inlineStr">
        <is>
          <t>ALL</t>
        </is>
      </c>
      <c r="B105" t="inlineStr">
        <is>
          <t>rare</t>
        </is>
      </c>
      <c r="C105" t="n">
        <v>3</v>
      </c>
      <c r="D105" t="inlineStr">
        <is>
          <t>Min Damage Multiplier %</t>
        </is>
      </c>
      <c r="E105" t="n">
        <v>6</v>
      </c>
      <c r="F105" t="n">
        <v>0.32</v>
      </c>
      <c r="G105" t="b">
        <v>1</v>
      </c>
      <c r="H105">
        <f>Sensitivity!H12</f>
        <v/>
      </c>
    </row>
    <row r="106">
      <c r="A106" t="inlineStr">
        <is>
          <t>ALL</t>
        </is>
      </c>
      <c r="B106" t="inlineStr">
        <is>
          <t>rare</t>
        </is>
      </c>
      <c r="C106" t="n">
        <v>3</v>
      </c>
      <c r="D106" t="inlineStr">
        <is>
          <t>Max Damage Multiplier %</t>
        </is>
      </c>
      <c r="E106" t="n">
        <v>3</v>
      </c>
      <c r="F106" t="n">
        <v>3.68</v>
      </c>
      <c r="G106" t="b">
        <v>0</v>
      </c>
      <c r="H106">
        <f>Sensitivity!H13</f>
        <v/>
      </c>
    </row>
    <row r="107">
      <c r="A107" t="inlineStr">
        <is>
          <t>ALL</t>
        </is>
      </c>
      <c r="B107" t="inlineStr">
        <is>
          <t>rare</t>
        </is>
      </c>
      <c r="C107" t="n">
        <v>3</v>
      </c>
      <c r="D107" t="inlineStr">
        <is>
          <t>Max Damage Multiplier %</t>
        </is>
      </c>
      <c r="E107" t="n">
        <v>6</v>
      </c>
      <c r="F107" t="n">
        <v>0.32</v>
      </c>
      <c r="G107" t="b">
        <v>1</v>
      </c>
      <c r="H107">
        <f>Sensitivity!H13</f>
        <v/>
      </c>
    </row>
    <row r="108">
      <c r="A108" t="inlineStr">
        <is>
          <t>ALL</t>
        </is>
      </c>
      <c r="B108" t="inlineStr">
        <is>
          <t>rare</t>
        </is>
      </c>
      <c r="C108" t="n">
        <v>3</v>
      </c>
      <c r="D108" t="inlineStr">
        <is>
          <t>Str %</t>
        </is>
      </c>
      <c r="E108" t="n">
        <v>3</v>
      </c>
      <c r="F108" t="n">
        <v>4.14</v>
      </c>
      <c r="G108" t="b">
        <v>0</v>
      </c>
      <c r="H108" t="inlineStr">
        <is>
          <t>0</t>
        </is>
      </c>
    </row>
    <row r="109">
      <c r="A109" t="inlineStr">
        <is>
          <t>ALL</t>
        </is>
      </c>
      <c r="B109" t="inlineStr">
        <is>
          <t>rare</t>
        </is>
      </c>
      <c r="C109" t="n">
        <v>3</v>
      </c>
      <c r="D109" t="inlineStr">
        <is>
          <t>Str %</t>
        </is>
      </c>
      <c r="E109" t="n">
        <v>4.5</v>
      </c>
      <c r="F109" t="n">
        <v>0.36</v>
      </c>
      <c r="G109" t="b">
        <v>1</v>
      </c>
      <c r="H109" t="inlineStr">
        <is>
          <t>0</t>
        </is>
      </c>
    </row>
    <row r="110">
      <c r="A110" t="inlineStr">
        <is>
          <t>ALL</t>
        </is>
      </c>
      <c r="B110" t="inlineStr">
        <is>
          <t>rare</t>
        </is>
      </c>
      <c r="C110" t="n">
        <v>3</v>
      </c>
      <c r="D110" t="inlineStr">
        <is>
          <t>Dex %</t>
        </is>
      </c>
      <c r="E110" t="n">
        <v>3</v>
      </c>
      <c r="F110" t="n">
        <v>4.14</v>
      </c>
      <c r="G110" t="b">
        <v>0</v>
      </c>
      <c r="H110" t="inlineStr">
        <is>
          <t>0</t>
        </is>
      </c>
    </row>
    <row r="111">
      <c r="A111" t="inlineStr">
        <is>
          <t>ALL</t>
        </is>
      </c>
      <c r="B111" t="inlineStr">
        <is>
          <t>rare</t>
        </is>
      </c>
      <c r="C111" t="n">
        <v>3</v>
      </c>
      <c r="D111" t="inlineStr">
        <is>
          <t>Dex %</t>
        </is>
      </c>
      <c r="E111" t="n">
        <v>4.5</v>
      </c>
      <c r="F111" t="n">
        <v>0.36</v>
      </c>
      <c r="G111" t="b">
        <v>1</v>
      </c>
      <c r="H111" t="inlineStr">
        <is>
          <t>0</t>
        </is>
      </c>
    </row>
    <row r="112">
      <c r="A112" t="inlineStr">
        <is>
          <t>ALL</t>
        </is>
      </c>
      <c r="B112" t="inlineStr">
        <is>
          <t>rare</t>
        </is>
      </c>
      <c r="C112" t="n">
        <v>3</v>
      </c>
      <c r="D112" t="inlineStr">
        <is>
          <t>Int %</t>
        </is>
      </c>
      <c r="E112" t="n">
        <v>3</v>
      </c>
      <c r="F112" t="n">
        <v>4.14</v>
      </c>
      <c r="G112" t="b">
        <v>0</v>
      </c>
      <c r="H112">
        <f>Sensitivity!H6</f>
        <v/>
      </c>
    </row>
    <row r="113">
      <c r="A113" t="inlineStr">
        <is>
          <t>ALL</t>
        </is>
      </c>
      <c r="B113" t="inlineStr">
        <is>
          <t>rare</t>
        </is>
      </c>
      <c r="C113" t="n">
        <v>3</v>
      </c>
      <c r="D113" t="inlineStr">
        <is>
          <t>Int %</t>
        </is>
      </c>
      <c r="E113" t="n">
        <v>4.5</v>
      </c>
      <c r="F113" t="n">
        <v>0.36</v>
      </c>
      <c r="G113" t="b">
        <v>1</v>
      </c>
      <c r="H113">
        <f>Sensitivity!H6</f>
        <v/>
      </c>
    </row>
    <row r="114">
      <c r="A114" t="inlineStr">
        <is>
          <t>ALL</t>
        </is>
      </c>
      <c r="B114" t="inlineStr">
        <is>
          <t>rare</t>
        </is>
      </c>
      <c r="C114" t="n">
        <v>3</v>
      </c>
      <c r="D114" t="inlineStr">
        <is>
          <t>Luk %</t>
        </is>
      </c>
      <c r="E114" t="n">
        <v>3</v>
      </c>
      <c r="F114" t="n">
        <v>4.14</v>
      </c>
      <c r="G114" t="b">
        <v>0</v>
      </c>
      <c r="H114" t="inlineStr">
        <is>
          <t>0</t>
        </is>
      </c>
    </row>
    <row r="115">
      <c r="A115" t="inlineStr">
        <is>
          <t>ALL</t>
        </is>
      </c>
      <c r="B115" t="inlineStr">
        <is>
          <t>rare</t>
        </is>
      </c>
      <c r="C115" t="n">
        <v>3</v>
      </c>
      <c r="D115" t="inlineStr">
        <is>
          <t>Luk %</t>
        </is>
      </c>
      <c r="E115" t="n">
        <v>4.5</v>
      </c>
      <c r="F115" t="n">
        <v>0.36</v>
      </c>
      <c r="G115" t="b">
        <v>1</v>
      </c>
      <c r="H115" t="inlineStr">
        <is>
          <t>0</t>
        </is>
      </c>
    </row>
    <row r="116">
      <c r="A116" t="inlineStr">
        <is>
          <t>ALL</t>
        </is>
      </c>
      <c r="B116" t="inlineStr">
        <is>
          <t>rare</t>
        </is>
      </c>
      <c r="C116" t="n">
        <v>3</v>
      </c>
      <c r="D116" t="inlineStr">
        <is>
          <t>Defense %</t>
        </is>
      </c>
      <c r="E116" t="n">
        <v>3</v>
      </c>
      <c r="F116" t="n">
        <v>8.279999999999999</v>
      </c>
      <c r="G116" t="b">
        <v>0</v>
      </c>
      <c r="H116" t="inlineStr">
        <is>
          <t>0</t>
        </is>
      </c>
    </row>
    <row r="117">
      <c r="A117" t="inlineStr">
        <is>
          <t>ALL</t>
        </is>
      </c>
      <c r="B117" t="inlineStr">
        <is>
          <t>rare</t>
        </is>
      </c>
      <c r="C117" t="n">
        <v>3</v>
      </c>
      <c r="D117" t="inlineStr">
        <is>
          <t>Defense %</t>
        </is>
      </c>
      <c r="E117" t="n">
        <v>4.5</v>
      </c>
      <c r="F117" t="n">
        <v>0.72</v>
      </c>
      <c r="G117" t="b">
        <v>1</v>
      </c>
      <c r="H117" t="inlineStr">
        <is>
          <t>0</t>
        </is>
      </c>
    </row>
    <row r="118">
      <c r="A118" t="inlineStr">
        <is>
          <t>ALL</t>
        </is>
      </c>
      <c r="B118" t="inlineStr">
        <is>
          <t>rare</t>
        </is>
      </c>
      <c r="C118" t="n">
        <v>3</v>
      </c>
      <c r="D118" t="inlineStr">
        <is>
          <t>Max HP %</t>
        </is>
      </c>
      <c r="E118" t="n">
        <v>6</v>
      </c>
      <c r="F118" t="n">
        <v>8.279999999999999</v>
      </c>
      <c r="G118" t="b">
        <v>0</v>
      </c>
      <c r="H118" t="inlineStr">
        <is>
          <t>0</t>
        </is>
      </c>
    </row>
    <row r="119">
      <c r="A119" t="inlineStr">
        <is>
          <t>ALL</t>
        </is>
      </c>
      <c r="B119" t="inlineStr">
        <is>
          <t>rare</t>
        </is>
      </c>
      <c r="C119" t="n">
        <v>3</v>
      </c>
      <c r="D119" t="inlineStr">
        <is>
          <t>Max HP %</t>
        </is>
      </c>
      <c r="E119" t="n">
        <v>9</v>
      </c>
      <c r="F119" t="n">
        <v>0.72</v>
      </c>
      <c r="G119" t="b">
        <v>1</v>
      </c>
      <c r="H119" t="inlineStr">
        <is>
          <t>0</t>
        </is>
      </c>
    </row>
    <row r="120">
      <c r="A120" t="inlineStr">
        <is>
          <t>ALL</t>
        </is>
      </c>
      <c r="B120" t="inlineStr">
        <is>
          <t>rare</t>
        </is>
      </c>
      <c r="C120" t="n">
        <v>3</v>
      </c>
      <c r="D120" t="inlineStr">
        <is>
          <t>Max MP %</t>
        </is>
      </c>
      <c r="E120" t="n">
        <v>3</v>
      </c>
      <c r="F120" t="n">
        <v>8.279999999999999</v>
      </c>
      <c r="G120" t="b">
        <v>0</v>
      </c>
      <c r="H120" t="inlineStr">
        <is>
          <t>0</t>
        </is>
      </c>
    </row>
    <row r="121">
      <c r="A121" t="inlineStr">
        <is>
          <t>ALL</t>
        </is>
      </c>
      <c r="B121" t="inlineStr">
        <is>
          <t>rare</t>
        </is>
      </c>
      <c r="C121" t="n">
        <v>3</v>
      </c>
      <c r="D121" t="inlineStr">
        <is>
          <t>Max MP %</t>
        </is>
      </c>
      <c r="E121" t="n">
        <v>4.5</v>
      </c>
      <c r="F121" t="n">
        <v>0.72</v>
      </c>
      <c r="G121" t="b">
        <v>1</v>
      </c>
      <c r="H121" t="inlineStr">
        <is>
          <t>0</t>
        </is>
      </c>
    </row>
    <row r="122">
      <c r="A122" t="inlineStr">
        <is>
          <t>ALL</t>
        </is>
      </c>
      <c r="B122" t="inlineStr">
        <is>
          <t>rare</t>
        </is>
      </c>
      <c r="C122" t="n">
        <v>3</v>
      </c>
      <c r="D122" t="inlineStr">
        <is>
          <t>Str</t>
        </is>
      </c>
      <c r="E122" t="n">
        <v>50</v>
      </c>
      <c r="F122" t="n">
        <v>8.74</v>
      </c>
      <c r="G122" t="b">
        <v>0</v>
      </c>
      <c r="H122" t="inlineStr">
        <is>
          <t>0</t>
        </is>
      </c>
    </row>
    <row r="123">
      <c r="A123" t="inlineStr">
        <is>
          <t>ALL</t>
        </is>
      </c>
      <c r="B123" t="inlineStr">
        <is>
          <t>rare</t>
        </is>
      </c>
      <c r="C123" t="n">
        <v>3</v>
      </c>
      <c r="D123" t="inlineStr">
        <is>
          <t>Str</t>
        </is>
      </c>
      <c r="E123" t="n">
        <v>100</v>
      </c>
      <c r="F123" t="n">
        <v>0.76</v>
      </c>
      <c r="G123" t="b">
        <v>1</v>
      </c>
      <c r="H123" t="inlineStr">
        <is>
          <t>0</t>
        </is>
      </c>
    </row>
    <row r="124">
      <c r="A124" t="inlineStr">
        <is>
          <t>ALL</t>
        </is>
      </c>
      <c r="B124" t="inlineStr">
        <is>
          <t>rare</t>
        </is>
      </c>
      <c r="C124" t="n">
        <v>3</v>
      </c>
      <c r="D124" t="inlineStr">
        <is>
          <t>Dex</t>
        </is>
      </c>
      <c r="E124" t="n">
        <v>50</v>
      </c>
      <c r="F124" t="n">
        <v>8.74</v>
      </c>
      <c r="G124" t="b">
        <v>0</v>
      </c>
      <c r="H124" t="inlineStr">
        <is>
          <t>0</t>
        </is>
      </c>
    </row>
    <row r="125">
      <c r="A125" t="inlineStr">
        <is>
          <t>ALL</t>
        </is>
      </c>
      <c r="B125" t="inlineStr">
        <is>
          <t>rare</t>
        </is>
      </c>
      <c r="C125" t="n">
        <v>3</v>
      </c>
      <c r="D125" t="inlineStr">
        <is>
          <t>Dex</t>
        </is>
      </c>
      <c r="E125" t="n">
        <v>100</v>
      </c>
      <c r="F125" t="n">
        <v>0.76</v>
      </c>
      <c r="G125" t="b">
        <v>1</v>
      </c>
      <c r="H125" t="inlineStr">
        <is>
          <t>0</t>
        </is>
      </c>
    </row>
    <row r="126">
      <c r="A126" t="inlineStr">
        <is>
          <t>ALL</t>
        </is>
      </c>
      <c r="B126" t="inlineStr">
        <is>
          <t>rare</t>
        </is>
      </c>
      <c r="C126" t="n">
        <v>3</v>
      </c>
      <c r="D126" t="inlineStr">
        <is>
          <t>Int</t>
        </is>
      </c>
      <c r="E126" t="n">
        <v>50</v>
      </c>
      <c r="F126" t="n">
        <v>8.74</v>
      </c>
      <c r="G126" t="b">
        <v>0</v>
      </c>
      <c r="H126">
        <f>Sensitivity!H5</f>
        <v/>
      </c>
    </row>
    <row r="127">
      <c r="A127" t="inlineStr">
        <is>
          <t>ALL</t>
        </is>
      </c>
      <c r="B127" t="inlineStr">
        <is>
          <t>rare</t>
        </is>
      </c>
      <c r="C127" t="n">
        <v>3</v>
      </c>
      <c r="D127" t="inlineStr">
        <is>
          <t>Int</t>
        </is>
      </c>
      <c r="E127" t="n">
        <v>100</v>
      </c>
      <c r="F127" t="n">
        <v>0.76</v>
      </c>
      <c r="G127" t="b">
        <v>1</v>
      </c>
      <c r="H127">
        <f>Sensitivity!H5</f>
        <v/>
      </c>
    </row>
    <row r="128">
      <c r="A128" t="inlineStr">
        <is>
          <t>ALL</t>
        </is>
      </c>
      <c r="B128" t="inlineStr">
        <is>
          <t>rare</t>
        </is>
      </c>
      <c r="C128" t="n">
        <v>3</v>
      </c>
      <c r="D128" t="inlineStr">
        <is>
          <t>Luk</t>
        </is>
      </c>
      <c r="E128" t="n">
        <v>50</v>
      </c>
      <c r="F128" t="n">
        <v>8.74</v>
      </c>
      <c r="G128" t="b">
        <v>0</v>
      </c>
      <c r="H128" t="inlineStr">
        <is>
          <t>0</t>
        </is>
      </c>
    </row>
    <row r="129">
      <c r="A129" t="inlineStr">
        <is>
          <t>ALL</t>
        </is>
      </c>
      <c r="B129" t="inlineStr">
        <is>
          <t>rare</t>
        </is>
      </c>
      <c r="C129" t="n">
        <v>3</v>
      </c>
      <c r="D129" t="inlineStr">
        <is>
          <t>Luk</t>
        </is>
      </c>
      <c r="E129" t="n">
        <v>100</v>
      </c>
      <c r="F129" t="n">
        <v>0.76</v>
      </c>
      <c r="G129" t="b">
        <v>1</v>
      </c>
      <c r="H129" t="inlineStr">
        <is>
          <t>0</t>
        </is>
      </c>
    </row>
    <row r="130">
      <c r="A130" t="inlineStr">
        <is>
          <t>ALL</t>
        </is>
      </c>
      <c r="B130" t="inlineStr">
        <is>
          <t>epic</t>
        </is>
      </c>
      <c r="C130" t="n">
        <v>1</v>
      </c>
      <c r="D130" t="inlineStr">
        <is>
          <t>Critical Rate %</t>
        </is>
      </c>
      <c r="E130" t="n">
        <v>6</v>
      </c>
      <c r="F130" t="n">
        <v>2.5</v>
      </c>
      <c r="G130" t="b">
        <v>1</v>
      </c>
      <c r="H130">
        <f>IF(Inputs!$B$8&gt;=100,Sensitivity!H15,Sensitivity!H14)</f>
        <v/>
      </c>
    </row>
    <row r="131">
      <c r="A131" t="inlineStr">
        <is>
          <t>ALL</t>
        </is>
      </c>
      <c r="B131" t="inlineStr">
        <is>
          <t>epic</t>
        </is>
      </c>
      <c r="C131" t="n">
        <v>1</v>
      </c>
      <c r="D131" t="inlineStr">
        <is>
          <t>Attack Speed %</t>
        </is>
      </c>
      <c r="E131" t="n">
        <v>4</v>
      </c>
      <c r="F131" t="n">
        <v>2.5</v>
      </c>
      <c r="G131" t="b">
        <v>1</v>
      </c>
      <c r="H131">
        <f>Sensitivity!H16</f>
        <v/>
      </c>
    </row>
    <row r="132">
      <c r="A132" t="inlineStr">
        <is>
          <t>ALL</t>
        </is>
      </c>
      <c r="B132" t="inlineStr">
        <is>
          <t>epic</t>
        </is>
      </c>
      <c r="C132" t="n">
        <v>1</v>
      </c>
      <c r="D132" t="inlineStr">
        <is>
          <t>Damage %</t>
        </is>
      </c>
      <c r="E132" t="n">
        <v>12</v>
      </c>
      <c r="F132" t="n">
        <v>4</v>
      </c>
      <c r="G132" t="b">
        <v>1</v>
      </c>
      <c r="H132">
        <f>Sensitivity!H7</f>
        <v/>
      </c>
    </row>
    <row r="133">
      <c r="A133" t="inlineStr">
        <is>
          <t>ALL</t>
        </is>
      </c>
      <c r="B133" t="inlineStr">
        <is>
          <t>epic</t>
        </is>
      </c>
      <c r="C133" t="n">
        <v>1</v>
      </c>
      <c r="D133" t="inlineStr">
        <is>
          <t>Min Damage Multiplier %</t>
        </is>
      </c>
      <c r="E133" t="n">
        <v>8</v>
      </c>
      <c r="F133" t="n">
        <v>4</v>
      </c>
      <c r="G133" t="b">
        <v>1</v>
      </c>
      <c r="H133">
        <f>Sensitivity!H12</f>
        <v/>
      </c>
    </row>
    <row r="134">
      <c r="A134" t="inlineStr">
        <is>
          <t>ALL</t>
        </is>
      </c>
      <c r="B134" t="inlineStr">
        <is>
          <t>epic</t>
        </is>
      </c>
      <c r="C134" t="n">
        <v>1</v>
      </c>
      <c r="D134" t="inlineStr">
        <is>
          <t>Max Damage Multiplier %</t>
        </is>
      </c>
      <c r="E134" t="n">
        <v>8</v>
      </c>
      <c r="F134" t="n">
        <v>4</v>
      </c>
      <c r="G134" t="b">
        <v>1</v>
      </c>
      <c r="H134">
        <f>Sensitivity!H13</f>
        <v/>
      </c>
    </row>
    <row r="135">
      <c r="A135" t="inlineStr">
        <is>
          <t>ALL</t>
        </is>
      </c>
      <c r="B135" t="inlineStr">
        <is>
          <t>epic</t>
        </is>
      </c>
      <c r="C135" t="n">
        <v>1</v>
      </c>
      <c r="D135" t="inlineStr">
        <is>
          <t>Str %</t>
        </is>
      </c>
      <c r="E135" t="n">
        <v>6</v>
      </c>
      <c r="F135" t="n">
        <v>4.5</v>
      </c>
      <c r="G135" t="b">
        <v>1</v>
      </c>
      <c r="H135" t="inlineStr">
        <is>
          <t>0</t>
        </is>
      </c>
    </row>
    <row r="136">
      <c r="A136" t="inlineStr">
        <is>
          <t>ALL</t>
        </is>
      </c>
      <c r="B136" t="inlineStr">
        <is>
          <t>epic</t>
        </is>
      </c>
      <c r="C136" t="n">
        <v>1</v>
      </c>
      <c r="D136" t="inlineStr">
        <is>
          <t>Dex %</t>
        </is>
      </c>
      <c r="E136" t="n">
        <v>6</v>
      </c>
      <c r="F136" t="n">
        <v>4.5</v>
      </c>
      <c r="G136" t="b">
        <v>1</v>
      </c>
      <c r="H136" t="inlineStr">
        <is>
          <t>0</t>
        </is>
      </c>
    </row>
    <row r="137">
      <c r="A137" t="inlineStr">
        <is>
          <t>ALL</t>
        </is>
      </c>
      <c r="B137" t="inlineStr">
        <is>
          <t>epic</t>
        </is>
      </c>
      <c r="C137" t="n">
        <v>1</v>
      </c>
      <c r="D137" t="inlineStr">
        <is>
          <t>Int %</t>
        </is>
      </c>
      <c r="E137" t="n">
        <v>6</v>
      </c>
      <c r="F137" t="n">
        <v>4.5</v>
      </c>
      <c r="G137" t="b">
        <v>1</v>
      </c>
      <c r="H137">
        <f>Sensitivity!H6</f>
        <v/>
      </c>
    </row>
    <row r="138">
      <c r="A138" t="inlineStr">
        <is>
          <t>ALL</t>
        </is>
      </c>
      <c r="B138" t="inlineStr">
        <is>
          <t>epic</t>
        </is>
      </c>
      <c r="C138" t="n">
        <v>1</v>
      </c>
      <c r="D138" t="inlineStr">
        <is>
          <t>Luk %</t>
        </is>
      </c>
      <c r="E138" t="n">
        <v>6</v>
      </c>
      <c r="F138" t="n">
        <v>4.5</v>
      </c>
      <c r="G138" t="b">
        <v>1</v>
      </c>
      <c r="H138" t="inlineStr">
        <is>
          <t>0</t>
        </is>
      </c>
    </row>
    <row r="139">
      <c r="A139" t="inlineStr">
        <is>
          <t>ALL</t>
        </is>
      </c>
      <c r="B139" t="inlineStr">
        <is>
          <t>epic</t>
        </is>
      </c>
      <c r="C139" t="n">
        <v>1</v>
      </c>
      <c r="D139" t="inlineStr">
        <is>
          <t>Defense %</t>
        </is>
      </c>
      <c r="E139" t="n">
        <v>6</v>
      </c>
      <c r="F139" t="n">
        <v>9</v>
      </c>
      <c r="G139" t="b">
        <v>1</v>
      </c>
      <c r="H139" t="inlineStr">
        <is>
          <t>0</t>
        </is>
      </c>
    </row>
    <row r="140">
      <c r="A140" t="inlineStr">
        <is>
          <t>ALL</t>
        </is>
      </c>
      <c r="B140" t="inlineStr">
        <is>
          <t>epic</t>
        </is>
      </c>
      <c r="C140" t="n">
        <v>1</v>
      </c>
      <c r="D140" t="inlineStr">
        <is>
          <t>Max HP %</t>
        </is>
      </c>
      <c r="E140" t="n">
        <v>12</v>
      </c>
      <c r="F140" t="n">
        <v>9</v>
      </c>
      <c r="G140" t="b">
        <v>1</v>
      </c>
      <c r="H140" t="inlineStr">
        <is>
          <t>0</t>
        </is>
      </c>
    </row>
    <row r="141">
      <c r="A141" t="inlineStr">
        <is>
          <t>ALL</t>
        </is>
      </c>
      <c r="B141" t="inlineStr">
        <is>
          <t>epic</t>
        </is>
      </c>
      <c r="C141" t="n">
        <v>1</v>
      </c>
      <c r="D141" t="inlineStr">
        <is>
          <t>Max MP %</t>
        </is>
      </c>
      <c r="E141" t="n">
        <v>6</v>
      </c>
      <c r="F141" t="n">
        <v>9</v>
      </c>
      <c r="G141" t="b">
        <v>1</v>
      </c>
      <c r="H141" t="inlineStr">
        <is>
          <t>0</t>
        </is>
      </c>
    </row>
    <row r="142">
      <c r="A142" t="inlineStr">
        <is>
          <t>ALL</t>
        </is>
      </c>
      <c r="B142" t="inlineStr">
        <is>
          <t>epic</t>
        </is>
      </c>
      <c r="C142" t="n">
        <v>1</v>
      </c>
      <c r="D142" t="inlineStr">
        <is>
          <t>Str</t>
        </is>
      </c>
      <c r="E142" t="n">
        <v>200</v>
      </c>
      <c r="F142" t="n">
        <v>9.25</v>
      </c>
      <c r="G142" t="b">
        <v>1</v>
      </c>
      <c r="H142" t="inlineStr">
        <is>
          <t>0</t>
        </is>
      </c>
    </row>
    <row r="143">
      <c r="A143" t="inlineStr">
        <is>
          <t>ALL</t>
        </is>
      </c>
      <c r="B143" t="inlineStr">
        <is>
          <t>epic</t>
        </is>
      </c>
      <c r="C143" t="n">
        <v>1</v>
      </c>
      <c r="D143" t="inlineStr">
        <is>
          <t>Dex</t>
        </is>
      </c>
      <c r="E143" t="n">
        <v>200</v>
      </c>
      <c r="F143" t="n">
        <v>9.25</v>
      </c>
      <c r="G143" t="b">
        <v>1</v>
      </c>
      <c r="H143" t="inlineStr">
        <is>
          <t>0</t>
        </is>
      </c>
    </row>
    <row r="144">
      <c r="A144" t="inlineStr">
        <is>
          <t>ALL</t>
        </is>
      </c>
      <c r="B144" t="inlineStr">
        <is>
          <t>epic</t>
        </is>
      </c>
      <c r="C144" t="n">
        <v>1</v>
      </c>
      <c r="D144" t="inlineStr">
        <is>
          <t>Int</t>
        </is>
      </c>
      <c r="E144" t="n">
        <v>200</v>
      </c>
      <c r="F144" t="n">
        <v>9.25</v>
      </c>
      <c r="G144" t="b">
        <v>1</v>
      </c>
      <c r="H144">
        <f>Sensitivity!H5</f>
        <v/>
      </c>
    </row>
    <row r="145">
      <c r="A145" t="inlineStr">
        <is>
          <t>ALL</t>
        </is>
      </c>
      <c r="B145" t="inlineStr">
        <is>
          <t>epic</t>
        </is>
      </c>
      <c r="C145" t="n">
        <v>1</v>
      </c>
      <c r="D145" t="inlineStr">
        <is>
          <t>Luk</t>
        </is>
      </c>
      <c r="E145" t="n">
        <v>200</v>
      </c>
      <c r="F145" t="n">
        <v>9.25</v>
      </c>
      <c r="G145" t="b">
        <v>1</v>
      </c>
      <c r="H145" t="inlineStr">
        <is>
          <t>0</t>
        </is>
      </c>
    </row>
    <row r="146">
      <c r="A146" t="inlineStr">
        <is>
          <t>ALL</t>
        </is>
      </c>
      <c r="B146" t="inlineStr">
        <is>
          <t>epic</t>
        </is>
      </c>
      <c r="C146" t="n">
        <v>2</v>
      </c>
      <c r="D146" t="inlineStr">
        <is>
          <t>Critical Rate %</t>
        </is>
      </c>
      <c r="E146" t="n">
        <v>4.5</v>
      </c>
      <c r="F146" t="n">
        <v>1.9</v>
      </c>
      <c r="G146" t="b">
        <v>0</v>
      </c>
      <c r="H146">
        <f>IF(Inputs!$B$8&gt;=100,Sensitivity!H15,Sensitivity!H14)</f>
        <v/>
      </c>
    </row>
    <row r="147">
      <c r="A147" t="inlineStr">
        <is>
          <t>ALL</t>
        </is>
      </c>
      <c r="B147" t="inlineStr">
        <is>
          <t>epic</t>
        </is>
      </c>
      <c r="C147" t="n">
        <v>2</v>
      </c>
      <c r="D147" t="inlineStr">
        <is>
          <t>Critical Rate %</t>
        </is>
      </c>
      <c r="E147" t="n">
        <v>6</v>
      </c>
      <c r="F147" t="n">
        <v>0.6</v>
      </c>
      <c r="G147" t="b">
        <v>1</v>
      </c>
      <c r="H147">
        <f>IF(Inputs!$B$8&gt;=100,Sensitivity!H15,Sensitivity!H14)</f>
        <v/>
      </c>
    </row>
    <row r="148">
      <c r="A148" t="inlineStr">
        <is>
          <t>ALL</t>
        </is>
      </c>
      <c r="B148" t="inlineStr">
        <is>
          <t>epic</t>
        </is>
      </c>
      <c r="C148" t="n">
        <v>2</v>
      </c>
      <c r="D148" t="inlineStr">
        <is>
          <t>Attack Speed %</t>
        </is>
      </c>
      <c r="E148" t="n">
        <v>3.5</v>
      </c>
      <c r="F148" t="n">
        <v>1.9</v>
      </c>
      <c r="G148" t="b">
        <v>0</v>
      </c>
      <c r="H148">
        <f>Sensitivity!H16</f>
        <v/>
      </c>
    </row>
    <row r="149">
      <c r="A149" t="inlineStr">
        <is>
          <t>ALL</t>
        </is>
      </c>
      <c r="B149" t="inlineStr">
        <is>
          <t>epic</t>
        </is>
      </c>
      <c r="C149" t="n">
        <v>2</v>
      </c>
      <c r="D149" t="inlineStr">
        <is>
          <t>Attack Speed %</t>
        </is>
      </c>
      <c r="E149" t="n">
        <v>4</v>
      </c>
      <c r="F149" t="n">
        <v>0.6</v>
      </c>
      <c r="G149" t="b">
        <v>1</v>
      </c>
      <c r="H149">
        <f>Sensitivity!H16</f>
        <v/>
      </c>
    </row>
    <row r="150">
      <c r="A150" t="inlineStr">
        <is>
          <t>ALL</t>
        </is>
      </c>
      <c r="B150" t="inlineStr">
        <is>
          <t>epic</t>
        </is>
      </c>
      <c r="C150" t="n">
        <v>2</v>
      </c>
      <c r="D150" t="inlineStr">
        <is>
          <t>Damage %</t>
        </is>
      </c>
      <c r="E150" t="n">
        <v>8</v>
      </c>
      <c r="F150" t="n">
        <v>3.04</v>
      </c>
      <c r="G150" t="b">
        <v>0</v>
      </c>
      <c r="H150">
        <f>Sensitivity!H7</f>
        <v/>
      </c>
    </row>
    <row r="151">
      <c r="A151" t="inlineStr">
        <is>
          <t>ALL</t>
        </is>
      </c>
      <c r="B151" t="inlineStr">
        <is>
          <t>epic</t>
        </is>
      </c>
      <c r="C151" t="n">
        <v>2</v>
      </c>
      <c r="D151" t="inlineStr">
        <is>
          <t>Damage %</t>
        </is>
      </c>
      <c r="E151" t="n">
        <v>12</v>
      </c>
      <c r="F151" t="n">
        <v>0.96</v>
      </c>
      <c r="G151" t="b">
        <v>1</v>
      </c>
      <c r="H151">
        <f>Sensitivity!H7</f>
        <v/>
      </c>
    </row>
    <row r="152">
      <c r="A152" t="inlineStr">
        <is>
          <t>ALL</t>
        </is>
      </c>
      <c r="B152" t="inlineStr">
        <is>
          <t>epic</t>
        </is>
      </c>
      <c r="C152" t="n">
        <v>2</v>
      </c>
      <c r="D152" t="inlineStr">
        <is>
          <t>Min Damage Multiplier %</t>
        </is>
      </c>
      <c r="E152" t="n">
        <v>6</v>
      </c>
      <c r="F152" t="n">
        <v>3.04</v>
      </c>
      <c r="G152" t="b">
        <v>0</v>
      </c>
      <c r="H152">
        <f>Sensitivity!H12</f>
        <v/>
      </c>
    </row>
    <row r="153">
      <c r="A153" t="inlineStr">
        <is>
          <t>ALL</t>
        </is>
      </c>
      <c r="B153" t="inlineStr">
        <is>
          <t>epic</t>
        </is>
      </c>
      <c r="C153" t="n">
        <v>2</v>
      </c>
      <c r="D153" t="inlineStr">
        <is>
          <t>Min Damage Multiplier %</t>
        </is>
      </c>
      <c r="E153" t="n">
        <v>8</v>
      </c>
      <c r="F153" t="n">
        <v>0.96</v>
      </c>
      <c r="G153" t="b">
        <v>1</v>
      </c>
      <c r="H153">
        <f>Sensitivity!H12</f>
        <v/>
      </c>
    </row>
    <row r="154">
      <c r="A154" t="inlineStr">
        <is>
          <t>ALL</t>
        </is>
      </c>
      <c r="B154" t="inlineStr">
        <is>
          <t>epic</t>
        </is>
      </c>
      <c r="C154" t="n">
        <v>2</v>
      </c>
      <c r="D154" t="inlineStr">
        <is>
          <t>Max Damage Multiplier %</t>
        </is>
      </c>
      <c r="E154" t="n">
        <v>6</v>
      </c>
      <c r="F154" t="n">
        <v>3.04</v>
      </c>
      <c r="G154" t="b">
        <v>0</v>
      </c>
      <c r="H154">
        <f>Sensitivity!H13</f>
        <v/>
      </c>
    </row>
    <row r="155">
      <c r="A155" t="inlineStr">
        <is>
          <t>ALL</t>
        </is>
      </c>
      <c r="B155" t="inlineStr">
        <is>
          <t>epic</t>
        </is>
      </c>
      <c r="C155" t="n">
        <v>2</v>
      </c>
      <c r="D155" t="inlineStr">
        <is>
          <t>Max Damage Multiplier %</t>
        </is>
      </c>
      <c r="E155" t="n">
        <v>8</v>
      </c>
      <c r="F155" t="n">
        <v>0.96</v>
      </c>
      <c r="G155" t="b">
        <v>1</v>
      </c>
      <c r="H155">
        <f>Sensitivity!H13</f>
        <v/>
      </c>
    </row>
    <row r="156">
      <c r="A156" t="inlineStr">
        <is>
          <t>ALL</t>
        </is>
      </c>
      <c r="B156" t="inlineStr">
        <is>
          <t>epic</t>
        </is>
      </c>
      <c r="C156" t="n">
        <v>2</v>
      </c>
      <c r="D156" t="inlineStr">
        <is>
          <t>Str %</t>
        </is>
      </c>
      <c r="E156" t="n">
        <v>4.5</v>
      </c>
      <c r="F156" t="n">
        <v>3.42</v>
      </c>
      <c r="G156" t="b">
        <v>0</v>
      </c>
      <c r="H156" t="inlineStr">
        <is>
          <t>0</t>
        </is>
      </c>
    </row>
    <row r="157">
      <c r="A157" t="inlineStr">
        <is>
          <t>ALL</t>
        </is>
      </c>
      <c r="B157" t="inlineStr">
        <is>
          <t>epic</t>
        </is>
      </c>
      <c r="C157" t="n">
        <v>2</v>
      </c>
      <c r="D157" t="inlineStr">
        <is>
          <t>Str %</t>
        </is>
      </c>
      <c r="E157" t="n">
        <v>6</v>
      </c>
      <c r="F157" t="n">
        <v>1.08</v>
      </c>
      <c r="G157" t="b">
        <v>1</v>
      </c>
      <c r="H157" t="inlineStr">
        <is>
          <t>0</t>
        </is>
      </c>
    </row>
    <row r="158">
      <c r="A158" t="inlineStr">
        <is>
          <t>ALL</t>
        </is>
      </c>
      <c r="B158" t="inlineStr">
        <is>
          <t>epic</t>
        </is>
      </c>
      <c r="C158" t="n">
        <v>2</v>
      </c>
      <c r="D158" t="inlineStr">
        <is>
          <t>Dex %</t>
        </is>
      </c>
      <c r="E158" t="n">
        <v>4.5</v>
      </c>
      <c r="F158" t="n">
        <v>3.42</v>
      </c>
      <c r="G158" t="b">
        <v>0</v>
      </c>
      <c r="H158" t="inlineStr">
        <is>
          <t>0</t>
        </is>
      </c>
    </row>
    <row r="159">
      <c r="A159" t="inlineStr">
        <is>
          <t>ALL</t>
        </is>
      </c>
      <c r="B159" t="inlineStr">
        <is>
          <t>epic</t>
        </is>
      </c>
      <c r="C159" t="n">
        <v>2</v>
      </c>
      <c r="D159" t="inlineStr">
        <is>
          <t>Dex %</t>
        </is>
      </c>
      <c r="E159" t="n">
        <v>6</v>
      </c>
      <c r="F159" t="n">
        <v>1.08</v>
      </c>
      <c r="G159" t="b">
        <v>1</v>
      </c>
      <c r="H159" t="inlineStr">
        <is>
          <t>0</t>
        </is>
      </c>
    </row>
    <row r="160">
      <c r="A160" t="inlineStr">
        <is>
          <t>ALL</t>
        </is>
      </c>
      <c r="B160" t="inlineStr">
        <is>
          <t>epic</t>
        </is>
      </c>
      <c r="C160" t="n">
        <v>2</v>
      </c>
      <c r="D160" t="inlineStr">
        <is>
          <t>Int %</t>
        </is>
      </c>
      <c r="E160" t="n">
        <v>4.5</v>
      </c>
      <c r="F160" t="n">
        <v>3.42</v>
      </c>
      <c r="G160" t="b">
        <v>0</v>
      </c>
      <c r="H160">
        <f>Sensitivity!H6</f>
        <v/>
      </c>
    </row>
    <row r="161">
      <c r="A161" t="inlineStr">
        <is>
          <t>ALL</t>
        </is>
      </c>
      <c r="B161" t="inlineStr">
        <is>
          <t>epic</t>
        </is>
      </c>
      <c r="C161" t="n">
        <v>2</v>
      </c>
      <c r="D161" t="inlineStr">
        <is>
          <t>Int %</t>
        </is>
      </c>
      <c r="E161" t="n">
        <v>6</v>
      </c>
      <c r="F161" t="n">
        <v>1.08</v>
      </c>
      <c r="G161" t="b">
        <v>1</v>
      </c>
      <c r="H161">
        <f>Sensitivity!H6</f>
        <v/>
      </c>
    </row>
    <row r="162">
      <c r="A162" t="inlineStr">
        <is>
          <t>ALL</t>
        </is>
      </c>
      <c r="B162" t="inlineStr">
        <is>
          <t>epic</t>
        </is>
      </c>
      <c r="C162" t="n">
        <v>2</v>
      </c>
      <c r="D162" t="inlineStr">
        <is>
          <t>Luk %</t>
        </is>
      </c>
      <c r="E162" t="n">
        <v>4.5</v>
      </c>
      <c r="F162" t="n">
        <v>3.42</v>
      </c>
      <c r="G162" t="b">
        <v>0</v>
      </c>
      <c r="H162" t="inlineStr">
        <is>
          <t>0</t>
        </is>
      </c>
    </row>
    <row r="163">
      <c r="A163" t="inlineStr">
        <is>
          <t>ALL</t>
        </is>
      </c>
      <c r="B163" t="inlineStr">
        <is>
          <t>epic</t>
        </is>
      </c>
      <c r="C163" t="n">
        <v>2</v>
      </c>
      <c r="D163" t="inlineStr">
        <is>
          <t>Luk %</t>
        </is>
      </c>
      <c r="E163" t="n">
        <v>6</v>
      </c>
      <c r="F163" t="n">
        <v>1.08</v>
      </c>
      <c r="G163" t="b">
        <v>1</v>
      </c>
      <c r="H163" t="inlineStr">
        <is>
          <t>0</t>
        </is>
      </c>
    </row>
    <row r="164">
      <c r="A164" t="inlineStr">
        <is>
          <t>ALL</t>
        </is>
      </c>
      <c r="B164" t="inlineStr">
        <is>
          <t>epic</t>
        </is>
      </c>
      <c r="C164" t="n">
        <v>2</v>
      </c>
      <c r="D164" t="inlineStr">
        <is>
          <t>Defense %</t>
        </is>
      </c>
      <c r="E164" t="n">
        <v>4.5</v>
      </c>
      <c r="F164" t="n">
        <v>6.84</v>
      </c>
      <c r="G164" t="b">
        <v>0</v>
      </c>
      <c r="H164" t="inlineStr">
        <is>
          <t>0</t>
        </is>
      </c>
    </row>
    <row r="165">
      <c r="A165" t="inlineStr">
        <is>
          <t>ALL</t>
        </is>
      </c>
      <c r="B165" t="inlineStr">
        <is>
          <t>epic</t>
        </is>
      </c>
      <c r="C165" t="n">
        <v>2</v>
      </c>
      <c r="D165" t="inlineStr">
        <is>
          <t>Defense %</t>
        </is>
      </c>
      <c r="E165" t="n">
        <v>6</v>
      </c>
      <c r="F165" t="n">
        <v>2.16</v>
      </c>
      <c r="G165" t="b">
        <v>1</v>
      </c>
      <c r="H165" t="inlineStr">
        <is>
          <t>0</t>
        </is>
      </c>
    </row>
    <row r="166">
      <c r="A166" t="inlineStr">
        <is>
          <t>ALL</t>
        </is>
      </c>
      <c r="B166" t="inlineStr">
        <is>
          <t>epic</t>
        </is>
      </c>
      <c r="C166" t="n">
        <v>2</v>
      </c>
      <c r="D166" t="inlineStr">
        <is>
          <t>Max HP %</t>
        </is>
      </c>
      <c r="E166" t="n">
        <v>9</v>
      </c>
      <c r="F166" t="n">
        <v>6.84</v>
      </c>
      <c r="G166" t="b">
        <v>0</v>
      </c>
      <c r="H166" t="inlineStr">
        <is>
          <t>0</t>
        </is>
      </c>
    </row>
    <row r="167">
      <c r="A167" t="inlineStr">
        <is>
          <t>ALL</t>
        </is>
      </c>
      <c r="B167" t="inlineStr">
        <is>
          <t>epic</t>
        </is>
      </c>
      <c r="C167" t="n">
        <v>2</v>
      </c>
      <c r="D167" t="inlineStr">
        <is>
          <t>Max HP %</t>
        </is>
      </c>
      <c r="E167" t="n">
        <v>12</v>
      </c>
      <c r="F167" t="n">
        <v>2.16</v>
      </c>
      <c r="G167" t="b">
        <v>1</v>
      </c>
      <c r="H167" t="inlineStr">
        <is>
          <t>0</t>
        </is>
      </c>
    </row>
    <row r="168">
      <c r="A168" t="inlineStr">
        <is>
          <t>ALL</t>
        </is>
      </c>
      <c r="B168" t="inlineStr">
        <is>
          <t>epic</t>
        </is>
      </c>
      <c r="C168" t="n">
        <v>2</v>
      </c>
      <c r="D168" t="inlineStr">
        <is>
          <t>Max MP %</t>
        </is>
      </c>
      <c r="E168" t="n">
        <v>4.5</v>
      </c>
      <c r="F168" t="n">
        <v>6.84</v>
      </c>
      <c r="G168" t="b">
        <v>0</v>
      </c>
      <c r="H168" t="inlineStr">
        <is>
          <t>0</t>
        </is>
      </c>
    </row>
    <row r="169">
      <c r="A169" t="inlineStr">
        <is>
          <t>ALL</t>
        </is>
      </c>
      <c r="B169" t="inlineStr">
        <is>
          <t>epic</t>
        </is>
      </c>
      <c r="C169" t="n">
        <v>2</v>
      </c>
      <c r="D169" t="inlineStr">
        <is>
          <t>Max MP %</t>
        </is>
      </c>
      <c r="E169" t="n">
        <v>6</v>
      </c>
      <c r="F169" t="n">
        <v>2.16</v>
      </c>
      <c r="G169" t="b">
        <v>1</v>
      </c>
      <c r="H169" t="inlineStr">
        <is>
          <t>0</t>
        </is>
      </c>
    </row>
    <row r="170">
      <c r="A170" t="inlineStr">
        <is>
          <t>ALL</t>
        </is>
      </c>
      <c r="B170" t="inlineStr">
        <is>
          <t>epic</t>
        </is>
      </c>
      <c r="C170" t="n">
        <v>2</v>
      </c>
      <c r="D170" t="inlineStr">
        <is>
          <t>Str</t>
        </is>
      </c>
      <c r="E170" t="n">
        <v>100</v>
      </c>
      <c r="F170" t="n">
        <v>7.22</v>
      </c>
      <c r="G170" t="b">
        <v>0</v>
      </c>
      <c r="H170" t="inlineStr">
        <is>
          <t>0</t>
        </is>
      </c>
    </row>
    <row r="171">
      <c r="A171" t="inlineStr">
        <is>
          <t>ALL</t>
        </is>
      </c>
      <c r="B171" t="inlineStr">
        <is>
          <t>epic</t>
        </is>
      </c>
      <c r="C171" t="n">
        <v>2</v>
      </c>
      <c r="D171" t="inlineStr">
        <is>
          <t>Str</t>
        </is>
      </c>
      <c r="E171" t="n">
        <v>200</v>
      </c>
      <c r="F171" t="n">
        <v>2.22</v>
      </c>
      <c r="G171" t="b">
        <v>1</v>
      </c>
      <c r="H171" t="inlineStr">
        <is>
          <t>0</t>
        </is>
      </c>
    </row>
    <row r="172">
      <c r="A172" t="inlineStr">
        <is>
          <t>ALL</t>
        </is>
      </c>
      <c r="B172" t="inlineStr">
        <is>
          <t>epic</t>
        </is>
      </c>
      <c r="C172" t="n">
        <v>2</v>
      </c>
      <c r="D172" t="inlineStr">
        <is>
          <t>Dex</t>
        </is>
      </c>
      <c r="E172" t="n">
        <v>100</v>
      </c>
      <c r="F172" t="n">
        <v>7.22</v>
      </c>
      <c r="G172" t="b">
        <v>0</v>
      </c>
      <c r="H172" t="inlineStr">
        <is>
          <t>0</t>
        </is>
      </c>
    </row>
    <row r="173">
      <c r="A173" t="inlineStr">
        <is>
          <t>ALL</t>
        </is>
      </c>
      <c r="B173" t="inlineStr">
        <is>
          <t>epic</t>
        </is>
      </c>
      <c r="C173" t="n">
        <v>2</v>
      </c>
      <c r="D173" t="inlineStr">
        <is>
          <t>Dex</t>
        </is>
      </c>
      <c r="E173" t="n">
        <v>200</v>
      </c>
      <c r="F173" t="n">
        <v>2.22</v>
      </c>
      <c r="G173" t="b">
        <v>1</v>
      </c>
      <c r="H173" t="inlineStr">
        <is>
          <t>0</t>
        </is>
      </c>
    </row>
    <row r="174">
      <c r="A174" t="inlineStr">
        <is>
          <t>ALL</t>
        </is>
      </c>
      <c r="B174" t="inlineStr">
        <is>
          <t>epic</t>
        </is>
      </c>
      <c r="C174" t="n">
        <v>2</v>
      </c>
      <c r="D174" t="inlineStr">
        <is>
          <t>Int</t>
        </is>
      </c>
      <c r="E174" t="n">
        <v>100</v>
      </c>
      <c r="F174" t="n">
        <v>7.22</v>
      </c>
      <c r="G174" t="b">
        <v>0</v>
      </c>
      <c r="H174">
        <f>Sensitivity!H5</f>
        <v/>
      </c>
    </row>
    <row r="175">
      <c r="A175" t="inlineStr">
        <is>
          <t>ALL</t>
        </is>
      </c>
      <c r="B175" t="inlineStr">
        <is>
          <t>epic</t>
        </is>
      </c>
      <c r="C175" t="n">
        <v>2</v>
      </c>
      <c r="D175" t="inlineStr">
        <is>
          <t>Int</t>
        </is>
      </c>
      <c r="E175" t="n">
        <v>200</v>
      </c>
      <c r="F175" t="n">
        <v>2.22</v>
      </c>
      <c r="G175" t="b">
        <v>1</v>
      </c>
      <c r="H175">
        <f>Sensitivity!H5</f>
        <v/>
      </c>
    </row>
    <row r="176">
      <c r="A176" t="inlineStr">
        <is>
          <t>ALL</t>
        </is>
      </c>
      <c r="B176" t="inlineStr">
        <is>
          <t>epic</t>
        </is>
      </c>
      <c r="C176" t="n">
        <v>2</v>
      </c>
      <c r="D176" t="inlineStr">
        <is>
          <t>Luk</t>
        </is>
      </c>
      <c r="E176" t="n">
        <v>100</v>
      </c>
      <c r="F176" t="n">
        <v>7.22</v>
      </c>
      <c r="G176" t="b">
        <v>0</v>
      </c>
      <c r="H176" t="inlineStr">
        <is>
          <t>0</t>
        </is>
      </c>
    </row>
    <row r="177">
      <c r="A177" t="inlineStr">
        <is>
          <t>ALL</t>
        </is>
      </c>
      <c r="B177" t="inlineStr">
        <is>
          <t>epic</t>
        </is>
      </c>
      <c r="C177" t="n">
        <v>2</v>
      </c>
      <c r="D177" t="inlineStr">
        <is>
          <t>Luk</t>
        </is>
      </c>
      <c r="E177" t="n">
        <v>200</v>
      </c>
      <c r="F177" t="n">
        <v>2.22</v>
      </c>
      <c r="G177" t="b">
        <v>1</v>
      </c>
      <c r="H177" t="inlineStr">
        <is>
          <t>0</t>
        </is>
      </c>
    </row>
    <row r="178">
      <c r="A178" t="inlineStr">
        <is>
          <t>ALL</t>
        </is>
      </c>
      <c r="B178" t="inlineStr">
        <is>
          <t>epic</t>
        </is>
      </c>
      <c r="C178" t="n">
        <v>3</v>
      </c>
      <c r="D178" t="inlineStr">
        <is>
          <t>Critical Rate %</t>
        </is>
      </c>
      <c r="E178" t="n">
        <v>4.5</v>
      </c>
      <c r="F178" t="n">
        <v>2.3</v>
      </c>
      <c r="G178" t="b">
        <v>0</v>
      </c>
      <c r="H178">
        <f>IF(Inputs!$B$8&gt;=100,Sensitivity!H15,Sensitivity!H14)</f>
        <v/>
      </c>
    </row>
    <row r="179">
      <c r="A179" t="inlineStr">
        <is>
          <t>ALL</t>
        </is>
      </c>
      <c r="B179" t="inlineStr">
        <is>
          <t>epic</t>
        </is>
      </c>
      <c r="C179" t="n">
        <v>3</v>
      </c>
      <c r="D179" t="inlineStr">
        <is>
          <t>Critical Rate %</t>
        </is>
      </c>
      <c r="E179" t="n">
        <v>6</v>
      </c>
      <c r="F179" t="n">
        <v>0.2</v>
      </c>
      <c r="G179" t="b">
        <v>1</v>
      </c>
      <c r="H179">
        <f>IF(Inputs!$B$8&gt;=100,Sensitivity!H15,Sensitivity!H14)</f>
        <v/>
      </c>
    </row>
    <row r="180">
      <c r="A180" t="inlineStr">
        <is>
          <t>ALL</t>
        </is>
      </c>
      <c r="B180" t="inlineStr">
        <is>
          <t>epic</t>
        </is>
      </c>
      <c r="C180" t="n">
        <v>3</v>
      </c>
      <c r="D180" t="inlineStr">
        <is>
          <t>Attack Speed %</t>
        </is>
      </c>
      <c r="E180" t="n">
        <v>3.5</v>
      </c>
      <c r="F180" t="n">
        <v>2.3</v>
      </c>
      <c r="G180" t="b">
        <v>0</v>
      </c>
      <c r="H180">
        <f>Sensitivity!H16</f>
        <v/>
      </c>
    </row>
    <row r="181">
      <c r="A181" t="inlineStr">
        <is>
          <t>ALL</t>
        </is>
      </c>
      <c r="B181" t="inlineStr">
        <is>
          <t>epic</t>
        </is>
      </c>
      <c r="C181" t="n">
        <v>3</v>
      </c>
      <c r="D181" t="inlineStr">
        <is>
          <t>Attack Speed %</t>
        </is>
      </c>
      <c r="E181" t="n">
        <v>4</v>
      </c>
      <c r="F181" t="n">
        <v>0.2</v>
      </c>
      <c r="G181" t="b">
        <v>1</v>
      </c>
      <c r="H181">
        <f>Sensitivity!H16</f>
        <v/>
      </c>
    </row>
    <row r="182">
      <c r="A182" t="inlineStr">
        <is>
          <t>ALL</t>
        </is>
      </c>
      <c r="B182" t="inlineStr">
        <is>
          <t>epic</t>
        </is>
      </c>
      <c r="C182" t="n">
        <v>3</v>
      </c>
      <c r="D182" t="inlineStr">
        <is>
          <t>Damage %</t>
        </is>
      </c>
      <c r="E182" t="n">
        <v>8</v>
      </c>
      <c r="F182" t="n">
        <v>3.68</v>
      </c>
      <c r="G182" t="b">
        <v>0</v>
      </c>
      <c r="H182">
        <f>Sensitivity!H7</f>
        <v/>
      </c>
    </row>
    <row r="183">
      <c r="A183" t="inlineStr">
        <is>
          <t>ALL</t>
        </is>
      </c>
      <c r="B183" t="inlineStr">
        <is>
          <t>epic</t>
        </is>
      </c>
      <c r="C183" t="n">
        <v>3</v>
      </c>
      <c r="D183" t="inlineStr">
        <is>
          <t>Damage %</t>
        </is>
      </c>
      <c r="E183" t="n">
        <v>12</v>
      </c>
      <c r="F183" t="n">
        <v>0.32</v>
      </c>
      <c r="G183" t="b">
        <v>1</v>
      </c>
      <c r="H183">
        <f>Sensitivity!H7</f>
        <v/>
      </c>
    </row>
    <row r="184">
      <c r="A184" t="inlineStr">
        <is>
          <t>ALL</t>
        </is>
      </c>
      <c r="B184" t="inlineStr">
        <is>
          <t>epic</t>
        </is>
      </c>
      <c r="C184" t="n">
        <v>3</v>
      </c>
      <c r="D184" t="inlineStr">
        <is>
          <t>Min Damage Multiplier %</t>
        </is>
      </c>
      <c r="E184" t="n">
        <v>6</v>
      </c>
      <c r="F184" t="n">
        <v>3.68</v>
      </c>
      <c r="G184" t="b">
        <v>0</v>
      </c>
      <c r="H184">
        <f>Sensitivity!H12</f>
        <v/>
      </c>
    </row>
    <row r="185">
      <c r="A185" t="inlineStr">
        <is>
          <t>ALL</t>
        </is>
      </c>
      <c r="B185" t="inlineStr">
        <is>
          <t>epic</t>
        </is>
      </c>
      <c r="C185" t="n">
        <v>3</v>
      </c>
      <c r="D185" t="inlineStr">
        <is>
          <t>Min Damage Multiplier %</t>
        </is>
      </c>
      <c r="E185" t="n">
        <v>8</v>
      </c>
      <c r="F185" t="n">
        <v>0.32</v>
      </c>
      <c r="G185" t="b">
        <v>1</v>
      </c>
      <c r="H185">
        <f>Sensitivity!H12</f>
        <v/>
      </c>
    </row>
    <row r="186">
      <c r="A186" t="inlineStr">
        <is>
          <t>ALL</t>
        </is>
      </c>
      <c r="B186" t="inlineStr">
        <is>
          <t>epic</t>
        </is>
      </c>
      <c r="C186" t="n">
        <v>3</v>
      </c>
      <c r="D186" t="inlineStr">
        <is>
          <t>Max Damage Multiplier %</t>
        </is>
      </c>
      <c r="E186" t="n">
        <v>6</v>
      </c>
      <c r="F186" t="n">
        <v>3.68</v>
      </c>
      <c r="G186" t="b">
        <v>0</v>
      </c>
      <c r="H186">
        <f>Sensitivity!H13</f>
        <v/>
      </c>
    </row>
    <row r="187">
      <c r="A187" t="inlineStr">
        <is>
          <t>ALL</t>
        </is>
      </c>
      <c r="B187" t="inlineStr">
        <is>
          <t>epic</t>
        </is>
      </c>
      <c r="C187" t="n">
        <v>3</v>
      </c>
      <c r="D187" t="inlineStr">
        <is>
          <t>Max Damage Multiplier %</t>
        </is>
      </c>
      <c r="E187" t="n">
        <v>8</v>
      </c>
      <c r="F187" t="n">
        <v>0.32</v>
      </c>
      <c r="G187" t="b">
        <v>1</v>
      </c>
      <c r="H187">
        <f>Sensitivity!H13</f>
        <v/>
      </c>
    </row>
    <row r="188">
      <c r="A188" t="inlineStr">
        <is>
          <t>ALL</t>
        </is>
      </c>
      <c r="B188" t="inlineStr">
        <is>
          <t>epic</t>
        </is>
      </c>
      <c r="C188" t="n">
        <v>3</v>
      </c>
      <c r="D188" t="inlineStr">
        <is>
          <t>Str %</t>
        </is>
      </c>
      <c r="E188" t="n">
        <v>4.5</v>
      </c>
      <c r="F188" t="n">
        <v>4.14</v>
      </c>
      <c r="G188" t="b">
        <v>0</v>
      </c>
      <c r="H188" t="inlineStr">
        <is>
          <t>0</t>
        </is>
      </c>
    </row>
    <row r="189">
      <c r="A189" t="inlineStr">
        <is>
          <t>ALL</t>
        </is>
      </c>
      <c r="B189" t="inlineStr">
        <is>
          <t>epic</t>
        </is>
      </c>
      <c r="C189" t="n">
        <v>3</v>
      </c>
      <c r="D189" t="inlineStr">
        <is>
          <t>Str %</t>
        </is>
      </c>
      <c r="E189" t="n">
        <v>6</v>
      </c>
      <c r="F189" t="n">
        <v>0.36</v>
      </c>
      <c r="G189" t="b">
        <v>1</v>
      </c>
      <c r="H189" t="inlineStr">
        <is>
          <t>0</t>
        </is>
      </c>
    </row>
    <row r="190">
      <c r="A190" t="inlineStr">
        <is>
          <t>ALL</t>
        </is>
      </c>
      <c r="B190" t="inlineStr">
        <is>
          <t>epic</t>
        </is>
      </c>
      <c r="C190" t="n">
        <v>3</v>
      </c>
      <c r="D190" t="inlineStr">
        <is>
          <t>Dex %</t>
        </is>
      </c>
      <c r="E190" t="n">
        <v>4.5</v>
      </c>
      <c r="F190" t="n">
        <v>4.14</v>
      </c>
      <c r="G190" t="b">
        <v>0</v>
      </c>
      <c r="H190" t="inlineStr">
        <is>
          <t>0</t>
        </is>
      </c>
    </row>
    <row r="191">
      <c r="A191" t="inlineStr">
        <is>
          <t>ALL</t>
        </is>
      </c>
      <c r="B191" t="inlineStr">
        <is>
          <t>epic</t>
        </is>
      </c>
      <c r="C191" t="n">
        <v>3</v>
      </c>
      <c r="D191" t="inlineStr">
        <is>
          <t>Dex %</t>
        </is>
      </c>
      <c r="E191" t="n">
        <v>6</v>
      </c>
      <c r="F191" t="n">
        <v>0.36</v>
      </c>
      <c r="G191" t="b">
        <v>1</v>
      </c>
      <c r="H191" t="inlineStr">
        <is>
          <t>0</t>
        </is>
      </c>
    </row>
    <row r="192">
      <c r="A192" t="inlineStr">
        <is>
          <t>ALL</t>
        </is>
      </c>
      <c r="B192" t="inlineStr">
        <is>
          <t>epic</t>
        </is>
      </c>
      <c r="C192" t="n">
        <v>3</v>
      </c>
      <c r="D192" t="inlineStr">
        <is>
          <t>Int %</t>
        </is>
      </c>
      <c r="E192" t="n">
        <v>4.5</v>
      </c>
      <c r="F192" t="n">
        <v>4.14</v>
      </c>
      <c r="G192" t="b">
        <v>0</v>
      </c>
      <c r="H192">
        <f>Sensitivity!H6</f>
        <v/>
      </c>
    </row>
    <row r="193">
      <c r="A193" t="inlineStr">
        <is>
          <t>ALL</t>
        </is>
      </c>
      <c r="B193" t="inlineStr">
        <is>
          <t>epic</t>
        </is>
      </c>
      <c r="C193" t="n">
        <v>3</v>
      </c>
      <c r="D193" t="inlineStr">
        <is>
          <t>Int %</t>
        </is>
      </c>
      <c r="E193" t="n">
        <v>6</v>
      </c>
      <c r="F193" t="n">
        <v>0.36</v>
      </c>
      <c r="G193" t="b">
        <v>1</v>
      </c>
      <c r="H193">
        <f>Sensitivity!H6</f>
        <v/>
      </c>
    </row>
    <row r="194">
      <c r="A194" t="inlineStr">
        <is>
          <t>ALL</t>
        </is>
      </c>
      <c r="B194" t="inlineStr">
        <is>
          <t>epic</t>
        </is>
      </c>
      <c r="C194" t="n">
        <v>3</v>
      </c>
      <c r="D194" t="inlineStr">
        <is>
          <t>Luk %</t>
        </is>
      </c>
      <c r="E194" t="n">
        <v>4.5</v>
      </c>
      <c r="F194" t="n">
        <v>4.14</v>
      </c>
      <c r="G194" t="b">
        <v>0</v>
      </c>
      <c r="H194" t="inlineStr">
        <is>
          <t>0</t>
        </is>
      </c>
    </row>
    <row r="195">
      <c r="A195" t="inlineStr">
        <is>
          <t>ALL</t>
        </is>
      </c>
      <c r="B195" t="inlineStr">
        <is>
          <t>epic</t>
        </is>
      </c>
      <c r="C195" t="n">
        <v>3</v>
      </c>
      <c r="D195" t="inlineStr">
        <is>
          <t>Luk %</t>
        </is>
      </c>
      <c r="E195" t="n">
        <v>6</v>
      </c>
      <c r="F195" t="n">
        <v>0.36</v>
      </c>
      <c r="G195" t="b">
        <v>1</v>
      </c>
      <c r="H195" t="inlineStr">
        <is>
          <t>0</t>
        </is>
      </c>
    </row>
    <row r="196">
      <c r="A196" t="inlineStr">
        <is>
          <t>ALL</t>
        </is>
      </c>
      <c r="B196" t="inlineStr">
        <is>
          <t>epic</t>
        </is>
      </c>
      <c r="C196" t="n">
        <v>3</v>
      </c>
      <c r="D196" t="inlineStr">
        <is>
          <t>Defense %</t>
        </is>
      </c>
      <c r="E196" t="n">
        <v>4.5</v>
      </c>
      <c r="F196" t="n">
        <v>8.279999999999999</v>
      </c>
      <c r="G196" t="b">
        <v>0</v>
      </c>
      <c r="H196" t="inlineStr">
        <is>
          <t>0</t>
        </is>
      </c>
    </row>
    <row r="197">
      <c r="A197" t="inlineStr">
        <is>
          <t>ALL</t>
        </is>
      </c>
      <c r="B197" t="inlineStr">
        <is>
          <t>epic</t>
        </is>
      </c>
      <c r="C197" t="n">
        <v>3</v>
      </c>
      <c r="D197" t="inlineStr">
        <is>
          <t>Defense %</t>
        </is>
      </c>
      <c r="E197" t="n">
        <v>6</v>
      </c>
      <c r="F197" t="n">
        <v>0.72</v>
      </c>
      <c r="G197" t="b">
        <v>1</v>
      </c>
      <c r="H197" t="inlineStr">
        <is>
          <t>0</t>
        </is>
      </c>
    </row>
    <row r="198">
      <c r="A198" t="inlineStr">
        <is>
          <t>ALL</t>
        </is>
      </c>
      <c r="B198" t="inlineStr">
        <is>
          <t>epic</t>
        </is>
      </c>
      <c r="C198" t="n">
        <v>3</v>
      </c>
      <c r="D198" t="inlineStr">
        <is>
          <t>Max HP %</t>
        </is>
      </c>
      <c r="E198" t="n">
        <v>9</v>
      </c>
      <c r="F198" t="n">
        <v>8.279999999999999</v>
      </c>
      <c r="G198" t="b">
        <v>0</v>
      </c>
      <c r="H198" t="inlineStr">
        <is>
          <t>0</t>
        </is>
      </c>
    </row>
    <row r="199">
      <c r="A199" t="inlineStr">
        <is>
          <t>ALL</t>
        </is>
      </c>
      <c r="B199" t="inlineStr">
        <is>
          <t>epic</t>
        </is>
      </c>
      <c r="C199" t="n">
        <v>3</v>
      </c>
      <c r="D199" t="inlineStr">
        <is>
          <t>Max HP %</t>
        </is>
      </c>
      <c r="E199" t="n">
        <v>12</v>
      </c>
      <c r="F199" t="n">
        <v>0.72</v>
      </c>
      <c r="G199" t="b">
        <v>1</v>
      </c>
      <c r="H199" t="inlineStr">
        <is>
          <t>0</t>
        </is>
      </c>
    </row>
    <row r="200">
      <c r="A200" t="inlineStr">
        <is>
          <t>ALL</t>
        </is>
      </c>
      <c r="B200" t="inlineStr">
        <is>
          <t>epic</t>
        </is>
      </c>
      <c r="C200" t="n">
        <v>3</v>
      </c>
      <c r="D200" t="inlineStr">
        <is>
          <t>Max MP %</t>
        </is>
      </c>
      <c r="E200" t="n">
        <v>4.5</v>
      </c>
      <c r="F200" t="n">
        <v>8.279999999999999</v>
      </c>
      <c r="G200" t="b">
        <v>0</v>
      </c>
      <c r="H200" t="inlineStr">
        <is>
          <t>0</t>
        </is>
      </c>
    </row>
    <row r="201">
      <c r="A201" t="inlineStr">
        <is>
          <t>ALL</t>
        </is>
      </c>
      <c r="B201" t="inlineStr">
        <is>
          <t>epic</t>
        </is>
      </c>
      <c r="C201" t="n">
        <v>3</v>
      </c>
      <c r="D201" t="inlineStr">
        <is>
          <t>Max MP %</t>
        </is>
      </c>
      <c r="E201" t="n">
        <v>6</v>
      </c>
      <c r="F201" t="n">
        <v>0.72</v>
      </c>
      <c r="G201" t="b">
        <v>1</v>
      </c>
      <c r="H201" t="inlineStr">
        <is>
          <t>0</t>
        </is>
      </c>
    </row>
    <row r="202">
      <c r="A202" t="inlineStr">
        <is>
          <t>ALL</t>
        </is>
      </c>
      <c r="B202" t="inlineStr">
        <is>
          <t>epic</t>
        </is>
      </c>
      <c r="C202" t="n">
        <v>3</v>
      </c>
      <c r="D202" t="inlineStr">
        <is>
          <t>Str</t>
        </is>
      </c>
      <c r="E202" t="n">
        <v>100</v>
      </c>
      <c r="F202" t="n">
        <v>8.74</v>
      </c>
      <c r="G202" t="b">
        <v>0</v>
      </c>
      <c r="H202" t="inlineStr">
        <is>
          <t>0</t>
        </is>
      </c>
    </row>
    <row r="203">
      <c r="A203" t="inlineStr">
        <is>
          <t>ALL</t>
        </is>
      </c>
      <c r="B203" t="inlineStr">
        <is>
          <t>epic</t>
        </is>
      </c>
      <c r="C203" t="n">
        <v>3</v>
      </c>
      <c r="D203" t="inlineStr">
        <is>
          <t>Str</t>
        </is>
      </c>
      <c r="E203" t="n">
        <v>200</v>
      </c>
      <c r="F203" t="n">
        <v>0.74</v>
      </c>
      <c r="G203" t="b">
        <v>1</v>
      </c>
      <c r="H203" t="inlineStr">
        <is>
          <t>0</t>
        </is>
      </c>
    </row>
    <row r="204">
      <c r="A204" t="inlineStr">
        <is>
          <t>ALL</t>
        </is>
      </c>
      <c r="B204" t="inlineStr">
        <is>
          <t>epic</t>
        </is>
      </c>
      <c r="C204" t="n">
        <v>3</v>
      </c>
      <c r="D204" t="inlineStr">
        <is>
          <t>Dex</t>
        </is>
      </c>
      <c r="E204" t="n">
        <v>100</v>
      </c>
      <c r="F204" t="n">
        <v>8.74</v>
      </c>
      <c r="G204" t="b">
        <v>0</v>
      </c>
      <c r="H204" t="inlineStr">
        <is>
          <t>0</t>
        </is>
      </c>
    </row>
    <row r="205">
      <c r="A205" t="inlineStr">
        <is>
          <t>ALL</t>
        </is>
      </c>
      <c r="B205" t="inlineStr">
        <is>
          <t>epic</t>
        </is>
      </c>
      <c r="C205" t="n">
        <v>3</v>
      </c>
      <c r="D205" t="inlineStr">
        <is>
          <t>Dex</t>
        </is>
      </c>
      <c r="E205" t="n">
        <v>200</v>
      </c>
      <c r="F205" t="n">
        <v>0.74</v>
      </c>
      <c r="G205" t="b">
        <v>1</v>
      </c>
      <c r="H205" t="inlineStr">
        <is>
          <t>0</t>
        </is>
      </c>
    </row>
    <row r="206">
      <c r="A206" t="inlineStr">
        <is>
          <t>ALL</t>
        </is>
      </c>
      <c r="B206" t="inlineStr">
        <is>
          <t>epic</t>
        </is>
      </c>
      <c r="C206" t="n">
        <v>3</v>
      </c>
      <c r="D206" t="inlineStr">
        <is>
          <t>Int</t>
        </is>
      </c>
      <c r="E206" t="n">
        <v>100</v>
      </c>
      <c r="F206" t="n">
        <v>8.74</v>
      </c>
      <c r="G206" t="b">
        <v>0</v>
      </c>
      <c r="H206">
        <f>Sensitivity!H5</f>
        <v/>
      </c>
    </row>
    <row r="207">
      <c r="A207" t="inlineStr">
        <is>
          <t>ALL</t>
        </is>
      </c>
      <c r="B207" t="inlineStr">
        <is>
          <t>epic</t>
        </is>
      </c>
      <c r="C207" t="n">
        <v>3</v>
      </c>
      <c r="D207" t="inlineStr">
        <is>
          <t>Int</t>
        </is>
      </c>
      <c r="E207" t="n">
        <v>200</v>
      </c>
      <c r="F207" t="n">
        <v>0.74</v>
      </c>
      <c r="G207" t="b">
        <v>1</v>
      </c>
      <c r="H207">
        <f>Sensitivity!H5</f>
        <v/>
      </c>
    </row>
    <row r="208">
      <c r="A208" t="inlineStr">
        <is>
          <t>ALL</t>
        </is>
      </c>
      <c r="B208" t="inlineStr">
        <is>
          <t>epic</t>
        </is>
      </c>
      <c r="C208" t="n">
        <v>3</v>
      </c>
      <c r="D208" t="inlineStr">
        <is>
          <t>Luk</t>
        </is>
      </c>
      <c r="E208" t="n">
        <v>100</v>
      </c>
      <c r="F208" t="n">
        <v>8.74</v>
      </c>
      <c r="G208" t="b">
        <v>0</v>
      </c>
      <c r="H208" t="inlineStr">
        <is>
          <t>0</t>
        </is>
      </c>
    </row>
    <row r="209">
      <c r="A209" t="inlineStr">
        <is>
          <t>ALL</t>
        </is>
      </c>
      <c r="B209" t="inlineStr">
        <is>
          <t>epic</t>
        </is>
      </c>
      <c r="C209" t="n">
        <v>3</v>
      </c>
      <c r="D209" t="inlineStr">
        <is>
          <t>Luk</t>
        </is>
      </c>
      <c r="E209" t="n">
        <v>200</v>
      </c>
      <c r="F209" t="n">
        <v>0.74</v>
      </c>
      <c r="G209" t="b">
        <v>1</v>
      </c>
      <c r="H209" t="inlineStr">
        <is>
          <t>0</t>
        </is>
      </c>
    </row>
    <row r="210">
      <c r="A210" t="inlineStr">
        <is>
          <t>ALL</t>
        </is>
      </c>
      <c r="B210" t="inlineStr">
        <is>
          <t>unique</t>
        </is>
      </c>
      <c r="C210" t="n">
        <v>1</v>
      </c>
      <c r="D210" t="inlineStr">
        <is>
          <t>Critical Rate %</t>
        </is>
      </c>
      <c r="E210" t="n">
        <v>9</v>
      </c>
      <c r="F210" t="n">
        <v>2.5</v>
      </c>
      <c r="G210" t="b">
        <v>1</v>
      </c>
      <c r="H210">
        <f>IF(Inputs!$B$8&gt;=100,Sensitivity!H15,Sensitivity!H14)</f>
        <v/>
      </c>
    </row>
    <row r="211">
      <c r="A211" t="inlineStr">
        <is>
          <t>ALL</t>
        </is>
      </c>
      <c r="B211" t="inlineStr">
        <is>
          <t>unique</t>
        </is>
      </c>
      <c r="C211" t="n">
        <v>1</v>
      </c>
      <c r="D211" t="inlineStr">
        <is>
          <t>Attack Speed %</t>
        </is>
      </c>
      <c r="E211" t="n">
        <v>5</v>
      </c>
      <c r="F211" t="n">
        <v>2.5</v>
      </c>
      <c r="G211" t="b">
        <v>1</v>
      </c>
      <c r="H211">
        <f>Sensitivity!H16</f>
        <v/>
      </c>
    </row>
    <row r="212">
      <c r="A212" t="inlineStr">
        <is>
          <t>ALL</t>
        </is>
      </c>
      <c r="B212" t="inlineStr">
        <is>
          <t>unique</t>
        </is>
      </c>
      <c r="C212" t="n">
        <v>1</v>
      </c>
      <c r="D212" t="inlineStr">
        <is>
          <t>Damage %</t>
        </is>
      </c>
      <c r="E212" t="n">
        <v>18</v>
      </c>
      <c r="F212" t="n">
        <v>4</v>
      </c>
      <c r="G212" t="b">
        <v>1</v>
      </c>
      <c r="H212">
        <f>Sensitivity!H7</f>
        <v/>
      </c>
    </row>
    <row r="213">
      <c r="A213" t="inlineStr">
        <is>
          <t>ALL</t>
        </is>
      </c>
      <c r="B213" t="inlineStr">
        <is>
          <t>unique</t>
        </is>
      </c>
      <c r="C213" t="n">
        <v>1</v>
      </c>
      <c r="D213" t="inlineStr">
        <is>
          <t>Min Damage Multiplier %</t>
        </is>
      </c>
      <c r="E213" t="n">
        <v>10</v>
      </c>
      <c r="F213" t="n">
        <v>4</v>
      </c>
      <c r="G213" t="b">
        <v>1</v>
      </c>
      <c r="H213">
        <f>Sensitivity!H12</f>
        <v/>
      </c>
    </row>
    <row r="214">
      <c r="A214" t="inlineStr">
        <is>
          <t>ALL</t>
        </is>
      </c>
      <c r="B214" t="inlineStr">
        <is>
          <t>unique</t>
        </is>
      </c>
      <c r="C214" t="n">
        <v>1</v>
      </c>
      <c r="D214" t="inlineStr">
        <is>
          <t>Max Damage Multiplier %</t>
        </is>
      </c>
      <c r="E214" t="n">
        <v>10</v>
      </c>
      <c r="F214" t="n">
        <v>4</v>
      </c>
      <c r="G214" t="b">
        <v>1</v>
      </c>
      <c r="H214">
        <f>Sensitivity!H13</f>
        <v/>
      </c>
    </row>
    <row r="215">
      <c r="A215" t="inlineStr">
        <is>
          <t>ALL</t>
        </is>
      </c>
      <c r="B215" t="inlineStr">
        <is>
          <t>unique</t>
        </is>
      </c>
      <c r="C215" t="n">
        <v>1</v>
      </c>
      <c r="D215" t="inlineStr">
        <is>
          <t>Str %</t>
        </is>
      </c>
      <c r="E215" t="n">
        <v>9</v>
      </c>
      <c r="F215" t="n">
        <v>4.5</v>
      </c>
      <c r="G215" t="b">
        <v>1</v>
      </c>
      <c r="H215" t="inlineStr">
        <is>
          <t>0</t>
        </is>
      </c>
    </row>
    <row r="216">
      <c r="A216" t="inlineStr">
        <is>
          <t>ALL</t>
        </is>
      </c>
      <c r="B216" t="inlineStr">
        <is>
          <t>unique</t>
        </is>
      </c>
      <c r="C216" t="n">
        <v>1</v>
      </c>
      <c r="D216" t="inlineStr">
        <is>
          <t>Dex %</t>
        </is>
      </c>
      <c r="E216" t="n">
        <v>9</v>
      </c>
      <c r="F216" t="n">
        <v>4.5</v>
      </c>
      <c r="G216" t="b">
        <v>1</v>
      </c>
      <c r="H216" t="inlineStr">
        <is>
          <t>0</t>
        </is>
      </c>
    </row>
    <row r="217">
      <c r="A217" t="inlineStr">
        <is>
          <t>ALL</t>
        </is>
      </c>
      <c r="B217" t="inlineStr">
        <is>
          <t>unique</t>
        </is>
      </c>
      <c r="C217" t="n">
        <v>1</v>
      </c>
      <c r="D217" t="inlineStr">
        <is>
          <t>Int %</t>
        </is>
      </c>
      <c r="E217" t="n">
        <v>9</v>
      </c>
      <c r="F217" t="n">
        <v>4.5</v>
      </c>
      <c r="G217" t="b">
        <v>1</v>
      </c>
      <c r="H217">
        <f>Sensitivity!H6</f>
        <v/>
      </c>
    </row>
    <row r="218">
      <c r="A218" t="inlineStr">
        <is>
          <t>ALL</t>
        </is>
      </c>
      <c r="B218" t="inlineStr">
        <is>
          <t>unique</t>
        </is>
      </c>
      <c r="C218" t="n">
        <v>1</v>
      </c>
      <c r="D218" t="inlineStr">
        <is>
          <t>Luk %</t>
        </is>
      </c>
      <c r="E218" t="n">
        <v>9</v>
      </c>
      <c r="F218" t="n">
        <v>4.5</v>
      </c>
      <c r="G218" t="b">
        <v>1</v>
      </c>
      <c r="H218" t="inlineStr">
        <is>
          <t>0</t>
        </is>
      </c>
    </row>
    <row r="219">
      <c r="A219" t="inlineStr">
        <is>
          <t>ALL</t>
        </is>
      </c>
      <c r="B219" t="inlineStr">
        <is>
          <t>unique</t>
        </is>
      </c>
      <c r="C219" t="n">
        <v>1</v>
      </c>
      <c r="D219" t="inlineStr">
        <is>
          <t>Defense %</t>
        </is>
      </c>
      <c r="E219" t="n">
        <v>9</v>
      </c>
      <c r="F219" t="n">
        <v>9</v>
      </c>
      <c r="G219" t="b">
        <v>1</v>
      </c>
      <c r="H219" t="inlineStr">
        <is>
          <t>0</t>
        </is>
      </c>
    </row>
    <row r="220">
      <c r="A220" t="inlineStr">
        <is>
          <t>ALL</t>
        </is>
      </c>
      <c r="B220" t="inlineStr">
        <is>
          <t>unique</t>
        </is>
      </c>
      <c r="C220" t="n">
        <v>1</v>
      </c>
      <c r="D220" t="inlineStr">
        <is>
          <t>Max HP %</t>
        </is>
      </c>
      <c r="E220" t="n">
        <v>15</v>
      </c>
      <c r="F220" t="n">
        <v>9</v>
      </c>
      <c r="G220" t="b">
        <v>1</v>
      </c>
      <c r="H220" t="inlineStr">
        <is>
          <t>0</t>
        </is>
      </c>
    </row>
    <row r="221">
      <c r="A221" t="inlineStr">
        <is>
          <t>ALL</t>
        </is>
      </c>
      <c r="B221" t="inlineStr">
        <is>
          <t>unique</t>
        </is>
      </c>
      <c r="C221" t="n">
        <v>1</v>
      </c>
      <c r="D221" t="inlineStr">
        <is>
          <t>Max MP %</t>
        </is>
      </c>
      <c r="E221" t="n">
        <v>9</v>
      </c>
      <c r="F221" t="n">
        <v>9</v>
      </c>
      <c r="G221" t="b">
        <v>1</v>
      </c>
      <c r="H221" t="inlineStr">
        <is>
          <t>0</t>
        </is>
      </c>
    </row>
    <row r="222">
      <c r="A222" t="inlineStr">
        <is>
          <t>ALL</t>
        </is>
      </c>
      <c r="B222" t="inlineStr">
        <is>
          <t>unique</t>
        </is>
      </c>
      <c r="C222" t="n">
        <v>1</v>
      </c>
      <c r="D222" t="inlineStr">
        <is>
          <t>Str</t>
        </is>
      </c>
      <c r="E222" t="n">
        <v>400</v>
      </c>
      <c r="F222" t="n">
        <v>9.25</v>
      </c>
      <c r="G222" t="b">
        <v>1</v>
      </c>
      <c r="H222" t="inlineStr">
        <is>
          <t>0</t>
        </is>
      </c>
    </row>
    <row r="223">
      <c r="A223" t="inlineStr">
        <is>
          <t>ALL</t>
        </is>
      </c>
      <c r="B223" t="inlineStr">
        <is>
          <t>unique</t>
        </is>
      </c>
      <c r="C223" t="n">
        <v>1</v>
      </c>
      <c r="D223" t="inlineStr">
        <is>
          <t>Dex</t>
        </is>
      </c>
      <c r="E223" t="n">
        <v>400</v>
      </c>
      <c r="F223" t="n">
        <v>9.25</v>
      </c>
      <c r="G223" t="b">
        <v>1</v>
      </c>
      <c r="H223" t="inlineStr">
        <is>
          <t>0</t>
        </is>
      </c>
    </row>
    <row r="224">
      <c r="A224" t="inlineStr">
        <is>
          <t>ALL</t>
        </is>
      </c>
      <c r="B224" t="inlineStr">
        <is>
          <t>unique</t>
        </is>
      </c>
      <c r="C224" t="n">
        <v>1</v>
      </c>
      <c r="D224" t="inlineStr">
        <is>
          <t>Int</t>
        </is>
      </c>
      <c r="E224" t="n">
        <v>400</v>
      </c>
      <c r="F224" t="n">
        <v>9.25</v>
      </c>
      <c r="G224" t="b">
        <v>1</v>
      </c>
      <c r="H224">
        <f>Sensitivity!H5</f>
        <v/>
      </c>
    </row>
    <row r="225">
      <c r="A225" t="inlineStr">
        <is>
          <t>ALL</t>
        </is>
      </c>
      <c r="B225" t="inlineStr">
        <is>
          <t>unique</t>
        </is>
      </c>
      <c r="C225" t="n">
        <v>1</v>
      </c>
      <c r="D225" t="inlineStr">
        <is>
          <t>Luk</t>
        </is>
      </c>
      <c r="E225" t="n">
        <v>400</v>
      </c>
      <c r="F225" t="n">
        <v>9.25</v>
      </c>
      <c r="G225" t="b">
        <v>1</v>
      </c>
      <c r="H225" t="inlineStr">
        <is>
          <t>0</t>
        </is>
      </c>
    </row>
    <row r="226">
      <c r="A226" t="inlineStr">
        <is>
          <t>ALL</t>
        </is>
      </c>
      <c r="B226" t="inlineStr">
        <is>
          <t>unique</t>
        </is>
      </c>
      <c r="C226" t="n">
        <v>2</v>
      </c>
      <c r="D226" t="inlineStr">
        <is>
          <t>Critical Rate %</t>
        </is>
      </c>
      <c r="E226" t="n">
        <v>6</v>
      </c>
      <c r="F226" t="n">
        <v>1.9</v>
      </c>
      <c r="G226" t="b">
        <v>0</v>
      </c>
      <c r="H226">
        <f>IF(Inputs!$B$8&gt;=100,Sensitivity!H15,Sensitivity!H14)</f>
        <v/>
      </c>
    </row>
    <row r="227">
      <c r="A227" t="inlineStr">
        <is>
          <t>ALL</t>
        </is>
      </c>
      <c r="B227" t="inlineStr">
        <is>
          <t>unique</t>
        </is>
      </c>
      <c r="C227" t="n">
        <v>2</v>
      </c>
      <c r="D227" t="inlineStr">
        <is>
          <t>Critical Rate %</t>
        </is>
      </c>
      <c r="E227" t="n">
        <v>9</v>
      </c>
      <c r="F227" t="n">
        <v>0.6</v>
      </c>
      <c r="G227" t="b">
        <v>1</v>
      </c>
      <c r="H227">
        <f>IF(Inputs!$B$8&gt;=100,Sensitivity!H15,Sensitivity!H14)</f>
        <v/>
      </c>
    </row>
    <row r="228">
      <c r="A228" t="inlineStr">
        <is>
          <t>ALL</t>
        </is>
      </c>
      <c r="B228" t="inlineStr">
        <is>
          <t>unique</t>
        </is>
      </c>
      <c r="C228" t="n">
        <v>2</v>
      </c>
      <c r="D228" t="inlineStr">
        <is>
          <t>Attack Speed %</t>
        </is>
      </c>
      <c r="E228" t="n">
        <v>4</v>
      </c>
      <c r="F228" t="n">
        <v>1.9</v>
      </c>
      <c r="G228" t="b">
        <v>0</v>
      </c>
      <c r="H228">
        <f>Sensitivity!H16</f>
        <v/>
      </c>
    </row>
    <row r="229">
      <c r="A229" t="inlineStr">
        <is>
          <t>ALL</t>
        </is>
      </c>
      <c r="B229" t="inlineStr">
        <is>
          <t>unique</t>
        </is>
      </c>
      <c r="C229" t="n">
        <v>2</v>
      </c>
      <c r="D229" t="inlineStr">
        <is>
          <t>Attack Speed %</t>
        </is>
      </c>
      <c r="E229" t="n">
        <v>5</v>
      </c>
      <c r="F229" t="n">
        <v>0.6</v>
      </c>
      <c r="G229" t="b">
        <v>1</v>
      </c>
      <c r="H229">
        <f>Sensitivity!H16</f>
        <v/>
      </c>
    </row>
    <row r="230">
      <c r="A230" t="inlineStr">
        <is>
          <t>ALL</t>
        </is>
      </c>
      <c r="B230" t="inlineStr">
        <is>
          <t>unique</t>
        </is>
      </c>
      <c r="C230" t="n">
        <v>2</v>
      </c>
      <c r="D230" t="inlineStr">
        <is>
          <t>Damage %</t>
        </is>
      </c>
      <c r="E230" t="n">
        <v>12</v>
      </c>
      <c r="F230" t="n">
        <v>3.04</v>
      </c>
      <c r="G230" t="b">
        <v>0</v>
      </c>
      <c r="H230">
        <f>Sensitivity!H7</f>
        <v/>
      </c>
    </row>
    <row r="231">
      <c r="A231" t="inlineStr">
        <is>
          <t>ALL</t>
        </is>
      </c>
      <c r="B231" t="inlineStr">
        <is>
          <t>unique</t>
        </is>
      </c>
      <c r="C231" t="n">
        <v>2</v>
      </c>
      <c r="D231" t="inlineStr">
        <is>
          <t>Damage %</t>
        </is>
      </c>
      <c r="E231" t="n">
        <v>18</v>
      </c>
      <c r="F231" t="n">
        <v>0.96</v>
      </c>
      <c r="G231" t="b">
        <v>1</v>
      </c>
      <c r="H231">
        <f>Sensitivity!H7</f>
        <v/>
      </c>
    </row>
    <row r="232">
      <c r="A232" t="inlineStr">
        <is>
          <t>ALL</t>
        </is>
      </c>
      <c r="B232" t="inlineStr">
        <is>
          <t>unique</t>
        </is>
      </c>
      <c r="C232" t="n">
        <v>2</v>
      </c>
      <c r="D232" t="inlineStr">
        <is>
          <t>Min Damage Multiplier %</t>
        </is>
      </c>
      <c r="E232" t="n">
        <v>8</v>
      </c>
      <c r="F232" t="n">
        <v>3.04</v>
      </c>
      <c r="G232" t="b">
        <v>0</v>
      </c>
      <c r="H232">
        <f>Sensitivity!H12</f>
        <v/>
      </c>
    </row>
    <row r="233">
      <c r="A233" t="inlineStr">
        <is>
          <t>ALL</t>
        </is>
      </c>
      <c r="B233" t="inlineStr">
        <is>
          <t>unique</t>
        </is>
      </c>
      <c r="C233" t="n">
        <v>2</v>
      </c>
      <c r="D233" t="inlineStr">
        <is>
          <t>Min Damage Multiplier %</t>
        </is>
      </c>
      <c r="E233" t="n">
        <v>10</v>
      </c>
      <c r="F233" t="n">
        <v>0.96</v>
      </c>
      <c r="G233" t="b">
        <v>1</v>
      </c>
      <c r="H233">
        <f>Sensitivity!H12</f>
        <v/>
      </c>
    </row>
    <row r="234">
      <c r="A234" t="inlineStr">
        <is>
          <t>ALL</t>
        </is>
      </c>
      <c r="B234" t="inlineStr">
        <is>
          <t>unique</t>
        </is>
      </c>
      <c r="C234" t="n">
        <v>2</v>
      </c>
      <c r="D234" t="inlineStr">
        <is>
          <t>Max Damage Multiplier %</t>
        </is>
      </c>
      <c r="E234" t="n">
        <v>8</v>
      </c>
      <c r="F234" t="n">
        <v>3.04</v>
      </c>
      <c r="G234" t="b">
        <v>0</v>
      </c>
      <c r="H234">
        <f>Sensitivity!H13</f>
        <v/>
      </c>
    </row>
    <row r="235">
      <c r="A235" t="inlineStr">
        <is>
          <t>ALL</t>
        </is>
      </c>
      <c r="B235" t="inlineStr">
        <is>
          <t>unique</t>
        </is>
      </c>
      <c r="C235" t="n">
        <v>2</v>
      </c>
      <c r="D235" t="inlineStr">
        <is>
          <t>Max Damage Multiplier %</t>
        </is>
      </c>
      <c r="E235" t="n">
        <v>10</v>
      </c>
      <c r="F235" t="n">
        <v>0.96</v>
      </c>
      <c r="G235" t="b">
        <v>1</v>
      </c>
      <c r="H235">
        <f>Sensitivity!H13</f>
        <v/>
      </c>
    </row>
    <row r="236">
      <c r="A236" t="inlineStr">
        <is>
          <t>ALL</t>
        </is>
      </c>
      <c r="B236" t="inlineStr">
        <is>
          <t>unique</t>
        </is>
      </c>
      <c r="C236" t="n">
        <v>2</v>
      </c>
      <c r="D236" t="inlineStr">
        <is>
          <t>Str %</t>
        </is>
      </c>
      <c r="E236" t="n">
        <v>6</v>
      </c>
      <c r="F236" t="n">
        <v>3.42</v>
      </c>
      <c r="G236" t="b">
        <v>0</v>
      </c>
      <c r="H236" t="inlineStr">
        <is>
          <t>0</t>
        </is>
      </c>
    </row>
    <row r="237">
      <c r="A237" t="inlineStr">
        <is>
          <t>ALL</t>
        </is>
      </c>
      <c r="B237" t="inlineStr">
        <is>
          <t>unique</t>
        </is>
      </c>
      <c r="C237" t="n">
        <v>2</v>
      </c>
      <c r="D237" t="inlineStr">
        <is>
          <t>Str %</t>
        </is>
      </c>
      <c r="E237" t="n">
        <v>9</v>
      </c>
      <c r="F237" t="n">
        <v>1.08</v>
      </c>
      <c r="G237" t="b">
        <v>1</v>
      </c>
      <c r="H237" t="inlineStr">
        <is>
          <t>0</t>
        </is>
      </c>
    </row>
    <row r="238">
      <c r="A238" t="inlineStr">
        <is>
          <t>ALL</t>
        </is>
      </c>
      <c r="B238" t="inlineStr">
        <is>
          <t>unique</t>
        </is>
      </c>
      <c r="C238" t="n">
        <v>2</v>
      </c>
      <c r="D238" t="inlineStr">
        <is>
          <t>Dex %</t>
        </is>
      </c>
      <c r="E238" t="n">
        <v>6</v>
      </c>
      <c r="F238" t="n">
        <v>3.42</v>
      </c>
      <c r="G238" t="b">
        <v>0</v>
      </c>
      <c r="H238" t="inlineStr">
        <is>
          <t>0</t>
        </is>
      </c>
    </row>
    <row r="239">
      <c r="A239" t="inlineStr">
        <is>
          <t>ALL</t>
        </is>
      </c>
      <c r="B239" t="inlineStr">
        <is>
          <t>unique</t>
        </is>
      </c>
      <c r="C239" t="n">
        <v>2</v>
      </c>
      <c r="D239" t="inlineStr">
        <is>
          <t>Dex %</t>
        </is>
      </c>
      <c r="E239" t="n">
        <v>9</v>
      </c>
      <c r="F239" t="n">
        <v>1.08</v>
      </c>
      <c r="G239" t="b">
        <v>1</v>
      </c>
      <c r="H239" t="inlineStr">
        <is>
          <t>0</t>
        </is>
      </c>
    </row>
    <row r="240">
      <c r="A240" t="inlineStr">
        <is>
          <t>ALL</t>
        </is>
      </c>
      <c r="B240" t="inlineStr">
        <is>
          <t>unique</t>
        </is>
      </c>
      <c r="C240" t="n">
        <v>2</v>
      </c>
      <c r="D240" t="inlineStr">
        <is>
          <t>Int %</t>
        </is>
      </c>
      <c r="E240" t="n">
        <v>6</v>
      </c>
      <c r="F240" t="n">
        <v>3.42</v>
      </c>
      <c r="G240" t="b">
        <v>0</v>
      </c>
      <c r="H240">
        <f>Sensitivity!H6</f>
        <v/>
      </c>
    </row>
    <row r="241">
      <c r="A241" t="inlineStr">
        <is>
          <t>ALL</t>
        </is>
      </c>
      <c r="B241" t="inlineStr">
        <is>
          <t>unique</t>
        </is>
      </c>
      <c r="C241" t="n">
        <v>2</v>
      </c>
      <c r="D241" t="inlineStr">
        <is>
          <t>Int %</t>
        </is>
      </c>
      <c r="E241" t="n">
        <v>9</v>
      </c>
      <c r="F241" t="n">
        <v>1.08</v>
      </c>
      <c r="G241" t="b">
        <v>1</v>
      </c>
      <c r="H241">
        <f>Sensitivity!H6</f>
        <v/>
      </c>
    </row>
    <row r="242">
      <c r="A242" t="inlineStr">
        <is>
          <t>ALL</t>
        </is>
      </c>
      <c r="B242" t="inlineStr">
        <is>
          <t>unique</t>
        </is>
      </c>
      <c r="C242" t="n">
        <v>2</v>
      </c>
      <c r="D242" t="inlineStr">
        <is>
          <t>Luk %</t>
        </is>
      </c>
      <c r="E242" t="n">
        <v>6</v>
      </c>
      <c r="F242" t="n">
        <v>3.42</v>
      </c>
      <c r="G242" t="b">
        <v>0</v>
      </c>
      <c r="H242" t="inlineStr">
        <is>
          <t>0</t>
        </is>
      </c>
    </row>
    <row r="243">
      <c r="A243" t="inlineStr">
        <is>
          <t>ALL</t>
        </is>
      </c>
      <c r="B243" t="inlineStr">
        <is>
          <t>unique</t>
        </is>
      </c>
      <c r="C243" t="n">
        <v>2</v>
      </c>
      <c r="D243" t="inlineStr">
        <is>
          <t>Luk %</t>
        </is>
      </c>
      <c r="E243" t="n">
        <v>9</v>
      </c>
      <c r="F243" t="n">
        <v>1.08</v>
      </c>
      <c r="G243" t="b">
        <v>1</v>
      </c>
      <c r="H243" t="inlineStr">
        <is>
          <t>0</t>
        </is>
      </c>
    </row>
    <row r="244">
      <c r="A244" t="inlineStr">
        <is>
          <t>ALL</t>
        </is>
      </c>
      <c r="B244" t="inlineStr">
        <is>
          <t>unique</t>
        </is>
      </c>
      <c r="C244" t="n">
        <v>2</v>
      </c>
      <c r="D244" t="inlineStr">
        <is>
          <t>Defense %</t>
        </is>
      </c>
      <c r="E244" t="n">
        <v>6</v>
      </c>
      <c r="F244" t="n">
        <v>6.84</v>
      </c>
      <c r="G244" t="b">
        <v>0</v>
      </c>
      <c r="H244" t="inlineStr">
        <is>
          <t>0</t>
        </is>
      </c>
    </row>
    <row r="245">
      <c r="A245" t="inlineStr">
        <is>
          <t>ALL</t>
        </is>
      </c>
      <c r="B245" t="inlineStr">
        <is>
          <t>unique</t>
        </is>
      </c>
      <c r="C245" t="n">
        <v>2</v>
      </c>
      <c r="D245" t="inlineStr">
        <is>
          <t>Defense %</t>
        </is>
      </c>
      <c r="E245" t="n">
        <v>9</v>
      </c>
      <c r="F245" t="n">
        <v>2.16</v>
      </c>
      <c r="G245" t="b">
        <v>1</v>
      </c>
      <c r="H245" t="inlineStr">
        <is>
          <t>0</t>
        </is>
      </c>
    </row>
    <row r="246">
      <c r="A246" t="inlineStr">
        <is>
          <t>ALL</t>
        </is>
      </c>
      <c r="B246" t="inlineStr">
        <is>
          <t>unique</t>
        </is>
      </c>
      <c r="C246" t="n">
        <v>2</v>
      </c>
      <c r="D246" t="inlineStr">
        <is>
          <t>Max HP %</t>
        </is>
      </c>
      <c r="E246" t="n">
        <v>12</v>
      </c>
      <c r="F246" t="n">
        <v>6.84</v>
      </c>
      <c r="G246" t="b">
        <v>0</v>
      </c>
      <c r="H246" t="inlineStr">
        <is>
          <t>0</t>
        </is>
      </c>
    </row>
    <row r="247">
      <c r="A247" t="inlineStr">
        <is>
          <t>ALL</t>
        </is>
      </c>
      <c r="B247" t="inlineStr">
        <is>
          <t>unique</t>
        </is>
      </c>
      <c r="C247" t="n">
        <v>2</v>
      </c>
      <c r="D247" t="inlineStr">
        <is>
          <t>Max HP %</t>
        </is>
      </c>
      <c r="E247" t="n">
        <v>15</v>
      </c>
      <c r="F247" t="n">
        <v>2.16</v>
      </c>
      <c r="G247" t="b">
        <v>1</v>
      </c>
      <c r="H247" t="inlineStr">
        <is>
          <t>0</t>
        </is>
      </c>
    </row>
    <row r="248">
      <c r="A248" t="inlineStr">
        <is>
          <t>ALL</t>
        </is>
      </c>
      <c r="B248" t="inlineStr">
        <is>
          <t>unique</t>
        </is>
      </c>
      <c r="C248" t="n">
        <v>2</v>
      </c>
      <c r="D248" t="inlineStr">
        <is>
          <t>Max MP %</t>
        </is>
      </c>
      <c r="E248" t="n">
        <v>6</v>
      </c>
      <c r="F248" t="n">
        <v>6.84</v>
      </c>
      <c r="G248" t="b">
        <v>0</v>
      </c>
      <c r="H248" t="inlineStr">
        <is>
          <t>0</t>
        </is>
      </c>
    </row>
    <row r="249">
      <c r="A249" t="inlineStr">
        <is>
          <t>ALL</t>
        </is>
      </c>
      <c r="B249" t="inlineStr">
        <is>
          <t>unique</t>
        </is>
      </c>
      <c r="C249" t="n">
        <v>2</v>
      </c>
      <c r="D249" t="inlineStr">
        <is>
          <t>Max MP %</t>
        </is>
      </c>
      <c r="E249" t="n">
        <v>9</v>
      </c>
      <c r="F249" t="n">
        <v>2.16</v>
      </c>
      <c r="G249" t="b">
        <v>1</v>
      </c>
      <c r="H249" t="inlineStr">
        <is>
          <t>0</t>
        </is>
      </c>
    </row>
    <row r="250">
      <c r="A250" t="inlineStr">
        <is>
          <t>ALL</t>
        </is>
      </c>
      <c r="B250" t="inlineStr">
        <is>
          <t>unique</t>
        </is>
      </c>
      <c r="C250" t="n">
        <v>2</v>
      </c>
      <c r="D250" t="inlineStr">
        <is>
          <t>Str</t>
        </is>
      </c>
      <c r="E250" t="n">
        <v>200</v>
      </c>
      <c r="F250" t="n">
        <v>7.03</v>
      </c>
      <c r="G250" t="b">
        <v>0</v>
      </c>
      <c r="H250" t="inlineStr">
        <is>
          <t>0</t>
        </is>
      </c>
    </row>
    <row r="251">
      <c r="A251" t="inlineStr">
        <is>
          <t>ALL</t>
        </is>
      </c>
      <c r="B251" t="inlineStr">
        <is>
          <t>unique</t>
        </is>
      </c>
      <c r="C251" t="n">
        <v>2</v>
      </c>
      <c r="D251" t="inlineStr">
        <is>
          <t>Str</t>
        </is>
      </c>
      <c r="E251" t="n">
        <v>400</v>
      </c>
      <c r="F251" t="n">
        <v>2.22</v>
      </c>
      <c r="G251" t="b">
        <v>1</v>
      </c>
      <c r="H251" t="inlineStr">
        <is>
          <t>0</t>
        </is>
      </c>
    </row>
    <row r="252">
      <c r="A252" t="inlineStr">
        <is>
          <t>ALL</t>
        </is>
      </c>
      <c r="B252" t="inlineStr">
        <is>
          <t>unique</t>
        </is>
      </c>
      <c r="C252" t="n">
        <v>2</v>
      </c>
      <c r="D252" t="inlineStr">
        <is>
          <t>Dex</t>
        </is>
      </c>
      <c r="E252" t="n">
        <v>200</v>
      </c>
      <c r="F252" t="n">
        <v>7.03</v>
      </c>
      <c r="G252" t="b">
        <v>0</v>
      </c>
      <c r="H252" t="inlineStr">
        <is>
          <t>0</t>
        </is>
      </c>
    </row>
    <row r="253">
      <c r="A253" t="inlineStr">
        <is>
          <t>ALL</t>
        </is>
      </c>
      <c r="B253" t="inlineStr">
        <is>
          <t>unique</t>
        </is>
      </c>
      <c r="C253" t="n">
        <v>2</v>
      </c>
      <c r="D253" t="inlineStr">
        <is>
          <t>Dex</t>
        </is>
      </c>
      <c r="E253" t="n">
        <v>400</v>
      </c>
      <c r="F253" t="n">
        <v>2.22</v>
      </c>
      <c r="G253" t="b">
        <v>1</v>
      </c>
      <c r="H253" t="inlineStr">
        <is>
          <t>0</t>
        </is>
      </c>
    </row>
    <row r="254">
      <c r="A254" t="inlineStr">
        <is>
          <t>ALL</t>
        </is>
      </c>
      <c r="B254" t="inlineStr">
        <is>
          <t>unique</t>
        </is>
      </c>
      <c r="C254" t="n">
        <v>2</v>
      </c>
      <c r="D254" t="inlineStr">
        <is>
          <t>Int</t>
        </is>
      </c>
      <c r="E254" t="n">
        <v>200</v>
      </c>
      <c r="F254" t="n">
        <v>7.03</v>
      </c>
      <c r="G254" t="b">
        <v>0</v>
      </c>
      <c r="H254">
        <f>Sensitivity!H5</f>
        <v/>
      </c>
    </row>
    <row r="255">
      <c r="A255" t="inlineStr">
        <is>
          <t>ALL</t>
        </is>
      </c>
      <c r="B255" t="inlineStr">
        <is>
          <t>unique</t>
        </is>
      </c>
      <c r="C255" t="n">
        <v>2</v>
      </c>
      <c r="D255" t="inlineStr">
        <is>
          <t>Int</t>
        </is>
      </c>
      <c r="E255" t="n">
        <v>400</v>
      </c>
      <c r="F255" t="n">
        <v>2.22</v>
      </c>
      <c r="G255" t="b">
        <v>1</v>
      </c>
      <c r="H255">
        <f>Sensitivity!H5</f>
        <v/>
      </c>
    </row>
    <row r="256">
      <c r="A256" t="inlineStr">
        <is>
          <t>ALL</t>
        </is>
      </c>
      <c r="B256" t="inlineStr">
        <is>
          <t>unique</t>
        </is>
      </c>
      <c r="C256" t="n">
        <v>2</v>
      </c>
      <c r="D256" t="inlineStr">
        <is>
          <t>Luk</t>
        </is>
      </c>
      <c r="E256" t="n">
        <v>200</v>
      </c>
      <c r="F256" t="n">
        <v>7.03</v>
      </c>
      <c r="G256" t="b">
        <v>0</v>
      </c>
      <c r="H256" t="inlineStr">
        <is>
          <t>0</t>
        </is>
      </c>
    </row>
    <row r="257">
      <c r="A257" t="inlineStr">
        <is>
          <t>ALL</t>
        </is>
      </c>
      <c r="B257" t="inlineStr">
        <is>
          <t>unique</t>
        </is>
      </c>
      <c r="C257" t="n">
        <v>2</v>
      </c>
      <c r="D257" t="inlineStr">
        <is>
          <t>Luk</t>
        </is>
      </c>
      <c r="E257" t="n">
        <v>400</v>
      </c>
      <c r="F257" t="n">
        <v>2.22</v>
      </c>
      <c r="G257" t="b">
        <v>1</v>
      </c>
      <c r="H257" t="inlineStr">
        <is>
          <t>0</t>
        </is>
      </c>
    </row>
    <row r="258">
      <c r="A258" t="inlineStr">
        <is>
          <t>ALL</t>
        </is>
      </c>
      <c r="B258" t="inlineStr">
        <is>
          <t>unique</t>
        </is>
      </c>
      <c r="C258" t="n">
        <v>3</v>
      </c>
      <c r="D258" t="inlineStr">
        <is>
          <t>Critical Rate %</t>
        </is>
      </c>
      <c r="E258" t="n">
        <v>6</v>
      </c>
      <c r="F258" t="n">
        <v>2.3</v>
      </c>
      <c r="G258" t="b">
        <v>0</v>
      </c>
      <c r="H258">
        <f>IF(Inputs!$B$8&gt;=100,Sensitivity!H15,Sensitivity!H14)</f>
        <v/>
      </c>
    </row>
    <row r="259">
      <c r="A259" t="inlineStr">
        <is>
          <t>ALL</t>
        </is>
      </c>
      <c r="B259" t="inlineStr">
        <is>
          <t>unique</t>
        </is>
      </c>
      <c r="C259" t="n">
        <v>3</v>
      </c>
      <c r="D259" t="inlineStr">
        <is>
          <t>Critical Rate %</t>
        </is>
      </c>
      <c r="E259" t="n">
        <v>9</v>
      </c>
      <c r="F259" t="n">
        <v>0.2</v>
      </c>
      <c r="G259" t="b">
        <v>1</v>
      </c>
      <c r="H259">
        <f>IF(Inputs!$B$8&gt;=100,Sensitivity!H15,Sensitivity!H14)</f>
        <v/>
      </c>
    </row>
    <row r="260">
      <c r="A260" t="inlineStr">
        <is>
          <t>ALL</t>
        </is>
      </c>
      <c r="B260" t="inlineStr">
        <is>
          <t>unique</t>
        </is>
      </c>
      <c r="C260" t="n">
        <v>3</v>
      </c>
      <c r="D260" t="inlineStr">
        <is>
          <t>Attack Speed %</t>
        </is>
      </c>
      <c r="E260" t="n">
        <v>4</v>
      </c>
      <c r="F260" t="n">
        <v>2.3</v>
      </c>
      <c r="G260" t="b">
        <v>0</v>
      </c>
      <c r="H260">
        <f>Sensitivity!H16</f>
        <v/>
      </c>
    </row>
    <row r="261">
      <c r="A261" t="inlineStr">
        <is>
          <t>ALL</t>
        </is>
      </c>
      <c r="B261" t="inlineStr">
        <is>
          <t>unique</t>
        </is>
      </c>
      <c r="C261" t="n">
        <v>3</v>
      </c>
      <c r="D261" t="inlineStr">
        <is>
          <t>Attack Speed %</t>
        </is>
      </c>
      <c r="E261" t="n">
        <v>5</v>
      </c>
      <c r="F261" t="n">
        <v>0.2</v>
      </c>
      <c r="G261" t="b">
        <v>1</v>
      </c>
      <c r="H261">
        <f>Sensitivity!H16</f>
        <v/>
      </c>
    </row>
    <row r="262">
      <c r="A262" t="inlineStr">
        <is>
          <t>ALL</t>
        </is>
      </c>
      <c r="B262" t="inlineStr">
        <is>
          <t>unique</t>
        </is>
      </c>
      <c r="C262" t="n">
        <v>3</v>
      </c>
      <c r="D262" t="inlineStr">
        <is>
          <t>Damage %</t>
        </is>
      </c>
      <c r="E262" t="n">
        <v>12</v>
      </c>
      <c r="F262" t="n">
        <v>3.68</v>
      </c>
      <c r="G262" t="b">
        <v>0</v>
      </c>
      <c r="H262">
        <f>Sensitivity!H7</f>
        <v/>
      </c>
    </row>
    <row r="263">
      <c r="A263" t="inlineStr">
        <is>
          <t>ALL</t>
        </is>
      </c>
      <c r="B263" t="inlineStr">
        <is>
          <t>unique</t>
        </is>
      </c>
      <c r="C263" t="n">
        <v>3</v>
      </c>
      <c r="D263" t="inlineStr">
        <is>
          <t>Damage %</t>
        </is>
      </c>
      <c r="E263" t="n">
        <v>18</v>
      </c>
      <c r="F263" t="n">
        <v>0.32</v>
      </c>
      <c r="G263" t="b">
        <v>1</v>
      </c>
      <c r="H263">
        <f>Sensitivity!H7</f>
        <v/>
      </c>
    </row>
    <row r="264">
      <c r="A264" t="inlineStr">
        <is>
          <t>ALL</t>
        </is>
      </c>
      <c r="B264" t="inlineStr">
        <is>
          <t>unique</t>
        </is>
      </c>
      <c r="C264" t="n">
        <v>3</v>
      </c>
      <c r="D264" t="inlineStr">
        <is>
          <t>Min Damage Multiplier %</t>
        </is>
      </c>
      <c r="E264" t="n">
        <v>8</v>
      </c>
      <c r="F264" t="n">
        <v>3.68</v>
      </c>
      <c r="G264" t="b">
        <v>0</v>
      </c>
      <c r="H264">
        <f>Sensitivity!H12</f>
        <v/>
      </c>
    </row>
    <row r="265">
      <c r="A265" t="inlineStr">
        <is>
          <t>ALL</t>
        </is>
      </c>
      <c r="B265" t="inlineStr">
        <is>
          <t>unique</t>
        </is>
      </c>
      <c r="C265" t="n">
        <v>3</v>
      </c>
      <c r="D265" t="inlineStr">
        <is>
          <t>Min Damage Multiplier %</t>
        </is>
      </c>
      <c r="E265" t="n">
        <v>10</v>
      </c>
      <c r="F265" t="n">
        <v>0.32</v>
      </c>
      <c r="G265" t="b">
        <v>1</v>
      </c>
      <c r="H265">
        <f>Sensitivity!H12</f>
        <v/>
      </c>
    </row>
    <row r="266">
      <c r="A266" t="inlineStr">
        <is>
          <t>ALL</t>
        </is>
      </c>
      <c r="B266" t="inlineStr">
        <is>
          <t>unique</t>
        </is>
      </c>
      <c r="C266" t="n">
        <v>3</v>
      </c>
      <c r="D266" t="inlineStr">
        <is>
          <t>Max Damage Multiplier %</t>
        </is>
      </c>
      <c r="E266" t="n">
        <v>8</v>
      </c>
      <c r="F266" t="n">
        <v>3.68</v>
      </c>
      <c r="G266" t="b">
        <v>0</v>
      </c>
      <c r="H266">
        <f>Sensitivity!H13</f>
        <v/>
      </c>
    </row>
    <row r="267">
      <c r="A267" t="inlineStr">
        <is>
          <t>ALL</t>
        </is>
      </c>
      <c r="B267" t="inlineStr">
        <is>
          <t>unique</t>
        </is>
      </c>
      <c r="C267" t="n">
        <v>3</v>
      </c>
      <c r="D267" t="inlineStr">
        <is>
          <t>Max Damage Multiplier %</t>
        </is>
      </c>
      <c r="E267" t="n">
        <v>10</v>
      </c>
      <c r="F267" t="n">
        <v>0.32</v>
      </c>
      <c r="G267" t="b">
        <v>1</v>
      </c>
      <c r="H267">
        <f>Sensitivity!H13</f>
        <v/>
      </c>
    </row>
    <row r="268">
      <c r="A268" t="inlineStr">
        <is>
          <t>ALL</t>
        </is>
      </c>
      <c r="B268" t="inlineStr">
        <is>
          <t>unique</t>
        </is>
      </c>
      <c r="C268" t="n">
        <v>3</v>
      </c>
      <c r="D268" t="inlineStr">
        <is>
          <t>Str %</t>
        </is>
      </c>
      <c r="E268" t="n">
        <v>6</v>
      </c>
      <c r="F268" t="n">
        <v>4.14</v>
      </c>
      <c r="G268" t="b">
        <v>0</v>
      </c>
      <c r="H268" t="inlineStr">
        <is>
          <t>0</t>
        </is>
      </c>
    </row>
    <row r="269">
      <c r="A269" t="inlineStr">
        <is>
          <t>ALL</t>
        </is>
      </c>
      <c r="B269" t="inlineStr">
        <is>
          <t>unique</t>
        </is>
      </c>
      <c r="C269" t="n">
        <v>3</v>
      </c>
      <c r="D269" t="inlineStr">
        <is>
          <t>Str %</t>
        </is>
      </c>
      <c r="E269" t="n">
        <v>9</v>
      </c>
      <c r="F269" t="n">
        <v>0.36</v>
      </c>
      <c r="G269" t="b">
        <v>1</v>
      </c>
      <c r="H269" t="inlineStr">
        <is>
          <t>0</t>
        </is>
      </c>
    </row>
    <row r="270">
      <c r="A270" t="inlineStr">
        <is>
          <t>ALL</t>
        </is>
      </c>
      <c r="B270" t="inlineStr">
        <is>
          <t>unique</t>
        </is>
      </c>
      <c r="C270" t="n">
        <v>3</v>
      </c>
      <c r="D270" t="inlineStr">
        <is>
          <t>Dex %</t>
        </is>
      </c>
      <c r="E270" t="n">
        <v>6</v>
      </c>
      <c r="F270" t="n">
        <v>4.14</v>
      </c>
      <c r="G270" t="b">
        <v>0</v>
      </c>
      <c r="H270" t="inlineStr">
        <is>
          <t>0</t>
        </is>
      </c>
    </row>
    <row r="271">
      <c r="A271" t="inlineStr">
        <is>
          <t>ALL</t>
        </is>
      </c>
      <c r="B271" t="inlineStr">
        <is>
          <t>unique</t>
        </is>
      </c>
      <c r="C271" t="n">
        <v>3</v>
      </c>
      <c r="D271" t="inlineStr">
        <is>
          <t>Dex %</t>
        </is>
      </c>
      <c r="E271" t="n">
        <v>9</v>
      </c>
      <c r="F271" t="n">
        <v>0.36</v>
      </c>
      <c r="G271" t="b">
        <v>1</v>
      </c>
      <c r="H271" t="inlineStr">
        <is>
          <t>0</t>
        </is>
      </c>
    </row>
    <row r="272">
      <c r="A272" t="inlineStr">
        <is>
          <t>ALL</t>
        </is>
      </c>
      <c r="B272" t="inlineStr">
        <is>
          <t>unique</t>
        </is>
      </c>
      <c r="C272" t="n">
        <v>3</v>
      </c>
      <c r="D272" t="inlineStr">
        <is>
          <t>Int %</t>
        </is>
      </c>
      <c r="E272" t="n">
        <v>6</v>
      </c>
      <c r="F272" t="n">
        <v>4.14</v>
      </c>
      <c r="G272" t="b">
        <v>0</v>
      </c>
      <c r="H272">
        <f>Sensitivity!H6</f>
        <v/>
      </c>
    </row>
    <row r="273">
      <c r="A273" t="inlineStr">
        <is>
          <t>ALL</t>
        </is>
      </c>
      <c r="B273" t="inlineStr">
        <is>
          <t>unique</t>
        </is>
      </c>
      <c r="C273" t="n">
        <v>3</v>
      </c>
      <c r="D273" t="inlineStr">
        <is>
          <t>Int %</t>
        </is>
      </c>
      <c r="E273" t="n">
        <v>9</v>
      </c>
      <c r="F273" t="n">
        <v>0.36</v>
      </c>
      <c r="G273" t="b">
        <v>1</v>
      </c>
      <c r="H273">
        <f>Sensitivity!H6</f>
        <v/>
      </c>
    </row>
    <row r="274">
      <c r="A274" t="inlineStr">
        <is>
          <t>ALL</t>
        </is>
      </c>
      <c r="B274" t="inlineStr">
        <is>
          <t>unique</t>
        </is>
      </c>
      <c r="C274" t="n">
        <v>3</v>
      </c>
      <c r="D274" t="inlineStr">
        <is>
          <t>Luk %</t>
        </is>
      </c>
      <c r="E274" t="n">
        <v>6</v>
      </c>
      <c r="F274" t="n">
        <v>4.14</v>
      </c>
      <c r="G274" t="b">
        <v>0</v>
      </c>
      <c r="H274" t="inlineStr">
        <is>
          <t>0</t>
        </is>
      </c>
    </row>
    <row r="275">
      <c r="A275" t="inlineStr">
        <is>
          <t>ALL</t>
        </is>
      </c>
      <c r="B275" t="inlineStr">
        <is>
          <t>unique</t>
        </is>
      </c>
      <c r="C275" t="n">
        <v>3</v>
      </c>
      <c r="D275" t="inlineStr">
        <is>
          <t>Luk %</t>
        </is>
      </c>
      <c r="E275" t="n">
        <v>9</v>
      </c>
      <c r="F275" t="n">
        <v>0.36</v>
      </c>
      <c r="G275" t="b">
        <v>1</v>
      </c>
      <c r="H275" t="inlineStr">
        <is>
          <t>0</t>
        </is>
      </c>
    </row>
    <row r="276">
      <c r="A276" t="inlineStr">
        <is>
          <t>ALL</t>
        </is>
      </c>
      <c r="B276" t="inlineStr">
        <is>
          <t>unique</t>
        </is>
      </c>
      <c r="C276" t="n">
        <v>3</v>
      </c>
      <c r="D276" t="inlineStr">
        <is>
          <t>Defense %</t>
        </is>
      </c>
      <c r="E276" t="n">
        <v>6</v>
      </c>
      <c r="F276" t="n">
        <v>8.279999999999999</v>
      </c>
      <c r="G276" t="b">
        <v>0</v>
      </c>
      <c r="H276" t="inlineStr">
        <is>
          <t>0</t>
        </is>
      </c>
    </row>
    <row r="277">
      <c r="A277" t="inlineStr">
        <is>
          <t>ALL</t>
        </is>
      </c>
      <c r="B277" t="inlineStr">
        <is>
          <t>unique</t>
        </is>
      </c>
      <c r="C277" t="n">
        <v>3</v>
      </c>
      <c r="D277" t="inlineStr">
        <is>
          <t>Defense %</t>
        </is>
      </c>
      <c r="E277" t="n">
        <v>9</v>
      </c>
      <c r="F277" t="n">
        <v>0.72</v>
      </c>
      <c r="G277" t="b">
        <v>1</v>
      </c>
      <c r="H277" t="inlineStr">
        <is>
          <t>0</t>
        </is>
      </c>
    </row>
    <row r="278">
      <c r="A278" t="inlineStr">
        <is>
          <t>ALL</t>
        </is>
      </c>
      <c r="B278" t="inlineStr">
        <is>
          <t>unique</t>
        </is>
      </c>
      <c r="C278" t="n">
        <v>3</v>
      </c>
      <c r="D278" t="inlineStr">
        <is>
          <t>Max HP %</t>
        </is>
      </c>
      <c r="E278" t="n">
        <v>12</v>
      </c>
      <c r="F278" t="n">
        <v>8.279999999999999</v>
      </c>
      <c r="G278" t="b">
        <v>0</v>
      </c>
      <c r="H278" t="inlineStr">
        <is>
          <t>0</t>
        </is>
      </c>
    </row>
    <row r="279">
      <c r="A279" t="inlineStr">
        <is>
          <t>ALL</t>
        </is>
      </c>
      <c r="B279" t="inlineStr">
        <is>
          <t>unique</t>
        </is>
      </c>
      <c r="C279" t="n">
        <v>3</v>
      </c>
      <c r="D279" t="inlineStr">
        <is>
          <t>Max HP %</t>
        </is>
      </c>
      <c r="E279" t="n">
        <v>15</v>
      </c>
      <c r="F279" t="n">
        <v>0.72</v>
      </c>
      <c r="G279" t="b">
        <v>1</v>
      </c>
      <c r="H279" t="inlineStr">
        <is>
          <t>0</t>
        </is>
      </c>
    </row>
    <row r="280">
      <c r="A280" t="inlineStr">
        <is>
          <t>ALL</t>
        </is>
      </c>
      <c r="B280" t="inlineStr">
        <is>
          <t>unique</t>
        </is>
      </c>
      <c r="C280" t="n">
        <v>3</v>
      </c>
      <c r="D280" t="inlineStr">
        <is>
          <t>Max MP %</t>
        </is>
      </c>
      <c r="E280" t="n">
        <v>6</v>
      </c>
      <c r="F280" t="n">
        <v>8.279999999999999</v>
      </c>
      <c r="G280" t="b">
        <v>0</v>
      </c>
      <c r="H280" t="inlineStr">
        <is>
          <t>0</t>
        </is>
      </c>
    </row>
    <row r="281">
      <c r="A281" t="inlineStr">
        <is>
          <t>ALL</t>
        </is>
      </c>
      <c r="B281" t="inlineStr">
        <is>
          <t>unique</t>
        </is>
      </c>
      <c r="C281" t="n">
        <v>3</v>
      </c>
      <c r="D281" t="inlineStr">
        <is>
          <t>Max MP %</t>
        </is>
      </c>
      <c r="E281" t="n">
        <v>9</v>
      </c>
      <c r="F281" t="n">
        <v>0.72</v>
      </c>
      <c r="G281" t="b">
        <v>1</v>
      </c>
      <c r="H281" t="inlineStr">
        <is>
          <t>0</t>
        </is>
      </c>
    </row>
    <row r="282">
      <c r="A282" t="inlineStr">
        <is>
          <t>ALL</t>
        </is>
      </c>
      <c r="B282" t="inlineStr">
        <is>
          <t>unique</t>
        </is>
      </c>
      <c r="C282" t="n">
        <v>3</v>
      </c>
      <c r="D282" t="inlineStr">
        <is>
          <t>Str</t>
        </is>
      </c>
      <c r="E282" t="n">
        <v>200</v>
      </c>
      <c r="F282" t="n">
        <v>8.51</v>
      </c>
      <c r="G282" t="b">
        <v>0</v>
      </c>
      <c r="H282" t="inlineStr">
        <is>
          <t>0</t>
        </is>
      </c>
    </row>
    <row r="283">
      <c r="A283" t="inlineStr">
        <is>
          <t>ALL</t>
        </is>
      </c>
      <c r="B283" t="inlineStr">
        <is>
          <t>unique</t>
        </is>
      </c>
      <c r="C283" t="n">
        <v>3</v>
      </c>
      <c r="D283" t="inlineStr">
        <is>
          <t>Str</t>
        </is>
      </c>
      <c r="E283" t="n">
        <v>400</v>
      </c>
      <c r="F283" t="n">
        <v>0.74</v>
      </c>
      <c r="G283" t="b">
        <v>1</v>
      </c>
      <c r="H283" t="inlineStr">
        <is>
          <t>0</t>
        </is>
      </c>
    </row>
    <row r="284">
      <c r="A284" t="inlineStr">
        <is>
          <t>ALL</t>
        </is>
      </c>
      <c r="B284" t="inlineStr">
        <is>
          <t>unique</t>
        </is>
      </c>
      <c r="C284" t="n">
        <v>3</v>
      </c>
      <c r="D284" t="inlineStr">
        <is>
          <t>Dex</t>
        </is>
      </c>
      <c r="E284" t="n">
        <v>200</v>
      </c>
      <c r="F284" t="n">
        <v>8.51</v>
      </c>
      <c r="G284" t="b">
        <v>0</v>
      </c>
      <c r="H284" t="inlineStr">
        <is>
          <t>0</t>
        </is>
      </c>
    </row>
    <row r="285">
      <c r="A285" t="inlineStr">
        <is>
          <t>ALL</t>
        </is>
      </c>
      <c r="B285" t="inlineStr">
        <is>
          <t>unique</t>
        </is>
      </c>
      <c r="C285" t="n">
        <v>3</v>
      </c>
      <c r="D285" t="inlineStr">
        <is>
          <t>Dex</t>
        </is>
      </c>
      <c r="E285" t="n">
        <v>400</v>
      </c>
      <c r="F285" t="n">
        <v>0.74</v>
      </c>
      <c r="G285" t="b">
        <v>1</v>
      </c>
      <c r="H285" t="inlineStr">
        <is>
          <t>0</t>
        </is>
      </c>
    </row>
    <row r="286">
      <c r="A286" t="inlineStr">
        <is>
          <t>ALL</t>
        </is>
      </c>
      <c r="B286" t="inlineStr">
        <is>
          <t>unique</t>
        </is>
      </c>
      <c r="C286" t="n">
        <v>3</v>
      </c>
      <c r="D286" t="inlineStr">
        <is>
          <t>Int</t>
        </is>
      </c>
      <c r="E286" t="n">
        <v>200</v>
      </c>
      <c r="F286" t="n">
        <v>8.51</v>
      </c>
      <c r="G286" t="b">
        <v>0</v>
      </c>
      <c r="H286">
        <f>Sensitivity!H5</f>
        <v/>
      </c>
    </row>
    <row r="287">
      <c r="A287" t="inlineStr">
        <is>
          <t>ALL</t>
        </is>
      </c>
      <c r="B287" t="inlineStr">
        <is>
          <t>unique</t>
        </is>
      </c>
      <c r="C287" t="n">
        <v>3</v>
      </c>
      <c r="D287" t="inlineStr">
        <is>
          <t>Int</t>
        </is>
      </c>
      <c r="E287" t="n">
        <v>400</v>
      </c>
      <c r="F287" t="n">
        <v>0.74</v>
      </c>
      <c r="G287" t="b">
        <v>1</v>
      </c>
      <c r="H287">
        <f>Sensitivity!H5</f>
        <v/>
      </c>
    </row>
    <row r="288">
      <c r="A288" t="inlineStr">
        <is>
          <t>ALL</t>
        </is>
      </c>
      <c r="B288" t="inlineStr">
        <is>
          <t>unique</t>
        </is>
      </c>
      <c r="C288" t="n">
        <v>3</v>
      </c>
      <c r="D288" t="inlineStr">
        <is>
          <t>Luk</t>
        </is>
      </c>
      <c r="E288" t="n">
        <v>200</v>
      </c>
      <c r="F288" t="n">
        <v>8.51</v>
      </c>
      <c r="G288" t="b">
        <v>0</v>
      </c>
      <c r="H288" t="inlineStr">
        <is>
          <t>0</t>
        </is>
      </c>
    </row>
    <row r="289">
      <c r="A289" t="inlineStr">
        <is>
          <t>ALL</t>
        </is>
      </c>
      <c r="B289" t="inlineStr">
        <is>
          <t>unique</t>
        </is>
      </c>
      <c r="C289" t="n">
        <v>3</v>
      </c>
      <c r="D289" t="inlineStr">
        <is>
          <t>Luk</t>
        </is>
      </c>
      <c r="E289" t="n">
        <v>400</v>
      </c>
      <c r="F289" t="n">
        <v>0.74</v>
      </c>
      <c r="G289" t="b">
        <v>1</v>
      </c>
      <c r="H289" t="inlineStr">
        <is>
          <t>0</t>
        </is>
      </c>
    </row>
    <row r="290">
      <c r="A290" t="inlineStr">
        <is>
          <t>ALL</t>
        </is>
      </c>
      <c r="B290" t="inlineStr">
        <is>
          <t>legendary</t>
        </is>
      </c>
      <c r="C290" t="n">
        <v>1</v>
      </c>
      <c r="D290" t="inlineStr">
        <is>
          <t>Critical Rate %</t>
        </is>
      </c>
      <c r="E290" t="n">
        <v>12</v>
      </c>
      <c r="F290" t="n">
        <v>2.5</v>
      </c>
      <c r="G290" t="b">
        <v>0</v>
      </c>
      <c r="H290">
        <f>IF(Inputs!$B$8&gt;=100,Sensitivity!H15,Sensitivity!H14)</f>
        <v/>
      </c>
    </row>
    <row r="291">
      <c r="A291" t="inlineStr">
        <is>
          <t>ALL</t>
        </is>
      </c>
      <c r="B291" t="inlineStr">
        <is>
          <t>legendary</t>
        </is>
      </c>
      <c r="C291" t="n">
        <v>1</v>
      </c>
      <c r="D291" t="inlineStr">
        <is>
          <t>Attack Speed %</t>
        </is>
      </c>
      <c r="E291" t="n">
        <v>7</v>
      </c>
      <c r="F291" t="n">
        <v>2.5</v>
      </c>
      <c r="G291" t="b">
        <v>0</v>
      </c>
      <c r="H291">
        <f>Sensitivity!H16</f>
        <v/>
      </c>
    </row>
    <row r="292">
      <c r="A292" t="inlineStr">
        <is>
          <t>ALL</t>
        </is>
      </c>
      <c r="B292" t="inlineStr">
        <is>
          <t>legendary</t>
        </is>
      </c>
      <c r="C292" t="n">
        <v>1</v>
      </c>
      <c r="D292" t="inlineStr">
        <is>
          <t>Damage %</t>
        </is>
      </c>
      <c r="E292" t="n">
        <v>25</v>
      </c>
      <c r="F292" t="n">
        <v>4</v>
      </c>
      <c r="G292" t="b">
        <v>0</v>
      </c>
      <c r="H292">
        <f>Sensitivity!H7</f>
        <v/>
      </c>
    </row>
    <row r="293">
      <c r="A293" t="inlineStr">
        <is>
          <t>ALL</t>
        </is>
      </c>
      <c r="B293" t="inlineStr">
        <is>
          <t>legendary</t>
        </is>
      </c>
      <c r="C293" t="n">
        <v>1</v>
      </c>
      <c r="D293" t="inlineStr">
        <is>
          <t>Min Damage Multiplier %</t>
        </is>
      </c>
      <c r="E293" t="n">
        <v>15</v>
      </c>
      <c r="F293" t="n">
        <v>4</v>
      </c>
      <c r="G293" t="b">
        <v>0</v>
      </c>
      <c r="H293">
        <f>Sensitivity!H12</f>
        <v/>
      </c>
    </row>
    <row r="294">
      <c r="A294" t="inlineStr">
        <is>
          <t>ALL</t>
        </is>
      </c>
      <c r="B294" t="inlineStr">
        <is>
          <t>legendary</t>
        </is>
      </c>
      <c r="C294" t="n">
        <v>1</v>
      </c>
      <c r="D294" t="inlineStr">
        <is>
          <t>Max Damage Multiplier %</t>
        </is>
      </c>
      <c r="E294" t="n">
        <v>15</v>
      </c>
      <c r="F294" t="n">
        <v>4</v>
      </c>
      <c r="G294" t="b">
        <v>0</v>
      </c>
      <c r="H294">
        <f>Sensitivity!H13</f>
        <v/>
      </c>
    </row>
    <row r="295">
      <c r="A295" t="inlineStr">
        <is>
          <t>ALL</t>
        </is>
      </c>
      <c r="B295" t="inlineStr">
        <is>
          <t>legendary</t>
        </is>
      </c>
      <c r="C295" t="n">
        <v>1</v>
      </c>
      <c r="D295" t="inlineStr">
        <is>
          <t>Str %</t>
        </is>
      </c>
      <c r="E295" t="n">
        <v>12</v>
      </c>
      <c r="F295" t="n">
        <v>4.5</v>
      </c>
      <c r="G295" t="b">
        <v>0</v>
      </c>
      <c r="H295" t="inlineStr">
        <is>
          <t>0</t>
        </is>
      </c>
    </row>
    <row r="296">
      <c r="A296" t="inlineStr">
        <is>
          <t>ALL</t>
        </is>
      </c>
      <c r="B296" t="inlineStr">
        <is>
          <t>legendary</t>
        </is>
      </c>
      <c r="C296" t="n">
        <v>1</v>
      </c>
      <c r="D296" t="inlineStr">
        <is>
          <t>Dex %</t>
        </is>
      </c>
      <c r="E296" t="n">
        <v>12</v>
      </c>
      <c r="F296" t="n">
        <v>4.5</v>
      </c>
      <c r="G296" t="b">
        <v>0</v>
      </c>
      <c r="H296" t="inlineStr">
        <is>
          <t>0</t>
        </is>
      </c>
    </row>
    <row r="297">
      <c r="A297" t="inlineStr">
        <is>
          <t>ALL</t>
        </is>
      </c>
      <c r="B297" t="inlineStr">
        <is>
          <t>legendary</t>
        </is>
      </c>
      <c r="C297" t="n">
        <v>1</v>
      </c>
      <c r="D297" t="inlineStr">
        <is>
          <t>Int %</t>
        </is>
      </c>
      <c r="E297" t="n">
        <v>12</v>
      </c>
      <c r="F297" t="n">
        <v>4.5</v>
      </c>
      <c r="G297" t="b">
        <v>0</v>
      </c>
      <c r="H297">
        <f>Sensitivity!H6</f>
        <v/>
      </c>
    </row>
    <row r="298">
      <c r="A298" t="inlineStr">
        <is>
          <t>ALL</t>
        </is>
      </c>
      <c r="B298" t="inlineStr">
        <is>
          <t>legendary</t>
        </is>
      </c>
      <c r="C298" t="n">
        <v>1</v>
      </c>
      <c r="D298" t="inlineStr">
        <is>
          <t>Luk %</t>
        </is>
      </c>
      <c r="E298" t="n">
        <v>12</v>
      </c>
      <c r="F298" t="n">
        <v>4.5</v>
      </c>
      <c r="G298" t="b">
        <v>0</v>
      </c>
      <c r="H298" t="inlineStr">
        <is>
          <t>0</t>
        </is>
      </c>
    </row>
    <row r="299">
      <c r="A299" t="inlineStr">
        <is>
          <t>ALL</t>
        </is>
      </c>
      <c r="B299" t="inlineStr">
        <is>
          <t>legendary</t>
        </is>
      </c>
      <c r="C299" t="n">
        <v>1</v>
      </c>
      <c r="D299" t="inlineStr">
        <is>
          <t>Defense %</t>
        </is>
      </c>
      <c r="E299" t="n">
        <v>12</v>
      </c>
      <c r="F299" t="n">
        <v>9</v>
      </c>
      <c r="G299" t="b">
        <v>0</v>
      </c>
      <c r="H299" t="inlineStr">
        <is>
          <t>0</t>
        </is>
      </c>
    </row>
    <row r="300">
      <c r="A300" t="inlineStr">
        <is>
          <t>ALL</t>
        </is>
      </c>
      <c r="B300" t="inlineStr">
        <is>
          <t>legendary</t>
        </is>
      </c>
      <c r="C300" t="n">
        <v>1</v>
      </c>
      <c r="D300" t="inlineStr">
        <is>
          <t>Max HP %</t>
        </is>
      </c>
      <c r="E300" t="n">
        <v>20</v>
      </c>
      <c r="F300" t="n">
        <v>9</v>
      </c>
      <c r="G300" t="b">
        <v>0</v>
      </c>
      <c r="H300" t="inlineStr">
        <is>
          <t>0</t>
        </is>
      </c>
    </row>
    <row r="301">
      <c r="A301" t="inlineStr">
        <is>
          <t>ALL</t>
        </is>
      </c>
      <c r="B301" t="inlineStr">
        <is>
          <t>legendary</t>
        </is>
      </c>
      <c r="C301" t="n">
        <v>1</v>
      </c>
      <c r="D301" t="inlineStr">
        <is>
          <t>Max MP %</t>
        </is>
      </c>
      <c r="E301" t="n">
        <v>12</v>
      </c>
      <c r="F301" t="n">
        <v>9</v>
      </c>
      <c r="G301" t="b">
        <v>0</v>
      </c>
      <c r="H301" t="inlineStr">
        <is>
          <t>0</t>
        </is>
      </c>
    </row>
    <row r="302">
      <c r="A302" t="inlineStr">
        <is>
          <t>ALL</t>
        </is>
      </c>
      <c r="B302" t="inlineStr">
        <is>
          <t>legendary</t>
        </is>
      </c>
      <c r="C302" t="n">
        <v>1</v>
      </c>
      <c r="D302" t="inlineStr">
        <is>
          <t>Str</t>
        </is>
      </c>
      <c r="E302" t="n">
        <v>600</v>
      </c>
      <c r="F302" t="n">
        <v>9.25</v>
      </c>
      <c r="G302" t="b">
        <v>0</v>
      </c>
      <c r="H302" t="inlineStr">
        <is>
          <t>0</t>
        </is>
      </c>
    </row>
    <row r="303">
      <c r="A303" t="inlineStr">
        <is>
          <t>ALL</t>
        </is>
      </c>
      <c r="B303" t="inlineStr">
        <is>
          <t>legendary</t>
        </is>
      </c>
      <c r="C303" t="n">
        <v>1</v>
      </c>
      <c r="D303" t="inlineStr">
        <is>
          <t>Dex</t>
        </is>
      </c>
      <c r="E303" t="n">
        <v>600</v>
      </c>
      <c r="F303" t="n">
        <v>9.25</v>
      </c>
      <c r="G303" t="b">
        <v>0</v>
      </c>
      <c r="H303" t="inlineStr">
        <is>
          <t>0</t>
        </is>
      </c>
    </row>
    <row r="304">
      <c r="A304" t="inlineStr">
        <is>
          <t>ALL</t>
        </is>
      </c>
      <c r="B304" t="inlineStr">
        <is>
          <t>legendary</t>
        </is>
      </c>
      <c r="C304" t="n">
        <v>1</v>
      </c>
      <c r="D304" t="inlineStr">
        <is>
          <t>Int</t>
        </is>
      </c>
      <c r="E304" t="n">
        <v>600</v>
      </c>
      <c r="F304" t="n">
        <v>9.25</v>
      </c>
      <c r="G304" t="b">
        <v>0</v>
      </c>
      <c r="H304">
        <f>Sensitivity!H5</f>
        <v/>
      </c>
    </row>
    <row r="305">
      <c r="A305" t="inlineStr">
        <is>
          <t>ALL</t>
        </is>
      </c>
      <c r="B305" t="inlineStr">
        <is>
          <t>legendary</t>
        </is>
      </c>
      <c r="C305" t="n">
        <v>1</v>
      </c>
      <c r="D305" t="inlineStr">
        <is>
          <t>Luk</t>
        </is>
      </c>
      <c r="E305" t="n">
        <v>600</v>
      </c>
      <c r="F305" t="n">
        <v>9.25</v>
      </c>
      <c r="G305" t="b">
        <v>0</v>
      </c>
      <c r="H305" t="inlineStr">
        <is>
          <t>0</t>
        </is>
      </c>
    </row>
    <row r="306">
      <c r="A306" t="inlineStr">
        <is>
          <t>ALL</t>
        </is>
      </c>
      <c r="B306" t="inlineStr">
        <is>
          <t>legendary</t>
        </is>
      </c>
      <c r="C306" t="n">
        <v>2</v>
      </c>
      <c r="D306" t="inlineStr">
        <is>
          <t>Critical Rate %</t>
        </is>
      </c>
      <c r="E306" t="n">
        <v>9</v>
      </c>
      <c r="F306" t="n">
        <v>1.9</v>
      </c>
      <c r="G306" t="b">
        <v>0</v>
      </c>
      <c r="H306">
        <f>IF(Inputs!$B$8&gt;=100,Sensitivity!H15,Sensitivity!H14)</f>
        <v/>
      </c>
    </row>
    <row r="307">
      <c r="A307" t="inlineStr">
        <is>
          <t>ALL</t>
        </is>
      </c>
      <c r="B307" t="inlineStr">
        <is>
          <t>legendary</t>
        </is>
      </c>
      <c r="C307" t="n">
        <v>2</v>
      </c>
      <c r="D307" t="inlineStr">
        <is>
          <t>Critical Rate %</t>
        </is>
      </c>
      <c r="E307" t="n">
        <v>12</v>
      </c>
      <c r="F307" t="n">
        <v>0.6</v>
      </c>
      <c r="G307" t="b">
        <v>1</v>
      </c>
      <c r="H307">
        <f>IF(Inputs!$B$8&gt;=100,Sensitivity!H15,Sensitivity!H14)</f>
        <v/>
      </c>
    </row>
    <row r="308">
      <c r="A308" t="inlineStr">
        <is>
          <t>ALL</t>
        </is>
      </c>
      <c r="B308" t="inlineStr">
        <is>
          <t>legendary</t>
        </is>
      </c>
      <c r="C308" t="n">
        <v>2</v>
      </c>
      <c r="D308" t="inlineStr">
        <is>
          <t>Attack Speed %</t>
        </is>
      </c>
      <c r="E308" t="n">
        <v>5</v>
      </c>
      <c r="F308" t="n">
        <v>1.9</v>
      </c>
      <c r="G308" t="b">
        <v>0</v>
      </c>
      <c r="H308">
        <f>Sensitivity!H16</f>
        <v/>
      </c>
    </row>
    <row r="309">
      <c r="A309" t="inlineStr">
        <is>
          <t>ALL</t>
        </is>
      </c>
      <c r="B309" t="inlineStr">
        <is>
          <t>legendary</t>
        </is>
      </c>
      <c r="C309" t="n">
        <v>2</v>
      </c>
      <c r="D309" t="inlineStr">
        <is>
          <t>Attack Speed %</t>
        </is>
      </c>
      <c r="E309" t="n">
        <v>7</v>
      </c>
      <c r="F309" t="n">
        <v>0.6</v>
      </c>
      <c r="G309" t="b">
        <v>1</v>
      </c>
      <c r="H309">
        <f>Sensitivity!H16</f>
        <v/>
      </c>
    </row>
    <row r="310">
      <c r="A310" t="inlineStr">
        <is>
          <t>ALL</t>
        </is>
      </c>
      <c r="B310" t="inlineStr">
        <is>
          <t>legendary</t>
        </is>
      </c>
      <c r="C310" t="n">
        <v>2</v>
      </c>
      <c r="D310" t="inlineStr">
        <is>
          <t>Damage %</t>
        </is>
      </c>
      <c r="E310" t="n">
        <v>18</v>
      </c>
      <c r="F310" t="n">
        <v>3.04</v>
      </c>
      <c r="G310" t="b">
        <v>0</v>
      </c>
      <c r="H310">
        <f>Sensitivity!H7</f>
        <v/>
      </c>
    </row>
    <row r="311">
      <c r="A311" t="inlineStr">
        <is>
          <t>ALL</t>
        </is>
      </c>
      <c r="B311" t="inlineStr">
        <is>
          <t>legendary</t>
        </is>
      </c>
      <c r="C311" t="n">
        <v>2</v>
      </c>
      <c r="D311" t="inlineStr">
        <is>
          <t>Damage %</t>
        </is>
      </c>
      <c r="E311" t="n">
        <v>25</v>
      </c>
      <c r="F311" t="n">
        <v>0.96</v>
      </c>
      <c r="G311" t="b">
        <v>1</v>
      </c>
      <c r="H311">
        <f>Sensitivity!H7</f>
        <v/>
      </c>
    </row>
    <row r="312">
      <c r="A312" t="inlineStr">
        <is>
          <t>ALL</t>
        </is>
      </c>
      <c r="B312" t="inlineStr">
        <is>
          <t>legendary</t>
        </is>
      </c>
      <c r="C312" t="n">
        <v>2</v>
      </c>
      <c r="D312" t="inlineStr">
        <is>
          <t>Min Damage Multiplier %</t>
        </is>
      </c>
      <c r="E312" t="n">
        <v>10</v>
      </c>
      <c r="F312" t="n">
        <v>3.04</v>
      </c>
      <c r="G312" t="b">
        <v>0</v>
      </c>
      <c r="H312">
        <f>Sensitivity!H12</f>
        <v/>
      </c>
    </row>
    <row r="313">
      <c r="A313" t="inlineStr">
        <is>
          <t>ALL</t>
        </is>
      </c>
      <c r="B313" t="inlineStr">
        <is>
          <t>legendary</t>
        </is>
      </c>
      <c r="C313" t="n">
        <v>2</v>
      </c>
      <c r="D313" t="inlineStr">
        <is>
          <t>Min Damage Multiplier %</t>
        </is>
      </c>
      <c r="E313" t="n">
        <v>15</v>
      </c>
      <c r="F313" t="n">
        <v>0.96</v>
      </c>
      <c r="G313" t="b">
        <v>1</v>
      </c>
      <c r="H313">
        <f>Sensitivity!H12</f>
        <v/>
      </c>
    </row>
    <row r="314">
      <c r="A314" t="inlineStr">
        <is>
          <t>ALL</t>
        </is>
      </c>
      <c r="B314" t="inlineStr">
        <is>
          <t>legendary</t>
        </is>
      </c>
      <c r="C314" t="n">
        <v>2</v>
      </c>
      <c r="D314" t="inlineStr">
        <is>
          <t>Max Damage Multiplier %</t>
        </is>
      </c>
      <c r="E314" t="n">
        <v>10</v>
      </c>
      <c r="F314" t="n">
        <v>3.04</v>
      </c>
      <c r="G314" t="b">
        <v>0</v>
      </c>
      <c r="H314">
        <f>Sensitivity!H13</f>
        <v/>
      </c>
    </row>
    <row r="315">
      <c r="A315" t="inlineStr">
        <is>
          <t>ALL</t>
        </is>
      </c>
      <c r="B315" t="inlineStr">
        <is>
          <t>legendary</t>
        </is>
      </c>
      <c r="C315" t="n">
        <v>2</v>
      </c>
      <c r="D315" t="inlineStr">
        <is>
          <t>Max Damage Multiplier %</t>
        </is>
      </c>
      <c r="E315" t="n">
        <v>15</v>
      </c>
      <c r="F315" t="n">
        <v>0.96</v>
      </c>
      <c r="G315" t="b">
        <v>1</v>
      </c>
      <c r="H315">
        <f>Sensitivity!H13</f>
        <v/>
      </c>
    </row>
    <row r="316">
      <c r="A316" t="inlineStr">
        <is>
          <t>ALL</t>
        </is>
      </c>
      <c r="B316" t="inlineStr">
        <is>
          <t>legendary</t>
        </is>
      </c>
      <c r="C316" t="n">
        <v>2</v>
      </c>
      <c r="D316" t="inlineStr">
        <is>
          <t>Str %</t>
        </is>
      </c>
      <c r="E316" t="n">
        <v>9</v>
      </c>
      <c r="F316" t="n">
        <v>3.42</v>
      </c>
      <c r="G316" t="b">
        <v>0</v>
      </c>
      <c r="H316" t="inlineStr">
        <is>
          <t>0</t>
        </is>
      </c>
    </row>
    <row r="317">
      <c r="A317" t="inlineStr">
        <is>
          <t>ALL</t>
        </is>
      </c>
      <c r="B317" t="inlineStr">
        <is>
          <t>legendary</t>
        </is>
      </c>
      <c r="C317" t="n">
        <v>2</v>
      </c>
      <c r="D317" t="inlineStr">
        <is>
          <t>Str %</t>
        </is>
      </c>
      <c r="E317" t="n">
        <v>12</v>
      </c>
      <c r="F317" t="n">
        <v>1.08</v>
      </c>
      <c r="G317" t="b">
        <v>1</v>
      </c>
      <c r="H317" t="inlineStr">
        <is>
          <t>0</t>
        </is>
      </c>
    </row>
    <row r="318">
      <c r="A318" t="inlineStr">
        <is>
          <t>ALL</t>
        </is>
      </c>
      <c r="B318" t="inlineStr">
        <is>
          <t>legendary</t>
        </is>
      </c>
      <c r="C318" t="n">
        <v>2</v>
      </c>
      <c r="D318" t="inlineStr">
        <is>
          <t>Dex %</t>
        </is>
      </c>
      <c r="E318" t="n">
        <v>9</v>
      </c>
      <c r="F318" t="n">
        <v>3.42</v>
      </c>
      <c r="G318" t="b">
        <v>0</v>
      </c>
      <c r="H318" t="inlineStr">
        <is>
          <t>0</t>
        </is>
      </c>
    </row>
    <row r="319">
      <c r="A319" t="inlineStr">
        <is>
          <t>ALL</t>
        </is>
      </c>
      <c r="B319" t="inlineStr">
        <is>
          <t>legendary</t>
        </is>
      </c>
      <c r="C319" t="n">
        <v>2</v>
      </c>
      <c r="D319" t="inlineStr">
        <is>
          <t>Dex %</t>
        </is>
      </c>
      <c r="E319" t="n">
        <v>12</v>
      </c>
      <c r="F319" t="n">
        <v>1.08</v>
      </c>
      <c r="G319" t="b">
        <v>1</v>
      </c>
      <c r="H319" t="inlineStr">
        <is>
          <t>0</t>
        </is>
      </c>
    </row>
    <row r="320">
      <c r="A320" t="inlineStr">
        <is>
          <t>ALL</t>
        </is>
      </c>
      <c r="B320" t="inlineStr">
        <is>
          <t>legendary</t>
        </is>
      </c>
      <c r="C320" t="n">
        <v>2</v>
      </c>
      <c r="D320" t="inlineStr">
        <is>
          <t>Int %</t>
        </is>
      </c>
      <c r="E320" t="n">
        <v>9</v>
      </c>
      <c r="F320" t="n">
        <v>3.42</v>
      </c>
      <c r="G320" t="b">
        <v>0</v>
      </c>
      <c r="H320">
        <f>Sensitivity!H6</f>
        <v/>
      </c>
    </row>
    <row r="321">
      <c r="A321" t="inlineStr">
        <is>
          <t>ALL</t>
        </is>
      </c>
      <c r="B321" t="inlineStr">
        <is>
          <t>legendary</t>
        </is>
      </c>
      <c r="C321" t="n">
        <v>2</v>
      </c>
      <c r="D321" t="inlineStr">
        <is>
          <t>Int %</t>
        </is>
      </c>
      <c r="E321" t="n">
        <v>12</v>
      </c>
      <c r="F321" t="n">
        <v>1.08</v>
      </c>
      <c r="G321" t="b">
        <v>1</v>
      </c>
      <c r="H321">
        <f>Sensitivity!H6</f>
        <v/>
      </c>
    </row>
    <row r="322">
      <c r="A322" t="inlineStr">
        <is>
          <t>ALL</t>
        </is>
      </c>
      <c r="B322" t="inlineStr">
        <is>
          <t>legendary</t>
        </is>
      </c>
      <c r="C322" t="n">
        <v>2</v>
      </c>
      <c r="D322" t="inlineStr">
        <is>
          <t>Luk %</t>
        </is>
      </c>
      <c r="E322" t="n">
        <v>9</v>
      </c>
      <c r="F322" t="n">
        <v>3.42</v>
      </c>
      <c r="G322" t="b">
        <v>0</v>
      </c>
      <c r="H322" t="inlineStr">
        <is>
          <t>0</t>
        </is>
      </c>
    </row>
    <row r="323">
      <c r="A323" t="inlineStr">
        <is>
          <t>ALL</t>
        </is>
      </c>
      <c r="B323" t="inlineStr">
        <is>
          <t>legendary</t>
        </is>
      </c>
      <c r="C323" t="n">
        <v>2</v>
      </c>
      <c r="D323" t="inlineStr">
        <is>
          <t>Luk %</t>
        </is>
      </c>
      <c r="E323" t="n">
        <v>12</v>
      </c>
      <c r="F323" t="n">
        <v>1.08</v>
      </c>
      <c r="G323" t="b">
        <v>1</v>
      </c>
      <c r="H323" t="inlineStr">
        <is>
          <t>0</t>
        </is>
      </c>
    </row>
    <row r="324">
      <c r="A324" t="inlineStr">
        <is>
          <t>ALL</t>
        </is>
      </c>
      <c r="B324" t="inlineStr">
        <is>
          <t>legendary</t>
        </is>
      </c>
      <c r="C324" t="n">
        <v>2</v>
      </c>
      <c r="D324" t="inlineStr">
        <is>
          <t>Defense %</t>
        </is>
      </c>
      <c r="E324" t="n">
        <v>9</v>
      </c>
      <c r="F324" t="n">
        <v>6.84</v>
      </c>
      <c r="G324" t="b">
        <v>0</v>
      </c>
      <c r="H324" t="inlineStr">
        <is>
          <t>0</t>
        </is>
      </c>
    </row>
    <row r="325">
      <c r="A325" t="inlineStr">
        <is>
          <t>ALL</t>
        </is>
      </c>
      <c r="B325" t="inlineStr">
        <is>
          <t>legendary</t>
        </is>
      </c>
      <c r="C325" t="n">
        <v>2</v>
      </c>
      <c r="D325" t="inlineStr">
        <is>
          <t>Defense %</t>
        </is>
      </c>
      <c r="E325" t="n">
        <v>12</v>
      </c>
      <c r="F325" t="n">
        <v>2.16</v>
      </c>
      <c r="G325" t="b">
        <v>1</v>
      </c>
      <c r="H325" t="inlineStr">
        <is>
          <t>0</t>
        </is>
      </c>
    </row>
    <row r="326">
      <c r="A326" t="inlineStr">
        <is>
          <t>ALL</t>
        </is>
      </c>
      <c r="B326" t="inlineStr">
        <is>
          <t>legendary</t>
        </is>
      </c>
      <c r="C326" t="n">
        <v>2</v>
      </c>
      <c r="D326" t="inlineStr">
        <is>
          <t>Max HP %</t>
        </is>
      </c>
      <c r="E326" t="n">
        <v>15</v>
      </c>
      <c r="F326" t="n">
        <v>6.84</v>
      </c>
      <c r="G326" t="b">
        <v>0</v>
      </c>
      <c r="H326" t="inlineStr">
        <is>
          <t>0</t>
        </is>
      </c>
    </row>
    <row r="327">
      <c r="A327" t="inlineStr">
        <is>
          <t>ALL</t>
        </is>
      </c>
      <c r="B327" t="inlineStr">
        <is>
          <t>legendary</t>
        </is>
      </c>
      <c r="C327" t="n">
        <v>2</v>
      </c>
      <c r="D327" t="inlineStr">
        <is>
          <t>Max HP %</t>
        </is>
      </c>
      <c r="E327" t="n">
        <v>20</v>
      </c>
      <c r="F327" t="n">
        <v>2.16</v>
      </c>
      <c r="G327" t="b">
        <v>1</v>
      </c>
      <c r="H327" t="inlineStr">
        <is>
          <t>0</t>
        </is>
      </c>
    </row>
    <row r="328">
      <c r="A328" t="inlineStr">
        <is>
          <t>ALL</t>
        </is>
      </c>
      <c r="B328" t="inlineStr">
        <is>
          <t>legendary</t>
        </is>
      </c>
      <c r="C328" t="n">
        <v>2</v>
      </c>
      <c r="D328" t="inlineStr">
        <is>
          <t>Max MP %</t>
        </is>
      </c>
      <c r="E328" t="n">
        <v>9</v>
      </c>
      <c r="F328" t="n">
        <v>6.84</v>
      </c>
      <c r="G328" t="b">
        <v>0</v>
      </c>
      <c r="H328" t="inlineStr">
        <is>
          <t>0</t>
        </is>
      </c>
    </row>
    <row r="329">
      <c r="A329" t="inlineStr">
        <is>
          <t>ALL</t>
        </is>
      </c>
      <c r="B329" t="inlineStr">
        <is>
          <t>legendary</t>
        </is>
      </c>
      <c r="C329" t="n">
        <v>2</v>
      </c>
      <c r="D329" t="inlineStr">
        <is>
          <t>Max MP %</t>
        </is>
      </c>
      <c r="E329" t="n">
        <v>12</v>
      </c>
      <c r="F329" t="n">
        <v>2.16</v>
      </c>
      <c r="G329" t="b">
        <v>1</v>
      </c>
      <c r="H329" t="inlineStr">
        <is>
          <t>0</t>
        </is>
      </c>
    </row>
    <row r="330">
      <c r="A330" t="inlineStr">
        <is>
          <t>ALL</t>
        </is>
      </c>
      <c r="B330" t="inlineStr">
        <is>
          <t>legendary</t>
        </is>
      </c>
      <c r="C330" t="n">
        <v>2</v>
      </c>
      <c r="D330" t="inlineStr">
        <is>
          <t>Str</t>
        </is>
      </c>
      <c r="E330" t="n">
        <v>400</v>
      </c>
      <c r="F330" t="n">
        <v>7.03</v>
      </c>
      <c r="G330" t="b">
        <v>0</v>
      </c>
      <c r="H330" t="inlineStr">
        <is>
          <t>0</t>
        </is>
      </c>
    </row>
    <row r="331">
      <c r="A331" t="inlineStr">
        <is>
          <t>ALL</t>
        </is>
      </c>
      <c r="B331" t="inlineStr">
        <is>
          <t>legendary</t>
        </is>
      </c>
      <c r="C331" t="n">
        <v>2</v>
      </c>
      <c r="D331" t="inlineStr">
        <is>
          <t>Str</t>
        </is>
      </c>
      <c r="E331" t="n">
        <v>600</v>
      </c>
      <c r="F331" t="n">
        <v>2.22</v>
      </c>
      <c r="G331" t="b">
        <v>1</v>
      </c>
      <c r="H331" t="inlineStr">
        <is>
          <t>0</t>
        </is>
      </c>
    </row>
    <row r="332">
      <c r="A332" t="inlineStr">
        <is>
          <t>ALL</t>
        </is>
      </c>
      <c r="B332" t="inlineStr">
        <is>
          <t>legendary</t>
        </is>
      </c>
      <c r="C332" t="n">
        <v>2</v>
      </c>
      <c r="D332" t="inlineStr">
        <is>
          <t>Dex</t>
        </is>
      </c>
      <c r="E332" t="n">
        <v>400</v>
      </c>
      <c r="F332" t="n">
        <v>7.03</v>
      </c>
      <c r="G332" t="b">
        <v>0</v>
      </c>
      <c r="H332" t="inlineStr">
        <is>
          <t>0</t>
        </is>
      </c>
    </row>
    <row r="333">
      <c r="A333" t="inlineStr">
        <is>
          <t>ALL</t>
        </is>
      </c>
      <c r="B333" t="inlineStr">
        <is>
          <t>legendary</t>
        </is>
      </c>
      <c r="C333" t="n">
        <v>2</v>
      </c>
      <c r="D333" t="inlineStr">
        <is>
          <t>Dex</t>
        </is>
      </c>
      <c r="E333" t="n">
        <v>600</v>
      </c>
      <c r="F333" t="n">
        <v>2.22</v>
      </c>
      <c r="G333" t="b">
        <v>1</v>
      </c>
      <c r="H333" t="inlineStr">
        <is>
          <t>0</t>
        </is>
      </c>
    </row>
    <row r="334">
      <c r="A334" t="inlineStr">
        <is>
          <t>ALL</t>
        </is>
      </c>
      <c r="B334" t="inlineStr">
        <is>
          <t>legendary</t>
        </is>
      </c>
      <c r="C334" t="n">
        <v>2</v>
      </c>
      <c r="D334" t="inlineStr">
        <is>
          <t>Int</t>
        </is>
      </c>
      <c r="E334" t="n">
        <v>400</v>
      </c>
      <c r="F334" t="n">
        <v>7.03</v>
      </c>
      <c r="G334" t="b">
        <v>0</v>
      </c>
      <c r="H334">
        <f>Sensitivity!H5</f>
        <v/>
      </c>
    </row>
    <row r="335">
      <c r="A335" t="inlineStr">
        <is>
          <t>ALL</t>
        </is>
      </c>
      <c r="B335" t="inlineStr">
        <is>
          <t>legendary</t>
        </is>
      </c>
      <c r="C335" t="n">
        <v>2</v>
      </c>
      <c r="D335" t="inlineStr">
        <is>
          <t>Int</t>
        </is>
      </c>
      <c r="E335" t="n">
        <v>600</v>
      </c>
      <c r="F335" t="n">
        <v>2.22</v>
      </c>
      <c r="G335" t="b">
        <v>1</v>
      </c>
      <c r="H335">
        <f>Sensitivity!H5</f>
        <v/>
      </c>
    </row>
    <row r="336">
      <c r="A336" t="inlineStr">
        <is>
          <t>ALL</t>
        </is>
      </c>
      <c r="B336" t="inlineStr">
        <is>
          <t>legendary</t>
        </is>
      </c>
      <c r="C336" t="n">
        <v>2</v>
      </c>
      <c r="D336" t="inlineStr">
        <is>
          <t>Luk</t>
        </is>
      </c>
      <c r="E336" t="n">
        <v>400</v>
      </c>
      <c r="F336" t="n">
        <v>7.03</v>
      </c>
      <c r="G336" t="b">
        <v>0</v>
      </c>
      <c r="H336" t="inlineStr">
        <is>
          <t>0</t>
        </is>
      </c>
    </row>
    <row r="337">
      <c r="A337" t="inlineStr">
        <is>
          <t>ALL</t>
        </is>
      </c>
      <c r="B337" t="inlineStr">
        <is>
          <t>legendary</t>
        </is>
      </c>
      <c r="C337" t="n">
        <v>2</v>
      </c>
      <c r="D337" t="inlineStr">
        <is>
          <t>Luk</t>
        </is>
      </c>
      <c r="E337" t="n">
        <v>600</v>
      </c>
      <c r="F337" t="n">
        <v>2.22</v>
      </c>
      <c r="G337" t="b">
        <v>1</v>
      </c>
      <c r="H337" t="inlineStr">
        <is>
          <t>0</t>
        </is>
      </c>
    </row>
    <row r="338">
      <c r="A338" t="inlineStr">
        <is>
          <t>ALL</t>
        </is>
      </c>
      <c r="B338" t="inlineStr">
        <is>
          <t>legendary</t>
        </is>
      </c>
      <c r="C338" t="n">
        <v>3</v>
      </c>
      <c r="D338" t="inlineStr">
        <is>
          <t>Critical Rate %</t>
        </is>
      </c>
      <c r="E338" t="n">
        <v>9</v>
      </c>
      <c r="F338" t="n">
        <v>2.3</v>
      </c>
      <c r="G338" t="b">
        <v>0</v>
      </c>
      <c r="H338">
        <f>IF(Inputs!$B$8&gt;=100,Sensitivity!H15,Sensitivity!H14)</f>
        <v/>
      </c>
    </row>
    <row r="339">
      <c r="A339" t="inlineStr">
        <is>
          <t>ALL</t>
        </is>
      </c>
      <c r="B339" t="inlineStr">
        <is>
          <t>legendary</t>
        </is>
      </c>
      <c r="C339" t="n">
        <v>3</v>
      </c>
      <c r="D339" t="inlineStr">
        <is>
          <t>Critical Rate %</t>
        </is>
      </c>
      <c r="E339" t="n">
        <v>12</v>
      </c>
      <c r="F339" t="n">
        <v>0.2</v>
      </c>
      <c r="G339" t="b">
        <v>1</v>
      </c>
      <c r="H339">
        <f>IF(Inputs!$B$8&gt;=100,Sensitivity!H15,Sensitivity!H14)</f>
        <v/>
      </c>
    </row>
    <row r="340">
      <c r="A340" t="inlineStr">
        <is>
          <t>ALL</t>
        </is>
      </c>
      <c r="B340" t="inlineStr">
        <is>
          <t>legendary</t>
        </is>
      </c>
      <c r="C340" t="n">
        <v>3</v>
      </c>
      <c r="D340" t="inlineStr">
        <is>
          <t>Attack Speed %</t>
        </is>
      </c>
      <c r="E340" t="n">
        <v>5</v>
      </c>
      <c r="F340" t="n">
        <v>2.3</v>
      </c>
      <c r="G340" t="b">
        <v>0</v>
      </c>
      <c r="H340">
        <f>Sensitivity!H16</f>
        <v/>
      </c>
    </row>
    <row r="341">
      <c r="A341" t="inlineStr">
        <is>
          <t>ALL</t>
        </is>
      </c>
      <c r="B341" t="inlineStr">
        <is>
          <t>legendary</t>
        </is>
      </c>
      <c r="C341" t="n">
        <v>3</v>
      </c>
      <c r="D341" t="inlineStr">
        <is>
          <t>Attack Speed %</t>
        </is>
      </c>
      <c r="E341" t="n">
        <v>7</v>
      </c>
      <c r="F341" t="n">
        <v>0.2</v>
      </c>
      <c r="G341" t="b">
        <v>1</v>
      </c>
      <c r="H341">
        <f>Sensitivity!H16</f>
        <v/>
      </c>
    </row>
    <row r="342">
      <c r="A342" t="inlineStr">
        <is>
          <t>ALL</t>
        </is>
      </c>
      <c r="B342" t="inlineStr">
        <is>
          <t>legendary</t>
        </is>
      </c>
      <c r="C342" t="n">
        <v>3</v>
      </c>
      <c r="D342" t="inlineStr">
        <is>
          <t>Damage %</t>
        </is>
      </c>
      <c r="E342" t="n">
        <v>18</v>
      </c>
      <c r="F342" t="n">
        <v>3.68</v>
      </c>
      <c r="G342" t="b">
        <v>0</v>
      </c>
      <c r="H342">
        <f>Sensitivity!H7</f>
        <v/>
      </c>
    </row>
    <row r="343">
      <c r="A343" t="inlineStr">
        <is>
          <t>ALL</t>
        </is>
      </c>
      <c r="B343" t="inlineStr">
        <is>
          <t>legendary</t>
        </is>
      </c>
      <c r="C343" t="n">
        <v>3</v>
      </c>
      <c r="D343" t="inlineStr">
        <is>
          <t>Damage %</t>
        </is>
      </c>
      <c r="E343" t="n">
        <v>25</v>
      </c>
      <c r="F343" t="n">
        <v>0.32</v>
      </c>
      <c r="G343" t="b">
        <v>1</v>
      </c>
      <c r="H343">
        <f>Sensitivity!H7</f>
        <v/>
      </c>
    </row>
    <row r="344">
      <c r="A344" t="inlineStr">
        <is>
          <t>ALL</t>
        </is>
      </c>
      <c r="B344" t="inlineStr">
        <is>
          <t>legendary</t>
        </is>
      </c>
      <c r="C344" t="n">
        <v>3</v>
      </c>
      <c r="D344" t="inlineStr">
        <is>
          <t>Min Damage Multiplier %</t>
        </is>
      </c>
      <c r="E344" t="n">
        <v>10</v>
      </c>
      <c r="F344" t="n">
        <v>3.68</v>
      </c>
      <c r="G344" t="b">
        <v>0</v>
      </c>
      <c r="H344">
        <f>Sensitivity!H12</f>
        <v/>
      </c>
    </row>
    <row r="345">
      <c r="A345" t="inlineStr">
        <is>
          <t>ALL</t>
        </is>
      </c>
      <c r="B345" t="inlineStr">
        <is>
          <t>legendary</t>
        </is>
      </c>
      <c r="C345" t="n">
        <v>3</v>
      </c>
      <c r="D345" t="inlineStr">
        <is>
          <t>Min Damage Multiplier %</t>
        </is>
      </c>
      <c r="E345" t="n">
        <v>15</v>
      </c>
      <c r="F345" t="n">
        <v>0.32</v>
      </c>
      <c r="G345" t="b">
        <v>1</v>
      </c>
      <c r="H345">
        <f>Sensitivity!H12</f>
        <v/>
      </c>
    </row>
    <row r="346">
      <c r="A346" t="inlineStr">
        <is>
          <t>ALL</t>
        </is>
      </c>
      <c r="B346" t="inlineStr">
        <is>
          <t>legendary</t>
        </is>
      </c>
      <c r="C346" t="n">
        <v>3</v>
      </c>
      <c r="D346" t="inlineStr">
        <is>
          <t>Max Damage Multiplier %</t>
        </is>
      </c>
      <c r="E346" t="n">
        <v>10</v>
      </c>
      <c r="F346" t="n">
        <v>3.68</v>
      </c>
      <c r="G346" t="b">
        <v>0</v>
      </c>
      <c r="H346">
        <f>Sensitivity!H13</f>
        <v/>
      </c>
    </row>
    <row r="347">
      <c r="A347" t="inlineStr">
        <is>
          <t>ALL</t>
        </is>
      </c>
      <c r="B347" t="inlineStr">
        <is>
          <t>legendary</t>
        </is>
      </c>
      <c r="C347" t="n">
        <v>3</v>
      </c>
      <c r="D347" t="inlineStr">
        <is>
          <t>Max Damage Multiplier %</t>
        </is>
      </c>
      <c r="E347" t="n">
        <v>15</v>
      </c>
      <c r="F347" t="n">
        <v>0.32</v>
      </c>
      <c r="G347" t="b">
        <v>1</v>
      </c>
      <c r="H347">
        <f>Sensitivity!H13</f>
        <v/>
      </c>
    </row>
    <row r="348">
      <c r="A348" t="inlineStr">
        <is>
          <t>ALL</t>
        </is>
      </c>
      <c r="B348" t="inlineStr">
        <is>
          <t>legendary</t>
        </is>
      </c>
      <c r="C348" t="n">
        <v>3</v>
      </c>
      <c r="D348" t="inlineStr">
        <is>
          <t>Str %</t>
        </is>
      </c>
      <c r="E348" t="n">
        <v>9</v>
      </c>
      <c r="F348" t="n">
        <v>4.14</v>
      </c>
      <c r="G348" t="b">
        <v>0</v>
      </c>
      <c r="H348" t="inlineStr">
        <is>
          <t>0</t>
        </is>
      </c>
    </row>
    <row r="349">
      <c r="A349" t="inlineStr">
        <is>
          <t>ALL</t>
        </is>
      </c>
      <c r="B349" t="inlineStr">
        <is>
          <t>legendary</t>
        </is>
      </c>
      <c r="C349" t="n">
        <v>3</v>
      </c>
      <c r="D349" t="inlineStr">
        <is>
          <t>Str %</t>
        </is>
      </c>
      <c r="E349" t="n">
        <v>12</v>
      </c>
      <c r="F349" t="n">
        <v>0.36</v>
      </c>
      <c r="G349" t="b">
        <v>1</v>
      </c>
      <c r="H349" t="inlineStr">
        <is>
          <t>0</t>
        </is>
      </c>
    </row>
    <row r="350">
      <c r="A350" t="inlineStr">
        <is>
          <t>ALL</t>
        </is>
      </c>
      <c r="B350" t="inlineStr">
        <is>
          <t>legendary</t>
        </is>
      </c>
      <c r="C350" t="n">
        <v>3</v>
      </c>
      <c r="D350" t="inlineStr">
        <is>
          <t>Dex %</t>
        </is>
      </c>
      <c r="E350" t="n">
        <v>9</v>
      </c>
      <c r="F350" t="n">
        <v>4.14</v>
      </c>
      <c r="G350" t="b">
        <v>0</v>
      </c>
      <c r="H350" t="inlineStr">
        <is>
          <t>0</t>
        </is>
      </c>
    </row>
    <row r="351">
      <c r="A351" t="inlineStr">
        <is>
          <t>ALL</t>
        </is>
      </c>
      <c r="B351" t="inlineStr">
        <is>
          <t>legendary</t>
        </is>
      </c>
      <c r="C351" t="n">
        <v>3</v>
      </c>
      <c r="D351" t="inlineStr">
        <is>
          <t>Dex %</t>
        </is>
      </c>
      <c r="E351" t="n">
        <v>12</v>
      </c>
      <c r="F351" t="n">
        <v>0.36</v>
      </c>
      <c r="G351" t="b">
        <v>1</v>
      </c>
      <c r="H351" t="inlineStr">
        <is>
          <t>0</t>
        </is>
      </c>
    </row>
    <row r="352">
      <c r="A352" t="inlineStr">
        <is>
          <t>ALL</t>
        </is>
      </c>
      <c r="B352" t="inlineStr">
        <is>
          <t>legendary</t>
        </is>
      </c>
      <c r="C352" t="n">
        <v>3</v>
      </c>
      <c r="D352" t="inlineStr">
        <is>
          <t>Int %</t>
        </is>
      </c>
      <c r="E352" t="n">
        <v>9</v>
      </c>
      <c r="F352" t="n">
        <v>4.14</v>
      </c>
      <c r="G352" t="b">
        <v>0</v>
      </c>
      <c r="H352">
        <f>Sensitivity!H6</f>
        <v/>
      </c>
    </row>
    <row r="353">
      <c r="A353" t="inlineStr">
        <is>
          <t>ALL</t>
        </is>
      </c>
      <c r="B353" t="inlineStr">
        <is>
          <t>legendary</t>
        </is>
      </c>
      <c r="C353" t="n">
        <v>3</v>
      </c>
      <c r="D353" t="inlineStr">
        <is>
          <t>Int %</t>
        </is>
      </c>
      <c r="E353" t="n">
        <v>12</v>
      </c>
      <c r="F353" t="n">
        <v>0.36</v>
      </c>
      <c r="G353" t="b">
        <v>1</v>
      </c>
      <c r="H353">
        <f>Sensitivity!H6</f>
        <v/>
      </c>
    </row>
    <row r="354">
      <c r="A354" t="inlineStr">
        <is>
          <t>ALL</t>
        </is>
      </c>
      <c r="B354" t="inlineStr">
        <is>
          <t>legendary</t>
        </is>
      </c>
      <c r="C354" t="n">
        <v>3</v>
      </c>
      <c r="D354" t="inlineStr">
        <is>
          <t>Luk %</t>
        </is>
      </c>
      <c r="E354" t="n">
        <v>9</v>
      </c>
      <c r="F354" t="n">
        <v>4.14</v>
      </c>
      <c r="G354" t="b">
        <v>0</v>
      </c>
      <c r="H354" t="inlineStr">
        <is>
          <t>0</t>
        </is>
      </c>
    </row>
    <row r="355">
      <c r="A355" t="inlineStr">
        <is>
          <t>ALL</t>
        </is>
      </c>
      <c r="B355" t="inlineStr">
        <is>
          <t>legendary</t>
        </is>
      </c>
      <c r="C355" t="n">
        <v>3</v>
      </c>
      <c r="D355" t="inlineStr">
        <is>
          <t>Luk %</t>
        </is>
      </c>
      <c r="E355" t="n">
        <v>12</v>
      </c>
      <c r="F355" t="n">
        <v>0.36</v>
      </c>
      <c r="G355" t="b">
        <v>1</v>
      </c>
      <c r="H355" t="inlineStr">
        <is>
          <t>0</t>
        </is>
      </c>
    </row>
    <row r="356">
      <c r="A356" t="inlineStr">
        <is>
          <t>ALL</t>
        </is>
      </c>
      <c r="B356" t="inlineStr">
        <is>
          <t>legendary</t>
        </is>
      </c>
      <c r="C356" t="n">
        <v>3</v>
      </c>
      <c r="D356" t="inlineStr">
        <is>
          <t>Defense %</t>
        </is>
      </c>
      <c r="E356" t="n">
        <v>9</v>
      </c>
      <c r="F356" t="n">
        <v>8.279999999999999</v>
      </c>
      <c r="G356" t="b">
        <v>0</v>
      </c>
      <c r="H356" t="inlineStr">
        <is>
          <t>0</t>
        </is>
      </c>
    </row>
    <row r="357">
      <c r="A357" t="inlineStr">
        <is>
          <t>ALL</t>
        </is>
      </c>
      <c r="B357" t="inlineStr">
        <is>
          <t>legendary</t>
        </is>
      </c>
      <c r="C357" t="n">
        <v>3</v>
      </c>
      <c r="D357" t="inlineStr">
        <is>
          <t>Defense %</t>
        </is>
      </c>
      <c r="E357" t="n">
        <v>12</v>
      </c>
      <c r="F357" t="n">
        <v>0.72</v>
      </c>
      <c r="G357" t="b">
        <v>1</v>
      </c>
      <c r="H357" t="inlineStr">
        <is>
          <t>0</t>
        </is>
      </c>
    </row>
    <row r="358">
      <c r="A358" t="inlineStr">
        <is>
          <t>ALL</t>
        </is>
      </c>
      <c r="B358" t="inlineStr">
        <is>
          <t>legendary</t>
        </is>
      </c>
      <c r="C358" t="n">
        <v>3</v>
      </c>
      <c r="D358" t="inlineStr">
        <is>
          <t>Max HP %</t>
        </is>
      </c>
      <c r="E358" t="n">
        <v>15</v>
      </c>
      <c r="F358" t="n">
        <v>8.279999999999999</v>
      </c>
      <c r="G358" t="b">
        <v>0</v>
      </c>
      <c r="H358" t="inlineStr">
        <is>
          <t>0</t>
        </is>
      </c>
    </row>
    <row r="359">
      <c r="A359" t="inlineStr">
        <is>
          <t>ALL</t>
        </is>
      </c>
      <c r="B359" t="inlineStr">
        <is>
          <t>legendary</t>
        </is>
      </c>
      <c r="C359" t="n">
        <v>3</v>
      </c>
      <c r="D359" t="inlineStr">
        <is>
          <t>Max HP %</t>
        </is>
      </c>
      <c r="E359" t="n">
        <v>20</v>
      </c>
      <c r="F359" t="n">
        <v>0.72</v>
      </c>
      <c r="G359" t="b">
        <v>1</v>
      </c>
      <c r="H359" t="inlineStr">
        <is>
          <t>0</t>
        </is>
      </c>
    </row>
    <row r="360">
      <c r="A360" t="inlineStr">
        <is>
          <t>ALL</t>
        </is>
      </c>
      <c r="B360" t="inlineStr">
        <is>
          <t>legendary</t>
        </is>
      </c>
      <c r="C360" t="n">
        <v>3</v>
      </c>
      <c r="D360" t="inlineStr">
        <is>
          <t>Max MP %</t>
        </is>
      </c>
      <c r="E360" t="n">
        <v>9</v>
      </c>
      <c r="F360" t="n">
        <v>8.279999999999999</v>
      </c>
      <c r="G360" t="b">
        <v>0</v>
      </c>
      <c r="H360" t="inlineStr">
        <is>
          <t>0</t>
        </is>
      </c>
    </row>
    <row r="361">
      <c r="A361" t="inlineStr">
        <is>
          <t>ALL</t>
        </is>
      </c>
      <c r="B361" t="inlineStr">
        <is>
          <t>legendary</t>
        </is>
      </c>
      <c r="C361" t="n">
        <v>3</v>
      </c>
      <c r="D361" t="inlineStr">
        <is>
          <t>Max MP %</t>
        </is>
      </c>
      <c r="E361" t="n">
        <v>12</v>
      </c>
      <c r="F361" t="n">
        <v>0.72</v>
      </c>
      <c r="G361" t="b">
        <v>1</v>
      </c>
      <c r="H361" t="inlineStr">
        <is>
          <t>0</t>
        </is>
      </c>
    </row>
    <row r="362">
      <c r="A362" t="inlineStr">
        <is>
          <t>ALL</t>
        </is>
      </c>
      <c r="B362" t="inlineStr">
        <is>
          <t>legendary</t>
        </is>
      </c>
      <c r="C362" t="n">
        <v>3</v>
      </c>
      <c r="D362" t="inlineStr">
        <is>
          <t>Str</t>
        </is>
      </c>
      <c r="E362" t="n">
        <v>400</v>
      </c>
      <c r="F362" t="n">
        <v>8.51</v>
      </c>
      <c r="G362" t="b">
        <v>0</v>
      </c>
      <c r="H362" t="inlineStr">
        <is>
          <t>0</t>
        </is>
      </c>
    </row>
    <row r="363">
      <c r="A363" t="inlineStr">
        <is>
          <t>ALL</t>
        </is>
      </c>
      <c r="B363" t="inlineStr">
        <is>
          <t>legendary</t>
        </is>
      </c>
      <c r="C363" t="n">
        <v>3</v>
      </c>
      <c r="D363" t="inlineStr">
        <is>
          <t>Str</t>
        </is>
      </c>
      <c r="E363" t="n">
        <v>600</v>
      </c>
      <c r="F363" t="n">
        <v>0.74</v>
      </c>
      <c r="G363" t="b">
        <v>1</v>
      </c>
      <c r="H363" t="inlineStr">
        <is>
          <t>0</t>
        </is>
      </c>
    </row>
    <row r="364">
      <c r="A364" t="inlineStr">
        <is>
          <t>ALL</t>
        </is>
      </c>
      <c r="B364" t="inlineStr">
        <is>
          <t>legendary</t>
        </is>
      </c>
      <c r="C364" t="n">
        <v>3</v>
      </c>
      <c r="D364" t="inlineStr">
        <is>
          <t>Dex</t>
        </is>
      </c>
      <c r="E364" t="n">
        <v>400</v>
      </c>
      <c r="F364" t="n">
        <v>8.51</v>
      </c>
      <c r="G364" t="b">
        <v>0</v>
      </c>
      <c r="H364" t="inlineStr">
        <is>
          <t>0</t>
        </is>
      </c>
    </row>
    <row r="365">
      <c r="A365" t="inlineStr">
        <is>
          <t>ALL</t>
        </is>
      </c>
      <c r="B365" t="inlineStr">
        <is>
          <t>legendary</t>
        </is>
      </c>
      <c r="C365" t="n">
        <v>3</v>
      </c>
      <c r="D365" t="inlineStr">
        <is>
          <t>Dex</t>
        </is>
      </c>
      <c r="E365" t="n">
        <v>600</v>
      </c>
      <c r="F365" t="n">
        <v>0.74</v>
      </c>
      <c r="G365" t="b">
        <v>1</v>
      </c>
      <c r="H365" t="inlineStr">
        <is>
          <t>0</t>
        </is>
      </c>
    </row>
    <row r="366">
      <c r="A366" t="inlineStr">
        <is>
          <t>ALL</t>
        </is>
      </c>
      <c r="B366" t="inlineStr">
        <is>
          <t>legendary</t>
        </is>
      </c>
      <c r="C366" t="n">
        <v>3</v>
      </c>
      <c r="D366" t="inlineStr">
        <is>
          <t>Int</t>
        </is>
      </c>
      <c r="E366" t="n">
        <v>400</v>
      </c>
      <c r="F366" t="n">
        <v>8.51</v>
      </c>
      <c r="G366" t="b">
        <v>0</v>
      </c>
      <c r="H366">
        <f>Sensitivity!H5</f>
        <v/>
      </c>
    </row>
    <row r="367">
      <c r="A367" t="inlineStr">
        <is>
          <t>ALL</t>
        </is>
      </c>
      <c r="B367" t="inlineStr">
        <is>
          <t>legendary</t>
        </is>
      </c>
      <c r="C367" t="n">
        <v>3</v>
      </c>
      <c r="D367" t="inlineStr">
        <is>
          <t>Int</t>
        </is>
      </c>
      <c r="E367" t="n">
        <v>600</v>
      </c>
      <c r="F367" t="n">
        <v>0.74</v>
      </c>
      <c r="G367" t="b">
        <v>1</v>
      </c>
      <c r="H367">
        <f>Sensitivity!H5</f>
        <v/>
      </c>
    </row>
    <row r="368">
      <c r="A368" t="inlineStr">
        <is>
          <t>ALL</t>
        </is>
      </c>
      <c r="B368" t="inlineStr">
        <is>
          <t>legendary</t>
        </is>
      </c>
      <c r="C368" t="n">
        <v>3</v>
      </c>
      <c r="D368" t="inlineStr">
        <is>
          <t>Luk</t>
        </is>
      </c>
      <c r="E368" t="n">
        <v>400</v>
      </c>
      <c r="F368" t="n">
        <v>8.51</v>
      </c>
      <c r="G368" t="b">
        <v>0</v>
      </c>
      <c r="H368" t="inlineStr">
        <is>
          <t>0</t>
        </is>
      </c>
    </row>
    <row r="369">
      <c r="A369" t="inlineStr">
        <is>
          <t>ALL</t>
        </is>
      </c>
      <c r="B369" t="inlineStr">
        <is>
          <t>legendary</t>
        </is>
      </c>
      <c r="C369" t="n">
        <v>3</v>
      </c>
      <c r="D369" t="inlineStr">
        <is>
          <t>Luk</t>
        </is>
      </c>
      <c r="E369" t="n">
        <v>600</v>
      </c>
      <c r="F369" t="n">
        <v>0.74</v>
      </c>
      <c r="G369" t="b">
        <v>1</v>
      </c>
      <c r="H369" t="inlineStr">
        <is>
          <t>0</t>
        </is>
      </c>
    </row>
    <row r="370">
      <c r="A370" t="inlineStr">
        <is>
          <t>ALL</t>
        </is>
      </c>
      <c r="B370" t="inlineStr">
        <is>
          <t>mystic</t>
        </is>
      </c>
      <c r="C370" t="n">
        <v>1</v>
      </c>
      <c r="D370" t="inlineStr">
        <is>
          <t>Critical Rate %</t>
        </is>
      </c>
      <c r="E370" t="n">
        <v>15</v>
      </c>
      <c r="F370" t="n">
        <v>2.5</v>
      </c>
      <c r="G370" t="b">
        <v>0</v>
      </c>
      <c r="H370">
        <f>IF(Inputs!$B$8&gt;=100,Sensitivity!H15,Sensitivity!H14)</f>
        <v/>
      </c>
    </row>
    <row r="371">
      <c r="A371" t="inlineStr">
        <is>
          <t>ALL</t>
        </is>
      </c>
      <c r="B371" t="inlineStr">
        <is>
          <t>mystic</t>
        </is>
      </c>
      <c r="C371" t="n">
        <v>1</v>
      </c>
      <c r="D371" t="inlineStr">
        <is>
          <t>Attack Speed %</t>
        </is>
      </c>
      <c r="E371" t="n">
        <v>10</v>
      </c>
      <c r="F371" t="n">
        <v>2.5</v>
      </c>
      <c r="G371" t="b">
        <v>0</v>
      </c>
      <c r="H371">
        <f>Sensitivity!H16</f>
        <v/>
      </c>
    </row>
    <row r="372">
      <c r="A372" t="inlineStr">
        <is>
          <t>ALL</t>
        </is>
      </c>
      <c r="B372" t="inlineStr">
        <is>
          <t>mystic</t>
        </is>
      </c>
      <c r="C372" t="n">
        <v>1</v>
      </c>
      <c r="D372" t="inlineStr">
        <is>
          <t>Damage %</t>
        </is>
      </c>
      <c r="E372" t="n">
        <v>35</v>
      </c>
      <c r="F372" t="n">
        <v>4</v>
      </c>
      <c r="G372" t="b">
        <v>0</v>
      </c>
      <c r="H372">
        <f>Sensitivity!H7</f>
        <v/>
      </c>
    </row>
    <row r="373">
      <c r="A373" t="inlineStr">
        <is>
          <t>ALL</t>
        </is>
      </c>
      <c r="B373" t="inlineStr">
        <is>
          <t>mystic</t>
        </is>
      </c>
      <c r="C373" t="n">
        <v>1</v>
      </c>
      <c r="D373" t="inlineStr">
        <is>
          <t>Min Damage Multiplier %</t>
        </is>
      </c>
      <c r="E373" t="n">
        <v>25</v>
      </c>
      <c r="F373" t="n">
        <v>4</v>
      </c>
      <c r="G373" t="b">
        <v>0</v>
      </c>
      <c r="H373">
        <f>Sensitivity!H12</f>
        <v/>
      </c>
    </row>
    <row r="374">
      <c r="A374" t="inlineStr">
        <is>
          <t>ALL</t>
        </is>
      </c>
      <c r="B374" t="inlineStr">
        <is>
          <t>mystic</t>
        </is>
      </c>
      <c r="C374" t="n">
        <v>1</v>
      </c>
      <c r="D374" t="inlineStr">
        <is>
          <t>Max Damage Multiplier %</t>
        </is>
      </c>
      <c r="E374" t="n">
        <v>25</v>
      </c>
      <c r="F374" t="n">
        <v>4</v>
      </c>
      <c r="G374" t="b">
        <v>0</v>
      </c>
      <c r="H374">
        <f>Sensitivity!H13</f>
        <v/>
      </c>
    </row>
    <row r="375">
      <c r="A375" t="inlineStr">
        <is>
          <t>ALL</t>
        </is>
      </c>
      <c r="B375" t="inlineStr">
        <is>
          <t>mystic</t>
        </is>
      </c>
      <c r="C375" t="n">
        <v>1</v>
      </c>
      <c r="D375" t="inlineStr">
        <is>
          <t>Str %</t>
        </is>
      </c>
      <c r="E375" t="n">
        <v>15</v>
      </c>
      <c r="F375" t="n">
        <v>4.5</v>
      </c>
      <c r="G375" t="b">
        <v>0</v>
      </c>
      <c r="H375" t="inlineStr">
        <is>
          <t>0</t>
        </is>
      </c>
    </row>
    <row r="376">
      <c r="A376" t="inlineStr">
        <is>
          <t>ALL</t>
        </is>
      </c>
      <c r="B376" t="inlineStr">
        <is>
          <t>mystic</t>
        </is>
      </c>
      <c r="C376" t="n">
        <v>1</v>
      </c>
      <c r="D376" t="inlineStr">
        <is>
          <t>Dex %</t>
        </is>
      </c>
      <c r="E376" t="n">
        <v>15</v>
      </c>
      <c r="F376" t="n">
        <v>4.5</v>
      </c>
      <c r="G376" t="b">
        <v>0</v>
      </c>
      <c r="H376" t="inlineStr">
        <is>
          <t>0</t>
        </is>
      </c>
    </row>
    <row r="377">
      <c r="A377" t="inlineStr">
        <is>
          <t>ALL</t>
        </is>
      </c>
      <c r="B377" t="inlineStr">
        <is>
          <t>mystic</t>
        </is>
      </c>
      <c r="C377" t="n">
        <v>1</v>
      </c>
      <c r="D377" t="inlineStr">
        <is>
          <t>Int %</t>
        </is>
      </c>
      <c r="E377" t="n">
        <v>15</v>
      </c>
      <c r="F377" t="n">
        <v>4.5</v>
      </c>
      <c r="G377" t="b">
        <v>0</v>
      </c>
      <c r="H377">
        <f>Sensitivity!H6</f>
        <v/>
      </c>
    </row>
    <row r="378">
      <c r="A378" t="inlineStr">
        <is>
          <t>ALL</t>
        </is>
      </c>
      <c r="B378" t="inlineStr">
        <is>
          <t>mystic</t>
        </is>
      </c>
      <c r="C378" t="n">
        <v>1</v>
      </c>
      <c r="D378" t="inlineStr">
        <is>
          <t>Luk %</t>
        </is>
      </c>
      <c r="E378" t="n">
        <v>15</v>
      </c>
      <c r="F378" t="n">
        <v>4.5</v>
      </c>
      <c r="G378" t="b">
        <v>0</v>
      </c>
      <c r="H378" t="inlineStr">
        <is>
          <t>0</t>
        </is>
      </c>
    </row>
    <row r="379">
      <c r="A379" t="inlineStr">
        <is>
          <t>ALL</t>
        </is>
      </c>
      <c r="B379" t="inlineStr">
        <is>
          <t>mystic</t>
        </is>
      </c>
      <c r="C379" t="n">
        <v>1</v>
      </c>
      <c r="D379" t="inlineStr">
        <is>
          <t>Defense %</t>
        </is>
      </c>
      <c r="E379" t="n">
        <v>15</v>
      </c>
      <c r="F379" t="n">
        <v>9</v>
      </c>
      <c r="G379" t="b">
        <v>0</v>
      </c>
      <c r="H379" t="inlineStr">
        <is>
          <t>0</t>
        </is>
      </c>
    </row>
    <row r="380">
      <c r="A380" t="inlineStr">
        <is>
          <t>ALL</t>
        </is>
      </c>
      <c r="B380" t="inlineStr">
        <is>
          <t>mystic</t>
        </is>
      </c>
      <c r="C380" t="n">
        <v>1</v>
      </c>
      <c r="D380" t="inlineStr">
        <is>
          <t>Max HP %</t>
        </is>
      </c>
      <c r="E380" t="n">
        <v>25</v>
      </c>
      <c r="F380" t="n">
        <v>9</v>
      </c>
      <c r="G380" t="b">
        <v>0</v>
      </c>
      <c r="H380" t="inlineStr">
        <is>
          <t>0</t>
        </is>
      </c>
    </row>
    <row r="381">
      <c r="A381" t="inlineStr">
        <is>
          <t>ALL</t>
        </is>
      </c>
      <c r="B381" t="inlineStr">
        <is>
          <t>mystic</t>
        </is>
      </c>
      <c r="C381" t="n">
        <v>1</v>
      </c>
      <c r="D381" t="inlineStr">
        <is>
          <t>Max MP %</t>
        </is>
      </c>
      <c r="E381" t="n">
        <v>15</v>
      </c>
      <c r="F381" t="n">
        <v>9</v>
      </c>
      <c r="G381" t="b">
        <v>0</v>
      </c>
      <c r="H381" t="inlineStr">
        <is>
          <t>0</t>
        </is>
      </c>
    </row>
    <row r="382">
      <c r="A382" t="inlineStr">
        <is>
          <t>ALL</t>
        </is>
      </c>
      <c r="B382" t="inlineStr">
        <is>
          <t>mystic</t>
        </is>
      </c>
      <c r="C382" t="n">
        <v>1</v>
      </c>
      <c r="D382" t="inlineStr">
        <is>
          <t>Str</t>
        </is>
      </c>
      <c r="E382" t="n">
        <v>1000</v>
      </c>
      <c r="F382" t="n">
        <v>9.25</v>
      </c>
      <c r="G382" t="b">
        <v>0</v>
      </c>
      <c r="H382" t="inlineStr">
        <is>
          <t>0</t>
        </is>
      </c>
    </row>
    <row r="383">
      <c r="A383" t="inlineStr">
        <is>
          <t>ALL</t>
        </is>
      </c>
      <c r="B383" t="inlineStr">
        <is>
          <t>mystic</t>
        </is>
      </c>
      <c r="C383" t="n">
        <v>1</v>
      </c>
      <c r="D383" t="inlineStr">
        <is>
          <t>Dex</t>
        </is>
      </c>
      <c r="E383" t="n">
        <v>1000</v>
      </c>
      <c r="F383" t="n">
        <v>9.25</v>
      </c>
      <c r="G383" t="b">
        <v>0</v>
      </c>
      <c r="H383" t="inlineStr">
        <is>
          <t>0</t>
        </is>
      </c>
    </row>
    <row r="384">
      <c r="A384" t="inlineStr">
        <is>
          <t>ALL</t>
        </is>
      </c>
      <c r="B384" t="inlineStr">
        <is>
          <t>mystic</t>
        </is>
      </c>
      <c r="C384" t="n">
        <v>1</v>
      </c>
      <c r="D384" t="inlineStr">
        <is>
          <t>Int</t>
        </is>
      </c>
      <c r="E384" t="n">
        <v>1000</v>
      </c>
      <c r="F384" t="n">
        <v>9.25</v>
      </c>
      <c r="G384" t="b">
        <v>0</v>
      </c>
      <c r="H384">
        <f>Sensitivity!H5</f>
        <v/>
      </c>
    </row>
    <row r="385">
      <c r="A385" t="inlineStr">
        <is>
          <t>ALL</t>
        </is>
      </c>
      <c r="B385" t="inlineStr">
        <is>
          <t>mystic</t>
        </is>
      </c>
      <c r="C385" t="n">
        <v>1</v>
      </c>
      <c r="D385" t="inlineStr">
        <is>
          <t>Luk</t>
        </is>
      </c>
      <c r="E385" t="n">
        <v>1000</v>
      </c>
      <c r="F385" t="n">
        <v>9.25</v>
      </c>
      <c r="G385" t="b">
        <v>0</v>
      </c>
      <c r="H385" t="inlineStr">
        <is>
          <t>0</t>
        </is>
      </c>
    </row>
    <row r="386">
      <c r="A386" t="inlineStr">
        <is>
          <t>ALL</t>
        </is>
      </c>
      <c r="B386" t="inlineStr">
        <is>
          <t>mystic</t>
        </is>
      </c>
      <c r="C386" t="n">
        <v>2</v>
      </c>
      <c r="D386" t="inlineStr">
        <is>
          <t>Critical Rate %</t>
        </is>
      </c>
      <c r="E386" t="n">
        <v>12</v>
      </c>
      <c r="F386" t="n">
        <v>1.9</v>
      </c>
      <c r="G386" t="b">
        <v>0</v>
      </c>
      <c r="H386">
        <f>IF(Inputs!$B$8&gt;=100,Sensitivity!H15,Sensitivity!H14)</f>
        <v/>
      </c>
    </row>
    <row r="387">
      <c r="A387" t="inlineStr">
        <is>
          <t>ALL</t>
        </is>
      </c>
      <c r="B387" t="inlineStr">
        <is>
          <t>mystic</t>
        </is>
      </c>
      <c r="C387" t="n">
        <v>2</v>
      </c>
      <c r="D387" t="inlineStr">
        <is>
          <t>Critical Rate %</t>
        </is>
      </c>
      <c r="E387" t="n">
        <v>15</v>
      </c>
      <c r="F387" t="n">
        <v>0.6</v>
      </c>
      <c r="G387" t="b">
        <v>1</v>
      </c>
      <c r="H387">
        <f>IF(Inputs!$B$8&gt;=100,Sensitivity!H15,Sensitivity!H14)</f>
        <v/>
      </c>
    </row>
    <row r="388">
      <c r="A388" t="inlineStr">
        <is>
          <t>ALL</t>
        </is>
      </c>
      <c r="B388" t="inlineStr">
        <is>
          <t>mystic</t>
        </is>
      </c>
      <c r="C388" t="n">
        <v>2</v>
      </c>
      <c r="D388" t="inlineStr">
        <is>
          <t>Attack Speed %</t>
        </is>
      </c>
      <c r="E388" t="n">
        <v>7</v>
      </c>
      <c r="F388" t="n">
        <v>1.9</v>
      </c>
      <c r="G388" t="b">
        <v>0</v>
      </c>
      <c r="H388">
        <f>Sensitivity!H16</f>
        <v/>
      </c>
    </row>
    <row r="389">
      <c r="A389" t="inlineStr">
        <is>
          <t>ALL</t>
        </is>
      </c>
      <c r="B389" t="inlineStr">
        <is>
          <t>mystic</t>
        </is>
      </c>
      <c r="C389" t="n">
        <v>2</v>
      </c>
      <c r="D389" t="inlineStr">
        <is>
          <t>Attack Speed %</t>
        </is>
      </c>
      <c r="E389" t="n">
        <v>10</v>
      </c>
      <c r="F389" t="n">
        <v>0.6</v>
      </c>
      <c r="G389" t="b">
        <v>1</v>
      </c>
      <c r="H389">
        <f>Sensitivity!H16</f>
        <v/>
      </c>
    </row>
    <row r="390">
      <c r="A390" t="inlineStr">
        <is>
          <t>ALL</t>
        </is>
      </c>
      <c r="B390" t="inlineStr">
        <is>
          <t>mystic</t>
        </is>
      </c>
      <c r="C390" t="n">
        <v>2</v>
      </c>
      <c r="D390" t="inlineStr">
        <is>
          <t>Damage %</t>
        </is>
      </c>
      <c r="E390" t="n">
        <v>25</v>
      </c>
      <c r="F390" t="n">
        <v>3.04</v>
      </c>
      <c r="G390" t="b">
        <v>0</v>
      </c>
      <c r="H390">
        <f>Sensitivity!H7</f>
        <v/>
      </c>
    </row>
    <row r="391">
      <c r="A391" t="inlineStr">
        <is>
          <t>ALL</t>
        </is>
      </c>
      <c r="B391" t="inlineStr">
        <is>
          <t>mystic</t>
        </is>
      </c>
      <c r="C391" t="n">
        <v>2</v>
      </c>
      <c r="D391" t="inlineStr">
        <is>
          <t>Damage %</t>
        </is>
      </c>
      <c r="E391" t="n">
        <v>35</v>
      </c>
      <c r="F391" t="n">
        <v>0.96</v>
      </c>
      <c r="G391" t="b">
        <v>1</v>
      </c>
      <c r="H391">
        <f>Sensitivity!H7</f>
        <v/>
      </c>
    </row>
    <row r="392">
      <c r="A392" t="inlineStr">
        <is>
          <t>ALL</t>
        </is>
      </c>
      <c r="B392" t="inlineStr">
        <is>
          <t>mystic</t>
        </is>
      </c>
      <c r="C392" t="n">
        <v>2</v>
      </c>
      <c r="D392" t="inlineStr">
        <is>
          <t>Min Damage Multiplier %</t>
        </is>
      </c>
      <c r="E392" t="n">
        <v>15</v>
      </c>
      <c r="F392" t="n">
        <v>3.04</v>
      </c>
      <c r="G392" t="b">
        <v>0</v>
      </c>
      <c r="H392">
        <f>Sensitivity!H12</f>
        <v/>
      </c>
    </row>
    <row r="393">
      <c r="A393" t="inlineStr">
        <is>
          <t>ALL</t>
        </is>
      </c>
      <c r="B393" t="inlineStr">
        <is>
          <t>mystic</t>
        </is>
      </c>
      <c r="C393" t="n">
        <v>2</v>
      </c>
      <c r="D393" t="inlineStr">
        <is>
          <t>Min Damage Multiplier %</t>
        </is>
      </c>
      <c r="E393" t="n">
        <v>25</v>
      </c>
      <c r="F393" t="n">
        <v>0.96</v>
      </c>
      <c r="G393" t="b">
        <v>1</v>
      </c>
      <c r="H393">
        <f>Sensitivity!H12</f>
        <v/>
      </c>
    </row>
    <row r="394">
      <c r="A394" t="inlineStr">
        <is>
          <t>ALL</t>
        </is>
      </c>
      <c r="B394" t="inlineStr">
        <is>
          <t>mystic</t>
        </is>
      </c>
      <c r="C394" t="n">
        <v>2</v>
      </c>
      <c r="D394" t="inlineStr">
        <is>
          <t>Max Damage Multiplier %</t>
        </is>
      </c>
      <c r="E394" t="n">
        <v>15</v>
      </c>
      <c r="F394" t="n">
        <v>3.04</v>
      </c>
      <c r="G394" t="b">
        <v>0</v>
      </c>
      <c r="H394">
        <f>Sensitivity!H13</f>
        <v/>
      </c>
    </row>
    <row r="395">
      <c r="A395" t="inlineStr">
        <is>
          <t>ALL</t>
        </is>
      </c>
      <c r="B395" t="inlineStr">
        <is>
          <t>mystic</t>
        </is>
      </c>
      <c r="C395" t="n">
        <v>2</v>
      </c>
      <c r="D395" t="inlineStr">
        <is>
          <t>Max Damage Multiplier %</t>
        </is>
      </c>
      <c r="E395" t="n">
        <v>25</v>
      </c>
      <c r="F395" t="n">
        <v>0.96</v>
      </c>
      <c r="G395" t="b">
        <v>1</v>
      </c>
      <c r="H395">
        <f>Sensitivity!H13</f>
        <v/>
      </c>
    </row>
    <row r="396">
      <c r="A396" t="inlineStr">
        <is>
          <t>ALL</t>
        </is>
      </c>
      <c r="B396" t="inlineStr">
        <is>
          <t>mystic</t>
        </is>
      </c>
      <c r="C396" t="n">
        <v>2</v>
      </c>
      <c r="D396" t="inlineStr">
        <is>
          <t>Str %</t>
        </is>
      </c>
      <c r="E396" t="n">
        <v>12</v>
      </c>
      <c r="F396" t="n">
        <v>3.42</v>
      </c>
      <c r="G396" t="b">
        <v>0</v>
      </c>
      <c r="H396" t="inlineStr">
        <is>
          <t>0</t>
        </is>
      </c>
    </row>
    <row r="397">
      <c r="A397" t="inlineStr">
        <is>
          <t>ALL</t>
        </is>
      </c>
      <c r="B397" t="inlineStr">
        <is>
          <t>mystic</t>
        </is>
      </c>
      <c r="C397" t="n">
        <v>2</v>
      </c>
      <c r="D397" t="inlineStr">
        <is>
          <t>Str %</t>
        </is>
      </c>
      <c r="E397" t="n">
        <v>15</v>
      </c>
      <c r="F397" t="n">
        <v>1.08</v>
      </c>
      <c r="G397" t="b">
        <v>1</v>
      </c>
      <c r="H397" t="inlineStr">
        <is>
          <t>0</t>
        </is>
      </c>
    </row>
    <row r="398">
      <c r="A398" t="inlineStr">
        <is>
          <t>ALL</t>
        </is>
      </c>
      <c r="B398" t="inlineStr">
        <is>
          <t>mystic</t>
        </is>
      </c>
      <c r="C398" t="n">
        <v>2</v>
      </c>
      <c r="D398" t="inlineStr">
        <is>
          <t>Dex %</t>
        </is>
      </c>
      <c r="E398" t="n">
        <v>12</v>
      </c>
      <c r="F398" t="n">
        <v>3.42</v>
      </c>
      <c r="G398" t="b">
        <v>0</v>
      </c>
      <c r="H398" t="inlineStr">
        <is>
          <t>0</t>
        </is>
      </c>
    </row>
    <row r="399">
      <c r="A399" t="inlineStr">
        <is>
          <t>ALL</t>
        </is>
      </c>
      <c r="B399" t="inlineStr">
        <is>
          <t>mystic</t>
        </is>
      </c>
      <c r="C399" t="n">
        <v>2</v>
      </c>
      <c r="D399" t="inlineStr">
        <is>
          <t>Dex %</t>
        </is>
      </c>
      <c r="E399" t="n">
        <v>15</v>
      </c>
      <c r="F399" t="n">
        <v>1.08</v>
      </c>
      <c r="G399" t="b">
        <v>1</v>
      </c>
      <c r="H399" t="inlineStr">
        <is>
          <t>0</t>
        </is>
      </c>
    </row>
    <row r="400">
      <c r="A400" t="inlineStr">
        <is>
          <t>ALL</t>
        </is>
      </c>
      <c r="B400" t="inlineStr">
        <is>
          <t>mystic</t>
        </is>
      </c>
      <c r="C400" t="n">
        <v>2</v>
      </c>
      <c r="D400" t="inlineStr">
        <is>
          <t>Int %</t>
        </is>
      </c>
      <c r="E400" t="n">
        <v>12</v>
      </c>
      <c r="F400" t="n">
        <v>3.42</v>
      </c>
      <c r="G400" t="b">
        <v>0</v>
      </c>
      <c r="H400">
        <f>Sensitivity!H6</f>
        <v/>
      </c>
    </row>
    <row r="401">
      <c r="A401" t="inlineStr">
        <is>
          <t>ALL</t>
        </is>
      </c>
      <c r="B401" t="inlineStr">
        <is>
          <t>mystic</t>
        </is>
      </c>
      <c r="C401" t="n">
        <v>2</v>
      </c>
      <c r="D401" t="inlineStr">
        <is>
          <t>Int %</t>
        </is>
      </c>
      <c r="E401" t="n">
        <v>15</v>
      </c>
      <c r="F401" t="n">
        <v>1.08</v>
      </c>
      <c r="G401" t="b">
        <v>1</v>
      </c>
      <c r="H401">
        <f>Sensitivity!H6</f>
        <v/>
      </c>
    </row>
    <row r="402">
      <c r="A402" t="inlineStr">
        <is>
          <t>ALL</t>
        </is>
      </c>
      <c r="B402" t="inlineStr">
        <is>
          <t>mystic</t>
        </is>
      </c>
      <c r="C402" t="n">
        <v>2</v>
      </c>
      <c r="D402" t="inlineStr">
        <is>
          <t>Luk %</t>
        </is>
      </c>
      <c r="E402" t="n">
        <v>12</v>
      </c>
      <c r="F402" t="n">
        <v>3.42</v>
      </c>
      <c r="G402" t="b">
        <v>0</v>
      </c>
      <c r="H402" t="inlineStr">
        <is>
          <t>0</t>
        </is>
      </c>
    </row>
    <row r="403">
      <c r="A403" t="inlineStr">
        <is>
          <t>ALL</t>
        </is>
      </c>
      <c r="B403" t="inlineStr">
        <is>
          <t>mystic</t>
        </is>
      </c>
      <c r="C403" t="n">
        <v>2</v>
      </c>
      <c r="D403" t="inlineStr">
        <is>
          <t>Luk %</t>
        </is>
      </c>
      <c r="E403" t="n">
        <v>15</v>
      </c>
      <c r="F403" t="n">
        <v>1.08</v>
      </c>
      <c r="G403" t="b">
        <v>1</v>
      </c>
      <c r="H403" t="inlineStr">
        <is>
          <t>0</t>
        </is>
      </c>
    </row>
    <row r="404">
      <c r="A404" t="inlineStr">
        <is>
          <t>ALL</t>
        </is>
      </c>
      <c r="B404" t="inlineStr">
        <is>
          <t>mystic</t>
        </is>
      </c>
      <c r="C404" t="n">
        <v>2</v>
      </c>
      <c r="D404" t="inlineStr">
        <is>
          <t>Defense %</t>
        </is>
      </c>
      <c r="E404" t="n">
        <v>12</v>
      </c>
      <c r="F404" t="n">
        <v>6.84</v>
      </c>
      <c r="G404" t="b">
        <v>0</v>
      </c>
      <c r="H404" t="inlineStr">
        <is>
          <t>0</t>
        </is>
      </c>
    </row>
    <row r="405">
      <c r="A405" t="inlineStr">
        <is>
          <t>ALL</t>
        </is>
      </c>
      <c r="B405" t="inlineStr">
        <is>
          <t>mystic</t>
        </is>
      </c>
      <c r="C405" t="n">
        <v>2</v>
      </c>
      <c r="D405" t="inlineStr">
        <is>
          <t>Defense %</t>
        </is>
      </c>
      <c r="E405" t="n">
        <v>15</v>
      </c>
      <c r="F405" t="n">
        <v>2.16</v>
      </c>
      <c r="G405" t="b">
        <v>1</v>
      </c>
      <c r="H405" t="inlineStr">
        <is>
          <t>0</t>
        </is>
      </c>
    </row>
    <row r="406">
      <c r="A406" t="inlineStr">
        <is>
          <t>ALL</t>
        </is>
      </c>
      <c r="B406" t="inlineStr">
        <is>
          <t>mystic</t>
        </is>
      </c>
      <c r="C406" t="n">
        <v>2</v>
      </c>
      <c r="D406" t="inlineStr">
        <is>
          <t>Max HP %</t>
        </is>
      </c>
      <c r="E406" t="n">
        <v>20</v>
      </c>
      <c r="F406" t="n">
        <v>6.84</v>
      </c>
      <c r="G406" t="b">
        <v>0</v>
      </c>
      <c r="H406" t="inlineStr">
        <is>
          <t>0</t>
        </is>
      </c>
    </row>
    <row r="407">
      <c r="A407" t="inlineStr">
        <is>
          <t>ALL</t>
        </is>
      </c>
      <c r="B407" t="inlineStr">
        <is>
          <t>mystic</t>
        </is>
      </c>
      <c r="C407" t="n">
        <v>2</v>
      </c>
      <c r="D407" t="inlineStr">
        <is>
          <t>Max HP %</t>
        </is>
      </c>
      <c r="E407" t="n">
        <v>25</v>
      </c>
      <c r="F407" t="n">
        <v>2.16</v>
      </c>
      <c r="G407" t="b">
        <v>1</v>
      </c>
      <c r="H407" t="inlineStr">
        <is>
          <t>0</t>
        </is>
      </c>
    </row>
    <row r="408">
      <c r="A408" t="inlineStr">
        <is>
          <t>ALL</t>
        </is>
      </c>
      <c r="B408" t="inlineStr">
        <is>
          <t>mystic</t>
        </is>
      </c>
      <c r="C408" t="n">
        <v>2</v>
      </c>
      <c r="D408" t="inlineStr">
        <is>
          <t>Max MP %</t>
        </is>
      </c>
      <c r="E408" t="n">
        <v>12</v>
      </c>
      <c r="F408" t="n">
        <v>6.84</v>
      </c>
      <c r="G408" t="b">
        <v>0</v>
      </c>
      <c r="H408" t="inlineStr">
        <is>
          <t>0</t>
        </is>
      </c>
    </row>
    <row r="409">
      <c r="A409" t="inlineStr">
        <is>
          <t>ALL</t>
        </is>
      </c>
      <c r="B409" t="inlineStr">
        <is>
          <t>mystic</t>
        </is>
      </c>
      <c r="C409" t="n">
        <v>2</v>
      </c>
      <c r="D409" t="inlineStr">
        <is>
          <t>Max MP %</t>
        </is>
      </c>
      <c r="E409" t="n">
        <v>15</v>
      </c>
      <c r="F409" t="n">
        <v>2.16</v>
      </c>
      <c r="G409" t="b">
        <v>1</v>
      </c>
      <c r="H409" t="inlineStr">
        <is>
          <t>0</t>
        </is>
      </c>
    </row>
    <row r="410">
      <c r="A410" t="inlineStr">
        <is>
          <t>ALL</t>
        </is>
      </c>
      <c r="B410" t="inlineStr">
        <is>
          <t>mystic</t>
        </is>
      </c>
      <c r="C410" t="n">
        <v>2</v>
      </c>
      <c r="D410" t="inlineStr">
        <is>
          <t>Str</t>
        </is>
      </c>
      <c r="E410" t="n">
        <v>600</v>
      </c>
      <c r="F410" t="n">
        <v>7.03</v>
      </c>
      <c r="G410" t="b">
        <v>0</v>
      </c>
      <c r="H410" t="inlineStr">
        <is>
          <t>0</t>
        </is>
      </c>
    </row>
    <row r="411">
      <c r="A411" t="inlineStr">
        <is>
          <t>ALL</t>
        </is>
      </c>
      <c r="B411" t="inlineStr">
        <is>
          <t>mystic</t>
        </is>
      </c>
      <c r="C411" t="n">
        <v>2</v>
      </c>
      <c r="D411" t="inlineStr">
        <is>
          <t>Str</t>
        </is>
      </c>
      <c r="E411" t="n">
        <v>1000</v>
      </c>
      <c r="F411" t="n">
        <v>2.22</v>
      </c>
      <c r="G411" t="b">
        <v>1</v>
      </c>
      <c r="H411" t="inlineStr">
        <is>
          <t>0</t>
        </is>
      </c>
    </row>
    <row r="412">
      <c r="A412" t="inlineStr">
        <is>
          <t>ALL</t>
        </is>
      </c>
      <c r="B412" t="inlineStr">
        <is>
          <t>mystic</t>
        </is>
      </c>
      <c r="C412" t="n">
        <v>2</v>
      </c>
      <c r="D412" t="inlineStr">
        <is>
          <t>Dex</t>
        </is>
      </c>
      <c r="E412" t="n">
        <v>600</v>
      </c>
      <c r="F412" t="n">
        <v>7.03</v>
      </c>
      <c r="G412" t="b">
        <v>0</v>
      </c>
      <c r="H412" t="inlineStr">
        <is>
          <t>0</t>
        </is>
      </c>
    </row>
    <row r="413">
      <c r="A413" t="inlineStr">
        <is>
          <t>ALL</t>
        </is>
      </c>
      <c r="B413" t="inlineStr">
        <is>
          <t>mystic</t>
        </is>
      </c>
      <c r="C413" t="n">
        <v>2</v>
      </c>
      <c r="D413" t="inlineStr">
        <is>
          <t>Dex</t>
        </is>
      </c>
      <c r="E413" t="n">
        <v>1000</v>
      </c>
      <c r="F413" t="n">
        <v>2.22</v>
      </c>
      <c r="G413" t="b">
        <v>1</v>
      </c>
      <c r="H413" t="inlineStr">
        <is>
          <t>0</t>
        </is>
      </c>
    </row>
    <row r="414">
      <c r="A414" t="inlineStr">
        <is>
          <t>ALL</t>
        </is>
      </c>
      <c r="B414" t="inlineStr">
        <is>
          <t>mystic</t>
        </is>
      </c>
      <c r="C414" t="n">
        <v>2</v>
      </c>
      <c r="D414" t="inlineStr">
        <is>
          <t>Int</t>
        </is>
      </c>
      <c r="E414" t="n">
        <v>600</v>
      </c>
      <c r="F414" t="n">
        <v>7.03</v>
      </c>
      <c r="G414" t="b">
        <v>0</v>
      </c>
      <c r="H414">
        <f>Sensitivity!H5</f>
        <v/>
      </c>
    </row>
    <row r="415">
      <c r="A415" t="inlineStr">
        <is>
          <t>ALL</t>
        </is>
      </c>
      <c r="B415" t="inlineStr">
        <is>
          <t>mystic</t>
        </is>
      </c>
      <c r="C415" t="n">
        <v>2</v>
      </c>
      <c r="D415" t="inlineStr">
        <is>
          <t>Int</t>
        </is>
      </c>
      <c r="E415" t="n">
        <v>1000</v>
      </c>
      <c r="F415" t="n">
        <v>2.22</v>
      </c>
      <c r="G415" t="b">
        <v>1</v>
      </c>
      <c r="H415">
        <f>Sensitivity!H5</f>
        <v/>
      </c>
    </row>
    <row r="416">
      <c r="A416" t="inlineStr">
        <is>
          <t>ALL</t>
        </is>
      </c>
      <c r="B416" t="inlineStr">
        <is>
          <t>mystic</t>
        </is>
      </c>
      <c r="C416" t="n">
        <v>2</v>
      </c>
      <c r="D416" t="inlineStr">
        <is>
          <t>Luk</t>
        </is>
      </c>
      <c r="E416" t="n">
        <v>600</v>
      </c>
      <c r="F416" t="n">
        <v>7.03</v>
      </c>
      <c r="G416" t="b">
        <v>0</v>
      </c>
      <c r="H416" t="inlineStr">
        <is>
          <t>0</t>
        </is>
      </c>
    </row>
    <row r="417">
      <c r="A417" t="inlineStr">
        <is>
          <t>ALL</t>
        </is>
      </c>
      <c r="B417" t="inlineStr">
        <is>
          <t>mystic</t>
        </is>
      </c>
      <c r="C417" t="n">
        <v>2</v>
      </c>
      <c r="D417" t="inlineStr">
        <is>
          <t>Luk</t>
        </is>
      </c>
      <c r="E417" t="n">
        <v>1000</v>
      </c>
      <c r="F417" t="n">
        <v>2.22</v>
      </c>
      <c r="G417" t="b">
        <v>1</v>
      </c>
      <c r="H417" t="inlineStr">
        <is>
          <t>0</t>
        </is>
      </c>
    </row>
    <row r="418">
      <c r="A418" t="inlineStr">
        <is>
          <t>ALL</t>
        </is>
      </c>
      <c r="B418" t="inlineStr">
        <is>
          <t>mystic</t>
        </is>
      </c>
      <c r="C418" t="n">
        <v>3</v>
      </c>
      <c r="D418" t="inlineStr">
        <is>
          <t>Critical Rate %</t>
        </is>
      </c>
      <c r="E418" t="n">
        <v>12</v>
      </c>
      <c r="F418" t="n">
        <v>2.3</v>
      </c>
      <c r="G418" t="b">
        <v>0</v>
      </c>
      <c r="H418">
        <f>IF(Inputs!$B$8&gt;=100,Sensitivity!H15,Sensitivity!H14)</f>
        <v/>
      </c>
    </row>
    <row r="419">
      <c r="A419" t="inlineStr">
        <is>
          <t>ALL</t>
        </is>
      </c>
      <c r="B419" t="inlineStr">
        <is>
          <t>mystic</t>
        </is>
      </c>
      <c r="C419" t="n">
        <v>3</v>
      </c>
      <c r="D419" t="inlineStr">
        <is>
          <t>Critical Rate %</t>
        </is>
      </c>
      <c r="E419" t="n">
        <v>15</v>
      </c>
      <c r="F419" t="n">
        <v>0.2</v>
      </c>
      <c r="G419" t="b">
        <v>1</v>
      </c>
      <c r="H419">
        <f>IF(Inputs!$B$8&gt;=100,Sensitivity!H15,Sensitivity!H14)</f>
        <v/>
      </c>
    </row>
    <row r="420">
      <c r="A420" t="inlineStr">
        <is>
          <t>ALL</t>
        </is>
      </c>
      <c r="B420" t="inlineStr">
        <is>
          <t>mystic</t>
        </is>
      </c>
      <c r="C420" t="n">
        <v>3</v>
      </c>
      <c r="D420" t="inlineStr">
        <is>
          <t>Attack Speed %</t>
        </is>
      </c>
      <c r="E420" t="n">
        <v>7</v>
      </c>
      <c r="F420" t="n">
        <v>2.3</v>
      </c>
      <c r="G420" t="b">
        <v>0</v>
      </c>
      <c r="H420">
        <f>Sensitivity!H16</f>
        <v/>
      </c>
    </row>
    <row r="421">
      <c r="A421" t="inlineStr">
        <is>
          <t>ALL</t>
        </is>
      </c>
      <c r="B421" t="inlineStr">
        <is>
          <t>mystic</t>
        </is>
      </c>
      <c r="C421" t="n">
        <v>3</v>
      </c>
      <c r="D421" t="inlineStr">
        <is>
          <t>Attack Speed %</t>
        </is>
      </c>
      <c r="E421" t="n">
        <v>10</v>
      </c>
      <c r="F421" t="n">
        <v>0.2</v>
      </c>
      <c r="G421" t="b">
        <v>1</v>
      </c>
      <c r="H421">
        <f>Sensitivity!H16</f>
        <v/>
      </c>
    </row>
    <row r="422">
      <c r="A422" t="inlineStr">
        <is>
          <t>ALL</t>
        </is>
      </c>
      <c r="B422" t="inlineStr">
        <is>
          <t>mystic</t>
        </is>
      </c>
      <c r="C422" t="n">
        <v>3</v>
      </c>
      <c r="D422" t="inlineStr">
        <is>
          <t>Damage %</t>
        </is>
      </c>
      <c r="E422" t="n">
        <v>25</v>
      </c>
      <c r="F422" t="n">
        <v>3.68</v>
      </c>
      <c r="G422" t="b">
        <v>0</v>
      </c>
      <c r="H422">
        <f>Sensitivity!H7</f>
        <v/>
      </c>
    </row>
    <row r="423">
      <c r="A423" t="inlineStr">
        <is>
          <t>ALL</t>
        </is>
      </c>
      <c r="B423" t="inlineStr">
        <is>
          <t>mystic</t>
        </is>
      </c>
      <c r="C423" t="n">
        <v>3</v>
      </c>
      <c r="D423" t="inlineStr">
        <is>
          <t>Damage %</t>
        </is>
      </c>
      <c r="E423" t="n">
        <v>35</v>
      </c>
      <c r="F423" t="n">
        <v>0.32</v>
      </c>
      <c r="G423" t="b">
        <v>1</v>
      </c>
      <c r="H423">
        <f>Sensitivity!H7</f>
        <v/>
      </c>
    </row>
    <row r="424">
      <c r="A424" t="inlineStr">
        <is>
          <t>ALL</t>
        </is>
      </c>
      <c r="B424" t="inlineStr">
        <is>
          <t>mystic</t>
        </is>
      </c>
      <c r="C424" t="n">
        <v>3</v>
      </c>
      <c r="D424" t="inlineStr">
        <is>
          <t>Min Damage Multiplier %</t>
        </is>
      </c>
      <c r="E424" t="n">
        <v>15</v>
      </c>
      <c r="F424" t="n">
        <v>3.68</v>
      </c>
      <c r="G424" t="b">
        <v>0</v>
      </c>
      <c r="H424">
        <f>Sensitivity!H12</f>
        <v/>
      </c>
    </row>
    <row r="425">
      <c r="A425" t="inlineStr">
        <is>
          <t>ALL</t>
        </is>
      </c>
      <c r="B425" t="inlineStr">
        <is>
          <t>mystic</t>
        </is>
      </c>
      <c r="C425" t="n">
        <v>3</v>
      </c>
      <c r="D425" t="inlineStr">
        <is>
          <t>Min Damage Multiplier %</t>
        </is>
      </c>
      <c r="E425" t="n">
        <v>25</v>
      </c>
      <c r="F425" t="n">
        <v>0.32</v>
      </c>
      <c r="G425" t="b">
        <v>1</v>
      </c>
      <c r="H425">
        <f>Sensitivity!H12</f>
        <v/>
      </c>
    </row>
    <row r="426">
      <c r="A426" t="inlineStr">
        <is>
          <t>ALL</t>
        </is>
      </c>
      <c r="B426" t="inlineStr">
        <is>
          <t>mystic</t>
        </is>
      </c>
      <c r="C426" t="n">
        <v>3</v>
      </c>
      <c r="D426" t="inlineStr">
        <is>
          <t>Max Damage Multiplier %</t>
        </is>
      </c>
      <c r="E426" t="n">
        <v>15</v>
      </c>
      <c r="F426" t="n">
        <v>3.68</v>
      </c>
      <c r="G426" t="b">
        <v>0</v>
      </c>
      <c r="H426">
        <f>Sensitivity!H13</f>
        <v/>
      </c>
    </row>
    <row r="427">
      <c r="A427" t="inlineStr">
        <is>
          <t>ALL</t>
        </is>
      </c>
      <c r="B427" t="inlineStr">
        <is>
          <t>mystic</t>
        </is>
      </c>
      <c r="C427" t="n">
        <v>3</v>
      </c>
      <c r="D427" t="inlineStr">
        <is>
          <t>Max Damage Multiplier %</t>
        </is>
      </c>
      <c r="E427" t="n">
        <v>25</v>
      </c>
      <c r="F427" t="n">
        <v>0.32</v>
      </c>
      <c r="G427" t="b">
        <v>1</v>
      </c>
      <c r="H427">
        <f>Sensitivity!H13</f>
        <v/>
      </c>
    </row>
    <row r="428">
      <c r="A428" t="inlineStr">
        <is>
          <t>ALL</t>
        </is>
      </c>
      <c r="B428" t="inlineStr">
        <is>
          <t>mystic</t>
        </is>
      </c>
      <c r="C428" t="n">
        <v>3</v>
      </c>
      <c r="D428" t="inlineStr">
        <is>
          <t>Str %</t>
        </is>
      </c>
      <c r="E428" t="n">
        <v>12</v>
      </c>
      <c r="F428" t="n">
        <v>4.14</v>
      </c>
      <c r="G428" t="b">
        <v>0</v>
      </c>
      <c r="H428" t="inlineStr">
        <is>
          <t>0</t>
        </is>
      </c>
    </row>
    <row r="429">
      <c r="A429" t="inlineStr">
        <is>
          <t>ALL</t>
        </is>
      </c>
      <c r="B429" t="inlineStr">
        <is>
          <t>mystic</t>
        </is>
      </c>
      <c r="C429" t="n">
        <v>3</v>
      </c>
      <c r="D429" t="inlineStr">
        <is>
          <t>Str %</t>
        </is>
      </c>
      <c r="E429" t="n">
        <v>15</v>
      </c>
      <c r="F429" t="n">
        <v>0.36</v>
      </c>
      <c r="G429" t="b">
        <v>1</v>
      </c>
      <c r="H429" t="inlineStr">
        <is>
          <t>0</t>
        </is>
      </c>
    </row>
    <row r="430">
      <c r="A430" t="inlineStr">
        <is>
          <t>ALL</t>
        </is>
      </c>
      <c r="B430" t="inlineStr">
        <is>
          <t>mystic</t>
        </is>
      </c>
      <c r="C430" t="n">
        <v>3</v>
      </c>
      <c r="D430" t="inlineStr">
        <is>
          <t>Dex %</t>
        </is>
      </c>
      <c r="E430" t="n">
        <v>12</v>
      </c>
      <c r="F430" t="n">
        <v>4.14</v>
      </c>
      <c r="G430" t="b">
        <v>0</v>
      </c>
      <c r="H430" t="inlineStr">
        <is>
          <t>0</t>
        </is>
      </c>
    </row>
    <row r="431">
      <c r="A431" t="inlineStr">
        <is>
          <t>ALL</t>
        </is>
      </c>
      <c r="B431" t="inlineStr">
        <is>
          <t>mystic</t>
        </is>
      </c>
      <c r="C431" t="n">
        <v>3</v>
      </c>
      <c r="D431" t="inlineStr">
        <is>
          <t>Dex %</t>
        </is>
      </c>
      <c r="E431" t="n">
        <v>15</v>
      </c>
      <c r="F431" t="n">
        <v>0.36</v>
      </c>
      <c r="G431" t="b">
        <v>1</v>
      </c>
      <c r="H431" t="inlineStr">
        <is>
          <t>0</t>
        </is>
      </c>
    </row>
    <row r="432">
      <c r="A432" t="inlineStr">
        <is>
          <t>ALL</t>
        </is>
      </c>
      <c r="B432" t="inlineStr">
        <is>
          <t>mystic</t>
        </is>
      </c>
      <c r="C432" t="n">
        <v>3</v>
      </c>
      <c r="D432" t="inlineStr">
        <is>
          <t>Int %</t>
        </is>
      </c>
      <c r="E432" t="n">
        <v>12</v>
      </c>
      <c r="F432" t="n">
        <v>4.14</v>
      </c>
      <c r="G432" t="b">
        <v>0</v>
      </c>
      <c r="H432">
        <f>Sensitivity!H6</f>
        <v/>
      </c>
    </row>
    <row r="433">
      <c r="A433" t="inlineStr">
        <is>
          <t>ALL</t>
        </is>
      </c>
      <c r="B433" t="inlineStr">
        <is>
          <t>mystic</t>
        </is>
      </c>
      <c r="C433" t="n">
        <v>3</v>
      </c>
      <c r="D433" t="inlineStr">
        <is>
          <t>Int %</t>
        </is>
      </c>
      <c r="E433" t="n">
        <v>15</v>
      </c>
      <c r="F433" t="n">
        <v>0.36</v>
      </c>
      <c r="G433" t="b">
        <v>1</v>
      </c>
      <c r="H433">
        <f>Sensitivity!H6</f>
        <v/>
      </c>
    </row>
    <row r="434">
      <c r="A434" t="inlineStr">
        <is>
          <t>ALL</t>
        </is>
      </c>
      <c r="B434" t="inlineStr">
        <is>
          <t>mystic</t>
        </is>
      </c>
      <c r="C434" t="n">
        <v>3</v>
      </c>
      <c r="D434" t="inlineStr">
        <is>
          <t>Luk %</t>
        </is>
      </c>
      <c r="E434" t="n">
        <v>12</v>
      </c>
      <c r="F434" t="n">
        <v>4.14</v>
      </c>
      <c r="G434" t="b">
        <v>0</v>
      </c>
      <c r="H434" t="inlineStr">
        <is>
          <t>0</t>
        </is>
      </c>
    </row>
    <row r="435">
      <c r="A435" t="inlineStr">
        <is>
          <t>ALL</t>
        </is>
      </c>
      <c r="B435" t="inlineStr">
        <is>
          <t>mystic</t>
        </is>
      </c>
      <c r="C435" t="n">
        <v>3</v>
      </c>
      <c r="D435" t="inlineStr">
        <is>
          <t>Luk %</t>
        </is>
      </c>
      <c r="E435" t="n">
        <v>15</v>
      </c>
      <c r="F435" t="n">
        <v>0.36</v>
      </c>
      <c r="G435" t="b">
        <v>1</v>
      </c>
      <c r="H435" t="inlineStr">
        <is>
          <t>0</t>
        </is>
      </c>
    </row>
    <row r="436">
      <c r="A436" t="inlineStr">
        <is>
          <t>ALL</t>
        </is>
      </c>
      <c r="B436" t="inlineStr">
        <is>
          <t>mystic</t>
        </is>
      </c>
      <c r="C436" t="n">
        <v>3</v>
      </c>
      <c r="D436" t="inlineStr">
        <is>
          <t>Defense %</t>
        </is>
      </c>
      <c r="E436" t="n">
        <v>12</v>
      </c>
      <c r="F436" t="n">
        <v>8.279999999999999</v>
      </c>
      <c r="G436" t="b">
        <v>0</v>
      </c>
      <c r="H436" t="inlineStr">
        <is>
          <t>0</t>
        </is>
      </c>
    </row>
    <row r="437">
      <c r="A437" t="inlineStr">
        <is>
          <t>ALL</t>
        </is>
      </c>
      <c r="B437" t="inlineStr">
        <is>
          <t>mystic</t>
        </is>
      </c>
      <c r="C437" t="n">
        <v>3</v>
      </c>
      <c r="D437" t="inlineStr">
        <is>
          <t>Defense %</t>
        </is>
      </c>
      <c r="E437" t="n">
        <v>15</v>
      </c>
      <c r="F437" t="n">
        <v>0.72</v>
      </c>
      <c r="G437" t="b">
        <v>1</v>
      </c>
      <c r="H437" t="inlineStr">
        <is>
          <t>0</t>
        </is>
      </c>
    </row>
    <row r="438">
      <c r="A438" t="inlineStr">
        <is>
          <t>ALL</t>
        </is>
      </c>
      <c r="B438" t="inlineStr">
        <is>
          <t>mystic</t>
        </is>
      </c>
      <c r="C438" t="n">
        <v>3</v>
      </c>
      <c r="D438" t="inlineStr">
        <is>
          <t>Max HP %</t>
        </is>
      </c>
      <c r="E438" t="n">
        <v>20</v>
      </c>
      <c r="F438" t="n">
        <v>8.279999999999999</v>
      </c>
      <c r="G438" t="b">
        <v>0</v>
      </c>
      <c r="H438" t="inlineStr">
        <is>
          <t>0</t>
        </is>
      </c>
    </row>
    <row r="439">
      <c r="A439" t="inlineStr">
        <is>
          <t>ALL</t>
        </is>
      </c>
      <c r="B439" t="inlineStr">
        <is>
          <t>mystic</t>
        </is>
      </c>
      <c r="C439" t="n">
        <v>3</v>
      </c>
      <c r="D439" t="inlineStr">
        <is>
          <t>Max HP %</t>
        </is>
      </c>
      <c r="E439" t="n">
        <v>25</v>
      </c>
      <c r="F439" t="n">
        <v>0.72</v>
      </c>
      <c r="G439" t="b">
        <v>1</v>
      </c>
      <c r="H439" t="inlineStr">
        <is>
          <t>0</t>
        </is>
      </c>
    </row>
    <row r="440">
      <c r="A440" t="inlineStr">
        <is>
          <t>ALL</t>
        </is>
      </c>
      <c r="B440" t="inlineStr">
        <is>
          <t>mystic</t>
        </is>
      </c>
      <c r="C440" t="n">
        <v>3</v>
      </c>
      <c r="D440" t="inlineStr">
        <is>
          <t>Max MP %</t>
        </is>
      </c>
      <c r="E440" t="n">
        <v>12</v>
      </c>
      <c r="F440" t="n">
        <v>8.279999999999999</v>
      </c>
      <c r="G440" t="b">
        <v>0</v>
      </c>
      <c r="H440" t="inlineStr">
        <is>
          <t>0</t>
        </is>
      </c>
    </row>
    <row r="441">
      <c r="A441" t="inlineStr">
        <is>
          <t>ALL</t>
        </is>
      </c>
      <c r="B441" t="inlineStr">
        <is>
          <t>mystic</t>
        </is>
      </c>
      <c r="C441" t="n">
        <v>3</v>
      </c>
      <c r="D441" t="inlineStr">
        <is>
          <t>Max MP %</t>
        </is>
      </c>
      <c r="E441" t="n">
        <v>15</v>
      </c>
      <c r="F441" t="n">
        <v>0.72</v>
      </c>
      <c r="G441" t="b">
        <v>1</v>
      </c>
      <c r="H441" t="inlineStr">
        <is>
          <t>0</t>
        </is>
      </c>
    </row>
    <row r="442">
      <c r="A442" t="inlineStr">
        <is>
          <t>ALL</t>
        </is>
      </c>
      <c r="B442" t="inlineStr">
        <is>
          <t>mystic</t>
        </is>
      </c>
      <c r="C442" t="n">
        <v>3</v>
      </c>
      <c r="D442" t="inlineStr">
        <is>
          <t>Str</t>
        </is>
      </c>
      <c r="E442" t="n">
        <v>600</v>
      </c>
      <c r="F442" t="n">
        <v>8.51</v>
      </c>
      <c r="G442" t="b">
        <v>0</v>
      </c>
      <c r="H442" t="inlineStr">
        <is>
          <t>0</t>
        </is>
      </c>
    </row>
    <row r="443">
      <c r="A443" t="inlineStr">
        <is>
          <t>ALL</t>
        </is>
      </c>
      <c r="B443" t="inlineStr">
        <is>
          <t>mystic</t>
        </is>
      </c>
      <c r="C443" t="n">
        <v>3</v>
      </c>
      <c r="D443" t="inlineStr">
        <is>
          <t>Str</t>
        </is>
      </c>
      <c r="E443" t="n">
        <v>1000</v>
      </c>
      <c r="F443" t="n">
        <v>0.74</v>
      </c>
      <c r="G443" t="b">
        <v>1</v>
      </c>
      <c r="H443" t="inlineStr">
        <is>
          <t>0</t>
        </is>
      </c>
    </row>
    <row r="444">
      <c r="A444" t="inlineStr">
        <is>
          <t>ALL</t>
        </is>
      </c>
      <c r="B444" t="inlineStr">
        <is>
          <t>mystic</t>
        </is>
      </c>
      <c r="C444" t="n">
        <v>3</v>
      </c>
      <c r="D444" t="inlineStr">
        <is>
          <t>Dex</t>
        </is>
      </c>
      <c r="E444" t="n">
        <v>600</v>
      </c>
      <c r="F444" t="n">
        <v>8.51</v>
      </c>
      <c r="G444" t="b">
        <v>0</v>
      </c>
      <c r="H444" t="inlineStr">
        <is>
          <t>0</t>
        </is>
      </c>
    </row>
    <row r="445">
      <c r="A445" t="inlineStr">
        <is>
          <t>ALL</t>
        </is>
      </c>
      <c r="B445" t="inlineStr">
        <is>
          <t>mystic</t>
        </is>
      </c>
      <c r="C445" t="n">
        <v>3</v>
      </c>
      <c r="D445" t="inlineStr">
        <is>
          <t>Dex</t>
        </is>
      </c>
      <c r="E445" t="n">
        <v>1000</v>
      </c>
      <c r="F445" t="n">
        <v>0.74</v>
      </c>
      <c r="G445" t="b">
        <v>1</v>
      </c>
      <c r="H445" t="inlineStr">
        <is>
          <t>0</t>
        </is>
      </c>
    </row>
    <row r="446">
      <c r="A446" t="inlineStr">
        <is>
          <t>ALL</t>
        </is>
      </c>
      <c r="B446" t="inlineStr">
        <is>
          <t>mystic</t>
        </is>
      </c>
      <c r="C446" t="n">
        <v>3</v>
      </c>
      <c r="D446" t="inlineStr">
        <is>
          <t>Int</t>
        </is>
      </c>
      <c r="E446" t="n">
        <v>600</v>
      </c>
      <c r="F446" t="n">
        <v>8.51</v>
      </c>
      <c r="G446" t="b">
        <v>0</v>
      </c>
      <c r="H446">
        <f>Sensitivity!H5</f>
        <v/>
      </c>
    </row>
    <row r="447">
      <c r="A447" t="inlineStr">
        <is>
          <t>ALL</t>
        </is>
      </c>
      <c r="B447" t="inlineStr">
        <is>
          <t>mystic</t>
        </is>
      </c>
      <c r="C447" t="n">
        <v>3</v>
      </c>
      <c r="D447" t="inlineStr">
        <is>
          <t>Int</t>
        </is>
      </c>
      <c r="E447" t="n">
        <v>1000</v>
      </c>
      <c r="F447" t="n">
        <v>0.74</v>
      </c>
      <c r="G447" t="b">
        <v>1</v>
      </c>
      <c r="H447">
        <f>Sensitivity!H5</f>
        <v/>
      </c>
    </row>
    <row r="448">
      <c r="A448" t="inlineStr">
        <is>
          <t>ALL</t>
        </is>
      </c>
      <c r="B448" t="inlineStr">
        <is>
          <t>mystic</t>
        </is>
      </c>
      <c r="C448" t="n">
        <v>3</v>
      </c>
      <c r="D448" t="inlineStr">
        <is>
          <t>Luk</t>
        </is>
      </c>
      <c r="E448" t="n">
        <v>600</v>
      </c>
      <c r="F448" t="n">
        <v>8.51</v>
      </c>
      <c r="G448" t="b">
        <v>0</v>
      </c>
      <c r="H448" t="inlineStr">
        <is>
          <t>0</t>
        </is>
      </c>
    </row>
    <row r="449">
      <c r="A449" t="inlineStr">
        <is>
          <t>ALL</t>
        </is>
      </c>
      <c r="B449" t="inlineStr">
        <is>
          <t>mystic</t>
        </is>
      </c>
      <c r="C449" t="n">
        <v>3</v>
      </c>
      <c r="D449" t="inlineStr">
        <is>
          <t>Luk</t>
        </is>
      </c>
      <c r="E449" t="n">
        <v>1000</v>
      </c>
      <c r="F449" t="n">
        <v>0.74</v>
      </c>
      <c r="G449" t="b">
        <v>1</v>
      </c>
      <c r="H449" t="inlineStr">
        <is>
          <t>0</t>
        </is>
      </c>
    </row>
    <row r="450">
      <c r="A450" t="inlineStr">
        <is>
          <t>head</t>
        </is>
      </c>
      <c r="B450" t="inlineStr">
        <is>
          <t>epic</t>
        </is>
      </c>
      <c r="C450" t="n">
        <v>1</v>
      </c>
      <c r="D450" t="inlineStr">
        <is>
          <t>Skill Cooldown Decrease (seconds)</t>
        </is>
      </c>
      <c r="E450" t="n">
        <v>0.5</v>
      </c>
      <c r="F450" t="n">
        <v>1</v>
      </c>
      <c r="G450" t="b">
        <v>1</v>
      </c>
      <c r="H450">
        <f>Sensitivity!H27</f>
        <v/>
      </c>
    </row>
    <row r="451">
      <c r="A451" t="inlineStr">
        <is>
          <t>head</t>
        </is>
      </c>
      <c r="B451" t="inlineStr">
        <is>
          <t>epic</t>
        </is>
      </c>
      <c r="C451" t="n">
        <v>2</v>
      </c>
      <c r="D451" t="inlineStr">
        <is>
          <t>Skill Cooldown Decrease (seconds)</t>
        </is>
      </c>
      <c r="E451" t="n">
        <v>0.5</v>
      </c>
      <c r="F451" t="n">
        <v>0.24</v>
      </c>
      <c r="G451" t="b">
        <v>1</v>
      </c>
      <c r="H451">
        <f>Sensitivity!H27</f>
        <v/>
      </c>
    </row>
    <row r="452">
      <c r="A452" t="inlineStr">
        <is>
          <t>head</t>
        </is>
      </c>
      <c r="B452" t="inlineStr">
        <is>
          <t>epic</t>
        </is>
      </c>
      <c r="C452" t="n">
        <v>3</v>
      </c>
      <c r="D452" t="inlineStr">
        <is>
          <t>Skill Cooldown Decrease (seconds)</t>
        </is>
      </c>
      <c r="E452" t="n">
        <v>0.5</v>
      </c>
      <c r="F452" t="n">
        <v>0.08</v>
      </c>
      <c r="G452" t="b">
        <v>1</v>
      </c>
      <c r="H452">
        <f>Sensitivity!H27</f>
        <v/>
      </c>
    </row>
    <row r="453">
      <c r="A453" t="inlineStr">
        <is>
          <t>head</t>
        </is>
      </c>
      <c r="B453" t="inlineStr">
        <is>
          <t>unique</t>
        </is>
      </c>
      <c r="C453" t="n">
        <v>1</v>
      </c>
      <c r="D453" t="inlineStr">
        <is>
          <t>Skill Cooldown Decrease (seconds)</t>
        </is>
      </c>
      <c r="E453" t="n">
        <v>1</v>
      </c>
      <c r="F453" t="n">
        <v>1</v>
      </c>
      <c r="G453" t="b">
        <v>1</v>
      </c>
      <c r="H453">
        <f>Sensitivity!H27</f>
        <v/>
      </c>
    </row>
    <row r="454">
      <c r="A454" t="inlineStr">
        <is>
          <t>head</t>
        </is>
      </c>
      <c r="B454" t="inlineStr">
        <is>
          <t>unique</t>
        </is>
      </c>
      <c r="C454" t="n">
        <v>2</v>
      </c>
      <c r="D454" t="inlineStr">
        <is>
          <t>Skill Cooldown Decrease (seconds)</t>
        </is>
      </c>
      <c r="E454" t="n">
        <v>1</v>
      </c>
      <c r="F454" t="n">
        <v>0.24</v>
      </c>
      <c r="G454" t="b">
        <v>1</v>
      </c>
      <c r="H454">
        <f>Sensitivity!H27</f>
        <v/>
      </c>
    </row>
    <row r="455">
      <c r="A455" t="inlineStr">
        <is>
          <t>head</t>
        </is>
      </c>
      <c r="B455" t="inlineStr">
        <is>
          <t>unique</t>
        </is>
      </c>
      <c r="C455" t="n">
        <v>2</v>
      </c>
      <c r="D455" t="inlineStr">
        <is>
          <t>Skill Cooldown Decrease (seconds)</t>
        </is>
      </c>
      <c r="E455" t="n">
        <v>0.5</v>
      </c>
      <c r="F455" t="n">
        <v>0.76</v>
      </c>
      <c r="G455" t="b">
        <v>0</v>
      </c>
      <c r="H455">
        <f>Sensitivity!H27</f>
        <v/>
      </c>
    </row>
    <row r="456">
      <c r="A456" t="inlineStr">
        <is>
          <t>head</t>
        </is>
      </c>
      <c r="B456" t="inlineStr">
        <is>
          <t>unique</t>
        </is>
      </c>
      <c r="C456" t="n">
        <v>3</v>
      </c>
      <c r="D456" t="inlineStr">
        <is>
          <t>Skill Cooldown Decrease (seconds)</t>
        </is>
      </c>
      <c r="E456" t="n">
        <v>1</v>
      </c>
      <c r="F456" t="n">
        <v>0.08</v>
      </c>
      <c r="G456" t="b">
        <v>1</v>
      </c>
      <c r="H456">
        <f>Sensitivity!H27</f>
        <v/>
      </c>
    </row>
    <row r="457">
      <c r="A457" t="inlineStr">
        <is>
          <t>head</t>
        </is>
      </c>
      <c r="B457" t="inlineStr">
        <is>
          <t>unique</t>
        </is>
      </c>
      <c r="C457" t="n">
        <v>3</v>
      </c>
      <c r="D457" t="inlineStr">
        <is>
          <t>Skill Cooldown Decrease (seconds)</t>
        </is>
      </c>
      <c r="E457" t="n">
        <v>0.5</v>
      </c>
      <c r="F457" t="n">
        <v>0.92</v>
      </c>
      <c r="G457" t="b">
        <v>0</v>
      </c>
      <c r="H457">
        <f>Sensitivity!H27</f>
        <v/>
      </c>
    </row>
    <row r="458">
      <c r="A458" t="inlineStr">
        <is>
          <t>head</t>
        </is>
      </c>
      <c r="B458" t="inlineStr">
        <is>
          <t>legendary</t>
        </is>
      </c>
      <c r="C458" t="n">
        <v>1</v>
      </c>
      <c r="D458" t="inlineStr">
        <is>
          <t>Skill Cooldown Decrease (seconds)</t>
        </is>
      </c>
      <c r="E458" t="n">
        <v>1.5</v>
      </c>
      <c r="F458" t="n">
        <v>1</v>
      </c>
      <c r="G458" t="b">
        <v>1</v>
      </c>
      <c r="H458">
        <f>Sensitivity!H27</f>
        <v/>
      </c>
    </row>
    <row r="459">
      <c r="A459" t="inlineStr">
        <is>
          <t>head</t>
        </is>
      </c>
      <c r="B459" t="inlineStr">
        <is>
          <t>legendary</t>
        </is>
      </c>
      <c r="C459" t="n">
        <v>2</v>
      </c>
      <c r="D459" t="inlineStr">
        <is>
          <t>Skill Cooldown Decrease (seconds)</t>
        </is>
      </c>
      <c r="E459" t="n">
        <v>1.5</v>
      </c>
      <c r="F459" t="n">
        <v>0.24</v>
      </c>
      <c r="G459" t="b">
        <v>1</v>
      </c>
      <c r="H459">
        <f>Sensitivity!H27</f>
        <v/>
      </c>
    </row>
    <row r="460">
      <c r="A460" t="inlineStr">
        <is>
          <t>head</t>
        </is>
      </c>
      <c r="B460" t="inlineStr">
        <is>
          <t>legendary</t>
        </is>
      </c>
      <c r="C460" t="n">
        <v>2</v>
      </c>
      <c r="D460" t="inlineStr">
        <is>
          <t>Skill Cooldown Decrease (seconds)</t>
        </is>
      </c>
      <c r="E460" t="n">
        <v>1</v>
      </c>
      <c r="F460" t="n">
        <v>0.76</v>
      </c>
      <c r="G460" t="b">
        <v>0</v>
      </c>
      <c r="H460">
        <f>Sensitivity!H27</f>
        <v/>
      </c>
    </row>
    <row r="461">
      <c r="A461" t="inlineStr">
        <is>
          <t>head</t>
        </is>
      </c>
      <c r="B461" t="inlineStr">
        <is>
          <t>legendary</t>
        </is>
      </c>
      <c r="C461" t="n">
        <v>3</v>
      </c>
      <c r="D461" t="inlineStr">
        <is>
          <t>Skill Cooldown Decrease (seconds)</t>
        </is>
      </c>
      <c r="E461" t="n">
        <v>1.5</v>
      </c>
      <c r="F461" t="n">
        <v>0.08</v>
      </c>
      <c r="G461" t="b">
        <v>1</v>
      </c>
      <c r="H461">
        <f>Sensitivity!H27</f>
        <v/>
      </c>
    </row>
    <row r="462">
      <c r="A462" t="inlineStr">
        <is>
          <t>head</t>
        </is>
      </c>
      <c r="B462" t="inlineStr">
        <is>
          <t>legendary</t>
        </is>
      </c>
      <c r="C462" t="n">
        <v>3</v>
      </c>
      <c r="D462" t="inlineStr">
        <is>
          <t>Skill Cooldown Decrease (seconds)</t>
        </is>
      </c>
      <c r="E462" t="n">
        <v>1</v>
      </c>
      <c r="F462" t="n">
        <v>0.92</v>
      </c>
      <c r="G462" t="b">
        <v>0</v>
      </c>
      <c r="H462">
        <f>Sensitivity!H27</f>
        <v/>
      </c>
    </row>
    <row r="463">
      <c r="A463" t="inlineStr">
        <is>
          <t>head</t>
        </is>
      </c>
      <c r="B463" t="inlineStr">
        <is>
          <t>mystic</t>
        </is>
      </c>
      <c r="C463" t="n">
        <v>1</v>
      </c>
      <c r="D463" t="inlineStr">
        <is>
          <t>Skill Cooldown Decrease (seconds)</t>
        </is>
      </c>
      <c r="E463" t="n">
        <v>2</v>
      </c>
      <c r="F463" t="n">
        <v>1</v>
      </c>
      <c r="G463" t="b">
        <v>1</v>
      </c>
      <c r="H463">
        <f>Sensitivity!H27</f>
        <v/>
      </c>
    </row>
    <row r="464">
      <c r="A464" t="inlineStr">
        <is>
          <t>head</t>
        </is>
      </c>
      <c r="B464" t="inlineStr">
        <is>
          <t>mystic</t>
        </is>
      </c>
      <c r="C464" t="n">
        <v>2</v>
      </c>
      <c r="D464" t="inlineStr">
        <is>
          <t>Skill Cooldown Decrease (seconds)</t>
        </is>
      </c>
      <c r="E464" t="n">
        <v>2</v>
      </c>
      <c r="F464" t="n">
        <v>0.24</v>
      </c>
      <c r="G464" t="b">
        <v>1</v>
      </c>
      <c r="H464">
        <f>Sensitivity!H27</f>
        <v/>
      </c>
    </row>
    <row r="465">
      <c r="A465" t="inlineStr">
        <is>
          <t>head</t>
        </is>
      </c>
      <c r="B465" t="inlineStr">
        <is>
          <t>mystic</t>
        </is>
      </c>
      <c r="C465" t="n">
        <v>2</v>
      </c>
      <c r="D465" t="inlineStr">
        <is>
          <t>Skill Cooldown Decrease (seconds)</t>
        </is>
      </c>
      <c r="E465" t="n">
        <v>1.5</v>
      </c>
      <c r="F465" t="n">
        <v>0.76</v>
      </c>
      <c r="G465" t="b">
        <v>0</v>
      </c>
      <c r="H465">
        <f>Sensitivity!H27</f>
        <v/>
      </c>
    </row>
    <row r="466">
      <c r="A466" t="inlineStr">
        <is>
          <t>head</t>
        </is>
      </c>
      <c r="B466" t="inlineStr">
        <is>
          <t>mystic</t>
        </is>
      </c>
      <c r="C466" t="n">
        <v>3</v>
      </c>
      <c r="D466" t="inlineStr">
        <is>
          <t>Skill Cooldown Decrease (seconds)</t>
        </is>
      </c>
      <c r="E466" t="n">
        <v>2</v>
      </c>
      <c r="F466" t="n">
        <v>0.08</v>
      </c>
      <c r="G466" t="b">
        <v>1</v>
      </c>
      <c r="H466">
        <f>Sensitivity!H27</f>
        <v/>
      </c>
    </row>
    <row r="467">
      <c r="A467" t="inlineStr">
        <is>
          <t>head</t>
        </is>
      </c>
      <c r="B467" t="inlineStr">
        <is>
          <t>mystic</t>
        </is>
      </c>
      <c r="C467" t="n">
        <v>3</v>
      </c>
      <c r="D467" t="inlineStr">
        <is>
          <t>Skill Cooldown Decrease (seconds)</t>
        </is>
      </c>
      <c r="E467" t="n">
        <v>1.5</v>
      </c>
      <c r="F467" t="n">
        <v>0.92</v>
      </c>
      <c r="G467" t="b">
        <v>0</v>
      </c>
      <c r="H467">
        <f>Sensitivity!H27</f>
        <v/>
      </c>
    </row>
    <row r="468">
      <c r="A468" t="inlineStr">
        <is>
          <t>cape</t>
        </is>
      </c>
      <c r="B468" t="inlineStr">
        <is>
          <t>epic</t>
        </is>
      </c>
      <c r="C468" t="n">
        <v>1</v>
      </c>
      <c r="D468" t="inlineStr">
        <is>
          <t>Final Damage %</t>
        </is>
      </c>
      <c r="E468" t="n">
        <v>3</v>
      </c>
      <c r="F468" t="n">
        <v>1</v>
      </c>
      <c r="G468" t="b">
        <v>1</v>
      </c>
      <c r="H468">
        <f>Sensitivity!H11</f>
        <v/>
      </c>
    </row>
    <row r="469">
      <c r="A469" t="inlineStr">
        <is>
          <t>cape</t>
        </is>
      </c>
      <c r="B469" t="inlineStr">
        <is>
          <t>epic</t>
        </is>
      </c>
      <c r="C469" t="n">
        <v>2</v>
      </c>
      <c r="D469" t="inlineStr">
        <is>
          <t>Final Damage %</t>
        </is>
      </c>
      <c r="E469" t="n">
        <v>3</v>
      </c>
      <c r="F469" t="n">
        <v>0.24</v>
      </c>
      <c r="G469" t="b">
        <v>1</v>
      </c>
      <c r="H469">
        <f>Sensitivity!H11</f>
        <v/>
      </c>
    </row>
    <row r="470">
      <c r="A470" t="inlineStr">
        <is>
          <t>cape</t>
        </is>
      </c>
      <c r="B470" t="inlineStr">
        <is>
          <t>epic</t>
        </is>
      </c>
      <c r="C470" t="n">
        <v>3</v>
      </c>
      <c r="D470" t="inlineStr">
        <is>
          <t>Final Damage %</t>
        </is>
      </c>
      <c r="E470" t="n">
        <v>3</v>
      </c>
      <c r="F470" t="n">
        <v>0.08</v>
      </c>
      <c r="G470" t="b">
        <v>1</v>
      </c>
      <c r="H470">
        <f>Sensitivity!H11</f>
        <v/>
      </c>
    </row>
    <row r="471">
      <c r="A471" t="inlineStr">
        <is>
          <t>cape</t>
        </is>
      </c>
      <c r="B471" t="inlineStr">
        <is>
          <t>unique</t>
        </is>
      </c>
      <c r="C471" t="n">
        <v>1</v>
      </c>
      <c r="D471" t="inlineStr">
        <is>
          <t>Final Damage %</t>
        </is>
      </c>
      <c r="E471" t="n">
        <v>5</v>
      </c>
      <c r="F471" t="n">
        <v>1</v>
      </c>
      <c r="G471" t="b">
        <v>1</v>
      </c>
      <c r="H471">
        <f>Sensitivity!H11</f>
        <v/>
      </c>
    </row>
    <row r="472">
      <c r="A472" t="inlineStr">
        <is>
          <t>cape</t>
        </is>
      </c>
      <c r="B472" t="inlineStr">
        <is>
          <t>unique</t>
        </is>
      </c>
      <c r="C472" t="n">
        <v>2</v>
      </c>
      <c r="D472" t="inlineStr">
        <is>
          <t>Final Damage %</t>
        </is>
      </c>
      <c r="E472" t="n">
        <v>5</v>
      </c>
      <c r="F472" t="n">
        <v>0.24</v>
      </c>
      <c r="G472" t="b">
        <v>1</v>
      </c>
      <c r="H472">
        <f>Sensitivity!H11</f>
        <v/>
      </c>
    </row>
    <row r="473">
      <c r="A473" t="inlineStr">
        <is>
          <t>cape</t>
        </is>
      </c>
      <c r="B473" t="inlineStr">
        <is>
          <t>unique</t>
        </is>
      </c>
      <c r="C473" t="n">
        <v>2</v>
      </c>
      <c r="D473" t="inlineStr">
        <is>
          <t>Final Damage %</t>
        </is>
      </c>
      <c r="E473" t="n">
        <v>3</v>
      </c>
      <c r="F473" t="n">
        <v>0.76</v>
      </c>
      <c r="G473" t="b">
        <v>0</v>
      </c>
      <c r="H473">
        <f>Sensitivity!H11</f>
        <v/>
      </c>
    </row>
    <row r="474">
      <c r="A474" t="inlineStr">
        <is>
          <t>cape</t>
        </is>
      </c>
      <c r="B474" t="inlineStr">
        <is>
          <t>unique</t>
        </is>
      </c>
      <c r="C474" t="n">
        <v>3</v>
      </c>
      <c r="D474" t="inlineStr">
        <is>
          <t>Final Damage %</t>
        </is>
      </c>
      <c r="E474" t="n">
        <v>5</v>
      </c>
      <c r="F474" t="n">
        <v>0.08</v>
      </c>
      <c r="G474" t="b">
        <v>1</v>
      </c>
      <c r="H474">
        <f>Sensitivity!H11</f>
        <v/>
      </c>
    </row>
    <row r="475">
      <c r="A475" t="inlineStr">
        <is>
          <t>cape</t>
        </is>
      </c>
      <c r="B475" t="inlineStr">
        <is>
          <t>unique</t>
        </is>
      </c>
      <c r="C475" t="n">
        <v>3</v>
      </c>
      <c r="D475" t="inlineStr">
        <is>
          <t>Final Damage %</t>
        </is>
      </c>
      <c r="E475" t="n">
        <v>3</v>
      </c>
      <c r="F475" t="n">
        <v>0.92</v>
      </c>
      <c r="G475" t="b">
        <v>0</v>
      </c>
      <c r="H475">
        <f>Sensitivity!H11</f>
        <v/>
      </c>
    </row>
    <row r="476">
      <c r="A476" t="inlineStr">
        <is>
          <t>cape</t>
        </is>
      </c>
      <c r="B476" t="inlineStr">
        <is>
          <t>legendary</t>
        </is>
      </c>
      <c r="C476" t="n">
        <v>1</v>
      </c>
      <c r="D476" t="inlineStr">
        <is>
          <t>Final Damage %</t>
        </is>
      </c>
      <c r="E476" t="n">
        <v>8</v>
      </c>
      <c r="F476" t="n">
        <v>1</v>
      </c>
      <c r="G476" t="b">
        <v>1</v>
      </c>
      <c r="H476">
        <f>Sensitivity!H11</f>
        <v/>
      </c>
    </row>
    <row r="477">
      <c r="A477" t="inlineStr">
        <is>
          <t>cape</t>
        </is>
      </c>
      <c r="B477" t="inlineStr">
        <is>
          <t>legendary</t>
        </is>
      </c>
      <c r="C477" t="n">
        <v>2</v>
      </c>
      <c r="D477" t="inlineStr">
        <is>
          <t>Final Damage %</t>
        </is>
      </c>
      <c r="E477" t="n">
        <v>8</v>
      </c>
      <c r="F477" t="n">
        <v>0.24</v>
      </c>
      <c r="G477" t="b">
        <v>1</v>
      </c>
      <c r="H477">
        <f>Sensitivity!H11</f>
        <v/>
      </c>
    </row>
    <row r="478">
      <c r="A478" t="inlineStr">
        <is>
          <t>cape</t>
        </is>
      </c>
      <c r="B478" t="inlineStr">
        <is>
          <t>legendary</t>
        </is>
      </c>
      <c r="C478" t="n">
        <v>2</v>
      </c>
      <c r="D478" t="inlineStr">
        <is>
          <t>Final Damage %</t>
        </is>
      </c>
      <c r="E478" t="n">
        <v>5</v>
      </c>
      <c r="F478" t="n">
        <v>0.76</v>
      </c>
      <c r="G478" t="b">
        <v>0</v>
      </c>
      <c r="H478">
        <f>Sensitivity!H11</f>
        <v/>
      </c>
    </row>
    <row r="479">
      <c r="A479" t="inlineStr">
        <is>
          <t>cape</t>
        </is>
      </c>
      <c r="B479" t="inlineStr">
        <is>
          <t>legendary</t>
        </is>
      </c>
      <c r="C479" t="n">
        <v>3</v>
      </c>
      <c r="D479" t="inlineStr">
        <is>
          <t>Final Damage %</t>
        </is>
      </c>
      <c r="E479" t="n">
        <v>8</v>
      </c>
      <c r="F479" t="n">
        <v>0.08</v>
      </c>
      <c r="G479" t="b">
        <v>1</v>
      </c>
      <c r="H479">
        <f>Sensitivity!H11</f>
        <v/>
      </c>
    </row>
    <row r="480">
      <c r="A480" t="inlineStr">
        <is>
          <t>cape</t>
        </is>
      </c>
      <c r="B480" t="inlineStr">
        <is>
          <t>legendary</t>
        </is>
      </c>
      <c r="C480" t="n">
        <v>3</v>
      </c>
      <c r="D480" t="inlineStr">
        <is>
          <t>Final Damage %</t>
        </is>
      </c>
      <c r="E480" t="n">
        <v>5</v>
      </c>
      <c r="F480" t="n">
        <v>0.92</v>
      </c>
      <c r="G480" t="b">
        <v>0</v>
      </c>
      <c r="H480">
        <f>Sensitivity!H11</f>
        <v/>
      </c>
    </row>
    <row r="481">
      <c r="A481" t="inlineStr">
        <is>
          <t>cape</t>
        </is>
      </c>
      <c r="B481" t="inlineStr">
        <is>
          <t>mystic</t>
        </is>
      </c>
      <c r="C481" t="n">
        <v>1</v>
      </c>
      <c r="D481" t="inlineStr">
        <is>
          <t>Final Damage %</t>
        </is>
      </c>
      <c r="E481" t="n">
        <v>12</v>
      </c>
      <c r="F481" t="n">
        <v>1</v>
      </c>
      <c r="G481" t="b">
        <v>1</v>
      </c>
      <c r="H481">
        <f>Sensitivity!H11</f>
        <v/>
      </c>
    </row>
    <row r="482">
      <c r="A482" t="inlineStr">
        <is>
          <t>cape</t>
        </is>
      </c>
      <c r="B482" t="inlineStr">
        <is>
          <t>mystic</t>
        </is>
      </c>
      <c r="C482" t="n">
        <v>2</v>
      </c>
      <c r="D482" t="inlineStr">
        <is>
          <t>Final Damage %</t>
        </is>
      </c>
      <c r="E482" t="n">
        <v>12</v>
      </c>
      <c r="F482" t="n">
        <v>0.24</v>
      </c>
      <c r="G482" t="b">
        <v>1</v>
      </c>
      <c r="H482">
        <f>Sensitivity!H11</f>
        <v/>
      </c>
    </row>
    <row r="483">
      <c r="A483" t="inlineStr">
        <is>
          <t>cape</t>
        </is>
      </c>
      <c r="B483" t="inlineStr">
        <is>
          <t>mystic</t>
        </is>
      </c>
      <c r="C483" t="n">
        <v>2</v>
      </c>
      <c r="D483" t="inlineStr">
        <is>
          <t>Final Damage %</t>
        </is>
      </c>
      <c r="E483" t="n">
        <v>8</v>
      </c>
      <c r="F483" t="n">
        <v>0.76</v>
      </c>
      <c r="G483" t="b">
        <v>0</v>
      </c>
      <c r="H483">
        <f>Sensitivity!H11</f>
        <v/>
      </c>
    </row>
    <row r="484">
      <c r="A484" t="inlineStr">
        <is>
          <t>cape</t>
        </is>
      </c>
      <c r="B484" t="inlineStr">
        <is>
          <t>mystic</t>
        </is>
      </c>
      <c r="C484" t="n">
        <v>3</v>
      </c>
      <c r="D484" t="inlineStr">
        <is>
          <t>Final Damage %</t>
        </is>
      </c>
      <c r="E484" t="n">
        <v>12</v>
      </c>
      <c r="F484" t="n">
        <v>0.08</v>
      </c>
      <c r="G484" t="b">
        <v>1</v>
      </c>
      <c r="H484">
        <f>Sensitivity!H11</f>
        <v/>
      </c>
    </row>
    <row r="485">
      <c r="A485" t="inlineStr">
        <is>
          <t>cape</t>
        </is>
      </c>
      <c r="B485" t="inlineStr">
        <is>
          <t>mystic</t>
        </is>
      </c>
      <c r="C485" t="n">
        <v>3</v>
      </c>
      <c r="D485" t="inlineStr">
        <is>
          <t>Final Damage %</t>
        </is>
      </c>
      <c r="E485" t="n">
        <v>8</v>
      </c>
      <c r="F485" t="n">
        <v>0.92</v>
      </c>
      <c r="G485" t="b">
        <v>0</v>
      </c>
      <c r="H485">
        <f>Sensitivity!H11</f>
        <v/>
      </c>
    </row>
    <row r="486">
      <c r="A486" t="inlineStr">
        <is>
          <t>chest</t>
        </is>
      </c>
      <c r="B486" t="inlineStr">
        <is>
          <t>unique</t>
        </is>
      </c>
      <c r="C486" t="n">
        <v>1</v>
      </c>
      <c r="D486" t="inlineStr">
        <is>
          <t>Basic Attack Target Increase</t>
        </is>
      </c>
      <c r="E486" t="n">
        <v>1</v>
      </c>
      <c r="F486" t="n">
        <v>1</v>
      </c>
      <c r="G486" t="b">
        <v>1</v>
      </c>
      <c r="H486">
        <f>Sensitivity!H28</f>
        <v/>
      </c>
    </row>
    <row r="487">
      <c r="A487" t="inlineStr">
        <is>
          <t>chest</t>
        </is>
      </c>
      <c r="B487" t="inlineStr">
        <is>
          <t>unique</t>
        </is>
      </c>
      <c r="C487" t="n">
        <v>2</v>
      </c>
      <c r="D487" t="inlineStr">
        <is>
          <t>Basic Attack Target Increase</t>
        </is>
      </c>
      <c r="E487" t="n">
        <v>1</v>
      </c>
      <c r="F487" t="n">
        <v>0.24</v>
      </c>
      <c r="G487" t="b">
        <v>1</v>
      </c>
      <c r="H487">
        <f>Sensitivity!H28</f>
        <v/>
      </c>
    </row>
    <row r="488">
      <c r="A488" t="inlineStr">
        <is>
          <t>chest</t>
        </is>
      </c>
      <c r="B488" t="inlineStr">
        <is>
          <t>unique</t>
        </is>
      </c>
      <c r="C488" t="n">
        <v>3</v>
      </c>
      <c r="D488" t="inlineStr">
        <is>
          <t>Basic Attack Target Increase</t>
        </is>
      </c>
      <c r="E488" t="n">
        <v>1</v>
      </c>
      <c r="F488" t="n">
        <v>0.08</v>
      </c>
      <c r="G488" t="b">
        <v>1</v>
      </c>
      <c r="H488">
        <f>Sensitivity!H28</f>
        <v/>
      </c>
    </row>
    <row r="489">
      <c r="A489" t="inlineStr">
        <is>
          <t>chest</t>
        </is>
      </c>
      <c r="B489" t="inlineStr">
        <is>
          <t>legendary</t>
        </is>
      </c>
      <c r="C489" t="n">
        <v>1</v>
      </c>
      <c r="D489" t="inlineStr">
        <is>
          <t>Basic Attack Target Increase</t>
        </is>
      </c>
      <c r="E489" t="n">
        <v>2</v>
      </c>
      <c r="F489" t="n">
        <v>1</v>
      </c>
      <c r="G489" t="b">
        <v>1</v>
      </c>
      <c r="H489">
        <f>Sensitivity!H28</f>
        <v/>
      </c>
    </row>
    <row r="490">
      <c r="A490" t="inlineStr">
        <is>
          <t>chest</t>
        </is>
      </c>
      <c r="B490" t="inlineStr">
        <is>
          <t>legendary</t>
        </is>
      </c>
      <c r="C490" t="n">
        <v>2</v>
      </c>
      <c r="D490" t="inlineStr">
        <is>
          <t>Basic Attack Target Increase</t>
        </is>
      </c>
      <c r="E490" t="n">
        <v>2</v>
      </c>
      <c r="F490" t="n">
        <v>0.24</v>
      </c>
      <c r="G490" t="b">
        <v>1</v>
      </c>
      <c r="H490">
        <f>Sensitivity!H28</f>
        <v/>
      </c>
    </row>
    <row r="491">
      <c r="A491" t="inlineStr">
        <is>
          <t>chest</t>
        </is>
      </c>
      <c r="B491" t="inlineStr">
        <is>
          <t>legendary</t>
        </is>
      </c>
      <c r="C491" t="n">
        <v>2</v>
      </c>
      <c r="D491" t="inlineStr">
        <is>
          <t>Basic Attack Target Increase</t>
        </is>
      </c>
      <c r="E491" t="n">
        <v>1</v>
      </c>
      <c r="F491" t="n">
        <v>0.76</v>
      </c>
      <c r="G491" t="b">
        <v>0</v>
      </c>
      <c r="H491">
        <f>Sensitivity!H28</f>
        <v/>
      </c>
    </row>
    <row r="492">
      <c r="A492" t="inlineStr">
        <is>
          <t>chest</t>
        </is>
      </c>
      <c r="B492" t="inlineStr">
        <is>
          <t>legendary</t>
        </is>
      </c>
      <c r="C492" t="n">
        <v>3</v>
      </c>
      <c r="D492" t="inlineStr">
        <is>
          <t>Basic Attack Target Increase</t>
        </is>
      </c>
      <c r="E492" t="n">
        <v>2</v>
      </c>
      <c r="F492" t="n">
        <v>0.08</v>
      </c>
      <c r="G492" t="b">
        <v>1</v>
      </c>
      <c r="H492">
        <f>Sensitivity!H28</f>
        <v/>
      </c>
    </row>
    <row r="493">
      <c r="A493" t="inlineStr">
        <is>
          <t>chest</t>
        </is>
      </c>
      <c r="B493" t="inlineStr">
        <is>
          <t>legendary</t>
        </is>
      </c>
      <c r="C493" t="n">
        <v>3</v>
      </c>
      <c r="D493" t="inlineStr">
        <is>
          <t>Basic Attack Target Increase</t>
        </is>
      </c>
      <c r="E493" t="n">
        <v>1</v>
      </c>
      <c r="F493" t="n">
        <v>0.92</v>
      </c>
      <c r="G493" t="b">
        <v>0</v>
      </c>
      <c r="H493">
        <f>Sensitivity!H28</f>
        <v/>
      </c>
    </row>
    <row r="494">
      <c r="A494" t="inlineStr">
        <is>
          <t>chest</t>
        </is>
      </c>
      <c r="B494" t="inlineStr">
        <is>
          <t>mystic</t>
        </is>
      </c>
      <c r="C494" t="n">
        <v>1</v>
      </c>
      <c r="D494" t="inlineStr">
        <is>
          <t>Basic Attack Target Increase</t>
        </is>
      </c>
      <c r="E494" t="n">
        <v>3</v>
      </c>
      <c r="F494" t="n">
        <v>1</v>
      </c>
      <c r="G494" t="b">
        <v>1</v>
      </c>
      <c r="H494">
        <f>Sensitivity!H28</f>
        <v/>
      </c>
    </row>
    <row r="495">
      <c r="A495" t="inlineStr">
        <is>
          <t>chest</t>
        </is>
      </c>
      <c r="B495" t="inlineStr">
        <is>
          <t>mystic</t>
        </is>
      </c>
      <c r="C495" t="n">
        <v>2</v>
      </c>
      <c r="D495" t="inlineStr">
        <is>
          <t>Basic Attack Target Increase</t>
        </is>
      </c>
      <c r="E495" t="n">
        <v>3</v>
      </c>
      <c r="F495" t="n">
        <v>0.24</v>
      </c>
      <c r="G495" t="b">
        <v>1</v>
      </c>
      <c r="H495">
        <f>Sensitivity!H28</f>
        <v/>
      </c>
    </row>
    <row r="496">
      <c r="A496" t="inlineStr">
        <is>
          <t>chest</t>
        </is>
      </c>
      <c r="B496" t="inlineStr">
        <is>
          <t>mystic</t>
        </is>
      </c>
      <c r="C496" t="n">
        <v>2</v>
      </c>
      <c r="D496" t="inlineStr">
        <is>
          <t>Basic Attack Target Increase</t>
        </is>
      </c>
      <c r="E496" t="n">
        <v>2</v>
      </c>
      <c r="F496" t="n">
        <v>0.76</v>
      </c>
      <c r="G496" t="b">
        <v>0</v>
      </c>
      <c r="H496">
        <f>Sensitivity!H28</f>
        <v/>
      </c>
    </row>
    <row r="497">
      <c r="A497" t="inlineStr">
        <is>
          <t>chest</t>
        </is>
      </c>
      <c r="B497" t="inlineStr">
        <is>
          <t>mystic</t>
        </is>
      </c>
      <c r="C497" t="n">
        <v>3</v>
      </c>
      <c r="D497" t="inlineStr">
        <is>
          <t>Basic Attack Target Increase</t>
        </is>
      </c>
      <c r="E497" t="n">
        <v>3</v>
      </c>
      <c r="F497" t="n">
        <v>0.08</v>
      </c>
      <c r="G497" t="b">
        <v>1</v>
      </c>
      <c r="H497">
        <f>Sensitivity!H28</f>
        <v/>
      </c>
    </row>
    <row r="498">
      <c r="A498" t="inlineStr">
        <is>
          <t>chest</t>
        </is>
      </c>
      <c r="B498" t="inlineStr">
        <is>
          <t>mystic</t>
        </is>
      </c>
      <c r="C498" t="n">
        <v>3</v>
      </c>
      <c r="D498" t="inlineStr">
        <is>
          <t>Basic Attack Target Increase</t>
        </is>
      </c>
      <c r="E498" t="n">
        <v>2</v>
      </c>
      <c r="F498" t="n">
        <v>0.92</v>
      </c>
      <c r="G498" t="b">
        <v>0</v>
      </c>
      <c r="H498">
        <f>Sensitivity!H28</f>
        <v/>
      </c>
    </row>
    <row r="499">
      <c r="A499" t="inlineStr">
        <is>
          <t>shoulders</t>
        </is>
      </c>
      <c r="B499" t="inlineStr">
        <is>
          <t>unique</t>
        </is>
      </c>
      <c r="C499" t="n">
        <v>1</v>
      </c>
      <c r="D499" t="inlineStr">
        <is>
          <t>Defense Penetration</t>
        </is>
      </c>
      <c r="E499" t="n">
        <v>8</v>
      </c>
      <c r="F499" t="n">
        <v>1</v>
      </c>
      <c r="G499" t="b">
        <v>1</v>
      </c>
      <c r="H499">
        <f>Sensitivity!H17</f>
        <v/>
      </c>
    </row>
    <row r="500">
      <c r="A500" t="inlineStr">
        <is>
          <t>shoulders</t>
        </is>
      </c>
      <c r="B500" t="inlineStr">
        <is>
          <t>unique</t>
        </is>
      </c>
      <c r="C500" t="n">
        <v>2</v>
      </c>
      <c r="D500" t="inlineStr">
        <is>
          <t>Defense Penetration</t>
        </is>
      </c>
      <c r="E500" t="n">
        <v>8</v>
      </c>
      <c r="F500" t="n">
        <v>0.24</v>
      </c>
      <c r="G500" t="b">
        <v>1</v>
      </c>
      <c r="H500">
        <f>Sensitivity!H17</f>
        <v/>
      </c>
    </row>
    <row r="501">
      <c r="A501" t="inlineStr">
        <is>
          <t>shoulders</t>
        </is>
      </c>
      <c r="B501" t="inlineStr">
        <is>
          <t>unique</t>
        </is>
      </c>
      <c r="C501" t="n">
        <v>3</v>
      </c>
      <c r="D501" t="inlineStr">
        <is>
          <t>Defense Penetration</t>
        </is>
      </c>
      <c r="E501" t="n">
        <v>8</v>
      </c>
      <c r="F501" t="n">
        <v>0.08</v>
      </c>
      <c r="G501" t="b">
        <v>1</v>
      </c>
      <c r="H501">
        <f>Sensitivity!H17</f>
        <v/>
      </c>
    </row>
    <row r="502">
      <c r="A502" t="inlineStr">
        <is>
          <t>shoulders</t>
        </is>
      </c>
      <c r="B502" t="inlineStr">
        <is>
          <t>legendary</t>
        </is>
      </c>
      <c r="C502" t="n">
        <v>1</v>
      </c>
      <c r="D502" t="inlineStr">
        <is>
          <t>Defense Penetration</t>
        </is>
      </c>
      <c r="E502" t="n">
        <v>12</v>
      </c>
      <c r="F502" t="n">
        <v>1</v>
      </c>
      <c r="G502" t="b">
        <v>1</v>
      </c>
      <c r="H502">
        <f>Sensitivity!H17</f>
        <v/>
      </c>
    </row>
    <row r="503">
      <c r="A503" t="inlineStr">
        <is>
          <t>shoulders</t>
        </is>
      </c>
      <c r="B503" t="inlineStr">
        <is>
          <t>legendary</t>
        </is>
      </c>
      <c r="C503" t="n">
        <v>2</v>
      </c>
      <c r="D503" t="inlineStr">
        <is>
          <t>Defense Penetration</t>
        </is>
      </c>
      <c r="E503" t="n">
        <v>12</v>
      </c>
      <c r="F503" t="n">
        <v>0.24</v>
      </c>
      <c r="G503" t="b">
        <v>1</v>
      </c>
      <c r="H503">
        <f>Sensitivity!H17</f>
        <v/>
      </c>
    </row>
    <row r="504">
      <c r="A504" t="inlineStr">
        <is>
          <t>shoulders</t>
        </is>
      </c>
      <c r="B504" t="inlineStr">
        <is>
          <t>legendary</t>
        </is>
      </c>
      <c r="C504" t="n">
        <v>2</v>
      </c>
      <c r="D504" t="inlineStr">
        <is>
          <t>Defense Penetration</t>
        </is>
      </c>
      <c r="E504" t="n">
        <v>8</v>
      </c>
      <c r="F504" t="n">
        <v>0.76</v>
      </c>
      <c r="G504" t="b">
        <v>0</v>
      </c>
      <c r="H504">
        <f>Sensitivity!H17</f>
        <v/>
      </c>
    </row>
    <row r="505">
      <c r="A505" t="inlineStr">
        <is>
          <t>shoulders</t>
        </is>
      </c>
      <c r="B505" t="inlineStr">
        <is>
          <t>legendary</t>
        </is>
      </c>
      <c r="C505" t="n">
        <v>3</v>
      </c>
      <c r="D505" t="inlineStr">
        <is>
          <t>Defense Penetration</t>
        </is>
      </c>
      <c r="E505" t="n">
        <v>12</v>
      </c>
      <c r="F505" t="n">
        <v>0.08</v>
      </c>
      <c r="G505" t="b">
        <v>1</v>
      </c>
      <c r="H505">
        <f>Sensitivity!H17</f>
        <v/>
      </c>
    </row>
    <row r="506">
      <c r="A506" t="inlineStr">
        <is>
          <t>shoulders</t>
        </is>
      </c>
      <c r="B506" t="inlineStr">
        <is>
          <t>legendary</t>
        </is>
      </c>
      <c r="C506" t="n">
        <v>3</v>
      </c>
      <c r="D506" t="inlineStr">
        <is>
          <t>Defense Penetration</t>
        </is>
      </c>
      <c r="E506" t="n">
        <v>8</v>
      </c>
      <c r="F506" t="n">
        <v>0.92</v>
      </c>
      <c r="G506" t="b">
        <v>0</v>
      </c>
      <c r="H506">
        <f>Sensitivity!H17</f>
        <v/>
      </c>
    </row>
    <row r="507">
      <c r="A507" t="inlineStr">
        <is>
          <t>shoulders</t>
        </is>
      </c>
      <c r="B507" t="inlineStr">
        <is>
          <t>mystic</t>
        </is>
      </c>
      <c r="C507" t="n">
        <v>1</v>
      </c>
      <c r="D507" t="inlineStr">
        <is>
          <t>Defense Penetration</t>
        </is>
      </c>
      <c r="E507" t="n">
        <v>20</v>
      </c>
      <c r="F507" t="n">
        <v>1</v>
      </c>
      <c r="G507" t="b">
        <v>1</v>
      </c>
      <c r="H507">
        <f>Sensitivity!H17</f>
        <v/>
      </c>
    </row>
    <row r="508">
      <c r="A508" t="inlineStr">
        <is>
          <t>shoulders</t>
        </is>
      </c>
      <c r="B508" t="inlineStr">
        <is>
          <t>mystic</t>
        </is>
      </c>
      <c r="C508" t="n">
        <v>2</v>
      </c>
      <c r="D508" t="inlineStr">
        <is>
          <t>Defense Penetration</t>
        </is>
      </c>
      <c r="E508" t="n">
        <v>20</v>
      </c>
      <c r="F508" t="n">
        <v>0.24</v>
      </c>
      <c r="G508" t="b">
        <v>1</v>
      </c>
      <c r="H508">
        <f>Sensitivity!H17</f>
        <v/>
      </c>
    </row>
    <row r="509">
      <c r="A509" t="inlineStr">
        <is>
          <t>shoulders</t>
        </is>
      </c>
      <c r="B509" t="inlineStr">
        <is>
          <t>mystic</t>
        </is>
      </c>
      <c r="C509" t="n">
        <v>2</v>
      </c>
      <c r="D509" t="inlineStr">
        <is>
          <t>Defense Penetration</t>
        </is>
      </c>
      <c r="E509" t="n">
        <v>12</v>
      </c>
      <c r="F509" t="n">
        <v>0.76</v>
      </c>
      <c r="G509" t="b">
        <v>0</v>
      </c>
      <c r="H509">
        <f>Sensitivity!H17</f>
        <v/>
      </c>
    </row>
    <row r="510">
      <c r="A510" t="inlineStr">
        <is>
          <t>shoulders</t>
        </is>
      </c>
      <c r="B510" t="inlineStr">
        <is>
          <t>mystic</t>
        </is>
      </c>
      <c r="C510" t="n">
        <v>3</v>
      </c>
      <c r="D510" t="inlineStr">
        <is>
          <t>Defense Penetration</t>
        </is>
      </c>
      <c r="E510" t="n">
        <v>20</v>
      </c>
      <c r="F510" t="n">
        <v>0.08</v>
      </c>
      <c r="G510" t="b">
        <v>1</v>
      </c>
      <c r="H510">
        <f>Sensitivity!H17</f>
        <v/>
      </c>
    </row>
    <row r="511">
      <c r="A511" t="inlineStr">
        <is>
          <t>shoulders</t>
        </is>
      </c>
      <c r="B511" t="inlineStr">
        <is>
          <t>mystic</t>
        </is>
      </c>
      <c r="C511" t="n">
        <v>3</v>
      </c>
      <c r="D511" t="inlineStr">
        <is>
          <t>Defense Penetration</t>
        </is>
      </c>
      <c r="E511" t="n">
        <v>12</v>
      </c>
      <c r="F511" t="n">
        <v>0.92</v>
      </c>
      <c r="G511" t="b">
        <v>0</v>
      </c>
      <c r="H511">
        <f>Sensitivity!H17</f>
        <v/>
      </c>
    </row>
    <row r="512">
      <c r="A512" t="inlineStr">
        <is>
          <t>legs</t>
        </is>
      </c>
      <c r="B512" t="inlineStr">
        <is>
          <t>epic</t>
        </is>
      </c>
      <c r="C512" t="n">
        <v>1</v>
      </c>
      <c r="D512" t="inlineStr">
        <is>
          <t>Final Damage %</t>
        </is>
      </c>
      <c r="E512" t="n">
        <v>3</v>
      </c>
      <c r="F512" t="n">
        <v>1</v>
      </c>
      <c r="G512" t="b">
        <v>1</v>
      </c>
      <c r="H512">
        <f>Sensitivity!H11</f>
        <v/>
      </c>
    </row>
    <row r="513">
      <c r="A513" t="inlineStr">
        <is>
          <t>legs</t>
        </is>
      </c>
      <c r="B513" t="inlineStr">
        <is>
          <t>epic</t>
        </is>
      </c>
      <c r="C513" t="n">
        <v>2</v>
      </c>
      <c r="D513" t="inlineStr">
        <is>
          <t>Final Damage %</t>
        </is>
      </c>
      <c r="E513" t="n">
        <v>3</v>
      </c>
      <c r="F513" t="n">
        <v>0.24</v>
      </c>
      <c r="G513" t="b">
        <v>1</v>
      </c>
      <c r="H513">
        <f>Sensitivity!H11</f>
        <v/>
      </c>
    </row>
    <row r="514">
      <c r="A514" t="inlineStr">
        <is>
          <t>legs</t>
        </is>
      </c>
      <c r="B514" t="inlineStr">
        <is>
          <t>epic</t>
        </is>
      </c>
      <c r="C514" t="n">
        <v>3</v>
      </c>
      <c r="D514" t="inlineStr">
        <is>
          <t>Final Damage %</t>
        </is>
      </c>
      <c r="E514" t="n">
        <v>3</v>
      </c>
      <c r="F514" t="n">
        <v>0.08</v>
      </c>
      <c r="G514" t="b">
        <v>1</v>
      </c>
      <c r="H514">
        <f>Sensitivity!H11</f>
        <v/>
      </c>
    </row>
    <row r="515">
      <c r="A515" t="inlineStr">
        <is>
          <t>legs</t>
        </is>
      </c>
      <c r="B515" t="inlineStr">
        <is>
          <t>unique</t>
        </is>
      </c>
      <c r="C515" t="n">
        <v>1</v>
      </c>
      <c r="D515" t="inlineStr">
        <is>
          <t>Final Damage %</t>
        </is>
      </c>
      <c r="E515" t="n">
        <v>5</v>
      </c>
      <c r="F515" t="n">
        <v>1</v>
      </c>
      <c r="G515" t="b">
        <v>1</v>
      </c>
      <c r="H515">
        <f>Sensitivity!H11</f>
        <v/>
      </c>
    </row>
    <row r="516">
      <c r="A516" t="inlineStr">
        <is>
          <t>legs</t>
        </is>
      </c>
      <c r="B516" t="inlineStr">
        <is>
          <t>unique</t>
        </is>
      </c>
      <c r="C516" t="n">
        <v>2</v>
      </c>
      <c r="D516" t="inlineStr">
        <is>
          <t>Final Damage %</t>
        </is>
      </c>
      <c r="E516" t="n">
        <v>5</v>
      </c>
      <c r="F516" t="n">
        <v>0.24</v>
      </c>
      <c r="G516" t="b">
        <v>1</v>
      </c>
      <c r="H516">
        <f>Sensitivity!H11</f>
        <v/>
      </c>
    </row>
    <row r="517">
      <c r="A517" t="inlineStr">
        <is>
          <t>legs</t>
        </is>
      </c>
      <c r="B517" t="inlineStr">
        <is>
          <t>unique</t>
        </is>
      </c>
      <c r="C517" t="n">
        <v>2</v>
      </c>
      <c r="D517" t="inlineStr">
        <is>
          <t>Final Damage %</t>
        </is>
      </c>
      <c r="E517" t="n">
        <v>3</v>
      </c>
      <c r="F517" t="n">
        <v>0.76</v>
      </c>
      <c r="G517" t="b">
        <v>0</v>
      </c>
      <c r="H517">
        <f>Sensitivity!H11</f>
        <v/>
      </c>
    </row>
    <row r="518">
      <c r="A518" t="inlineStr">
        <is>
          <t>legs</t>
        </is>
      </c>
      <c r="B518" t="inlineStr">
        <is>
          <t>unique</t>
        </is>
      </c>
      <c r="C518" t="n">
        <v>3</v>
      </c>
      <c r="D518" t="inlineStr">
        <is>
          <t>Final Damage %</t>
        </is>
      </c>
      <c r="E518" t="n">
        <v>5</v>
      </c>
      <c r="F518" t="n">
        <v>0.08</v>
      </c>
      <c r="G518" t="b">
        <v>1</v>
      </c>
      <c r="H518">
        <f>Sensitivity!H11</f>
        <v/>
      </c>
    </row>
    <row r="519">
      <c r="A519" t="inlineStr">
        <is>
          <t>legs</t>
        </is>
      </c>
      <c r="B519" t="inlineStr">
        <is>
          <t>unique</t>
        </is>
      </c>
      <c r="C519" t="n">
        <v>3</v>
      </c>
      <c r="D519" t="inlineStr">
        <is>
          <t>Final Damage %</t>
        </is>
      </c>
      <c r="E519" t="n">
        <v>3</v>
      </c>
      <c r="F519" t="n">
        <v>0.92</v>
      </c>
      <c r="G519" t="b">
        <v>0</v>
      </c>
      <c r="H519">
        <f>Sensitivity!H11</f>
        <v/>
      </c>
    </row>
    <row r="520">
      <c r="A520" t="inlineStr">
        <is>
          <t>legs</t>
        </is>
      </c>
      <c r="B520" t="inlineStr">
        <is>
          <t>legendary</t>
        </is>
      </c>
      <c r="C520" t="n">
        <v>1</v>
      </c>
      <c r="D520" t="inlineStr">
        <is>
          <t>Final Damage %</t>
        </is>
      </c>
      <c r="E520" t="n">
        <v>8</v>
      </c>
      <c r="F520" t="n">
        <v>1</v>
      </c>
      <c r="G520" t="b">
        <v>1</v>
      </c>
      <c r="H520">
        <f>Sensitivity!H11</f>
        <v/>
      </c>
    </row>
    <row r="521">
      <c r="A521" t="inlineStr">
        <is>
          <t>legs</t>
        </is>
      </c>
      <c r="B521" t="inlineStr">
        <is>
          <t>legendary</t>
        </is>
      </c>
      <c r="C521" t="n">
        <v>2</v>
      </c>
      <c r="D521" t="inlineStr">
        <is>
          <t>Final Damage %</t>
        </is>
      </c>
      <c r="E521" t="n">
        <v>8</v>
      </c>
      <c r="F521" t="n">
        <v>0.24</v>
      </c>
      <c r="G521" t="b">
        <v>1</v>
      </c>
      <c r="H521">
        <f>Sensitivity!H11</f>
        <v/>
      </c>
    </row>
    <row r="522">
      <c r="A522" t="inlineStr">
        <is>
          <t>legs</t>
        </is>
      </c>
      <c r="B522" t="inlineStr">
        <is>
          <t>legendary</t>
        </is>
      </c>
      <c r="C522" t="n">
        <v>2</v>
      </c>
      <c r="D522" t="inlineStr">
        <is>
          <t>Final Damage %</t>
        </is>
      </c>
      <c r="E522" t="n">
        <v>5</v>
      </c>
      <c r="F522" t="n">
        <v>0.76</v>
      </c>
      <c r="G522" t="b">
        <v>0</v>
      </c>
      <c r="H522">
        <f>Sensitivity!H11</f>
        <v/>
      </c>
    </row>
    <row r="523">
      <c r="A523" t="inlineStr">
        <is>
          <t>legs</t>
        </is>
      </c>
      <c r="B523" t="inlineStr">
        <is>
          <t>legendary</t>
        </is>
      </c>
      <c r="C523" t="n">
        <v>3</v>
      </c>
      <c r="D523" t="inlineStr">
        <is>
          <t>Final Damage %</t>
        </is>
      </c>
      <c r="E523" t="n">
        <v>8</v>
      </c>
      <c r="F523" t="n">
        <v>0.08</v>
      </c>
      <c r="G523" t="b">
        <v>1</v>
      </c>
      <c r="H523">
        <f>Sensitivity!H11</f>
        <v/>
      </c>
    </row>
    <row r="524">
      <c r="A524" t="inlineStr">
        <is>
          <t>legs</t>
        </is>
      </c>
      <c r="B524" t="inlineStr">
        <is>
          <t>legendary</t>
        </is>
      </c>
      <c r="C524" t="n">
        <v>3</v>
      </c>
      <c r="D524" t="inlineStr">
        <is>
          <t>Final Damage %</t>
        </is>
      </c>
      <c r="E524" t="n">
        <v>5</v>
      </c>
      <c r="F524" t="n">
        <v>0.92</v>
      </c>
      <c r="G524" t="b">
        <v>0</v>
      </c>
      <c r="H524">
        <f>Sensitivity!H11</f>
        <v/>
      </c>
    </row>
    <row r="525">
      <c r="A525" t="inlineStr">
        <is>
          <t>legs</t>
        </is>
      </c>
      <c r="B525" t="inlineStr">
        <is>
          <t>mystic</t>
        </is>
      </c>
      <c r="C525" t="n">
        <v>1</v>
      </c>
      <c r="D525" t="inlineStr">
        <is>
          <t>Final Damage %</t>
        </is>
      </c>
      <c r="E525" t="n">
        <v>12</v>
      </c>
      <c r="F525" t="n">
        <v>1</v>
      </c>
      <c r="G525" t="b">
        <v>1</v>
      </c>
      <c r="H525">
        <f>Sensitivity!H11</f>
        <v/>
      </c>
    </row>
    <row r="526">
      <c r="A526" t="inlineStr">
        <is>
          <t>legs</t>
        </is>
      </c>
      <c r="B526" t="inlineStr">
        <is>
          <t>mystic</t>
        </is>
      </c>
      <c r="C526" t="n">
        <v>2</v>
      </c>
      <c r="D526" t="inlineStr">
        <is>
          <t>Final Damage %</t>
        </is>
      </c>
      <c r="E526" t="n">
        <v>12</v>
      </c>
      <c r="F526" t="n">
        <v>0.24</v>
      </c>
      <c r="G526" t="b">
        <v>1</v>
      </c>
      <c r="H526">
        <f>Sensitivity!H11</f>
        <v/>
      </c>
    </row>
    <row r="527">
      <c r="A527" t="inlineStr">
        <is>
          <t>legs</t>
        </is>
      </c>
      <c r="B527" t="inlineStr">
        <is>
          <t>mystic</t>
        </is>
      </c>
      <c r="C527" t="n">
        <v>2</v>
      </c>
      <c r="D527" t="inlineStr">
        <is>
          <t>Final Damage %</t>
        </is>
      </c>
      <c r="E527" t="n">
        <v>8</v>
      </c>
      <c r="F527" t="n">
        <v>0.76</v>
      </c>
      <c r="G527" t="b">
        <v>0</v>
      </c>
      <c r="H527">
        <f>Sensitivity!H11</f>
        <v/>
      </c>
    </row>
    <row r="528">
      <c r="A528" t="inlineStr">
        <is>
          <t>legs</t>
        </is>
      </c>
      <c r="B528" t="inlineStr">
        <is>
          <t>mystic</t>
        </is>
      </c>
      <c r="C528" t="n">
        <v>3</v>
      </c>
      <c r="D528" t="inlineStr">
        <is>
          <t>Final Damage %</t>
        </is>
      </c>
      <c r="E528" t="n">
        <v>12</v>
      </c>
      <c r="F528" t="n">
        <v>0.08</v>
      </c>
      <c r="G528" t="b">
        <v>1</v>
      </c>
      <c r="H528">
        <f>Sensitivity!H11</f>
        <v/>
      </c>
    </row>
    <row r="529">
      <c r="A529" t="inlineStr">
        <is>
          <t>legs</t>
        </is>
      </c>
      <c r="B529" t="inlineStr">
        <is>
          <t>mystic</t>
        </is>
      </c>
      <c r="C529" t="n">
        <v>3</v>
      </c>
      <c r="D529" t="inlineStr">
        <is>
          <t>Final Damage %</t>
        </is>
      </c>
      <c r="E529" t="n">
        <v>8</v>
      </c>
      <c r="F529" t="n">
        <v>0.92</v>
      </c>
      <c r="G529" t="b">
        <v>0</v>
      </c>
      <c r="H529">
        <f>Sensitivity!H11</f>
        <v/>
      </c>
    </row>
    <row r="530">
      <c r="A530" t="inlineStr">
        <is>
          <t>belt</t>
        </is>
      </c>
      <c r="B530" t="inlineStr">
        <is>
          <t>epic</t>
        </is>
      </c>
      <c r="C530" t="n">
        <v>1</v>
      </c>
      <c r="D530" t="inlineStr">
        <is>
          <t>Buff Duration Increase %</t>
        </is>
      </c>
      <c r="E530" t="n">
        <v>5</v>
      </c>
      <c r="F530" t="n">
        <v>1</v>
      </c>
      <c r="G530" t="b">
        <v>1</v>
      </c>
      <c r="H530">
        <f>Sensitivity!H29</f>
        <v/>
      </c>
    </row>
    <row r="531">
      <c r="A531" t="inlineStr">
        <is>
          <t>belt</t>
        </is>
      </c>
      <c r="B531" t="inlineStr">
        <is>
          <t>epic</t>
        </is>
      </c>
      <c r="C531" t="n">
        <v>2</v>
      </c>
      <c r="D531" t="inlineStr">
        <is>
          <t>Buff Duration Increase %</t>
        </is>
      </c>
      <c r="E531" t="n">
        <v>5</v>
      </c>
      <c r="F531" t="n">
        <v>0.24</v>
      </c>
      <c r="G531" t="b">
        <v>1</v>
      </c>
      <c r="H531">
        <f>Sensitivity!H29</f>
        <v/>
      </c>
    </row>
    <row r="532">
      <c r="A532" t="inlineStr">
        <is>
          <t>belt</t>
        </is>
      </c>
      <c r="B532" t="inlineStr">
        <is>
          <t>epic</t>
        </is>
      </c>
      <c r="C532" t="n">
        <v>3</v>
      </c>
      <c r="D532" t="inlineStr">
        <is>
          <t>Buff Duration Increase %</t>
        </is>
      </c>
      <c r="E532" t="n">
        <v>5</v>
      </c>
      <c r="F532" t="n">
        <v>0.08</v>
      </c>
      <c r="G532" t="b">
        <v>1</v>
      </c>
      <c r="H532">
        <f>Sensitivity!H29</f>
        <v/>
      </c>
    </row>
    <row r="533">
      <c r="A533" t="inlineStr">
        <is>
          <t>belt</t>
        </is>
      </c>
      <c r="B533" t="inlineStr">
        <is>
          <t>unique</t>
        </is>
      </c>
      <c r="C533" t="n">
        <v>1</v>
      </c>
      <c r="D533" t="inlineStr">
        <is>
          <t>Buff Duration Increase %</t>
        </is>
      </c>
      <c r="E533" t="n">
        <v>8</v>
      </c>
      <c r="F533" t="n">
        <v>1</v>
      </c>
      <c r="G533" t="b">
        <v>1</v>
      </c>
      <c r="H533">
        <f>Sensitivity!H29</f>
        <v/>
      </c>
    </row>
    <row r="534">
      <c r="A534" t="inlineStr">
        <is>
          <t>belt</t>
        </is>
      </c>
      <c r="B534" t="inlineStr">
        <is>
          <t>unique</t>
        </is>
      </c>
      <c r="C534" t="n">
        <v>2</v>
      </c>
      <c r="D534" t="inlineStr">
        <is>
          <t>Buff Duration Increase %</t>
        </is>
      </c>
      <c r="E534" t="n">
        <v>8</v>
      </c>
      <c r="F534" t="n">
        <v>0.24</v>
      </c>
      <c r="G534" t="b">
        <v>1</v>
      </c>
      <c r="H534">
        <f>Sensitivity!H29</f>
        <v/>
      </c>
    </row>
    <row r="535">
      <c r="A535" t="inlineStr">
        <is>
          <t>belt</t>
        </is>
      </c>
      <c r="B535" t="inlineStr">
        <is>
          <t>unique</t>
        </is>
      </c>
      <c r="C535" t="n">
        <v>2</v>
      </c>
      <c r="D535" t="inlineStr">
        <is>
          <t>Buff Duration Increase %</t>
        </is>
      </c>
      <c r="E535" t="n">
        <v>5</v>
      </c>
      <c r="F535" t="n">
        <v>0.76</v>
      </c>
      <c r="G535" t="b">
        <v>0</v>
      </c>
      <c r="H535">
        <f>Sensitivity!H29</f>
        <v/>
      </c>
    </row>
    <row r="536">
      <c r="A536" t="inlineStr">
        <is>
          <t>belt</t>
        </is>
      </c>
      <c r="B536" t="inlineStr">
        <is>
          <t>unique</t>
        </is>
      </c>
      <c r="C536" t="n">
        <v>3</v>
      </c>
      <c r="D536" t="inlineStr">
        <is>
          <t>Buff Duration Increase %</t>
        </is>
      </c>
      <c r="E536" t="n">
        <v>8</v>
      </c>
      <c r="F536" t="n">
        <v>0.08</v>
      </c>
      <c r="G536" t="b">
        <v>1</v>
      </c>
      <c r="H536">
        <f>Sensitivity!H29</f>
        <v/>
      </c>
    </row>
    <row r="537">
      <c r="A537" t="inlineStr">
        <is>
          <t>belt</t>
        </is>
      </c>
      <c r="B537" t="inlineStr">
        <is>
          <t>unique</t>
        </is>
      </c>
      <c r="C537" t="n">
        <v>3</v>
      </c>
      <c r="D537" t="inlineStr">
        <is>
          <t>Buff Duration Increase %</t>
        </is>
      </c>
      <c r="E537" t="n">
        <v>5</v>
      </c>
      <c r="F537" t="n">
        <v>0.92</v>
      </c>
      <c r="G537" t="b">
        <v>0</v>
      </c>
      <c r="H537">
        <f>Sensitivity!H29</f>
        <v/>
      </c>
    </row>
    <row r="538">
      <c r="A538" t="inlineStr">
        <is>
          <t>belt</t>
        </is>
      </c>
      <c r="B538" t="inlineStr">
        <is>
          <t>legendary</t>
        </is>
      </c>
      <c r="C538" t="n">
        <v>1</v>
      </c>
      <c r="D538" t="inlineStr">
        <is>
          <t>Buff Duration Increase %</t>
        </is>
      </c>
      <c r="E538" t="n">
        <v>12</v>
      </c>
      <c r="F538" t="n">
        <v>1</v>
      </c>
      <c r="G538" t="b">
        <v>1</v>
      </c>
      <c r="H538">
        <f>Sensitivity!H29</f>
        <v/>
      </c>
    </row>
    <row r="539">
      <c r="A539" t="inlineStr">
        <is>
          <t>belt</t>
        </is>
      </c>
      <c r="B539" t="inlineStr">
        <is>
          <t>legendary</t>
        </is>
      </c>
      <c r="C539" t="n">
        <v>2</v>
      </c>
      <c r="D539" t="inlineStr">
        <is>
          <t>Buff Duration Increase %</t>
        </is>
      </c>
      <c r="E539" t="n">
        <v>12</v>
      </c>
      <c r="F539" t="n">
        <v>0.24</v>
      </c>
      <c r="G539" t="b">
        <v>1</v>
      </c>
      <c r="H539">
        <f>Sensitivity!H29</f>
        <v/>
      </c>
    </row>
    <row r="540">
      <c r="A540" t="inlineStr">
        <is>
          <t>belt</t>
        </is>
      </c>
      <c r="B540" t="inlineStr">
        <is>
          <t>legendary</t>
        </is>
      </c>
      <c r="C540" t="n">
        <v>2</v>
      </c>
      <c r="D540" t="inlineStr">
        <is>
          <t>Buff Duration Increase %</t>
        </is>
      </c>
      <c r="E540" t="n">
        <v>8</v>
      </c>
      <c r="F540" t="n">
        <v>0.76</v>
      </c>
      <c r="G540" t="b">
        <v>0</v>
      </c>
      <c r="H540">
        <f>Sensitivity!H29</f>
        <v/>
      </c>
    </row>
    <row r="541">
      <c r="A541" t="inlineStr">
        <is>
          <t>belt</t>
        </is>
      </c>
      <c r="B541" t="inlineStr">
        <is>
          <t>legendary</t>
        </is>
      </c>
      <c r="C541" t="n">
        <v>3</v>
      </c>
      <c r="D541" t="inlineStr">
        <is>
          <t>Buff Duration Increase %</t>
        </is>
      </c>
      <c r="E541" t="n">
        <v>12</v>
      </c>
      <c r="F541" t="n">
        <v>0.08</v>
      </c>
      <c r="G541" t="b">
        <v>1</v>
      </c>
      <c r="H541">
        <f>Sensitivity!H29</f>
        <v/>
      </c>
    </row>
    <row r="542">
      <c r="A542" t="inlineStr">
        <is>
          <t>belt</t>
        </is>
      </c>
      <c r="B542" t="inlineStr">
        <is>
          <t>legendary</t>
        </is>
      </c>
      <c r="C542" t="n">
        <v>3</v>
      </c>
      <c r="D542" t="inlineStr">
        <is>
          <t>Buff Duration Increase %</t>
        </is>
      </c>
      <c r="E542" t="n">
        <v>8</v>
      </c>
      <c r="F542" t="n">
        <v>0.92</v>
      </c>
      <c r="G542" t="b">
        <v>0</v>
      </c>
      <c r="H542">
        <f>Sensitivity!H29</f>
        <v/>
      </c>
    </row>
    <row r="543">
      <c r="A543" t="inlineStr">
        <is>
          <t>belt</t>
        </is>
      </c>
      <c r="B543" t="inlineStr">
        <is>
          <t>mystic</t>
        </is>
      </c>
      <c r="C543" t="n">
        <v>1</v>
      </c>
      <c r="D543" t="inlineStr">
        <is>
          <t>Buff Duration Increase %</t>
        </is>
      </c>
      <c r="E543" t="n">
        <v>20</v>
      </c>
      <c r="F543" t="n">
        <v>1</v>
      </c>
      <c r="G543" t="b">
        <v>1</v>
      </c>
      <c r="H543">
        <f>Sensitivity!H29</f>
        <v/>
      </c>
    </row>
    <row r="544">
      <c r="A544" t="inlineStr">
        <is>
          <t>belt</t>
        </is>
      </c>
      <c r="B544" t="inlineStr">
        <is>
          <t>mystic</t>
        </is>
      </c>
      <c r="C544" t="n">
        <v>2</v>
      </c>
      <c r="D544" t="inlineStr">
        <is>
          <t>Buff Duration Increase %</t>
        </is>
      </c>
      <c r="E544" t="n">
        <v>20</v>
      </c>
      <c r="F544" t="n">
        <v>0.24</v>
      </c>
      <c r="G544" t="b">
        <v>1</v>
      </c>
      <c r="H544">
        <f>Sensitivity!H29</f>
        <v/>
      </c>
    </row>
    <row r="545">
      <c r="A545" t="inlineStr">
        <is>
          <t>belt</t>
        </is>
      </c>
      <c r="B545" t="inlineStr">
        <is>
          <t>mystic</t>
        </is>
      </c>
      <c r="C545" t="n">
        <v>2</v>
      </c>
      <c r="D545" t="inlineStr">
        <is>
          <t>Buff Duration Increase %</t>
        </is>
      </c>
      <c r="E545" t="n">
        <v>12</v>
      </c>
      <c r="F545" t="n">
        <v>0.76</v>
      </c>
      <c r="G545" t="b">
        <v>0</v>
      </c>
      <c r="H545">
        <f>Sensitivity!H29</f>
        <v/>
      </c>
    </row>
    <row r="546">
      <c r="A546" t="inlineStr">
        <is>
          <t>belt</t>
        </is>
      </c>
      <c r="B546" t="inlineStr">
        <is>
          <t>mystic</t>
        </is>
      </c>
      <c r="C546" t="n">
        <v>3</v>
      </c>
      <c r="D546" t="inlineStr">
        <is>
          <t>Buff Duration Increase %</t>
        </is>
      </c>
      <c r="E546" t="n">
        <v>20</v>
      </c>
      <c r="F546" t="n">
        <v>0.08</v>
      </c>
      <c r="G546" t="b">
        <v>1</v>
      </c>
      <c r="H546">
        <f>Sensitivity!H29</f>
        <v/>
      </c>
    </row>
    <row r="547">
      <c r="A547" t="inlineStr">
        <is>
          <t>belt</t>
        </is>
      </c>
      <c r="B547" t="inlineStr">
        <is>
          <t>mystic</t>
        </is>
      </c>
      <c r="C547" t="n">
        <v>3</v>
      </c>
      <c r="D547" t="inlineStr">
        <is>
          <t>Buff Duration Increase %</t>
        </is>
      </c>
      <c r="E547" t="n">
        <v>12</v>
      </c>
      <c r="F547" t="n">
        <v>0.92</v>
      </c>
      <c r="G547" t="b">
        <v>0</v>
      </c>
      <c r="H547">
        <f>Sensitivity!H29</f>
        <v/>
      </c>
    </row>
    <row r="548">
      <c r="A548" t="inlineStr">
        <is>
          <t>gloves</t>
        </is>
      </c>
      <c r="B548" t="inlineStr">
        <is>
          <t>epic</t>
        </is>
      </c>
      <c r="C548" t="n">
        <v>1</v>
      </c>
      <c r="D548" t="inlineStr">
        <is>
          <t>Critical Damage %</t>
        </is>
      </c>
      <c r="E548" t="n">
        <v>10</v>
      </c>
      <c r="F548" t="n">
        <v>1</v>
      </c>
      <c r="G548" t="b">
        <v>1</v>
      </c>
      <c r="H548">
        <f>Sensitivity!H15</f>
        <v/>
      </c>
    </row>
    <row r="549">
      <c r="A549" t="inlineStr">
        <is>
          <t>gloves</t>
        </is>
      </c>
      <c r="B549" t="inlineStr">
        <is>
          <t>epic</t>
        </is>
      </c>
      <c r="C549" t="n">
        <v>2</v>
      </c>
      <c r="D549" t="inlineStr">
        <is>
          <t>Critical Damage %</t>
        </is>
      </c>
      <c r="E549" t="n">
        <v>10</v>
      </c>
      <c r="F549" t="n">
        <v>0.24</v>
      </c>
      <c r="G549" t="b">
        <v>1</v>
      </c>
      <c r="H549">
        <f>Sensitivity!H15</f>
        <v/>
      </c>
    </row>
    <row r="550">
      <c r="A550" t="inlineStr">
        <is>
          <t>gloves</t>
        </is>
      </c>
      <c r="B550" t="inlineStr">
        <is>
          <t>epic</t>
        </is>
      </c>
      <c r="C550" t="n">
        <v>3</v>
      </c>
      <c r="D550" t="inlineStr">
        <is>
          <t>Critical Damage %</t>
        </is>
      </c>
      <c r="E550" t="n">
        <v>10</v>
      </c>
      <c r="F550" t="n">
        <v>0.08</v>
      </c>
      <c r="G550" t="b">
        <v>1</v>
      </c>
      <c r="H550">
        <f>Sensitivity!H15</f>
        <v/>
      </c>
    </row>
    <row r="551">
      <c r="A551" t="inlineStr">
        <is>
          <t>gloves</t>
        </is>
      </c>
      <c r="B551" t="inlineStr">
        <is>
          <t>unique</t>
        </is>
      </c>
      <c r="C551" t="n">
        <v>1</v>
      </c>
      <c r="D551" t="inlineStr">
        <is>
          <t>Critical Damage %</t>
        </is>
      </c>
      <c r="E551" t="n">
        <v>20</v>
      </c>
      <c r="F551" t="n">
        <v>1</v>
      </c>
      <c r="G551" t="b">
        <v>1</v>
      </c>
      <c r="H551">
        <f>Sensitivity!H15</f>
        <v/>
      </c>
    </row>
    <row r="552">
      <c r="A552" t="inlineStr">
        <is>
          <t>gloves</t>
        </is>
      </c>
      <c r="B552" t="inlineStr">
        <is>
          <t>unique</t>
        </is>
      </c>
      <c r="C552" t="n">
        <v>2</v>
      </c>
      <c r="D552" t="inlineStr">
        <is>
          <t>Critical Damage %</t>
        </is>
      </c>
      <c r="E552" t="n">
        <v>20</v>
      </c>
      <c r="F552" t="n">
        <v>0.24</v>
      </c>
      <c r="G552" t="b">
        <v>1</v>
      </c>
      <c r="H552">
        <f>Sensitivity!H15</f>
        <v/>
      </c>
    </row>
    <row r="553">
      <c r="A553" t="inlineStr">
        <is>
          <t>gloves</t>
        </is>
      </c>
      <c r="B553" t="inlineStr">
        <is>
          <t>unique</t>
        </is>
      </c>
      <c r="C553" t="n">
        <v>2</v>
      </c>
      <c r="D553" t="inlineStr">
        <is>
          <t>Critical Damage %</t>
        </is>
      </c>
      <c r="E553" t="n">
        <v>10</v>
      </c>
      <c r="F553" t="n">
        <v>0.76</v>
      </c>
      <c r="G553" t="b">
        <v>0</v>
      </c>
      <c r="H553">
        <f>Sensitivity!H15</f>
        <v/>
      </c>
    </row>
    <row r="554">
      <c r="A554" t="inlineStr">
        <is>
          <t>gloves</t>
        </is>
      </c>
      <c r="B554" t="inlineStr">
        <is>
          <t>unique</t>
        </is>
      </c>
      <c r="C554" t="n">
        <v>3</v>
      </c>
      <c r="D554" t="inlineStr">
        <is>
          <t>Critical Damage %</t>
        </is>
      </c>
      <c r="E554" t="n">
        <v>20</v>
      </c>
      <c r="F554" t="n">
        <v>0.08</v>
      </c>
      <c r="G554" t="b">
        <v>1</v>
      </c>
      <c r="H554">
        <f>Sensitivity!H15</f>
        <v/>
      </c>
    </row>
    <row r="555">
      <c r="A555" t="inlineStr">
        <is>
          <t>gloves</t>
        </is>
      </c>
      <c r="B555" t="inlineStr">
        <is>
          <t>unique</t>
        </is>
      </c>
      <c r="C555" t="n">
        <v>3</v>
      </c>
      <c r="D555" t="inlineStr">
        <is>
          <t>Critical Damage %</t>
        </is>
      </c>
      <c r="E555" t="n">
        <v>10</v>
      </c>
      <c r="F555" t="n">
        <v>0.92</v>
      </c>
      <c r="G555" t="b">
        <v>0</v>
      </c>
      <c r="H555">
        <f>Sensitivity!H15</f>
        <v/>
      </c>
    </row>
    <row r="556">
      <c r="A556" t="inlineStr">
        <is>
          <t>gloves</t>
        </is>
      </c>
      <c r="B556" t="inlineStr">
        <is>
          <t>legendary</t>
        </is>
      </c>
      <c r="C556" t="n">
        <v>1</v>
      </c>
      <c r="D556" t="inlineStr">
        <is>
          <t>Critical Damage %</t>
        </is>
      </c>
      <c r="E556" t="n">
        <v>30</v>
      </c>
      <c r="F556" t="n">
        <v>1</v>
      </c>
      <c r="G556" t="b">
        <v>1</v>
      </c>
      <c r="H556">
        <f>Sensitivity!H15</f>
        <v/>
      </c>
    </row>
    <row r="557">
      <c r="A557" t="inlineStr">
        <is>
          <t>gloves</t>
        </is>
      </c>
      <c r="B557" t="inlineStr">
        <is>
          <t>legendary</t>
        </is>
      </c>
      <c r="C557" t="n">
        <v>2</v>
      </c>
      <c r="D557" t="inlineStr">
        <is>
          <t>Critical Damage %</t>
        </is>
      </c>
      <c r="E557" t="n">
        <v>30</v>
      </c>
      <c r="F557" t="n">
        <v>0.24</v>
      </c>
      <c r="G557" t="b">
        <v>1</v>
      </c>
      <c r="H557">
        <f>Sensitivity!H15</f>
        <v/>
      </c>
    </row>
    <row r="558">
      <c r="A558" t="inlineStr">
        <is>
          <t>gloves</t>
        </is>
      </c>
      <c r="B558" t="inlineStr">
        <is>
          <t>legendary</t>
        </is>
      </c>
      <c r="C558" t="n">
        <v>2</v>
      </c>
      <c r="D558" t="inlineStr">
        <is>
          <t>Critical Damage %</t>
        </is>
      </c>
      <c r="E558" t="n">
        <v>20</v>
      </c>
      <c r="F558" t="n">
        <v>0.76</v>
      </c>
      <c r="G558" t="b">
        <v>0</v>
      </c>
      <c r="H558">
        <f>Sensitivity!H15</f>
        <v/>
      </c>
    </row>
    <row r="559">
      <c r="A559" t="inlineStr">
        <is>
          <t>gloves</t>
        </is>
      </c>
      <c r="B559" t="inlineStr">
        <is>
          <t>legendary</t>
        </is>
      </c>
      <c r="C559" t="n">
        <v>3</v>
      </c>
      <c r="D559" t="inlineStr">
        <is>
          <t>Critical Damage %</t>
        </is>
      </c>
      <c r="E559" t="n">
        <v>30</v>
      </c>
      <c r="F559" t="n">
        <v>0.08</v>
      </c>
      <c r="G559" t="b">
        <v>1</v>
      </c>
      <c r="H559">
        <f>Sensitivity!H15</f>
        <v/>
      </c>
    </row>
    <row r="560">
      <c r="A560" t="inlineStr">
        <is>
          <t>gloves</t>
        </is>
      </c>
      <c r="B560" t="inlineStr">
        <is>
          <t>legendary</t>
        </is>
      </c>
      <c r="C560" t="n">
        <v>3</v>
      </c>
      <c r="D560" t="inlineStr">
        <is>
          <t>Critical Damage %</t>
        </is>
      </c>
      <c r="E560" t="n">
        <v>20</v>
      </c>
      <c r="F560" t="n">
        <v>0.92</v>
      </c>
      <c r="G560" t="b">
        <v>0</v>
      </c>
      <c r="H560">
        <f>Sensitivity!H15</f>
        <v/>
      </c>
    </row>
    <row r="561">
      <c r="A561" t="inlineStr">
        <is>
          <t>gloves</t>
        </is>
      </c>
      <c r="B561" t="inlineStr">
        <is>
          <t>mystic</t>
        </is>
      </c>
      <c r="C561" t="n">
        <v>1</v>
      </c>
      <c r="D561" t="inlineStr">
        <is>
          <t>Critical Damage %</t>
        </is>
      </c>
      <c r="E561" t="n">
        <v>50</v>
      </c>
      <c r="F561" t="n">
        <v>1</v>
      </c>
      <c r="G561" t="b">
        <v>1</v>
      </c>
      <c r="H561">
        <f>Sensitivity!H15</f>
        <v/>
      </c>
    </row>
    <row r="562">
      <c r="A562" t="inlineStr">
        <is>
          <t>gloves</t>
        </is>
      </c>
      <c r="B562" t="inlineStr">
        <is>
          <t>mystic</t>
        </is>
      </c>
      <c r="C562" t="n">
        <v>2</v>
      </c>
      <c r="D562" t="inlineStr">
        <is>
          <t>Critical Damage %</t>
        </is>
      </c>
      <c r="E562" t="n">
        <v>50</v>
      </c>
      <c r="F562" t="n">
        <v>0.24</v>
      </c>
      <c r="G562" t="b">
        <v>1</v>
      </c>
      <c r="H562">
        <f>Sensitivity!H15</f>
        <v/>
      </c>
    </row>
    <row r="563">
      <c r="A563" t="inlineStr">
        <is>
          <t>gloves</t>
        </is>
      </c>
      <c r="B563" t="inlineStr">
        <is>
          <t>mystic</t>
        </is>
      </c>
      <c r="C563" t="n">
        <v>2</v>
      </c>
      <c r="D563" t="inlineStr">
        <is>
          <t>Critical Damage %</t>
        </is>
      </c>
      <c r="E563" t="n">
        <v>30</v>
      </c>
      <c r="F563" t="n">
        <v>0.76</v>
      </c>
      <c r="G563" t="b">
        <v>0</v>
      </c>
      <c r="H563">
        <f>Sensitivity!H15</f>
        <v/>
      </c>
    </row>
    <row r="564">
      <c r="A564" t="inlineStr">
        <is>
          <t>gloves</t>
        </is>
      </c>
      <c r="B564" t="inlineStr">
        <is>
          <t>mystic</t>
        </is>
      </c>
      <c r="C564" t="n">
        <v>3</v>
      </c>
      <c r="D564" t="inlineStr">
        <is>
          <t>Critical Damage %</t>
        </is>
      </c>
      <c r="E564" t="n">
        <v>50</v>
      </c>
      <c r="F564" t="n">
        <v>0.08</v>
      </c>
      <c r="G564" t="b">
        <v>1</v>
      </c>
      <c r="H564">
        <f>Sensitivity!H15</f>
        <v/>
      </c>
    </row>
    <row r="565">
      <c r="A565" t="inlineStr">
        <is>
          <t>gloves</t>
        </is>
      </c>
      <c r="B565" t="inlineStr">
        <is>
          <t>mystic</t>
        </is>
      </c>
      <c r="C565" t="n">
        <v>3</v>
      </c>
      <c r="D565" t="inlineStr">
        <is>
          <t>Critical Damage %</t>
        </is>
      </c>
      <c r="E565" t="n">
        <v>30</v>
      </c>
      <c r="F565" t="n">
        <v>0.92</v>
      </c>
      <c r="G565" t="b">
        <v>0</v>
      </c>
      <c r="H565">
        <f>Sensitivity!H15</f>
        <v/>
      </c>
    </row>
    <row r="566">
      <c r="A566" t="inlineStr">
        <is>
          <t>boots</t>
        </is>
      </c>
      <c r="B566" t="inlineStr">
        <is>
          <t>epic</t>
        </is>
      </c>
      <c r="C566" t="n">
        <v>1</v>
      </c>
      <c r="D566" t="inlineStr">
        <is>
          <t>Companion Summoning Time Increase %</t>
        </is>
      </c>
      <c r="E566" t="n">
        <v>5</v>
      </c>
      <c r="F566" t="n">
        <v>1</v>
      </c>
      <c r="G566" t="b">
        <v>1</v>
      </c>
      <c r="H566">
        <f>Sensitivity!H15</f>
        <v/>
      </c>
    </row>
    <row r="567">
      <c r="A567" t="inlineStr">
        <is>
          <t>boots</t>
        </is>
      </c>
      <c r="B567" t="inlineStr">
        <is>
          <t>epic</t>
        </is>
      </c>
      <c r="C567" t="n">
        <v>2</v>
      </c>
      <c r="D567" t="inlineStr">
        <is>
          <t>Companion Summoning Time Increase %</t>
        </is>
      </c>
      <c r="E567" t="n">
        <v>5</v>
      </c>
      <c r="F567" t="n">
        <v>0.24</v>
      </c>
      <c r="G567" t="b">
        <v>1</v>
      </c>
      <c r="H567">
        <f>Sensitivity!H15</f>
        <v/>
      </c>
    </row>
    <row r="568">
      <c r="A568" t="inlineStr">
        <is>
          <t>boots</t>
        </is>
      </c>
      <c r="B568" t="inlineStr">
        <is>
          <t>epic</t>
        </is>
      </c>
      <c r="C568" t="n">
        <v>3</v>
      </c>
      <c r="D568" t="inlineStr">
        <is>
          <t>Companion Summoning Time Increase %</t>
        </is>
      </c>
      <c r="E568" t="n">
        <v>5</v>
      </c>
      <c r="F568" t="n">
        <v>0.08</v>
      </c>
      <c r="G568" t="b">
        <v>1</v>
      </c>
      <c r="H568">
        <f>Sensitivity!H15</f>
        <v/>
      </c>
    </row>
    <row r="569">
      <c r="A569" t="inlineStr">
        <is>
          <t>boots</t>
        </is>
      </c>
      <c r="B569" t="inlineStr">
        <is>
          <t>unique</t>
        </is>
      </c>
      <c r="C569" t="n">
        <v>1</v>
      </c>
      <c r="D569" t="inlineStr">
        <is>
          <t>Companion Summoning Time Increase %</t>
        </is>
      </c>
      <c r="E569" t="n">
        <v>8</v>
      </c>
      <c r="F569" t="n">
        <v>1</v>
      </c>
      <c r="G569" t="b">
        <v>1</v>
      </c>
      <c r="H569">
        <f>Sensitivity!H15</f>
        <v/>
      </c>
    </row>
    <row r="570">
      <c r="A570" t="inlineStr">
        <is>
          <t>boots</t>
        </is>
      </c>
      <c r="B570" t="inlineStr">
        <is>
          <t>unique</t>
        </is>
      </c>
      <c r="C570" t="n">
        <v>2</v>
      </c>
      <c r="D570" t="inlineStr">
        <is>
          <t>Companion Summoning Time Increase %</t>
        </is>
      </c>
      <c r="E570" t="n">
        <v>8</v>
      </c>
      <c r="F570" t="n">
        <v>0.24</v>
      </c>
      <c r="G570" t="b">
        <v>1</v>
      </c>
      <c r="H570">
        <f>Sensitivity!H15</f>
        <v/>
      </c>
    </row>
    <row r="571">
      <c r="A571" t="inlineStr">
        <is>
          <t>boots</t>
        </is>
      </c>
      <c r="B571" t="inlineStr">
        <is>
          <t>unique</t>
        </is>
      </c>
      <c r="C571" t="n">
        <v>2</v>
      </c>
      <c r="D571" t="inlineStr">
        <is>
          <t>Companion Summoning Time Increase %</t>
        </is>
      </c>
      <c r="E571" t="n">
        <v>5</v>
      </c>
      <c r="F571" t="n">
        <v>0.76</v>
      </c>
      <c r="G571" t="b">
        <v>0</v>
      </c>
      <c r="H571">
        <f>Sensitivity!H15</f>
        <v/>
      </c>
    </row>
    <row r="572">
      <c r="A572" t="inlineStr">
        <is>
          <t>boots</t>
        </is>
      </c>
      <c r="B572" t="inlineStr">
        <is>
          <t>unique</t>
        </is>
      </c>
      <c r="C572" t="n">
        <v>3</v>
      </c>
      <c r="D572" t="inlineStr">
        <is>
          <t>Companion Summoning Time Increase %</t>
        </is>
      </c>
      <c r="E572" t="n">
        <v>8</v>
      </c>
      <c r="F572" t="n">
        <v>0.08</v>
      </c>
      <c r="G572" t="b">
        <v>1</v>
      </c>
      <c r="H572">
        <f>Sensitivity!H15</f>
        <v/>
      </c>
    </row>
    <row r="573">
      <c r="A573" t="inlineStr">
        <is>
          <t>boots</t>
        </is>
      </c>
      <c r="B573" t="inlineStr">
        <is>
          <t>unique</t>
        </is>
      </c>
      <c r="C573" t="n">
        <v>3</v>
      </c>
      <c r="D573" t="inlineStr">
        <is>
          <t>Companion Summoning Time Increase %</t>
        </is>
      </c>
      <c r="E573" t="n">
        <v>5</v>
      </c>
      <c r="F573" t="n">
        <v>0.92</v>
      </c>
      <c r="G573" t="b">
        <v>0</v>
      </c>
      <c r="H573">
        <f>Sensitivity!H15</f>
        <v/>
      </c>
    </row>
    <row r="574">
      <c r="A574" t="inlineStr">
        <is>
          <t>boots</t>
        </is>
      </c>
      <c r="B574" t="inlineStr">
        <is>
          <t>legendary</t>
        </is>
      </c>
      <c r="C574" t="n">
        <v>1</v>
      </c>
      <c r="D574" t="inlineStr">
        <is>
          <t>Companion Summoning Time Increase %</t>
        </is>
      </c>
      <c r="E574" t="n">
        <v>12</v>
      </c>
      <c r="F574" t="n">
        <v>1</v>
      </c>
      <c r="G574" t="b">
        <v>1</v>
      </c>
      <c r="H574">
        <f>Sensitivity!H15</f>
        <v/>
      </c>
    </row>
    <row r="575">
      <c r="A575" t="inlineStr">
        <is>
          <t>boots</t>
        </is>
      </c>
      <c r="B575" t="inlineStr">
        <is>
          <t>legendary</t>
        </is>
      </c>
      <c r="C575" t="n">
        <v>2</v>
      </c>
      <c r="D575" t="inlineStr">
        <is>
          <t>Companion Summoning Time Increase %</t>
        </is>
      </c>
      <c r="E575" t="n">
        <v>12</v>
      </c>
      <c r="F575" t="n">
        <v>0.24</v>
      </c>
      <c r="G575" t="b">
        <v>1</v>
      </c>
      <c r="H575">
        <f>Sensitivity!H15</f>
        <v/>
      </c>
    </row>
    <row r="576">
      <c r="A576" t="inlineStr">
        <is>
          <t>boots</t>
        </is>
      </c>
      <c r="B576" t="inlineStr">
        <is>
          <t>legendary</t>
        </is>
      </c>
      <c r="C576" t="n">
        <v>2</v>
      </c>
      <c r="D576" t="inlineStr">
        <is>
          <t>Companion Summoning Time Increase %</t>
        </is>
      </c>
      <c r="E576" t="n">
        <v>8</v>
      </c>
      <c r="F576" t="n">
        <v>0.76</v>
      </c>
      <c r="G576" t="b">
        <v>0</v>
      </c>
      <c r="H576">
        <f>Sensitivity!H15</f>
        <v/>
      </c>
    </row>
    <row r="577">
      <c r="A577" t="inlineStr">
        <is>
          <t>boots</t>
        </is>
      </c>
      <c r="B577" t="inlineStr">
        <is>
          <t>legendary</t>
        </is>
      </c>
      <c r="C577" t="n">
        <v>3</v>
      </c>
      <c r="D577" t="inlineStr">
        <is>
          <t>Companion Summoning Time Increase %</t>
        </is>
      </c>
      <c r="E577" t="n">
        <v>12</v>
      </c>
      <c r="F577" t="n">
        <v>0.08</v>
      </c>
      <c r="G577" t="b">
        <v>1</v>
      </c>
      <c r="H577">
        <f>Sensitivity!H15</f>
        <v/>
      </c>
    </row>
    <row r="578">
      <c r="A578" t="inlineStr">
        <is>
          <t>boots</t>
        </is>
      </c>
      <c r="B578" t="inlineStr">
        <is>
          <t>legendary</t>
        </is>
      </c>
      <c r="C578" t="n">
        <v>3</v>
      </c>
      <c r="D578" t="inlineStr">
        <is>
          <t>Companion Summoning Time Increase %</t>
        </is>
      </c>
      <c r="E578" t="n">
        <v>8</v>
      </c>
      <c r="F578" t="n">
        <v>0.92</v>
      </c>
      <c r="G578" t="b">
        <v>0</v>
      </c>
      <c r="H578">
        <f>Sensitivity!H15</f>
        <v/>
      </c>
    </row>
    <row r="579">
      <c r="A579" t="inlineStr">
        <is>
          <t>boots</t>
        </is>
      </c>
      <c r="B579" t="inlineStr">
        <is>
          <t>mystic</t>
        </is>
      </c>
      <c r="C579" t="n">
        <v>1</v>
      </c>
      <c r="D579" t="inlineStr">
        <is>
          <t>Companion Summoning Time Increase %</t>
        </is>
      </c>
      <c r="E579" t="n">
        <v>20</v>
      </c>
      <c r="F579" t="n">
        <v>1</v>
      </c>
      <c r="G579" t="b">
        <v>1</v>
      </c>
      <c r="H579">
        <f>Sensitivity!H15</f>
        <v/>
      </c>
    </row>
    <row r="580">
      <c r="A580" t="inlineStr">
        <is>
          <t>boots</t>
        </is>
      </c>
      <c r="B580" t="inlineStr">
        <is>
          <t>mystic</t>
        </is>
      </c>
      <c r="C580" t="n">
        <v>2</v>
      </c>
      <c r="D580" t="inlineStr">
        <is>
          <t>Companion Summoning Time Increase %</t>
        </is>
      </c>
      <c r="E580" t="n">
        <v>20</v>
      </c>
      <c r="F580" t="n">
        <v>0.24</v>
      </c>
      <c r="G580" t="b">
        <v>1</v>
      </c>
      <c r="H580">
        <f>Sensitivity!H15</f>
        <v/>
      </c>
    </row>
    <row r="581">
      <c r="A581" t="inlineStr">
        <is>
          <t>boots</t>
        </is>
      </c>
      <c r="B581" t="inlineStr">
        <is>
          <t>mystic</t>
        </is>
      </c>
      <c r="C581" t="n">
        <v>2</v>
      </c>
      <c r="D581" t="inlineStr">
        <is>
          <t>Companion Summoning Time Increase %</t>
        </is>
      </c>
      <c r="E581" t="n">
        <v>12</v>
      </c>
      <c r="F581" t="n">
        <v>0.76</v>
      </c>
      <c r="G581" t="b">
        <v>0</v>
      </c>
      <c r="H581">
        <f>Sensitivity!H15</f>
        <v/>
      </c>
    </row>
    <row r="582">
      <c r="A582" t="inlineStr">
        <is>
          <t>boots</t>
        </is>
      </c>
      <c r="B582" t="inlineStr">
        <is>
          <t>mystic</t>
        </is>
      </c>
      <c r="C582" t="n">
        <v>3</v>
      </c>
      <c r="D582" t="inlineStr">
        <is>
          <t>Companion Summoning Time Increase %</t>
        </is>
      </c>
      <c r="E582" t="n">
        <v>20</v>
      </c>
      <c r="F582" t="n">
        <v>0.08</v>
      </c>
      <c r="G582" t="b">
        <v>1</v>
      </c>
      <c r="H582">
        <f>Sensitivity!H15</f>
        <v/>
      </c>
    </row>
    <row r="583">
      <c r="A583" t="inlineStr">
        <is>
          <t>boots</t>
        </is>
      </c>
      <c r="B583" t="inlineStr">
        <is>
          <t>mystic</t>
        </is>
      </c>
      <c r="C583" t="n">
        <v>3</v>
      </c>
      <c r="D583" t="inlineStr">
        <is>
          <t>Companion Summoning Time Increase %</t>
        </is>
      </c>
      <c r="E583" t="n">
        <v>12</v>
      </c>
      <c r="F583" t="n">
        <v>0.92</v>
      </c>
      <c r="G583" t="b">
        <v>0</v>
      </c>
      <c r="H583">
        <f>Sensitivity!H15</f>
        <v/>
      </c>
    </row>
    <row r="584">
      <c r="A584" t="inlineStr">
        <is>
          <t>ring</t>
        </is>
      </c>
      <c r="B584" t="inlineStr">
        <is>
          <t>epic</t>
        </is>
      </c>
      <c r="C584" t="n">
        <v>1</v>
      </c>
      <c r="D584" t="inlineStr">
        <is>
          <t>All Skill Level</t>
        </is>
      </c>
      <c r="E584" t="n">
        <v>5</v>
      </c>
      <c r="F584" t="n">
        <v>1</v>
      </c>
      <c r="G584" t="b">
        <v>1</v>
      </c>
      <c r="H584">
        <f>Sensitivity!H24</f>
        <v/>
      </c>
    </row>
    <row r="585">
      <c r="A585" t="inlineStr">
        <is>
          <t>ring</t>
        </is>
      </c>
      <c r="B585" t="inlineStr">
        <is>
          <t>epic</t>
        </is>
      </c>
      <c r="C585" t="n">
        <v>2</v>
      </c>
      <c r="D585" t="inlineStr">
        <is>
          <t>All Skill Level</t>
        </is>
      </c>
      <c r="E585" t="n">
        <v>5</v>
      </c>
      <c r="F585" t="n">
        <v>0.24</v>
      </c>
      <c r="G585" t="b">
        <v>1</v>
      </c>
      <c r="H585">
        <f>Sensitivity!H24</f>
        <v/>
      </c>
    </row>
    <row r="586">
      <c r="A586" t="inlineStr">
        <is>
          <t>ring</t>
        </is>
      </c>
      <c r="B586" t="inlineStr">
        <is>
          <t>epic</t>
        </is>
      </c>
      <c r="C586" t="n">
        <v>3</v>
      </c>
      <c r="D586" t="inlineStr">
        <is>
          <t>All Skill Level</t>
        </is>
      </c>
      <c r="E586" t="n">
        <v>5</v>
      </c>
      <c r="F586" t="n">
        <v>0.08</v>
      </c>
      <c r="G586" t="b">
        <v>1</v>
      </c>
      <c r="H586">
        <f>Sensitivity!H24</f>
        <v/>
      </c>
    </row>
    <row r="587">
      <c r="A587" t="inlineStr">
        <is>
          <t>ring</t>
        </is>
      </c>
      <c r="B587" t="inlineStr">
        <is>
          <t>unique</t>
        </is>
      </c>
      <c r="C587" t="n">
        <v>1</v>
      </c>
      <c r="D587" t="inlineStr">
        <is>
          <t>All Skill Level</t>
        </is>
      </c>
      <c r="E587" t="n">
        <v>8</v>
      </c>
      <c r="F587" t="n">
        <v>1</v>
      </c>
      <c r="G587" t="b">
        <v>1</v>
      </c>
      <c r="H587">
        <f>Sensitivity!H24</f>
        <v/>
      </c>
    </row>
    <row r="588">
      <c r="A588" t="inlineStr">
        <is>
          <t>ring</t>
        </is>
      </c>
      <c r="B588" t="inlineStr">
        <is>
          <t>unique</t>
        </is>
      </c>
      <c r="C588" t="n">
        <v>2</v>
      </c>
      <c r="D588" t="inlineStr">
        <is>
          <t>All Skill Level</t>
        </is>
      </c>
      <c r="E588" t="n">
        <v>8</v>
      </c>
      <c r="F588" t="n">
        <v>0.24</v>
      </c>
      <c r="G588" t="b">
        <v>1</v>
      </c>
      <c r="H588">
        <f>Sensitivity!H24</f>
        <v/>
      </c>
    </row>
    <row r="589">
      <c r="A589" t="inlineStr">
        <is>
          <t>ring</t>
        </is>
      </c>
      <c r="B589" t="inlineStr">
        <is>
          <t>unique</t>
        </is>
      </c>
      <c r="C589" t="n">
        <v>2</v>
      </c>
      <c r="D589" t="inlineStr">
        <is>
          <t>All Skill Level</t>
        </is>
      </c>
      <c r="E589" t="n">
        <v>5</v>
      </c>
      <c r="F589" t="n">
        <v>0.76</v>
      </c>
      <c r="G589" t="b">
        <v>0</v>
      </c>
      <c r="H589">
        <f>Sensitivity!H24</f>
        <v/>
      </c>
    </row>
    <row r="590">
      <c r="A590" t="inlineStr">
        <is>
          <t>ring</t>
        </is>
      </c>
      <c r="B590" t="inlineStr">
        <is>
          <t>unique</t>
        </is>
      </c>
      <c r="C590" t="n">
        <v>3</v>
      </c>
      <c r="D590" t="inlineStr">
        <is>
          <t>All Skill Level</t>
        </is>
      </c>
      <c r="E590" t="n">
        <v>8</v>
      </c>
      <c r="F590" t="n">
        <v>0.08</v>
      </c>
      <c r="G590" t="b">
        <v>1</v>
      </c>
      <c r="H590">
        <f>Sensitivity!H24</f>
        <v/>
      </c>
    </row>
    <row r="591">
      <c r="A591" t="inlineStr">
        <is>
          <t>ring</t>
        </is>
      </c>
      <c r="B591" t="inlineStr">
        <is>
          <t>unique</t>
        </is>
      </c>
      <c r="C591" t="n">
        <v>3</v>
      </c>
      <c r="D591" t="inlineStr">
        <is>
          <t>All Skill Level</t>
        </is>
      </c>
      <c r="E591" t="n">
        <v>5</v>
      </c>
      <c r="F591" t="n">
        <v>0.92</v>
      </c>
      <c r="G591" t="b">
        <v>0</v>
      </c>
      <c r="H591">
        <f>Sensitivity!H24</f>
        <v/>
      </c>
    </row>
    <row r="592">
      <c r="A592" t="inlineStr">
        <is>
          <t>ring</t>
        </is>
      </c>
      <c r="B592" t="inlineStr">
        <is>
          <t>legendary</t>
        </is>
      </c>
      <c r="C592" t="n">
        <v>1</v>
      </c>
      <c r="D592" t="inlineStr">
        <is>
          <t>All Skill Level</t>
        </is>
      </c>
      <c r="E592" t="n">
        <v>12</v>
      </c>
      <c r="F592" t="n">
        <v>1</v>
      </c>
      <c r="G592" t="b">
        <v>1</v>
      </c>
      <c r="H592">
        <f>Sensitivity!H24</f>
        <v/>
      </c>
    </row>
    <row r="593">
      <c r="A593" t="inlineStr">
        <is>
          <t>ring</t>
        </is>
      </c>
      <c r="B593" t="inlineStr">
        <is>
          <t>legendary</t>
        </is>
      </c>
      <c r="C593" t="n">
        <v>2</v>
      </c>
      <c r="D593" t="inlineStr">
        <is>
          <t>All Skill Level</t>
        </is>
      </c>
      <c r="E593" t="n">
        <v>12</v>
      </c>
      <c r="F593" t="n">
        <v>0.24</v>
      </c>
      <c r="G593" t="b">
        <v>1</v>
      </c>
      <c r="H593">
        <f>Sensitivity!H24</f>
        <v/>
      </c>
    </row>
    <row r="594">
      <c r="A594" t="inlineStr">
        <is>
          <t>ring</t>
        </is>
      </c>
      <c r="B594" t="inlineStr">
        <is>
          <t>legendary</t>
        </is>
      </c>
      <c r="C594" t="n">
        <v>2</v>
      </c>
      <c r="D594" t="inlineStr">
        <is>
          <t>All Skill Level</t>
        </is>
      </c>
      <c r="E594" t="n">
        <v>8</v>
      </c>
      <c r="F594" t="n">
        <v>0.76</v>
      </c>
      <c r="G594" t="b">
        <v>0</v>
      </c>
      <c r="H594">
        <f>Sensitivity!H24</f>
        <v/>
      </c>
    </row>
    <row r="595">
      <c r="A595" t="inlineStr">
        <is>
          <t>ring</t>
        </is>
      </c>
      <c r="B595" t="inlineStr">
        <is>
          <t>legendary</t>
        </is>
      </c>
      <c r="C595" t="n">
        <v>3</v>
      </c>
      <c r="D595" t="inlineStr">
        <is>
          <t>All Skill Level</t>
        </is>
      </c>
      <c r="E595" t="n">
        <v>12</v>
      </c>
      <c r="F595" t="n">
        <v>0.08</v>
      </c>
      <c r="G595" t="b">
        <v>1</v>
      </c>
      <c r="H595">
        <f>Sensitivity!H24</f>
        <v/>
      </c>
    </row>
    <row r="596">
      <c r="A596" t="inlineStr">
        <is>
          <t>ring</t>
        </is>
      </c>
      <c r="B596" t="inlineStr">
        <is>
          <t>legendary</t>
        </is>
      </c>
      <c r="C596" t="n">
        <v>3</v>
      </c>
      <c r="D596" t="inlineStr">
        <is>
          <t>All Skill Level</t>
        </is>
      </c>
      <c r="E596" t="n">
        <v>8</v>
      </c>
      <c r="F596" t="n">
        <v>0.92</v>
      </c>
      <c r="G596" t="b">
        <v>0</v>
      </c>
      <c r="H596">
        <f>Sensitivity!H24</f>
        <v/>
      </c>
    </row>
    <row r="597">
      <c r="A597" t="inlineStr">
        <is>
          <t>ring</t>
        </is>
      </c>
      <c r="B597" t="inlineStr">
        <is>
          <t>mystic</t>
        </is>
      </c>
      <c r="C597" t="n">
        <v>1</v>
      </c>
      <c r="D597" t="inlineStr">
        <is>
          <t>All Skill Level</t>
        </is>
      </c>
      <c r="E597" t="n">
        <v>16</v>
      </c>
      <c r="F597" t="n">
        <v>1</v>
      </c>
      <c r="G597" t="b">
        <v>1</v>
      </c>
      <c r="H597">
        <f>Sensitivity!H24</f>
        <v/>
      </c>
    </row>
    <row r="598">
      <c r="A598" t="inlineStr">
        <is>
          <t>ring</t>
        </is>
      </c>
      <c r="B598" t="inlineStr">
        <is>
          <t>mystic</t>
        </is>
      </c>
      <c r="C598" t="n">
        <v>2</v>
      </c>
      <c r="D598" t="inlineStr">
        <is>
          <t>All Skill Level</t>
        </is>
      </c>
      <c r="E598" t="n">
        <v>16</v>
      </c>
      <c r="F598" t="n">
        <v>0.24</v>
      </c>
      <c r="G598" t="b">
        <v>1</v>
      </c>
      <c r="H598">
        <f>Sensitivity!H24</f>
        <v/>
      </c>
    </row>
    <row r="599">
      <c r="A599" t="inlineStr">
        <is>
          <t>ring</t>
        </is>
      </c>
      <c r="B599" t="inlineStr">
        <is>
          <t>mystic</t>
        </is>
      </c>
      <c r="C599" t="n">
        <v>2</v>
      </c>
      <c r="D599" t="inlineStr">
        <is>
          <t>All Skill Level</t>
        </is>
      </c>
      <c r="E599" t="n">
        <v>12</v>
      </c>
      <c r="F599" t="n">
        <v>0.76</v>
      </c>
      <c r="G599" t="b">
        <v>0</v>
      </c>
      <c r="H599">
        <f>Sensitivity!H24</f>
        <v/>
      </c>
    </row>
    <row r="600">
      <c r="A600" t="inlineStr">
        <is>
          <t>ring</t>
        </is>
      </c>
      <c r="B600" t="inlineStr">
        <is>
          <t>mystic</t>
        </is>
      </c>
      <c r="C600" t="n">
        <v>3</v>
      </c>
      <c r="D600" t="inlineStr">
        <is>
          <t>All Skill Level</t>
        </is>
      </c>
      <c r="E600" t="n">
        <v>16</v>
      </c>
      <c r="F600" t="n">
        <v>0.08</v>
      </c>
      <c r="G600" t="b">
        <v>1</v>
      </c>
      <c r="H600">
        <f>Sensitivity!H24</f>
        <v/>
      </c>
    </row>
    <row r="601">
      <c r="A601" t="inlineStr">
        <is>
          <t>ring</t>
        </is>
      </c>
      <c r="B601" t="inlineStr">
        <is>
          <t>mystic</t>
        </is>
      </c>
      <c r="C601" t="n">
        <v>3</v>
      </c>
      <c r="D601" t="inlineStr">
        <is>
          <t>All Skill Level</t>
        </is>
      </c>
      <c r="E601" t="n">
        <v>12</v>
      </c>
      <c r="F601" t="n">
        <v>0.92</v>
      </c>
      <c r="G601" t="b">
        <v>0</v>
      </c>
      <c r="H601">
        <f>Sensitivity!H24</f>
        <v/>
      </c>
    </row>
    <row r="602">
      <c r="A602" t="inlineStr">
        <is>
          <t>neck</t>
        </is>
      </c>
      <c r="B602" t="inlineStr">
        <is>
          <t>epic</t>
        </is>
      </c>
      <c r="C602" t="n">
        <v>1</v>
      </c>
      <c r="D602" t="inlineStr">
        <is>
          <t>All Skill Level</t>
        </is>
      </c>
      <c r="E602" t="n">
        <v>5</v>
      </c>
      <c r="F602" t="n">
        <v>1</v>
      </c>
      <c r="G602" t="b">
        <v>1</v>
      </c>
      <c r="H602">
        <f>Sensitivity!H24</f>
        <v/>
      </c>
    </row>
    <row r="603">
      <c r="A603" t="inlineStr">
        <is>
          <t>neck</t>
        </is>
      </c>
      <c r="B603" t="inlineStr">
        <is>
          <t>epic</t>
        </is>
      </c>
      <c r="C603" t="n">
        <v>2</v>
      </c>
      <c r="D603" t="inlineStr">
        <is>
          <t>All Skill Level</t>
        </is>
      </c>
      <c r="E603" t="n">
        <v>5</v>
      </c>
      <c r="F603" t="n">
        <v>0.24</v>
      </c>
      <c r="G603" t="b">
        <v>1</v>
      </c>
      <c r="H603">
        <f>Sensitivity!H24</f>
        <v/>
      </c>
    </row>
    <row r="604">
      <c r="A604" t="inlineStr">
        <is>
          <t>neck</t>
        </is>
      </c>
      <c r="B604" t="inlineStr">
        <is>
          <t>epic</t>
        </is>
      </c>
      <c r="C604" t="n">
        <v>3</v>
      </c>
      <c r="D604" t="inlineStr">
        <is>
          <t>All Skill Level</t>
        </is>
      </c>
      <c r="E604" t="n">
        <v>5</v>
      </c>
      <c r="F604" t="n">
        <v>0.08</v>
      </c>
      <c r="G604" t="b">
        <v>1</v>
      </c>
      <c r="H604">
        <f>Sensitivity!H24</f>
        <v/>
      </c>
    </row>
    <row r="605">
      <c r="A605" t="inlineStr">
        <is>
          <t>neck</t>
        </is>
      </c>
      <c r="B605" t="inlineStr">
        <is>
          <t>unique</t>
        </is>
      </c>
      <c r="C605" t="n">
        <v>1</v>
      </c>
      <c r="D605" t="inlineStr">
        <is>
          <t>All Skill Level</t>
        </is>
      </c>
      <c r="E605" t="n">
        <v>8</v>
      </c>
      <c r="F605" t="n">
        <v>1</v>
      </c>
      <c r="G605" t="b">
        <v>1</v>
      </c>
      <c r="H605">
        <f>Sensitivity!H24</f>
        <v/>
      </c>
    </row>
    <row r="606">
      <c r="A606" t="inlineStr">
        <is>
          <t>neck</t>
        </is>
      </c>
      <c r="B606" t="inlineStr">
        <is>
          <t>unique</t>
        </is>
      </c>
      <c r="C606" t="n">
        <v>2</v>
      </c>
      <c r="D606" t="inlineStr">
        <is>
          <t>All Skill Level</t>
        </is>
      </c>
      <c r="E606" t="n">
        <v>8</v>
      </c>
      <c r="F606" t="n">
        <v>0.24</v>
      </c>
      <c r="G606" t="b">
        <v>1</v>
      </c>
      <c r="H606">
        <f>Sensitivity!H24</f>
        <v/>
      </c>
    </row>
    <row r="607">
      <c r="A607" t="inlineStr">
        <is>
          <t>neck</t>
        </is>
      </c>
      <c r="B607" t="inlineStr">
        <is>
          <t>unique</t>
        </is>
      </c>
      <c r="C607" t="n">
        <v>2</v>
      </c>
      <c r="D607" t="inlineStr">
        <is>
          <t>All Skill Level</t>
        </is>
      </c>
      <c r="E607" t="n">
        <v>5</v>
      </c>
      <c r="F607" t="n">
        <v>0.76</v>
      </c>
      <c r="G607" t="b">
        <v>0</v>
      </c>
      <c r="H607">
        <f>Sensitivity!H24</f>
        <v/>
      </c>
    </row>
    <row r="608">
      <c r="A608" t="inlineStr">
        <is>
          <t>neck</t>
        </is>
      </c>
      <c r="B608" t="inlineStr">
        <is>
          <t>unique</t>
        </is>
      </c>
      <c r="C608" t="n">
        <v>3</v>
      </c>
      <c r="D608" t="inlineStr">
        <is>
          <t>All Skill Level</t>
        </is>
      </c>
      <c r="E608" t="n">
        <v>8</v>
      </c>
      <c r="F608" t="n">
        <v>0.08</v>
      </c>
      <c r="G608" t="b">
        <v>1</v>
      </c>
      <c r="H608">
        <f>Sensitivity!H24</f>
        <v/>
      </c>
    </row>
    <row r="609">
      <c r="A609" t="inlineStr">
        <is>
          <t>neck</t>
        </is>
      </c>
      <c r="B609" t="inlineStr">
        <is>
          <t>unique</t>
        </is>
      </c>
      <c r="C609" t="n">
        <v>3</v>
      </c>
      <c r="D609" t="inlineStr">
        <is>
          <t>All Skill Level</t>
        </is>
      </c>
      <c r="E609" t="n">
        <v>5</v>
      </c>
      <c r="F609" t="n">
        <v>0.92</v>
      </c>
      <c r="G609" t="b">
        <v>0</v>
      </c>
      <c r="H609">
        <f>Sensitivity!H24</f>
        <v/>
      </c>
    </row>
    <row r="610">
      <c r="A610" t="inlineStr">
        <is>
          <t>neck</t>
        </is>
      </c>
      <c r="B610" t="inlineStr">
        <is>
          <t>legendary</t>
        </is>
      </c>
      <c r="C610" t="n">
        <v>1</v>
      </c>
      <c r="D610" t="inlineStr">
        <is>
          <t>All Skill Level</t>
        </is>
      </c>
      <c r="E610" t="n">
        <v>12</v>
      </c>
      <c r="F610" t="n">
        <v>1</v>
      </c>
      <c r="G610" t="b">
        <v>1</v>
      </c>
      <c r="H610">
        <f>Sensitivity!H24</f>
        <v/>
      </c>
    </row>
    <row r="611">
      <c r="A611" t="inlineStr">
        <is>
          <t>neck</t>
        </is>
      </c>
      <c r="B611" t="inlineStr">
        <is>
          <t>legendary</t>
        </is>
      </c>
      <c r="C611" t="n">
        <v>2</v>
      </c>
      <c r="D611" t="inlineStr">
        <is>
          <t>All Skill Level</t>
        </is>
      </c>
      <c r="E611" t="n">
        <v>12</v>
      </c>
      <c r="F611" t="n">
        <v>0.24</v>
      </c>
      <c r="G611" t="b">
        <v>1</v>
      </c>
      <c r="H611">
        <f>Sensitivity!H24</f>
        <v/>
      </c>
    </row>
    <row r="612">
      <c r="A612" t="inlineStr">
        <is>
          <t>neck</t>
        </is>
      </c>
      <c r="B612" t="inlineStr">
        <is>
          <t>legendary</t>
        </is>
      </c>
      <c r="C612" t="n">
        <v>2</v>
      </c>
      <c r="D612" t="inlineStr">
        <is>
          <t>All Skill Level</t>
        </is>
      </c>
      <c r="E612" t="n">
        <v>8</v>
      </c>
      <c r="F612" t="n">
        <v>0.76</v>
      </c>
      <c r="G612" t="b">
        <v>0</v>
      </c>
      <c r="H612">
        <f>Sensitivity!H24</f>
        <v/>
      </c>
    </row>
    <row r="613">
      <c r="A613" t="inlineStr">
        <is>
          <t>neck</t>
        </is>
      </c>
      <c r="B613" t="inlineStr">
        <is>
          <t>legendary</t>
        </is>
      </c>
      <c r="C613" t="n">
        <v>3</v>
      </c>
      <c r="D613" t="inlineStr">
        <is>
          <t>All Skill Level</t>
        </is>
      </c>
      <c r="E613" t="n">
        <v>12</v>
      </c>
      <c r="F613" t="n">
        <v>0.08</v>
      </c>
      <c r="G613" t="b">
        <v>1</v>
      </c>
      <c r="H613">
        <f>Sensitivity!H24</f>
        <v/>
      </c>
    </row>
    <row r="614">
      <c r="A614" t="inlineStr">
        <is>
          <t>neck</t>
        </is>
      </c>
      <c r="B614" t="inlineStr">
        <is>
          <t>legendary</t>
        </is>
      </c>
      <c r="C614" t="n">
        <v>3</v>
      </c>
      <c r="D614" t="inlineStr">
        <is>
          <t>All Skill Level</t>
        </is>
      </c>
      <c r="E614" t="n">
        <v>8</v>
      </c>
      <c r="F614" t="n">
        <v>0.92</v>
      </c>
      <c r="G614" t="b">
        <v>0</v>
      </c>
      <c r="H614">
        <f>Sensitivity!H24</f>
        <v/>
      </c>
    </row>
    <row r="615">
      <c r="A615" t="inlineStr">
        <is>
          <t>neck</t>
        </is>
      </c>
      <c r="B615" t="inlineStr">
        <is>
          <t>mystic</t>
        </is>
      </c>
      <c r="C615" t="n">
        <v>1</v>
      </c>
      <c r="D615" t="inlineStr">
        <is>
          <t>All Skill Level</t>
        </is>
      </c>
      <c r="E615" t="n">
        <v>16</v>
      </c>
      <c r="F615" t="n">
        <v>1</v>
      </c>
      <c r="G615" t="b">
        <v>1</v>
      </c>
      <c r="H615">
        <f>Sensitivity!H24</f>
        <v/>
      </c>
    </row>
    <row r="616">
      <c r="A616" t="inlineStr">
        <is>
          <t>neck</t>
        </is>
      </c>
      <c r="B616" t="inlineStr">
        <is>
          <t>mystic</t>
        </is>
      </c>
      <c r="C616" t="n">
        <v>2</v>
      </c>
      <c r="D616" t="inlineStr">
        <is>
          <t>All Skill Level</t>
        </is>
      </c>
      <c r="E616" t="n">
        <v>16</v>
      </c>
      <c r="F616" t="n">
        <v>0.24</v>
      </c>
      <c r="G616" t="b">
        <v>1</v>
      </c>
      <c r="H616">
        <f>Sensitivity!H24</f>
        <v/>
      </c>
    </row>
    <row r="617">
      <c r="A617" t="inlineStr">
        <is>
          <t>neck</t>
        </is>
      </c>
      <c r="B617" t="inlineStr">
        <is>
          <t>mystic</t>
        </is>
      </c>
      <c r="C617" t="n">
        <v>2</v>
      </c>
      <c r="D617" t="inlineStr">
        <is>
          <t>All Skill Level</t>
        </is>
      </c>
      <c r="E617" t="n">
        <v>12</v>
      </c>
      <c r="F617" t="n">
        <v>0.76</v>
      </c>
      <c r="G617" t="b">
        <v>0</v>
      </c>
      <c r="H617">
        <f>Sensitivity!H24</f>
        <v/>
      </c>
    </row>
    <row r="618">
      <c r="A618" t="inlineStr">
        <is>
          <t>neck</t>
        </is>
      </c>
      <c r="B618" t="inlineStr">
        <is>
          <t>mystic</t>
        </is>
      </c>
      <c r="C618" t="n">
        <v>3</v>
      </c>
      <c r="D618" t="inlineStr">
        <is>
          <t>All Skill Level</t>
        </is>
      </c>
      <c r="E618" t="n">
        <v>16</v>
      </c>
      <c r="F618" t="n">
        <v>0.08</v>
      </c>
      <c r="G618" t="b">
        <v>1</v>
      </c>
      <c r="H618">
        <f>Sensitivity!H24</f>
        <v/>
      </c>
    </row>
    <row r="619">
      <c r="A619" t="inlineStr">
        <is>
          <t>neck</t>
        </is>
      </c>
      <c r="B619" t="inlineStr">
        <is>
          <t>mystic</t>
        </is>
      </c>
      <c r="C619" t="n">
        <v>3</v>
      </c>
      <c r="D619" t="inlineStr">
        <is>
          <t>All Skill Level</t>
        </is>
      </c>
      <c r="E619" t="n">
        <v>12</v>
      </c>
      <c r="F619" t="n">
        <v>0.92</v>
      </c>
      <c r="G619" t="b">
        <v>0</v>
      </c>
      <c r="H619">
        <f>Sensitivity!H24</f>
        <v/>
      </c>
    </row>
    <row r="620">
      <c r="A620" t="inlineStr">
        <is>
          <t>eye-accessory</t>
        </is>
      </c>
      <c r="B620" t="inlineStr">
        <is>
          <t>epic</t>
        </is>
      </c>
      <c r="C620" t="n">
        <v>1</v>
      </c>
      <c r="D620" t="inlineStr">
        <is>
          <t>Main Stat Per Level</t>
        </is>
      </c>
      <c r="E620" t="n">
        <v>10</v>
      </c>
      <c r="F620" t="n">
        <v>1</v>
      </c>
      <c r="G620" t="b">
        <v>1</v>
      </c>
      <c r="H620">
        <f>Sensitivity!H5*Inputs!$B$3</f>
        <v/>
      </c>
    </row>
    <row r="621">
      <c r="A621" t="inlineStr">
        <is>
          <t>eye-accessory</t>
        </is>
      </c>
      <c r="B621" t="inlineStr">
        <is>
          <t>epic</t>
        </is>
      </c>
      <c r="C621" t="n">
        <v>2</v>
      </c>
      <c r="D621" t="inlineStr">
        <is>
          <t>Main Stat Per Level</t>
        </is>
      </c>
      <c r="E621" t="n">
        <v>10</v>
      </c>
      <c r="F621" t="n">
        <v>0.24</v>
      </c>
      <c r="G621" t="b">
        <v>1</v>
      </c>
      <c r="H621">
        <f>Sensitivity!H5*Inputs!$B$3</f>
        <v/>
      </c>
    </row>
    <row r="622">
      <c r="A622" t="inlineStr">
        <is>
          <t>eye-accessory</t>
        </is>
      </c>
      <c r="B622" t="inlineStr">
        <is>
          <t>epic</t>
        </is>
      </c>
      <c r="C622" t="n">
        <v>3</v>
      </c>
      <c r="D622" t="inlineStr">
        <is>
          <t>Main Stat Per Level</t>
        </is>
      </c>
      <c r="E622" t="n">
        <v>10</v>
      </c>
      <c r="F622" t="n">
        <v>0.08</v>
      </c>
      <c r="G622" t="b">
        <v>1</v>
      </c>
      <c r="H622">
        <f>Sensitivity!H5*Inputs!$B$3</f>
        <v/>
      </c>
    </row>
    <row r="623">
      <c r="A623" t="inlineStr">
        <is>
          <t>eye-accessory</t>
        </is>
      </c>
      <c r="B623" t="inlineStr">
        <is>
          <t>unique</t>
        </is>
      </c>
      <c r="C623" t="n">
        <v>1</v>
      </c>
      <c r="D623" t="inlineStr">
        <is>
          <t>Main Stat Per Level</t>
        </is>
      </c>
      <c r="E623" t="n">
        <v>20</v>
      </c>
      <c r="F623" t="n">
        <v>1</v>
      </c>
      <c r="G623" t="b">
        <v>1</v>
      </c>
      <c r="H623">
        <f>Sensitivity!H5*Inputs!$B$3</f>
        <v/>
      </c>
    </row>
    <row r="624">
      <c r="A624" t="inlineStr">
        <is>
          <t>eye-accessory</t>
        </is>
      </c>
      <c r="B624" t="inlineStr">
        <is>
          <t>unique</t>
        </is>
      </c>
      <c r="C624" t="n">
        <v>2</v>
      </c>
      <c r="D624" t="inlineStr">
        <is>
          <t>Main Stat Per Level</t>
        </is>
      </c>
      <c r="E624" t="n">
        <v>20</v>
      </c>
      <c r="F624" t="n">
        <v>0.24</v>
      </c>
      <c r="G624" t="b">
        <v>1</v>
      </c>
      <c r="H624">
        <f>Sensitivity!H5*Inputs!$B$3</f>
        <v/>
      </c>
    </row>
    <row r="625">
      <c r="A625" t="inlineStr">
        <is>
          <t>eye-accessory</t>
        </is>
      </c>
      <c r="B625" t="inlineStr">
        <is>
          <t>unique</t>
        </is>
      </c>
      <c r="C625" t="n">
        <v>2</v>
      </c>
      <c r="D625" t="inlineStr">
        <is>
          <t>Main Stat Per Level</t>
        </is>
      </c>
      <c r="E625" t="n">
        <v>10</v>
      </c>
      <c r="F625" t="n">
        <v>0.76</v>
      </c>
      <c r="G625" t="b">
        <v>0</v>
      </c>
      <c r="H625">
        <f>Sensitivity!H5*Inputs!$B$3</f>
        <v/>
      </c>
    </row>
    <row r="626">
      <c r="A626" t="inlineStr">
        <is>
          <t>eye-accessory</t>
        </is>
      </c>
      <c r="B626" t="inlineStr">
        <is>
          <t>unique</t>
        </is>
      </c>
      <c r="C626" t="n">
        <v>3</v>
      </c>
      <c r="D626" t="inlineStr">
        <is>
          <t>Main Stat Per Level</t>
        </is>
      </c>
      <c r="E626" t="n">
        <v>20</v>
      </c>
      <c r="F626" t="n">
        <v>0.08</v>
      </c>
      <c r="G626" t="b">
        <v>1</v>
      </c>
      <c r="H626">
        <f>Sensitivity!H5*Inputs!$B$3</f>
        <v/>
      </c>
    </row>
    <row r="627">
      <c r="A627" t="inlineStr">
        <is>
          <t>eye-accessory</t>
        </is>
      </c>
      <c r="B627" t="inlineStr">
        <is>
          <t>unique</t>
        </is>
      </c>
      <c r="C627" t="n">
        <v>3</v>
      </c>
      <c r="D627" t="inlineStr">
        <is>
          <t>Main Stat Per Level</t>
        </is>
      </c>
      <c r="E627" t="n">
        <v>10</v>
      </c>
      <c r="F627" t="n">
        <v>0.92</v>
      </c>
      <c r="G627" t="b">
        <v>0</v>
      </c>
      <c r="H627">
        <f>Sensitivity!H5*Inputs!$B$3</f>
        <v/>
      </c>
    </row>
    <row r="628">
      <c r="A628" t="inlineStr">
        <is>
          <t>eye-accessory</t>
        </is>
      </c>
      <c r="B628" t="inlineStr">
        <is>
          <t>legendary</t>
        </is>
      </c>
      <c r="C628" t="n">
        <v>1</v>
      </c>
      <c r="D628" t="inlineStr">
        <is>
          <t>Main Stat Per Level</t>
        </is>
      </c>
      <c r="E628" t="n">
        <v>35</v>
      </c>
      <c r="F628" t="n">
        <v>1</v>
      </c>
      <c r="G628" t="b">
        <v>1</v>
      </c>
      <c r="H628">
        <f>Sensitivity!H5*Inputs!$B$3</f>
        <v/>
      </c>
    </row>
    <row r="629">
      <c r="A629" t="inlineStr">
        <is>
          <t>eye-accessory</t>
        </is>
      </c>
      <c r="B629" t="inlineStr">
        <is>
          <t>legendary</t>
        </is>
      </c>
      <c r="C629" t="n">
        <v>2</v>
      </c>
      <c r="D629" t="inlineStr">
        <is>
          <t>Main Stat Per Level</t>
        </is>
      </c>
      <c r="E629" t="n">
        <v>35</v>
      </c>
      <c r="F629" t="n">
        <v>0.24</v>
      </c>
      <c r="G629" t="b">
        <v>1</v>
      </c>
      <c r="H629">
        <f>Sensitivity!H5*Inputs!$B$3</f>
        <v/>
      </c>
    </row>
    <row r="630">
      <c r="A630" t="inlineStr">
        <is>
          <t>eye-accessory</t>
        </is>
      </c>
      <c r="B630" t="inlineStr">
        <is>
          <t>legendary</t>
        </is>
      </c>
      <c r="C630" t="n">
        <v>2</v>
      </c>
      <c r="D630" t="inlineStr">
        <is>
          <t>Main Stat Per Level</t>
        </is>
      </c>
      <c r="E630" t="n">
        <v>20</v>
      </c>
      <c r="F630" t="n">
        <v>0.76</v>
      </c>
      <c r="G630" t="b">
        <v>0</v>
      </c>
      <c r="H630">
        <f>Sensitivity!H5*Inputs!$B$3</f>
        <v/>
      </c>
    </row>
    <row r="631">
      <c r="A631" t="inlineStr">
        <is>
          <t>eye-accessory</t>
        </is>
      </c>
      <c r="B631" t="inlineStr">
        <is>
          <t>legendary</t>
        </is>
      </c>
      <c r="C631" t="n">
        <v>3</v>
      </c>
      <c r="D631" t="inlineStr">
        <is>
          <t>Main Stat Per Level</t>
        </is>
      </c>
      <c r="E631" t="n">
        <v>35</v>
      </c>
      <c r="F631" t="n">
        <v>0.08</v>
      </c>
      <c r="G631" t="b">
        <v>1</v>
      </c>
      <c r="H631">
        <f>Sensitivity!H5*Inputs!$B$3</f>
        <v/>
      </c>
    </row>
    <row r="632">
      <c r="A632" t="inlineStr">
        <is>
          <t>eye-accessory</t>
        </is>
      </c>
      <c r="B632" t="inlineStr">
        <is>
          <t>legendary</t>
        </is>
      </c>
      <c r="C632" t="n">
        <v>3</v>
      </c>
      <c r="D632" t="inlineStr">
        <is>
          <t>Main Stat Per Level</t>
        </is>
      </c>
      <c r="E632" t="n">
        <v>20</v>
      </c>
      <c r="F632" t="n">
        <v>0.92</v>
      </c>
      <c r="G632" t="b">
        <v>0</v>
      </c>
      <c r="H632">
        <f>Sensitivity!H5*Inputs!$B$3</f>
        <v/>
      </c>
    </row>
    <row r="633">
      <c r="A633" t="inlineStr">
        <is>
          <t>eye-accessory</t>
        </is>
      </c>
      <c r="B633" t="inlineStr">
        <is>
          <t>mystic</t>
        </is>
      </c>
      <c r="C633" t="n">
        <v>1</v>
      </c>
      <c r="D633" t="inlineStr">
        <is>
          <t>Main Stat Per Level</t>
        </is>
      </c>
      <c r="E633" t="n">
        <v>50</v>
      </c>
      <c r="F633" t="n">
        <v>1</v>
      </c>
      <c r="G633" t="b">
        <v>1</v>
      </c>
      <c r="H633">
        <f>Sensitivity!H5*Inputs!$B$3</f>
        <v/>
      </c>
    </row>
    <row r="634">
      <c r="A634" t="inlineStr">
        <is>
          <t>eye-accessory</t>
        </is>
      </c>
      <c r="B634" t="inlineStr">
        <is>
          <t>mystic</t>
        </is>
      </c>
      <c r="C634" t="n">
        <v>2</v>
      </c>
      <c r="D634" t="inlineStr">
        <is>
          <t>Main Stat Per Level</t>
        </is>
      </c>
      <c r="E634" t="n">
        <v>50</v>
      </c>
      <c r="F634" t="n">
        <v>0.24</v>
      </c>
      <c r="G634" t="b">
        <v>1</v>
      </c>
      <c r="H634">
        <f>Sensitivity!H5*Inputs!$B$3</f>
        <v/>
      </c>
    </row>
    <row r="635">
      <c r="A635" t="inlineStr">
        <is>
          <t>eye-accessory</t>
        </is>
      </c>
      <c r="B635" t="inlineStr">
        <is>
          <t>mystic</t>
        </is>
      </c>
      <c r="C635" t="n">
        <v>2</v>
      </c>
      <c r="D635" t="inlineStr">
        <is>
          <t>Main Stat Per Level</t>
        </is>
      </c>
      <c r="E635" t="n">
        <v>35</v>
      </c>
      <c r="F635" t="n">
        <v>0.76</v>
      </c>
      <c r="G635" t="b">
        <v>0</v>
      </c>
      <c r="H635">
        <f>Sensitivity!H5*Inputs!$B$3</f>
        <v/>
      </c>
    </row>
    <row r="636">
      <c r="A636" t="inlineStr">
        <is>
          <t>eye-accessory</t>
        </is>
      </c>
      <c r="B636" t="inlineStr">
        <is>
          <t>mystic</t>
        </is>
      </c>
      <c r="C636" t="n">
        <v>3</v>
      </c>
      <c r="D636" t="inlineStr">
        <is>
          <t>Main Stat Per Level</t>
        </is>
      </c>
      <c r="E636" t="n">
        <v>50</v>
      </c>
      <c r="F636" t="n">
        <v>0.08</v>
      </c>
      <c r="G636" t="b">
        <v>1</v>
      </c>
      <c r="H636">
        <f>Sensitivity!H5*Inputs!$B$3</f>
        <v/>
      </c>
    </row>
    <row r="637">
      <c r="A637" t="inlineStr">
        <is>
          <t>eye-accessory</t>
        </is>
      </c>
      <c r="B637" t="inlineStr">
        <is>
          <t>mystic</t>
        </is>
      </c>
      <c r="C637" t="n">
        <v>3</v>
      </c>
      <c r="D637" t="inlineStr">
        <is>
          <t>Main Stat Per Level</t>
        </is>
      </c>
      <c r="E637" t="n">
        <v>35</v>
      </c>
      <c r="F637" t="n">
        <v>0.92</v>
      </c>
      <c r="G637" t="b">
        <v>0</v>
      </c>
      <c r="H637">
        <f>Sensitivity!H5*Inputs!$B$3</f>
        <v/>
      </c>
    </row>
    <row r="638">
      <c r="A638" t="inlineStr">
        <is>
          <t>ring2</t>
        </is>
      </c>
      <c r="B638" t="inlineStr">
        <is>
          <t>epic</t>
        </is>
      </c>
      <c r="C638" t="n">
        <v>1</v>
      </c>
      <c r="D638" t="inlineStr">
        <is>
          <t>Basic Attack Damage %</t>
        </is>
      </c>
      <c r="E638" t="n">
        <v>8</v>
      </c>
      <c r="F638" t="n">
        <v>1</v>
      </c>
      <c r="G638" t="b">
        <v>1</v>
      </c>
      <c r="H638">
        <f>Sensitivity!H18</f>
        <v/>
      </c>
    </row>
    <row r="639">
      <c r="A639" t="inlineStr">
        <is>
          <t>ring2</t>
        </is>
      </c>
      <c r="B639" t="inlineStr">
        <is>
          <t>epic</t>
        </is>
      </c>
      <c r="C639" t="n">
        <v>2</v>
      </c>
      <c r="D639" t="inlineStr">
        <is>
          <t>Basic Attack Damage %</t>
        </is>
      </c>
      <c r="E639" t="n">
        <v>8</v>
      </c>
      <c r="F639" t="n">
        <v>0.24</v>
      </c>
      <c r="G639" t="b">
        <v>1</v>
      </c>
      <c r="H639">
        <f>Sensitivity!H18</f>
        <v/>
      </c>
    </row>
    <row r="640">
      <c r="A640" t="inlineStr">
        <is>
          <t>ring2</t>
        </is>
      </c>
      <c r="B640" t="inlineStr">
        <is>
          <t>epic</t>
        </is>
      </c>
      <c r="C640" t="n">
        <v>3</v>
      </c>
      <c r="D640" t="inlineStr">
        <is>
          <t>Basic Attack Damage %</t>
        </is>
      </c>
      <c r="E640" t="n">
        <v>8</v>
      </c>
      <c r="F640" t="n">
        <v>0.08</v>
      </c>
      <c r="G640" t="b">
        <v>1</v>
      </c>
      <c r="H640">
        <f>Sensitivity!H18</f>
        <v/>
      </c>
    </row>
    <row r="641">
      <c r="A641" t="inlineStr">
        <is>
          <t>ring2</t>
        </is>
      </c>
      <c r="B641" t="inlineStr">
        <is>
          <t>unique</t>
        </is>
      </c>
      <c r="C641" t="n">
        <v>1</v>
      </c>
      <c r="D641" t="inlineStr">
        <is>
          <t>Basic Attack Damage %</t>
        </is>
      </c>
      <c r="E641" t="n">
        <v>14</v>
      </c>
      <c r="F641" t="n">
        <v>1</v>
      </c>
      <c r="G641" t="b">
        <v>1</v>
      </c>
      <c r="H641">
        <f>Sensitivity!H18</f>
        <v/>
      </c>
    </row>
    <row r="642">
      <c r="A642" t="inlineStr">
        <is>
          <t>ring2</t>
        </is>
      </c>
      <c r="B642" t="inlineStr">
        <is>
          <t>unique</t>
        </is>
      </c>
      <c r="C642" t="n">
        <v>2</v>
      </c>
      <c r="D642" t="inlineStr">
        <is>
          <t>Basic Attack Damage %</t>
        </is>
      </c>
      <c r="E642" t="n">
        <v>14</v>
      </c>
      <c r="F642" t="n">
        <v>0.24</v>
      </c>
      <c r="G642" t="b">
        <v>1</v>
      </c>
      <c r="H642">
        <f>Sensitivity!H18</f>
        <v/>
      </c>
    </row>
    <row r="643">
      <c r="A643" t="inlineStr">
        <is>
          <t>ring2</t>
        </is>
      </c>
      <c r="B643" t="inlineStr">
        <is>
          <t>unique</t>
        </is>
      </c>
      <c r="C643" t="n">
        <v>2</v>
      </c>
      <c r="D643" t="inlineStr">
        <is>
          <t>Basic Attack Damage %</t>
        </is>
      </c>
      <c r="E643" t="n">
        <v>8</v>
      </c>
      <c r="F643" t="n">
        <v>0.76</v>
      </c>
      <c r="G643" t="b">
        <v>0</v>
      </c>
      <c r="H643">
        <f>Sensitivity!H18</f>
        <v/>
      </c>
    </row>
    <row r="644">
      <c r="A644" t="inlineStr">
        <is>
          <t>ring2</t>
        </is>
      </c>
      <c r="B644" t="inlineStr">
        <is>
          <t>unique</t>
        </is>
      </c>
      <c r="C644" t="n">
        <v>3</v>
      </c>
      <c r="D644" t="inlineStr">
        <is>
          <t>Basic Attack Damage %</t>
        </is>
      </c>
      <c r="E644" t="n">
        <v>14</v>
      </c>
      <c r="F644" t="n">
        <v>0.08</v>
      </c>
      <c r="G644" t="b">
        <v>1</v>
      </c>
      <c r="H644">
        <f>Sensitivity!H18</f>
        <v/>
      </c>
    </row>
    <row r="645">
      <c r="A645" t="inlineStr">
        <is>
          <t>ring2</t>
        </is>
      </c>
      <c r="B645" t="inlineStr">
        <is>
          <t>unique</t>
        </is>
      </c>
      <c r="C645" t="n">
        <v>3</v>
      </c>
      <c r="D645" t="inlineStr">
        <is>
          <t>Basic Attack Damage %</t>
        </is>
      </c>
      <c r="E645" t="n">
        <v>8</v>
      </c>
      <c r="F645" t="n">
        <v>0.92</v>
      </c>
      <c r="G645" t="b">
        <v>0</v>
      </c>
      <c r="H645">
        <f>Sensitivity!H18</f>
        <v/>
      </c>
    </row>
    <row r="646">
      <c r="A646" t="inlineStr">
        <is>
          <t>ring2</t>
        </is>
      </c>
      <c r="B646" t="inlineStr">
        <is>
          <t>legendary</t>
        </is>
      </c>
      <c r="C646" t="n">
        <v>1</v>
      </c>
      <c r="D646" t="inlineStr">
        <is>
          <t>Basic Attack Damage %</t>
        </is>
      </c>
      <c r="E646" t="n">
        <v>21</v>
      </c>
      <c r="F646" t="n">
        <v>1</v>
      </c>
      <c r="G646" t="b">
        <v>1</v>
      </c>
      <c r="H646">
        <f>Sensitivity!H18</f>
        <v/>
      </c>
    </row>
    <row r="647">
      <c r="A647" t="inlineStr">
        <is>
          <t>ring2</t>
        </is>
      </c>
      <c r="B647" t="inlineStr">
        <is>
          <t>legendary</t>
        </is>
      </c>
      <c r="C647" t="n">
        <v>2</v>
      </c>
      <c r="D647" t="inlineStr">
        <is>
          <t>Basic Attack Damage %</t>
        </is>
      </c>
      <c r="E647" t="n">
        <v>21</v>
      </c>
      <c r="F647" t="n">
        <v>0.24</v>
      </c>
      <c r="G647" t="b">
        <v>1</v>
      </c>
      <c r="H647">
        <f>Sensitivity!H18</f>
        <v/>
      </c>
    </row>
    <row r="648">
      <c r="A648" t="inlineStr">
        <is>
          <t>ring2</t>
        </is>
      </c>
      <c r="B648" t="inlineStr">
        <is>
          <t>legendary</t>
        </is>
      </c>
      <c r="C648" t="n">
        <v>2</v>
      </c>
      <c r="D648" t="inlineStr">
        <is>
          <t>Basic Attack Damage %</t>
        </is>
      </c>
      <c r="E648" t="n">
        <v>14</v>
      </c>
      <c r="F648" t="n">
        <v>0.76</v>
      </c>
      <c r="G648" t="b">
        <v>0</v>
      </c>
      <c r="H648">
        <f>Sensitivity!H18</f>
        <v/>
      </c>
    </row>
    <row r="649">
      <c r="A649" t="inlineStr">
        <is>
          <t>ring2</t>
        </is>
      </c>
      <c r="B649" t="inlineStr">
        <is>
          <t>legendary</t>
        </is>
      </c>
      <c r="C649" t="n">
        <v>3</v>
      </c>
      <c r="D649" t="inlineStr">
        <is>
          <t>Basic Attack Damage %</t>
        </is>
      </c>
      <c r="E649" t="n">
        <v>21</v>
      </c>
      <c r="F649" t="n">
        <v>0.08</v>
      </c>
      <c r="G649" t="b">
        <v>1</v>
      </c>
      <c r="H649">
        <f>Sensitivity!H18</f>
        <v/>
      </c>
    </row>
    <row r="650">
      <c r="A650" t="inlineStr">
        <is>
          <t>ring2</t>
        </is>
      </c>
      <c r="B650" t="inlineStr">
        <is>
          <t>legendary</t>
        </is>
      </c>
      <c r="C650" t="n">
        <v>3</v>
      </c>
      <c r="D650" t="inlineStr">
        <is>
          <t>Basic Attack Damage %</t>
        </is>
      </c>
      <c r="E650" t="n">
        <v>14</v>
      </c>
      <c r="F650" t="n">
        <v>0.92</v>
      </c>
      <c r="G650" t="b">
        <v>0</v>
      </c>
      <c r="H650">
        <f>Sensitivity!H18</f>
        <v/>
      </c>
    </row>
    <row r="651">
      <c r="A651" t="inlineStr">
        <is>
          <t>ring2</t>
        </is>
      </c>
      <c r="B651" t="inlineStr">
        <is>
          <t>mystic</t>
        </is>
      </c>
      <c r="C651" t="n">
        <v>1</v>
      </c>
      <c r="D651" t="inlineStr">
        <is>
          <t>Basic Attack Damage %</t>
        </is>
      </c>
      <c r="E651" t="n">
        <v>30</v>
      </c>
      <c r="F651" t="n">
        <v>1</v>
      </c>
      <c r="G651" t="b">
        <v>1</v>
      </c>
      <c r="H651">
        <f>Sensitivity!H18</f>
        <v/>
      </c>
    </row>
    <row r="652">
      <c r="A652" t="inlineStr">
        <is>
          <t>ring2</t>
        </is>
      </c>
      <c r="B652" t="inlineStr">
        <is>
          <t>mystic</t>
        </is>
      </c>
      <c r="C652" t="n">
        <v>2</v>
      </c>
      <c r="D652" t="inlineStr">
        <is>
          <t>Basic Attack Damage %</t>
        </is>
      </c>
      <c r="E652" t="n">
        <v>30</v>
      </c>
      <c r="F652" t="n">
        <v>0.24</v>
      </c>
      <c r="G652" t="b">
        <v>1</v>
      </c>
      <c r="H652">
        <f>Sensitivity!H18</f>
        <v/>
      </c>
    </row>
    <row r="653">
      <c r="A653" t="inlineStr">
        <is>
          <t>ring2</t>
        </is>
      </c>
      <c r="B653" t="inlineStr">
        <is>
          <t>mystic</t>
        </is>
      </c>
      <c r="C653" t="n">
        <v>2</v>
      </c>
      <c r="D653" t="inlineStr">
        <is>
          <t>Basic Attack Damage %</t>
        </is>
      </c>
      <c r="E653" t="n">
        <v>21</v>
      </c>
      <c r="F653" t="n">
        <v>0.76</v>
      </c>
      <c r="G653" t="b">
        <v>0</v>
      </c>
      <c r="H653">
        <f>Sensitivity!H18</f>
        <v/>
      </c>
    </row>
    <row r="654">
      <c r="A654" t="inlineStr">
        <is>
          <t>ring2</t>
        </is>
      </c>
      <c r="B654" t="inlineStr">
        <is>
          <t>mystic</t>
        </is>
      </c>
      <c r="C654" t="n">
        <v>3</v>
      </c>
      <c r="D654" t="inlineStr">
        <is>
          <t>Basic Attack Damage %</t>
        </is>
      </c>
      <c r="E654" t="n">
        <v>30</v>
      </c>
      <c r="F654" t="n">
        <v>0.08</v>
      </c>
      <c r="G654" t="b">
        <v>1</v>
      </c>
      <c r="H654">
        <f>Sensitivity!H18</f>
        <v/>
      </c>
    </row>
    <row r="655">
      <c r="A655" t="inlineStr">
        <is>
          <t>ring2</t>
        </is>
      </c>
      <c r="B655" t="inlineStr">
        <is>
          <t>mystic</t>
        </is>
      </c>
      <c r="C655" t="n">
        <v>3</v>
      </c>
      <c r="D655" t="inlineStr">
        <is>
          <t>Basic Attack Damage %</t>
        </is>
      </c>
      <c r="E655" t="n">
        <v>21</v>
      </c>
      <c r="F655" t="n">
        <v>0.92</v>
      </c>
      <c r="G655" t="b">
        <v>0</v>
      </c>
      <c r="H655">
        <f>Sensitivity!H18</f>
        <v/>
      </c>
    </row>
    <row r="656">
      <c r="A656" t="inlineStr">
        <is>
          <t>face</t>
        </is>
      </c>
      <c r="B656" t="inlineStr">
        <is>
          <t>epic</t>
        </is>
      </c>
      <c r="C656" t="n">
        <v>1</v>
      </c>
      <c r="D656" t="inlineStr">
        <is>
          <t>Final Damage %</t>
        </is>
      </c>
      <c r="E656" t="n">
        <v>3</v>
      </c>
      <c r="F656" t="n">
        <v>1</v>
      </c>
      <c r="G656" t="b">
        <v>1</v>
      </c>
      <c r="H656">
        <f>Sensitivity!H11</f>
        <v/>
      </c>
    </row>
    <row r="657">
      <c r="A657" t="inlineStr">
        <is>
          <t>face</t>
        </is>
      </c>
      <c r="B657" t="inlineStr">
        <is>
          <t>epic</t>
        </is>
      </c>
      <c r="C657" t="n">
        <v>2</v>
      </c>
      <c r="D657" t="inlineStr">
        <is>
          <t>Final Damage %</t>
        </is>
      </c>
      <c r="E657" t="n">
        <v>3</v>
      </c>
      <c r="F657" t="n">
        <v>0.24</v>
      </c>
      <c r="G657" t="b">
        <v>1</v>
      </c>
      <c r="H657">
        <f>Sensitivity!H11</f>
        <v/>
      </c>
    </row>
    <row r="658">
      <c r="A658" t="inlineStr">
        <is>
          <t>face</t>
        </is>
      </c>
      <c r="B658" t="inlineStr">
        <is>
          <t>epic</t>
        </is>
      </c>
      <c r="C658" t="n">
        <v>3</v>
      </c>
      <c r="D658" t="inlineStr">
        <is>
          <t>Final Damage %</t>
        </is>
      </c>
      <c r="E658" t="n">
        <v>3</v>
      </c>
      <c r="F658" t="n">
        <v>0.08</v>
      </c>
      <c r="G658" t="b">
        <v>1</v>
      </c>
      <c r="H658">
        <f>Sensitivity!H11</f>
        <v/>
      </c>
    </row>
    <row r="659">
      <c r="A659" t="inlineStr">
        <is>
          <t>face</t>
        </is>
      </c>
      <c r="B659" t="inlineStr">
        <is>
          <t>unique</t>
        </is>
      </c>
      <c r="C659" t="n">
        <v>1</v>
      </c>
      <c r="D659" t="inlineStr">
        <is>
          <t>Final Damage %</t>
        </is>
      </c>
      <c r="E659" t="n">
        <v>5</v>
      </c>
      <c r="F659" t="n">
        <v>1</v>
      </c>
      <c r="G659" t="b">
        <v>1</v>
      </c>
      <c r="H659">
        <f>Sensitivity!H11</f>
        <v/>
      </c>
    </row>
    <row r="660">
      <c r="A660" t="inlineStr">
        <is>
          <t>face</t>
        </is>
      </c>
      <c r="B660" t="inlineStr">
        <is>
          <t>unique</t>
        </is>
      </c>
      <c r="C660" t="n">
        <v>2</v>
      </c>
      <c r="D660" t="inlineStr">
        <is>
          <t>Final Damage %</t>
        </is>
      </c>
      <c r="E660" t="n">
        <v>5</v>
      </c>
      <c r="F660" t="n">
        <v>0.24</v>
      </c>
      <c r="G660" t="b">
        <v>1</v>
      </c>
      <c r="H660">
        <f>Sensitivity!H11</f>
        <v/>
      </c>
    </row>
    <row r="661">
      <c r="A661" t="inlineStr">
        <is>
          <t>face</t>
        </is>
      </c>
      <c r="B661" t="inlineStr">
        <is>
          <t>unique</t>
        </is>
      </c>
      <c r="C661" t="n">
        <v>2</v>
      </c>
      <c r="D661" t="inlineStr">
        <is>
          <t>Final Damage %</t>
        </is>
      </c>
      <c r="E661" t="n">
        <v>3</v>
      </c>
      <c r="F661" t="n">
        <v>0.76</v>
      </c>
      <c r="G661" t="b">
        <v>0</v>
      </c>
      <c r="H661">
        <f>Sensitivity!H11</f>
        <v/>
      </c>
    </row>
    <row r="662">
      <c r="A662" t="inlineStr">
        <is>
          <t>face</t>
        </is>
      </c>
      <c r="B662" t="inlineStr">
        <is>
          <t>unique</t>
        </is>
      </c>
      <c r="C662" t="n">
        <v>3</v>
      </c>
      <c r="D662" t="inlineStr">
        <is>
          <t>Final Damage %</t>
        </is>
      </c>
      <c r="E662" t="n">
        <v>5</v>
      </c>
      <c r="F662" t="n">
        <v>0.08</v>
      </c>
      <c r="G662" t="b">
        <v>1</v>
      </c>
      <c r="H662">
        <f>Sensitivity!H11</f>
        <v/>
      </c>
    </row>
    <row r="663">
      <c r="A663" t="inlineStr">
        <is>
          <t>face</t>
        </is>
      </c>
      <c r="B663" t="inlineStr">
        <is>
          <t>unique</t>
        </is>
      </c>
      <c r="C663" t="n">
        <v>3</v>
      </c>
      <c r="D663" t="inlineStr">
        <is>
          <t>Final Damage %</t>
        </is>
      </c>
      <c r="E663" t="n">
        <v>3</v>
      </c>
      <c r="F663" t="n">
        <v>0.92</v>
      </c>
      <c r="G663" t="b">
        <v>0</v>
      </c>
      <c r="H663">
        <f>Sensitivity!H11</f>
        <v/>
      </c>
    </row>
    <row r="664">
      <c r="A664" t="inlineStr">
        <is>
          <t>face</t>
        </is>
      </c>
      <c r="B664" t="inlineStr">
        <is>
          <t>legendary</t>
        </is>
      </c>
      <c r="C664" t="n">
        <v>1</v>
      </c>
      <c r="D664" t="inlineStr">
        <is>
          <t>Final Damage %</t>
        </is>
      </c>
      <c r="E664" t="n">
        <v>8</v>
      </c>
      <c r="F664" t="n">
        <v>1</v>
      </c>
      <c r="G664" t="b">
        <v>1</v>
      </c>
      <c r="H664">
        <f>Sensitivity!H11</f>
        <v/>
      </c>
    </row>
    <row r="665">
      <c r="A665" t="inlineStr">
        <is>
          <t>face</t>
        </is>
      </c>
      <c r="B665" t="inlineStr">
        <is>
          <t>legendary</t>
        </is>
      </c>
      <c r="C665" t="n">
        <v>2</v>
      </c>
      <c r="D665" t="inlineStr">
        <is>
          <t>Final Damage %</t>
        </is>
      </c>
      <c r="E665" t="n">
        <v>8</v>
      </c>
      <c r="F665" t="n">
        <v>0.24</v>
      </c>
      <c r="G665" t="b">
        <v>1</v>
      </c>
      <c r="H665">
        <f>Sensitivity!H11</f>
        <v/>
      </c>
    </row>
    <row r="666">
      <c r="A666" t="inlineStr">
        <is>
          <t>face</t>
        </is>
      </c>
      <c r="B666" t="inlineStr">
        <is>
          <t>legendary</t>
        </is>
      </c>
      <c r="C666" t="n">
        <v>2</v>
      </c>
      <c r="D666" t="inlineStr">
        <is>
          <t>Final Damage %</t>
        </is>
      </c>
      <c r="E666" t="n">
        <v>5</v>
      </c>
      <c r="F666" t="n">
        <v>0.76</v>
      </c>
      <c r="G666" t="b">
        <v>0</v>
      </c>
      <c r="H666">
        <f>Sensitivity!H11</f>
        <v/>
      </c>
    </row>
    <row r="667">
      <c r="A667" t="inlineStr">
        <is>
          <t>face</t>
        </is>
      </c>
      <c r="B667" t="inlineStr">
        <is>
          <t>legendary</t>
        </is>
      </c>
      <c r="C667" t="n">
        <v>3</v>
      </c>
      <c r="D667" t="inlineStr">
        <is>
          <t>Final Damage %</t>
        </is>
      </c>
      <c r="E667" t="n">
        <v>8</v>
      </c>
      <c r="F667" t="n">
        <v>0.08</v>
      </c>
      <c r="G667" t="b">
        <v>1</v>
      </c>
      <c r="H667">
        <f>Sensitivity!H11</f>
        <v/>
      </c>
    </row>
    <row r="668">
      <c r="A668" t="inlineStr">
        <is>
          <t>face</t>
        </is>
      </c>
      <c r="B668" t="inlineStr">
        <is>
          <t>legendary</t>
        </is>
      </c>
      <c r="C668" t="n">
        <v>3</v>
      </c>
      <c r="D668" t="inlineStr">
        <is>
          <t>Final Damage %</t>
        </is>
      </c>
      <c r="E668" t="n">
        <v>5</v>
      </c>
      <c r="F668" t="n">
        <v>0.92</v>
      </c>
      <c r="G668" t="b">
        <v>0</v>
      </c>
      <c r="H668">
        <f>Sensitivity!H11</f>
        <v/>
      </c>
    </row>
    <row r="669">
      <c r="A669" t="inlineStr">
        <is>
          <t>face</t>
        </is>
      </c>
      <c r="B669" t="inlineStr">
        <is>
          <t>mystic</t>
        </is>
      </c>
      <c r="C669" t="n">
        <v>1</v>
      </c>
      <c r="D669" t="inlineStr">
        <is>
          <t>Final Damage %</t>
        </is>
      </c>
      <c r="E669" t="n">
        <v>12</v>
      </c>
      <c r="F669" t="n">
        <v>1</v>
      </c>
      <c r="G669" t="b">
        <v>1</v>
      </c>
      <c r="H669">
        <f>Sensitivity!H11</f>
        <v/>
      </c>
    </row>
    <row r="670">
      <c r="A670" t="inlineStr">
        <is>
          <t>face</t>
        </is>
      </c>
      <c r="B670" t="inlineStr">
        <is>
          <t>mystic</t>
        </is>
      </c>
      <c r="C670" t="n">
        <v>2</v>
      </c>
      <c r="D670" t="inlineStr">
        <is>
          <t>Final Damage %</t>
        </is>
      </c>
      <c r="E670" t="n">
        <v>12</v>
      </c>
      <c r="F670" t="n">
        <v>0.24</v>
      </c>
      <c r="G670" t="b">
        <v>1</v>
      </c>
      <c r="H670">
        <f>Sensitivity!H11</f>
        <v/>
      </c>
    </row>
    <row r="671">
      <c r="A671" t="inlineStr">
        <is>
          <t>face</t>
        </is>
      </c>
      <c r="B671" t="inlineStr">
        <is>
          <t>mystic</t>
        </is>
      </c>
      <c r="C671" t="n">
        <v>2</v>
      </c>
      <c r="D671" t="inlineStr">
        <is>
          <t>Final Damage %</t>
        </is>
      </c>
      <c r="E671" t="n">
        <v>8</v>
      </c>
      <c r="F671" t="n">
        <v>0.76</v>
      </c>
      <c r="G671" t="b">
        <v>0</v>
      </c>
      <c r="H671">
        <f>Sensitivity!H11</f>
        <v/>
      </c>
    </row>
    <row r="672">
      <c r="A672" t="inlineStr">
        <is>
          <t>face</t>
        </is>
      </c>
      <c r="B672" t="inlineStr">
        <is>
          <t>mystic</t>
        </is>
      </c>
      <c r="C672" t="n">
        <v>3</v>
      </c>
      <c r="D672" t="inlineStr">
        <is>
          <t>Final Damage %</t>
        </is>
      </c>
      <c r="E672" t="n">
        <v>12</v>
      </c>
      <c r="F672" t="n">
        <v>0.08</v>
      </c>
      <c r="G672" t="b">
        <v>1</v>
      </c>
      <c r="H672">
        <f>Sensitivity!H11</f>
        <v/>
      </c>
    </row>
    <row r="673">
      <c r="A673" t="inlineStr">
        <is>
          <t>face</t>
        </is>
      </c>
      <c r="B673" t="inlineStr">
        <is>
          <t>mystic</t>
        </is>
      </c>
      <c r="C673" t="n">
        <v>3</v>
      </c>
      <c r="D673" t="inlineStr">
        <is>
          <t>Final Damage %</t>
        </is>
      </c>
      <c r="E673" t="n">
        <v>8</v>
      </c>
      <c r="F673" t="n">
        <v>0.92</v>
      </c>
      <c r="G673" t="b">
        <v>0</v>
      </c>
      <c r="H673">
        <f>Sensitivity!H11</f>
        <v/>
      </c>
    </row>
    <row r="674">
      <c r="A674" t="inlineStr">
        <is>
          <t>earrings</t>
        </is>
      </c>
      <c r="B674" t="inlineStr">
        <is>
          <t>epic</t>
        </is>
      </c>
      <c r="C674" t="n">
        <v>1</v>
      </c>
      <c r="D674" t="inlineStr">
        <is>
          <t>Skill Damage %</t>
        </is>
      </c>
      <c r="E674" t="n">
        <v>8</v>
      </c>
      <c r="F674" t="n">
        <v>1</v>
      </c>
      <c r="G674" t="b">
        <v>1</v>
      </c>
      <c r="H674">
        <f>Sensitivity!H19</f>
        <v/>
      </c>
    </row>
    <row r="675">
      <c r="A675" t="inlineStr">
        <is>
          <t>earrings</t>
        </is>
      </c>
      <c r="B675" t="inlineStr">
        <is>
          <t>epic</t>
        </is>
      </c>
      <c r="C675" t="n">
        <v>2</v>
      </c>
      <c r="D675" t="inlineStr">
        <is>
          <t>Skill Damage %</t>
        </is>
      </c>
      <c r="E675" t="n">
        <v>8</v>
      </c>
      <c r="F675" t="n">
        <v>0.24</v>
      </c>
      <c r="G675" t="b">
        <v>1</v>
      </c>
      <c r="H675">
        <f>Sensitivity!H19</f>
        <v/>
      </c>
    </row>
    <row r="676">
      <c r="A676" t="inlineStr">
        <is>
          <t>earrings</t>
        </is>
      </c>
      <c r="B676" t="inlineStr">
        <is>
          <t>epic</t>
        </is>
      </c>
      <c r="C676" t="n">
        <v>3</v>
      </c>
      <c r="D676" t="inlineStr">
        <is>
          <t>Skill Damage %</t>
        </is>
      </c>
      <c r="E676" t="n">
        <v>8</v>
      </c>
      <c r="F676" t="n">
        <v>0.08</v>
      </c>
      <c r="G676" t="b">
        <v>1</v>
      </c>
      <c r="H676">
        <f>Sensitivity!H19</f>
        <v/>
      </c>
    </row>
    <row r="677">
      <c r="A677" t="inlineStr">
        <is>
          <t>earrings</t>
        </is>
      </c>
      <c r="B677" t="inlineStr">
        <is>
          <t>unique</t>
        </is>
      </c>
      <c r="C677" t="n">
        <v>1</v>
      </c>
      <c r="D677" t="inlineStr">
        <is>
          <t>Skill Damage %</t>
        </is>
      </c>
      <c r="E677" t="n">
        <v>14</v>
      </c>
      <c r="F677" t="n">
        <v>1</v>
      </c>
      <c r="G677" t="b">
        <v>1</v>
      </c>
      <c r="H677">
        <f>Sensitivity!H19</f>
        <v/>
      </c>
    </row>
    <row r="678">
      <c r="A678" t="inlineStr">
        <is>
          <t>earrings</t>
        </is>
      </c>
      <c r="B678" t="inlineStr">
        <is>
          <t>unique</t>
        </is>
      </c>
      <c r="C678" t="n">
        <v>2</v>
      </c>
      <c r="D678" t="inlineStr">
        <is>
          <t>Skill Damage %</t>
        </is>
      </c>
      <c r="E678" t="n">
        <v>14</v>
      </c>
      <c r="F678" t="n">
        <v>0.24</v>
      </c>
      <c r="G678" t="b">
        <v>1</v>
      </c>
      <c r="H678">
        <f>Sensitivity!H19</f>
        <v/>
      </c>
    </row>
    <row r="679">
      <c r="A679" t="inlineStr">
        <is>
          <t>earrings</t>
        </is>
      </c>
      <c r="B679" t="inlineStr">
        <is>
          <t>unique</t>
        </is>
      </c>
      <c r="C679" t="n">
        <v>2</v>
      </c>
      <c r="D679" t="inlineStr">
        <is>
          <t>Skill Damage %</t>
        </is>
      </c>
      <c r="E679" t="n">
        <v>8</v>
      </c>
      <c r="F679" t="n">
        <v>0.76</v>
      </c>
      <c r="G679" t="b">
        <v>0</v>
      </c>
      <c r="H679">
        <f>Sensitivity!H19</f>
        <v/>
      </c>
    </row>
    <row r="680">
      <c r="A680" t="inlineStr">
        <is>
          <t>earrings</t>
        </is>
      </c>
      <c r="B680" t="inlineStr">
        <is>
          <t>unique</t>
        </is>
      </c>
      <c r="C680" t="n">
        <v>3</v>
      </c>
      <c r="D680" t="inlineStr">
        <is>
          <t>Skill Damage %</t>
        </is>
      </c>
      <c r="E680" t="n">
        <v>14</v>
      </c>
      <c r="F680" t="n">
        <v>0.08</v>
      </c>
      <c r="G680" t="b">
        <v>1</v>
      </c>
      <c r="H680">
        <f>Sensitivity!H19</f>
        <v/>
      </c>
    </row>
    <row r="681">
      <c r="A681" t="inlineStr">
        <is>
          <t>earrings</t>
        </is>
      </c>
      <c r="B681" t="inlineStr">
        <is>
          <t>unique</t>
        </is>
      </c>
      <c r="C681" t="n">
        <v>3</v>
      </c>
      <c r="D681" t="inlineStr">
        <is>
          <t>Skill Damage %</t>
        </is>
      </c>
      <c r="E681" t="n">
        <v>8</v>
      </c>
      <c r="F681" t="n">
        <v>0.92</v>
      </c>
      <c r="G681" t="b">
        <v>0</v>
      </c>
      <c r="H681">
        <f>Sensitivity!H19</f>
        <v/>
      </c>
    </row>
    <row r="682">
      <c r="A682" t="inlineStr">
        <is>
          <t>earrings</t>
        </is>
      </c>
      <c r="B682" t="inlineStr">
        <is>
          <t>legendary</t>
        </is>
      </c>
      <c r="C682" t="n">
        <v>1</v>
      </c>
      <c r="D682" t="inlineStr">
        <is>
          <t>Skill Damage %</t>
        </is>
      </c>
      <c r="E682" t="n">
        <v>21</v>
      </c>
      <c r="F682" t="n">
        <v>1</v>
      </c>
      <c r="G682" t="b">
        <v>1</v>
      </c>
      <c r="H682">
        <f>Sensitivity!H19</f>
        <v/>
      </c>
    </row>
    <row r="683">
      <c r="A683" t="inlineStr">
        <is>
          <t>earrings</t>
        </is>
      </c>
      <c r="B683" t="inlineStr">
        <is>
          <t>legendary</t>
        </is>
      </c>
      <c r="C683" t="n">
        <v>2</v>
      </c>
      <c r="D683" t="inlineStr">
        <is>
          <t>Skill Damage %</t>
        </is>
      </c>
      <c r="E683" t="n">
        <v>21</v>
      </c>
      <c r="F683" t="n">
        <v>0.24</v>
      </c>
      <c r="G683" t="b">
        <v>1</v>
      </c>
      <c r="H683">
        <f>Sensitivity!H19</f>
        <v/>
      </c>
    </row>
    <row r="684">
      <c r="A684" t="inlineStr">
        <is>
          <t>earrings</t>
        </is>
      </c>
      <c r="B684" t="inlineStr">
        <is>
          <t>legendary</t>
        </is>
      </c>
      <c r="C684" t="n">
        <v>2</v>
      </c>
      <c r="D684" t="inlineStr">
        <is>
          <t>Skill Damage %</t>
        </is>
      </c>
      <c r="E684" t="n">
        <v>14</v>
      </c>
      <c r="F684" t="n">
        <v>0.76</v>
      </c>
      <c r="G684" t="b">
        <v>0</v>
      </c>
      <c r="H684">
        <f>Sensitivity!H19</f>
        <v/>
      </c>
    </row>
    <row r="685">
      <c r="A685" t="inlineStr">
        <is>
          <t>earrings</t>
        </is>
      </c>
      <c r="B685" t="inlineStr">
        <is>
          <t>legendary</t>
        </is>
      </c>
      <c r="C685" t="n">
        <v>3</v>
      </c>
      <c r="D685" t="inlineStr">
        <is>
          <t>Skill Damage %</t>
        </is>
      </c>
      <c r="E685" t="n">
        <v>21</v>
      </c>
      <c r="F685" t="n">
        <v>0.08</v>
      </c>
      <c r="G685" t="b">
        <v>1</v>
      </c>
      <c r="H685">
        <f>Sensitivity!H19</f>
        <v/>
      </c>
    </row>
    <row r="686">
      <c r="A686" t="inlineStr">
        <is>
          <t>earrings</t>
        </is>
      </c>
      <c r="B686" t="inlineStr">
        <is>
          <t>legendary</t>
        </is>
      </c>
      <c r="C686" t="n">
        <v>3</v>
      </c>
      <c r="D686" t="inlineStr">
        <is>
          <t>Skill Damage %</t>
        </is>
      </c>
      <c r="E686" t="n">
        <v>14</v>
      </c>
      <c r="F686" t="n">
        <v>0.92</v>
      </c>
      <c r="G686" t="b">
        <v>0</v>
      </c>
      <c r="H686">
        <f>Sensitivity!H19</f>
        <v/>
      </c>
    </row>
    <row r="687">
      <c r="A687" t="inlineStr">
        <is>
          <t>earrings</t>
        </is>
      </c>
      <c r="B687" t="inlineStr">
        <is>
          <t>mystic</t>
        </is>
      </c>
      <c r="C687" t="n">
        <v>1</v>
      </c>
      <c r="D687" t="inlineStr">
        <is>
          <t>Skill Damage %</t>
        </is>
      </c>
      <c r="E687" t="n">
        <v>30</v>
      </c>
      <c r="F687" t="n">
        <v>1</v>
      </c>
      <c r="G687" t="b">
        <v>1</v>
      </c>
      <c r="H687">
        <f>Sensitivity!H19</f>
        <v/>
      </c>
    </row>
    <row r="688">
      <c r="A688" t="inlineStr">
        <is>
          <t>earrings</t>
        </is>
      </c>
      <c r="B688" t="inlineStr">
        <is>
          <t>mystic</t>
        </is>
      </c>
      <c r="C688" t="n">
        <v>2</v>
      </c>
      <c r="D688" t="inlineStr">
        <is>
          <t>Skill Damage %</t>
        </is>
      </c>
      <c r="E688" t="n">
        <v>30</v>
      </c>
      <c r="F688" t="n">
        <v>0.24</v>
      </c>
      <c r="G688" t="b">
        <v>1</v>
      </c>
      <c r="H688">
        <f>Sensitivity!H19</f>
        <v/>
      </c>
    </row>
    <row r="689">
      <c r="A689" t="inlineStr">
        <is>
          <t>earrings</t>
        </is>
      </c>
      <c r="B689" t="inlineStr">
        <is>
          <t>mystic</t>
        </is>
      </c>
      <c r="C689" t="n">
        <v>2</v>
      </c>
      <c r="D689" t="inlineStr">
        <is>
          <t>Skill Damage %</t>
        </is>
      </c>
      <c r="E689" t="n">
        <v>21</v>
      </c>
      <c r="F689" t="n">
        <v>0.76</v>
      </c>
      <c r="G689" t="b">
        <v>0</v>
      </c>
      <c r="H689">
        <f>Sensitivity!H19</f>
        <v/>
      </c>
    </row>
    <row r="690">
      <c r="A690" t="inlineStr">
        <is>
          <t>earrings</t>
        </is>
      </c>
      <c r="B690" t="inlineStr">
        <is>
          <t>mystic</t>
        </is>
      </c>
      <c r="C690" t="n">
        <v>3</v>
      </c>
      <c r="D690" t="inlineStr">
        <is>
          <t>Skill Damage %</t>
        </is>
      </c>
      <c r="E690" t="n">
        <v>30</v>
      </c>
      <c r="F690" t="n">
        <v>0.08</v>
      </c>
      <c r="G690" t="b">
        <v>1</v>
      </c>
      <c r="H690">
        <f>Sensitivity!H19</f>
        <v/>
      </c>
    </row>
    <row r="691">
      <c r="A691" t="inlineStr">
        <is>
          <t>earrings</t>
        </is>
      </c>
      <c r="B691" t="inlineStr">
        <is>
          <t>mystic</t>
        </is>
      </c>
      <c r="C691" t="n">
        <v>3</v>
      </c>
      <c r="D691" t="inlineStr">
        <is>
          <t>Skill Damage %</t>
        </is>
      </c>
      <c r="E691" t="n">
        <v>21</v>
      </c>
      <c r="F691" t="n">
        <v>0.92</v>
      </c>
      <c r="G691" t="b">
        <v>0</v>
      </c>
      <c r="H691">
        <f>Sensitivity!H19</f>
        <v/>
      </c>
    </row>
    <row r="692">
      <c r="A692" t="inlineStr">
        <is>
          <t>pocket</t>
        </is>
      </c>
      <c r="B692" t="inlineStr">
        <is>
          <t>epic</t>
        </is>
      </c>
      <c r="C692" t="n">
        <v>1</v>
      </c>
      <c r="D692" t="inlineStr">
        <is>
          <t>Main Stat % per 4 Levels</t>
        </is>
      </c>
      <c r="E692" t="n">
        <v>0.4</v>
      </c>
      <c r="F692" t="n">
        <v>1</v>
      </c>
      <c r="G692" t="b">
        <v>1</v>
      </c>
      <c r="H692">
        <f>Sensitivity!H6*INT(Inputs!$B$3/4)</f>
        <v/>
      </c>
    </row>
    <row r="693">
      <c r="A693" t="inlineStr">
        <is>
          <t>pocket</t>
        </is>
      </c>
      <c r="B693" t="inlineStr">
        <is>
          <t>epic</t>
        </is>
      </c>
      <c r="C693" t="n">
        <v>2</v>
      </c>
      <c r="D693" t="inlineStr">
        <is>
          <t>Main Stat % per 4 Levels</t>
        </is>
      </c>
      <c r="E693" t="n">
        <v>0.4</v>
      </c>
      <c r="F693" t="n">
        <v>0.24</v>
      </c>
      <c r="G693" t="b">
        <v>1</v>
      </c>
      <c r="H693">
        <f>Sensitivity!H6*INT(Inputs!$B$3/4)</f>
        <v/>
      </c>
    </row>
    <row r="694">
      <c r="A694" t="inlineStr">
        <is>
          <t>pocket</t>
        </is>
      </c>
      <c r="B694" t="inlineStr">
        <is>
          <t>epic</t>
        </is>
      </c>
      <c r="C694" t="n">
        <v>3</v>
      </c>
      <c r="D694" t="inlineStr">
        <is>
          <t>Main Stat % per 4 Levels</t>
        </is>
      </c>
      <c r="E694" t="n">
        <v>0.4</v>
      </c>
      <c r="F694" t="n">
        <v>0.08</v>
      </c>
      <c r="G694" t="b">
        <v>1</v>
      </c>
      <c r="H694">
        <f>Sensitivity!H6*INT(Inputs!$B$3/4)</f>
        <v/>
      </c>
    </row>
    <row r="695">
      <c r="A695" t="inlineStr">
        <is>
          <t>pocket</t>
        </is>
      </c>
      <c r="B695" t="inlineStr">
        <is>
          <t>unique</t>
        </is>
      </c>
      <c r="C695" t="n">
        <v>1</v>
      </c>
      <c r="D695" t="inlineStr">
        <is>
          <t>Main Stat % per 4 Levels</t>
        </is>
      </c>
      <c r="E695" t="n">
        <v>0.6</v>
      </c>
      <c r="F695" t="n">
        <v>1</v>
      </c>
      <c r="G695" t="b">
        <v>1</v>
      </c>
      <c r="H695">
        <f>Sensitivity!H6*INT(Inputs!$B$3/4)</f>
        <v/>
      </c>
    </row>
    <row r="696">
      <c r="A696" t="inlineStr">
        <is>
          <t>pocket</t>
        </is>
      </c>
      <c r="B696" t="inlineStr">
        <is>
          <t>unique</t>
        </is>
      </c>
      <c r="C696" t="n">
        <v>2</v>
      </c>
      <c r="D696" t="inlineStr">
        <is>
          <t>Main Stat % per 4 Levels</t>
        </is>
      </c>
      <c r="E696" t="n">
        <v>0.6</v>
      </c>
      <c r="F696" t="n">
        <v>0.24</v>
      </c>
      <c r="G696" t="b">
        <v>1</v>
      </c>
      <c r="H696">
        <f>Sensitivity!H6*INT(Inputs!$B$3/4)</f>
        <v/>
      </c>
    </row>
    <row r="697">
      <c r="A697" t="inlineStr">
        <is>
          <t>pocket</t>
        </is>
      </c>
      <c r="B697" t="inlineStr">
        <is>
          <t>unique</t>
        </is>
      </c>
      <c r="C697" t="n">
        <v>2</v>
      </c>
      <c r="D697" t="inlineStr">
        <is>
          <t>Main Stat % per 4 Levels</t>
        </is>
      </c>
      <c r="E697" t="n">
        <v>0.4</v>
      </c>
      <c r="F697" t="n">
        <v>0.76</v>
      </c>
      <c r="G697" t="b">
        <v>0</v>
      </c>
      <c r="H697">
        <f>Sensitivity!H6*INT(Inputs!$B$3/4)</f>
        <v/>
      </c>
    </row>
    <row r="698">
      <c r="A698" t="inlineStr">
        <is>
          <t>pocket</t>
        </is>
      </c>
      <c r="B698" t="inlineStr">
        <is>
          <t>unique</t>
        </is>
      </c>
      <c r="C698" t="n">
        <v>3</v>
      </c>
      <c r="D698" t="inlineStr">
        <is>
          <t>Main Stat % per 4 Levels</t>
        </is>
      </c>
      <c r="E698" t="n">
        <v>0.6</v>
      </c>
      <c r="F698" t="n">
        <v>0.08</v>
      </c>
      <c r="G698" t="b">
        <v>1</v>
      </c>
      <c r="H698">
        <f>Sensitivity!H6*INT(Inputs!$B$3/4)</f>
        <v/>
      </c>
    </row>
    <row r="699">
      <c r="A699" t="inlineStr">
        <is>
          <t>pocket</t>
        </is>
      </c>
      <c r="B699" t="inlineStr">
        <is>
          <t>unique</t>
        </is>
      </c>
      <c r="C699" t="n">
        <v>3</v>
      </c>
      <c r="D699" t="inlineStr">
        <is>
          <t>Main Stat % per 4 Levels</t>
        </is>
      </c>
      <c r="E699" t="n">
        <v>0.4</v>
      </c>
      <c r="F699" t="n">
        <v>0.92</v>
      </c>
      <c r="G699" t="b">
        <v>0</v>
      </c>
      <c r="H699">
        <f>Sensitivity!H6*INT(Inputs!$B$3/4)</f>
        <v/>
      </c>
    </row>
    <row r="700">
      <c r="A700" t="inlineStr">
        <is>
          <t>pocket</t>
        </is>
      </c>
      <c r="B700" t="inlineStr">
        <is>
          <t>legendary</t>
        </is>
      </c>
      <c r="C700" t="n">
        <v>1</v>
      </c>
      <c r="D700" t="inlineStr">
        <is>
          <t>Main Stat % per 4 Levels</t>
        </is>
      </c>
      <c r="E700" t="n">
        <v>0.8</v>
      </c>
      <c r="F700" t="n">
        <v>1</v>
      </c>
      <c r="G700" t="b">
        <v>1</v>
      </c>
      <c r="H700">
        <f>Sensitivity!H6*INT(Inputs!$B$3/4)</f>
        <v/>
      </c>
    </row>
    <row r="701">
      <c r="A701" t="inlineStr">
        <is>
          <t>pocket</t>
        </is>
      </c>
      <c r="B701" t="inlineStr">
        <is>
          <t>legendary</t>
        </is>
      </c>
      <c r="C701" t="n">
        <v>2</v>
      </c>
      <c r="D701" t="inlineStr">
        <is>
          <t>Main Stat % per 4 Levels</t>
        </is>
      </c>
      <c r="E701" t="n">
        <v>0.8</v>
      </c>
      <c r="F701" t="n">
        <v>0.24</v>
      </c>
      <c r="G701" t="b">
        <v>1</v>
      </c>
      <c r="H701">
        <f>Sensitivity!H6*INT(Inputs!$B$3/4)</f>
        <v/>
      </c>
    </row>
    <row r="702">
      <c r="A702" t="inlineStr">
        <is>
          <t>pocket</t>
        </is>
      </c>
      <c r="B702" t="inlineStr">
        <is>
          <t>legendary</t>
        </is>
      </c>
      <c r="C702" t="n">
        <v>2</v>
      </c>
      <c r="D702" t="inlineStr">
        <is>
          <t>Main Stat % per 4 Levels</t>
        </is>
      </c>
      <c r="E702" t="n">
        <v>0.6</v>
      </c>
      <c r="F702" t="n">
        <v>0.76</v>
      </c>
      <c r="G702" t="b">
        <v>0</v>
      </c>
      <c r="H702">
        <f>Sensitivity!H6*INT(Inputs!$B$3/4)</f>
        <v/>
      </c>
    </row>
    <row r="703">
      <c r="A703" t="inlineStr">
        <is>
          <t>pocket</t>
        </is>
      </c>
      <c r="B703" t="inlineStr">
        <is>
          <t>legendary</t>
        </is>
      </c>
      <c r="C703" t="n">
        <v>3</v>
      </c>
      <c r="D703" t="inlineStr">
        <is>
          <t>Main Stat % per 4 Levels</t>
        </is>
      </c>
      <c r="E703" t="n">
        <v>0.8</v>
      </c>
      <c r="F703" t="n">
        <v>0.08</v>
      </c>
      <c r="G703" t="b">
        <v>1</v>
      </c>
      <c r="H703">
        <f>Sensitivity!H6*INT(Inputs!$B$3/4)</f>
        <v/>
      </c>
    </row>
    <row r="704">
      <c r="A704" t="inlineStr">
        <is>
          <t>pocket</t>
        </is>
      </c>
      <c r="B704" t="inlineStr">
        <is>
          <t>legendary</t>
        </is>
      </c>
      <c r="C704" t="n">
        <v>3</v>
      </c>
      <c r="D704" t="inlineStr">
        <is>
          <t>Main Stat % per 4 Levels</t>
        </is>
      </c>
      <c r="E704" t="n">
        <v>0.6</v>
      </c>
      <c r="F704" t="n">
        <v>0.92</v>
      </c>
      <c r="G704" t="b">
        <v>0</v>
      </c>
      <c r="H704">
        <f>Sensitivity!H6*INT(Inputs!$B$3/4)</f>
        <v/>
      </c>
    </row>
    <row r="705">
      <c r="A705" t="inlineStr">
        <is>
          <t>pocket</t>
        </is>
      </c>
      <c r="B705" t="inlineStr">
        <is>
          <t>mystic</t>
        </is>
      </c>
      <c r="C705" t="n">
        <v>1</v>
      </c>
      <c r="D705" t="inlineStr">
        <is>
          <t>Main Stat % per 4 Levels</t>
        </is>
      </c>
      <c r="E705" t="n">
        <v>1.2</v>
      </c>
      <c r="F705" t="n">
        <v>1</v>
      </c>
      <c r="G705" t="b">
        <v>1</v>
      </c>
      <c r="H705">
        <f>Sensitivity!H6*INT(Inputs!$B$3/4)</f>
        <v/>
      </c>
    </row>
    <row r="706">
      <c r="A706" t="inlineStr">
        <is>
          <t>pocket</t>
        </is>
      </c>
      <c r="B706" t="inlineStr">
        <is>
          <t>mystic</t>
        </is>
      </c>
      <c r="C706" t="n">
        <v>2</v>
      </c>
      <c r="D706" t="inlineStr">
        <is>
          <t>Main Stat % per 4 Levels</t>
        </is>
      </c>
      <c r="E706" t="n">
        <v>1.2</v>
      </c>
      <c r="F706" t="n">
        <v>0.24</v>
      </c>
      <c r="G706" t="b">
        <v>1</v>
      </c>
      <c r="H706">
        <f>Sensitivity!H6*INT(Inputs!$B$3/4)</f>
        <v/>
      </c>
    </row>
    <row r="707">
      <c r="A707" t="inlineStr">
        <is>
          <t>pocket</t>
        </is>
      </c>
      <c r="B707" t="inlineStr">
        <is>
          <t>mystic</t>
        </is>
      </c>
      <c r="C707" t="n">
        <v>2</v>
      </c>
      <c r="D707" t="inlineStr">
        <is>
          <t>Main Stat % per 4 Levels</t>
        </is>
      </c>
      <c r="E707" t="n">
        <v>0.8</v>
      </c>
      <c r="F707" t="n">
        <v>0.76</v>
      </c>
      <c r="G707" t="b">
        <v>0</v>
      </c>
      <c r="H707">
        <f>Sensitivity!H6*INT(Inputs!$B$3/4)</f>
        <v/>
      </c>
    </row>
    <row r="708">
      <c r="A708" t="inlineStr">
        <is>
          <t>pocket</t>
        </is>
      </c>
      <c r="B708" t="inlineStr">
        <is>
          <t>mystic</t>
        </is>
      </c>
      <c r="C708" t="n">
        <v>3</v>
      </c>
      <c r="D708" t="inlineStr">
        <is>
          <t>Main Stat % per 4 Levels</t>
        </is>
      </c>
      <c r="E708" t="n">
        <v>1.2</v>
      </c>
      <c r="F708" t="n">
        <v>0.08</v>
      </c>
      <c r="G708" t="b">
        <v>1</v>
      </c>
      <c r="H708">
        <f>Sensitivity!H6*INT(Inputs!$B$3/4)</f>
        <v/>
      </c>
    </row>
    <row r="709">
      <c r="A709" t="inlineStr">
        <is>
          <t>pocket</t>
        </is>
      </c>
      <c r="B709" t="inlineStr">
        <is>
          <t>mystic</t>
        </is>
      </c>
      <c r="C709" t="n">
        <v>3</v>
      </c>
      <c r="D709" t="inlineStr">
        <is>
          <t>Main Stat % per 4 Levels</t>
        </is>
      </c>
      <c r="E709" t="n">
        <v>0.8</v>
      </c>
      <c r="F709" t="n">
        <v>0.92</v>
      </c>
      <c r="G709" t="b">
        <v>0</v>
      </c>
      <c r="H709">
        <f>Sensitivity!H6*INT(Inputs!$B$3/4)</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5"/>
  <sheetViews>
    <sheetView workbookViewId="0">
      <pane ySplit="5" topLeftCell="A6" activePane="bottomLeft" state="frozen"/>
      <selection pane="bottomLeft" activeCell="A1" sqref="A1"/>
    </sheetView>
  </sheetViews>
  <sheetFormatPr baseColWidth="8" defaultRowHeight="15"/>
  <cols>
    <col width="12" customWidth="1" min="1" max="1"/>
    <col width="15" customWidth="1" min="2" max="2"/>
    <col width="13" customWidth="1" min="3" max="3"/>
    <col width="18" customWidth="1" min="4" max="4"/>
    <col width="26" customWidth="1" min="5" max="5"/>
    <col width="11" customWidth="1" min="6" max="6"/>
    <col width="26" customWidth="1" min="7" max="7"/>
    <col width="11" customWidth="1" min="8" max="8"/>
    <col width="26" customWidth="1" min="9" max="9"/>
    <col width="11" customWidth="1" min="10" max="10"/>
  </cols>
  <sheetData>
    <row r="1">
      <c r="A1" s="4" t="inlineStr">
        <is>
          <t>Potential Cubes — Current Gear State</t>
        </is>
      </c>
    </row>
    <row r="2">
      <c r="A2" t="inlineStr">
        <is>
          <t>Fill in your actual current gear for every slot/potential-type you want EV results for, then run `python3 tools/potential_cubes_ev.py` — it reads this table plus the live CubeData sheet and computes exact 'expected value of the best roll kept after N rerolls' for all 30 rows (printed + written to a CSV), via a full line1 x line2 x line3 enumeration per rarity/slot rather than a single-roll average.</t>
        </is>
      </c>
    </row>
    <row r="3">
      <c r="A3" t="inlineStr">
        <is>
          <t>Leave a line's Stat as "(none)" if that line isn't rolled yet / doesn't matter.</t>
        </is>
      </c>
    </row>
    <row r="5">
      <c r="A5" s="8" t="inlineStr">
        <is>
          <t>Slot</t>
        </is>
      </c>
      <c r="B5" s="8" t="inlineStr">
        <is>
          <t>Potential Type</t>
        </is>
      </c>
      <c r="C5" s="8" t="inlineStr">
        <is>
          <t>Current Rarity</t>
        </is>
      </c>
      <c r="D5" s="8" t="inlineStr">
        <is>
          <t>Current Pity Count</t>
        </is>
      </c>
      <c r="E5" s="8" t="inlineStr">
        <is>
          <t>Line 1 Stat</t>
        </is>
      </c>
      <c r="F5" s="8" t="inlineStr">
        <is>
          <t>Line 1 Value</t>
        </is>
      </c>
      <c r="G5" s="8" t="inlineStr">
        <is>
          <t>Line 2 Stat</t>
        </is>
      </c>
      <c r="H5" s="8" t="inlineStr">
        <is>
          <t>Line 2 Value</t>
        </is>
      </c>
      <c r="I5" s="8" t="inlineStr">
        <is>
          <t>Line 3 Stat</t>
        </is>
      </c>
      <c r="J5" s="8" t="inlineStr">
        <is>
          <t>Line 3 Value</t>
        </is>
      </c>
    </row>
    <row r="6">
      <c r="A6" t="inlineStr">
        <is>
          <t>head</t>
        </is>
      </c>
      <c r="B6" t="inlineStr">
        <is>
          <t>Potential</t>
        </is>
      </c>
      <c r="C6" t="inlineStr">
        <is>
          <t>normal</t>
        </is>
      </c>
      <c r="D6" t="n">
        <v>0</v>
      </c>
      <c r="E6" t="inlineStr">
        <is>
          <t>(none)</t>
        </is>
      </c>
      <c r="F6" t="n">
        <v>0</v>
      </c>
      <c r="G6" t="inlineStr">
        <is>
          <t>(none)</t>
        </is>
      </c>
      <c r="H6" t="n">
        <v>0</v>
      </c>
      <c r="I6" t="inlineStr">
        <is>
          <t>(none)</t>
        </is>
      </c>
      <c r="J6" t="n">
        <v>0</v>
      </c>
    </row>
    <row r="7">
      <c r="A7" t="inlineStr">
        <is>
          <t>head</t>
        </is>
      </c>
      <c r="B7" t="inlineStr">
        <is>
          <t>Bonus Potential</t>
        </is>
      </c>
      <c r="C7" t="inlineStr">
        <is>
          <t>normal</t>
        </is>
      </c>
      <c r="D7" t="n">
        <v>0</v>
      </c>
      <c r="E7" t="inlineStr">
        <is>
          <t>(none)</t>
        </is>
      </c>
      <c r="F7" t="n">
        <v>0</v>
      </c>
      <c r="G7" t="inlineStr">
        <is>
          <t>(none)</t>
        </is>
      </c>
      <c r="H7" t="n">
        <v>0</v>
      </c>
      <c r="I7" t="inlineStr">
        <is>
          <t>(none)</t>
        </is>
      </c>
      <c r="J7" t="n">
        <v>0</v>
      </c>
    </row>
    <row r="8">
      <c r="A8" t="inlineStr">
        <is>
          <t>cape</t>
        </is>
      </c>
      <c r="B8" t="inlineStr">
        <is>
          <t>Potential</t>
        </is>
      </c>
      <c r="C8" t="inlineStr">
        <is>
          <t>normal</t>
        </is>
      </c>
      <c r="D8" t="n">
        <v>0</v>
      </c>
      <c r="E8" t="inlineStr">
        <is>
          <t>(none)</t>
        </is>
      </c>
      <c r="F8" t="n">
        <v>0</v>
      </c>
      <c r="G8" t="inlineStr">
        <is>
          <t>(none)</t>
        </is>
      </c>
      <c r="H8" t="n">
        <v>0</v>
      </c>
      <c r="I8" t="inlineStr">
        <is>
          <t>(none)</t>
        </is>
      </c>
      <c r="J8" t="n">
        <v>0</v>
      </c>
    </row>
    <row r="9">
      <c r="A9" t="inlineStr">
        <is>
          <t>cape</t>
        </is>
      </c>
      <c r="B9" t="inlineStr">
        <is>
          <t>Bonus Potential</t>
        </is>
      </c>
      <c r="C9" t="inlineStr">
        <is>
          <t>normal</t>
        </is>
      </c>
      <c r="D9" t="n">
        <v>0</v>
      </c>
      <c r="E9" t="inlineStr">
        <is>
          <t>(none)</t>
        </is>
      </c>
      <c r="F9" t="n">
        <v>0</v>
      </c>
      <c r="G9" t="inlineStr">
        <is>
          <t>(none)</t>
        </is>
      </c>
      <c r="H9" t="n">
        <v>0</v>
      </c>
      <c r="I9" t="inlineStr">
        <is>
          <t>(none)</t>
        </is>
      </c>
      <c r="J9" t="n">
        <v>0</v>
      </c>
    </row>
    <row r="10">
      <c r="A10" t="inlineStr">
        <is>
          <t>chest</t>
        </is>
      </c>
      <c r="B10" t="inlineStr">
        <is>
          <t>Potential</t>
        </is>
      </c>
      <c r="C10" t="inlineStr">
        <is>
          <t>normal</t>
        </is>
      </c>
      <c r="D10" t="n">
        <v>0</v>
      </c>
      <c r="E10" t="inlineStr">
        <is>
          <t>(none)</t>
        </is>
      </c>
      <c r="F10" t="n">
        <v>0</v>
      </c>
      <c r="G10" t="inlineStr">
        <is>
          <t>(none)</t>
        </is>
      </c>
      <c r="H10" t="n">
        <v>0</v>
      </c>
      <c r="I10" t="inlineStr">
        <is>
          <t>(none)</t>
        </is>
      </c>
      <c r="J10" t="n">
        <v>0</v>
      </c>
    </row>
    <row r="11">
      <c r="A11" t="inlineStr">
        <is>
          <t>chest</t>
        </is>
      </c>
      <c r="B11" t="inlineStr">
        <is>
          <t>Bonus Potential</t>
        </is>
      </c>
      <c r="C11" t="inlineStr">
        <is>
          <t>normal</t>
        </is>
      </c>
      <c r="D11" t="n">
        <v>0</v>
      </c>
      <c r="E11" t="inlineStr">
        <is>
          <t>(none)</t>
        </is>
      </c>
      <c r="F11" t="n">
        <v>0</v>
      </c>
      <c r="G11" t="inlineStr">
        <is>
          <t>(none)</t>
        </is>
      </c>
      <c r="H11" t="n">
        <v>0</v>
      </c>
      <c r="I11" t="inlineStr">
        <is>
          <t>(none)</t>
        </is>
      </c>
      <c r="J11" t="n">
        <v>0</v>
      </c>
    </row>
    <row r="12">
      <c r="A12" t="inlineStr">
        <is>
          <t>shoulders</t>
        </is>
      </c>
      <c r="B12" t="inlineStr">
        <is>
          <t>Potential</t>
        </is>
      </c>
      <c r="C12" t="inlineStr">
        <is>
          <t>normal</t>
        </is>
      </c>
      <c r="D12" t="n">
        <v>0</v>
      </c>
      <c r="E12" t="inlineStr">
        <is>
          <t>(none)</t>
        </is>
      </c>
      <c r="F12" t="n">
        <v>0</v>
      </c>
      <c r="G12" t="inlineStr">
        <is>
          <t>(none)</t>
        </is>
      </c>
      <c r="H12" t="n">
        <v>0</v>
      </c>
      <c r="I12" t="inlineStr">
        <is>
          <t>(none)</t>
        </is>
      </c>
      <c r="J12" t="n">
        <v>0</v>
      </c>
    </row>
    <row r="13">
      <c r="A13" t="inlineStr">
        <is>
          <t>shoulders</t>
        </is>
      </c>
      <c r="B13" t="inlineStr">
        <is>
          <t>Bonus Potential</t>
        </is>
      </c>
      <c r="C13" t="inlineStr">
        <is>
          <t>normal</t>
        </is>
      </c>
      <c r="D13" t="n">
        <v>0</v>
      </c>
      <c r="E13" t="inlineStr">
        <is>
          <t>(none)</t>
        </is>
      </c>
      <c r="F13" t="n">
        <v>0</v>
      </c>
      <c r="G13" t="inlineStr">
        <is>
          <t>(none)</t>
        </is>
      </c>
      <c r="H13" t="n">
        <v>0</v>
      </c>
      <c r="I13" t="inlineStr">
        <is>
          <t>(none)</t>
        </is>
      </c>
      <c r="J13" t="n">
        <v>0</v>
      </c>
    </row>
    <row r="14">
      <c r="A14" t="inlineStr">
        <is>
          <t>legs</t>
        </is>
      </c>
      <c r="B14" t="inlineStr">
        <is>
          <t>Potential</t>
        </is>
      </c>
      <c r="C14" t="inlineStr">
        <is>
          <t>normal</t>
        </is>
      </c>
      <c r="D14" t="n">
        <v>0</v>
      </c>
      <c r="E14" t="inlineStr">
        <is>
          <t>(none)</t>
        </is>
      </c>
      <c r="F14" t="n">
        <v>0</v>
      </c>
      <c r="G14" t="inlineStr">
        <is>
          <t>(none)</t>
        </is>
      </c>
      <c r="H14" t="n">
        <v>0</v>
      </c>
      <c r="I14" t="inlineStr">
        <is>
          <t>(none)</t>
        </is>
      </c>
      <c r="J14" t="n">
        <v>0</v>
      </c>
    </row>
    <row r="15">
      <c r="A15" t="inlineStr">
        <is>
          <t>legs</t>
        </is>
      </c>
      <c r="B15" t="inlineStr">
        <is>
          <t>Bonus Potential</t>
        </is>
      </c>
      <c r="C15" t="inlineStr">
        <is>
          <t>normal</t>
        </is>
      </c>
      <c r="D15" t="n">
        <v>0</v>
      </c>
      <c r="E15" t="inlineStr">
        <is>
          <t>(none)</t>
        </is>
      </c>
      <c r="F15" t="n">
        <v>0</v>
      </c>
      <c r="G15" t="inlineStr">
        <is>
          <t>(none)</t>
        </is>
      </c>
      <c r="H15" t="n">
        <v>0</v>
      </c>
      <c r="I15" t="inlineStr">
        <is>
          <t>(none)</t>
        </is>
      </c>
      <c r="J15" t="n">
        <v>0</v>
      </c>
    </row>
    <row r="16">
      <c r="A16" t="inlineStr">
        <is>
          <t>belt</t>
        </is>
      </c>
      <c r="B16" t="inlineStr">
        <is>
          <t>Potential</t>
        </is>
      </c>
      <c r="C16" t="inlineStr">
        <is>
          <t>normal</t>
        </is>
      </c>
      <c r="D16" t="n">
        <v>0</v>
      </c>
      <c r="E16" t="inlineStr">
        <is>
          <t>(none)</t>
        </is>
      </c>
      <c r="F16" t="n">
        <v>0</v>
      </c>
      <c r="G16" t="inlineStr">
        <is>
          <t>(none)</t>
        </is>
      </c>
      <c r="H16" t="n">
        <v>0</v>
      </c>
      <c r="I16" t="inlineStr">
        <is>
          <t>(none)</t>
        </is>
      </c>
      <c r="J16" t="n">
        <v>0</v>
      </c>
    </row>
    <row r="17">
      <c r="A17" t="inlineStr">
        <is>
          <t>belt</t>
        </is>
      </c>
      <c r="B17" t="inlineStr">
        <is>
          <t>Bonus Potential</t>
        </is>
      </c>
      <c r="C17" t="inlineStr">
        <is>
          <t>normal</t>
        </is>
      </c>
      <c r="D17" t="n">
        <v>0</v>
      </c>
      <c r="E17" t="inlineStr">
        <is>
          <t>(none)</t>
        </is>
      </c>
      <c r="F17" t="n">
        <v>0</v>
      </c>
      <c r="G17" t="inlineStr">
        <is>
          <t>(none)</t>
        </is>
      </c>
      <c r="H17" t="n">
        <v>0</v>
      </c>
      <c r="I17" t="inlineStr">
        <is>
          <t>(none)</t>
        </is>
      </c>
      <c r="J17" t="n">
        <v>0</v>
      </c>
    </row>
    <row r="18">
      <c r="A18" t="inlineStr">
        <is>
          <t>gloves</t>
        </is>
      </c>
      <c r="B18" t="inlineStr">
        <is>
          <t>Potential</t>
        </is>
      </c>
      <c r="C18" t="inlineStr">
        <is>
          <t>normal</t>
        </is>
      </c>
      <c r="D18" t="n">
        <v>0</v>
      </c>
      <c r="E18" t="inlineStr">
        <is>
          <t>(none)</t>
        </is>
      </c>
      <c r="F18" t="n">
        <v>0</v>
      </c>
      <c r="G18" t="inlineStr">
        <is>
          <t>(none)</t>
        </is>
      </c>
      <c r="H18" t="n">
        <v>0</v>
      </c>
      <c r="I18" t="inlineStr">
        <is>
          <t>(none)</t>
        </is>
      </c>
      <c r="J18" t="n">
        <v>0</v>
      </c>
    </row>
    <row r="19">
      <c r="A19" t="inlineStr">
        <is>
          <t>gloves</t>
        </is>
      </c>
      <c r="B19" t="inlineStr">
        <is>
          <t>Bonus Potential</t>
        </is>
      </c>
      <c r="C19" t="inlineStr">
        <is>
          <t>normal</t>
        </is>
      </c>
      <c r="D19" t="n">
        <v>0</v>
      </c>
      <c r="E19" t="inlineStr">
        <is>
          <t>(none)</t>
        </is>
      </c>
      <c r="F19" t="n">
        <v>0</v>
      </c>
      <c r="G19" t="inlineStr">
        <is>
          <t>(none)</t>
        </is>
      </c>
      <c r="H19" t="n">
        <v>0</v>
      </c>
      <c r="I19" t="inlineStr">
        <is>
          <t>(none)</t>
        </is>
      </c>
      <c r="J19" t="n">
        <v>0</v>
      </c>
    </row>
    <row r="20">
      <c r="A20" t="inlineStr">
        <is>
          <t>boots</t>
        </is>
      </c>
      <c r="B20" t="inlineStr">
        <is>
          <t>Potential</t>
        </is>
      </c>
      <c r="C20" t="inlineStr">
        <is>
          <t>normal</t>
        </is>
      </c>
      <c r="D20" t="n">
        <v>0</v>
      </c>
      <c r="E20" t="inlineStr">
        <is>
          <t>(none)</t>
        </is>
      </c>
      <c r="F20" t="n">
        <v>0</v>
      </c>
      <c r="G20" t="inlineStr">
        <is>
          <t>(none)</t>
        </is>
      </c>
      <c r="H20" t="n">
        <v>0</v>
      </c>
      <c r="I20" t="inlineStr">
        <is>
          <t>(none)</t>
        </is>
      </c>
      <c r="J20" t="n">
        <v>0</v>
      </c>
    </row>
    <row r="21">
      <c r="A21" t="inlineStr">
        <is>
          <t>boots</t>
        </is>
      </c>
      <c r="B21" t="inlineStr">
        <is>
          <t>Bonus Potential</t>
        </is>
      </c>
      <c r="C21" t="inlineStr">
        <is>
          <t>normal</t>
        </is>
      </c>
      <c r="D21" t="n">
        <v>0</v>
      </c>
      <c r="E21" t="inlineStr">
        <is>
          <t>(none)</t>
        </is>
      </c>
      <c r="F21" t="n">
        <v>0</v>
      </c>
      <c r="G21" t="inlineStr">
        <is>
          <t>(none)</t>
        </is>
      </c>
      <c r="H21" t="n">
        <v>0</v>
      </c>
      <c r="I21" t="inlineStr">
        <is>
          <t>(none)</t>
        </is>
      </c>
      <c r="J21" t="n">
        <v>0</v>
      </c>
    </row>
    <row r="22">
      <c r="A22" t="inlineStr">
        <is>
          <t>ring</t>
        </is>
      </c>
      <c r="B22" t="inlineStr">
        <is>
          <t>Potential</t>
        </is>
      </c>
      <c r="C22" t="inlineStr">
        <is>
          <t>normal</t>
        </is>
      </c>
      <c r="D22" t="n">
        <v>0</v>
      </c>
      <c r="E22" t="inlineStr">
        <is>
          <t>(none)</t>
        </is>
      </c>
      <c r="F22" t="n">
        <v>0</v>
      </c>
      <c r="G22" t="inlineStr">
        <is>
          <t>(none)</t>
        </is>
      </c>
      <c r="H22" t="n">
        <v>0</v>
      </c>
      <c r="I22" t="inlineStr">
        <is>
          <t>(none)</t>
        </is>
      </c>
      <c r="J22" t="n">
        <v>0</v>
      </c>
    </row>
    <row r="23">
      <c r="A23" t="inlineStr">
        <is>
          <t>ring</t>
        </is>
      </c>
      <c r="B23" t="inlineStr">
        <is>
          <t>Bonus Potential</t>
        </is>
      </c>
      <c r="C23" t="inlineStr">
        <is>
          <t>normal</t>
        </is>
      </c>
      <c r="D23" t="n">
        <v>0</v>
      </c>
      <c r="E23" t="inlineStr">
        <is>
          <t>(none)</t>
        </is>
      </c>
      <c r="F23" t="n">
        <v>0</v>
      </c>
      <c r="G23" t="inlineStr">
        <is>
          <t>(none)</t>
        </is>
      </c>
      <c r="H23" t="n">
        <v>0</v>
      </c>
      <c r="I23" t="inlineStr">
        <is>
          <t>(none)</t>
        </is>
      </c>
      <c r="J23" t="n">
        <v>0</v>
      </c>
    </row>
    <row r="24">
      <c r="A24" t="inlineStr">
        <is>
          <t>neck</t>
        </is>
      </c>
      <c r="B24" t="inlineStr">
        <is>
          <t>Potential</t>
        </is>
      </c>
      <c r="C24" t="inlineStr">
        <is>
          <t>normal</t>
        </is>
      </c>
      <c r="D24" t="n">
        <v>0</v>
      </c>
      <c r="E24" t="inlineStr">
        <is>
          <t>(none)</t>
        </is>
      </c>
      <c r="F24" t="n">
        <v>0</v>
      </c>
      <c r="G24" t="inlineStr">
        <is>
          <t>(none)</t>
        </is>
      </c>
      <c r="H24" t="n">
        <v>0</v>
      </c>
      <c r="I24" t="inlineStr">
        <is>
          <t>(none)</t>
        </is>
      </c>
      <c r="J24" t="n">
        <v>0</v>
      </c>
    </row>
    <row r="25">
      <c r="A25" t="inlineStr">
        <is>
          <t>neck</t>
        </is>
      </c>
      <c r="B25" t="inlineStr">
        <is>
          <t>Bonus Potential</t>
        </is>
      </c>
      <c r="C25" t="inlineStr">
        <is>
          <t>normal</t>
        </is>
      </c>
      <c r="D25" t="n">
        <v>0</v>
      </c>
      <c r="E25" t="inlineStr">
        <is>
          <t>(none)</t>
        </is>
      </c>
      <c r="F25" t="n">
        <v>0</v>
      </c>
      <c r="G25" t="inlineStr">
        <is>
          <t>(none)</t>
        </is>
      </c>
      <c r="H25" t="n">
        <v>0</v>
      </c>
      <c r="I25" t="inlineStr">
        <is>
          <t>(none)</t>
        </is>
      </c>
      <c r="J25" t="n">
        <v>0</v>
      </c>
    </row>
    <row r="26">
      <c r="A26" t="inlineStr">
        <is>
          <t>eye-accessory</t>
        </is>
      </c>
      <c r="B26" t="inlineStr">
        <is>
          <t>Potential</t>
        </is>
      </c>
      <c r="C26" t="inlineStr">
        <is>
          <t>normal</t>
        </is>
      </c>
      <c r="D26" t="n">
        <v>0</v>
      </c>
      <c r="E26" t="inlineStr">
        <is>
          <t>(none)</t>
        </is>
      </c>
      <c r="F26" t="n">
        <v>0</v>
      </c>
      <c r="G26" t="inlineStr">
        <is>
          <t>(none)</t>
        </is>
      </c>
      <c r="H26" t="n">
        <v>0</v>
      </c>
      <c r="I26" t="inlineStr">
        <is>
          <t>(none)</t>
        </is>
      </c>
      <c r="J26" t="n">
        <v>0</v>
      </c>
    </row>
    <row r="27">
      <c r="A27" t="inlineStr">
        <is>
          <t>eye-accessory</t>
        </is>
      </c>
      <c r="B27" t="inlineStr">
        <is>
          <t>Bonus Potential</t>
        </is>
      </c>
      <c r="C27" t="inlineStr">
        <is>
          <t>normal</t>
        </is>
      </c>
      <c r="D27" t="n">
        <v>0</v>
      </c>
      <c r="E27" t="inlineStr">
        <is>
          <t>(none)</t>
        </is>
      </c>
      <c r="F27" t="n">
        <v>0</v>
      </c>
      <c r="G27" t="inlineStr">
        <is>
          <t>(none)</t>
        </is>
      </c>
      <c r="H27" t="n">
        <v>0</v>
      </c>
      <c r="I27" t="inlineStr">
        <is>
          <t>(none)</t>
        </is>
      </c>
      <c r="J27" t="n">
        <v>0</v>
      </c>
    </row>
    <row r="28">
      <c r="A28" t="inlineStr">
        <is>
          <t>ring2</t>
        </is>
      </c>
      <c r="B28" t="inlineStr">
        <is>
          <t>Potential</t>
        </is>
      </c>
      <c r="C28" t="inlineStr">
        <is>
          <t>normal</t>
        </is>
      </c>
      <c r="D28" t="n">
        <v>0</v>
      </c>
      <c r="E28" t="inlineStr">
        <is>
          <t>(none)</t>
        </is>
      </c>
      <c r="F28" t="n">
        <v>0</v>
      </c>
      <c r="G28" t="inlineStr">
        <is>
          <t>(none)</t>
        </is>
      </c>
      <c r="H28" t="n">
        <v>0</v>
      </c>
      <c r="I28" t="inlineStr">
        <is>
          <t>(none)</t>
        </is>
      </c>
      <c r="J28" t="n">
        <v>0</v>
      </c>
    </row>
    <row r="29">
      <c r="A29" t="inlineStr">
        <is>
          <t>ring2</t>
        </is>
      </c>
      <c r="B29" t="inlineStr">
        <is>
          <t>Bonus Potential</t>
        </is>
      </c>
      <c r="C29" t="inlineStr">
        <is>
          <t>normal</t>
        </is>
      </c>
      <c r="D29" t="n">
        <v>0</v>
      </c>
      <c r="E29" t="inlineStr">
        <is>
          <t>(none)</t>
        </is>
      </c>
      <c r="F29" t="n">
        <v>0</v>
      </c>
      <c r="G29" t="inlineStr">
        <is>
          <t>(none)</t>
        </is>
      </c>
      <c r="H29" t="n">
        <v>0</v>
      </c>
      <c r="I29" t="inlineStr">
        <is>
          <t>(none)</t>
        </is>
      </c>
      <c r="J29" t="n">
        <v>0</v>
      </c>
    </row>
    <row r="30">
      <c r="A30" t="inlineStr">
        <is>
          <t>face</t>
        </is>
      </c>
      <c r="B30" t="inlineStr">
        <is>
          <t>Potential</t>
        </is>
      </c>
      <c r="C30" t="inlineStr">
        <is>
          <t>normal</t>
        </is>
      </c>
      <c r="D30" t="n">
        <v>0</v>
      </c>
      <c r="E30" t="inlineStr">
        <is>
          <t>(none)</t>
        </is>
      </c>
      <c r="F30" t="n">
        <v>0</v>
      </c>
      <c r="G30" t="inlineStr">
        <is>
          <t>(none)</t>
        </is>
      </c>
      <c r="H30" t="n">
        <v>0</v>
      </c>
      <c r="I30" t="inlineStr">
        <is>
          <t>(none)</t>
        </is>
      </c>
      <c r="J30" t="n">
        <v>0</v>
      </c>
    </row>
    <row r="31">
      <c r="A31" t="inlineStr">
        <is>
          <t>face</t>
        </is>
      </c>
      <c r="B31" t="inlineStr">
        <is>
          <t>Bonus Potential</t>
        </is>
      </c>
      <c r="C31" t="inlineStr">
        <is>
          <t>normal</t>
        </is>
      </c>
      <c r="D31" t="n">
        <v>0</v>
      </c>
      <c r="E31" t="inlineStr">
        <is>
          <t>(none)</t>
        </is>
      </c>
      <c r="F31" t="n">
        <v>0</v>
      </c>
      <c r="G31" t="inlineStr">
        <is>
          <t>(none)</t>
        </is>
      </c>
      <c r="H31" t="n">
        <v>0</v>
      </c>
      <c r="I31" t="inlineStr">
        <is>
          <t>(none)</t>
        </is>
      </c>
      <c r="J31" t="n">
        <v>0</v>
      </c>
    </row>
    <row r="32">
      <c r="A32" t="inlineStr">
        <is>
          <t>earrings</t>
        </is>
      </c>
      <c r="B32" t="inlineStr">
        <is>
          <t>Potential</t>
        </is>
      </c>
      <c r="C32" t="inlineStr">
        <is>
          <t>normal</t>
        </is>
      </c>
      <c r="D32" t="n">
        <v>0</v>
      </c>
      <c r="E32" t="inlineStr">
        <is>
          <t>(none)</t>
        </is>
      </c>
      <c r="F32" t="n">
        <v>0</v>
      </c>
      <c r="G32" t="inlineStr">
        <is>
          <t>(none)</t>
        </is>
      </c>
      <c r="H32" t="n">
        <v>0</v>
      </c>
      <c r="I32" t="inlineStr">
        <is>
          <t>(none)</t>
        </is>
      </c>
      <c r="J32" t="n">
        <v>0</v>
      </c>
    </row>
    <row r="33">
      <c r="A33" t="inlineStr">
        <is>
          <t>earrings</t>
        </is>
      </c>
      <c r="B33" t="inlineStr">
        <is>
          <t>Bonus Potential</t>
        </is>
      </c>
      <c r="C33" t="inlineStr">
        <is>
          <t>normal</t>
        </is>
      </c>
      <c r="D33" t="n">
        <v>0</v>
      </c>
      <c r="E33" t="inlineStr">
        <is>
          <t>(none)</t>
        </is>
      </c>
      <c r="F33" t="n">
        <v>0</v>
      </c>
      <c r="G33" t="inlineStr">
        <is>
          <t>(none)</t>
        </is>
      </c>
      <c r="H33" t="n">
        <v>0</v>
      </c>
      <c r="I33" t="inlineStr">
        <is>
          <t>(none)</t>
        </is>
      </c>
      <c r="J33" t="n">
        <v>0</v>
      </c>
    </row>
    <row r="34">
      <c r="A34" t="inlineStr">
        <is>
          <t>pocket</t>
        </is>
      </c>
      <c r="B34" t="inlineStr">
        <is>
          <t>Potential</t>
        </is>
      </c>
      <c r="C34" t="inlineStr">
        <is>
          <t>normal</t>
        </is>
      </c>
      <c r="D34" t="n">
        <v>0</v>
      </c>
      <c r="E34" t="inlineStr">
        <is>
          <t>(none)</t>
        </is>
      </c>
      <c r="F34" t="n">
        <v>0</v>
      </c>
      <c r="G34" t="inlineStr">
        <is>
          <t>(none)</t>
        </is>
      </c>
      <c r="H34" t="n">
        <v>0</v>
      </c>
      <c r="I34" t="inlineStr">
        <is>
          <t>(none)</t>
        </is>
      </c>
      <c r="J34" t="n">
        <v>0</v>
      </c>
    </row>
    <row r="35">
      <c r="A35" t="inlineStr">
        <is>
          <t>pocket</t>
        </is>
      </c>
      <c r="B35" t="inlineStr">
        <is>
          <t>Bonus Potential</t>
        </is>
      </c>
      <c r="C35" t="inlineStr">
        <is>
          <t>normal</t>
        </is>
      </c>
      <c r="D35" t="n">
        <v>0</v>
      </c>
      <c r="E35" t="inlineStr">
        <is>
          <t>(none)</t>
        </is>
      </c>
      <c r="F35" t="n">
        <v>0</v>
      </c>
      <c r="G35" t="inlineStr">
        <is>
          <t>(none)</t>
        </is>
      </c>
      <c r="H35" t="n">
        <v>0</v>
      </c>
      <c r="I35" t="inlineStr">
        <is>
          <t>(none)</t>
        </is>
      </c>
      <c r="J35" t="n">
        <v>0</v>
      </c>
    </row>
  </sheetData>
  <dataValidations count="2">
    <dataValidation sqref="C6 C7 C8 C9 C10 C11 C12 C13 C14 C15 C16 C17 C18 C19 C20 C21 C22 C23 C24 C25 C26 C27 C28 C29 C30 C31 C32 C33 C34 C35" showDropDown="0" showInputMessage="0" showErrorMessage="0" allowBlank="0" type="list">
      <formula1>"normal,rare,epic,unique,legendary,mystic"</formula1>
    </dataValidation>
    <dataValidation sqref="E6 E7 E8 E9 E10 E11 E12 E13 E14 E15 E16 E17 E18 E19 E20 E21 E22 E23 E24 E25 E26 E27 E28 E29 E30 E31 E32 E33 E34 E35 G6 G7 G8 G9 G10 G11 G12 G13 G14 G15 G16 G17 G18 G19 G20 G21 G22 G23 G24 G25 G26 G27 G28 G29 G30 G31 G32 G33 G34 G35 I6 I7 I8 I9 I10 I11 I12 I13 I14 I15 I16 I17 I18 I19 I20 I21 I22 I23 I24 I25 I26 I27 I28 I29 I30 I31 I32 I33 I34 I35" showDropDown="0" showInputMessage="0" showErrorMessage="0" allowBlank="0" type="list">
      <formula1>=CubeData!$J$2:$J$30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2026-09-16T10:41:58Z</dcterms:created>
  <dcterms:modified xsi:type="dcterms:W3CDTF">2026-09-16T10:41:58Z</dcterms:modified>
</cp:coreProperties>
</file>